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HoldDashboard/"/>
    </mc:Choice>
  </mc:AlternateContent>
  <xr:revisionPtr revIDLastSave="69" documentId="11_162278ADB658D224012727B64776D89C7C4376AC" xr6:coauthVersionLast="47" xr6:coauthVersionMax="47" xr10:uidLastSave="{7E2F5D45-2124-47DF-9044-0AEAF612649F}"/>
  <bookViews>
    <workbookView xWindow="-120" yWindow="-120" windowWidth="29040" windowHeight="15720" tabRatio="500" firstSheet="4" activeTab="8" xr2:uid="{00000000-000D-0000-FFFF-FFFF00000000}"/>
  </bookViews>
  <sheets>
    <sheet name="ReadMe" sheetId="1" r:id="rId1"/>
    <sheet name="Data_Entry" sheetId="2" r:id="rId2"/>
    <sheet name="Summary_MoltenUnits" sheetId="3" r:id="rId3"/>
    <sheet name="Fact_Quality_Defects" sheetId="4" r:id="rId4"/>
    <sheet name="Dim_Date" sheetId="5" r:id="rId5"/>
    <sheet name="Dim_Line" sheetId="6" r:id="rId6"/>
    <sheet name="Dim_Shift" sheetId="7" r:id="rId7"/>
    <sheet name="Dim_Product" sheetId="8" r:id="rId8"/>
    <sheet name="Dim_Defect" sheetId="9" r:id="rId9"/>
    <sheet name="Dim_Classification" sheetId="10" r:id="rId10"/>
    <sheet name="Dim_Status" sheetId="11" r:id="rId1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0" i="4" l="1"/>
  <c r="B20" i="4"/>
  <c r="C20" i="4"/>
  <c r="D20" i="4"/>
  <c r="E20" i="4"/>
  <c r="F20" i="4"/>
  <c r="G20" i="4"/>
  <c r="I20" i="4" s="1"/>
  <c r="J20" i="4" s="1"/>
  <c r="H20" i="4"/>
  <c r="K20" i="4"/>
  <c r="L20" i="4"/>
  <c r="Q20" i="4" s="1"/>
  <c r="M20" i="4"/>
  <c r="U20" i="4" s="1"/>
  <c r="N20" i="4"/>
  <c r="O20" i="4"/>
  <c r="P20" i="4"/>
  <c r="S20" i="4"/>
  <c r="T20" i="4" s="1"/>
  <c r="G20" i="3"/>
  <c r="A20" i="2"/>
  <c r="D14" i="9"/>
  <c r="D13" i="9"/>
  <c r="D12" i="9"/>
  <c r="D11" i="9"/>
  <c r="D10" i="9"/>
  <c r="D9" i="9"/>
  <c r="D8" i="9"/>
  <c r="D7" i="9"/>
  <c r="D6" i="9"/>
  <c r="D5" i="9"/>
  <c r="J34" i="5"/>
  <c r="I34" i="5"/>
  <c r="H34" i="5"/>
  <c r="G34" i="5"/>
  <c r="F34" i="5"/>
  <c r="E34" i="5"/>
  <c r="D34" i="5"/>
  <c r="C34" i="5"/>
  <c r="A34" i="5"/>
  <c r="J33" i="5"/>
  <c r="I33" i="5"/>
  <c r="H33" i="5"/>
  <c r="G33" i="5"/>
  <c r="F33" i="5"/>
  <c r="E33" i="5"/>
  <c r="D33" i="5"/>
  <c r="C33" i="5"/>
  <c r="A33" i="5"/>
  <c r="J32" i="5"/>
  <c r="I32" i="5"/>
  <c r="H32" i="5"/>
  <c r="G32" i="5"/>
  <c r="F32" i="5"/>
  <c r="E32" i="5"/>
  <c r="D32" i="5"/>
  <c r="C32" i="5"/>
  <c r="A32" i="5"/>
  <c r="J31" i="5"/>
  <c r="I31" i="5"/>
  <c r="H31" i="5"/>
  <c r="G31" i="5"/>
  <c r="F31" i="5"/>
  <c r="E31" i="5"/>
  <c r="D31" i="5"/>
  <c r="C31" i="5"/>
  <c r="A31" i="5"/>
  <c r="J30" i="5"/>
  <c r="I30" i="5"/>
  <c r="H30" i="5"/>
  <c r="G30" i="5"/>
  <c r="F30" i="5"/>
  <c r="E30" i="5"/>
  <c r="D30" i="5"/>
  <c r="C30" i="5"/>
  <c r="A30" i="5"/>
  <c r="J29" i="5"/>
  <c r="I29" i="5"/>
  <c r="H29" i="5"/>
  <c r="G29" i="5"/>
  <c r="F29" i="5"/>
  <c r="E29" i="5"/>
  <c r="D29" i="5"/>
  <c r="C29" i="5"/>
  <c r="A29" i="5"/>
  <c r="J28" i="5"/>
  <c r="I28" i="5"/>
  <c r="H28" i="5"/>
  <c r="G28" i="5"/>
  <c r="F28" i="5"/>
  <c r="E28" i="5"/>
  <c r="D28" i="5"/>
  <c r="C28" i="5"/>
  <c r="A28" i="5"/>
  <c r="J27" i="5"/>
  <c r="I27" i="5"/>
  <c r="H27" i="5"/>
  <c r="G27" i="5"/>
  <c r="F27" i="5"/>
  <c r="E27" i="5"/>
  <c r="D27" i="5"/>
  <c r="C27" i="5"/>
  <c r="A27" i="5"/>
  <c r="J26" i="5"/>
  <c r="I26" i="5"/>
  <c r="H26" i="5"/>
  <c r="G26" i="5"/>
  <c r="F26" i="5"/>
  <c r="E26" i="5"/>
  <c r="D26" i="5"/>
  <c r="C26" i="5"/>
  <c r="A26" i="5"/>
  <c r="J25" i="5"/>
  <c r="I25" i="5"/>
  <c r="H25" i="5"/>
  <c r="G25" i="5"/>
  <c r="F25" i="5"/>
  <c r="E25" i="5"/>
  <c r="D25" i="5"/>
  <c r="C25" i="5"/>
  <c r="A25" i="5"/>
  <c r="J24" i="5"/>
  <c r="I24" i="5"/>
  <c r="H24" i="5"/>
  <c r="G24" i="5"/>
  <c r="F24" i="5"/>
  <c r="E24" i="5"/>
  <c r="D24" i="5"/>
  <c r="C24" i="5"/>
  <c r="A24" i="5"/>
  <c r="J23" i="5"/>
  <c r="I23" i="5"/>
  <c r="H23" i="5"/>
  <c r="G23" i="5"/>
  <c r="F23" i="5"/>
  <c r="E23" i="5"/>
  <c r="D23" i="5"/>
  <c r="C23" i="5"/>
  <c r="A23" i="5"/>
  <c r="J22" i="5"/>
  <c r="I22" i="5"/>
  <c r="H22" i="5"/>
  <c r="G22" i="5"/>
  <c r="F22" i="5"/>
  <c r="E22" i="5"/>
  <c r="D22" i="5"/>
  <c r="C22" i="5"/>
  <c r="A22" i="5"/>
  <c r="J21" i="5"/>
  <c r="I21" i="5"/>
  <c r="H21" i="5"/>
  <c r="G21" i="5"/>
  <c r="F21" i="5"/>
  <c r="E21" i="5"/>
  <c r="D21" i="5"/>
  <c r="C21" i="5"/>
  <c r="A21" i="5"/>
  <c r="J20" i="5"/>
  <c r="I20" i="5"/>
  <c r="H20" i="5"/>
  <c r="G20" i="5"/>
  <c r="F20" i="5"/>
  <c r="E20" i="5"/>
  <c r="D20" i="5"/>
  <c r="C20" i="5"/>
  <c r="A20" i="5"/>
  <c r="J19" i="5"/>
  <c r="I19" i="5"/>
  <c r="H19" i="5"/>
  <c r="G19" i="5"/>
  <c r="F19" i="5"/>
  <c r="E19" i="5"/>
  <c r="D19" i="5"/>
  <c r="C19" i="5"/>
  <c r="A19" i="5"/>
  <c r="J18" i="5"/>
  <c r="I18" i="5"/>
  <c r="H18" i="5"/>
  <c r="G18" i="5"/>
  <c r="F18" i="5"/>
  <c r="E18" i="5"/>
  <c r="D18" i="5"/>
  <c r="C18" i="5"/>
  <c r="A18" i="5"/>
  <c r="J17" i="5"/>
  <c r="I17" i="5"/>
  <c r="H17" i="5"/>
  <c r="G17" i="5"/>
  <c r="F17" i="5"/>
  <c r="E17" i="5"/>
  <c r="D17" i="5"/>
  <c r="C17" i="5"/>
  <c r="A17" i="5"/>
  <c r="J16" i="5"/>
  <c r="I16" i="5"/>
  <c r="H16" i="5"/>
  <c r="G16" i="5"/>
  <c r="F16" i="5"/>
  <c r="E16" i="5"/>
  <c r="D16" i="5"/>
  <c r="C16" i="5"/>
  <c r="A16" i="5"/>
  <c r="J15" i="5"/>
  <c r="I15" i="5"/>
  <c r="H15" i="5"/>
  <c r="G15" i="5"/>
  <c r="F15" i="5"/>
  <c r="E15" i="5"/>
  <c r="D15" i="5"/>
  <c r="C15" i="5"/>
  <c r="A15" i="5"/>
  <c r="J14" i="5"/>
  <c r="I14" i="5"/>
  <c r="H14" i="5"/>
  <c r="G14" i="5"/>
  <c r="F14" i="5"/>
  <c r="E14" i="5"/>
  <c r="D14" i="5"/>
  <c r="C14" i="5"/>
  <c r="A14" i="5"/>
  <c r="J13" i="5"/>
  <c r="I13" i="5"/>
  <c r="H13" i="5"/>
  <c r="G13" i="5"/>
  <c r="F13" i="5"/>
  <c r="E13" i="5"/>
  <c r="D13" i="5"/>
  <c r="C13" i="5"/>
  <c r="A13" i="5"/>
  <c r="J12" i="5"/>
  <c r="I12" i="5"/>
  <c r="H12" i="5"/>
  <c r="G12" i="5"/>
  <c r="F12" i="5"/>
  <c r="E12" i="5"/>
  <c r="D12" i="5"/>
  <c r="C12" i="5"/>
  <c r="A12" i="5"/>
  <c r="J11" i="5"/>
  <c r="I11" i="5"/>
  <c r="H11" i="5"/>
  <c r="G11" i="5"/>
  <c r="F11" i="5"/>
  <c r="E11" i="5"/>
  <c r="D11" i="5"/>
  <c r="C11" i="5"/>
  <c r="A11" i="5"/>
  <c r="J10" i="5"/>
  <c r="I10" i="5"/>
  <c r="H10" i="5"/>
  <c r="G10" i="5"/>
  <c r="F10" i="5"/>
  <c r="E10" i="5"/>
  <c r="D10" i="5"/>
  <c r="C10" i="5"/>
  <c r="A10" i="5"/>
  <c r="J9" i="5"/>
  <c r="I9" i="5"/>
  <c r="H9" i="5"/>
  <c r="G9" i="5"/>
  <c r="F9" i="5"/>
  <c r="E9" i="5"/>
  <c r="D9" i="5"/>
  <c r="C9" i="5"/>
  <c r="A9" i="5"/>
  <c r="J8" i="5"/>
  <c r="I8" i="5"/>
  <c r="H8" i="5"/>
  <c r="G8" i="5"/>
  <c r="F8" i="5"/>
  <c r="E8" i="5"/>
  <c r="D8" i="5"/>
  <c r="C8" i="5"/>
  <c r="A8" i="5"/>
  <c r="J7" i="5"/>
  <c r="I7" i="5"/>
  <c r="H7" i="5"/>
  <c r="G7" i="5"/>
  <c r="F7" i="5"/>
  <c r="E7" i="5"/>
  <c r="D7" i="5"/>
  <c r="C7" i="5"/>
  <c r="A7" i="5"/>
  <c r="J6" i="5"/>
  <c r="I6" i="5"/>
  <c r="H6" i="5"/>
  <c r="G6" i="5"/>
  <c r="F6" i="5"/>
  <c r="E6" i="5"/>
  <c r="D6" i="5"/>
  <c r="C6" i="5"/>
  <c r="A6" i="5"/>
  <c r="J5" i="5"/>
  <c r="I5" i="5"/>
  <c r="H5" i="5"/>
  <c r="G5" i="5"/>
  <c r="F5" i="5"/>
  <c r="E5" i="5"/>
  <c r="D5" i="5"/>
  <c r="C5" i="5"/>
  <c r="A5" i="5"/>
  <c r="N19" i="4"/>
  <c r="M19" i="4"/>
  <c r="L19" i="4"/>
  <c r="Q19" i="4" s="1"/>
  <c r="K19" i="4"/>
  <c r="O19" i="4" s="1"/>
  <c r="H19" i="4"/>
  <c r="G19" i="4"/>
  <c r="I19" i="4" s="1"/>
  <c r="J19" i="4" s="1"/>
  <c r="F19" i="4"/>
  <c r="E19" i="4"/>
  <c r="D19" i="4"/>
  <c r="B19" i="4"/>
  <c r="N18" i="4"/>
  <c r="M18" i="4"/>
  <c r="L18" i="4"/>
  <c r="K18" i="4"/>
  <c r="O18" i="4" s="1"/>
  <c r="H18" i="4"/>
  <c r="G18" i="4"/>
  <c r="I18" i="4" s="1"/>
  <c r="J18" i="4" s="1"/>
  <c r="F18" i="4"/>
  <c r="E18" i="4"/>
  <c r="D18" i="4"/>
  <c r="B18" i="4"/>
  <c r="N17" i="4"/>
  <c r="M17" i="4"/>
  <c r="L17" i="4"/>
  <c r="Q17" i="4" s="1"/>
  <c r="K17" i="4"/>
  <c r="O17" i="4" s="1"/>
  <c r="H17" i="4"/>
  <c r="G17" i="4"/>
  <c r="I17" i="4" s="1"/>
  <c r="J17" i="4" s="1"/>
  <c r="F17" i="4"/>
  <c r="E17" i="4"/>
  <c r="D17" i="4"/>
  <c r="B17" i="4"/>
  <c r="N16" i="4"/>
  <c r="M16" i="4"/>
  <c r="L16" i="4"/>
  <c r="Q16" i="4" s="1"/>
  <c r="K16" i="4"/>
  <c r="O16" i="4" s="1"/>
  <c r="H16" i="4"/>
  <c r="G16" i="4"/>
  <c r="I16" i="4" s="1"/>
  <c r="J16" i="4" s="1"/>
  <c r="F16" i="4"/>
  <c r="E16" i="4"/>
  <c r="D16" i="4"/>
  <c r="B16" i="4"/>
  <c r="N15" i="4"/>
  <c r="M15" i="4"/>
  <c r="L15" i="4"/>
  <c r="R15" i="4" s="1"/>
  <c r="K15" i="4"/>
  <c r="O15" i="4" s="1"/>
  <c r="H15" i="4"/>
  <c r="G15" i="4"/>
  <c r="I15" i="4" s="1"/>
  <c r="J15" i="4" s="1"/>
  <c r="F15" i="4"/>
  <c r="E15" i="4"/>
  <c r="D15" i="4"/>
  <c r="B15" i="4"/>
  <c r="C15" i="4" s="1"/>
  <c r="N14" i="4"/>
  <c r="M14" i="4"/>
  <c r="L14" i="4"/>
  <c r="R14" i="4" s="1"/>
  <c r="K14" i="4"/>
  <c r="O14" i="4" s="1"/>
  <c r="H14" i="4"/>
  <c r="G14" i="4"/>
  <c r="I14" i="4" s="1"/>
  <c r="J14" i="4" s="1"/>
  <c r="F14" i="4"/>
  <c r="D14" i="4"/>
  <c r="B14" i="4"/>
  <c r="N13" i="4"/>
  <c r="M13" i="4"/>
  <c r="L13" i="4"/>
  <c r="P13" i="4" s="1"/>
  <c r="K13" i="4"/>
  <c r="O13" i="4" s="1"/>
  <c r="H13" i="4"/>
  <c r="G13" i="4"/>
  <c r="I13" i="4" s="1"/>
  <c r="J13" i="4" s="1"/>
  <c r="F13" i="4"/>
  <c r="D13" i="4"/>
  <c r="B13" i="4"/>
  <c r="A13" i="4"/>
  <c r="N12" i="4"/>
  <c r="M12" i="4"/>
  <c r="L12" i="4"/>
  <c r="R12" i="4" s="1"/>
  <c r="K12" i="4"/>
  <c r="O12" i="4" s="1"/>
  <c r="H12" i="4"/>
  <c r="G12" i="4"/>
  <c r="I12" i="4" s="1"/>
  <c r="J12" i="4" s="1"/>
  <c r="F12" i="4"/>
  <c r="E12" i="4"/>
  <c r="D12" i="4"/>
  <c r="B12" i="4"/>
  <c r="N11" i="4"/>
  <c r="M11" i="4"/>
  <c r="L11" i="4"/>
  <c r="R11" i="4" s="1"/>
  <c r="K11" i="4"/>
  <c r="O11" i="4" s="1"/>
  <c r="H11" i="4"/>
  <c r="G11" i="4"/>
  <c r="I11" i="4" s="1"/>
  <c r="J11" i="4" s="1"/>
  <c r="F11" i="4"/>
  <c r="E11" i="4"/>
  <c r="D11" i="4"/>
  <c r="B11" i="4"/>
  <c r="N10" i="4"/>
  <c r="M10" i="4"/>
  <c r="L10" i="4"/>
  <c r="P10" i="4" s="1"/>
  <c r="K10" i="4"/>
  <c r="O10" i="4" s="1"/>
  <c r="H10" i="4"/>
  <c r="G10" i="4"/>
  <c r="I10" i="4" s="1"/>
  <c r="J10" i="4" s="1"/>
  <c r="F10" i="4"/>
  <c r="E10" i="4"/>
  <c r="D10" i="4"/>
  <c r="B10" i="4"/>
  <c r="A10" i="4"/>
  <c r="N9" i="4"/>
  <c r="M9" i="4"/>
  <c r="L9" i="4"/>
  <c r="R9" i="4" s="1"/>
  <c r="K9" i="4"/>
  <c r="O9" i="4" s="1"/>
  <c r="H9" i="4"/>
  <c r="G9" i="4"/>
  <c r="I9" i="4" s="1"/>
  <c r="J9" i="4" s="1"/>
  <c r="F9" i="4"/>
  <c r="E9" i="4"/>
  <c r="D9" i="4"/>
  <c r="B9" i="4"/>
  <c r="N8" i="4"/>
  <c r="M8" i="4"/>
  <c r="L8" i="4"/>
  <c r="Q8" i="4" s="1"/>
  <c r="K8" i="4"/>
  <c r="O8" i="4" s="1"/>
  <c r="U8" i="4" s="1"/>
  <c r="H8" i="4"/>
  <c r="G8" i="4"/>
  <c r="I8" i="4" s="1"/>
  <c r="J8" i="4" s="1"/>
  <c r="F8" i="4"/>
  <c r="E8" i="4"/>
  <c r="D8" i="4"/>
  <c r="B8" i="4"/>
  <c r="C8" i="4" s="1"/>
  <c r="N7" i="4"/>
  <c r="M7" i="4"/>
  <c r="L7" i="4"/>
  <c r="K7" i="4"/>
  <c r="O7" i="4" s="1"/>
  <c r="H7" i="4"/>
  <c r="G7" i="4"/>
  <c r="I7" i="4" s="1"/>
  <c r="J7" i="4" s="1"/>
  <c r="F7" i="4"/>
  <c r="E7" i="4"/>
  <c r="D7" i="4"/>
  <c r="B7" i="4"/>
  <c r="C7" i="4" s="1"/>
  <c r="N6" i="4"/>
  <c r="M6" i="4"/>
  <c r="L6" i="4"/>
  <c r="R6" i="4" s="1"/>
  <c r="K6" i="4"/>
  <c r="O6" i="4" s="1"/>
  <c r="H6" i="4"/>
  <c r="G6" i="4"/>
  <c r="I6" i="4" s="1"/>
  <c r="J6" i="4" s="1"/>
  <c r="F6" i="4"/>
  <c r="E6" i="4"/>
  <c r="D6" i="4"/>
  <c r="B6" i="4"/>
  <c r="N5" i="4"/>
  <c r="M5" i="4"/>
  <c r="L5" i="4"/>
  <c r="R5" i="4" s="1"/>
  <c r="K5" i="4"/>
  <c r="O5" i="4" s="1"/>
  <c r="H5" i="4"/>
  <c r="G5" i="4"/>
  <c r="I5" i="4" s="1"/>
  <c r="J5" i="4" s="1"/>
  <c r="F5" i="4"/>
  <c r="E5" i="4"/>
  <c r="D5" i="4"/>
  <c r="B5" i="4"/>
  <c r="A5" i="4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A19" i="2"/>
  <c r="A19" i="4" s="1"/>
  <c r="A18" i="2"/>
  <c r="A18" i="4" s="1"/>
  <c r="A17" i="2"/>
  <c r="A17" i="4" s="1"/>
  <c r="A16" i="2"/>
  <c r="A16" i="4" s="1"/>
  <c r="A15" i="2"/>
  <c r="A15" i="4" s="1"/>
  <c r="A14" i="2"/>
  <c r="A14" i="4" s="1"/>
  <c r="A13" i="2"/>
  <c r="A12" i="2"/>
  <c r="A12" i="4" s="1"/>
  <c r="A11" i="2"/>
  <c r="A11" i="4" s="1"/>
  <c r="A10" i="2"/>
  <c r="A9" i="2"/>
  <c r="A9" i="4" s="1"/>
  <c r="A8" i="2"/>
  <c r="A8" i="4" s="1"/>
  <c r="A7" i="2"/>
  <c r="A7" i="4" s="1"/>
  <c r="A6" i="2"/>
  <c r="A6" i="4" s="1"/>
  <c r="A5" i="2"/>
  <c r="V20" i="4" l="1"/>
  <c r="W20" i="4"/>
  <c r="R20" i="4"/>
  <c r="X20" i="4" s="1"/>
  <c r="S9" i="4"/>
  <c r="T9" i="4" s="1"/>
  <c r="X9" i="4" s="1"/>
  <c r="R7" i="4"/>
  <c r="U10" i="4"/>
  <c r="S14" i="4"/>
  <c r="T14" i="4" s="1"/>
  <c r="X14" i="4" s="1"/>
  <c r="U12" i="4"/>
  <c r="S19" i="4"/>
  <c r="T19" i="4" s="1"/>
  <c r="S7" i="4"/>
  <c r="T7" i="4" s="1"/>
  <c r="P19" i="4"/>
  <c r="Q18" i="4"/>
  <c r="R19" i="4"/>
  <c r="S10" i="4"/>
  <c r="T10" i="4" s="1"/>
  <c r="P11" i="4"/>
  <c r="Q10" i="4"/>
  <c r="R10" i="4"/>
  <c r="S16" i="4"/>
  <c r="T16" i="4" s="1"/>
  <c r="W16" i="4" s="1"/>
  <c r="R8" i="4"/>
  <c r="S8" i="4"/>
  <c r="T8" i="4" s="1"/>
  <c r="U6" i="4"/>
  <c r="U7" i="4"/>
  <c r="Q14" i="4"/>
  <c r="U14" i="4"/>
  <c r="R18" i="4"/>
  <c r="U5" i="4"/>
  <c r="S12" i="4"/>
  <c r="T12" i="4" s="1"/>
  <c r="S5" i="4"/>
  <c r="T5" i="4" s="1"/>
  <c r="S11" i="4"/>
  <c r="T11" i="4" s="1"/>
  <c r="X11" i="4" s="1"/>
  <c r="U13" i="4"/>
  <c r="P18" i="4"/>
  <c r="P5" i="4"/>
  <c r="Q13" i="4"/>
  <c r="S15" i="4"/>
  <c r="T15" i="4" s="1"/>
  <c r="X15" i="4" s="1"/>
  <c r="R17" i="4"/>
  <c r="P12" i="4"/>
  <c r="R13" i="4"/>
  <c r="S18" i="4"/>
  <c r="T18" i="4" s="1"/>
  <c r="Q5" i="4"/>
  <c r="Q12" i="4"/>
  <c r="Q11" i="4"/>
  <c r="P16" i="4"/>
  <c r="U19" i="4"/>
  <c r="S6" i="4"/>
  <c r="T6" i="4" s="1"/>
  <c r="X6" i="4" s="1"/>
  <c r="S13" i="4"/>
  <c r="T13" i="4" s="1"/>
  <c r="S17" i="4"/>
  <c r="T17" i="4" s="1"/>
  <c r="U17" i="4"/>
  <c r="U15" i="4"/>
  <c r="U18" i="4"/>
  <c r="U16" i="4"/>
  <c r="U9" i="4"/>
  <c r="U11" i="4"/>
  <c r="P14" i="4"/>
  <c r="C19" i="4"/>
  <c r="P7" i="4"/>
  <c r="C12" i="4"/>
  <c r="C5" i="4"/>
  <c r="Q7" i="4"/>
  <c r="C10" i="4"/>
  <c r="P9" i="4"/>
  <c r="C14" i="4"/>
  <c r="R16" i="4"/>
  <c r="Q9" i="4"/>
  <c r="C16" i="4"/>
  <c r="C9" i="4"/>
  <c r="C18" i="4"/>
  <c r="P6" i="4"/>
  <c r="C11" i="4"/>
  <c r="Q6" i="4"/>
  <c r="P8" i="4"/>
  <c r="C13" i="4"/>
  <c r="Q15" i="4"/>
  <c r="P15" i="4"/>
  <c r="C6" i="4"/>
  <c r="P17" i="4"/>
  <c r="C17" i="4"/>
  <c r="Y20" i="4" l="1"/>
  <c r="X7" i="4"/>
  <c r="X19" i="4"/>
  <c r="X10" i="4"/>
  <c r="W18" i="4"/>
  <c r="X8" i="4"/>
  <c r="X17" i="4"/>
  <c r="V16" i="4"/>
  <c r="Y13" i="4"/>
  <c r="Y5" i="4"/>
  <c r="W12" i="4"/>
  <c r="V13" i="4"/>
  <c r="X13" i="4"/>
  <c r="V11" i="4"/>
  <c r="Y11" i="4"/>
  <c r="W11" i="4"/>
  <c r="W13" i="4"/>
  <c r="X16" i="4"/>
  <c r="Y12" i="4"/>
  <c r="V12" i="4"/>
  <c r="X12" i="4"/>
  <c r="W6" i="4"/>
  <c r="W14" i="4"/>
  <c r="Y18" i="4"/>
  <c r="X18" i="4"/>
  <c r="W19" i="4"/>
  <c r="W9" i="4"/>
  <c r="W15" i="4"/>
  <c r="V10" i="4"/>
  <c r="W8" i="4"/>
  <c r="Y10" i="4"/>
  <c r="W10" i="4"/>
  <c r="W7" i="4"/>
  <c r="Y19" i="4"/>
  <c r="W5" i="4"/>
  <c r="W17" i="4"/>
  <c r="V5" i="4"/>
  <c r="X5" i="4"/>
  <c r="V19" i="4"/>
  <c r="V18" i="4"/>
  <c r="V6" i="4"/>
  <c r="Y6" i="4"/>
  <c r="Y7" i="4"/>
  <c r="V7" i="4"/>
  <c r="V8" i="4"/>
  <c r="Y8" i="4"/>
  <c r="Y14" i="4"/>
  <c r="V14" i="4"/>
  <c r="Y16" i="4"/>
  <c r="V15" i="4"/>
  <c r="Y15" i="4"/>
  <c r="Y9" i="4"/>
  <c r="V9" i="4"/>
  <c r="Y17" i="4"/>
  <c r="V17" i="4"/>
</calcChain>
</file>

<file path=xl/sharedStrings.xml><?xml version="1.0" encoding="utf-8"?>
<sst xmlns="http://schemas.openxmlformats.org/spreadsheetml/2006/main" count="401" uniqueCount="199">
  <si>
    <t>Factory Quality Defect Tracker</t>
  </si>
  <si>
    <t>Star-schema data model for daily Power BI reporting across Lines 21-25</t>
  </si>
  <si>
    <t>Sheet</t>
  </si>
  <si>
    <t>Purpose</t>
  </si>
  <si>
    <t>Sheet Type</t>
  </si>
  <si>
    <t>Data_Entry</t>
  </si>
  <si>
    <t>Operators log new defects here daily (yellow cells, dropdown lists).</t>
  </si>
  <si>
    <t>Input</t>
  </si>
  <si>
    <t>Summary_MoltenUnits</t>
  </si>
  <si>
    <t>Daily Total Molten Units per Line/Shift/Product (input by ops/planning).</t>
  </si>
  <si>
    <t>Input / Fact 2</t>
  </si>
  <si>
    <t>Fact_Quality_Defects</t>
  </si>
  <si>
    <t>Auto-calculated transaction fact table. Import THIS into Power BI.</t>
  </si>
  <si>
    <t>Fact 1</t>
  </si>
  <si>
    <t>Dim_Date</t>
  </si>
  <si>
    <t>Calendar dimension.</t>
  </si>
  <si>
    <t>Dimension</t>
  </si>
  <si>
    <t>Dim_Line</t>
  </si>
  <si>
    <t>Production line dimension (21-25).</t>
  </si>
  <si>
    <t>Dim_Shift</t>
  </si>
  <si>
    <t>Shift dimension.</t>
  </si>
  <si>
    <t>Dim_Product</t>
  </si>
  <si>
    <t>Product code dimension.</t>
  </si>
  <si>
    <t>Dim_Defect</t>
  </si>
  <si>
    <t>Defect catalogue, linked to classification.</t>
  </si>
  <si>
    <t>Dim_Classification</t>
  </si>
  <si>
    <t>Critical / Major / Minor severity dimension.</t>
  </si>
  <si>
    <t>Dim_Status</t>
  </si>
  <si>
    <t>Hold / Resorted / Move to Cullet disposition dimension.</t>
  </si>
  <si>
    <t>Daily Workflow</t>
  </si>
  <si>
    <t>1. Operators add one row per defect found in Data_Entry (dropdowns for Line/Shift/Product/Defect/Status).</t>
  </si>
  <si>
    <t>2. Planning/production enters Total Molten Units per Line/Shift/Product/Day in Summary_MoltenUnits.</t>
  </si>
  <si>
    <t>3. Fact_Quality_Defects recalculates automatically (extend formulas down for new Data_Entry rows).</t>
  </si>
  <si>
    <t>4. Power BI refreshes from Fact_Quality_Defects, Summary_MoltenUnits and the Dim_ tables.</t>
  </si>
  <si>
    <t>Extending the workbook</t>
  </si>
  <si>
    <t>To add new daily records: insert new Excel Table rows in Data_Entry (Ctrl+T tables auto-expand); then copy the last row's formulas down in Fact_Quality_Defects for the matching row count.</t>
  </si>
  <si>
    <t>Data Entry - Daily Defect Log</t>
  </si>
  <si>
    <t>Operators fill ONLY the yellow columns. Pick values from the dropdowns.</t>
  </si>
  <si>
    <t>RecordID</t>
  </si>
  <si>
    <t>Date</t>
  </si>
  <si>
    <t>Line</t>
  </si>
  <si>
    <t>Shift</t>
  </si>
  <si>
    <t>ProductCode</t>
  </si>
  <si>
    <t>DefectName</t>
  </si>
  <si>
    <t>NumberOfPallets</t>
  </si>
  <si>
    <t>ArticlesPerPallet</t>
  </si>
  <si>
    <t>Status</t>
  </si>
  <si>
    <t>L21</t>
  </si>
  <si>
    <t>PC-2101</t>
  </si>
  <si>
    <t>Crack</t>
  </si>
  <si>
    <t>Hold</t>
  </si>
  <si>
    <t>L22</t>
  </si>
  <si>
    <t>AMB</t>
  </si>
  <si>
    <t>PC-2202</t>
  </si>
  <si>
    <t>Foreign Material</t>
  </si>
  <si>
    <t>Resorted</t>
  </si>
  <si>
    <t>L23</t>
  </si>
  <si>
    <t>AMC</t>
  </si>
  <si>
    <t>PC-2301</t>
  </si>
  <si>
    <t>Contamination</t>
  </si>
  <si>
    <t>Move to Cullet</t>
  </si>
  <si>
    <t>L24</t>
  </si>
  <si>
    <t>AMD</t>
  </si>
  <si>
    <t>PC-2402</t>
  </si>
  <si>
    <t>Short Fill</t>
  </si>
  <si>
    <t>L25</t>
  </si>
  <si>
    <t>AMA</t>
  </si>
  <si>
    <t>PC-2501</t>
  </si>
  <si>
    <t>Warpage</t>
  </si>
  <si>
    <t>PMB</t>
  </si>
  <si>
    <t>PC-2102</t>
  </si>
  <si>
    <t>Dimension Out of Spec</t>
  </si>
  <si>
    <t>PMC</t>
  </si>
  <si>
    <t>PC-2201</t>
  </si>
  <si>
    <t>Flash</t>
  </si>
  <si>
    <t>PMD</t>
  </si>
  <si>
    <t>PC-2302</t>
  </si>
  <si>
    <t>Color Mismatch</t>
  </si>
  <si>
    <t>PM</t>
  </si>
  <si>
    <t>PC-2401</t>
  </si>
  <si>
    <t>Bubble</t>
  </si>
  <si>
    <t>PC-2502</t>
  </si>
  <si>
    <t>Scratch</t>
  </si>
  <si>
    <t>Instructions: 1) Choose Date. 2) Pick Line, Shift, ProductCode, DefectName, Status from dropdown lists (sourced from dimension tables). 3) Enter NumberOfPallets and ArticlesPerPallet. All other calculations happen automatically in Fact_Quality_Defects - do not edit that sheet directly.</t>
  </si>
  <si>
    <t>Daily Total Molten Units by Line / Shift / Product (input by production team)</t>
  </si>
  <si>
    <t>MoltenRecordID</t>
  </si>
  <si>
    <t>LineID</t>
  </si>
  <si>
    <t>ShiftID</t>
  </si>
  <si>
    <t>TotalMoltenUnits</t>
  </si>
  <si>
    <t>MoltenKey</t>
  </si>
  <si>
    <t>Note: This table represents a second fact table at Date x Line x Shift x Product grain. In Power BI it links to the SAME shared dimensions (Dim_Date, Dim_Line, Dim_Shift, Dim_Product) as Fact_Quality_Defects, enabling Hold%/Resorted%/Cullet% measures to be calculated across both fact tables.</t>
  </si>
  <si>
    <t>Transaction-level fact table - one row per defect occurrence. Feeds Power BI.</t>
  </si>
  <si>
    <t>DefectRecordID</t>
  </si>
  <si>
    <t>DateKey</t>
  </si>
  <si>
    <t>DefectID</t>
  </si>
  <si>
    <t>ClassificationID</t>
  </si>
  <si>
    <t>ClassificationName</t>
  </si>
  <si>
    <t>StatusID</t>
  </si>
  <si>
    <t>StatusName</t>
  </si>
  <si>
    <t>DecisionValue</t>
  </si>
  <si>
    <t>HoldQty</t>
  </si>
  <si>
    <t>ResortedQty</t>
  </si>
  <si>
    <t>CulletQty</t>
  </si>
  <si>
    <t>Losses</t>
  </si>
  <si>
    <t>HoldPct</t>
  </si>
  <si>
    <t>ResortedPct</t>
  </si>
  <si>
    <t>CulletPct</t>
  </si>
  <si>
    <t>DefectRatePct</t>
  </si>
  <si>
    <t>Note on Losses: defined per business rule as NumberOfPallets - DecisionValue. Confirm this definition with Quality/Ops - it currently nets a 0/1 decision flag against a pallet count, which is unit-inconsistent. Consider replacing with Losses = Pallets not Resorted, i.e. HoldQty+CulletQty in units, once confirmed.</t>
  </si>
  <si>
    <t>Calendar dimension - one row per day</t>
  </si>
  <si>
    <t>Day</t>
  </si>
  <si>
    <t>MonthNum</t>
  </si>
  <si>
    <t>MonthName</t>
  </si>
  <si>
    <t>Quarter</t>
  </si>
  <si>
    <t>Year</t>
  </si>
  <si>
    <t>WeekdayName</t>
  </si>
  <si>
    <t>WeekNumber</t>
  </si>
  <si>
    <t>IsWeekend</t>
  </si>
  <si>
    <t>Production line dimension</t>
  </si>
  <si>
    <t>LineNumber</t>
  </si>
  <si>
    <t>LineName</t>
  </si>
  <si>
    <t>Line 21</t>
  </si>
  <si>
    <t>Line 22</t>
  </si>
  <si>
    <t>Line 23</t>
  </si>
  <si>
    <t>Line 24</t>
  </si>
  <si>
    <t>Line 25</t>
  </si>
  <si>
    <t>Shift dimension</t>
  </si>
  <si>
    <t>ShiftName</t>
  </si>
  <si>
    <t>ShiftType</t>
  </si>
  <si>
    <t>AM Shift B</t>
  </si>
  <si>
    <t>AM</t>
  </si>
  <si>
    <t>AM Shift C</t>
  </si>
  <si>
    <t>AM Shift D</t>
  </si>
  <si>
    <t>AM Shift A</t>
  </si>
  <si>
    <t>PM Shift B</t>
  </si>
  <si>
    <t>PM Shift C</t>
  </si>
  <si>
    <t>PM Shift D</t>
  </si>
  <si>
    <t>Product code dimension</t>
  </si>
  <si>
    <t>ProductName</t>
  </si>
  <si>
    <t>Category</t>
  </si>
  <si>
    <t>Bottle 500ml Clear</t>
  </si>
  <si>
    <t>Bottle</t>
  </si>
  <si>
    <t>Bottle 1L Clear</t>
  </si>
  <si>
    <t>Jar 250g Wide Mouth</t>
  </si>
  <si>
    <t>Jar</t>
  </si>
  <si>
    <t>Jar 500g Wide Mouth</t>
  </si>
  <si>
    <t>Cap 28mm</t>
  </si>
  <si>
    <t>Closure</t>
  </si>
  <si>
    <t>Cap 38mm</t>
  </si>
  <si>
    <t>Tub 500ml</t>
  </si>
  <si>
    <t>Tub</t>
  </si>
  <si>
    <t>Tub 1L</t>
  </si>
  <si>
    <t>Preform 24g</t>
  </si>
  <si>
    <t>Preform</t>
  </si>
  <si>
    <t>Preform 42g</t>
  </si>
  <si>
    <t>Defect catalogue</t>
  </si>
  <si>
    <t>D01</t>
  </si>
  <si>
    <t>C1</t>
  </si>
  <si>
    <t>D02</t>
  </si>
  <si>
    <t>D03</t>
  </si>
  <si>
    <t>D04</t>
  </si>
  <si>
    <t>C2</t>
  </si>
  <si>
    <t>D05</t>
  </si>
  <si>
    <t>D06</t>
  </si>
  <si>
    <t>D07</t>
  </si>
  <si>
    <t>C3</t>
  </si>
  <si>
    <t>D08</t>
  </si>
  <si>
    <t>D09</t>
  </si>
  <si>
    <t>D10</t>
  </si>
  <si>
    <t>Defect severity classification</t>
  </si>
  <si>
    <t>SeverityRank</t>
  </si>
  <si>
    <t>ColorCode</t>
  </si>
  <si>
    <t>Critical</t>
  </si>
  <si>
    <t>FF0000</t>
  </si>
  <si>
    <t>Major</t>
  </si>
  <si>
    <t>FFA500</t>
  </si>
  <si>
    <t>Minor</t>
  </si>
  <si>
    <t>FFFF00</t>
  </si>
  <si>
    <t>Disposition status dimension</t>
  </si>
  <si>
    <t>S1</t>
  </si>
  <si>
    <t>S2</t>
  </si>
  <si>
    <t>S3</t>
  </si>
  <si>
    <t>PMA</t>
  </si>
  <si>
    <t>PM Shift A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</si>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</sst>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sz val="10"/>
      <color rgb="FF006100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000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10" fillId="3" borderId="1" xfId="0" applyNumberFormat="1" applyFont="1" applyFill="1" applyBorder="1"/>
    <xf numFmtId="0" fontId="10" fillId="3" borderId="1" xfId="0" applyFont="1" applyFill="1" applyBorder="1"/>
    <xf numFmtId="0" fontId="10" fillId="0" borderId="1" xfId="0" applyFont="1" applyBorder="1"/>
    <xf numFmtId="164" fontId="10" fillId="0" borderId="1" xfId="0" applyNumberFormat="1" applyFont="1" applyBorder="1"/>
    <xf numFmtId="0" fontId="12" fillId="0" borderId="1" xfId="0" applyFont="1" applyBorder="1"/>
    <xf numFmtId="164" fontId="12" fillId="0" borderId="1" xfId="0" applyNumberFormat="1" applyFont="1" applyBorder="1"/>
    <xf numFmtId="10" fontId="9" fillId="0" borderId="1" xfId="0" applyNumberFormat="1" applyFont="1" applyBorder="1"/>
    <xf numFmtId="164" fontId="9" fillId="0" borderId="1" xfId="0" applyNumberFormat="1" applyFont="1" applyBorder="1"/>
    <xf numFmtId="0" fontId="10" fillId="4" borderId="1" xfId="0" applyFont="1" applyFill="1" applyBorder="1"/>
    <xf numFmtId="0" fontId="10" fillId="5" borderId="1" xfId="0" applyFont="1" applyFill="1" applyBorder="1"/>
    <xf numFmtId="0" fontId="10" fillId="6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0" borderId="0" xfId="0" applyFont="1"/>
    <xf numFmtId="164" fontId="12" fillId="0" borderId="0" xfId="0" applyNumberFormat="1" applyFont="1"/>
    <xf numFmtId="0" fontId="9" fillId="0" borderId="0" xfId="0" applyFont="1"/>
    <xf numFmtId="10" fontId="9" fillId="0" borderId="0" xfId="0" applyNumberFormat="1" applyFont="1"/>
    <xf numFmtId="0" fontId="10" fillId="3" borderId="0" xfId="0" applyFont="1" applyFill="1"/>
    <xf numFmtId="0" fontId="11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A5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Entry" displayName="Data_Entry" ref="A4:I20" totalsRowShown="0">
  <autoFilter ref="A4:I20" xr:uid="{00000000-0009-0000-0100-000001000000}"/>
  <tableColumns count="9">
    <tableColumn id="1" xr3:uid="{00000000-0010-0000-0000-000001000000}" name="RecordID"/>
    <tableColumn id="2" xr3:uid="{00000000-0010-0000-0000-000002000000}" name="Date"/>
    <tableColumn id="3" xr3:uid="{00000000-0010-0000-0000-000003000000}" name="Line"/>
    <tableColumn id="4" xr3:uid="{00000000-0010-0000-0000-000004000000}" name="Shift"/>
    <tableColumn id="5" xr3:uid="{00000000-0010-0000-0000-000005000000}" name="ProductCode"/>
    <tableColumn id="6" xr3:uid="{00000000-0010-0000-0000-000006000000}" name="DefectName"/>
    <tableColumn id="7" xr3:uid="{00000000-0010-0000-0000-000007000000}" name="NumberOfPallets"/>
    <tableColumn id="8" xr3:uid="{00000000-0010-0000-0000-000008000000}" name="ArticlesPerPallet"/>
    <tableColumn id="9" xr3:uid="{00000000-0010-0000-0000-000009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Summary_MoltenUnits" displayName="Summary_MoltenUnits" ref="A4:G20" totalsRowShown="0">
  <autoFilter ref="A4:G20" xr:uid="{00000000-0009-0000-0100-00000A000000}"/>
  <tableColumns count="7">
    <tableColumn id="1" xr3:uid="{00000000-0010-0000-0100-000001000000}" name="MoltenRecordID"/>
    <tableColumn id="2" xr3:uid="{00000000-0010-0000-0100-000002000000}" name="Date"/>
    <tableColumn id="3" xr3:uid="{00000000-0010-0000-0100-000003000000}" name="LineID"/>
    <tableColumn id="4" xr3:uid="{00000000-0010-0000-0100-000004000000}" name="ShiftID"/>
    <tableColumn id="5" xr3:uid="{00000000-0010-0000-0100-000005000000}" name="ProductCode"/>
    <tableColumn id="6" xr3:uid="{00000000-0010-0000-0100-000006000000}" name="TotalMoltenUnits"/>
    <tableColumn id="7" xr3:uid="{00000000-0010-0000-0100-000007000000}" name="MoltenKe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Fact_Quality_Defects" displayName="Fact_Quality_Defects" ref="A4:Y20" totalsRowShown="0">
  <autoFilter ref="A4:Y20" xr:uid="{00000000-0009-0000-0100-000009000000}"/>
  <tableColumns count="25">
    <tableColumn id="1" xr3:uid="{00000000-0010-0000-0200-000001000000}" name="DefectRecordID"/>
    <tableColumn id="2" xr3:uid="{00000000-0010-0000-0200-000002000000}" name="Date"/>
    <tableColumn id="3" xr3:uid="{00000000-0010-0000-0200-000003000000}" name="DateKey"/>
    <tableColumn id="4" xr3:uid="{00000000-0010-0000-0200-000004000000}" name="LineID"/>
    <tableColumn id="5" xr3:uid="{00000000-0010-0000-0200-000005000000}" name="ShiftID"/>
    <tableColumn id="6" xr3:uid="{00000000-0010-0000-0200-000006000000}" name="ProductCode"/>
    <tableColumn id="7" xr3:uid="{00000000-0010-0000-0200-000007000000}" name="DefectID"/>
    <tableColumn id="8" xr3:uid="{00000000-0010-0000-0200-000008000000}" name="DefectName"/>
    <tableColumn id="9" xr3:uid="{00000000-0010-0000-0200-000009000000}" name="ClassificationID"/>
    <tableColumn id="10" xr3:uid="{00000000-0010-0000-0200-00000A000000}" name="ClassificationName"/>
    <tableColumn id="11" xr3:uid="{00000000-0010-0000-0200-00000B000000}" name="StatusID"/>
    <tableColumn id="12" xr3:uid="{00000000-0010-0000-0200-00000C000000}" name="StatusName"/>
    <tableColumn id="13" xr3:uid="{00000000-0010-0000-0200-00000D000000}" name="NumberOfPallets"/>
    <tableColumn id="14" xr3:uid="{00000000-0010-0000-0200-00000E000000}" name="ArticlesPerPallet"/>
    <tableColumn id="15" xr3:uid="{00000000-0010-0000-0200-00000F000000}" name="DecisionValue"/>
    <tableColumn id="16" xr3:uid="{00000000-0010-0000-0200-000010000000}" name="HoldQty"/>
    <tableColumn id="17" xr3:uid="{00000000-0010-0000-0200-000011000000}" name="ResortedQty"/>
    <tableColumn id="18" xr3:uid="{00000000-0010-0000-0200-000012000000}" name="CulletQty"/>
    <tableColumn id="19" xr3:uid="{00000000-0010-0000-0200-000013000000}" name="MoltenKey"/>
    <tableColumn id="20" xr3:uid="{00000000-0010-0000-0200-000014000000}" name="TotalMoltenUnits"/>
    <tableColumn id="21" xr3:uid="{00000000-0010-0000-0200-000015000000}" name="Losses"/>
    <tableColumn id="22" xr3:uid="{00000000-0010-0000-0200-000016000000}" name="HoldPct"/>
    <tableColumn id="23" xr3:uid="{00000000-0010-0000-0200-000017000000}" name="ResortedPct"/>
    <tableColumn id="24" xr3:uid="{00000000-0010-0000-0200-000018000000}" name="CulletPct"/>
    <tableColumn id="25" xr3:uid="{00000000-0010-0000-0200-000019000000}" name="DefectRatePc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m_Date" displayName="Dim_Date" ref="A4:J34" totalsRowShown="0">
  <autoFilter ref="A4:J34" xr:uid="{00000000-0009-0000-0100-000003000000}"/>
  <tableColumns count="10">
    <tableColumn id="1" xr3:uid="{00000000-0010-0000-0300-000001000000}" name="DateKey"/>
    <tableColumn id="2" xr3:uid="{00000000-0010-0000-0300-000002000000}" name="Date"/>
    <tableColumn id="3" xr3:uid="{00000000-0010-0000-0300-000003000000}" name="Day"/>
    <tableColumn id="4" xr3:uid="{00000000-0010-0000-0300-000004000000}" name="MonthNum"/>
    <tableColumn id="5" xr3:uid="{00000000-0010-0000-0300-000005000000}" name="MonthName"/>
    <tableColumn id="6" xr3:uid="{00000000-0010-0000-0300-000006000000}" name="Quarter"/>
    <tableColumn id="7" xr3:uid="{00000000-0010-0000-0300-000007000000}" name="Year"/>
    <tableColumn id="8" xr3:uid="{00000000-0010-0000-0300-000008000000}" name="WeekdayName"/>
    <tableColumn id="9" xr3:uid="{00000000-0010-0000-0300-000009000000}" name="WeekNumber"/>
    <tableColumn id="10" xr3:uid="{00000000-0010-0000-0300-00000A000000}" name="IsWeeken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_Line" displayName="Dim_Line" ref="A4:C9" totalsRowShown="0" headerRowDxfId="7" dataDxfId="5" headerRowBorderDxfId="6" tableBorderDxfId="4" totalsRowBorderDxfId="3">
  <autoFilter ref="A4:C9" xr:uid="{00000000-0009-0000-0100-000005000000}"/>
  <tableColumns count="3">
    <tableColumn id="1" xr3:uid="{00000000-0010-0000-0400-000001000000}" name="LineID" dataDxfId="2"/>
    <tableColumn id="2" xr3:uid="{00000000-0010-0000-0400-000002000000}" name="LineNumber" dataDxfId="1"/>
    <tableColumn id="3" xr3:uid="{00000000-0010-0000-0400-000003000000}" name="LineName" dataDxfId="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Dim_Shift" displayName="Dim_Shift" ref="A4:C12" totalsRowShown="0">
  <autoFilter ref="A4:C12" xr:uid="{00000000-0009-0000-0100-000007000000}"/>
  <tableColumns count="3">
    <tableColumn id="1" xr3:uid="{00000000-0010-0000-0500-000001000000}" name="ShiftID"/>
    <tableColumn id="2" xr3:uid="{00000000-0010-0000-0500-000002000000}" name="ShiftName"/>
    <tableColumn id="3" xr3:uid="{00000000-0010-0000-0500-000003000000}" name="ShiftTyp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Dim_Product" displayName="Dim_Product" ref="A4:D14" totalsRowShown="0">
  <autoFilter ref="A4:D14" xr:uid="{00000000-0009-0000-0100-000006000000}"/>
  <tableColumns count="4">
    <tableColumn id="1" xr3:uid="{00000000-0010-0000-0600-000001000000}" name="ProductCode"/>
    <tableColumn id="2" xr3:uid="{00000000-0010-0000-0600-000002000000}" name="ProductName"/>
    <tableColumn id="3" xr3:uid="{00000000-0010-0000-0600-000003000000}" name="LineID"/>
    <tableColumn id="4" xr3:uid="{00000000-0010-0000-0600-000004000000}" name="Category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Dim_Defect" displayName="Dim_Defect" ref="A4:D29" totalsRowShown="0">
  <autoFilter ref="A4:D29" xr:uid="{00000000-0009-0000-0100-000004000000}"/>
  <tableColumns count="4">
    <tableColumn id="1" xr3:uid="{00000000-0010-0000-0700-000001000000}" name="DefectID"/>
    <tableColumn id="2" xr3:uid="{00000000-0010-0000-0700-000002000000}" name="DefectName"/>
    <tableColumn id="3" xr3:uid="{00000000-0010-0000-0700-000003000000}" name="ClassificationID"/>
    <tableColumn id="4" xr3:uid="{00000000-0010-0000-0700-000004000000}" name="Classification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Dim_Classification" displayName="Dim_Classification" ref="A4:D7" totalsRowShown="0">
  <autoFilter ref="A4:D7" xr:uid="{00000000-0009-0000-0100-000002000000}"/>
  <tableColumns count="4">
    <tableColumn id="1" xr3:uid="{00000000-0010-0000-0800-000001000000}" name="ClassificationID"/>
    <tableColumn id="2" xr3:uid="{00000000-0010-0000-0800-000002000000}" name="ClassificationName"/>
    <tableColumn id="3" xr3:uid="{00000000-0010-0000-0800-000003000000}" name="SeverityRank"/>
    <tableColumn id="4" xr3:uid="{00000000-0010-0000-0800-000004000000}" name="ColorCod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Dim_Status" displayName="Dim_Status" ref="A4:C7" totalsRowShown="0">
  <autoFilter ref="A4:C7" xr:uid="{00000000-0009-0000-0100-000008000000}"/>
  <tableColumns count="3">
    <tableColumn id="1" xr3:uid="{00000000-0010-0000-0900-000001000000}" name="StatusID"/>
    <tableColumn id="2" xr3:uid="{00000000-0010-0000-0900-000002000000}" name="StatusName"/>
    <tableColumn id="3" xr3:uid="{00000000-0010-0000-0900-000003000000}" name="Decision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26"/>
  <sheetViews>
    <sheetView zoomScaleNormal="100" workbookViewId="0">
      <selection activeCell="N13" sqref="N13"/>
    </sheetView>
  </sheetViews>
  <sheetFormatPr defaultColWidth="8.7109375" defaultRowHeight="15" x14ac:dyDescent="0.25"/>
  <cols>
    <col min="1" max="1" width="24" customWidth="1"/>
    <col min="2" max="2" width="70" customWidth="1"/>
    <col min="3" max="3" width="14" customWidth="1"/>
  </cols>
  <sheetData>
    <row r="1" spans="1:3" ht="19.5" customHeight="1" x14ac:dyDescent="0.3">
      <c r="A1" s="1" t="s">
        <v>0</v>
      </c>
    </row>
    <row r="2" spans="1:3" ht="15" customHeight="1" x14ac:dyDescent="0.25">
      <c r="A2" s="2" t="s">
        <v>1</v>
      </c>
    </row>
    <row r="5" spans="1:3" ht="15" customHeight="1" x14ac:dyDescent="0.25">
      <c r="A5" s="3" t="s">
        <v>2</v>
      </c>
      <c r="B5" s="3" t="s">
        <v>3</v>
      </c>
      <c r="C5" s="3" t="s">
        <v>4</v>
      </c>
    </row>
    <row r="6" spans="1:3" ht="15" customHeight="1" x14ac:dyDescent="0.25">
      <c r="A6" s="4" t="s">
        <v>5</v>
      </c>
      <c r="B6" s="5" t="s">
        <v>6</v>
      </c>
      <c r="C6" s="5" t="s">
        <v>7</v>
      </c>
    </row>
    <row r="7" spans="1:3" ht="15" customHeight="1" x14ac:dyDescent="0.25">
      <c r="A7" s="4" t="s">
        <v>8</v>
      </c>
      <c r="B7" s="5" t="s">
        <v>9</v>
      </c>
      <c r="C7" s="5" t="s">
        <v>10</v>
      </c>
    </row>
    <row r="8" spans="1:3" ht="15" customHeight="1" x14ac:dyDescent="0.25">
      <c r="A8" s="4" t="s">
        <v>11</v>
      </c>
      <c r="B8" s="5" t="s">
        <v>12</v>
      </c>
      <c r="C8" s="5" t="s">
        <v>13</v>
      </c>
    </row>
    <row r="9" spans="1:3" ht="15" customHeight="1" x14ac:dyDescent="0.25">
      <c r="A9" s="4" t="s">
        <v>14</v>
      </c>
      <c r="B9" s="5" t="s">
        <v>15</v>
      </c>
      <c r="C9" s="5" t="s">
        <v>16</v>
      </c>
    </row>
    <row r="10" spans="1:3" ht="15" customHeight="1" x14ac:dyDescent="0.25">
      <c r="A10" s="4" t="s">
        <v>17</v>
      </c>
      <c r="B10" s="5" t="s">
        <v>18</v>
      </c>
      <c r="C10" s="5" t="s">
        <v>16</v>
      </c>
    </row>
    <row r="11" spans="1:3" ht="15" customHeight="1" x14ac:dyDescent="0.25">
      <c r="A11" s="4" t="s">
        <v>19</v>
      </c>
      <c r="B11" s="5" t="s">
        <v>20</v>
      </c>
      <c r="C11" s="5" t="s">
        <v>16</v>
      </c>
    </row>
    <row r="12" spans="1:3" ht="15" customHeight="1" x14ac:dyDescent="0.25">
      <c r="A12" s="4" t="s">
        <v>21</v>
      </c>
      <c r="B12" s="5" t="s">
        <v>22</v>
      </c>
      <c r="C12" s="5" t="s">
        <v>16</v>
      </c>
    </row>
    <row r="13" spans="1:3" ht="15" customHeight="1" x14ac:dyDescent="0.25">
      <c r="A13" s="4" t="s">
        <v>23</v>
      </c>
      <c r="B13" s="5" t="s">
        <v>24</v>
      </c>
      <c r="C13" s="5" t="s">
        <v>16</v>
      </c>
    </row>
    <row r="14" spans="1:3" ht="15" customHeight="1" x14ac:dyDescent="0.25">
      <c r="A14" s="4" t="s">
        <v>25</v>
      </c>
      <c r="B14" s="5" t="s">
        <v>26</v>
      </c>
      <c r="C14" s="5" t="s">
        <v>16</v>
      </c>
    </row>
    <row r="15" spans="1:3" ht="15" customHeight="1" x14ac:dyDescent="0.25">
      <c r="A15" s="4" t="s">
        <v>27</v>
      </c>
      <c r="B15" s="5" t="s">
        <v>28</v>
      </c>
      <c r="C15" s="5" t="s">
        <v>16</v>
      </c>
    </row>
    <row r="18" spans="1:1" ht="15" customHeight="1" x14ac:dyDescent="0.25">
      <c r="A18" s="4" t="s">
        <v>29</v>
      </c>
    </row>
    <row r="19" spans="1:1" ht="15" customHeight="1" x14ac:dyDescent="0.25">
      <c r="A19" s="5" t="s">
        <v>30</v>
      </c>
    </row>
    <row r="20" spans="1:1" ht="15" customHeight="1" x14ac:dyDescent="0.25">
      <c r="A20" s="5" t="s">
        <v>31</v>
      </c>
    </row>
    <row r="21" spans="1:1" ht="15" customHeight="1" x14ac:dyDescent="0.25">
      <c r="A21" s="5" t="s">
        <v>32</v>
      </c>
    </row>
    <row r="22" spans="1:1" ht="15" customHeight="1" x14ac:dyDescent="0.25">
      <c r="A22" s="5" t="s">
        <v>33</v>
      </c>
    </row>
    <row r="25" spans="1:1" ht="15" customHeight="1" x14ac:dyDescent="0.25">
      <c r="A25" s="4" t="s">
        <v>34</v>
      </c>
    </row>
    <row r="26" spans="1:1" ht="15" customHeight="1" x14ac:dyDescent="0.25">
      <c r="A26" s="5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34"/>
  <sheetViews>
    <sheetView zoomScaleNormal="100" workbookViewId="0">
      <selection activeCell="F6" sqref="F6"/>
    </sheetView>
  </sheetViews>
  <sheetFormatPr defaultColWidth="8.7109375" defaultRowHeight="15" x14ac:dyDescent="0.25"/>
  <cols>
    <col min="1" max="1" width="63.28515625" customWidth="1"/>
    <col min="2" max="2" width="12" customWidth="1"/>
    <col min="3" max="3" width="9.5703125" bestFit="1" customWidth="1"/>
    <col min="4" max="4" width="9" customWidth="1"/>
    <col min="5" max="5" width="17.28515625" bestFit="1" customWidth="1"/>
    <col min="6" max="6" width="20.42578125" bestFit="1" customWidth="1"/>
    <col min="7" max="7" width="21" bestFit="1" customWidth="1"/>
    <col min="8" max="8" width="20.85546875" bestFit="1" customWidth="1"/>
    <col min="9" max="9" width="12.7109375" bestFit="1" customWidth="1"/>
  </cols>
  <sheetData>
    <row r="1" spans="1:9" ht="17.25" customHeight="1" x14ac:dyDescent="0.25">
      <c r="A1" s="6" t="s">
        <v>36</v>
      </c>
    </row>
    <row r="2" spans="1:9" ht="15" customHeight="1" x14ac:dyDescent="0.25">
      <c r="A2" s="7" t="s">
        <v>37</v>
      </c>
    </row>
    <row r="4" spans="1:9" ht="23.25" customHeight="1" x14ac:dyDescent="0.25">
      <c r="A4" s="8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46</v>
      </c>
    </row>
    <row r="5" spans="1:9" ht="15" customHeight="1" x14ac:dyDescent="0.25">
      <c r="A5" s="9">
        <f t="shared" ref="A5:A20" si="0">ROW()-4</f>
        <v>1</v>
      </c>
      <c r="B5" s="10">
        <v>46174</v>
      </c>
      <c r="C5" s="11" t="s">
        <v>47</v>
      </c>
      <c r="D5" s="11" t="s">
        <v>66</v>
      </c>
      <c r="E5" s="11" t="s">
        <v>48</v>
      </c>
      <c r="F5" s="11" t="s">
        <v>49</v>
      </c>
      <c r="G5" s="11">
        <v>2</v>
      </c>
      <c r="H5" s="11">
        <v>48</v>
      </c>
      <c r="I5" s="11" t="s">
        <v>50</v>
      </c>
    </row>
    <row r="6" spans="1:9" ht="15" customHeight="1" x14ac:dyDescent="0.25">
      <c r="A6" s="9">
        <f t="shared" si="0"/>
        <v>2</v>
      </c>
      <c r="B6" s="10">
        <v>46175</v>
      </c>
      <c r="C6" s="11" t="s">
        <v>51</v>
      </c>
      <c r="D6" s="11" t="s">
        <v>52</v>
      </c>
      <c r="E6" s="11" t="s">
        <v>53</v>
      </c>
      <c r="F6" s="11" t="s">
        <v>68</v>
      </c>
      <c r="G6" s="11">
        <v>5</v>
      </c>
      <c r="H6" s="11">
        <v>60</v>
      </c>
      <c r="I6" s="11" t="s">
        <v>55</v>
      </c>
    </row>
    <row r="7" spans="1:9" ht="15" customHeight="1" x14ac:dyDescent="0.25">
      <c r="A7" s="9">
        <f t="shared" si="0"/>
        <v>3</v>
      </c>
      <c r="B7" s="10">
        <v>46176</v>
      </c>
      <c r="C7" s="11" t="s">
        <v>56</v>
      </c>
      <c r="D7" s="11" t="s">
        <v>57</v>
      </c>
      <c r="E7" s="11" t="s">
        <v>58</v>
      </c>
      <c r="F7" s="11" t="s">
        <v>59</v>
      </c>
      <c r="G7" s="11">
        <v>4</v>
      </c>
      <c r="H7" s="11">
        <v>60</v>
      </c>
      <c r="I7" s="11" t="s">
        <v>60</v>
      </c>
    </row>
    <row r="8" spans="1:9" ht="15" customHeight="1" x14ac:dyDescent="0.25">
      <c r="A8" s="9">
        <f t="shared" si="0"/>
        <v>4</v>
      </c>
      <c r="B8" s="10">
        <v>46177</v>
      </c>
      <c r="C8" s="11" t="s">
        <v>61</v>
      </c>
      <c r="D8" s="11" t="s">
        <v>62</v>
      </c>
      <c r="E8" s="11" t="s">
        <v>63</v>
      </c>
      <c r="F8" s="11" t="s">
        <v>64</v>
      </c>
      <c r="G8" s="11">
        <v>2</v>
      </c>
      <c r="H8" s="11">
        <v>48</v>
      </c>
      <c r="I8" s="11" t="s">
        <v>50</v>
      </c>
    </row>
    <row r="9" spans="1:9" ht="15" customHeight="1" x14ac:dyDescent="0.25">
      <c r="A9" s="9">
        <f t="shared" si="0"/>
        <v>5</v>
      </c>
      <c r="B9" s="10">
        <v>46178</v>
      </c>
      <c r="C9" s="11" t="s">
        <v>65</v>
      </c>
      <c r="D9" s="11" t="s">
        <v>66</v>
      </c>
      <c r="E9" s="11" t="s">
        <v>67</v>
      </c>
      <c r="F9" s="11" t="s">
        <v>68</v>
      </c>
      <c r="G9" s="11">
        <v>7</v>
      </c>
      <c r="H9" s="11">
        <v>48</v>
      </c>
      <c r="I9" s="11" t="s">
        <v>55</v>
      </c>
    </row>
    <row r="10" spans="1:9" ht="15" customHeight="1" x14ac:dyDescent="0.25">
      <c r="A10" s="9">
        <f t="shared" si="0"/>
        <v>6</v>
      </c>
      <c r="B10" s="10">
        <v>46179</v>
      </c>
      <c r="C10" s="11" t="s">
        <v>51</v>
      </c>
      <c r="D10" s="11" t="s">
        <v>69</v>
      </c>
      <c r="E10" s="11" t="s">
        <v>70</v>
      </c>
      <c r="F10" s="11" t="s">
        <v>71</v>
      </c>
      <c r="G10" s="11">
        <v>1</v>
      </c>
      <c r="H10" s="11">
        <v>48</v>
      </c>
      <c r="I10" s="11" t="s">
        <v>60</v>
      </c>
    </row>
    <row r="11" spans="1:9" ht="15" customHeight="1" x14ac:dyDescent="0.25">
      <c r="A11" s="9">
        <f t="shared" si="0"/>
        <v>7</v>
      </c>
      <c r="B11" s="10">
        <v>46174</v>
      </c>
      <c r="C11" s="11" t="s">
        <v>56</v>
      </c>
      <c r="D11" s="11" t="s">
        <v>72</v>
      </c>
      <c r="E11" s="11" t="s">
        <v>73</v>
      </c>
      <c r="F11" s="11" t="s">
        <v>74</v>
      </c>
      <c r="G11" s="11">
        <v>4</v>
      </c>
      <c r="H11" s="11">
        <v>60</v>
      </c>
      <c r="I11" s="11" t="s">
        <v>50</v>
      </c>
    </row>
    <row r="12" spans="1:9" ht="15" customHeight="1" x14ac:dyDescent="0.25">
      <c r="A12" s="9">
        <f t="shared" si="0"/>
        <v>8</v>
      </c>
      <c r="B12" s="10">
        <v>46175</v>
      </c>
      <c r="C12" s="11" t="s">
        <v>47</v>
      </c>
      <c r="D12" s="11" t="s">
        <v>75</v>
      </c>
      <c r="E12" s="11" t="s">
        <v>76</v>
      </c>
      <c r="F12" s="11" t="s">
        <v>77</v>
      </c>
      <c r="G12" s="11">
        <v>1</v>
      </c>
      <c r="H12" s="11">
        <v>60</v>
      </c>
      <c r="I12" s="11" t="s">
        <v>55</v>
      </c>
    </row>
    <row r="13" spans="1:9" ht="15" customHeight="1" x14ac:dyDescent="0.25">
      <c r="A13" s="9">
        <f t="shared" si="0"/>
        <v>9</v>
      </c>
      <c r="B13" s="10">
        <v>46176</v>
      </c>
      <c r="C13" s="11" t="s">
        <v>65</v>
      </c>
      <c r="D13" s="11" t="s">
        <v>62</v>
      </c>
      <c r="E13" s="11" t="s">
        <v>79</v>
      </c>
      <c r="F13" s="11" t="s">
        <v>80</v>
      </c>
      <c r="G13" s="11">
        <v>7</v>
      </c>
      <c r="H13" s="11">
        <v>60</v>
      </c>
      <c r="I13" s="11" t="s">
        <v>60</v>
      </c>
    </row>
    <row r="14" spans="1:9" ht="15" customHeight="1" x14ac:dyDescent="0.25">
      <c r="A14" s="9">
        <f t="shared" si="0"/>
        <v>10</v>
      </c>
      <c r="B14" s="10">
        <v>46177</v>
      </c>
      <c r="C14" s="11" t="s">
        <v>56</v>
      </c>
      <c r="D14" s="11" t="s">
        <v>66</v>
      </c>
      <c r="E14" s="11" t="s">
        <v>81</v>
      </c>
      <c r="F14" s="11" t="s">
        <v>82</v>
      </c>
      <c r="G14" s="11">
        <v>8</v>
      </c>
      <c r="H14" s="11">
        <v>72</v>
      </c>
      <c r="I14" s="11" t="s">
        <v>50</v>
      </c>
    </row>
    <row r="15" spans="1:9" ht="15" customHeight="1" x14ac:dyDescent="0.25">
      <c r="A15" s="9">
        <f t="shared" si="0"/>
        <v>11</v>
      </c>
      <c r="B15" s="10">
        <v>46178</v>
      </c>
      <c r="C15" s="11" t="s">
        <v>61</v>
      </c>
      <c r="D15" s="11" t="s">
        <v>52</v>
      </c>
      <c r="E15" s="11" t="s">
        <v>48</v>
      </c>
      <c r="F15" s="11" t="s">
        <v>49</v>
      </c>
      <c r="G15" s="11">
        <v>1</v>
      </c>
      <c r="H15" s="11">
        <v>60</v>
      </c>
      <c r="I15" s="11" t="s">
        <v>55</v>
      </c>
    </row>
    <row r="16" spans="1:9" ht="15" customHeight="1" x14ac:dyDescent="0.25">
      <c r="A16" s="9">
        <f t="shared" si="0"/>
        <v>12</v>
      </c>
      <c r="B16" s="10">
        <v>46179</v>
      </c>
      <c r="C16" s="11" t="s">
        <v>61</v>
      </c>
      <c r="D16" s="11" t="s">
        <v>57</v>
      </c>
      <c r="E16" s="11" t="s">
        <v>53</v>
      </c>
      <c r="F16" s="11" t="s">
        <v>54</v>
      </c>
      <c r="G16" s="11">
        <v>7</v>
      </c>
      <c r="H16" s="11">
        <v>72</v>
      </c>
      <c r="I16" s="11" t="s">
        <v>60</v>
      </c>
    </row>
    <row r="17" spans="1:9" ht="15" customHeight="1" x14ac:dyDescent="0.25">
      <c r="A17" s="9">
        <f t="shared" si="0"/>
        <v>13</v>
      </c>
      <c r="B17" s="10">
        <v>46174</v>
      </c>
      <c r="C17" s="11" t="s">
        <v>47</v>
      </c>
      <c r="D17" s="11" t="s">
        <v>62</v>
      </c>
      <c r="E17" s="11" t="s">
        <v>58</v>
      </c>
      <c r="F17" s="11" t="s">
        <v>59</v>
      </c>
      <c r="G17" s="11">
        <v>5</v>
      </c>
      <c r="H17" s="11">
        <v>60</v>
      </c>
      <c r="I17" s="11" t="s">
        <v>50</v>
      </c>
    </row>
    <row r="18" spans="1:9" ht="15" customHeight="1" x14ac:dyDescent="0.25">
      <c r="A18" s="9">
        <f t="shared" si="0"/>
        <v>14</v>
      </c>
      <c r="B18" s="10">
        <v>46175</v>
      </c>
      <c r="C18" s="11" t="s">
        <v>65</v>
      </c>
      <c r="D18" s="11" t="s">
        <v>66</v>
      </c>
      <c r="E18" s="11" t="s">
        <v>63</v>
      </c>
      <c r="F18" s="11" t="s">
        <v>64</v>
      </c>
      <c r="G18" s="11">
        <v>4</v>
      </c>
      <c r="H18" s="11">
        <v>72</v>
      </c>
      <c r="I18" s="11" t="s">
        <v>55</v>
      </c>
    </row>
    <row r="19" spans="1:9" ht="15" customHeight="1" x14ac:dyDescent="0.25">
      <c r="A19" s="9">
        <f t="shared" si="0"/>
        <v>15</v>
      </c>
      <c r="B19" s="10">
        <v>46176</v>
      </c>
      <c r="C19" s="11" t="s">
        <v>51</v>
      </c>
      <c r="D19" s="11" t="s">
        <v>69</v>
      </c>
      <c r="E19" s="11" t="s">
        <v>67</v>
      </c>
      <c r="F19" s="11" t="s">
        <v>68</v>
      </c>
      <c r="G19" s="11">
        <v>2</v>
      </c>
      <c r="H19" s="11">
        <v>48</v>
      </c>
      <c r="I19" s="11" t="s">
        <v>60</v>
      </c>
    </row>
    <row r="20" spans="1:9" ht="15" customHeight="1" x14ac:dyDescent="0.25">
      <c r="A20" s="9">
        <f t="shared" si="0"/>
        <v>16</v>
      </c>
      <c r="B20" s="10">
        <v>46180</v>
      </c>
      <c r="C20" s="11" t="s">
        <v>56</v>
      </c>
      <c r="D20" s="34" t="s">
        <v>62</v>
      </c>
      <c r="E20" s="34" t="s">
        <v>53</v>
      </c>
      <c r="F20" s="34" t="s">
        <v>59</v>
      </c>
      <c r="G20" s="34">
        <v>4</v>
      </c>
      <c r="H20" s="34">
        <v>48</v>
      </c>
      <c r="I20" s="34" t="s">
        <v>55</v>
      </c>
    </row>
    <row r="34" spans="1:14" ht="15" customHeight="1" x14ac:dyDescent="0.25">
      <c r="A34" s="35" t="s">
        <v>83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</sheetData>
  <mergeCells count="1">
    <mergeCell ref="A34:N34"/>
  </mergeCells>
  <phoneticPr fontId="13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Dim_Line!$B$5:$B$9</xm:f>
          </x14:formula1>
          <x14:formula2>
            <xm:f>0</xm:f>
          </x14:formula2>
          <xm:sqref>C35:C92 C21:C33</xm:sqref>
        </x14:dataValidation>
        <x14:dataValidation type="list" allowBlank="1" xr:uid="{00000000-0002-0000-0100-000002000000}">
          <x14:formula1>
            <xm:f>Dim_Product!$A$5:$A$14</xm:f>
          </x14:formula1>
          <x14:formula2>
            <xm:f>0</xm:f>
          </x14:formula2>
          <xm:sqref>E5:E33 E35:E92</xm:sqref>
        </x14:dataValidation>
        <x14:dataValidation type="list" allowBlank="1" xr:uid="{00000000-0002-0000-0100-000003000000}">
          <x14:formula1>
            <xm:f>Dim_Defect!$B$5:$B$14</xm:f>
          </x14:formula1>
          <x14:formula2>
            <xm:f>0</xm:f>
          </x14:formula2>
          <xm:sqref>F5:F33 F35:F92</xm:sqref>
        </x14:dataValidation>
        <x14:dataValidation type="list" allowBlank="1" xr:uid="{00000000-0002-0000-0100-000004000000}">
          <x14:formula1>
            <xm:f>Dim_Status!$B$5:$B$7</xm:f>
          </x14:formula1>
          <x14:formula2>
            <xm:f>0</xm:f>
          </x14:formula2>
          <xm:sqref>I5:I33 I35:I92</xm:sqref>
        </x14:dataValidation>
        <x14:dataValidation type="list" allowBlank="1" xr:uid="{00000000-0002-0000-0100-000001000000}">
          <x14:formula1>
            <xm:f>Dim_Shift!$A$5:$A$12</xm:f>
          </x14:formula1>
          <x14:formula2>
            <xm:f>0</xm:f>
          </x14:formula2>
          <xm:sqref>D5:D33 D35:D92</xm:sqref>
        </x14:dataValidation>
        <x14:dataValidation type="list" allowBlank="1" xr:uid="{691D1DFD-725D-4F2F-BC5B-1D9DA3A3AB0B}">
          <x14:formula1>
            <xm:f>Dim_Line!$A$5:$A$9</xm:f>
          </x14:formula1>
          <xm:sqref>C5:C20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Q33"/>
  <sheetViews>
    <sheetView zoomScaleNormal="100" workbookViewId="0">
      <selection activeCell="F31" sqref="F31"/>
    </sheetView>
  </sheetViews>
  <sheetFormatPr defaultColWidth="8.7109375" defaultRowHeight="15" x14ac:dyDescent="0.25"/>
  <cols>
    <col min="1" max="1" width="65.42578125" bestFit="1" customWidth="1"/>
    <col min="2" max="2" width="12" customWidth="1"/>
    <col min="3" max="4" width="9" customWidth="1"/>
    <col min="5" max="5" width="13" customWidth="1"/>
    <col min="6" max="6" width="20.85546875" bestFit="1" customWidth="1"/>
    <col min="7" max="7" width="25" bestFit="1" customWidth="1"/>
  </cols>
  <sheetData>
    <row r="1" spans="1:7" ht="17.25" customHeight="1" x14ac:dyDescent="0.25">
      <c r="A1" s="6" t="s">
        <v>8</v>
      </c>
    </row>
    <row r="2" spans="1:7" ht="15" customHeight="1" x14ac:dyDescent="0.25">
      <c r="A2" s="7" t="s">
        <v>84</v>
      </c>
    </row>
    <row r="4" spans="1:7" ht="23.25" customHeight="1" x14ac:dyDescent="0.25">
      <c r="A4" s="8" t="s">
        <v>85</v>
      </c>
      <c r="B4" s="8" t="s">
        <v>39</v>
      </c>
      <c r="C4" s="8" t="s">
        <v>86</v>
      </c>
      <c r="D4" s="8" t="s">
        <v>87</v>
      </c>
      <c r="E4" s="8" t="s">
        <v>42</v>
      </c>
      <c r="F4" s="8" t="s">
        <v>88</v>
      </c>
      <c r="G4" s="8" t="s">
        <v>89</v>
      </c>
    </row>
    <row r="5" spans="1:7" ht="15" customHeight="1" x14ac:dyDescent="0.25">
      <c r="A5" s="12">
        <v>1</v>
      </c>
      <c r="B5" s="13">
        <v>46174</v>
      </c>
      <c r="C5" s="12" t="s">
        <v>47</v>
      </c>
      <c r="D5" s="12" t="s">
        <v>66</v>
      </c>
      <c r="E5" s="12" t="s">
        <v>48</v>
      </c>
      <c r="F5" s="12">
        <v>44898</v>
      </c>
      <c r="G5" s="9" t="str">
        <f t="shared" ref="G5:G19" si="0">TEXT(B5,"yyyymmdd")&amp;"|"&amp;C5&amp;"|"&amp;D5&amp;"|"&amp;E5</f>
        <v>20260601|L21|AMA|PC-2101</v>
      </c>
    </row>
    <row r="6" spans="1:7" ht="15" customHeight="1" x14ac:dyDescent="0.25">
      <c r="A6" s="12">
        <v>2</v>
      </c>
      <c r="B6" s="13">
        <v>46174</v>
      </c>
      <c r="C6" s="12" t="s">
        <v>51</v>
      </c>
      <c r="D6" s="12" t="s">
        <v>72</v>
      </c>
      <c r="E6" s="12" t="s">
        <v>73</v>
      </c>
      <c r="F6" s="12">
        <v>26338</v>
      </c>
      <c r="G6" s="9" t="str">
        <f t="shared" si="0"/>
        <v>20260601|L22|PMC|PC-2201</v>
      </c>
    </row>
    <row r="7" spans="1:7" ht="15" customHeight="1" x14ac:dyDescent="0.25">
      <c r="A7" s="12">
        <v>3</v>
      </c>
      <c r="B7" s="13">
        <v>46174</v>
      </c>
      <c r="C7" s="12" t="s">
        <v>56</v>
      </c>
      <c r="D7" s="12" t="s">
        <v>62</v>
      </c>
      <c r="E7" s="12" t="s">
        <v>58</v>
      </c>
      <c r="F7" s="12">
        <v>43526</v>
      </c>
      <c r="G7" s="9" t="str">
        <f t="shared" si="0"/>
        <v>20260601|L23|AMD|PC-2301</v>
      </c>
    </row>
    <row r="8" spans="1:7" ht="15" customHeight="1" x14ac:dyDescent="0.25">
      <c r="A8" s="12">
        <v>4</v>
      </c>
      <c r="B8" s="13">
        <v>46175</v>
      </c>
      <c r="C8" s="12" t="s">
        <v>51</v>
      </c>
      <c r="D8" s="12" t="s">
        <v>52</v>
      </c>
      <c r="E8" s="12" t="s">
        <v>53</v>
      </c>
      <c r="F8" s="12">
        <v>42541</v>
      </c>
      <c r="G8" s="9" t="str">
        <f t="shared" si="0"/>
        <v>20260602|L22|AMB|PC-2202</v>
      </c>
    </row>
    <row r="9" spans="1:7" ht="15" customHeight="1" x14ac:dyDescent="0.25">
      <c r="A9" s="12">
        <v>5</v>
      </c>
      <c r="B9" s="13">
        <v>46175</v>
      </c>
      <c r="C9" s="12" t="s">
        <v>56</v>
      </c>
      <c r="D9" s="12" t="s">
        <v>75</v>
      </c>
      <c r="E9" s="12" t="s">
        <v>76</v>
      </c>
      <c r="F9" s="12">
        <v>59565</v>
      </c>
      <c r="G9" s="9" t="str">
        <f t="shared" si="0"/>
        <v>20260602|L23|PMD|PC-2302</v>
      </c>
    </row>
    <row r="10" spans="1:7" ht="15" customHeight="1" x14ac:dyDescent="0.25">
      <c r="A10" s="12">
        <v>6</v>
      </c>
      <c r="B10" s="13">
        <v>46175</v>
      </c>
      <c r="C10" s="12" t="s">
        <v>61</v>
      </c>
      <c r="D10" s="12" t="s">
        <v>66</v>
      </c>
      <c r="E10" s="12" t="s">
        <v>63</v>
      </c>
      <c r="F10" s="12">
        <v>37335</v>
      </c>
      <c r="G10" s="9" t="str">
        <f t="shared" si="0"/>
        <v>20260602|L24|AMA|PC-2402</v>
      </c>
    </row>
    <row r="11" spans="1:7" ht="15" customHeight="1" x14ac:dyDescent="0.25">
      <c r="A11" s="12">
        <v>7</v>
      </c>
      <c r="B11" s="13">
        <v>46176</v>
      </c>
      <c r="C11" s="12" t="s">
        <v>56</v>
      </c>
      <c r="D11" s="12" t="s">
        <v>57</v>
      </c>
      <c r="E11" s="12" t="s">
        <v>58</v>
      </c>
      <c r="F11" s="12">
        <v>22847</v>
      </c>
      <c r="G11" s="9" t="str">
        <f t="shared" si="0"/>
        <v>20260603|L23|AMC|PC-2301</v>
      </c>
    </row>
    <row r="12" spans="1:7" ht="15" customHeight="1" x14ac:dyDescent="0.25">
      <c r="A12" s="12">
        <v>8</v>
      </c>
      <c r="B12" s="13">
        <v>46176</v>
      </c>
      <c r="C12" s="12" t="s">
        <v>61</v>
      </c>
      <c r="D12" s="12" t="s">
        <v>182</v>
      </c>
      <c r="E12" s="12" t="s">
        <v>79</v>
      </c>
      <c r="F12" s="12">
        <v>50108</v>
      </c>
      <c r="G12" s="9" t="str">
        <f t="shared" si="0"/>
        <v>20260603|L24|PMA|PC-2401</v>
      </c>
    </row>
    <row r="13" spans="1:7" ht="15" customHeight="1" x14ac:dyDescent="0.25">
      <c r="A13" s="12">
        <v>9</v>
      </c>
      <c r="B13" s="13">
        <v>46176</v>
      </c>
      <c r="C13" s="12" t="s">
        <v>65</v>
      </c>
      <c r="D13" s="12" t="s">
        <v>69</v>
      </c>
      <c r="E13" s="12" t="s">
        <v>67</v>
      </c>
      <c r="F13" s="12">
        <v>55142</v>
      </c>
      <c r="G13" s="9" t="str">
        <f t="shared" si="0"/>
        <v>20260603|L25|PMB|PC-2501</v>
      </c>
    </row>
    <row r="14" spans="1:7" ht="15" customHeight="1" x14ac:dyDescent="0.25">
      <c r="A14" s="12">
        <v>10</v>
      </c>
      <c r="B14" s="13">
        <v>46177</v>
      </c>
      <c r="C14" s="12" t="s">
        <v>61</v>
      </c>
      <c r="D14" s="12" t="s">
        <v>62</v>
      </c>
      <c r="E14" s="12" t="s">
        <v>63</v>
      </c>
      <c r="F14" s="12">
        <v>28180</v>
      </c>
      <c r="G14" s="9" t="str">
        <f t="shared" si="0"/>
        <v>20260604|L24|AMD|PC-2402</v>
      </c>
    </row>
    <row r="15" spans="1:7" ht="15" customHeight="1" x14ac:dyDescent="0.25">
      <c r="A15" s="12">
        <v>11</v>
      </c>
      <c r="B15" s="13">
        <v>46177</v>
      </c>
      <c r="C15" s="12" t="s">
        <v>65</v>
      </c>
      <c r="D15" s="12" t="s">
        <v>66</v>
      </c>
      <c r="E15" s="12" t="s">
        <v>81</v>
      </c>
      <c r="F15" s="12">
        <v>44807</v>
      </c>
      <c r="G15" s="9" t="str">
        <f t="shared" si="0"/>
        <v>20260604|L25|AMA|PC-2502</v>
      </c>
    </row>
    <row r="16" spans="1:7" ht="15" customHeight="1" x14ac:dyDescent="0.25">
      <c r="A16" s="12">
        <v>12</v>
      </c>
      <c r="B16" s="13">
        <v>46178</v>
      </c>
      <c r="C16" s="12" t="s">
        <v>47</v>
      </c>
      <c r="D16" s="12" t="s">
        <v>52</v>
      </c>
      <c r="E16" s="12" t="s">
        <v>48</v>
      </c>
      <c r="F16" s="12">
        <v>25164</v>
      </c>
      <c r="G16" s="9" t="str">
        <f t="shared" si="0"/>
        <v>20260605|L21|AMB|PC-2101</v>
      </c>
    </row>
    <row r="17" spans="1:7" ht="15" customHeight="1" x14ac:dyDescent="0.25">
      <c r="A17" s="12">
        <v>13</v>
      </c>
      <c r="B17" s="13">
        <v>46178</v>
      </c>
      <c r="C17" s="12" t="s">
        <v>65</v>
      </c>
      <c r="D17" s="12" t="s">
        <v>66</v>
      </c>
      <c r="E17" s="12" t="s">
        <v>67</v>
      </c>
      <c r="F17" s="12">
        <v>56178</v>
      </c>
      <c r="G17" s="9" t="str">
        <f t="shared" si="0"/>
        <v>20260605|L25|AMA|PC-2501</v>
      </c>
    </row>
    <row r="18" spans="1:7" ht="15" customHeight="1" x14ac:dyDescent="0.25">
      <c r="A18" s="12">
        <v>14</v>
      </c>
      <c r="B18" s="13">
        <v>46179</v>
      </c>
      <c r="C18" s="12" t="s">
        <v>47</v>
      </c>
      <c r="D18" s="12" t="s">
        <v>69</v>
      </c>
      <c r="E18" s="12" t="s">
        <v>70</v>
      </c>
      <c r="F18" s="12">
        <v>39213</v>
      </c>
      <c r="G18" s="9" t="str">
        <f t="shared" si="0"/>
        <v>20260606|L21|PMB|PC-2102</v>
      </c>
    </row>
    <row r="19" spans="1:7" ht="15" customHeight="1" x14ac:dyDescent="0.25">
      <c r="A19" s="12">
        <v>15</v>
      </c>
      <c r="B19" s="13">
        <v>46179</v>
      </c>
      <c r="C19" s="12" t="s">
        <v>51</v>
      </c>
      <c r="D19" s="12" t="s">
        <v>57</v>
      </c>
      <c r="E19" s="12" t="s">
        <v>53</v>
      </c>
      <c r="F19" s="12">
        <v>43700</v>
      </c>
      <c r="G19" s="9" t="str">
        <f t="shared" si="0"/>
        <v>20260606|L22|AMC|PC-2202</v>
      </c>
    </row>
    <row r="20" spans="1:7" x14ac:dyDescent="0.25">
      <c r="A20" s="12">
        <v>16</v>
      </c>
      <c r="B20" s="13">
        <v>46180</v>
      </c>
      <c r="C20" s="12" t="s">
        <v>65</v>
      </c>
      <c r="D20" s="12" t="s">
        <v>62</v>
      </c>
      <c r="E20" s="12" t="s">
        <v>53</v>
      </c>
      <c r="F20" s="12">
        <v>43701</v>
      </c>
      <c r="G20" s="9" t="str">
        <f t="shared" ref="G20" si="1">TEXT(B20,"yyyymmdd")&amp;"|"&amp;C20&amp;"|"&amp;D20&amp;"|"&amp;E20</f>
        <v>20260607|L25|AMD|PC-2202</v>
      </c>
    </row>
    <row r="33" spans="1:17" ht="15" customHeight="1" x14ac:dyDescent="0.25">
      <c r="A33" s="35" t="s">
        <v>90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</sheetData>
  <mergeCells count="1">
    <mergeCell ref="A33:Q33"/>
  </mergeCells>
  <phoneticPr fontId="13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Y44"/>
  <sheetViews>
    <sheetView topLeftCell="B1" zoomScale="85" zoomScaleNormal="85" workbookViewId="0">
      <pane ySplit="4" topLeftCell="A5" activePane="bottomLeft" state="frozen"/>
      <selection pane="bottomLeft" activeCell="K8" sqref="K8"/>
    </sheetView>
  </sheetViews>
  <sheetFormatPr defaultColWidth="8.7109375" defaultRowHeight="15" x14ac:dyDescent="0.25"/>
  <cols>
    <col min="1" max="1" width="64.42578125" customWidth="1"/>
    <col min="2" max="2" width="12" bestFit="1" customWidth="1"/>
    <col min="3" max="3" width="13.140625" bestFit="1" customWidth="1"/>
    <col min="4" max="4" width="11.42578125" bestFit="1" customWidth="1"/>
    <col min="5" max="5" width="11.5703125" bestFit="1" customWidth="1"/>
    <col min="6" max="6" width="12" customWidth="1"/>
    <col min="7" max="7" width="9" customWidth="1"/>
    <col min="8" max="8" width="18" customWidth="1"/>
    <col min="9" max="9" width="20.85546875" bestFit="1" customWidth="1"/>
    <col min="10" max="10" width="24.5703125" bestFit="1" customWidth="1"/>
    <col min="11" max="11" width="14.140625" bestFit="1" customWidth="1"/>
    <col min="12" max="12" width="17.5703125" bestFit="1" customWidth="1"/>
    <col min="13" max="13" width="21" bestFit="1" customWidth="1"/>
    <col min="14" max="14" width="20.85546875" bestFit="1" customWidth="1"/>
    <col min="15" max="15" width="18.7109375" bestFit="1" customWidth="1"/>
    <col min="16" max="16" width="12.7109375" bestFit="1" customWidth="1"/>
    <col min="17" max="17" width="18.140625" bestFit="1" customWidth="1"/>
    <col min="18" max="18" width="13.85546875" bestFit="1" customWidth="1"/>
    <col min="19" max="19" width="25" bestFit="1" customWidth="1"/>
    <col min="20" max="20" width="22.28515625" bestFit="1" customWidth="1"/>
    <col min="21" max="21" width="11.5703125" bestFit="1" customWidth="1"/>
    <col min="22" max="22" width="12.5703125" bestFit="1" customWidth="1"/>
    <col min="23" max="23" width="16.42578125" bestFit="1" customWidth="1"/>
    <col min="24" max="24" width="13.7109375" bestFit="1" customWidth="1"/>
    <col min="25" max="25" width="19.42578125" bestFit="1" customWidth="1"/>
  </cols>
  <sheetData>
    <row r="1" spans="1:25" ht="17.25" customHeight="1" x14ac:dyDescent="0.25">
      <c r="A1" s="6" t="s">
        <v>11</v>
      </c>
    </row>
    <row r="2" spans="1:25" ht="15" customHeight="1" x14ac:dyDescent="0.25">
      <c r="A2" s="7" t="s">
        <v>91</v>
      </c>
    </row>
    <row r="4" spans="1:25" ht="23.25" customHeight="1" x14ac:dyDescent="0.25">
      <c r="A4" s="8" t="s">
        <v>92</v>
      </c>
      <c r="B4" s="8" t="s">
        <v>39</v>
      </c>
      <c r="C4" s="8" t="s">
        <v>93</v>
      </c>
      <c r="D4" s="8" t="s">
        <v>86</v>
      </c>
      <c r="E4" s="8" t="s">
        <v>87</v>
      </c>
      <c r="F4" s="8" t="s">
        <v>42</v>
      </c>
      <c r="G4" s="8" t="s">
        <v>94</v>
      </c>
      <c r="H4" s="8" t="s">
        <v>43</v>
      </c>
      <c r="I4" s="8" t="s">
        <v>95</v>
      </c>
      <c r="J4" s="8" t="s">
        <v>96</v>
      </c>
      <c r="K4" s="8" t="s">
        <v>97</v>
      </c>
      <c r="L4" s="8" t="s">
        <v>98</v>
      </c>
      <c r="M4" s="8" t="s">
        <v>44</v>
      </c>
      <c r="N4" s="8" t="s">
        <v>45</v>
      </c>
      <c r="O4" s="8" t="s">
        <v>99</v>
      </c>
      <c r="P4" s="8" t="s">
        <v>100</v>
      </c>
      <c r="Q4" s="8" t="s">
        <v>101</v>
      </c>
      <c r="R4" s="8" t="s">
        <v>102</v>
      </c>
      <c r="S4" s="8" t="s">
        <v>89</v>
      </c>
      <c r="T4" s="8" t="s">
        <v>88</v>
      </c>
      <c r="U4" s="8" t="s">
        <v>103</v>
      </c>
      <c r="V4" s="8" t="s">
        <v>104</v>
      </c>
      <c r="W4" s="8" t="s">
        <v>105</v>
      </c>
      <c r="X4" s="8" t="s">
        <v>106</v>
      </c>
      <c r="Y4" s="8" t="s">
        <v>107</v>
      </c>
    </row>
    <row r="5" spans="1:25" ht="15" customHeight="1" x14ac:dyDescent="0.25">
      <c r="A5" s="14">
        <f>Data_Entry!A5</f>
        <v>1</v>
      </c>
      <c r="B5" s="15">
        <f>Data_Entry!B5</f>
        <v>46174</v>
      </c>
      <c r="C5" s="9">
        <f t="shared" ref="C5:C19" si="0">VALUE(TEXT(B5,"yyyymmdd"))</f>
        <v>20260601</v>
      </c>
      <c r="D5" s="14" t="str">
        <f>Data_Entry!C5</f>
        <v>L21</v>
      </c>
      <c r="E5" s="14" t="str">
        <f>Data_Entry!D5</f>
        <v>AMA</v>
      </c>
      <c r="F5" s="14" t="str">
        <f>Data_Entry!E5</f>
        <v>PC-2101</v>
      </c>
      <c r="G5" s="9" t="str">
        <f>INDEX(Dim_Defect[DefectID],MATCH(Data_Entry!F5,Dim_Defect[DefectName],0))</f>
        <v>D01</v>
      </c>
      <c r="H5" s="14" t="str">
        <f>Data_Entry!F5</f>
        <v>Crack</v>
      </c>
      <c r="I5" s="9" t="str">
        <f>INDEX(Dim_Defect[ClassificationID],MATCH(G5,Dim_Defect[DefectID],0))</f>
        <v>C1</v>
      </c>
      <c r="J5" s="9" t="str">
        <f>INDEX(Dim_Classification[ClassificationName],MATCH(I5,Dim_Classification[ClassificationID],0))</f>
        <v>Critical</v>
      </c>
      <c r="K5" s="9" t="str">
        <f>INDEX(Dim_Status[StatusID],MATCH(Data_Entry!I5,Dim_Status[StatusName],0))</f>
        <v>S1</v>
      </c>
      <c r="L5" s="14" t="str">
        <f>Data_Entry!I5</f>
        <v>Hold</v>
      </c>
      <c r="M5" s="14">
        <f>Data_Entry!G5</f>
        <v>2</v>
      </c>
      <c r="N5" s="14">
        <f>Data_Entry!H5</f>
        <v>48</v>
      </c>
      <c r="O5" s="9">
        <f>INDEX(Dim_Status[DecisionValue],MATCH(K5,Dim_Status[StatusID],0))</f>
        <v>0</v>
      </c>
      <c r="P5" s="9">
        <f t="shared" ref="P5:P19" si="1">IF(L5="Hold",M5*N5,0)</f>
        <v>96</v>
      </c>
      <c r="Q5" s="9">
        <f t="shared" ref="Q5:Q19" si="2">IF(L5="Resorted",M5*N5,0)</f>
        <v>0</v>
      </c>
      <c r="R5" s="9">
        <f t="shared" ref="R5:R19" si="3">IF(L5="Move to Cullet",M5*N5,0)</f>
        <v>0</v>
      </c>
      <c r="S5" s="9" t="str">
        <f t="shared" ref="S5:S19" si="4">TEXT(B5,"yyyymmdd")&amp;"|"&amp;D5&amp;"|"&amp;E5&amp;"|"&amp;F5</f>
        <v>20260601|L21|AMA|PC-2101</v>
      </c>
      <c r="T5" s="9">
        <f>IFERROR(INDEX(Summary_MoltenUnits[TotalMoltenUnits],MATCH(S5,Summary_MoltenUnits[MoltenKey],0)),0)</f>
        <v>44898</v>
      </c>
      <c r="U5" s="9">
        <f t="shared" ref="U5:U19" si="5">M5-O5</f>
        <v>2</v>
      </c>
      <c r="V5" s="16">
        <f t="shared" ref="V5:V19" si="6">IFERROR(P5/T5,0)</f>
        <v>2.1381798743819323E-3</v>
      </c>
      <c r="W5" s="16">
        <f t="shared" ref="W5:W19" si="7">IFERROR(Q5/T5,0)</f>
        <v>0</v>
      </c>
      <c r="X5" s="16">
        <f t="shared" ref="X5:X19" si="8">IFERROR(R5/T5,0)</f>
        <v>0</v>
      </c>
      <c r="Y5" s="16">
        <f t="shared" ref="Y5:Y19" si="9">IFERROR((P5+Q5+R5)/T5,0)</f>
        <v>2.1381798743819323E-3</v>
      </c>
    </row>
    <row r="6" spans="1:25" ht="15" customHeight="1" x14ac:dyDescent="0.25">
      <c r="A6" s="14">
        <f>Data_Entry!A6</f>
        <v>2</v>
      </c>
      <c r="B6" s="15">
        <f>Data_Entry!B6</f>
        <v>46175</v>
      </c>
      <c r="C6" s="9">
        <f t="shared" si="0"/>
        <v>20260602</v>
      </c>
      <c r="D6" s="14" t="str">
        <f>Data_Entry!C6</f>
        <v>L22</v>
      </c>
      <c r="E6" s="14" t="str">
        <f>Data_Entry!D6</f>
        <v>AMB</v>
      </c>
      <c r="F6" s="14" t="str">
        <f>Data_Entry!E6</f>
        <v>PC-2202</v>
      </c>
      <c r="G6" s="9" t="str">
        <f>INDEX(Dim_Defect[DefectID],MATCH(Data_Entry!F6,Dim_Defect[DefectName],0))</f>
        <v>D05</v>
      </c>
      <c r="H6" s="14" t="str">
        <f>Data_Entry!F6</f>
        <v>Warpage</v>
      </c>
      <c r="I6" s="9" t="str">
        <f>INDEX(Dim_Defect[ClassificationID],MATCH(G6,Dim_Defect[DefectID],0))</f>
        <v>C2</v>
      </c>
      <c r="J6" s="9" t="str">
        <f>INDEX(Dim_Classification[ClassificationName],MATCH(I6,Dim_Classification[ClassificationID],0))</f>
        <v>Major</v>
      </c>
      <c r="K6" s="9" t="str">
        <f>INDEX(Dim_Status[StatusID],MATCH(Data_Entry!I6,Dim_Status[StatusName],0))</f>
        <v>S2</v>
      </c>
      <c r="L6" s="14" t="str">
        <f>Data_Entry!I6</f>
        <v>Resorted</v>
      </c>
      <c r="M6" s="14">
        <f>Data_Entry!G6</f>
        <v>5</v>
      </c>
      <c r="N6" s="14">
        <f>Data_Entry!H6</f>
        <v>60</v>
      </c>
      <c r="O6" s="9">
        <f>INDEX(Dim_Status[DecisionValue],MATCH(K6,Dim_Status[StatusID],0))</f>
        <v>1</v>
      </c>
      <c r="P6" s="9">
        <f t="shared" si="1"/>
        <v>0</v>
      </c>
      <c r="Q6" s="9">
        <f t="shared" si="2"/>
        <v>300</v>
      </c>
      <c r="R6" s="9">
        <f t="shared" si="3"/>
        <v>0</v>
      </c>
      <c r="S6" s="9" t="str">
        <f t="shared" si="4"/>
        <v>20260602|L22|AMB|PC-2202</v>
      </c>
      <c r="T6" s="9">
        <f>IFERROR(INDEX(Summary_MoltenUnits[TotalMoltenUnits],MATCH(S6,Summary_MoltenUnits[MoltenKey],0)),0)</f>
        <v>42541</v>
      </c>
      <c r="U6" s="9">
        <f t="shared" si="5"/>
        <v>4</v>
      </c>
      <c r="V6" s="16">
        <f t="shared" si="6"/>
        <v>0</v>
      </c>
      <c r="W6" s="16">
        <f t="shared" si="7"/>
        <v>7.0520204038457017E-3</v>
      </c>
      <c r="X6" s="16">
        <f t="shared" si="8"/>
        <v>0</v>
      </c>
      <c r="Y6" s="16">
        <f t="shared" si="9"/>
        <v>7.0520204038457017E-3</v>
      </c>
    </row>
    <row r="7" spans="1:25" ht="15" customHeight="1" x14ac:dyDescent="0.25">
      <c r="A7" s="14">
        <f>Data_Entry!A7</f>
        <v>3</v>
      </c>
      <c r="B7" s="15">
        <f>Data_Entry!B7</f>
        <v>46176</v>
      </c>
      <c r="C7" s="9">
        <f t="shared" si="0"/>
        <v>20260603</v>
      </c>
      <c r="D7" s="14" t="str">
        <f>Data_Entry!C7</f>
        <v>L23</v>
      </c>
      <c r="E7" s="14" t="str">
        <f>Data_Entry!D7</f>
        <v>AMC</v>
      </c>
      <c r="F7" s="14" t="str">
        <f>Data_Entry!E7</f>
        <v>PC-2301</v>
      </c>
      <c r="G7" s="9" t="str">
        <f>INDEX(Dim_Defect[DefectID],MATCH(Data_Entry!F7,Dim_Defect[DefectName],0))</f>
        <v>D03</v>
      </c>
      <c r="H7" s="14" t="str">
        <f>Data_Entry!F7</f>
        <v>Contamination</v>
      </c>
      <c r="I7" s="9" t="str">
        <f>INDEX(Dim_Defect[ClassificationID],MATCH(G7,Dim_Defect[DefectID],0))</f>
        <v>C1</v>
      </c>
      <c r="J7" s="9" t="str">
        <f>INDEX(Dim_Classification[ClassificationName],MATCH(I7,Dim_Classification[ClassificationID],0))</f>
        <v>Critical</v>
      </c>
      <c r="K7" s="9" t="str">
        <f>INDEX(Dim_Status[StatusID],MATCH(Data_Entry!I7,Dim_Status[StatusName],0))</f>
        <v>S3</v>
      </c>
      <c r="L7" s="14" t="str">
        <f>Data_Entry!I7</f>
        <v>Move to Cullet</v>
      </c>
      <c r="M7" s="14">
        <f>Data_Entry!G7</f>
        <v>4</v>
      </c>
      <c r="N7" s="14">
        <f>Data_Entry!H7</f>
        <v>60</v>
      </c>
      <c r="O7" s="9">
        <f>INDEX(Dim_Status[DecisionValue],MATCH(K7,Dim_Status[StatusID],0))</f>
        <v>0</v>
      </c>
      <c r="P7" s="9">
        <f t="shared" si="1"/>
        <v>0</v>
      </c>
      <c r="Q7" s="9">
        <f t="shared" si="2"/>
        <v>0</v>
      </c>
      <c r="R7" s="9">
        <f t="shared" si="3"/>
        <v>240</v>
      </c>
      <c r="S7" s="9" t="str">
        <f t="shared" si="4"/>
        <v>20260603|L23|AMC|PC-2301</v>
      </c>
      <c r="T7" s="9">
        <f>IFERROR(INDEX(Summary_MoltenUnits[TotalMoltenUnits],MATCH(S7,Summary_MoltenUnits[MoltenKey],0)),0)</f>
        <v>22847</v>
      </c>
      <c r="U7" s="9">
        <f t="shared" si="5"/>
        <v>4</v>
      </c>
      <c r="V7" s="16">
        <f t="shared" si="6"/>
        <v>0</v>
      </c>
      <c r="W7" s="16">
        <f t="shared" si="7"/>
        <v>0</v>
      </c>
      <c r="X7" s="16">
        <f t="shared" si="8"/>
        <v>1.050466144351556E-2</v>
      </c>
      <c r="Y7" s="16">
        <f t="shared" si="9"/>
        <v>1.050466144351556E-2</v>
      </c>
    </row>
    <row r="8" spans="1:25" ht="15" customHeight="1" x14ac:dyDescent="0.25">
      <c r="A8" s="14">
        <f>Data_Entry!A8</f>
        <v>4</v>
      </c>
      <c r="B8" s="15">
        <f>Data_Entry!B8</f>
        <v>46177</v>
      </c>
      <c r="C8" s="9">
        <f t="shared" si="0"/>
        <v>20260604</v>
      </c>
      <c r="D8" s="14" t="str">
        <f>Data_Entry!C8</f>
        <v>L24</v>
      </c>
      <c r="E8" s="14" t="str">
        <f>Data_Entry!D8</f>
        <v>AMD</v>
      </c>
      <c r="F8" s="14" t="str">
        <f>Data_Entry!E8</f>
        <v>PC-2402</v>
      </c>
      <c r="G8" s="9" t="str">
        <f>INDEX(Dim_Defect[DefectID],MATCH(Data_Entry!F8,Dim_Defect[DefectName],0))</f>
        <v>D04</v>
      </c>
      <c r="H8" s="14" t="str">
        <f>Data_Entry!F8</f>
        <v>Short Fill</v>
      </c>
      <c r="I8" s="9" t="str">
        <f>INDEX(Dim_Defect[ClassificationID],MATCH(G8,Dim_Defect[DefectID],0))</f>
        <v>C2</v>
      </c>
      <c r="J8" s="9" t="str">
        <f>INDEX(Dim_Classification[ClassificationName],MATCH(I8,Dim_Classification[ClassificationID],0))</f>
        <v>Major</v>
      </c>
      <c r="K8" s="9" t="str">
        <f>INDEX(Dim_Status[StatusID],MATCH(Data_Entry!I8,Dim_Status[StatusName],0))</f>
        <v>S1</v>
      </c>
      <c r="L8" s="14" t="str">
        <f>Data_Entry!I8</f>
        <v>Hold</v>
      </c>
      <c r="M8" s="14">
        <f>Data_Entry!G8</f>
        <v>2</v>
      </c>
      <c r="N8" s="14">
        <f>Data_Entry!H8</f>
        <v>48</v>
      </c>
      <c r="O8" s="9">
        <f>INDEX(Dim_Status[DecisionValue],MATCH(K8,Dim_Status[StatusID],0))</f>
        <v>0</v>
      </c>
      <c r="P8" s="9">
        <f t="shared" si="1"/>
        <v>96</v>
      </c>
      <c r="Q8" s="9">
        <f t="shared" si="2"/>
        <v>0</v>
      </c>
      <c r="R8" s="9">
        <f t="shared" si="3"/>
        <v>0</v>
      </c>
      <c r="S8" s="9" t="str">
        <f t="shared" si="4"/>
        <v>20260604|L24|AMD|PC-2402</v>
      </c>
      <c r="T8" s="9">
        <f>IFERROR(INDEX(Summary_MoltenUnits[TotalMoltenUnits],MATCH(S8,Summary_MoltenUnits[MoltenKey],0)),0)</f>
        <v>28180</v>
      </c>
      <c r="U8" s="9">
        <f t="shared" si="5"/>
        <v>2</v>
      </c>
      <c r="V8" s="16">
        <f t="shared" si="6"/>
        <v>3.4066713981547197E-3</v>
      </c>
      <c r="W8" s="16">
        <f t="shared" si="7"/>
        <v>0</v>
      </c>
      <c r="X8" s="16">
        <f t="shared" si="8"/>
        <v>0</v>
      </c>
      <c r="Y8" s="16">
        <f t="shared" si="9"/>
        <v>3.4066713981547197E-3</v>
      </c>
    </row>
    <row r="9" spans="1:25" ht="15" customHeight="1" x14ac:dyDescent="0.25">
      <c r="A9" s="14">
        <f>Data_Entry!A9</f>
        <v>5</v>
      </c>
      <c r="B9" s="15">
        <f>Data_Entry!B9</f>
        <v>46178</v>
      </c>
      <c r="C9" s="9">
        <f t="shared" si="0"/>
        <v>20260605</v>
      </c>
      <c r="D9" s="14" t="str">
        <f>Data_Entry!C9</f>
        <v>L25</v>
      </c>
      <c r="E9" s="14" t="str">
        <f>Data_Entry!D9</f>
        <v>AMA</v>
      </c>
      <c r="F9" s="14" t="str">
        <f>Data_Entry!E9</f>
        <v>PC-2501</v>
      </c>
      <c r="G9" s="9" t="str">
        <f>INDEX(Dim_Defect[DefectID],MATCH(Data_Entry!F9,Dim_Defect[DefectName],0))</f>
        <v>D05</v>
      </c>
      <c r="H9" s="14" t="str">
        <f>Data_Entry!F9</f>
        <v>Warpage</v>
      </c>
      <c r="I9" s="9" t="str">
        <f>INDEX(Dim_Defect[ClassificationID],MATCH(G9,Dim_Defect[DefectID],0))</f>
        <v>C2</v>
      </c>
      <c r="J9" s="9" t="str">
        <f>INDEX(Dim_Classification[ClassificationName],MATCH(I9,Dim_Classification[ClassificationID],0))</f>
        <v>Major</v>
      </c>
      <c r="K9" s="9" t="str">
        <f>INDEX(Dim_Status[StatusID],MATCH(Data_Entry!I9,Dim_Status[StatusName],0))</f>
        <v>S2</v>
      </c>
      <c r="L9" s="14" t="str">
        <f>Data_Entry!I9</f>
        <v>Resorted</v>
      </c>
      <c r="M9" s="14">
        <f>Data_Entry!G9</f>
        <v>7</v>
      </c>
      <c r="N9" s="14">
        <f>Data_Entry!H9</f>
        <v>48</v>
      </c>
      <c r="O9" s="9">
        <f>INDEX(Dim_Status[DecisionValue],MATCH(K9,Dim_Status[StatusID],0))</f>
        <v>1</v>
      </c>
      <c r="P9" s="9">
        <f t="shared" si="1"/>
        <v>0</v>
      </c>
      <c r="Q9" s="9">
        <f t="shared" si="2"/>
        <v>336</v>
      </c>
      <c r="R9" s="9">
        <f t="shared" si="3"/>
        <v>0</v>
      </c>
      <c r="S9" s="9" t="str">
        <f t="shared" si="4"/>
        <v>20260605|L25|AMA|PC-2501</v>
      </c>
      <c r="T9" s="9">
        <f>IFERROR(INDEX(Summary_MoltenUnits[TotalMoltenUnits],MATCH(S9,Summary_MoltenUnits[MoltenKey],0)),0)</f>
        <v>56178</v>
      </c>
      <c r="U9" s="9">
        <f t="shared" si="5"/>
        <v>6</v>
      </c>
      <c r="V9" s="16">
        <f t="shared" si="6"/>
        <v>0</v>
      </c>
      <c r="W9" s="16">
        <f t="shared" si="7"/>
        <v>5.9809889992523766E-3</v>
      </c>
      <c r="X9" s="16">
        <f t="shared" si="8"/>
        <v>0</v>
      </c>
      <c r="Y9" s="16">
        <f t="shared" si="9"/>
        <v>5.9809889992523766E-3</v>
      </c>
    </row>
    <row r="10" spans="1:25" ht="15" customHeight="1" x14ac:dyDescent="0.25">
      <c r="A10" s="14">
        <f>Data_Entry!A10</f>
        <v>6</v>
      </c>
      <c r="B10" s="15">
        <f>Data_Entry!B10</f>
        <v>46179</v>
      </c>
      <c r="C10" s="9">
        <f t="shared" si="0"/>
        <v>20260606</v>
      </c>
      <c r="D10" s="14" t="str">
        <f>Data_Entry!C10</f>
        <v>L22</v>
      </c>
      <c r="E10" s="14" t="str">
        <f>Data_Entry!D10</f>
        <v>PMB</v>
      </c>
      <c r="F10" s="14" t="str">
        <f>Data_Entry!E10</f>
        <v>PC-2102</v>
      </c>
      <c r="G10" s="9" t="str">
        <f>INDEX(Dim_Defect[DefectID],MATCH(Data_Entry!F10,Dim_Defect[DefectName],0))</f>
        <v>D06</v>
      </c>
      <c r="H10" s="14" t="str">
        <f>Data_Entry!F10</f>
        <v>Dimension Out of Spec</v>
      </c>
      <c r="I10" s="9" t="str">
        <f>INDEX(Dim_Defect[ClassificationID],MATCH(G10,Dim_Defect[DefectID],0))</f>
        <v>C2</v>
      </c>
      <c r="J10" s="9" t="str">
        <f>INDEX(Dim_Classification[ClassificationName],MATCH(I10,Dim_Classification[ClassificationID],0))</f>
        <v>Major</v>
      </c>
      <c r="K10" s="9" t="str">
        <f>INDEX(Dim_Status[StatusID],MATCH(Data_Entry!I10,Dim_Status[StatusName],0))</f>
        <v>S3</v>
      </c>
      <c r="L10" s="14" t="str">
        <f>Data_Entry!I10</f>
        <v>Move to Cullet</v>
      </c>
      <c r="M10" s="14">
        <f>Data_Entry!G10</f>
        <v>1</v>
      </c>
      <c r="N10" s="14">
        <f>Data_Entry!H10</f>
        <v>48</v>
      </c>
      <c r="O10" s="9">
        <f>INDEX(Dim_Status[DecisionValue],MATCH(K10,Dim_Status[StatusID],0))</f>
        <v>0</v>
      </c>
      <c r="P10" s="9">
        <f t="shared" si="1"/>
        <v>0</v>
      </c>
      <c r="Q10" s="9">
        <f t="shared" si="2"/>
        <v>0</v>
      </c>
      <c r="R10" s="9">
        <f t="shared" si="3"/>
        <v>48</v>
      </c>
      <c r="S10" s="9" t="str">
        <f t="shared" si="4"/>
        <v>20260606|L22|PMB|PC-2102</v>
      </c>
      <c r="T10" s="9">
        <f>IFERROR(INDEX(Summary_MoltenUnits[TotalMoltenUnits],MATCH(S10,Summary_MoltenUnits[MoltenKey],0)),0)</f>
        <v>0</v>
      </c>
      <c r="U10" s="9">
        <f t="shared" si="5"/>
        <v>1</v>
      </c>
      <c r="V10" s="16">
        <f t="shared" si="6"/>
        <v>0</v>
      </c>
      <c r="W10" s="16">
        <f t="shared" si="7"/>
        <v>0</v>
      </c>
      <c r="X10" s="16">
        <f t="shared" si="8"/>
        <v>0</v>
      </c>
      <c r="Y10" s="16">
        <f t="shared" si="9"/>
        <v>0</v>
      </c>
    </row>
    <row r="11" spans="1:25" ht="15" customHeight="1" x14ac:dyDescent="0.25">
      <c r="A11" s="14">
        <f>Data_Entry!A11</f>
        <v>7</v>
      </c>
      <c r="B11" s="15">
        <f>Data_Entry!B11</f>
        <v>46174</v>
      </c>
      <c r="C11" s="9">
        <f t="shared" si="0"/>
        <v>20260601</v>
      </c>
      <c r="D11" s="14" t="str">
        <f>Data_Entry!C11</f>
        <v>L23</v>
      </c>
      <c r="E11" s="14" t="str">
        <f>Data_Entry!D11</f>
        <v>PMC</v>
      </c>
      <c r="F11" s="14" t="str">
        <f>Data_Entry!E11</f>
        <v>PC-2201</v>
      </c>
      <c r="G11" s="9" t="str">
        <f>INDEX(Dim_Defect[DefectID],MATCH(Data_Entry!F11,Dim_Defect[DefectName],0))</f>
        <v>D07</v>
      </c>
      <c r="H11" s="14" t="str">
        <f>Data_Entry!F11</f>
        <v>Flash</v>
      </c>
      <c r="I11" s="9" t="str">
        <f>INDEX(Dim_Defect[ClassificationID],MATCH(G11,Dim_Defect[DefectID],0))</f>
        <v>C3</v>
      </c>
      <c r="J11" s="9" t="str">
        <f>INDEX(Dim_Classification[ClassificationName],MATCH(I11,Dim_Classification[ClassificationID],0))</f>
        <v>Minor</v>
      </c>
      <c r="K11" s="9" t="str">
        <f>INDEX(Dim_Status[StatusID],MATCH(Data_Entry!I11,Dim_Status[StatusName],0))</f>
        <v>S1</v>
      </c>
      <c r="L11" s="14" t="str">
        <f>Data_Entry!I11</f>
        <v>Hold</v>
      </c>
      <c r="M11" s="14">
        <f>Data_Entry!G11</f>
        <v>4</v>
      </c>
      <c r="N11" s="14">
        <f>Data_Entry!H11</f>
        <v>60</v>
      </c>
      <c r="O11" s="9">
        <f>INDEX(Dim_Status[DecisionValue],MATCH(K11,Dim_Status[StatusID],0))</f>
        <v>0</v>
      </c>
      <c r="P11" s="9">
        <f t="shared" si="1"/>
        <v>240</v>
      </c>
      <c r="Q11" s="9">
        <f t="shared" si="2"/>
        <v>0</v>
      </c>
      <c r="R11" s="9">
        <f t="shared" si="3"/>
        <v>0</v>
      </c>
      <c r="S11" s="9" t="str">
        <f t="shared" si="4"/>
        <v>20260601|L23|PMC|PC-2201</v>
      </c>
      <c r="T11" s="9">
        <f>IFERROR(INDEX(Summary_MoltenUnits[TotalMoltenUnits],MATCH(S11,Summary_MoltenUnits[MoltenKey],0)),0)</f>
        <v>0</v>
      </c>
      <c r="U11" s="9">
        <f t="shared" si="5"/>
        <v>4</v>
      </c>
      <c r="V11" s="16">
        <f t="shared" si="6"/>
        <v>0</v>
      </c>
      <c r="W11" s="16">
        <f t="shared" si="7"/>
        <v>0</v>
      </c>
      <c r="X11" s="16">
        <f t="shared" si="8"/>
        <v>0</v>
      </c>
      <c r="Y11" s="16">
        <f t="shared" si="9"/>
        <v>0</v>
      </c>
    </row>
    <row r="12" spans="1:25" ht="15" customHeight="1" x14ac:dyDescent="0.25">
      <c r="A12" s="14">
        <f>Data_Entry!A12</f>
        <v>8</v>
      </c>
      <c r="B12" s="15">
        <f>Data_Entry!B12</f>
        <v>46175</v>
      </c>
      <c r="C12" s="9">
        <f t="shared" si="0"/>
        <v>20260602</v>
      </c>
      <c r="D12" s="14" t="str">
        <f>Data_Entry!C12</f>
        <v>L21</v>
      </c>
      <c r="E12" s="14" t="str">
        <f>Data_Entry!D12</f>
        <v>PMD</v>
      </c>
      <c r="F12" s="14" t="str">
        <f>Data_Entry!E12</f>
        <v>PC-2302</v>
      </c>
      <c r="G12" s="9" t="str">
        <f>INDEX(Dim_Defect[DefectID],MATCH(Data_Entry!F12,Dim_Defect[DefectName],0))</f>
        <v>D08</v>
      </c>
      <c r="H12" s="14" t="str">
        <f>Data_Entry!F12</f>
        <v>Color Mismatch</v>
      </c>
      <c r="I12" s="9" t="str">
        <f>INDEX(Dim_Defect[ClassificationID],MATCH(G12,Dim_Defect[DefectID],0))</f>
        <v>C3</v>
      </c>
      <c r="J12" s="9" t="str">
        <f>INDEX(Dim_Classification[ClassificationName],MATCH(I12,Dim_Classification[ClassificationID],0))</f>
        <v>Minor</v>
      </c>
      <c r="K12" s="9" t="str">
        <f>INDEX(Dim_Status[StatusID],MATCH(Data_Entry!I12,Dim_Status[StatusName],0))</f>
        <v>S2</v>
      </c>
      <c r="L12" s="14" t="str">
        <f>Data_Entry!I12</f>
        <v>Resorted</v>
      </c>
      <c r="M12" s="14">
        <f>Data_Entry!G12</f>
        <v>1</v>
      </c>
      <c r="N12" s="14">
        <f>Data_Entry!H12</f>
        <v>60</v>
      </c>
      <c r="O12" s="9">
        <f>INDEX(Dim_Status[DecisionValue],MATCH(K12,Dim_Status[StatusID],0))</f>
        <v>1</v>
      </c>
      <c r="P12" s="9">
        <f t="shared" si="1"/>
        <v>0</v>
      </c>
      <c r="Q12" s="9">
        <f t="shared" si="2"/>
        <v>60</v>
      </c>
      <c r="R12" s="9">
        <f t="shared" si="3"/>
        <v>0</v>
      </c>
      <c r="S12" s="9" t="str">
        <f t="shared" si="4"/>
        <v>20260602|L21|PMD|PC-2302</v>
      </c>
      <c r="T12" s="9">
        <f>IFERROR(INDEX(Summary_MoltenUnits[TotalMoltenUnits],MATCH(S12,Summary_MoltenUnits[MoltenKey],0)),0)</f>
        <v>0</v>
      </c>
      <c r="U12" s="9">
        <f t="shared" si="5"/>
        <v>0</v>
      </c>
      <c r="V12" s="16">
        <f t="shared" si="6"/>
        <v>0</v>
      </c>
      <c r="W12" s="16">
        <f t="shared" si="7"/>
        <v>0</v>
      </c>
      <c r="X12" s="16">
        <f t="shared" si="8"/>
        <v>0</v>
      </c>
      <c r="Y12" s="16">
        <f t="shared" si="9"/>
        <v>0</v>
      </c>
    </row>
    <row r="13" spans="1:25" ht="15" customHeight="1" x14ac:dyDescent="0.25">
      <c r="A13" s="14">
        <f>Data_Entry!A13</f>
        <v>9</v>
      </c>
      <c r="B13" s="15">
        <f>Data_Entry!B13</f>
        <v>46176</v>
      </c>
      <c r="C13" s="9">
        <f t="shared" si="0"/>
        <v>20260603</v>
      </c>
      <c r="D13" s="14" t="str">
        <f>Data_Entry!C13</f>
        <v>L25</v>
      </c>
      <c r="E13" s="14" t="s">
        <v>182</v>
      </c>
      <c r="F13" s="14" t="str">
        <f>Data_Entry!E13</f>
        <v>PC-2401</v>
      </c>
      <c r="G13" s="9" t="str">
        <f>INDEX(Dim_Defect[DefectID],MATCH(Data_Entry!F13,Dim_Defect[DefectName],0))</f>
        <v>D09</v>
      </c>
      <c r="H13" s="14" t="str">
        <f>Data_Entry!F13</f>
        <v>Bubble</v>
      </c>
      <c r="I13" s="9" t="str">
        <f>INDEX(Dim_Defect[ClassificationID],MATCH(G13,Dim_Defect[DefectID],0))</f>
        <v>C3</v>
      </c>
      <c r="J13" s="9" t="str">
        <f>INDEX(Dim_Classification[ClassificationName],MATCH(I13,Dim_Classification[ClassificationID],0))</f>
        <v>Minor</v>
      </c>
      <c r="K13" s="9" t="str">
        <f>INDEX(Dim_Status[StatusID],MATCH(Data_Entry!I13,Dim_Status[StatusName],0))</f>
        <v>S3</v>
      </c>
      <c r="L13" s="14" t="str">
        <f>Data_Entry!I13</f>
        <v>Move to Cullet</v>
      </c>
      <c r="M13" s="14">
        <f>Data_Entry!G13</f>
        <v>7</v>
      </c>
      <c r="N13" s="14">
        <f>Data_Entry!H13</f>
        <v>60</v>
      </c>
      <c r="O13" s="9">
        <f>INDEX(Dim_Status[DecisionValue],MATCH(K13,Dim_Status[StatusID],0))</f>
        <v>0</v>
      </c>
      <c r="P13" s="9">
        <f t="shared" si="1"/>
        <v>0</v>
      </c>
      <c r="Q13" s="9">
        <f t="shared" si="2"/>
        <v>0</v>
      </c>
      <c r="R13" s="9">
        <f t="shared" si="3"/>
        <v>420</v>
      </c>
      <c r="S13" s="9" t="str">
        <f t="shared" si="4"/>
        <v>20260603|L25|PMA|PC-2401</v>
      </c>
      <c r="T13" s="9">
        <f>IFERROR(INDEX(Summary_MoltenUnits[TotalMoltenUnits],MATCH(S13,Summary_MoltenUnits[MoltenKey],0)),0)</f>
        <v>0</v>
      </c>
      <c r="U13" s="9">
        <f t="shared" si="5"/>
        <v>7</v>
      </c>
      <c r="V13" s="16">
        <f t="shared" si="6"/>
        <v>0</v>
      </c>
      <c r="W13" s="16">
        <f t="shared" si="7"/>
        <v>0</v>
      </c>
      <c r="X13" s="16">
        <f t="shared" si="8"/>
        <v>0</v>
      </c>
      <c r="Y13" s="16">
        <f t="shared" si="9"/>
        <v>0</v>
      </c>
    </row>
    <row r="14" spans="1:25" ht="15" customHeight="1" x14ac:dyDescent="0.25">
      <c r="A14" s="14">
        <f>Data_Entry!A14</f>
        <v>10</v>
      </c>
      <c r="B14" s="15">
        <f>Data_Entry!B14</f>
        <v>46177</v>
      </c>
      <c r="C14" s="9">
        <f t="shared" si="0"/>
        <v>20260604</v>
      </c>
      <c r="D14" s="14" t="str">
        <f>Data_Entry!C14</f>
        <v>L23</v>
      </c>
      <c r="E14" s="14" t="s">
        <v>66</v>
      </c>
      <c r="F14" s="14" t="str">
        <f>Data_Entry!E14</f>
        <v>PC-2502</v>
      </c>
      <c r="G14" s="9" t="str">
        <f>INDEX(Dim_Defect[DefectID],MATCH(Data_Entry!F14,Dim_Defect[DefectName],0))</f>
        <v>D10</v>
      </c>
      <c r="H14" s="14" t="str">
        <f>Data_Entry!F14</f>
        <v>Scratch</v>
      </c>
      <c r="I14" s="9" t="str">
        <f>INDEX(Dim_Defect[ClassificationID],MATCH(G14,Dim_Defect[DefectID],0))</f>
        <v>C3</v>
      </c>
      <c r="J14" s="9" t="str">
        <f>INDEX(Dim_Classification[ClassificationName],MATCH(I14,Dim_Classification[ClassificationID],0))</f>
        <v>Minor</v>
      </c>
      <c r="K14" s="9" t="str">
        <f>INDEX(Dim_Status[StatusID],MATCH(Data_Entry!I14,Dim_Status[StatusName],0))</f>
        <v>S1</v>
      </c>
      <c r="L14" s="14" t="str">
        <f>Data_Entry!I14</f>
        <v>Hold</v>
      </c>
      <c r="M14" s="14">
        <f>Data_Entry!G14</f>
        <v>8</v>
      </c>
      <c r="N14" s="14">
        <f>Data_Entry!H14</f>
        <v>72</v>
      </c>
      <c r="O14" s="9">
        <f>INDEX(Dim_Status[DecisionValue],MATCH(K14,Dim_Status[StatusID],0))</f>
        <v>0</v>
      </c>
      <c r="P14" s="9">
        <f t="shared" si="1"/>
        <v>576</v>
      </c>
      <c r="Q14" s="9">
        <f t="shared" si="2"/>
        <v>0</v>
      </c>
      <c r="R14" s="9">
        <f t="shared" si="3"/>
        <v>0</v>
      </c>
      <c r="S14" s="9" t="str">
        <f t="shared" si="4"/>
        <v>20260604|L23|AMA|PC-2502</v>
      </c>
      <c r="T14" s="9">
        <f>IFERROR(INDEX(Summary_MoltenUnits[TotalMoltenUnits],MATCH(S14,Summary_MoltenUnits[MoltenKey],0)),0)</f>
        <v>0</v>
      </c>
      <c r="U14" s="9">
        <f t="shared" si="5"/>
        <v>8</v>
      </c>
      <c r="V14" s="16">
        <f t="shared" si="6"/>
        <v>0</v>
      </c>
      <c r="W14" s="16">
        <f t="shared" si="7"/>
        <v>0</v>
      </c>
      <c r="X14" s="16">
        <f t="shared" si="8"/>
        <v>0</v>
      </c>
      <c r="Y14" s="16">
        <f t="shared" si="9"/>
        <v>0</v>
      </c>
    </row>
    <row r="15" spans="1:25" ht="15" customHeight="1" x14ac:dyDescent="0.25">
      <c r="A15" s="14">
        <f>Data_Entry!A15</f>
        <v>11</v>
      </c>
      <c r="B15" s="15">
        <f>Data_Entry!B15</f>
        <v>46178</v>
      </c>
      <c r="C15" s="9">
        <f t="shared" si="0"/>
        <v>20260605</v>
      </c>
      <c r="D15" s="14" t="str">
        <f>Data_Entry!C15</f>
        <v>L24</v>
      </c>
      <c r="E15" s="14" t="str">
        <f>Data_Entry!D15</f>
        <v>AMB</v>
      </c>
      <c r="F15" s="14" t="str">
        <f>Data_Entry!E15</f>
        <v>PC-2101</v>
      </c>
      <c r="G15" s="9" t="str">
        <f>INDEX(Dim_Defect[DefectID],MATCH(Data_Entry!F15,Dim_Defect[DefectName],0))</f>
        <v>D01</v>
      </c>
      <c r="H15" s="14" t="str">
        <f>Data_Entry!F15</f>
        <v>Crack</v>
      </c>
      <c r="I15" s="9" t="str">
        <f>INDEX(Dim_Defect[ClassificationID],MATCH(G15,Dim_Defect[DefectID],0))</f>
        <v>C1</v>
      </c>
      <c r="J15" s="9" t="str">
        <f>INDEX(Dim_Classification[ClassificationName],MATCH(I15,Dim_Classification[ClassificationID],0))</f>
        <v>Critical</v>
      </c>
      <c r="K15" s="9" t="str">
        <f>INDEX(Dim_Status[StatusID],MATCH(Data_Entry!I15,Dim_Status[StatusName],0))</f>
        <v>S2</v>
      </c>
      <c r="L15" s="14" t="str">
        <f>Data_Entry!I15</f>
        <v>Resorted</v>
      </c>
      <c r="M15" s="14">
        <f>Data_Entry!G15</f>
        <v>1</v>
      </c>
      <c r="N15" s="14">
        <f>Data_Entry!H15</f>
        <v>60</v>
      </c>
      <c r="O15" s="9">
        <f>INDEX(Dim_Status[DecisionValue],MATCH(K15,Dim_Status[StatusID],0))</f>
        <v>1</v>
      </c>
      <c r="P15" s="9">
        <f t="shared" si="1"/>
        <v>0</v>
      </c>
      <c r="Q15" s="9">
        <f t="shared" si="2"/>
        <v>60</v>
      </c>
      <c r="R15" s="9">
        <f t="shared" si="3"/>
        <v>0</v>
      </c>
      <c r="S15" s="9" t="str">
        <f t="shared" si="4"/>
        <v>20260605|L24|AMB|PC-2101</v>
      </c>
      <c r="T15" s="9">
        <f>IFERROR(INDEX(Summary_MoltenUnits[TotalMoltenUnits],MATCH(S15,Summary_MoltenUnits[MoltenKey],0)),0)</f>
        <v>0</v>
      </c>
      <c r="U15" s="9">
        <f t="shared" si="5"/>
        <v>0</v>
      </c>
      <c r="V15" s="16">
        <f t="shared" si="6"/>
        <v>0</v>
      </c>
      <c r="W15" s="16">
        <f t="shared" si="7"/>
        <v>0</v>
      </c>
      <c r="X15" s="16">
        <f t="shared" si="8"/>
        <v>0</v>
      </c>
      <c r="Y15" s="16">
        <f t="shared" si="9"/>
        <v>0</v>
      </c>
    </row>
    <row r="16" spans="1:25" ht="15" customHeight="1" x14ac:dyDescent="0.25">
      <c r="A16" s="14">
        <f>Data_Entry!A16</f>
        <v>12</v>
      </c>
      <c r="B16" s="15">
        <f>Data_Entry!B16</f>
        <v>46179</v>
      </c>
      <c r="C16" s="9">
        <f t="shared" si="0"/>
        <v>20260606</v>
      </c>
      <c r="D16" s="14" t="str">
        <f>Data_Entry!C16</f>
        <v>L24</v>
      </c>
      <c r="E16" s="14" t="str">
        <f>Data_Entry!D16</f>
        <v>AMC</v>
      </c>
      <c r="F16" s="14" t="str">
        <f>Data_Entry!E16</f>
        <v>PC-2202</v>
      </c>
      <c r="G16" s="9" t="str">
        <f>INDEX(Dim_Defect[DefectID],MATCH(Data_Entry!F16,Dim_Defect[DefectName],0))</f>
        <v>D02</v>
      </c>
      <c r="H16" s="14" t="str">
        <f>Data_Entry!F16</f>
        <v>Foreign Material</v>
      </c>
      <c r="I16" s="9" t="str">
        <f>INDEX(Dim_Defect[ClassificationID],MATCH(G16,Dim_Defect[DefectID],0))</f>
        <v>C1</v>
      </c>
      <c r="J16" s="9" t="str">
        <f>INDEX(Dim_Classification[ClassificationName],MATCH(I16,Dim_Classification[ClassificationID],0))</f>
        <v>Critical</v>
      </c>
      <c r="K16" s="9" t="str">
        <f>INDEX(Dim_Status[StatusID],MATCH(Data_Entry!I16,Dim_Status[StatusName],0))</f>
        <v>S3</v>
      </c>
      <c r="L16" s="14" t="str">
        <f>Data_Entry!I16</f>
        <v>Move to Cullet</v>
      </c>
      <c r="M16" s="14">
        <f>Data_Entry!G16</f>
        <v>7</v>
      </c>
      <c r="N16" s="14">
        <f>Data_Entry!H16</f>
        <v>72</v>
      </c>
      <c r="O16" s="9">
        <f>INDEX(Dim_Status[DecisionValue],MATCH(K16,Dim_Status[StatusID],0))</f>
        <v>0</v>
      </c>
      <c r="P16" s="9">
        <f t="shared" si="1"/>
        <v>0</v>
      </c>
      <c r="Q16" s="9">
        <f t="shared" si="2"/>
        <v>0</v>
      </c>
      <c r="R16" s="9">
        <f t="shared" si="3"/>
        <v>504</v>
      </c>
      <c r="S16" s="9" t="str">
        <f t="shared" si="4"/>
        <v>20260606|L24|AMC|PC-2202</v>
      </c>
      <c r="T16" s="9">
        <f>IFERROR(INDEX(Summary_MoltenUnits[TotalMoltenUnits],MATCH(S16,Summary_MoltenUnits[MoltenKey],0)),0)</f>
        <v>0</v>
      </c>
      <c r="U16" s="9">
        <f t="shared" si="5"/>
        <v>7</v>
      </c>
      <c r="V16" s="16">
        <f t="shared" si="6"/>
        <v>0</v>
      </c>
      <c r="W16" s="16">
        <f t="shared" si="7"/>
        <v>0</v>
      </c>
      <c r="X16" s="16">
        <f t="shared" si="8"/>
        <v>0</v>
      </c>
      <c r="Y16" s="16">
        <f t="shared" si="9"/>
        <v>0</v>
      </c>
    </row>
    <row r="17" spans="1:25" ht="15" customHeight="1" x14ac:dyDescent="0.25">
      <c r="A17" s="14">
        <f>Data_Entry!A17</f>
        <v>13</v>
      </c>
      <c r="B17" s="15">
        <f>Data_Entry!B17</f>
        <v>46174</v>
      </c>
      <c r="C17" s="9">
        <f t="shared" si="0"/>
        <v>20260601</v>
      </c>
      <c r="D17" s="14" t="str">
        <f>Data_Entry!C17</f>
        <v>L21</v>
      </c>
      <c r="E17" s="14" t="str">
        <f>Data_Entry!D17</f>
        <v>AMD</v>
      </c>
      <c r="F17" s="14" t="str">
        <f>Data_Entry!E17</f>
        <v>PC-2301</v>
      </c>
      <c r="G17" s="9" t="str">
        <f>INDEX(Dim_Defect[DefectID],MATCH(Data_Entry!F17,Dim_Defect[DefectName],0))</f>
        <v>D03</v>
      </c>
      <c r="H17" s="14" t="str">
        <f>Data_Entry!F17</f>
        <v>Contamination</v>
      </c>
      <c r="I17" s="9" t="str">
        <f>INDEX(Dim_Defect[ClassificationID],MATCH(G17,Dim_Defect[DefectID],0))</f>
        <v>C1</v>
      </c>
      <c r="J17" s="9" t="str">
        <f>INDEX(Dim_Classification[ClassificationName],MATCH(I17,Dim_Classification[ClassificationID],0))</f>
        <v>Critical</v>
      </c>
      <c r="K17" s="9" t="str">
        <f>INDEX(Dim_Status[StatusID],MATCH(Data_Entry!I17,Dim_Status[StatusName],0))</f>
        <v>S1</v>
      </c>
      <c r="L17" s="14" t="str">
        <f>Data_Entry!I17</f>
        <v>Hold</v>
      </c>
      <c r="M17" s="14">
        <f>Data_Entry!G17</f>
        <v>5</v>
      </c>
      <c r="N17" s="14">
        <f>Data_Entry!H17</f>
        <v>60</v>
      </c>
      <c r="O17" s="9">
        <f>INDEX(Dim_Status[DecisionValue],MATCH(K17,Dim_Status[StatusID],0))</f>
        <v>0</v>
      </c>
      <c r="P17" s="9">
        <f t="shared" si="1"/>
        <v>300</v>
      </c>
      <c r="Q17" s="9">
        <f t="shared" si="2"/>
        <v>0</v>
      </c>
      <c r="R17" s="9">
        <f t="shared" si="3"/>
        <v>0</v>
      </c>
      <c r="S17" s="9" t="str">
        <f t="shared" si="4"/>
        <v>20260601|L21|AMD|PC-2301</v>
      </c>
      <c r="T17" s="9">
        <f>IFERROR(INDEX(Summary_MoltenUnits[TotalMoltenUnits],MATCH(S17,Summary_MoltenUnits[MoltenKey],0)),0)</f>
        <v>0</v>
      </c>
      <c r="U17" s="9">
        <f t="shared" si="5"/>
        <v>5</v>
      </c>
      <c r="V17" s="16">
        <f t="shared" si="6"/>
        <v>0</v>
      </c>
      <c r="W17" s="16">
        <f t="shared" si="7"/>
        <v>0</v>
      </c>
      <c r="X17" s="16">
        <f t="shared" si="8"/>
        <v>0</v>
      </c>
      <c r="Y17" s="16">
        <f t="shared" si="9"/>
        <v>0</v>
      </c>
    </row>
    <row r="18" spans="1:25" ht="15" customHeight="1" x14ac:dyDescent="0.25">
      <c r="A18" s="14">
        <f>Data_Entry!A18</f>
        <v>14</v>
      </c>
      <c r="B18" s="15">
        <f>Data_Entry!B18</f>
        <v>46175</v>
      </c>
      <c r="C18" s="9">
        <f t="shared" si="0"/>
        <v>20260602</v>
      </c>
      <c r="D18" s="14" t="str">
        <f>Data_Entry!C18</f>
        <v>L25</v>
      </c>
      <c r="E18" s="14" t="str">
        <f>Data_Entry!D18</f>
        <v>AMA</v>
      </c>
      <c r="F18" s="14" t="str">
        <f>Data_Entry!E18</f>
        <v>PC-2402</v>
      </c>
      <c r="G18" s="9" t="str">
        <f>INDEX(Dim_Defect[DefectID],MATCH(Data_Entry!F18,Dim_Defect[DefectName],0))</f>
        <v>D04</v>
      </c>
      <c r="H18" s="14" t="str">
        <f>Data_Entry!F18</f>
        <v>Short Fill</v>
      </c>
      <c r="I18" s="9" t="str">
        <f>INDEX(Dim_Defect[ClassificationID],MATCH(G18,Dim_Defect[DefectID],0))</f>
        <v>C2</v>
      </c>
      <c r="J18" s="9" t="str">
        <f>INDEX(Dim_Classification[ClassificationName],MATCH(I18,Dim_Classification[ClassificationID],0))</f>
        <v>Major</v>
      </c>
      <c r="K18" s="9" t="str">
        <f>INDEX(Dim_Status[StatusID],MATCH(Data_Entry!I18,Dim_Status[StatusName],0))</f>
        <v>S2</v>
      </c>
      <c r="L18" s="14" t="str">
        <f>Data_Entry!I18</f>
        <v>Resorted</v>
      </c>
      <c r="M18" s="14">
        <f>Data_Entry!G18</f>
        <v>4</v>
      </c>
      <c r="N18" s="14">
        <f>Data_Entry!H18</f>
        <v>72</v>
      </c>
      <c r="O18" s="9">
        <f>INDEX(Dim_Status[DecisionValue],MATCH(K18,Dim_Status[StatusID],0))</f>
        <v>1</v>
      </c>
      <c r="P18" s="9">
        <f t="shared" si="1"/>
        <v>0</v>
      </c>
      <c r="Q18" s="9">
        <f t="shared" si="2"/>
        <v>288</v>
      </c>
      <c r="R18" s="9">
        <f t="shared" si="3"/>
        <v>0</v>
      </c>
      <c r="S18" s="9" t="str">
        <f t="shared" si="4"/>
        <v>20260602|L25|AMA|PC-2402</v>
      </c>
      <c r="T18" s="9">
        <f>IFERROR(INDEX(Summary_MoltenUnits[TotalMoltenUnits],MATCH(S18,Summary_MoltenUnits[MoltenKey],0)),0)</f>
        <v>0</v>
      </c>
      <c r="U18" s="9">
        <f t="shared" si="5"/>
        <v>3</v>
      </c>
      <c r="V18" s="16">
        <f t="shared" si="6"/>
        <v>0</v>
      </c>
      <c r="W18" s="16">
        <f t="shared" si="7"/>
        <v>0</v>
      </c>
      <c r="X18" s="16">
        <f t="shared" si="8"/>
        <v>0</v>
      </c>
      <c r="Y18" s="16">
        <f t="shared" si="9"/>
        <v>0</v>
      </c>
    </row>
    <row r="19" spans="1:25" ht="15" customHeight="1" x14ac:dyDescent="0.25">
      <c r="A19" s="14">
        <f>Data_Entry!A19</f>
        <v>15</v>
      </c>
      <c r="B19" s="15">
        <f>Data_Entry!B19</f>
        <v>46176</v>
      </c>
      <c r="C19" s="9">
        <f t="shared" si="0"/>
        <v>20260603</v>
      </c>
      <c r="D19" s="14" t="str">
        <f>Data_Entry!C19</f>
        <v>L22</v>
      </c>
      <c r="E19" s="14" t="str">
        <f>Data_Entry!D19</f>
        <v>PMB</v>
      </c>
      <c r="F19" s="14" t="str">
        <f>Data_Entry!E19</f>
        <v>PC-2501</v>
      </c>
      <c r="G19" s="9" t="str">
        <f>INDEX(Dim_Defect[DefectID],MATCH(Data_Entry!F19,Dim_Defect[DefectName],0))</f>
        <v>D05</v>
      </c>
      <c r="H19" s="14" t="str">
        <f>Data_Entry!F19</f>
        <v>Warpage</v>
      </c>
      <c r="I19" s="9" t="str">
        <f>INDEX(Dim_Defect[ClassificationID],MATCH(G19,Dim_Defect[DefectID],0))</f>
        <v>C2</v>
      </c>
      <c r="J19" s="9" t="str">
        <f>INDEX(Dim_Classification[ClassificationName],MATCH(I19,Dim_Classification[ClassificationID],0))</f>
        <v>Major</v>
      </c>
      <c r="K19" s="9" t="str">
        <f>INDEX(Dim_Status[StatusID],MATCH(Data_Entry!I19,Dim_Status[StatusName],0))</f>
        <v>S3</v>
      </c>
      <c r="L19" s="14" t="str">
        <f>Data_Entry!I19</f>
        <v>Move to Cullet</v>
      </c>
      <c r="M19" s="14">
        <f>Data_Entry!G19</f>
        <v>2</v>
      </c>
      <c r="N19" s="14">
        <f>Data_Entry!H19</f>
        <v>48</v>
      </c>
      <c r="O19" s="9">
        <f>INDEX(Dim_Status[DecisionValue],MATCH(K19,Dim_Status[StatusID],0))</f>
        <v>0</v>
      </c>
      <c r="P19" s="9">
        <f t="shared" si="1"/>
        <v>0</v>
      </c>
      <c r="Q19" s="9">
        <f t="shared" si="2"/>
        <v>0</v>
      </c>
      <c r="R19" s="9">
        <f t="shared" si="3"/>
        <v>96</v>
      </c>
      <c r="S19" s="9" t="str">
        <f t="shared" si="4"/>
        <v>20260603|L22|PMB|PC-2501</v>
      </c>
      <c r="T19" s="9">
        <f>IFERROR(INDEX(Summary_MoltenUnits[TotalMoltenUnits],MATCH(S19,Summary_MoltenUnits[MoltenKey],0)),0)</f>
        <v>0</v>
      </c>
      <c r="U19" s="9">
        <f t="shared" si="5"/>
        <v>2</v>
      </c>
      <c r="V19" s="16">
        <f t="shared" si="6"/>
        <v>0</v>
      </c>
      <c r="W19" s="16">
        <f t="shared" si="7"/>
        <v>0</v>
      </c>
      <c r="X19" s="16">
        <f t="shared" si="8"/>
        <v>0</v>
      </c>
      <c r="Y19" s="16">
        <f t="shared" si="9"/>
        <v>0</v>
      </c>
    </row>
    <row r="20" spans="1:25" ht="15" customHeight="1" x14ac:dyDescent="0.25">
      <c r="A20" s="14">
        <f>Data_Entry!A20</f>
        <v>16</v>
      </c>
      <c r="B20" s="15">
        <f>Data_Entry!B20</f>
        <v>46180</v>
      </c>
      <c r="C20" s="9">
        <f t="shared" ref="C20" si="10">VALUE(TEXT(B20,"yyyymmdd"))</f>
        <v>20260607</v>
      </c>
      <c r="D20" s="14" t="str">
        <f>Data_Entry!C20</f>
        <v>L23</v>
      </c>
      <c r="E20" s="14" t="str">
        <f>Data_Entry!D20</f>
        <v>AMD</v>
      </c>
      <c r="F20" s="14" t="str">
        <f>Data_Entry!E20</f>
        <v>PC-2202</v>
      </c>
      <c r="G20" s="9" t="str">
        <f>INDEX(Dim_Defect[DefectID],MATCH(Data_Entry!F20,Dim_Defect[DefectName],0))</f>
        <v>D03</v>
      </c>
      <c r="H20" s="14" t="str">
        <f>Data_Entry!F20</f>
        <v>Contamination</v>
      </c>
      <c r="I20" s="9" t="str">
        <f>INDEX(Dim_Defect[ClassificationID],MATCH(G20,Dim_Defect[DefectID],0))</f>
        <v>C1</v>
      </c>
      <c r="J20" s="9" t="str">
        <f>INDEX(Dim_Classification[ClassificationName],MATCH(I20,Dim_Classification[ClassificationID],0))</f>
        <v>Critical</v>
      </c>
      <c r="K20" s="9" t="str">
        <f>INDEX(Dim_Status[StatusID],MATCH(Data_Entry!I20,Dim_Status[StatusName],0))</f>
        <v>S2</v>
      </c>
      <c r="L20" s="14" t="str">
        <f>Data_Entry!I20</f>
        <v>Resorted</v>
      </c>
      <c r="M20" s="14">
        <f>Data_Entry!G20</f>
        <v>4</v>
      </c>
      <c r="N20" s="14">
        <f>Data_Entry!H20</f>
        <v>48</v>
      </c>
      <c r="O20" s="9">
        <f>INDEX(Dim_Status[DecisionValue],MATCH(K20,Dim_Status[StatusID],0))</f>
        <v>1</v>
      </c>
      <c r="P20" s="9">
        <f t="shared" ref="P20" si="11">IF(L20="Hold",M20*N20,0)</f>
        <v>0</v>
      </c>
      <c r="Q20" s="9">
        <f t="shared" ref="Q20" si="12">IF(L20="Resorted",M20*N20,0)</f>
        <v>192</v>
      </c>
      <c r="R20" s="9">
        <f t="shared" ref="R20" si="13">IF(L20="Move to Cullet",M20*N20,0)</f>
        <v>0</v>
      </c>
      <c r="S20" s="9" t="str">
        <f t="shared" ref="S20" si="14">TEXT(B20,"yyyymmdd")&amp;"|"&amp;D20&amp;"|"&amp;E20&amp;"|"&amp;F20</f>
        <v>20260607|L23|AMD|PC-2202</v>
      </c>
      <c r="T20" s="9">
        <f>IFERROR(INDEX(Summary_MoltenUnits[TotalMoltenUnits],MATCH(S20,Summary_MoltenUnits[MoltenKey],0)),0)</f>
        <v>0</v>
      </c>
      <c r="U20" s="9">
        <f t="shared" ref="U20" si="15">M20-O20</f>
        <v>3</v>
      </c>
      <c r="V20" s="16">
        <f t="shared" ref="V20" si="16">IFERROR(P20/T20,0)</f>
        <v>0</v>
      </c>
      <c r="W20" s="16">
        <f t="shared" ref="W20" si="17">IFERROR(Q20/T20,0)</f>
        <v>0</v>
      </c>
      <c r="X20" s="16">
        <f t="shared" ref="X20" si="18">IFERROR(R20/T20,0)</f>
        <v>0</v>
      </c>
      <c r="Y20" s="16">
        <f t="shared" ref="Y20" si="19">IFERROR((P20+Q20+R20)/T20,0)</f>
        <v>0</v>
      </c>
    </row>
    <row r="21" spans="1:25" ht="15" customHeight="1" x14ac:dyDescent="0.25">
      <c r="A21" s="30"/>
      <c r="B21" s="31"/>
      <c r="C21" s="32"/>
      <c r="D21" s="30"/>
      <c r="E21" s="30"/>
      <c r="F21" s="30"/>
      <c r="G21" s="32"/>
      <c r="H21" s="30"/>
      <c r="I21" s="32"/>
      <c r="J21" s="32"/>
      <c r="K21" s="32"/>
      <c r="L21" s="30"/>
      <c r="M21" s="30"/>
      <c r="N21" s="30"/>
      <c r="O21" s="32"/>
      <c r="P21" s="32"/>
      <c r="Q21" s="32"/>
      <c r="R21" s="32"/>
      <c r="S21" s="32"/>
      <c r="T21" s="32"/>
      <c r="U21" s="32"/>
      <c r="V21" s="33"/>
      <c r="W21" s="33"/>
      <c r="X21" s="33"/>
      <c r="Y21" s="33"/>
    </row>
    <row r="22" spans="1:25" ht="15" customHeight="1" x14ac:dyDescent="0.25">
      <c r="A22" s="30"/>
      <c r="B22" s="31"/>
      <c r="C22" s="32"/>
      <c r="D22" s="30"/>
      <c r="E22" s="30"/>
      <c r="F22" s="30"/>
      <c r="G22" s="32"/>
      <c r="H22" s="30"/>
      <c r="I22" s="32"/>
      <c r="J22" s="32"/>
      <c r="K22" s="32"/>
      <c r="L22" s="30"/>
      <c r="M22" s="30"/>
      <c r="N22" s="30"/>
      <c r="O22" s="32"/>
      <c r="P22" s="32"/>
      <c r="Q22" s="32"/>
      <c r="R22" s="32"/>
      <c r="S22" s="32"/>
      <c r="T22" s="32"/>
      <c r="U22" s="32"/>
      <c r="V22" s="33"/>
      <c r="W22" s="33"/>
      <c r="X22" s="33"/>
      <c r="Y22" s="33"/>
    </row>
    <row r="23" spans="1:25" ht="15" customHeight="1" x14ac:dyDescent="0.25">
      <c r="A23" s="30"/>
      <c r="B23" s="31"/>
      <c r="C23" s="32"/>
      <c r="D23" s="30"/>
      <c r="E23" s="30"/>
      <c r="F23" s="30"/>
      <c r="G23" s="32"/>
      <c r="H23" s="30"/>
      <c r="I23" s="32"/>
      <c r="J23" s="32"/>
      <c r="K23" s="32"/>
      <c r="L23" s="30"/>
      <c r="M23" s="30"/>
      <c r="N23" s="30"/>
      <c r="O23" s="32"/>
      <c r="P23" s="32"/>
      <c r="Q23" s="32"/>
      <c r="R23" s="32"/>
      <c r="S23" s="32"/>
      <c r="T23" s="32"/>
      <c r="U23" s="32"/>
      <c r="V23" s="33"/>
      <c r="W23" s="33"/>
      <c r="X23" s="33"/>
      <c r="Y23" s="33"/>
    </row>
    <row r="24" spans="1:25" ht="15" customHeight="1" x14ac:dyDescent="0.25">
      <c r="A24" s="30"/>
      <c r="B24" s="31"/>
      <c r="C24" s="32"/>
      <c r="D24" s="30"/>
      <c r="E24" s="30"/>
      <c r="F24" s="30"/>
      <c r="G24" s="32"/>
      <c r="H24" s="30"/>
      <c r="I24" s="32"/>
      <c r="J24" s="32"/>
      <c r="K24" s="32"/>
      <c r="L24" s="30"/>
      <c r="M24" s="30"/>
      <c r="N24" s="30"/>
      <c r="O24" s="32"/>
      <c r="P24" s="32"/>
      <c r="Q24" s="32"/>
      <c r="R24" s="32"/>
      <c r="S24" s="32"/>
      <c r="T24" s="32"/>
      <c r="U24" s="32"/>
      <c r="V24" s="33"/>
      <c r="W24" s="33"/>
      <c r="X24" s="33"/>
      <c r="Y24" s="33"/>
    </row>
    <row r="25" spans="1:25" ht="15" customHeight="1" x14ac:dyDescent="0.25">
      <c r="A25" s="30"/>
      <c r="B25" s="31"/>
      <c r="C25" s="32"/>
      <c r="D25" s="30"/>
      <c r="E25" s="30"/>
      <c r="F25" s="30"/>
      <c r="G25" s="32"/>
      <c r="H25" s="30"/>
      <c r="I25" s="32"/>
      <c r="J25" s="32"/>
      <c r="K25" s="32"/>
      <c r="L25" s="30"/>
      <c r="M25" s="30"/>
      <c r="N25" s="30"/>
      <c r="O25" s="32"/>
      <c r="P25" s="32"/>
      <c r="Q25" s="32"/>
      <c r="R25" s="32"/>
      <c r="S25" s="32"/>
      <c r="T25" s="32"/>
      <c r="U25" s="32"/>
      <c r="V25" s="33"/>
      <c r="W25" s="33"/>
      <c r="X25" s="33"/>
      <c r="Y25" s="33"/>
    </row>
    <row r="26" spans="1:25" ht="15" customHeight="1" x14ac:dyDescent="0.25">
      <c r="A26" s="30"/>
      <c r="B26" s="31"/>
      <c r="C26" s="32"/>
      <c r="D26" s="30"/>
      <c r="E26" s="30"/>
      <c r="F26" s="30"/>
      <c r="G26" s="32"/>
      <c r="H26" s="30"/>
      <c r="I26" s="32"/>
      <c r="J26" s="32"/>
      <c r="K26" s="32"/>
      <c r="L26" s="30"/>
      <c r="M26" s="30"/>
      <c r="N26" s="30"/>
      <c r="O26" s="32"/>
      <c r="P26" s="32"/>
      <c r="Q26" s="32"/>
      <c r="R26" s="32"/>
      <c r="S26" s="32"/>
      <c r="T26" s="32"/>
      <c r="U26" s="32"/>
      <c r="V26" s="33"/>
      <c r="W26" s="33"/>
      <c r="X26" s="33"/>
      <c r="Y26" s="33"/>
    </row>
    <row r="27" spans="1:25" ht="15" customHeight="1" x14ac:dyDescent="0.25">
      <c r="A27" s="30"/>
      <c r="B27" s="31"/>
      <c r="C27" s="32"/>
      <c r="D27" s="30"/>
      <c r="E27" s="30"/>
      <c r="F27" s="30"/>
      <c r="G27" s="32"/>
      <c r="H27" s="30"/>
      <c r="I27" s="32"/>
      <c r="J27" s="32"/>
      <c r="K27" s="32"/>
      <c r="L27" s="30"/>
      <c r="M27" s="30"/>
      <c r="N27" s="30"/>
      <c r="O27" s="32"/>
      <c r="P27" s="32"/>
      <c r="Q27" s="32"/>
      <c r="R27" s="32"/>
      <c r="S27" s="32"/>
      <c r="T27" s="32"/>
      <c r="U27" s="32"/>
      <c r="V27" s="33"/>
      <c r="W27" s="33"/>
      <c r="X27" s="33"/>
      <c r="Y27" s="33"/>
    </row>
    <row r="28" spans="1:25" ht="15" customHeight="1" x14ac:dyDescent="0.25">
      <c r="A28" s="30"/>
      <c r="B28" s="31"/>
      <c r="C28" s="32"/>
      <c r="D28" s="30"/>
      <c r="E28" s="30"/>
      <c r="F28" s="30"/>
      <c r="G28" s="32"/>
      <c r="H28" s="30"/>
      <c r="I28" s="32"/>
      <c r="J28" s="32"/>
      <c r="K28" s="32"/>
      <c r="L28" s="30"/>
      <c r="M28" s="30"/>
      <c r="N28" s="30"/>
      <c r="O28" s="32"/>
      <c r="P28" s="32"/>
      <c r="Q28" s="32"/>
      <c r="R28" s="32"/>
      <c r="S28" s="32"/>
      <c r="T28" s="32"/>
      <c r="U28" s="32"/>
      <c r="V28" s="33"/>
      <c r="W28" s="33"/>
      <c r="X28" s="33"/>
      <c r="Y28" s="33"/>
    </row>
    <row r="29" spans="1:25" ht="15" customHeight="1" x14ac:dyDescent="0.25">
      <c r="A29" s="30"/>
      <c r="B29" s="31"/>
      <c r="C29" s="32"/>
      <c r="D29" s="30"/>
      <c r="E29" s="30"/>
      <c r="F29" s="30"/>
      <c r="G29" s="32"/>
      <c r="H29" s="30"/>
      <c r="I29" s="32"/>
      <c r="J29" s="32"/>
      <c r="K29" s="32"/>
      <c r="L29" s="30"/>
      <c r="M29" s="30"/>
      <c r="N29" s="30"/>
      <c r="O29" s="32"/>
      <c r="P29" s="32"/>
      <c r="Q29" s="32"/>
      <c r="R29" s="32"/>
      <c r="S29" s="32"/>
      <c r="T29" s="32"/>
      <c r="U29" s="32"/>
      <c r="V29" s="33"/>
      <c r="W29" s="33"/>
      <c r="X29" s="33"/>
      <c r="Y29" s="33"/>
    </row>
    <row r="30" spans="1:25" ht="15" customHeight="1" x14ac:dyDescent="0.25">
      <c r="A30" s="30"/>
      <c r="B30" s="31"/>
      <c r="C30" s="32"/>
      <c r="D30" s="30"/>
      <c r="E30" s="30"/>
      <c r="F30" s="30"/>
      <c r="G30" s="32"/>
      <c r="H30" s="30"/>
      <c r="I30" s="32"/>
      <c r="J30" s="32"/>
      <c r="K30" s="32"/>
      <c r="L30" s="30"/>
      <c r="M30" s="30"/>
      <c r="N30" s="30"/>
      <c r="O30" s="32"/>
      <c r="P30" s="32"/>
      <c r="Q30" s="32"/>
      <c r="R30" s="32"/>
      <c r="S30" s="32"/>
      <c r="T30" s="32"/>
      <c r="U30" s="32"/>
      <c r="V30" s="33"/>
      <c r="W30" s="33"/>
      <c r="X30" s="33"/>
      <c r="Y30" s="33"/>
    </row>
    <row r="31" spans="1:25" ht="15" customHeight="1" x14ac:dyDescent="0.25">
      <c r="A31" s="30"/>
      <c r="B31" s="31"/>
      <c r="C31" s="32"/>
      <c r="D31" s="30"/>
      <c r="E31" s="30"/>
      <c r="F31" s="30"/>
      <c r="G31" s="32"/>
      <c r="H31" s="30"/>
      <c r="I31" s="32"/>
      <c r="J31" s="32"/>
      <c r="K31" s="32"/>
      <c r="L31" s="30"/>
      <c r="M31" s="30"/>
      <c r="N31" s="30"/>
      <c r="O31" s="32"/>
      <c r="P31" s="32"/>
      <c r="Q31" s="32"/>
      <c r="R31" s="32"/>
      <c r="S31" s="32"/>
      <c r="T31" s="32"/>
      <c r="U31" s="32"/>
      <c r="V31" s="33"/>
      <c r="W31" s="33"/>
      <c r="X31" s="33"/>
      <c r="Y31" s="33"/>
    </row>
    <row r="32" spans="1:25" ht="15" customHeight="1" x14ac:dyDescent="0.25">
      <c r="A32" s="30"/>
      <c r="B32" s="31"/>
      <c r="C32" s="32"/>
      <c r="D32" s="30"/>
      <c r="E32" s="30"/>
      <c r="F32" s="30"/>
      <c r="G32" s="32"/>
      <c r="H32" s="30"/>
      <c r="I32" s="32"/>
      <c r="J32" s="32"/>
      <c r="K32" s="32"/>
      <c r="L32" s="30"/>
      <c r="M32" s="30"/>
      <c r="N32" s="30"/>
      <c r="O32" s="32"/>
      <c r="P32" s="32"/>
      <c r="Q32" s="32"/>
      <c r="R32" s="32"/>
      <c r="S32" s="32"/>
      <c r="T32" s="32"/>
      <c r="U32" s="32"/>
      <c r="V32" s="33"/>
      <c r="W32" s="33"/>
      <c r="X32" s="33"/>
      <c r="Y32" s="33"/>
    </row>
    <row r="33" spans="1:25" ht="15" customHeight="1" x14ac:dyDescent="0.25">
      <c r="A33" s="30"/>
      <c r="B33" s="31"/>
      <c r="C33" s="32"/>
      <c r="D33" s="30"/>
      <c r="E33" s="30"/>
      <c r="F33" s="30"/>
      <c r="G33" s="32"/>
      <c r="H33" s="30"/>
      <c r="I33" s="32"/>
      <c r="J33" s="32"/>
      <c r="K33" s="32"/>
      <c r="L33" s="30"/>
      <c r="M33" s="30"/>
      <c r="N33" s="30"/>
      <c r="O33" s="32"/>
      <c r="P33" s="32"/>
      <c r="Q33" s="32"/>
      <c r="R33" s="32"/>
      <c r="S33" s="32"/>
      <c r="T33" s="32"/>
      <c r="U33" s="32"/>
      <c r="V33" s="33"/>
      <c r="W33" s="33"/>
      <c r="X33" s="33"/>
      <c r="Y33" s="33"/>
    </row>
    <row r="34" spans="1:25" ht="15" customHeight="1" x14ac:dyDescent="0.25">
      <c r="A34" s="30"/>
      <c r="B34" s="31"/>
      <c r="C34" s="32"/>
      <c r="D34" s="30"/>
      <c r="E34" s="30"/>
      <c r="F34" s="30"/>
      <c r="G34" s="32"/>
      <c r="H34" s="30"/>
      <c r="I34" s="32"/>
      <c r="J34" s="32"/>
      <c r="K34" s="32"/>
      <c r="L34" s="30"/>
      <c r="M34" s="30"/>
      <c r="N34" s="30"/>
      <c r="O34" s="32"/>
      <c r="P34" s="32"/>
      <c r="Q34" s="32"/>
      <c r="R34" s="32"/>
      <c r="S34" s="32"/>
      <c r="T34" s="32"/>
      <c r="U34" s="32"/>
      <c r="V34" s="33"/>
      <c r="W34" s="33"/>
      <c r="X34" s="33"/>
      <c r="Y34" s="33"/>
    </row>
    <row r="35" spans="1:25" ht="15" customHeight="1" x14ac:dyDescent="0.25">
      <c r="A35" s="30"/>
      <c r="B35" s="31"/>
      <c r="C35" s="32"/>
      <c r="D35" s="30"/>
      <c r="E35" s="30"/>
      <c r="F35" s="30"/>
      <c r="G35" s="32"/>
      <c r="H35" s="30"/>
      <c r="I35" s="32"/>
      <c r="J35" s="32"/>
      <c r="K35" s="32"/>
      <c r="L35" s="30"/>
      <c r="M35" s="30"/>
      <c r="N35" s="30"/>
      <c r="O35" s="32"/>
      <c r="P35" s="32"/>
      <c r="Q35" s="32"/>
      <c r="R35" s="32"/>
      <c r="S35" s="32"/>
      <c r="T35" s="32"/>
      <c r="U35" s="32"/>
      <c r="V35" s="33"/>
      <c r="W35" s="33"/>
      <c r="X35" s="33"/>
      <c r="Y35" s="33"/>
    </row>
    <row r="36" spans="1:25" ht="15" customHeight="1" x14ac:dyDescent="0.25">
      <c r="A36" s="30"/>
      <c r="B36" s="31"/>
      <c r="C36" s="32"/>
      <c r="D36" s="30"/>
      <c r="E36" s="30"/>
      <c r="F36" s="30"/>
      <c r="G36" s="32"/>
      <c r="H36" s="30"/>
      <c r="I36" s="32"/>
      <c r="J36" s="32"/>
      <c r="K36" s="32"/>
      <c r="L36" s="30"/>
      <c r="M36" s="30"/>
      <c r="N36" s="30"/>
      <c r="O36" s="32"/>
      <c r="P36" s="32"/>
      <c r="Q36" s="32"/>
      <c r="R36" s="32"/>
      <c r="S36" s="32"/>
      <c r="T36" s="32"/>
      <c r="U36" s="32"/>
      <c r="V36" s="33"/>
      <c r="W36" s="33"/>
      <c r="X36" s="33"/>
      <c r="Y36" s="33"/>
    </row>
    <row r="37" spans="1:25" ht="15" customHeight="1" x14ac:dyDescent="0.25">
      <c r="A37" s="30"/>
      <c r="B37" s="31"/>
      <c r="C37" s="32"/>
      <c r="D37" s="30"/>
      <c r="E37" s="30"/>
      <c r="F37" s="30"/>
      <c r="G37" s="32"/>
      <c r="H37" s="30"/>
      <c r="I37" s="32"/>
      <c r="J37" s="32"/>
      <c r="K37" s="32"/>
      <c r="L37" s="30"/>
      <c r="M37" s="30"/>
      <c r="N37" s="30"/>
      <c r="O37" s="32"/>
      <c r="P37" s="32"/>
      <c r="Q37" s="32"/>
      <c r="R37" s="32"/>
      <c r="S37" s="32"/>
      <c r="T37" s="32"/>
      <c r="U37" s="32"/>
      <c r="V37" s="33"/>
      <c r="W37" s="33"/>
      <c r="X37" s="33"/>
      <c r="Y37" s="33"/>
    </row>
    <row r="38" spans="1:25" ht="15" customHeight="1" x14ac:dyDescent="0.25">
      <c r="A38" s="30"/>
      <c r="B38" s="31"/>
      <c r="C38" s="32"/>
      <c r="D38" s="30"/>
      <c r="E38" s="30"/>
      <c r="F38" s="30"/>
      <c r="G38" s="32"/>
      <c r="H38" s="30"/>
      <c r="I38" s="32"/>
      <c r="J38" s="32"/>
      <c r="K38" s="32"/>
      <c r="L38" s="30"/>
      <c r="M38" s="30"/>
      <c r="N38" s="30"/>
      <c r="O38" s="32"/>
      <c r="P38" s="32"/>
      <c r="Q38" s="32"/>
      <c r="R38" s="32"/>
      <c r="S38" s="32"/>
      <c r="T38" s="32"/>
      <c r="U38" s="32"/>
      <c r="V38" s="33"/>
      <c r="W38" s="33"/>
      <c r="X38" s="33"/>
      <c r="Y38" s="33"/>
    </row>
    <row r="39" spans="1:25" ht="15" customHeight="1" x14ac:dyDescent="0.25">
      <c r="A39" s="30"/>
      <c r="B39" s="31"/>
      <c r="C39" s="32"/>
      <c r="D39" s="30"/>
      <c r="E39" s="30"/>
      <c r="F39" s="30"/>
      <c r="G39" s="32"/>
      <c r="H39" s="30"/>
      <c r="I39" s="32"/>
      <c r="J39" s="32"/>
      <c r="K39" s="32"/>
      <c r="L39" s="30"/>
      <c r="M39" s="30"/>
      <c r="N39" s="30"/>
      <c r="O39" s="32"/>
      <c r="P39" s="32"/>
      <c r="Q39" s="32"/>
      <c r="R39" s="32"/>
      <c r="S39" s="32"/>
      <c r="T39" s="32"/>
      <c r="U39" s="32"/>
      <c r="V39" s="33"/>
      <c r="W39" s="33"/>
      <c r="X39" s="33"/>
      <c r="Y39" s="33"/>
    </row>
    <row r="40" spans="1:25" ht="15" customHeight="1" x14ac:dyDescent="0.25">
      <c r="A40" s="30"/>
      <c r="B40" s="31"/>
      <c r="C40" s="32"/>
      <c r="D40" s="30"/>
      <c r="E40" s="30"/>
      <c r="F40" s="30"/>
      <c r="G40" s="32"/>
      <c r="H40" s="30"/>
      <c r="I40" s="32"/>
      <c r="J40" s="32"/>
      <c r="K40" s="32"/>
      <c r="L40" s="30"/>
      <c r="M40" s="30"/>
      <c r="N40" s="30"/>
      <c r="O40" s="32"/>
      <c r="P40" s="32"/>
      <c r="Q40" s="32"/>
      <c r="R40" s="32"/>
      <c r="S40" s="32"/>
      <c r="T40" s="32"/>
      <c r="U40" s="32"/>
      <c r="V40" s="33"/>
      <c r="W40" s="33"/>
      <c r="X40" s="33"/>
      <c r="Y40" s="33"/>
    </row>
    <row r="41" spans="1:25" ht="15" customHeight="1" x14ac:dyDescent="0.25">
      <c r="A41" s="30"/>
      <c r="B41" s="31"/>
      <c r="C41" s="32"/>
      <c r="D41" s="30"/>
      <c r="E41" s="30"/>
      <c r="F41" s="30"/>
      <c r="G41" s="32"/>
      <c r="H41" s="30"/>
      <c r="I41" s="32"/>
      <c r="J41" s="32"/>
      <c r="K41" s="32"/>
      <c r="L41" s="30"/>
      <c r="M41" s="30"/>
      <c r="N41" s="30"/>
      <c r="O41" s="32"/>
      <c r="P41" s="32"/>
      <c r="Q41" s="32"/>
      <c r="R41" s="32"/>
      <c r="S41" s="32"/>
      <c r="T41" s="32"/>
      <c r="U41" s="32"/>
      <c r="V41" s="33"/>
      <c r="W41" s="33"/>
      <c r="X41" s="33"/>
      <c r="Y41" s="33"/>
    </row>
    <row r="42" spans="1:25" ht="15" customHeight="1" x14ac:dyDescent="0.25">
      <c r="A42" s="30"/>
      <c r="B42" s="31"/>
      <c r="C42" s="32"/>
      <c r="D42" s="30"/>
      <c r="E42" s="30"/>
      <c r="F42" s="30"/>
      <c r="G42" s="32"/>
      <c r="H42" s="30"/>
      <c r="I42" s="32"/>
      <c r="J42" s="32"/>
      <c r="K42" s="32"/>
      <c r="L42" s="30"/>
      <c r="M42" s="30"/>
      <c r="N42" s="30"/>
      <c r="O42" s="32"/>
      <c r="P42" s="32"/>
      <c r="Q42" s="32"/>
      <c r="R42" s="32"/>
      <c r="S42" s="32"/>
      <c r="T42" s="32"/>
      <c r="U42" s="32"/>
      <c r="V42" s="33"/>
      <c r="W42" s="33"/>
      <c r="X42" s="33"/>
      <c r="Y42" s="33"/>
    </row>
    <row r="44" spans="1:25" ht="15" customHeight="1" x14ac:dyDescent="0.25">
      <c r="A44" s="35" t="s">
        <v>108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</sheetData>
  <mergeCells count="1">
    <mergeCell ref="A44:P4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C3E6"/>
  </sheetPr>
  <dimension ref="A1:J34"/>
  <sheetViews>
    <sheetView zoomScaleNormal="100" workbookViewId="0">
      <selection activeCell="M12" sqref="M12"/>
    </sheetView>
  </sheetViews>
  <sheetFormatPr defaultColWidth="8.7109375" defaultRowHeight="15" x14ac:dyDescent="0.25"/>
  <cols>
    <col min="1" max="1" width="33.140625" bestFit="1" customWidth="1"/>
    <col min="2" max="2" width="10.140625" bestFit="1" customWidth="1"/>
    <col min="3" max="3" width="9" bestFit="1" customWidth="1"/>
    <col min="4" max="4" width="15.28515625" bestFit="1" customWidth="1"/>
    <col min="5" max="5" width="16.42578125" bestFit="1" customWidth="1"/>
    <col min="6" max="6" width="12.42578125" bestFit="1" customWidth="1"/>
    <col min="7" max="7" width="9.7109375" bestFit="1" customWidth="1"/>
    <col min="8" max="8" width="19.42578125" bestFit="1" customWidth="1"/>
    <col min="9" max="9" width="18" bestFit="1" customWidth="1"/>
    <col min="10" max="10" width="15.5703125" bestFit="1" customWidth="1"/>
  </cols>
  <sheetData>
    <row r="1" spans="1:10" ht="17.25" customHeight="1" x14ac:dyDescent="0.25">
      <c r="A1" s="6" t="s">
        <v>14</v>
      </c>
    </row>
    <row r="2" spans="1:10" ht="15" customHeight="1" x14ac:dyDescent="0.25">
      <c r="A2" s="7" t="s">
        <v>109</v>
      </c>
    </row>
    <row r="4" spans="1:10" ht="23.25" customHeight="1" x14ac:dyDescent="0.25">
      <c r="A4" s="8" t="s">
        <v>93</v>
      </c>
      <c r="B4" s="8" t="s">
        <v>39</v>
      </c>
      <c r="C4" s="8" t="s">
        <v>110</v>
      </c>
      <c r="D4" s="8" t="s">
        <v>111</v>
      </c>
      <c r="E4" s="8" t="s">
        <v>112</v>
      </c>
      <c r="F4" s="8" t="s">
        <v>113</v>
      </c>
      <c r="G4" s="8" t="s">
        <v>114</v>
      </c>
      <c r="H4" s="8" t="s">
        <v>115</v>
      </c>
      <c r="I4" s="8" t="s">
        <v>116</v>
      </c>
      <c r="J4" s="8" t="s">
        <v>117</v>
      </c>
    </row>
    <row r="5" spans="1:10" ht="15" customHeight="1" x14ac:dyDescent="0.25">
      <c r="A5" s="9">
        <f t="shared" ref="A5:A34" si="0">VALUE(TEXT(B5,"yyyymmdd"))</f>
        <v>20260601</v>
      </c>
      <c r="B5" s="17">
        <v>46174</v>
      </c>
      <c r="C5" s="9">
        <f t="shared" ref="C5:C34" si="1">DAY(B5)</f>
        <v>1</v>
      </c>
      <c r="D5" s="9">
        <f t="shared" ref="D5:D34" si="2">MONTH(B5)</f>
        <v>6</v>
      </c>
      <c r="E5" s="9" t="str">
        <f t="shared" ref="E5:E34" si="3">TEXT(B5,"mmmm")</f>
        <v>June</v>
      </c>
      <c r="F5" s="9">
        <f t="shared" ref="F5:F34" si="4">ROUNDUP(MONTH(B5)/3,0)</f>
        <v>2</v>
      </c>
      <c r="G5" s="9">
        <f t="shared" ref="G5:G34" si="5">YEAR(B5)</f>
        <v>2026</v>
      </c>
      <c r="H5" s="9" t="str">
        <f t="shared" ref="H5:H34" si="6">TEXT(B5,"dddd")</f>
        <v>Monday</v>
      </c>
      <c r="I5" s="9">
        <f t="shared" ref="I5:I34" si="7">WEEKNUM(B5,1)</f>
        <v>23</v>
      </c>
      <c r="J5" s="9" t="str">
        <f t="shared" ref="J5:J34" si="8">IF(WEEKDAY(B5,2)&gt;5,"Yes","No")</f>
        <v>No</v>
      </c>
    </row>
    <row r="6" spans="1:10" ht="15" customHeight="1" x14ac:dyDescent="0.25">
      <c r="A6" s="9">
        <f t="shared" si="0"/>
        <v>20260602</v>
      </c>
      <c r="B6" s="17">
        <v>46175</v>
      </c>
      <c r="C6" s="9">
        <f t="shared" si="1"/>
        <v>2</v>
      </c>
      <c r="D6" s="9">
        <f t="shared" si="2"/>
        <v>6</v>
      </c>
      <c r="E6" s="9" t="str">
        <f t="shared" si="3"/>
        <v>June</v>
      </c>
      <c r="F6" s="9">
        <f t="shared" si="4"/>
        <v>2</v>
      </c>
      <c r="G6" s="9">
        <f t="shared" si="5"/>
        <v>2026</v>
      </c>
      <c r="H6" s="9" t="str">
        <f t="shared" si="6"/>
        <v>Tuesday</v>
      </c>
      <c r="I6" s="9">
        <f t="shared" si="7"/>
        <v>23</v>
      </c>
      <c r="J6" s="9" t="str">
        <f t="shared" si="8"/>
        <v>No</v>
      </c>
    </row>
    <row r="7" spans="1:10" ht="15" customHeight="1" x14ac:dyDescent="0.25">
      <c r="A7" s="9">
        <f t="shared" si="0"/>
        <v>20260603</v>
      </c>
      <c r="B7" s="17">
        <v>46176</v>
      </c>
      <c r="C7" s="9">
        <f t="shared" si="1"/>
        <v>3</v>
      </c>
      <c r="D7" s="9">
        <f t="shared" si="2"/>
        <v>6</v>
      </c>
      <c r="E7" s="9" t="str">
        <f t="shared" si="3"/>
        <v>June</v>
      </c>
      <c r="F7" s="9">
        <f t="shared" si="4"/>
        <v>2</v>
      </c>
      <c r="G7" s="9">
        <f t="shared" si="5"/>
        <v>2026</v>
      </c>
      <c r="H7" s="9" t="str">
        <f t="shared" si="6"/>
        <v>Wednesday</v>
      </c>
      <c r="I7" s="9">
        <f t="shared" si="7"/>
        <v>23</v>
      </c>
      <c r="J7" s="9" t="str">
        <f t="shared" si="8"/>
        <v>No</v>
      </c>
    </row>
    <row r="8" spans="1:10" ht="15" customHeight="1" x14ac:dyDescent="0.25">
      <c r="A8" s="9">
        <f t="shared" si="0"/>
        <v>20260604</v>
      </c>
      <c r="B8" s="17">
        <v>46177</v>
      </c>
      <c r="C8" s="9">
        <f t="shared" si="1"/>
        <v>4</v>
      </c>
      <c r="D8" s="9">
        <f t="shared" si="2"/>
        <v>6</v>
      </c>
      <c r="E8" s="9" t="str">
        <f t="shared" si="3"/>
        <v>June</v>
      </c>
      <c r="F8" s="9">
        <f t="shared" si="4"/>
        <v>2</v>
      </c>
      <c r="G8" s="9">
        <f t="shared" si="5"/>
        <v>2026</v>
      </c>
      <c r="H8" s="9" t="str">
        <f t="shared" si="6"/>
        <v>Thursday</v>
      </c>
      <c r="I8" s="9">
        <f t="shared" si="7"/>
        <v>23</v>
      </c>
      <c r="J8" s="9" t="str">
        <f t="shared" si="8"/>
        <v>No</v>
      </c>
    </row>
    <row r="9" spans="1:10" ht="15" customHeight="1" x14ac:dyDescent="0.25">
      <c r="A9" s="9">
        <f t="shared" si="0"/>
        <v>20260605</v>
      </c>
      <c r="B9" s="17">
        <v>46178</v>
      </c>
      <c r="C9" s="9">
        <f t="shared" si="1"/>
        <v>5</v>
      </c>
      <c r="D9" s="9">
        <f t="shared" si="2"/>
        <v>6</v>
      </c>
      <c r="E9" s="9" t="str">
        <f t="shared" si="3"/>
        <v>June</v>
      </c>
      <c r="F9" s="9">
        <f t="shared" si="4"/>
        <v>2</v>
      </c>
      <c r="G9" s="9">
        <f t="shared" si="5"/>
        <v>2026</v>
      </c>
      <c r="H9" s="9" t="str">
        <f t="shared" si="6"/>
        <v>Friday</v>
      </c>
      <c r="I9" s="9">
        <f t="shared" si="7"/>
        <v>23</v>
      </c>
      <c r="J9" s="9" t="str">
        <f t="shared" si="8"/>
        <v>No</v>
      </c>
    </row>
    <row r="10" spans="1:10" ht="15" customHeight="1" x14ac:dyDescent="0.25">
      <c r="A10" s="9">
        <f t="shared" si="0"/>
        <v>20260606</v>
      </c>
      <c r="B10" s="17">
        <v>46179</v>
      </c>
      <c r="C10" s="9">
        <f t="shared" si="1"/>
        <v>6</v>
      </c>
      <c r="D10" s="9">
        <f t="shared" si="2"/>
        <v>6</v>
      </c>
      <c r="E10" s="9" t="str">
        <f t="shared" si="3"/>
        <v>June</v>
      </c>
      <c r="F10" s="9">
        <f t="shared" si="4"/>
        <v>2</v>
      </c>
      <c r="G10" s="9">
        <f t="shared" si="5"/>
        <v>2026</v>
      </c>
      <c r="H10" s="9" t="str">
        <f t="shared" si="6"/>
        <v>Saturday</v>
      </c>
      <c r="I10" s="9">
        <f t="shared" si="7"/>
        <v>23</v>
      </c>
      <c r="J10" s="9" t="str">
        <f t="shared" si="8"/>
        <v>Yes</v>
      </c>
    </row>
    <row r="11" spans="1:10" ht="15" customHeight="1" x14ac:dyDescent="0.25">
      <c r="A11" s="9">
        <f t="shared" si="0"/>
        <v>20260607</v>
      </c>
      <c r="B11" s="17">
        <v>46180</v>
      </c>
      <c r="C11" s="9">
        <f t="shared" si="1"/>
        <v>7</v>
      </c>
      <c r="D11" s="9">
        <f t="shared" si="2"/>
        <v>6</v>
      </c>
      <c r="E11" s="9" t="str">
        <f t="shared" si="3"/>
        <v>June</v>
      </c>
      <c r="F11" s="9">
        <f t="shared" si="4"/>
        <v>2</v>
      </c>
      <c r="G11" s="9">
        <f t="shared" si="5"/>
        <v>2026</v>
      </c>
      <c r="H11" s="9" t="str">
        <f t="shared" si="6"/>
        <v>Sunday</v>
      </c>
      <c r="I11" s="9">
        <f t="shared" si="7"/>
        <v>24</v>
      </c>
      <c r="J11" s="9" t="str">
        <f t="shared" si="8"/>
        <v>Yes</v>
      </c>
    </row>
    <row r="12" spans="1:10" ht="15" customHeight="1" x14ac:dyDescent="0.25">
      <c r="A12" s="9">
        <f t="shared" si="0"/>
        <v>20260608</v>
      </c>
      <c r="B12" s="17">
        <v>46181</v>
      </c>
      <c r="C12" s="9">
        <f t="shared" si="1"/>
        <v>8</v>
      </c>
      <c r="D12" s="9">
        <f t="shared" si="2"/>
        <v>6</v>
      </c>
      <c r="E12" s="9" t="str">
        <f t="shared" si="3"/>
        <v>June</v>
      </c>
      <c r="F12" s="9">
        <f t="shared" si="4"/>
        <v>2</v>
      </c>
      <c r="G12" s="9">
        <f t="shared" si="5"/>
        <v>2026</v>
      </c>
      <c r="H12" s="9" t="str">
        <f t="shared" si="6"/>
        <v>Monday</v>
      </c>
      <c r="I12" s="9">
        <f t="shared" si="7"/>
        <v>24</v>
      </c>
      <c r="J12" s="9" t="str">
        <f t="shared" si="8"/>
        <v>No</v>
      </c>
    </row>
    <row r="13" spans="1:10" ht="15" customHeight="1" x14ac:dyDescent="0.25">
      <c r="A13" s="9">
        <f t="shared" si="0"/>
        <v>20260609</v>
      </c>
      <c r="B13" s="17">
        <v>46182</v>
      </c>
      <c r="C13" s="9">
        <f t="shared" si="1"/>
        <v>9</v>
      </c>
      <c r="D13" s="9">
        <f t="shared" si="2"/>
        <v>6</v>
      </c>
      <c r="E13" s="9" t="str">
        <f t="shared" si="3"/>
        <v>June</v>
      </c>
      <c r="F13" s="9">
        <f t="shared" si="4"/>
        <v>2</v>
      </c>
      <c r="G13" s="9">
        <f t="shared" si="5"/>
        <v>2026</v>
      </c>
      <c r="H13" s="9" t="str">
        <f t="shared" si="6"/>
        <v>Tuesday</v>
      </c>
      <c r="I13" s="9">
        <f t="shared" si="7"/>
        <v>24</v>
      </c>
      <c r="J13" s="9" t="str">
        <f t="shared" si="8"/>
        <v>No</v>
      </c>
    </row>
    <row r="14" spans="1:10" ht="15" customHeight="1" x14ac:dyDescent="0.25">
      <c r="A14" s="9">
        <f t="shared" si="0"/>
        <v>20260610</v>
      </c>
      <c r="B14" s="17">
        <v>46183</v>
      </c>
      <c r="C14" s="9">
        <f t="shared" si="1"/>
        <v>10</v>
      </c>
      <c r="D14" s="9">
        <f t="shared" si="2"/>
        <v>6</v>
      </c>
      <c r="E14" s="9" t="str">
        <f t="shared" si="3"/>
        <v>June</v>
      </c>
      <c r="F14" s="9">
        <f t="shared" si="4"/>
        <v>2</v>
      </c>
      <c r="G14" s="9">
        <f t="shared" si="5"/>
        <v>2026</v>
      </c>
      <c r="H14" s="9" t="str">
        <f t="shared" si="6"/>
        <v>Wednesday</v>
      </c>
      <c r="I14" s="9">
        <f t="shared" si="7"/>
        <v>24</v>
      </c>
      <c r="J14" s="9" t="str">
        <f t="shared" si="8"/>
        <v>No</v>
      </c>
    </row>
    <row r="15" spans="1:10" ht="15" customHeight="1" x14ac:dyDescent="0.25">
      <c r="A15" s="9">
        <f t="shared" si="0"/>
        <v>20260611</v>
      </c>
      <c r="B15" s="17">
        <v>46184</v>
      </c>
      <c r="C15" s="9">
        <f t="shared" si="1"/>
        <v>11</v>
      </c>
      <c r="D15" s="9">
        <f t="shared" si="2"/>
        <v>6</v>
      </c>
      <c r="E15" s="9" t="str">
        <f t="shared" si="3"/>
        <v>June</v>
      </c>
      <c r="F15" s="9">
        <f t="shared" si="4"/>
        <v>2</v>
      </c>
      <c r="G15" s="9">
        <f t="shared" si="5"/>
        <v>2026</v>
      </c>
      <c r="H15" s="9" t="str">
        <f t="shared" si="6"/>
        <v>Thursday</v>
      </c>
      <c r="I15" s="9">
        <f t="shared" si="7"/>
        <v>24</v>
      </c>
      <c r="J15" s="9" t="str">
        <f t="shared" si="8"/>
        <v>No</v>
      </c>
    </row>
    <row r="16" spans="1:10" ht="15" customHeight="1" x14ac:dyDescent="0.25">
      <c r="A16" s="9">
        <f t="shared" si="0"/>
        <v>20260612</v>
      </c>
      <c r="B16" s="17">
        <v>46185</v>
      </c>
      <c r="C16" s="9">
        <f t="shared" si="1"/>
        <v>12</v>
      </c>
      <c r="D16" s="9">
        <f t="shared" si="2"/>
        <v>6</v>
      </c>
      <c r="E16" s="9" t="str">
        <f t="shared" si="3"/>
        <v>June</v>
      </c>
      <c r="F16" s="9">
        <f t="shared" si="4"/>
        <v>2</v>
      </c>
      <c r="G16" s="9">
        <f t="shared" si="5"/>
        <v>2026</v>
      </c>
      <c r="H16" s="9" t="str">
        <f t="shared" si="6"/>
        <v>Friday</v>
      </c>
      <c r="I16" s="9">
        <f t="shared" si="7"/>
        <v>24</v>
      </c>
      <c r="J16" s="9" t="str">
        <f t="shared" si="8"/>
        <v>No</v>
      </c>
    </row>
    <row r="17" spans="1:10" ht="15" customHeight="1" x14ac:dyDescent="0.25">
      <c r="A17" s="9">
        <f t="shared" si="0"/>
        <v>20260613</v>
      </c>
      <c r="B17" s="17">
        <v>46186</v>
      </c>
      <c r="C17" s="9">
        <f t="shared" si="1"/>
        <v>13</v>
      </c>
      <c r="D17" s="9">
        <f t="shared" si="2"/>
        <v>6</v>
      </c>
      <c r="E17" s="9" t="str">
        <f t="shared" si="3"/>
        <v>June</v>
      </c>
      <c r="F17" s="9">
        <f t="shared" si="4"/>
        <v>2</v>
      </c>
      <c r="G17" s="9">
        <f t="shared" si="5"/>
        <v>2026</v>
      </c>
      <c r="H17" s="9" t="str">
        <f t="shared" si="6"/>
        <v>Saturday</v>
      </c>
      <c r="I17" s="9">
        <f t="shared" si="7"/>
        <v>24</v>
      </c>
      <c r="J17" s="9" t="str">
        <f t="shared" si="8"/>
        <v>Yes</v>
      </c>
    </row>
    <row r="18" spans="1:10" ht="15" customHeight="1" x14ac:dyDescent="0.25">
      <c r="A18" s="9">
        <f t="shared" si="0"/>
        <v>20260614</v>
      </c>
      <c r="B18" s="17">
        <v>46187</v>
      </c>
      <c r="C18" s="9">
        <f t="shared" si="1"/>
        <v>14</v>
      </c>
      <c r="D18" s="9">
        <f t="shared" si="2"/>
        <v>6</v>
      </c>
      <c r="E18" s="9" t="str">
        <f t="shared" si="3"/>
        <v>June</v>
      </c>
      <c r="F18" s="9">
        <f t="shared" si="4"/>
        <v>2</v>
      </c>
      <c r="G18" s="9">
        <f t="shared" si="5"/>
        <v>2026</v>
      </c>
      <c r="H18" s="9" t="str">
        <f t="shared" si="6"/>
        <v>Sunday</v>
      </c>
      <c r="I18" s="9">
        <f t="shared" si="7"/>
        <v>25</v>
      </c>
      <c r="J18" s="9" t="str">
        <f t="shared" si="8"/>
        <v>Yes</v>
      </c>
    </row>
    <row r="19" spans="1:10" ht="15" customHeight="1" x14ac:dyDescent="0.25">
      <c r="A19" s="9">
        <f t="shared" si="0"/>
        <v>20260615</v>
      </c>
      <c r="B19" s="17">
        <v>46188</v>
      </c>
      <c r="C19" s="9">
        <f t="shared" si="1"/>
        <v>15</v>
      </c>
      <c r="D19" s="9">
        <f t="shared" si="2"/>
        <v>6</v>
      </c>
      <c r="E19" s="9" t="str">
        <f t="shared" si="3"/>
        <v>June</v>
      </c>
      <c r="F19" s="9">
        <f t="shared" si="4"/>
        <v>2</v>
      </c>
      <c r="G19" s="9">
        <f t="shared" si="5"/>
        <v>2026</v>
      </c>
      <c r="H19" s="9" t="str">
        <f t="shared" si="6"/>
        <v>Monday</v>
      </c>
      <c r="I19" s="9">
        <f t="shared" si="7"/>
        <v>25</v>
      </c>
      <c r="J19" s="9" t="str">
        <f t="shared" si="8"/>
        <v>No</v>
      </c>
    </row>
    <row r="20" spans="1:10" ht="15" customHeight="1" x14ac:dyDescent="0.25">
      <c r="A20" s="9">
        <f t="shared" si="0"/>
        <v>20260616</v>
      </c>
      <c r="B20" s="17">
        <v>46189</v>
      </c>
      <c r="C20" s="9">
        <f t="shared" si="1"/>
        <v>16</v>
      </c>
      <c r="D20" s="9">
        <f t="shared" si="2"/>
        <v>6</v>
      </c>
      <c r="E20" s="9" t="str">
        <f t="shared" si="3"/>
        <v>June</v>
      </c>
      <c r="F20" s="9">
        <f t="shared" si="4"/>
        <v>2</v>
      </c>
      <c r="G20" s="9">
        <f t="shared" si="5"/>
        <v>2026</v>
      </c>
      <c r="H20" s="9" t="str">
        <f t="shared" si="6"/>
        <v>Tuesday</v>
      </c>
      <c r="I20" s="9">
        <f t="shared" si="7"/>
        <v>25</v>
      </c>
      <c r="J20" s="9" t="str">
        <f t="shared" si="8"/>
        <v>No</v>
      </c>
    </row>
    <row r="21" spans="1:10" ht="15" customHeight="1" x14ac:dyDescent="0.25">
      <c r="A21" s="9">
        <f t="shared" si="0"/>
        <v>20260617</v>
      </c>
      <c r="B21" s="17">
        <v>46190</v>
      </c>
      <c r="C21" s="9">
        <f t="shared" si="1"/>
        <v>17</v>
      </c>
      <c r="D21" s="9">
        <f t="shared" si="2"/>
        <v>6</v>
      </c>
      <c r="E21" s="9" t="str">
        <f t="shared" si="3"/>
        <v>June</v>
      </c>
      <c r="F21" s="9">
        <f t="shared" si="4"/>
        <v>2</v>
      </c>
      <c r="G21" s="9">
        <f t="shared" si="5"/>
        <v>2026</v>
      </c>
      <c r="H21" s="9" t="str">
        <f t="shared" si="6"/>
        <v>Wednesday</v>
      </c>
      <c r="I21" s="9">
        <f t="shared" si="7"/>
        <v>25</v>
      </c>
      <c r="J21" s="9" t="str">
        <f t="shared" si="8"/>
        <v>No</v>
      </c>
    </row>
    <row r="22" spans="1:10" ht="15" customHeight="1" x14ac:dyDescent="0.25">
      <c r="A22" s="9">
        <f t="shared" si="0"/>
        <v>20260618</v>
      </c>
      <c r="B22" s="17">
        <v>46191</v>
      </c>
      <c r="C22" s="9">
        <f t="shared" si="1"/>
        <v>18</v>
      </c>
      <c r="D22" s="9">
        <f t="shared" si="2"/>
        <v>6</v>
      </c>
      <c r="E22" s="9" t="str">
        <f t="shared" si="3"/>
        <v>June</v>
      </c>
      <c r="F22" s="9">
        <f t="shared" si="4"/>
        <v>2</v>
      </c>
      <c r="G22" s="9">
        <f t="shared" si="5"/>
        <v>2026</v>
      </c>
      <c r="H22" s="9" t="str">
        <f t="shared" si="6"/>
        <v>Thursday</v>
      </c>
      <c r="I22" s="9">
        <f t="shared" si="7"/>
        <v>25</v>
      </c>
      <c r="J22" s="9" t="str">
        <f t="shared" si="8"/>
        <v>No</v>
      </c>
    </row>
    <row r="23" spans="1:10" ht="15" customHeight="1" x14ac:dyDescent="0.25">
      <c r="A23" s="9">
        <f t="shared" si="0"/>
        <v>20260619</v>
      </c>
      <c r="B23" s="17">
        <v>46192</v>
      </c>
      <c r="C23" s="9">
        <f t="shared" si="1"/>
        <v>19</v>
      </c>
      <c r="D23" s="9">
        <f t="shared" si="2"/>
        <v>6</v>
      </c>
      <c r="E23" s="9" t="str">
        <f t="shared" si="3"/>
        <v>June</v>
      </c>
      <c r="F23" s="9">
        <f t="shared" si="4"/>
        <v>2</v>
      </c>
      <c r="G23" s="9">
        <f t="shared" si="5"/>
        <v>2026</v>
      </c>
      <c r="H23" s="9" t="str">
        <f t="shared" si="6"/>
        <v>Friday</v>
      </c>
      <c r="I23" s="9">
        <f t="shared" si="7"/>
        <v>25</v>
      </c>
      <c r="J23" s="9" t="str">
        <f t="shared" si="8"/>
        <v>No</v>
      </c>
    </row>
    <row r="24" spans="1:10" ht="15" customHeight="1" x14ac:dyDescent="0.25">
      <c r="A24" s="9">
        <f t="shared" si="0"/>
        <v>20260620</v>
      </c>
      <c r="B24" s="17">
        <v>46193</v>
      </c>
      <c r="C24" s="9">
        <f t="shared" si="1"/>
        <v>20</v>
      </c>
      <c r="D24" s="9">
        <f t="shared" si="2"/>
        <v>6</v>
      </c>
      <c r="E24" s="9" t="str">
        <f t="shared" si="3"/>
        <v>June</v>
      </c>
      <c r="F24" s="9">
        <f t="shared" si="4"/>
        <v>2</v>
      </c>
      <c r="G24" s="9">
        <f t="shared" si="5"/>
        <v>2026</v>
      </c>
      <c r="H24" s="9" t="str">
        <f t="shared" si="6"/>
        <v>Saturday</v>
      </c>
      <c r="I24" s="9">
        <f t="shared" si="7"/>
        <v>25</v>
      </c>
      <c r="J24" s="9" t="str">
        <f t="shared" si="8"/>
        <v>Yes</v>
      </c>
    </row>
    <row r="25" spans="1:10" ht="15" customHeight="1" x14ac:dyDescent="0.25">
      <c r="A25" s="9">
        <f t="shared" si="0"/>
        <v>20260621</v>
      </c>
      <c r="B25" s="17">
        <v>46194</v>
      </c>
      <c r="C25" s="9">
        <f t="shared" si="1"/>
        <v>21</v>
      </c>
      <c r="D25" s="9">
        <f t="shared" si="2"/>
        <v>6</v>
      </c>
      <c r="E25" s="9" t="str">
        <f t="shared" si="3"/>
        <v>June</v>
      </c>
      <c r="F25" s="9">
        <f t="shared" si="4"/>
        <v>2</v>
      </c>
      <c r="G25" s="9">
        <f t="shared" si="5"/>
        <v>2026</v>
      </c>
      <c r="H25" s="9" t="str">
        <f t="shared" si="6"/>
        <v>Sunday</v>
      </c>
      <c r="I25" s="9">
        <f t="shared" si="7"/>
        <v>26</v>
      </c>
      <c r="J25" s="9" t="str">
        <f t="shared" si="8"/>
        <v>Yes</v>
      </c>
    </row>
    <row r="26" spans="1:10" ht="15" customHeight="1" x14ac:dyDescent="0.25">
      <c r="A26" s="9">
        <f t="shared" si="0"/>
        <v>20260622</v>
      </c>
      <c r="B26" s="17">
        <v>46195</v>
      </c>
      <c r="C26" s="9">
        <f t="shared" si="1"/>
        <v>22</v>
      </c>
      <c r="D26" s="9">
        <f t="shared" si="2"/>
        <v>6</v>
      </c>
      <c r="E26" s="9" t="str">
        <f t="shared" si="3"/>
        <v>June</v>
      </c>
      <c r="F26" s="9">
        <f t="shared" si="4"/>
        <v>2</v>
      </c>
      <c r="G26" s="9">
        <f t="shared" si="5"/>
        <v>2026</v>
      </c>
      <c r="H26" s="9" t="str">
        <f t="shared" si="6"/>
        <v>Monday</v>
      </c>
      <c r="I26" s="9">
        <f t="shared" si="7"/>
        <v>26</v>
      </c>
      <c r="J26" s="9" t="str">
        <f t="shared" si="8"/>
        <v>No</v>
      </c>
    </row>
    <row r="27" spans="1:10" ht="15" customHeight="1" x14ac:dyDescent="0.25">
      <c r="A27" s="9">
        <f t="shared" si="0"/>
        <v>20260623</v>
      </c>
      <c r="B27" s="17">
        <v>46196</v>
      </c>
      <c r="C27" s="9">
        <f t="shared" si="1"/>
        <v>23</v>
      </c>
      <c r="D27" s="9">
        <f t="shared" si="2"/>
        <v>6</v>
      </c>
      <c r="E27" s="9" t="str">
        <f t="shared" si="3"/>
        <v>June</v>
      </c>
      <c r="F27" s="9">
        <f t="shared" si="4"/>
        <v>2</v>
      </c>
      <c r="G27" s="9">
        <f t="shared" si="5"/>
        <v>2026</v>
      </c>
      <c r="H27" s="9" t="str">
        <f t="shared" si="6"/>
        <v>Tuesday</v>
      </c>
      <c r="I27" s="9">
        <f t="shared" si="7"/>
        <v>26</v>
      </c>
      <c r="J27" s="9" t="str">
        <f t="shared" si="8"/>
        <v>No</v>
      </c>
    </row>
    <row r="28" spans="1:10" ht="15" customHeight="1" x14ac:dyDescent="0.25">
      <c r="A28" s="9">
        <f t="shared" si="0"/>
        <v>20260624</v>
      </c>
      <c r="B28" s="17">
        <v>46197</v>
      </c>
      <c r="C28" s="9">
        <f t="shared" si="1"/>
        <v>24</v>
      </c>
      <c r="D28" s="9">
        <f t="shared" si="2"/>
        <v>6</v>
      </c>
      <c r="E28" s="9" t="str">
        <f t="shared" si="3"/>
        <v>June</v>
      </c>
      <c r="F28" s="9">
        <f t="shared" si="4"/>
        <v>2</v>
      </c>
      <c r="G28" s="9">
        <f t="shared" si="5"/>
        <v>2026</v>
      </c>
      <c r="H28" s="9" t="str">
        <f t="shared" si="6"/>
        <v>Wednesday</v>
      </c>
      <c r="I28" s="9">
        <f t="shared" si="7"/>
        <v>26</v>
      </c>
      <c r="J28" s="9" t="str">
        <f t="shared" si="8"/>
        <v>No</v>
      </c>
    </row>
    <row r="29" spans="1:10" ht="15" customHeight="1" x14ac:dyDescent="0.25">
      <c r="A29" s="9">
        <f t="shared" si="0"/>
        <v>20260625</v>
      </c>
      <c r="B29" s="17">
        <v>46198</v>
      </c>
      <c r="C29" s="9">
        <f t="shared" si="1"/>
        <v>25</v>
      </c>
      <c r="D29" s="9">
        <f t="shared" si="2"/>
        <v>6</v>
      </c>
      <c r="E29" s="9" t="str">
        <f t="shared" si="3"/>
        <v>June</v>
      </c>
      <c r="F29" s="9">
        <f t="shared" si="4"/>
        <v>2</v>
      </c>
      <c r="G29" s="9">
        <f t="shared" si="5"/>
        <v>2026</v>
      </c>
      <c r="H29" s="9" t="str">
        <f t="shared" si="6"/>
        <v>Thursday</v>
      </c>
      <c r="I29" s="9">
        <f t="shared" si="7"/>
        <v>26</v>
      </c>
      <c r="J29" s="9" t="str">
        <f t="shared" si="8"/>
        <v>No</v>
      </c>
    </row>
    <row r="30" spans="1:10" ht="15" customHeight="1" x14ac:dyDescent="0.25">
      <c r="A30" s="9">
        <f t="shared" si="0"/>
        <v>20260626</v>
      </c>
      <c r="B30" s="17">
        <v>46199</v>
      </c>
      <c r="C30" s="9">
        <f t="shared" si="1"/>
        <v>26</v>
      </c>
      <c r="D30" s="9">
        <f t="shared" si="2"/>
        <v>6</v>
      </c>
      <c r="E30" s="9" t="str">
        <f t="shared" si="3"/>
        <v>June</v>
      </c>
      <c r="F30" s="9">
        <f t="shared" si="4"/>
        <v>2</v>
      </c>
      <c r="G30" s="9">
        <f t="shared" si="5"/>
        <v>2026</v>
      </c>
      <c r="H30" s="9" t="str">
        <f t="shared" si="6"/>
        <v>Friday</v>
      </c>
      <c r="I30" s="9">
        <f t="shared" si="7"/>
        <v>26</v>
      </c>
      <c r="J30" s="9" t="str">
        <f t="shared" si="8"/>
        <v>No</v>
      </c>
    </row>
    <row r="31" spans="1:10" ht="15" customHeight="1" x14ac:dyDescent="0.25">
      <c r="A31" s="9">
        <f t="shared" si="0"/>
        <v>20260627</v>
      </c>
      <c r="B31" s="17">
        <v>46200</v>
      </c>
      <c r="C31" s="9">
        <f t="shared" si="1"/>
        <v>27</v>
      </c>
      <c r="D31" s="9">
        <f t="shared" si="2"/>
        <v>6</v>
      </c>
      <c r="E31" s="9" t="str">
        <f t="shared" si="3"/>
        <v>June</v>
      </c>
      <c r="F31" s="9">
        <f t="shared" si="4"/>
        <v>2</v>
      </c>
      <c r="G31" s="9">
        <f t="shared" si="5"/>
        <v>2026</v>
      </c>
      <c r="H31" s="9" t="str">
        <f t="shared" si="6"/>
        <v>Saturday</v>
      </c>
      <c r="I31" s="9">
        <f t="shared" si="7"/>
        <v>26</v>
      </c>
      <c r="J31" s="9" t="str">
        <f t="shared" si="8"/>
        <v>Yes</v>
      </c>
    </row>
    <row r="32" spans="1:10" ht="15" customHeight="1" x14ac:dyDescent="0.25">
      <c r="A32" s="9">
        <f t="shared" si="0"/>
        <v>20260628</v>
      </c>
      <c r="B32" s="17">
        <v>46201</v>
      </c>
      <c r="C32" s="9">
        <f t="shared" si="1"/>
        <v>28</v>
      </c>
      <c r="D32" s="9">
        <f t="shared" si="2"/>
        <v>6</v>
      </c>
      <c r="E32" s="9" t="str">
        <f t="shared" si="3"/>
        <v>June</v>
      </c>
      <c r="F32" s="9">
        <f t="shared" si="4"/>
        <v>2</v>
      </c>
      <c r="G32" s="9">
        <f t="shared" si="5"/>
        <v>2026</v>
      </c>
      <c r="H32" s="9" t="str">
        <f t="shared" si="6"/>
        <v>Sunday</v>
      </c>
      <c r="I32" s="9">
        <f t="shared" si="7"/>
        <v>27</v>
      </c>
      <c r="J32" s="9" t="str">
        <f t="shared" si="8"/>
        <v>Yes</v>
      </c>
    </row>
    <row r="33" spans="1:10" ht="15" customHeight="1" x14ac:dyDescent="0.25">
      <c r="A33" s="9">
        <f t="shared" si="0"/>
        <v>20260629</v>
      </c>
      <c r="B33" s="17">
        <v>46202</v>
      </c>
      <c r="C33" s="9">
        <f t="shared" si="1"/>
        <v>29</v>
      </c>
      <c r="D33" s="9">
        <f t="shared" si="2"/>
        <v>6</v>
      </c>
      <c r="E33" s="9" t="str">
        <f t="shared" si="3"/>
        <v>June</v>
      </c>
      <c r="F33" s="9">
        <f t="shared" si="4"/>
        <v>2</v>
      </c>
      <c r="G33" s="9">
        <f t="shared" si="5"/>
        <v>2026</v>
      </c>
      <c r="H33" s="9" t="str">
        <f t="shared" si="6"/>
        <v>Monday</v>
      </c>
      <c r="I33" s="9">
        <f t="shared" si="7"/>
        <v>27</v>
      </c>
      <c r="J33" s="9" t="str">
        <f t="shared" si="8"/>
        <v>No</v>
      </c>
    </row>
    <row r="34" spans="1:10" ht="15" customHeight="1" x14ac:dyDescent="0.25">
      <c r="A34" s="9">
        <f t="shared" si="0"/>
        <v>20260630</v>
      </c>
      <c r="B34" s="17">
        <v>46203</v>
      </c>
      <c r="C34" s="9">
        <f t="shared" si="1"/>
        <v>30</v>
      </c>
      <c r="D34" s="9">
        <f t="shared" si="2"/>
        <v>6</v>
      </c>
      <c r="E34" s="9" t="str">
        <f t="shared" si="3"/>
        <v>June</v>
      </c>
      <c r="F34" s="9">
        <f t="shared" si="4"/>
        <v>2</v>
      </c>
      <c r="G34" s="9">
        <f t="shared" si="5"/>
        <v>2026</v>
      </c>
      <c r="H34" s="9" t="str">
        <f t="shared" si="6"/>
        <v>Tuesday</v>
      </c>
      <c r="I34" s="9">
        <f t="shared" si="7"/>
        <v>27</v>
      </c>
      <c r="J34" s="9" t="str">
        <f t="shared" si="8"/>
        <v>No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DC3E6"/>
  </sheetPr>
  <dimension ref="A1:C9"/>
  <sheetViews>
    <sheetView zoomScaleNormal="100" workbookViewId="0">
      <selection activeCell="F24" sqref="F24"/>
    </sheetView>
  </sheetViews>
  <sheetFormatPr defaultColWidth="8.7109375" defaultRowHeight="15" x14ac:dyDescent="0.25"/>
  <cols>
    <col min="1" max="1" width="23.28515625" bestFit="1" customWidth="1"/>
    <col min="2" max="2" width="16.7109375" bestFit="1" customWidth="1"/>
    <col min="3" max="3" width="14.85546875" bestFit="1" customWidth="1"/>
  </cols>
  <sheetData>
    <row r="1" spans="1:3" ht="17.25" customHeight="1" x14ac:dyDescent="0.25">
      <c r="A1" s="6" t="s">
        <v>17</v>
      </c>
    </row>
    <row r="2" spans="1:3" ht="15" customHeight="1" x14ac:dyDescent="0.25">
      <c r="A2" s="7" t="s">
        <v>118</v>
      </c>
    </row>
    <row r="4" spans="1:3" ht="23.25" customHeight="1" x14ac:dyDescent="0.25">
      <c r="A4" s="21" t="s">
        <v>86</v>
      </c>
      <c r="B4" s="22" t="s">
        <v>119</v>
      </c>
      <c r="C4" s="23" t="s">
        <v>120</v>
      </c>
    </row>
    <row r="5" spans="1:3" ht="15" customHeight="1" x14ac:dyDescent="0.25">
      <c r="A5" s="24" t="s">
        <v>47</v>
      </c>
      <c r="B5" s="25">
        <v>21</v>
      </c>
      <c r="C5" s="26" t="s">
        <v>121</v>
      </c>
    </row>
    <row r="6" spans="1:3" ht="15" customHeight="1" x14ac:dyDescent="0.25">
      <c r="A6" s="24" t="s">
        <v>51</v>
      </c>
      <c r="B6" s="25">
        <v>22</v>
      </c>
      <c r="C6" s="26" t="s">
        <v>122</v>
      </c>
    </row>
    <row r="7" spans="1:3" ht="15" customHeight="1" x14ac:dyDescent="0.25">
      <c r="A7" s="24" t="s">
        <v>56</v>
      </c>
      <c r="B7" s="25">
        <v>23</v>
      </c>
      <c r="C7" s="26" t="s">
        <v>123</v>
      </c>
    </row>
    <row r="8" spans="1:3" ht="15" customHeight="1" x14ac:dyDescent="0.25">
      <c r="A8" s="24" t="s">
        <v>61</v>
      </c>
      <c r="B8" s="25">
        <v>24</v>
      </c>
      <c r="C8" s="26" t="s">
        <v>124</v>
      </c>
    </row>
    <row r="9" spans="1:3" ht="15" customHeight="1" x14ac:dyDescent="0.25">
      <c r="A9" s="27" t="s">
        <v>65</v>
      </c>
      <c r="B9" s="28">
        <v>25</v>
      </c>
      <c r="C9" s="29" t="s">
        <v>125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DC3E6"/>
  </sheetPr>
  <dimension ref="A1:C12"/>
  <sheetViews>
    <sheetView zoomScaleNormal="100" workbookViewId="0">
      <selection activeCell="G21" sqref="G21"/>
    </sheetView>
  </sheetViews>
  <sheetFormatPr defaultColWidth="8.7109375" defaultRowHeight="15" x14ac:dyDescent="0.25"/>
  <cols>
    <col min="1" max="1" width="14.5703125" bestFit="1" customWidth="1"/>
    <col min="2" max="2" width="15" bestFit="1" customWidth="1"/>
    <col min="3" max="3" width="14.140625" bestFit="1" customWidth="1"/>
  </cols>
  <sheetData>
    <row r="1" spans="1:3" ht="17.25" customHeight="1" x14ac:dyDescent="0.25">
      <c r="A1" s="6" t="s">
        <v>19</v>
      </c>
    </row>
    <row r="2" spans="1:3" ht="15" customHeight="1" x14ac:dyDescent="0.25">
      <c r="A2" s="7" t="s">
        <v>126</v>
      </c>
    </row>
    <row r="4" spans="1:3" ht="15" customHeight="1" x14ac:dyDescent="0.25">
      <c r="A4" s="8" t="s">
        <v>87</v>
      </c>
      <c r="B4" s="8" t="s">
        <v>127</v>
      </c>
      <c r="C4" s="8" t="s">
        <v>128</v>
      </c>
    </row>
    <row r="5" spans="1:3" ht="15" customHeight="1" x14ac:dyDescent="0.25">
      <c r="A5" s="12" t="s">
        <v>52</v>
      </c>
      <c r="B5" s="12" t="s">
        <v>129</v>
      </c>
      <c r="C5" s="12" t="s">
        <v>130</v>
      </c>
    </row>
    <row r="6" spans="1:3" ht="15" customHeight="1" x14ac:dyDescent="0.25">
      <c r="A6" s="12" t="s">
        <v>57</v>
      </c>
      <c r="B6" s="12" t="s">
        <v>131</v>
      </c>
      <c r="C6" s="12" t="s">
        <v>130</v>
      </c>
    </row>
    <row r="7" spans="1:3" ht="15" customHeight="1" x14ac:dyDescent="0.25">
      <c r="A7" s="12" t="s">
        <v>62</v>
      </c>
      <c r="B7" s="12" t="s">
        <v>132</v>
      </c>
      <c r="C7" s="12" t="s">
        <v>130</v>
      </c>
    </row>
    <row r="8" spans="1:3" ht="15" customHeight="1" x14ac:dyDescent="0.25">
      <c r="A8" s="12" t="s">
        <v>66</v>
      </c>
      <c r="B8" s="12" t="s">
        <v>133</v>
      </c>
      <c r="C8" s="12" t="s">
        <v>130</v>
      </c>
    </row>
    <row r="9" spans="1:3" ht="15" customHeight="1" x14ac:dyDescent="0.25">
      <c r="A9" s="12" t="s">
        <v>69</v>
      </c>
      <c r="B9" s="12" t="s">
        <v>134</v>
      </c>
      <c r="C9" s="12" t="s">
        <v>78</v>
      </c>
    </row>
    <row r="10" spans="1:3" ht="15" customHeight="1" x14ac:dyDescent="0.25">
      <c r="A10" s="12" t="s">
        <v>72</v>
      </c>
      <c r="B10" s="12" t="s">
        <v>135</v>
      </c>
      <c r="C10" s="12" t="s">
        <v>78</v>
      </c>
    </row>
    <row r="11" spans="1:3" ht="15" customHeight="1" x14ac:dyDescent="0.25">
      <c r="A11" s="12" t="s">
        <v>75</v>
      </c>
      <c r="B11" s="12" t="s">
        <v>136</v>
      </c>
      <c r="C11" s="12" t="s">
        <v>78</v>
      </c>
    </row>
    <row r="12" spans="1:3" ht="15" customHeight="1" x14ac:dyDescent="0.25">
      <c r="A12" s="12" t="s">
        <v>182</v>
      </c>
      <c r="B12" s="12" t="s">
        <v>183</v>
      </c>
      <c r="C12" s="12" t="s">
        <v>78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DC3E6"/>
  </sheetPr>
  <dimension ref="A1:D14"/>
  <sheetViews>
    <sheetView zoomScaleNormal="100" workbookViewId="0">
      <selection activeCell="J25" sqref="J25"/>
    </sheetView>
  </sheetViews>
  <sheetFormatPr defaultColWidth="8.7109375" defaultRowHeight="15" x14ac:dyDescent="0.25"/>
  <cols>
    <col min="1" max="1" width="22" bestFit="1" customWidth="1"/>
    <col min="2" max="2" width="18.85546875" bestFit="1" customWidth="1"/>
    <col min="3" max="3" width="11.42578125" bestFit="1" customWidth="1"/>
    <col min="4" max="4" width="13.7109375" bestFit="1" customWidth="1"/>
  </cols>
  <sheetData>
    <row r="1" spans="1:4" ht="17.25" customHeight="1" x14ac:dyDescent="0.25">
      <c r="A1" s="6" t="s">
        <v>21</v>
      </c>
    </row>
    <row r="2" spans="1:4" ht="15" customHeight="1" x14ac:dyDescent="0.25">
      <c r="A2" s="7" t="s">
        <v>137</v>
      </c>
    </row>
    <row r="4" spans="1:4" ht="15" customHeight="1" x14ac:dyDescent="0.25">
      <c r="A4" s="8" t="s">
        <v>42</v>
      </c>
      <c r="B4" s="8" t="s">
        <v>138</v>
      </c>
      <c r="C4" s="8" t="s">
        <v>86</v>
      </c>
      <c r="D4" s="8" t="s">
        <v>139</v>
      </c>
    </row>
    <row r="5" spans="1:4" ht="15" customHeight="1" x14ac:dyDescent="0.25">
      <c r="A5" s="12" t="s">
        <v>48</v>
      </c>
      <c r="B5" s="12" t="s">
        <v>140</v>
      </c>
      <c r="C5" s="12" t="s">
        <v>47</v>
      </c>
      <c r="D5" s="12" t="s">
        <v>141</v>
      </c>
    </row>
    <row r="6" spans="1:4" ht="15" customHeight="1" x14ac:dyDescent="0.25">
      <c r="A6" s="12" t="s">
        <v>70</v>
      </c>
      <c r="B6" s="12" t="s">
        <v>142</v>
      </c>
      <c r="C6" s="12" t="s">
        <v>47</v>
      </c>
      <c r="D6" s="12" t="s">
        <v>141</v>
      </c>
    </row>
    <row r="7" spans="1:4" ht="15" customHeight="1" x14ac:dyDescent="0.25">
      <c r="A7" s="12" t="s">
        <v>73</v>
      </c>
      <c r="B7" s="12" t="s">
        <v>143</v>
      </c>
      <c r="C7" s="12" t="s">
        <v>51</v>
      </c>
      <c r="D7" s="12" t="s">
        <v>144</v>
      </c>
    </row>
    <row r="8" spans="1:4" ht="15" customHeight="1" x14ac:dyDescent="0.25">
      <c r="A8" s="12" t="s">
        <v>53</v>
      </c>
      <c r="B8" s="12" t="s">
        <v>145</v>
      </c>
      <c r="C8" s="12" t="s">
        <v>51</v>
      </c>
      <c r="D8" s="12" t="s">
        <v>144</v>
      </c>
    </row>
    <row r="9" spans="1:4" ht="15" customHeight="1" x14ac:dyDescent="0.25">
      <c r="A9" s="12" t="s">
        <v>58</v>
      </c>
      <c r="B9" s="12" t="s">
        <v>146</v>
      </c>
      <c r="C9" s="12" t="s">
        <v>56</v>
      </c>
      <c r="D9" s="12" t="s">
        <v>147</v>
      </c>
    </row>
    <row r="10" spans="1:4" ht="15" customHeight="1" x14ac:dyDescent="0.25">
      <c r="A10" s="12" t="s">
        <v>76</v>
      </c>
      <c r="B10" s="12" t="s">
        <v>148</v>
      </c>
      <c r="C10" s="12" t="s">
        <v>56</v>
      </c>
      <c r="D10" s="12" t="s">
        <v>147</v>
      </c>
    </row>
    <row r="11" spans="1:4" ht="15" customHeight="1" x14ac:dyDescent="0.25">
      <c r="A11" s="12" t="s">
        <v>79</v>
      </c>
      <c r="B11" s="12" t="s">
        <v>149</v>
      </c>
      <c r="C11" s="12" t="s">
        <v>61</v>
      </c>
      <c r="D11" s="12" t="s">
        <v>150</v>
      </c>
    </row>
    <row r="12" spans="1:4" ht="15" customHeight="1" x14ac:dyDescent="0.25">
      <c r="A12" s="12" t="s">
        <v>63</v>
      </c>
      <c r="B12" s="12" t="s">
        <v>151</v>
      </c>
      <c r="C12" s="12" t="s">
        <v>61</v>
      </c>
      <c r="D12" s="12" t="s">
        <v>150</v>
      </c>
    </row>
    <row r="13" spans="1:4" ht="15" customHeight="1" x14ac:dyDescent="0.25">
      <c r="A13" s="12" t="s">
        <v>67</v>
      </c>
      <c r="B13" s="12" t="s">
        <v>152</v>
      </c>
      <c r="C13" s="12" t="s">
        <v>65</v>
      </c>
      <c r="D13" s="12" t="s">
        <v>153</v>
      </c>
    </row>
    <row r="14" spans="1:4" ht="15" customHeight="1" x14ac:dyDescent="0.25">
      <c r="A14" s="12" t="s">
        <v>81</v>
      </c>
      <c r="B14" s="12" t="s">
        <v>154</v>
      </c>
      <c r="C14" s="12" t="s">
        <v>65</v>
      </c>
      <c r="D14" s="12" t="s">
        <v>153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DC3E6"/>
  </sheetPr>
  <dimension ref="A1:D29"/>
  <sheetViews>
    <sheetView tabSelected="1" zoomScaleNormal="100" workbookViewId="0">
      <selection activeCell="K21" sqref="K21"/>
    </sheetView>
  </sheetViews>
  <sheetFormatPr defaultColWidth="8.7109375" defaultRowHeight="15" x14ac:dyDescent="0.25"/>
  <cols>
    <col min="1" max="1" width="16.5703125" bestFit="1" customWidth="1"/>
    <col min="2" max="2" width="20.42578125" bestFit="1" customWidth="1"/>
    <col min="3" max="3" width="19.5703125" bestFit="1" customWidth="1"/>
    <col min="4" max="4" width="23.140625" bestFit="1" customWidth="1"/>
  </cols>
  <sheetData>
    <row r="1" spans="1:4" ht="17.25" customHeight="1" x14ac:dyDescent="0.25">
      <c r="A1" s="6" t="s">
        <v>23</v>
      </c>
    </row>
    <row r="2" spans="1:4" ht="15" customHeight="1" x14ac:dyDescent="0.25">
      <c r="A2" s="7" t="s">
        <v>155</v>
      </c>
    </row>
    <row r="4" spans="1:4" ht="23.25" customHeight="1" x14ac:dyDescent="0.25">
      <c r="A4" s="8" t="s">
        <v>94</v>
      </c>
      <c r="B4" s="8" t="s">
        <v>43</v>
      </c>
      <c r="C4" s="8" t="s">
        <v>95</v>
      </c>
      <c r="D4" s="8" t="s">
        <v>96</v>
      </c>
    </row>
    <row r="5" spans="1:4" ht="15" customHeight="1" x14ac:dyDescent="0.25">
      <c r="A5" s="12" t="s">
        <v>156</v>
      </c>
      <c r="B5" s="12" t="s">
        <v>49</v>
      </c>
      <c r="C5" s="12" t="s">
        <v>157</v>
      </c>
      <c r="D5" s="9" t="str">
        <f>INDEX(Dim_Classification[ClassificationName],MATCH(C5,Dim_Classification[ClassificationID],0))</f>
        <v>Critical</v>
      </c>
    </row>
    <row r="6" spans="1:4" ht="15" customHeight="1" x14ac:dyDescent="0.25">
      <c r="A6" s="12" t="s">
        <v>158</v>
      </c>
      <c r="B6" s="12" t="s">
        <v>54</v>
      </c>
      <c r="C6" s="12" t="s">
        <v>157</v>
      </c>
      <c r="D6" s="9" t="str">
        <f>INDEX(Dim_Classification[ClassificationName],MATCH(C6,Dim_Classification[ClassificationID],0))</f>
        <v>Critical</v>
      </c>
    </row>
    <row r="7" spans="1:4" ht="15" customHeight="1" x14ac:dyDescent="0.25">
      <c r="A7" s="12" t="s">
        <v>159</v>
      </c>
      <c r="B7" s="12" t="s">
        <v>59</v>
      </c>
      <c r="C7" s="12" t="s">
        <v>157</v>
      </c>
      <c r="D7" s="9" t="str">
        <f>INDEX(Dim_Classification[ClassificationName],MATCH(C7,Dim_Classification[ClassificationID],0))</f>
        <v>Critical</v>
      </c>
    </row>
    <row r="8" spans="1:4" ht="15" customHeight="1" x14ac:dyDescent="0.25">
      <c r="A8" s="12" t="s">
        <v>160</v>
      </c>
      <c r="B8" s="12" t="s">
        <v>64</v>
      </c>
      <c r="C8" s="12" t="s">
        <v>161</v>
      </c>
      <c r="D8" s="9" t="str">
        <f>INDEX(Dim_Classification[ClassificationName],MATCH(C8,Dim_Classification[ClassificationID],0))</f>
        <v>Major</v>
      </c>
    </row>
    <row r="9" spans="1:4" ht="15" customHeight="1" x14ac:dyDescent="0.25">
      <c r="A9" s="12" t="s">
        <v>162</v>
      </c>
      <c r="B9" s="12" t="s">
        <v>68</v>
      </c>
      <c r="C9" s="12" t="s">
        <v>161</v>
      </c>
      <c r="D9" s="9" t="str">
        <f>INDEX(Dim_Classification[ClassificationName],MATCH(C9,Dim_Classification[ClassificationID],0))</f>
        <v>Major</v>
      </c>
    </row>
    <row r="10" spans="1:4" ht="15" customHeight="1" x14ac:dyDescent="0.25">
      <c r="A10" s="12" t="s">
        <v>163</v>
      </c>
      <c r="B10" s="12" t="s">
        <v>71</v>
      </c>
      <c r="C10" s="12" t="s">
        <v>161</v>
      </c>
      <c r="D10" s="9" t="str">
        <f>INDEX(Dim_Classification[ClassificationName],MATCH(C10,Dim_Classification[ClassificationID],0))</f>
        <v>Major</v>
      </c>
    </row>
    <row r="11" spans="1:4" ht="15" customHeight="1" x14ac:dyDescent="0.25">
      <c r="A11" s="12" t="s">
        <v>164</v>
      </c>
      <c r="B11" s="12" t="s">
        <v>74</v>
      </c>
      <c r="C11" s="12" t="s">
        <v>165</v>
      </c>
      <c r="D11" s="9" t="str">
        <f>INDEX(Dim_Classification[ClassificationName],MATCH(C11,Dim_Classification[ClassificationID],0))</f>
        <v>Minor</v>
      </c>
    </row>
    <row r="12" spans="1:4" ht="15" customHeight="1" x14ac:dyDescent="0.25">
      <c r="A12" s="12" t="s">
        <v>166</v>
      </c>
      <c r="B12" s="12" t="s">
        <v>77</v>
      </c>
      <c r="C12" s="12" t="s">
        <v>165</v>
      </c>
      <c r="D12" s="9" t="str">
        <f>INDEX(Dim_Classification[ClassificationName],MATCH(C12,Dim_Classification[ClassificationID],0))</f>
        <v>Minor</v>
      </c>
    </row>
    <row r="13" spans="1:4" ht="15" customHeight="1" x14ac:dyDescent="0.25">
      <c r="A13" s="12" t="s">
        <v>167</v>
      </c>
      <c r="B13" s="12" t="s">
        <v>80</v>
      </c>
      <c r="C13" s="12" t="s">
        <v>165</v>
      </c>
      <c r="D13" s="9" t="str">
        <f>INDEX(Dim_Classification[ClassificationName],MATCH(C13,Dim_Classification[ClassificationID],0))</f>
        <v>Minor</v>
      </c>
    </row>
    <row r="14" spans="1:4" ht="15" customHeight="1" x14ac:dyDescent="0.25">
      <c r="A14" s="12" t="s">
        <v>168</v>
      </c>
      <c r="B14" s="12" t="s">
        <v>82</v>
      </c>
      <c r="C14" s="12" t="s">
        <v>165</v>
      </c>
      <c r="D14" s="9" t="str">
        <f>INDEX(Dim_Classification[ClassificationName],MATCH(C14,Dim_Classification[ClassificationID],0))</f>
        <v>Minor</v>
      </c>
    </row>
    <row r="15" spans="1:4" x14ac:dyDescent="0.25">
      <c r="A15" s="12" t="s">
        <v>184</v>
      </c>
    </row>
    <row r="16" spans="1:4" x14ac:dyDescent="0.25">
      <c r="A16" s="12" t="s">
        <v>185</v>
      </c>
    </row>
    <row r="17" spans="1:1" x14ac:dyDescent="0.25">
      <c r="A17" s="12" t="s">
        <v>186</v>
      </c>
    </row>
    <row r="18" spans="1:1" x14ac:dyDescent="0.25">
      <c r="A18" s="12" t="s">
        <v>187</v>
      </c>
    </row>
    <row r="19" spans="1:1" x14ac:dyDescent="0.25">
      <c r="A19" s="12" t="s">
        <v>188</v>
      </c>
    </row>
    <row r="20" spans="1:1" x14ac:dyDescent="0.25">
      <c r="A20" s="12" t="s">
        <v>189</v>
      </c>
    </row>
    <row r="21" spans="1:1" x14ac:dyDescent="0.25">
      <c r="A21" s="12" t="s">
        <v>190</v>
      </c>
    </row>
    <row r="22" spans="1:1" x14ac:dyDescent="0.25">
      <c r="A22" s="12" t="s">
        <v>191</v>
      </c>
    </row>
    <row r="23" spans="1:1" x14ac:dyDescent="0.25">
      <c r="A23" s="12" t="s">
        <v>192</v>
      </c>
    </row>
    <row r="24" spans="1:1" x14ac:dyDescent="0.25">
      <c r="A24" s="12" t="s">
        <v>193</v>
      </c>
    </row>
    <row r="25" spans="1:1" x14ac:dyDescent="0.25">
      <c r="A25" s="12" t="s">
        <v>194</v>
      </c>
    </row>
    <row r="26" spans="1:1" x14ac:dyDescent="0.25">
      <c r="A26" s="12" t="s">
        <v>195</v>
      </c>
    </row>
    <row r="27" spans="1:1" x14ac:dyDescent="0.25">
      <c r="A27" s="12" t="s">
        <v>196</v>
      </c>
    </row>
    <row r="28" spans="1:1" x14ac:dyDescent="0.25">
      <c r="A28" s="12" t="s">
        <v>197</v>
      </c>
    </row>
    <row r="29" spans="1:1" x14ac:dyDescent="0.25">
      <c r="A29" s="12" t="s">
        <v>198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DC3E6"/>
  </sheetPr>
  <dimension ref="A1:D7"/>
  <sheetViews>
    <sheetView zoomScaleNormal="100" workbookViewId="0">
      <selection activeCell="N13" sqref="N13"/>
    </sheetView>
  </sheetViews>
  <sheetFormatPr defaultColWidth="8.7109375" defaultRowHeight="15" x14ac:dyDescent="0.25"/>
  <cols>
    <col min="1" max="1" width="16" customWidth="1"/>
    <col min="2" max="2" width="18" customWidth="1"/>
    <col min="3" max="3" width="17.7109375" bestFit="1" customWidth="1"/>
    <col min="4" max="4" width="15.140625" bestFit="1" customWidth="1"/>
  </cols>
  <sheetData>
    <row r="1" spans="1:4" ht="17.25" customHeight="1" x14ac:dyDescent="0.25">
      <c r="A1" s="6" t="s">
        <v>25</v>
      </c>
    </row>
    <row r="2" spans="1:4" ht="15" customHeight="1" x14ac:dyDescent="0.25">
      <c r="A2" s="7" t="s">
        <v>169</v>
      </c>
    </row>
    <row r="4" spans="1:4" ht="23.25" customHeight="1" x14ac:dyDescent="0.25">
      <c r="A4" s="8" t="s">
        <v>95</v>
      </c>
      <c r="B4" s="8" t="s">
        <v>96</v>
      </c>
      <c r="C4" s="8" t="s">
        <v>170</v>
      </c>
      <c r="D4" s="8" t="s">
        <v>171</v>
      </c>
    </row>
    <row r="5" spans="1:4" ht="15" customHeight="1" x14ac:dyDescent="0.25">
      <c r="A5" s="12" t="s">
        <v>157</v>
      </c>
      <c r="B5" s="12" t="s">
        <v>172</v>
      </c>
      <c r="C5" s="12">
        <v>1</v>
      </c>
      <c r="D5" s="18" t="s">
        <v>173</v>
      </c>
    </row>
    <row r="6" spans="1:4" ht="15" customHeight="1" x14ac:dyDescent="0.25">
      <c r="A6" s="12" t="s">
        <v>161</v>
      </c>
      <c r="B6" s="12" t="s">
        <v>174</v>
      </c>
      <c r="C6" s="12">
        <v>2</v>
      </c>
      <c r="D6" s="19" t="s">
        <v>175</v>
      </c>
    </row>
    <row r="7" spans="1:4" ht="15" customHeight="1" x14ac:dyDescent="0.25">
      <c r="A7" s="12" t="s">
        <v>165</v>
      </c>
      <c r="B7" s="12" t="s">
        <v>176</v>
      </c>
      <c r="C7" s="12">
        <v>3</v>
      </c>
      <c r="D7" s="20" t="s">
        <v>177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DC3E6"/>
  </sheetPr>
  <dimension ref="A1:C7"/>
  <sheetViews>
    <sheetView zoomScaleNormal="100" workbookViewId="0">
      <selection activeCell="W16" sqref="W16"/>
    </sheetView>
  </sheetViews>
  <sheetFormatPr defaultColWidth="8.7109375" defaultRowHeight="15" x14ac:dyDescent="0.25"/>
  <cols>
    <col min="1" max="1" width="10" customWidth="1"/>
    <col min="2" max="2" width="18" customWidth="1"/>
    <col min="3" max="3" width="14" customWidth="1"/>
  </cols>
  <sheetData>
    <row r="1" spans="1:3" ht="17.25" customHeight="1" x14ac:dyDescent="0.25">
      <c r="A1" s="6" t="s">
        <v>27</v>
      </c>
    </row>
    <row r="2" spans="1:3" ht="15" customHeight="1" x14ac:dyDescent="0.25">
      <c r="A2" s="7" t="s">
        <v>178</v>
      </c>
    </row>
    <row r="4" spans="1:3" ht="23.25" customHeight="1" x14ac:dyDescent="0.25">
      <c r="A4" s="8" t="s">
        <v>97</v>
      </c>
      <c r="B4" s="8" t="s">
        <v>98</v>
      </c>
      <c r="C4" s="8" t="s">
        <v>99</v>
      </c>
    </row>
    <row r="5" spans="1:3" ht="15" customHeight="1" x14ac:dyDescent="0.25">
      <c r="A5" s="12" t="s">
        <v>179</v>
      </c>
      <c r="B5" s="12" t="s">
        <v>50</v>
      </c>
      <c r="C5" s="12">
        <v>0</v>
      </c>
    </row>
    <row r="6" spans="1:3" ht="15" customHeight="1" x14ac:dyDescent="0.25">
      <c r="A6" s="12" t="s">
        <v>180</v>
      </c>
      <c r="B6" s="12" t="s">
        <v>55</v>
      </c>
      <c r="C6" s="12">
        <v>1</v>
      </c>
    </row>
    <row r="7" spans="1:3" ht="15" customHeight="1" x14ac:dyDescent="0.25">
      <c r="A7" s="12" t="s">
        <v>181</v>
      </c>
      <c r="B7" s="12" t="s">
        <v>60</v>
      </c>
      <c r="C7" s="12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Data_Entry</vt:lpstr>
      <vt:lpstr>Summary_MoltenUnits</vt:lpstr>
      <vt:lpstr>Fact_Quality_Defects</vt:lpstr>
      <vt:lpstr>Dim_Date</vt:lpstr>
      <vt:lpstr>Dim_Line</vt:lpstr>
      <vt:lpstr>Dim_Shift</vt:lpstr>
      <vt:lpstr>Dim_Product</vt:lpstr>
      <vt:lpstr>Dim_Defect</vt:lpstr>
      <vt:lpstr>Dim_Classification</vt:lpstr>
      <vt:lpstr>Dim_Status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Fergany</cp:lastModifiedBy>
  <cp:revision>0</cp:revision>
  <dcterms:created xsi:type="dcterms:W3CDTF">2026-07-06T07:26:25Z</dcterms:created>
  <dcterms:modified xsi:type="dcterms:W3CDTF">2026-07-06T11:59:16Z</dcterms:modified>
  <dc:language>en-US</dc:language>
</cp:coreProperties>
</file>