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OldSystem/"/>
    </mc:Choice>
  </mc:AlternateContent>
  <xr:revisionPtr revIDLastSave="312" documentId="11_F25DC773A252ABDACC10481B095D43B45BDE58EE" xr6:coauthVersionLast="47" xr6:coauthVersionMax="47" xr10:uidLastSave="{B5B6866E-3535-44EB-9E0E-C911AA792C24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0" i="1"/>
  <c r="AI11" i="1"/>
  <c r="AI12" i="1"/>
  <c r="AI3" i="1"/>
  <c r="AJ5" i="1"/>
  <c r="AJ8" i="1"/>
  <c r="AJ9" i="1"/>
  <c r="AJ3" i="1"/>
  <c r="AF4" i="1"/>
  <c r="AF5" i="1"/>
  <c r="AF6" i="1"/>
  <c r="AF7" i="1"/>
  <c r="AF8" i="1"/>
  <c r="AF9" i="1"/>
  <c r="AF10" i="1"/>
  <c r="AF11" i="1"/>
  <c r="AF12" i="1"/>
  <c r="AF3" i="1"/>
  <c r="AE3" i="1"/>
  <c r="AE5" i="1"/>
  <c r="AE6" i="1"/>
  <c r="AE7" i="1"/>
  <c r="AE8" i="1"/>
  <c r="AE9" i="1"/>
  <c r="AE10" i="1"/>
  <c r="AE11" i="1"/>
  <c r="AE12" i="1"/>
  <c r="AE4" i="1"/>
  <c r="AD4" i="1"/>
  <c r="AD5" i="1"/>
  <c r="AD6" i="1"/>
  <c r="AD7" i="1"/>
  <c r="AD8" i="1"/>
  <c r="AD9" i="1"/>
  <c r="AD10" i="1"/>
  <c r="AD11" i="1"/>
  <c r="AD12" i="1"/>
  <c r="AD3" i="1"/>
  <c r="K4" i="1"/>
  <c r="K5" i="1"/>
  <c r="K6" i="1"/>
  <c r="K7" i="1"/>
  <c r="K8" i="1"/>
  <c r="K9" i="1"/>
  <c r="K10" i="1"/>
  <c r="K11" i="1"/>
  <c r="K12" i="1"/>
  <c r="K3" i="1"/>
  <c r="AC4" i="1"/>
  <c r="AK4" i="1" s="1"/>
  <c r="AC5" i="1"/>
  <c r="AK5" i="1" s="1"/>
  <c r="AC6" i="1"/>
  <c r="AK6" i="1" s="1"/>
  <c r="AC7" i="1"/>
  <c r="AK7" i="1" s="1"/>
  <c r="AC8" i="1"/>
  <c r="AK8" i="1" s="1"/>
  <c r="AC9" i="1"/>
  <c r="AK9" i="1" s="1"/>
  <c r="AC10" i="1"/>
  <c r="AK10" i="1" s="1"/>
  <c r="AC11" i="1"/>
  <c r="AK11" i="1" s="1"/>
  <c r="AC12" i="1"/>
  <c r="AK12" i="1" s="1"/>
  <c r="AC3" i="1"/>
  <c r="AK3" i="1" s="1"/>
  <c r="AB4" i="1"/>
  <c r="AJ4" i="1" s="1"/>
  <c r="AB5" i="1"/>
  <c r="AB6" i="1"/>
  <c r="AJ6" i="1" s="1"/>
  <c r="AB7" i="1"/>
  <c r="AJ7" i="1" s="1"/>
  <c r="AB8" i="1"/>
  <c r="AB9" i="1"/>
  <c r="AB10" i="1"/>
  <c r="AJ10" i="1" s="1"/>
  <c r="AB11" i="1"/>
  <c r="AJ11" i="1" s="1"/>
  <c r="AB12" i="1"/>
  <c r="AJ12" i="1" s="1"/>
  <c r="AB3" i="1"/>
  <c r="Y12" i="1"/>
  <c r="AH12" i="1" s="1"/>
  <c r="Y11" i="1"/>
  <c r="AH11" i="1" s="1"/>
  <c r="Y10" i="1"/>
  <c r="AH10" i="1" s="1"/>
  <c r="Y9" i="1"/>
  <c r="AH9" i="1" s="1"/>
  <c r="Y8" i="1"/>
  <c r="AH8" i="1" s="1"/>
  <c r="Y7" i="1"/>
  <c r="AH7" i="1" s="1"/>
  <c r="Y6" i="1"/>
  <c r="AH6" i="1" s="1"/>
  <c r="Y5" i="1"/>
  <c r="AH5" i="1" s="1"/>
  <c r="Y4" i="1"/>
  <c r="AH4" i="1" s="1"/>
  <c r="P3" i="1" l="1"/>
  <c r="R3" i="1" s="1"/>
  <c r="O3" i="1"/>
  <c r="P12" i="1"/>
  <c r="R12" i="1" s="1"/>
  <c r="T12" i="1" s="1"/>
  <c r="AG12" i="1" s="1"/>
  <c r="AL12" i="1" s="1"/>
  <c r="AM12" i="1" s="1"/>
  <c r="AN12" i="1" s="1"/>
  <c r="O12" i="1"/>
  <c r="P11" i="1"/>
  <c r="R11" i="1" s="1"/>
  <c r="T11" i="1" s="1"/>
  <c r="AG11" i="1" s="1"/>
  <c r="AL11" i="1" s="1"/>
  <c r="AM11" i="1" s="1"/>
  <c r="AN11" i="1" s="1"/>
  <c r="O11" i="1"/>
  <c r="P10" i="1"/>
  <c r="R10" i="1" s="1"/>
  <c r="T10" i="1" s="1"/>
  <c r="AG10" i="1" s="1"/>
  <c r="AL10" i="1" s="1"/>
  <c r="AM10" i="1" s="1"/>
  <c r="AN10" i="1" s="1"/>
  <c r="O10" i="1"/>
  <c r="P9" i="1"/>
  <c r="R9" i="1" s="1"/>
  <c r="T9" i="1" s="1"/>
  <c r="AG9" i="1" s="1"/>
  <c r="AL9" i="1" s="1"/>
  <c r="AM9" i="1" s="1"/>
  <c r="AN9" i="1" s="1"/>
  <c r="O9" i="1"/>
  <c r="P8" i="1"/>
  <c r="R8" i="1" s="1"/>
  <c r="T8" i="1" s="1"/>
  <c r="AG8" i="1" s="1"/>
  <c r="AL8" i="1" s="1"/>
  <c r="AM8" i="1" s="1"/>
  <c r="AN8" i="1" s="1"/>
  <c r="O8" i="1"/>
  <c r="P7" i="1"/>
  <c r="R7" i="1" s="1"/>
  <c r="T7" i="1" s="1"/>
  <c r="AG7" i="1" s="1"/>
  <c r="AL7" i="1" s="1"/>
  <c r="AM7" i="1" s="1"/>
  <c r="AN7" i="1" s="1"/>
  <c r="O7" i="1"/>
  <c r="P6" i="1"/>
  <c r="R6" i="1" s="1"/>
  <c r="T6" i="1" s="1"/>
  <c r="AG6" i="1" s="1"/>
  <c r="AL6" i="1" s="1"/>
  <c r="AM6" i="1" s="1"/>
  <c r="AN6" i="1" s="1"/>
  <c r="O6" i="1"/>
  <c r="P5" i="1"/>
  <c r="R5" i="1" s="1"/>
  <c r="T5" i="1" s="1"/>
  <c r="AG5" i="1" s="1"/>
  <c r="AL5" i="1" s="1"/>
  <c r="AM5" i="1" s="1"/>
  <c r="AN5" i="1" s="1"/>
  <c r="O5" i="1"/>
  <c r="P4" i="1"/>
  <c r="R4" i="1" s="1"/>
  <c r="T4" i="1" s="1"/>
  <c r="AG4" i="1" s="1"/>
  <c r="AL4" i="1" s="1"/>
  <c r="AM4" i="1" s="1"/>
  <c r="AN4" i="1" s="1"/>
  <c r="O4" i="1"/>
  <c r="Y3" i="1"/>
  <c r="AH3" i="1" s="1"/>
  <c r="A200" i="1" l="1"/>
  <c r="A201" i="1"/>
  <c r="A4" i="1"/>
  <c r="A5" i="1"/>
  <c r="A6" i="1"/>
  <c r="A7" i="1"/>
  <c r="A8" i="1"/>
  <c r="A9" i="1"/>
  <c r="A10" i="1"/>
  <c r="A11" i="1"/>
  <c r="A12" i="1"/>
  <c r="A3" i="1"/>
  <c r="T3" i="1" l="1"/>
  <c r="AG3" i="1" s="1"/>
  <c r="AL3" i="1" s="1"/>
  <c r="AM3" i="1" s="1"/>
  <c r="AN3" i="1" s="1"/>
</calcChain>
</file>

<file path=xl/sharedStrings.xml><?xml version="1.0" encoding="utf-8"?>
<sst xmlns="http://schemas.openxmlformats.org/spreadsheetml/2006/main" count="134" uniqueCount="81">
  <si>
    <t>Month</t>
  </si>
  <si>
    <t>Date</t>
  </si>
  <si>
    <t>Product code</t>
  </si>
  <si>
    <t>Job order</t>
  </si>
  <si>
    <t>Shift</t>
  </si>
  <si>
    <t>Line</t>
  </si>
  <si>
    <t xml:space="preserve">Stop machine </t>
  </si>
  <si>
    <t>Trail</t>
  </si>
  <si>
    <t>Mechanical work T1(hr.)</t>
  </si>
  <si>
    <t xml:space="preserve">Start forming </t>
  </si>
  <si>
    <t>Forming time T2</t>
  </si>
  <si>
    <t>HE downtime</t>
  </si>
  <si>
    <t xml:space="preserve">HE Downtime reason </t>
  </si>
  <si>
    <t>lehr entry without Breakdown</t>
  </si>
  <si>
    <t>lehr entry with Breakdown</t>
  </si>
  <si>
    <t>Leht time</t>
  </si>
  <si>
    <t xml:space="preserve">CE </t>
  </si>
  <si>
    <t xml:space="preserve">Ready to pass time </t>
  </si>
  <si>
    <t>CE losses</t>
  </si>
  <si>
    <t>Delay Reason</t>
  </si>
  <si>
    <t xml:space="preserve"> Issue</t>
  </si>
  <si>
    <t>1st packed layer</t>
  </si>
  <si>
    <t>Palletizer losses</t>
  </si>
  <si>
    <t>Delayed Packed reason</t>
  </si>
  <si>
    <t>24 hr. Eff%</t>
  </si>
  <si>
    <t>T1 taregt</t>
  </si>
  <si>
    <t>T2 Target</t>
  </si>
  <si>
    <t>Trial losses</t>
  </si>
  <si>
    <t>T1 lossess</t>
  </si>
  <si>
    <t>T2 losses</t>
  </si>
  <si>
    <t>CE losses%</t>
  </si>
  <si>
    <t>Plletizer losses%</t>
  </si>
  <si>
    <t>HE break down %</t>
  </si>
  <si>
    <t>Extra losses T1 %</t>
  </si>
  <si>
    <t>Extra losses T2 %</t>
  </si>
  <si>
    <t>Total job change losses</t>
  </si>
  <si>
    <t>Theritical Eff%</t>
  </si>
  <si>
    <t>Eff. Gap</t>
  </si>
  <si>
    <t>HOT 6</t>
  </si>
  <si>
    <t>Process Change</t>
  </si>
  <si>
    <t>A/AM</t>
  </si>
  <si>
    <t>L21</t>
  </si>
  <si>
    <t>SPC 4</t>
  </si>
  <si>
    <t>Medium Change</t>
  </si>
  <si>
    <t>C/AM</t>
  </si>
  <si>
    <t>L23</t>
  </si>
  <si>
    <t>Shear</t>
  </si>
  <si>
    <t>CE Issue</t>
  </si>
  <si>
    <t>Conveyor</t>
  </si>
  <si>
    <t xml:space="preserve">Palletizer </t>
  </si>
  <si>
    <t>CRV 300</t>
  </si>
  <si>
    <t>A/PM</t>
  </si>
  <si>
    <t>L22</t>
  </si>
  <si>
    <t>CYL 350</t>
  </si>
  <si>
    <t>D/PM</t>
  </si>
  <si>
    <t>L24</t>
  </si>
  <si>
    <t>Machine</t>
  </si>
  <si>
    <t>Forming Issue</t>
  </si>
  <si>
    <t>Defect</t>
  </si>
  <si>
    <t>MYO 12</t>
  </si>
  <si>
    <t>Small Change</t>
  </si>
  <si>
    <t>L25</t>
  </si>
  <si>
    <t>lowerator</t>
  </si>
  <si>
    <t>CON 110</t>
  </si>
  <si>
    <t>C/PM</t>
  </si>
  <si>
    <t>MYO 14</t>
  </si>
  <si>
    <t>HNZ 150</t>
  </si>
  <si>
    <t>Big Change</t>
  </si>
  <si>
    <t>B/PM</t>
  </si>
  <si>
    <t>Inspection machine</t>
  </si>
  <si>
    <t>OLE 50</t>
  </si>
  <si>
    <t>D/AM</t>
  </si>
  <si>
    <t>HLW 316</t>
  </si>
  <si>
    <t>T1</t>
  </si>
  <si>
    <t>T2</t>
  </si>
  <si>
    <t>New product</t>
  </si>
  <si>
    <t>B/AM</t>
  </si>
  <si>
    <t>Resort</t>
  </si>
  <si>
    <t xml:space="preserve">Break down </t>
  </si>
  <si>
    <t>reson</t>
  </si>
  <si>
    <t>Job change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</si>
</sst>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9" fontId="0" fillId="0" borderId="0" xfId="1" applyFont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4" fontId="0" fillId="0" borderId="11" xfId="0" applyNumberFormat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64" fontId="0" fillId="2" borderId="11" xfId="0" applyNumberFormat="1" applyFill="1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/>
    </xf>
    <xf numFmtId="2" fontId="0" fillId="2" borderId="3" xfId="0" applyNumberFormat="1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left" vertical="center"/>
    </xf>
    <xf numFmtId="2" fontId="0" fillId="2" borderId="11" xfId="0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1"/>
  <sheetViews>
    <sheetView tabSelected="1" topLeftCell="H1" workbookViewId="0">
      <selection activeCell="M23" sqref="M23"/>
    </sheetView>
  </sheetViews>
  <sheetFormatPr defaultRowHeight="15" customHeight="1" x14ac:dyDescent="0.25"/>
  <cols>
    <col min="1" max="1" width="9.140625" style="1" hidden="1" customWidth="1"/>
    <col min="2" max="2" width="10.5703125" style="1" hidden="1" customWidth="1"/>
    <col min="3" max="4" width="41.7109375" style="1" hidden="1" customWidth="1"/>
    <col min="5" max="5" width="10.140625" style="1" hidden="1" customWidth="1"/>
    <col min="6" max="7" width="9.140625" style="1" hidden="1" customWidth="1"/>
    <col min="8" max="9" width="21.7109375" style="1" customWidth="1"/>
    <col min="10" max="10" width="21.7109375" style="1" bestFit="1" customWidth="1"/>
    <col min="11" max="14" width="21.7109375" style="1" customWidth="1"/>
    <col min="15" max="16" width="25.7109375" style="1" bestFit="1" customWidth="1"/>
    <col min="17" max="18" width="13.42578125" style="1" customWidth="1"/>
    <col min="19" max="19" width="16.42578125" style="1" bestFit="1" customWidth="1"/>
    <col min="20" max="20" width="21.7109375" style="1" customWidth="1"/>
    <col min="21" max="21" width="18.85546875" style="1" bestFit="1" customWidth="1"/>
    <col min="22" max="22" width="18.85546875" style="1" customWidth="1"/>
    <col min="23" max="23" width="20.5703125" style="1" customWidth="1"/>
    <col min="24" max="24" width="15.28515625" bestFit="1" customWidth="1"/>
    <col min="25" max="25" width="15.42578125" bestFit="1" customWidth="1"/>
    <col min="26" max="26" width="21.85546875" bestFit="1" customWidth="1"/>
    <col min="27" max="27" width="10.28515625" style="3" bestFit="1" customWidth="1"/>
    <col min="28" max="28" width="8.7109375" bestFit="1" customWidth="1"/>
    <col min="29" max="29" width="9" bestFit="1" customWidth="1"/>
    <col min="30" max="30" width="10.7109375" bestFit="1" customWidth="1"/>
    <col min="31" max="32" width="9.7109375" bestFit="1" customWidth="1"/>
    <col min="33" max="33" width="10.5703125" bestFit="1" customWidth="1"/>
    <col min="34" max="34" width="15.5703125" bestFit="1" customWidth="1"/>
    <col min="35" max="35" width="15" bestFit="1" customWidth="1"/>
    <col min="36" max="37" width="16" bestFit="1" customWidth="1"/>
    <col min="38" max="38" width="21.7109375" bestFit="1" customWidth="1"/>
    <col min="39" max="39" width="13.7109375" bestFit="1" customWidth="1"/>
  </cols>
  <sheetData>
    <row r="1" spans="1:40" ht="15" customHeight="1" thickBot="1" x14ac:dyDescent="0.3"/>
    <row r="2" spans="1:40" ht="15" customHeight="1" thickBot="1" x14ac:dyDescent="0.3">
      <c r="A2" s="11" t="s">
        <v>0</v>
      </c>
      <c r="B2" s="9" t="s">
        <v>1</v>
      </c>
      <c r="C2" s="9" t="s">
        <v>2</v>
      </c>
      <c r="D2" s="9" t="s">
        <v>80</v>
      </c>
      <c r="E2" s="9" t="s">
        <v>3</v>
      </c>
      <c r="F2" s="9" t="s">
        <v>4</v>
      </c>
      <c r="G2" s="12" t="s">
        <v>5</v>
      </c>
      <c r="H2" s="11" t="s">
        <v>6</v>
      </c>
      <c r="I2" s="13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12" t="s">
        <v>15</v>
      </c>
      <c r="R2" s="11" t="s">
        <v>16</v>
      </c>
      <c r="S2" s="13" t="s">
        <v>17</v>
      </c>
      <c r="T2" s="13" t="s">
        <v>18</v>
      </c>
      <c r="U2" s="13" t="s">
        <v>19</v>
      </c>
      <c r="V2" s="13" t="s">
        <v>79</v>
      </c>
      <c r="W2" s="13" t="s">
        <v>20</v>
      </c>
      <c r="X2" s="9" t="s">
        <v>21</v>
      </c>
      <c r="Y2" s="14" t="s">
        <v>22</v>
      </c>
      <c r="Z2" s="14" t="s">
        <v>23</v>
      </c>
      <c r="AA2" s="14" t="s">
        <v>24</v>
      </c>
      <c r="AB2" s="14" t="s">
        <v>25</v>
      </c>
      <c r="AC2" s="14" t="s">
        <v>26</v>
      </c>
      <c r="AD2" s="14" t="s">
        <v>27</v>
      </c>
      <c r="AE2" s="14" t="s">
        <v>28</v>
      </c>
      <c r="AF2" s="14" t="s">
        <v>29</v>
      </c>
      <c r="AG2" s="14" t="s">
        <v>30</v>
      </c>
      <c r="AH2" s="14" t="s">
        <v>31</v>
      </c>
      <c r="AI2" s="14" t="s">
        <v>32</v>
      </c>
      <c r="AJ2" s="14" t="s">
        <v>33</v>
      </c>
      <c r="AK2" s="14" t="s">
        <v>34</v>
      </c>
      <c r="AL2" s="14" t="s">
        <v>35</v>
      </c>
      <c r="AM2" s="14" t="s">
        <v>36</v>
      </c>
      <c r="AN2" s="14" t="s">
        <v>37</v>
      </c>
    </row>
    <row r="3" spans="1:40" ht="15" customHeight="1" thickBot="1" x14ac:dyDescent="0.3">
      <c r="A3" s="16">
        <f>MONTH(B3)</f>
        <v>6</v>
      </c>
      <c r="B3" s="17">
        <v>46174</v>
      </c>
      <c r="C3" s="17" t="s">
        <v>38</v>
      </c>
      <c r="D3" s="17" t="s">
        <v>39</v>
      </c>
      <c r="E3" s="17"/>
      <c r="F3" s="18" t="s">
        <v>40</v>
      </c>
      <c r="G3" s="18" t="s">
        <v>41</v>
      </c>
      <c r="H3" s="19">
        <v>0.35416666666666669</v>
      </c>
      <c r="I3" s="29">
        <v>5</v>
      </c>
      <c r="J3" s="29">
        <v>0</v>
      </c>
      <c r="K3" s="20">
        <f>H3+(I3/24)+(J3/24)</f>
        <v>0.5625</v>
      </c>
      <c r="L3" s="29">
        <v>1</v>
      </c>
      <c r="M3" s="29">
        <v>0</v>
      </c>
      <c r="N3" s="21"/>
      <c r="O3" s="20">
        <f>K3+(L3/24)</f>
        <v>0.60416666666666663</v>
      </c>
      <c r="P3" s="20">
        <f>K3+(L3/24)+(M3/24)</f>
        <v>0.60416666666666663</v>
      </c>
      <c r="Q3" s="29">
        <v>0.7</v>
      </c>
      <c r="R3" s="20">
        <f>P3+(Q3/24)</f>
        <v>0.6333333333333333</v>
      </c>
      <c r="S3" s="19">
        <v>0.6333333333333333</v>
      </c>
      <c r="T3" s="20">
        <f>S3-R3</f>
        <v>0</v>
      </c>
      <c r="U3" s="20"/>
      <c r="V3" s="20"/>
      <c r="W3" s="18"/>
      <c r="X3" s="20">
        <v>0.63541666666666663</v>
      </c>
      <c r="Y3" s="20">
        <f t="shared" ref="Y3:Y12" si="0">X3-S3</f>
        <v>2.0833333333333259E-3</v>
      </c>
      <c r="Z3" s="20"/>
      <c r="AA3" s="20">
        <v>0.72</v>
      </c>
      <c r="AB3" s="20">
        <f>VLOOKUP(D3,Sheet2!J:K,2,0)</f>
        <v>3</v>
      </c>
      <c r="AC3" s="20">
        <f>VLOOKUP(D3,Sheet2!J:L,3,0)</f>
        <v>1</v>
      </c>
      <c r="AD3" s="20">
        <f>I3/24</f>
        <v>0.20833333333333334</v>
      </c>
      <c r="AE3" s="20">
        <f>J3/24</f>
        <v>0</v>
      </c>
      <c r="AF3" s="20">
        <f>L3/24</f>
        <v>4.1666666666666664E-2</v>
      </c>
      <c r="AG3" s="20">
        <f>T3/24</f>
        <v>0</v>
      </c>
      <c r="AH3" s="20">
        <f>Y3/24</f>
        <v>8.6805555555555247E-5</v>
      </c>
      <c r="AI3" s="20">
        <f>M3/24</f>
        <v>0</v>
      </c>
      <c r="AJ3" s="20">
        <f>IF(I3&lt;&gt;0,0,(J3-AB3)/24)</f>
        <v>0</v>
      </c>
      <c r="AK3" s="20">
        <f>(L3-AC3)/24</f>
        <v>0</v>
      </c>
      <c r="AL3" s="20">
        <f>AD3+AE3+AF3+AG3+AH3+AI3</f>
        <v>0.25008680555555557</v>
      </c>
      <c r="AM3" s="20">
        <f>1-AL3</f>
        <v>0.74991319444444438</v>
      </c>
      <c r="AN3" s="20">
        <f>AM3-AA3</f>
        <v>2.9913194444444402E-2</v>
      </c>
    </row>
    <row r="4" spans="1:40" ht="15" customHeight="1" thickBot="1" x14ac:dyDescent="0.3">
      <c r="A4" s="22">
        <f t="shared" ref="A4:A12" si="1">MONTH(B4)</f>
        <v>6</v>
      </c>
      <c r="B4" s="5">
        <v>46177</v>
      </c>
      <c r="C4" s="5" t="s">
        <v>42</v>
      </c>
      <c r="D4" s="5" t="s">
        <v>43</v>
      </c>
      <c r="E4" s="5"/>
      <c r="F4" s="4" t="s">
        <v>44</v>
      </c>
      <c r="G4" s="4" t="s">
        <v>45</v>
      </c>
      <c r="H4" s="6">
        <v>0.35416666666666669</v>
      </c>
      <c r="I4" s="30">
        <v>0</v>
      </c>
      <c r="J4" s="30">
        <v>1.25</v>
      </c>
      <c r="K4" s="20">
        <f t="shared" ref="K4:K12" si="2">H4+(I4/24)+(J4/24)</f>
        <v>0.40625</v>
      </c>
      <c r="L4" s="30">
        <v>3</v>
      </c>
      <c r="M4" s="30">
        <v>0.5</v>
      </c>
      <c r="N4" s="8" t="s">
        <v>46</v>
      </c>
      <c r="O4" s="20">
        <f t="shared" ref="O4:O12" si="3">K4+(L4/24)</f>
        <v>0.53125</v>
      </c>
      <c r="P4" s="20">
        <f t="shared" ref="P4:P12" si="4">K4+(L4/24)+(M4/24)</f>
        <v>0.55208333333333337</v>
      </c>
      <c r="Q4" s="30">
        <v>1.5</v>
      </c>
      <c r="R4" s="20">
        <f t="shared" ref="R4:R12" si="5">P4+(Q4/24)</f>
        <v>0.61458333333333337</v>
      </c>
      <c r="S4" s="6">
        <v>0.64583333333333337</v>
      </c>
      <c r="T4" s="20">
        <f t="shared" ref="T4:T12" si="6">S4-R4</f>
        <v>3.125E-2</v>
      </c>
      <c r="U4" s="7" t="s">
        <v>47</v>
      </c>
      <c r="V4" s="7" t="s">
        <v>48</v>
      </c>
      <c r="W4" s="4"/>
      <c r="X4" s="7">
        <v>0.66666666666666663</v>
      </c>
      <c r="Y4" s="7">
        <f t="shared" si="0"/>
        <v>2.0833333333333259E-2</v>
      </c>
      <c r="Z4" s="7" t="s">
        <v>49</v>
      </c>
      <c r="AA4" s="7">
        <v>0.79991319444444442</v>
      </c>
      <c r="AB4" s="7">
        <f>VLOOKUP(D4,Sheet2!J:K,2,0)</f>
        <v>1</v>
      </c>
      <c r="AC4" s="7">
        <f>VLOOKUP(D4,Sheet2!J:L,3,0)</f>
        <v>1</v>
      </c>
      <c r="AD4" s="7">
        <f t="shared" ref="AD4:AD12" si="7">I4/24</f>
        <v>0</v>
      </c>
      <c r="AE4" s="7">
        <f>J4/24</f>
        <v>5.2083333333333336E-2</v>
      </c>
      <c r="AF4" s="7">
        <f t="shared" ref="AF4:AF12" si="8">L4/24</f>
        <v>0.125</v>
      </c>
      <c r="AG4" s="7">
        <f t="shared" ref="AG4:AG12" si="9">T4/24</f>
        <v>1.3020833333333333E-3</v>
      </c>
      <c r="AH4" s="7">
        <f t="shared" ref="AH4:AH12" si="10">Y4/24</f>
        <v>8.6805555555555247E-4</v>
      </c>
      <c r="AI4" s="7">
        <f t="shared" ref="AI4:AI12" si="11">M4/24</f>
        <v>2.0833333333333332E-2</v>
      </c>
      <c r="AJ4" s="7">
        <f t="shared" ref="AJ4:AJ12" si="12">IF(I4&lt;&gt;0,0,(J4-AB4)/24)</f>
        <v>1.0416666666666666E-2</v>
      </c>
      <c r="AK4" s="7">
        <f t="shared" ref="AK4:AK12" si="13">(L4-AC4)/24</f>
        <v>8.3333333333333329E-2</v>
      </c>
      <c r="AL4" s="7">
        <f t="shared" ref="AL4:AL12" si="14">AD4+AE4+AF4+AG4+AH4+AI4</f>
        <v>0.20008680555555558</v>
      </c>
      <c r="AM4" s="7">
        <f t="shared" ref="AM4:AM12" si="15">1-AL4</f>
        <v>0.79991319444444442</v>
      </c>
      <c r="AN4" s="7">
        <f t="shared" ref="AN4:AN12" si="16">AM4-AA4</f>
        <v>0</v>
      </c>
    </row>
    <row r="5" spans="1:40" ht="15" customHeight="1" thickBot="1" x14ac:dyDescent="0.3">
      <c r="A5" s="22">
        <f t="shared" si="1"/>
        <v>6</v>
      </c>
      <c r="B5" s="5">
        <v>46180</v>
      </c>
      <c r="C5" s="5" t="s">
        <v>50</v>
      </c>
      <c r="D5" s="5" t="s">
        <v>43</v>
      </c>
      <c r="E5" s="5"/>
      <c r="F5" s="4" t="s">
        <v>51</v>
      </c>
      <c r="G5" s="4" t="s">
        <v>52</v>
      </c>
      <c r="H5" s="6">
        <v>0.35416666666666669</v>
      </c>
      <c r="I5" s="30">
        <v>8</v>
      </c>
      <c r="J5" s="30">
        <v>0</v>
      </c>
      <c r="K5" s="20">
        <f t="shared" si="2"/>
        <v>0.6875</v>
      </c>
      <c r="L5" s="30">
        <v>2</v>
      </c>
      <c r="M5" s="30">
        <v>0</v>
      </c>
      <c r="N5" s="8"/>
      <c r="O5" s="20">
        <f t="shared" si="3"/>
        <v>0.77083333333333337</v>
      </c>
      <c r="P5" s="20">
        <f t="shared" si="4"/>
        <v>0.77083333333333337</v>
      </c>
      <c r="Q5" s="30">
        <v>1</v>
      </c>
      <c r="R5" s="20">
        <f t="shared" si="5"/>
        <v>0.8125</v>
      </c>
      <c r="S5" s="6">
        <v>0.8125</v>
      </c>
      <c r="T5" s="20">
        <f t="shared" si="6"/>
        <v>0</v>
      </c>
      <c r="U5" s="7"/>
      <c r="V5" s="7"/>
      <c r="W5" s="4"/>
      <c r="X5" s="7">
        <v>0.81944444444444442</v>
      </c>
      <c r="Y5" s="7">
        <f t="shared" si="0"/>
        <v>6.9444444444444198E-3</v>
      </c>
      <c r="Z5" s="7"/>
      <c r="AA5" s="7">
        <v>0.58304398148148151</v>
      </c>
      <c r="AB5" s="7">
        <f>VLOOKUP(D5,Sheet2!J:K,2,0)</f>
        <v>1</v>
      </c>
      <c r="AC5" s="7">
        <f>VLOOKUP(D5,Sheet2!J:L,3,0)</f>
        <v>1</v>
      </c>
      <c r="AD5" s="7">
        <f t="shared" si="7"/>
        <v>0.33333333333333331</v>
      </c>
      <c r="AE5" s="7">
        <f t="shared" ref="AE5:AE12" si="17">J5/24</f>
        <v>0</v>
      </c>
      <c r="AF5" s="7">
        <f t="shared" si="8"/>
        <v>8.3333333333333329E-2</v>
      </c>
      <c r="AG5" s="7">
        <f t="shared" si="9"/>
        <v>0</v>
      </c>
      <c r="AH5" s="7">
        <f t="shared" si="10"/>
        <v>2.8935185185185081E-4</v>
      </c>
      <c r="AI5" s="7">
        <f t="shared" si="11"/>
        <v>0</v>
      </c>
      <c r="AJ5" s="7">
        <f t="shared" si="12"/>
        <v>0</v>
      </c>
      <c r="AK5" s="7">
        <f t="shared" si="13"/>
        <v>4.1666666666666664E-2</v>
      </c>
      <c r="AL5" s="7">
        <f t="shared" si="14"/>
        <v>0.41695601851851849</v>
      </c>
      <c r="AM5" s="7">
        <f t="shared" si="15"/>
        <v>0.58304398148148151</v>
      </c>
      <c r="AN5" s="7">
        <f t="shared" si="16"/>
        <v>0</v>
      </c>
    </row>
    <row r="6" spans="1:40" ht="15" customHeight="1" thickBot="1" x14ac:dyDescent="0.3">
      <c r="A6" s="22">
        <f t="shared" si="1"/>
        <v>6</v>
      </c>
      <c r="B6" s="5">
        <v>46177</v>
      </c>
      <c r="C6" s="10" t="s">
        <v>53</v>
      </c>
      <c r="D6" s="5" t="s">
        <v>39</v>
      </c>
      <c r="E6" s="5"/>
      <c r="F6" s="4" t="s">
        <v>54</v>
      </c>
      <c r="G6" s="4" t="s">
        <v>55</v>
      </c>
      <c r="H6" s="6">
        <v>0.35416666666666669</v>
      </c>
      <c r="I6" s="30">
        <v>0</v>
      </c>
      <c r="J6" s="30">
        <v>3</v>
      </c>
      <c r="K6" s="20">
        <f t="shared" si="2"/>
        <v>0.47916666666666669</v>
      </c>
      <c r="L6" s="30">
        <v>1</v>
      </c>
      <c r="M6" s="30">
        <v>1.3</v>
      </c>
      <c r="N6" s="8" t="s">
        <v>56</v>
      </c>
      <c r="O6" s="20">
        <f t="shared" si="3"/>
        <v>0.52083333333333337</v>
      </c>
      <c r="P6" s="20">
        <f t="shared" si="4"/>
        <v>0.57500000000000007</v>
      </c>
      <c r="Q6" s="30">
        <v>0.7</v>
      </c>
      <c r="R6" s="20">
        <f t="shared" si="5"/>
        <v>0.60416666666666674</v>
      </c>
      <c r="S6" s="6">
        <v>0.625</v>
      </c>
      <c r="T6" s="20">
        <f t="shared" si="6"/>
        <v>2.0833333333333259E-2</v>
      </c>
      <c r="U6" s="7" t="s">
        <v>57</v>
      </c>
      <c r="V6" s="7" t="s">
        <v>58</v>
      </c>
      <c r="W6" s="4"/>
      <c r="X6" s="7">
        <v>0.62638888888888888</v>
      </c>
      <c r="Y6" s="7">
        <f t="shared" si="0"/>
        <v>1.388888888888884E-3</v>
      </c>
      <c r="Z6" s="7"/>
      <c r="AA6" s="7">
        <v>0.77824074074074079</v>
      </c>
      <c r="AB6" s="7">
        <f>VLOOKUP(D6,Sheet2!J:K,2,0)</f>
        <v>3</v>
      </c>
      <c r="AC6" s="7">
        <f>VLOOKUP(D6,Sheet2!J:L,3,0)</f>
        <v>1</v>
      </c>
      <c r="AD6" s="7">
        <f t="shared" si="7"/>
        <v>0</v>
      </c>
      <c r="AE6" s="7">
        <f t="shared" si="17"/>
        <v>0.125</v>
      </c>
      <c r="AF6" s="7">
        <f t="shared" si="8"/>
        <v>4.1666666666666664E-2</v>
      </c>
      <c r="AG6" s="7">
        <f t="shared" si="9"/>
        <v>8.6805555555555247E-4</v>
      </c>
      <c r="AH6" s="7">
        <f t="shared" si="10"/>
        <v>5.7870370370370163E-5</v>
      </c>
      <c r="AI6" s="7">
        <f t="shared" si="11"/>
        <v>5.4166666666666669E-2</v>
      </c>
      <c r="AJ6" s="7">
        <f t="shared" si="12"/>
        <v>0</v>
      </c>
      <c r="AK6" s="7">
        <f t="shared" si="13"/>
        <v>0</v>
      </c>
      <c r="AL6" s="7">
        <f t="shared" si="14"/>
        <v>0.22175925925925924</v>
      </c>
      <c r="AM6" s="7">
        <f t="shared" si="15"/>
        <v>0.77824074074074079</v>
      </c>
      <c r="AN6" s="7">
        <f t="shared" si="16"/>
        <v>0</v>
      </c>
    </row>
    <row r="7" spans="1:40" ht="15" customHeight="1" thickBot="1" x14ac:dyDescent="0.3">
      <c r="A7" s="22">
        <f t="shared" si="1"/>
        <v>6</v>
      </c>
      <c r="B7" s="5">
        <v>46182</v>
      </c>
      <c r="C7" s="5" t="s">
        <v>59</v>
      </c>
      <c r="D7" s="5" t="s">
        <v>60</v>
      </c>
      <c r="E7" s="5"/>
      <c r="F7" s="4" t="s">
        <v>40</v>
      </c>
      <c r="G7" s="4" t="s">
        <v>61</v>
      </c>
      <c r="H7" s="6">
        <v>0.35416666666666669</v>
      </c>
      <c r="I7" s="30">
        <v>0</v>
      </c>
      <c r="J7" s="30">
        <v>1</v>
      </c>
      <c r="K7" s="20">
        <f t="shared" si="2"/>
        <v>0.39583333333333337</v>
      </c>
      <c r="L7" s="30">
        <v>2</v>
      </c>
      <c r="M7" s="30">
        <v>0</v>
      </c>
      <c r="N7" s="8"/>
      <c r="O7" s="20">
        <f t="shared" si="3"/>
        <v>0.47916666666666669</v>
      </c>
      <c r="P7" s="20">
        <f t="shared" si="4"/>
        <v>0.47916666666666669</v>
      </c>
      <c r="Q7" s="30">
        <v>0.5</v>
      </c>
      <c r="R7" s="20">
        <f t="shared" si="5"/>
        <v>0.5</v>
      </c>
      <c r="S7" s="6">
        <v>0.625</v>
      </c>
      <c r="T7" s="20">
        <f t="shared" si="6"/>
        <v>0.125</v>
      </c>
      <c r="U7" s="7" t="s">
        <v>47</v>
      </c>
      <c r="V7" s="7" t="s">
        <v>62</v>
      </c>
      <c r="W7" s="4"/>
      <c r="X7" s="7">
        <v>0.66666666666666663</v>
      </c>
      <c r="Y7" s="7">
        <f t="shared" si="0"/>
        <v>4.166666666666663E-2</v>
      </c>
      <c r="Z7" s="7" t="s">
        <v>49</v>
      </c>
      <c r="AA7" s="7">
        <v>0.86805555555555558</v>
      </c>
      <c r="AB7" s="7">
        <f>VLOOKUP(D7,Sheet2!J:K,2,0)</f>
        <v>0.5</v>
      </c>
      <c r="AC7" s="7">
        <f>VLOOKUP(D7,Sheet2!J:L,3,0)</f>
        <v>1</v>
      </c>
      <c r="AD7" s="7">
        <f t="shared" si="7"/>
        <v>0</v>
      </c>
      <c r="AE7" s="7">
        <f t="shared" si="17"/>
        <v>4.1666666666666664E-2</v>
      </c>
      <c r="AF7" s="7">
        <f t="shared" si="8"/>
        <v>8.3333333333333329E-2</v>
      </c>
      <c r="AG7" s="7">
        <f t="shared" si="9"/>
        <v>5.208333333333333E-3</v>
      </c>
      <c r="AH7" s="7">
        <f t="shared" si="10"/>
        <v>1.7361111111111095E-3</v>
      </c>
      <c r="AI7" s="7">
        <f t="shared" si="11"/>
        <v>0</v>
      </c>
      <c r="AJ7" s="7">
        <f t="shared" si="12"/>
        <v>2.0833333333333332E-2</v>
      </c>
      <c r="AK7" s="7">
        <f t="shared" si="13"/>
        <v>4.1666666666666664E-2</v>
      </c>
      <c r="AL7" s="7">
        <f t="shared" si="14"/>
        <v>0.13194444444444445</v>
      </c>
      <c r="AM7" s="7">
        <f t="shared" si="15"/>
        <v>0.86805555555555558</v>
      </c>
      <c r="AN7" s="7">
        <f t="shared" si="16"/>
        <v>0</v>
      </c>
    </row>
    <row r="8" spans="1:40" ht="15" customHeight="1" thickBot="1" x14ac:dyDescent="0.3">
      <c r="A8" s="22">
        <f t="shared" si="1"/>
        <v>6</v>
      </c>
      <c r="B8" s="5">
        <v>46182</v>
      </c>
      <c r="C8" s="10" t="s">
        <v>63</v>
      </c>
      <c r="D8" s="5" t="s">
        <v>39</v>
      </c>
      <c r="E8" s="5"/>
      <c r="F8" s="4" t="s">
        <v>64</v>
      </c>
      <c r="G8" s="15" t="s">
        <v>45</v>
      </c>
      <c r="H8" s="6">
        <v>0.4375</v>
      </c>
      <c r="I8" s="30">
        <v>5</v>
      </c>
      <c r="J8" s="30">
        <v>0</v>
      </c>
      <c r="K8" s="20">
        <f t="shared" si="2"/>
        <v>0.64583333333333337</v>
      </c>
      <c r="L8" s="30">
        <v>2</v>
      </c>
      <c r="M8" s="30">
        <v>0.5</v>
      </c>
      <c r="N8" s="8" t="s">
        <v>56</v>
      </c>
      <c r="O8" s="20">
        <f t="shared" si="3"/>
        <v>0.72916666666666674</v>
      </c>
      <c r="P8" s="20">
        <f t="shared" si="4"/>
        <v>0.75000000000000011</v>
      </c>
      <c r="Q8" s="30">
        <v>1</v>
      </c>
      <c r="R8" s="20">
        <f t="shared" si="5"/>
        <v>0.79166666666666674</v>
      </c>
      <c r="S8" s="6">
        <v>0.8125</v>
      </c>
      <c r="T8" s="20">
        <f t="shared" si="6"/>
        <v>2.0833333333333259E-2</v>
      </c>
      <c r="U8" s="7" t="s">
        <v>57</v>
      </c>
      <c r="V8" s="7" t="s">
        <v>58</v>
      </c>
      <c r="W8" s="4"/>
      <c r="X8" s="7">
        <v>0.81597222222222221</v>
      </c>
      <c r="Y8" s="7">
        <f t="shared" si="0"/>
        <v>3.4722222222222099E-3</v>
      </c>
      <c r="Z8" s="7"/>
      <c r="AA8" s="7">
        <v>0.6864872685185186</v>
      </c>
      <c r="AB8" s="7">
        <f>VLOOKUP(D8,Sheet2!J:K,2,0)</f>
        <v>3</v>
      </c>
      <c r="AC8" s="7">
        <f>VLOOKUP(D8,Sheet2!J:L,3,0)</f>
        <v>1</v>
      </c>
      <c r="AD8" s="7">
        <f t="shared" si="7"/>
        <v>0.20833333333333334</v>
      </c>
      <c r="AE8" s="7">
        <f t="shared" si="17"/>
        <v>0</v>
      </c>
      <c r="AF8" s="7">
        <f t="shared" si="8"/>
        <v>8.3333333333333329E-2</v>
      </c>
      <c r="AG8" s="7">
        <f t="shared" si="9"/>
        <v>8.6805555555555247E-4</v>
      </c>
      <c r="AH8" s="7">
        <f t="shared" si="10"/>
        <v>1.446759259259254E-4</v>
      </c>
      <c r="AI8" s="7">
        <f t="shared" si="11"/>
        <v>2.0833333333333332E-2</v>
      </c>
      <c r="AJ8" s="7">
        <f t="shared" si="12"/>
        <v>0</v>
      </c>
      <c r="AK8" s="7">
        <f t="shared" si="13"/>
        <v>4.1666666666666664E-2</v>
      </c>
      <c r="AL8" s="7">
        <f t="shared" si="14"/>
        <v>0.31351273148148145</v>
      </c>
      <c r="AM8" s="7">
        <f t="shared" si="15"/>
        <v>0.6864872685185186</v>
      </c>
      <c r="AN8" s="7">
        <f t="shared" si="16"/>
        <v>0</v>
      </c>
    </row>
    <row r="9" spans="1:40" ht="15" customHeight="1" thickBot="1" x14ac:dyDescent="0.3">
      <c r="A9" s="22">
        <f t="shared" si="1"/>
        <v>6</v>
      </c>
      <c r="B9" s="5">
        <v>46184</v>
      </c>
      <c r="C9" s="10" t="s">
        <v>65</v>
      </c>
      <c r="D9" s="5" t="s">
        <v>43</v>
      </c>
      <c r="E9" s="5"/>
      <c r="F9" s="4" t="s">
        <v>40</v>
      </c>
      <c r="G9" s="15" t="s">
        <v>61</v>
      </c>
      <c r="H9" s="6">
        <v>0.4375</v>
      </c>
      <c r="I9" s="30">
        <v>6</v>
      </c>
      <c r="J9" s="30">
        <v>0</v>
      </c>
      <c r="K9" s="20">
        <f t="shared" si="2"/>
        <v>0.6875</v>
      </c>
      <c r="L9" s="30">
        <v>2.5</v>
      </c>
      <c r="M9" s="30">
        <v>0.5</v>
      </c>
      <c r="N9" s="8" t="s">
        <v>56</v>
      </c>
      <c r="O9" s="20">
        <f t="shared" si="3"/>
        <v>0.79166666666666663</v>
      </c>
      <c r="P9" s="20">
        <f t="shared" si="4"/>
        <v>0.8125</v>
      </c>
      <c r="Q9" s="30">
        <v>0.7</v>
      </c>
      <c r="R9" s="20">
        <f t="shared" si="5"/>
        <v>0.84166666666666667</v>
      </c>
      <c r="S9" s="6">
        <v>0.91666666666666663</v>
      </c>
      <c r="T9" s="20">
        <f t="shared" si="6"/>
        <v>7.4999999999999956E-2</v>
      </c>
      <c r="U9" s="7" t="s">
        <v>57</v>
      </c>
      <c r="V9" s="7" t="s">
        <v>58</v>
      </c>
      <c r="W9" s="4"/>
      <c r="X9" s="7">
        <v>0.95833333333333337</v>
      </c>
      <c r="Y9" s="7">
        <f t="shared" si="0"/>
        <v>4.1666666666666741E-2</v>
      </c>
      <c r="Z9" s="7" t="s">
        <v>49</v>
      </c>
      <c r="AA9" s="7">
        <v>0.62013888888888891</v>
      </c>
      <c r="AB9" s="7">
        <f>VLOOKUP(D9,Sheet2!J:K,2,0)</f>
        <v>1</v>
      </c>
      <c r="AC9" s="7">
        <f>VLOOKUP(D9,Sheet2!J:L,3,0)</f>
        <v>1</v>
      </c>
      <c r="AD9" s="7">
        <f t="shared" si="7"/>
        <v>0.25</v>
      </c>
      <c r="AE9" s="7">
        <f t="shared" si="17"/>
        <v>0</v>
      </c>
      <c r="AF9" s="7">
        <f t="shared" si="8"/>
        <v>0.10416666666666667</v>
      </c>
      <c r="AG9" s="7">
        <f t="shared" si="9"/>
        <v>3.124999999999998E-3</v>
      </c>
      <c r="AH9" s="7">
        <f t="shared" si="10"/>
        <v>1.7361111111111143E-3</v>
      </c>
      <c r="AI9" s="7">
        <f t="shared" si="11"/>
        <v>2.0833333333333332E-2</v>
      </c>
      <c r="AJ9" s="7">
        <f t="shared" si="12"/>
        <v>0</v>
      </c>
      <c r="AK9" s="7">
        <f t="shared" si="13"/>
        <v>6.25E-2</v>
      </c>
      <c r="AL9" s="7">
        <f t="shared" si="14"/>
        <v>0.37986111111111109</v>
      </c>
      <c r="AM9" s="7">
        <f t="shared" si="15"/>
        <v>0.62013888888888891</v>
      </c>
      <c r="AN9" s="7">
        <f t="shared" si="16"/>
        <v>0</v>
      </c>
    </row>
    <row r="10" spans="1:40" ht="15" customHeight="1" thickBot="1" x14ac:dyDescent="0.3">
      <c r="A10" s="22">
        <f t="shared" si="1"/>
        <v>6</v>
      </c>
      <c r="B10" s="5">
        <v>46187</v>
      </c>
      <c r="C10" s="10" t="s">
        <v>66</v>
      </c>
      <c r="D10" s="5" t="s">
        <v>67</v>
      </c>
      <c r="E10" s="5"/>
      <c r="F10" s="4" t="s">
        <v>68</v>
      </c>
      <c r="G10" s="4" t="s">
        <v>41</v>
      </c>
      <c r="H10" s="6">
        <v>0.4375</v>
      </c>
      <c r="I10" s="30">
        <v>0</v>
      </c>
      <c r="J10" s="30">
        <v>3</v>
      </c>
      <c r="K10" s="20">
        <f t="shared" si="2"/>
        <v>0.5625</v>
      </c>
      <c r="L10" s="30">
        <v>5</v>
      </c>
      <c r="M10" s="30">
        <v>0.5</v>
      </c>
      <c r="N10" s="8" t="s">
        <v>56</v>
      </c>
      <c r="O10" s="20">
        <f t="shared" si="3"/>
        <v>0.77083333333333337</v>
      </c>
      <c r="P10" s="20">
        <f t="shared" si="4"/>
        <v>0.79166666666666674</v>
      </c>
      <c r="Q10" s="30">
        <v>0.7</v>
      </c>
      <c r="R10" s="20">
        <f t="shared" si="5"/>
        <v>0.82083333333333341</v>
      </c>
      <c r="S10" s="6">
        <v>0.85416666666666663</v>
      </c>
      <c r="T10" s="20">
        <f t="shared" si="6"/>
        <v>3.3333333333333215E-2</v>
      </c>
      <c r="U10" s="7" t="s">
        <v>47</v>
      </c>
      <c r="V10" s="7" t="s">
        <v>69</v>
      </c>
      <c r="W10" s="4"/>
      <c r="X10" s="7">
        <v>0.85416666666666663</v>
      </c>
      <c r="Y10" s="7">
        <f t="shared" si="0"/>
        <v>0</v>
      </c>
      <c r="Z10" s="7"/>
      <c r="AA10" s="7">
        <v>0.64444444444444438</v>
      </c>
      <c r="AB10" s="7">
        <f>VLOOKUP(D10,Sheet2!J:K,2,0)</f>
        <v>2</v>
      </c>
      <c r="AC10" s="7">
        <f>VLOOKUP(D10,Sheet2!J:L,3,0)</f>
        <v>1</v>
      </c>
      <c r="AD10" s="7">
        <f t="shared" si="7"/>
        <v>0</v>
      </c>
      <c r="AE10" s="7">
        <f t="shared" si="17"/>
        <v>0.125</v>
      </c>
      <c r="AF10" s="7">
        <f t="shared" si="8"/>
        <v>0.20833333333333334</v>
      </c>
      <c r="AG10" s="7">
        <f t="shared" si="9"/>
        <v>1.388888888888884E-3</v>
      </c>
      <c r="AH10" s="7">
        <f t="shared" si="10"/>
        <v>0</v>
      </c>
      <c r="AI10" s="7">
        <f t="shared" si="11"/>
        <v>2.0833333333333332E-2</v>
      </c>
      <c r="AJ10" s="7">
        <f t="shared" si="12"/>
        <v>4.1666666666666664E-2</v>
      </c>
      <c r="AK10" s="7">
        <f t="shared" si="13"/>
        <v>0.16666666666666666</v>
      </c>
      <c r="AL10" s="7">
        <f t="shared" si="14"/>
        <v>0.35555555555555557</v>
      </c>
      <c r="AM10" s="7">
        <f t="shared" si="15"/>
        <v>0.64444444444444438</v>
      </c>
      <c r="AN10" s="7">
        <f t="shared" si="16"/>
        <v>0</v>
      </c>
    </row>
    <row r="11" spans="1:40" ht="15" customHeight="1" thickBot="1" x14ac:dyDescent="0.3">
      <c r="A11" s="22">
        <f t="shared" si="1"/>
        <v>6</v>
      </c>
      <c r="B11" s="5">
        <v>46193</v>
      </c>
      <c r="C11" s="10" t="s">
        <v>70</v>
      </c>
      <c r="D11" s="5" t="s">
        <v>43</v>
      </c>
      <c r="E11" s="5"/>
      <c r="F11" s="4" t="s">
        <v>71</v>
      </c>
      <c r="G11" s="4" t="s">
        <v>41</v>
      </c>
      <c r="H11" s="6">
        <v>0.4375</v>
      </c>
      <c r="I11" s="30">
        <v>0</v>
      </c>
      <c r="J11" s="30">
        <v>3</v>
      </c>
      <c r="K11" s="20">
        <f t="shared" si="2"/>
        <v>0.5625</v>
      </c>
      <c r="L11" s="30">
        <v>2</v>
      </c>
      <c r="M11" s="30">
        <v>0.5</v>
      </c>
      <c r="N11" s="8" t="s">
        <v>56</v>
      </c>
      <c r="O11" s="20">
        <f t="shared" si="3"/>
        <v>0.64583333333333337</v>
      </c>
      <c r="P11" s="20">
        <f t="shared" si="4"/>
        <v>0.66666666666666674</v>
      </c>
      <c r="Q11" s="30">
        <v>0.7</v>
      </c>
      <c r="R11" s="20">
        <f t="shared" si="5"/>
        <v>0.69583333333333341</v>
      </c>
      <c r="S11" s="6">
        <v>0.6958333333333333</v>
      </c>
      <c r="T11" s="20">
        <f t="shared" si="6"/>
        <v>0</v>
      </c>
      <c r="U11" s="7"/>
      <c r="V11" s="7"/>
      <c r="W11" s="4"/>
      <c r="X11" s="7">
        <v>0.6958333333333333</v>
      </c>
      <c r="Y11" s="7">
        <f t="shared" si="0"/>
        <v>0</v>
      </c>
      <c r="Z11" s="7"/>
      <c r="AA11" s="7">
        <v>0.77083333333333337</v>
      </c>
      <c r="AB11" s="7">
        <f>VLOOKUP(D11,Sheet2!J:K,2,0)</f>
        <v>1</v>
      </c>
      <c r="AC11" s="7">
        <f>VLOOKUP(D11,Sheet2!J:L,3,0)</f>
        <v>1</v>
      </c>
      <c r="AD11" s="7">
        <f t="shared" si="7"/>
        <v>0</v>
      </c>
      <c r="AE11" s="7">
        <f t="shared" si="17"/>
        <v>0.125</v>
      </c>
      <c r="AF11" s="7">
        <f t="shared" si="8"/>
        <v>8.3333333333333329E-2</v>
      </c>
      <c r="AG11" s="7">
        <f t="shared" si="9"/>
        <v>0</v>
      </c>
      <c r="AH11" s="7">
        <f t="shared" si="10"/>
        <v>0</v>
      </c>
      <c r="AI11" s="7">
        <f t="shared" si="11"/>
        <v>2.0833333333333332E-2</v>
      </c>
      <c r="AJ11" s="7">
        <f t="shared" si="12"/>
        <v>8.3333333333333329E-2</v>
      </c>
      <c r="AK11" s="7">
        <f t="shared" si="13"/>
        <v>4.1666666666666664E-2</v>
      </c>
      <c r="AL11" s="7">
        <f t="shared" si="14"/>
        <v>0.22916666666666666</v>
      </c>
      <c r="AM11" s="7">
        <f t="shared" si="15"/>
        <v>0.77083333333333337</v>
      </c>
      <c r="AN11" s="7">
        <f t="shared" si="16"/>
        <v>0</v>
      </c>
    </row>
    <row r="12" spans="1:40" ht="15" customHeight="1" thickBot="1" x14ac:dyDescent="0.3">
      <c r="A12" s="23">
        <f t="shared" si="1"/>
        <v>6</v>
      </c>
      <c r="B12" s="24">
        <v>46196</v>
      </c>
      <c r="C12" s="25" t="s">
        <v>72</v>
      </c>
      <c r="D12" s="24" t="s">
        <v>67</v>
      </c>
      <c r="E12" s="24"/>
      <c r="F12" s="26" t="s">
        <v>64</v>
      </c>
      <c r="G12" s="26" t="s">
        <v>45</v>
      </c>
      <c r="H12" s="27">
        <v>0.4375</v>
      </c>
      <c r="I12" s="31">
        <v>0</v>
      </c>
      <c r="J12" s="31">
        <v>2</v>
      </c>
      <c r="K12" s="20">
        <f t="shared" si="2"/>
        <v>0.52083333333333337</v>
      </c>
      <c r="L12" s="31">
        <v>6</v>
      </c>
      <c r="M12" s="31">
        <v>0.5</v>
      </c>
      <c r="N12" s="8" t="s">
        <v>56</v>
      </c>
      <c r="O12" s="20">
        <f t="shared" si="3"/>
        <v>0.77083333333333337</v>
      </c>
      <c r="P12" s="20">
        <f t="shared" si="4"/>
        <v>0.79166666666666674</v>
      </c>
      <c r="Q12" s="31">
        <v>0.7</v>
      </c>
      <c r="R12" s="20">
        <f t="shared" si="5"/>
        <v>0.82083333333333341</v>
      </c>
      <c r="S12" s="27">
        <v>0.82291666666666663</v>
      </c>
      <c r="T12" s="20">
        <f t="shared" si="6"/>
        <v>2.0833333333332149E-3</v>
      </c>
      <c r="U12" s="28"/>
      <c r="V12" s="28"/>
      <c r="W12" s="26"/>
      <c r="X12" s="28">
        <v>0.83333333333333337</v>
      </c>
      <c r="Y12" s="28">
        <f t="shared" si="0"/>
        <v>1.0416666666666741E-2</v>
      </c>
      <c r="Z12" s="28" t="s">
        <v>49</v>
      </c>
      <c r="AA12" s="28">
        <v>0.64531249999999996</v>
      </c>
      <c r="AB12" s="28">
        <f>VLOOKUP(D12,Sheet2!J:K,2,0)</f>
        <v>2</v>
      </c>
      <c r="AC12" s="28">
        <f>VLOOKUP(D12,Sheet2!J:L,3,0)</f>
        <v>1</v>
      </c>
      <c r="AD12" s="28">
        <f t="shared" si="7"/>
        <v>0</v>
      </c>
      <c r="AE12" s="28">
        <f t="shared" si="17"/>
        <v>8.3333333333333329E-2</v>
      </c>
      <c r="AF12" s="28">
        <f t="shared" si="8"/>
        <v>0.25</v>
      </c>
      <c r="AG12" s="28">
        <f t="shared" si="9"/>
        <v>8.6805555555550626E-5</v>
      </c>
      <c r="AH12" s="28">
        <f t="shared" si="10"/>
        <v>4.3402777777778084E-4</v>
      </c>
      <c r="AI12" s="28">
        <f t="shared" si="11"/>
        <v>2.0833333333333332E-2</v>
      </c>
      <c r="AJ12" s="28">
        <f t="shared" si="12"/>
        <v>0</v>
      </c>
      <c r="AK12" s="28">
        <f t="shared" si="13"/>
        <v>0.20833333333333334</v>
      </c>
      <c r="AL12" s="28">
        <f t="shared" si="14"/>
        <v>0.35468749999999999</v>
      </c>
      <c r="AM12" s="28">
        <f t="shared" si="15"/>
        <v>0.64531249999999996</v>
      </c>
      <c r="AN12" s="28">
        <f t="shared" si="16"/>
        <v>0</v>
      </c>
    </row>
    <row r="13" spans="1:40" ht="15" customHeight="1" x14ac:dyDescent="0.25">
      <c r="B13" s="2"/>
      <c r="C13" s="2"/>
      <c r="D13" s="2"/>
      <c r="E13" s="2"/>
      <c r="W13"/>
    </row>
    <row r="14" spans="1:40" ht="15" customHeight="1" x14ac:dyDescent="0.25">
      <c r="B14" s="2"/>
      <c r="C14" s="2"/>
      <c r="D14" s="2"/>
      <c r="E14" s="2"/>
    </row>
    <row r="15" spans="1:40" ht="15" customHeight="1" x14ac:dyDescent="0.25">
      <c r="B15" s="2"/>
      <c r="C15" s="2"/>
      <c r="D15" s="2"/>
      <c r="E15" s="2"/>
    </row>
    <row r="16" spans="1:40" ht="15" customHeight="1" x14ac:dyDescent="0.25">
      <c r="B16" s="2"/>
      <c r="C16" s="2"/>
      <c r="D16" s="2"/>
      <c r="E16" s="2"/>
    </row>
    <row r="17" spans="2:5" ht="15" customHeight="1" x14ac:dyDescent="0.25">
      <c r="B17" s="2"/>
      <c r="C17" s="2"/>
      <c r="D17" s="2"/>
      <c r="E17" s="2"/>
    </row>
    <row r="18" spans="2:5" ht="15" customHeight="1" x14ac:dyDescent="0.25">
      <c r="B18" s="2"/>
      <c r="C18" s="2"/>
      <c r="D18" s="2"/>
      <c r="E18" s="2"/>
    </row>
    <row r="19" spans="2:5" ht="15" customHeight="1" x14ac:dyDescent="0.25">
      <c r="B19" s="2"/>
      <c r="C19" s="2"/>
      <c r="D19" s="2"/>
      <c r="E19" s="2"/>
    </row>
    <row r="20" spans="2:5" ht="15" customHeight="1" x14ac:dyDescent="0.25">
      <c r="B20" s="2"/>
      <c r="C20" s="2"/>
      <c r="D20" s="2"/>
      <c r="E20" s="2"/>
    </row>
    <row r="21" spans="2:5" ht="15" customHeight="1" x14ac:dyDescent="0.25">
      <c r="B21" s="2"/>
      <c r="C21" s="2"/>
      <c r="D21" s="2"/>
      <c r="E21" s="2"/>
    </row>
    <row r="22" spans="2:5" ht="15" customHeight="1" x14ac:dyDescent="0.25">
      <c r="B22" s="2"/>
      <c r="C22" s="2"/>
      <c r="D22" s="2"/>
      <c r="E22" s="2"/>
    </row>
    <row r="23" spans="2:5" ht="15" customHeight="1" x14ac:dyDescent="0.25">
      <c r="B23" s="2"/>
      <c r="C23" s="2"/>
      <c r="D23" s="2"/>
      <c r="E23" s="2"/>
    </row>
    <row r="24" spans="2:5" ht="15" customHeight="1" x14ac:dyDescent="0.25">
      <c r="B24" s="2"/>
      <c r="C24" s="2"/>
      <c r="D24" s="2"/>
      <c r="E24" s="2"/>
    </row>
    <row r="25" spans="2:5" ht="15" customHeight="1" x14ac:dyDescent="0.25">
      <c r="B25" s="2"/>
      <c r="C25" s="2"/>
      <c r="D25" s="2"/>
      <c r="E25" s="2"/>
    </row>
    <row r="26" spans="2:5" ht="15" customHeight="1" x14ac:dyDescent="0.25">
      <c r="B26" s="2"/>
      <c r="C26" s="2"/>
      <c r="D26" s="2"/>
      <c r="E26" s="2"/>
    </row>
    <row r="27" spans="2:5" ht="15" customHeight="1" x14ac:dyDescent="0.25">
      <c r="B27" s="2"/>
      <c r="C27" s="2"/>
      <c r="D27" s="2"/>
      <c r="E27" s="2"/>
    </row>
    <row r="28" spans="2:5" ht="15" customHeight="1" x14ac:dyDescent="0.25">
      <c r="B28" s="2"/>
      <c r="C28" s="2"/>
      <c r="D28" s="2"/>
      <c r="E28" s="2"/>
    </row>
    <row r="29" spans="2:5" ht="15" customHeight="1" x14ac:dyDescent="0.25">
      <c r="B29" s="2"/>
      <c r="C29" s="2"/>
      <c r="D29" s="2"/>
      <c r="E29" s="2"/>
    </row>
    <row r="30" spans="2:5" ht="15" customHeight="1" x14ac:dyDescent="0.25">
      <c r="B30" s="2"/>
      <c r="C30" s="2"/>
      <c r="D30" s="2"/>
      <c r="E30" s="2"/>
    </row>
    <row r="31" spans="2:5" ht="15" customHeight="1" x14ac:dyDescent="0.25">
      <c r="B31" s="2"/>
      <c r="C31" s="2"/>
      <c r="D31" s="2"/>
      <c r="E31" s="2"/>
    </row>
    <row r="32" spans="2:5" ht="15" customHeight="1" x14ac:dyDescent="0.25">
      <c r="B32" s="2"/>
      <c r="C32" s="2"/>
      <c r="D32" s="2"/>
      <c r="E32" s="2"/>
    </row>
    <row r="33" spans="2:5" ht="15" customHeight="1" x14ac:dyDescent="0.25">
      <c r="B33" s="2"/>
      <c r="C33" s="2"/>
      <c r="D33" s="2"/>
      <c r="E33" s="2"/>
    </row>
    <row r="34" spans="2:5" ht="15" customHeight="1" x14ac:dyDescent="0.25">
      <c r="B34" s="2"/>
      <c r="C34" s="2"/>
      <c r="D34" s="2"/>
      <c r="E34" s="2"/>
    </row>
    <row r="35" spans="2:5" ht="15" customHeight="1" x14ac:dyDescent="0.25">
      <c r="B35" s="2"/>
      <c r="C35" s="2"/>
      <c r="D35" s="2"/>
      <c r="E35" s="2"/>
    </row>
    <row r="36" spans="2:5" ht="15" customHeight="1" x14ac:dyDescent="0.25">
      <c r="B36" s="2"/>
      <c r="C36" s="2"/>
      <c r="D36" s="2"/>
      <c r="E36" s="2"/>
    </row>
    <row r="37" spans="2:5" ht="15" customHeight="1" x14ac:dyDescent="0.25">
      <c r="B37" s="2"/>
      <c r="C37" s="2"/>
      <c r="D37" s="2"/>
      <c r="E37" s="2"/>
    </row>
    <row r="38" spans="2:5" ht="15" customHeight="1" x14ac:dyDescent="0.25">
      <c r="B38" s="2"/>
      <c r="C38" s="2"/>
      <c r="D38" s="2"/>
      <c r="E38" s="2"/>
    </row>
    <row r="39" spans="2:5" x14ac:dyDescent="0.25">
      <c r="B39" s="2"/>
      <c r="C39" s="2"/>
      <c r="D39" s="2"/>
      <c r="E39" s="2"/>
    </row>
    <row r="40" spans="2:5" x14ac:dyDescent="0.25">
      <c r="B40" s="2"/>
      <c r="C40" s="2"/>
      <c r="D40" s="2"/>
      <c r="E40" s="2"/>
    </row>
    <row r="41" spans="2:5" x14ac:dyDescent="0.25">
      <c r="B41" s="2"/>
      <c r="C41" s="2"/>
      <c r="D41" s="2"/>
      <c r="E41" s="2"/>
    </row>
    <row r="42" spans="2:5" x14ac:dyDescent="0.25">
      <c r="B42" s="2"/>
      <c r="C42" s="2"/>
      <c r="D42" s="2"/>
      <c r="E42" s="2"/>
    </row>
    <row r="43" spans="2:5" x14ac:dyDescent="0.25">
      <c r="B43" s="2"/>
      <c r="C43" s="2"/>
      <c r="D43" s="2"/>
      <c r="E43" s="2"/>
    </row>
    <row r="44" spans="2:5" x14ac:dyDescent="0.25">
      <c r="B44" s="2"/>
      <c r="C44" s="2"/>
      <c r="D44" s="2"/>
      <c r="E44" s="2"/>
    </row>
    <row r="45" spans="2:5" x14ac:dyDescent="0.25">
      <c r="B45" s="2"/>
      <c r="C45" s="2"/>
      <c r="D45" s="2"/>
      <c r="E45" s="2"/>
    </row>
    <row r="46" spans="2:5" x14ac:dyDescent="0.25">
      <c r="B46" s="2"/>
      <c r="C46" s="2"/>
      <c r="D46" s="2"/>
      <c r="E46" s="2"/>
    </row>
    <row r="47" spans="2:5" x14ac:dyDescent="0.25">
      <c r="B47" s="2"/>
      <c r="C47" s="2"/>
      <c r="D47" s="2"/>
      <c r="E47" s="2"/>
    </row>
    <row r="48" spans="2:5" x14ac:dyDescent="0.25">
      <c r="B48" s="2"/>
      <c r="C48" s="2"/>
      <c r="D48" s="2"/>
      <c r="E48" s="2"/>
    </row>
    <row r="49" spans="2:5" x14ac:dyDescent="0.25">
      <c r="B49" s="2"/>
      <c r="C49" s="2"/>
      <c r="D49" s="2"/>
      <c r="E49" s="2"/>
    </row>
    <row r="50" spans="2:5" x14ac:dyDescent="0.25">
      <c r="B50" s="2"/>
      <c r="C50" s="2"/>
      <c r="D50" s="2"/>
      <c r="E50" s="2"/>
    </row>
    <row r="51" spans="2:5" x14ac:dyDescent="0.25">
      <c r="B51" s="2"/>
      <c r="C51" s="2"/>
      <c r="D51" s="2"/>
      <c r="E51" s="2"/>
    </row>
    <row r="52" spans="2:5" x14ac:dyDescent="0.25">
      <c r="B52" s="2"/>
      <c r="C52" s="2"/>
      <c r="D52" s="2"/>
      <c r="E52" s="2"/>
    </row>
    <row r="53" spans="2:5" x14ac:dyDescent="0.25">
      <c r="B53" s="2"/>
      <c r="C53" s="2"/>
      <c r="D53" s="2"/>
      <c r="E53" s="2"/>
    </row>
    <row r="54" spans="2:5" x14ac:dyDescent="0.25">
      <c r="B54" s="2"/>
      <c r="C54" s="2"/>
      <c r="D54" s="2"/>
      <c r="E54" s="2"/>
    </row>
    <row r="55" spans="2:5" x14ac:dyDescent="0.25">
      <c r="B55" s="2"/>
      <c r="C55" s="2"/>
      <c r="D55" s="2"/>
      <c r="E55" s="2"/>
    </row>
    <row r="56" spans="2:5" x14ac:dyDescent="0.25">
      <c r="B56" s="2"/>
      <c r="C56" s="2"/>
      <c r="D56" s="2"/>
      <c r="E56" s="2"/>
    </row>
    <row r="57" spans="2:5" x14ac:dyDescent="0.25">
      <c r="B57" s="2"/>
      <c r="C57" s="2"/>
      <c r="D57" s="2"/>
      <c r="E57" s="2"/>
    </row>
    <row r="58" spans="2:5" x14ac:dyDescent="0.25">
      <c r="B58" s="2"/>
      <c r="C58" s="2"/>
      <c r="D58" s="2"/>
      <c r="E58" s="2"/>
    </row>
    <row r="59" spans="2:5" x14ac:dyDescent="0.25">
      <c r="B59" s="2"/>
      <c r="C59" s="2"/>
      <c r="D59" s="2"/>
      <c r="E59" s="2"/>
    </row>
    <row r="60" spans="2:5" x14ac:dyDescent="0.25">
      <c r="B60" s="2"/>
      <c r="C60" s="2"/>
      <c r="D60" s="2"/>
      <c r="E60" s="2"/>
    </row>
    <row r="61" spans="2:5" x14ac:dyDescent="0.25">
      <c r="B61" s="2"/>
      <c r="C61" s="2"/>
      <c r="D61" s="2"/>
      <c r="E61" s="2"/>
    </row>
    <row r="62" spans="2:5" x14ac:dyDescent="0.25">
      <c r="B62" s="2"/>
      <c r="C62" s="2"/>
      <c r="D62" s="2"/>
      <c r="E62" s="2"/>
    </row>
    <row r="63" spans="2:5" x14ac:dyDescent="0.25">
      <c r="B63" s="2"/>
      <c r="C63" s="2"/>
      <c r="D63" s="2"/>
      <c r="E63" s="2"/>
    </row>
    <row r="64" spans="2:5" x14ac:dyDescent="0.25">
      <c r="B64" s="2"/>
      <c r="C64" s="2"/>
      <c r="D64" s="2"/>
      <c r="E64" s="2"/>
    </row>
    <row r="65" spans="2:5" x14ac:dyDescent="0.25">
      <c r="B65" s="2"/>
      <c r="C65" s="2"/>
      <c r="D65" s="2"/>
      <c r="E65" s="2"/>
    </row>
    <row r="66" spans="2:5" x14ac:dyDescent="0.25">
      <c r="B66" s="2"/>
      <c r="C66" s="2"/>
      <c r="D66" s="2"/>
      <c r="E66" s="2"/>
    </row>
    <row r="67" spans="2:5" x14ac:dyDescent="0.25">
      <c r="B67" s="2"/>
      <c r="C67" s="2"/>
      <c r="D67" s="2"/>
      <c r="E67" s="2"/>
    </row>
    <row r="68" spans="2:5" x14ac:dyDescent="0.25">
      <c r="B68" s="2"/>
      <c r="C68" s="2"/>
      <c r="D68" s="2"/>
      <c r="E68" s="2"/>
    </row>
    <row r="69" spans="2:5" x14ac:dyDescent="0.25">
      <c r="B69" s="2"/>
      <c r="C69" s="2"/>
      <c r="D69" s="2"/>
      <c r="E69" s="2"/>
    </row>
    <row r="70" spans="2:5" x14ac:dyDescent="0.25">
      <c r="B70" s="2"/>
      <c r="C70" s="2"/>
      <c r="D70" s="2"/>
      <c r="E70" s="2"/>
    </row>
    <row r="71" spans="2:5" x14ac:dyDescent="0.25">
      <c r="B71" s="2"/>
      <c r="C71" s="2"/>
      <c r="D71" s="2"/>
      <c r="E71" s="2"/>
    </row>
    <row r="72" spans="2:5" x14ac:dyDescent="0.25">
      <c r="B72" s="2"/>
      <c r="C72" s="2"/>
      <c r="D72" s="2"/>
      <c r="E72" s="2"/>
    </row>
    <row r="73" spans="2:5" x14ac:dyDescent="0.25">
      <c r="B73" s="2"/>
      <c r="C73" s="2"/>
      <c r="D73" s="2"/>
      <c r="E73" s="2"/>
    </row>
    <row r="74" spans="2:5" x14ac:dyDescent="0.25">
      <c r="B74" s="2"/>
      <c r="C74" s="2"/>
      <c r="D74" s="2"/>
      <c r="E74" s="2"/>
    </row>
    <row r="75" spans="2:5" x14ac:dyDescent="0.25">
      <c r="B75" s="2"/>
      <c r="C75" s="2"/>
      <c r="D75" s="2"/>
      <c r="E75" s="2"/>
    </row>
    <row r="76" spans="2:5" x14ac:dyDescent="0.25">
      <c r="B76" s="2"/>
      <c r="C76" s="2"/>
      <c r="D76" s="2"/>
      <c r="E76" s="2"/>
    </row>
    <row r="77" spans="2:5" x14ac:dyDescent="0.25">
      <c r="B77" s="2"/>
      <c r="C77" s="2"/>
      <c r="D77" s="2"/>
      <c r="E77" s="2"/>
    </row>
    <row r="78" spans="2:5" x14ac:dyDescent="0.25">
      <c r="B78" s="2"/>
      <c r="C78" s="2"/>
      <c r="D78" s="2"/>
      <c r="E78" s="2"/>
    </row>
    <row r="79" spans="2:5" x14ac:dyDescent="0.25">
      <c r="B79" s="2"/>
      <c r="C79" s="2"/>
      <c r="D79" s="2"/>
      <c r="E79" s="2"/>
    </row>
    <row r="80" spans="2:5" x14ac:dyDescent="0.25">
      <c r="B80" s="2"/>
      <c r="C80" s="2"/>
      <c r="D80" s="2"/>
      <c r="E80" s="2"/>
    </row>
    <row r="81" spans="2:5" x14ac:dyDescent="0.25">
      <c r="B81" s="2"/>
      <c r="C81" s="2"/>
      <c r="D81" s="2"/>
      <c r="E81" s="2"/>
    </row>
    <row r="82" spans="2:5" x14ac:dyDescent="0.25">
      <c r="B82" s="2"/>
      <c r="C82" s="2"/>
      <c r="D82" s="2"/>
      <c r="E82" s="2"/>
    </row>
    <row r="83" spans="2:5" x14ac:dyDescent="0.25">
      <c r="B83" s="2"/>
      <c r="C83" s="2"/>
      <c r="D83" s="2"/>
      <c r="E83" s="2"/>
    </row>
    <row r="84" spans="2:5" x14ac:dyDescent="0.25">
      <c r="B84" s="2"/>
      <c r="C84" s="2"/>
      <c r="D84" s="2"/>
      <c r="E84" s="2"/>
    </row>
    <row r="85" spans="2:5" x14ac:dyDescent="0.25">
      <c r="B85" s="2"/>
      <c r="C85" s="2"/>
      <c r="D85" s="2"/>
      <c r="E85" s="2"/>
    </row>
    <row r="86" spans="2:5" x14ac:dyDescent="0.25">
      <c r="B86" s="2"/>
      <c r="C86" s="2"/>
      <c r="D86" s="2"/>
      <c r="E86" s="2"/>
    </row>
    <row r="87" spans="2:5" x14ac:dyDescent="0.25">
      <c r="B87" s="2"/>
      <c r="C87" s="2"/>
      <c r="D87" s="2"/>
      <c r="E87" s="2"/>
    </row>
    <row r="88" spans="2:5" x14ac:dyDescent="0.25">
      <c r="B88" s="2"/>
      <c r="C88" s="2"/>
      <c r="D88" s="2"/>
      <c r="E88" s="2"/>
    </row>
    <row r="89" spans="2:5" x14ac:dyDescent="0.25">
      <c r="B89" s="2"/>
      <c r="C89" s="2"/>
      <c r="D89" s="2"/>
      <c r="E89" s="2"/>
    </row>
    <row r="90" spans="2:5" x14ac:dyDescent="0.25">
      <c r="B90" s="2"/>
      <c r="C90" s="2"/>
      <c r="D90" s="2"/>
      <c r="E90" s="2"/>
    </row>
    <row r="91" spans="2:5" x14ac:dyDescent="0.25">
      <c r="B91" s="2"/>
      <c r="C91" s="2"/>
      <c r="D91" s="2"/>
      <c r="E91" s="2"/>
    </row>
    <row r="92" spans="2:5" x14ac:dyDescent="0.25">
      <c r="B92" s="2"/>
      <c r="C92" s="2"/>
      <c r="D92" s="2"/>
      <c r="E92" s="2"/>
    </row>
    <row r="93" spans="2:5" x14ac:dyDescent="0.25">
      <c r="B93" s="2"/>
      <c r="C93" s="2"/>
      <c r="D93" s="2"/>
      <c r="E93" s="2"/>
    </row>
    <row r="94" spans="2:5" x14ac:dyDescent="0.25">
      <c r="B94" s="2"/>
      <c r="C94" s="2"/>
      <c r="D94" s="2"/>
      <c r="E94" s="2"/>
    </row>
    <row r="95" spans="2:5" x14ac:dyDescent="0.25">
      <c r="B95" s="2"/>
      <c r="C95" s="2"/>
      <c r="D95" s="2"/>
      <c r="E95" s="2"/>
    </row>
    <row r="96" spans="2:5" x14ac:dyDescent="0.25">
      <c r="B96" s="2"/>
      <c r="C96" s="2"/>
      <c r="D96" s="2"/>
      <c r="E96" s="2"/>
    </row>
    <row r="97" spans="2:5" x14ac:dyDescent="0.25">
      <c r="B97" s="2"/>
      <c r="C97" s="2"/>
      <c r="D97" s="2"/>
      <c r="E97" s="2"/>
    </row>
    <row r="98" spans="2:5" x14ac:dyDescent="0.25">
      <c r="B98" s="2"/>
      <c r="C98" s="2"/>
      <c r="D98" s="2"/>
      <c r="E98" s="2"/>
    </row>
    <row r="99" spans="2:5" x14ac:dyDescent="0.25">
      <c r="B99" s="2"/>
      <c r="C99" s="2"/>
      <c r="D99" s="2"/>
      <c r="E99" s="2"/>
    </row>
    <row r="100" spans="2:5" x14ac:dyDescent="0.25">
      <c r="B100" s="2"/>
      <c r="C100" s="2"/>
      <c r="D100" s="2"/>
      <c r="E100" s="2"/>
    </row>
    <row r="101" spans="2:5" x14ac:dyDescent="0.25">
      <c r="B101" s="2"/>
      <c r="C101" s="2"/>
      <c r="D101" s="2"/>
      <c r="E101" s="2"/>
    </row>
    <row r="102" spans="2:5" x14ac:dyDescent="0.25">
      <c r="B102" s="2"/>
      <c r="C102" s="2"/>
      <c r="D102" s="2"/>
      <c r="E102" s="2"/>
    </row>
    <row r="103" spans="2:5" x14ac:dyDescent="0.25">
      <c r="B103" s="2"/>
      <c r="C103" s="2"/>
      <c r="D103" s="2"/>
      <c r="E103" s="2"/>
    </row>
    <row r="104" spans="2:5" x14ac:dyDescent="0.25">
      <c r="B104" s="2"/>
      <c r="C104" s="2"/>
      <c r="D104" s="2"/>
      <c r="E104" s="2"/>
    </row>
    <row r="105" spans="2:5" x14ac:dyDescent="0.25">
      <c r="B105" s="2"/>
      <c r="C105" s="2"/>
      <c r="D105" s="2"/>
      <c r="E105" s="2"/>
    </row>
    <row r="106" spans="2:5" x14ac:dyDescent="0.25">
      <c r="B106" s="2"/>
      <c r="C106" s="2"/>
      <c r="D106" s="2"/>
      <c r="E106" s="2"/>
    </row>
    <row r="107" spans="2:5" x14ac:dyDescent="0.25">
      <c r="B107" s="2"/>
      <c r="C107" s="2"/>
      <c r="D107" s="2"/>
      <c r="E107" s="2"/>
    </row>
    <row r="108" spans="2:5" x14ac:dyDescent="0.25">
      <c r="B108" s="2"/>
      <c r="C108" s="2"/>
      <c r="D108" s="2"/>
      <c r="E108" s="2"/>
    </row>
    <row r="109" spans="2:5" x14ac:dyDescent="0.25">
      <c r="B109" s="2"/>
      <c r="C109" s="2"/>
      <c r="D109" s="2"/>
      <c r="E109" s="2"/>
    </row>
    <row r="110" spans="2:5" x14ac:dyDescent="0.25">
      <c r="B110" s="2"/>
      <c r="C110" s="2"/>
      <c r="D110" s="2"/>
      <c r="E110" s="2"/>
    </row>
    <row r="111" spans="2:5" x14ac:dyDescent="0.25">
      <c r="B111" s="2"/>
      <c r="C111" s="2"/>
      <c r="D111" s="2"/>
      <c r="E111" s="2"/>
    </row>
    <row r="112" spans="2:5" x14ac:dyDescent="0.25">
      <c r="B112" s="2"/>
      <c r="C112" s="2"/>
      <c r="D112" s="2"/>
      <c r="E112" s="2"/>
    </row>
    <row r="113" spans="2:5" x14ac:dyDescent="0.25">
      <c r="B113" s="2"/>
      <c r="C113" s="2"/>
      <c r="D113" s="2"/>
      <c r="E113" s="2"/>
    </row>
    <row r="114" spans="2:5" x14ac:dyDescent="0.25">
      <c r="B114" s="2"/>
      <c r="C114" s="2"/>
      <c r="D114" s="2"/>
      <c r="E114" s="2"/>
    </row>
    <row r="115" spans="2:5" x14ac:dyDescent="0.25">
      <c r="B115" s="2"/>
      <c r="C115" s="2"/>
      <c r="D115" s="2"/>
      <c r="E115" s="2"/>
    </row>
    <row r="116" spans="2:5" x14ac:dyDescent="0.25">
      <c r="B116" s="2"/>
      <c r="C116" s="2"/>
      <c r="D116" s="2"/>
      <c r="E116" s="2"/>
    </row>
    <row r="117" spans="2:5" x14ac:dyDescent="0.25">
      <c r="B117" s="2"/>
      <c r="C117" s="2"/>
      <c r="D117" s="2"/>
      <c r="E117" s="2"/>
    </row>
    <row r="118" spans="2:5" x14ac:dyDescent="0.25">
      <c r="B118" s="2"/>
      <c r="C118" s="2"/>
      <c r="D118" s="2"/>
      <c r="E118" s="2"/>
    </row>
    <row r="119" spans="2:5" x14ac:dyDescent="0.25">
      <c r="B119" s="2"/>
      <c r="C119" s="2"/>
      <c r="D119" s="2"/>
      <c r="E119" s="2"/>
    </row>
    <row r="120" spans="2:5" x14ac:dyDescent="0.25">
      <c r="B120" s="2"/>
      <c r="C120" s="2"/>
      <c r="D120" s="2"/>
      <c r="E120" s="2"/>
    </row>
    <row r="121" spans="2:5" x14ac:dyDescent="0.25">
      <c r="B121" s="2"/>
      <c r="C121" s="2"/>
      <c r="D121" s="2"/>
      <c r="E121" s="2"/>
    </row>
    <row r="122" spans="2:5" x14ac:dyDescent="0.25">
      <c r="B122" s="2"/>
      <c r="C122" s="2"/>
      <c r="D122" s="2"/>
      <c r="E122" s="2"/>
    </row>
    <row r="123" spans="2:5" x14ac:dyDescent="0.25">
      <c r="B123" s="2"/>
      <c r="C123" s="2"/>
      <c r="D123" s="2"/>
      <c r="E123" s="2"/>
    </row>
    <row r="124" spans="2:5" x14ac:dyDescent="0.25">
      <c r="B124" s="2"/>
      <c r="C124" s="2"/>
      <c r="D124" s="2"/>
      <c r="E124" s="2"/>
    </row>
    <row r="125" spans="2:5" x14ac:dyDescent="0.25">
      <c r="B125" s="2"/>
      <c r="C125" s="2"/>
      <c r="D125" s="2"/>
      <c r="E125" s="2"/>
    </row>
    <row r="126" spans="2:5" x14ac:dyDescent="0.25">
      <c r="B126" s="2"/>
      <c r="C126" s="2"/>
      <c r="D126" s="2"/>
      <c r="E126" s="2"/>
    </row>
    <row r="127" spans="2:5" x14ac:dyDescent="0.25">
      <c r="B127" s="2"/>
      <c r="C127" s="2"/>
      <c r="D127" s="2"/>
      <c r="E127" s="2"/>
    </row>
    <row r="128" spans="2:5" x14ac:dyDescent="0.25">
      <c r="B128" s="2"/>
      <c r="C128" s="2"/>
      <c r="D128" s="2"/>
      <c r="E128" s="2"/>
    </row>
    <row r="129" spans="2:5" x14ac:dyDescent="0.25">
      <c r="B129" s="2"/>
      <c r="C129" s="2"/>
      <c r="D129" s="2"/>
      <c r="E129" s="2"/>
    </row>
    <row r="130" spans="2:5" x14ac:dyDescent="0.25">
      <c r="B130" s="2"/>
      <c r="C130" s="2"/>
      <c r="D130" s="2"/>
      <c r="E130" s="2"/>
    </row>
    <row r="131" spans="2:5" x14ac:dyDescent="0.25">
      <c r="B131" s="2"/>
      <c r="C131" s="2"/>
      <c r="D131" s="2"/>
      <c r="E131" s="2"/>
    </row>
    <row r="132" spans="2:5" x14ac:dyDescent="0.25">
      <c r="B132" s="2"/>
      <c r="C132" s="2"/>
      <c r="D132" s="2"/>
      <c r="E132" s="2"/>
    </row>
    <row r="133" spans="2:5" x14ac:dyDescent="0.25">
      <c r="B133" s="2"/>
      <c r="C133" s="2"/>
      <c r="D133" s="2"/>
      <c r="E133" s="2"/>
    </row>
    <row r="134" spans="2:5" x14ac:dyDescent="0.25">
      <c r="B134" s="2"/>
      <c r="C134" s="2"/>
      <c r="D134" s="2"/>
      <c r="E134" s="2"/>
    </row>
    <row r="135" spans="2:5" x14ac:dyDescent="0.25">
      <c r="B135" s="2"/>
      <c r="C135" s="2"/>
      <c r="D135" s="2"/>
      <c r="E135" s="2"/>
    </row>
    <row r="136" spans="2:5" x14ac:dyDescent="0.25">
      <c r="B136" s="2"/>
      <c r="C136" s="2"/>
      <c r="D136" s="2"/>
      <c r="E136" s="2"/>
    </row>
    <row r="137" spans="2:5" x14ac:dyDescent="0.25">
      <c r="B137" s="2"/>
      <c r="C137" s="2"/>
      <c r="D137" s="2"/>
      <c r="E137" s="2"/>
    </row>
    <row r="138" spans="2:5" x14ac:dyDescent="0.25">
      <c r="B138" s="2"/>
      <c r="C138" s="2"/>
      <c r="D138" s="2"/>
      <c r="E138" s="2"/>
    </row>
    <row r="139" spans="2:5" x14ac:dyDescent="0.25">
      <c r="B139" s="2"/>
      <c r="C139" s="2"/>
      <c r="D139" s="2"/>
      <c r="E139" s="2"/>
    </row>
    <row r="140" spans="2:5" x14ac:dyDescent="0.25">
      <c r="B140" s="2"/>
      <c r="C140" s="2"/>
      <c r="D140" s="2"/>
      <c r="E140" s="2"/>
    </row>
    <row r="141" spans="2:5" x14ac:dyDescent="0.25">
      <c r="B141" s="2"/>
      <c r="C141" s="2"/>
      <c r="D141" s="2"/>
      <c r="E141" s="2"/>
    </row>
    <row r="142" spans="2:5" x14ac:dyDescent="0.25">
      <c r="B142" s="2"/>
      <c r="C142" s="2"/>
      <c r="D142" s="2"/>
      <c r="E142" s="2"/>
    </row>
    <row r="143" spans="2:5" x14ac:dyDescent="0.25">
      <c r="B143" s="2"/>
      <c r="C143" s="2"/>
      <c r="D143" s="2"/>
      <c r="E143" s="2"/>
    </row>
    <row r="144" spans="2:5" x14ac:dyDescent="0.25">
      <c r="B144" s="2"/>
      <c r="C144" s="2"/>
      <c r="D144" s="2"/>
      <c r="E144" s="2"/>
    </row>
    <row r="145" spans="2:5" x14ac:dyDescent="0.25">
      <c r="B145" s="2"/>
      <c r="C145" s="2"/>
      <c r="D145" s="2"/>
      <c r="E145" s="2"/>
    </row>
    <row r="146" spans="2:5" x14ac:dyDescent="0.25">
      <c r="B146" s="2"/>
      <c r="C146" s="2"/>
      <c r="D146" s="2"/>
      <c r="E146" s="2"/>
    </row>
    <row r="147" spans="2:5" x14ac:dyDescent="0.25">
      <c r="B147" s="2"/>
      <c r="C147" s="2"/>
      <c r="D147" s="2"/>
      <c r="E147" s="2"/>
    </row>
    <row r="148" spans="2:5" x14ac:dyDescent="0.25">
      <c r="B148" s="2"/>
      <c r="C148" s="2"/>
      <c r="D148" s="2"/>
      <c r="E148" s="2"/>
    </row>
    <row r="149" spans="2:5" x14ac:dyDescent="0.25">
      <c r="B149" s="2"/>
      <c r="C149" s="2"/>
      <c r="D149" s="2"/>
      <c r="E149" s="2"/>
    </row>
    <row r="150" spans="2:5" x14ac:dyDescent="0.25">
      <c r="B150" s="2"/>
      <c r="C150" s="2"/>
      <c r="D150" s="2"/>
      <c r="E150" s="2"/>
    </row>
    <row r="151" spans="2:5" x14ac:dyDescent="0.25">
      <c r="B151" s="2"/>
      <c r="C151" s="2"/>
      <c r="D151" s="2"/>
      <c r="E151" s="2"/>
    </row>
    <row r="152" spans="2:5" x14ac:dyDescent="0.25">
      <c r="B152" s="2"/>
      <c r="C152" s="2"/>
      <c r="D152" s="2"/>
      <c r="E152" s="2"/>
    </row>
    <row r="153" spans="2:5" x14ac:dyDescent="0.25">
      <c r="B153" s="2"/>
      <c r="C153" s="2"/>
      <c r="D153" s="2"/>
      <c r="E153" s="2"/>
    </row>
    <row r="154" spans="2:5" x14ac:dyDescent="0.25">
      <c r="B154" s="2"/>
      <c r="C154" s="2"/>
      <c r="D154" s="2"/>
      <c r="E154" s="2"/>
    </row>
    <row r="155" spans="2:5" x14ac:dyDescent="0.25">
      <c r="B155" s="2"/>
      <c r="C155" s="2"/>
      <c r="D155" s="2"/>
      <c r="E155" s="2"/>
    </row>
    <row r="156" spans="2:5" x14ac:dyDescent="0.25">
      <c r="B156" s="2"/>
      <c r="C156" s="2"/>
      <c r="D156" s="2"/>
      <c r="E156" s="2"/>
    </row>
    <row r="157" spans="2:5" x14ac:dyDescent="0.25">
      <c r="B157" s="2"/>
      <c r="C157" s="2"/>
      <c r="D157" s="2"/>
      <c r="E157" s="2"/>
    </row>
    <row r="158" spans="2:5" x14ac:dyDescent="0.25">
      <c r="B158" s="2"/>
      <c r="C158" s="2"/>
      <c r="D158" s="2"/>
      <c r="E158" s="2"/>
    </row>
    <row r="159" spans="2:5" x14ac:dyDescent="0.25">
      <c r="B159" s="2"/>
      <c r="C159" s="2"/>
      <c r="D159" s="2"/>
      <c r="E159" s="2"/>
    </row>
    <row r="160" spans="2:5" x14ac:dyDescent="0.25">
      <c r="B160" s="2"/>
      <c r="C160" s="2"/>
      <c r="D160" s="2"/>
      <c r="E160" s="2"/>
    </row>
    <row r="161" spans="2:5" x14ac:dyDescent="0.25">
      <c r="B161" s="2"/>
      <c r="C161" s="2"/>
      <c r="D161" s="2"/>
      <c r="E161" s="2"/>
    </row>
    <row r="162" spans="2:5" x14ac:dyDescent="0.25">
      <c r="B162" s="2"/>
      <c r="C162" s="2"/>
      <c r="D162" s="2"/>
      <c r="E162" s="2"/>
    </row>
    <row r="163" spans="2:5" x14ac:dyDescent="0.25">
      <c r="B163" s="2"/>
      <c r="C163" s="2"/>
      <c r="D163" s="2"/>
      <c r="E163" s="2"/>
    </row>
    <row r="164" spans="2:5" x14ac:dyDescent="0.25">
      <c r="B164" s="2"/>
      <c r="C164" s="2"/>
      <c r="D164" s="2"/>
      <c r="E164" s="2"/>
    </row>
    <row r="165" spans="2:5" x14ac:dyDescent="0.25">
      <c r="B165" s="2"/>
      <c r="C165" s="2"/>
      <c r="D165" s="2"/>
      <c r="E165" s="2"/>
    </row>
    <row r="166" spans="2:5" x14ac:dyDescent="0.25">
      <c r="B166" s="2"/>
      <c r="C166" s="2"/>
      <c r="D166" s="2"/>
      <c r="E166" s="2"/>
    </row>
    <row r="167" spans="2:5" x14ac:dyDescent="0.25">
      <c r="B167" s="2"/>
      <c r="C167" s="2"/>
      <c r="D167" s="2"/>
      <c r="E167" s="2"/>
    </row>
    <row r="168" spans="2:5" x14ac:dyDescent="0.25">
      <c r="B168" s="2"/>
      <c r="C168" s="2"/>
      <c r="D168" s="2"/>
      <c r="E168" s="2"/>
    </row>
    <row r="169" spans="2:5" x14ac:dyDescent="0.25">
      <c r="B169" s="2"/>
      <c r="C169" s="2"/>
      <c r="D169" s="2"/>
      <c r="E169" s="2"/>
    </row>
    <row r="170" spans="2:5" x14ac:dyDescent="0.25">
      <c r="B170" s="2"/>
      <c r="C170" s="2"/>
      <c r="D170" s="2"/>
      <c r="E170" s="2"/>
    </row>
    <row r="171" spans="2:5" x14ac:dyDescent="0.25">
      <c r="B171" s="2"/>
      <c r="C171" s="2"/>
      <c r="D171" s="2"/>
      <c r="E171" s="2"/>
    </row>
    <row r="172" spans="2:5" x14ac:dyDescent="0.25">
      <c r="B172" s="2"/>
      <c r="C172" s="2"/>
      <c r="D172" s="2"/>
      <c r="E172" s="2"/>
    </row>
    <row r="173" spans="2:5" x14ac:dyDescent="0.25">
      <c r="B173" s="2"/>
      <c r="C173" s="2"/>
      <c r="D173" s="2"/>
      <c r="E173" s="2"/>
    </row>
    <row r="174" spans="2:5" x14ac:dyDescent="0.25">
      <c r="B174" s="2"/>
      <c r="C174" s="2"/>
      <c r="D174" s="2"/>
      <c r="E174" s="2"/>
    </row>
    <row r="175" spans="2:5" x14ac:dyDescent="0.25">
      <c r="B175" s="2"/>
      <c r="C175" s="2"/>
      <c r="D175" s="2"/>
      <c r="E175" s="2"/>
    </row>
    <row r="176" spans="2:5" x14ac:dyDescent="0.25">
      <c r="B176" s="2"/>
      <c r="C176" s="2"/>
      <c r="D176" s="2"/>
      <c r="E176" s="2"/>
    </row>
    <row r="177" spans="2:5" x14ac:dyDescent="0.25">
      <c r="B177" s="2"/>
      <c r="C177" s="2"/>
      <c r="D177" s="2"/>
      <c r="E177" s="2"/>
    </row>
    <row r="178" spans="2:5" x14ac:dyDescent="0.25">
      <c r="B178" s="2"/>
      <c r="C178" s="2"/>
      <c r="D178" s="2"/>
      <c r="E178" s="2"/>
    </row>
    <row r="179" spans="2:5" x14ac:dyDescent="0.25">
      <c r="B179" s="2"/>
      <c r="C179" s="2"/>
      <c r="D179" s="2"/>
      <c r="E179" s="2"/>
    </row>
    <row r="180" spans="2:5" x14ac:dyDescent="0.25">
      <c r="B180" s="2"/>
      <c r="C180" s="2"/>
      <c r="D180" s="2"/>
      <c r="E180" s="2"/>
    </row>
    <row r="181" spans="2:5" x14ac:dyDescent="0.25">
      <c r="B181" s="2"/>
      <c r="C181" s="2"/>
      <c r="D181" s="2"/>
      <c r="E181" s="2"/>
    </row>
    <row r="182" spans="2:5" x14ac:dyDescent="0.25">
      <c r="B182" s="2"/>
      <c r="C182" s="2"/>
      <c r="D182" s="2"/>
      <c r="E182" s="2"/>
    </row>
    <row r="183" spans="2:5" x14ac:dyDescent="0.25">
      <c r="B183" s="2"/>
      <c r="C183" s="2"/>
      <c r="D183" s="2"/>
      <c r="E183" s="2"/>
    </row>
    <row r="184" spans="2:5" x14ac:dyDescent="0.25">
      <c r="B184" s="2"/>
      <c r="C184" s="2"/>
      <c r="D184" s="2"/>
      <c r="E184" s="2"/>
    </row>
    <row r="185" spans="2:5" x14ac:dyDescent="0.25">
      <c r="B185" s="2"/>
      <c r="C185" s="2"/>
      <c r="D185" s="2"/>
      <c r="E185" s="2"/>
    </row>
    <row r="186" spans="2:5" x14ac:dyDescent="0.25">
      <c r="B186" s="2"/>
      <c r="C186" s="2"/>
      <c r="D186" s="2"/>
      <c r="E186" s="2"/>
    </row>
    <row r="187" spans="2:5" x14ac:dyDescent="0.25">
      <c r="B187" s="2"/>
      <c r="C187" s="2"/>
      <c r="D187" s="2"/>
      <c r="E187" s="2"/>
    </row>
    <row r="188" spans="2:5" x14ac:dyDescent="0.25">
      <c r="B188" s="2"/>
      <c r="C188" s="2"/>
      <c r="D188" s="2"/>
      <c r="E188" s="2"/>
    </row>
    <row r="189" spans="2:5" x14ac:dyDescent="0.25">
      <c r="B189" s="2"/>
      <c r="C189" s="2"/>
      <c r="D189" s="2"/>
      <c r="E189" s="2"/>
    </row>
    <row r="190" spans="2:5" x14ac:dyDescent="0.25">
      <c r="B190" s="2"/>
      <c r="C190" s="2"/>
      <c r="D190" s="2"/>
      <c r="E190" s="2"/>
    </row>
    <row r="191" spans="2:5" x14ac:dyDescent="0.25">
      <c r="B191" s="2"/>
      <c r="C191" s="2"/>
      <c r="D191" s="2"/>
      <c r="E191" s="2"/>
    </row>
    <row r="192" spans="2:5" x14ac:dyDescent="0.25">
      <c r="B192" s="2"/>
      <c r="C192" s="2"/>
      <c r="D192" s="2"/>
      <c r="E192" s="2"/>
    </row>
    <row r="193" spans="1:5" x14ac:dyDescent="0.25">
      <c r="B193" s="2"/>
      <c r="C193" s="2"/>
      <c r="D193" s="2"/>
      <c r="E193" s="2"/>
    </row>
    <row r="194" spans="1:5" x14ac:dyDescent="0.25">
      <c r="B194" s="2"/>
      <c r="C194" s="2"/>
      <c r="D194" s="2"/>
      <c r="E194" s="2"/>
    </row>
    <row r="195" spans="1:5" x14ac:dyDescent="0.25">
      <c r="B195" s="2"/>
      <c r="C195" s="2"/>
      <c r="D195" s="2"/>
      <c r="E195" s="2"/>
    </row>
    <row r="196" spans="1:5" x14ac:dyDescent="0.25">
      <c r="B196" s="2"/>
      <c r="C196" s="2"/>
      <c r="D196" s="2"/>
      <c r="E196" s="2"/>
    </row>
    <row r="197" spans="1:5" x14ac:dyDescent="0.25">
      <c r="B197" s="2"/>
      <c r="C197" s="2"/>
      <c r="D197" s="2"/>
      <c r="E197" s="2"/>
    </row>
    <row r="198" spans="1:5" x14ac:dyDescent="0.25">
      <c r="B198" s="2"/>
      <c r="C198" s="2"/>
      <c r="D198" s="2"/>
      <c r="E198" s="2"/>
    </row>
    <row r="199" spans="1:5" x14ac:dyDescent="0.25">
      <c r="B199" s="2"/>
      <c r="C199" s="2"/>
      <c r="D199" s="2"/>
      <c r="E199" s="2"/>
    </row>
    <row r="200" spans="1:5" x14ac:dyDescent="0.25">
      <c r="A200" s="1">
        <f t="shared" ref="A200:A201" si="18">MONTH(B200)</f>
        <v>1</v>
      </c>
      <c r="B200" s="2">
        <v>46415</v>
      </c>
      <c r="C200" s="2"/>
      <c r="D200" s="2"/>
      <c r="E200" s="2"/>
    </row>
    <row r="201" spans="1:5" x14ac:dyDescent="0.25">
      <c r="A201" s="1">
        <f t="shared" si="18"/>
        <v>1</v>
      </c>
      <c r="B201" s="2">
        <v>46416</v>
      </c>
      <c r="C201" s="2"/>
      <c r="D201" s="2"/>
      <c r="E201" s="2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53C51D5-A6BA-4238-A00D-994632974A68}">
          <x14:formula1>
            <xm:f>Sheet2!$B$3:$B$10</xm:f>
          </x14:formula1>
          <xm:sqref>F3:F12</xm:sqref>
        </x14:dataValidation>
        <x14:dataValidation type="list" allowBlank="1" showInputMessage="1" showErrorMessage="1" xr:uid="{E3B1AE39-C1DE-4FAF-BF8C-E2C0A6ACC6D7}">
          <x14:formula1>
            <xm:f>Sheet2!$C$3:$C$7</xm:f>
          </x14:formula1>
          <xm:sqref>G3:G12</xm:sqref>
        </x14:dataValidation>
        <x14:dataValidation type="list" allowBlank="1" showInputMessage="1" showErrorMessage="1" xr:uid="{E1B3E370-4467-4ABC-AEAD-62DBEA31D78F}">
          <x14:formula1>
            <xm:f>Sheet2!$E$3:$E$4</xm:f>
          </x14:formula1>
          <xm:sqref>W12</xm:sqref>
        </x14:dataValidation>
        <x14:dataValidation type="list" allowBlank="1" showInputMessage="1" showErrorMessage="1" xr:uid="{7A2BC62C-56DA-4DF0-B4DA-D5A1805A75A3}">
          <x14:formula1>
            <xm:f>Sheet2!$G$3:$G$4</xm:f>
          </x14:formula1>
          <xm:sqref>U3:U12</xm:sqref>
        </x14:dataValidation>
        <x14:dataValidation type="list" allowBlank="1" showInputMessage="1" showErrorMessage="1" xr:uid="{B68D8EA6-C264-4E00-B04F-975BF409730E}">
          <x14:formula1>
            <xm:f>Sheet2!$H$3:$H$6</xm:f>
          </x14:formula1>
          <xm:sqref>Z3:Z12</xm:sqref>
        </x14:dataValidation>
        <x14:dataValidation type="list" allowBlank="1" showInputMessage="1" showErrorMessage="1" xr:uid="{AEB0AB6D-F983-4002-A61A-BCC461BC2118}">
          <x14:formula1>
            <xm:f>Sheet2!$J$3:$J$6</xm:f>
          </x14:formula1>
          <xm:sqref>D3:D12</xm:sqref>
        </x14:dataValidation>
        <x14:dataValidation type="list" allowBlank="1" showInputMessage="1" showErrorMessage="1" xr:uid="{E1A25B52-2E27-4AE4-B079-140BD305FA5F}">
          <x14:formula1>
            <xm:f>Sheet2!$H$3:$H$9</xm:f>
          </x14:formula1>
          <xm:sqref>V3:V12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E5B2-1078-4828-89D6-E0166EFDDDD4}">
  <dimension ref="B2:L12"/>
  <sheetViews>
    <sheetView workbookViewId="0">
      <selection activeCell="H9" sqref="H9"/>
    </sheetView>
  </sheetViews>
  <sheetFormatPr defaultRowHeight="15" x14ac:dyDescent="0.25"/>
  <cols>
    <col min="7" max="7" width="11.7109375" bestFit="1" customWidth="1"/>
    <col min="8" max="8" width="16.85546875" bestFit="1" customWidth="1"/>
    <col min="10" max="10" width="15.5703125" bestFit="1" customWidth="1"/>
    <col min="11" max="12" width="12.42578125" bestFit="1" customWidth="1"/>
  </cols>
  <sheetData>
    <row r="2" spans="2:12" x14ac:dyDescent="0.25">
      <c r="K2" t="s">
        <v>73</v>
      </c>
      <c r="L2" t="s">
        <v>74</v>
      </c>
    </row>
    <row r="3" spans="2:12" x14ac:dyDescent="0.25">
      <c r="B3" t="s">
        <v>40</v>
      </c>
      <c r="C3" t="s">
        <v>41</v>
      </c>
      <c r="E3" t="s">
        <v>75</v>
      </c>
      <c r="G3" t="s">
        <v>57</v>
      </c>
      <c r="H3" t="s">
        <v>49</v>
      </c>
      <c r="J3" t="s">
        <v>60</v>
      </c>
      <c r="K3" s="32">
        <v>0.5</v>
      </c>
      <c r="L3" s="32">
        <v>1</v>
      </c>
    </row>
    <row r="4" spans="2:12" x14ac:dyDescent="0.25">
      <c r="B4" t="s">
        <v>76</v>
      </c>
      <c r="C4" t="s">
        <v>52</v>
      </c>
      <c r="E4" t="s">
        <v>77</v>
      </c>
      <c r="G4" t="s">
        <v>47</v>
      </c>
      <c r="H4" t="s">
        <v>69</v>
      </c>
      <c r="J4" t="s">
        <v>43</v>
      </c>
      <c r="K4" s="32">
        <v>1</v>
      </c>
      <c r="L4" s="32">
        <v>1</v>
      </c>
    </row>
    <row r="5" spans="2:12" x14ac:dyDescent="0.25">
      <c r="B5" t="s">
        <v>44</v>
      </c>
      <c r="C5" t="s">
        <v>45</v>
      </c>
      <c r="E5" t="s">
        <v>78</v>
      </c>
      <c r="H5" t="s">
        <v>48</v>
      </c>
      <c r="J5" t="s">
        <v>67</v>
      </c>
      <c r="K5" s="32">
        <v>2</v>
      </c>
      <c r="L5" s="32">
        <v>1</v>
      </c>
    </row>
    <row r="6" spans="2:12" x14ac:dyDescent="0.25">
      <c r="B6" t="s">
        <v>71</v>
      </c>
      <c r="C6" t="s">
        <v>55</v>
      </c>
      <c r="H6" t="s">
        <v>62</v>
      </c>
      <c r="J6" t="s">
        <v>39</v>
      </c>
      <c r="K6" s="32">
        <v>3</v>
      </c>
      <c r="L6" s="32">
        <v>1</v>
      </c>
    </row>
    <row r="7" spans="2:12" x14ac:dyDescent="0.25">
      <c r="B7" t="s">
        <v>51</v>
      </c>
      <c r="C7" t="s">
        <v>61</v>
      </c>
      <c r="H7" t="s">
        <v>58</v>
      </c>
    </row>
    <row r="8" spans="2:12" x14ac:dyDescent="0.25">
      <c r="B8" t="s">
        <v>68</v>
      </c>
      <c r="H8" t="s">
        <v>77</v>
      </c>
    </row>
    <row r="9" spans="2:12" x14ac:dyDescent="0.25">
      <c r="B9" t="s">
        <v>64</v>
      </c>
      <c r="H9" t="s">
        <v>75</v>
      </c>
      <c r="K9" s="7">
        <v>2.0833333333333332E-2</v>
      </c>
      <c r="L9" s="7">
        <v>4.1666666666666664E-2</v>
      </c>
    </row>
    <row r="10" spans="2:12" x14ac:dyDescent="0.25">
      <c r="B10" t="s">
        <v>54</v>
      </c>
      <c r="K10" s="7">
        <v>4.1666666666666664E-2</v>
      </c>
      <c r="L10" s="7">
        <v>4.1666666666666664E-2</v>
      </c>
    </row>
    <row r="11" spans="2:12" x14ac:dyDescent="0.25">
      <c r="K11" s="7">
        <v>8.3333333333333329E-2</v>
      </c>
      <c r="L11" s="7">
        <v>4.1666666666666664E-2</v>
      </c>
    </row>
    <row r="12" spans="2:12" x14ac:dyDescent="0.25">
      <c r="K12" s="7">
        <v>0.125</v>
      </c>
      <c r="L12" s="7">
        <v>4.1666666666666664E-2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Mostafa Naeem</dc:creator>
  <cp:keywords/>
  <dc:description/>
  <cp:lastModifiedBy>Ahmed Fergany</cp:lastModifiedBy>
  <cp:revision/>
  <dcterms:created xsi:type="dcterms:W3CDTF">2015-06-05T18:17:20Z</dcterms:created>
  <dcterms:modified xsi:type="dcterms:W3CDTF">2026-07-29T07:44:54Z</dcterms:modified>
  <cp:category/>
  <cp:contentStatus/>
</cp:coreProperties>
</file>