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57" documentId="11_E8677F28B73FD4DDB9E20C810D04293B11DFBCF4" xr6:coauthVersionLast="47" xr6:coauthVersionMax="47" xr10:uidLastSave="{E692B223-3745-45F2-AE40-4324BE874D1B}"/>
  <bookViews>
    <workbookView xWindow="-120" yWindow="-120" windowWidth="29040" windowHeight="15720" firstSheet="5" activeTab="14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JobChangeTypes" sheetId="5" r:id="rId5"/>
    <sheet name="Lines" sheetId="6" r:id="rId6"/>
    <sheet name="Shifts" sheetId="8" r:id="rId7"/>
    <sheet name="Crew" sheetId="9" r:id="rId8"/>
    <sheet name="CaseName" sheetId="10" r:id="rId9"/>
    <sheet name="ReworkStatus" sheetId="11" r:id="rId10"/>
    <sheet name="DefectName" sheetId="12" r:id="rId11"/>
    <sheet name="HE_DowntimeReason" sheetId="13" r:id="rId12"/>
    <sheet name="CE_LossesReason" sheetId="14" r:id="rId13"/>
    <sheet name="PalletizerReason" sheetId="15" r:id="rId14"/>
    <sheet name="Lookups" sheetId="7" r:id="rId15"/>
  </sheets>
  <definedNames>
    <definedName name="_xlnm._FilterDatabase" localSheetId="1" hidden="1">'Customers'!$A$4:$C$4</definedName>
    <definedName name="_xlnm._FilterDatabase" localSheetId="4" hidden="1">JobChangeTypes!$A$4:$C$4</definedName>
    <definedName name="_xlnm._FilterDatabase" localSheetId="5" hidden="1">Lines!$A$4:$C$4</definedName>
    <definedName name="_xlnm._FilterDatabase" localSheetId="14" hidden="1">Lookups!$A$4:$H$4</definedName>
    <definedName name="_xlnm._FilterDatabase" localSheetId="3" hidden="1">Orders!$A$4:$D$4</definedName>
    <definedName name="_xlnm._FilterDatabase" localSheetId="2" hidden="1">Products!$A$4:$D$4</definedName>
  </definedNames>
  <calcPr calcId="191029"/>
</workbook>
</file>

<file path=xl/sharedStrings.xml><?xml version="1.0" encoding="utf-8"?>
<sst xmlns="http://schemas.openxmlformats.org/spreadsheetml/2006/main" count="211" uniqueCount="107">
  <si>
    <t>KANDIL GLASS — MASTER DATA WORKBOOK</t>
  </si>
  <si>
    <t>Owner: Planning / Sales / IT</t>
  </si>
  <si>
    <t>Purpose: Maintain customers, products, orders, job-change types, lines and all dropdown lists.</t>
  </si>
  <si>
    <t>Rules:</t>
  </si>
  <si>
    <t>1. Never change column header names.</t>
  </si>
  <si>
    <t>2. Codes must be unique.</t>
  </si>
  <si>
    <t>3. New codes are added HERE first, then appear in other workbooks' dropdowns.</t>
  </si>
  <si>
    <t>4. Yellow cells = dropdown. Blue text = input.</t>
  </si>
  <si>
    <t>5. Load this file into Staging BEFORE any daily transactional files.</t>
  </si>
  <si>
    <t>JobChangeType official values: Small, Medium, Big, Process</t>
  </si>
  <si>
    <t>Master Data — Customers</t>
  </si>
  <si>
    <t>Maps to STG_CUSTOMER → DIM_CUSTOMER</t>
  </si>
  <si>
    <t>One row per customer. CustomerCode must be unique.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</si>
  <si>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</si>
  <si>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</si>
  <si>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</si>
  <si>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</si>
  <si>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</si>
  <si>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</si>
  <si>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</si>
  <si>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</si>
  <si>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</si>
  <si>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</si>
  <si>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</si>
  <si>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Master Data — Products</t>
  </si>
  <si>
    <t>Maps to STG_PRODUCT → DIM_PRODUCT</t>
  </si>
  <si>
    <t>ProductCode unique. Category = Jar or Bottle. CustomerCode must exist in Customers.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</si>
  <si>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</si>
  <si>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</si>
  <si>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</si>
  <si>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</si>
  <si>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</si>
  <si>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</si>
  <si>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</si>
  <si>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</si>
  <si>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</si>
  <si>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</si>
  <si>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</si>
  <si>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Master Data — Orders</t>
  </si>
  <si>
    <t>Maps to STG_ORDER → DIM_ORDER</t>
  </si>
  <si>
    <t>OrderNumber unique. TotalMoltenUnits = Packed + Rejected + Hold.</t>
  </si>
  <si>
    <t>OrderNumber</t>
  </si>
  <si>
    <t>TotalMoltenUnits</t>
  </si>
  <si>
    <t>ORD-2026-00145</t>
  </si>
  <si>
    <t>ORD-2026-00146</t>
  </si>
  <si>
    <t>ORD-2026-00150</t>
  </si>
  <si>
    <t>Master Data — Job Change Types</t>
  </si>
  <si>
    <t>Maps to STG_JOBCHANGETYPE → DIM_JOBCHANGETYPE</t>
  </si>
  <si>
    <t>Official values: Small, Medium, Big, Process</t>
  </si>
  <si>
    <t>JobChangeTypeName</t>
  </si>
  <si>
    <t>TargetT1_Hrs</t>
  </si>
  <si>
    <t>TargetT2_Hrs</t>
  </si>
  <si>
    <t>Small</t>
  </si>
  <si>
    <t>Medium</t>
  </si>
  <si>
    <t>Big</t>
  </si>
  <si>
    <t>Process</t>
  </si>
  <si>
    <t>Master Data — Production Lines</t>
  </si>
  <si>
    <t>Maps to REF_LINE / DIM_LINE</t>
  </si>
  <si>
    <t>FactoryCode + LineNumber must be unique.</t>
  </si>
  <si>
    <t>FactoryCode</t>
  </si>
  <si>
    <t>LineNumber</t>
  </si>
  <si>
    <t>LineStatus</t>
  </si>
  <si>
    <t>KG01</t>
  </si>
  <si>
    <t>Active</t>
  </si>
  <si>
    <t>Lookup Lists (power dropdowns in other workbooks)</t>
  </si>
  <si>
    <t>Do not delete rows that are in use</t>
  </si>
  <si>
    <t>Shift</t>
  </si>
  <si>
    <t>Crew</t>
  </si>
  <si>
    <t>ReworkStatus</t>
  </si>
  <si>
    <t>DefectName</t>
  </si>
  <si>
    <t>HE_DowntimeReason</t>
  </si>
  <si>
    <t>CE_LossesReason</t>
  </si>
  <si>
    <t>PalletizerReason</t>
  </si>
  <si>
    <t>AM</t>
  </si>
  <si>
    <t>A</t>
  </si>
  <si>
    <t>Normal</t>
  </si>
  <si>
    <t>Crack</t>
  </si>
  <si>
    <t>Reason-1</t>
  </si>
  <si>
    <t>PM</t>
  </si>
  <si>
    <t>B</t>
  </si>
  <si>
    <t>Trial</t>
  </si>
  <si>
    <t>Resorted</t>
  </si>
  <si>
    <t>Chip</t>
  </si>
  <si>
    <t>Reason-2</t>
  </si>
  <si>
    <t>C</t>
  </si>
  <si>
    <t>Reworking</t>
  </si>
  <si>
    <t>Move to Cullet</t>
  </si>
  <si>
    <t>Blister</t>
  </si>
  <si>
    <t>Reason-3</t>
  </si>
  <si>
    <t>Distortion</t>
  </si>
  <si>
    <t>Reason-4</t>
  </si>
  <si>
    <t>Stone</t>
  </si>
  <si>
    <t>Reason-5</t>
  </si>
  <si>
    <t>Bird Swing</t>
  </si>
  <si>
    <t>Reason-6</t>
  </si>
  <si>
    <t>Overpress</t>
  </si>
  <si>
    <t>Reason-7</t>
  </si>
  <si>
    <t>Thin Wall</t>
  </si>
  <si>
    <t>Reason-8</t>
  </si>
  <si>
    <t>Choke Neck</t>
  </si>
  <si>
    <t>Reason-9</t>
  </si>
  <si>
    <t>CaseName</t>
  </si>
  <si>
    <t>ORD-2026-00160</t>
  </si>
  <si>
    <t>ORD-2026-00170</t>
  </si>
  <si>
    <t>ORD-2026-00180</t>
  </si>
  <si>
    <t>ORD-2026-00190</t>
  </si>
  <si>
    <t>ORD-2026-00200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</si>
</sst>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/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2" fontId="7" fillId="4" borderId="1" xfId="0" applyNumberFormat="1" applyFont="1" applyFill="1" applyBorder="1"/>
    <xf numFmtId="0" fontId="7" fillId="0" borderId="2" xfId="0" applyFont="1" applyBorder="1"/>
    <xf numFmtId="0" fontId="7" fillId="3" borderId="3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0" borderId="8" xfId="0" applyFont="1" applyBorder="1"/>
    <xf numFmtId="0" fontId="7" fillId="3" borderId="9" xfId="0" applyFont="1" applyFill="1" applyBorder="1"/>
    <xf numFmtId="0" fontId="7" fillId="3" borderId="8" xfId="0" applyFont="1" applyFill="1" applyBorder="1"/>
    <xf numFmtId="4" fontId="7" fillId="4" borderId="3" xfId="0" applyNumberFormat="1" applyFont="1" applyFill="1" applyBorder="1"/>
    <xf numFmtId="4" fontId="7" fillId="4" borderId="9" xfId="0" applyNumberFormat="1" applyFont="1" applyFill="1" applyBorder="1"/>
    <xf numFmtId="2" fontId="7" fillId="4" borderId="3" xfId="0" applyNumberFormat="1" applyFont="1" applyFill="1" applyBorder="1"/>
    <xf numFmtId="2" fontId="7" fillId="4" borderId="8" xfId="0" applyNumberFormat="1" applyFont="1" applyFill="1" applyBorder="1"/>
    <xf numFmtId="2" fontId="7" fillId="4" borderId="9" xfId="0" applyNumberFormat="1" applyFont="1" applyFill="1" applyBorder="1"/>
    <xf numFmtId="0" fontId="7" fillId="0" borderId="12" xfId="0" applyFont="1" applyBorder="1"/>
    <xf numFmtId="0" fontId="6" fillId="2" borderId="11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3" fillId="0" borderId="0" xfId="0" applyFont="1"/>
    <xf numFmtId="0" fontId="0" fillId="0" borderId="0" xfId="0"/>
    <xf numFmtId="0" fontId="4" fillId="0" borderId="0" xfId="0" applyFont="1"/>
    <xf numFmtId="4" fontId="7" fillId="5" borderId="3" xfId="0" applyNumberFormat="1" applyFont="1" applyFill="1" applyBorder="1"/>
    <xf numFmtId="4" fontId="7" fillId="5" borderId="9" xfId="0" applyNumberFormat="1" applyFont="1" applyFill="1" applyBorder="1"/>
    <xf numFmtId="4" fontId="7" fillId="4" borderId="1" xfId="0" applyNumberFormat="1" applyFont="1" applyFill="1" applyBorder="1"/>
  </cellXfs>
  <cellStyles count="1">
    <cellStyle name="Normal" xfId="0" builtinId="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AE12B-18B6-4E47-AC82-B03CA44D5CE3}" name="Customers" displayName="Customers" ref="A4:C7" totalsRowShown="0" headerRowDxfId="84" headerRowBorderDxfId="83" tableBorderDxfId="82" totalsRowBorderDxfId="81">
  <autoFilter ref="A4:C7" xr:uid="{01BAE12B-18B6-4E47-AC82-B03CA44D5CE3}"/>
  <tableColumns count="3">
    <tableColumn id="1" xr3:uid="{42ABF2B8-9634-4E6C-B449-F0CDB3C7A295}" name="CustomerCode" dataDxfId="80"/>
    <tableColumn id="2" xr3:uid="{C87A80ED-F526-4CA1-A240-0CC066ACF733}" name="CustomerName" dataDxfId="79"/>
    <tableColumn id="3" xr3:uid="{638B3E4E-3F5A-407D-B2F5-E24124201728}" name="CountryType" dataDxfId="7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7F6F1-183B-4A31-B13D-30D136DAE462}" name="Products" displayName="Products" ref="A4:D7" totalsRowShown="0" headerRowDxfId="77" headerRowBorderDxfId="76" tableBorderDxfId="75" totalsRowBorderDxfId="74">
  <autoFilter ref="A4:D7" xr:uid="{0967F6F1-183B-4A31-B13D-30D136DAE462}"/>
  <tableColumns count="4">
    <tableColumn id="1" xr3:uid="{1B5D3D9E-A7DA-402D-84EB-1EA437B13A16}" name="ProductCode" dataDxfId="73"/>
    <tableColumn id="2" xr3:uid="{7747BD52-A45A-44C3-9BD3-2D3B76323893}" name="ProductName" dataDxfId="72"/>
    <tableColumn id="3" xr3:uid="{043DC279-AE41-42DE-9E4B-C7134266D7FD}" name="Category" dataDxfId="71"/>
    <tableColumn id="4" xr3:uid="{2B24CB9C-1B58-4D0E-9B19-A265AD75643D}" name="CustomerCode" dataDxfId="7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ED7AB-B4DF-47FA-9B04-8C320D698107}" name="Orders" displayName="Orders" ref="A4:D12" totalsRowShown="0" headerRowDxfId="69" headerRowBorderDxfId="68" tableBorderDxfId="67" totalsRowBorderDxfId="66">
  <autoFilter ref="A4:D12" xr:uid="{747ED7AB-B4DF-47FA-9B04-8C320D698107}"/>
  <tableColumns count="4">
    <tableColumn id="1" xr3:uid="{9A68609E-EC20-41B0-AF08-45CB98B88418}" name="OrderNumber" dataDxfId="65"/>
    <tableColumn id="2" xr3:uid="{0883B4A4-3F95-4BC1-99B6-89821A7C62B7}" name="ProductCode" dataDxfId="64"/>
    <tableColumn id="3" xr3:uid="{461F6730-5F59-405D-B713-3A22F116E612}" name="CustomerCode" dataDxfId="63"/>
    <tableColumn id="4" xr3:uid="{C8E96A52-D350-4C4D-8446-845170B00441}" name="TotalMoltenUnits" dataDxfId="6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B6028B-5614-442A-B092-EDC4D21687CE}" name="JobChangeTypes" displayName="JobChangeTypes" ref="A4:C8" totalsRowShown="0" headerRowDxfId="61" headerRowBorderDxfId="60" tableBorderDxfId="59" totalsRowBorderDxfId="58">
  <autoFilter ref="A4:C8" xr:uid="{30B6028B-5614-442A-B092-EDC4D21687CE}"/>
  <tableColumns count="3">
    <tableColumn id="1" xr3:uid="{B94F7331-2B3E-45BC-A9B1-5D3E249A5AE8}" name="JobChangeTypeName" dataDxfId="57"/>
    <tableColumn id="2" xr3:uid="{C55BB6F6-9833-4E02-8C6B-79694B492B02}" name="TargetT1_Hrs" dataDxfId="56"/>
    <tableColumn id="3" xr3:uid="{936D794E-EFA2-4343-BA0E-74E8BD298B18}" name="TargetT2_Hrs" dataDxfId="5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15D4E7-1840-40D6-AB65-942B3AE79D1C}" name="Lines" displayName="Lines" ref="A4:C9" totalsRowShown="0" headerRowDxfId="54" headerRowBorderDxfId="53" tableBorderDxfId="52" totalsRowBorderDxfId="51">
  <autoFilter ref="A4:C9" xr:uid="{D215D4E7-1840-40D6-AB65-942B3AE79D1C}"/>
  <tableColumns count="3">
    <tableColumn id="1" xr3:uid="{A4720901-3CC7-41D3-BF75-20D332E7EB03}" name="FactoryCode" dataDxfId="50"/>
    <tableColumn id="2" xr3:uid="{87788043-1A63-4B19-B28D-9BA930C8E614}" name="LineNumber" dataDxfId="49"/>
    <tableColumn id="3" xr3:uid="{7819C848-033D-4DEE-AB7C-96A4F39F339F}" name="LineStatus" dataDxfId="4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4CA8A-142D-4C3E-98FF-81372AFB0AEE}" name="Shift" displayName="Shift" ref="A4:A6" totalsRowShown="0" headerRowDxfId="47" dataDxfId="45" headerRowBorderDxfId="46" tableBorderDxfId="44" totalsRowBorderDxfId="43">
  <autoFilter ref="A4:A6" xr:uid="{D5C4CA8A-142D-4C3E-98FF-81372AFB0AEE}"/>
  <tableColumns count="1">
    <tableColumn id="1" xr3:uid="{A9190465-D46C-4EB8-BEA3-038F2E399064}" name="Shift" dataDxfId="4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170223-6BBE-4E36-9304-A88038E5795D}" name="Crew" displayName="Crew" ref="A4:A7" totalsRowShown="0" headerRowDxfId="41" dataDxfId="39" headerRowBorderDxfId="40" tableBorderDxfId="38" totalsRowBorderDxfId="37">
  <autoFilter ref="A4:A7" xr:uid="{89170223-6BBE-4E36-9304-A88038E5795D}"/>
  <tableColumns count="1">
    <tableColumn id="1" xr3:uid="{F6F221C9-2183-4BDB-BD9C-9722C01D72A7}" name="Crew" dataDxfId="3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651150-7C5E-4049-AA96-18F6954DCED1}" name="CaseName" displayName="CaseName" ref="A4:A7" totalsRowShown="0" headerRowDxfId="35" dataDxfId="33" headerRowBorderDxfId="34" tableBorderDxfId="32" totalsRowBorderDxfId="31">
  <autoFilter ref="A4:A7" xr:uid="{5F651150-7C5E-4049-AA96-18F6954DCED1}"/>
  <tableColumns count="1">
    <tableColumn id="1" xr3:uid="{06BBF756-1072-4CD7-9D61-F9E16AB73389}" name="CaseName" dataDxfId="3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B5F5C5-EBA5-4986-93C9-FF31E576B43A}" name="ReworkStatus" displayName="ReworkStatus" ref="A4:A6" totalsRowShown="0" headerRowDxfId="29" dataDxfId="27" headerRowBorderDxfId="28" tableBorderDxfId="26" totalsRowBorderDxfId="25">
  <autoFilter ref="A4:A6" xr:uid="{26B5F5C5-EBA5-4986-93C9-FF31E576B43A}"/>
  <tableColumns count="1">
    <tableColumn id="1" xr3:uid="{FF7F918D-01E1-449F-858A-933ACE1F8411}" name="ReworkStatus" dataDxfId="2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94F037-4962-496F-B7E7-BAE0902C9898}" name="DefectName" displayName="DefectName" ref="A4:A13" totalsRowShown="0" headerRowDxfId="23" dataDxfId="21" headerRowBorderDxfId="22" tableBorderDxfId="20" totalsRowBorderDxfId="19">
  <autoFilter ref="A4:A13" xr:uid="{A794F037-4962-496F-B7E7-BAE0902C9898}"/>
  <tableColumns count="1">
    <tableColumn id="1" xr3:uid="{5C6E4AA6-EC41-498F-8F80-492B9B082F65}" name="DefectName" dataDxfId="18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F1B947-B820-4AAB-BE87-D60E3A9F0DC5}" name="HE_DowntimeReason" displayName="HE_DowntimeReason" ref="A4:A13" totalsRowShown="0" headerRowDxfId="17" dataDxfId="15" headerRowBorderDxfId="16" tableBorderDxfId="14" totalsRowBorderDxfId="13">
  <autoFilter ref="A4:A13" xr:uid="{78F1B947-B820-4AAB-BE87-D60E3A9F0DC5}"/>
  <tableColumns count="1">
    <tableColumn id="1" xr3:uid="{0F685D34-52E5-473A-ABB9-0AE536A621B0}" name="HE_DowntimeReason" dataDxfId="1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1CBCB6-CCB2-486C-96A6-F452A11DC882}" name="CE_LossesReason" displayName="CE_LossesReason" ref="A4:A13" totalsRowShown="0" headerRowDxfId="11" dataDxfId="9" headerRowBorderDxfId="10" tableBorderDxfId="8" totalsRowBorderDxfId="7">
  <autoFilter ref="A4:A13" xr:uid="{D11CBCB6-CCB2-486C-96A6-F452A11DC882}"/>
  <tableColumns count="1">
    <tableColumn id="1" xr3:uid="{D4E78B7E-68A2-434C-9092-1ECEDE3366CF}" name="CE_LossesReason" dataDxfId="6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43D4D8-F2E8-4D26-A954-44C726DBE5DF}" name="PalletizerReason" displayName="PalletizerReason" ref="A4:A13" totalsRowShown="0" headerRowDxfId="5" dataDxfId="3" headerRowBorderDxfId="4" tableBorderDxfId="2" totalsRowBorderDxfId="1">
  <autoFilter ref="A4:A13" xr:uid="{D143D4D8-F2E8-4D26-A954-44C726DBE5DF}"/>
  <tableColumns count="1">
    <tableColumn id="1" xr3:uid="{874C8E39-5CDE-4941-8C2B-FDF1626B7B48}" name="Palletizer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D27" sqref="D27"/>
    </sheetView>
  </sheetViews>
  <sheetFormatPr defaultRowHeight="15" x14ac:dyDescent="0.25"/>
  <cols>
    <col min="1" max="1" width="95" customWidth="1"/>
  </cols>
  <sheetData>
    <row r="1" spans="1:1" ht="20.25" x14ac:dyDescent="0.3">
      <c r="A1" s="1" t="s">
        <v>0</v>
      </c>
    </row>
    <row r="3" spans="1:1" ht="15.75" x14ac:dyDescent="0.25">
      <c r="A3" s="2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22" customWidth="1"/>
    <col min="2" max="2" width="18.7109375" customWidth="1"/>
    <col min="3" max="3" width="16.140625" customWidth="1"/>
  </cols>
  <sheetData>
    <row r="1" spans="1:3" ht="21.95" customHeight="1" x14ac:dyDescent="0.25">
      <c r="A1" s="25" t="s">
        <v>10</v>
      </c>
      <c r="B1" s="26"/>
      <c r="C1" s="26"/>
    </row>
    <row r="2" spans="1:3" ht="18" customHeight="1" x14ac:dyDescent="0.25">
      <c r="A2" s="27" t="s">
        <v>11</v>
      </c>
      <c r="B2" s="26"/>
      <c r="C2" s="26"/>
    </row>
    <row r="3" spans="1:3" x14ac:dyDescent="0.25">
      <c r="A3" s="3" t="s">
        <v>12</v>
      </c>
    </row>
    <row r="4" spans="1:3" ht="32.1" customHeight="1" x14ac:dyDescent="0.25">
      <c r="A4" s="10" t="s">
        <v>13</v>
      </c>
      <c r="B4" s="11" t="s">
        <v>14</v>
      </c>
      <c r="C4" s="12" t="s">
        <v>15</v>
      </c>
    </row>
    <row r="5" spans="1:3" x14ac:dyDescent="0.25">
      <c r="A5" s="8" t="s">
        <v>16</v>
      </c>
      <c r="B5" s="5" t="s">
        <v>17</v>
      </c>
      <c r="C5" s="9" t="s">
        <v>18</v>
      </c>
    </row>
    <row r="6" spans="1:3" x14ac:dyDescent="0.25">
      <c r="A6" s="8" t="s">
        <v>19</v>
      </c>
      <c r="B6" s="5" t="s">
        <v>20</v>
      </c>
      <c r="C6" s="9" t="s">
        <v>18</v>
      </c>
    </row>
    <row r="7" spans="1:3" x14ac:dyDescent="0.25">
      <c r="A7" s="13" t="s">
        <v>21</v>
      </c>
      <c r="B7" s="14" t="s">
        <v>22</v>
      </c>
      <c r="C7" s="15" t="s">
        <v>23</v>
      </c>
    </row>
  </sheetData>
  <mergeCells count="2">
    <mergeCell ref="A1:C1"/>
    <mergeCell ref="A2:C2"/>
  </mergeCells>
  <dataValidations count="1">
    <dataValidation type="list" allowBlank="1" sqref="C5:C1000" xr:uid="{00000000-0002-0000-0100-000000000000}">
      <formula1>"Local,Export"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4" topLeftCell="A5" activePane="bottomLeft" state="frozen"/>
      <selection pane="bottomLeft" activeCell="A4" sqref="A4:D7"/>
    </sheetView>
  </sheetViews>
  <sheetFormatPr defaultRowHeight="15" x14ac:dyDescent="0.25"/>
  <cols>
    <col min="1" max="1" width="22" customWidth="1"/>
    <col min="2" max="2" width="21" customWidth="1"/>
    <col min="3" max="3" width="12.28515625" customWidth="1"/>
    <col min="4" max="4" width="18.42578125" customWidth="1"/>
  </cols>
  <sheetData>
    <row r="1" spans="1:4" ht="21.95" customHeight="1" x14ac:dyDescent="0.25">
      <c r="A1" s="25" t="s">
        <v>24</v>
      </c>
      <c r="B1" s="26"/>
      <c r="C1" s="26"/>
      <c r="D1" s="26"/>
    </row>
    <row r="2" spans="1:4" ht="18" customHeight="1" x14ac:dyDescent="0.25">
      <c r="A2" s="27" t="s">
        <v>25</v>
      </c>
      <c r="B2" s="26"/>
      <c r="C2" s="26"/>
      <c r="D2" s="26"/>
    </row>
    <row r="3" spans="1:4" x14ac:dyDescent="0.25">
      <c r="A3" s="3" t="s">
        <v>26</v>
      </c>
    </row>
    <row r="4" spans="1:4" ht="32.1" customHeight="1" x14ac:dyDescent="0.25">
      <c r="A4" s="10" t="s">
        <v>27</v>
      </c>
      <c r="B4" s="11" t="s">
        <v>28</v>
      </c>
      <c r="C4" s="11" t="s">
        <v>29</v>
      </c>
      <c r="D4" s="12" t="s">
        <v>13</v>
      </c>
    </row>
    <row r="5" spans="1:4" x14ac:dyDescent="0.25">
      <c r="A5" s="8" t="s">
        <v>30</v>
      </c>
      <c r="B5" s="5" t="s">
        <v>31</v>
      </c>
      <c r="C5" s="6" t="s">
        <v>32</v>
      </c>
      <c r="D5" s="9" t="s">
        <v>16</v>
      </c>
    </row>
    <row r="6" spans="1:4" x14ac:dyDescent="0.25">
      <c r="A6" s="8" t="s">
        <v>33</v>
      </c>
      <c r="B6" s="5" t="s">
        <v>34</v>
      </c>
      <c r="C6" s="6" t="s">
        <v>35</v>
      </c>
      <c r="D6" s="9" t="s">
        <v>19</v>
      </c>
    </row>
    <row r="7" spans="1:4" x14ac:dyDescent="0.25">
      <c r="A7" s="13" t="s">
        <v>36</v>
      </c>
      <c r="B7" s="14" t="s">
        <v>37</v>
      </c>
      <c r="C7" s="16" t="s">
        <v>32</v>
      </c>
      <c r="D7" s="15" t="s">
        <v>16</v>
      </c>
    </row>
  </sheetData>
  <mergeCells count="2">
    <mergeCell ref="A1:D1"/>
    <mergeCell ref="A2:D2"/>
  </mergeCells>
  <dataValidations count="1">
    <dataValidation type="list" allowBlank="1" sqref="C5:C1000" xr:uid="{00000000-0002-0000-0200-000000000000}">
      <formula1>"Jar,Bottle"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4" topLeftCell="A5" activePane="bottomLeft" state="frozen"/>
      <selection pane="bottomLeft" activeCell="G16" sqref="G16"/>
    </sheetView>
  </sheetViews>
  <sheetFormatPr defaultRowHeight="15" x14ac:dyDescent="0.25"/>
  <cols>
    <col min="1" max="1" width="22" customWidth="1"/>
    <col min="2" max="2" width="16.5703125" customWidth="1"/>
    <col min="3" max="3" width="18.42578125" customWidth="1"/>
    <col min="4" max="4" width="20.5703125" customWidth="1"/>
  </cols>
  <sheetData>
    <row r="1" spans="1:4" ht="21.95" customHeight="1" x14ac:dyDescent="0.25">
      <c r="A1" s="25" t="s">
        <v>38</v>
      </c>
      <c r="B1" s="26"/>
      <c r="C1" s="26"/>
      <c r="D1" s="26"/>
    </row>
    <row r="2" spans="1:4" ht="18" customHeight="1" x14ac:dyDescent="0.25">
      <c r="A2" s="27" t="s">
        <v>39</v>
      </c>
      <c r="B2" s="26"/>
      <c r="C2" s="26"/>
      <c r="D2" s="26"/>
    </row>
    <row r="3" spans="1:4" x14ac:dyDescent="0.25">
      <c r="A3" s="3" t="s">
        <v>40</v>
      </c>
    </row>
    <row r="4" spans="1:4" ht="32.1" customHeight="1" x14ac:dyDescent="0.25">
      <c r="A4" s="10" t="s">
        <v>41</v>
      </c>
      <c r="B4" s="11" t="s">
        <v>27</v>
      </c>
      <c r="C4" s="11" t="s">
        <v>13</v>
      </c>
      <c r="D4" s="12" t="s">
        <v>42</v>
      </c>
    </row>
    <row r="5" spans="1:4" x14ac:dyDescent="0.25">
      <c r="A5" s="8" t="s">
        <v>43</v>
      </c>
      <c r="B5" s="5" t="s">
        <v>30</v>
      </c>
      <c r="C5" s="5" t="s">
        <v>16</v>
      </c>
      <c r="D5" s="17">
        <v>432000</v>
      </c>
    </row>
    <row r="6" spans="1:4" x14ac:dyDescent="0.25">
      <c r="A6" s="8" t="s">
        <v>44</v>
      </c>
      <c r="B6" s="5" t="s">
        <v>33</v>
      </c>
      <c r="C6" s="5" t="s">
        <v>19</v>
      </c>
      <c r="D6" s="17">
        <v>98000</v>
      </c>
    </row>
    <row r="7" spans="1:4" x14ac:dyDescent="0.25">
      <c r="A7" s="13" t="s">
        <v>45</v>
      </c>
      <c r="B7" s="14" t="s">
        <v>36</v>
      </c>
      <c r="C7" s="14" t="s">
        <v>16</v>
      </c>
      <c r="D7" s="18">
        <v>45000</v>
      </c>
    </row>
    <row r="8" spans="1:4" x14ac:dyDescent="0.25">
      <c r="A8" s="5" t="s">
        <v>102</v>
      </c>
      <c r="B8" s="5" t="s">
        <v>30</v>
      </c>
      <c r="C8" s="5" t="s">
        <v>16</v>
      </c>
      <c r="D8" s="30">
        <v>210000</v>
      </c>
    </row>
    <row r="9" spans="1:4" x14ac:dyDescent="0.25">
      <c r="A9" s="5" t="s">
        <v>103</v>
      </c>
      <c r="B9" s="5" t="s">
        <v>33</v>
      </c>
      <c r="C9" s="5" t="s">
        <v>19</v>
      </c>
      <c r="D9" s="30">
        <v>150000</v>
      </c>
    </row>
    <row r="10" spans="1:4" x14ac:dyDescent="0.25">
      <c r="A10" s="5" t="s">
        <v>104</v>
      </c>
      <c r="B10" s="5" t="s">
        <v>36</v>
      </c>
      <c r="C10" s="5" t="s">
        <v>16</v>
      </c>
      <c r="D10" s="30">
        <v>88000</v>
      </c>
    </row>
    <row r="11" spans="1:4" x14ac:dyDescent="0.25">
      <c r="A11" s="5" t="s">
        <v>105</v>
      </c>
      <c r="B11" s="5" t="s">
        <v>30</v>
      </c>
      <c r="C11" s="5" t="s">
        <v>16</v>
      </c>
      <c r="D11" s="30">
        <v>320000</v>
      </c>
    </row>
    <row r="12" spans="1:4" x14ac:dyDescent="0.25">
      <c r="A12" s="5" t="s">
        <v>106</v>
      </c>
      <c r="B12" s="5" t="s">
        <v>33</v>
      </c>
      <c r="C12" s="5" t="s">
        <v>19</v>
      </c>
      <c r="D12" s="30">
        <v>175000</v>
      </c>
    </row>
    <row r="13" spans="1:4" x14ac:dyDescent="0.25">
      <c r="A13" s="8"/>
      <c r="B13" s="5"/>
      <c r="C13" s="5"/>
      <c r="D13" s="28"/>
    </row>
    <row r="14" spans="1:4" x14ac:dyDescent="0.25">
      <c r="A14" s="8"/>
      <c r="B14" s="5"/>
      <c r="C14" s="5"/>
      <c r="D14" s="28"/>
    </row>
    <row r="15" spans="1:4" x14ac:dyDescent="0.25">
      <c r="A15" s="13"/>
      <c r="B15" s="14"/>
      <c r="C15" s="14"/>
      <c r="D15" s="29"/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4" topLeftCell="A5" activePane="bottomLeft" state="frozen"/>
      <selection pane="bottomLeft" activeCell="E29" sqref="E29"/>
    </sheetView>
  </sheetViews>
  <sheetFormatPr defaultRowHeight="15" x14ac:dyDescent="0.25"/>
  <cols>
    <col min="1" max="1" width="25.42578125" customWidth="1"/>
    <col min="2" max="2" width="19" customWidth="1"/>
    <col min="3" max="3" width="18.42578125" customWidth="1"/>
  </cols>
  <sheetData>
    <row r="1" spans="1:3" ht="21.95" customHeight="1" x14ac:dyDescent="0.25">
      <c r="A1" s="25" t="s">
        <v>46</v>
      </c>
      <c r="B1" s="26"/>
      <c r="C1" s="26"/>
    </row>
    <row r="2" spans="1:3" ht="18" customHeight="1" x14ac:dyDescent="0.25">
      <c r="A2" s="27" t="s">
        <v>47</v>
      </c>
      <c r="B2" s="26"/>
      <c r="C2" s="26"/>
    </row>
    <row r="3" spans="1:3" x14ac:dyDescent="0.25">
      <c r="A3" s="3" t="s">
        <v>48</v>
      </c>
    </row>
    <row r="4" spans="1:3" ht="32.1" customHeight="1" x14ac:dyDescent="0.25">
      <c r="A4" s="10" t="s">
        <v>49</v>
      </c>
      <c r="B4" s="11" t="s">
        <v>50</v>
      </c>
      <c r="C4" s="12" t="s">
        <v>51</v>
      </c>
    </row>
    <row r="5" spans="1:3" x14ac:dyDescent="0.25">
      <c r="A5" s="8" t="s">
        <v>52</v>
      </c>
      <c r="B5" s="7">
        <v>1.5</v>
      </c>
      <c r="C5" s="19">
        <v>0.5</v>
      </c>
    </row>
    <row r="6" spans="1:3" x14ac:dyDescent="0.25">
      <c r="A6" s="8" t="s">
        <v>53</v>
      </c>
      <c r="B6" s="7">
        <v>3</v>
      </c>
      <c r="C6" s="19">
        <v>1</v>
      </c>
    </row>
    <row r="7" spans="1:3" x14ac:dyDescent="0.25">
      <c r="A7" s="8" t="s">
        <v>54</v>
      </c>
      <c r="B7" s="7">
        <v>6</v>
      </c>
      <c r="C7" s="19">
        <v>2</v>
      </c>
    </row>
    <row r="8" spans="1:3" x14ac:dyDescent="0.25">
      <c r="A8" s="13" t="s">
        <v>55</v>
      </c>
      <c r="B8" s="20">
        <v>8</v>
      </c>
      <c r="C8" s="21">
        <v>3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4" topLeftCell="A5" activePane="bottomLeft" state="frozen"/>
      <selection pane="bottomLeft" activeCell="G29" sqref="G29:G30"/>
    </sheetView>
  </sheetViews>
  <sheetFormatPr defaultRowHeight="15" x14ac:dyDescent="0.25"/>
  <cols>
    <col min="1" max="1" width="22" customWidth="1"/>
    <col min="2" max="2" width="15.5703125" customWidth="1"/>
    <col min="3" max="3" width="14" customWidth="1"/>
  </cols>
  <sheetData>
    <row r="1" spans="1:3" ht="21.95" customHeight="1" x14ac:dyDescent="0.25">
      <c r="A1" s="25" t="s">
        <v>56</v>
      </c>
      <c r="B1" s="26"/>
      <c r="C1" s="26"/>
    </row>
    <row r="2" spans="1:3" ht="18" customHeight="1" x14ac:dyDescent="0.25">
      <c r="A2" s="27" t="s">
        <v>57</v>
      </c>
      <c r="B2" s="26"/>
      <c r="C2" s="26"/>
    </row>
    <row r="3" spans="1:3" x14ac:dyDescent="0.25">
      <c r="A3" s="3" t="s">
        <v>58</v>
      </c>
    </row>
    <row r="4" spans="1:3" ht="32.1" customHeight="1" x14ac:dyDescent="0.25">
      <c r="A4" s="10" t="s">
        <v>59</v>
      </c>
      <c r="B4" s="11" t="s">
        <v>60</v>
      </c>
      <c r="C4" s="12" t="s">
        <v>61</v>
      </c>
    </row>
    <row r="5" spans="1:3" x14ac:dyDescent="0.25">
      <c r="A5" s="8" t="s">
        <v>62</v>
      </c>
      <c r="B5" s="5">
        <v>21</v>
      </c>
      <c r="C5" s="9" t="s">
        <v>63</v>
      </c>
    </row>
    <row r="6" spans="1:3" x14ac:dyDescent="0.25">
      <c r="A6" s="8" t="s">
        <v>62</v>
      </c>
      <c r="B6" s="5">
        <v>22</v>
      </c>
      <c r="C6" s="9" t="s">
        <v>63</v>
      </c>
    </row>
    <row r="7" spans="1:3" x14ac:dyDescent="0.25">
      <c r="A7" s="8" t="s">
        <v>62</v>
      </c>
      <c r="B7" s="5">
        <v>23</v>
      </c>
      <c r="C7" s="9" t="s">
        <v>63</v>
      </c>
    </row>
    <row r="8" spans="1:3" x14ac:dyDescent="0.25">
      <c r="A8" s="8" t="s">
        <v>62</v>
      </c>
      <c r="B8" s="5">
        <v>24</v>
      </c>
      <c r="C8" s="9" t="s">
        <v>63</v>
      </c>
    </row>
    <row r="9" spans="1:3" x14ac:dyDescent="0.25">
      <c r="A9" s="13" t="s">
        <v>62</v>
      </c>
      <c r="B9" s="14">
        <v>25</v>
      </c>
      <c r="C9" s="15" t="s">
        <v>63</v>
      </c>
    </row>
  </sheetData>
  <mergeCells count="2">
    <mergeCell ref="A1:C1"/>
    <mergeCell ref="A2:C2"/>
  </mergeCells>
  <dataValidations count="1">
    <dataValidation type="list" allowBlank="1" sqref="C5:C100" xr:uid="{00000000-0002-0000-0500-000000000000}">
      <formula1>"Active,Inactive"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4196-D17C-4826-84C2-F648B043474D}">
  <dimension ref="A4:A6"/>
  <sheetViews>
    <sheetView workbookViewId="0">
      <selection activeCell="G33" sqref="G33"/>
    </sheetView>
  </sheetViews>
  <sheetFormatPr defaultRowHeight="15" x14ac:dyDescent="0.25"/>
  <sheetData>
    <row r="4" spans="1:1" x14ac:dyDescent="0.25">
      <c r="A4" s="23" t="s">
        <v>66</v>
      </c>
    </row>
    <row r="5" spans="1:1" x14ac:dyDescent="0.25">
      <c r="A5" s="22" t="s">
        <v>73</v>
      </c>
    </row>
    <row r="6" spans="1:1" x14ac:dyDescent="0.25">
      <c r="A6" s="24" t="s">
        <v>78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40B8-7F27-4FE9-854C-A29F9D363D0B}">
  <dimension ref="A4:A7"/>
  <sheetViews>
    <sheetView workbookViewId="0">
      <selection activeCell="A4" sqref="A4:A7"/>
    </sheetView>
  </sheetViews>
  <sheetFormatPr defaultRowHeight="15" x14ac:dyDescent="0.25"/>
  <sheetData>
    <row r="4" spans="1:1" x14ac:dyDescent="0.25">
      <c r="A4" s="23" t="s">
        <v>67</v>
      </c>
    </row>
    <row r="5" spans="1:1" x14ac:dyDescent="0.25">
      <c r="A5" s="22" t="s">
        <v>74</v>
      </c>
    </row>
    <row r="6" spans="1:1" x14ac:dyDescent="0.25">
      <c r="A6" s="22" t="s">
        <v>79</v>
      </c>
    </row>
    <row r="7" spans="1:1" x14ac:dyDescent="0.25">
      <c r="A7" s="24" t="s">
        <v>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6F9A-857D-417C-BFBB-77DCA93464EA}">
  <dimension ref="A4:A7"/>
  <sheetViews>
    <sheetView workbookViewId="0">
      <selection activeCell="A4" sqref="A4"/>
    </sheetView>
  </sheetViews>
  <sheetFormatPr defaultRowHeight="15" x14ac:dyDescent="0.25"/>
  <cols>
    <col min="1" max="1" width="19.42578125" customWidth="1"/>
  </cols>
  <sheetData>
    <row r="4" spans="1:1" x14ac:dyDescent="0.25">
      <c r="A4" s="23" t="s">
        <v>101</v>
      </c>
    </row>
    <row r="5" spans="1:1" x14ac:dyDescent="0.25">
      <c r="A5" s="22" t="s">
        <v>75</v>
      </c>
    </row>
    <row r="6" spans="1:1" x14ac:dyDescent="0.25">
      <c r="A6" s="22" t="s">
        <v>80</v>
      </c>
    </row>
    <row r="7" spans="1:1" x14ac:dyDescent="0.25">
      <c r="A7" s="24" t="s">
        <v>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59E2-BC40-4502-BA60-5566627FCB9C}">
  <dimension ref="A4:A6"/>
  <sheetViews>
    <sheetView workbookViewId="0">
      <selection activeCell="A5" sqref="A5"/>
    </sheetView>
  </sheetViews>
  <sheetFormatPr defaultRowHeight="15" x14ac:dyDescent="0.25"/>
  <cols>
    <col min="1" max="1" width="17.28515625" customWidth="1"/>
  </cols>
  <sheetData>
    <row r="4" spans="1:1" ht="30" x14ac:dyDescent="0.25">
      <c r="A4" s="23" t="s">
        <v>68</v>
      </c>
    </row>
    <row r="5" spans="1:1" x14ac:dyDescent="0.25">
      <c r="A5" s="22" t="s">
        <v>81</v>
      </c>
    </row>
    <row r="6" spans="1:1" x14ac:dyDescent="0.25">
      <c r="A6" s="24" t="s">
        <v>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DCE8-C1F2-4F89-964A-03CB46DCA67E}">
  <dimension ref="A4:A13"/>
  <sheetViews>
    <sheetView workbookViewId="0">
      <selection activeCell="E22" sqref="E22"/>
    </sheetView>
  </sheetViews>
  <sheetFormatPr defaultRowHeight="15" x14ac:dyDescent="0.25"/>
  <cols>
    <col min="1" max="1" width="15.5703125" customWidth="1"/>
    <col min="2" max="2" width="14.140625" customWidth="1"/>
  </cols>
  <sheetData>
    <row r="4" spans="1:1" x14ac:dyDescent="0.25">
      <c r="A4" s="23" t="s">
        <v>69</v>
      </c>
    </row>
    <row r="5" spans="1:1" x14ac:dyDescent="0.25">
      <c r="A5" s="22" t="s">
        <v>76</v>
      </c>
    </row>
    <row r="6" spans="1:1" x14ac:dyDescent="0.25">
      <c r="A6" s="22" t="s">
        <v>82</v>
      </c>
    </row>
    <row r="7" spans="1:1" x14ac:dyDescent="0.25">
      <c r="A7" s="22" t="s">
        <v>87</v>
      </c>
    </row>
    <row r="8" spans="1:1" x14ac:dyDescent="0.25">
      <c r="A8" s="22" t="s">
        <v>89</v>
      </c>
    </row>
    <row r="9" spans="1:1" x14ac:dyDescent="0.25">
      <c r="A9" s="22" t="s">
        <v>91</v>
      </c>
    </row>
    <row r="10" spans="1:1" x14ac:dyDescent="0.25">
      <c r="A10" s="22" t="s">
        <v>93</v>
      </c>
    </row>
    <row r="11" spans="1:1" x14ac:dyDescent="0.25">
      <c r="A11" s="22" t="s">
        <v>95</v>
      </c>
    </row>
    <row r="12" spans="1:1" x14ac:dyDescent="0.25">
      <c r="A12" s="22" t="s">
        <v>97</v>
      </c>
    </row>
    <row r="13" spans="1:1" x14ac:dyDescent="0.25">
      <c r="A13" s="24" t="s">
        <v>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861E-BB91-4DCF-B4D7-D6B127C5B1FF}">
  <dimension ref="A4:A13"/>
  <sheetViews>
    <sheetView workbookViewId="0">
      <selection activeCell="A4" sqref="A4:A13"/>
    </sheetView>
  </sheetViews>
  <sheetFormatPr defaultRowHeight="15" x14ac:dyDescent="0.25"/>
  <cols>
    <col min="1" max="1" width="25.28515625" customWidth="1"/>
  </cols>
  <sheetData>
    <row r="4" spans="1:1" ht="45" x14ac:dyDescent="0.25">
      <c r="A4" s="23" t="s">
        <v>70</v>
      </c>
    </row>
    <row r="5" spans="1:1" x14ac:dyDescent="0.25">
      <c r="A5" s="22" t="s">
        <v>77</v>
      </c>
    </row>
    <row r="6" spans="1:1" x14ac:dyDescent="0.25">
      <c r="A6" s="22" t="s">
        <v>83</v>
      </c>
    </row>
    <row r="7" spans="1:1" x14ac:dyDescent="0.25">
      <c r="A7" s="22" t="s">
        <v>88</v>
      </c>
    </row>
    <row r="8" spans="1:1" x14ac:dyDescent="0.25">
      <c r="A8" s="22" t="s">
        <v>90</v>
      </c>
    </row>
    <row r="9" spans="1:1" x14ac:dyDescent="0.25">
      <c r="A9" s="22" t="s">
        <v>92</v>
      </c>
    </row>
    <row r="10" spans="1:1" x14ac:dyDescent="0.25">
      <c r="A10" s="22" t="s">
        <v>94</v>
      </c>
    </row>
    <row r="11" spans="1:1" x14ac:dyDescent="0.25">
      <c r="A11" s="22" t="s">
        <v>96</v>
      </c>
    </row>
    <row r="12" spans="1:1" x14ac:dyDescent="0.25">
      <c r="A12" s="22" t="s">
        <v>98</v>
      </c>
    </row>
    <row r="13" spans="1:1" x14ac:dyDescent="0.25">
      <c r="A13" s="24" t="s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E0D5-CEEA-4B2E-B291-DAEBA7AC3C24}">
  <dimension ref="A4:A13"/>
  <sheetViews>
    <sheetView workbookViewId="0">
      <selection activeCell="A4" sqref="A4:A13"/>
    </sheetView>
  </sheetViews>
  <sheetFormatPr defaultRowHeight="15" x14ac:dyDescent="0.25"/>
  <cols>
    <col min="1" max="1" width="27.7109375" customWidth="1"/>
  </cols>
  <sheetData>
    <row r="4" spans="1:1" ht="45" x14ac:dyDescent="0.25">
      <c r="A4" s="23" t="s">
        <v>71</v>
      </c>
    </row>
    <row r="5" spans="1:1" x14ac:dyDescent="0.25">
      <c r="A5" s="22" t="s">
        <v>77</v>
      </c>
    </row>
    <row r="6" spans="1:1" x14ac:dyDescent="0.25">
      <c r="A6" s="22" t="s">
        <v>83</v>
      </c>
    </row>
    <row r="7" spans="1:1" x14ac:dyDescent="0.25">
      <c r="A7" s="22" t="s">
        <v>88</v>
      </c>
    </row>
    <row r="8" spans="1:1" x14ac:dyDescent="0.25">
      <c r="A8" s="22" t="s">
        <v>90</v>
      </c>
    </row>
    <row r="9" spans="1:1" x14ac:dyDescent="0.25">
      <c r="A9" s="22" t="s">
        <v>92</v>
      </c>
    </row>
    <row r="10" spans="1:1" x14ac:dyDescent="0.25">
      <c r="A10" s="22" t="s">
        <v>94</v>
      </c>
    </row>
    <row r="11" spans="1:1" x14ac:dyDescent="0.25">
      <c r="A11" s="22" t="s">
        <v>96</v>
      </c>
    </row>
    <row r="12" spans="1:1" x14ac:dyDescent="0.25">
      <c r="A12" s="22" t="s">
        <v>98</v>
      </c>
    </row>
    <row r="13" spans="1:1" x14ac:dyDescent="0.25">
      <c r="A13" s="24" t="s">
        <v>100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4173-2B2D-4E98-8437-80010FF63D93}">
  <dimension ref="A4:A13"/>
  <sheetViews>
    <sheetView workbookViewId="0">
      <selection activeCell="N18" sqref="N18"/>
    </sheetView>
  </sheetViews>
  <sheetFormatPr defaultRowHeight="15" x14ac:dyDescent="0.25"/>
  <cols>
    <col min="1" max="1" width="21.85546875" customWidth="1"/>
  </cols>
  <sheetData>
    <row r="4" spans="1:1" x14ac:dyDescent="0.25">
      <c r="A4" s="23" t="s">
        <v>72</v>
      </c>
    </row>
    <row r="5" spans="1:1" x14ac:dyDescent="0.25">
      <c r="A5" s="22" t="s">
        <v>77</v>
      </c>
    </row>
    <row r="6" spans="1:1" x14ac:dyDescent="0.25">
      <c r="A6" s="22" t="s">
        <v>83</v>
      </c>
    </row>
    <row r="7" spans="1:1" x14ac:dyDescent="0.25">
      <c r="A7" s="22" t="s">
        <v>88</v>
      </c>
    </row>
    <row r="8" spans="1:1" x14ac:dyDescent="0.25">
      <c r="A8" s="22" t="s">
        <v>90</v>
      </c>
    </row>
    <row r="9" spans="1:1" x14ac:dyDescent="0.25">
      <c r="A9" s="22" t="s">
        <v>92</v>
      </c>
    </row>
    <row r="10" spans="1:1" x14ac:dyDescent="0.25">
      <c r="A10" s="22" t="s">
        <v>94</v>
      </c>
    </row>
    <row r="11" spans="1:1" x14ac:dyDescent="0.25">
      <c r="A11" s="22" t="s">
        <v>96</v>
      </c>
    </row>
    <row r="12" spans="1:1" x14ac:dyDescent="0.25">
      <c r="A12" s="22" t="s">
        <v>98</v>
      </c>
    </row>
    <row r="13" spans="1:1" x14ac:dyDescent="0.25">
      <c r="A13" s="24" t="s">
        <v>100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tabSelected="1" workbookViewId="0">
      <pane ySplit="4" topLeftCell="A5" activePane="bottomLeft" state="frozen"/>
      <selection pane="bottomLeft" activeCell="H21" sqref="H21"/>
    </sheetView>
  </sheetViews>
  <sheetFormatPr defaultRowHeight="15" x14ac:dyDescent="0.25"/>
  <cols>
    <col min="1" max="1" width="22" customWidth="1"/>
    <col min="2" max="2" width="11" customWidth="1"/>
    <col min="3" max="3" width="19.42578125" customWidth="1"/>
    <col min="4" max="4" width="16" customWidth="1"/>
    <col min="5" max="5" width="15.85546875" customWidth="1"/>
    <col min="6" max="6" width="28.5703125" customWidth="1"/>
    <col min="7" max="7" width="22.7109375" customWidth="1"/>
    <col min="8" max="8" width="21.85546875" bestFit="1" customWidth="1"/>
  </cols>
  <sheetData>
    <row r="1" spans="1:8" ht="21.95" customHeight="1" x14ac:dyDescent="0.25">
      <c r="A1" s="25" t="s">
        <v>64</v>
      </c>
      <c r="B1" s="26"/>
      <c r="C1" s="26"/>
      <c r="D1" s="26"/>
      <c r="E1" s="26"/>
      <c r="F1" s="26"/>
      <c r="G1" s="26"/>
      <c r="H1" s="26"/>
    </row>
    <row r="2" spans="1:8" ht="18" customHeight="1" x14ac:dyDescent="0.25">
      <c r="A2" s="27" t="s">
        <v>65</v>
      </c>
      <c r="B2" s="26"/>
      <c r="C2" s="26"/>
      <c r="D2" s="26"/>
      <c r="E2" s="26"/>
      <c r="F2" s="26"/>
      <c r="G2" s="26"/>
      <c r="H2" s="26"/>
    </row>
    <row r="4" spans="1:8" ht="32.1" customHeight="1" x14ac:dyDescent="0.25">
      <c r="A4" s="4" t="s">
        <v>66</v>
      </c>
      <c r="B4" s="4" t="s">
        <v>67</v>
      </c>
      <c r="C4" s="4" t="s">
        <v>101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</row>
    <row r="5" spans="1:8" x14ac:dyDescent="0.25">
      <c r="A5" s="5" t="s">
        <v>73</v>
      </c>
      <c r="B5" s="5" t="s">
        <v>74</v>
      </c>
      <c r="C5" s="5" t="s">
        <v>75</v>
      </c>
      <c r="D5" s="5" t="s">
        <v>81</v>
      </c>
      <c r="E5" s="5" t="s">
        <v>76</v>
      </c>
      <c r="F5" s="5" t="s">
        <v>77</v>
      </c>
      <c r="G5" s="5" t="s">
        <v>77</v>
      </c>
      <c r="H5" s="5" t="s">
        <v>77</v>
      </c>
    </row>
    <row r="6" spans="1:8" x14ac:dyDescent="0.25">
      <c r="A6" s="5" t="s">
        <v>78</v>
      </c>
      <c r="B6" s="5" t="s">
        <v>79</v>
      </c>
      <c r="C6" s="5" t="s">
        <v>80</v>
      </c>
      <c r="D6" s="5" t="s">
        <v>86</v>
      </c>
      <c r="E6" s="5" t="s">
        <v>82</v>
      </c>
      <c r="F6" s="5" t="s">
        <v>83</v>
      </c>
      <c r="G6" s="5" t="s">
        <v>83</v>
      </c>
      <c r="H6" s="5" t="s">
        <v>83</v>
      </c>
    </row>
    <row r="7" spans="1:8" x14ac:dyDescent="0.25">
      <c r="A7" s="5"/>
      <c r="B7" s="5" t="s">
        <v>84</v>
      </c>
      <c r="C7" s="5" t="s">
        <v>85</v>
      </c>
      <c r="D7" s="5"/>
      <c r="E7" s="5" t="s">
        <v>87</v>
      </c>
      <c r="F7" s="5" t="s">
        <v>88</v>
      </c>
      <c r="G7" s="5" t="s">
        <v>88</v>
      </c>
      <c r="H7" s="5" t="s">
        <v>88</v>
      </c>
    </row>
    <row r="8" spans="1:8" x14ac:dyDescent="0.25">
      <c r="A8" s="5"/>
      <c r="B8" s="5"/>
      <c r="C8" s="5"/>
      <c r="D8" s="5"/>
      <c r="E8" s="5" t="s">
        <v>89</v>
      </c>
      <c r="F8" s="5" t="s">
        <v>90</v>
      </c>
      <c r="G8" s="5" t="s">
        <v>90</v>
      </c>
      <c r="H8" s="5" t="s">
        <v>90</v>
      </c>
    </row>
    <row r="9" spans="1:8" x14ac:dyDescent="0.25">
      <c r="A9" s="5"/>
      <c r="B9" s="5"/>
      <c r="C9" s="5"/>
      <c r="D9" s="5"/>
      <c r="E9" s="5" t="s">
        <v>91</v>
      </c>
      <c r="F9" s="5" t="s">
        <v>92</v>
      </c>
      <c r="G9" s="5" t="s">
        <v>92</v>
      </c>
      <c r="H9" s="5" t="s">
        <v>92</v>
      </c>
    </row>
    <row r="10" spans="1:8" x14ac:dyDescent="0.25">
      <c r="A10" s="5"/>
      <c r="B10" s="5"/>
      <c r="C10" s="5"/>
      <c r="D10" s="5"/>
      <c r="E10" s="5" t="s">
        <v>93</v>
      </c>
      <c r="F10" s="5" t="s">
        <v>94</v>
      </c>
      <c r="G10" s="5" t="s">
        <v>94</v>
      </c>
      <c r="H10" s="5" t="s">
        <v>94</v>
      </c>
    </row>
    <row r="11" spans="1:8" x14ac:dyDescent="0.25">
      <c r="A11" s="5"/>
      <c r="B11" s="5"/>
      <c r="C11" s="5"/>
      <c r="D11" s="5"/>
      <c r="E11" s="5" t="s">
        <v>95</v>
      </c>
      <c r="F11" s="5" t="s">
        <v>96</v>
      </c>
      <c r="G11" s="5" t="s">
        <v>96</v>
      </c>
      <c r="H11" s="5" t="s">
        <v>96</v>
      </c>
    </row>
    <row r="12" spans="1:8" x14ac:dyDescent="0.25">
      <c r="A12" s="5"/>
      <c r="B12" s="5"/>
      <c r="C12" s="5"/>
      <c r="D12" s="5"/>
      <c r="E12" s="5" t="s">
        <v>97</v>
      </c>
      <c r="F12" s="5" t="s">
        <v>98</v>
      </c>
      <c r="G12" s="5" t="s">
        <v>98</v>
      </c>
      <c r="H12" s="5" t="s">
        <v>98</v>
      </c>
    </row>
    <row r="13" spans="1:8" x14ac:dyDescent="0.25">
      <c r="A13" s="5"/>
      <c r="B13" s="5"/>
      <c r="C13" s="5"/>
      <c r="D13" s="5"/>
      <c r="E13" s="5" t="s">
        <v>99</v>
      </c>
      <c r="F13" s="5" t="s">
        <v>100</v>
      </c>
      <c r="G13" s="5" t="s">
        <v>100</v>
      </c>
      <c r="H13" s="5" t="s">
        <v>100</v>
      </c>
    </row>
  </sheetData>
  <autoFilter ref="A4:H4" xr:uid="{00000000-0009-0000-0000-000006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Customers</vt:lpstr>
      <vt:lpstr>Products</vt:lpstr>
      <vt:lpstr>Orders</vt:lpstr>
      <vt:lpstr>JobChangeTypes</vt:lpstr>
      <vt:lpstr>Lines</vt:lpstr>
      <vt:lpstr>Shifts</vt:lpstr>
      <vt:lpstr>Crew</vt:lpstr>
      <vt:lpstr>CaseName</vt:lpstr>
      <vt:lpstr>ReworkStatus</vt:lpstr>
      <vt:lpstr>DefectName</vt:lpstr>
      <vt:lpstr>HE_DowntimeReason</vt:lpstr>
      <vt:lpstr>CE_LossesReason</vt:lpstr>
      <vt:lpstr>PalletizerReason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2026-08-03T06:33:39Z</dcterms:modified>
</cp:coreProperties>
</file>