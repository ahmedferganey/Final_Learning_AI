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58" documentId="11_6617FB8648B04D932AA023040F519DBDC31ED2A5" xr6:coauthVersionLast="47" xr6:coauthVersionMax="47" xr10:uidLastSave="{786FF88C-D1F2-4C17-A3D3-F700D3B8F862}"/>
  <bookViews>
    <workbookView xWindow="-120" yWindow="-120" windowWidth="29040" windowHeight="15720" activeTab="1" xr2:uid="{00000000-000D-0000-FFFF-FFFF00000000}"/>
  </bookViews>
  <sheets>
    <sheet name="Instructions" sheetId="1" r:id="rId1"/>
    <sheet name="Production" sheetId="2" r:id="rId2"/>
  </sheets>
  <definedNames>
    <definedName name="_xlnm._FilterDatabase" localSheetId="1" hidden="1">Production!$A$4:$Q$4</definedName>
  </definedNames>
  <calcPr calcId="191029"/>
</workbook>
</file>

<file path=xl/calcChain.xml><?xml version="1.0" encoding="utf-8"?>
<calcChain xmlns="http://schemas.openxmlformats.org/spreadsheetml/2006/main">
  <c r="K5" i="2" l="1"/>
  <c r="M5" i="2" s="1"/>
  <c r="H5" i="2"/>
</calcChain>
</file>

<file path=xl/sharedStrings.xml><?xml version="1.0" encoding="utf-8"?>
<sst xmlns="http://schemas.openxmlformats.org/spreadsheetml/2006/main" count="31" uniqueCount="31">
  <si>
    <t>DAILY PRODUCTION — Instructions</t>
  </si>
  <si>
    <t>Who enters data: Production Supervisors / Shift Leaders</t>
  </si>
  <si>
    <t>Grain: One row = one Line + one Date + one Shift</t>
  </si>
  <si>
    <t>OrderNumber must exist in MasterData → Orders</t>
  </si>
  <si>
    <t>CaseName: Normal (standard production), Trial, or Reworking</t>
  </si>
  <si>
    <t>KANDIL GLASS — DAILY PRODUCTION ENTRY</t>
  </si>
  <si>
    <t>One row per Line + Date + Shift. Maps to STG_PRODUCTION → FACT_PRODUCTION</t>
  </si>
  <si>
    <t>Yellow = Dropdown | Green = Date | Light blue = Numbers. ActualPack / Reject / Resort / Hold should match the same shift in LossesAndOutput.</t>
  </si>
  <si>
    <t>FactoryCode</t>
  </si>
  <si>
    <t>LineNumber</t>
  </si>
  <si>
    <t>EventDate</t>
  </si>
  <si>
    <t>ShiftCode</t>
  </si>
  <si>
    <t>CrewCode</t>
  </si>
  <si>
    <t>OrderNumber</t>
  </si>
  <si>
    <t>CaseName</t>
  </si>
  <si>
    <t>DesignedCutsPerHour</t>
  </si>
  <si>
    <t>ActualPack</t>
  </si>
  <si>
    <t>TotalReject</t>
  </si>
  <si>
    <t>TotalHold</t>
  </si>
  <si>
    <t>KG01</t>
  </si>
  <si>
    <t>2026-07-28</t>
  </si>
  <si>
    <t>AM</t>
  </si>
  <si>
    <t>A</t>
  </si>
  <si>
    <t>ORD-2026-00146</t>
  </si>
  <si>
    <t>Normal</t>
  </si>
  <si>
    <t>Fixed Reject</t>
  </si>
  <si>
    <t>Working Hours</t>
  </si>
  <si>
    <t>DesignOutput</t>
  </si>
  <si>
    <t>NoCavities</t>
  </si>
  <si>
    <t>NoSections</t>
  </si>
  <si>
    <t>DesignedCyclesPerMin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</si>
</sst>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4" fontId="5" fillId="5" borderId="1" xfId="0" applyNumberFormat="1" applyFont="1" applyFill="1" applyBorder="1"/>
    <xf numFmtId="0" fontId="3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I26" sqref="I26"/>
    </sheetView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Q5"/>
  <sheetViews>
    <sheetView tabSelected="1" topLeftCell="C1" workbookViewId="0">
      <pane ySplit="4" topLeftCell="A5" activePane="bottomLeft" state="frozen"/>
      <selection pane="bottomLeft" activeCell="P15" sqref="P15"/>
    </sheetView>
  </sheetViews>
  <sheetFormatPr defaultRowHeight="15" x14ac:dyDescent="0.25"/>
  <cols>
    <col min="1" max="1" width="18" customWidth="1"/>
    <col min="2" max="2" width="15.85546875" bestFit="1" customWidth="1"/>
    <col min="3" max="5" width="12" customWidth="1"/>
    <col min="6" max="6" width="16" customWidth="1"/>
    <col min="7" max="7" width="12" customWidth="1"/>
    <col min="8" max="8" width="25.42578125" bestFit="1" customWidth="1"/>
    <col min="9" max="9" width="25.42578125" customWidth="1"/>
    <col min="10" max="10" width="29.7109375" bestFit="1" customWidth="1"/>
    <col min="11" max="12" width="25.42578125" customWidth="1"/>
    <col min="13" max="13" width="15.42578125" customWidth="1"/>
    <col min="14" max="14" width="12" customWidth="1"/>
    <col min="15" max="15" width="16.85546875" customWidth="1"/>
    <col min="16" max="16" width="13" customWidth="1"/>
    <col min="17" max="17" width="12" customWidth="1"/>
  </cols>
  <sheetData>
    <row r="1" spans="1:17" ht="21.95" customHeight="1" x14ac:dyDescent="0.25">
      <c r="A1" s="11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8" customHeight="1" x14ac:dyDescent="0.25">
      <c r="A2" s="9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25">
      <c r="A3" s="3" t="s">
        <v>7</v>
      </c>
    </row>
    <row r="4" spans="1:17" ht="35.1" customHeight="1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29</v>
      </c>
      <c r="I4" s="4" t="s">
        <v>28</v>
      </c>
      <c r="J4" s="4" t="s">
        <v>30</v>
      </c>
      <c r="K4" s="4" t="s">
        <v>15</v>
      </c>
      <c r="L4" s="4" t="s">
        <v>26</v>
      </c>
      <c r="M4" s="4" t="s">
        <v>27</v>
      </c>
      <c r="N4" s="4" t="s">
        <v>16</v>
      </c>
      <c r="O4" s="4" t="s">
        <v>25</v>
      </c>
      <c r="P4" s="4" t="s">
        <v>17</v>
      </c>
      <c r="Q4" s="4" t="s">
        <v>18</v>
      </c>
    </row>
    <row r="5" spans="1:17" x14ac:dyDescent="0.25">
      <c r="A5" s="5" t="s">
        <v>19</v>
      </c>
      <c r="B5" s="5">
        <v>21</v>
      </c>
      <c r="C5" s="6" t="s">
        <v>20</v>
      </c>
      <c r="D5" s="5" t="s">
        <v>21</v>
      </c>
      <c r="E5" s="5" t="s">
        <v>22</v>
      </c>
      <c r="F5" s="7" t="s">
        <v>23</v>
      </c>
      <c r="G5" s="5" t="s">
        <v>24</v>
      </c>
      <c r="H5" s="8">
        <f>10*1</f>
        <v>10</v>
      </c>
      <c r="I5" s="8">
        <v>3</v>
      </c>
      <c r="J5" s="8">
        <v>10</v>
      </c>
      <c r="K5" s="8">
        <f>H5*I5*J5</f>
        <v>300</v>
      </c>
      <c r="L5" s="8">
        <v>100</v>
      </c>
      <c r="M5" s="8">
        <f>L5*K5</f>
        <v>30000</v>
      </c>
      <c r="N5" s="8">
        <v>28500</v>
      </c>
      <c r="O5" s="8"/>
      <c r="P5" s="8">
        <v>450</v>
      </c>
      <c r="Q5" s="8">
        <v>80</v>
      </c>
    </row>
  </sheetData>
  <autoFilter ref="A4:Q4" xr:uid="{00000000-0009-0000-0000-000001000000}"/>
  <mergeCells count="2">
    <mergeCell ref="A2:Q2"/>
    <mergeCell ref="A1:Q1"/>
  </mergeCells>
  <dataValidations count="5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E5:E2000" xr:uid="{00000000-0002-0000-0100-000002000000}">
      <formula1>"A,B,C"</formula1>
    </dataValidation>
    <dataValidation type="list" allowBlank="1" sqref="G5:G2000" xr:uid="{00000000-0002-0000-0100-000003000000}">
      <formula1>"Normal,Trial,Reworking"</formula1>
    </dataValidation>
    <dataValidation type="list" allowBlank="1" sqref="B5:B2000" xr:uid="{00000000-0002-0000-0100-000004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2026-07-29T08:38:00Z</dcterms:created>
  <dcterms:modified xsi:type="dcterms:W3CDTF">2026-08-02T09:20:19Z</dcterms:modified>
</cp:coreProperties>
</file>