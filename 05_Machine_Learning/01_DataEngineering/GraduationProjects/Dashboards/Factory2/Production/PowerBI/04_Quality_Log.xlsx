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amplingDefectLog" sheetId="2" state="visible" r:id="rId4"/>
    <sheet name="Rewor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<sst xmlns="http://schemas.openxmlformats.org/spreadsheetml/2006/main" count="10217" uniqueCount="203">
  <si>
    <t xml:space="preserve">QUALITY LOG — Instructions</t>
  </si>
  <si>
    <t xml:space="preserve">Owner: Quality team</t>
  </si>
  <si>
    <t xml:space="preserve">Sheets: SamplingDefectLog (hourly) + Rework</t>
  </si>
  <si>
    <t xml:space="preserve">Defect Rate % = Quantity / TotalSamples (calculated downstream, not in Excel)</t>
  </si>
  <si>
    <t xml:space="preserve">Save as 04_Quality_Log_YYYYMMDD.xlsx into the OneDrive Daily folder</t>
  </si>
  <si>
    <t xml:space="preserve">Dataset note: one-week subset (2025-10-20 to 2025-10-26); sample and rework business rules remain preserved.</t>
  </si>
  <si>
    <t xml:space="preserve">QA EXTENSION</t>
  </si>
  <si>
    <t xml:space="preserve">SamplingDefectLog adds record ID, sample/defect quantity checks and hour-range checks.</t>
  </si>
  <si>
    <t xml:space="preserve">Rework adds calculated ReworkedUnits, stable record ID and quantity checks.</t>
  </si>
  <si>
    <t xml:space="preserve">Original source columns are retained unchanged for Power BI compatibility.</t>
  </si>
  <si>
    <t xml:space="preserve">SAMPLING DEFECT LOG (HOURLY)</t>
  </si>
  <si>
    <t xml:space="preserve">Maps to STG_SAMPLINGDEFECTLOG → FACT_DEFECTSAMPLING</t>
  </si>
  <si>
    <t xml:space="preserve">One row = Line + Date + Order + Hour + Defect. HourNumber = 0 to 23.</t>
  </si>
  <si>
    <t xml:space="preserve">FactoryCode</t>
  </si>
  <si>
    <t xml:space="preserve">LineNumber</t>
  </si>
  <si>
    <t xml:space="preserve">EventDate</t>
  </si>
  <si>
    <t xml:space="preserve">OrderNumber</t>
  </si>
  <si>
    <t xml:space="preserve">HourNumber</t>
  </si>
  <si>
    <t xml:space="preserve">ShiftCode</t>
  </si>
  <si>
    <t xml:space="preserve">TotalSamples</t>
  </si>
  <si>
    <t xml:space="preserve">DefectName</t>
  </si>
  <si>
    <t xml:space="preserve">Quantity</t>
  </si>
  <si>
    <t xml:space="preserve">SamplingRecordID</t>
  </si>
  <si>
    <t xml:space="preserve">QuantityCheck</t>
  </si>
  <si>
    <t xml:space="preserve">HourCheck</t>
  </si>
  <si>
    <t xml:space="preserve">DataQualityCheck</t>
  </si>
  <si>
    <t xml:space="preserve">KG01</t>
  </si>
  <si>
    <t xml:space="preserve">ORD-2025-00019</t>
  </si>
  <si>
    <t xml:space="preserve">AM</t>
  </si>
  <si>
    <t xml:space="preserve">Choke Neck</t>
  </si>
  <si>
    <t xml:space="preserve">Overpress</t>
  </si>
  <si>
    <t xml:space="preserve">PM</t>
  </si>
  <si>
    <t xml:space="preserve">ORD-2025-00020</t>
  </si>
  <si>
    <t xml:space="preserve">Distortion</t>
  </si>
  <si>
    <t xml:space="preserve">Thin Wall</t>
  </si>
  <si>
    <t xml:space="preserve">Stone</t>
  </si>
  <si>
    <t xml:space="preserve">Blister</t>
  </si>
  <si>
    <t xml:space="preserve">Bird Swing</t>
  </si>
  <si>
    <t xml:space="preserve">Crack</t>
  </si>
  <si>
    <t xml:space="preserve">ORD-2025-00021</t>
  </si>
  <si>
    <t xml:space="preserve">ORD-2025-00056</t>
  </si>
  <si>
    <t xml:space="preserve">Chip</t>
  </si>
  <si>
    <t xml:space="preserve">ORD-2025-00057</t>
  </si>
  <si>
    <t xml:space="preserve">ORD-2025-00058</t>
  </si>
  <si>
    <t xml:space="preserve">ORD-2025-00092</t>
  </si>
  <si>
    <t xml:space="preserve">ORD-2025-00093</t>
  </si>
  <si>
    <t xml:space="preserve">ORD-2025-00094</t>
  </si>
  <si>
    <t xml:space="preserve">ORD-2025-00124</t>
  </si>
  <si>
    <t xml:space="preserve">ORD-2025-00125</t>
  </si>
  <si>
    <t xml:space="preserve">ORD-2025-00126</t>
  </si>
  <si>
    <t xml:space="preserve">ORD-2025-00161</t>
  </si>
  <si>
    <t xml:space="preserve">ORD-2025-00162</t>
  </si>
  <si>
    <t xml:space="preserve">ORD-2025-00163</t>
  </si>
  <si>
    <t xml:space="preserve">ORD-2025-00164</t>
  </si>
  <si>
    <t xml:space="preserve">ORD-2025-00165</t>
  </si>
  <si>
    <t xml:space="preserve">ORD-2025-00166</t>
  </si>
  <si>
    <t xml:space="preserve">ORD-2025-00167</t>
  </si>
  <si>
    <t xml:space="preserve">ORD-2025-00168</t>
  </si>
  <si>
    <t xml:space="preserve">ORD-2025-00169</t>
  </si>
  <si>
    <t xml:space="preserve">ORD-2025-00170</t>
  </si>
  <si>
    <t xml:space="preserve">ORD-2025-00171</t>
  </si>
  <si>
    <t xml:space="preserve">ORD-2025-00172</t>
  </si>
  <si>
    <t xml:space="preserve">ORD-2025-00173</t>
  </si>
  <si>
    <t xml:space="preserve">ORD-2025-00174</t>
  </si>
  <si>
    <t xml:space="preserve">ORD-2025-00175</t>
  </si>
  <si>
    <t xml:space="preserve">ORD-2025-00176</t>
  </si>
  <si>
    <t xml:space="preserve">ORD-2025-00177</t>
  </si>
  <si>
    <t xml:space="preserve">ORD-2025-00178</t>
  </si>
  <si>
    <t xml:space="preserve">ORD-2025-00179</t>
  </si>
  <si>
    <t xml:space="preserve">ORD-2025-00180</t>
  </si>
  <si>
    <t xml:space="preserve">ORD-2025-00181</t>
  </si>
  <si>
    <t xml:space="preserve">ORD-2025-00182</t>
  </si>
  <si>
    <t xml:space="preserve">ORD-2025-00183</t>
  </si>
  <si>
    <t xml:space="preserve">ORD-2025-00184</t>
  </si>
  <si>
    <t xml:space="preserve">ORD-2025-00185</t>
  </si>
  <si>
    <t xml:space="preserve">ORD-2025-00186</t>
  </si>
  <si>
    <t xml:space="preserve">ORD-2025-00187</t>
  </si>
  <si>
    <t xml:space="preserve">ORD-2025-00188</t>
  </si>
  <si>
    <t xml:space="preserve">ORD-2025-00189</t>
  </si>
  <si>
    <t xml:space="preserve">ORD-2025-00190</t>
  </si>
  <si>
    <t xml:space="preserve">ORD-2025-00191</t>
  </si>
  <si>
    <t xml:space="preserve">ORD-2025-00192</t>
  </si>
  <si>
    <t xml:space="preserve">ORD-2025-00193</t>
  </si>
  <si>
    <t xml:space="preserve">ORD-2025-00194</t>
  </si>
  <si>
    <t xml:space="preserve">ORD-2025-00195</t>
  </si>
  <si>
    <t xml:space="preserve">ORD-2025-00196</t>
  </si>
  <si>
    <t xml:space="preserve">ORD-2025-00197</t>
  </si>
  <si>
    <t xml:space="preserve">ORD-2025-00198</t>
  </si>
  <si>
    <t xml:space="preserve">ORD-2025-00199</t>
  </si>
  <si>
    <t xml:space="preserve">ORD-2025-00200</t>
  </si>
  <si>
    <t xml:space="preserve">ORD-2025-00201</t>
  </si>
  <si>
    <t xml:space="preserve">ORD-2025-00202</t>
  </si>
  <si>
    <t xml:space="preserve">ORD-2025-00203</t>
  </si>
  <si>
    <t xml:space="preserve">ORD-2025-00204</t>
  </si>
  <si>
    <t xml:space="preserve">ORD-2025-00205</t>
  </si>
  <si>
    <t xml:space="preserve">ORD-2025-00206</t>
  </si>
  <si>
    <t xml:space="preserve">ORD-2025-00207</t>
  </si>
  <si>
    <t xml:space="preserve">ORD-2025-00208</t>
  </si>
  <si>
    <t xml:space="preserve">ORD-2025-00209</t>
  </si>
  <si>
    <t xml:space="preserve">ORD-2025-00210</t>
  </si>
  <si>
    <t xml:space="preserve">ORD-2025-00211</t>
  </si>
  <si>
    <t xml:space="preserve">ORD-2025-00212</t>
  </si>
  <si>
    <t xml:space="preserve">ORD-2025-00213</t>
  </si>
  <si>
    <t xml:space="preserve">ORD-2025-00214</t>
  </si>
  <si>
    <t xml:space="preserve">ORD-2025-00215</t>
  </si>
  <si>
    <t xml:space="preserve">ORD-2025-00216</t>
  </si>
  <si>
    <t xml:space="preserve">ORD-2025-00217</t>
  </si>
  <si>
    <t xml:space="preserve">ORD-2025-00218</t>
  </si>
  <si>
    <t xml:space="preserve">ORD-2025-00219</t>
  </si>
  <si>
    <t xml:space="preserve">ORD-2025-00220</t>
  </si>
  <si>
    <t xml:space="preserve">ORD-2025-00221</t>
  </si>
  <si>
    <t xml:space="preserve">ORD-2025-00222</t>
  </si>
  <si>
    <t xml:space="preserve">ORD-2025-00223</t>
  </si>
  <si>
    <t xml:space="preserve">ORD-2025-00224</t>
  </si>
  <si>
    <t xml:space="preserve">ORD-2025-00225</t>
  </si>
  <si>
    <t xml:space="preserve">ORD-2025-00226</t>
  </si>
  <si>
    <t xml:space="preserve">ORD-2025-00227</t>
  </si>
  <si>
    <t xml:space="preserve">ORD-2025-00228</t>
  </si>
  <si>
    <t xml:space="preserve">ORD-2025-00229</t>
  </si>
  <si>
    <t xml:space="preserve">ORD-2025-00230</t>
  </si>
  <si>
    <t xml:space="preserve">ORD-2025-00231</t>
  </si>
  <si>
    <t xml:space="preserve">ORD-2025-00232</t>
  </si>
  <si>
    <t xml:space="preserve">ORD-2025-00233</t>
  </si>
  <si>
    <t xml:space="preserve">ORD-2025-00234</t>
  </si>
  <si>
    <t xml:space="preserve">ORD-2025-00235</t>
  </si>
  <si>
    <t xml:space="preserve">ORD-2025-00236</t>
  </si>
  <si>
    <t xml:space="preserve">ORD-2025-00237</t>
  </si>
  <si>
    <t xml:space="preserve">ORD-2025-00238</t>
  </si>
  <si>
    <t xml:space="preserve">ORD-2025-00239</t>
  </si>
  <si>
    <t xml:space="preserve">ORD-2025-00240</t>
  </si>
  <si>
    <t xml:space="preserve">ORD-2025-00241</t>
  </si>
  <si>
    <t xml:space="preserve">ORD-2025-00242</t>
  </si>
  <si>
    <t xml:space="preserve">ORD-2025-00243</t>
  </si>
  <si>
    <t xml:space="preserve">ORD-2025-00244</t>
  </si>
  <si>
    <t xml:space="preserve">ORD-2025-00245</t>
  </si>
  <si>
    <t xml:space="preserve">ORD-2025-00246</t>
  </si>
  <si>
    <t xml:space="preserve">ORD-2025-00247</t>
  </si>
  <si>
    <t xml:space="preserve">ORD-2025-00248</t>
  </si>
  <si>
    <t xml:space="preserve">ORD-2025-00249</t>
  </si>
  <si>
    <t xml:space="preserve">ORD-2025-00250</t>
  </si>
  <si>
    <t xml:space="preserve">ORD-2025-00251</t>
  </si>
  <si>
    <t xml:space="preserve">ORD-2025-00252</t>
  </si>
  <si>
    <t xml:space="preserve">ORD-2025-00253</t>
  </si>
  <si>
    <t xml:space="preserve">ORD-2025-00254</t>
  </si>
  <si>
    <t xml:space="preserve">ORD-2025-00255</t>
  </si>
  <si>
    <t xml:space="preserve">ORD-2025-00256</t>
  </si>
  <si>
    <t xml:space="preserve">ORD-2025-00257</t>
  </si>
  <si>
    <t xml:space="preserve">ORD-2025-00258</t>
  </si>
  <si>
    <t xml:space="preserve">ORD-2025-00259</t>
  </si>
  <si>
    <t xml:space="preserve">ORD-2025-00260</t>
  </si>
  <si>
    <t xml:space="preserve">ORD-2025-00261</t>
  </si>
  <si>
    <t xml:space="preserve">ORD-2025-00262</t>
  </si>
  <si>
    <t xml:space="preserve">ORD-2025-00263</t>
  </si>
  <si>
    <t xml:space="preserve">ORD-2025-00264</t>
  </si>
  <si>
    <t xml:space="preserve">ORD-2025-00265</t>
  </si>
  <si>
    <t xml:space="preserve">ORD-2025-00266</t>
  </si>
  <si>
    <t xml:space="preserve">ORD-2025-00267</t>
  </si>
  <si>
    <t xml:space="preserve">ORD-2025-00268</t>
  </si>
  <si>
    <t xml:space="preserve">ORD-2025-00269</t>
  </si>
  <si>
    <t xml:space="preserve">ORD-2025-00270</t>
  </si>
  <si>
    <t xml:space="preserve">ORD-2025-00271</t>
  </si>
  <si>
    <t xml:space="preserve">ORD-2025-00272</t>
  </si>
  <si>
    <t xml:space="preserve">ORD-2025-00273</t>
  </si>
  <si>
    <t xml:space="preserve">ORD-2025-00274</t>
  </si>
  <si>
    <t xml:space="preserve">ORD-2025-00275</t>
  </si>
  <si>
    <t xml:space="preserve">ORD-2025-00276</t>
  </si>
  <si>
    <t xml:space="preserve">ORD-2025-00277</t>
  </si>
  <si>
    <t xml:space="preserve">ORD-2025-00278</t>
  </si>
  <si>
    <t xml:space="preserve">ORD-2025-00279</t>
  </si>
  <si>
    <t xml:space="preserve">ORD-2025-00280</t>
  </si>
  <si>
    <t xml:space="preserve">ORD-2025-00281</t>
  </si>
  <si>
    <t xml:space="preserve">ORD-2025-00282</t>
  </si>
  <si>
    <t xml:space="preserve">ORD-2025-00283</t>
  </si>
  <si>
    <t xml:space="preserve">ORD-2025-00284</t>
  </si>
  <si>
    <t xml:space="preserve">ORD-2025-00285</t>
  </si>
  <si>
    <t xml:space="preserve">ORD-2025-00286</t>
  </si>
  <si>
    <t xml:space="preserve">ORD-2025-00287</t>
  </si>
  <si>
    <t xml:space="preserve">ORD-2025-00288</t>
  </si>
  <si>
    <t xml:space="preserve">ORD-2025-00289</t>
  </si>
  <si>
    <t xml:space="preserve">ORD-2025-00290</t>
  </si>
  <si>
    <t xml:space="preserve">ORD-2025-00291</t>
  </si>
  <si>
    <t xml:space="preserve">ORD-2025-00292</t>
  </si>
  <si>
    <t xml:space="preserve">ORD-2025-00293</t>
  </si>
  <si>
    <t xml:space="preserve">ORD-2025-00294</t>
  </si>
  <si>
    <t xml:space="preserve">ORD-2025-00295</t>
  </si>
  <si>
    <t xml:space="preserve">ORD-2025-00296</t>
  </si>
  <si>
    <t xml:space="preserve">ORD-2025-00297</t>
  </si>
  <si>
    <t xml:space="preserve">ORD-2025-00298</t>
  </si>
  <si>
    <t xml:space="preserve">ORD-2025-00299</t>
  </si>
  <si>
    <t xml:space="preserve">ORD-2025-00300</t>
  </si>
  <si>
    <t xml:space="preserve">ORD-2025-00301</t>
  </si>
  <si>
    <t xml:space="preserve">ORD-2025-00302</t>
  </si>
  <si>
    <t xml:space="preserve">ORD-2025-00303</t>
  </si>
  <si>
    <t xml:space="preserve">REWORK LOG</t>
  </si>
  <si>
    <t xml:space="preserve">Maps to STG_REWORK → FACT_REWORK</t>
  </si>
  <si>
    <t xml:space="preserve">ReworkedUnits = PalletsCount × ArticlesPerPallet (calculated in DWH).</t>
  </si>
  <si>
    <t xml:space="preserve">ReworkStatusName</t>
  </si>
  <si>
    <t xml:space="preserve">PalletsCount</t>
  </si>
  <si>
    <t xml:space="preserve">ArticlesPerPallet</t>
  </si>
  <si>
    <t xml:space="preserve">ReworkedUnits</t>
  </si>
  <si>
    <t xml:space="preserve">ReworkRecordID</t>
  </si>
  <si>
    <t xml:space="preserve">Move to Cullet</t>
  </si>
  <si>
    <t xml:space="preserve">Resorted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</si>
</sst>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C00000"/>
      <name val="Calibri"/>
      <family val="0"/>
      <charset val="1"/>
    </font>
    <font>
      <i val="true"/>
      <sz val="11"/>
      <color rgb="FF666666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02326"/>
        <bgColor rgb="FF303438"/>
      </patternFill>
    </fill>
    <fill>
      <patternFill patternType="solid">
        <fgColor rgb="FF303438"/>
        <bgColor rgb="FF202326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DEBF7"/>
      </patternFill>
    </fill>
    <fill>
      <patternFill patternType="solid">
        <fgColor rgb="FFDDEBF7"/>
        <bgColor rgb="FFE2F0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02326"/>
          <bgColor rgb="FF000000"/>
        </patternFill>
      </fill>
    </dxf>
    <dxf>
      <fill>
        <patternFill patternType="solid">
          <fgColor rgb="FF30343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DDEBF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02326"/>
      <rgbColor rgb="FF993300"/>
      <rgbColor rgb="FF993366"/>
      <rgbColor rgb="FF1F4E78"/>
      <rgbColor rgb="FF3034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work_Fact" displayName="Rework_Fact" ref="A4:L22" headerRowCount="1" totalsRowCount="0" totalsRowShown="0">
  <tableColumns count="12">
    <tableColumn id="1" name="FactoryCode"/>
    <tableColumn id="2" name="LineNumber"/>
    <tableColumn id="3" name="EventDate"/>
    <tableColumn id="4" name="ShiftCode"/>
    <tableColumn id="5" name="OrderNumber"/>
    <tableColumn id="6" name="ReworkStatusName"/>
    <tableColumn id="7" name="PalletsCount"/>
    <tableColumn id="8" name="ArticlesPerPallet"/>
    <tableColumn id="9" name="ReworkedUnits"/>
    <tableColumn id="10" name="QuantityCheck"/>
    <tableColumn id="11" name="ReworkRecordID"/>
    <tableColumn id="12" name="DataQualityCheck"/>
  </tableColumns>
</table>
</file>

<file path=xl/tables/table2.xml><?xml version="1.0" encoding="utf-8"?>
<table xmlns="http://schemas.openxmlformats.org/spreadsheetml/2006/main" id="2" name="SamplingDefectLog_Fact" displayName="SamplingDefectLog_Fact" ref="A4:M149" headerRowCount="1" totalsRowCount="0" totalsRowShown="0">
  <tableColumns count="13">
    <tableColumn id="1" name="FactoryCode"/>
    <tableColumn id="2" name="LineNumber"/>
    <tableColumn id="3" name="EventDate"/>
    <tableColumn id="4" name="OrderNumber"/>
    <tableColumn id="5" name="HourNumber"/>
    <tableColumn id="6" name="ShiftCode"/>
    <tableColumn id="7" name="TotalSamples"/>
    <tableColumn id="8" name="DefectName"/>
    <tableColumn id="9" name="Quantity"/>
    <tableColumn id="10" name="SamplingRecordID"/>
    <tableColumn id="11" name="QuantityCheck"/>
    <tableColumn id="12" name="HourCheck"/>
    <tableColumn id="13" name="DataQualityCheck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10"/>
  </cols>
  <sheetData>
    <row r="1" customFormat="false" ht="20.25" hidden="false" customHeight="true" outlineLevel="0" collapsed="false">
      <c r="A1" s="2" t="s">
        <v>0</v>
      </c>
    </row>
    <row r="2" customFormat="false" ht="14.25" hidden="false" customHeight="true" outlineLevel="0" collapsed="false">
      <c r="A2" s="3"/>
    </row>
    <row r="3" customFormat="false" ht="14.25" hidden="false" customHeight="true" outlineLevel="0" collapsed="false">
      <c r="A3" s="3" t="s">
        <v>1</v>
      </c>
    </row>
    <row r="4" customFormat="false" ht="14.25" hidden="false" customHeight="true" outlineLevel="0" collapsed="false">
      <c r="A4" s="3"/>
    </row>
    <row r="5" customFormat="false" ht="14.25" hidden="false" customHeight="true" outlineLevel="0" collapsed="false">
      <c r="A5" s="3" t="s">
        <v>2</v>
      </c>
    </row>
    <row r="6" customFormat="false" ht="14.25" hidden="false" customHeight="true" outlineLevel="0" collapsed="false">
      <c r="A6" s="3"/>
    </row>
    <row r="7" customFormat="false" ht="14.25" hidden="false" customHeight="true" outlineLevel="0" collapsed="false">
      <c r="A7" s="3" t="s">
        <v>3</v>
      </c>
    </row>
    <row r="8" customFormat="false" ht="14.25" hidden="false" customHeight="true" outlineLevel="0" collapsed="false">
      <c r="A8" s="3"/>
    </row>
    <row r="9" customFormat="false" ht="14.25" hidden="false" customHeight="true" outlineLevel="0" collapsed="false">
      <c r="A9" s="3" t="s">
        <v>4</v>
      </c>
    </row>
    <row r="10" customFormat="false" ht="14.25" hidden="false" customHeight="true" outlineLevel="0" collapsed="false">
      <c r="A10" s="3"/>
    </row>
    <row r="11" customFormat="false" ht="14.25" hidden="false" customHeight="true" outlineLevel="0" collapsed="false">
      <c r="A11" s="3" t="s">
        <v>5</v>
      </c>
    </row>
    <row r="13" customFormat="false" ht="14.25" hidden="false" customHeight="true" outlineLevel="0" collapsed="false">
      <c r="A13" s="1" t="s">
        <v>6</v>
      </c>
    </row>
    <row r="14" customFormat="false" ht="14.25" hidden="false" customHeight="true" outlineLevel="0" collapsed="false">
      <c r="A14" s="1" t="s">
        <v>7</v>
      </c>
    </row>
    <row r="15" customFormat="false" ht="14.25" hidden="false" customHeight="true" outlineLevel="0" collapsed="false">
      <c r="A15" s="1" t="s">
        <v>8</v>
      </c>
    </row>
    <row r="16" customFormat="false" ht="14.25" hidden="false" customHeight="true" outlineLevel="0" collapsed="false">
      <c r="A16" s="1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54.25"/>
  </cols>
  <sheetData>
    <row r="1" customFormat="false" ht="18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true" outlineLevel="0" collapsed="false">
      <c r="A2" s="5" t="s">
        <v>11</v>
      </c>
    </row>
    <row r="3" customFormat="false" ht="14.25" hidden="false" customHeight="true" outlineLevel="0" collapsed="false">
      <c r="A3" s="6" t="s">
        <v>12</v>
      </c>
    </row>
    <row r="4" customFormat="false" ht="30" hidden="false" customHeight="true" outlineLevel="0" collapsed="false">
      <c r="A4" s="7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8" t="s">
        <v>22</v>
      </c>
      <c r="K4" s="8" t="s">
        <v>23</v>
      </c>
      <c r="L4" s="8" t="s">
        <v>24</v>
      </c>
      <c r="M4" s="8" t="s">
        <v>25</v>
      </c>
    </row>
    <row r="5" customFormat="false" ht="18" hidden="false" customHeight="true" outlineLevel="0" collapsed="false">
      <c r="A5" s="9" t="s">
        <v>26</v>
      </c>
      <c r="B5" s="10" t="n">
        <v>21</v>
      </c>
      <c r="C5" s="11" t="n">
        <v>45950</v>
      </c>
      <c r="D5" s="9" t="s">
        <v>27</v>
      </c>
      <c r="E5" s="12" t="n">
        <v>9</v>
      </c>
      <c r="F5" s="9" t="s">
        <v>28</v>
      </c>
      <c r="G5" s="13" t="n">
        <v>50</v>
      </c>
      <c r="H5" s="9" t="s">
        <v>29</v>
      </c>
      <c r="I5" s="13" t="n">
        <v>1</v>
      </c>
      <c r="J5" s="1" t="str">
        <f aca="false">IF(A5="","", "SAMP-"&amp;A5&amp;"-L"&amp;TEXT(B5,"00")&amp;"-"&amp;TEXT(C5,"yyyymmdd")&amp;"-"&amp;D5&amp;"-H"&amp;TEXT(E5,"00")&amp;"-"&amp;H5)</f>
        <v>SAMP-KG01-L21-20251020-ORD-2025-00019-H09-Choke Neck</v>
      </c>
      <c r="K5" s="1" t="str">
        <f aca="false">IF(A5="","",IF(AND(G5&gt;=0,I5&gt;=0,I5&lt;=G5),"OK","CHECK"))</f>
        <v>OK</v>
      </c>
      <c r="L5" s="1" t="str">
        <f aca="false">IF(A5="","",IF(AND(E5&gt;=0,E5&lt;=23),"OK","CHECK"))</f>
        <v>OK</v>
      </c>
      <c r="M5" s="1" t="str">
        <f aca="false">IF(A5="","",IF(AND(K5="OK",L5="OK"),"OK","CHECK"))</f>
        <v>OK</v>
      </c>
    </row>
    <row r="6" customFormat="false" ht="18" hidden="false" customHeight="true" outlineLevel="0" collapsed="false">
      <c r="A6" s="9" t="s">
        <v>26</v>
      </c>
      <c r="B6" s="10" t="n">
        <v>21</v>
      </c>
      <c r="C6" s="11" t="n">
        <v>45950</v>
      </c>
      <c r="D6" s="9" t="s">
        <v>27</v>
      </c>
      <c r="E6" s="12" t="n">
        <v>15</v>
      </c>
      <c r="F6" s="9" t="s">
        <v>28</v>
      </c>
      <c r="G6" s="13" t="n">
        <v>50</v>
      </c>
      <c r="H6" s="9" t="s">
        <v>30</v>
      </c>
      <c r="I6" s="13" t="n">
        <v>0</v>
      </c>
      <c r="J6" s="1" t="str">
        <f aca="false">IF(A6="","", "SAMP-"&amp;A6&amp;"-L"&amp;TEXT(B6,"00")&amp;"-"&amp;TEXT(C6,"yyyymmdd")&amp;"-"&amp;D6&amp;"-H"&amp;TEXT(E6,"00")&amp;"-"&amp;H6)</f>
        <v>SAMP-KG01-L21-20251020-ORD-2025-00019-H15-Overpress</v>
      </c>
      <c r="K6" s="1" t="str">
        <f aca="false">IF(A6="","",IF(AND(G6&gt;=0,I6&gt;=0,I6&lt;=G6),"OK","CHECK"))</f>
        <v>OK</v>
      </c>
      <c r="L6" s="1" t="str">
        <f aca="false">IF(A6="","",IF(AND(E6&gt;=0,E6&lt;=23),"OK","CHECK"))</f>
        <v>OK</v>
      </c>
      <c r="M6" s="1" t="str">
        <f aca="false">IF(A6="","",IF(AND(K6="OK",L6="OK"),"OK","CHECK"))</f>
        <v>OK</v>
      </c>
    </row>
    <row r="7" customFormat="false" ht="18" hidden="false" customHeight="true" outlineLevel="0" collapsed="false">
      <c r="A7" s="9" t="s">
        <v>26</v>
      </c>
      <c r="B7" s="10" t="n">
        <v>21</v>
      </c>
      <c r="C7" s="11" t="n">
        <v>45950</v>
      </c>
      <c r="D7" s="9" t="s">
        <v>27</v>
      </c>
      <c r="E7" s="12" t="n">
        <v>20</v>
      </c>
      <c r="F7" s="9" t="s">
        <v>31</v>
      </c>
      <c r="G7" s="13" t="n">
        <v>100</v>
      </c>
      <c r="H7" s="9" t="s">
        <v>29</v>
      </c>
      <c r="I7" s="13" t="n">
        <v>3</v>
      </c>
      <c r="J7" s="1" t="str">
        <f aca="false">IF(A7="","", "SAMP-"&amp;A7&amp;"-L"&amp;TEXT(B7,"00")&amp;"-"&amp;TEXT(C7,"yyyymmdd")&amp;"-"&amp;D7&amp;"-H"&amp;TEXT(E7,"00")&amp;"-"&amp;H7)</f>
        <v>SAMP-KG01-L21-20251020-ORD-2025-00019-H20-Choke Neck</v>
      </c>
      <c r="K7" s="1" t="str">
        <f aca="false">IF(A7="","",IF(AND(G7&gt;=0,I7&gt;=0,I7&lt;=G7),"OK","CHECK"))</f>
        <v>OK</v>
      </c>
      <c r="L7" s="1" t="str">
        <f aca="false">IF(A7="","",IF(AND(E7&gt;=0,E7&lt;=23),"OK","CHECK"))</f>
        <v>OK</v>
      </c>
      <c r="M7" s="1" t="str">
        <f aca="false">IF(A7="","",IF(AND(K7="OK",L7="OK"),"OK","CHECK"))</f>
        <v>OK</v>
      </c>
    </row>
    <row r="8" customFormat="false" ht="18" hidden="false" customHeight="true" outlineLevel="0" collapsed="false">
      <c r="A8" s="9" t="s">
        <v>26</v>
      </c>
      <c r="B8" s="10" t="n">
        <v>21</v>
      </c>
      <c r="C8" s="11" t="n">
        <v>45950</v>
      </c>
      <c r="D8" s="9" t="s">
        <v>27</v>
      </c>
      <c r="E8" s="12" t="n">
        <v>23</v>
      </c>
      <c r="F8" s="9" t="s">
        <v>31</v>
      </c>
      <c r="G8" s="13" t="n">
        <v>150</v>
      </c>
      <c r="H8" s="9" t="s">
        <v>30</v>
      </c>
      <c r="I8" s="13" t="n">
        <v>5</v>
      </c>
      <c r="J8" s="1" t="str">
        <f aca="false">IF(A8="","", "SAMP-"&amp;A8&amp;"-L"&amp;TEXT(B8,"00")&amp;"-"&amp;TEXT(C8,"yyyymmdd")&amp;"-"&amp;D8&amp;"-H"&amp;TEXT(E8,"00")&amp;"-"&amp;H8)</f>
        <v>SAMP-KG01-L21-20251020-ORD-2025-00019-H23-Overpress</v>
      </c>
      <c r="K8" s="1" t="str">
        <f aca="false">IF(A8="","",IF(AND(G8&gt;=0,I8&gt;=0,I8&lt;=G8),"OK","CHECK"))</f>
        <v>OK</v>
      </c>
      <c r="L8" s="1" t="str">
        <f aca="false">IF(A8="","",IF(AND(E8&gt;=0,E8&lt;=23),"OK","CHECK"))</f>
        <v>OK</v>
      </c>
      <c r="M8" s="1" t="str">
        <f aca="false">IF(A8="","",IF(AND(K8="OK",L8="OK"),"OK","CHECK"))</f>
        <v>OK</v>
      </c>
    </row>
    <row r="9" customFormat="false" ht="18" hidden="false" customHeight="true" outlineLevel="0" collapsed="false">
      <c r="A9" s="9" t="s">
        <v>26</v>
      </c>
      <c r="B9" s="10" t="n">
        <v>21</v>
      </c>
      <c r="C9" s="11" t="n">
        <v>45951</v>
      </c>
      <c r="D9" s="9" t="s">
        <v>32</v>
      </c>
      <c r="E9" s="12" t="n">
        <v>7</v>
      </c>
      <c r="F9" s="9" t="s">
        <v>28</v>
      </c>
      <c r="G9" s="13" t="n">
        <v>50</v>
      </c>
      <c r="H9" s="9" t="s">
        <v>33</v>
      </c>
      <c r="I9" s="13" t="n">
        <v>0</v>
      </c>
      <c r="J9" s="1" t="str">
        <f aca="false">IF(A9="","", "SAMP-"&amp;A9&amp;"-L"&amp;TEXT(B9,"00")&amp;"-"&amp;TEXT(C9,"yyyymmdd")&amp;"-"&amp;D9&amp;"-H"&amp;TEXT(E9,"00")&amp;"-"&amp;H9)</f>
        <v>SAMP-KG01-L21-20251021-ORD-2025-00020-H07-Distortion</v>
      </c>
      <c r="K9" s="1" t="str">
        <f aca="false">IF(A9="","",IF(AND(G9&gt;=0,I9&gt;=0,I9&lt;=G9),"OK","CHECK"))</f>
        <v>OK</v>
      </c>
      <c r="L9" s="1" t="str">
        <f aca="false">IF(A9="","",IF(AND(E9&gt;=0,E9&lt;=23),"OK","CHECK"))</f>
        <v>OK</v>
      </c>
      <c r="M9" s="1" t="str">
        <f aca="false">IF(A9="","",IF(AND(K9="OK",L9="OK"),"OK","CHECK"))</f>
        <v>OK</v>
      </c>
    </row>
    <row r="10" customFormat="false" ht="18" hidden="false" customHeight="true" outlineLevel="0" collapsed="false">
      <c r="A10" s="9" t="s">
        <v>26</v>
      </c>
      <c r="B10" s="10" t="n">
        <v>21</v>
      </c>
      <c r="C10" s="11" t="n">
        <v>45951</v>
      </c>
      <c r="D10" s="9" t="s">
        <v>32</v>
      </c>
      <c r="E10" s="12" t="n">
        <v>12</v>
      </c>
      <c r="F10" s="9" t="s">
        <v>28</v>
      </c>
      <c r="G10" s="13" t="n">
        <v>200</v>
      </c>
      <c r="H10" s="9" t="s">
        <v>34</v>
      </c>
      <c r="I10" s="13" t="n">
        <v>7</v>
      </c>
      <c r="J10" s="1" t="str">
        <f aca="false">IF(A10="","", "SAMP-"&amp;A10&amp;"-L"&amp;TEXT(B10,"00")&amp;"-"&amp;TEXT(C10,"yyyymmdd")&amp;"-"&amp;D10&amp;"-H"&amp;TEXT(E10,"00")&amp;"-"&amp;H10)</f>
        <v>SAMP-KG01-L21-20251021-ORD-2025-00020-H12-Thin Wall</v>
      </c>
      <c r="K10" s="1" t="str">
        <f aca="false">IF(A10="","",IF(AND(G10&gt;=0,I10&gt;=0,I10&lt;=G10),"OK","CHECK"))</f>
        <v>OK</v>
      </c>
      <c r="L10" s="1" t="str">
        <f aca="false">IF(A10="","",IF(AND(E10&gt;=0,E10&lt;=23),"OK","CHECK"))</f>
        <v>OK</v>
      </c>
      <c r="M10" s="1" t="str">
        <f aca="false">IF(A10="","",IF(AND(K10="OK",L10="OK"),"OK","CHECK"))</f>
        <v>OK</v>
      </c>
    </row>
    <row r="11" customFormat="false" ht="18" hidden="false" customHeight="true" outlineLevel="0" collapsed="false">
      <c r="A11" s="9" t="s">
        <v>26</v>
      </c>
      <c r="B11" s="10" t="n">
        <v>21</v>
      </c>
      <c r="C11" s="11" t="n">
        <v>45951</v>
      </c>
      <c r="D11" s="9" t="s">
        <v>32</v>
      </c>
      <c r="E11" s="12" t="n">
        <v>16</v>
      </c>
      <c r="F11" s="9" t="s">
        <v>28</v>
      </c>
      <c r="G11" s="13" t="n">
        <v>100</v>
      </c>
      <c r="H11" s="9" t="s">
        <v>35</v>
      </c>
      <c r="I11" s="13" t="n">
        <v>10</v>
      </c>
      <c r="J11" s="1" t="str">
        <f aca="false">IF(A11="","", "SAMP-"&amp;A11&amp;"-L"&amp;TEXT(B11,"00")&amp;"-"&amp;TEXT(C11,"yyyymmdd")&amp;"-"&amp;D11&amp;"-H"&amp;TEXT(E11,"00")&amp;"-"&amp;H11)</f>
        <v>SAMP-KG01-L21-20251021-ORD-2025-00020-H16-Stone</v>
      </c>
      <c r="K11" s="1" t="str">
        <f aca="false">IF(A11="","",IF(AND(G11&gt;=0,I11&gt;=0,I11&lt;=G11),"OK","CHECK"))</f>
        <v>OK</v>
      </c>
      <c r="L11" s="1" t="str">
        <f aca="false">IF(A11="","",IF(AND(E11&gt;=0,E11&lt;=23),"OK","CHECK"))</f>
        <v>OK</v>
      </c>
      <c r="M11" s="1" t="str">
        <f aca="false">IF(A11="","",IF(AND(K11="OK",L11="OK"),"OK","CHECK"))</f>
        <v>OK</v>
      </c>
    </row>
    <row r="12" customFormat="false" ht="18" hidden="false" customHeight="true" outlineLevel="0" collapsed="false">
      <c r="A12" s="9" t="s">
        <v>26</v>
      </c>
      <c r="B12" s="10" t="n">
        <v>21</v>
      </c>
      <c r="C12" s="11" t="n">
        <v>45951</v>
      </c>
      <c r="D12" s="9" t="s">
        <v>32</v>
      </c>
      <c r="E12" s="12" t="n">
        <v>20</v>
      </c>
      <c r="F12" s="9" t="s">
        <v>31</v>
      </c>
      <c r="G12" s="13" t="n">
        <v>200</v>
      </c>
      <c r="H12" s="9" t="s">
        <v>36</v>
      </c>
      <c r="I12" s="13" t="n">
        <v>6</v>
      </c>
      <c r="J12" s="1" t="str">
        <f aca="false">IF(A12="","", "SAMP-"&amp;A12&amp;"-L"&amp;TEXT(B12,"00")&amp;"-"&amp;TEXT(C12,"yyyymmdd")&amp;"-"&amp;D12&amp;"-H"&amp;TEXT(E12,"00")&amp;"-"&amp;H12)</f>
        <v>SAMP-KG01-L21-20251021-ORD-2025-00020-H20-Blister</v>
      </c>
      <c r="K12" s="1" t="str">
        <f aca="false">IF(A12="","",IF(AND(G12&gt;=0,I12&gt;=0,I12&lt;=G12),"OK","CHECK"))</f>
        <v>OK</v>
      </c>
      <c r="L12" s="1" t="str">
        <f aca="false">IF(A12="","",IF(AND(E12&gt;=0,E12&lt;=23),"OK","CHECK"))</f>
        <v>OK</v>
      </c>
      <c r="M12" s="1" t="str">
        <f aca="false">IF(A12="","",IF(AND(K12="OK",L12="OK"),"OK","CHECK"))</f>
        <v>OK</v>
      </c>
    </row>
    <row r="13" customFormat="false" ht="18" hidden="false" customHeight="true" outlineLevel="0" collapsed="false">
      <c r="A13" s="9" t="s">
        <v>26</v>
      </c>
      <c r="B13" s="10" t="n">
        <v>21</v>
      </c>
      <c r="C13" s="11" t="n">
        <v>45951</v>
      </c>
      <c r="D13" s="9" t="s">
        <v>32</v>
      </c>
      <c r="E13" s="12" t="n">
        <v>23</v>
      </c>
      <c r="F13" s="9" t="s">
        <v>31</v>
      </c>
      <c r="G13" s="13" t="n">
        <v>200</v>
      </c>
      <c r="H13" s="9" t="s">
        <v>30</v>
      </c>
      <c r="I13" s="13" t="n">
        <v>0</v>
      </c>
      <c r="J13" s="1" t="str">
        <f aca="false">IF(A13="","", "SAMP-"&amp;A13&amp;"-L"&amp;TEXT(B13,"00")&amp;"-"&amp;TEXT(C13,"yyyymmdd")&amp;"-"&amp;D13&amp;"-H"&amp;TEXT(E13,"00")&amp;"-"&amp;H13)</f>
        <v>SAMP-KG01-L21-20251021-ORD-2025-00020-H23-Overpress</v>
      </c>
      <c r="K13" s="1" t="str">
        <f aca="false">IF(A13="","",IF(AND(G13&gt;=0,I13&gt;=0,I13&lt;=G13),"OK","CHECK"))</f>
        <v>OK</v>
      </c>
      <c r="L13" s="1" t="str">
        <f aca="false">IF(A13="","",IF(AND(E13&gt;=0,E13&lt;=23),"OK","CHECK"))</f>
        <v>OK</v>
      </c>
      <c r="M13" s="1" t="str">
        <f aca="false">IF(A13="","",IF(AND(K13="OK",L13="OK"),"OK","CHECK"))</f>
        <v>OK</v>
      </c>
    </row>
    <row r="14" customFormat="false" ht="18" hidden="false" customHeight="true" outlineLevel="0" collapsed="false">
      <c r="A14" s="9" t="s">
        <v>26</v>
      </c>
      <c r="B14" s="10" t="n">
        <v>21</v>
      </c>
      <c r="C14" s="11" t="n">
        <v>45952</v>
      </c>
      <c r="D14" s="9" t="s">
        <v>32</v>
      </c>
      <c r="E14" s="12" t="n">
        <v>9</v>
      </c>
      <c r="F14" s="9" t="s">
        <v>28</v>
      </c>
      <c r="G14" s="13" t="n">
        <v>200</v>
      </c>
      <c r="H14" s="9" t="s">
        <v>33</v>
      </c>
      <c r="I14" s="13" t="n">
        <v>4</v>
      </c>
      <c r="J14" s="1" t="str">
        <f aca="false">IF(A14="","", "SAMP-"&amp;A14&amp;"-L"&amp;TEXT(B14,"00")&amp;"-"&amp;TEXT(C14,"yyyymmdd")&amp;"-"&amp;D14&amp;"-H"&amp;TEXT(E14,"00")&amp;"-"&amp;H14)</f>
        <v>SAMP-KG01-L21-20251022-ORD-2025-00020-H09-Distortion</v>
      </c>
      <c r="K14" s="1" t="str">
        <f aca="false">IF(A14="","",IF(AND(G14&gt;=0,I14&gt;=0,I14&lt;=G14),"OK","CHECK"))</f>
        <v>OK</v>
      </c>
      <c r="L14" s="1" t="str">
        <f aca="false">IF(A14="","",IF(AND(E14&gt;=0,E14&lt;=23),"OK","CHECK"))</f>
        <v>OK</v>
      </c>
      <c r="M14" s="1" t="str">
        <f aca="false">IF(A14="","",IF(AND(K14="OK",L14="OK"),"OK","CHECK"))</f>
        <v>OK</v>
      </c>
    </row>
    <row r="15" customFormat="false" ht="18" hidden="false" customHeight="true" outlineLevel="0" collapsed="false">
      <c r="A15" s="9" t="s">
        <v>26</v>
      </c>
      <c r="B15" s="10" t="n">
        <v>21</v>
      </c>
      <c r="C15" s="11" t="n">
        <v>45952</v>
      </c>
      <c r="D15" s="9" t="s">
        <v>32</v>
      </c>
      <c r="E15" s="12" t="n">
        <v>15</v>
      </c>
      <c r="F15" s="9" t="s">
        <v>28</v>
      </c>
      <c r="G15" s="13" t="n">
        <v>100</v>
      </c>
      <c r="H15" s="9" t="s">
        <v>30</v>
      </c>
      <c r="I15" s="13" t="n">
        <v>2</v>
      </c>
      <c r="J15" s="1" t="str">
        <f aca="false">IF(A15="","", "SAMP-"&amp;A15&amp;"-L"&amp;TEXT(B15,"00")&amp;"-"&amp;TEXT(C15,"yyyymmdd")&amp;"-"&amp;D15&amp;"-H"&amp;TEXT(E15,"00")&amp;"-"&amp;H15)</f>
        <v>SAMP-KG01-L21-20251022-ORD-2025-00020-H15-Overpress</v>
      </c>
      <c r="K15" s="1" t="str">
        <f aca="false">IF(A15="","",IF(AND(G15&gt;=0,I15&gt;=0,I15&lt;=G15),"OK","CHECK"))</f>
        <v>OK</v>
      </c>
      <c r="L15" s="1" t="str">
        <f aca="false">IF(A15="","",IF(AND(E15&gt;=0,E15&lt;=23),"OK","CHECK"))</f>
        <v>OK</v>
      </c>
      <c r="M15" s="1" t="str">
        <f aca="false">IF(A15="","",IF(AND(K15="OK",L15="OK"),"OK","CHECK"))</f>
        <v>OK</v>
      </c>
    </row>
    <row r="16" customFormat="false" ht="18" hidden="false" customHeight="true" outlineLevel="0" collapsed="false">
      <c r="A16" s="9" t="s">
        <v>26</v>
      </c>
      <c r="B16" s="10" t="n">
        <v>21</v>
      </c>
      <c r="C16" s="11" t="n">
        <v>45952</v>
      </c>
      <c r="D16" s="9" t="s">
        <v>32</v>
      </c>
      <c r="E16" s="12" t="n">
        <v>20</v>
      </c>
      <c r="F16" s="9" t="s">
        <v>31</v>
      </c>
      <c r="G16" s="13" t="n">
        <v>100</v>
      </c>
      <c r="H16" s="9" t="s">
        <v>37</v>
      </c>
      <c r="I16" s="13" t="n">
        <v>2</v>
      </c>
      <c r="J16" s="1" t="str">
        <f aca="false">IF(A16="","", "SAMP-"&amp;A16&amp;"-L"&amp;TEXT(B16,"00")&amp;"-"&amp;TEXT(C16,"yyyymmdd")&amp;"-"&amp;D16&amp;"-H"&amp;TEXT(E16,"00")&amp;"-"&amp;H16)</f>
        <v>SAMP-KG01-L21-20251022-ORD-2025-00020-H20-Bird Swing</v>
      </c>
      <c r="K16" s="1" t="str">
        <f aca="false">IF(A16="","",IF(AND(G16&gt;=0,I16&gt;=0,I16&lt;=G16),"OK","CHECK"))</f>
        <v>OK</v>
      </c>
      <c r="L16" s="1" t="str">
        <f aca="false">IF(A16="","",IF(AND(E16&gt;=0,E16&lt;=23),"OK","CHECK"))</f>
        <v>OK</v>
      </c>
      <c r="M16" s="1" t="str">
        <f aca="false">IF(A16="","",IF(AND(K16="OK",L16="OK"),"OK","CHECK"))</f>
        <v>OK</v>
      </c>
    </row>
    <row r="17" customFormat="false" ht="18" hidden="false" customHeight="true" outlineLevel="0" collapsed="false">
      <c r="A17" s="9" t="s">
        <v>26</v>
      </c>
      <c r="B17" s="10" t="n">
        <v>21</v>
      </c>
      <c r="C17" s="11" t="n">
        <v>45952</v>
      </c>
      <c r="D17" s="9" t="s">
        <v>32</v>
      </c>
      <c r="E17" s="12" t="n">
        <v>23</v>
      </c>
      <c r="F17" s="9" t="s">
        <v>31</v>
      </c>
      <c r="G17" s="13" t="n">
        <v>200</v>
      </c>
      <c r="H17" s="9" t="s">
        <v>33</v>
      </c>
      <c r="I17" s="13" t="n">
        <v>3</v>
      </c>
      <c r="J17" s="1" t="str">
        <f aca="false">IF(A17="","", "SAMP-"&amp;A17&amp;"-L"&amp;TEXT(B17,"00")&amp;"-"&amp;TEXT(C17,"yyyymmdd")&amp;"-"&amp;D17&amp;"-H"&amp;TEXT(E17,"00")&amp;"-"&amp;H17)</f>
        <v>SAMP-KG01-L21-20251022-ORD-2025-00020-H23-Distortion</v>
      </c>
      <c r="K17" s="1" t="str">
        <f aca="false">IF(A17="","",IF(AND(G17&gt;=0,I17&gt;=0,I17&lt;=G17),"OK","CHECK"))</f>
        <v>OK</v>
      </c>
      <c r="L17" s="1" t="str">
        <f aca="false">IF(A17="","",IF(AND(E17&gt;=0,E17&lt;=23),"OK","CHECK"))</f>
        <v>OK</v>
      </c>
      <c r="M17" s="1" t="str">
        <f aca="false">IF(A17="","",IF(AND(K17="OK",L17="OK"),"OK","CHECK"))</f>
        <v>OK</v>
      </c>
    </row>
    <row r="18" customFormat="false" ht="18" hidden="false" customHeight="true" outlineLevel="0" collapsed="false">
      <c r="A18" s="9" t="s">
        <v>26</v>
      </c>
      <c r="B18" s="10" t="n">
        <v>21</v>
      </c>
      <c r="C18" s="11" t="n">
        <v>45953</v>
      </c>
      <c r="D18" s="9" t="s">
        <v>32</v>
      </c>
      <c r="E18" s="12" t="n">
        <v>9</v>
      </c>
      <c r="F18" s="9" t="s">
        <v>28</v>
      </c>
      <c r="G18" s="13" t="n">
        <v>50</v>
      </c>
      <c r="H18" s="9" t="s">
        <v>38</v>
      </c>
      <c r="I18" s="13" t="n">
        <v>0</v>
      </c>
      <c r="J18" s="1" t="str">
        <f aca="false">IF(A18="","", "SAMP-"&amp;A18&amp;"-L"&amp;TEXT(B18,"00")&amp;"-"&amp;TEXT(C18,"yyyymmdd")&amp;"-"&amp;D18&amp;"-H"&amp;TEXT(E18,"00")&amp;"-"&amp;H18)</f>
        <v>SAMP-KG01-L21-20251023-ORD-2025-00020-H09-Crack</v>
      </c>
      <c r="K18" s="1" t="str">
        <f aca="false">IF(A18="","",IF(AND(G18&gt;=0,I18&gt;=0,I18&lt;=G18),"OK","CHECK"))</f>
        <v>OK</v>
      </c>
      <c r="L18" s="1" t="str">
        <f aca="false">IF(A18="","",IF(AND(E18&gt;=0,E18&lt;=23),"OK","CHECK"))</f>
        <v>OK</v>
      </c>
      <c r="M18" s="1" t="str">
        <f aca="false">IF(A18="","",IF(AND(K18="OK",L18="OK"),"OK","CHECK"))</f>
        <v>OK</v>
      </c>
    </row>
    <row r="19" customFormat="false" ht="18" hidden="false" customHeight="true" outlineLevel="0" collapsed="false">
      <c r="A19" s="9" t="s">
        <v>26</v>
      </c>
      <c r="B19" s="10" t="n">
        <v>21</v>
      </c>
      <c r="C19" s="11" t="n">
        <v>45953</v>
      </c>
      <c r="D19" s="9" t="s">
        <v>32</v>
      </c>
      <c r="E19" s="12" t="n">
        <v>15</v>
      </c>
      <c r="F19" s="9" t="s">
        <v>28</v>
      </c>
      <c r="G19" s="13" t="n">
        <v>50</v>
      </c>
      <c r="H19" s="9" t="s">
        <v>34</v>
      </c>
      <c r="I19" s="13" t="n">
        <v>2</v>
      </c>
      <c r="J19" s="1" t="str">
        <f aca="false">IF(A19="","", "SAMP-"&amp;A19&amp;"-L"&amp;TEXT(B19,"00")&amp;"-"&amp;TEXT(C19,"yyyymmdd")&amp;"-"&amp;D19&amp;"-H"&amp;TEXT(E19,"00")&amp;"-"&amp;H19)</f>
        <v>SAMP-KG01-L21-20251023-ORD-2025-00020-H15-Thin Wall</v>
      </c>
      <c r="K19" s="1" t="str">
        <f aca="false">IF(A19="","",IF(AND(G19&gt;=0,I19&gt;=0,I19&lt;=G19),"OK","CHECK"))</f>
        <v>OK</v>
      </c>
      <c r="L19" s="1" t="str">
        <f aca="false">IF(A19="","",IF(AND(E19&gt;=0,E19&lt;=23),"OK","CHECK"))</f>
        <v>OK</v>
      </c>
      <c r="M19" s="1" t="str">
        <f aca="false">IF(A19="","",IF(AND(K19="OK",L19="OK"),"OK","CHECK"))</f>
        <v>OK</v>
      </c>
    </row>
    <row r="20" customFormat="false" ht="18" hidden="false" customHeight="true" outlineLevel="0" collapsed="false">
      <c r="A20" s="9" t="s">
        <v>26</v>
      </c>
      <c r="B20" s="10" t="n">
        <v>21</v>
      </c>
      <c r="C20" s="11" t="n">
        <v>45953</v>
      </c>
      <c r="D20" s="9" t="s">
        <v>32</v>
      </c>
      <c r="E20" s="12" t="n">
        <v>20</v>
      </c>
      <c r="F20" s="9" t="s">
        <v>31</v>
      </c>
      <c r="G20" s="13" t="n">
        <v>200</v>
      </c>
      <c r="H20" s="9" t="s">
        <v>30</v>
      </c>
      <c r="I20" s="13" t="n">
        <v>1</v>
      </c>
      <c r="J20" s="1" t="str">
        <f aca="false">IF(A20="","", "SAMP-"&amp;A20&amp;"-L"&amp;TEXT(B20,"00")&amp;"-"&amp;TEXT(C20,"yyyymmdd")&amp;"-"&amp;D20&amp;"-H"&amp;TEXT(E20,"00")&amp;"-"&amp;H20)</f>
        <v>SAMP-KG01-L21-20251023-ORD-2025-00020-H20-Overpress</v>
      </c>
      <c r="K20" s="1" t="str">
        <f aca="false">IF(A20="","",IF(AND(G20&gt;=0,I20&gt;=0,I20&lt;=G20),"OK","CHECK"))</f>
        <v>OK</v>
      </c>
      <c r="L20" s="1" t="str">
        <f aca="false">IF(A20="","",IF(AND(E20&gt;=0,E20&lt;=23),"OK","CHECK"))</f>
        <v>OK</v>
      </c>
      <c r="M20" s="1" t="str">
        <f aca="false">IF(A20="","",IF(AND(K20="OK",L20="OK"),"OK","CHECK"))</f>
        <v>OK</v>
      </c>
    </row>
    <row r="21" customFormat="false" ht="18" hidden="false" customHeight="true" outlineLevel="0" collapsed="false">
      <c r="A21" s="9" t="s">
        <v>26</v>
      </c>
      <c r="B21" s="10" t="n">
        <v>21</v>
      </c>
      <c r="C21" s="11" t="n">
        <v>45953</v>
      </c>
      <c r="D21" s="9" t="s">
        <v>32</v>
      </c>
      <c r="E21" s="12" t="n">
        <v>23</v>
      </c>
      <c r="F21" s="9" t="s">
        <v>31</v>
      </c>
      <c r="G21" s="13" t="n">
        <v>200</v>
      </c>
      <c r="H21" s="9" t="s">
        <v>34</v>
      </c>
      <c r="I21" s="13" t="n">
        <v>2</v>
      </c>
      <c r="J21" s="1" t="str">
        <f aca="false">IF(A21="","", "SAMP-"&amp;A21&amp;"-L"&amp;TEXT(B21,"00")&amp;"-"&amp;TEXT(C21,"yyyymmdd")&amp;"-"&amp;D21&amp;"-H"&amp;TEXT(E21,"00")&amp;"-"&amp;H21)</f>
        <v>SAMP-KG01-L21-20251023-ORD-2025-00020-H23-Thin Wall</v>
      </c>
      <c r="K21" s="1" t="str">
        <f aca="false">IF(A21="","",IF(AND(G21&gt;=0,I21&gt;=0,I21&lt;=G21),"OK","CHECK"))</f>
        <v>OK</v>
      </c>
      <c r="L21" s="1" t="str">
        <f aca="false">IF(A21="","",IF(AND(E21&gt;=0,E21&lt;=23),"OK","CHECK"))</f>
        <v>OK</v>
      </c>
      <c r="M21" s="1" t="str">
        <f aca="false">IF(A21="","",IF(AND(K21="OK",L21="OK"),"OK","CHECK"))</f>
        <v>OK</v>
      </c>
    </row>
    <row r="22" customFormat="false" ht="18" hidden="false" customHeight="true" outlineLevel="0" collapsed="false">
      <c r="A22" s="9" t="s">
        <v>26</v>
      </c>
      <c r="B22" s="10" t="n">
        <v>21</v>
      </c>
      <c r="C22" s="11" t="n">
        <v>45954</v>
      </c>
      <c r="D22" s="9" t="s">
        <v>32</v>
      </c>
      <c r="E22" s="12" t="n">
        <v>9</v>
      </c>
      <c r="F22" s="9" t="s">
        <v>28</v>
      </c>
      <c r="G22" s="13" t="n">
        <v>200</v>
      </c>
      <c r="H22" s="9" t="s">
        <v>33</v>
      </c>
      <c r="I22" s="13" t="n">
        <v>1</v>
      </c>
      <c r="J22" s="1" t="str">
        <f aca="false">IF(A22="","", "SAMP-"&amp;A22&amp;"-L"&amp;TEXT(B22,"00")&amp;"-"&amp;TEXT(C22,"yyyymmdd")&amp;"-"&amp;D22&amp;"-H"&amp;TEXT(E22,"00")&amp;"-"&amp;H22)</f>
        <v>SAMP-KG01-L21-20251024-ORD-2025-00020-H09-Distortion</v>
      </c>
      <c r="K22" s="1" t="str">
        <f aca="false">IF(A22="","",IF(AND(G22&gt;=0,I22&gt;=0,I22&lt;=G22),"OK","CHECK"))</f>
        <v>OK</v>
      </c>
      <c r="L22" s="1" t="str">
        <f aca="false">IF(A22="","",IF(AND(E22&gt;=0,E22&lt;=23),"OK","CHECK"))</f>
        <v>OK</v>
      </c>
      <c r="M22" s="1" t="str">
        <f aca="false">IF(A22="","",IF(AND(K22="OK",L22="OK"),"OK","CHECK"))</f>
        <v>OK</v>
      </c>
    </row>
    <row r="23" customFormat="false" ht="18" hidden="false" customHeight="true" outlineLevel="0" collapsed="false">
      <c r="A23" s="9" t="s">
        <v>26</v>
      </c>
      <c r="B23" s="10" t="n">
        <v>21</v>
      </c>
      <c r="C23" s="11" t="n">
        <v>45954</v>
      </c>
      <c r="D23" s="9" t="s">
        <v>32</v>
      </c>
      <c r="E23" s="12" t="n">
        <v>15</v>
      </c>
      <c r="F23" s="9" t="s">
        <v>28</v>
      </c>
      <c r="G23" s="13" t="n">
        <v>100</v>
      </c>
      <c r="H23" s="9" t="s">
        <v>34</v>
      </c>
      <c r="I23" s="13" t="n">
        <v>0</v>
      </c>
      <c r="J23" s="1" t="str">
        <f aca="false">IF(A23="","", "SAMP-"&amp;A23&amp;"-L"&amp;TEXT(B23,"00")&amp;"-"&amp;TEXT(C23,"yyyymmdd")&amp;"-"&amp;D23&amp;"-H"&amp;TEXT(E23,"00")&amp;"-"&amp;H23)</f>
        <v>SAMP-KG01-L21-20251024-ORD-2025-00020-H15-Thin Wall</v>
      </c>
      <c r="K23" s="1" t="str">
        <f aca="false">IF(A23="","",IF(AND(G23&gt;=0,I23&gt;=0,I23&lt;=G23),"OK","CHECK"))</f>
        <v>OK</v>
      </c>
      <c r="L23" s="1" t="str">
        <f aca="false">IF(A23="","",IF(AND(E23&gt;=0,E23&lt;=23),"OK","CHECK"))</f>
        <v>OK</v>
      </c>
      <c r="M23" s="1" t="str">
        <f aca="false">IF(A23="","",IF(AND(K23="OK",L23="OK"),"OK","CHECK"))</f>
        <v>OK</v>
      </c>
    </row>
    <row r="24" customFormat="false" ht="18" hidden="false" customHeight="true" outlineLevel="0" collapsed="false">
      <c r="A24" s="9" t="s">
        <v>26</v>
      </c>
      <c r="B24" s="10" t="n">
        <v>21</v>
      </c>
      <c r="C24" s="11" t="n">
        <v>45954</v>
      </c>
      <c r="D24" s="9" t="s">
        <v>32</v>
      </c>
      <c r="E24" s="12" t="n">
        <v>20</v>
      </c>
      <c r="F24" s="9" t="s">
        <v>31</v>
      </c>
      <c r="G24" s="13" t="n">
        <v>150</v>
      </c>
      <c r="H24" s="9" t="s">
        <v>36</v>
      </c>
      <c r="I24" s="13" t="n">
        <v>1</v>
      </c>
      <c r="J24" s="1" t="str">
        <f aca="false">IF(A24="","", "SAMP-"&amp;A24&amp;"-L"&amp;TEXT(B24,"00")&amp;"-"&amp;TEXT(C24,"yyyymmdd")&amp;"-"&amp;D24&amp;"-H"&amp;TEXT(E24,"00")&amp;"-"&amp;H24)</f>
        <v>SAMP-KG01-L21-20251024-ORD-2025-00020-H20-Blister</v>
      </c>
      <c r="K24" s="1" t="str">
        <f aca="false">IF(A24="","",IF(AND(G24&gt;=0,I24&gt;=0,I24&lt;=G24),"OK","CHECK"))</f>
        <v>OK</v>
      </c>
      <c r="L24" s="1" t="str">
        <f aca="false">IF(A24="","",IF(AND(E24&gt;=0,E24&lt;=23),"OK","CHECK"))</f>
        <v>OK</v>
      </c>
      <c r="M24" s="1" t="str">
        <f aca="false">IF(A24="","",IF(AND(K24="OK",L24="OK"),"OK","CHECK"))</f>
        <v>OK</v>
      </c>
    </row>
    <row r="25" customFormat="false" ht="18" hidden="false" customHeight="true" outlineLevel="0" collapsed="false">
      <c r="A25" s="9" t="s">
        <v>26</v>
      </c>
      <c r="B25" s="10" t="n">
        <v>21</v>
      </c>
      <c r="C25" s="11" t="n">
        <v>45954</v>
      </c>
      <c r="D25" s="9" t="s">
        <v>32</v>
      </c>
      <c r="E25" s="12" t="n">
        <v>23</v>
      </c>
      <c r="F25" s="9" t="s">
        <v>31</v>
      </c>
      <c r="G25" s="13" t="n">
        <v>100</v>
      </c>
      <c r="H25" s="9" t="s">
        <v>34</v>
      </c>
      <c r="I25" s="13" t="n">
        <v>3</v>
      </c>
      <c r="J25" s="1" t="str">
        <f aca="false">IF(A25="","", "SAMP-"&amp;A25&amp;"-L"&amp;TEXT(B25,"00")&amp;"-"&amp;TEXT(C25,"yyyymmdd")&amp;"-"&amp;D25&amp;"-H"&amp;TEXT(E25,"00")&amp;"-"&amp;H25)</f>
        <v>SAMP-KG01-L21-20251024-ORD-2025-00020-H23-Thin Wall</v>
      </c>
      <c r="K25" s="1" t="str">
        <f aca="false">IF(A25="","",IF(AND(G25&gt;=0,I25&gt;=0,I25&lt;=G25),"OK","CHECK"))</f>
        <v>OK</v>
      </c>
      <c r="L25" s="1" t="str">
        <f aca="false">IF(A25="","",IF(AND(E25&gt;=0,E25&lt;=23),"OK","CHECK"))</f>
        <v>OK</v>
      </c>
      <c r="M25" s="1" t="str">
        <f aca="false">IF(A25="","",IF(AND(K25="OK",L25="OK"),"OK","CHECK"))</f>
        <v>OK</v>
      </c>
    </row>
    <row r="26" customFormat="false" ht="18" hidden="false" customHeight="true" outlineLevel="0" collapsed="false">
      <c r="A26" s="9" t="s">
        <v>26</v>
      </c>
      <c r="B26" s="10" t="n">
        <v>21</v>
      </c>
      <c r="C26" s="11" t="n">
        <v>45955</v>
      </c>
      <c r="D26" s="9" t="s">
        <v>39</v>
      </c>
      <c r="E26" s="12" t="n">
        <v>7</v>
      </c>
      <c r="F26" s="9" t="s">
        <v>28</v>
      </c>
      <c r="G26" s="13" t="n">
        <v>50</v>
      </c>
      <c r="H26" s="9" t="s">
        <v>38</v>
      </c>
      <c r="I26" s="13" t="n">
        <v>4</v>
      </c>
      <c r="J26" s="1" t="str">
        <f aca="false">IF(A26="","", "SAMP-"&amp;A26&amp;"-L"&amp;TEXT(B26,"00")&amp;"-"&amp;TEXT(C26,"yyyymmdd")&amp;"-"&amp;D26&amp;"-H"&amp;TEXT(E26,"00")&amp;"-"&amp;H26)</f>
        <v>SAMP-KG01-L21-20251025-ORD-2025-00021-H07-Crack</v>
      </c>
      <c r="K26" s="1" t="str">
        <f aca="false">IF(A26="","",IF(AND(G26&gt;=0,I26&gt;=0,I26&lt;=G26),"OK","CHECK"))</f>
        <v>OK</v>
      </c>
      <c r="L26" s="1" t="str">
        <f aca="false">IF(A26="","",IF(AND(E26&gt;=0,E26&lt;=23),"OK","CHECK"))</f>
        <v>OK</v>
      </c>
      <c r="M26" s="1" t="str">
        <f aca="false">IF(A26="","",IF(AND(K26="OK",L26="OK"),"OK","CHECK"))</f>
        <v>OK</v>
      </c>
    </row>
    <row r="27" customFormat="false" ht="18" hidden="false" customHeight="true" outlineLevel="0" collapsed="false">
      <c r="A27" s="9" t="s">
        <v>26</v>
      </c>
      <c r="B27" s="10" t="n">
        <v>21</v>
      </c>
      <c r="C27" s="11" t="n">
        <v>45955</v>
      </c>
      <c r="D27" s="9" t="s">
        <v>39</v>
      </c>
      <c r="E27" s="12" t="n">
        <v>12</v>
      </c>
      <c r="F27" s="9" t="s">
        <v>28</v>
      </c>
      <c r="G27" s="13" t="n">
        <v>50</v>
      </c>
      <c r="H27" s="9" t="s">
        <v>34</v>
      </c>
      <c r="I27" s="13" t="n">
        <v>2</v>
      </c>
      <c r="J27" s="1" t="str">
        <f aca="false">IF(A27="","", "SAMP-"&amp;A27&amp;"-L"&amp;TEXT(B27,"00")&amp;"-"&amp;TEXT(C27,"yyyymmdd")&amp;"-"&amp;D27&amp;"-H"&amp;TEXT(E27,"00")&amp;"-"&amp;H27)</f>
        <v>SAMP-KG01-L21-20251025-ORD-2025-00021-H12-Thin Wall</v>
      </c>
      <c r="K27" s="1" t="str">
        <f aca="false">IF(A27="","",IF(AND(G27&gt;=0,I27&gt;=0,I27&lt;=G27),"OK","CHECK"))</f>
        <v>OK</v>
      </c>
      <c r="L27" s="1" t="str">
        <f aca="false">IF(A27="","",IF(AND(E27&gt;=0,E27&lt;=23),"OK","CHECK"))</f>
        <v>OK</v>
      </c>
      <c r="M27" s="1" t="str">
        <f aca="false">IF(A27="","",IF(AND(K27="OK",L27="OK"),"OK","CHECK"))</f>
        <v>OK</v>
      </c>
    </row>
    <row r="28" customFormat="false" ht="18" hidden="false" customHeight="true" outlineLevel="0" collapsed="false">
      <c r="A28" s="9" t="s">
        <v>26</v>
      </c>
      <c r="B28" s="10" t="n">
        <v>21</v>
      </c>
      <c r="C28" s="11" t="n">
        <v>45955</v>
      </c>
      <c r="D28" s="9" t="s">
        <v>39</v>
      </c>
      <c r="E28" s="12" t="n">
        <v>16</v>
      </c>
      <c r="F28" s="9" t="s">
        <v>28</v>
      </c>
      <c r="G28" s="13" t="n">
        <v>50</v>
      </c>
      <c r="H28" s="9" t="s">
        <v>34</v>
      </c>
      <c r="I28" s="13" t="n">
        <v>4</v>
      </c>
      <c r="J28" s="1" t="str">
        <f aca="false">IF(A28="","", "SAMP-"&amp;A28&amp;"-L"&amp;TEXT(B28,"00")&amp;"-"&amp;TEXT(C28,"yyyymmdd")&amp;"-"&amp;D28&amp;"-H"&amp;TEXT(E28,"00")&amp;"-"&amp;H28)</f>
        <v>SAMP-KG01-L21-20251025-ORD-2025-00021-H16-Thin Wall</v>
      </c>
      <c r="K28" s="1" t="str">
        <f aca="false">IF(A28="","",IF(AND(G28&gt;=0,I28&gt;=0,I28&lt;=G28),"OK","CHECK"))</f>
        <v>OK</v>
      </c>
      <c r="L28" s="1" t="str">
        <f aca="false">IF(A28="","",IF(AND(E28&gt;=0,E28&lt;=23),"OK","CHECK"))</f>
        <v>OK</v>
      </c>
      <c r="M28" s="1" t="str">
        <f aca="false">IF(A28="","",IF(AND(K28="OK",L28="OK"),"OK","CHECK"))</f>
        <v>OK</v>
      </c>
    </row>
    <row r="29" customFormat="false" ht="18" hidden="false" customHeight="true" outlineLevel="0" collapsed="false">
      <c r="A29" s="9" t="s">
        <v>26</v>
      </c>
      <c r="B29" s="10" t="n">
        <v>21</v>
      </c>
      <c r="C29" s="11" t="n">
        <v>45955</v>
      </c>
      <c r="D29" s="9" t="s">
        <v>39</v>
      </c>
      <c r="E29" s="12" t="n">
        <v>20</v>
      </c>
      <c r="F29" s="9" t="s">
        <v>31</v>
      </c>
      <c r="G29" s="13" t="n">
        <v>200</v>
      </c>
      <c r="H29" s="9" t="s">
        <v>29</v>
      </c>
      <c r="I29" s="13" t="n">
        <v>1</v>
      </c>
      <c r="J29" s="1" t="str">
        <f aca="false">IF(A29="","", "SAMP-"&amp;A29&amp;"-L"&amp;TEXT(B29,"00")&amp;"-"&amp;TEXT(C29,"yyyymmdd")&amp;"-"&amp;D29&amp;"-H"&amp;TEXT(E29,"00")&amp;"-"&amp;H29)</f>
        <v>SAMP-KG01-L21-20251025-ORD-2025-00021-H20-Choke Neck</v>
      </c>
      <c r="K29" s="1" t="str">
        <f aca="false">IF(A29="","",IF(AND(G29&gt;=0,I29&gt;=0,I29&lt;=G29),"OK","CHECK"))</f>
        <v>OK</v>
      </c>
      <c r="L29" s="1" t="str">
        <f aca="false">IF(A29="","",IF(AND(E29&gt;=0,E29&lt;=23),"OK","CHECK"))</f>
        <v>OK</v>
      </c>
      <c r="M29" s="1" t="str">
        <f aca="false">IF(A29="","",IF(AND(K29="OK",L29="OK"),"OK","CHECK"))</f>
        <v>OK</v>
      </c>
    </row>
    <row r="30" customFormat="false" ht="18" hidden="false" customHeight="true" outlineLevel="0" collapsed="false">
      <c r="A30" s="9" t="s">
        <v>26</v>
      </c>
      <c r="B30" s="10" t="n">
        <v>21</v>
      </c>
      <c r="C30" s="11" t="n">
        <v>45955</v>
      </c>
      <c r="D30" s="9" t="s">
        <v>39</v>
      </c>
      <c r="E30" s="12" t="n">
        <v>23</v>
      </c>
      <c r="F30" s="9" t="s">
        <v>31</v>
      </c>
      <c r="G30" s="13" t="n">
        <v>50</v>
      </c>
      <c r="H30" s="9" t="s">
        <v>30</v>
      </c>
      <c r="I30" s="13" t="n">
        <v>0</v>
      </c>
      <c r="J30" s="1" t="str">
        <f aca="false">IF(A30="","", "SAMP-"&amp;A30&amp;"-L"&amp;TEXT(B30,"00")&amp;"-"&amp;TEXT(C30,"yyyymmdd")&amp;"-"&amp;D30&amp;"-H"&amp;TEXT(E30,"00")&amp;"-"&amp;H30)</f>
        <v>SAMP-KG01-L21-20251025-ORD-2025-00021-H23-Overpress</v>
      </c>
      <c r="K30" s="1" t="str">
        <f aca="false">IF(A30="","",IF(AND(G30&gt;=0,I30&gt;=0,I30&lt;=G30),"OK","CHECK"))</f>
        <v>OK</v>
      </c>
      <c r="L30" s="1" t="str">
        <f aca="false">IF(A30="","",IF(AND(E30&gt;=0,E30&lt;=23),"OK","CHECK"))</f>
        <v>OK</v>
      </c>
      <c r="M30" s="1" t="str">
        <f aca="false">IF(A30="","",IF(AND(K30="OK",L30="OK"),"OK","CHECK"))</f>
        <v>OK</v>
      </c>
    </row>
    <row r="31" customFormat="false" ht="18" hidden="false" customHeight="true" outlineLevel="0" collapsed="false">
      <c r="A31" s="9" t="s">
        <v>26</v>
      </c>
      <c r="B31" s="10" t="n">
        <v>21</v>
      </c>
      <c r="C31" s="11" t="n">
        <v>45956</v>
      </c>
      <c r="D31" s="9" t="s">
        <v>39</v>
      </c>
      <c r="E31" s="12" t="n">
        <v>9</v>
      </c>
      <c r="F31" s="9" t="s">
        <v>28</v>
      </c>
      <c r="G31" s="13" t="n">
        <v>50</v>
      </c>
      <c r="H31" s="9" t="s">
        <v>37</v>
      </c>
      <c r="I31" s="13" t="n">
        <v>2</v>
      </c>
      <c r="J31" s="1" t="str">
        <f aca="false">IF(A31="","", "SAMP-"&amp;A31&amp;"-L"&amp;TEXT(B31,"00")&amp;"-"&amp;TEXT(C31,"yyyymmdd")&amp;"-"&amp;D31&amp;"-H"&amp;TEXT(E31,"00")&amp;"-"&amp;H31)</f>
        <v>SAMP-KG01-L21-20251026-ORD-2025-00021-H09-Bird Swing</v>
      </c>
      <c r="K31" s="1" t="str">
        <f aca="false">IF(A31="","",IF(AND(G31&gt;=0,I31&gt;=0,I31&lt;=G31),"OK","CHECK"))</f>
        <v>OK</v>
      </c>
      <c r="L31" s="1" t="str">
        <f aca="false">IF(A31="","",IF(AND(E31&gt;=0,E31&lt;=23),"OK","CHECK"))</f>
        <v>OK</v>
      </c>
      <c r="M31" s="1" t="str">
        <f aca="false">IF(A31="","",IF(AND(K31="OK",L31="OK"),"OK","CHECK"))</f>
        <v>OK</v>
      </c>
    </row>
    <row r="32" customFormat="false" ht="18" hidden="false" customHeight="true" outlineLevel="0" collapsed="false">
      <c r="A32" s="9" t="s">
        <v>26</v>
      </c>
      <c r="B32" s="10" t="n">
        <v>21</v>
      </c>
      <c r="C32" s="11" t="n">
        <v>45956</v>
      </c>
      <c r="D32" s="9" t="s">
        <v>39</v>
      </c>
      <c r="E32" s="12" t="n">
        <v>15</v>
      </c>
      <c r="F32" s="9" t="s">
        <v>28</v>
      </c>
      <c r="G32" s="13" t="n">
        <v>50</v>
      </c>
      <c r="H32" s="9" t="s">
        <v>34</v>
      </c>
      <c r="I32" s="13" t="n">
        <v>0</v>
      </c>
      <c r="J32" s="1" t="str">
        <f aca="false">IF(A32="","", "SAMP-"&amp;A32&amp;"-L"&amp;TEXT(B32,"00")&amp;"-"&amp;TEXT(C32,"yyyymmdd")&amp;"-"&amp;D32&amp;"-H"&amp;TEXT(E32,"00")&amp;"-"&amp;H32)</f>
        <v>SAMP-KG01-L21-20251026-ORD-2025-00021-H15-Thin Wall</v>
      </c>
      <c r="K32" s="1" t="str">
        <f aca="false">IF(A32="","",IF(AND(G32&gt;=0,I32&gt;=0,I32&lt;=G32),"OK","CHECK"))</f>
        <v>OK</v>
      </c>
      <c r="L32" s="1" t="str">
        <f aca="false">IF(A32="","",IF(AND(E32&gt;=0,E32&lt;=23),"OK","CHECK"))</f>
        <v>OK</v>
      </c>
      <c r="M32" s="1" t="str">
        <f aca="false">IF(A32="","",IF(AND(K32="OK",L32="OK"),"OK","CHECK"))</f>
        <v>OK</v>
      </c>
    </row>
    <row r="33" customFormat="false" ht="18" hidden="false" customHeight="true" outlineLevel="0" collapsed="false">
      <c r="A33" s="9" t="s">
        <v>26</v>
      </c>
      <c r="B33" s="10" t="n">
        <v>21</v>
      </c>
      <c r="C33" s="11" t="n">
        <v>45956</v>
      </c>
      <c r="D33" s="9" t="s">
        <v>39</v>
      </c>
      <c r="E33" s="12" t="n">
        <v>20</v>
      </c>
      <c r="F33" s="9" t="s">
        <v>31</v>
      </c>
      <c r="G33" s="13" t="n">
        <v>100</v>
      </c>
      <c r="H33" s="9" t="s">
        <v>30</v>
      </c>
      <c r="I33" s="13" t="n">
        <v>0</v>
      </c>
      <c r="J33" s="1" t="str">
        <f aca="false">IF(A33="","", "SAMP-"&amp;A33&amp;"-L"&amp;TEXT(B33,"00")&amp;"-"&amp;TEXT(C33,"yyyymmdd")&amp;"-"&amp;D33&amp;"-H"&amp;TEXT(E33,"00")&amp;"-"&amp;H33)</f>
        <v>SAMP-KG01-L21-20251026-ORD-2025-00021-H20-Overpress</v>
      </c>
      <c r="K33" s="1" t="str">
        <f aca="false">IF(A33="","",IF(AND(G33&gt;=0,I33&gt;=0,I33&lt;=G33),"OK","CHECK"))</f>
        <v>OK</v>
      </c>
      <c r="L33" s="1" t="str">
        <f aca="false">IF(A33="","",IF(AND(E33&gt;=0,E33&lt;=23),"OK","CHECK"))</f>
        <v>OK</v>
      </c>
      <c r="M33" s="1" t="str">
        <f aca="false">IF(A33="","",IF(AND(K33="OK",L33="OK"),"OK","CHECK"))</f>
        <v>OK</v>
      </c>
    </row>
    <row r="34" customFormat="false" ht="18" hidden="false" customHeight="true" outlineLevel="0" collapsed="false">
      <c r="A34" s="9" t="s">
        <v>26</v>
      </c>
      <c r="B34" s="10" t="n">
        <v>21</v>
      </c>
      <c r="C34" s="11" t="n">
        <v>45956</v>
      </c>
      <c r="D34" s="9" t="s">
        <v>39</v>
      </c>
      <c r="E34" s="12" t="n">
        <v>23</v>
      </c>
      <c r="F34" s="9" t="s">
        <v>31</v>
      </c>
      <c r="G34" s="13" t="n">
        <v>50</v>
      </c>
      <c r="H34" s="9" t="s">
        <v>36</v>
      </c>
      <c r="I34" s="13" t="n">
        <v>0</v>
      </c>
      <c r="J34" s="1" t="str">
        <f aca="false">IF(A34="","", "SAMP-"&amp;A34&amp;"-L"&amp;TEXT(B34,"00")&amp;"-"&amp;TEXT(C34,"yyyymmdd")&amp;"-"&amp;D34&amp;"-H"&amp;TEXT(E34,"00")&amp;"-"&amp;H34)</f>
        <v>SAMP-KG01-L21-20251026-ORD-2025-00021-H23-Blister</v>
      </c>
      <c r="K34" s="1" t="str">
        <f aca="false">IF(A34="","",IF(AND(G34&gt;=0,I34&gt;=0,I34&lt;=G34),"OK","CHECK"))</f>
        <v>OK</v>
      </c>
      <c r="L34" s="1" t="str">
        <f aca="false">IF(A34="","",IF(AND(E34&gt;=0,E34&lt;=23),"OK","CHECK"))</f>
        <v>OK</v>
      </c>
      <c r="M34" s="1" t="str">
        <f aca="false">IF(A34="","",IF(AND(K34="OK",L34="OK"),"OK","CHECK"))</f>
        <v>OK</v>
      </c>
    </row>
    <row r="35" customFormat="false" ht="18" hidden="false" customHeight="true" outlineLevel="0" collapsed="false">
      <c r="A35" s="9" t="s">
        <v>26</v>
      </c>
      <c r="B35" s="10" t="n">
        <v>22</v>
      </c>
      <c r="C35" s="11" t="n">
        <v>45950</v>
      </c>
      <c r="D35" s="9" t="s">
        <v>40</v>
      </c>
      <c r="E35" s="12" t="n">
        <v>7</v>
      </c>
      <c r="F35" s="9" t="s">
        <v>28</v>
      </c>
      <c r="G35" s="13" t="n">
        <v>150</v>
      </c>
      <c r="H35" s="9" t="s">
        <v>33</v>
      </c>
      <c r="I35" s="13" t="n">
        <v>10</v>
      </c>
      <c r="J35" s="1" t="str">
        <f aca="false">IF(A35="","", "SAMP-"&amp;A35&amp;"-L"&amp;TEXT(B35,"00")&amp;"-"&amp;TEXT(C35,"yyyymmdd")&amp;"-"&amp;D35&amp;"-H"&amp;TEXT(E35,"00")&amp;"-"&amp;H35)</f>
        <v>SAMP-KG01-L22-20251020-ORD-2025-00056-H07-Distortion</v>
      </c>
      <c r="K35" s="1" t="str">
        <f aca="false">IF(A35="","",IF(AND(G35&gt;=0,I35&gt;=0,I35&lt;=G35),"OK","CHECK"))</f>
        <v>OK</v>
      </c>
      <c r="L35" s="1" t="str">
        <f aca="false">IF(A35="","",IF(AND(E35&gt;=0,E35&lt;=23),"OK","CHECK"))</f>
        <v>OK</v>
      </c>
      <c r="M35" s="1" t="str">
        <f aca="false">IF(A35="","",IF(AND(K35="OK",L35="OK"),"OK","CHECK"))</f>
        <v>OK</v>
      </c>
    </row>
    <row r="36" customFormat="false" ht="18" hidden="false" customHeight="true" outlineLevel="0" collapsed="false">
      <c r="A36" s="9" t="s">
        <v>26</v>
      </c>
      <c r="B36" s="10" t="n">
        <v>22</v>
      </c>
      <c r="C36" s="11" t="n">
        <v>45950</v>
      </c>
      <c r="D36" s="9" t="s">
        <v>40</v>
      </c>
      <c r="E36" s="12" t="n">
        <v>12</v>
      </c>
      <c r="F36" s="9" t="s">
        <v>28</v>
      </c>
      <c r="G36" s="13" t="n">
        <v>100</v>
      </c>
      <c r="H36" s="9" t="s">
        <v>35</v>
      </c>
      <c r="I36" s="13" t="n">
        <v>5</v>
      </c>
      <c r="J36" s="1" t="str">
        <f aca="false">IF(A36="","", "SAMP-"&amp;A36&amp;"-L"&amp;TEXT(B36,"00")&amp;"-"&amp;TEXT(C36,"yyyymmdd")&amp;"-"&amp;D36&amp;"-H"&amp;TEXT(E36,"00")&amp;"-"&amp;H36)</f>
        <v>SAMP-KG01-L22-20251020-ORD-2025-00056-H12-Stone</v>
      </c>
      <c r="K36" s="1" t="str">
        <f aca="false">IF(A36="","",IF(AND(G36&gt;=0,I36&gt;=0,I36&lt;=G36),"OK","CHECK"))</f>
        <v>OK</v>
      </c>
      <c r="L36" s="1" t="str">
        <f aca="false">IF(A36="","",IF(AND(E36&gt;=0,E36&lt;=23),"OK","CHECK"))</f>
        <v>OK</v>
      </c>
      <c r="M36" s="1" t="str">
        <f aca="false">IF(A36="","",IF(AND(K36="OK",L36="OK"),"OK","CHECK"))</f>
        <v>OK</v>
      </c>
    </row>
    <row r="37" customFormat="false" ht="18" hidden="false" customHeight="true" outlineLevel="0" collapsed="false">
      <c r="A37" s="9" t="s">
        <v>26</v>
      </c>
      <c r="B37" s="10" t="n">
        <v>22</v>
      </c>
      <c r="C37" s="11" t="n">
        <v>45950</v>
      </c>
      <c r="D37" s="9" t="s">
        <v>40</v>
      </c>
      <c r="E37" s="12" t="n">
        <v>16</v>
      </c>
      <c r="F37" s="9" t="s">
        <v>28</v>
      </c>
      <c r="G37" s="13" t="n">
        <v>200</v>
      </c>
      <c r="H37" s="9" t="s">
        <v>37</v>
      </c>
      <c r="I37" s="13" t="n">
        <v>6</v>
      </c>
      <c r="J37" s="1" t="str">
        <f aca="false">IF(A37="","", "SAMP-"&amp;A37&amp;"-L"&amp;TEXT(B37,"00")&amp;"-"&amp;TEXT(C37,"yyyymmdd")&amp;"-"&amp;D37&amp;"-H"&amp;TEXT(E37,"00")&amp;"-"&amp;H37)</f>
        <v>SAMP-KG01-L22-20251020-ORD-2025-00056-H16-Bird Swing</v>
      </c>
      <c r="K37" s="1" t="str">
        <f aca="false">IF(A37="","",IF(AND(G37&gt;=0,I37&gt;=0,I37&lt;=G37),"OK","CHECK"))</f>
        <v>OK</v>
      </c>
      <c r="L37" s="1" t="str">
        <f aca="false">IF(A37="","",IF(AND(E37&gt;=0,E37&lt;=23),"OK","CHECK"))</f>
        <v>OK</v>
      </c>
      <c r="M37" s="1" t="str">
        <f aca="false">IF(A37="","",IF(AND(K37="OK",L37="OK"),"OK","CHECK"))</f>
        <v>OK</v>
      </c>
    </row>
    <row r="38" customFormat="false" ht="18" hidden="false" customHeight="true" outlineLevel="0" collapsed="false">
      <c r="A38" s="9" t="s">
        <v>26</v>
      </c>
      <c r="B38" s="10" t="n">
        <v>22</v>
      </c>
      <c r="C38" s="11" t="n">
        <v>45950</v>
      </c>
      <c r="D38" s="9" t="s">
        <v>40</v>
      </c>
      <c r="E38" s="12" t="n">
        <v>20</v>
      </c>
      <c r="F38" s="9" t="s">
        <v>31</v>
      </c>
      <c r="G38" s="13" t="n">
        <v>100</v>
      </c>
      <c r="H38" s="9" t="s">
        <v>29</v>
      </c>
      <c r="I38" s="13" t="n">
        <v>0</v>
      </c>
      <c r="J38" s="1" t="str">
        <f aca="false">IF(A38="","", "SAMP-"&amp;A38&amp;"-L"&amp;TEXT(B38,"00")&amp;"-"&amp;TEXT(C38,"yyyymmdd")&amp;"-"&amp;D38&amp;"-H"&amp;TEXT(E38,"00")&amp;"-"&amp;H38)</f>
        <v>SAMP-KG01-L22-20251020-ORD-2025-00056-H20-Choke Neck</v>
      </c>
      <c r="K38" s="1" t="str">
        <f aca="false">IF(A38="","",IF(AND(G38&gt;=0,I38&gt;=0,I38&lt;=G38),"OK","CHECK"))</f>
        <v>OK</v>
      </c>
      <c r="L38" s="1" t="str">
        <f aca="false">IF(A38="","",IF(AND(E38&gt;=0,E38&lt;=23),"OK","CHECK"))</f>
        <v>OK</v>
      </c>
      <c r="M38" s="1" t="str">
        <f aca="false">IF(A38="","",IF(AND(K38="OK",L38="OK"),"OK","CHECK"))</f>
        <v>OK</v>
      </c>
    </row>
    <row r="39" customFormat="false" ht="18" hidden="false" customHeight="true" outlineLevel="0" collapsed="false">
      <c r="A39" s="9" t="s">
        <v>26</v>
      </c>
      <c r="B39" s="10" t="n">
        <v>22</v>
      </c>
      <c r="C39" s="11" t="n">
        <v>45950</v>
      </c>
      <c r="D39" s="9" t="s">
        <v>40</v>
      </c>
      <c r="E39" s="12" t="n">
        <v>23</v>
      </c>
      <c r="F39" s="9" t="s">
        <v>31</v>
      </c>
      <c r="G39" s="13" t="n">
        <v>150</v>
      </c>
      <c r="H39" s="9" t="s">
        <v>36</v>
      </c>
      <c r="I39" s="13" t="n">
        <v>3</v>
      </c>
      <c r="J39" s="1" t="str">
        <f aca="false">IF(A39="","", "SAMP-"&amp;A39&amp;"-L"&amp;TEXT(B39,"00")&amp;"-"&amp;TEXT(C39,"yyyymmdd")&amp;"-"&amp;D39&amp;"-H"&amp;TEXT(E39,"00")&amp;"-"&amp;H39)</f>
        <v>SAMP-KG01-L22-20251020-ORD-2025-00056-H23-Blister</v>
      </c>
      <c r="K39" s="1" t="str">
        <f aca="false">IF(A39="","",IF(AND(G39&gt;=0,I39&gt;=0,I39&lt;=G39),"OK","CHECK"))</f>
        <v>OK</v>
      </c>
      <c r="L39" s="1" t="str">
        <f aca="false">IF(A39="","",IF(AND(E39&gt;=0,E39&lt;=23),"OK","CHECK"))</f>
        <v>OK</v>
      </c>
      <c r="M39" s="1" t="str">
        <f aca="false">IF(A39="","",IF(AND(K39="OK",L39="OK"),"OK","CHECK"))</f>
        <v>OK</v>
      </c>
    </row>
    <row r="40" customFormat="false" ht="18" hidden="false" customHeight="true" outlineLevel="0" collapsed="false">
      <c r="A40" s="9" t="s">
        <v>26</v>
      </c>
      <c r="B40" s="10" t="n">
        <v>22</v>
      </c>
      <c r="C40" s="11" t="n">
        <v>45951</v>
      </c>
      <c r="D40" s="9" t="s">
        <v>40</v>
      </c>
      <c r="E40" s="12" t="n">
        <v>9</v>
      </c>
      <c r="F40" s="9" t="s">
        <v>28</v>
      </c>
      <c r="G40" s="13" t="n">
        <v>150</v>
      </c>
      <c r="H40" s="9" t="s">
        <v>41</v>
      </c>
      <c r="I40" s="13" t="n">
        <v>3</v>
      </c>
      <c r="J40" s="1" t="str">
        <f aca="false">IF(A40="","", "SAMP-"&amp;A40&amp;"-L"&amp;TEXT(B40,"00")&amp;"-"&amp;TEXT(C40,"yyyymmdd")&amp;"-"&amp;D40&amp;"-H"&amp;TEXT(E40,"00")&amp;"-"&amp;H40)</f>
        <v>SAMP-KG01-L22-20251021-ORD-2025-00056-H09-Chip</v>
      </c>
      <c r="K40" s="1" t="str">
        <f aca="false">IF(A40="","",IF(AND(G40&gt;=0,I40&gt;=0,I40&lt;=G40),"OK","CHECK"))</f>
        <v>OK</v>
      </c>
      <c r="L40" s="1" t="str">
        <f aca="false">IF(A40="","",IF(AND(E40&gt;=0,E40&lt;=23),"OK","CHECK"))</f>
        <v>OK</v>
      </c>
      <c r="M40" s="1" t="str">
        <f aca="false">IF(A40="","",IF(AND(K40="OK",L40="OK"),"OK","CHECK"))</f>
        <v>OK</v>
      </c>
    </row>
    <row r="41" customFormat="false" ht="18" hidden="false" customHeight="true" outlineLevel="0" collapsed="false">
      <c r="A41" s="9" t="s">
        <v>26</v>
      </c>
      <c r="B41" s="10" t="n">
        <v>22</v>
      </c>
      <c r="C41" s="11" t="n">
        <v>45951</v>
      </c>
      <c r="D41" s="9" t="s">
        <v>40</v>
      </c>
      <c r="E41" s="12" t="n">
        <v>15</v>
      </c>
      <c r="F41" s="9" t="s">
        <v>28</v>
      </c>
      <c r="G41" s="13" t="n">
        <v>150</v>
      </c>
      <c r="H41" s="9" t="s">
        <v>35</v>
      </c>
      <c r="I41" s="13" t="n">
        <v>4</v>
      </c>
      <c r="J41" s="1" t="str">
        <f aca="false">IF(A41="","", "SAMP-"&amp;A41&amp;"-L"&amp;TEXT(B41,"00")&amp;"-"&amp;TEXT(C41,"yyyymmdd")&amp;"-"&amp;D41&amp;"-H"&amp;TEXT(E41,"00")&amp;"-"&amp;H41)</f>
        <v>SAMP-KG01-L22-20251021-ORD-2025-00056-H15-Stone</v>
      </c>
      <c r="K41" s="1" t="str">
        <f aca="false">IF(A41="","",IF(AND(G41&gt;=0,I41&gt;=0,I41&lt;=G41),"OK","CHECK"))</f>
        <v>OK</v>
      </c>
      <c r="L41" s="1" t="str">
        <f aca="false">IF(A41="","",IF(AND(E41&gt;=0,E41&lt;=23),"OK","CHECK"))</f>
        <v>OK</v>
      </c>
      <c r="M41" s="1" t="str">
        <f aca="false">IF(A41="","",IF(AND(K41="OK",L41="OK"),"OK","CHECK"))</f>
        <v>OK</v>
      </c>
    </row>
    <row r="42" customFormat="false" ht="18" hidden="false" customHeight="true" outlineLevel="0" collapsed="false">
      <c r="A42" s="9" t="s">
        <v>26</v>
      </c>
      <c r="B42" s="10" t="n">
        <v>22</v>
      </c>
      <c r="C42" s="11" t="n">
        <v>45951</v>
      </c>
      <c r="D42" s="9" t="s">
        <v>40</v>
      </c>
      <c r="E42" s="12" t="n">
        <v>20</v>
      </c>
      <c r="F42" s="9" t="s">
        <v>31</v>
      </c>
      <c r="G42" s="13" t="n">
        <v>50</v>
      </c>
      <c r="H42" s="9" t="s">
        <v>33</v>
      </c>
      <c r="I42" s="13" t="n">
        <v>2</v>
      </c>
      <c r="J42" s="1" t="str">
        <f aca="false">IF(A42="","", "SAMP-"&amp;A42&amp;"-L"&amp;TEXT(B42,"00")&amp;"-"&amp;TEXT(C42,"yyyymmdd")&amp;"-"&amp;D42&amp;"-H"&amp;TEXT(E42,"00")&amp;"-"&amp;H42)</f>
        <v>SAMP-KG01-L22-20251021-ORD-2025-00056-H20-Distortion</v>
      </c>
      <c r="K42" s="1" t="str">
        <f aca="false">IF(A42="","",IF(AND(G42&gt;=0,I42&gt;=0,I42&lt;=G42),"OK","CHECK"))</f>
        <v>OK</v>
      </c>
      <c r="L42" s="1" t="str">
        <f aca="false">IF(A42="","",IF(AND(E42&gt;=0,E42&lt;=23),"OK","CHECK"))</f>
        <v>OK</v>
      </c>
      <c r="M42" s="1" t="str">
        <f aca="false">IF(A42="","",IF(AND(K42="OK",L42="OK"),"OK","CHECK"))</f>
        <v>OK</v>
      </c>
    </row>
    <row r="43" customFormat="false" ht="18" hidden="false" customHeight="true" outlineLevel="0" collapsed="false">
      <c r="A43" s="9" t="s">
        <v>26</v>
      </c>
      <c r="B43" s="10" t="n">
        <v>22</v>
      </c>
      <c r="C43" s="11" t="n">
        <v>45951</v>
      </c>
      <c r="D43" s="9" t="s">
        <v>40</v>
      </c>
      <c r="E43" s="12" t="n">
        <v>23</v>
      </c>
      <c r="F43" s="9" t="s">
        <v>31</v>
      </c>
      <c r="G43" s="13" t="n">
        <v>50</v>
      </c>
      <c r="H43" s="9" t="s">
        <v>41</v>
      </c>
      <c r="I43" s="13" t="n">
        <v>3</v>
      </c>
      <c r="J43" s="1" t="str">
        <f aca="false">IF(A43="","", "SAMP-"&amp;A43&amp;"-L"&amp;TEXT(B43,"00")&amp;"-"&amp;TEXT(C43,"yyyymmdd")&amp;"-"&amp;D43&amp;"-H"&amp;TEXT(E43,"00")&amp;"-"&amp;H43)</f>
        <v>SAMP-KG01-L22-20251021-ORD-2025-00056-H23-Chip</v>
      </c>
      <c r="K43" s="1" t="str">
        <f aca="false">IF(A43="","",IF(AND(G43&gt;=0,I43&gt;=0,I43&lt;=G43),"OK","CHECK"))</f>
        <v>OK</v>
      </c>
      <c r="L43" s="1" t="str">
        <f aca="false">IF(A43="","",IF(AND(E43&gt;=0,E43&lt;=23),"OK","CHECK"))</f>
        <v>OK</v>
      </c>
      <c r="M43" s="1" t="str">
        <f aca="false">IF(A43="","",IF(AND(K43="OK",L43="OK"),"OK","CHECK"))</f>
        <v>OK</v>
      </c>
    </row>
    <row r="44" customFormat="false" ht="18" hidden="false" customHeight="true" outlineLevel="0" collapsed="false">
      <c r="A44" s="9" t="s">
        <v>26</v>
      </c>
      <c r="B44" s="10" t="n">
        <v>22</v>
      </c>
      <c r="C44" s="11" t="n">
        <v>45952</v>
      </c>
      <c r="D44" s="9" t="s">
        <v>42</v>
      </c>
      <c r="E44" s="12" t="n">
        <v>9</v>
      </c>
      <c r="F44" s="9" t="s">
        <v>28</v>
      </c>
      <c r="G44" s="13" t="n">
        <v>200</v>
      </c>
      <c r="H44" s="9" t="s">
        <v>36</v>
      </c>
      <c r="I44" s="13" t="n">
        <v>4</v>
      </c>
      <c r="J44" s="1" t="str">
        <f aca="false">IF(A44="","", "SAMP-"&amp;A44&amp;"-L"&amp;TEXT(B44,"00")&amp;"-"&amp;TEXT(C44,"yyyymmdd")&amp;"-"&amp;D44&amp;"-H"&amp;TEXT(E44,"00")&amp;"-"&amp;H44)</f>
        <v>SAMP-KG01-L22-20251022-ORD-2025-00057-H09-Blister</v>
      </c>
      <c r="K44" s="1" t="str">
        <f aca="false">IF(A44="","",IF(AND(G44&gt;=0,I44&gt;=0,I44&lt;=G44),"OK","CHECK"))</f>
        <v>OK</v>
      </c>
      <c r="L44" s="1" t="str">
        <f aca="false">IF(A44="","",IF(AND(E44&gt;=0,E44&lt;=23),"OK","CHECK"))</f>
        <v>OK</v>
      </c>
      <c r="M44" s="1" t="str">
        <f aca="false">IF(A44="","",IF(AND(K44="OK",L44="OK"),"OK","CHECK"))</f>
        <v>OK</v>
      </c>
    </row>
    <row r="45" customFormat="false" ht="18" hidden="false" customHeight="true" outlineLevel="0" collapsed="false">
      <c r="A45" s="9" t="s">
        <v>26</v>
      </c>
      <c r="B45" s="10" t="n">
        <v>22</v>
      </c>
      <c r="C45" s="11" t="n">
        <v>45952</v>
      </c>
      <c r="D45" s="9" t="s">
        <v>42</v>
      </c>
      <c r="E45" s="12" t="n">
        <v>15</v>
      </c>
      <c r="F45" s="9" t="s">
        <v>28</v>
      </c>
      <c r="G45" s="13" t="n">
        <v>150</v>
      </c>
      <c r="H45" s="9" t="s">
        <v>38</v>
      </c>
      <c r="I45" s="13" t="n">
        <v>3</v>
      </c>
      <c r="J45" s="1" t="str">
        <f aca="false">IF(A45="","", "SAMP-"&amp;A45&amp;"-L"&amp;TEXT(B45,"00")&amp;"-"&amp;TEXT(C45,"yyyymmdd")&amp;"-"&amp;D45&amp;"-H"&amp;TEXT(E45,"00")&amp;"-"&amp;H45)</f>
        <v>SAMP-KG01-L22-20251022-ORD-2025-00057-H15-Crack</v>
      </c>
      <c r="K45" s="1" t="str">
        <f aca="false">IF(A45="","",IF(AND(G45&gt;=0,I45&gt;=0,I45&lt;=G45),"OK","CHECK"))</f>
        <v>OK</v>
      </c>
      <c r="L45" s="1" t="str">
        <f aca="false">IF(A45="","",IF(AND(E45&gt;=0,E45&lt;=23),"OK","CHECK"))</f>
        <v>OK</v>
      </c>
      <c r="M45" s="1" t="str">
        <f aca="false">IF(A45="","",IF(AND(K45="OK",L45="OK"),"OK","CHECK"))</f>
        <v>OK</v>
      </c>
    </row>
    <row r="46" customFormat="false" ht="18" hidden="false" customHeight="true" outlineLevel="0" collapsed="false">
      <c r="A46" s="9" t="s">
        <v>26</v>
      </c>
      <c r="B46" s="10" t="n">
        <v>22</v>
      </c>
      <c r="C46" s="11" t="n">
        <v>45952</v>
      </c>
      <c r="D46" s="9" t="s">
        <v>42</v>
      </c>
      <c r="E46" s="12" t="n">
        <v>20</v>
      </c>
      <c r="F46" s="9" t="s">
        <v>31</v>
      </c>
      <c r="G46" s="13" t="n">
        <v>150</v>
      </c>
      <c r="H46" s="9" t="s">
        <v>38</v>
      </c>
      <c r="I46" s="13" t="n">
        <v>4</v>
      </c>
      <c r="J46" s="1" t="str">
        <f aca="false">IF(A46="","", "SAMP-"&amp;A46&amp;"-L"&amp;TEXT(B46,"00")&amp;"-"&amp;TEXT(C46,"yyyymmdd")&amp;"-"&amp;D46&amp;"-H"&amp;TEXT(E46,"00")&amp;"-"&amp;H46)</f>
        <v>SAMP-KG01-L22-20251022-ORD-2025-00057-H20-Crack</v>
      </c>
      <c r="K46" s="1" t="str">
        <f aca="false">IF(A46="","",IF(AND(G46&gt;=0,I46&gt;=0,I46&lt;=G46),"OK","CHECK"))</f>
        <v>OK</v>
      </c>
      <c r="L46" s="1" t="str">
        <f aca="false">IF(A46="","",IF(AND(E46&gt;=0,E46&lt;=23),"OK","CHECK"))</f>
        <v>OK</v>
      </c>
      <c r="M46" s="1" t="str">
        <f aca="false">IF(A46="","",IF(AND(K46="OK",L46="OK"),"OK","CHECK"))</f>
        <v>OK</v>
      </c>
    </row>
    <row r="47" customFormat="false" ht="18" hidden="false" customHeight="true" outlineLevel="0" collapsed="false">
      <c r="A47" s="9" t="s">
        <v>26</v>
      </c>
      <c r="B47" s="10" t="n">
        <v>22</v>
      </c>
      <c r="C47" s="11" t="n">
        <v>45952</v>
      </c>
      <c r="D47" s="9" t="s">
        <v>42</v>
      </c>
      <c r="E47" s="12" t="n">
        <v>23</v>
      </c>
      <c r="F47" s="9" t="s">
        <v>31</v>
      </c>
      <c r="G47" s="13" t="n">
        <v>200</v>
      </c>
      <c r="H47" s="9" t="s">
        <v>38</v>
      </c>
      <c r="I47" s="13" t="n">
        <v>3</v>
      </c>
      <c r="J47" s="1" t="str">
        <f aca="false">IF(A47="","", "SAMP-"&amp;A47&amp;"-L"&amp;TEXT(B47,"00")&amp;"-"&amp;TEXT(C47,"yyyymmdd")&amp;"-"&amp;D47&amp;"-H"&amp;TEXT(E47,"00")&amp;"-"&amp;H47)</f>
        <v>SAMP-KG01-L22-20251022-ORD-2025-00057-H23-Crack</v>
      </c>
      <c r="K47" s="1" t="str">
        <f aca="false">IF(A47="","",IF(AND(G47&gt;=0,I47&gt;=0,I47&lt;=G47),"OK","CHECK"))</f>
        <v>OK</v>
      </c>
      <c r="L47" s="1" t="str">
        <f aca="false">IF(A47="","",IF(AND(E47&gt;=0,E47&lt;=23),"OK","CHECK"))</f>
        <v>OK</v>
      </c>
      <c r="M47" s="1" t="str">
        <f aca="false">IF(A47="","",IF(AND(K47="OK",L47="OK"),"OK","CHECK"))</f>
        <v>OK</v>
      </c>
    </row>
    <row r="48" customFormat="false" ht="18" hidden="false" customHeight="true" outlineLevel="0" collapsed="false">
      <c r="A48" s="9" t="s">
        <v>26</v>
      </c>
      <c r="B48" s="10" t="n">
        <v>22</v>
      </c>
      <c r="C48" s="11" t="n">
        <v>45953</v>
      </c>
      <c r="D48" s="9" t="s">
        <v>42</v>
      </c>
      <c r="E48" s="12" t="n">
        <v>9</v>
      </c>
      <c r="F48" s="9" t="s">
        <v>28</v>
      </c>
      <c r="G48" s="13" t="n">
        <v>50</v>
      </c>
      <c r="H48" s="9" t="s">
        <v>33</v>
      </c>
      <c r="I48" s="13" t="n">
        <v>2</v>
      </c>
      <c r="J48" s="1" t="str">
        <f aca="false">IF(A48="","", "SAMP-"&amp;A48&amp;"-L"&amp;TEXT(B48,"00")&amp;"-"&amp;TEXT(C48,"yyyymmdd")&amp;"-"&amp;D48&amp;"-H"&amp;TEXT(E48,"00")&amp;"-"&amp;H48)</f>
        <v>SAMP-KG01-L22-20251023-ORD-2025-00057-H09-Distortion</v>
      </c>
      <c r="K48" s="1" t="str">
        <f aca="false">IF(A48="","",IF(AND(G48&gt;=0,I48&gt;=0,I48&lt;=G48),"OK","CHECK"))</f>
        <v>OK</v>
      </c>
      <c r="L48" s="1" t="str">
        <f aca="false">IF(A48="","",IF(AND(E48&gt;=0,E48&lt;=23),"OK","CHECK"))</f>
        <v>OK</v>
      </c>
      <c r="M48" s="1" t="str">
        <f aca="false">IF(A48="","",IF(AND(K48="OK",L48="OK"),"OK","CHECK"))</f>
        <v>OK</v>
      </c>
    </row>
    <row r="49" customFormat="false" ht="18" hidden="false" customHeight="true" outlineLevel="0" collapsed="false">
      <c r="A49" s="9" t="s">
        <v>26</v>
      </c>
      <c r="B49" s="10" t="n">
        <v>22</v>
      </c>
      <c r="C49" s="11" t="n">
        <v>45953</v>
      </c>
      <c r="D49" s="9" t="s">
        <v>42</v>
      </c>
      <c r="E49" s="12" t="n">
        <v>15</v>
      </c>
      <c r="F49" s="9" t="s">
        <v>28</v>
      </c>
      <c r="G49" s="13" t="n">
        <v>200</v>
      </c>
      <c r="H49" s="9" t="s">
        <v>41</v>
      </c>
      <c r="I49" s="13" t="n">
        <v>4</v>
      </c>
      <c r="J49" s="1" t="str">
        <f aca="false">IF(A49="","", "SAMP-"&amp;A49&amp;"-L"&amp;TEXT(B49,"00")&amp;"-"&amp;TEXT(C49,"yyyymmdd")&amp;"-"&amp;D49&amp;"-H"&amp;TEXT(E49,"00")&amp;"-"&amp;H49)</f>
        <v>SAMP-KG01-L22-20251023-ORD-2025-00057-H15-Chip</v>
      </c>
      <c r="K49" s="1" t="str">
        <f aca="false">IF(A49="","",IF(AND(G49&gt;=0,I49&gt;=0,I49&lt;=G49),"OK","CHECK"))</f>
        <v>OK</v>
      </c>
      <c r="L49" s="1" t="str">
        <f aca="false">IF(A49="","",IF(AND(E49&gt;=0,E49&lt;=23),"OK","CHECK"))</f>
        <v>OK</v>
      </c>
      <c r="M49" s="1" t="str">
        <f aca="false">IF(A49="","",IF(AND(K49="OK",L49="OK"),"OK","CHECK"))</f>
        <v>OK</v>
      </c>
    </row>
    <row r="50" customFormat="false" ht="18" hidden="false" customHeight="true" outlineLevel="0" collapsed="false">
      <c r="A50" s="9" t="s">
        <v>26</v>
      </c>
      <c r="B50" s="10" t="n">
        <v>22</v>
      </c>
      <c r="C50" s="11" t="n">
        <v>45953</v>
      </c>
      <c r="D50" s="9" t="s">
        <v>42</v>
      </c>
      <c r="E50" s="12" t="n">
        <v>20</v>
      </c>
      <c r="F50" s="9" t="s">
        <v>31</v>
      </c>
      <c r="G50" s="13" t="n">
        <v>100</v>
      </c>
      <c r="H50" s="9" t="s">
        <v>29</v>
      </c>
      <c r="I50" s="13" t="n">
        <v>1</v>
      </c>
      <c r="J50" s="1" t="str">
        <f aca="false">IF(A50="","", "SAMP-"&amp;A50&amp;"-L"&amp;TEXT(B50,"00")&amp;"-"&amp;TEXT(C50,"yyyymmdd")&amp;"-"&amp;D50&amp;"-H"&amp;TEXT(E50,"00")&amp;"-"&amp;H50)</f>
        <v>SAMP-KG01-L22-20251023-ORD-2025-00057-H20-Choke Neck</v>
      </c>
      <c r="K50" s="1" t="str">
        <f aca="false">IF(A50="","",IF(AND(G50&gt;=0,I50&gt;=0,I50&lt;=G50),"OK","CHECK"))</f>
        <v>OK</v>
      </c>
      <c r="L50" s="1" t="str">
        <f aca="false">IF(A50="","",IF(AND(E50&gt;=0,E50&lt;=23),"OK","CHECK"))</f>
        <v>OK</v>
      </c>
      <c r="M50" s="1" t="str">
        <f aca="false">IF(A50="","",IF(AND(K50="OK",L50="OK"),"OK","CHECK"))</f>
        <v>OK</v>
      </c>
    </row>
    <row r="51" customFormat="false" ht="18" hidden="false" customHeight="true" outlineLevel="0" collapsed="false">
      <c r="A51" s="9" t="s">
        <v>26</v>
      </c>
      <c r="B51" s="10" t="n">
        <v>22</v>
      </c>
      <c r="C51" s="11" t="n">
        <v>45953</v>
      </c>
      <c r="D51" s="9" t="s">
        <v>42</v>
      </c>
      <c r="E51" s="12" t="n">
        <v>23</v>
      </c>
      <c r="F51" s="9" t="s">
        <v>31</v>
      </c>
      <c r="G51" s="13" t="n">
        <v>200</v>
      </c>
      <c r="H51" s="9" t="s">
        <v>36</v>
      </c>
      <c r="I51" s="13" t="n">
        <v>8</v>
      </c>
      <c r="J51" s="1" t="str">
        <f aca="false">IF(A51="","", "SAMP-"&amp;A51&amp;"-L"&amp;TEXT(B51,"00")&amp;"-"&amp;TEXT(C51,"yyyymmdd")&amp;"-"&amp;D51&amp;"-H"&amp;TEXT(E51,"00")&amp;"-"&amp;H51)</f>
        <v>SAMP-KG01-L22-20251023-ORD-2025-00057-H23-Blister</v>
      </c>
      <c r="K51" s="1" t="str">
        <f aca="false">IF(A51="","",IF(AND(G51&gt;=0,I51&gt;=0,I51&lt;=G51),"OK","CHECK"))</f>
        <v>OK</v>
      </c>
      <c r="L51" s="1" t="str">
        <f aca="false">IF(A51="","",IF(AND(E51&gt;=0,E51&lt;=23),"OK","CHECK"))</f>
        <v>OK</v>
      </c>
      <c r="M51" s="1" t="str">
        <f aca="false">IF(A51="","",IF(AND(K51="OK",L51="OK"),"OK","CHECK"))</f>
        <v>OK</v>
      </c>
    </row>
    <row r="52" customFormat="false" ht="18" hidden="false" customHeight="true" outlineLevel="0" collapsed="false">
      <c r="A52" s="9" t="s">
        <v>26</v>
      </c>
      <c r="B52" s="10" t="n">
        <v>22</v>
      </c>
      <c r="C52" s="11" t="n">
        <v>45954</v>
      </c>
      <c r="D52" s="9" t="s">
        <v>42</v>
      </c>
      <c r="E52" s="12" t="n">
        <v>9</v>
      </c>
      <c r="F52" s="9" t="s">
        <v>28</v>
      </c>
      <c r="G52" s="13" t="n">
        <v>200</v>
      </c>
      <c r="H52" s="9" t="s">
        <v>41</v>
      </c>
      <c r="I52" s="13" t="n">
        <v>3</v>
      </c>
      <c r="J52" s="1" t="str">
        <f aca="false">IF(A52="","", "SAMP-"&amp;A52&amp;"-L"&amp;TEXT(B52,"00")&amp;"-"&amp;TEXT(C52,"yyyymmdd")&amp;"-"&amp;D52&amp;"-H"&amp;TEXT(E52,"00")&amp;"-"&amp;H52)</f>
        <v>SAMP-KG01-L22-20251024-ORD-2025-00057-H09-Chip</v>
      </c>
      <c r="K52" s="1" t="str">
        <f aca="false">IF(A52="","",IF(AND(G52&gt;=0,I52&gt;=0,I52&lt;=G52),"OK","CHECK"))</f>
        <v>OK</v>
      </c>
      <c r="L52" s="1" t="str">
        <f aca="false">IF(A52="","",IF(AND(E52&gt;=0,E52&lt;=23),"OK","CHECK"))</f>
        <v>OK</v>
      </c>
      <c r="M52" s="1" t="str">
        <f aca="false">IF(A52="","",IF(AND(K52="OK",L52="OK"),"OK","CHECK"))</f>
        <v>OK</v>
      </c>
    </row>
    <row r="53" customFormat="false" ht="18" hidden="false" customHeight="true" outlineLevel="0" collapsed="false">
      <c r="A53" s="9" t="s">
        <v>26</v>
      </c>
      <c r="B53" s="10" t="n">
        <v>22</v>
      </c>
      <c r="C53" s="11" t="n">
        <v>45954</v>
      </c>
      <c r="D53" s="9" t="s">
        <v>42</v>
      </c>
      <c r="E53" s="12" t="n">
        <v>15</v>
      </c>
      <c r="F53" s="9" t="s">
        <v>28</v>
      </c>
      <c r="G53" s="13" t="n">
        <v>150</v>
      </c>
      <c r="H53" s="9" t="s">
        <v>41</v>
      </c>
      <c r="I53" s="13" t="n">
        <v>3</v>
      </c>
      <c r="J53" s="1" t="str">
        <f aca="false">IF(A53="","", "SAMP-"&amp;A53&amp;"-L"&amp;TEXT(B53,"00")&amp;"-"&amp;TEXT(C53,"yyyymmdd")&amp;"-"&amp;D53&amp;"-H"&amp;TEXT(E53,"00")&amp;"-"&amp;H53)</f>
        <v>SAMP-KG01-L22-20251024-ORD-2025-00057-H15-Chip</v>
      </c>
      <c r="K53" s="1" t="str">
        <f aca="false">IF(A53="","",IF(AND(G53&gt;=0,I53&gt;=0,I53&lt;=G53),"OK","CHECK"))</f>
        <v>OK</v>
      </c>
      <c r="L53" s="1" t="str">
        <f aca="false">IF(A53="","",IF(AND(E53&gt;=0,E53&lt;=23),"OK","CHECK"))</f>
        <v>OK</v>
      </c>
      <c r="M53" s="1" t="str">
        <f aca="false">IF(A53="","",IF(AND(K53="OK",L53="OK"),"OK","CHECK"))</f>
        <v>OK</v>
      </c>
    </row>
    <row r="54" customFormat="false" ht="18" hidden="false" customHeight="true" outlineLevel="0" collapsed="false">
      <c r="A54" s="9" t="s">
        <v>26</v>
      </c>
      <c r="B54" s="10" t="n">
        <v>22</v>
      </c>
      <c r="C54" s="11" t="n">
        <v>45954</v>
      </c>
      <c r="D54" s="9" t="s">
        <v>42</v>
      </c>
      <c r="E54" s="12" t="n">
        <v>20</v>
      </c>
      <c r="F54" s="9" t="s">
        <v>31</v>
      </c>
      <c r="G54" s="13" t="n">
        <v>100</v>
      </c>
      <c r="H54" s="9" t="s">
        <v>36</v>
      </c>
      <c r="I54" s="13" t="n">
        <v>1</v>
      </c>
      <c r="J54" s="1" t="str">
        <f aca="false">IF(A54="","", "SAMP-"&amp;A54&amp;"-L"&amp;TEXT(B54,"00")&amp;"-"&amp;TEXT(C54,"yyyymmdd")&amp;"-"&amp;D54&amp;"-H"&amp;TEXT(E54,"00")&amp;"-"&amp;H54)</f>
        <v>SAMP-KG01-L22-20251024-ORD-2025-00057-H20-Blister</v>
      </c>
      <c r="K54" s="1" t="str">
        <f aca="false">IF(A54="","",IF(AND(G54&gt;=0,I54&gt;=0,I54&lt;=G54),"OK","CHECK"))</f>
        <v>OK</v>
      </c>
      <c r="L54" s="1" t="str">
        <f aca="false">IF(A54="","",IF(AND(E54&gt;=0,E54&lt;=23),"OK","CHECK"))</f>
        <v>OK</v>
      </c>
      <c r="M54" s="1" t="str">
        <f aca="false">IF(A54="","",IF(AND(K54="OK",L54="OK"),"OK","CHECK"))</f>
        <v>OK</v>
      </c>
    </row>
    <row r="55" customFormat="false" ht="18" hidden="false" customHeight="true" outlineLevel="0" collapsed="false">
      <c r="A55" s="9" t="s">
        <v>26</v>
      </c>
      <c r="B55" s="10" t="n">
        <v>22</v>
      </c>
      <c r="C55" s="11" t="n">
        <v>45954</v>
      </c>
      <c r="D55" s="9" t="s">
        <v>42</v>
      </c>
      <c r="E55" s="12" t="n">
        <v>23</v>
      </c>
      <c r="F55" s="9" t="s">
        <v>31</v>
      </c>
      <c r="G55" s="13" t="n">
        <v>50</v>
      </c>
      <c r="H55" s="9" t="s">
        <v>30</v>
      </c>
      <c r="I55" s="13" t="n">
        <v>0</v>
      </c>
      <c r="J55" s="1" t="str">
        <f aca="false">IF(A55="","", "SAMP-"&amp;A55&amp;"-L"&amp;TEXT(B55,"00")&amp;"-"&amp;TEXT(C55,"yyyymmdd")&amp;"-"&amp;D55&amp;"-H"&amp;TEXT(E55,"00")&amp;"-"&amp;H55)</f>
        <v>SAMP-KG01-L22-20251024-ORD-2025-00057-H23-Overpress</v>
      </c>
      <c r="K55" s="1" t="str">
        <f aca="false">IF(A55="","",IF(AND(G55&gt;=0,I55&gt;=0,I55&lt;=G55),"OK","CHECK"))</f>
        <v>OK</v>
      </c>
      <c r="L55" s="1" t="str">
        <f aca="false">IF(A55="","",IF(AND(E55&gt;=0,E55&lt;=23),"OK","CHECK"))</f>
        <v>OK</v>
      </c>
      <c r="M55" s="1" t="str">
        <f aca="false">IF(A55="","",IF(AND(K55="OK",L55="OK"),"OK","CHECK"))</f>
        <v>OK</v>
      </c>
    </row>
    <row r="56" customFormat="false" ht="18" hidden="false" customHeight="true" outlineLevel="0" collapsed="false">
      <c r="A56" s="9" t="s">
        <v>26</v>
      </c>
      <c r="B56" s="10" t="n">
        <v>22</v>
      </c>
      <c r="C56" s="11" t="n">
        <v>45955</v>
      </c>
      <c r="D56" s="9" t="s">
        <v>42</v>
      </c>
      <c r="E56" s="12" t="n">
        <v>9</v>
      </c>
      <c r="F56" s="9" t="s">
        <v>28</v>
      </c>
      <c r="G56" s="13" t="n">
        <v>150</v>
      </c>
      <c r="H56" s="9" t="s">
        <v>30</v>
      </c>
      <c r="I56" s="13" t="n">
        <v>0</v>
      </c>
      <c r="J56" s="1" t="str">
        <f aca="false">IF(A56="","", "SAMP-"&amp;A56&amp;"-L"&amp;TEXT(B56,"00")&amp;"-"&amp;TEXT(C56,"yyyymmdd")&amp;"-"&amp;D56&amp;"-H"&amp;TEXT(E56,"00")&amp;"-"&amp;H56)</f>
        <v>SAMP-KG01-L22-20251025-ORD-2025-00057-H09-Overpress</v>
      </c>
      <c r="K56" s="1" t="str">
        <f aca="false">IF(A56="","",IF(AND(G56&gt;=0,I56&gt;=0,I56&lt;=G56),"OK","CHECK"))</f>
        <v>OK</v>
      </c>
      <c r="L56" s="1" t="str">
        <f aca="false">IF(A56="","",IF(AND(E56&gt;=0,E56&lt;=23),"OK","CHECK"))</f>
        <v>OK</v>
      </c>
      <c r="M56" s="1" t="str">
        <f aca="false">IF(A56="","",IF(AND(K56="OK",L56="OK"),"OK","CHECK"))</f>
        <v>OK</v>
      </c>
    </row>
    <row r="57" customFormat="false" ht="18" hidden="false" customHeight="true" outlineLevel="0" collapsed="false">
      <c r="A57" s="9" t="s">
        <v>26</v>
      </c>
      <c r="B57" s="10" t="n">
        <v>22</v>
      </c>
      <c r="C57" s="11" t="n">
        <v>45955</v>
      </c>
      <c r="D57" s="9" t="s">
        <v>42</v>
      </c>
      <c r="E57" s="12" t="n">
        <v>15</v>
      </c>
      <c r="F57" s="9" t="s">
        <v>28</v>
      </c>
      <c r="G57" s="13" t="n">
        <v>100</v>
      </c>
      <c r="H57" s="9" t="s">
        <v>41</v>
      </c>
      <c r="I57" s="13" t="n">
        <v>2</v>
      </c>
      <c r="J57" s="1" t="str">
        <f aca="false">IF(A57="","", "SAMP-"&amp;A57&amp;"-L"&amp;TEXT(B57,"00")&amp;"-"&amp;TEXT(C57,"yyyymmdd")&amp;"-"&amp;D57&amp;"-H"&amp;TEXT(E57,"00")&amp;"-"&amp;H57)</f>
        <v>SAMP-KG01-L22-20251025-ORD-2025-00057-H15-Chip</v>
      </c>
      <c r="K57" s="1" t="str">
        <f aca="false">IF(A57="","",IF(AND(G57&gt;=0,I57&gt;=0,I57&lt;=G57),"OK","CHECK"))</f>
        <v>OK</v>
      </c>
      <c r="L57" s="1" t="str">
        <f aca="false">IF(A57="","",IF(AND(E57&gt;=0,E57&lt;=23),"OK","CHECK"))</f>
        <v>OK</v>
      </c>
      <c r="M57" s="1" t="str">
        <f aca="false">IF(A57="","",IF(AND(K57="OK",L57="OK"),"OK","CHECK"))</f>
        <v>OK</v>
      </c>
    </row>
    <row r="58" customFormat="false" ht="18" hidden="false" customHeight="true" outlineLevel="0" collapsed="false">
      <c r="A58" s="9" t="s">
        <v>26</v>
      </c>
      <c r="B58" s="10" t="n">
        <v>22</v>
      </c>
      <c r="C58" s="11" t="n">
        <v>45955</v>
      </c>
      <c r="D58" s="9" t="s">
        <v>42</v>
      </c>
      <c r="E58" s="12" t="n">
        <v>20</v>
      </c>
      <c r="F58" s="9" t="s">
        <v>31</v>
      </c>
      <c r="G58" s="13" t="n">
        <v>100</v>
      </c>
      <c r="H58" s="9" t="s">
        <v>34</v>
      </c>
      <c r="I58" s="13" t="n">
        <v>0</v>
      </c>
      <c r="J58" s="1" t="str">
        <f aca="false">IF(A58="","", "SAMP-"&amp;A58&amp;"-L"&amp;TEXT(B58,"00")&amp;"-"&amp;TEXT(C58,"yyyymmdd")&amp;"-"&amp;D58&amp;"-H"&amp;TEXT(E58,"00")&amp;"-"&amp;H58)</f>
        <v>SAMP-KG01-L22-20251025-ORD-2025-00057-H20-Thin Wall</v>
      </c>
      <c r="K58" s="1" t="str">
        <f aca="false">IF(A58="","",IF(AND(G58&gt;=0,I58&gt;=0,I58&lt;=G58),"OK","CHECK"))</f>
        <v>OK</v>
      </c>
      <c r="L58" s="1" t="str">
        <f aca="false">IF(A58="","",IF(AND(E58&gt;=0,E58&lt;=23),"OK","CHECK"))</f>
        <v>OK</v>
      </c>
      <c r="M58" s="1" t="str">
        <f aca="false">IF(A58="","",IF(AND(K58="OK",L58="OK"),"OK","CHECK"))</f>
        <v>OK</v>
      </c>
    </row>
    <row r="59" customFormat="false" ht="18" hidden="false" customHeight="true" outlineLevel="0" collapsed="false">
      <c r="A59" s="9" t="s">
        <v>26</v>
      </c>
      <c r="B59" s="10" t="n">
        <v>22</v>
      </c>
      <c r="C59" s="11" t="n">
        <v>45955</v>
      </c>
      <c r="D59" s="9" t="s">
        <v>42</v>
      </c>
      <c r="E59" s="12" t="n">
        <v>23</v>
      </c>
      <c r="F59" s="9" t="s">
        <v>31</v>
      </c>
      <c r="G59" s="13" t="n">
        <v>200</v>
      </c>
      <c r="H59" s="9" t="s">
        <v>35</v>
      </c>
      <c r="I59" s="13" t="n">
        <v>6</v>
      </c>
      <c r="J59" s="1" t="str">
        <f aca="false">IF(A59="","", "SAMP-"&amp;A59&amp;"-L"&amp;TEXT(B59,"00")&amp;"-"&amp;TEXT(C59,"yyyymmdd")&amp;"-"&amp;D59&amp;"-H"&amp;TEXT(E59,"00")&amp;"-"&amp;H59)</f>
        <v>SAMP-KG01-L22-20251025-ORD-2025-00057-H23-Stone</v>
      </c>
      <c r="K59" s="1" t="str">
        <f aca="false">IF(A59="","",IF(AND(G59&gt;=0,I59&gt;=0,I59&lt;=G59),"OK","CHECK"))</f>
        <v>OK</v>
      </c>
      <c r="L59" s="1" t="str">
        <f aca="false">IF(A59="","",IF(AND(E59&gt;=0,E59&lt;=23),"OK","CHECK"))</f>
        <v>OK</v>
      </c>
      <c r="M59" s="1" t="str">
        <f aca="false">IF(A59="","",IF(AND(K59="OK",L59="OK"),"OK","CHECK"))</f>
        <v>OK</v>
      </c>
    </row>
    <row r="60" customFormat="false" ht="18" hidden="false" customHeight="true" outlineLevel="0" collapsed="false">
      <c r="A60" s="9" t="s">
        <v>26</v>
      </c>
      <c r="B60" s="10" t="n">
        <v>22</v>
      </c>
      <c r="C60" s="11" t="n">
        <v>45956</v>
      </c>
      <c r="D60" s="9" t="s">
        <v>43</v>
      </c>
      <c r="E60" s="12" t="n">
        <v>7</v>
      </c>
      <c r="F60" s="9" t="s">
        <v>28</v>
      </c>
      <c r="G60" s="13" t="n">
        <v>200</v>
      </c>
      <c r="H60" s="9" t="s">
        <v>33</v>
      </c>
      <c r="I60" s="13" t="n">
        <v>14</v>
      </c>
      <c r="J60" s="1" t="str">
        <f aca="false">IF(A60="","", "SAMP-"&amp;A60&amp;"-L"&amp;TEXT(B60,"00")&amp;"-"&amp;TEXT(C60,"yyyymmdd")&amp;"-"&amp;D60&amp;"-H"&amp;TEXT(E60,"00")&amp;"-"&amp;H60)</f>
        <v>SAMP-KG01-L22-20251026-ORD-2025-00058-H07-Distortion</v>
      </c>
      <c r="K60" s="1" t="str">
        <f aca="false">IF(A60="","",IF(AND(G60&gt;=0,I60&gt;=0,I60&lt;=G60),"OK","CHECK"))</f>
        <v>OK</v>
      </c>
      <c r="L60" s="1" t="str">
        <f aca="false">IF(A60="","",IF(AND(E60&gt;=0,E60&lt;=23),"OK","CHECK"))</f>
        <v>OK</v>
      </c>
      <c r="M60" s="1" t="str">
        <f aca="false">IF(A60="","",IF(AND(K60="OK",L60="OK"),"OK","CHECK"))</f>
        <v>OK</v>
      </c>
    </row>
    <row r="61" customFormat="false" ht="18" hidden="false" customHeight="true" outlineLevel="0" collapsed="false">
      <c r="A61" s="9" t="s">
        <v>26</v>
      </c>
      <c r="B61" s="10" t="n">
        <v>22</v>
      </c>
      <c r="C61" s="11" t="n">
        <v>45956</v>
      </c>
      <c r="D61" s="9" t="s">
        <v>43</v>
      </c>
      <c r="E61" s="12" t="n">
        <v>12</v>
      </c>
      <c r="F61" s="9" t="s">
        <v>28</v>
      </c>
      <c r="G61" s="13" t="n">
        <v>100</v>
      </c>
      <c r="H61" s="9" t="s">
        <v>36</v>
      </c>
      <c r="I61" s="13" t="n">
        <v>12</v>
      </c>
      <c r="J61" s="1" t="str">
        <f aca="false">IF(A61="","", "SAMP-"&amp;A61&amp;"-L"&amp;TEXT(B61,"00")&amp;"-"&amp;TEXT(C61,"yyyymmdd")&amp;"-"&amp;D61&amp;"-H"&amp;TEXT(E61,"00")&amp;"-"&amp;H61)</f>
        <v>SAMP-KG01-L22-20251026-ORD-2025-00058-H12-Blister</v>
      </c>
      <c r="K61" s="1" t="str">
        <f aca="false">IF(A61="","",IF(AND(G61&gt;=0,I61&gt;=0,I61&lt;=G61),"OK","CHECK"))</f>
        <v>OK</v>
      </c>
      <c r="L61" s="1" t="str">
        <f aca="false">IF(A61="","",IF(AND(E61&gt;=0,E61&lt;=23),"OK","CHECK"))</f>
        <v>OK</v>
      </c>
      <c r="M61" s="1" t="str">
        <f aca="false">IF(A61="","",IF(AND(K61="OK",L61="OK"),"OK","CHECK"))</f>
        <v>OK</v>
      </c>
    </row>
    <row r="62" customFormat="false" ht="18" hidden="false" customHeight="true" outlineLevel="0" collapsed="false">
      <c r="A62" s="9" t="s">
        <v>26</v>
      </c>
      <c r="B62" s="10" t="n">
        <v>22</v>
      </c>
      <c r="C62" s="11" t="n">
        <v>45956</v>
      </c>
      <c r="D62" s="9" t="s">
        <v>43</v>
      </c>
      <c r="E62" s="12" t="n">
        <v>16</v>
      </c>
      <c r="F62" s="9" t="s">
        <v>28</v>
      </c>
      <c r="G62" s="13" t="n">
        <v>50</v>
      </c>
      <c r="H62" s="9" t="s">
        <v>30</v>
      </c>
      <c r="I62" s="13" t="n">
        <v>1</v>
      </c>
      <c r="J62" s="1" t="str">
        <f aca="false">IF(A62="","", "SAMP-"&amp;A62&amp;"-L"&amp;TEXT(B62,"00")&amp;"-"&amp;TEXT(C62,"yyyymmdd")&amp;"-"&amp;D62&amp;"-H"&amp;TEXT(E62,"00")&amp;"-"&amp;H62)</f>
        <v>SAMP-KG01-L22-20251026-ORD-2025-00058-H16-Overpress</v>
      </c>
      <c r="K62" s="1" t="str">
        <f aca="false">IF(A62="","",IF(AND(G62&gt;=0,I62&gt;=0,I62&lt;=G62),"OK","CHECK"))</f>
        <v>OK</v>
      </c>
      <c r="L62" s="1" t="str">
        <f aca="false">IF(A62="","",IF(AND(E62&gt;=0,E62&lt;=23),"OK","CHECK"))</f>
        <v>OK</v>
      </c>
      <c r="M62" s="1" t="str">
        <f aca="false">IF(A62="","",IF(AND(K62="OK",L62="OK"),"OK","CHECK"))</f>
        <v>OK</v>
      </c>
    </row>
    <row r="63" customFormat="false" ht="18" hidden="false" customHeight="true" outlineLevel="0" collapsed="false">
      <c r="A63" s="9" t="s">
        <v>26</v>
      </c>
      <c r="B63" s="10" t="n">
        <v>22</v>
      </c>
      <c r="C63" s="11" t="n">
        <v>45956</v>
      </c>
      <c r="D63" s="9" t="s">
        <v>43</v>
      </c>
      <c r="E63" s="12" t="n">
        <v>20</v>
      </c>
      <c r="F63" s="9" t="s">
        <v>31</v>
      </c>
      <c r="G63" s="13" t="n">
        <v>100</v>
      </c>
      <c r="H63" s="9" t="s">
        <v>41</v>
      </c>
      <c r="I63" s="13" t="n">
        <v>1</v>
      </c>
      <c r="J63" s="1" t="str">
        <f aca="false">IF(A63="","", "SAMP-"&amp;A63&amp;"-L"&amp;TEXT(B63,"00")&amp;"-"&amp;TEXT(C63,"yyyymmdd")&amp;"-"&amp;D63&amp;"-H"&amp;TEXT(E63,"00")&amp;"-"&amp;H63)</f>
        <v>SAMP-KG01-L22-20251026-ORD-2025-00058-H20-Chip</v>
      </c>
      <c r="K63" s="1" t="str">
        <f aca="false">IF(A63="","",IF(AND(G63&gt;=0,I63&gt;=0,I63&lt;=G63),"OK","CHECK"))</f>
        <v>OK</v>
      </c>
      <c r="L63" s="1" t="str">
        <f aca="false">IF(A63="","",IF(AND(E63&gt;=0,E63&lt;=23),"OK","CHECK"))</f>
        <v>OK</v>
      </c>
      <c r="M63" s="1" t="str">
        <f aca="false">IF(A63="","",IF(AND(K63="OK",L63="OK"),"OK","CHECK"))</f>
        <v>OK</v>
      </c>
    </row>
    <row r="64" customFormat="false" ht="18" hidden="false" customHeight="true" outlineLevel="0" collapsed="false">
      <c r="A64" s="9" t="s">
        <v>26</v>
      </c>
      <c r="B64" s="10" t="n">
        <v>22</v>
      </c>
      <c r="C64" s="11" t="n">
        <v>45956</v>
      </c>
      <c r="D64" s="9" t="s">
        <v>43</v>
      </c>
      <c r="E64" s="12" t="n">
        <v>23</v>
      </c>
      <c r="F64" s="9" t="s">
        <v>31</v>
      </c>
      <c r="G64" s="13" t="n">
        <v>50</v>
      </c>
      <c r="H64" s="9" t="s">
        <v>30</v>
      </c>
      <c r="I64" s="13" t="n">
        <v>0</v>
      </c>
      <c r="J64" s="1" t="str">
        <f aca="false">IF(A64="","", "SAMP-"&amp;A64&amp;"-L"&amp;TEXT(B64,"00")&amp;"-"&amp;TEXT(C64,"yyyymmdd")&amp;"-"&amp;D64&amp;"-H"&amp;TEXT(E64,"00")&amp;"-"&amp;H64)</f>
        <v>SAMP-KG01-L22-20251026-ORD-2025-00058-H23-Overpress</v>
      </c>
      <c r="K64" s="1" t="str">
        <f aca="false">IF(A64="","",IF(AND(G64&gt;=0,I64&gt;=0,I64&lt;=G64),"OK","CHECK"))</f>
        <v>OK</v>
      </c>
      <c r="L64" s="1" t="str">
        <f aca="false">IF(A64="","",IF(AND(E64&gt;=0,E64&lt;=23),"OK","CHECK"))</f>
        <v>OK</v>
      </c>
      <c r="M64" s="1" t="str">
        <f aca="false">IF(A64="","",IF(AND(K64="OK",L64="OK"),"OK","CHECK"))</f>
        <v>OK</v>
      </c>
    </row>
    <row r="65" customFormat="false" ht="18" hidden="false" customHeight="true" outlineLevel="0" collapsed="false">
      <c r="A65" s="9" t="s">
        <v>26</v>
      </c>
      <c r="B65" s="10" t="n">
        <v>23</v>
      </c>
      <c r="C65" s="11" t="n">
        <v>45950</v>
      </c>
      <c r="D65" s="9" t="s">
        <v>44</v>
      </c>
      <c r="E65" s="12" t="n">
        <v>9</v>
      </c>
      <c r="F65" s="9" t="s">
        <v>28</v>
      </c>
      <c r="G65" s="13" t="n">
        <v>100</v>
      </c>
      <c r="H65" s="9" t="s">
        <v>30</v>
      </c>
      <c r="I65" s="13" t="n">
        <v>1</v>
      </c>
      <c r="J65" s="1" t="str">
        <f aca="false">IF(A65="","", "SAMP-"&amp;A65&amp;"-L"&amp;TEXT(B65,"00")&amp;"-"&amp;TEXT(C65,"yyyymmdd")&amp;"-"&amp;D65&amp;"-H"&amp;TEXT(E65,"00")&amp;"-"&amp;H65)</f>
        <v>SAMP-KG01-L23-20251020-ORD-2025-00092-H09-Overpress</v>
      </c>
      <c r="K65" s="1" t="str">
        <f aca="false">IF(A65="","",IF(AND(G65&gt;=0,I65&gt;=0,I65&lt;=G65),"OK","CHECK"))</f>
        <v>OK</v>
      </c>
      <c r="L65" s="1" t="str">
        <f aca="false">IF(A65="","",IF(AND(E65&gt;=0,E65&lt;=23),"OK","CHECK"))</f>
        <v>OK</v>
      </c>
      <c r="M65" s="1" t="str">
        <f aca="false">IF(A65="","",IF(AND(K65="OK",L65="OK"),"OK","CHECK"))</f>
        <v>OK</v>
      </c>
    </row>
    <row r="66" customFormat="false" ht="18" hidden="false" customHeight="true" outlineLevel="0" collapsed="false">
      <c r="A66" s="9" t="s">
        <v>26</v>
      </c>
      <c r="B66" s="10" t="n">
        <v>23</v>
      </c>
      <c r="C66" s="11" t="n">
        <v>45950</v>
      </c>
      <c r="D66" s="9" t="s">
        <v>44</v>
      </c>
      <c r="E66" s="12" t="n">
        <v>15</v>
      </c>
      <c r="F66" s="9" t="s">
        <v>28</v>
      </c>
      <c r="G66" s="13" t="n">
        <v>150</v>
      </c>
      <c r="H66" s="9" t="s">
        <v>34</v>
      </c>
      <c r="I66" s="13" t="n">
        <v>10</v>
      </c>
      <c r="J66" s="1" t="str">
        <f aca="false">IF(A66="","", "SAMP-"&amp;A66&amp;"-L"&amp;TEXT(B66,"00")&amp;"-"&amp;TEXT(C66,"yyyymmdd")&amp;"-"&amp;D66&amp;"-H"&amp;TEXT(E66,"00")&amp;"-"&amp;H66)</f>
        <v>SAMP-KG01-L23-20251020-ORD-2025-00092-H15-Thin Wall</v>
      </c>
      <c r="K66" s="1" t="str">
        <f aca="false">IF(A66="","",IF(AND(G66&gt;=0,I66&gt;=0,I66&lt;=G66),"OK","CHECK"))</f>
        <v>OK</v>
      </c>
      <c r="L66" s="1" t="str">
        <f aca="false">IF(A66="","",IF(AND(E66&gt;=0,E66&lt;=23),"OK","CHECK"))</f>
        <v>OK</v>
      </c>
      <c r="M66" s="1" t="str">
        <f aca="false">IF(A66="","",IF(AND(K66="OK",L66="OK"),"OK","CHECK"))</f>
        <v>OK</v>
      </c>
    </row>
    <row r="67" customFormat="false" ht="18" hidden="false" customHeight="true" outlineLevel="0" collapsed="false">
      <c r="A67" s="9" t="s">
        <v>26</v>
      </c>
      <c r="B67" s="10" t="n">
        <v>23</v>
      </c>
      <c r="C67" s="11" t="n">
        <v>45950</v>
      </c>
      <c r="D67" s="9" t="s">
        <v>44</v>
      </c>
      <c r="E67" s="12" t="n">
        <v>20</v>
      </c>
      <c r="F67" s="9" t="s">
        <v>31</v>
      </c>
      <c r="G67" s="13" t="n">
        <v>50</v>
      </c>
      <c r="H67" s="9" t="s">
        <v>29</v>
      </c>
      <c r="I67" s="13" t="n">
        <v>0</v>
      </c>
      <c r="J67" s="1" t="str">
        <f aca="false">IF(A67="","", "SAMP-"&amp;A67&amp;"-L"&amp;TEXT(B67,"00")&amp;"-"&amp;TEXT(C67,"yyyymmdd")&amp;"-"&amp;D67&amp;"-H"&amp;TEXT(E67,"00")&amp;"-"&amp;H67)</f>
        <v>SAMP-KG01-L23-20251020-ORD-2025-00092-H20-Choke Neck</v>
      </c>
      <c r="K67" s="1" t="str">
        <f aca="false">IF(A67="","",IF(AND(G67&gt;=0,I67&gt;=0,I67&lt;=G67),"OK","CHECK"))</f>
        <v>OK</v>
      </c>
      <c r="L67" s="1" t="str">
        <f aca="false">IF(A67="","",IF(AND(E67&gt;=0,E67&lt;=23),"OK","CHECK"))</f>
        <v>OK</v>
      </c>
      <c r="M67" s="1" t="str">
        <f aca="false">IF(A67="","",IF(AND(K67="OK",L67="OK"),"OK","CHECK"))</f>
        <v>OK</v>
      </c>
    </row>
    <row r="68" customFormat="false" ht="18" hidden="false" customHeight="true" outlineLevel="0" collapsed="false">
      <c r="A68" s="9" t="s">
        <v>26</v>
      </c>
      <c r="B68" s="10" t="n">
        <v>23</v>
      </c>
      <c r="C68" s="11" t="n">
        <v>45950</v>
      </c>
      <c r="D68" s="9" t="s">
        <v>44</v>
      </c>
      <c r="E68" s="12" t="n">
        <v>23</v>
      </c>
      <c r="F68" s="9" t="s">
        <v>31</v>
      </c>
      <c r="G68" s="13" t="n">
        <v>200</v>
      </c>
      <c r="H68" s="9" t="s">
        <v>37</v>
      </c>
      <c r="I68" s="13" t="n">
        <v>10</v>
      </c>
      <c r="J68" s="1" t="str">
        <f aca="false">IF(A68="","", "SAMP-"&amp;A68&amp;"-L"&amp;TEXT(B68,"00")&amp;"-"&amp;TEXT(C68,"yyyymmdd")&amp;"-"&amp;D68&amp;"-H"&amp;TEXT(E68,"00")&amp;"-"&amp;H68)</f>
        <v>SAMP-KG01-L23-20251020-ORD-2025-00092-H23-Bird Swing</v>
      </c>
      <c r="K68" s="1" t="str">
        <f aca="false">IF(A68="","",IF(AND(G68&gt;=0,I68&gt;=0,I68&lt;=G68),"OK","CHECK"))</f>
        <v>OK</v>
      </c>
      <c r="L68" s="1" t="str">
        <f aca="false">IF(A68="","",IF(AND(E68&gt;=0,E68&lt;=23),"OK","CHECK"))</f>
        <v>OK</v>
      </c>
      <c r="M68" s="1" t="str">
        <f aca="false">IF(A68="","",IF(AND(K68="OK",L68="OK"),"OK","CHECK"))</f>
        <v>OK</v>
      </c>
    </row>
    <row r="69" customFormat="false" ht="18" hidden="false" customHeight="true" outlineLevel="0" collapsed="false">
      <c r="A69" s="9" t="s">
        <v>26</v>
      </c>
      <c r="B69" s="10" t="n">
        <v>23</v>
      </c>
      <c r="C69" s="11" t="n">
        <v>45951</v>
      </c>
      <c r="D69" s="9" t="s">
        <v>44</v>
      </c>
      <c r="E69" s="12" t="n">
        <v>9</v>
      </c>
      <c r="F69" s="9" t="s">
        <v>28</v>
      </c>
      <c r="G69" s="13" t="n">
        <v>100</v>
      </c>
      <c r="H69" s="9" t="s">
        <v>41</v>
      </c>
      <c r="I69" s="13" t="n">
        <v>2</v>
      </c>
      <c r="J69" s="1" t="str">
        <f aca="false">IF(A69="","", "SAMP-"&amp;A69&amp;"-L"&amp;TEXT(B69,"00")&amp;"-"&amp;TEXT(C69,"yyyymmdd")&amp;"-"&amp;D69&amp;"-H"&amp;TEXT(E69,"00")&amp;"-"&amp;H69)</f>
        <v>SAMP-KG01-L23-20251021-ORD-2025-00092-H09-Chip</v>
      </c>
      <c r="K69" s="1" t="str">
        <f aca="false">IF(A69="","",IF(AND(G69&gt;=0,I69&gt;=0,I69&lt;=G69),"OK","CHECK"))</f>
        <v>OK</v>
      </c>
      <c r="L69" s="1" t="str">
        <f aca="false">IF(A69="","",IF(AND(E69&gt;=0,E69&lt;=23),"OK","CHECK"))</f>
        <v>OK</v>
      </c>
      <c r="M69" s="1" t="str">
        <f aca="false">IF(A69="","",IF(AND(K69="OK",L69="OK"),"OK","CHECK"))</f>
        <v>OK</v>
      </c>
    </row>
    <row r="70" customFormat="false" ht="18" hidden="false" customHeight="true" outlineLevel="0" collapsed="false">
      <c r="A70" s="9" t="s">
        <v>26</v>
      </c>
      <c r="B70" s="10" t="n">
        <v>23</v>
      </c>
      <c r="C70" s="11" t="n">
        <v>45951</v>
      </c>
      <c r="D70" s="9" t="s">
        <v>44</v>
      </c>
      <c r="E70" s="12" t="n">
        <v>15</v>
      </c>
      <c r="F70" s="9" t="s">
        <v>28</v>
      </c>
      <c r="G70" s="13" t="n">
        <v>50</v>
      </c>
      <c r="H70" s="9" t="s">
        <v>33</v>
      </c>
      <c r="I70" s="13" t="n">
        <v>0</v>
      </c>
      <c r="J70" s="1" t="str">
        <f aca="false">IF(A70="","", "SAMP-"&amp;A70&amp;"-L"&amp;TEXT(B70,"00")&amp;"-"&amp;TEXT(C70,"yyyymmdd")&amp;"-"&amp;D70&amp;"-H"&amp;TEXT(E70,"00")&amp;"-"&amp;H70)</f>
        <v>SAMP-KG01-L23-20251021-ORD-2025-00092-H15-Distortion</v>
      </c>
      <c r="K70" s="1" t="str">
        <f aca="false">IF(A70="","",IF(AND(G70&gt;=0,I70&gt;=0,I70&lt;=G70),"OK","CHECK"))</f>
        <v>OK</v>
      </c>
      <c r="L70" s="1" t="str">
        <f aca="false">IF(A70="","",IF(AND(E70&gt;=0,E70&lt;=23),"OK","CHECK"))</f>
        <v>OK</v>
      </c>
      <c r="M70" s="1" t="str">
        <f aca="false">IF(A70="","",IF(AND(K70="OK",L70="OK"),"OK","CHECK"))</f>
        <v>OK</v>
      </c>
    </row>
    <row r="71" customFormat="false" ht="18" hidden="false" customHeight="true" outlineLevel="0" collapsed="false">
      <c r="A71" s="9" t="s">
        <v>26</v>
      </c>
      <c r="B71" s="10" t="n">
        <v>23</v>
      </c>
      <c r="C71" s="11" t="n">
        <v>45951</v>
      </c>
      <c r="D71" s="9" t="s">
        <v>44</v>
      </c>
      <c r="E71" s="12" t="n">
        <v>20</v>
      </c>
      <c r="F71" s="9" t="s">
        <v>31</v>
      </c>
      <c r="G71" s="13" t="n">
        <v>200</v>
      </c>
      <c r="H71" s="9" t="s">
        <v>34</v>
      </c>
      <c r="I71" s="13" t="n">
        <v>4</v>
      </c>
      <c r="J71" s="1" t="str">
        <f aca="false">IF(A71="","", "SAMP-"&amp;A71&amp;"-L"&amp;TEXT(B71,"00")&amp;"-"&amp;TEXT(C71,"yyyymmdd")&amp;"-"&amp;D71&amp;"-H"&amp;TEXT(E71,"00")&amp;"-"&amp;H71)</f>
        <v>SAMP-KG01-L23-20251021-ORD-2025-00092-H20-Thin Wall</v>
      </c>
      <c r="K71" s="1" t="str">
        <f aca="false">IF(A71="","",IF(AND(G71&gt;=0,I71&gt;=0,I71&lt;=G71),"OK","CHECK"))</f>
        <v>OK</v>
      </c>
      <c r="L71" s="1" t="str">
        <f aca="false">IF(A71="","",IF(AND(E71&gt;=0,E71&lt;=23),"OK","CHECK"))</f>
        <v>OK</v>
      </c>
      <c r="M71" s="1" t="str">
        <f aca="false">IF(A71="","",IF(AND(K71="OK",L71="OK"),"OK","CHECK"))</f>
        <v>OK</v>
      </c>
    </row>
    <row r="72" customFormat="false" ht="18" hidden="false" customHeight="true" outlineLevel="0" collapsed="false">
      <c r="A72" s="9" t="s">
        <v>26</v>
      </c>
      <c r="B72" s="10" t="n">
        <v>23</v>
      </c>
      <c r="C72" s="11" t="n">
        <v>45951</v>
      </c>
      <c r="D72" s="9" t="s">
        <v>44</v>
      </c>
      <c r="E72" s="12" t="n">
        <v>23</v>
      </c>
      <c r="F72" s="9" t="s">
        <v>31</v>
      </c>
      <c r="G72" s="13" t="n">
        <v>50</v>
      </c>
      <c r="H72" s="9" t="s">
        <v>38</v>
      </c>
      <c r="I72" s="13" t="n">
        <v>1</v>
      </c>
      <c r="J72" s="1" t="str">
        <f aca="false">IF(A72="","", "SAMP-"&amp;A72&amp;"-L"&amp;TEXT(B72,"00")&amp;"-"&amp;TEXT(C72,"yyyymmdd")&amp;"-"&amp;D72&amp;"-H"&amp;TEXT(E72,"00")&amp;"-"&amp;H72)</f>
        <v>SAMP-KG01-L23-20251021-ORD-2025-00092-H23-Crack</v>
      </c>
      <c r="K72" s="1" t="str">
        <f aca="false">IF(A72="","",IF(AND(G72&gt;=0,I72&gt;=0,I72&lt;=G72),"OK","CHECK"))</f>
        <v>OK</v>
      </c>
      <c r="L72" s="1" t="str">
        <f aca="false">IF(A72="","",IF(AND(E72&gt;=0,E72&lt;=23),"OK","CHECK"))</f>
        <v>OK</v>
      </c>
      <c r="M72" s="1" t="str">
        <f aca="false">IF(A72="","",IF(AND(K72="OK",L72="OK"),"OK","CHECK"))</f>
        <v>OK</v>
      </c>
    </row>
    <row r="73" customFormat="false" ht="18" hidden="false" customHeight="true" outlineLevel="0" collapsed="false">
      <c r="A73" s="9" t="s">
        <v>26</v>
      </c>
      <c r="B73" s="10" t="n">
        <v>23</v>
      </c>
      <c r="C73" s="11" t="n">
        <v>45952</v>
      </c>
      <c r="D73" s="9" t="s">
        <v>45</v>
      </c>
      <c r="E73" s="12" t="n">
        <v>9</v>
      </c>
      <c r="F73" s="9" t="s">
        <v>28</v>
      </c>
      <c r="G73" s="13" t="n">
        <v>150</v>
      </c>
      <c r="H73" s="9" t="s">
        <v>36</v>
      </c>
      <c r="I73" s="13" t="n">
        <v>5</v>
      </c>
      <c r="J73" s="1" t="str">
        <f aca="false">IF(A73="","", "SAMP-"&amp;A73&amp;"-L"&amp;TEXT(B73,"00")&amp;"-"&amp;TEXT(C73,"yyyymmdd")&amp;"-"&amp;D73&amp;"-H"&amp;TEXT(E73,"00")&amp;"-"&amp;H73)</f>
        <v>SAMP-KG01-L23-20251022-ORD-2025-00093-H09-Blister</v>
      </c>
      <c r="K73" s="1" t="str">
        <f aca="false">IF(A73="","",IF(AND(G73&gt;=0,I73&gt;=0,I73&lt;=G73),"OK","CHECK"))</f>
        <v>OK</v>
      </c>
      <c r="L73" s="1" t="str">
        <f aca="false">IF(A73="","",IF(AND(E73&gt;=0,E73&lt;=23),"OK","CHECK"))</f>
        <v>OK</v>
      </c>
      <c r="M73" s="1" t="str">
        <f aca="false">IF(A73="","",IF(AND(K73="OK",L73="OK"),"OK","CHECK"))</f>
        <v>OK</v>
      </c>
    </row>
    <row r="74" customFormat="false" ht="18" hidden="false" customHeight="true" outlineLevel="0" collapsed="false">
      <c r="A74" s="9" t="s">
        <v>26</v>
      </c>
      <c r="B74" s="10" t="n">
        <v>23</v>
      </c>
      <c r="C74" s="11" t="n">
        <v>45952</v>
      </c>
      <c r="D74" s="9" t="s">
        <v>45</v>
      </c>
      <c r="E74" s="12" t="n">
        <v>15</v>
      </c>
      <c r="F74" s="9" t="s">
        <v>28</v>
      </c>
      <c r="G74" s="13" t="n">
        <v>200</v>
      </c>
      <c r="H74" s="9" t="s">
        <v>35</v>
      </c>
      <c r="I74" s="13" t="n">
        <v>7</v>
      </c>
      <c r="J74" s="1" t="str">
        <f aca="false">IF(A74="","", "SAMP-"&amp;A74&amp;"-L"&amp;TEXT(B74,"00")&amp;"-"&amp;TEXT(C74,"yyyymmdd")&amp;"-"&amp;D74&amp;"-H"&amp;TEXT(E74,"00")&amp;"-"&amp;H74)</f>
        <v>SAMP-KG01-L23-20251022-ORD-2025-00093-H15-Stone</v>
      </c>
      <c r="K74" s="1" t="str">
        <f aca="false">IF(A74="","",IF(AND(G74&gt;=0,I74&gt;=0,I74&lt;=G74),"OK","CHECK"))</f>
        <v>OK</v>
      </c>
      <c r="L74" s="1" t="str">
        <f aca="false">IF(A74="","",IF(AND(E74&gt;=0,E74&lt;=23),"OK","CHECK"))</f>
        <v>OK</v>
      </c>
      <c r="M74" s="1" t="str">
        <f aca="false">IF(A74="","",IF(AND(K74="OK",L74="OK"),"OK","CHECK"))</f>
        <v>OK</v>
      </c>
    </row>
    <row r="75" customFormat="false" ht="18" hidden="false" customHeight="true" outlineLevel="0" collapsed="false">
      <c r="A75" s="9" t="s">
        <v>26</v>
      </c>
      <c r="B75" s="10" t="n">
        <v>23</v>
      </c>
      <c r="C75" s="11" t="n">
        <v>45952</v>
      </c>
      <c r="D75" s="9" t="s">
        <v>45</v>
      </c>
      <c r="E75" s="12" t="n">
        <v>20</v>
      </c>
      <c r="F75" s="9" t="s">
        <v>31</v>
      </c>
      <c r="G75" s="13" t="n">
        <v>50</v>
      </c>
      <c r="H75" s="9" t="s">
        <v>36</v>
      </c>
      <c r="I75" s="13" t="n">
        <v>2</v>
      </c>
      <c r="J75" s="1" t="str">
        <f aca="false">IF(A75="","", "SAMP-"&amp;A75&amp;"-L"&amp;TEXT(B75,"00")&amp;"-"&amp;TEXT(C75,"yyyymmdd")&amp;"-"&amp;D75&amp;"-H"&amp;TEXT(E75,"00")&amp;"-"&amp;H75)</f>
        <v>SAMP-KG01-L23-20251022-ORD-2025-00093-H20-Blister</v>
      </c>
      <c r="K75" s="1" t="str">
        <f aca="false">IF(A75="","",IF(AND(G75&gt;=0,I75&gt;=0,I75&lt;=G75),"OK","CHECK"))</f>
        <v>OK</v>
      </c>
      <c r="L75" s="1" t="str">
        <f aca="false">IF(A75="","",IF(AND(E75&gt;=0,E75&lt;=23),"OK","CHECK"))</f>
        <v>OK</v>
      </c>
      <c r="M75" s="1" t="str">
        <f aca="false">IF(A75="","",IF(AND(K75="OK",L75="OK"),"OK","CHECK"))</f>
        <v>OK</v>
      </c>
    </row>
    <row r="76" customFormat="false" ht="18" hidden="false" customHeight="true" outlineLevel="0" collapsed="false">
      <c r="A76" s="9" t="s">
        <v>26</v>
      </c>
      <c r="B76" s="10" t="n">
        <v>23</v>
      </c>
      <c r="C76" s="11" t="n">
        <v>45952</v>
      </c>
      <c r="D76" s="9" t="s">
        <v>45</v>
      </c>
      <c r="E76" s="12" t="n">
        <v>23</v>
      </c>
      <c r="F76" s="9" t="s">
        <v>31</v>
      </c>
      <c r="G76" s="13" t="n">
        <v>150</v>
      </c>
      <c r="H76" s="9" t="s">
        <v>36</v>
      </c>
      <c r="I76" s="13" t="n">
        <v>2</v>
      </c>
      <c r="J76" s="1" t="str">
        <f aca="false">IF(A76="","", "SAMP-"&amp;A76&amp;"-L"&amp;TEXT(B76,"00")&amp;"-"&amp;TEXT(C76,"yyyymmdd")&amp;"-"&amp;D76&amp;"-H"&amp;TEXT(E76,"00")&amp;"-"&amp;H76)</f>
        <v>SAMP-KG01-L23-20251022-ORD-2025-00093-H23-Blister</v>
      </c>
      <c r="K76" s="1" t="str">
        <f aca="false">IF(A76="","",IF(AND(G76&gt;=0,I76&gt;=0,I76&lt;=G76),"OK","CHECK"))</f>
        <v>OK</v>
      </c>
      <c r="L76" s="1" t="str">
        <f aca="false">IF(A76="","",IF(AND(E76&gt;=0,E76&lt;=23),"OK","CHECK"))</f>
        <v>OK</v>
      </c>
      <c r="M76" s="1" t="str">
        <f aca="false">IF(A76="","",IF(AND(K76="OK",L76="OK"),"OK","CHECK"))</f>
        <v>OK</v>
      </c>
    </row>
    <row r="77" customFormat="false" ht="18" hidden="false" customHeight="true" outlineLevel="0" collapsed="false">
      <c r="A77" s="9" t="s">
        <v>26</v>
      </c>
      <c r="B77" s="10" t="n">
        <v>23</v>
      </c>
      <c r="C77" s="11" t="n">
        <v>45953</v>
      </c>
      <c r="D77" s="9" t="s">
        <v>45</v>
      </c>
      <c r="E77" s="12" t="n">
        <v>9</v>
      </c>
      <c r="F77" s="9" t="s">
        <v>28</v>
      </c>
      <c r="G77" s="13" t="n">
        <v>100</v>
      </c>
      <c r="H77" s="9" t="s">
        <v>29</v>
      </c>
      <c r="I77" s="13" t="n">
        <v>4</v>
      </c>
      <c r="J77" s="1" t="str">
        <f aca="false">IF(A77="","", "SAMP-"&amp;A77&amp;"-L"&amp;TEXT(B77,"00")&amp;"-"&amp;TEXT(C77,"yyyymmdd")&amp;"-"&amp;D77&amp;"-H"&amp;TEXT(E77,"00")&amp;"-"&amp;H77)</f>
        <v>SAMP-KG01-L23-20251023-ORD-2025-00093-H09-Choke Neck</v>
      </c>
      <c r="K77" s="1" t="str">
        <f aca="false">IF(A77="","",IF(AND(G77&gt;=0,I77&gt;=0,I77&lt;=G77),"OK","CHECK"))</f>
        <v>OK</v>
      </c>
      <c r="L77" s="1" t="str">
        <f aca="false">IF(A77="","",IF(AND(E77&gt;=0,E77&lt;=23),"OK","CHECK"))</f>
        <v>OK</v>
      </c>
      <c r="M77" s="1" t="str">
        <f aca="false">IF(A77="","",IF(AND(K77="OK",L77="OK"),"OK","CHECK"))</f>
        <v>OK</v>
      </c>
    </row>
    <row r="78" customFormat="false" ht="18" hidden="false" customHeight="true" outlineLevel="0" collapsed="false">
      <c r="A78" s="9" t="s">
        <v>26</v>
      </c>
      <c r="B78" s="10" t="n">
        <v>23</v>
      </c>
      <c r="C78" s="11" t="n">
        <v>45953</v>
      </c>
      <c r="D78" s="9" t="s">
        <v>45</v>
      </c>
      <c r="E78" s="12" t="n">
        <v>15</v>
      </c>
      <c r="F78" s="9" t="s">
        <v>28</v>
      </c>
      <c r="G78" s="13" t="n">
        <v>150</v>
      </c>
      <c r="H78" s="9" t="s">
        <v>41</v>
      </c>
      <c r="I78" s="13" t="n">
        <v>2</v>
      </c>
      <c r="J78" s="1" t="str">
        <f aca="false">IF(A78="","", "SAMP-"&amp;A78&amp;"-L"&amp;TEXT(B78,"00")&amp;"-"&amp;TEXT(C78,"yyyymmdd")&amp;"-"&amp;D78&amp;"-H"&amp;TEXT(E78,"00")&amp;"-"&amp;H78)</f>
        <v>SAMP-KG01-L23-20251023-ORD-2025-00093-H15-Chip</v>
      </c>
      <c r="K78" s="1" t="str">
        <f aca="false">IF(A78="","",IF(AND(G78&gt;=0,I78&gt;=0,I78&lt;=G78),"OK","CHECK"))</f>
        <v>OK</v>
      </c>
      <c r="L78" s="1" t="str">
        <f aca="false">IF(A78="","",IF(AND(E78&gt;=0,E78&lt;=23),"OK","CHECK"))</f>
        <v>OK</v>
      </c>
      <c r="M78" s="1" t="str">
        <f aca="false">IF(A78="","",IF(AND(K78="OK",L78="OK"),"OK","CHECK"))</f>
        <v>OK</v>
      </c>
    </row>
    <row r="79" customFormat="false" ht="18" hidden="false" customHeight="true" outlineLevel="0" collapsed="false">
      <c r="A79" s="9" t="s">
        <v>26</v>
      </c>
      <c r="B79" s="10" t="n">
        <v>23</v>
      </c>
      <c r="C79" s="11" t="n">
        <v>45953</v>
      </c>
      <c r="D79" s="9" t="s">
        <v>45</v>
      </c>
      <c r="E79" s="12" t="n">
        <v>20</v>
      </c>
      <c r="F79" s="9" t="s">
        <v>31</v>
      </c>
      <c r="G79" s="13" t="n">
        <v>50</v>
      </c>
      <c r="H79" s="9" t="s">
        <v>30</v>
      </c>
      <c r="I79" s="13" t="n">
        <v>1</v>
      </c>
      <c r="J79" s="1" t="str">
        <f aca="false">IF(A79="","", "SAMP-"&amp;A79&amp;"-L"&amp;TEXT(B79,"00")&amp;"-"&amp;TEXT(C79,"yyyymmdd")&amp;"-"&amp;D79&amp;"-H"&amp;TEXT(E79,"00")&amp;"-"&amp;H79)</f>
        <v>SAMP-KG01-L23-20251023-ORD-2025-00093-H20-Overpress</v>
      </c>
      <c r="K79" s="1" t="str">
        <f aca="false">IF(A79="","",IF(AND(G79&gt;=0,I79&gt;=0,I79&lt;=G79),"OK","CHECK"))</f>
        <v>OK</v>
      </c>
      <c r="L79" s="1" t="str">
        <f aca="false">IF(A79="","",IF(AND(E79&gt;=0,E79&lt;=23),"OK","CHECK"))</f>
        <v>OK</v>
      </c>
      <c r="M79" s="1" t="str">
        <f aca="false">IF(A79="","",IF(AND(K79="OK",L79="OK"),"OK","CHECK"))</f>
        <v>OK</v>
      </c>
    </row>
    <row r="80" customFormat="false" ht="18" hidden="false" customHeight="true" outlineLevel="0" collapsed="false">
      <c r="A80" s="9" t="s">
        <v>26</v>
      </c>
      <c r="B80" s="10" t="n">
        <v>23</v>
      </c>
      <c r="C80" s="11" t="n">
        <v>45953</v>
      </c>
      <c r="D80" s="9" t="s">
        <v>45</v>
      </c>
      <c r="E80" s="12" t="n">
        <v>23</v>
      </c>
      <c r="F80" s="9" t="s">
        <v>31</v>
      </c>
      <c r="G80" s="13" t="n">
        <v>200</v>
      </c>
      <c r="H80" s="9" t="s">
        <v>33</v>
      </c>
      <c r="I80" s="13" t="n">
        <v>4</v>
      </c>
      <c r="J80" s="1" t="str">
        <f aca="false">IF(A80="","", "SAMP-"&amp;A80&amp;"-L"&amp;TEXT(B80,"00")&amp;"-"&amp;TEXT(C80,"yyyymmdd")&amp;"-"&amp;D80&amp;"-H"&amp;TEXT(E80,"00")&amp;"-"&amp;H80)</f>
        <v>SAMP-KG01-L23-20251023-ORD-2025-00093-H23-Distortion</v>
      </c>
      <c r="K80" s="1" t="str">
        <f aca="false">IF(A80="","",IF(AND(G80&gt;=0,I80&gt;=0,I80&lt;=G80),"OK","CHECK"))</f>
        <v>OK</v>
      </c>
      <c r="L80" s="1" t="str">
        <f aca="false">IF(A80="","",IF(AND(E80&gt;=0,E80&lt;=23),"OK","CHECK"))</f>
        <v>OK</v>
      </c>
      <c r="M80" s="1" t="str">
        <f aca="false">IF(A80="","",IF(AND(K80="OK",L80="OK"),"OK","CHECK"))</f>
        <v>OK</v>
      </c>
    </row>
    <row r="81" customFormat="false" ht="18" hidden="false" customHeight="true" outlineLevel="0" collapsed="false">
      <c r="A81" s="9" t="s">
        <v>26</v>
      </c>
      <c r="B81" s="10" t="n">
        <v>23</v>
      </c>
      <c r="C81" s="11" t="n">
        <v>45954</v>
      </c>
      <c r="D81" s="9" t="s">
        <v>45</v>
      </c>
      <c r="E81" s="12" t="n">
        <v>9</v>
      </c>
      <c r="F81" s="9" t="s">
        <v>28</v>
      </c>
      <c r="G81" s="13" t="n">
        <v>200</v>
      </c>
      <c r="H81" s="9" t="s">
        <v>33</v>
      </c>
      <c r="I81" s="13" t="n">
        <v>6</v>
      </c>
      <c r="J81" s="1" t="str">
        <f aca="false">IF(A81="","", "SAMP-"&amp;A81&amp;"-L"&amp;TEXT(B81,"00")&amp;"-"&amp;TEXT(C81,"yyyymmdd")&amp;"-"&amp;D81&amp;"-H"&amp;TEXT(E81,"00")&amp;"-"&amp;H81)</f>
        <v>SAMP-KG01-L23-20251024-ORD-2025-00093-H09-Distortion</v>
      </c>
      <c r="K81" s="1" t="str">
        <f aca="false">IF(A81="","",IF(AND(G81&gt;=0,I81&gt;=0,I81&lt;=G81),"OK","CHECK"))</f>
        <v>OK</v>
      </c>
      <c r="L81" s="1" t="str">
        <f aca="false">IF(A81="","",IF(AND(E81&gt;=0,E81&lt;=23),"OK","CHECK"))</f>
        <v>OK</v>
      </c>
      <c r="M81" s="1" t="str">
        <f aca="false">IF(A81="","",IF(AND(K81="OK",L81="OK"),"OK","CHECK"))</f>
        <v>OK</v>
      </c>
    </row>
    <row r="82" customFormat="false" ht="18" hidden="false" customHeight="true" outlineLevel="0" collapsed="false">
      <c r="A82" s="9" t="s">
        <v>26</v>
      </c>
      <c r="B82" s="10" t="n">
        <v>23</v>
      </c>
      <c r="C82" s="11" t="n">
        <v>45954</v>
      </c>
      <c r="D82" s="9" t="s">
        <v>45</v>
      </c>
      <c r="E82" s="12" t="n">
        <v>15</v>
      </c>
      <c r="F82" s="9" t="s">
        <v>28</v>
      </c>
      <c r="G82" s="13" t="n">
        <v>100</v>
      </c>
      <c r="H82" s="9" t="s">
        <v>33</v>
      </c>
      <c r="I82" s="13" t="n">
        <v>3</v>
      </c>
      <c r="J82" s="1" t="str">
        <f aca="false">IF(A82="","", "SAMP-"&amp;A82&amp;"-L"&amp;TEXT(B82,"00")&amp;"-"&amp;TEXT(C82,"yyyymmdd")&amp;"-"&amp;D82&amp;"-H"&amp;TEXT(E82,"00")&amp;"-"&amp;H82)</f>
        <v>SAMP-KG01-L23-20251024-ORD-2025-00093-H15-Distortion</v>
      </c>
      <c r="K82" s="1" t="str">
        <f aca="false">IF(A82="","",IF(AND(G82&gt;=0,I82&gt;=0,I82&lt;=G82),"OK","CHECK"))</f>
        <v>OK</v>
      </c>
      <c r="L82" s="1" t="str">
        <f aca="false">IF(A82="","",IF(AND(E82&gt;=0,E82&lt;=23),"OK","CHECK"))</f>
        <v>OK</v>
      </c>
      <c r="M82" s="1" t="str">
        <f aca="false">IF(A82="","",IF(AND(K82="OK",L82="OK"),"OK","CHECK"))</f>
        <v>OK</v>
      </c>
    </row>
    <row r="83" customFormat="false" ht="18" hidden="false" customHeight="true" outlineLevel="0" collapsed="false">
      <c r="A83" s="9" t="s">
        <v>26</v>
      </c>
      <c r="B83" s="10" t="n">
        <v>23</v>
      </c>
      <c r="C83" s="11" t="n">
        <v>45954</v>
      </c>
      <c r="D83" s="9" t="s">
        <v>45</v>
      </c>
      <c r="E83" s="12" t="n">
        <v>20</v>
      </c>
      <c r="F83" s="9" t="s">
        <v>31</v>
      </c>
      <c r="G83" s="13" t="n">
        <v>200</v>
      </c>
      <c r="H83" s="9" t="s">
        <v>30</v>
      </c>
      <c r="I83" s="13" t="n">
        <v>0</v>
      </c>
      <c r="J83" s="1" t="str">
        <f aca="false">IF(A83="","", "SAMP-"&amp;A83&amp;"-L"&amp;TEXT(B83,"00")&amp;"-"&amp;TEXT(C83,"yyyymmdd")&amp;"-"&amp;D83&amp;"-H"&amp;TEXT(E83,"00")&amp;"-"&amp;H83)</f>
        <v>SAMP-KG01-L23-20251024-ORD-2025-00093-H20-Overpress</v>
      </c>
      <c r="K83" s="1" t="str">
        <f aca="false">IF(A83="","",IF(AND(G83&gt;=0,I83&gt;=0,I83&lt;=G83),"OK","CHECK"))</f>
        <v>OK</v>
      </c>
      <c r="L83" s="1" t="str">
        <f aca="false">IF(A83="","",IF(AND(E83&gt;=0,E83&lt;=23),"OK","CHECK"))</f>
        <v>OK</v>
      </c>
      <c r="M83" s="1" t="str">
        <f aca="false">IF(A83="","",IF(AND(K83="OK",L83="OK"),"OK","CHECK"))</f>
        <v>OK</v>
      </c>
    </row>
    <row r="84" customFormat="false" ht="18" hidden="false" customHeight="true" outlineLevel="0" collapsed="false">
      <c r="A84" s="9" t="s">
        <v>26</v>
      </c>
      <c r="B84" s="10" t="n">
        <v>23</v>
      </c>
      <c r="C84" s="11" t="n">
        <v>45954</v>
      </c>
      <c r="D84" s="9" t="s">
        <v>45</v>
      </c>
      <c r="E84" s="12" t="n">
        <v>23</v>
      </c>
      <c r="F84" s="9" t="s">
        <v>31</v>
      </c>
      <c r="G84" s="13" t="n">
        <v>100</v>
      </c>
      <c r="H84" s="9" t="s">
        <v>33</v>
      </c>
      <c r="I84" s="13" t="n">
        <v>2</v>
      </c>
      <c r="J84" s="1" t="str">
        <f aca="false">IF(A84="","", "SAMP-"&amp;A84&amp;"-L"&amp;TEXT(B84,"00")&amp;"-"&amp;TEXT(C84,"yyyymmdd")&amp;"-"&amp;D84&amp;"-H"&amp;TEXT(E84,"00")&amp;"-"&amp;H84)</f>
        <v>SAMP-KG01-L23-20251024-ORD-2025-00093-H23-Distortion</v>
      </c>
      <c r="K84" s="1" t="str">
        <f aca="false">IF(A84="","",IF(AND(G84&gt;=0,I84&gt;=0,I84&lt;=G84),"OK","CHECK"))</f>
        <v>OK</v>
      </c>
      <c r="L84" s="1" t="str">
        <f aca="false">IF(A84="","",IF(AND(E84&gt;=0,E84&lt;=23),"OK","CHECK"))</f>
        <v>OK</v>
      </c>
      <c r="M84" s="1" t="str">
        <f aca="false">IF(A84="","",IF(AND(K84="OK",L84="OK"),"OK","CHECK"))</f>
        <v>OK</v>
      </c>
    </row>
    <row r="85" customFormat="false" ht="18" hidden="false" customHeight="true" outlineLevel="0" collapsed="false">
      <c r="A85" s="9" t="s">
        <v>26</v>
      </c>
      <c r="B85" s="10" t="n">
        <v>23</v>
      </c>
      <c r="C85" s="11" t="n">
        <v>45955</v>
      </c>
      <c r="D85" s="9" t="s">
        <v>45</v>
      </c>
      <c r="E85" s="12" t="n">
        <v>9</v>
      </c>
      <c r="F85" s="9" t="s">
        <v>28</v>
      </c>
      <c r="G85" s="13" t="n">
        <v>50</v>
      </c>
      <c r="H85" s="9" t="s">
        <v>30</v>
      </c>
      <c r="I85" s="13" t="n">
        <v>1</v>
      </c>
      <c r="J85" s="1" t="str">
        <f aca="false">IF(A85="","", "SAMP-"&amp;A85&amp;"-L"&amp;TEXT(B85,"00")&amp;"-"&amp;TEXT(C85,"yyyymmdd")&amp;"-"&amp;D85&amp;"-H"&amp;TEXT(E85,"00")&amp;"-"&amp;H85)</f>
        <v>SAMP-KG01-L23-20251025-ORD-2025-00093-H09-Overpress</v>
      </c>
      <c r="K85" s="1" t="str">
        <f aca="false">IF(A85="","",IF(AND(G85&gt;=0,I85&gt;=0,I85&lt;=G85),"OK","CHECK"))</f>
        <v>OK</v>
      </c>
      <c r="L85" s="1" t="str">
        <f aca="false">IF(A85="","",IF(AND(E85&gt;=0,E85&lt;=23),"OK","CHECK"))</f>
        <v>OK</v>
      </c>
      <c r="M85" s="1" t="str">
        <f aca="false">IF(A85="","",IF(AND(K85="OK",L85="OK"),"OK","CHECK"))</f>
        <v>OK</v>
      </c>
    </row>
    <row r="86" customFormat="false" ht="18" hidden="false" customHeight="true" outlineLevel="0" collapsed="false">
      <c r="A86" s="9" t="s">
        <v>26</v>
      </c>
      <c r="B86" s="10" t="n">
        <v>23</v>
      </c>
      <c r="C86" s="11" t="n">
        <v>45955</v>
      </c>
      <c r="D86" s="9" t="s">
        <v>45</v>
      </c>
      <c r="E86" s="12" t="n">
        <v>15</v>
      </c>
      <c r="F86" s="9" t="s">
        <v>28</v>
      </c>
      <c r="G86" s="13" t="n">
        <v>150</v>
      </c>
      <c r="H86" s="9" t="s">
        <v>38</v>
      </c>
      <c r="I86" s="13" t="n">
        <v>6</v>
      </c>
      <c r="J86" s="1" t="str">
        <f aca="false">IF(A86="","", "SAMP-"&amp;A86&amp;"-L"&amp;TEXT(B86,"00")&amp;"-"&amp;TEXT(C86,"yyyymmdd")&amp;"-"&amp;D86&amp;"-H"&amp;TEXT(E86,"00")&amp;"-"&amp;H86)</f>
        <v>SAMP-KG01-L23-20251025-ORD-2025-00093-H15-Crack</v>
      </c>
      <c r="K86" s="1" t="str">
        <f aca="false">IF(A86="","",IF(AND(G86&gt;=0,I86&gt;=0,I86&lt;=G86),"OK","CHECK"))</f>
        <v>OK</v>
      </c>
      <c r="L86" s="1" t="str">
        <f aca="false">IF(A86="","",IF(AND(E86&gt;=0,E86&lt;=23),"OK","CHECK"))</f>
        <v>OK</v>
      </c>
      <c r="M86" s="1" t="str">
        <f aca="false">IF(A86="","",IF(AND(K86="OK",L86="OK"),"OK","CHECK"))</f>
        <v>OK</v>
      </c>
    </row>
    <row r="87" customFormat="false" ht="18" hidden="false" customHeight="true" outlineLevel="0" collapsed="false">
      <c r="A87" s="9" t="s">
        <v>26</v>
      </c>
      <c r="B87" s="10" t="n">
        <v>23</v>
      </c>
      <c r="C87" s="11" t="n">
        <v>45955</v>
      </c>
      <c r="D87" s="9" t="s">
        <v>45</v>
      </c>
      <c r="E87" s="12" t="n">
        <v>20</v>
      </c>
      <c r="F87" s="9" t="s">
        <v>31</v>
      </c>
      <c r="G87" s="13" t="n">
        <v>150</v>
      </c>
      <c r="H87" s="9" t="s">
        <v>37</v>
      </c>
      <c r="I87" s="13" t="n">
        <v>3</v>
      </c>
      <c r="J87" s="1" t="str">
        <f aca="false">IF(A87="","", "SAMP-"&amp;A87&amp;"-L"&amp;TEXT(B87,"00")&amp;"-"&amp;TEXT(C87,"yyyymmdd")&amp;"-"&amp;D87&amp;"-H"&amp;TEXT(E87,"00")&amp;"-"&amp;H87)</f>
        <v>SAMP-KG01-L23-20251025-ORD-2025-00093-H20-Bird Swing</v>
      </c>
      <c r="K87" s="1" t="str">
        <f aca="false">IF(A87="","",IF(AND(G87&gt;=0,I87&gt;=0,I87&lt;=G87),"OK","CHECK"))</f>
        <v>OK</v>
      </c>
      <c r="L87" s="1" t="str">
        <f aca="false">IF(A87="","",IF(AND(E87&gt;=0,E87&lt;=23),"OK","CHECK"))</f>
        <v>OK</v>
      </c>
      <c r="M87" s="1" t="str">
        <f aca="false">IF(A87="","",IF(AND(K87="OK",L87="OK"),"OK","CHECK"))</f>
        <v>OK</v>
      </c>
    </row>
    <row r="88" customFormat="false" ht="18" hidden="false" customHeight="true" outlineLevel="0" collapsed="false">
      <c r="A88" s="9" t="s">
        <v>26</v>
      </c>
      <c r="B88" s="10" t="n">
        <v>23</v>
      </c>
      <c r="C88" s="11" t="n">
        <v>45955</v>
      </c>
      <c r="D88" s="9" t="s">
        <v>45</v>
      </c>
      <c r="E88" s="12" t="n">
        <v>23</v>
      </c>
      <c r="F88" s="9" t="s">
        <v>31</v>
      </c>
      <c r="G88" s="13" t="n">
        <v>100</v>
      </c>
      <c r="H88" s="9" t="s">
        <v>41</v>
      </c>
      <c r="I88" s="13" t="n">
        <v>2</v>
      </c>
      <c r="J88" s="1" t="str">
        <f aca="false">IF(A88="","", "SAMP-"&amp;A88&amp;"-L"&amp;TEXT(B88,"00")&amp;"-"&amp;TEXT(C88,"yyyymmdd")&amp;"-"&amp;D88&amp;"-H"&amp;TEXT(E88,"00")&amp;"-"&amp;H88)</f>
        <v>SAMP-KG01-L23-20251025-ORD-2025-00093-H23-Chip</v>
      </c>
      <c r="K88" s="1" t="str">
        <f aca="false">IF(A88="","",IF(AND(G88&gt;=0,I88&gt;=0,I88&lt;=G88),"OK","CHECK"))</f>
        <v>OK</v>
      </c>
      <c r="L88" s="1" t="str">
        <f aca="false">IF(A88="","",IF(AND(E88&gt;=0,E88&lt;=23),"OK","CHECK"))</f>
        <v>OK</v>
      </c>
      <c r="M88" s="1" t="str">
        <f aca="false">IF(A88="","",IF(AND(K88="OK",L88="OK"),"OK","CHECK"))</f>
        <v>OK</v>
      </c>
    </row>
    <row r="89" customFormat="false" ht="18" hidden="false" customHeight="true" outlineLevel="0" collapsed="false">
      <c r="A89" s="9" t="s">
        <v>26</v>
      </c>
      <c r="B89" s="10" t="n">
        <v>23</v>
      </c>
      <c r="C89" s="11" t="n">
        <v>45956</v>
      </c>
      <c r="D89" s="9" t="s">
        <v>46</v>
      </c>
      <c r="E89" s="12" t="n">
        <v>7</v>
      </c>
      <c r="F89" s="9" t="s">
        <v>28</v>
      </c>
      <c r="G89" s="13" t="n">
        <v>200</v>
      </c>
      <c r="H89" s="9" t="s">
        <v>30</v>
      </c>
      <c r="I89" s="13" t="n">
        <v>17</v>
      </c>
      <c r="J89" s="1" t="str">
        <f aca="false">IF(A89="","", "SAMP-"&amp;A89&amp;"-L"&amp;TEXT(B89,"00")&amp;"-"&amp;TEXT(C89,"yyyymmdd")&amp;"-"&amp;D89&amp;"-H"&amp;TEXT(E89,"00")&amp;"-"&amp;H89)</f>
        <v>SAMP-KG01-L23-20251026-ORD-2025-00094-H07-Overpress</v>
      </c>
      <c r="K89" s="1" t="str">
        <f aca="false">IF(A89="","",IF(AND(G89&gt;=0,I89&gt;=0,I89&lt;=G89),"OK","CHECK"))</f>
        <v>OK</v>
      </c>
      <c r="L89" s="1" t="str">
        <f aca="false">IF(A89="","",IF(AND(E89&gt;=0,E89&lt;=23),"OK","CHECK"))</f>
        <v>OK</v>
      </c>
      <c r="M89" s="1" t="str">
        <f aca="false">IF(A89="","",IF(AND(K89="OK",L89="OK"),"OK","CHECK"))</f>
        <v>OK</v>
      </c>
    </row>
    <row r="90" customFormat="false" ht="18" hidden="false" customHeight="true" outlineLevel="0" collapsed="false">
      <c r="A90" s="9" t="s">
        <v>26</v>
      </c>
      <c r="B90" s="10" t="n">
        <v>23</v>
      </c>
      <c r="C90" s="11" t="n">
        <v>45956</v>
      </c>
      <c r="D90" s="9" t="s">
        <v>46</v>
      </c>
      <c r="E90" s="12" t="n">
        <v>12</v>
      </c>
      <c r="F90" s="9" t="s">
        <v>28</v>
      </c>
      <c r="G90" s="13" t="n">
        <v>150</v>
      </c>
      <c r="H90" s="9" t="s">
        <v>38</v>
      </c>
      <c r="I90" s="13" t="n">
        <v>11</v>
      </c>
      <c r="J90" s="1" t="str">
        <f aca="false">IF(A90="","", "SAMP-"&amp;A90&amp;"-L"&amp;TEXT(B90,"00")&amp;"-"&amp;TEXT(C90,"yyyymmdd")&amp;"-"&amp;D90&amp;"-H"&amp;TEXT(E90,"00")&amp;"-"&amp;H90)</f>
        <v>SAMP-KG01-L23-20251026-ORD-2025-00094-H12-Crack</v>
      </c>
      <c r="K90" s="1" t="str">
        <f aca="false">IF(A90="","",IF(AND(G90&gt;=0,I90&gt;=0,I90&lt;=G90),"OK","CHECK"))</f>
        <v>OK</v>
      </c>
      <c r="L90" s="1" t="str">
        <f aca="false">IF(A90="","",IF(AND(E90&gt;=0,E90&lt;=23),"OK","CHECK"))</f>
        <v>OK</v>
      </c>
      <c r="M90" s="1" t="str">
        <f aca="false">IF(A90="","",IF(AND(K90="OK",L90="OK"),"OK","CHECK"))</f>
        <v>OK</v>
      </c>
    </row>
    <row r="91" customFormat="false" ht="18" hidden="false" customHeight="true" outlineLevel="0" collapsed="false">
      <c r="A91" s="9" t="s">
        <v>26</v>
      </c>
      <c r="B91" s="10" t="n">
        <v>23</v>
      </c>
      <c r="C91" s="11" t="n">
        <v>45956</v>
      </c>
      <c r="D91" s="9" t="s">
        <v>46</v>
      </c>
      <c r="E91" s="12" t="n">
        <v>16</v>
      </c>
      <c r="F91" s="9" t="s">
        <v>28</v>
      </c>
      <c r="G91" s="13" t="n">
        <v>200</v>
      </c>
      <c r="H91" s="9" t="s">
        <v>37</v>
      </c>
      <c r="I91" s="13" t="n">
        <v>10</v>
      </c>
      <c r="J91" s="1" t="str">
        <f aca="false">IF(A91="","", "SAMP-"&amp;A91&amp;"-L"&amp;TEXT(B91,"00")&amp;"-"&amp;TEXT(C91,"yyyymmdd")&amp;"-"&amp;D91&amp;"-H"&amp;TEXT(E91,"00")&amp;"-"&amp;H91)</f>
        <v>SAMP-KG01-L23-20251026-ORD-2025-00094-H16-Bird Swing</v>
      </c>
      <c r="K91" s="1" t="str">
        <f aca="false">IF(A91="","",IF(AND(G91&gt;=0,I91&gt;=0,I91&lt;=G91),"OK","CHECK"))</f>
        <v>OK</v>
      </c>
      <c r="L91" s="1" t="str">
        <f aca="false">IF(A91="","",IF(AND(E91&gt;=0,E91&lt;=23),"OK","CHECK"))</f>
        <v>OK</v>
      </c>
      <c r="M91" s="1" t="str">
        <f aca="false">IF(A91="","",IF(AND(K91="OK",L91="OK"),"OK","CHECK"))</f>
        <v>OK</v>
      </c>
    </row>
    <row r="92" customFormat="false" ht="18" hidden="false" customHeight="true" outlineLevel="0" collapsed="false">
      <c r="A92" s="9" t="s">
        <v>26</v>
      </c>
      <c r="B92" s="10" t="n">
        <v>23</v>
      </c>
      <c r="C92" s="11" t="n">
        <v>45956</v>
      </c>
      <c r="D92" s="9" t="s">
        <v>46</v>
      </c>
      <c r="E92" s="12" t="n">
        <v>20</v>
      </c>
      <c r="F92" s="9" t="s">
        <v>31</v>
      </c>
      <c r="G92" s="13" t="n">
        <v>200</v>
      </c>
      <c r="H92" s="9" t="s">
        <v>30</v>
      </c>
      <c r="I92" s="13" t="n">
        <v>7</v>
      </c>
      <c r="J92" s="1" t="str">
        <f aca="false">IF(A92="","", "SAMP-"&amp;A92&amp;"-L"&amp;TEXT(B92,"00")&amp;"-"&amp;TEXT(C92,"yyyymmdd")&amp;"-"&amp;D92&amp;"-H"&amp;TEXT(E92,"00")&amp;"-"&amp;H92)</f>
        <v>SAMP-KG01-L23-20251026-ORD-2025-00094-H20-Overpress</v>
      </c>
      <c r="K92" s="1" t="str">
        <f aca="false">IF(A92="","",IF(AND(G92&gt;=0,I92&gt;=0,I92&lt;=G92),"OK","CHECK"))</f>
        <v>OK</v>
      </c>
      <c r="L92" s="1" t="str">
        <f aca="false">IF(A92="","",IF(AND(E92&gt;=0,E92&lt;=23),"OK","CHECK"))</f>
        <v>OK</v>
      </c>
      <c r="M92" s="1" t="str">
        <f aca="false">IF(A92="","",IF(AND(K92="OK",L92="OK"),"OK","CHECK"))</f>
        <v>OK</v>
      </c>
    </row>
    <row r="93" customFormat="false" ht="18" hidden="false" customHeight="true" outlineLevel="0" collapsed="false">
      <c r="A93" s="9" t="s">
        <v>26</v>
      </c>
      <c r="B93" s="10" t="n">
        <v>23</v>
      </c>
      <c r="C93" s="11" t="n">
        <v>45956</v>
      </c>
      <c r="D93" s="9" t="s">
        <v>46</v>
      </c>
      <c r="E93" s="12" t="n">
        <v>23</v>
      </c>
      <c r="F93" s="9" t="s">
        <v>31</v>
      </c>
      <c r="G93" s="13" t="n">
        <v>100</v>
      </c>
      <c r="H93" s="9" t="s">
        <v>34</v>
      </c>
      <c r="I93" s="13" t="n">
        <v>2</v>
      </c>
      <c r="J93" s="1" t="str">
        <f aca="false">IF(A93="","", "SAMP-"&amp;A93&amp;"-L"&amp;TEXT(B93,"00")&amp;"-"&amp;TEXT(C93,"yyyymmdd")&amp;"-"&amp;D93&amp;"-H"&amp;TEXT(E93,"00")&amp;"-"&amp;H93)</f>
        <v>SAMP-KG01-L23-20251026-ORD-2025-00094-H23-Thin Wall</v>
      </c>
      <c r="K93" s="1" t="str">
        <f aca="false">IF(A93="","",IF(AND(G93&gt;=0,I93&gt;=0,I93&lt;=G93),"OK","CHECK"))</f>
        <v>OK</v>
      </c>
      <c r="L93" s="1" t="str">
        <f aca="false">IF(A93="","",IF(AND(E93&gt;=0,E93&lt;=23),"OK","CHECK"))</f>
        <v>OK</v>
      </c>
      <c r="M93" s="1" t="str">
        <f aca="false">IF(A93="","",IF(AND(K93="OK",L93="OK"),"OK","CHECK"))</f>
        <v>OK</v>
      </c>
    </row>
    <row r="94" customFormat="false" ht="18" hidden="false" customHeight="true" outlineLevel="0" collapsed="false">
      <c r="A94" s="9" t="s">
        <v>26</v>
      </c>
      <c r="B94" s="10" t="n">
        <v>24</v>
      </c>
      <c r="C94" s="11" t="n">
        <v>45950</v>
      </c>
      <c r="D94" s="9" t="s">
        <v>47</v>
      </c>
      <c r="E94" s="12" t="n">
        <v>9</v>
      </c>
      <c r="F94" s="9" t="s">
        <v>28</v>
      </c>
      <c r="G94" s="13" t="n">
        <v>200</v>
      </c>
      <c r="H94" s="9" t="s">
        <v>36</v>
      </c>
      <c r="I94" s="13" t="n">
        <v>4</v>
      </c>
      <c r="J94" s="1" t="str">
        <f aca="false">IF(A94="","", "SAMP-"&amp;A94&amp;"-L"&amp;TEXT(B94,"00")&amp;"-"&amp;TEXT(C94,"yyyymmdd")&amp;"-"&amp;D94&amp;"-H"&amp;TEXT(E94,"00")&amp;"-"&amp;H94)</f>
        <v>SAMP-KG01-L24-20251020-ORD-2025-00124-H09-Blister</v>
      </c>
      <c r="K94" s="1" t="str">
        <f aca="false">IF(A94="","",IF(AND(G94&gt;=0,I94&gt;=0,I94&lt;=G94),"OK","CHECK"))</f>
        <v>OK</v>
      </c>
      <c r="L94" s="1" t="str">
        <f aca="false">IF(A94="","",IF(AND(E94&gt;=0,E94&lt;=23),"OK","CHECK"))</f>
        <v>OK</v>
      </c>
      <c r="M94" s="1" t="str">
        <f aca="false">IF(A94="","",IF(AND(K94="OK",L94="OK"),"OK","CHECK"))</f>
        <v>OK</v>
      </c>
    </row>
    <row r="95" customFormat="false" ht="18" hidden="false" customHeight="true" outlineLevel="0" collapsed="false">
      <c r="A95" s="9" t="s">
        <v>26</v>
      </c>
      <c r="B95" s="10" t="n">
        <v>24</v>
      </c>
      <c r="C95" s="11" t="n">
        <v>45950</v>
      </c>
      <c r="D95" s="9" t="s">
        <v>47</v>
      </c>
      <c r="E95" s="12" t="n">
        <v>15</v>
      </c>
      <c r="F95" s="9" t="s">
        <v>28</v>
      </c>
      <c r="G95" s="13" t="n">
        <v>200</v>
      </c>
      <c r="H95" s="9" t="s">
        <v>38</v>
      </c>
      <c r="I95" s="13" t="n">
        <v>1</v>
      </c>
      <c r="J95" s="1" t="str">
        <f aca="false">IF(A95="","", "SAMP-"&amp;A95&amp;"-L"&amp;TEXT(B95,"00")&amp;"-"&amp;TEXT(C95,"yyyymmdd")&amp;"-"&amp;D95&amp;"-H"&amp;TEXT(E95,"00")&amp;"-"&amp;H95)</f>
        <v>SAMP-KG01-L24-20251020-ORD-2025-00124-H15-Crack</v>
      </c>
      <c r="K95" s="1" t="str">
        <f aca="false">IF(A95="","",IF(AND(G95&gt;=0,I95&gt;=0,I95&lt;=G95),"OK","CHECK"))</f>
        <v>OK</v>
      </c>
      <c r="L95" s="1" t="str">
        <f aca="false">IF(A95="","",IF(AND(E95&gt;=0,E95&lt;=23),"OK","CHECK"))</f>
        <v>OK</v>
      </c>
      <c r="M95" s="1" t="str">
        <f aca="false">IF(A95="","",IF(AND(K95="OK",L95="OK"),"OK","CHECK"))</f>
        <v>OK</v>
      </c>
    </row>
    <row r="96" customFormat="false" ht="18" hidden="false" customHeight="true" outlineLevel="0" collapsed="false">
      <c r="A96" s="9" t="s">
        <v>26</v>
      </c>
      <c r="B96" s="10" t="n">
        <v>24</v>
      </c>
      <c r="C96" s="11" t="n">
        <v>45950</v>
      </c>
      <c r="D96" s="9" t="s">
        <v>47</v>
      </c>
      <c r="E96" s="12" t="n">
        <v>20</v>
      </c>
      <c r="F96" s="9" t="s">
        <v>31</v>
      </c>
      <c r="G96" s="13" t="n">
        <v>150</v>
      </c>
      <c r="H96" s="9" t="s">
        <v>34</v>
      </c>
      <c r="I96" s="13" t="n">
        <v>2</v>
      </c>
      <c r="J96" s="1" t="str">
        <f aca="false">IF(A96="","", "SAMP-"&amp;A96&amp;"-L"&amp;TEXT(B96,"00")&amp;"-"&amp;TEXT(C96,"yyyymmdd")&amp;"-"&amp;D96&amp;"-H"&amp;TEXT(E96,"00")&amp;"-"&amp;H96)</f>
        <v>SAMP-KG01-L24-20251020-ORD-2025-00124-H20-Thin Wall</v>
      </c>
      <c r="K96" s="1" t="str">
        <f aca="false">IF(A96="","",IF(AND(G96&gt;=0,I96&gt;=0,I96&lt;=G96),"OK","CHECK"))</f>
        <v>OK</v>
      </c>
      <c r="L96" s="1" t="str">
        <f aca="false">IF(A96="","",IF(AND(E96&gt;=0,E96&lt;=23),"OK","CHECK"))</f>
        <v>OK</v>
      </c>
      <c r="M96" s="1" t="str">
        <f aca="false">IF(A96="","",IF(AND(K96="OK",L96="OK"),"OK","CHECK"))</f>
        <v>OK</v>
      </c>
    </row>
    <row r="97" customFormat="false" ht="18" hidden="false" customHeight="true" outlineLevel="0" collapsed="false">
      <c r="A97" s="9" t="s">
        <v>26</v>
      </c>
      <c r="B97" s="10" t="n">
        <v>24</v>
      </c>
      <c r="C97" s="11" t="n">
        <v>45950</v>
      </c>
      <c r="D97" s="9" t="s">
        <v>47</v>
      </c>
      <c r="E97" s="12" t="n">
        <v>23</v>
      </c>
      <c r="F97" s="9" t="s">
        <v>31</v>
      </c>
      <c r="G97" s="13" t="n">
        <v>150</v>
      </c>
      <c r="H97" s="9" t="s">
        <v>35</v>
      </c>
      <c r="I97" s="13" t="n">
        <v>3</v>
      </c>
      <c r="J97" s="1" t="str">
        <f aca="false">IF(A97="","", "SAMP-"&amp;A97&amp;"-L"&amp;TEXT(B97,"00")&amp;"-"&amp;TEXT(C97,"yyyymmdd")&amp;"-"&amp;D97&amp;"-H"&amp;TEXT(E97,"00")&amp;"-"&amp;H97)</f>
        <v>SAMP-KG01-L24-20251020-ORD-2025-00124-H23-Stone</v>
      </c>
      <c r="K97" s="1" t="str">
        <f aca="false">IF(A97="","",IF(AND(G97&gt;=0,I97&gt;=0,I97&lt;=G97),"OK","CHECK"))</f>
        <v>OK</v>
      </c>
      <c r="L97" s="1" t="str">
        <f aca="false">IF(A97="","",IF(AND(E97&gt;=0,E97&lt;=23),"OK","CHECK"))</f>
        <v>OK</v>
      </c>
      <c r="M97" s="1" t="str">
        <f aca="false">IF(A97="","",IF(AND(K97="OK",L97="OK"),"OK","CHECK"))</f>
        <v>OK</v>
      </c>
    </row>
    <row r="98" customFormat="false" ht="18" hidden="false" customHeight="true" outlineLevel="0" collapsed="false">
      <c r="A98" s="9" t="s">
        <v>26</v>
      </c>
      <c r="B98" s="10" t="n">
        <v>24</v>
      </c>
      <c r="C98" s="11" t="n">
        <v>45951</v>
      </c>
      <c r="D98" s="9" t="s">
        <v>48</v>
      </c>
      <c r="E98" s="12" t="n">
        <v>9</v>
      </c>
      <c r="F98" s="9" t="s">
        <v>28</v>
      </c>
      <c r="G98" s="13" t="n">
        <v>50</v>
      </c>
      <c r="H98" s="9" t="s">
        <v>34</v>
      </c>
      <c r="I98" s="13" t="n">
        <v>1</v>
      </c>
      <c r="J98" s="1" t="str">
        <f aca="false">IF(A98="","", "SAMP-"&amp;A98&amp;"-L"&amp;TEXT(B98,"00")&amp;"-"&amp;TEXT(C98,"yyyymmdd")&amp;"-"&amp;D98&amp;"-H"&amp;TEXT(E98,"00")&amp;"-"&amp;H98)</f>
        <v>SAMP-KG01-L24-20251021-ORD-2025-00125-H09-Thin Wall</v>
      </c>
      <c r="K98" s="1" t="str">
        <f aca="false">IF(A98="","",IF(AND(G98&gt;=0,I98&gt;=0,I98&lt;=G98),"OK","CHECK"))</f>
        <v>OK</v>
      </c>
      <c r="L98" s="1" t="str">
        <f aca="false">IF(A98="","",IF(AND(E98&gt;=0,E98&lt;=23),"OK","CHECK"))</f>
        <v>OK</v>
      </c>
      <c r="M98" s="1" t="str">
        <f aca="false">IF(A98="","",IF(AND(K98="OK",L98="OK"),"OK","CHECK"))</f>
        <v>OK</v>
      </c>
    </row>
    <row r="99" customFormat="false" ht="18" hidden="false" customHeight="true" outlineLevel="0" collapsed="false">
      <c r="A99" s="9" t="s">
        <v>26</v>
      </c>
      <c r="B99" s="10" t="n">
        <v>24</v>
      </c>
      <c r="C99" s="11" t="n">
        <v>45951</v>
      </c>
      <c r="D99" s="9" t="s">
        <v>48</v>
      </c>
      <c r="E99" s="12" t="n">
        <v>15</v>
      </c>
      <c r="F99" s="9" t="s">
        <v>28</v>
      </c>
      <c r="G99" s="13" t="n">
        <v>50</v>
      </c>
      <c r="H99" s="9" t="s">
        <v>30</v>
      </c>
      <c r="I99" s="13" t="n">
        <v>0</v>
      </c>
      <c r="J99" s="1" t="str">
        <f aca="false">IF(A99="","", "SAMP-"&amp;A99&amp;"-L"&amp;TEXT(B99,"00")&amp;"-"&amp;TEXT(C99,"yyyymmdd")&amp;"-"&amp;D99&amp;"-H"&amp;TEXT(E99,"00")&amp;"-"&amp;H99)</f>
        <v>SAMP-KG01-L24-20251021-ORD-2025-00125-H15-Overpress</v>
      </c>
      <c r="K99" s="1" t="str">
        <f aca="false">IF(A99="","",IF(AND(G99&gt;=0,I99&gt;=0,I99&lt;=G99),"OK","CHECK"))</f>
        <v>OK</v>
      </c>
      <c r="L99" s="1" t="str">
        <f aca="false">IF(A99="","",IF(AND(E99&gt;=0,E99&lt;=23),"OK","CHECK"))</f>
        <v>OK</v>
      </c>
      <c r="M99" s="1" t="str">
        <f aca="false">IF(A99="","",IF(AND(K99="OK",L99="OK"),"OK","CHECK"))</f>
        <v>OK</v>
      </c>
    </row>
    <row r="100" customFormat="false" ht="18" hidden="false" customHeight="true" outlineLevel="0" collapsed="false">
      <c r="A100" s="9" t="s">
        <v>26</v>
      </c>
      <c r="B100" s="10" t="n">
        <v>24</v>
      </c>
      <c r="C100" s="11" t="n">
        <v>45951</v>
      </c>
      <c r="D100" s="9" t="s">
        <v>48</v>
      </c>
      <c r="E100" s="12" t="n">
        <v>20</v>
      </c>
      <c r="F100" s="9" t="s">
        <v>31</v>
      </c>
      <c r="G100" s="13" t="n">
        <v>50</v>
      </c>
      <c r="H100" s="9" t="s">
        <v>37</v>
      </c>
      <c r="I100" s="13" t="n">
        <v>2</v>
      </c>
      <c r="J100" s="1" t="str">
        <f aca="false">IF(A100="","", "SAMP-"&amp;A100&amp;"-L"&amp;TEXT(B100,"00")&amp;"-"&amp;TEXT(C100,"yyyymmdd")&amp;"-"&amp;D100&amp;"-H"&amp;TEXT(E100,"00")&amp;"-"&amp;H100)</f>
        <v>SAMP-KG01-L24-20251021-ORD-2025-00125-H20-Bird Swing</v>
      </c>
      <c r="K100" s="1" t="str">
        <f aca="false">IF(A100="","",IF(AND(G100&gt;=0,I100&gt;=0,I100&lt;=G100),"OK","CHECK"))</f>
        <v>OK</v>
      </c>
      <c r="L100" s="1" t="str">
        <f aca="false">IF(A100="","",IF(AND(E100&gt;=0,E100&lt;=23),"OK","CHECK"))</f>
        <v>OK</v>
      </c>
      <c r="M100" s="1" t="str">
        <f aca="false">IF(A100="","",IF(AND(K100="OK",L100="OK"),"OK","CHECK"))</f>
        <v>OK</v>
      </c>
    </row>
    <row r="101" customFormat="false" ht="18" hidden="false" customHeight="true" outlineLevel="0" collapsed="false">
      <c r="A101" s="9" t="s">
        <v>26</v>
      </c>
      <c r="B101" s="10" t="n">
        <v>24</v>
      </c>
      <c r="C101" s="11" t="n">
        <v>45951</v>
      </c>
      <c r="D101" s="9" t="s">
        <v>48</v>
      </c>
      <c r="E101" s="12" t="n">
        <v>23</v>
      </c>
      <c r="F101" s="9" t="s">
        <v>31</v>
      </c>
      <c r="G101" s="13" t="n">
        <v>100</v>
      </c>
      <c r="H101" s="9" t="s">
        <v>41</v>
      </c>
      <c r="I101" s="13" t="n">
        <v>1</v>
      </c>
      <c r="J101" s="1" t="str">
        <f aca="false">IF(A101="","", "SAMP-"&amp;A101&amp;"-L"&amp;TEXT(B101,"00")&amp;"-"&amp;TEXT(C101,"yyyymmdd")&amp;"-"&amp;D101&amp;"-H"&amp;TEXT(E101,"00")&amp;"-"&amp;H101)</f>
        <v>SAMP-KG01-L24-20251021-ORD-2025-00125-H23-Chip</v>
      </c>
      <c r="K101" s="1" t="str">
        <f aca="false">IF(A101="","",IF(AND(G101&gt;=0,I101&gt;=0,I101&lt;=G101),"OK","CHECK"))</f>
        <v>OK</v>
      </c>
      <c r="L101" s="1" t="str">
        <f aca="false">IF(A101="","",IF(AND(E101&gt;=0,E101&lt;=23),"OK","CHECK"))</f>
        <v>OK</v>
      </c>
      <c r="M101" s="1" t="str">
        <f aca="false">IF(A101="","",IF(AND(K101="OK",L101="OK"),"OK","CHECK"))</f>
        <v>OK</v>
      </c>
    </row>
    <row r="102" customFormat="false" ht="18" hidden="false" customHeight="true" outlineLevel="0" collapsed="false">
      <c r="A102" s="9" t="s">
        <v>26</v>
      </c>
      <c r="B102" s="10" t="n">
        <v>24</v>
      </c>
      <c r="C102" s="11" t="n">
        <v>45952</v>
      </c>
      <c r="D102" s="9" t="s">
        <v>48</v>
      </c>
      <c r="E102" s="12" t="n">
        <v>9</v>
      </c>
      <c r="F102" s="9" t="s">
        <v>28</v>
      </c>
      <c r="G102" s="13" t="n">
        <v>200</v>
      </c>
      <c r="H102" s="9" t="s">
        <v>38</v>
      </c>
      <c r="I102" s="13" t="n">
        <v>1</v>
      </c>
      <c r="J102" s="1" t="str">
        <f aca="false">IF(A102="","", "SAMP-"&amp;A102&amp;"-L"&amp;TEXT(B102,"00")&amp;"-"&amp;TEXT(C102,"yyyymmdd")&amp;"-"&amp;D102&amp;"-H"&amp;TEXT(E102,"00")&amp;"-"&amp;H102)</f>
        <v>SAMP-KG01-L24-20251022-ORD-2025-00125-H09-Crack</v>
      </c>
      <c r="K102" s="1" t="str">
        <f aca="false">IF(A102="","",IF(AND(G102&gt;=0,I102&gt;=0,I102&lt;=G102),"OK","CHECK"))</f>
        <v>OK</v>
      </c>
      <c r="L102" s="1" t="str">
        <f aca="false">IF(A102="","",IF(AND(E102&gt;=0,E102&lt;=23),"OK","CHECK"))</f>
        <v>OK</v>
      </c>
      <c r="M102" s="1" t="str">
        <f aca="false">IF(A102="","",IF(AND(K102="OK",L102="OK"),"OK","CHECK"))</f>
        <v>OK</v>
      </c>
    </row>
    <row r="103" customFormat="false" ht="18" hidden="false" customHeight="true" outlineLevel="0" collapsed="false">
      <c r="A103" s="9" t="s">
        <v>26</v>
      </c>
      <c r="B103" s="10" t="n">
        <v>24</v>
      </c>
      <c r="C103" s="11" t="n">
        <v>45952</v>
      </c>
      <c r="D103" s="9" t="s">
        <v>48</v>
      </c>
      <c r="E103" s="12" t="n">
        <v>15</v>
      </c>
      <c r="F103" s="9" t="s">
        <v>28</v>
      </c>
      <c r="G103" s="13" t="n">
        <v>200</v>
      </c>
      <c r="H103" s="9" t="s">
        <v>36</v>
      </c>
      <c r="I103" s="13" t="n">
        <v>3</v>
      </c>
      <c r="J103" s="1" t="str">
        <f aca="false">IF(A103="","", "SAMP-"&amp;A103&amp;"-L"&amp;TEXT(B103,"00")&amp;"-"&amp;TEXT(C103,"yyyymmdd")&amp;"-"&amp;D103&amp;"-H"&amp;TEXT(E103,"00")&amp;"-"&amp;H103)</f>
        <v>SAMP-KG01-L24-20251022-ORD-2025-00125-H15-Blister</v>
      </c>
      <c r="K103" s="1" t="str">
        <f aca="false">IF(A103="","",IF(AND(G103&gt;=0,I103&gt;=0,I103&lt;=G103),"OK","CHECK"))</f>
        <v>OK</v>
      </c>
      <c r="L103" s="1" t="str">
        <f aca="false">IF(A103="","",IF(AND(E103&gt;=0,E103&lt;=23),"OK","CHECK"))</f>
        <v>OK</v>
      </c>
      <c r="M103" s="1" t="str">
        <f aca="false">IF(A103="","",IF(AND(K103="OK",L103="OK"),"OK","CHECK"))</f>
        <v>OK</v>
      </c>
    </row>
    <row r="104" customFormat="false" ht="18" hidden="false" customHeight="true" outlineLevel="0" collapsed="false">
      <c r="A104" s="9" t="s">
        <v>26</v>
      </c>
      <c r="B104" s="10" t="n">
        <v>24</v>
      </c>
      <c r="C104" s="11" t="n">
        <v>45952</v>
      </c>
      <c r="D104" s="9" t="s">
        <v>48</v>
      </c>
      <c r="E104" s="12" t="n">
        <v>20</v>
      </c>
      <c r="F104" s="9" t="s">
        <v>31</v>
      </c>
      <c r="G104" s="13" t="n">
        <v>100</v>
      </c>
      <c r="H104" s="9" t="s">
        <v>37</v>
      </c>
      <c r="I104" s="13" t="n">
        <v>0</v>
      </c>
      <c r="J104" s="1" t="str">
        <f aca="false">IF(A104="","", "SAMP-"&amp;A104&amp;"-L"&amp;TEXT(B104,"00")&amp;"-"&amp;TEXT(C104,"yyyymmdd")&amp;"-"&amp;D104&amp;"-H"&amp;TEXT(E104,"00")&amp;"-"&amp;H104)</f>
        <v>SAMP-KG01-L24-20251022-ORD-2025-00125-H20-Bird Swing</v>
      </c>
      <c r="K104" s="1" t="str">
        <f aca="false">IF(A104="","",IF(AND(G104&gt;=0,I104&gt;=0,I104&lt;=G104),"OK","CHECK"))</f>
        <v>OK</v>
      </c>
      <c r="L104" s="1" t="str">
        <f aca="false">IF(A104="","",IF(AND(E104&gt;=0,E104&lt;=23),"OK","CHECK"))</f>
        <v>OK</v>
      </c>
      <c r="M104" s="1" t="str">
        <f aca="false">IF(A104="","",IF(AND(K104="OK",L104="OK"),"OK","CHECK"))</f>
        <v>OK</v>
      </c>
    </row>
    <row r="105" customFormat="false" ht="18" hidden="false" customHeight="true" outlineLevel="0" collapsed="false">
      <c r="A105" s="9" t="s">
        <v>26</v>
      </c>
      <c r="B105" s="10" t="n">
        <v>24</v>
      </c>
      <c r="C105" s="11" t="n">
        <v>45952</v>
      </c>
      <c r="D105" s="9" t="s">
        <v>48</v>
      </c>
      <c r="E105" s="12" t="n">
        <v>23</v>
      </c>
      <c r="F105" s="9" t="s">
        <v>31</v>
      </c>
      <c r="G105" s="13" t="n">
        <v>50</v>
      </c>
      <c r="H105" s="9" t="s">
        <v>30</v>
      </c>
      <c r="I105" s="13" t="n">
        <v>0</v>
      </c>
      <c r="J105" s="1" t="str">
        <f aca="false">IF(A105="","", "SAMP-"&amp;A105&amp;"-L"&amp;TEXT(B105,"00")&amp;"-"&amp;TEXT(C105,"yyyymmdd")&amp;"-"&amp;D105&amp;"-H"&amp;TEXT(E105,"00")&amp;"-"&amp;H105)</f>
        <v>SAMP-KG01-L24-20251022-ORD-2025-00125-H23-Overpress</v>
      </c>
      <c r="K105" s="1" t="str">
        <f aca="false">IF(A105="","",IF(AND(G105&gt;=0,I105&gt;=0,I105&lt;=G105),"OK","CHECK"))</f>
        <v>OK</v>
      </c>
      <c r="L105" s="1" t="str">
        <f aca="false">IF(A105="","",IF(AND(E105&gt;=0,E105&lt;=23),"OK","CHECK"))</f>
        <v>OK</v>
      </c>
      <c r="M105" s="1" t="str">
        <f aca="false">IF(A105="","",IF(AND(K105="OK",L105="OK"),"OK","CHECK"))</f>
        <v>OK</v>
      </c>
    </row>
    <row r="106" customFormat="false" ht="18" hidden="false" customHeight="true" outlineLevel="0" collapsed="false">
      <c r="A106" s="9" t="s">
        <v>26</v>
      </c>
      <c r="B106" s="10" t="n">
        <v>24</v>
      </c>
      <c r="C106" s="11" t="n">
        <v>45953</v>
      </c>
      <c r="D106" s="9" t="s">
        <v>48</v>
      </c>
      <c r="E106" s="12" t="n">
        <v>9</v>
      </c>
      <c r="F106" s="9" t="s">
        <v>28</v>
      </c>
      <c r="G106" s="13" t="n">
        <v>150</v>
      </c>
      <c r="H106" s="9" t="s">
        <v>34</v>
      </c>
      <c r="I106" s="13" t="n">
        <v>4</v>
      </c>
      <c r="J106" s="1" t="str">
        <f aca="false">IF(A106="","", "SAMP-"&amp;A106&amp;"-L"&amp;TEXT(B106,"00")&amp;"-"&amp;TEXT(C106,"yyyymmdd")&amp;"-"&amp;D106&amp;"-H"&amp;TEXT(E106,"00")&amp;"-"&amp;H106)</f>
        <v>SAMP-KG01-L24-20251023-ORD-2025-00125-H09-Thin Wall</v>
      </c>
      <c r="K106" s="1" t="str">
        <f aca="false">IF(A106="","",IF(AND(G106&gt;=0,I106&gt;=0,I106&lt;=G106),"OK","CHECK"))</f>
        <v>OK</v>
      </c>
      <c r="L106" s="1" t="str">
        <f aca="false">IF(A106="","",IF(AND(E106&gt;=0,E106&lt;=23),"OK","CHECK"))</f>
        <v>OK</v>
      </c>
      <c r="M106" s="1" t="str">
        <f aca="false">IF(A106="","",IF(AND(K106="OK",L106="OK"),"OK","CHECK"))</f>
        <v>OK</v>
      </c>
    </row>
    <row r="107" customFormat="false" ht="18" hidden="false" customHeight="true" outlineLevel="0" collapsed="false">
      <c r="A107" s="9" t="s">
        <v>26</v>
      </c>
      <c r="B107" s="10" t="n">
        <v>24</v>
      </c>
      <c r="C107" s="11" t="n">
        <v>45953</v>
      </c>
      <c r="D107" s="9" t="s">
        <v>48</v>
      </c>
      <c r="E107" s="12" t="n">
        <v>15</v>
      </c>
      <c r="F107" s="9" t="s">
        <v>28</v>
      </c>
      <c r="G107" s="13" t="n">
        <v>150</v>
      </c>
      <c r="H107" s="9" t="s">
        <v>29</v>
      </c>
      <c r="I107" s="13" t="n">
        <v>5</v>
      </c>
      <c r="J107" s="1" t="str">
        <f aca="false">IF(A107="","", "SAMP-"&amp;A107&amp;"-L"&amp;TEXT(B107,"00")&amp;"-"&amp;TEXT(C107,"yyyymmdd")&amp;"-"&amp;D107&amp;"-H"&amp;TEXT(E107,"00")&amp;"-"&amp;H107)</f>
        <v>SAMP-KG01-L24-20251023-ORD-2025-00125-H15-Choke Neck</v>
      </c>
      <c r="K107" s="1" t="str">
        <f aca="false">IF(A107="","",IF(AND(G107&gt;=0,I107&gt;=0,I107&lt;=G107),"OK","CHECK"))</f>
        <v>OK</v>
      </c>
      <c r="L107" s="1" t="str">
        <f aca="false">IF(A107="","",IF(AND(E107&gt;=0,E107&lt;=23),"OK","CHECK"))</f>
        <v>OK</v>
      </c>
      <c r="M107" s="1" t="str">
        <f aca="false">IF(A107="","",IF(AND(K107="OK",L107="OK"),"OK","CHECK"))</f>
        <v>OK</v>
      </c>
    </row>
    <row r="108" customFormat="false" ht="18" hidden="false" customHeight="true" outlineLevel="0" collapsed="false">
      <c r="A108" s="9" t="s">
        <v>26</v>
      </c>
      <c r="B108" s="10" t="n">
        <v>24</v>
      </c>
      <c r="C108" s="11" t="n">
        <v>45953</v>
      </c>
      <c r="D108" s="9" t="s">
        <v>48</v>
      </c>
      <c r="E108" s="12" t="n">
        <v>20</v>
      </c>
      <c r="F108" s="9" t="s">
        <v>31</v>
      </c>
      <c r="G108" s="13" t="n">
        <v>200</v>
      </c>
      <c r="H108" s="9" t="s">
        <v>35</v>
      </c>
      <c r="I108" s="13" t="n">
        <v>3</v>
      </c>
      <c r="J108" s="1" t="str">
        <f aca="false">IF(A108="","", "SAMP-"&amp;A108&amp;"-L"&amp;TEXT(B108,"00")&amp;"-"&amp;TEXT(C108,"yyyymmdd")&amp;"-"&amp;D108&amp;"-H"&amp;TEXT(E108,"00")&amp;"-"&amp;H108)</f>
        <v>SAMP-KG01-L24-20251023-ORD-2025-00125-H20-Stone</v>
      </c>
      <c r="K108" s="1" t="str">
        <f aca="false">IF(A108="","",IF(AND(G108&gt;=0,I108&gt;=0,I108&lt;=G108),"OK","CHECK"))</f>
        <v>OK</v>
      </c>
      <c r="L108" s="1" t="str">
        <f aca="false">IF(A108="","",IF(AND(E108&gt;=0,E108&lt;=23),"OK","CHECK"))</f>
        <v>OK</v>
      </c>
      <c r="M108" s="1" t="str">
        <f aca="false">IF(A108="","",IF(AND(K108="OK",L108="OK"),"OK","CHECK"))</f>
        <v>OK</v>
      </c>
    </row>
    <row r="109" customFormat="false" ht="18" hidden="false" customHeight="true" outlineLevel="0" collapsed="false">
      <c r="A109" s="9" t="s">
        <v>26</v>
      </c>
      <c r="B109" s="10" t="n">
        <v>24</v>
      </c>
      <c r="C109" s="11" t="n">
        <v>45953</v>
      </c>
      <c r="D109" s="9" t="s">
        <v>48</v>
      </c>
      <c r="E109" s="12" t="n">
        <v>23</v>
      </c>
      <c r="F109" s="9" t="s">
        <v>31</v>
      </c>
      <c r="G109" s="13" t="n">
        <v>150</v>
      </c>
      <c r="H109" s="9" t="s">
        <v>35</v>
      </c>
      <c r="I109" s="13" t="n">
        <v>5</v>
      </c>
      <c r="J109" s="1" t="str">
        <f aca="false">IF(A109="","", "SAMP-"&amp;A109&amp;"-L"&amp;TEXT(B109,"00")&amp;"-"&amp;TEXT(C109,"yyyymmdd")&amp;"-"&amp;D109&amp;"-H"&amp;TEXT(E109,"00")&amp;"-"&amp;H109)</f>
        <v>SAMP-KG01-L24-20251023-ORD-2025-00125-H23-Stone</v>
      </c>
      <c r="K109" s="1" t="str">
        <f aca="false">IF(A109="","",IF(AND(G109&gt;=0,I109&gt;=0,I109&lt;=G109),"OK","CHECK"))</f>
        <v>OK</v>
      </c>
      <c r="L109" s="1" t="str">
        <f aca="false">IF(A109="","",IF(AND(E109&gt;=0,E109&lt;=23),"OK","CHECK"))</f>
        <v>OK</v>
      </c>
      <c r="M109" s="1" t="str">
        <f aca="false">IF(A109="","",IF(AND(K109="OK",L109="OK"),"OK","CHECK"))</f>
        <v>OK</v>
      </c>
    </row>
    <row r="110" customFormat="false" ht="18" hidden="false" customHeight="true" outlineLevel="0" collapsed="false">
      <c r="A110" s="9" t="s">
        <v>26</v>
      </c>
      <c r="B110" s="10" t="n">
        <v>24</v>
      </c>
      <c r="C110" s="11" t="n">
        <v>45954</v>
      </c>
      <c r="D110" s="9" t="s">
        <v>48</v>
      </c>
      <c r="E110" s="12" t="n">
        <v>9</v>
      </c>
      <c r="F110" s="9" t="s">
        <v>28</v>
      </c>
      <c r="G110" s="13" t="n">
        <v>150</v>
      </c>
      <c r="H110" s="9" t="s">
        <v>38</v>
      </c>
      <c r="I110" s="13" t="n">
        <v>1</v>
      </c>
      <c r="J110" s="1" t="str">
        <f aca="false">IF(A110="","", "SAMP-"&amp;A110&amp;"-L"&amp;TEXT(B110,"00")&amp;"-"&amp;TEXT(C110,"yyyymmdd")&amp;"-"&amp;D110&amp;"-H"&amp;TEXT(E110,"00")&amp;"-"&amp;H110)</f>
        <v>SAMP-KG01-L24-20251024-ORD-2025-00125-H09-Crack</v>
      </c>
      <c r="K110" s="1" t="str">
        <f aca="false">IF(A110="","",IF(AND(G110&gt;=0,I110&gt;=0,I110&lt;=G110),"OK","CHECK"))</f>
        <v>OK</v>
      </c>
      <c r="L110" s="1" t="str">
        <f aca="false">IF(A110="","",IF(AND(E110&gt;=0,E110&lt;=23),"OK","CHECK"))</f>
        <v>OK</v>
      </c>
      <c r="M110" s="1" t="str">
        <f aca="false">IF(A110="","",IF(AND(K110="OK",L110="OK"),"OK","CHECK"))</f>
        <v>OK</v>
      </c>
    </row>
    <row r="111" customFormat="false" ht="18" hidden="false" customHeight="true" outlineLevel="0" collapsed="false">
      <c r="A111" s="9" t="s">
        <v>26</v>
      </c>
      <c r="B111" s="10" t="n">
        <v>24</v>
      </c>
      <c r="C111" s="11" t="n">
        <v>45954</v>
      </c>
      <c r="D111" s="9" t="s">
        <v>48</v>
      </c>
      <c r="E111" s="12" t="n">
        <v>15</v>
      </c>
      <c r="F111" s="9" t="s">
        <v>28</v>
      </c>
      <c r="G111" s="13" t="n">
        <v>50</v>
      </c>
      <c r="H111" s="9" t="s">
        <v>33</v>
      </c>
      <c r="I111" s="13" t="n">
        <v>1</v>
      </c>
      <c r="J111" s="1" t="str">
        <f aca="false">IF(A111="","", "SAMP-"&amp;A111&amp;"-L"&amp;TEXT(B111,"00")&amp;"-"&amp;TEXT(C111,"yyyymmdd")&amp;"-"&amp;D111&amp;"-H"&amp;TEXT(E111,"00")&amp;"-"&amp;H111)</f>
        <v>SAMP-KG01-L24-20251024-ORD-2025-00125-H15-Distortion</v>
      </c>
      <c r="K111" s="1" t="str">
        <f aca="false">IF(A111="","",IF(AND(G111&gt;=0,I111&gt;=0,I111&lt;=G111),"OK","CHECK"))</f>
        <v>OK</v>
      </c>
      <c r="L111" s="1" t="str">
        <f aca="false">IF(A111="","",IF(AND(E111&gt;=0,E111&lt;=23),"OK","CHECK"))</f>
        <v>OK</v>
      </c>
      <c r="M111" s="1" t="str">
        <f aca="false">IF(A111="","",IF(AND(K111="OK",L111="OK"),"OK","CHECK"))</f>
        <v>OK</v>
      </c>
    </row>
    <row r="112" customFormat="false" ht="18" hidden="false" customHeight="true" outlineLevel="0" collapsed="false">
      <c r="A112" s="9" t="s">
        <v>26</v>
      </c>
      <c r="B112" s="10" t="n">
        <v>24</v>
      </c>
      <c r="C112" s="11" t="n">
        <v>45954</v>
      </c>
      <c r="D112" s="9" t="s">
        <v>48</v>
      </c>
      <c r="E112" s="12" t="n">
        <v>20</v>
      </c>
      <c r="F112" s="9" t="s">
        <v>31</v>
      </c>
      <c r="G112" s="13" t="n">
        <v>50</v>
      </c>
      <c r="H112" s="9" t="s">
        <v>36</v>
      </c>
      <c r="I112" s="13" t="n">
        <v>0</v>
      </c>
      <c r="J112" s="1" t="str">
        <f aca="false">IF(A112="","", "SAMP-"&amp;A112&amp;"-L"&amp;TEXT(B112,"00")&amp;"-"&amp;TEXT(C112,"yyyymmdd")&amp;"-"&amp;D112&amp;"-H"&amp;TEXT(E112,"00")&amp;"-"&amp;H112)</f>
        <v>SAMP-KG01-L24-20251024-ORD-2025-00125-H20-Blister</v>
      </c>
      <c r="K112" s="1" t="str">
        <f aca="false">IF(A112="","",IF(AND(G112&gt;=0,I112&gt;=0,I112&lt;=G112),"OK","CHECK"))</f>
        <v>OK</v>
      </c>
      <c r="L112" s="1" t="str">
        <f aca="false">IF(A112="","",IF(AND(E112&gt;=0,E112&lt;=23),"OK","CHECK"))</f>
        <v>OK</v>
      </c>
      <c r="M112" s="1" t="str">
        <f aca="false">IF(A112="","",IF(AND(K112="OK",L112="OK"),"OK","CHECK"))</f>
        <v>OK</v>
      </c>
    </row>
    <row r="113" customFormat="false" ht="18" hidden="false" customHeight="true" outlineLevel="0" collapsed="false">
      <c r="A113" s="9" t="s">
        <v>26</v>
      </c>
      <c r="B113" s="10" t="n">
        <v>24</v>
      </c>
      <c r="C113" s="11" t="n">
        <v>45954</v>
      </c>
      <c r="D113" s="9" t="s">
        <v>48</v>
      </c>
      <c r="E113" s="12" t="n">
        <v>23</v>
      </c>
      <c r="F113" s="9" t="s">
        <v>31</v>
      </c>
      <c r="G113" s="13" t="n">
        <v>150</v>
      </c>
      <c r="H113" s="9" t="s">
        <v>37</v>
      </c>
      <c r="I113" s="13" t="n">
        <v>1</v>
      </c>
      <c r="J113" s="1" t="str">
        <f aca="false">IF(A113="","", "SAMP-"&amp;A113&amp;"-L"&amp;TEXT(B113,"00")&amp;"-"&amp;TEXT(C113,"yyyymmdd")&amp;"-"&amp;D113&amp;"-H"&amp;TEXT(E113,"00")&amp;"-"&amp;H113)</f>
        <v>SAMP-KG01-L24-20251024-ORD-2025-00125-H23-Bird Swing</v>
      </c>
      <c r="K113" s="1" t="str">
        <f aca="false">IF(A113="","",IF(AND(G113&gt;=0,I113&gt;=0,I113&lt;=G113),"OK","CHECK"))</f>
        <v>OK</v>
      </c>
      <c r="L113" s="1" t="str">
        <f aca="false">IF(A113="","",IF(AND(E113&gt;=0,E113&lt;=23),"OK","CHECK"))</f>
        <v>OK</v>
      </c>
      <c r="M113" s="1" t="str">
        <f aca="false">IF(A113="","",IF(AND(K113="OK",L113="OK"),"OK","CHECK"))</f>
        <v>OK</v>
      </c>
    </row>
    <row r="114" customFormat="false" ht="18" hidden="false" customHeight="true" outlineLevel="0" collapsed="false">
      <c r="A114" s="9" t="s">
        <v>26</v>
      </c>
      <c r="B114" s="10" t="n">
        <v>24</v>
      </c>
      <c r="C114" s="11" t="n">
        <v>45955</v>
      </c>
      <c r="D114" s="9" t="s">
        <v>49</v>
      </c>
      <c r="E114" s="12" t="n">
        <v>9</v>
      </c>
      <c r="F114" s="9" t="s">
        <v>28</v>
      </c>
      <c r="G114" s="13" t="n">
        <v>200</v>
      </c>
      <c r="H114" s="9" t="s">
        <v>34</v>
      </c>
      <c r="I114" s="13" t="n">
        <v>0</v>
      </c>
      <c r="J114" s="1" t="str">
        <f aca="false">IF(A114="","", "SAMP-"&amp;A114&amp;"-L"&amp;TEXT(B114,"00")&amp;"-"&amp;TEXT(C114,"yyyymmdd")&amp;"-"&amp;D114&amp;"-H"&amp;TEXT(E114,"00")&amp;"-"&amp;H114)</f>
        <v>SAMP-KG01-L24-20251025-ORD-2025-00126-H09-Thin Wall</v>
      </c>
      <c r="K114" s="1" t="str">
        <f aca="false">IF(A114="","",IF(AND(G114&gt;=0,I114&gt;=0,I114&lt;=G114),"OK","CHECK"))</f>
        <v>OK</v>
      </c>
      <c r="L114" s="1" t="str">
        <f aca="false">IF(A114="","",IF(AND(E114&gt;=0,E114&lt;=23),"OK","CHECK"))</f>
        <v>OK</v>
      </c>
      <c r="M114" s="1" t="str">
        <f aca="false">IF(A114="","",IF(AND(K114="OK",L114="OK"),"OK","CHECK"))</f>
        <v>OK</v>
      </c>
    </row>
    <row r="115" customFormat="false" ht="18" hidden="false" customHeight="true" outlineLevel="0" collapsed="false">
      <c r="A115" s="9" t="s">
        <v>26</v>
      </c>
      <c r="B115" s="10" t="n">
        <v>24</v>
      </c>
      <c r="C115" s="11" t="n">
        <v>45955</v>
      </c>
      <c r="D115" s="9" t="s">
        <v>49</v>
      </c>
      <c r="E115" s="12" t="n">
        <v>15</v>
      </c>
      <c r="F115" s="9" t="s">
        <v>28</v>
      </c>
      <c r="G115" s="13" t="n">
        <v>50</v>
      </c>
      <c r="H115" s="9" t="s">
        <v>29</v>
      </c>
      <c r="I115" s="13" t="n">
        <v>1</v>
      </c>
      <c r="J115" s="1" t="str">
        <f aca="false">IF(A115="","", "SAMP-"&amp;A115&amp;"-L"&amp;TEXT(B115,"00")&amp;"-"&amp;TEXT(C115,"yyyymmdd")&amp;"-"&amp;D115&amp;"-H"&amp;TEXT(E115,"00")&amp;"-"&amp;H115)</f>
        <v>SAMP-KG01-L24-20251025-ORD-2025-00126-H15-Choke Neck</v>
      </c>
      <c r="K115" s="1" t="str">
        <f aca="false">IF(A115="","",IF(AND(G115&gt;=0,I115&gt;=0,I115&lt;=G115),"OK","CHECK"))</f>
        <v>OK</v>
      </c>
      <c r="L115" s="1" t="str">
        <f aca="false">IF(A115="","",IF(AND(E115&gt;=0,E115&lt;=23),"OK","CHECK"))</f>
        <v>OK</v>
      </c>
      <c r="M115" s="1" t="str">
        <f aca="false">IF(A115="","",IF(AND(K115="OK",L115="OK"),"OK","CHECK"))</f>
        <v>OK</v>
      </c>
    </row>
    <row r="116" customFormat="false" ht="18" hidden="false" customHeight="true" outlineLevel="0" collapsed="false">
      <c r="A116" s="9" t="s">
        <v>26</v>
      </c>
      <c r="B116" s="10" t="n">
        <v>24</v>
      </c>
      <c r="C116" s="11" t="n">
        <v>45955</v>
      </c>
      <c r="D116" s="9" t="s">
        <v>49</v>
      </c>
      <c r="E116" s="12" t="n">
        <v>20</v>
      </c>
      <c r="F116" s="9" t="s">
        <v>31</v>
      </c>
      <c r="G116" s="13" t="n">
        <v>150</v>
      </c>
      <c r="H116" s="9" t="s">
        <v>38</v>
      </c>
      <c r="I116" s="13" t="n">
        <v>2</v>
      </c>
      <c r="J116" s="1" t="str">
        <f aca="false">IF(A116="","", "SAMP-"&amp;A116&amp;"-L"&amp;TEXT(B116,"00")&amp;"-"&amp;TEXT(C116,"yyyymmdd")&amp;"-"&amp;D116&amp;"-H"&amp;TEXT(E116,"00")&amp;"-"&amp;H116)</f>
        <v>SAMP-KG01-L24-20251025-ORD-2025-00126-H20-Crack</v>
      </c>
      <c r="K116" s="1" t="str">
        <f aca="false">IF(A116="","",IF(AND(G116&gt;=0,I116&gt;=0,I116&lt;=G116),"OK","CHECK"))</f>
        <v>OK</v>
      </c>
      <c r="L116" s="1" t="str">
        <f aca="false">IF(A116="","",IF(AND(E116&gt;=0,E116&lt;=23),"OK","CHECK"))</f>
        <v>OK</v>
      </c>
      <c r="M116" s="1" t="str">
        <f aca="false">IF(A116="","",IF(AND(K116="OK",L116="OK"),"OK","CHECK"))</f>
        <v>OK</v>
      </c>
    </row>
    <row r="117" customFormat="false" ht="18" hidden="false" customHeight="true" outlineLevel="0" collapsed="false">
      <c r="A117" s="9" t="s">
        <v>26</v>
      </c>
      <c r="B117" s="10" t="n">
        <v>24</v>
      </c>
      <c r="C117" s="11" t="n">
        <v>45955</v>
      </c>
      <c r="D117" s="9" t="s">
        <v>49</v>
      </c>
      <c r="E117" s="12" t="n">
        <v>23</v>
      </c>
      <c r="F117" s="9" t="s">
        <v>31</v>
      </c>
      <c r="G117" s="13" t="n">
        <v>50</v>
      </c>
      <c r="H117" s="9" t="s">
        <v>38</v>
      </c>
      <c r="I117" s="13" t="n">
        <v>1</v>
      </c>
      <c r="J117" s="1" t="str">
        <f aca="false">IF(A117="","", "SAMP-"&amp;A117&amp;"-L"&amp;TEXT(B117,"00")&amp;"-"&amp;TEXT(C117,"yyyymmdd")&amp;"-"&amp;D117&amp;"-H"&amp;TEXT(E117,"00")&amp;"-"&amp;H117)</f>
        <v>SAMP-KG01-L24-20251025-ORD-2025-00126-H23-Crack</v>
      </c>
      <c r="K117" s="1" t="str">
        <f aca="false">IF(A117="","",IF(AND(G117&gt;=0,I117&gt;=0,I117&lt;=G117),"OK","CHECK"))</f>
        <v>OK</v>
      </c>
      <c r="L117" s="1" t="str">
        <f aca="false">IF(A117="","",IF(AND(E117&gt;=0,E117&lt;=23),"OK","CHECK"))</f>
        <v>OK</v>
      </c>
      <c r="M117" s="1" t="str">
        <f aca="false">IF(A117="","",IF(AND(K117="OK",L117="OK"),"OK","CHECK"))</f>
        <v>OK</v>
      </c>
    </row>
    <row r="118" customFormat="false" ht="18" hidden="false" customHeight="true" outlineLevel="0" collapsed="false">
      <c r="A118" s="9" t="s">
        <v>26</v>
      </c>
      <c r="B118" s="10" t="n">
        <v>24</v>
      </c>
      <c r="C118" s="11" t="n">
        <v>45956</v>
      </c>
      <c r="D118" s="9" t="s">
        <v>49</v>
      </c>
      <c r="E118" s="12" t="n">
        <v>9</v>
      </c>
      <c r="F118" s="9" t="s">
        <v>28</v>
      </c>
      <c r="G118" s="13" t="n">
        <v>100</v>
      </c>
      <c r="H118" s="9" t="s">
        <v>37</v>
      </c>
      <c r="I118" s="13" t="n">
        <v>2</v>
      </c>
      <c r="J118" s="1" t="str">
        <f aca="false">IF(A118="","", "SAMP-"&amp;A118&amp;"-L"&amp;TEXT(B118,"00")&amp;"-"&amp;TEXT(C118,"yyyymmdd")&amp;"-"&amp;D118&amp;"-H"&amp;TEXT(E118,"00")&amp;"-"&amp;H118)</f>
        <v>SAMP-KG01-L24-20251026-ORD-2025-00126-H09-Bird Swing</v>
      </c>
      <c r="K118" s="1" t="str">
        <f aca="false">IF(A118="","",IF(AND(G118&gt;=0,I118&gt;=0,I118&lt;=G118),"OK","CHECK"))</f>
        <v>OK</v>
      </c>
      <c r="L118" s="1" t="str">
        <f aca="false">IF(A118="","",IF(AND(E118&gt;=0,E118&lt;=23),"OK","CHECK"))</f>
        <v>OK</v>
      </c>
      <c r="M118" s="1" t="str">
        <f aca="false">IF(A118="","",IF(AND(K118="OK",L118="OK"),"OK","CHECK"))</f>
        <v>OK</v>
      </c>
    </row>
    <row r="119" customFormat="false" ht="18" hidden="false" customHeight="true" outlineLevel="0" collapsed="false">
      <c r="A119" s="9" t="s">
        <v>26</v>
      </c>
      <c r="B119" s="10" t="n">
        <v>24</v>
      </c>
      <c r="C119" s="11" t="n">
        <v>45956</v>
      </c>
      <c r="D119" s="9" t="s">
        <v>49</v>
      </c>
      <c r="E119" s="12" t="n">
        <v>15</v>
      </c>
      <c r="F119" s="9" t="s">
        <v>28</v>
      </c>
      <c r="G119" s="13" t="n">
        <v>150</v>
      </c>
      <c r="H119" s="9" t="s">
        <v>41</v>
      </c>
      <c r="I119" s="13" t="n">
        <v>0</v>
      </c>
      <c r="J119" s="1" t="str">
        <f aca="false">IF(A119="","", "SAMP-"&amp;A119&amp;"-L"&amp;TEXT(B119,"00")&amp;"-"&amp;TEXT(C119,"yyyymmdd")&amp;"-"&amp;D119&amp;"-H"&amp;TEXT(E119,"00")&amp;"-"&amp;H119)</f>
        <v>SAMP-KG01-L24-20251026-ORD-2025-00126-H15-Chip</v>
      </c>
      <c r="K119" s="1" t="str">
        <f aca="false">IF(A119="","",IF(AND(G119&gt;=0,I119&gt;=0,I119&lt;=G119),"OK","CHECK"))</f>
        <v>OK</v>
      </c>
      <c r="L119" s="1" t="str">
        <f aca="false">IF(A119="","",IF(AND(E119&gt;=0,E119&lt;=23),"OK","CHECK"))</f>
        <v>OK</v>
      </c>
      <c r="M119" s="1" t="str">
        <f aca="false">IF(A119="","",IF(AND(K119="OK",L119="OK"),"OK","CHECK"))</f>
        <v>OK</v>
      </c>
    </row>
    <row r="120" customFormat="false" ht="18" hidden="false" customHeight="true" outlineLevel="0" collapsed="false">
      <c r="A120" s="9" t="s">
        <v>26</v>
      </c>
      <c r="B120" s="10" t="n">
        <v>24</v>
      </c>
      <c r="C120" s="11" t="n">
        <v>45956</v>
      </c>
      <c r="D120" s="9" t="s">
        <v>49</v>
      </c>
      <c r="E120" s="12" t="n">
        <v>20</v>
      </c>
      <c r="F120" s="9" t="s">
        <v>31</v>
      </c>
      <c r="G120" s="13" t="n">
        <v>100</v>
      </c>
      <c r="H120" s="9" t="s">
        <v>34</v>
      </c>
      <c r="I120" s="13" t="n">
        <v>3</v>
      </c>
      <c r="J120" s="1" t="str">
        <f aca="false">IF(A120="","", "SAMP-"&amp;A120&amp;"-L"&amp;TEXT(B120,"00")&amp;"-"&amp;TEXT(C120,"yyyymmdd")&amp;"-"&amp;D120&amp;"-H"&amp;TEXT(E120,"00")&amp;"-"&amp;H120)</f>
        <v>SAMP-KG01-L24-20251026-ORD-2025-00126-H20-Thin Wall</v>
      </c>
      <c r="K120" s="1" t="str">
        <f aca="false">IF(A120="","",IF(AND(G120&gt;=0,I120&gt;=0,I120&lt;=G120),"OK","CHECK"))</f>
        <v>OK</v>
      </c>
      <c r="L120" s="1" t="str">
        <f aca="false">IF(A120="","",IF(AND(E120&gt;=0,E120&lt;=23),"OK","CHECK"))</f>
        <v>OK</v>
      </c>
      <c r="M120" s="1" t="str">
        <f aca="false">IF(A120="","",IF(AND(K120="OK",L120="OK"),"OK","CHECK"))</f>
        <v>OK</v>
      </c>
    </row>
    <row r="121" customFormat="false" ht="18" hidden="false" customHeight="true" outlineLevel="0" collapsed="false">
      <c r="A121" s="9" t="s">
        <v>26</v>
      </c>
      <c r="B121" s="10" t="n">
        <v>24</v>
      </c>
      <c r="C121" s="11" t="n">
        <v>45956</v>
      </c>
      <c r="D121" s="9" t="s">
        <v>49</v>
      </c>
      <c r="E121" s="12" t="n">
        <v>23</v>
      </c>
      <c r="F121" s="9" t="s">
        <v>31</v>
      </c>
      <c r="G121" s="13" t="n">
        <v>50</v>
      </c>
      <c r="H121" s="9" t="s">
        <v>29</v>
      </c>
      <c r="I121" s="13" t="n">
        <v>1</v>
      </c>
      <c r="J121" s="1" t="str">
        <f aca="false">IF(A121="","", "SAMP-"&amp;A121&amp;"-L"&amp;TEXT(B121,"00")&amp;"-"&amp;TEXT(C121,"yyyymmdd")&amp;"-"&amp;D121&amp;"-H"&amp;TEXT(E121,"00")&amp;"-"&amp;H121)</f>
        <v>SAMP-KG01-L24-20251026-ORD-2025-00126-H23-Choke Neck</v>
      </c>
      <c r="K121" s="1" t="str">
        <f aca="false">IF(A121="","",IF(AND(G121&gt;=0,I121&gt;=0,I121&lt;=G121),"OK","CHECK"))</f>
        <v>OK</v>
      </c>
      <c r="L121" s="1" t="str">
        <f aca="false">IF(A121="","",IF(AND(E121&gt;=0,E121&lt;=23),"OK","CHECK"))</f>
        <v>OK</v>
      </c>
      <c r="M121" s="1" t="str">
        <f aca="false">IF(A121="","",IF(AND(K121="OK",L121="OK"),"OK","CHECK"))</f>
        <v>OK</v>
      </c>
    </row>
    <row r="122" customFormat="false" ht="18" hidden="false" customHeight="true" outlineLevel="0" collapsed="false">
      <c r="A122" s="9" t="s">
        <v>26</v>
      </c>
      <c r="B122" s="10" t="n">
        <v>25</v>
      </c>
      <c r="C122" s="11" t="n">
        <v>45950</v>
      </c>
      <c r="D122" s="9" t="s">
        <v>50</v>
      </c>
      <c r="E122" s="12" t="n">
        <v>9</v>
      </c>
      <c r="F122" s="9" t="s">
        <v>28</v>
      </c>
      <c r="G122" s="13" t="n">
        <v>200</v>
      </c>
      <c r="H122" s="9" t="s">
        <v>30</v>
      </c>
      <c r="I122" s="13" t="n">
        <v>6</v>
      </c>
      <c r="J122" s="1" t="str">
        <f aca="false">IF(A122="","", "SAMP-"&amp;A122&amp;"-L"&amp;TEXT(B122,"00")&amp;"-"&amp;TEXT(C122,"yyyymmdd")&amp;"-"&amp;D122&amp;"-H"&amp;TEXT(E122,"00")&amp;"-"&amp;H122)</f>
        <v>SAMP-KG01-L25-20251020-ORD-2025-00161-H09-Overpress</v>
      </c>
      <c r="K122" s="1" t="str">
        <f aca="false">IF(A122="","",IF(AND(G122&gt;=0,I122&gt;=0,I122&lt;=G122),"OK","CHECK"))</f>
        <v>OK</v>
      </c>
      <c r="L122" s="1" t="str">
        <f aca="false">IF(A122="","",IF(AND(E122&gt;=0,E122&lt;=23),"OK","CHECK"))</f>
        <v>OK</v>
      </c>
      <c r="M122" s="1" t="str">
        <f aca="false">IF(A122="","",IF(AND(K122="OK",L122="OK"),"OK","CHECK"))</f>
        <v>OK</v>
      </c>
    </row>
    <row r="123" customFormat="false" ht="18" hidden="false" customHeight="true" outlineLevel="0" collapsed="false">
      <c r="A123" s="9" t="s">
        <v>26</v>
      </c>
      <c r="B123" s="10" t="n">
        <v>25</v>
      </c>
      <c r="C123" s="11" t="n">
        <v>45950</v>
      </c>
      <c r="D123" s="9" t="s">
        <v>50</v>
      </c>
      <c r="E123" s="12" t="n">
        <v>15</v>
      </c>
      <c r="F123" s="9" t="s">
        <v>28</v>
      </c>
      <c r="G123" s="13" t="n">
        <v>100</v>
      </c>
      <c r="H123" s="9" t="s">
        <v>30</v>
      </c>
      <c r="I123" s="13" t="n">
        <v>1</v>
      </c>
      <c r="J123" s="1" t="str">
        <f aca="false">IF(A123="","", "SAMP-"&amp;A123&amp;"-L"&amp;TEXT(B123,"00")&amp;"-"&amp;TEXT(C123,"yyyymmdd")&amp;"-"&amp;D123&amp;"-H"&amp;TEXT(E123,"00")&amp;"-"&amp;H123)</f>
        <v>SAMP-KG01-L25-20251020-ORD-2025-00161-H15-Overpress</v>
      </c>
      <c r="K123" s="1" t="str">
        <f aca="false">IF(A123="","",IF(AND(G123&gt;=0,I123&gt;=0,I123&lt;=G123),"OK","CHECK"))</f>
        <v>OK</v>
      </c>
      <c r="L123" s="1" t="str">
        <f aca="false">IF(A123="","",IF(AND(E123&gt;=0,E123&lt;=23),"OK","CHECK"))</f>
        <v>OK</v>
      </c>
      <c r="M123" s="1" t="str">
        <f aca="false">IF(A123="","",IF(AND(K123="OK",L123="OK"),"OK","CHECK"))</f>
        <v>OK</v>
      </c>
    </row>
    <row r="124" customFormat="false" ht="18" hidden="false" customHeight="true" outlineLevel="0" collapsed="false">
      <c r="A124" s="9" t="s">
        <v>26</v>
      </c>
      <c r="B124" s="10" t="n">
        <v>25</v>
      </c>
      <c r="C124" s="11" t="n">
        <v>45950</v>
      </c>
      <c r="D124" s="9" t="s">
        <v>50</v>
      </c>
      <c r="E124" s="12" t="n">
        <v>20</v>
      </c>
      <c r="F124" s="9" t="s">
        <v>31</v>
      </c>
      <c r="G124" s="13" t="n">
        <v>150</v>
      </c>
      <c r="H124" s="9" t="s">
        <v>34</v>
      </c>
      <c r="I124" s="13" t="n">
        <v>5</v>
      </c>
      <c r="J124" s="1" t="str">
        <f aca="false">IF(A124="","", "SAMP-"&amp;A124&amp;"-L"&amp;TEXT(B124,"00")&amp;"-"&amp;TEXT(C124,"yyyymmdd")&amp;"-"&amp;D124&amp;"-H"&amp;TEXT(E124,"00")&amp;"-"&amp;H124)</f>
        <v>SAMP-KG01-L25-20251020-ORD-2025-00161-H20-Thin Wall</v>
      </c>
      <c r="K124" s="1" t="str">
        <f aca="false">IF(A124="","",IF(AND(G124&gt;=0,I124&gt;=0,I124&lt;=G124),"OK","CHECK"))</f>
        <v>OK</v>
      </c>
      <c r="L124" s="1" t="str">
        <f aca="false">IF(A124="","",IF(AND(E124&gt;=0,E124&lt;=23),"OK","CHECK"))</f>
        <v>OK</v>
      </c>
      <c r="M124" s="1" t="str">
        <f aca="false">IF(A124="","",IF(AND(K124="OK",L124="OK"),"OK","CHECK"))</f>
        <v>OK</v>
      </c>
    </row>
    <row r="125" customFormat="false" ht="18" hidden="false" customHeight="true" outlineLevel="0" collapsed="false">
      <c r="A125" s="9" t="s">
        <v>26</v>
      </c>
      <c r="B125" s="10" t="n">
        <v>25</v>
      </c>
      <c r="C125" s="11" t="n">
        <v>45950</v>
      </c>
      <c r="D125" s="9" t="s">
        <v>50</v>
      </c>
      <c r="E125" s="12" t="n">
        <v>23</v>
      </c>
      <c r="F125" s="9" t="s">
        <v>31</v>
      </c>
      <c r="G125" s="13" t="n">
        <v>50</v>
      </c>
      <c r="H125" s="9" t="s">
        <v>41</v>
      </c>
      <c r="I125" s="13" t="n">
        <v>0</v>
      </c>
      <c r="J125" s="1" t="str">
        <f aca="false">IF(A125="","", "SAMP-"&amp;A125&amp;"-L"&amp;TEXT(B125,"00")&amp;"-"&amp;TEXT(C125,"yyyymmdd")&amp;"-"&amp;D125&amp;"-H"&amp;TEXT(E125,"00")&amp;"-"&amp;H125)</f>
        <v>SAMP-KG01-L25-20251020-ORD-2025-00161-H23-Chip</v>
      </c>
      <c r="K125" s="1" t="str">
        <f aca="false">IF(A125="","",IF(AND(G125&gt;=0,I125&gt;=0,I125&lt;=G125),"OK","CHECK"))</f>
        <v>OK</v>
      </c>
      <c r="L125" s="1" t="str">
        <f aca="false">IF(A125="","",IF(AND(E125&gt;=0,E125&lt;=23),"OK","CHECK"))</f>
        <v>OK</v>
      </c>
      <c r="M125" s="1" t="str">
        <f aca="false">IF(A125="","",IF(AND(K125="OK",L125="OK"),"OK","CHECK"))</f>
        <v>OK</v>
      </c>
    </row>
    <row r="126" customFormat="false" ht="18" hidden="false" customHeight="true" outlineLevel="0" collapsed="false">
      <c r="A126" s="9" t="s">
        <v>26</v>
      </c>
      <c r="B126" s="10" t="n">
        <v>25</v>
      </c>
      <c r="C126" s="11" t="n">
        <v>45951</v>
      </c>
      <c r="D126" s="9" t="s">
        <v>50</v>
      </c>
      <c r="E126" s="12" t="n">
        <v>9</v>
      </c>
      <c r="F126" s="9" t="s">
        <v>28</v>
      </c>
      <c r="G126" s="13" t="n">
        <v>150</v>
      </c>
      <c r="H126" s="9" t="s">
        <v>34</v>
      </c>
      <c r="I126" s="13" t="n">
        <v>3</v>
      </c>
      <c r="J126" s="1" t="str">
        <f aca="false">IF(A126="","", "SAMP-"&amp;A126&amp;"-L"&amp;TEXT(B126,"00")&amp;"-"&amp;TEXT(C126,"yyyymmdd")&amp;"-"&amp;D126&amp;"-H"&amp;TEXT(E126,"00")&amp;"-"&amp;H126)</f>
        <v>SAMP-KG01-L25-20251021-ORD-2025-00161-H09-Thin Wall</v>
      </c>
      <c r="K126" s="1" t="str">
        <f aca="false">IF(A126="","",IF(AND(G126&gt;=0,I126&gt;=0,I126&lt;=G126),"OK","CHECK"))</f>
        <v>OK</v>
      </c>
      <c r="L126" s="1" t="str">
        <f aca="false">IF(A126="","",IF(AND(E126&gt;=0,E126&lt;=23),"OK","CHECK"))</f>
        <v>OK</v>
      </c>
      <c r="M126" s="1" t="str">
        <f aca="false">IF(A126="","",IF(AND(K126="OK",L126="OK"),"OK","CHECK"))</f>
        <v>OK</v>
      </c>
    </row>
    <row r="127" customFormat="false" ht="18" hidden="false" customHeight="true" outlineLevel="0" collapsed="false">
      <c r="A127" s="9" t="s">
        <v>26</v>
      </c>
      <c r="B127" s="10" t="n">
        <v>25</v>
      </c>
      <c r="C127" s="11" t="n">
        <v>45951</v>
      </c>
      <c r="D127" s="9" t="s">
        <v>50</v>
      </c>
      <c r="E127" s="12" t="n">
        <v>15</v>
      </c>
      <c r="F127" s="9" t="s">
        <v>28</v>
      </c>
      <c r="G127" s="13" t="n">
        <v>100</v>
      </c>
      <c r="H127" s="9" t="s">
        <v>30</v>
      </c>
      <c r="I127" s="13" t="n">
        <v>1</v>
      </c>
      <c r="J127" s="1" t="str">
        <f aca="false">IF(A127="","", "SAMP-"&amp;A127&amp;"-L"&amp;TEXT(B127,"00")&amp;"-"&amp;TEXT(C127,"yyyymmdd")&amp;"-"&amp;D127&amp;"-H"&amp;TEXT(E127,"00")&amp;"-"&amp;H127)</f>
        <v>SAMP-KG01-L25-20251021-ORD-2025-00161-H15-Overpress</v>
      </c>
      <c r="K127" s="1" t="str">
        <f aca="false">IF(A127="","",IF(AND(G127&gt;=0,I127&gt;=0,I127&lt;=G127),"OK","CHECK"))</f>
        <v>OK</v>
      </c>
      <c r="L127" s="1" t="str">
        <f aca="false">IF(A127="","",IF(AND(E127&gt;=0,E127&lt;=23),"OK","CHECK"))</f>
        <v>OK</v>
      </c>
      <c r="M127" s="1" t="str">
        <f aca="false">IF(A127="","",IF(AND(K127="OK",L127="OK"),"OK","CHECK"))</f>
        <v>OK</v>
      </c>
    </row>
    <row r="128" customFormat="false" ht="18" hidden="false" customHeight="true" outlineLevel="0" collapsed="false">
      <c r="A128" s="9" t="s">
        <v>26</v>
      </c>
      <c r="B128" s="10" t="n">
        <v>25</v>
      </c>
      <c r="C128" s="11" t="n">
        <v>45951</v>
      </c>
      <c r="D128" s="9" t="s">
        <v>50</v>
      </c>
      <c r="E128" s="12" t="n">
        <v>20</v>
      </c>
      <c r="F128" s="9" t="s">
        <v>31</v>
      </c>
      <c r="G128" s="13" t="n">
        <v>100</v>
      </c>
      <c r="H128" s="9" t="s">
        <v>38</v>
      </c>
      <c r="I128" s="13" t="n">
        <v>2</v>
      </c>
      <c r="J128" s="1" t="str">
        <f aca="false">IF(A128="","", "SAMP-"&amp;A128&amp;"-L"&amp;TEXT(B128,"00")&amp;"-"&amp;TEXT(C128,"yyyymmdd")&amp;"-"&amp;D128&amp;"-H"&amp;TEXT(E128,"00")&amp;"-"&amp;H128)</f>
        <v>SAMP-KG01-L25-20251021-ORD-2025-00161-H20-Crack</v>
      </c>
      <c r="K128" s="1" t="str">
        <f aca="false">IF(A128="","",IF(AND(G128&gt;=0,I128&gt;=0,I128&lt;=G128),"OK","CHECK"))</f>
        <v>OK</v>
      </c>
      <c r="L128" s="1" t="str">
        <f aca="false">IF(A128="","",IF(AND(E128&gt;=0,E128&lt;=23),"OK","CHECK"))</f>
        <v>OK</v>
      </c>
      <c r="M128" s="1" t="str">
        <f aca="false">IF(A128="","",IF(AND(K128="OK",L128="OK"),"OK","CHECK"))</f>
        <v>OK</v>
      </c>
    </row>
    <row r="129" customFormat="false" ht="18" hidden="false" customHeight="true" outlineLevel="0" collapsed="false">
      <c r="A129" s="9" t="s">
        <v>26</v>
      </c>
      <c r="B129" s="10" t="n">
        <v>25</v>
      </c>
      <c r="C129" s="11" t="n">
        <v>45951</v>
      </c>
      <c r="D129" s="9" t="s">
        <v>50</v>
      </c>
      <c r="E129" s="12" t="n">
        <v>23</v>
      </c>
      <c r="F129" s="9" t="s">
        <v>31</v>
      </c>
      <c r="G129" s="13" t="n">
        <v>200</v>
      </c>
      <c r="H129" s="9" t="s">
        <v>29</v>
      </c>
      <c r="I129" s="13" t="n">
        <v>3</v>
      </c>
      <c r="J129" s="1" t="str">
        <f aca="false">IF(A129="","", "SAMP-"&amp;A129&amp;"-L"&amp;TEXT(B129,"00")&amp;"-"&amp;TEXT(C129,"yyyymmdd")&amp;"-"&amp;D129&amp;"-H"&amp;TEXT(E129,"00")&amp;"-"&amp;H129)</f>
        <v>SAMP-KG01-L25-20251021-ORD-2025-00161-H23-Choke Neck</v>
      </c>
      <c r="K129" s="1" t="str">
        <f aca="false">IF(A129="","",IF(AND(G129&gt;=0,I129&gt;=0,I129&lt;=G129),"OK","CHECK"))</f>
        <v>OK</v>
      </c>
      <c r="L129" s="1" t="str">
        <f aca="false">IF(A129="","",IF(AND(E129&gt;=0,E129&lt;=23),"OK","CHECK"))</f>
        <v>OK</v>
      </c>
      <c r="M129" s="1" t="str">
        <f aca="false">IF(A129="","",IF(AND(K129="OK",L129="OK"),"OK","CHECK"))</f>
        <v>OK</v>
      </c>
    </row>
    <row r="130" customFormat="false" ht="18" hidden="false" customHeight="true" outlineLevel="0" collapsed="false">
      <c r="A130" s="9" t="s">
        <v>26</v>
      </c>
      <c r="B130" s="10" t="n">
        <v>25</v>
      </c>
      <c r="C130" s="11" t="n">
        <v>45952</v>
      </c>
      <c r="D130" s="9" t="s">
        <v>50</v>
      </c>
      <c r="E130" s="12" t="n">
        <v>9</v>
      </c>
      <c r="F130" s="9" t="s">
        <v>28</v>
      </c>
      <c r="G130" s="13" t="n">
        <v>50</v>
      </c>
      <c r="H130" s="9" t="s">
        <v>38</v>
      </c>
      <c r="I130" s="13" t="n">
        <v>0</v>
      </c>
      <c r="J130" s="1" t="str">
        <f aca="false">IF(A130="","", "SAMP-"&amp;A130&amp;"-L"&amp;TEXT(B130,"00")&amp;"-"&amp;TEXT(C130,"yyyymmdd")&amp;"-"&amp;D130&amp;"-H"&amp;TEXT(E130,"00")&amp;"-"&amp;H130)</f>
        <v>SAMP-KG01-L25-20251022-ORD-2025-00161-H09-Crack</v>
      </c>
      <c r="K130" s="1" t="str">
        <f aca="false">IF(A130="","",IF(AND(G130&gt;=0,I130&gt;=0,I130&lt;=G130),"OK","CHECK"))</f>
        <v>OK</v>
      </c>
      <c r="L130" s="1" t="str">
        <f aca="false">IF(A130="","",IF(AND(E130&gt;=0,E130&lt;=23),"OK","CHECK"))</f>
        <v>OK</v>
      </c>
      <c r="M130" s="1" t="str">
        <f aca="false">IF(A130="","",IF(AND(K130="OK",L130="OK"),"OK","CHECK"))</f>
        <v>OK</v>
      </c>
    </row>
    <row r="131" customFormat="false" ht="18" hidden="false" customHeight="true" outlineLevel="0" collapsed="false">
      <c r="A131" s="9" t="s">
        <v>26</v>
      </c>
      <c r="B131" s="10" t="n">
        <v>25</v>
      </c>
      <c r="C131" s="11" t="n">
        <v>45952</v>
      </c>
      <c r="D131" s="9" t="s">
        <v>50</v>
      </c>
      <c r="E131" s="12" t="n">
        <v>15</v>
      </c>
      <c r="F131" s="9" t="s">
        <v>28</v>
      </c>
      <c r="G131" s="13" t="n">
        <v>100</v>
      </c>
      <c r="H131" s="9" t="s">
        <v>38</v>
      </c>
      <c r="I131" s="13" t="n">
        <v>3</v>
      </c>
      <c r="J131" s="1" t="str">
        <f aca="false">IF(A131="","", "SAMP-"&amp;A131&amp;"-L"&amp;TEXT(B131,"00")&amp;"-"&amp;TEXT(C131,"yyyymmdd")&amp;"-"&amp;D131&amp;"-H"&amp;TEXT(E131,"00")&amp;"-"&amp;H131)</f>
        <v>SAMP-KG01-L25-20251022-ORD-2025-00161-H15-Crack</v>
      </c>
      <c r="K131" s="1" t="str">
        <f aca="false">IF(A131="","",IF(AND(G131&gt;=0,I131&gt;=0,I131&lt;=G131),"OK","CHECK"))</f>
        <v>OK</v>
      </c>
      <c r="L131" s="1" t="str">
        <f aca="false">IF(A131="","",IF(AND(E131&gt;=0,E131&lt;=23),"OK","CHECK"))</f>
        <v>OK</v>
      </c>
      <c r="M131" s="1" t="str">
        <f aca="false">IF(A131="","",IF(AND(K131="OK",L131="OK"),"OK","CHECK"))</f>
        <v>OK</v>
      </c>
    </row>
    <row r="132" customFormat="false" ht="18" hidden="false" customHeight="true" outlineLevel="0" collapsed="false">
      <c r="A132" s="9" t="s">
        <v>26</v>
      </c>
      <c r="B132" s="10" t="n">
        <v>25</v>
      </c>
      <c r="C132" s="11" t="n">
        <v>45952</v>
      </c>
      <c r="D132" s="9" t="s">
        <v>50</v>
      </c>
      <c r="E132" s="12" t="n">
        <v>20</v>
      </c>
      <c r="F132" s="9" t="s">
        <v>31</v>
      </c>
      <c r="G132" s="13" t="n">
        <v>100</v>
      </c>
      <c r="H132" s="9" t="s">
        <v>29</v>
      </c>
      <c r="I132" s="13" t="n">
        <v>2</v>
      </c>
      <c r="J132" s="1" t="str">
        <f aca="false">IF(A132="","", "SAMP-"&amp;A132&amp;"-L"&amp;TEXT(B132,"00")&amp;"-"&amp;TEXT(C132,"yyyymmdd")&amp;"-"&amp;D132&amp;"-H"&amp;TEXT(E132,"00")&amp;"-"&amp;H132)</f>
        <v>SAMP-KG01-L25-20251022-ORD-2025-00161-H20-Choke Neck</v>
      </c>
      <c r="K132" s="1" t="str">
        <f aca="false">IF(A132="","",IF(AND(G132&gt;=0,I132&gt;=0,I132&lt;=G132),"OK","CHECK"))</f>
        <v>OK</v>
      </c>
      <c r="L132" s="1" t="str">
        <f aca="false">IF(A132="","",IF(AND(E132&gt;=0,E132&lt;=23),"OK","CHECK"))</f>
        <v>OK</v>
      </c>
      <c r="M132" s="1" t="str">
        <f aca="false">IF(A132="","",IF(AND(K132="OK",L132="OK"),"OK","CHECK"))</f>
        <v>OK</v>
      </c>
    </row>
    <row r="133" customFormat="false" ht="18" hidden="false" customHeight="true" outlineLevel="0" collapsed="false">
      <c r="A133" s="9" t="s">
        <v>26</v>
      </c>
      <c r="B133" s="10" t="n">
        <v>25</v>
      </c>
      <c r="C133" s="11" t="n">
        <v>45952</v>
      </c>
      <c r="D133" s="9" t="s">
        <v>50</v>
      </c>
      <c r="E133" s="12" t="n">
        <v>23</v>
      </c>
      <c r="F133" s="9" t="s">
        <v>31</v>
      </c>
      <c r="G133" s="13" t="n">
        <v>50</v>
      </c>
      <c r="H133" s="9" t="s">
        <v>30</v>
      </c>
      <c r="I133" s="13" t="n">
        <v>1</v>
      </c>
      <c r="J133" s="1" t="str">
        <f aca="false">IF(A133="","", "SAMP-"&amp;A133&amp;"-L"&amp;TEXT(B133,"00")&amp;"-"&amp;TEXT(C133,"yyyymmdd")&amp;"-"&amp;D133&amp;"-H"&amp;TEXT(E133,"00")&amp;"-"&amp;H133)</f>
        <v>SAMP-KG01-L25-20251022-ORD-2025-00161-H23-Overpress</v>
      </c>
      <c r="K133" s="1" t="str">
        <f aca="false">IF(A133="","",IF(AND(G133&gt;=0,I133&gt;=0,I133&lt;=G133),"OK","CHECK"))</f>
        <v>OK</v>
      </c>
      <c r="L133" s="1" t="str">
        <f aca="false">IF(A133="","",IF(AND(E133&gt;=0,E133&lt;=23),"OK","CHECK"))</f>
        <v>OK</v>
      </c>
      <c r="M133" s="1" t="str">
        <f aca="false">IF(A133="","",IF(AND(K133="OK",L133="OK"),"OK","CHECK"))</f>
        <v>OK</v>
      </c>
    </row>
    <row r="134" customFormat="false" ht="18" hidden="false" customHeight="true" outlineLevel="0" collapsed="false">
      <c r="A134" s="9" t="s">
        <v>26</v>
      </c>
      <c r="B134" s="10" t="n">
        <v>25</v>
      </c>
      <c r="C134" s="11" t="n">
        <v>45953</v>
      </c>
      <c r="D134" s="9" t="s">
        <v>51</v>
      </c>
      <c r="E134" s="12" t="n">
        <v>9</v>
      </c>
      <c r="F134" s="9" t="s">
        <v>28</v>
      </c>
      <c r="G134" s="13" t="n">
        <v>100</v>
      </c>
      <c r="H134" s="9" t="s">
        <v>34</v>
      </c>
      <c r="I134" s="13" t="n">
        <v>2</v>
      </c>
      <c r="J134" s="1" t="str">
        <f aca="false">IF(A134="","", "SAMP-"&amp;A134&amp;"-L"&amp;TEXT(B134,"00")&amp;"-"&amp;TEXT(C134,"yyyymmdd")&amp;"-"&amp;D134&amp;"-H"&amp;TEXT(E134,"00")&amp;"-"&amp;H134)</f>
        <v>SAMP-KG01-L25-20251023-ORD-2025-00162-H09-Thin Wall</v>
      </c>
      <c r="K134" s="1" t="str">
        <f aca="false">IF(A134="","",IF(AND(G134&gt;=0,I134&gt;=0,I134&lt;=G134),"OK","CHECK"))</f>
        <v>OK</v>
      </c>
      <c r="L134" s="1" t="str">
        <f aca="false">IF(A134="","",IF(AND(E134&gt;=0,E134&lt;=23),"OK","CHECK"))</f>
        <v>OK</v>
      </c>
      <c r="M134" s="1" t="str">
        <f aca="false">IF(A134="","",IF(AND(K134="OK",L134="OK"),"OK","CHECK"))</f>
        <v>OK</v>
      </c>
    </row>
    <row r="135" customFormat="false" ht="18" hidden="false" customHeight="true" outlineLevel="0" collapsed="false">
      <c r="A135" s="9" t="s">
        <v>26</v>
      </c>
      <c r="B135" s="10" t="n">
        <v>25</v>
      </c>
      <c r="C135" s="11" t="n">
        <v>45953</v>
      </c>
      <c r="D135" s="9" t="s">
        <v>51</v>
      </c>
      <c r="E135" s="12" t="n">
        <v>15</v>
      </c>
      <c r="F135" s="9" t="s">
        <v>28</v>
      </c>
      <c r="G135" s="13" t="n">
        <v>200</v>
      </c>
      <c r="H135" s="9" t="s">
        <v>41</v>
      </c>
      <c r="I135" s="13" t="n">
        <v>5</v>
      </c>
      <c r="J135" s="1" t="str">
        <f aca="false">IF(A135="","", "SAMP-"&amp;A135&amp;"-L"&amp;TEXT(B135,"00")&amp;"-"&amp;TEXT(C135,"yyyymmdd")&amp;"-"&amp;D135&amp;"-H"&amp;TEXT(E135,"00")&amp;"-"&amp;H135)</f>
        <v>SAMP-KG01-L25-20251023-ORD-2025-00162-H15-Chip</v>
      </c>
      <c r="K135" s="1" t="str">
        <f aca="false">IF(A135="","",IF(AND(G135&gt;=0,I135&gt;=0,I135&lt;=G135),"OK","CHECK"))</f>
        <v>OK</v>
      </c>
      <c r="L135" s="1" t="str">
        <f aca="false">IF(A135="","",IF(AND(E135&gt;=0,E135&lt;=23),"OK","CHECK"))</f>
        <v>OK</v>
      </c>
      <c r="M135" s="1" t="str">
        <f aca="false">IF(A135="","",IF(AND(K135="OK",L135="OK"),"OK","CHECK"))</f>
        <v>OK</v>
      </c>
    </row>
    <row r="136" customFormat="false" ht="18" hidden="false" customHeight="true" outlineLevel="0" collapsed="false">
      <c r="A136" s="9" t="s">
        <v>26</v>
      </c>
      <c r="B136" s="10" t="n">
        <v>25</v>
      </c>
      <c r="C136" s="11" t="n">
        <v>45953</v>
      </c>
      <c r="D136" s="9" t="s">
        <v>51</v>
      </c>
      <c r="E136" s="12" t="n">
        <v>20</v>
      </c>
      <c r="F136" s="9" t="s">
        <v>31</v>
      </c>
      <c r="G136" s="13" t="n">
        <v>150</v>
      </c>
      <c r="H136" s="9" t="s">
        <v>30</v>
      </c>
      <c r="I136" s="13" t="n">
        <v>2</v>
      </c>
      <c r="J136" s="1" t="str">
        <f aca="false">IF(A136="","", "SAMP-"&amp;A136&amp;"-L"&amp;TEXT(B136,"00")&amp;"-"&amp;TEXT(C136,"yyyymmdd")&amp;"-"&amp;D136&amp;"-H"&amp;TEXT(E136,"00")&amp;"-"&amp;H136)</f>
        <v>SAMP-KG01-L25-20251023-ORD-2025-00162-H20-Overpress</v>
      </c>
      <c r="K136" s="1" t="str">
        <f aca="false">IF(A136="","",IF(AND(G136&gt;=0,I136&gt;=0,I136&lt;=G136),"OK","CHECK"))</f>
        <v>OK</v>
      </c>
      <c r="L136" s="1" t="str">
        <f aca="false">IF(A136="","",IF(AND(E136&gt;=0,E136&lt;=23),"OK","CHECK"))</f>
        <v>OK</v>
      </c>
      <c r="M136" s="1" t="str">
        <f aca="false">IF(A136="","",IF(AND(K136="OK",L136="OK"),"OK","CHECK"))</f>
        <v>OK</v>
      </c>
    </row>
    <row r="137" customFormat="false" ht="18" hidden="false" customHeight="true" outlineLevel="0" collapsed="false">
      <c r="A137" s="9" t="s">
        <v>26</v>
      </c>
      <c r="B137" s="10" t="n">
        <v>25</v>
      </c>
      <c r="C137" s="11" t="n">
        <v>45953</v>
      </c>
      <c r="D137" s="9" t="s">
        <v>51</v>
      </c>
      <c r="E137" s="12" t="n">
        <v>23</v>
      </c>
      <c r="F137" s="9" t="s">
        <v>31</v>
      </c>
      <c r="G137" s="13" t="n">
        <v>200</v>
      </c>
      <c r="H137" s="9" t="s">
        <v>29</v>
      </c>
      <c r="I137" s="13" t="n">
        <v>7</v>
      </c>
      <c r="J137" s="1" t="str">
        <f aca="false">IF(A137="","", "SAMP-"&amp;A137&amp;"-L"&amp;TEXT(B137,"00")&amp;"-"&amp;TEXT(C137,"yyyymmdd")&amp;"-"&amp;D137&amp;"-H"&amp;TEXT(E137,"00")&amp;"-"&amp;H137)</f>
        <v>SAMP-KG01-L25-20251023-ORD-2025-00162-H23-Choke Neck</v>
      </c>
      <c r="K137" s="1" t="str">
        <f aca="false">IF(A137="","",IF(AND(G137&gt;=0,I137&gt;=0,I137&lt;=G137),"OK","CHECK"))</f>
        <v>OK</v>
      </c>
      <c r="L137" s="1" t="str">
        <f aca="false">IF(A137="","",IF(AND(E137&gt;=0,E137&lt;=23),"OK","CHECK"))</f>
        <v>OK</v>
      </c>
      <c r="M137" s="1" t="str">
        <f aca="false">IF(A137="","",IF(AND(K137="OK",L137="OK"),"OK","CHECK"))</f>
        <v>OK</v>
      </c>
    </row>
    <row r="138" customFormat="false" ht="18" hidden="false" customHeight="true" outlineLevel="0" collapsed="false">
      <c r="A138" s="9" t="s">
        <v>26</v>
      </c>
      <c r="B138" s="10" t="n">
        <v>25</v>
      </c>
      <c r="C138" s="11" t="n">
        <v>45954</v>
      </c>
      <c r="D138" s="9" t="s">
        <v>51</v>
      </c>
      <c r="E138" s="12" t="n">
        <v>9</v>
      </c>
      <c r="F138" s="9" t="s">
        <v>28</v>
      </c>
      <c r="G138" s="13" t="n">
        <v>200</v>
      </c>
      <c r="H138" s="9" t="s">
        <v>36</v>
      </c>
      <c r="I138" s="13" t="n">
        <v>4</v>
      </c>
      <c r="J138" s="1" t="str">
        <f aca="false">IF(A138="","", "SAMP-"&amp;A138&amp;"-L"&amp;TEXT(B138,"00")&amp;"-"&amp;TEXT(C138,"yyyymmdd")&amp;"-"&amp;D138&amp;"-H"&amp;TEXT(E138,"00")&amp;"-"&amp;H138)</f>
        <v>SAMP-KG01-L25-20251024-ORD-2025-00162-H09-Blister</v>
      </c>
      <c r="K138" s="1" t="str">
        <f aca="false">IF(A138="","",IF(AND(G138&gt;=0,I138&gt;=0,I138&lt;=G138),"OK","CHECK"))</f>
        <v>OK</v>
      </c>
      <c r="L138" s="1" t="str">
        <f aca="false">IF(A138="","",IF(AND(E138&gt;=0,E138&lt;=23),"OK","CHECK"))</f>
        <v>OK</v>
      </c>
      <c r="M138" s="1" t="str">
        <f aca="false">IF(A138="","",IF(AND(K138="OK",L138="OK"),"OK","CHECK"))</f>
        <v>OK</v>
      </c>
    </row>
    <row r="139" customFormat="false" ht="18" hidden="false" customHeight="true" outlineLevel="0" collapsed="false">
      <c r="A139" s="9" t="s">
        <v>26</v>
      </c>
      <c r="B139" s="10" t="n">
        <v>25</v>
      </c>
      <c r="C139" s="11" t="n">
        <v>45954</v>
      </c>
      <c r="D139" s="9" t="s">
        <v>51</v>
      </c>
      <c r="E139" s="12" t="n">
        <v>15</v>
      </c>
      <c r="F139" s="9" t="s">
        <v>28</v>
      </c>
      <c r="G139" s="13" t="n">
        <v>150</v>
      </c>
      <c r="H139" s="9" t="s">
        <v>34</v>
      </c>
      <c r="I139" s="13" t="n">
        <v>5</v>
      </c>
      <c r="J139" s="1" t="str">
        <f aca="false">IF(A139="","", "SAMP-"&amp;A139&amp;"-L"&amp;TEXT(B139,"00")&amp;"-"&amp;TEXT(C139,"yyyymmdd")&amp;"-"&amp;D139&amp;"-H"&amp;TEXT(E139,"00")&amp;"-"&amp;H139)</f>
        <v>SAMP-KG01-L25-20251024-ORD-2025-00162-H15-Thin Wall</v>
      </c>
      <c r="K139" s="1" t="str">
        <f aca="false">IF(A139="","",IF(AND(G139&gt;=0,I139&gt;=0,I139&lt;=G139),"OK","CHECK"))</f>
        <v>OK</v>
      </c>
      <c r="L139" s="1" t="str">
        <f aca="false">IF(A139="","",IF(AND(E139&gt;=0,E139&lt;=23),"OK","CHECK"))</f>
        <v>OK</v>
      </c>
      <c r="M139" s="1" t="str">
        <f aca="false">IF(A139="","",IF(AND(K139="OK",L139="OK"),"OK","CHECK"))</f>
        <v>OK</v>
      </c>
    </row>
    <row r="140" customFormat="false" ht="18" hidden="false" customHeight="true" outlineLevel="0" collapsed="false">
      <c r="A140" s="9" t="s">
        <v>26</v>
      </c>
      <c r="B140" s="10" t="n">
        <v>25</v>
      </c>
      <c r="C140" s="11" t="n">
        <v>45954</v>
      </c>
      <c r="D140" s="9" t="s">
        <v>51</v>
      </c>
      <c r="E140" s="12" t="n">
        <v>20</v>
      </c>
      <c r="F140" s="9" t="s">
        <v>31</v>
      </c>
      <c r="G140" s="13" t="n">
        <v>100</v>
      </c>
      <c r="H140" s="9" t="s">
        <v>29</v>
      </c>
      <c r="I140" s="13" t="n">
        <v>3</v>
      </c>
      <c r="J140" s="1" t="str">
        <f aca="false">IF(A140="","", "SAMP-"&amp;A140&amp;"-L"&amp;TEXT(B140,"00")&amp;"-"&amp;TEXT(C140,"yyyymmdd")&amp;"-"&amp;D140&amp;"-H"&amp;TEXT(E140,"00")&amp;"-"&amp;H140)</f>
        <v>SAMP-KG01-L25-20251024-ORD-2025-00162-H20-Choke Neck</v>
      </c>
      <c r="K140" s="1" t="str">
        <f aca="false">IF(A140="","",IF(AND(G140&gt;=0,I140&gt;=0,I140&lt;=G140),"OK","CHECK"))</f>
        <v>OK</v>
      </c>
      <c r="L140" s="1" t="str">
        <f aca="false">IF(A140="","",IF(AND(E140&gt;=0,E140&lt;=23),"OK","CHECK"))</f>
        <v>OK</v>
      </c>
      <c r="M140" s="1" t="str">
        <f aca="false">IF(A140="","",IF(AND(K140="OK",L140="OK"),"OK","CHECK"))</f>
        <v>OK</v>
      </c>
    </row>
    <row r="141" customFormat="false" ht="18" hidden="false" customHeight="true" outlineLevel="0" collapsed="false">
      <c r="A141" s="9" t="s">
        <v>26</v>
      </c>
      <c r="B141" s="10" t="n">
        <v>25</v>
      </c>
      <c r="C141" s="11" t="n">
        <v>45954</v>
      </c>
      <c r="D141" s="9" t="s">
        <v>51</v>
      </c>
      <c r="E141" s="12" t="n">
        <v>23</v>
      </c>
      <c r="F141" s="9" t="s">
        <v>31</v>
      </c>
      <c r="G141" s="13" t="n">
        <v>50</v>
      </c>
      <c r="H141" s="9" t="s">
        <v>41</v>
      </c>
      <c r="I141" s="13" t="n">
        <v>1</v>
      </c>
      <c r="J141" s="1" t="str">
        <f aca="false">IF(A141="","", "SAMP-"&amp;A141&amp;"-L"&amp;TEXT(B141,"00")&amp;"-"&amp;TEXT(C141,"yyyymmdd")&amp;"-"&amp;D141&amp;"-H"&amp;TEXT(E141,"00")&amp;"-"&amp;H141)</f>
        <v>SAMP-KG01-L25-20251024-ORD-2025-00162-H23-Chip</v>
      </c>
      <c r="K141" s="1" t="str">
        <f aca="false">IF(A141="","",IF(AND(G141&gt;=0,I141&gt;=0,I141&lt;=G141),"OK","CHECK"))</f>
        <v>OK</v>
      </c>
      <c r="L141" s="1" t="str">
        <f aca="false">IF(A141="","",IF(AND(E141&gt;=0,E141&lt;=23),"OK","CHECK"))</f>
        <v>OK</v>
      </c>
      <c r="M141" s="1" t="str">
        <f aca="false">IF(A141="","",IF(AND(K141="OK",L141="OK"),"OK","CHECK"))</f>
        <v>OK</v>
      </c>
    </row>
    <row r="142" customFormat="false" ht="18" hidden="false" customHeight="true" outlineLevel="0" collapsed="false">
      <c r="A142" s="9" t="s">
        <v>26</v>
      </c>
      <c r="B142" s="10" t="n">
        <v>25</v>
      </c>
      <c r="C142" s="11" t="n">
        <v>45955</v>
      </c>
      <c r="D142" s="9" t="s">
        <v>51</v>
      </c>
      <c r="E142" s="12" t="n">
        <v>9</v>
      </c>
      <c r="F142" s="9" t="s">
        <v>28</v>
      </c>
      <c r="G142" s="13" t="n">
        <v>200</v>
      </c>
      <c r="H142" s="9" t="s">
        <v>29</v>
      </c>
      <c r="I142" s="13" t="n">
        <v>1</v>
      </c>
      <c r="J142" s="1" t="str">
        <f aca="false">IF(A142="","", "SAMP-"&amp;A142&amp;"-L"&amp;TEXT(B142,"00")&amp;"-"&amp;TEXT(C142,"yyyymmdd")&amp;"-"&amp;D142&amp;"-H"&amp;TEXT(E142,"00")&amp;"-"&amp;H142)</f>
        <v>SAMP-KG01-L25-20251025-ORD-2025-00162-H09-Choke Neck</v>
      </c>
      <c r="K142" s="1" t="str">
        <f aca="false">IF(A142="","",IF(AND(G142&gt;=0,I142&gt;=0,I142&lt;=G142),"OK","CHECK"))</f>
        <v>OK</v>
      </c>
      <c r="L142" s="1" t="str">
        <f aca="false">IF(A142="","",IF(AND(E142&gt;=0,E142&lt;=23),"OK","CHECK"))</f>
        <v>OK</v>
      </c>
      <c r="M142" s="1" t="str">
        <f aca="false">IF(A142="","",IF(AND(K142="OK",L142="OK"),"OK","CHECK"))</f>
        <v>OK</v>
      </c>
    </row>
    <row r="143" customFormat="false" ht="18" hidden="false" customHeight="true" outlineLevel="0" collapsed="false">
      <c r="A143" s="9" t="s">
        <v>26</v>
      </c>
      <c r="B143" s="10" t="n">
        <v>25</v>
      </c>
      <c r="C143" s="11" t="n">
        <v>45955</v>
      </c>
      <c r="D143" s="9" t="s">
        <v>51</v>
      </c>
      <c r="E143" s="12" t="n">
        <v>15</v>
      </c>
      <c r="F143" s="9" t="s">
        <v>28</v>
      </c>
      <c r="G143" s="13" t="n">
        <v>100</v>
      </c>
      <c r="H143" s="9" t="s">
        <v>33</v>
      </c>
      <c r="I143" s="13" t="n">
        <v>3</v>
      </c>
      <c r="J143" s="1" t="str">
        <f aca="false">IF(A143="","", "SAMP-"&amp;A143&amp;"-L"&amp;TEXT(B143,"00")&amp;"-"&amp;TEXT(C143,"yyyymmdd")&amp;"-"&amp;D143&amp;"-H"&amp;TEXT(E143,"00")&amp;"-"&amp;H143)</f>
        <v>SAMP-KG01-L25-20251025-ORD-2025-00162-H15-Distortion</v>
      </c>
      <c r="K143" s="1" t="str">
        <f aca="false">IF(A143="","",IF(AND(G143&gt;=0,I143&gt;=0,I143&lt;=G143),"OK","CHECK"))</f>
        <v>OK</v>
      </c>
      <c r="L143" s="1" t="str">
        <f aca="false">IF(A143="","",IF(AND(E143&gt;=0,E143&lt;=23),"OK","CHECK"))</f>
        <v>OK</v>
      </c>
      <c r="M143" s="1" t="str">
        <f aca="false">IF(A143="","",IF(AND(K143="OK",L143="OK"),"OK","CHECK"))</f>
        <v>OK</v>
      </c>
    </row>
    <row r="144" customFormat="false" ht="18" hidden="false" customHeight="true" outlineLevel="0" collapsed="false">
      <c r="A144" s="9" t="s">
        <v>26</v>
      </c>
      <c r="B144" s="10" t="n">
        <v>25</v>
      </c>
      <c r="C144" s="11" t="n">
        <v>45955</v>
      </c>
      <c r="D144" s="9" t="s">
        <v>51</v>
      </c>
      <c r="E144" s="12" t="n">
        <v>20</v>
      </c>
      <c r="F144" s="9" t="s">
        <v>31</v>
      </c>
      <c r="G144" s="13" t="n">
        <v>200</v>
      </c>
      <c r="H144" s="9" t="s">
        <v>34</v>
      </c>
      <c r="I144" s="13" t="n">
        <v>1</v>
      </c>
      <c r="J144" s="1" t="str">
        <f aca="false">IF(A144="","", "SAMP-"&amp;A144&amp;"-L"&amp;TEXT(B144,"00")&amp;"-"&amp;TEXT(C144,"yyyymmdd")&amp;"-"&amp;D144&amp;"-H"&amp;TEXT(E144,"00")&amp;"-"&amp;H144)</f>
        <v>SAMP-KG01-L25-20251025-ORD-2025-00162-H20-Thin Wall</v>
      </c>
      <c r="K144" s="1" t="str">
        <f aca="false">IF(A144="","",IF(AND(G144&gt;=0,I144&gt;=0,I144&lt;=G144),"OK","CHECK"))</f>
        <v>OK</v>
      </c>
      <c r="L144" s="1" t="str">
        <f aca="false">IF(A144="","",IF(AND(E144&gt;=0,E144&lt;=23),"OK","CHECK"))</f>
        <v>OK</v>
      </c>
      <c r="M144" s="1" t="str">
        <f aca="false">IF(A144="","",IF(AND(K144="OK",L144="OK"),"OK","CHECK"))</f>
        <v>OK</v>
      </c>
    </row>
    <row r="145" customFormat="false" ht="18" hidden="false" customHeight="true" outlineLevel="0" collapsed="false">
      <c r="A145" s="9" t="s">
        <v>26</v>
      </c>
      <c r="B145" s="10" t="n">
        <v>25</v>
      </c>
      <c r="C145" s="11" t="n">
        <v>45955</v>
      </c>
      <c r="D145" s="9" t="s">
        <v>51</v>
      </c>
      <c r="E145" s="12" t="n">
        <v>23</v>
      </c>
      <c r="F145" s="9" t="s">
        <v>31</v>
      </c>
      <c r="G145" s="13" t="n">
        <v>50</v>
      </c>
      <c r="H145" s="9" t="s">
        <v>34</v>
      </c>
      <c r="I145" s="13" t="n">
        <v>0</v>
      </c>
      <c r="J145" s="1" t="str">
        <f aca="false">IF(A145="","", "SAMP-"&amp;A145&amp;"-L"&amp;TEXT(B145,"00")&amp;"-"&amp;TEXT(C145,"yyyymmdd")&amp;"-"&amp;D145&amp;"-H"&amp;TEXT(E145,"00")&amp;"-"&amp;H145)</f>
        <v>SAMP-KG01-L25-20251025-ORD-2025-00162-H23-Thin Wall</v>
      </c>
      <c r="K145" s="1" t="str">
        <f aca="false">IF(A145="","",IF(AND(G145&gt;=0,I145&gt;=0,I145&lt;=G145),"OK","CHECK"))</f>
        <v>OK</v>
      </c>
      <c r="L145" s="1" t="str">
        <f aca="false">IF(A145="","",IF(AND(E145&gt;=0,E145&lt;=23),"OK","CHECK"))</f>
        <v>OK</v>
      </c>
      <c r="M145" s="1" t="str">
        <f aca="false">IF(A145="","",IF(AND(K145="OK",L145="OK"),"OK","CHECK"))</f>
        <v>OK</v>
      </c>
    </row>
    <row r="146" customFormat="false" ht="18" hidden="false" customHeight="true" outlineLevel="0" collapsed="false">
      <c r="A146" s="9" t="s">
        <v>26</v>
      </c>
      <c r="B146" s="10" t="n">
        <v>25</v>
      </c>
      <c r="C146" s="11" t="n">
        <v>45956</v>
      </c>
      <c r="D146" s="9" t="s">
        <v>51</v>
      </c>
      <c r="E146" s="12" t="n">
        <v>9</v>
      </c>
      <c r="F146" s="9" t="s">
        <v>28</v>
      </c>
      <c r="G146" s="13" t="n">
        <v>150</v>
      </c>
      <c r="H146" s="9" t="s">
        <v>36</v>
      </c>
      <c r="I146" s="13" t="n">
        <v>3</v>
      </c>
      <c r="J146" s="1" t="str">
        <f aca="false">IF(A146="","", "SAMP-"&amp;A146&amp;"-L"&amp;TEXT(B146,"00")&amp;"-"&amp;TEXT(C146,"yyyymmdd")&amp;"-"&amp;D146&amp;"-H"&amp;TEXT(E146,"00")&amp;"-"&amp;H146)</f>
        <v>SAMP-KG01-L25-20251026-ORD-2025-00162-H09-Blister</v>
      </c>
      <c r="K146" s="1" t="str">
        <f aca="false">IF(A146="","",IF(AND(G146&gt;=0,I146&gt;=0,I146&lt;=G146),"OK","CHECK"))</f>
        <v>OK</v>
      </c>
      <c r="L146" s="1" t="str">
        <f aca="false">IF(A146="","",IF(AND(E146&gt;=0,E146&lt;=23),"OK","CHECK"))</f>
        <v>OK</v>
      </c>
      <c r="M146" s="1" t="str">
        <f aca="false">IF(A146="","",IF(AND(K146="OK",L146="OK"),"OK","CHECK"))</f>
        <v>OK</v>
      </c>
    </row>
    <row r="147" customFormat="false" ht="18" hidden="false" customHeight="true" outlineLevel="0" collapsed="false">
      <c r="A147" s="9" t="s">
        <v>26</v>
      </c>
      <c r="B147" s="10" t="n">
        <v>25</v>
      </c>
      <c r="C147" s="11" t="n">
        <v>45956</v>
      </c>
      <c r="D147" s="9" t="s">
        <v>51</v>
      </c>
      <c r="E147" s="12" t="n">
        <v>15</v>
      </c>
      <c r="F147" s="9" t="s">
        <v>28</v>
      </c>
      <c r="G147" s="13" t="n">
        <v>200</v>
      </c>
      <c r="H147" s="9" t="s">
        <v>30</v>
      </c>
      <c r="I147" s="13" t="n">
        <v>7</v>
      </c>
      <c r="J147" s="1" t="str">
        <f aca="false">IF(A147="","", "SAMP-"&amp;A147&amp;"-L"&amp;TEXT(B147,"00")&amp;"-"&amp;TEXT(C147,"yyyymmdd")&amp;"-"&amp;D147&amp;"-H"&amp;TEXT(E147,"00")&amp;"-"&amp;H147)</f>
        <v>SAMP-KG01-L25-20251026-ORD-2025-00162-H15-Overpress</v>
      </c>
      <c r="K147" s="1" t="str">
        <f aca="false">IF(A147="","",IF(AND(G147&gt;=0,I147&gt;=0,I147&lt;=G147),"OK","CHECK"))</f>
        <v>OK</v>
      </c>
      <c r="L147" s="1" t="str">
        <f aca="false">IF(A147="","",IF(AND(E147&gt;=0,E147&lt;=23),"OK","CHECK"))</f>
        <v>OK</v>
      </c>
      <c r="M147" s="1" t="str">
        <f aca="false">IF(A147="","",IF(AND(K147="OK",L147="OK"),"OK","CHECK"))</f>
        <v>OK</v>
      </c>
    </row>
    <row r="148" customFormat="false" ht="18" hidden="false" customHeight="true" outlineLevel="0" collapsed="false">
      <c r="A148" s="9" t="s">
        <v>26</v>
      </c>
      <c r="B148" s="10" t="n">
        <v>25</v>
      </c>
      <c r="C148" s="11" t="n">
        <v>45956</v>
      </c>
      <c r="D148" s="9" t="s">
        <v>51</v>
      </c>
      <c r="E148" s="12" t="n">
        <v>20</v>
      </c>
      <c r="F148" s="9" t="s">
        <v>31</v>
      </c>
      <c r="G148" s="13" t="n">
        <v>200</v>
      </c>
      <c r="H148" s="9" t="s">
        <v>35</v>
      </c>
      <c r="I148" s="13" t="n">
        <v>4</v>
      </c>
      <c r="J148" s="1" t="str">
        <f aca="false">IF(A148="","", "SAMP-"&amp;A148&amp;"-L"&amp;TEXT(B148,"00")&amp;"-"&amp;TEXT(C148,"yyyymmdd")&amp;"-"&amp;D148&amp;"-H"&amp;TEXT(E148,"00")&amp;"-"&amp;H148)</f>
        <v>SAMP-KG01-L25-20251026-ORD-2025-00162-H20-Stone</v>
      </c>
      <c r="K148" s="1" t="str">
        <f aca="false">IF(A148="","",IF(AND(G148&gt;=0,I148&gt;=0,I148&lt;=G148),"OK","CHECK"))</f>
        <v>OK</v>
      </c>
      <c r="L148" s="1" t="str">
        <f aca="false">IF(A148="","",IF(AND(E148&gt;=0,E148&lt;=23),"OK","CHECK"))</f>
        <v>OK</v>
      </c>
      <c r="M148" s="1" t="str">
        <f aca="false">IF(A148="","",IF(AND(K148="OK",L148="OK"),"OK","CHECK"))</f>
        <v>OK</v>
      </c>
    </row>
    <row r="149" customFormat="false" ht="18" hidden="false" customHeight="true" outlineLevel="0" collapsed="false">
      <c r="A149" s="9" t="s">
        <v>26</v>
      </c>
      <c r="B149" s="10" t="n">
        <v>25</v>
      </c>
      <c r="C149" s="11" t="n">
        <v>45956</v>
      </c>
      <c r="D149" s="9" t="s">
        <v>51</v>
      </c>
      <c r="E149" s="12" t="n">
        <v>23</v>
      </c>
      <c r="F149" s="9" t="s">
        <v>31</v>
      </c>
      <c r="G149" s="13" t="n">
        <v>100</v>
      </c>
      <c r="H149" s="9" t="s">
        <v>38</v>
      </c>
      <c r="I149" s="13" t="n">
        <v>4</v>
      </c>
      <c r="J149" s="1" t="str">
        <f aca="false">IF(A149="","", "SAMP-"&amp;A149&amp;"-L"&amp;TEXT(B149,"00")&amp;"-"&amp;TEXT(C149,"yyyymmdd")&amp;"-"&amp;D149&amp;"-H"&amp;TEXT(E149,"00")&amp;"-"&amp;H149)</f>
        <v>SAMP-KG01-L25-20251026-ORD-2025-00162-H23-Crack</v>
      </c>
      <c r="K149" s="1" t="str">
        <f aca="false">IF(A149="","",IF(AND(G149&gt;=0,I149&gt;=0,I149&lt;=G149),"OK","CHECK"))</f>
        <v>OK</v>
      </c>
      <c r="L149" s="1" t="str">
        <f aca="false">IF(A149="","",IF(AND(E149&gt;=0,E149&lt;=23),"OK","CHECK"))</f>
        <v>OK</v>
      </c>
      <c r="M149" s="1" t="str">
        <f aca="false">IF(A149="","",IF(AND(K149="OK",L149="OK"),"OK","CHECK"))</f>
        <v>OK</v>
      </c>
    </row>
    <row r="150" customFormat="false" ht="18" hidden="false" customHeight="true" outlineLevel="0" collapsed="false">
      <c r="A150" s="9" t="s">
        <v>26</v>
      </c>
      <c r="B150" s="10" t="n">
        <v>21</v>
      </c>
      <c r="C150" s="11" t="n">
        <v>45931</v>
      </c>
      <c r="D150" s="9" t="s">
        <v>52</v>
      </c>
      <c r="E150" s="12" t="n">
        <v>12</v>
      </c>
      <c r="F150" s="9" t="s">
        <v>28</v>
      </c>
      <c r="G150" s="13" t="n">
        <v>150</v>
      </c>
      <c r="H150" s="9" t="s">
        <v>35</v>
      </c>
      <c r="I150" s="13" t="n">
        <v>4</v>
      </c>
      <c r="J150" s="1" t="str">
        <f aca="false">IF(A150="","", "SAMP-"&amp;A150&amp;"-L"&amp;TEXT(B150,"00")&amp;"-"&amp;TEXT(C150,"yyyymmdd")&amp;"-"&amp;D150&amp;"-H"&amp;TEXT(E150,"00")&amp;"-"&amp;H150)</f>
        <v>SAMP-KG01-L21-20251001-ORD-2025-00163-H12-Stone</v>
      </c>
      <c r="K150" s="1" t="str">
        <f aca="false">IF(A150="","",IF(AND(G150&gt;=0,I150&gt;=0,I150&lt;=G150),"OK","CHECK"))</f>
        <v>OK</v>
      </c>
      <c r="L150" s="1" t="str">
        <f aca="false">IF(A150="","",IF(AND(E150&gt;=0,E150&lt;=23),"OK","CHECK"))</f>
        <v>OK</v>
      </c>
      <c r="M150" s="1" t="str">
        <f aca="false">IF(A150="","",IF(AND(K150="OK",L150="OK"),"OK","CHECK"))</f>
        <v>OK</v>
      </c>
    </row>
    <row r="151" customFormat="false" ht="18" hidden="false" customHeight="true" outlineLevel="0" collapsed="false">
      <c r="A151" s="9" t="s">
        <v>26</v>
      </c>
      <c r="B151" s="10" t="n">
        <v>21</v>
      </c>
      <c r="C151" s="11" t="n">
        <v>45931</v>
      </c>
      <c r="D151" s="9" t="s">
        <v>52</v>
      </c>
      <c r="E151" s="12" t="n">
        <v>9</v>
      </c>
      <c r="F151" s="9" t="s">
        <v>28</v>
      </c>
      <c r="G151" s="13" t="n">
        <v>150</v>
      </c>
      <c r="H151" s="9" t="s">
        <v>35</v>
      </c>
      <c r="I151" s="13" t="n">
        <v>2</v>
      </c>
      <c r="J151" s="1" t="str">
        <f aca="false">IF(A151="","", "SAMP-"&amp;A151&amp;"-L"&amp;TEXT(B151,"00")&amp;"-"&amp;TEXT(C151,"yyyymmdd")&amp;"-"&amp;D151&amp;"-H"&amp;TEXT(E151,"00")&amp;"-"&amp;H151)</f>
        <v>SAMP-KG01-L21-20251001-ORD-2025-00163-H09-Stone</v>
      </c>
      <c r="K151" s="1" t="str">
        <f aca="false">IF(A151="","",IF(AND(G151&gt;=0,I151&gt;=0,I151&lt;=G151),"OK","CHECK"))</f>
        <v>OK</v>
      </c>
      <c r="L151" s="1" t="str">
        <f aca="false">IF(A151="","",IF(AND(E151&gt;=0,E151&lt;=23),"OK","CHECK"))</f>
        <v>OK</v>
      </c>
      <c r="M151" s="1" t="str">
        <f aca="false">IF(A151="","",IF(AND(K151="OK",L151="OK"),"OK","CHECK"))</f>
        <v>OK</v>
      </c>
    </row>
    <row r="152" customFormat="false" ht="18" hidden="false" customHeight="true" outlineLevel="0" collapsed="false">
      <c r="A152" s="9" t="s">
        <v>26</v>
      </c>
      <c r="B152" s="10" t="n">
        <v>21</v>
      </c>
      <c r="C152" s="11" t="n">
        <v>45931</v>
      </c>
      <c r="D152" s="9" t="s">
        <v>52</v>
      </c>
      <c r="E152" s="12" t="n">
        <v>20</v>
      </c>
      <c r="F152" s="9" t="s">
        <v>31</v>
      </c>
      <c r="G152" s="13" t="n">
        <v>200</v>
      </c>
      <c r="H152" s="9" t="s">
        <v>29</v>
      </c>
      <c r="I152" s="13" t="n">
        <v>8</v>
      </c>
      <c r="J152" s="1" t="str">
        <f aca="false">IF(A152="","", "SAMP-"&amp;A152&amp;"-L"&amp;TEXT(B152,"00")&amp;"-"&amp;TEXT(C152,"yyyymmdd")&amp;"-"&amp;D152&amp;"-H"&amp;TEXT(E152,"00")&amp;"-"&amp;H152)</f>
        <v>SAMP-KG01-L21-20251001-ORD-2025-00163-H20-Choke Neck</v>
      </c>
      <c r="K152" s="1" t="str">
        <f aca="false">IF(A152="","",IF(AND(G152&gt;=0,I152&gt;=0,I152&lt;=G152),"OK","CHECK"))</f>
        <v>OK</v>
      </c>
      <c r="L152" s="1" t="str">
        <f aca="false">IF(A152="","",IF(AND(E152&gt;=0,E152&lt;=23),"OK","CHECK"))</f>
        <v>OK</v>
      </c>
      <c r="M152" s="1" t="str">
        <f aca="false">IF(A152="","",IF(AND(K152="OK",L152="OK"),"OK","CHECK"))</f>
        <v>OK</v>
      </c>
    </row>
    <row r="153" customFormat="false" ht="18" hidden="false" customHeight="true" outlineLevel="0" collapsed="false">
      <c r="A153" s="9" t="s">
        <v>26</v>
      </c>
      <c r="B153" s="10" t="n">
        <v>21</v>
      </c>
      <c r="C153" s="11" t="n">
        <v>45931</v>
      </c>
      <c r="D153" s="9" t="s">
        <v>52</v>
      </c>
      <c r="E153" s="12" t="n">
        <v>16</v>
      </c>
      <c r="F153" s="9" t="s">
        <v>31</v>
      </c>
      <c r="G153" s="13" t="n">
        <v>100</v>
      </c>
      <c r="H153" s="9" t="s">
        <v>36</v>
      </c>
      <c r="I153" s="13" t="n">
        <v>4</v>
      </c>
      <c r="J153" s="1" t="str">
        <f aca="false">IF(A153="","", "SAMP-"&amp;A153&amp;"-L"&amp;TEXT(B153,"00")&amp;"-"&amp;TEXT(C153,"yyyymmdd")&amp;"-"&amp;D153&amp;"-H"&amp;TEXT(E153,"00")&amp;"-"&amp;H153)</f>
        <v>SAMP-KG01-L21-20251001-ORD-2025-00163-H16-Blister</v>
      </c>
      <c r="K153" s="1" t="str">
        <f aca="false">IF(A153="","",IF(AND(G153&gt;=0,I153&gt;=0,I153&lt;=G153),"OK","CHECK"))</f>
        <v>OK</v>
      </c>
      <c r="L153" s="1" t="str">
        <f aca="false">IF(A153="","",IF(AND(E153&gt;=0,E153&lt;=23),"OK","CHECK"))</f>
        <v>OK</v>
      </c>
      <c r="M153" s="1" t="str">
        <f aca="false">IF(A153="","",IF(AND(K153="OK",L153="OK"),"OK","CHECK"))</f>
        <v>OK</v>
      </c>
    </row>
    <row r="154" customFormat="false" ht="18" hidden="false" customHeight="true" outlineLevel="0" collapsed="false">
      <c r="A154" s="9" t="s">
        <v>26</v>
      </c>
      <c r="B154" s="10" t="n">
        <v>21</v>
      </c>
      <c r="C154" s="11" t="n">
        <v>45931</v>
      </c>
      <c r="D154" s="9" t="s">
        <v>52</v>
      </c>
      <c r="E154" s="12" t="n">
        <v>23</v>
      </c>
      <c r="F154" s="9" t="s">
        <v>31</v>
      </c>
      <c r="G154" s="13" t="n">
        <v>150</v>
      </c>
      <c r="H154" s="9" t="s">
        <v>34</v>
      </c>
      <c r="I154" s="13" t="n">
        <v>5</v>
      </c>
      <c r="J154" s="1" t="str">
        <f aca="false">IF(A154="","", "SAMP-"&amp;A154&amp;"-L"&amp;TEXT(B154,"00")&amp;"-"&amp;TEXT(C154,"yyyymmdd")&amp;"-"&amp;D154&amp;"-H"&amp;TEXT(E154,"00")&amp;"-"&amp;H154)</f>
        <v>SAMP-KG01-L21-20251001-ORD-2025-00163-H23-Thin Wall</v>
      </c>
      <c r="K154" s="1" t="str">
        <f aca="false">IF(A154="","",IF(AND(G154&gt;=0,I154&gt;=0,I154&lt;=G154),"OK","CHECK"))</f>
        <v>OK</v>
      </c>
      <c r="L154" s="1" t="str">
        <f aca="false">IF(A154="","",IF(AND(E154&gt;=0,E154&lt;=23),"OK","CHECK"))</f>
        <v>OK</v>
      </c>
      <c r="M154" s="1" t="str">
        <f aca="false">IF(A154="","",IF(AND(K154="OK",L154="OK"),"OK","CHECK"))</f>
        <v>OK</v>
      </c>
    </row>
    <row r="155" customFormat="false" ht="18" hidden="false" customHeight="true" outlineLevel="0" collapsed="false">
      <c r="A155" s="9" t="s">
        <v>26</v>
      </c>
      <c r="B155" s="10" t="n">
        <v>21</v>
      </c>
      <c r="C155" s="11" t="n">
        <v>45932</v>
      </c>
      <c r="D155" s="9" t="s">
        <v>52</v>
      </c>
      <c r="E155" s="12" t="n">
        <v>12</v>
      </c>
      <c r="F155" s="9" t="s">
        <v>28</v>
      </c>
      <c r="G155" s="13" t="n">
        <v>50</v>
      </c>
      <c r="H155" s="9" t="s">
        <v>30</v>
      </c>
      <c r="I155" s="13" t="n">
        <v>0</v>
      </c>
      <c r="J155" s="1" t="str">
        <f aca="false">IF(A155="","", "SAMP-"&amp;A155&amp;"-L"&amp;TEXT(B155,"00")&amp;"-"&amp;TEXT(C155,"yyyymmdd")&amp;"-"&amp;D155&amp;"-H"&amp;TEXT(E155,"00")&amp;"-"&amp;H155)</f>
        <v>SAMP-KG01-L21-20251002-ORD-2025-00163-H12-Overpress</v>
      </c>
      <c r="K155" s="1" t="str">
        <f aca="false">IF(A155="","",IF(AND(G155&gt;=0,I155&gt;=0,I155&lt;=G155),"OK","CHECK"))</f>
        <v>OK</v>
      </c>
      <c r="L155" s="1" t="str">
        <f aca="false">IF(A155="","",IF(AND(E155&gt;=0,E155&lt;=23),"OK","CHECK"))</f>
        <v>OK</v>
      </c>
      <c r="M155" s="1" t="str">
        <f aca="false">IF(A155="","",IF(AND(K155="OK",L155="OK"),"OK","CHECK"))</f>
        <v>OK</v>
      </c>
    </row>
    <row r="156" customFormat="false" ht="18" hidden="false" customHeight="true" outlineLevel="0" collapsed="false">
      <c r="A156" s="9" t="s">
        <v>26</v>
      </c>
      <c r="B156" s="10" t="n">
        <v>21</v>
      </c>
      <c r="C156" s="11" t="n">
        <v>45932</v>
      </c>
      <c r="D156" s="9" t="s">
        <v>52</v>
      </c>
      <c r="E156" s="12" t="n">
        <v>7</v>
      </c>
      <c r="F156" s="9" t="s">
        <v>28</v>
      </c>
      <c r="G156" s="13" t="n">
        <v>100</v>
      </c>
      <c r="H156" s="9" t="s">
        <v>37</v>
      </c>
      <c r="I156" s="13" t="n">
        <v>0</v>
      </c>
      <c r="J156" s="1" t="str">
        <f aca="false">IF(A156="","", "SAMP-"&amp;A156&amp;"-L"&amp;TEXT(B156,"00")&amp;"-"&amp;TEXT(C156,"yyyymmdd")&amp;"-"&amp;D156&amp;"-H"&amp;TEXT(E156,"00")&amp;"-"&amp;H156)</f>
        <v>SAMP-KG01-L21-20251002-ORD-2025-00163-H07-Bird Swing</v>
      </c>
      <c r="K156" s="1" t="str">
        <f aca="false">IF(A156="","",IF(AND(G156&gt;=0,I156&gt;=0,I156&lt;=G156),"OK","CHECK"))</f>
        <v>OK</v>
      </c>
      <c r="L156" s="1" t="str">
        <f aca="false">IF(A156="","",IF(AND(E156&gt;=0,E156&lt;=23),"OK","CHECK"))</f>
        <v>OK</v>
      </c>
      <c r="M156" s="1" t="str">
        <f aca="false">IF(A156="","",IF(AND(K156="OK",L156="OK"),"OK","CHECK"))</f>
        <v>OK</v>
      </c>
    </row>
    <row r="157" customFormat="false" ht="18" hidden="false" customHeight="true" outlineLevel="0" collapsed="false">
      <c r="A157" s="9" t="s">
        <v>26</v>
      </c>
      <c r="B157" s="10" t="n">
        <v>21</v>
      </c>
      <c r="C157" s="11" t="n">
        <v>45932</v>
      </c>
      <c r="D157" s="9" t="s">
        <v>52</v>
      </c>
      <c r="E157" s="12" t="n">
        <v>16</v>
      </c>
      <c r="F157" s="9" t="s">
        <v>31</v>
      </c>
      <c r="G157" s="13" t="n">
        <v>150</v>
      </c>
      <c r="H157" s="9" t="s">
        <v>34</v>
      </c>
      <c r="I157" s="13" t="n">
        <v>6</v>
      </c>
      <c r="J157" s="1" t="str">
        <f aca="false">IF(A157="","", "SAMP-"&amp;A157&amp;"-L"&amp;TEXT(B157,"00")&amp;"-"&amp;TEXT(C157,"yyyymmdd")&amp;"-"&amp;D157&amp;"-H"&amp;TEXT(E157,"00")&amp;"-"&amp;H157)</f>
        <v>SAMP-KG01-L21-20251002-ORD-2025-00163-H16-Thin Wall</v>
      </c>
      <c r="K157" s="1" t="str">
        <f aca="false">IF(A157="","",IF(AND(G157&gt;=0,I157&gt;=0,I157&lt;=G157),"OK","CHECK"))</f>
        <v>OK</v>
      </c>
      <c r="L157" s="1" t="str">
        <f aca="false">IF(A157="","",IF(AND(E157&gt;=0,E157&lt;=23),"OK","CHECK"))</f>
        <v>OK</v>
      </c>
      <c r="M157" s="1" t="str">
        <f aca="false">IF(A157="","",IF(AND(K157="OK",L157="OK"),"OK","CHECK"))</f>
        <v>OK</v>
      </c>
    </row>
    <row r="158" customFormat="false" ht="18" hidden="false" customHeight="true" outlineLevel="0" collapsed="false">
      <c r="A158" s="9" t="s">
        <v>26</v>
      </c>
      <c r="B158" s="10" t="n">
        <v>21</v>
      </c>
      <c r="C158" s="11" t="n">
        <v>45932</v>
      </c>
      <c r="D158" s="9" t="s">
        <v>52</v>
      </c>
      <c r="E158" s="12" t="n">
        <v>23</v>
      </c>
      <c r="F158" s="9" t="s">
        <v>31</v>
      </c>
      <c r="G158" s="13" t="n">
        <v>100</v>
      </c>
      <c r="H158" s="9" t="s">
        <v>29</v>
      </c>
      <c r="I158" s="13" t="n">
        <v>3</v>
      </c>
      <c r="J158" s="1" t="str">
        <f aca="false">IF(A158="","", "SAMP-"&amp;A158&amp;"-L"&amp;TEXT(B158,"00")&amp;"-"&amp;TEXT(C158,"yyyymmdd")&amp;"-"&amp;D158&amp;"-H"&amp;TEXT(E158,"00")&amp;"-"&amp;H158)</f>
        <v>SAMP-KG01-L21-20251002-ORD-2025-00163-H23-Choke Neck</v>
      </c>
      <c r="K158" s="1" t="str">
        <f aca="false">IF(A158="","",IF(AND(G158&gt;=0,I158&gt;=0,I158&lt;=G158),"OK","CHECK"))</f>
        <v>OK</v>
      </c>
      <c r="L158" s="1" t="str">
        <f aca="false">IF(A158="","",IF(AND(E158&gt;=0,E158&lt;=23),"OK","CHECK"))</f>
        <v>OK</v>
      </c>
      <c r="M158" s="1" t="str">
        <f aca="false">IF(A158="","",IF(AND(K158="OK",L158="OK"),"OK","CHECK"))</f>
        <v>OK</v>
      </c>
    </row>
    <row r="159" customFormat="false" ht="18" hidden="false" customHeight="true" outlineLevel="0" collapsed="false">
      <c r="A159" s="9" t="s">
        <v>26</v>
      </c>
      <c r="B159" s="10" t="n">
        <v>21</v>
      </c>
      <c r="C159" s="11" t="n">
        <v>45932</v>
      </c>
      <c r="D159" s="9" t="s">
        <v>52</v>
      </c>
      <c r="E159" s="12" t="n">
        <v>20</v>
      </c>
      <c r="F159" s="9" t="s">
        <v>31</v>
      </c>
      <c r="G159" s="13" t="n">
        <v>150</v>
      </c>
      <c r="H159" s="9" t="s">
        <v>35</v>
      </c>
      <c r="I159" s="13" t="n">
        <v>5</v>
      </c>
      <c r="J159" s="1" t="str">
        <f aca="false">IF(A159="","", "SAMP-"&amp;A159&amp;"-L"&amp;TEXT(B159,"00")&amp;"-"&amp;TEXT(C159,"yyyymmdd")&amp;"-"&amp;D159&amp;"-H"&amp;TEXT(E159,"00")&amp;"-"&amp;H159)</f>
        <v>SAMP-KG01-L21-20251002-ORD-2025-00163-H20-Stone</v>
      </c>
      <c r="K159" s="1" t="str">
        <f aca="false">IF(A159="","",IF(AND(G159&gt;=0,I159&gt;=0,I159&lt;=G159),"OK","CHECK"))</f>
        <v>OK</v>
      </c>
      <c r="L159" s="1" t="str">
        <f aca="false">IF(A159="","",IF(AND(E159&gt;=0,E159&lt;=23),"OK","CHECK"))</f>
        <v>OK</v>
      </c>
      <c r="M159" s="1" t="str">
        <f aca="false">IF(A159="","",IF(AND(K159="OK",L159="OK"),"OK","CHECK"))</f>
        <v>OK</v>
      </c>
    </row>
    <row r="160" customFormat="false" ht="18" hidden="false" customHeight="true" outlineLevel="0" collapsed="false">
      <c r="A160" s="9" t="s">
        <v>26</v>
      </c>
      <c r="B160" s="10" t="n">
        <v>21</v>
      </c>
      <c r="C160" s="11" t="n">
        <v>45933</v>
      </c>
      <c r="D160" s="9" t="s">
        <v>53</v>
      </c>
      <c r="E160" s="12" t="n">
        <v>7</v>
      </c>
      <c r="F160" s="9" t="s">
        <v>28</v>
      </c>
      <c r="G160" s="13" t="n">
        <v>200</v>
      </c>
      <c r="H160" s="9" t="s">
        <v>29</v>
      </c>
      <c r="I160" s="13" t="n">
        <v>0</v>
      </c>
      <c r="J160" s="1" t="str">
        <f aca="false">IF(A160="","", "SAMP-"&amp;A160&amp;"-L"&amp;TEXT(B160,"00")&amp;"-"&amp;TEXT(C160,"yyyymmdd")&amp;"-"&amp;D160&amp;"-H"&amp;TEXT(E160,"00")&amp;"-"&amp;H160)</f>
        <v>SAMP-KG01-L21-20251003-ORD-2025-00164-H07-Choke Neck</v>
      </c>
      <c r="K160" s="1" t="str">
        <f aca="false">IF(A160="","",IF(AND(G160&gt;=0,I160&gt;=0,I160&lt;=G160),"OK","CHECK"))</f>
        <v>OK</v>
      </c>
      <c r="L160" s="1" t="str">
        <f aca="false">IF(A160="","",IF(AND(E160&gt;=0,E160&lt;=23),"OK","CHECK"))</f>
        <v>OK</v>
      </c>
      <c r="M160" s="1" t="str">
        <f aca="false">IF(A160="","",IF(AND(K160="OK",L160="OK"),"OK","CHECK"))</f>
        <v>OK</v>
      </c>
    </row>
    <row r="161" customFormat="false" ht="18" hidden="false" customHeight="true" outlineLevel="0" collapsed="false">
      <c r="A161" s="9" t="s">
        <v>26</v>
      </c>
      <c r="B161" s="10" t="n">
        <v>21</v>
      </c>
      <c r="C161" s="11" t="n">
        <v>45933</v>
      </c>
      <c r="D161" s="9" t="s">
        <v>53</v>
      </c>
      <c r="E161" s="12" t="n">
        <v>12</v>
      </c>
      <c r="F161" s="9" t="s">
        <v>28</v>
      </c>
      <c r="G161" s="13" t="n">
        <v>100</v>
      </c>
      <c r="H161" s="9" t="s">
        <v>36</v>
      </c>
      <c r="I161" s="13" t="n">
        <v>0</v>
      </c>
      <c r="J161" s="1" t="str">
        <f aca="false">IF(A161="","", "SAMP-"&amp;A161&amp;"-L"&amp;TEXT(B161,"00")&amp;"-"&amp;TEXT(C161,"yyyymmdd")&amp;"-"&amp;D161&amp;"-H"&amp;TEXT(E161,"00")&amp;"-"&amp;H161)</f>
        <v>SAMP-KG01-L21-20251003-ORD-2025-00164-H12-Blister</v>
      </c>
      <c r="K161" s="1" t="str">
        <f aca="false">IF(A161="","",IF(AND(G161&gt;=0,I161&gt;=0,I161&lt;=G161),"OK","CHECK"))</f>
        <v>OK</v>
      </c>
      <c r="L161" s="1" t="str">
        <f aca="false">IF(A161="","",IF(AND(E161&gt;=0,E161&lt;=23),"OK","CHECK"))</f>
        <v>OK</v>
      </c>
      <c r="M161" s="1" t="str">
        <f aca="false">IF(A161="","",IF(AND(K161="OK",L161="OK"),"OK","CHECK"))</f>
        <v>OK</v>
      </c>
    </row>
    <row r="162" customFormat="false" ht="18" hidden="false" customHeight="true" outlineLevel="0" collapsed="false">
      <c r="A162" s="9" t="s">
        <v>26</v>
      </c>
      <c r="B162" s="10" t="n">
        <v>21</v>
      </c>
      <c r="C162" s="11" t="n">
        <v>45933</v>
      </c>
      <c r="D162" s="9" t="s">
        <v>53</v>
      </c>
      <c r="E162" s="12" t="n">
        <v>23</v>
      </c>
      <c r="F162" s="9" t="s">
        <v>31</v>
      </c>
      <c r="G162" s="13" t="n">
        <v>50</v>
      </c>
      <c r="H162" s="9" t="s">
        <v>36</v>
      </c>
      <c r="I162" s="13" t="n">
        <v>1</v>
      </c>
      <c r="J162" s="1" t="str">
        <f aca="false">IF(A162="","", "SAMP-"&amp;A162&amp;"-L"&amp;TEXT(B162,"00")&amp;"-"&amp;TEXT(C162,"yyyymmdd")&amp;"-"&amp;D162&amp;"-H"&amp;TEXT(E162,"00")&amp;"-"&amp;H162)</f>
        <v>SAMP-KG01-L21-20251003-ORD-2025-00164-H23-Blister</v>
      </c>
      <c r="K162" s="1" t="str">
        <f aca="false">IF(A162="","",IF(AND(G162&gt;=0,I162&gt;=0,I162&lt;=G162),"OK","CHECK"))</f>
        <v>OK</v>
      </c>
      <c r="L162" s="1" t="str">
        <f aca="false">IF(A162="","",IF(AND(E162&gt;=0,E162&lt;=23),"OK","CHECK"))</f>
        <v>OK</v>
      </c>
      <c r="M162" s="1" t="str">
        <f aca="false">IF(A162="","",IF(AND(K162="OK",L162="OK"),"OK","CHECK"))</f>
        <v>OK</v>
      </c>
    </row>
    <row r="163" customFormat="false" ht="18" hidden="false" customHeight="true" outlineLevel="0" collapsed="false">
      <c r="A163" s="9" t="s">
        <v>26</v>
      </c>
      <c r="B163" s="10" t="n">
        <v>21</v>
      </c>
      <c r="C163" s="11" t="n">
        <v>45933</v>
      </c>
      <c r="D163" s="9" t="s">
        <v>53</v>
      </c>
      <c r="E163" s="12" t="n">
        <v>20</v>
      </c>
      <c r="F163" s="9" t="s">
        <v>31</v>
      </c>
      <c r="G163" s="13" t="n">
        <v>150</v>
      </c>
      <c r="H163" s="9" t="s">
        <v>38</v>
      </c>
      <c r="I163" s="13" t="n">
        <v>3</v>
      </c>
      <c r="J163" s="1" t="str">
        <f aca="false">IF(A163="","", "SAMP-"&amp;A163&amp;"-L"&amp;TEXT(B163,"00")&amp;"-"&amp;TEXT(C163,"yyyymmdd")&amp;"-"&amp;D163&amp;"-H"&amp;TEXT(E163,"00")&amp;"-"&amp;H163)</f>
        <v>SAMP-KG01-L21-20251003-ORD-2025-00164-H20-Crack</v>
      </c>
      <c r="K163" s="1" t="str">
        <f aca="false">IF(A163="","",IF(AND(G163&gt;=0,I163&gt;=0,I163&lt;=G163),"OK","CHECK"))</f>
        <v>OK</v>
      </c>
      <c r="L163" s="1" t="str">
        <f aca="false">IF(A163="","",IF(AND(E163&gt;=0,E163&lt;=23),"OK","CHECK"))</f>
        <v>OK</v>
      </c>
      <c r="M163" s="1" t="str">
        <f aca="false">IF(A163="","",IF(AND(K163="OK",L163="OK"),"OK","CHECK"))</f>
        <v>OK</v>
      </c>
    </row>
    <row r="164" customFormat="false" ht="18" hidden="false" customHeight="true" outlineLevel="0" collapsed="false">
      <c r="A164" s="9" t="s">
        <v>26</v>
      </c>
      <c r="B164" s="10" t="n">
        <v>21</v>
      </c>
      <c r="C164" s="11" t="n">
        <v>45933</v>
      </c>
      <c r="D164" s="9" t="s">
        <v>53</v>
      </c>
      <c r="E164" s="12" t="n">
        <v>16</v>
      </c>
      <c r="F164" s="9" t="s">
        <v>31</v>
      </c>
      <c r="G164" s="13" t="n">
        <v>200</v>
      </c>
      <c r="H164" s="9" t="s">
        <v>41</v>
      </c>
      <c r="I164" s="13" t="n">
        <v>7</v>
      </c>
      <c r="J164" s="1" t="str">
        <f aca="false">IF(A164="","", "SAMP-"&amp;A164&amp;"-L"&amp;TEXT(B164,"00")&amp;"-"&amp;TEXT(C164,"yyyymmdd")&amp;"-"&amp;D164&amp;"-H"&amp;TEXT(E164,"00")&amp;"-"&amp;H164)</f>
        <v>SAMP-KG01-L21-20251003-ORD-2025-00164-H16-Chip</v>
      </c>
      <c r="K164" s="1" t="str">
        <f aca="false">IF(A164="","",IF(AND(G164&gt;=0,I164&gt;=0,I164&lt;=G164),"OK","CHECK"))</f>
        <v>OK</v>
      </c>
      <c r="L164" s="1" t="str">
        <f aca="false">IF(A164="","",IF(AND(E164&gt;=0,E164&lt;=23),"OK","CHECK"))</f>
        <v>OK</v>
      </c>
      <c r="M164" s="1" t="str">
        <f aca="false">IF(A164="","",IF(AND(K164="OK",L164="OK"),"OK","CHECK"))</f>
        <v>OK</v>
      </c>
    </row>
    <row r="165" customFormat="false" ht="18" hidden="false" customHeight="true" outlineLevel="0" collapsed="false">
      <c r="A165" s="9" t="s">
        <v>26</v>
      </c>
      <c r="B165" s="10" t="n">
        <v>21</v>
      </c>
      <c r="C165" s="11" t="n">
        <v>45934</v>
      </c>
      <c r="D165" s="9" t="s">
        <v>53</v>
      </c>
      <c r="E165" s="12" t="n">
        <v>7</v>
      </c>
      <c r="F165" s="9" t="s">
        <v>28</v>
      </c>
      <c r="G165" s="13" t="n">
        <v>150</v>
      </c>
      <c r="H165" s="9" t="s">
        <v>38</v>
      </c>
      <c r="I165" s="13" t="n">
        <v>4</v>
      </c>
      <c r="J165" s="1" t="str">
        <f aca="false">IF(A165="","", "SAMP-"&amp;A165&amp;"-L"&amp;TEXT(B165,"00")&amp;"-"&amp;TEXT(C165,"yyyymmdd")&amp;"-"&amp;D165&amp;"-H"&amp;TEXT(E165,"00")&amp;"-"&amp;H165)</f>
        <v>SAMP-KG01-L21-20251004-ORD-2025-00164-H07-Crack</v>
      </c>
      <c r="K165" s="1" t="str">
        <f aca="false">IF(A165="","",IF(AND(G165&gt;=0,I165&gt;=0,I165&lt;=G165),"OK","CHECK"))</f>
        <v>OK</v>
      </c>
      <c r="L165" s="1" t="str">
        <f aca="false">IF(A165="","",IF(AND(E165&gt;=0,E165&lt;=23),"OK","CHECK"))</f>
        <v>OK</v>
      </c>
      <c r="M165" s="1" t="str">
        <f aca="false">IF(A165="","",IF(AND(K165="OK",L165="OK"),"OK","CHECK"))</f>
        <v>OK</v>
      </c>
    </row>
    <row r="166" customFormat="false" ht="18" hidden="false" customHeight="true" outlineLevel="0" collapsed="false">
      <c r="A166" s="9" t="s">
        <v>26</v>
      </c>
      <c r="B166" s="10" t="n">
        <v>21</v>
      </c>
      <c r="C166" s="11" t="n">
        <v>45934</v>
      </c>
      <c r="D166" s="9" t="s">
        <v>53</v>
      </c>
      <c r="E166" s="12" t="n">
        <v>12</v>
      </c>
      <c r="F166" s="9" t="s">
        <v>28</v>
      </c>
      <c r="G166" s="13" t="n">
        <v>100</v>
      </c>
      <c r="H166" s="9" t="s">
        <v>34</v>
      </c>
      <c r="I166" s="13" t="n">
        <v>3</v>
      </c>
      <c r="J166" s="1" t="str">
        <f aca="false">IF(A166="","", "SAMP-"&amp;A166&amp;"-L"&amp;TEXT(B166,"00")&amp;"-"&amp;TEXT(C166,"yyyymmdd")&amp;"-"&amp;D166&amp;"-H"&amp;TEXT(E166,"00")&amp;"-"&amp;H166)</f>
        <v>SAMP-KG01-L21-20251004-ORD-2025-00164-H12-Thin Wall</v>
      </c>
      <c r="K166" s="1" t="str">
        <f aca="false">IF(A166="","",IF(AND(G166&gt;=0,I166&gt;=0,I166&lt;=G166),"OK","CHECK"))</f>
        <v>OK</v>
      </c>
      <c r="L166" s="1" t="str">
        <f aca="false">IF(A166="","",IF(AND(E166&gt;=0,E166&lt;=23),"OK","CHECK"))</f>
        <v>OK</v>
      </c>
      <c r="M166" s="1" t="str">
        <f aca="false">IF(A166="","",IF(AND(K166="OK",L166="OK"),"OK","CHECK"))</f>
        <v>OK</v>
      </c>
    </row>
    <row r="167" customFormat="false" ht="18" hidden="false" customHeight="true" outlineLevel="0" collapsed="false">
      <c r="A167" s="9" t="s">
        <v>26</v>
      </c>
      <c r="B167" s="10" t="n">
        <v>21</v>
      </c>
      <c r="C167" s="11" t="n">
        <v>45934</v>
      </c>
      <c r="D167" s="9" t="s">
        <v>53</v>
      </c>
      <c r="E167" s="12" t="n">
        <v>20</v>
      </c>
      <c r="F167" s="9" t="s">
        <v>31</v>
      </c>
      <c r="G167" s="13" t="n">
        <v>200</v>
      </c>
      <c r="H167" s="9" t="s">
        <v>41</v>
      </c>
      <c r="I167" s="13" t="n">
        <v>3</v>
      </c>
      <c r="J167" s="1" t="str">
        <f aca="false">IF(A167="","", "SAMP-"&amp;A167&amp;"-L"&amp;TEXT(B167,"00")&amp;"-"&amp;TEXT(C167,"yyyymmdd")&amp;"-"&amp;D167&amp;"-H"&amp;TEXT(E167,"00")&amp;"-"&amp;H167)</f>
        <v>SAMP-KG01-L21-20251004-ORD-2025-00164-H20-Chip</v>
      </c>
      <c r="K167" s="1" t="str">
        <f aca="false">IF(A167="","",IF(AND(G167&gt;=0,I167&gt;=0,I167&lt;=G167),"OK","CHECK"))</f>
        <v>OK</v>
      </c>
      <c r="L167" s="1" t="str">
        <f aca="false">IF(A167="","",IF(AND(E167&gt;=0,E167&lt;=23),"OK","CHECK"))</f>
        <v>OK</v>
      </c>
      <c r="M167" s="1" t="str">
        <f aca="false">IF(A167="","",IF(AND(K167="OK",L167="OK"),"OK","CHECK"))</f>
        <v>OK</v>
      </c>
    </row>
    <row r="168" customFormat="false" ht="18" hidden="false" customHeight="true" outlineLevel="0" collapsed="false">
      <c r="A168" s="9" t="s">
        <v>26</v>
      </c>
      <c r="B168" s="10" t="n">
        <v>21</v>
      </c>
      <c r="C168" s="11" t="n">
        <v>45934</v>
      </c>
      <c r="D168" s="9" t="s">
        <v>53</v>
      </c>
      <c r="E168" s="12" t="n">
        <v>16</v>
      </c>
      <c r="F168" s="9" t="s">
        <v>31</v>
      </c>
      <c r="G168" s="13" t="n">
        <v>50</v>
      </c>
      <c r="H168" s="9" t="s">
        <v>37</v>
      </c>
      <c r="I168" s="13" t="n">
        <v>1</v>
      </c>
      <c r="J168" s="1" t="str">
        <f aca="false">IF(A168="","", "SAMP-"&amp;A168&amp;"-L"&amp;TEXT(B168,"00")&amp;"-"&amp;TEXT(C168,"yyyymmdd")&amp;"-"&amp;D168&amp;"-H"&amp;TEXT(E168,"00")&amp;"-"&amp;H168)</f>
        <v>SAMP-KG01-L21-20251004-ORD-2025-00164-H16-Bird Swing</v>
      </c>
      <c r="K168" s="1" t="str">
        <f aca="false">IF(A168="","",IF(AND(G168&gt;=0,I168&gt;=0,I168&lt;=G168),"OK","CHECK"))</f>
        <v>OK</v>
      </c>
      <c r="L168" s="1" t="str">
        <f aca="false">IF(A168="","",IF(AND(E168&gt;=0,E168&lt;=23),"OK","CHECK"))</f>
        <v>OK</v>
      </c>
      <c r="M168" s="1" t="str">
        <f aca="false">IF(A168="","",IF(AND(K168="OK",L168="OK"),"OK","CHECK"))</f>
        <v>OK</v>
      </c>
    </row>
    <row r="169" customFormat="false" ht="18" hidden="false" customHeight="true" outlineLevel="0" collapsed="false">
      <c r="A169" s="9" t="s">
        <v>26</v>
      </c>
      <c r="B169" s="10" t="n">
        <v>21</v>
      </c>
      <c r="C169" s="11" t="n">
        <v>45935</v>
      </c>
      <c r="D169" s="9" t="s">
        <v>53</v>
      </c>
      <c r="E169" s="12" t="n">
        <v>7</v>
      </c>
      <c r="F169" s="9" t="s">
        <v>28</v>
      </c>
      <c r="G169" s="13" t="n">
        <v>50</v>
      </c>
      <c r="H169" s="9" t="s">
        <v>38</v>
      </c>
      <c r="I169" s="13" t="n">
        <v>2</v>
      </c>
      <c r="J169" s="1" t="str">
        <f aca="false">IF(A169="","", "SAMP-"&amp;A169&amp;"-L"&amp;TEXT(B169,"00")&amp;"-"&amp;TEXT(C169,"yyyymmdd")&amp;"-"&amp;D169&amp;"-H"&amp;TEXT(E169,"00")&amp;"-"&amp;H169)</f>
        <v>SAMP-KG01-L21-20251005-ORD-2025-00164-H07-Crack</v>
      </c>
      <c r="K169" s="1" t="str">
        <f aca="false">IF(A169="","",IF(AND(G169&gt;=0,I169&gt;=0,I169&lt;=G169),"OK","CHECK"))</f>
        <v>OK</v>
      </c>
      <c r="L169" s="1" t="str">
        <f aca="false">IF(A169="","",IF(AND(E169&gt;=0,E169&lt;=23),"OK","CHECK"))</f>
        <v>OK</v>
      </c>
      <c r="M169" s="1" t="str">
        <f aca="false">IF(A169="","",IF(AND(K169="OK",L169="OK"),"OK","CHECK"))</f>
        <v>OK</v>
      </c>
    </row>
    <row r="170" customFormat="false" ht="18" hidden="false" customHeight="true" outlineLevel="0" collapsed="false">
      <c r="A170" s="9" t="s">
        <v>26</v>
      </c>
      <c r="B170" s="10" t="n">
        <v>21</v>
      </c>
      <c r="C170" s="11" t="n">
        <v>45935</v>
      </c>
      <c r="D170" s="9" t="s">
        <v>53</v>
      </c>
      <c r="E170" s="12" t="n">
        <v>12</v>
      </c>
      <c r="F170" s="9" t="s">
        <v>28</v>
      </c>
      <c r="G170" s="13" t="n">
        <v>200</v>
      </c>
      <c r="H170" s="9" t="s">
        <v>41</v>
      </c>
      <c r="I170" s="13" t="n">
        <v>5</v>
      </c>
      <c r="J170" s="1" t="str">
        <f aca="false">IF(A170="","", "SAMP-"&amp;A170&amp;"-L"&amp;TEXT(B170,"00")&amp;"-"&amp;TEXT(C170,"yyyymmdd")&amp;"-"&amp;D170&amp;"-H"&amp;TEXT(E170,"00")&amp;"-"&amp;H170)</f>
        <v>SAMP-KG01-L21-20251005-ORD-2025-00164-H12-Chip</v>
      </c>
      <c r="K170" s="1" t="str">
        <f aca="false">IF(A170="","",IF(AND(G170&gt;=0,I170&gt;=0,I170&lt;=G170),"OK","CHECK"))</f>
        <v>OK</v>
      </c>
      <c r="L170" s="1" t="str">
        <f aca="false">IF(A170="","",IF(AND(E170&gt;=0,E170&lt;=23),"OK","CHECK"))</f>
        <v>OK</v>
      </c>
      <c r="M170" s="1" t="str">
        <f aca="false">IF(A170="","",IF(AND(K170="OK",L170="OK"),"OK","CHECK"))</f>
        <v>OK</v>
      </c>
    </row>
    <row r="171" customFormat="false" ht="18" hidden="false" customHeight="true" outlineLevel="0" collapsed="false">
      <c r="A171" s="9" t="s">
        <v>26</v>
      </c>
      <c r="B171" s="10" t="n">
        <v>21</v>
      </c>
      <c r="C171" s="11" t="n">
        <v>45935</v>
      </c>
      <c r="D171" s="9" t="s">
        <v>53</v>
      </c>
      <c r="E171" s="12" t="n">
        <v>9</v>
      </c>
      <c r="F171" s="9" t="s">
        <v>28</v>
      </c>
      <c r="G171" s="13" t="n">
        <v>50</v>
      </c>
      <c r="H171" s="9" t="s">
        <v>38</v>
      </c>
      <c r="I171" s="13" t="n">
        <v>0</v>
      </c>
      <c r="J171" s="1" t="str">
        <f aca="false">IF(A171="","", "SAMP-"&amp;A171&amp;"-L"&amp;TEXT(B171,"00")&amp;"-"&amp;TEXT(C171,"yyyymmdd")&amp;"-"&amp;D171&amp;"-H"&amp;TEXT(E171,"00")&amp;"-"&amp;H171)</f>
        <v>SAMP-KG01-L21-20251005-ORD-2025-00164-H09-Crack</v>
      </c>
      <c r="K171" s="1" t="str">
        <f aca="false">IF(A171="","",IF(AND(G171&gt;=0,I171&gt;=0,I171&lt;=G171),"OK","CHECK"))</f>
        <v>OK</v>
      </c>
      <c r="L171" s="1" t="str">
        <f aca="false">IF(A171="","",IF(AND(E171&gt;=0,E171&lt;=23),"OK","CHECK"))</f>
        <v>OK</v>
      </c>
      <c r="M171" s="1" t="str">
        <f aca="false">IF(A171="","",IF(AND(K171="OK",L171="OK"),"OK","CHECK"))</f>
        <v>OK</v>
      </c>
    </row>
    <row r="172" customFormat="false" ht="18" hidden="false" customHeight="true" outlineLevel="0" collapsed="false">
      <c r="A172" s="9" t="s">
        <v>26</v>
      </c>
      <c r="B172" s="10" t="n">
        <v>21</v>
      </c>
      <c r="C172" s="11" t="n">
        <v>45935</v>
      </c>
      <c r="D172" s="9" t="s">
        <v>53</v>
      </c>
      <c r="E172" s="12" t="n">
        <v>20</v>
      </c>
      <c r="F172" s="9" t="s">
        <v>31</v>
      </c>
      <c r="G172" s="13" t="n">
        <v>150</v>
      </c>
      <c r="H172" s="9" t="s">
        <v>35</v>
      </c>
      <c r="I172" s="13" t="n">
        <v>3</v>
      </c>
      <c r="J172" s="1" t="str">
        <f aca="false">IF(A172="","", "SAMP-"&amp;A172&amp;"-L"&amp;TEXT(B172,"00")&amp;"-"&amp;TEXT(C172,"yyyymmdd")&amp;"-"&amp;D172&amp;"-H"&amp;TEXT(E172,"00")&amp;"-"&amp;H172)</f>
        <v>SAMP-KG01-L21-20251005-ORD-2025-00164-H20-Stone</v>
      </c>
      <c r="K172" s="1" t="str">
        <f aca="false">IF(A172="","",IF(AND(G172&gt;=0,I172&gt;=0,I172&lt;=G172),"OK","CHECK"))</f>
        <v>OK</v>
      </c>
      <c r="L172" s="1" t="str">
        <f aca="false">IF(A172="","",IF(AND(E172&gt;=0,E172&lt;=23),"OK","CHECK"))</f>
        <v>OK</v>
      </c>
      <c r="M172" s="1" t="str">
        <f aca="false">IF(A172="","",IF(AND(K172="OK",L172="OK"),"OK","CHECK"))</f>
        <v>OK</v>
      </c>
    </row>
    <row r="173" customFormat="false" ht="18" hidden="false" customHeight="true" outlineLevel="0" collapsed="false">
      <c r="A173" s="9" t="s">
        <v>26</v>
      </c>
      <c r="B173" s="10" t="n">
        <v>21</v>
      </c>
      <c r="C173" s="11" t="n">
        <v>45935</v>
      </c>
      <c r="D173" s="9" t="s">
        <v>53</v>
      </c>
      <c r="E173" s="12" t="n">
        <v>16</v>
      </c>
      <c r="F173" s="9" t="s">
        <v>31</v>
      </c>
      <c r="G173" s="13" t="n">
        <v>200</v>
      </c>
      <c r="H173" s="9" t="s">
        <v>30</v>
      </c>
      <c r="I173" s="13" t="n">
        <v>8</v>
      </c>
      <c r="J173" s="1" t="str">
        <f aca="false">IF(A173="","", "SAMP-"&amp;A173&amp;"-L"&amp;TEXT(B173,"00")&amp;"-"&amp;TEXT(C173,"yyyymmdd")&amp;"-"&amp;D173&amp;"-H"&amp;TEXT(E173,"00")&amp;"-"&amp;H173)</f>
        <v>SAMP-KG01-L21-20251005-ORD-2025-00164-H16-Overpress</v>
      </c>
      <c r="K173" s="1" t="str">
        <f aca="false">IF(A173="","",IF(AND(G173&gt;=0,I173&gt;=0,I173&lt;=G173),"OK","CHECK"))</f>
        <v>OK</v>
      </c>
      <c r="L173" s="1" t="str">
        <f aca="false">IF(A173="","",IF(AND(E173&gt;=0,E173&lt;=23),"OK","CHECK"))</f>
        <v>OK</v>
      </c>
      <c r="M173" s="1" t="str">
        <f aca="false">IF(A173="","",IF(AND(K173="OK",L173="OK"),"OK","CHECK"))</f>
        <v>OK</v>
      </c>
    </row>
    <row r="174" customFormat="false" ht="18" hidden="false" customHeight="true" outlineLevel="0" collapsed="false">
      <c r="A174" s="9" t="s">
        <v>26</v>
      </c>
      <c r="B174" s="10" t="n">
        <v>21</v>
      </c>
      <c r="C174" s="11" t="n">
        <v>45935</v>
      </c>
      <c r="D174" s="9" t="s">
        <v>53</v>
      </c>
      <c r="E174" s="12" t="n">
        <v>23</v>
      </c>
      <c r="F174" s="9" t="s">
        <v>31</v>
      </c>
      <c r="G174" s="13" t="n">
        <v>100</v>
      </c>
      <c r="H174" s="9" t="s">
        <v>30</v>
      </c>
      <c r="I174" s="13" t="n">
        <v>1</v>
      </c>
      <c r="J174" s="1" t="str">
        <f aca="false">IF(A174="","", "SAMP-"&amp;A174&amp;"-L"&amp;TEXT(B174,"00")&amp;"-"&amp;TEXT(C174,"yyyymmdd")&amp;"-"&amp;D174&amp;"-H"&amp;TEXT(E174,"00")&amp;"-"&amp;H174)</f>
        <v>SAMP-KG01-L21-20251005-ORD-2025-00164-H23-Overpress</v>
      </c>
      <c r="K174" s="1" t="str">
        <f aca="false">IF(A174="","",IF(AND(G174&gt;=0,I174&gt;=0,I174&lt;=G174),"OK","CHECK"))</f>
        <v>OK</v>
      </c>
      <c r="L174" s="1" t="str">
        <f aca="false">IF(A174="","",IF(AND(E174&gt;=0,E174&lt;=23),"OK","CHECK"))</f>
        <v>OK</v>
      </c>
      <c r="M174" s="1" t="str">
        <f aca="false">IF(A174="","",IF(AND(K174="OK",L174="OK"),"OK","CHECK"))</f>
        <v>OK</v>
      </c>
    </row>
    <row r="175" customFormat="false" ht="18" hidden="false" customHeight="true" outlineLevel="0" collapsed="false">
      <c r="A175" s="9" t="s">
        <v>26</v>
      </c>
      <c r="B175" s="10" t="n">
        <v>21</v>
      </c>
      <c r="C175" s="11" t="n">
        <v>45936</v>
      </c>
      <c r="D175" s="9" t="s">
        <v>53</v>
      </c>
      <c r="E175" s="12" t="n">
        <v>9</v>
      </c>
      <c r="F175" s="9" t="s">
        <v>28</v>
      </c>
      <c r="G175" s="13" t="n">
        <v>50</v>
      </c>
      <c r="H175" s="9" t="s">
        <v>29</v>
      </c>
      <c r="I175" s="13" t="n">
        <v>2</v>
      </c>
      <c r="J175" s="1" t="str">
        <f aca="false">IF(A175="","", "SAMP-"&amp;A175&amp;"-L"&amp;TEXT(B175,"00")&amp;"-"&amp;TEXT(C175,"yyyymmdd")&amp;"-"&amp;D175&amp;"-H"&amp;TEXT(E175,"00")&amp;"-"&amp;H175)</f>
        <v>SAMP-KG01-L21-20251006-ORD-2025-00164-H09-Choke Neck</v>
      </c>
      <c r="K175" s="1" t="str">
        <f aca="false">IF(A175="","",IF(AND(G175&gt;=0,I175&gt;=0,I175&lt;=G175),"OK","CHECK"))</f>
        <v>OK</v>
      </c>
      <c r="L175" s="1" t="str">
        <f aca="false">IF(A175="","",IF(AND(E175&gt;=0,E175&lt;=23),"OK","CHECK"))</f>
        <v>OK</v>
      </c>
      <c r="M175" s="1" t="str">
        <f aca="false">IF(A175="","",IF(AND(K175="OK",L175="OK"),"OK","CHECK"))</f>
        <v>OK</v>
      </c>
    </row>
    <row r="176" customFormat="false" ht="18" hidden="false" customHeight="true" outlineLevel="0" collapsed="false">
      <c r="A176" s="9" t="s">
        <v>26</v>
      </c>
      <c r="B176" s="10" t="n">
        <v>21</v>
      </c>
      <c r="C176" s="11" t="n">
        <v>45936</v>
      </c>
      <c r="D176" s="9" t="s">
        <v>53</v>
      </c>
      <c r="E176" s="12" t="n">
        <v>7</v>
      </c>
      <c r="F176" s="9" t="s">
        <v>28</v>
      </c>
      <c r="G176" s="13" t="n">
        <v>100</v>
      </c>
      <c r="H176" s="9" t="s">
        <v>34</v>
      </c>
      <c r="I176" s="13" t="n">
        <v>2</v>
      </c>
      <c r="J176" s="1" t="str">
        <f aca="false">IF(A176="","", "SAMP-"&amp;A176&amp;"-L"&amp;TEXT(B176,"00")&amp;"-"&amp;TEXT(C176,"yyyymmdd")&amp;"-"&amp;D176&amp;"-H"&amp;TEXT(E176,"00")&amp;"-"&amp;H176)</f>
        <v>SAMP-KG01-L21-20251006-ORD-2025-00164-H07-Thin Wall</v>
      </c>
      <c r="K176" s="1" t="str">
        <f aca="false">IF(A176="","",IF(AND(G176&gt;=0,I176&gt;=0,I176&lt;=G176),"OK","CHECK"))</f>
        <v>OK</v>
      </c>
      <c r="L176" s="1" t="str">
        <f aca="false">IF(A176="","",IF(AND(E176&gt;=0,E176&lt;=23),"OK","CHECK"))</f>
        <v>OK</v>
      </c>
      <c r="M176" s="1" t="str">
        <f aca="false">IF(A176="","",IF(AND(K176="OK",L176="OK"),"OK","CHECK"))</f>
        <v>OK</v>
      </c>
    </row>
    <row r="177" customFormat="false" ht="18" hidden="false" customHeight="true" outlineLevel="0" collapsed="false">
      <c r="A177" s="9" t="s">
        <v>26</v>
      </c>
      <c r="B177" s="10" t="n">
        <v>21</v>
      </c>
      <c r="C177" s="11" t="n">
        <v>45936</v>
      </c>
      <c r="D177" s="9" t="s">
        <v>53</v>
      </c>
      <c r="E177" s="12" t="n">
        <v>12</v>
      </c>
      <c r="F177" s="9" t="s">
        <v>28</v>
      </c>
      <c r="G177" s="13" t="n">
        <v>50</v>
      </c>
      <c r="H177" s="9" t="s">
        <v>33</v>
      </c>
      <c r="I177" s="13" t="n">
        <v>2</v>
      </c>
      <c r="J177" s="1" t="str">
        <f aca="false">IF(A177="","", "SAMP-"&amp;A177&amp;"-L"&amp;TEXT(B177,"00")&amp;"-"&amp;TEXT(C177,"yyyymmdd")&amp;"-"&amp;D177&amp;"-H"&amp;TEXT(E177,"00")&amp;"-"&amp;H177)</f>
        <v>SAMP-KG01-L21-20251006-ORD-2025-00164-H12-Distortion</v>
      </c>
      <c r="K177" s="1" t="str">
        <f aca="false">IF(A177="","",IF(AND(G177&gt;=0,I177&gt;=0,I177&lt;=G177),"OK","CHECK"))</f>
        <v>OK</v>
      </c>
      <c r="L177" s="1" t="str">
        <f aca="false">IF(A177="","",IF(AND(E177&gt;=0,E177&lt;=23),"OK","CHECK"))</f>
        <v>OK</v>
      </c>
      <c r="M177" s="1" t="str">
        <f aca="false">IF(A177="","",IF(AND(K177="OK",L177="OK"),"OK","CHECK"))</f>
        <v>OK</v>
      </c>
    </row>
    <row r="178" customFormat="false" ht="18" hidden="false" customHeight="true" outlineLevel="0" collapsed="false">
      <c r="A178" s="9" t="s">
        <v>26</v>
      </c>
      <c r="B178" s="10" t="n">
        <v>21</v>
      </c>
      <c r="C178" s="11" t="n">
        <v>45936</v>
      </c>
      <c r="D178" s="9" t="s">
        <v>54</v>
      </c>
      <c r="E178" s="12" t="n">
        <v>16</v>
      </c>
      <c r="F178" s="9" t="s">
        <v>31</v>
      </c>
      <c r="G178" s="13" t="n">
        <v>150</v>
      </c>
      <c r="H178" s="9" t="s">
        <v>38</v>
      </c>
      <c r="I178" s="13" t="n">
        <v>5</v>
      </c>
      <c r="J178" s="1" t="str">
        <f aca="false">IF(A178="","", "SAMP-"&amp;A178&amp;"-L"&amp;TEXT(B178,"00")&amp;"-"&amp;TEXT(C178,"yyyymmdd")&amp;"-"&amp;D178&amp;"-H"&amp;TEXT(E178,"00")&amp;"-"&amp;H178)</f>
        <v>SAMP-KG01-L21-20251006-ORD-2025-00165-H16-Crack</v>
      </c>
      <c r="K178" s="1" t="str">
        <f aca="false">IF(A178="","",IF(AND(G178&gt;=0,I178&gt;=0,I178&lt;=G178),"OK","CHECK"))</f>
        <v>OK</v>
      </c>
      <c r="L178" s="1" t="str">
        <f aca="false">IF(A178="","",IF(AND(E178&gt;=0,E178&lt;=23),"OK","CHECK"))</f>
        <v>OK</v>
      </c>
      <c r="M178" s="1" t="str">
        <f aca="false">IF(A178="","",IF(AND(K178="OK",L178="OK"),"OK","CHECK"))</f>
        <v>OK</v>
      </c>
    </row>
    <row r="179" customFormat="false" ht="18" hidden="false" customHeight="true" outlineLevel="0" collapsed="false">
      <c r="A179" s="9" t="s">
        <v>26</v>
      </c>
      <c r="B179" s="10" t="n">
        <v>21</v>
      </c>
      <c r="C179" s="11" t="n">
        <v>45936</v>
      </c>
      <c r="D179" s="9" t="s">
        <v>54</v>
      </c>
      <c r="E179" s="12" t="n">
        <v>20</v>
      </c>
      <c r="F179" s="9" t="s">
        <v>31</v>
      </c>
      <c r="G179" s="13" t="n">
        <v>200</v>
      </c>
      <c r="H179" s="9" t="s">
        <v>33</v>
      </c>
      <c r="I179" s="13" t="n">
        <v>8</v>
      </c>
      <c r="J179" s="1" t="str">
        <f aca="false">IF(A179="","", "SAMP-"&amp;A179&amp;"-L"&amp;TEXT(B179,"00")&amp;"-"&amp;TEXT(C179,"yyyymmdd")&amp;"-"&amp;D179&amp;"-H"&amp;TEXT(E179,"00")&amp;"-"&amp;H179)</f>
        <v>SAMP-KG01-L21-20251006-ORD-2025-00165-H20-Distortion</v>
      </c>
      <c r="K179" s="1" t="str">
        <f aca="false">IF(A179="","",IF(AND(G179&gt;=0,I179&gt;=0,I179&lt;=G179),"OK","CHECK"))</f>
        <v>OK</v>
      </c>
      <c r="L179" s="1" t="str">
        <f aca="false">IF(A179="","",IF(AND(E179&gt;=0,E179&lt;=23),"OK","CHECK"))</f>
        <v>OK</v>
      </c>
      <c r="M179" s="1" t="str">
        <f aca="false">IF(A179="","",IF(AND(K179="OK",L179="OK"),"OK","CHECK"))</f>
        <v>OK</v>
      </c>
    </row>
    <row r="180" customFormat="false" ht="18" hidden="false" customHeight="true" outlineLevel="0" collapsed="false">
      <c r="A180" s="9" t="s">
        <v>26</v>
      </c>
      <c r="B180" s="10" t="n">
        <v>21</v>
      </c>
      <c r="C180" s="11" t="n">
        <v>45937</v>
      </c>
      <c r="D180" s="9" t="s">
        <v>54</v>
      </c>
      <c r="E180" s="12" t="n">
        <v>7</v>
      </c>
      <c r="F180" s="9" t="s">
        <v>28</v>
      </c>
      <c r="G180" s="13" t="n">
        <v>100</v>
      </c>
      <c r="H180" s="9" t="s">
        <v>37</v>
      </c>
      <c r="I180" s="13" t="n">
        <v>0</v>
      </c>
      <c r="J180" s="1" t="str">
        <f aca="false">IF(A180="","", "SAMP-"&amp;A180&amp;"-L"&amp;TEXT(B180,"00")&amp;"-"&amp;TEXT(C180,"yyyymmdd")&amp;"-"&amp;D180&amp;"-H"&amp;TEXT(E180,"00")&amp;"-"&amp;H180)</f>
        <v>SAMP-KG01-L21-20251007-ORD-2025-00165-H07-Bird Swing</v>
      </c>
      <c r="K180" s="1" t="str">
        <f aca="false">IF(A180="","",IF(AND(G180&gt;=0,I180&gt;=0,I180&lt;=G180),"OK","CHECK"))</f>
        <v>OK</v>
      </c>
      <c r="L180" s="1" t="str">
        <f aca="false">IF(A180="","",IF(AND(E180&gt;=0,E180&lt;=23),"OK","CHECK"))</f>
        <v>OK</v>
      </c>
      <c r="M180" s="1" t="str">
        <f aca="false">IF(A180="","",IF(AND(K180="OK",L180="OK"),"OK","CHECK"))</f>
        <v>OK</v>
      </c>
    </row>
    <row r="181" customFormat="false" ht="18" hidden="false" customHeight="true" outlineLevel="0" collapsed="false">
      <c r="A181" s="9" t="s">
        <v>26</v>
      </c>
      <c r="B181" s="10" t="n">
        <v>21</v>
      </c>
      <c r="C181" s="11" t="n">
        <v>45937</v>
      </c>
      <c r="D181" s="9" t="s">
        <v>54</v>
      </c>
      <c r="E181" s="12" t="n">
        <v>9</v>
      </c>
      <c r="F181" s="9" t="s">
        <v>28</v>
      </c>
      <c r="G181" s="13" t="n">
        <v>100</v>
      </c>
      <c r="H181" s="9" t="s">
        <v>37</v>
      </c>
      <c r="I181" s="13" t="n">
        <v>3</v>
      </c>
      <c r="J181" s="1" t="str">
        <f aca="false">IF(A181="","", "SAMP-"&amp;A181&amp;"-L"&amp;TEXT(B181,"00")&amp;"-"&amp;TEXT(C181,"yyyymmdd")&amp;"-"&amp;D181&amp;"-H"&amp;TEXT(E181,"00")&amp;"-"&amp;H181)</f>
        <v>SAMP-KG01-L21-20251007-ORD-2025-00165-H09-Bird Swing</v>
      </c>
      <c r="K181" s="1" t="str">
        <f aca="false">IF(A181="","",IF(AND(G181&gt;=0,I181&gt;=0,I181&lt;=G181),"OK","CHECK"))</f>
        <v>OK</v>
      </c>
      <c r="L181" s="1" t="str">
        <f aca="false">IF(A181="","",IF(AND(E181&gt;=0,E181&lt;=23),"OK","CHECK"))</f>
        <v>OK</v>
      </c>
      <c r="M181" s="1" t="str">
        <f aca="false">IF(A181="","",IF(AND(K181="OK",L181="OK"),"OK","CHECK"))</f>
        <v>OK</v>
      </c>
    </row>
    <row r="182" customFormat="false" ht="18" hidden="false" customHeight="true" outlineLevel="0" collapsed="false">
      <c r="A182" s="9" t="s">
        <v>26</v>
      </c>
      <c r="B182" s="10" t="n">
        <v>21</v>
      </c>
      <c r="C182" s="11" t="n">
        <v>45937</v>
      </c>
      <c r="D182" s="9" t="s">
        <v>54</v>
      </c>
      <c r="E182" s="12" t="n">
        <v>12</v>
      </c>
      <c r="F182" s="9" t="s">
        <v>28</v>
      </c>
      <c r="G182" s="13" t="n">
        <v>100</v>
      </c>
      <c r="H182" s="9" t="s">
        <v>30</v>
      </c>
      <c r="I182" s="13" t="n">
        <v>0</v>
      </c>
      <c r="J182" s="1" t="str">
        <f aca="false">IF(A182="","", "SAMP-"&amp;A182&amp;"-L"&amp;TEXT(B182,"00")&amp;"-"&amp;TEXT(C182,"yyyymmdd")&amp;"-"&amp;D182&amp;"-H"&amp;TEXT(E182,"00")&amp;"-"&amp;H182)</f>
        <v>SAMP-KG01-L21-20251007-ORD-2025-00165-H12-Overpress</v>
      </c>
      <c r="K182" s="1" t="str">
        <f aca="false">IF(A182="","",IF(AND(G182&gt;=0,I182&gt;=0,I182&lt;=G182),"OK","CHECK"))</f>
        <v>OK</v>
      </c>
      <c r="L182" s="1" t="str">
        <f aca="false">IF(A182="","",IF(AND(E182&gt;=0,E182&lt;=23),"OK","CHECK"))</f>
        <v>OK</v>
      </c>
      <c r="M182" s="1" t="str">
        <f aca="false">IF(A182="","",IF(AND(K182="OK",L182="OK"),"OK","CHECK"))</f>
        <v>OK</v>
      </c>
    </row>
    <row r="183" customFormat="false" ht="18" hidden="false" customHeight="true" outlineLevel="0" collapsed="false">
      <c r="A183" s="9" t="s">
        <v>26</v>
      </c>
      <c r="B183" s="10" t="n">
        <v>21</v>
      </c>
      <c r="C183" s="11" t="n">
        <v>45937</v>
      </c>
      <c r="D183" s="9" t="s">
        <v>54</v>
      </c>
      <c r="E183" s="12" t="n">
        <v>23</v>
      </c>
      <c r="F183" s="9" t="s">
        <v>31</v>
      </c>
      <c r="G183" s="13" t="n">
        <v>200</v>
      </c>
      <c r="H183" s="9" t="s">
        <v>34</v>
      </c>
      <c r="I183" s="13" t="n">
        <v>3</v>
      </c>
      <c r="J183" s="1" t="str">
        <f aca="false">IF(A183="","", "SAMP-"&amp;A183&amp;"-L"&amp;TEXT(B183,"00")&amp;"-"&amp;TEXT(C183,"yyyymmdd")&amp;"-"&amp;D183&amp;"-H"&amp;TEXT(E183,"00")&amp;"-"&amp;H183)</f>
        <v>SAMP-KG01-L21-20251007-ORD-2025-00165-H23-Thin Wall</v>
      </c>
      <c r="K183" s="1" t="str">
        <f aca="false">IF(A183="","",IF(AND(G183&gt;=0,I183&gt;=0,I183&lt;=G183),"OK","CHECK"))</f>
        <v>OK</v>
      </c>
      <c r="L183" s="1" t="str">
        <f aca="false">IF(A183="","",IF(AND(E183&gt;=0,E183&lt;=23),"OK","CHECK"))</f>
        <v>OK</v>
      </c>
      <c r="M183" s="1" t="str">
        <f aca="false">IF(A183="","",IF(AND(K183="OK",L183="OK"),"OK","CHECK"))</f>
        <v>OK</v>
      </c>
    </row>
    <row r="184" customFormat="false" ht="18" hidden="false" customHeight="true" outlineLevel="0" collapsed="false">
      <c r="A184" s="9" t="s">
        <v>26</v>
      </c>
      <c r="B184" s="10" t="n">
        <v>21</v>
      </c>
      <c r="C184" s="11" t="n">
        <v>45937</v>
      </c>
      <c r="D184" s="9" t="s">
        <v>54</v>
      </c>
      <c r="E184" s="12" t="n">
        <v>20</v>
      </c>
      <c r="F184" s="9" t="s">
        <v>31</v>
      </c>
      <c r="G184" s="13" t="n">
        <v>100</v>
      </c>
      <c r="H184" s="9" t="s">
        <v>29</v>
      </c>
      <c r="I184" s="13" t="n">
        <v>2</v>
      </c>
      <c r="J184" s="1" t="str">
        <f aca="false">IF(A184="","", "SAMP-"&amp;A184&amp;"-L"&amp;TEXT(B184,"00")&amp;"-"&amp;TEXT(C184,"yyyymmdd")&amp;"-"&amp;D184&amp;"-H"&amp;TEXT(E184,"00")&amp;"-"&amp;H184)</f>
        <v>SAMP-KG01-L21-20251007-ORD-2025-00165-H20-Choke Neck</v>
      </c>
      <c r="K184" s="1" t="str">
        <f aca="false">IF(A184="","",IF(AND(G184&gt;=0,I184&gt;=0,I184&lt;=G184),"OK","CHECK"))</f>
        <v>OK</v>
      </c>
      <c r="L184" s="1" t="str">
        <f aca="false">IF(A184="","",IF(AND(E184&gt;=0,E184&lt;=23),"OK","CHECK"))</f>
        <v>OK</v>
      </c>
      <c r="M184" s="1" t="str">
        <f aca="false">IF(A184="","",IF(AND(K184="OK",L184="OK"),"OK","CHECK"))</f>
        <v>OK</v>
      </c>
    </row>
    <row r="185" customFormat="false" ht="18" hidden="false" customHeight="true" outlineLevel="0" collapsed="false">
      <c r="A185" s="9" t="s">
        <v>26</v>
      </c>
      <c r="B185" s="10" t="n">
        <v>21</v>
      </c>
      <c r="C185" s="11" t="n">
        <v>45937</v>
      </c>
      <c r="D185" s="9" t="s">
        <v>54</v>
      </c>
      <c r="E185" s="12" t="n">
        <v>16</v>
      </c>
      <c r="F185" s="9" t="s">
        <v>31</v>
      </c>
      <c r="G185" s="13" t="n">
        <v>150</v>
      </c>
      <c r="H185" s="9" t="s">
        <v>35</v>
      </c>
      <c r="I185" s="13" t="n">
        <v>7</v>
      </c>
      <c r="J185" s="1" t="str">
        <f aca="false">IF(A185="","", "SAMP-"&amp;A185&amp;"-L"&amp;TEXT(B185,"00")&amp;"-"&amp;TEXT(C185,"yyyymmdd")&amp;"-"&amp;D185&amp;"-H"&amp;TEXT(E185,"00")&amp;"-"&amp;H185)</f>
        <v>SAMP-KG01-L21-20251007-ORD-2025-00165-H16-Stone</v>
      </c>
      <c r="K185" s="1" t="str">
        <f aca="false">IF(A185="","",IF(AND(G185&gt;=0,I185&gt;=0,I185&lt;=G185),"OK","CHECK"))</f>
        <v>OK</v>
      </c>
      <c r="L185" s="1" t="str">
        <f aca="false">IF(A185="","",IF(AND(E185&gt;=0,E185&lt;=23),"OK","CHECK"))</f>
        <v>OK</v>
      </c>
      <c r="M185" s="1" t="str">
        <f aca="false">IF(A185="","",IF(AND(K185="OK",L185="OK"),"OK","CHECK"))</f>
        <v>OK</v>
      </c>
    </row>
    <row r="186" customFormat="false" ht="18" hidden="false" customHeight="true" outlineLevel="0" collapsed="false">
      <c r="A186" s="9" t="s">
        <v>26</v>
      </c>
      <c r="B186" s="10" t="n">
        <v>21</v>
      </c>
      <c r="C186" s="11" t="n">
        <v>45938</v>
      </c>
      <c r="D186" s="9" t="s">
        <v>54</v>
      </c>
      <c r="E186" s="12" t="n">
        <v>12</v>
      </c>
      <c r="F186" s="9" t="s">
        <v>28</v>
      </c>
      <c r="G186" s="13" t="n">
        <v>150</v>
      </c>
      <c r="H186" s="9" t="s">
        <v>33</v>
      </c>
      <c r="I186" s="13" t="n">
        <v>0</v>
      </c>
      <c r="J186" s="1" t="str">
        <f aca="false">IF(A186="","", "SAMP-"&amp;A186&amp;"-L"&amp;TEXT(B186,"00")&amp;"-"&amp;TEXT(C186,"yyyymmdd")&amp;"-"&amp;D186&amp;"-H"&amp;TEXT(E186,"00")&amp;"-"&amp;H186)</f>
        <v>SAMP-KG01-L21-20251008-ORD-2025-00165-H12-Distortion</v>
      </c>
      <c r="K186" s="1" t="str">
        <f aca="false">IF(A186="","",IF(AND(G186&gt;=0,I186&gt;=0,I186&lt;=G186),"OK","CHECK"))</f>
        <v>OK</v>
      </c>
      <c r="L186" s="1" t="str">
        <f aca="false">IF(A186="","",IF(AND(E186&gt;=0,E186&lt;=23),"OK","CHECK"))</f>
        <v>OK</v>
      </c>
      <c r="M186" s="1" t="str">
        <f aca="false">IF(A186="","",IF(AND(K186="OK",L186="OK"),"OK","CHECK"))</f>
        <v>OK</v>
      </c>
    </row>
    <row r="187" customFormat="false" ht="18" hidden="false" customHeight="true" outlineLevel="0" collapsed="false">
      <c r="A187" s="9" t="s">
        <v>26</v>
      </c>
      <c r="B187" s="10" t="n">
        <v>21</v>
      </c>
      <c r="C187" s="11" t="n">
        <v>45938</v>
      </c>
      <c r="D187" s="9" t="s">
        <v>54</v>
      </c>
      <c r="E187" s="12" t="n">
        <v>9</v>
      </c>
      <c r="F187" s="9" t="s">
        <v>28</v>
      </c>
      <c r="G187" s="13" t="n">
        <v>150</v>
      </c>
      <c r="H187" s="9" t="s">
        <v>30</v>
      </c>
      <c r="I187" s="13" t="n">
        <v>7</v>
      </c>
      <c r="J187" s="1" t="str">
        <f aca="false">IF(A187="","", "SAMP-"&amp;A187&amp;"-L"&amp;TEXT(B187,"00")&amp;"-"&amp;TEXT(C187,"yyyymmdd")&amp;"-"&amp;D187&amp;"-H"&amp;TEXT(E187,"00")&amp;"-"&amp;H187)</f>
        <v>SAMP-KG01-L21-20251008-ORD-2025-00165-H09-Overpress</v>
      </c>
      <c r="K187" s="1" t="str">
        <f aca="false">IF(A187="","",IF(AND(G187&gt;=0,I187&gt;=0,I187&lt;=G187),"OK","CHECK"))</f>
        <v>OK</v>
      </c>
      <c r="L187" s="1" t="str">
        <f aca="false">IF(A187="","",IF(AND(E187&gt;=0,E187&lt;=23),"OK","CHECK"))</f>
        <v>OK</v>
      </c>
      <c r="M187" s="1" t="str">
        <f aca="false">IF(A187="","",IF(AND(K187="OK",L187="OK"),"OK","CHECK"))</f>
        <v>OK</v>
      </c>
    </row>
    <row r="188" customFormat="false" ht="18" hidden="false" customHeight="true" outlineLevel="0" collapsed="false">
      <c r="A188" s="9" t="s">
        <v>26</v>
      </c>
      <c r="B188" s="10" t="n">
        <v>21</v>
      </c>
      <c r="C188" s="11" t="n">
        <v>45938</v>
      </c>
      <c r="D188" s="9" t="s">
        <v>54</v>
      </c>
      <c r="E188" s="12" t="n">
        <v>7</v>
      </c>
      <c r="F188" s="9" t="s">
        <v>28</v>
      </c>
      <c r="G188" s="13" t="n">
        <v>100</v>
      </c>
      <c r="H188" s="9" t="s">
        <v>29</v>
      </c>
      <c r="I188" s="13" t="n">
        <v>3</v>
      </c>
      <c r="J188" s="1" t="str">
        <f aca="false">IF(A188="","", "SAMP-"&amp;A188&amp;"-L"&amp;TEXT(B188,"00")&amp;"-"&amp;TEXT(C188,"yyyymmdd")&amp;"-"&amp;D188&amp;"-H"&amp;TEXT(E188,"00")&amp;"-"&amp;H188)</f>
        <v>SAMP-KG01-L21-20251008-ORD-2025-00165-H07-Choke Neck</v>
      </c>
      <c r="K188" s="1" t="str">
        <f aca="false">IF(A188="","",IF(AND(G188&gt;=0,I188&gt;=0,I188&lt;=G188),"OK","CHECK"))</f>
        <v>OK</v>
      </c>
      <c r="L188" s="1" t="str">
        <f aca="false">IF(A188="","",IF(AND(E188&gt;=0,E188&lt;=23),"OK","CHECK"))</f>
        <v>OK</v>
      </c>
      <c r="M188" s="1" t="str">
        <f aca="false">IF(A188="","",IF(AND(K188="OK",L188="OK"),"OK","CHECK"))</f>
        <v>OK</v>
      </c>
    </row>
    <row r="189" customFormat="false" ht="18" hidden="false" customHeight="true" outlineLevel="0" collapsed="false">
      <c r="A189" s="9" t="s">
        <v>26</v>
      </c>
      <c r="B189" s="10" t="n">
        <v>21</v>
      </c>
      <c r="C189" s="11" t="n">
        <v>45938</v>
      </c>
      <c r="D189" s="9" t="s">
        <v>54</v>
      </c>
      <c r="E189" s="12" t="n">
        <v>20</v>
      </c>
      <c r="F189" s="9" t="s">
        <v>31</v>
      </c>
      <c r="G189" s="13" t="n">
        <v>200</v>
      </c>
      <c r="H189" s="9" t="s">
        <v>37</v>
      </c>
      <c r="I189" s="13" t="n">
        <v>5</v>
      </c>
      <c r="J189" s="1" t="str">
        <f aca="false">IF(A189="","", "SAMP-"&amp;A189&amp;"-L"&amp;TEXT(B189,"00")&amp;"-"&amp;TEXT(C189,"yyyymmdd")&amp;"-"&amp;D189&amp;"-H"&amp;TEXT(E189,"00")&amp;"-"&amp;H189)</f>
        <v>SAMP-KG01-L21-20251008-ORD-2025-00165-H20-Bird Swing</v>
      </c>
      <c r="K189" s="1" t="str">
        <f aca="false">IF(A189="","",IF(AND(G189&gt;=0,I189&gt;=0,I189&lt;=G189),"OK","CHECK"))</f>
        <v>OK</v>
      </c>
      <c r="L189" s="1" t="str">
        <f aca="false">IF(A189="","",IF(AND(E189&gt;=0,E189&lt;=23),"OK","CHECK"))</f>
        <v>OK</v>
      </c>
      <c r="M189" s="1" t="str">
        <f aca="false">IF(A189="","",IF(AND(K189="OK",L189="OK"),"OK","CHECK"))</f>
        <v>OK</v>
      </c>
    </row>
    <row r="190" customFormat="false" ht="18" hidden="false" customHeight="true" outlineLevel="0" collapsed="false">
      <c r="A190" s="9" t="s">
        <v>26</v>
      </c>
      <c r="B190" s="10" t="n">
        <v>21</v>
      </c>
      <c r="C190" s="11" t="n">
        <v>45938</v>
      </c>
      <c r="D190" s="9" t="s">
        <v>54</v>
      </c>
      <c r="E190" s="12" t="n">
        <v>23</v>
      </c>
      <c r="F190" s="9" t="s">
        <v>31</v>
      </c>
      <c r="G190" s="13" t="n">
        <v>200</v>
      </c>
      <c r="H190" s="9" t="s">
        <v>37</v>
      </c>
      <c r="I190" s="13" t="n">
        <v>2</v>
      </c>
      <c r="J190" s="1" t="str">
        <f aca="false">IF(A190="","", "SAMP-"&amp;A190&amp;"-L"&amp;TEXT(B190,"00")&amp;"-"&amp;TEXT(C190,"yyyymmdd")&amp;"-"&amp;D190&amp;"-H"&amp;TEXT(E190,"00")&amp;"-"&amp;H190)</f>
        <v>SAMP-KG01-L21-20251008-ORD-2025-00165-H23-Bird Swing</v>
      </c>
      <c r="K190" s="1" t="str">
        <f aca="false">IF(A190="","",IF(AND(G190&gt;=0,I190&gt;=0,I190&lt;=G190),"OK","CHECK"))</f>
        <v>OK</v>
      </c>
      <c r="L190" s="1" t="str">
        <f aca="false">IF(A190="","",IF(AND(E190&gt;=0,E190&lt;=23),"OK","CHECK"))</f>
        <v>OK</v>
      </c>
      <c r="M190" s="1" t="str">
        <f aca="false">IF(A190="","",IF(AND(K190="OK",L190="OK"),"OK","CHECK"))</f>
        <v>OK</v>
      </c>
    </row>
    <row r="191" customFormat="false" ht="18" hidden="false" customHeight="true" outlineLevel="0" collapsed="false">
      <c r="A191" s="9" t="s">
        <v>26</v>
      </c>
      <c r="B191" s="10" t="n">
        <v>21</v>
      </c>
      <c r="C191" s="11" t="n">
        <v>45938</v>
      </c>
      <c r="D191" s="9" t="s">
        <v>54</v>
      </c>
      <c r="E191" s="12" t="n">
        <v>16</v>
      </c>
      <c r="F191" s="9" t="s">
        <v>31</v>
      </c>
      <c r="G191" s="13" t="n">
        <v>200</v>
      </c>
      <c r="H191" s="9" t="s">
        <v>36</v>
      </c>
      <c r="I191" s="13" t="n">
        <v>6</v>
      </c>
      <c r="J191" s="1" t="str">
        <f aca="false">IF(A191="","", "SAMP-"&amp;A191&amp;"-L"&amp;TEXT(B191,"00")&amp;"-"&amp;TEXT(C191,"yyyymmdd")&amp;"-"&amp;D191&amp;"-H"&amp;TEXT(E191,"00")&amp;"-"&amp;H191)</f>
        <v>SAMP-KG01-L21-20251008-ORD-2025-00165-H16-Blister</v>
      </c>
      <c r="K191" s="1" t="str">
        <f aca="false">IF(A191="","",IF(AND(G191&gt;=0,I191&gt;=0,I191&lt;=G191),"OK","CHECK"))</f>
        <v>OK</v>
      </c>
      <c r="L191" s="1" t="str">
        <f aca="false">IF(A191="","",IF(AND(E191&gt;=0,E191&lt;=23),"OK","CHECK"))</f>
        <v>OK</v>
      </c>
      <c r="M191" s="1" t="str">
        <f aca="false">IF(A191="","",IF(AND(K191="OK",L191="OK"),"OK","CHECK"))</f>
        <v>OK</v>
      </c>
    </row>
    <row r="192" customFormat="false" ht="18" hidden="false" customHeight="true" outlineLevel="0" collapsed="false">
      <c r="A192" s="9" t="s">
        <v>26</v>
      </c>
      <c r="B192" s="10" t="n">
        <v>21</v>
      </c>
      <c r="C192" s="11" t="n">
        <v>45939</v>
      </c>
      <c r="D192" s="9" t="s">
        <v>55</v>
      </c>
      <c r="E192" s="12" t="n">
        <v>12</v>
      </c>
      <c r="F192" s="9" t="s">
        <v>28</v>
      </c>
      <c r="G192" s="13" t="n">
        <v>50</v>
      </c>
      <c r="H192" s="9" t="s">
        <v>29</v>
      </c>
      <c r="I192" s="13" t="n">
        <v>2</v>
      </c>
      <c r="J192" s="1" t="str">
        <f aca="false">IF(A192="","", "SAMP-"&amp;A192&amp;"-L"&amp;TEXT(B192,"00")&amp;"-"&amp;TEXT(C192,"yyyymmdd")&amp;"-"&amp;D192&amp;"-H"&amp;TEXT(E192,"00")&amp;"-"&amp;H192)</f>
        <v>SAMP-KG01-L21-20251009-ORD-2025-00166-H12-Choke Neck</v>
      </c>
      <c r="K192" s="1" t="str">
        <f aca="false">IF(A192="","",IF(AND(G192&gt;=0,I192&gt;=0,I192&lt;=G192),"OK","CHECK"))</f>
        <v>OK</v>
      </c>
      <c r="L192" s="1" t="str">
        <f aca="false">IF(A192="","",IF(AND(E192&gt;=0,E192&lt;=23),"OK","CHECK"))</f>
        <v>OK</v>
      </c>
      <c r="M192" s="1" t="str">
        <f aca="false">IF(A192="","",IF(AND(K192="OK",L192="OK"),"OK","CHECK"))</f>
        <v>OK</v>
      </c>
    </row>
    <row r="193" customFormat="false" ht="18" hidden="false" customHeight="true" outlineLevel="0" collapsed="false">
      <c r="A193" s="9" t="s">
        <v>26</v>
      </c>
      <c r="B193" s="10" t="n">
        <v>21</v>
      </c>
      <c r="C193" s="11" t="n">
        <v>45939</v>
      </c>
      <c r="D193" s="9" t="s">
        <v>55</v>
      </c>
      <c r="E193" s="12" t="n">
        <v>7</v>
      </c>
      <c r="F193" s="9" t="s">
        <v>28</v>
      </c>
      <c r="G193" s="13" t="n">
        <v>150</v>
      </c>
      <c r="H193" s="9" t="s">
        <v>41</v>
      </c>
      <c r="I193" s="13" t="n">
        <v>1</v>
      </c>
      <c r="J193" s="1" t="str">
        <f aca="false">IF(A193="","", "SAMP-"&amp;A193&amp;"-L"&amp;TEXT(B193,"00")&amp;"-"&amp;TEXT(C193,"yyyymmdd")&amp;"-"&amp;D193&amp;"-H"&amp;TEXT(E193,"00")&amp;"-"&amp;H193)</f>
        <v>SAMP-KG01-L21-20251009-ORD-2025-00166-H07-Chip</v>
      </c>
      <c r="K193" s="1" t="str">
        <f aca="false">IF(A193="","",IF(AND(G193&gt;=0,I193&gt;=0,I193&lt;=G193),"OK","CHECK"))</f>
        <v>OK</v>
      </c>
      <c r="L193" s="1" t="str">
        <f aca="false">IF(A193="","",IF(AND(E193&gt;=0,E193&lt;=23),"OK","CHECK"))</f>
        <v>OK</v>
      </c>
      <c r="M193" s="1" t="str">
        <f aca="false">IF(A193="","",IF(AND(K193="OK",L193="OK"),"OK","CHECK"))</f>
        <v>OK</v>
      </c>
    </row>
    <row r="194" customFormat="false" ht="18" hidden="false" customHeight="true" outlineLevel="0" collapsed="false">
      <c r="A194" s="9" t="s">
        <v>26</v>
      </c>
      <c r="B194" s="10" t="n">
        <v>21</v>
      </c>
      <c r="C194" s="11" t="n">
        <v>45939</v>
      </c>
      <c r="D194" s="9" t="s">
        <v>55</v>
      </c>
      <c r="E194" s="12" t="n">
        <v>9</v>
      </c>
      <c r="F194" s="9" t="s">
        <v>28</v>
      </c>
      <c r="G194" s="13" t="n">
        <v>50</v>
      </c>
      <c r="H194" s="9" t="s">
        <v>34</v>
      </c>
      <c r="I194" s="13" t="n">
        <v>1</v>
      </c>
      <c r="J194" s="1" t="str">
        <f aca="false">IF(A194="","", "SAMP-"&amp;A194&amp;"-L"&amp;TEXT(B194,"00")&amp;"-"&amp;TEXT(C194,"yyyymmdd")&amp;"-"&amp;D194&amp;"-H"&amp;TEXT(E194,"00")&amp;"-"&amp;H194)</f>
        <v>SAMP-KG01-L21-20251009-ORD-2025-00166-H09-Thin Wall</v>
      </c>
      <c r="K194" s="1" t="str">
        <f aca="false">IF(A194="","",IF(AND(G194&gt;=0,I194&gt;=0,I194&lt;=G194),"OK","CHECK"))</f>
        <v>OK</v>
      </c>
      <c r="L194" s="1" t="str">
        <f aca="false">IF(A194="","",IF(AND(E194&gt;=0,E194&lt;=23),"OK","CHECK"))</f>
        <v>OK</v>
      </c>
      <c r="M194" s="1" t="str">
        <f aca="false">IF(A194="","",IF(AND(K194="OK",L194="OK"),"OK","CHECK"))</f>
        <v>OK</v>
      </c>
    </row>
    <row r="195" customFormat="false" ht="18" hidden="false" customHeight="true" outlineLevel="0" collapsed="false">
      <c r="A195" s="9" t="s">
        <v>26</v>
      </c>
      <c r="B195" s="10" t="n">
        <v>21</v>
      </c>
      <c r="C195" s="11" t="n">
        <v>45939</v>
      </c>
      <c r="D195" s="9" t="s">
        <v>55</v>
      </c>
      <c r="E195" s="12" t="n">
        <v>23</v>
      </c>
      <c r="F195" s="9" t="s">
        <v>31</v>
      </c>
      <c r="G195" s="13" t="n">
        <v>100</v>
      </c>
      <c r="H195" s="9" t="s">
        <v>41</v>
      </c>
      <c r="I195" s="13" t="n">
        <v>1</v>
      </c>
      <c r="J195" s="1" t="str">
        <f aca="false">IF(A195="","", "SAMP-"&amp;A195&amp;"-L"&amp;TEXT(B195,"00")&amp;"-"&amp;TEXT(C195,"yyyymmdd")&amp;"-"&amp;D195&amp;"-H"&amp;TEXT(E195,"00")&amp;"-"&amp;H195)</f>
        <v>SAMP-KG01-L21-20251009-ORD-2025-00166-H23-Chip</v>
      </c>
      <c r="K195" s="1" t="str">
        <f aca="false">IF(A195="","",IF(AND(G195&gt;=0,I195&gt;=0,I195&lt;=G195),"OK","CHECK"))</f>
        <v>OK</v>
      </c>
      <c r="L195" s="1" t="str">
        <f aca="false">IF(A195="","",IF(AND(E195&gt;=0,E195&lt;=23),"OK","CHECK"))</f>
        <v>OK</v>
      </c>
      <c r="M195" s="1" t="str">
        <f aca="false">IF(A195="","",IF(AND(K195="OK",L195="OK"),"OK","CHECK"))</f>
        <v>OK</v>
      </c>
    </row>
    <row r="196" customFormat="false" ht="18" hidden="false" customHeight="true" outlineLevel="0" collapsed="false">
      <c r="A196" s="9" t="s">
        <v>26</v>
      </c>
      <c r="B196" s="10" t="n">
        <v>21</v>
      </c>
      <c r="C196" s="11" t="n">
        <v>45939</v>
      </c>
      <c r="D196" s="9" t="s">
        <v>55</v>
      </c>
      <c r="E196" s="12" t="n">
        <v>16</v>
      </c>
      <c r="F196" s="9" t="s">
        <v>31</v>
      </c>
      <c r="G196" s="13" t="n">
        <v>50</v>
      </c>
      <c r="H196" s="9" t="s">
        <v>41</v>
      </c>
      <c r="I196" s="13" t="n">
        <v>0</v>
      </c>
      <c r="J196" s="1" t="str">
        <f aca="false">IF(A196="","", "SAMP-"&amp;A196&amp;"-L"&amp;TEXT(B196,"00")&amp;"-"&amp;TEXT(C196,"yyyymmdd")&amp;"-"&amp;D196&amp;"-H"&amp;TEXT(E196,"00")&amp;"-"&amp;H196)</f>
        <v>SAMP-KG01-L21-20251009-ORD-2025-00166-H16-Chip</v>
      </c>
      <c r="K196" s="1" t="str">
        <f aca="false">IF(A196="","",IF(AND(G196&gt;=0,I196&gt;=0,I196&lt;=G196),"OK","CHECK"))</f>
        <v>OK</v>
      </c>
      <c r="L196" s="1" t="str">
        <f aca="false">IF(A196="","",IF(AND(E196&gt;=0,E196&lt;=23),"OK","CHECK"))</f>
        <v>OK</v>
      </c>
      <c r="M196" s="1" t="str">
        <f aca="false">IF(A196="","",IF(AND(K196="OK",L196="OK"),"OK","CHECK"))</f>
        <v>OK</v>
      </c>
    </row>
    <row r="197" customFormat="false" ht="18" hidden="false" customHeight="true" outlineLevel="0" collapsed="false">
      <c r="A197" s="9" t="s">
        <v>26</v>
      </c>
      <c r="B197" s="10" t="n">
        <v>21</v>
      </c>
      <c r="C197" s="11" t="n">
        <v>45940</v>
      </c>
      <c r="D197" s="9" t="s">
        <v>55</v>
      </c>
      <c r="E197" s="12" t="n">
        <v>7</v>
      </c>
      <c r="F197" s="9" t="s">
        <v>28</v>
      </c>
      <c r="G197" s="13" t="n">
        <v>150</v>
      </c>
      <c r="H197" s="9" t="s">
        <v>35</v>
      </c>
      <c r="I197" s="13" t="n">
        <v>4</v>
      </c>
      <c r="J197" s="1" t="str">
        <f aca="false">IF(A197="","", "SAMP-"&amp;A197&amp;"-L"&amp;TEXT(B197,"00")&amp;"-"&amp;TEXT(C197,"yyyymmdd")&amp;"-"&amp;D197&amp;"-H"&amp;TEXT(E197,"00")&amp;"-"&amp;H197)</f>
        <v>SAMP-KG01-L21-20251010-ORD-2025-00166-H07-Stone</v>
      </c>
      <c r="K197" s="1" t="str">
        <f aca="false">IF(A197="","",IF(AND(G197&gt;=0,I197&gt;=0,I197&lt;=G197),"OK","CHECK"))</f>
        <v>OK</v>
      </c>
      <c r="L197" s="1" t="str">
        <f aca="false">IF(A197="","",IF(AND(E197&gt;=0,E197&lt;=23),"OK","CHECK"))</f>
        <v>OK</v>
      </c>
      <c r="M197" s="1" t="str">
        <f aca="false">IF(A197="","",IF(AND(K197="OK",L197="OK"),"OK","CHECK"))</f>
        <v>OK</v>
      </c>
    </row>
    <row r="198" customFormat="false" ht="18" hidden="false" customHeight="true" outlineLevel="0" collapsed="false">
      <c r="A198" s="9" t="s">
        <v>26</v>
      </c>
      <c r="B198" s="10" t="n">
        <v>21</v>
      </c>
      <c r="C198" s="11" t="n">
        <v>45940</v>
      </c>
      <c r="D198" s="9" t="s">
        <v>55</v>
      </c>
      <c r="E198" s="12" t="n">
        <v>12</v>
      </c>
      <c r="F198" s="9" t="s">
        <v>28</v>
      </c>
      <c r="G198" s="13" t="n">
        <v>200</v>
      </c>
      <c r="H198" s="9" t="s">
        <v>30</v>
      </c>
      <c r="I198" s="13" t="n">
        <v>8</v>
      </c>
      <c r="J198" s="1" t="str">
        <f aca="false">IF(A198="","", "SAMP-"&amp;A198&amp;"-L"&amp;TEXT(B198,"00")&amp;"-"&amp;TEXT(C198,"yyyymmdd")&amp;"-"&amp;D198&amp;"-H"&amp;TEXT(E198,"00")&amp;"-"&amp;H198)</f>
        <v>SAMP-KG01-L21-20251010-ORD-2025-00166-H12-Overpress</v>
      </c>
      <c r="K198" s="1" t="str">
        <f aca="false">IF(A198="","",IF(AND(G198&gt;=0,I198&gt;=0,I198&lt;=G198),"OK","CHECK"))</f>
        <v>OK</v>
      </c>
      <c r="L198" s="1" t="str">
        <f aca="false">IF(A198="","",IF(AND(E198&gt;=0,E198&lt;=23),"OK","CHECK"))</f>
        <v>OK</v>
      </c>
      <c r="M198" s="1" t="str">
        <f aca="false">IF(A198="","",IF(AND(K198="OK",L198="OK"),"OK","CHECK"))</f>
        <v>OK</v>
      </c>
    </row>
    <row r="199" customFormat="false" ht="18" hidden="false" customHeight="true" outlineLevel="0" collapsed="false">
      <c r="A199" s="9" t="s">
        <v>26</v>
      </c>
      <c r="B199" s="10" t="n">
        <v>21</v>
      </c>
      <c r="C199" s="11" t="n">
        <v>45940</v>
      </c>
      <c r="D199" s="9" t="s">
        <v>55</v>
      </c>
      <c r="E199" s="12" t="n">
        <v>9</v>
      </c>
      <c r="F199" s="9" t="s">
        <v>28</v>
      </c>
      <c r="G199" s="13" t="n">
        <v>100</v>
      </c>
      <c r="H199" s="9" t="s">
        <v>38</v>
      </c>
      <c r="I199" s="13" t="n">
        <v>3</v>
      </c>
      <c r="J199" s="1" t="str">
        <f aca="false">IF(A199="","", "SAMP-"&amp;A199&amp;"-L"&amp;TEXT(B199,"00")&amp;"-"&amp;TEXT(C199,"yyyymmdd")&amp;"-"&amp;D199&amp;"-H"&amp;TEXT(E199,"00")&amp;"-"&amp;H199)</f>
        <v>SAMP-KG01-L21-20251010-ORD-2025-00166-H09-Crack</v>
      </c>
      <c r="K199" s="1" t="str">
        <f aca="false">IF(A199="","",IF(AND(G199&gt;=0,I199&gt;=0,I199&lt;=G199),"OK","CHECK"))</f>
        <v>OK</v>
      </c>
      <c r="L199" s="1" t="str">
        <f aca="false">IF(A199="","",IF(AND(E199&gt;=0,E199&lt;=23),"OK","CHECK"))</f>
        <v>OK</v>
      </c>
      <c r="M199" s="1" t="str">
        <f aca="false">IF(A199="","",IF(AND(K199="OK",L199="OK"),"OK","CHECK"))</f>
        <v>OK</v>
      </c>
    </row>
    <row r="200" customFormat="false" ht="18" hidden="false" customHeight="true" outlineLevel="0" collapsed="false">
      <c r="A200" s="9" t="s">
        <v>26</v>
      </c>
      <c r="B200" s="10" t="n">
        <v>21</v>
      </c>
      <c r="C200" s="11" t="n">
        <v>45940</v>
      </c>
      <c r="D200" s="9" t="s">
        <v>55</v>
      </c>
      <c r="E200" s="12" t="n">
        <v>23</v>
      </c>
      <c r="F200" s="9" t="s">
        <v>31</v>
      </c>
      <c r="G200" s="13" t="n">
        <v>150</v>
      </c>
      <c r="H200" s="9" t="s">
        <v>35</v>
      </c>
      <c r="I200" s="13" t="n">
        <v>3</v>
      </c>
      <c r="J200" s="1" t="str">
        <f aca="false">IF(A200="","", "SAMP-"&amp;A200&amp;"-L"&amp;TEXT(B200,"00")&amp;"-"&amp;TEXT(C200,"yyyymmdd")&amp;"-"&amp;D200&amp;"-H"&amp;TEXT(E200,"00")&amp;"-"&amp;H200)</f>
        <v>SAMP-KG01-L21-20251010-ORD-2025-00166-H23-Stone</v>
      </c>
      <c r="K200" s="1" t="str">
        <f aca="false">IF(A200="","",IF(AND(G200&gt;=0,I200&gt;=0,I200&lt;=G200),"OK","CHECK"))</f>
        <v>OK</v>
      </c>
      <c r="L200" s="1" t="str">
        <f aca="false">IF(A200="","",IF(AND(E200&gt;=0,E200&lt;=23),"OK","CHECK"))</f>
        <v>OK</v>
      </c>
      <c r="M200" s="1" t="str">
        <f aca="false">IF(A200="","",IF(AND(K200="OK",L200="OK"),"OK","CHECK"))</f>
        <v>OK</v>
      </c>
    </row>
    <row r="201" customFormat="false" ht="18" hidden="false" customHeight="true" outlineLevel="0" collapsed="false">
      <c r="A201" s="9" t="s">
        <v>26</v>
      </c>
      <c r="B201" s="10" t="n">
        <v>21</v>
      </c>
      <c r="C201" s="11" t="n">
        <v>45940</v>
      </c>
      <c r="D201" s="9" t="s">
        <v>55</v>
      </c>
      <c r="E201" s="12" t="n">
        <v>20</v>
      </c>
      <c r="F201" s="9" t="s">
        <v>31</v>
      </c>
      <c r="G201" s="13" t="n">
        <v>100</v>
      </c>
      <c r="H201" s="9" t="s">
        <v>38</v>
      </c>
      <c r="I201" s="13" t="n">
        <v>1</v>
      </c>
      <c r="J201" s="1" t="str">
        <f aca="false">IF(A201="","", "SAMP-"&amp;A201&amp;"-L"&amp;TEXT(B201,"00")&amp;"-"&amp;TEXT(C201,"yyyymmdd")&amp;"-"&amp;D201&amp;"-H"&amp;TEXT(E201,"00")&amp;"-"&amp;H201)</f>
        <v>SAMP-KG01-L21-20251010-ORD-2025-00166-H20-Crack</v>
      </c>
      <c r="K201" s="1" t="str">
        <f aca="false">IF(A201="","",IF(AND(G201&gt;=0,I201&gt;=0,I201&lt;=G201),"OK","CHECK"))</f>
        <v>OK</v>
      </c>
      <c r="L201" s="1" t="str">
        <f aca="false">IF(A201="","",IF(AND(E201&gt;=0,E201&lt;=23),"OK","CHECK"))</f>
        <v>OK</v>
      </c>
      <c r="M201" s="1" t="str">
        <f aca="false">IF(A201="","",IF(AND(K201="OK",L201="OK"),"OK","CHECK"))</f>
        <v>OK</v>
      </c>
    </row>
    <row r="202" customFormat="false" ht="18" hidden="false" customHeight="true" outlineLevel="0" collapsed="false">
      <c r="A202" s="9" t="s">
        <v>26</v>
      </c>
      <c r="B202" s="10" t="n">
        <v>21</v>
      </c>
      <c r="C202" s="11" t="n">
        <v>45940</v>
      </c>
      <c r="D202" s="9" t="s">
        <v>55</v>
      </c>
      <c r="E202" s="12" t="n">
        <v>16</v>
      </c>
      <c r="F202" s="9" t="s">
        <v>31</v>
      </c>
      <c r="G202" s="13" t="n">
        <v>50</v>
      </c>
      <c r="H202" s="9" t="s">
        <v>36</v>
      </c>
      <c r="I202" s="13" t="n">
        <v>2</v>
      </c>
      <c r="J202" s="1" t="str">
        <f aca="false">IF(A202="","", "SAMP-"&amp;A202&amp;"-L"&amp;TEXT(B202,"00")&amp;"-"&amp;TEXT(C202,"yyyymmdd")&amp;"-"&amp;D202&amp;"-H"&amp;TEXT(E202,"00")&amp;"-"&amp;H202)</f>
        <v>SAMP-KG01-L21-20251010-ORD-2025-00166-H16-Blister</v>
      </c>
      <c r="K202" s="1" t="str">
        <f aca="false">IF(A202="","",IF(AND(G202&gt;=0,I202&gt;=0,I202&lt;=G202),"OK","CHECK"))</f>
        <v>OK</v>
      </c>
      <c r="L202" s="1" t="str">
        <f aca="false">IF(A202="","",IF(AND(E202&gt;=0,E202&lt;=23),"OK","CHECK"))</f>
        <v>OK</v>
      </c>
      <c r="M202" s="1" t="str">
        <f aca="false">IF(A202="","",IF(AND(K202="OK",L202="OK"),"OK","CHECK"))</f>
        <v>OK</v>
      </c>
    </row>
    <row r="203" customFormat="false" ht="18" hidden="false" customHeight="true" outlineLevel="0" collapsed="false">
      <c r="A203" s="9" t="s">
        <v>26</v>
      </c>
      <c r="B203" s="10" t="n">
        <v>21</v>
      </c>
      <c r="C203" s="11" t="n">
        <v>45941</v>
      </c>
      <c r="D203" s="9" t="s">
        <v>56</v>
      </c>
      <c r="E203" s="12" t="n">
        <v>7</v>
      </c>
      <c r="F203" s="9" t="s">
        <v>28</v>
      </c>
      <c r="G203" s="13" t="n">
        <v>200</v>
      </c>
      <c r="H203" s="9" t="s">
        <v>38</v>
      </c>
      <c r="I203" s="13" t="n">
        <v>10</v>
      </c>
      <c r="J203" s="1" t="str">
        <f aca="false">IF(A203="","", "SAMP-"&amp;A203&amp;"-L"&amp;TEXT(B203,"00")&amp;"-"&amp;TEXT(C203,"yyyymmdd")&amp;"-"&amp;D203&amp;"-H"&amp;TEXT(E203,"00")&amp;"-"&amp;H203)</f>
        <v>SAMP-KG01-L21-20251011-ORD-2025-00167-H07-Crack</v>
      </c>
      <c r="K203" s="1" t="str">
        <f aca="false">IF(A203="","",IF(AND(G203&gt;=0,I203&gt;=0,I203&lt;=G203),"OK","CHECK"))</f>
        <v>OK</v>
      </c>
      <c r="L203" s="1" t="str">
        <f aca="false">IF(A203="","",IF(AND(E203&gt;=0,E203&lt;=23),"OK","CHECK"))</f>
        <v>OK</v>
      </c>
      <c r="M203" s="1" t="str">
        <f aca="false">IF(A203="","",IF(AND(K203="OK",L203="OK"),"OK","CHECK"))</f>
        <v>OK</v>
      </c>
    </row>
    <row r="204" customFormat="false" ht="18" hidden="false" customHeight="true" outlineLevel="0" collapsed="false">
      <c r="A204" s="9" t="s">
        <v>26</v>
      </c>
      <c r="B204" s="10" t="n">
        <v>21</v>
      </c>
      <c r="C204" s="11" t="n">
        <v>45941</v>
      </c>
      <c r="D204" s="9" t="s">
        <v>56</v>
      </c>
      <c r="E204" s="12" t="n">
        <v>12</v>
      </c>
      <c r="F204" s="9" t="s">
        <v>28</v>
      </c>
      <c r="G204" s="13" t="n">
        <v>50</v>
      </c>
      <c r="H204" s="9" t="s">
        <v>37</v>
      </c>
      <c r="I204" s="13" t="n">
        <v>1</v>
      </c>
      <c r="J204" s="1" t="str">
        <f aca="false">IF(A204="","", "SAMP-"&amp;A204&amp;"-L"&amp;TEXT(B204,"00")&amp;"-"&amp;TEXT(C204,"yyyymmdd")&amp;"-"&amp;D204&amp;"-H"&amp;TEXT(E204,"00")&amp;"-"&amp;H204)</f>
        <v>SAMP-KG01-L21-20251011-ORD-2025-00167-H12-Bird Swing</v>
      </c>
      <c r="K204" s="1" t="str">
        <f aca="false">IF(A204="","",IF(AND(G204&gt;=0,I204&gt;=0,I204&lt;=G204),"OK","CHECK"))</f>
        <v>OK</v>
      </c>
      <c r="L204" s="1" t="str">
        <f aca="false">IF(A204="","",IF(AND(E204&gt;=0,E204&lt;=23),"OK","CHECK"))</f>
        <v>OK</v>
      </c>
      <c r="M204" s="1" t="str">
        <f aca="false">IF(A204="","",IF(AND(K204="OK",L204="OK"),"OK","CHECK"))</f>
        <v>OK</v>
      </c>
    </row>
    <row r="205" customFormat="false" ht="18" hidden="false" customHeight="true" outlineLevel="0" collapsed="false">
      <c r="A205" s="9" t="s">
        <v>26</v>
      </c>
      <c r="B205" s="10" t="n">
        <v>21</v>
      </c>
      <c r="C205" s="11" t="n">
        <v>45941</v>
      </c>
      <c r="D205" s="9" t="s">
        <v>56</v>
      </c>
      <c r="E205" s="12" t="n">
        <v>9</v>
      </c>
      <c r="F205" s="9" t="s">
        <v>28</v>
      </c>
      <c r="G205" s="13" t="n">
        <v>100</v>
      </c>
      <c r="H205" s="9" t="s">
        <v>37</v>
      </c>
      <c r="I205" s="13" t="n">
        <v>3</v>
      </c>
      <c r="J205" s="1" t="str">
        <f aca="false">IF(A205="","", "SAMP-"&amp;A205&amp;"-L"&amp;TEXT(B205,"00")&amp;"-"&amp;TEXT(C205,"yyyymmdd")&amp;"-"&amp;D205&amp;"-H"&amp;TEXT(E205,"00")&amp;"-"&amp;H205)</f>
        <v>SAMP-KG01-L21-20251011-ORD-2025-00167-H09-Bird Swing</v>
      </c>
      <c r="K205" s="1" t="str">
        <f aca="false">IF(A205="","",IF(AND(G205&gt;=0,I205&gt;=0,I205&lt;=G205),"OK","CHECK"))</f>
        <v>OK</v>
      </c>
      <c r="L205" s="1" t="str">
        <f aca="false">IF(A205="","",IF(AND(E205&gt;=0,E205&lt;=23),"OK","CHECK"))</f>
        <v>OK</v>
      </c>
      <c r="M205" s="1" t="str">
        <f aca="false">IF(A205="","",IF(AND(K205="OK",L205="OK"),"OK","CHECK"))</f>
        <v>OK</v>
      </c>
    </row>
    <row r="206" customFormat="false" ht="18" hidden="false" customHeight="true" outlineLevel="0" collapsed="false">
      <c r="A206" s="9" t="s">
        <v>26</v>
      </c>
      <c r="B206" s="10" t="n">
        <v>21</v>
      </c>
      <c r="C206" s="11" t="n">
        <v>45941</v>
      </c>
      <c r="D206" s="9" t="s">
        <v>56</v>
      </c>
      <c r="E206" s="12" t="n">
        <v>20</v>
      </c>
      <c r="F206" s="9" t="s">
        <v>31</v>
      </c>
      <c r="G206" s="13" t="n">
        <v>200</v>
      </c>
      <c r="H206" s="9" t="s">
        <v>35</v>
      </c>
      <c r="I206" s="13" t="n">
        <v>9</v>
      </c>
      <c r="J206" s="1" t="str">
        <f aca="false">IF(A206="","", "SAMP-"&amp;A206&amp;"-L"&amp;TEXT(B206,"00")&amp;"-"&amp;TEXT(C206,"yyyymmdd")&amp;"-"&amp;D206&amp;"-H"&amp;TEXT(E206,"00")&amp;"-"&amp;H206)</f>
        <v>SAMP-KG01-L21-20251011-ORD-2025-00167-H20-Stone</v>
      </c>
      <c r="K206" s="1" t="str">
        <f aca="false">IF(A206="","",IF(AND(G206&gt;=0,I206&gt;=0,I206&lt;=G206),"OK","CHECK"))</f>
        <v>OK</v>
      </c>
      <c r="L206" s="1" t="str">
        <f aca="false">IF(A206="","",IF(AND(E206&gt;=0,E206&lt;=23),"OK","CHECK"))</f>
        <v>OK</v>
      </c>
      <c r="M206" s="1" t="str">
        <f aca="false">IF(A206="","",IF(AND(K206="OK",L206="OK"),"OK","CHECK"))</f>
        <v>OK</v>
      </c>
    </row>
    <row r="207" customFormat="false" ht="18" hidden="false" customHeight="true" outlineLevel="0" collapsed="false">
      <c r="A207" s="9" t="s">
        <v>26</v>
      </c>
      <c r="B207" s="10" t="n">
        <v>21</v>
      </c>
      <c r="C207" s="11" t="n">
        <v>45941</v>
      </c>
      <c r="D207" s="9" t="s">
        <v>56</v>
      </c>
      <c r="E207" s="12" t="n">
        <v>23</v>
      </c>
      <c r="F207" s="9" t="s">
        <v>31</v>
      </c>
      <c r="G207" s="13" t="n">
        <v>50</v>
      </c>
      <c r="H207" s="9" t="s">
        <v>34</v>
      </c>
      <c r="I207" s="13" t="n">
        <v>1</v>
      </c>
      <c r="J207" s="1" t="str">
        <f aca="false">IF(A207="","", "SAMP-"&amp;A207&amp;"-L"&amp;TEXT(B207,"00")&amp;"-"&amp;TEXT(C207,"yyyymmdd")&amp;"-"&amp;D207&amp;"-H"&amp;TEXT(E207,"00")&amp;"-"&amp;H207)</f>
        <v>SAMP-KG01-L21-20251011-ORD-2025-00167-H23-Thin Wall</v>
      </c>
      <c r="K207" s="1" t="str">
        <f aca="false">IF(A207="","",IF(AND(G207&gt;=0,I207&gt;=0,I207&lt;=G207),"OK","CHECK"))</f>
        <v>OK</v>
      </c>
      <c r="L207" s="1" t="str">
        <f aca="false">IF(A207="","",IF(AND(E207&gt;=0,E207&lt;=23),"OK","CHECK"))</f>
        <v>OK</v>
      </c>
      <c r="M207" s="1" t="str">
        <f aca="false">IF(A207="","",IF(AND(K207="OK",L207="OK"),"OK","CHECK"))</f>
        <v>OK</v>
      </c>
    </row>
    <row r="208" customFormat="false" ht="18" hidden="false" customHeight="true" outlineLevel="0" collapsed="false">
      <c r="A208" s="9" t="s">
        <v>26</v>
      </c>
      <c r="B208" s="10" t="n">
        <v>21</v>
      </c>
      <c r="C208" s="11" t="n">
        <v>45941</v>
      </c>
      <c r="D208" s="9" t="s">
        <v>56</v>
      </c>
      <c r="E208" s="12" t="n">
        <v>16</v>
      </c>
      <c r="F208" s="9" t="s">
        <v>31</v>
      </c>
      <c r="G208" s="13" t="n">
        <v>100</v>
      </c>
      <c r="H208" s="9" t="s">
        <v>36</v>
      </c>
      <c r="I208" s="13" t="n">
        <v>0</v>
      </c>
      <c r="J208" s="1" t="str">
        <f aca="false">IF(A208="","", "SAMP-"&amp;A208&amp;"-L"&amp;TEXT(B208,"00")&amp;"-"&amp;TEXT(C208,"yyyymmdd")&amp;"-"&amp;D208&amp;"-H"&amp;TEXT(E208,"00")&amp;"-"&amp;H208)</f>
        <v>SAMP-KG01-L21-20251011-ORD-2025-00167-H16-Blister</v>
      </c>
      <c r="K208" s="1" t="str">
        <f aca="false">IF(A208="","",IF(AND(G208&gt;=0,I208&gt;=0,I208&lt;=G208),"OK","CHECK"))</f>
        <v>OK</v>
      </c>
      <c r="L208" s="1" t="str">
        <f aca="false">IF(A208="","",IF(AND(E208&gt;=0,E208&lt;=23),"OK","CHECK"))</f>
        <v>OK</v>
      </c>
      <c r="M208" s="1" t="str">
        <f aca="false">IF(A208="","",IF(AND(K208="OK",L208="OK"),"OK","CHECK"))</f>
        <v>OK</v>
      </c>
    </row>
    <row r="209" customFormat="false" ht="18" hidden="false" customHeight="true" outlineLevel="0" collapsed="false">
      <c r="A209" s="9" t="s">
        <v>26</v>
      </c>
      <c r="B209" s="10" t="n">
        <v>21</v>
      </c>
      <c r="C209" s="11" t="n">
        <v>45942</v>
      </c>
      <c r="D209" s="9" t="s">
        <v>56</v>
      </c>
      <c r="E209" s="12" t="n">
        <v>12</v>
      </c>
      <c r="F209" s="9" t="s">
        <v>28</v>
      </c>
      <c r="G209" s="13" t="n">
        <v>100</v>
      </c>
      <c r="H209" s="9" t="s">
        <v>41</v>
      </c>
      <c r="I209" s="13" t="n">
        <v>2</v>
      </c>
      <c r="J209" s="1" t="str">
        <f aca="false">IF(A209="","", "SAMP-"&amp;A209&amp;"-L"&amp;TEXT(B209,"00")&amp;"-"&amp;TEXT(C209,"yyyymmdd")&amp;"-"&amp;D209&amp;"-H"&amp;TEXT(E209,"00")&amp;"-"&amp;H209)</f>
        <v>SAMP-KG01-L21-20251012-ORD-2025-00167-H12-Chip</v>
      </c>
      <c r="K209" s="1" t="str">
        <f aca="false">IF(A209="","",IF(AND(G209&gt;=0,I209&gt;=0,I209&lt;=G209),"OK","CHECK"))</f>
        <v>OK</v>
      </c>
      <c r="L209" s="1" t="str">
        <f aca="false">IF(A209="","",IF(AND(E209&gt;=0,E209&lt;=23),"OK","CHECK"))</f>
        <v>OK</v>
      </c>
      <c r="M209" s="1" t="str">
        <f aca="false">IF(A209="","",IF(AND(K209="OK",L209="OK"),"OK","CHECK"))</f>
        <v>OK</v>
      </c>
    </row>
    <row r="210" customFormat="false" ht="18" hidden="false" customHeight="true" outlineLevel="0" collapsed="false">
      <c r="A210" s="9" t="s">
        <v>26</v>
      </c>
      <c r="B210" s="10" t="n">
        <v>21</v>
      </c>
      <c r="C210" s="11" t="n">
        <v>45942</v>
      </c>
      <c r="D210" s="9" t="s">
        <v>56</v>
      </c>
      <c r="E210" s="12" t="n">
        <v>9</v>
      </c>
      <c r="F210" s="9" t="s">
        <v>28</v>
      </c>
      <c r="G210" s="13" t="n">
        <v>50</v>
      </c>
      <c r="H210" s="9" t="s">
        <v>38</v>
      </c>
      <c r="I210" s="13" t="n">
        <v>2</v>
      </c>
      <c r="J210" s="1" t="str">
        <f aca="false">IF(A210="","", "SAMP-"&amp;A210&amp;"-L"&amp;TEXT(B210,"00")&amp;"-"&amp;TEXT(C210,"yyyymmdd")&amp;"-"&amp;D210&amp;"-H"&amp;TEXT(E210,"00")&amp;"-"&amp;H210)</f>
        <v>SAMP-KG01-L21-20251012-ORD-2025-00167-H09-Crack</v>
      </c>
      <c r="K210" s="1" t="str">
        <f aca="false">IF(A210="","",IF(AND(G210&gt;=0,I210&gt;=0,I210&lt;=G210),"OK","CHECK"))</f>
        <v>OK</v>
      </c>
      <c r="L210" s="1" t="str">
        <f aca="false">IF(A210="","",IF(AND(E210&gt;=0,E210&lt;=23),"OK","CHECK"))</f>
        <v>OK</v>
      </c>
      <c r="M210" s="1" t="str">
        <f aca="false">IF(A210="","",IF(AND(K210="OK",L210="OK"),"OK","CHECK"))</f>
        <v>OK</v>
      </c>
    </row>
    <row r="211" customFormat="false" ht="18" hidden="false" customHeight="true" outlineLevel="0" collapsed="false">
      <c r="A211" s="9" t="s">
        <v>26</v>
      </c>
      <c r="B211" s="10" t="n">
        <v>21</v>
      </c>
      <c r="C211" s="11" t="n">
        <v>45942</v>
      </c>
      <c r="D211" s="9" t="s">
        <v>56</v>
      </c>
      <c r="E211" s="12" t="n">
        <v>7</v>
      </c>
      <c r="F211" s="9" t="s">
        <v>28</v>
      </c>
      <c r="G211" s="13" t="n">
        <v>100</v>
      </c>
      <c r="H211" s="9" t="s">
        <v>35</v>
      </c>
      <c r="I211" s="13" t="n">
        <v>2</v>
      </c>
      <c r="J211" s="1" t="str">
        <f aca="false">IF(A211="","", "SAMP-"&amp;A211&amp;"-L"&amp;TEXT(B211,"00")&amp;"-"&amp;TEXT(C211,"yyyymmdd")&amp;"-"&amp;D211&amp;"-H"&amp;TEXT(E211,"00")&amp;"-"&amp;H211)</f>
        <v>SAMP-KG01-L21-20251012-ORD-2025-00167-H07-Stone</v>
      </c>
      <c r="K211" s="1" t="str">
        <f aca="false">IF(A211="","",IF(AND(G211&gt;=0,I211&gt;=0,I211&lt;=G211),"OK","CHECK"))</f>
        <v>OK</v>
      </c>
      <c r="L211" s="1" t="str">
        <f aca="false">IF(A211="","",IF(AND(E211&gt;=0,E211&lt;=23),"OK","CHECK"))</f>
        <v>OK</v>
      </c>
      <c r="M211" s="1" t="str">
        <f aca="false">IF(A211="","",IF(AND(K211="OK",L211="OK"),"OK","CHECK"))</f>
        <v>OK</v>
      </c>
    </row>
    <row r="212" customFormat="false" ht="18" hidden="false" customHeight="true" outlineLevel="0" collapsed="false">
      <c r="A212" s="9" t="s">
        <v>26</v>
      </c>
      <c r="B212" s="10" t="n">
        <v>21</v>
      </c>
      <c r="C212" s="11" t="n">
        <v>45942</v>
      </c>
      <c r="D212" s="9" t="s">
        <v>57</v>
      </c>
      <c r="E212" s="12" t="n">
        <v>16</v>
      </c>
      <c r="F212" s="9" t="s">
        <v>31</v>
      </c>
      <c r="G212" s="13" t="n">
        <v>50</v>
      </c>
      <c r="H212" s="9" t="s">
        <v>35</v>
      </c>
      <c r="I212" s="13" t="n">
        <v>0</v>
      </c>
      <c r="J212" s="1" t="str">
        <f aca="false">IF(A212="","", "SAMP-"&amp;A212&amp;"-L"&amp;TEXT(B212,"00")&amp;"-"&amp;TEXT(C212,"yyyymmdd")&amp;"-"&amp;D212&amp;"-H"&amp;TEXT(E212,"00")&amp;"-"&amp;H212)</f>
        <v>SAMP-KG01-L21-20251012-ORD-2025-00168-H16-Stone</v>
      </c>
      <c r="K212" s="1" t="str">
        <f aca="false">IF(A212="","",IF(AND(G212&gt;=0,I212&gt;=0,I212&lt;=G212),"OK","CHECK"))</f>
        <v>OK</v>
      </c>
      <c r="L212" s="1" t="str">
        <f aca="false">IF(A212="","",IF(AND(E212&gt;=0,E212&lt;=23),"OK","CHECK"))</f>
        <v>OK</v>
      </c>
      <c r="M212" s="1" t="str">
        <f aca="false">IF(A212="","",IF(AND(K212="OK",L212="OK"),"OK","CHECK"))</f>
        <v>OK</v>
      </c>
    </row>
    <row r="213" customFormat="false" ht="18" hidden="false" customHeight="true" outlineLevel="0" collapsed="false">
      <c r="A213" s="9" t="s">
        <v>26</v>
      </c>
      <c r="B213" s="10" t="n">
        <v>21</v>
      </c>
      <c r="C213" s="11" t="n">
        <v>45942</v>
      </c>
      <c r="D213" s="9" t="s">
        <v>57</v>
      </c>
      <c r="E213" s="12" t="n">
        <v>23</v>
      </c>
      <c r="F213" s="9" t="s">
        <v>31</v>
      </c>
      <c r="G213" s="13" t="n">
        <v>100</v>
      </c>
      <c r="H213" s="9" t="s">
        <v>30</v>
      </c>
      <c r="I213" s="13" t="n">
        <v>5</v>
      </c>
      <c r="J213" s="1" t="str">
        <f aca="false">IF(A213="","", "SAMP-"&amp;A213&amp;"-L"&amp;TEXT(B213,"00")&amp;"-"&amp;TEXT(C213,"yyyymmdd")&amp;"-"&amp;D213&amp;"-H"&amp;TEXT(E213,"00")&amp;"-"&amp;H213)</f>
        <v>SAMP-KG01-L21-20251012-ORD-2025-00168-H23-Overpress</v>
      </c>
      <c r="K213" s="1" t="str">
        <f aca="false">IF(A213="","",IF(AND(G213&gt;=0,I213&gt;=0,I213&lt;=G213),"OK","CHECK"))</f>
        <v>OK</v>
      </c>
      <c r="L213" s="1" t="str">
        <f aca="false">IF(A213="","",IF(AND(E213&gt;=0,E213&lt;=23),"OK","CHECK"))</f>
        <v>OK</v>
      </c>
      <c r="M213" s="1" t="str">
        <f aca="false">IF(A213="","",IF(AND(K213="OK",L213="OK"),"OK","CHECK"))</f>
        <v>OK</v>
      </c>
    </row>
    <row r="214" customFormat="false" ht="18" hidden="false" customHeight="true" outlineLevel="0" collapsed="false">
      <c r="A214" s="9" t="s">
        <v>26</v>
      </c>
      <c r="B214" s="10" t="n">
        <v>21</v>
      </c>
      <c r="C214" s="11" t="n">
        <v>45943</v>
      </c>
      <c r="D214" s="9" t="s">
        <v>57</v>
      </c>
      <c r="E214" s="12" t="n">
        <v>12</v>
      </c>
      <c r="F214" s="9" t="s">
        <v>28</v>
      </c>
      <c r="G214" s="13" t="n">
        <v>50</v>
      </c>
      <c r="H214" s="9" t="s">
        <v>41</v>
      </c>
      <c r="I214" s="13" t="n">
        <v>0</v>
      </c>
      <c r="J214" s="1" t="str">
        <f aca="false">IF(A214="","", "SAMP-"&amp;A214&amp;"-L"&amp;TEXT(B214,"00")&amp;"-"&amp;TEXT(C214,"yyyymmdd")&amp;"-"&amp;D214&amp;"-H"&amp;TEXT(E214,"00")&amp;"-"&amp;H214)</f>
        <v>SAMP-KG01-L21-20251013-ORD-2025-00168-H12-Chip</v>
      </c>
      <c r="K214" s="1" t="str">
        <f aca="false">IF(A214="","",IF(AND(G214&gt;=0,I214&gt;=0,I214&lt;=G214),"OK","CHECK"))</f>
        <v>OK</v>
      </c>
      <c r="L214" s="1" t="str">
        <f aca="false">IF(A214="","",IF(AND(E214&gt;=0,E214&lt;=23),"OK","CHECK"))</f>
        <v>OK</v>
      </c>
      <c r="M214" s="1" t="str">
        <f aca="false">IF(A214="","",IF(AND(K214="OK",L214="OK"),"OK","CHECK"))</f>
        <v>OK</v>
      </c>
    </row>
    <row r="215" customFormat="false" ht="18" hidden="false" customHeight="true" outlineLevel="0" collapsed="false">
      <c r="A215" s="9" t="s">
        <v>26</v>
      </c>
      <c r="B215" s="10" t="n">
        <v>21</v>
      </c>
      <c r="C215" s="11" t="n">
        <v>45943</v>
      </c>
      <c r="D215" s="9" t="s">
        <v>57</v>
      </c>
      <c r="E215" s="12" t="n">
        <v>9</v>
      </c>
      <c r="F215" s="9" t="s">
        <v>28</v>
      </c>
      <c r="G215" s="13" t="n">
        <v>50</v>
      </c>
      <c r="H215" s="9" t="s">
        <v>33</v>
      </c>
      <c r="I215" s="13" t="n">
        <v>1</v>
      </c>
      <c r="J215" s="1" t="str">
        <f aca="false">IF(A215="","", "SAMP-"&amp;A215&amp;"-L"&amp;TEXT(B215,"00")&amp;"-"&amp;TEXT(C215,"yyyymmdd")&amp;"-"&amp;D215&amp;"-H"&amp;TEXT(E215,"00")&amp;"-"&amp;H215)</f>
        <v>SAMP-KG01-L21-20251013-ORD-2025-00168-H09-Distortion</v>
      </c>
      <c r="K215" s="1" t="str">
        <f aca="false">IF(A215="","",IF(AND(G215&gt;=0,I215&gt;=0,I215&lt;=G215),"OK","CHECK"))</f>
        <v>OK</v>
      </c>
      <c r="L215" s="1" t="str">
        <f aca="false">IF(A215="","",IF(AND(E215&gt;=0,E215&lt;=23),"OK","CHECK"))</f>
        <v>OK</v>
      </c>
      <c r="M215" s="1" t="str">
        <f aca="false">IF(A215="","",IF(AND(K215="OK",L215="OK"),"OK","CHECK"))</f>
        <v>OK</v>
      </c>
    </row>
    <row r="216" customFormat="false" ht="18" hidden="false" customHeight="true" outlineLevel="0" collapsed="false">
      <c r="A216" s="9" t="s">
        <v>26</v>
      </c>
      <c r="B216" s="10" t="n">
        <v>21</v>
      </c>
      <c r="C216" s="11" t="n">
        <v>45943</v>
      </c>
      <c r="D216" s="9" t="s">
        <v>57</v>
      </c>
      <c r="E216" s="12" t="n">
        <v>23</v>
      </c>
      <c r="F216" s="9" t="s">
        <v>31</v>
      </c>
      <c r="G216" s="13" t="n">
        <v>150</v>
      </c>
      <c r="H216" s="9" t="s">
        <v>33</v>
      </c>
      <c r="I216" s="13" t="n">
        <v>6</v>
      </c>
      <c r="J216" s="1" t="str">
        <f aca="false">IF(A216="","", "SAMP-"&amp;A216&amp;"-L"&amp;TEXT(B216,"00")&amp;"-"&amp;TEXT(C216,"yyyymmdd")&amp;"-"&amp;D216&amp;"-H"&amp;TEXT(E216,"00")&amp;"-"&amp;H216)</f>
        <v>SAMP-KG01-L21-20251013-ORD-2025-00168-H23-Distortion</v>
      </c>
      <c r="K216" s="1" t="str">
        <f aca="false">IF(A216="","",IF(AND(G216&gt;=0,I216&gt;=0,I216&lt;=G216),"OK","CHECK"))</f>
        <v>OK</v>
      </c>
      <c r="L216" s="1" t="str">
        <f aca="false">IF(A216="","",IF(AND(E216&gt;=0,E216&lt;=23),"OK","CHECK"))</f>
        <v>OK</v>
      </c>
      <c r="M216" s="1" t="str">
        <f aca="false">IF(A216="","",IF(AND(K216="OK",L216="OK"),"OK","CHECK"))</f>
        <v>OK</v>
      </c>
    </row>
    <row r="217" customFormat="false" ht="18" hidden="false" customHeight="true" outlineLevel="0" collapsed="false">
      <c r="A217" s="9" t="s">
        <v>26</v>
      </c>
      <c r="B217" s="10" t="n">
        <v>21</v>
      </c>
      <c r="C217" s="11" t="n">
        <v>45943</v>
      </c>
      <c r="D217" s="9" t="s">
        <v>57</v>
      </c>
      <c r="E217" s="12" t="n">
        <v>16</v>
      </c>
      <c r="F217" s="9" t="s">
        <v>31</v>
      </c>
      <c r="G217" s="13" t="n">
        <v>150</v>
      </c>
      <c r="H217" s="9" t="s">
        <v>36</v>
      </c>
      <c r="I217" s="13" t="n">
        <v>1</v>
      </c>
      <c r="J217" s="1" t="str">
        <f aca="false">IF(A217="","", "SAMP-"&amp;A217&amp;"-L"&amp;TEXT(B217,"00")&amp;"-"&amp;TEXT(C217,"yyyymmdd")&amp;"-"&amp;D217&amp;"-H"&amp;TEXT(E217,"00")&amp;"-"&amp;H217)</f>
        <v>SAMP-KG01-L21-20251013-ORD-2025-00168-H16-Blister</v>
      </c>
      <c r="K217" s="1" t="str">
        <f aca="false">IF(A217="","",IF(AND(G217&gt;=0,I217&gt;=0,I217&lt;=G217),"OK","CHECK"))</f>
        <v>OK</v>
      </c>
      <c r="L217" s="1" t="str">
        <f aca="false">IF(A217="","",IF(AND(E217&gt;=0,E217&lt;=23),"OK","CHECK"))</f>
        <v>OK</v>
      </c>
      <c r="M217" s="1" t="str">
        <f aca="false">IF(A217="","",IF(AND(K217="OK",L217="OK"),"OK","CHECK"))</f>
        <v>OK</v>
      </c>
    </row>
    <row r="218" customFormat="false" ht="18" hidden="false" customHeight="true" outlineLevel="0" collapsed="false">
      <c r="A218" s="9" t="s">
        <v>26</v>
      </c>
      <c r="B218" s="10" t="n">
        <v>21</v>
      </c>
      <c r="C218" s="11" t="n">
        <v>45943</v>
      </c>
      <c r="D218" s="9" t="s">
        <v>57</v>
      </c>
      <c r="E218" s="12" t="n">
        <v>20</v>
      </c>
      <c r="F218" s="9" t="s">
        <v>31</v>
      </c>
      <c r="G218" s="13" t="n">
        <v>50</v>
      </c>
      <c r="H218" s="9" t="s">
        <v>37</v>
      </c>
      <c r="I218" s="13" t="n">
        <v>1</v>
      </c>
      <c r="J218" s="1" t="str">
        <f aca="false">IF(A218="","", "SAMP-"&amp;A218&amp;"-L"&amp;TEXT(B218,"00")&amp;"-"&amp;TEXT(C218,"yyyymmdd")&amp;"-"&amp;D218&amp;"-H"&amp;TEXT(E218,"00")&amp;"-"&amp;H218)</f>
        <v>SAMP-KG01-L21-20251013-ORD-2025-00168-H20-Bird Swing</v>
      </c>
      <c r="K218" s="1" t="str">
        <f aca="false">IF(A218="","",IF(AND(G218&gt;=0,I218&gt;=0,I218&lt;=G218),"OK","CHECK"))</f>
        <v>OK</v>
      </c>
      <c r="L218" s="1" t="str">
        <f aca="false">IF(A218="","",IF(AND(E218&gt;=0,E218&lt;=23),"OK","CHECK"))</f>
        <v>OK</v>
      </c>
      <c r="M218" s="1" t="str">
        <f aca="false">IF(A218="","",IF(AND(K218="OK",L218="OK"),"OK","CHECK"))</f>
        <v>OK</v>
      </c>
    </row>
    <row r="219" customFormat="false" ht="18" hidden="false" customHeight="true" outlineLevel="0" collapsed="false">
      <c r="A219" s="9" t="s">
        <v>26</v>
      </c>
      <c r="B219" s="10" t="n">
        <v>21</v>
      </c>
      <c r="C219" s="11" t="n">
        <v>45944</v>
      </c>
      <c r="D219" s="9" t="s">
        <v>57</v>
      </c>
      <c r="E219" s="12" t="n">
        <v>9</v>
      </c>
      <c r="F219" s="9" t="s">
        <v>28</v>
      </c>
      <c r="G219" s="13" t="n">
        <v>200</v>
      </c>
      <c r="H219" s="9" t="s">
        <v>30</v>
      </c>
      <c r="I219" s="13" t="n">
        <v>5</v>
      </c>
      <c r="J219" s="1" t="str">
        <f aca="false">IF(A219="","", "SAMP-"&amp;A219&amp;"-L"&amp;TEXT(B219,"00")&amp;"-"&amp;TEXT(C219,"yyyymmdd")&amp;"-"&amp;D219&amp;"-H"&amp;TEXT(E219,"00")&amp;"-"&amp;H219)</f>
        <v>SAMP-KG01-L21-20251014-ORD-2025-00168-H09-Overpress</v>
      </c>
      <c r="K219" s="1" t="str">
        <f aca="false">IF(A219="","",IF(AND(G219&gt;=0,I219&gt;=0,I219&lt;=G219),"OK","CHECK"))</f>
        <v>OK</v>
      </c>
      <c r="L219" s="1" t="str">
        <f aca="false">IF(A219="","",IF(AND(E219&gt;=0,E219&lt;=23),"OK","CHECK"))</f>
        <v>OK</v>
      </c>
      <c r="M219" s="1" t="str">
        <f aca="false">IF(A219="","",IF(AND(K219="OK",L219="OK"),"OK","CHECK"))</f>
        <v>OK</v>
      </c>
    </row>
    <row r="220" customFormat="false" ht="18" hidden="false" customHeight="true" outlineLevel="0" collapsed="false">
      <c r="A220" s="9" t="s">
        <v>26</v>
      </c>
      <c r="B220" s="10" t="n">
        <v>21</v>
      </c>
      <c r="C220" s="11" t="n">
        <v>45944</v>
      </c>
      <c r="D220" s="9" t="s">
        <v>57</v>
      </c>
      <c r="E220" s="12" t="n">
        <v>7</v>
      </c>
      <c r="F220" s="9" t="s">
        <v>28</v>
      </c>
      <c r="G220" s="13" t="n">
        <v>50</v>
      </c>
      <c r="H220" s="9" t="s">
        <v>41</v>
      </c>
      <c r="I220" s="13" t="n">
        <v>0</v>
      </c>
      <c r="J220" s="1" t="str">
        <f aca="false">IF(A220="","", "SAMP-"&amp;A220&amp;"-L"&amp;TEXT(B220,"00")&amp;"-"&amp;TEXT(C220,"yyyymmdd")&amp;"-"&amp;D220&amp;"-H"&amp;TEXT(E220,"00")&amp;"-"&amp;H220)</f>
        <v>SAMP-KG01-L21-20251014-ORD-2025-00168-H07-Chip</v>
      </c>
      <c r="K220" s="1" t="str">
        <f aca="false">IF(A220="","",IF(AND(G220&gt;=0,I220&gt;=0,I220&lt;=G220),"OK","CHECK"))</f>
        <v>OK</v>
      </c>
      <c r="L220" s="1" t="str">
        <f aca="false">IF(A220="","",IF(AND(E220&gt;=0,E220&lt;=23),"OK","CHECK"))</f>
        <v>OK</v>
      </c>
      <c r="M220" s="1" t="str">
        <f aca="false">IF(A220="","",IF(AND(K220="OK",L220="OK"),"OK","CHECK"))</f>
        <v>OK</v>
      </c>
    </row>
    <row r="221" customFormat="false" ht="18" hidden="false" customHeight="true" outlineLevel="0" collapsed="false">
      <c r="A221" s="9" t="s">
        <v>26</v>
      </c>
      <c r="B221" s="9" t="n">
        <v>21</v>
      </c>
      <c r="C221" s="11" t="n">
        <v>45944</v>
      </c>
      <c r="D221" s="9" t="s">
        <v>57</v>
      </c>
      <c r="E221" s="12" t="n">
        <v>12</v>
      </c>
      <c r="F221" s="9" t="s">
        <v>28</v>
      </c>
      <c r="G221" s="13" t="n">
        <v>200</v>
      </c>
      <c r="H221" s="9" t="s">
        <v>35</v>
      </c>
      <c r="I221" s="13" t="n">
        <v>3</v>
      </c>
      <c r="J221" s="1" t="str">
        <f aca="false">IF(A221="","", "SAMP-"&amp;A221&amp;"-L"&amp;TEXT(B221,"00")&amp;"-"&amp;TEXT(C221,"yyyymmdd")&amp;"-"&amp;D221&amp;"-H"&amp;TEXT(E221,"00")&amp;"-"&amp;H221)</f>
        <v>SAMP-KG01-L21-20251014-ORD-2025-00168-H12-Stone</v>
      </c>
      <c r="K221" s="1" t="str">
        <f aca="false">IF(A221="","",IF(AND(G221&gt;=0,I221&gt;=0,I221&lt;=G221),"OK","CHECK"))</f>
        <v>OK</v>
      </c>
      <c r="L221" s="1" t="str">
        <f aca="false">IF(A221="","",IF(AND(E221&gt;=0,E221&lt;=23),"OK","CHECK"))</f>
        <v>OK</v>
      </c>
      <c r="M221" s="1" t="str">
        <f aca="false">IF(A221="","",IF(AND(K221="OK",L221="OK"),"OK","CHECK"))</f>
        <v>OK</v>
      </c>
    </row>
    <row r="222" customFormat="false" ht="18" hidden="false" customHeight="true" outlineLevel="0" collapsed="false">
      <c r="A222" s="9" t="s">
        <v>26</v>
      </c>
      <c r="B222" s="9" t="n">
        <v>21</v>
      </c>
      <c r="C222" s="11" t="n">
        <v>45944</v>
      </c>
      <c r="D222" s="9" t="s">
        <v>57</v>
      </c>
      <c r="E222" s="12" t="n">
        <v>23</v>
      </c>
      <c r="F222" s="9" t="s">
        <v>31</v>
      </c>
      <c r="G222" s="13" t="n">
        <v>200</v>
      </c>
      <c r="H222" s="9" t="s">
        <v>29</v>
      </c>
      <c r="I222" s="13" t="n">
        <v>4</v>
      </c>
      <c r="J222" s="1" t="str">
        <f aca="false">IF(A222="","", "SAMP-"&amp;A222&amp;"-L"&amp;TEXT(B222,"00")&amp;"-"&amp;TEXT(C222,"yyyymmdd")&amp;"-"&amp;D222&amp;"-H"&amp;TEXT(E222,"00")&amp;"-"&amp;H222)</f>
        <v>SAMP-KG01-L21-20251014-ORD-2025-00168-H23-Choke Neck</v>
      </c>
      <c r="K222" s="1" t="str">
        <f aca="false">IF(A222="","",IF(AND(G222&gt;=0,I222&gt;=0,I222&lt;=G222),"OK","CHECK"))</f>
        <v>OK</v>
      </c>
      <c r="L222" s="1" t="str">
        <f aca="false">IF(A222="","",IF(AND(E222&gt;=0,E222&lt;=23),"OK","CHECK"))</f>
        <v>OK</v>
      </c>
      <c r="M222" s="1" t="str">
        <f aca="false">IF(A222="","",IF(AND(K222="OK",L222="OK"),"OK","CHECK"))</f>
        <v>OK</v>
      </c>
    </row>
    <row r="223" customFormat="false" ht="18" hidden="false" customHeight="true" outlineLevel="0" collapsed="false">
      <c r="A223" s="9" t="s">
        <v>26</v>
      </c>
      <c r="B223" s="9" t="n">
        <v>21</v>
      </c>
      <c r="C223" s="11" t="n">
        <v>45944</v>
      </c>
      <c r="D223" s="9" t="s">
        <v>57</v>
      </c>
      <c r="E223" s="12" t="n">
        <v>16</v>
      </c>
      <c r="F223" s="9" t="s">
        <v>31</v>
      </c>
      <c r="G223" s="13" t="n">
        <v>100</v>
      </c>
      <c r="H223" s="9" t="s">
        <v>33</v>
      </c>
      <c r="I223" s="13" t="n">
        <v>4</v>
      </c>
      <c r="J223" s="1" t="str">
        <f aca="false">IF(A223="","", "SAMP-"&amp;A223&amp;"-L"&amp;TEXT(B223,"00")&amp;"-"&amp;TEXT(C223,"yyyymmdd")&amp;"-"&amp;D223&amp;"-H"&amp;TEXT(E223,"00")&amp;"-"&amp;H223)</f>
        <v>SAMP-KG01-L21-20251014-ORD-2025-00168-H16-Distortion</v>
      </c>
      <c r="K223" s="1" t="str">
        <f aca="false">IF(A223="","",IF(AND(G223&gt;=0,I223&gt;=0,I223&lt;=G223),"OK","CHECK"))</f>
        <v>OK</v>
      </c>
      <c r="L223" s="1" t="str">
        <f aca="false">IF(A223="","",IF(AND(E223&gt;=0,E223&lt;=23),"OK","CHECK"))</f>
        <v>OK</v>
      </c>
      <c r="M223" s="1" t="str">
        <f aca="false">IF(A223="","",IF(AND(K223="OK",L223="OK"),"OK","CHECK"))</f>
        <v>OK</v>
      </c>
    </row>
    <row r="224" customFormat="false" ht="18" hidden="false" customHeight="true" outlineLevel="0" collapsed="false">
      <c r="A224" s="9" t="s">
        <v>26</v>
      </c>
      <c r="B224" s="9" t="n">
        <v>21</v>
      </c>
      <c r="C224" s="11" t="n">
        <v>45945</v>
      </c>
      <c r="D224" s="9" t="s">
        <v>57</v>
      </c>
      <c r="E224" s="12" t="n">
        <v>9</v>
      </c>
      <c r="F224" s="9" t="s">
        <v>28</v>
      </c>
      <c r="G224" s="13" t="n">
        <v>50</v>
      </c>
      <c r="H224" s="9" t="s">
        <v>38</v>
      </c>
      <c r="I224" s="13" t="n">
        <v>0</v>
      </c>
      <c r="J224" s="1" t="str">
        <f aca="false">IF(A224="","", "SAMP-"&amp;A224&amp;"-L"&amp;TEXT(B224,"00")&amp;"-"&amp;TEXT(C224,"yyyymmdd")&amp;"-"&amp;D224&amp;"-H"&amp;TEXT(E224,"00")&amp;"-"&amp;H224)</f>
        <v>SAMP-KG01-L21-20251015-ORD-2025-00168-H09-Crack</v>
      </c>
      <c r="K224" s="1" t="str">
        <f aca="false">IF(A224="","",IF(AND(G224&gt;=0,I224&gt;=0,I224&lt;=G224),"OK","CHECK"))</f>
        <v>OK</v>
      </c>
      <c r="L224" s="1" t="str">
        <f aca="false">IF(A224="","",IF(AND(E224&gt;=0,E224&lt;=23),"OK","CHECK"))</f>
        <v>OK</v>
      </c>
      <c r="M224" s="1" t="str">
        <f aca="false">IF(A224="","",IF(AND(K224="OK",L224="OK"),"OK","CHECK"))</f>
        <v>OK</v>
      </c>
    </row>
    <row r="225" customFormat="false" ht="18" hidden="false" customHeight="true" outlineLevel="0" collapsed="false">
      <c r="A225" s="9" t="s">
        <v>26</v>
      </c>
      <c r="B225" s="9" t="n">
        <v>21</v>
      </c>
      <c r="C225" s="11" t="n">
        <v>45945</v>
      </c>
      <c r="D225" s="9" t="s">
        <v>57</v>
      </c>
      <c r="E225" s="12" t="n">
        <v>12</v>
      </c>
      <c r="F225" s="9" t="s">
        <v>28</v>
      </c>
      <c r="G225" s="13" t="n">
        <v>100</v>
      </c>
      <c r="H225" s="9" t="s">
        <v>37</v>
      </c>
      <c r="I225" s="13" t="n">
        <v>3</v>
      </c>
      <c r="J225" s="1" t="str">
        <f aca="false">IF(A225="","", "SAMP-"&amp;A225&amp;"-L"&amp;TEXT(B225,"00")&amp;"-"&amp;TEXT(C225,"yyyymmdd")&amp;"-"&amp;D225&amp;"-H"&amp;TEXT(E225,"00")&amp;"-"&amp;H225)</f>
        <v>SAMP-KG01-L21-20251015-ORD-2025-00168-H12-Bird Swing</v>
      </c>
      <c r="K225" s="1" t="str">
        <f aca="false">IF(A225="","",IF(AND(G225&gt;=0,I225&gt;=0,I225&lt;=G225),"OK","CHECK"))</f>
        <v>OK</v>
      </c>
      <c r="L225" s="1" t="str">
        <f aca="false">IF(A225="","",IF(AND(E225&gt;=0,E225&lt;=23),"OK","CHECK"))</f>
        <v>OK</v>
      </c>
      <c r="M225" s="1" t="str">
        <f aca="false">IF(A225="","",IF(AND(K225="OK",L225="OK"),"OK","CHECK"))</f>
        <v>OK</v>
      </c>
    </row>
    <row r="226" customFormat="false" ht="18" hidden="false" customHeight="true" outlineLevel="0" collapsed="false">
      <c r="A226" s="9" t="s">
        <v>26</v>
      </c>
      <c r="B226" s="9" t="n">
        <v>21</v>
      </c>
      <c r="C226" s="11" t="n">
        <v>45945</v>
      </c>
      <c r="D226" s="9" t="s">
        <v>57</v>
      </c>
      <c r="E226" s="12" t="n">
        <v>7</v>
      </c>
      <c r="F226" s="9" t="s">
        <v>28</v>
      </c>
      <c r="G226" s="13" t="n">
        <v>150</v>
      </c>
      <c r="H226" s="9" t="s">
        <v>38</v>
      </c>
      <c r="I226" s="13" t="n">
        <v>4</v>
      </c>
      <c r="J226" s="1" t="str">
        <f aca="false">IF(A226="","", "SAMP-"&amp;A226&amp;"-L"&amp;TEXT(B226,"00")&amp;"-"&amp;TEXT(C226,"yyyymmdd")&amp;"-"&amp;D226&amp;"-H"&amp;TEXT(E226,"00")&amp;"-"&amp;H226)</f>
        <v>SAMP-KG01-L21-20251015-ORD-2025-00168-H07-Crack</v>
      </c>
      <c r="K226" s="1" t="str">
        <f aca="false">IF(A226="","",IF(AND(G226&gt;=0,I226&gt;=0,I226&lt;=G226),"OK","CHECK"))</f>
        <v>OK</v>
      </c>
      <c r="L226" s="1" t="str">
        <f aca="false">IF(A226="","",IF(AND(E226&gt;=0,E226&lt;=23),"OK","CHECK"))</f>
        <v>OK</v>
      </c>
      <c r="M226" s="1" t="str">
        <f aca="false">IF(A226="","",IF(AND(K226="OK",L226="OK"),"OK","CHECK"))</f>
        <v>OK</v>
      </c>
    </row>
    <row r="227" customFormat="false" ht="18" hidden="false" customHeight="true" outlineLevel="0" collapsed="false">
      <c r="A227" s="9" t="s">
        <v>26</v>
      </c>
      <c r="B227" s="9" t="n">
        <v>21</v>
      </c>
      <c r="C227" s="11" t="n">
        <v>45945</v>
      </c>
      <c r="D227" s="9" t="s">
        <v>58</v>
      </c>
      <c r="E227" s="12" t="n">
        <v>16</v>
      </c>
      <c r="F227" s="9" t="s">
        <v>31</v>
      </c>
      <c r="G227" s="13" t="n">
        <v>100</v>
      </c>
      <c r="H227" s="9" t="s">
        <v>30</v>
      </c>
      <c r="I227" s="13" t="n">
        <v>4</v>
      </c>
      <c r="J227" s="1" t="str">
        <f aca="false">IF(A227="","", "SAMP-"&amp;A227&amp;"-L"&amp;TEXT(B227,"00")&amp;"-"&amp;TEXT(C227,"yyyymmdd")&amp;"-"&amp;D227&amp;"-H"&amp;TEXT(E227,"00")&amp;"-"&amp;H227)</f>
        <v>SAMP-KG01-L21-20251015-ORD-2025-00169-H16-Overpress</v>
      </c>
      <c r="K227" s="1" t="str">
        <f aca="false">IF(A227="","",IF(AND(G227&gt;=0,I227&gt;=0,I227&lt;=G227),"OK","CHECK"))</f>
        <v>OK</v>
      </c>
      <c r="L227" s="1" t="str">
        <f aca="false">IF(A227="","",IF(AND(E227&gt;=0,E227&lt;=23),"OK","CHECK"))</f>
        <v>OK</v>
      </c>
      <c r="M227" s="1" t="str">
        <f aca="false">IF(A227="","",IF(AND(K227="OK",L227="OK"),"OK","CHECK"))</f>
        <v>OK</v>
      </c>
    </row>
    <row r="228" customFormat="false" ht="18" hidden="false" customHeight="true" outlineLevel="0" collapsed="false">
      <c r="A228" s="9" t="s">
        <v>26</v>
      </c>
      <c r="B228" s="9" t="n">
        <v>21</v>
      </c>
      <c r="C228" s="11" t="n">
        <v>45945</v>
      </c>
      <c r="D228" s="9" t="s">
        <v>58</v>
      </c>
      <c r="E228" s="12" t="n">
        <v>20</v>
      </c>
      <c r="F228" s="9" t="s">
        <v>31</v>
      </c>
      <c r="G228" s="13" t="n">
        <v>150</v>
      </c>
      <c r="H228" s="9" t="s">
        <v>35</v>
      </c>
      <c r="I228" s="13" t="n">
        <v>5</v>
      </c>
      <c r="J228" s="1" t="str">
        <f aca="false">IF(A228="","", "SAMP-"&amp;A228&amp;"-L"&amp;TEXT(B228,"00")&amp;"-"&amp;TEXT(C228,"yyyymmdd")&amp;"-"&amp;D228&amp;"-H"&amp;TEXT(E228,"00")&amp;"-"&amp;H228)</f>
        <v>SAMP-KG01-L21-20251015-ORD-2025-00169-H20-Stone</v>
      </c>
      <c r="K228" s="1" t="str">
        <f aca="false">IF(A228="","",IF(AND(G228&gt;=0,I228&gt;=0,I228&lt;=G228),"OK","CHECK"))</f>
        <v>OK</v>
      </c>
      <c r="L228" s="1" t="str">
        <f aca="false">IF(A228="","",IF(AND(E228&gt;=0,E228&lt;=23),"OK","CHECK"))</f>
        <v>OK</v>
      </c>
      <c r="M228" s="1" t="str">
        <f aca="false">IF(A228="","",IF(AND(K228="OK",L228="OK"),"OK","CHECK"))</f>
        <v>OK</v>
      </c>
    </row>
    <row r="229" customFormat="false" ht="18" hidden="false" customHeight="true" outlineLevel="0" collapsed="false">
      <c r="A229" s="9" t="s">
        <v>26</v>
      </c>
      <c r="B229" s="9" t="n">
        <v>21</v>
      </c>
      <c r="C229" s="11" t="n">
        <v>45946</v>
      </c>
      <c r="D229" s="9" t="s">
        <v>58</v>
      </c>
      <c r="E229" s="12" t="n">
        <v>7</v>
      </c>
      <c r="F229" s="9" t="s">
        <v>28</v>
      </c>
      <c r="G229" s="13" t="n">
        <v>100</v>
      </c>
      <c r="H229" s="9" t="s">
        <v>38</v>
      </c>
      <c r="I229" s="13" t="n">
        <v>3</v>
      </c>
      <c r="J229" s="1" t="str">
        <f aca="false">IF(A229="","", "SAMP-"&amp;A229&amp;"-L"&amp;TEXT(B229,"00")&amp;"-"&amp;TEXT(C229,"yyyymmdd")&amp;"-"&amp;D229&amp;"-H"&amp;TEXT(E229,"00")&amp;"-"&amp;H229)</f>
        <v>SAMP-KG01-L21-20251016-ORD-2025-00169-H07-Crack</v>
      </c>
      <c r="K229" s="1" t="str">
        <f aca="false">IF(A229="","",IF(AND(G229&gt;=0,I229&gt;=0,I229&lt;=G229),"OK","CHECK"))</f>
        <v>OK</v>
      </c>
      <c r="L229" s="1" t="str">
        <f aca="false">IF(A229="","",IF(AND(E229&gt;=0,E229&lt;=23),"OK","CHECK"))</f>
        <v>OK</v>
      </c>
      <c r="M229" s="1" t="str">
        <f aca="false">IF(A229="","",IF(AND(K229="OK",L229="OK"),"OK","CHECK"))</f>
        <v>OK</v>
      </c>
    </row>
    <row r="230" customFormat="false" ht="18" hidden="false" customHeight="true" outlineLevel="0" collapsed="false">
      <c r="A230" s="9" t="s">
        <v>26</v>
      </c>
      <c r="B230" s="9" t="n">
        <v>21</v>
      </c>
      <c r="C230" s="11" t="n">
        <v>45946</v>
      </c>
      <c r="D230" s="9" t="s">
        <v>58</v>
      </c>
      <c r="E230" s="12" t="n">
        <v>9</v>
      </c>
      <c r="F230" s="9" t="s">
        <v>28</v>
      </c>
      <c r="G230" s="13" t="n">
        <v>100</v>
      </c>
      <c r="H230" s="9" t="s">
        <v>36</v>
      </c>
      <c r="I230" s="13" t="n">
        <v>2</v>
      </c>
      <c r="J230" s="1" t="str">
        <f aca="false">IF(A230="","", "SAMP-"&amp;A230&amp;"-L"&amp;TEXT(B230,"00")&amp;"-"&amp;TEXT(C230,"yyyymmdd")&amp;"-"&amp;D230&amp;"-H"&amp;TEXT(E230,"00")&amp;"-"&amp;H230)</f>
        <v>SAMP-KG01-L21-20251016-ORD-2025-00169-H09-Blister</v>
      </c>
      <c r="K230" s="1" t="str">
        <f aca="false">IF(A230="","",IF(AND(G230&gt;=0,I230&gt;=0,I230&lt;=G230),"OK","CHECK"))</f>
        <v>OK</v>
      </c>
      <c r="L230" s="1" t="str">
        <f aca="false">IF(A230="","",IF(AND(E230&gt;=0,E230&lt;=23),"OK","CHECK"))</f>
        <v>OK</v>
      </c>
      <c r="M230" s="1" t="str">
        <f aca="false">IF(A230="","",IF(AND(K230="OK",L230="OK"),"OK","CHECK"))</f>
        <v>OK</v>
      </c>
    </row>
    <row r="231" customFormat="false" ht="18" hidden="false" customHeight="true" outlineLevel="0" collapsed="false">
      <c r="A231" s="9" t="s">
        <v>26</v>
      </c>
      <c r="B231" s="9" t="n">
        <v>21</v>
      </c>
      <c r="C231" s="11" t="n">
        <v>45946</v>
      </c>
      <c r="D231" s="9" t="s">
        <v>58</v>
      </c>
      <c r="E231" s="12" t="n">
        <v>12</v>
      </c>
      <c r="F231" s="9" t="s">
        <v>28</v>
      </c>
      <c r="G231" s="13" t="n">
        <v>150</v>
      </c>
      <c r="H231" s="9" t="s">
        <v>41</v>
      </c>
      <c r="I231" s="13" t="n">
        <v>5</v>
      </c>
      <c r="J231" s="1" t="str">
        <f aca="false">IF(A231="","", "SAMP-"&amp;A231&amp;"-L"&amp;TEXT(B231,"00")&amp;"-"&amp;TEXT(C231,"yyyymmdd")&amp;"-"&amp;D231&amp;"-H"&amp;TEXT(E231,"00")&amp;"-"&amp;H231)</f>
        <v>SAMP-KG01-L21-20251016-ORD-2025-00169-H12-Chip</v>
      </c>
      <c r="K231" s="1" t="str">
        <f aca="false">IF(A231="","",IF(AND(G231&gt;=0,I231&gt;=0,I231&lt;=G231),"OK","CHECK"))</f>
        <v>OK</v>
      </c>
      <c r="L231" s="1" t="str">
        <f aca="false">IF(A231="","",IF(AND(E231&gt;=0,E231&lt;=23),"OK","CHECK"))</f>
        <v>OK</v>
      </c>
      <c r="M231" s="1" t="str">
        <f aca="false">IF(A231="","",IF(AND(K231="OK",L231="OK"),"OK","CHECK"))</f>
        <v>OK</v>
      </c>
    </row>
    <row r="232" customFormat="false" ht="18" hidden="false" customHeight="true" outlineLevel="0" collapsed="false">
      <c r="A232" s="9" t="s">
        <v>26</v>
      </c>
      <c r="B232" s="9" t="n">
        <v>21</v>
      </c>
      <c r="C232" s="11" t="n">
        <v>45946</v>
      </c>
      <c r="D232" s="9" t="s">
        <v>58</v>
      </c>
      <c r="E232" s="12" t="n">
        <v>16</v>
      </c>
      <c r="F232" s="9" t="s">
        <v>31</v>
      </c>
      <c r="G232" s="13" t="n">
        <v>50</v>
      </c>
      <c r="H232" s="9" t="s">
        <v>30</v>
      </c>
      <c r="I232" s="13" t="n">
        <v>1</v>
      </c>
      <c r="J232" s="1" t="str">
        <f aca="false">IF(A232="","", "SAMP-"&amp;A232&amp;"-L"&amp;TEXT(B232,"00")&amp;"-"&amp;TEXT(C232,"yyyymmdd")&amp;"-"&amp;D232&amp;"-H"&amp;TEXT(E232,"00")&amp;"-"&amp;H232)</f>
        <v>SAMP-KG01-L21-20251016-ORD-2025-00169-H16-Overpress</v>
      </c>
      <c r="K232" s="1" t="str">
        <f aca="false">IF(A232="","",IF(AND(G232&gt;=0,I232&gt;=0,I232&lt;=G232),"OK","CHECK"))</f>
        <v>OK</v>
      </c>
      <c r="L232" s="1" t="str">
        <f aca="false">IF(A232="","",IF(AND(E232&gt;=0,E232&lt;=23),"OK","CHECK"))</f>
        <v>OK</v>
      </c>
      <c r="M232" s="1" t="str">
        <f aca="false">IF(A232="","",IF(AND(K232="OK",L232="OK"),"OK","CHECK"))</f>
        <v>OK</v>
      </c>
    </row>
    <row r="233" customFormat="false" ht="18" hidden="false" customHeight="true" outlineLevel="0" collapsed="false">
      <c r="A233" s="9" t="s">
        <v>26</v>
      </c>
      <c r="B233" s="9" t="n">
        <v>21</v>
      </c>
      <c r="C233" s="11" t="n">
        <v>45946</v>
      </c>
      <c r="D233" s="9" t="s">
        <v>58</v>
      </c>
      <c r="E233" s="12" t="n">
        <v>23</v>
      </c>
      <c r="F233" s="9" t="s">
        <v>31</v>
      </c>
      <c r="G233" s="13" t="n">
        <v>100</v>
      </c>
      <c r="H233" s="9" t="s">
        <v>38</v>
      </c>
      <c r="I233" s="13" t="n">
        <v>2</v>
      </c>
      <c r="J233" s="1" t="str">
        <f aca="false">IF(A233="","", "SAMP-"&amp;A233&amp;"-L"&amp;TEXT(B233,"00")&amp;"-"&amp;TEXT(C233,"yyyymmdd")&amp;"-"&amp;D233&amp;"-H"&amp;TEXT(E233,"00")&amp;"-"&amp;H233)</f>
        <v>SAMP-KG01-L21-20251016-ORD-2025-00169-H23-Crack</v>
      </c>
      <c r="K233" s="1" t="str">
        <f aca="false">IF(A233="","",IF(AND(G233&gt;=0,I233&gt;=0,I233&lt;=G233),"OK","CHECK"))</f>
        <v>OK</v>
      </c>
      <c r="L233" s="1" t="str">
        <f aca="false">IF(A233="","",IF(AND(E233&gt;=0,E233&lt;=23),"OK","CHECK"))</f>
        <v>OK</v>
      </c>
      <c r="M233" s="1" t="str">
        <f aca="false">IF(A233="","",IF(AND(K233="OK",L233="OK"),"OK","CHECK"))</f>
        <v>OK</v>
      </c>
    </row>
    <row r="234" customFormat="false" ht="18" hidden="false" customHeight="true" outlineLevel="0" collapsed="false">
      <c r="A234" s="9" t="s">
        <v>26</v>
      </c>
      <c r="B234" s="9" t="n">
        <v>21</v>
      </c>
      <c r="C234" s="11" t="n">
        <v>45947</v>
      </c>
      <c r="D234" s="9" t="s">
        <v>59</v>
      </c>
      <c r="E234" s="12" t="n">
        <v>12</v>
      </c>
      <c r="F234" s="9" t="s">
        <v>28</v>
      </c>
      <c r="G234" s="13" t="n">
        <v>50</v>
      </c>
      <c r="H234" s="9" t="s">
        <v>36</v>
      </c>
      <c r="I234" s="13" t="n">
        <v>1</v>
      </c>
      <c r="J234" s="1" t="str">
        <f aca="false">IF(A234="","", "SAMP-"&amp;A234&amp;"-L"&amp;TEXT(B234,"00")&amp;"-"&amp;TEXT(C234,"yyyymmdd")&amp;"-"&amp;D234&amp;"-H"&amp;TEXT(E234,"00")&amp;"-"&amp;H234)</f>
        <v>SAMP-KG01-L21-20251017-ORD-2025-00170-H12-Blister</v>
      </c>
      <c r="K234" s="1" t="str">
        <f aca="false">IF(A234="","",IF(AND(G234&gt;=0,I234&gt;=0,I234&lt;=G234),"OK","CHECK"))</f>
        <v>OK</v>
      </c>
      <c r="L234" s="1" t="str">
        <f aca="false">IF(A234="","",IF(AND(E234&gt;=0,E234&lt;=23),"OK","CHECK"))</f>
        <v>OK</v>
      </c>
      <c r="M234" s="1" t="str">
        <f aca="false">IF(A234="","",IF(AND(K234="OK",L234="OK"),"OK","CHECK"))</f>
        <v>OK</v>
      </c>
    </row>
    <row r="235" customFormat="false" ht="18" hidden="false" customHeight="true" outlineLevel="0" collapsed="false">
      <c r="A235" s="9" t="s">
        <v>26</v>
      </c>
      <c r="B235" s="9" t="n">
        <v>21</v>
      </c>
      <c r="C235" s="11" t="n">
        <v>45947</v>
      </c>
      <c r="D235" s="9" t="s">
        <v>59</v>
      </c>
      <c r="E235" s="12" t="n">
        <v>9</v>
      </c>
      <c r="F235" s="9" t="s">
        <v>28</v>
      </c>
      <c r="G235" s="13" t="n">
        <v>200</v>
      </c>
      <c r="H235" s="9" t="s">
        <v>30</v>
      </c>
      <c r="I235" s="13" t="n">
        <v>3</v>
      </c>
      <c r="J235" s="1" t="str">
        <f aca="false">IF(A235="","", "SAMP-"&amp;A235&amp;"-L"&amp;TEXT(B235,"00")&amp;"-"&amp;TEXT(C235,"yyyymmdd")&amp;"-"&amp;D235&amp;"-H"&amp;TEXT(E235,"00")&amp;"-"&amp;H235)</f>
        <v>SAMP-KG01-L21-20251017-ORD-2025-00170-H09-Overpress</v>
      </c>
      <c r="K235" s="1" t="str">
        <f aca="false">IF(A235="","",IF(AND(G235&gt;=0,I235&gt;=0,I235&lt;=G235),"OK","CHECK"))</f>
        <v>OK</v>
      </c>
      <c r="L235" s="1" t="str">
        <f aca="false">IF(A235="","",IF(AND(E235&gt;=0,E235&lt;=23),"OK","CHECK"))</f>
        <v>OK</v>
      </c>
      <c r="M235" s="1" t="str">
        <f aca="false">IF(A235="","",IF(AND(K235="OK",L235="OK"),"OK","CHECK"))</f>
        <v>OK</v>
      </c>
    </row>
    <row r="236" customFormat="false" ht="18" hidden="false" customHeight="true" outlineLevel="0" collapsed="false">
      <c r="A236" s="9" t="s">
        <v>26</v>
      </c>
      <c r="B236" s="9" t="n">
        <v>21</v>
      </c>
      <c r="C236" s="11" t="n">
        <v>45947</v>
      </c>
      <c r="D236" s="9" t="s">
        <v>59</v>
      </c>
      <c r="E236" s="12" t="n">
        <v>7</v>
      </c>
      <c r="F236" s="9" t="s">
        <v>28</v>
      </c>
      <c r="G236" s="13" t="n">
        <v>200</v>
      </c>
      <c r="H236" s="9" t="s">
        <v>33</v>
      </c>
      <c r="I236" s="13" t="n">
        <v>5</v>
      </c>
      <c r="J236" s="1" t="str">
        <f aca="false">IF(A236="","", "SAMP-"&amp;A236&amp;"-L"&amp;TEXT(B236,"00")&amp;"-"&amp;TEXT(C236,"yyyymmdd")&amp;"-"&amp;D236&amp;"-H"&amp;TEXT(E236,"00")&amp;"-"&amp;H236)</f>
        <v>SAMP-KG01-L21-20251017-ORD-2025-00170-H07-Distortion</v>
      </c>
      <c r="K236" s="1" t="str">
        <f aca="false">IF(A236="","",IF(AND(G236&gt;=0,I236&gt;=0,I236&lt;=G236),"OK","CHECK"))</f>
        <v>OK</v>
      </c>
      <c r="L236" s="1" t="str">
        <f aca="false">IF(A236="","",IF(AND(E236&gt;=0,E236&lt;=23),"OK","CHECK"))</f>
        <v>OK</v>
      </c>
      <c r="M236" s="1" t="str">
        <f aca="false">IF(A236="","",IF(AND(K236="OK",L236="OK"),"OK","CHECK"))</f>
        <v>OK</v>
      </c>
    </row>
    <row r="237" customFormat="false" ht="18" hidden="false" customHeight="true" outlineLevel="0" collapsed="false">
      <c r="A237" s="9" t="s">
        <v>26</v>
      </c>
      <c r="B237" s="9" t="n">
        <v>21</v>
      </c>
      <c r="C237" s="11" t="n">
        <v>45947</v>
      </c>
      <c r="D237" s="9" t="s">
        <v>59</v>
      </c>
      <c r="E237" s="12" t="n">
        <v>20</v>
      </c>
      <c r="F237" s="9" t="s">
        <v>31</v>
      </c>
      <c r="G237" s="13" t="n">
        <v>200</v>
      </c>
      <c r="H237" s="9" t="s">
        <v>37</v>
      </c>
      <c r="I237" s="13" t="n">
        <v>0</v>
      </c>
      <c r="J237" s="1" t="str">
        <f aca="false">IF(A237="","", "SAMP-"&amp;A237&amp;"-L"&amp;TEXT(B237,"00")&amp;"-"&amp;TEXT(C237,"yyyymmdd")&amp;"-"&amp;D237&amp;"-H"&amp;TEXT(E237,"00")&amp;"-"&amp;H237)</f>
        <v>SAMP-KG01-L21-20251017-ORD-2025-00170-H20-Bird Swing</v>
      </c>
      <c r="K237" s="1" t="str">
        <f aca="false">IF(A237="","",IF(AND(G237&gt;=0,I237&gt;=0,I237&lt;=G237),"OK","CHECK"))</f>
        <v>OK</v>
      </c>
      <c r="L237" s="1" t="str">
        <f aca="false">IF(A237="","",IF(AND(E237&gt;=0,E237&lt;=23),"OK","CHECK"))</f>
        <v>OK</v>
      </c>
      <c r="M237" s="1" t="str">
        <f aca="false">IF(A237="","",IF(AND(K237="OK",L237="OK"),"OK","CHECK"))</f>
        <v>OK</v>
      </c>
    </row>
    <row r="238" customFormat="false" ht="18" hidden="false" customHeight="true" outlineLevel="0" collapsed="false">
      <c r="A238" s="9" t="s">
        <v>26</v>
      </c>
      <c r="B238" s="9" t="n">
        <v>21</v>
      </c>
      <c r="C238" s="11" t="n">
        <v>45947</v>
      </c>
      <c r="D238" s="9" t="s">
        <v>59</v>
      </c>
      <c r="E238" s="12" t="n">
        <v>23</v>
      </c>
      <c r="F238" s="9" t="s">
        <v>31</v>
      </c>
      <c r="G238" s="13" t="n">
        <v>200</v>
      </c>
      <c r="H238" s="9" t="s">
        <v>37</v>
      </c>
      <c r="I238" s="13" t="n">
        <v>8</v>
      </c>
      <c r="J238" s="1" t="str">
        <f aca="false">IF(A238="","", "SAMP-"&amp;A238&amp;"-L"&amp;TEXT(B238,"00")&amp;"-"&amp;TEXT(C238,"yyyymmdd")&amp;"-"&amp;D238&amp;"-H"&amp;TEXT(E238,"00")&amp;"-"&amp;H238)</f>
        <v>SAMP-KG01-L21-20251017-ORD-2025-00170-H23-Bird Swing</v>
      </c>
      <c r="K238" s="1" t="str">
        <f aca="false">IF(A238="","",IF(AND(G238&gt;=0,I238&gt;=0,I238&lt;=G238),"OK","CHECK"))</f>
        <v>OK</v>
      </c>
      <c r="L238" s="1" t="str">
        <f aca="false">IF(A238="","",IF(AND(E238&gt;=0,E238&lt;=23),"OK","CHECK"))</f>
        <v>OK</v>
      </c>
      <c r="M238" s="1" t="str">
        <f aca="false">IF(A238="","",IF(AND(K238="OK",L238="OK"),"OK","CHECK"))</f>
        <v>OK</v>
      </c>
    </row>
    <row r="239" customFormat="false" ht="18" hidden="false" customHeight="true" outlineLevel="0" collapsed="false">
      <c r="A239" s="9" t="s">
        <v>26</v>
      </c>
      <c r="B239" s="9" t="n">
        <v>21</v>
      </c>
      <c r="C239" s="11" t="n">
        <v>45948</v>
      </c>
      <c r="D239" s="9" t="s">
        <v>59</v>
      </c>
      <c r="E239" s="12" t="n">
        <v>7</v>
      </c>
      <c r="F239" s="9" t="s">
        <v>28</v>
      </c>
      <c r="G239" s="13" t="n">
        <v>150</v>
      </c>
      <c r="H239" s="9" t="s">
        <v>36</v>
      </c>
      <c r="I239" s="13" t="n">
        <v>0</v>
      </c>
      <c r="J239" s="1" t="str">
        <f aca="false">IF(A239="","", "SAMP-"&amp;A239&amp;"-L"&amp;TEXT(B239,"00")&amp;"-"&amp;TEXT(C239,"yyyymmdd")&amp;"-"&amp;D239&amp;"-H"&amp;TEXT(E239,"00")&amp;"-"&amp;H239)</f>
        <v>SAMP-KG01-L21-20251018-ORD-2025-00170-H07-Blister</v>
      </c>
      <c r="K239" s="1" t="str">
        <f aca="false">IF(A239="","",IF(AND(G239&gt;=0,I239&gt;=0,I239&lt;=G239),"OK","CHECK"))</f>
        <v>OK</v>
      </c>
      <c r="L239" s="1" t="str">
        <f aca="false">IF(A239="","",IF(AND(E239&gt;=0,E239&lt;=23),"OK","CHECK"))</f>
        <v>OK</v>
      </c>
      <c r="M239" s="1" t="str">
        <f aca="false">IF(A239="","",IF(AND(K239="OK",L239="OK"),"OK","CHECK"))</f>
        <v>OK</v>
      </c>
    </row>
    <row r="240" customFormat="false" ht="18" hidden="false" customHeight="true" outlineLevel="0" collapsed="false">
      <c r="A240" s="9" t="s">
        <v>26</v>
      </c>
      <c r="B240" s="9" t="n">
        <v>21</v>
      </c>
      <c r="C240" s="11" t="n">
        <v>45948</v>
      </c>
      <c r="D240" s="9" t="s">
        <v>59</v>
      </c>
      <c r="E240" s="12" t="n">
        <v>9</v>
      </c>
      <c r="F240" s="9" t="s">
        <v>28</v>
      </c>
      <c r="G240" s="13" t="n">
        <v>200</v>
      </c>
      <c r="H240" s="9" t="s">
        <v>38</v>
      </c>
      <c r="I240" s="13" t="n">
        <v>5</v>
      </c>
      <c r="J240" s="1" t="str">
        <f aca="false">IF(A240="","", "SAMP-"&amp;A240&amp;"-L"&amp;TEXT(B240,"00")&amp;"-"&amp;TEXT(C240,"yyyymmdd")&amp;"-"&amp;D240&amp;"-H"&amp;TEXT(E240,"00")&amp;"-"&amp;H240)</f>
        <v>SAMP-KG01-L21-20251018-ORD-2025-00170-H09-Crack</v>
      </c>
      <c r="K240" s="1" t="str">
        <f aca="false">IF(A240="","",IF(AND(G240&gt;=0,I240&gt;=0,I240&lt;=G240),"OK","CHECK"))</f>
        <v>OK</v>
      </c>
      <c r="L240" s="1" t="str">
        <f aca="false">IF(A240="","",IF(AND(E240&gt;=0,E240&lt;=23),"OK","CHECK"))</f>
        <v>OK</v>
      </c>
      <c r="M240" s="1" t="str">
        <f aca="false">IF(A240="","",IF(AND(K240="OK",L240="OK"),"OK","CHECK"))</f>
        <v>OK</v>
      </c>
    </row>
    <row r="241" customFormat="false" ht="18" hidden="false" customHeight="true" outlineLevel="0" collapsed="false">
      <c r="A241" s="9" t="s">
        <v>26</v>
      </c>
      <c r="B241" s="9" t="n">
        <v>21</v>
      </c>
      <c r="C241" s="11" t="n">
        <v>45948</v>
      </c>
      <c r="D241" s="9" t="s">
        <v>59</v>
      </c>
      <c r="E241" s="12" t="n">
        <v>23</v>
      </c>
      <c r="F241" s="9" t="s">
        <v>31</v>
      </c>
      <c r="G241" s="13" t="n">
        <v>100</v>
      </c>
      <c r="H241" s="9" t="s">
        <v>34</v>
      </c>
      <c r="I241" s="13" t="n">
        <v>5</v>
      </c>
      <c r="J241" s="1" t="str">
        <f aca="false">IF(A241="","", "SAMP-"&amp;A241&amp;"-L"&amp;TEXT(B241,"00")&amp;"-"&amp;TEXT(C241,"yyyymmdd")&amp;"-"&amp;D241&amp;"-H"&amp;TEXT(E241,"00")&amp;"-"&amp;H241)</f>
        <v>SAMP-KG01-L21-20251018-ORD-2025-00170-H23-Thin Wall</v>
      </c>
      <c r="K241" s="1" t="str">
        <f aca="false">IF(A241="","",IF(AND(G241&gt;=0,I241&gt;=0,I241&lt;=G241),"OK","CHECK"))</f>
        <v>OK</v>
      </c>
      <c r="L241" s="1" t="str">
        <f aca="false">IF(A241="","",IF(AND(E241&gt;=0,E241&lt;=23),"OK","CHECK"))</f>
        <v>OK</v>
      </c>
      <c r="M241" s="1" t="str">
        <f aca="false">IF(A241="","",IF(AND(K241="OK",L241="OK"),"OK","CHECK"))</f>
        <v>OK</v>
      </c>
    </row>
    <row r="242" customFormat="false" ht="18" hidden="false" customHeight="true" outlineLevel="0" collapsed="false">
      <c r="A242" s="9" t="s">
        <v>26</v>
      </c>
      <c r="B242" s="9" t="n">
        <v>21</v>
      </c>
      <c r="C242" s="11" t="n">
        <v>45948</v>
      </c>
      <c r="D242" s="9" t="s">
        <v>59</v>
      </c>
      <c r="E242" s="12" t="n">
        <v>16</v>
      </c>
      <c r="F242" s="9" t="s">
        <v>31</v>
      </c>
      <c r="G242" s="13" t="n">
        <v>150</v>
      </c>
      <c r="H242" s="9" t="s">
        <v>37</v>
      </c>
      <c r="I242" s="13" t="n">
        <v>2</v>
      </c>
      <c r="J242" s="1" t="str">
        <f aca="false">IF(A242="","", "SAMP-"&amp;A242&amp;"-L"&amp;TEXT(B242,"00")&amp;"-"&amp;TEXT(C242,"yyyymmdd")&amp;"-"&amp;D242&amp;"-H"&amp;TEXT(E242,"00")&amp;"-"&amp;H242)</f>
        <v>SAMP-KG01-L21-20251018-ORD-2025-00170-H16-Bird Swing</v>
      </c>
      <c r="K242" s="1" t="str">
        <f aca="false">IF(A242="","",IF(AND(G242&gt;=0,I242&gt;=0,I242&lt;=G242),"OK","CHECK"))</f>
        <v>OK</v>
      </c>
      <c r="L242" s="1" t="str">
        <f aca="false">IF(A242="","",IF(AND(E242&gt;=0,E242&lt;=23),"OK","CHECK"))</f>
        <v>OK</v>
      </c>
      <c r="M242" s="1" t="str">
        <f aca="false">IF(A242="","",IF(AND(K242="OK",L242="OK"),"OK","CHECK"))</f>
        <v>OK</v>
      </c>
    </row>
    <row r="243" customFormat="false" ht="18" hidden="false" customHeight="true" outlineLevel="0" collapsed="false">
      <c r="A243" s="9" t="s">
        <v>26</v>
      </c>
      <c r="B243" s="9" t="n">
        <v>21</v>
      </c>
      <c r="C243" s="11" t="n">
        <v>45948</v>
      </c>
      <c r="D243" s="9" t="s">
        <v>59</v>
      </c>
      <c r="E243" s="12" t="n">
        <v>20</v>
      </c>
      <c r="F243" s="9" t="s">
        <v>31</v>
      </c>
      <c r="G243" s="13" t="n">
        <v>200</v>
      </c>
      <c r="H243" s="9" t="s">
        <v>34</v>
      </c>
      <c r="I243" s="13" t="n">
        <v>4</v>
      </c>
      <c r="J243" s="1" t="str">
        <f aca="false">IF(A243="","", "SAMP-"&amp;A243&amp;"-L"&amp;TEXT(B243,"00")&amp;"-"&amp;TEXT(C243,"yyyymmdd")&amp;"-"&amp;D243&amp;"-H"&amp;TEXT(E243,"00")&amp;"-"&amp;H243)</f>
        <v>SAMP-KG01-L21-20251018-ORD-2025-00170-H20-Thin Wall</v>
      </c>
      <c r="K243" s="1" t="str">
        <f aca="false">IF(A243="","",IF(AND(G243&gt;=0,I243&gt;=0,I243&lt;=G243),"OK","CHECK"))</f>
        <v>OK</v>
      </c>
      <c r="L243" s="1" t="str">
        <f aca="false">IF(A243="","",IF(AND(E243&gt;=0,E243&lt;=23),"OK","CHECK"))</f>
        <v>OK</v>
      </c>
      <c r="M243" s="1" t="str">
        <f aca="false">IF(A243="","",IF(AND(K243="OK",L243="OK"),"OK","CHECK"))</f>
        <v>OK</v>
      </c>
    </row>
    <row r="244" customFormat="false" ht="18" hidden="false" customHeight="true" outlineLevel="0" collapsed="false">
      <c r="A244" s="9" t="s">
        <v>26</v>
      </c>
      <c r="B244" s="9" t="n">
        <v>21</v>
      </c>
      <c r="C244" s="11" t="n">
        <v>45949</v>
      </c>
      <c r="D244" s="9" t="s">
        <v>59</v>
      </c>
      <c r="E244" s="12" t="n">
        <v>12</v>
      </c>
      <c r="F244" s="9" t="s">
        <v>28</v>
      </c>
      <c r="G244" s="13" t="n">
        <v>50</v>
      </c>
      <c r="H244" s="9" t="s">
        <v>34</v>
      </c>
      <c r="I244" s="13" t="n">
        <v>2</v>
      </c>
      <c r="J244" s="1" t="str">
        <f aca="false">IF(A244="","", "SAMP-"&amp;A244&amp;"-L"&amp;TEXT(B244,"00")&amp;"-"&amp;TEXT(C244,"yyyymmdd")&amp;"-"&amp;D244&amp;"-H"&amp;TEXT(E244,"00")&amp;"-"&amp;H244)</f>
        <v>SAMP-KG01-L21-20251019-ORD-2025-00170-H12-Thin Wall</v>
      </c>
      <c r="K244" s="1" t="str">
        <f aca="false">IF(A244="","",IF(AND(G244&gt;=0,I244&gt;=0,I244&lt;=G244),"OK","CHECK"))</f>
        <v>OK</v>
      </c>
      <c r="L244" s="1" t="str">
        <f aca="false">IF(A244="","",IF(AND(E244&gt;=0,E244&lt;=23),"OK","CHECK"))</f>
        <v>OK</v>
      </c>
      <c r="M244" s="1" t="str">
        <f aca="false">IF(A244="","",IF(AND(K244="OK",L244="OK"),"OK","CHECK"))</f>
        <v>OK</v>
      </c>
    </row>
    <row r="245" customFormat="false" ht="18" hidden="false" customHeight="true" outlineLevel="0" collapsed="false">
      <c r="A245" s="9" t="s">
        <v>26</v>
      </c>
      <c r="B245" s="9" t="n">
        <v>21</v>
      </c>
      <c r="C245" s="11" t="n">
        <v>45949</v>
      </c>
      <c r="D245" s="9" t="s">
        <v>59</v>
      </c>
      <c r="E245" s="12" t="n">
        <v>7</v>
      </c>
      <c r="F245" s="9" t="s">
        <v>28</v>
      </c>
      <c r="G245" s="13" t="n">
        <v>100</v>
      </c>
      <c r="H245" s="9" t="s">
        <v>33</v>
      </c>
      <c r="I245" s="13" t="n">
        <v>4</v>
      </c>
      <c r="J245" s="1" t="str">
        <f aca="false">IF(A245="","", "SAMP-"&amp;A245&amp;"-L"&amp;TEXT(B245,"00")&amp;"-"&amp;TEXT(C245,"yyyymmdd")&amp;"-"&amp;D245&amp;"-H"&amp;TEXT(E245,"00")&amp;"-"&amp;H245)</f>
        <v>SAMP-KG01-L21-20251019-ORD-2025-00170-H07-Distortion</v>
      </c>
      <c r="K245" s="1" t="str">
        <f aca="false">IF(A245="","",IF(AND(G245&gt;=0,I245&gt;=0,I245&lt;=G245),"OK","CHECK"))</f>
        <v>OK</v>
      </c>
      <c r="L245" s="1" t="str">
        <f aca="false">IF(A245="","",IF(AND(E245&gt;=0,E245&lt;=23),"OK","CHECK"))</f>
        <v>OK</v>
      </c>
      <c r="M245" s="1" t="str">
        <f aca="false">IF(A245="","",IF(AND(K245="OK",L245="OK"),"OK","CHECK"))</f>
        <v>OK</v>
      </c>
    </row>
    <row r="246" customFormat="false" ht="18" hidden="false" customHeight="true" outlineLevel="0" collapsed="false">
      <c r="A246" s="9" t="s">
        <v>26</v>
      </c>
      <c r="B246" s="9" t="n">
        <v>21</v>
      </c>
      <c r="C246" s="11" t="n">
        <v>45949</v>
      </c>
      <c r="D246" s="9" t="s">
        <v>59</v>
      </c>
      <c r="E246" s="12" t="n">
        <v>16</v>
      </c>
      <c r="F246" s="9" t="s">
        <v>31</v>
      </c>
      <c r="G246" s="13" t="n">
        <v>200</v>
      </c>
      <c r="H246" s="9" t="s">
        <v>36</v>
      </c>
      <c r="I246" s="13" t="n">
        <v>8</v>
      </c>
      <c r="J246" s="1" t="str">
        <f aca="false">IF(A246="","", "SAMP-"&amp;A246&amp;"-L"&amp;TEXT(B246,"00")&amp;"-"&amp;TEXT(C246,"yyyymmdd")&amp;"-"&amp;D246&amp;"-H"&amp;TEXT(E246,"00")&amp;"-"&amp;H246)</f>
        <v>SAMP-KG01-L21-20251019-ORD-2025-00170-H16-Blister</v>
      </c>
      <c r="K246" s="1" t="str">
        <f aca="false">IF(A246="","",IF(AND(G246&gt;=0,I246&gt;=0,I246&lt;=G246),"OK","CHECK"))</f>
        <v>OK</v>
      </c>
      <c r="L246" s="1" t="str">
        <f aca="false">IF(A246="","",IF(AND(E246&gt;=0,E246&lt;=23),"OK","CHECK"))</f>
        <v>OK</v>
      </c>
      <c r="M246" s="1" t="str">
        <f aca="false">IF(A246="","",IF(AND(K246="OK",L246="OK"),"OK","CHECK"))</f>
        <v>OK</v>
      </c>
    </row>
    <row r="247" customFormat="false" ht="18" hidden="false" customHeight="true" outlineLevel="0" collapsed="false">
      <c r="A247" s="9" t="s">
        <v>26</v>
      </c>
      <c r="B247" s="9" t="n">
        <v>21</v>
      </c>
      <c r="C247" s="11" t="n">
        <v>45949</v>
      </c>
      <c r="D247" s="9" t="s">
        <v>59</v>
      </c>
      <c r="E247" s="12" t="n">
        <v>23</v>
      </c>
      <c r="F247" s="9" t="s">
        <v>31</v>
      </c>
      <c r="G247" s="13" t="n">
        <v>100</v>
      </c>
      <c r="H247" s="9" t="s">
        <v>41</v>
      </c>
      <c r="I247" s="13" t="n">
        <v>4</v>
      </c>
      <c r="J247" s="1" t="str">
        <f aca="false">IF(A247="","", "SAMP-"&amp;A247&amp;"-L"&amp;TEXT(B247,"00")&amp;"-"&amp;TEXT(C247,"yyyymmdd")&amp;"-"&amp;D247&amp;"-H"&amp;TEXT(E247,"00")&amp;"-"&amp;H247)</f>
        <v>SAMP-KG01-L21-20251019-ORD-2025-00170-H23-Chip</v>
      </c>
      <c r="K247" s="1" t="str">
        <f aca="false">IF(A247="","",IF(AND(G247&gt;=0,I247&gt;=0,I247&lt;=G247),"OK","CHECK"))</f>
        <v>OK</v>
      </c>
      <c r="L247" s="1" t="str">
        <f aca="false">IF(A247="","",IF(AND(E247&gt;=0,E247&lt;=23),"OK","CHECK"))</f>
        <v>OK</v>
      </c>
      <c r="M247" s="1" t="str">
        <f aca="false">IF(A247="","",IF(AND(K247="OK",L247="OK"),"OK","CHECK"))</f>
        <v>OK</v>
      </c>
    </row>
    <row r="248" customFormat="false" ht="18" hidden="false" customHeight="true" outlineLevel="0" collapsed="false">
      <c r="A248" s="9" t="s">
        <v>26</v>
      </c>
      <c r="B248" s="9" t="n">
        <v>21</v>
      </c>
      <c r="C248" s="11" t="n">
        <v>45957</v>
      </c>
      <c r="D248" s="9" t="s">
        <v>60</v>
      </c>
      <c r="E248" s="12" t="n">
        <v>12</v>
      </c>
      <c r="F248" s="9" t="s">
        <v>28</v>
      </c>
      <c r="G248" s="13" t="n">
        <v>50</v>
      </c>
      <c r="H248" s="9" t="s">
        <v>37</v>
      </c>
      <c r="I248" s="13" t="n">
        <v>0</v>
      </c>
      <c r="J248" s="1" t="str">
        <f aca="false">IF(A248="","", "SAMP-"&amp;A248&amp;"-L"&amp;TEXT(B248,"00")&amp;"-"&amp;TEXT(C248,"yyyymmdd")&amp;"-"&amp;D248&amp;"-H"&amp;TEXT(E248,"00")&amp;"-"&amp;H248)</f>
        <v>SAMP-KG01-L21-20251027-ORD-2025-00171-H12-Bird Swing</v>
      </c>
      <c r="K248" s="1" t="str">
        <f aca="false">IF(A248="","",IF(AND(G248&gt;=0,I248&gt;=0,I248&lt;=G248),"OK","CHECK"))</f>
        <v>OK</v>
      </c>
      <c r="L248" s="1" t="str">
        <f aca="false">IF(A248="","",IF(AND(E248&gt;=0,E248&lt;=23),"OK","CHECK"))</f>
        <v>OK</v>
      </c>
      <c r="M248" s="1" t="str">
        <f aca="false">IF(A248="","",IF(AND(K248="OK",L248="OK"),"OK","CHECK"))</f>
        <v>OK</v>
      </c>
    </row>
    <row r="249" customFormat="false" ht="18" hidden="false" customHeight="true" outlineLevel="0" collapsed="false">
      <c r="A249" s="9" t="s">
        <v>26</v>
      </c>
      <c r="B249" s="9" t="n">
        <v>21</v>
      </c>
      <c r="C249" s="11" t="n">
        <v>45957</v>
      </c>
      <c r="D249" s="9" t="s">
        <v>60</v>
      </c>
      <c r="E249" s="12" t="n">
        <v>7</v>
      </c>
      <c r="F249" s="9" t="s">
        <v>28</v>
      </c>
      <c r="G249" s="13" t="n">
        <v>50</v>
      </c>
      <c r="H249" s="9" t="s">
        <v>29</v>
      </c>
      <c r="I249" s="13" t="n">
        <v>1</v>
      </c>
      <c r="J249" s="1" t="str">
        <f aca="false">IF(A249="","", "SAMP-"&amp;A249&amp;"-L"&amp;TEXT(B249,"00")&amp;"-"&amp;TEXT(C249,"yyyymmdd")&amp;"-"&amp;D249&amp;"-H"&amp;TEXT(E249,"00")&amp;"-"&amp;H249)</f>
        <v>SAMP-KG01-L21-20251027-ORD-2025-00171-H07-Choke Neck</v>
      </c>
      <c r="K249" s="1" t="str">
        <f aca="false">IF(A249="","",IF(AND(G249&gt;=0,I249&gt;=0,I249&lt;=G249),"OK","CHECK"))</f>
        <v>OK</v>
      </c>
      <c r="L249" s="1" t="str">
        <f aca="false">IF(A249="","",IF(AND(E249&gt;=0,E249&lt;=23),"OK","CHECK"))</f>
        <v>OK</v>
      </c>
      <c r="M249" s="1" t="str">
        <f aca="false">IF(A249="","",IF(AND(K249="OK",L249="OK"),"OK","CHECK"))</f>
        <v>OK</v>
      </c>
    </row>
    <row r="250" customFormat="false" ht="18" hidden="false" customHeight="true" outlineLevel="0" collapsed="false">
      <c r="A250" s="9" t="s">
        <v>26</v>
      </c>
      <c r="B250" s="9" t="n">
        <v>21</v>
      </c>
      <c r="C250" s="11" t="n">
        <v>45957</v>
      </c>
      <c r="D250" s="9" t="s">
        <v>60</v>
      </c>
      <c r="E250" s="12" t="n">
        <v>9</v>
      </c>
      <c r="F250" s="9" t="s">
        <v>28</v>
      </c>
      <c r="G250" s="13" t="n">
        <v>200</v>
      </c>
      <c r="H250" s="9" t="s">
        <v>33</v>
      </c>
      <c r="I250" s="13" t="n">
        <v>1</v>
      </c>
      <c r="J250" s="1" t="str">
        <f aca="false">IF(A250="","", "SAMP-"&amp;A250&amp;"-L"&amp;TEXT(B250,"00")&amp;"-"&amp;TEXT(C250,"yyyymmdd")&amp;"-"&amp;D250&amp;"-H"&amp;TEXT(E250,"00")&amp;"-"&amp;H250)</f>
        <v>SAMP-KG01-L21-20251027-ORD-2025-00171-H09-Distortion</v>
      </c>
      <c r="K250" s="1" t="str">
        <f aca="false">IF(A250="","",IF(AND(G250&gt;=0,I250&gt;=0,I250&lt;=G250),"OK","CHECK"))</f>
        <v>OK</v>
      </c>
      <c r="L250" s="1" t="str">
        <f aca="false">IF(A250="","",IF(AND(E250&gt;=0,E250&lt;=23),"OK","CHECK"))</f>
        <v>OK</v>
      </c>
      <c r="M250" s="1" t="str">
        <f aca="false">IF(A250="","",IF(AND(K250="OK",L250="OK"),"OK","CHECK"))</f>
        <v>OK</v>
      </c>
    </row>
    <row r="251" customFormat="false" ht="18" hidden="false" customHeight="true" outlineLevel="0" collapsed="false">
      <c r="A251" s="9" t="s">
        <v>26</v>
      </c>
      <c r="B251" s="9" t="n">
        <v>21</v>
      </c>
      <c r="C251" s="11" t="n">
        <v>45957</v>
      </c>
      <c r="D251" s="9" t="s">
        <v>60</v>
      </c>
      <c r="E251" s="12" t="n">
        <v>23</v>
      </c>
      <c r="F251" s="9" t="s">
        <v>31</v>
      </c>
      <c r="G251" s="13" t="n">
        <v>200</v>
      </c>
      <c r="H251" s="9" t="s">
        <v>34</v>
      </c>
      <c r="I251" s="13" t="n">
        <v>3</v>
      </c>
      <c r="J251" s="1" t="str">
        <f aca="false">IF(A251="","", "SAMP-"&amp;A251&amp;"-L"&amp;TEXT(B251,"00")&amp;"-"&amp;TEXT(C251,"yyyymmdd")&amp;"-"&amp;D251&amp;"-H"&amp;TEXT(E251,"00")&amp;"-"&amp;H251)</f>
        <v>SAMP-KG01-L21-20251027-ORD-2025-00171-H23-Thin Wall</v>
      </c>
      <c r="K251" s="1" t="str">
        <f aca="false">IF(A251="","",IF(AND(G251&gt;=0,I251&gt;=0,I251&lt;=G251),"OK","CHECK"))</f>
        <v>OK</v>
      </c>
      <c r="L251" s="1" t="str">
        <f aca="false">IF(A251="","",IF(AND(E251&gt;=0,E251&lt;=23),"OK","CHECK"))</f>
        <v>OK</v>
      </c>
      <c r="M251" s="1" t="str">
        <f aca="false">IF(A251="","",IF(AND(K251="OK",L251="OK"),"OK","CHECK"))</f>
        <v>OK</v>
      </c>
    </row>
    <row r="252" customFormat="false" ht="18" hidden="false" customHeight="true" outlineLevel="0" collapsed="false">
      <c r="A252" s="9" t="s">
        <v>26</v>
      </c>
      <c r="B252" s="9" t="n">
        <v>21</v>
      </c>
      <c r="C252" s="11" t="n">
        <v>45957</v>
      </c>
      <c r="D252" s="9" t="s">
        <v>60</v>
      </c>
      <c r="E252" s="12" t="n">
        <v>20</v>
      </c>
      <c r="F252" s="9" t="s">
        <v>31</v>
      </c>
      <c r="G252" s="13" t="n">
        <v>100</v>
      </c>
      <c r="H252" s="9" t="s">
        <v>41</v>
      </c>
      <c r="I252" s="13" t="n">
        <v>1</v>
      </c>
      <c r="J252" s="1" t="str">
        <f aca="false">IF(A252="","", "SAMP-"&amp;A252&amp;"-L"&amp;TEXT(B252,"00")&amp;"-"&amp;TEXT(C252,"yyyymmdd")&amp;"-"&amp;D252&amp;"-H"&amp;TEXT(E252,"00")&amp;"-"&amp;H252)</f>
        <v>SAMP-KG01-L21-20251027-ORD-2025-00171-H20-Chip</v>
      </c>
      <c r="K252" s="1" t="str">
        <f aca="false">IF(A252="","",IF(AND(G252&gt;=0,I252&gt;=0,I252&lt;=G252),"OK","CHECK"))</f>
        <v>OK</v>
      </c>
      <c r="L252" s="1" t="str">
        <f aca="false">IF(A252="","",IF(AND(E252&gt;=0,E252&lt;=23),"OK","CHECK"))</f>
        <v>OK</v>
      </c>
      <c r="M252" s="1" t="str">
        <f aca="false">IF(A252="","",IF(AND(K252="OK",L252="OK"),"OK","CHECK"))</f>
        <v>OK</v>
      </c>
    </row>
    <row r="253" customFormat="false" ht="18" hidden="false" customHeight="true" outlineLevel="0" collapsed="false">
      <c r="A253" s="9" t="s">
        <v>26</v>
      </c>
      <c r="B253" s="9" t="n">
        <v>21</v>
      </c>
      <c r="C253" s="11" t="n">
        <v>45958</v>
      </c>
      <c r="D253" s="9" t="s">
        <v>60</v>
      </c>
      <c r="E253" s="12" t="n">
        <v>9</v>
      </c>
      <c r="F253" s="9" t="s">
        <v>28</v>
      </c>
      <c r="G253" s="13" t="n">
        <v>200</v>
      </c>
      <c r="H253" s="9" t="s">
        <v>29</v>
      </c>
      <c r="I253" s="13" t="n">
        <v>6</v>
      </c>
      <c r="J253" s="1" t="str">
        <f aca="false">IF(A253="","", "SAMP-"&amp;A253&amp;"-L"&amp;TEXT(B253,"00")&amp;"-"&amp;TEXT(C253,"yyyymmdd")&amp;"-"&amp;D253&amp;"-H"&amp;TEXT(E253,"00")&amp;"-"&amp;H253)</f>
        <v>SAMP-KG01-L21-20251028-ORD-2025-00171-H09-Choke Neck</v>
      </c>
      <c r="K253" s="1" t="str">
        <f aca="false">IF(A253="","",IF(AND(G253&gt;=0,I253&gt;=0,I253&lt;=G253),"OK","CHECK"))</f>
        <v>OK</v>
      </c>
      <c r="L253" s="1" t="str">
        <f aca="false">IF(A253="","",IF(AND(E253&gt;=0,E253&lt;=23),"OK","CHECK"))</f>
        <v>OK</v>
      </c>
      <c r="M253" s="1" t="str">
        <f aca="false">IF(A253="","",IF(AND(K253="OK",L253="OK"),"OK","CHECK"))</f>
        <v>OK</v>
      </c>
    </row>
    <row r="254" customFormat="false" ht="18" hidden="false" customHeight="true" outlineLevel="0" collapsed="false">
      <c r="A254" s="9" t="s">
        <v>26</v>
      </c>
      <c r="B254" s="9" t="n">
        <v>21</v>
      </c>
      <c r="C254" s="11" t="n">
        <v>45958</v>
      </c>
      <c r="D254" s="9" t="s">
        <v>60</v>
      </c>
      <c r="E254" s="12" t="n">
        <v>7</v>
      </c>
      <c r="F254" s="9" t="s">
        <v>28</v>
      </c>
      <c r="G254" s="13" t="n">
        <v>100</v>
      </c>
      <c r="H254" s="9" t="s">
        <v>41</v>
      </c>
      <c r="I254" s="13" t="n">
        <v>1</v>
      </c>
      <c r="J254" s="1" t="str">
        <f aca="false">IF(A254="","", "SAMP-"&amp;A254&amp;"-L"&amp;TEXT(B254,"00")&amp;"-"&amp;TEXT(C254,"yyyymmdd")&amp;"-"&amp;D254&amp;"-H"&amp;TEXT(E254,"00")&amp;"-"&amp;H254)</f>
        <v>SAMP-KG01-L21-20251028-ORD-2025-00171-H07-Chip</v>
      </c>
      <c r="K254" s="1" t="str">
        <f aca="false">IF(A254="","",IF(AND(G254&gt;=0,I254&gt;=0,I254&lt;=G254),"OK","CHECK"))</f>
        <v>OK</v>
      </c>
      <c r="L254" s="1" t="str">
        <f aca="false">IF(A254="","",IF(AND(E254&gt;=0,E254&lt;=23),"OK","CHECK"))</f>
        <v>OK</v>
      </c>
      <c r="M254" s="1" t="str">
        <f aca="false">IF(A254="","",IF(AND(K254="OK",L254="OK"),"OK","CHECK"))</f>
        <v>OK</v>
      </c>
    </row>
    <row r="255" customFormat="false" ht="18" hidden="false" customHeight="true" outlineLevel="0" collapsed="false">
      <c r="A255" s="9" t="s">
        <v>26</v>
      </c>
      <c r="B255" s="9" t="n">
        <v>21</v>
      </c>
      <c r="C255" s="11" t="n">
        <v>45958</v>
      </c>
      <c r="D255" s="9" t="s">
        <v>60</v>
      </c>
      <c r="E255" s="12" t="n">
        <v>23</v>
      </c>
      <c r="F255" s="9" t="s">
        <v>31</v>
      </c>
      <c r="G255" s="13" t="n">
        <v>150</v>
      </c>
      <c r="H255" s="9" t="s">
        <v>37</v>
      </c>
      <c r="I255" s="13" t="n">
        <v>2</v>
      </c>
      <c r="J255" s="1" t="str">
        <f aca="false">IF(A255="","", "SAMP-"&amp;A255&amp;"-L"&amp;TEXT(B255,"00")&amp;"-"&amp;TEXT(C255,"yyyymmdd")&amp;"-"&amp;D255&amp;"-H"&amp;TEXT(E255,"00")&amp;"-"&amp;H255)</f>
        <v>SAMP-KG01-L21-20251028-ORD-2025-00171-H23-Bird Swing</v>
      </c>
      <c r="K255" s="1" t="str">
        <f aca="false">IF(A255="","",IF(AND(G255&gt;=0,I255&gt;=0,I255&lt;=G255),"OK","CHECK"))</f>
        <v>OK</v>
      </c>
      <c r="L255" s="1" t="str">
        <f aca="false">IF(A255="","",IF(AND(E255&gt;=0,E255&lt;=23),"OK","CHECK"))</f>
        <v>OK</v>
      </c>
      <c r="M255" s="1" t="str">
        <f aca="false">IF(A255="","",IF(AND(K255="OK",L255="OK"),"OK","CHECK"))</f>
        <v>OK</v>
      </c>
    </row>
    <row r="256" customFormat="false" ht="18" hidden="false" customHeight="true" outlineLevel="0" collapsed="false">
      <c r="A256" s="9" t="s">
        <v>26</v>
      </c>
      <c r="B256" s="9" t="n">
        <v>21</v>
      </c>
      <c r="C256" s="11" t="n">
        <v>45958</v>
      </c>
      <c r="D256" s="9" t="s">
        <v>60</v>
      </c>
      <c r="E256" s="12" t="n">
        <v>20</v>
      </c>
      <c r="F256" s="9" t="s">
        <v>31</v>
      </c>
      <c r="G256" s="13" t="n">
        <v>150</v>
      </c>
      <c r="H256" s="9" t="s">
        <v>38</v>
      </c>
      <c r="I256" s="13" t="n">
        <v>0</v>
      </c>
      <c r="J256" s="1" t="str">
        <f aca="false">IF(A256="","", "SAMP-"&amp;A256&amp;"-L"&amp;TEXT(B256,"00")&amp;"-"&amp;TEXT(C256,"yyyymmdd")&amp;"-"&amp;D256&amp;"-H"&amp;TEXT(E256,"00")&amp;"-"&amp;H256)</f>
        <v>SAMP-KG01-L21-20251028-ORD-2025-00171-H20-Crack</v>
      </c>
      <c r="K256" s="1" t="str">
        <f aca="false">IF(A256="","",IF(AND(G256&gt;=0,I256&gt;=0,I256&lt;=G256),"OK","CHECK"))</f>
        <v>OK</v>
      </c>
      <c r="L256" s="1" t="str">
        <f aca="false">IF(A256="","",IF(AND(E256&gt;=0,E256&lt;=23),"OK","CHECK"))</f>
        <v>OK</v>
      </c>
      <c r="M256" s="1" t="str">
        <f aca="false">IF(A256="","",IF(AND(K256="OK",L256="OK"),"OK","CHECK"))</f>
        <v>OK</v>
      </c>
    </row>
    <row r="257" customFormat="false" ht="18" hidden="false" customHeight="true" outlineLevel="0" collapsed="false">
      <c r="A257" s="9" t="s">
        <v>26</v>
      </c>
      <c r="B257" s="9" t="n">
        <v>21</v>
      </c>
      <c r="C257" s="11" t="n">
        <v>45958</v>
      </c>
      <c r="D257" s="9" t="s">
        <v>60</v>
      </c>
      <c r="E257" s="12" t="n">
        <v>16</v>
      </c>
      <c r="F257" s="9" t="s">
        <v>31</v>
      </c>
      <c r="G257" s="13" t="n">
        <v>100</v>
      </c>
      <c r="H257" s="9" t="s">
        <v>36</v>
      </c>
      <c r="I257" s="13" t="n">
        <v>0</v>
      </c>
      <c r="J257" s="1" t="str">
        <f aca="false">IF(A257="","", "SAMP-"&amp;A257&amp;"-L"&amp;TEXT(B257,"00")&amp;"-"&amp;TEXT(C257,"yyyymmdd")&amp;"-"&amp;D257&amp;"-H"&amp;TEXT(E257,"00")&amp;"-"&amp;H257)</f>
        <v>SAMP-KG01-L21-20251028-ORD-2025-00171-H16-Blister</v>
      </c>
      <c r="K257" s="1" t="str">
        <f aca="false">IF(A257="","",IF(AND(G257&gt;=0,I257&gt;=0,I257&lt;=G257),"OK","CHECK"))</f>
        <v>OK</v>
      </c>
      <c r="L257" s="1" t="str">
        <f aca="false">IF(A257="","",IF(AND(E257&gt;=0,E257&lt;=23),"OK","CHECK"))</f>
        <v>OK</v>
      </c>
      <c r="M257" s="1" t="str">
        <f aca="false">IF(A257="","",IF(AND(K257="OK",L257="OK"),"OK","CHECK"))</f>
        <v>OK</v>
      </c>
    </row>
    <row r="258" customFormat="false" ht="18" hidden="false" customHeight="true" outlineLevel="0" collapsed="false">
      <c r="A258" s="9" t="s">
        <v>26</v>
      </c>
      <c r="B258" s="9" t="n">
        <v>21</v>
      </c>
      <c r="C258" s="11" t="n">
        <v>45959</v>
      </c>
      <c r="D258" s="9" t="s">
        <v>60</v>
      </c>
      <c r="E258" s="12" t="n">
        <v>7</v>
      </c>
      <c r="F258" s="9" t="s">
        <v>28</v>
      </c>
      <c r="G258" s="13" t="n">
        <v>100</v>
      </c>
      <c r="H258" s="9" t="s">
        <v>29</v>
      </c>
      <c r="I258" s="13" t="n">
        <v>2</v>
      </c>
      <c r="J258" s="1" t="str">
        <f aca="false">IF(A258="","", "SAMP-"&amp;A258&amp;"-L"&amp;TEXT(B258,"00")&amp;"-"&amp;TEXT(C258,"yyyymmdd")&amp;"-"&amp;D258&amp;"-H"&amp;TEXT(E258,"00")&amp;"-"&amp;H258)</f>
        <v>SAMP-KG01-L21-20251029-ORD-2025-00171-H07-Choke Neck</v>
      </c>
      <c r="K258" s="1" t="str">
        <f aca="false">IF(A258="","",IF(AND(G258&gt;=0,I258&gt;=0,I258&lt;=G258),"OK","CHECK"))</f>
        <v>OK</v>
      </c>
      <c r="L258" s="1" t="str">
        <f aca="false">IF(A258="","",IF(AND(E258&gt;=0,E258&lt;=23),"OK","CHECK"))</f>
        <v>OK</v>
      </c>
      <c r="M258" s="1" t="str">
        <f aca="false">IF(A258="","",IF(AND(K258="OK",L258="OK"),"OK","CHECK"))</f>
        <v>OK</v>
      </c>
    </row>
    <row r="259" customFormat="false" ht="18" hidden="false" customHeight="true" outlineLevel="0" collapsed="false">
      <c r="A259" s="9" t="s">
        <v>26</v>
      </c>
      <c r="B259" s="9" t="n">
        <v>21</v>
      </c>
      <c r="C259" s="11" t="n">
        <v>45959</v>
      </c>
      <c r="D259" s="9" t="s">
        <v>60</v>
      </c>
      <c r="E259" s="12" t="n">
        <v>12</v>
      </c>
      <c r="F259" s="9" t="s">
        <v>28</v>
      </c>
      <c r="G259" s="13" t="n">
        <v>100</v>
      </c>
      <c r="H259" s="9" t="s">
        <v>33</v>
      </c>
      <c r="I259" s="13" t="n">
        <v>3</v>
      </c>
      <c r="J259" s="1" t="str">
        <f aca="false">IF(A259="","", "SAMP-"&amp;A259&amp;"-L"&amp;TEXT(B259,"00")&amp;"-"&amp;TEXT(C259,"yyyymmdd")&amp;"-"&amp;D259&amp;"-H"&amp;TEXT(E259,"00")&amp;"-"&amp;H259)</f>
        <v>SAMP-KG01-L21-20251029-ORD-2025-00171-H12-Distortion</v>
      </c>
      <c r="K259" s="1" t="str">
        <f aca="false">IF(A259="","",IF(AND(G259&gt;=0,I259&gt;=0,I259&lt;=G259),"OK","CHECK"))</f>
        <v>OK</v>
      </c>
      <c r="L259" s="1" t="str">
        <f aca="false">IF(A259="","",IF(AND(E259&gt;=0,E259&lt;=23),"OK","CHECK"))</f>
        <v>OK</v>
      </c>
      <c r="M259" s="1" t="str">
        <f aca="false">IF(A259="","",IF(AND(K259="OK",L259="OK"),"OK","CHECK"))</f>
        <v>OK</v>
      </c>
    </row>
    <row r="260" customFormat="false" ht="18" hidden="false" customHeight="true" outlineLevel="0" collapsed="false">
      <c r="A260" s="9" t="s">
        <v>26</v>
      </c>
      <c r="B260" s="9" t="n">
        <v>21</v>
      </c>
      <c r="C260" s="11" t="n">
        <v>45959</v>
      </c>
      <c r="D260" s="9" t="s">
        <v>60</v>
      </c>
      <c r="E260" s="12" t="n">
        <v>9</v>
      </c>
      <c r="F260" s="9" t="s">
        <v>28</v>
      </c>
      <c r="G260" s="13" t="n">
        <v>100</v>
      </c>
      <c r="H260" s="9" t="s">
        <v>36</v>
      </c>
      <c r="I260" s="13" t="n">
        <v>3</v>
      </c>
      <c r="J260" s="1" t="str">
        <f aca="false">IF(A260="","", "SAMP-"&amp;A260&amp;"-L"&amp;TEXT(B260,"00")&amp;"-"&amp;TEXT(C260,"yyyymmdd")&amp;"-"&amp;D260&amp;"-H"&amp;TEXT(E260,"00")&amp;"-"&amp;H260)</f>
        <v>SAMP-KG01-L21-20251029-ORD-2025-00171-H09-Blister</v>
      </c>
      <c r="K260" s="1" t="str">
        <f aca="false">IF(A260="","",IF(AND(G260&gt;=0,I260&gt;=0,I260&lt;=G260),"OK","CHECK"))</f>
        <v>OK</v>
      </c>
      <c r="L260" s="1" t="str">
        <f aca="false">IF(A260="","",IF(AND(E260&gt;=0,E260&lt;=23),"OK","CHECK"))</f>
        <v>OK</v>
      </c>
      <c r="M260" s="1" t="str">
        <f aca="false">IF(A260="","",IF(AND(K260="OK",L260="OK"),"OK","CHECK"))</f>
        <v>OK</v>
      </c>
    </row>
    <row r="261" customFormat="false" ht="18" hidden="false" customHeight="true" outlineLevel="0" collapsed="false">
      <c r="A261" s="9" t="s">
        <v>26</v>
      </c>
      <c r="B261" s="9" t="n">
        <v>21</v>
      </c>
      <c r="C261" s="11" t="n">
        <v>45959</v>
      </c>
      <c r="D261" s="9" t="s">
        <v>60</v>
      </c>
      <c r="E261" s="12" t="n">
        <v>20</v>
      </c>
      <c r="F261" s="9" t="s">
        <v>31</v>
      </c>
      <c r="G261" s="13" t="n">
        <v>100</v>
      </c>
      <c r="H261" s="9" t="s">
        <v>29</v>
      </c>
      <c r="I261" s="13" t="n">
        <v>2</v>
      </c>
      <c r="J261" s="1" t="str">
        <f aca="false">IF(A261="","", "SAMP-"&amp;A261&amp;"-L"&amp;TEXT(B261,"00")&amp;"-"&amp;TEXT(C261,"yyyymmdd")&amp;"-"&amp;D261&amp;"-H"&amp;TEXT(E261,"00")&amp;"-"&amp;H261)</f>
        <v>SAMP-KG01-L21-20251029-ORD-2025-00171-H20-Choke Neck</v>
      </c>
      <c r="K261" s="1" t="str">
        <f aca="false">IF(A261="","",IF(AND(G261&gt;=0,I261&gt;=0,I261&lt;=G261),"OK","CHECK"))</f>
        <v>OK</v>
      </c>
      <c r="L261" s="1" t="str">
        <f aca="false">IF(A261="","",IF(AND(E261&gt;=0,E261&lt;=23),"OK","CHECK"))</f>
        <v>OK</v>
      </c>
      <c r="M261" s="1" t="str">
        <f aca="false">IF(A261="","",IF(AND(K261="OK",L261="OK"),"OK","CHECK"))</f>
        <v>OK</v>
      </c>
    </row>
    <row r="262" customFormat="false" ht="18" hidden="false" customHeight="true" outlineLevel="0" collapsed="false">
      <c r="A262" s="9" t="s">
        <v>26</v>
      </c>
      <c r="B262" s="9" t="n">
        <v>21</v>
      </c>
      <c r="C262" s="11" t="n">
        <v>45959</v>
      </c>
      <c r="D262" s="9" t="s">
        <v>60</v>
      </c>
      <c r="E262" s="12" t="n">
        <v>23</v>
      </c>
      <c r="F262" s="9" t="s">
        <v>31</v>
      </c>
      <c r="G262" s="13" t="n">
        <v>50</v>
      </c>
      <c r="H262" s="9" t="s">
        <v>41</v>
      </c>
      <c r="I262" s="13" t="n">
        <v>0</v>
      </c>
      <c r="J262" s="1" t="str">
        <f aca="false">IF(A262="","", "SAMP-"&amp;A262&amp;"-L"&amp;TEXT(B262,"00")&amp;"-"&amp;TEXT(C262,"yyyymmdd")&amp;"-"&amp;D262&amp;"-H"&amp;TEXT(E262,"00")&amp;"-"&amp;H262)</f>
        <v>SAMP-KG01-L21-20251029-ORD-2025-00171-H23-Chip</v>
      </c>
      <c r="K262" s="1" t="str">
        <f aca="false">IF(A262="","",IF(AND(G262&gt;=0,I262&gt;=0,I262&lt;=G262),"OK","CHECK"))</f>
        <v>OK</v>
      </c>
      <c r="L262" s="1" t="str">
        <f aca="false">IF(A262="","",IF(AND(E262&gt;=0,E262&lt;=23),"OK","CHECK"))</f>
        <v>OK</v>
      </c>
      <c r="M262" s="1" t="str">
        <f aca="false">IF(A262="","",IF(AND(K262="OK",L262="OK"),"OK","CHECK"))</f>
        <v>OK</v>
      </c>
    </row>
    <row r="263" customFormat="false" ht="18" hidden="false" customHeight="true" outlineLevel="0" collapsed="false">
      <c r="A263" s="9" t="s">
        <v>26</v>
      </c>
      <c r="B263" s="9" t="n">
        <v>21</v>
      </c>
      <c r="C263" s="11" t="n">
        <v>45959</v>
      </c>
      <c r="D263" s="9" t="s">
        <v>60</v>
      </c>
      <c r="E263" s="12" t="n">
        <v>16</v>
      </c>
      <c r="F263" s="9" t="s">
        <v>31</v>
      </c>
      <c r="G263" s="13" t="n">
        <v>150</v>
      </c>
      <c r="H263" s="9" t="s">
        <v>33</v>
      </c>
      <c r="I263" s="13" t="n">
        <v>6</v>
      </c>
      <c r="J263" s="1" t="str">
        <f aca="false">IF(A263="","", "SAMP-"&amp;A263&amp;"-L"&amp;TEXT(B263,"00")&amp;"-"&amp;TEXT(C263,"yyyymmdd")&amp;"-"&amp;D263&amp;"-H"&amp;TEXT(E263,"00")&amp;"-"&amp;H263)</f>
        <v>SAMP-KG01-L21-20251029-ORD-2025-00171-H16-Distortion</v>
      </c>
      <c r="K263" s="1" t="str">
        <f aca="false">IF(A263="","",IF(AND(G263&gt;=0,I263&gt;=0,I263&lt;=G263),"OK","CHECK"))</f>
        <v>OK</v>
      </c>
      <c r="L263" s="1" t="str">
        <f aca="false">IF(A263="","",IF(AND(E263&gt;=0,E263&lt;=23),"OK","CHECK"))</f>
        <v>OK</v>
      </c>
      <c r="M263" s="1" t="str">
        <f aca="false">IF(A263="","",IF(AND(K263="OK",L263="OK"),"OK","CHECK"))</f>
        <v>OK</v>
      </c>
    </row>
    <row r="264" customFormat="false" ht="18" hidden="false" customHeight="true" outlineLevel="0" collapsed="false">
      <c r="A264" s="9" t="s">
        <v>26</v>
      </c>
      <c r="B264" s="9" t="n">
        <v>21</v>
      </c>
      <c r="C264" s="11" t="n">
        <v>45960</v>
      </c>
      <c r="D264" s="9" t="s">
        <v>60</v>
      </c>
      <c r="E264" s="12" t="n">
        <v>12</v>
      </c>
      <c r="F264" s="9" t="s">
        <v>28</v>
      </c>
      <c r="G264" s="13" t="n">
        <v>50</v>
      </c>
      <c r="H264" s="9" t="s">
        <v>36</v>
      </c>
      <c r="I264" s="13" t="n">
        <v>1</v>
      </c>
      <c r="J264" s="1" t="str">
        <f aca="false">IF(A264="","", "SAMP-"&amp;A264&amp;"-L"&amp;TEXT(B264,"00")&amp;"-"&amp;TEXT(C264,"yyyymmdd")&amp;"-"&amp;D264&amp;"-H"&amp;TEXT(E264,"00")&amp;"-"&amp;H264)</f>
        <v>SAMP-KG01-L21-20251030-ORD-2025-00171-H12-Blister</v>
      </c>
      <c r="K264" s="1" t="str">
        <f aca="false">IF(A264="","",IF(AND(G264&gt;=0,I264&gt;=0,I264&lt;=G264),"OK","CHECK"))</f>
        <v>OK</v>
      </c>
      <c r="L264" s="1" t="str">
        <f aca="false">IF(A264="","",IF(AND(E264&gt;=0,E264&lt;=23),"OK","CHECK"))</f>
        <v>OK</v>
      </c>
      <c r="M264" s="1" t="str">
        <f aca="false">IF(A264="","",IF(AND(K264="OK",L264="OK"),"OK","CHECK"))</f>
        <v>OK</v>
      </c>
    </row>
    <row r="265" customFormat="false" ht="18" hidden="false" customHeight="true" outlineLevel="0" collapsed="false">
      <c r="A265" s="9" t="s">
        <v>26</v>
      </c>
      <c r="B265" s="9" t="n">
        <v>21</v>
      </c>
      <c r="C265" s="11" t="n">
        <v>45960</v>
      </c>
      <c r="D265" s="9" t="s">
        <v>60</v>
      </c>
      <c r="E265" s="12" t="n">
        <v>7</v>
      </c>
      <c r="F265" s="9" t="s">
        <v>28</v>
      </c>
      <c r="G265" s="13" t="n">
        <v>50</v>
      </c>
      <c r="H265" s="9" t="s">
        <v>35</v>
      </c>
      <c r="I265" s="13" t="n">
        <v>1</v>
      </c>
      <c r="J265" s="1" t="str">
        <f aca="false">IF(A265="","", "SAMP-"&amp;A265&amp;"-L"&amp;TEXT(B265,"00")&amp;"-"&amp;TEXT(C265,"yyyymmdd")&amp;"-"&amp;D265&amp;"-H"&amp;TEXT(E265,"00")&amp;"-"&amp;H265)</f>
        <v>SAMP-KG01-L21-20251030-ORD-2025-00171-H07-Stone</v>
      </c>
      <c r="K265" s="1" t="str">
        <f aca="false">IF(A265="","",IF(AND(G265&gt;=0,I265&gt;=0,I265&lt;=G265),"OK","CHECK"))</f>
        <v>OK</v>
      </c>
      <c r="L265" s="1" t="str">
        <f aca="false">IF(A265="","",IF(AND(E265&gt;=0,E265&lt;=23),"OK","CHECK"))</f>
        <v>OK</v>
      </c>
      <c r="M265" s="1" t="str">
        <f aca="false">IF(A265="","",IF(AND(K265="OK",L265="OK"),"OK","CHECK"))</f>
        <v>OK</v>
      </c>
    </row>
    <row r="266" customFormat="false" ht="18" hidden="false" customHeight="true" outlineLevel="0" collapsed="false">
      <c r="A266" s="9" t="s">
        <v>26</v>
      </c>
      <c r="B266" s="9" t="n">
        <v>21</v>
      </c>
      <c r="C266" s="11" t="n">
        <v>45960</v>
      </c>
      <c r="D266" s="9" t="s">
        <v>61</v>
      </c>
      <c r="E266" s="12" t="n">
        <v>16</v>
      </c>
      <c r="F266" s="9" t="s">
        <v>31</v>
      </c>
      <c r="G266" s="13" t="n">
        <v>200</v>
      </c>
      <c r="H266" s="9" t="s">
        <v>34</v>
      </c>
      <c r="I266" s="13" t="n">
        <v>0</v>
      </c>
      <c r="J266" s="1" t="str">
        <f aca="false">IF(A266="","", "SAMP-"&amp;A266&amp;"-L"&amp;TEXT(B266,"00")&amp;"-"&amp;TEXT(C266,"yyyymmdd")&amp;"-"&amp;D266&amp;"-H"&amp;TEXT(E266,"00")&amp;"-"&amp;H266)</f>
        <v>SAMP-KG01-L21-20251030-ORD-2025-00172-H16-Thin Wall</v>
      </c>
      <c r="K266" s="1" t="str">
        <f aca="false">IF(A266="","",IF(AND(G266&gt;=0,I266&gt;=0,I266&lt;=G266),"OK","CHECK"))</f>
        <v>OK</v>
      </c>
      <c r="L266" s="1" t="str">
        <f aca="false">IF(A266="","",IF(AND(E266&gt;=0,E266&lt;=23),"OK","CHECK"))</f>
        <v>OK</v>
      </c>
      <c r="M266" s="1" t="str">
        <f aca="false">IF(A266="","",IF(AND(K266="OK",L266="OK"),"OK","CHECK"))</f>
        <v>OK</v>
      </c>
    </row>
    <row r="267" customFormat="false" ht="18" hidden="false" customHeight="true" outlineLevel="0" collapsed="false">
      <c r="A267" s="9" t="s">
        <v>26</v>
      </c>
      <c r="B267" s="9" t="n">
        <v>21</v>
      </c>
      <c r="C267" s="11" t="n">
        <v>45960</v>
      </c>
      <c r="D267" s="9" t="s">
        <v>61</v>
      </c>
      <c r="E267" s="12" t="n">
        <v>23</v>
      </c>
      <c r="F267" s="9" t="s">
        <v>31</v>
      </c>
      <c r="G267" s="13" t="n">
        <v>50</v>
      </c>
      <c r="H267" s="9" t="s">
        <v>33</v>
      </c>
      <c r="I267" s="13" t="n">
        <v>2</v>
      </c>
      <c r="J267" s="1" t="str">
        <f aca="false">IF(A267="","", "SAMP-"&amp;A267&amp;"-L"&amp;TEXT(B267,"00")&amp;"-"&amp;TEXT(C267,"yyyymmdd")&amp;"-"&amp;D267&amp;"-H"&amp;TEXT(E267,"00")&amp;"-"&amp;H267)</f>
        <v>SAMP-KG01-L21-20251030-ORD-2025-00172-H23-Distortion</v>
      </c>
      <c r="K267" s="1" t="str">
        <f aca="false">IF(A267="","",IF(AND(G267&gt;=0,I267&gt;=0,I267&lt;=G267),"OK","CHECK"))</f>
        <v>OK</v>
      </c>
      <c r="L267" s="1" t="str">
        <f aca="false">IF(A267="","",IF(AND(E267&gt;=0,E267&lt;=23),"OK","CHECK"))</f>
        <v>OK</v>
      </c>
      <c r="M267" s="1" t="str">
        <f aca="false">IF(A267="","",IF(AND(K267="OK",L267="OK"),"OK","CHECK"))</f>
        <v>OK</v>
      </c>
    </row>
    <row r="268" customFormat="false" ht="18" hidden="false" customHeight="true" outlineLevel="0" collapsed="false">
      <c r="A268" s="9" t="s">
        <v>26</v>
      </c>
      <c r="B268" s="9" t="n">
        <v>21</v>
      </c>
      <c r="C268" s="11" t="n">
        <v>45960</v>
      </c>
      <c r="D268" s="9" t="s">
        <v>61</v>
      </c>
      <c r="E268" s="12" t="n">
        <v>20</v>
      </c>
      <c r="F268" s="9" t="s">
        <v>31</v>
      </c>
      <c r="G268" s="13" t="n">
        <v>150</v>
      </c>
      <c r="H268" s="9" t="s">
        <v>33</v>
      </c>
      <c r="I268" s="13" t="n">
        <v>7</v>
      </c>
      <c r="J268" s="1" t="str">
        <f aca="false">IF(A268="","", "SAMP-"&amp;A268&amp;"-L"&amp;TEXT(B268,"00")&amp;"-"&amp;TEXT(C268,"yyyymmdd")&amp;"-"&amp;D268&amp;"-H"&amp;TEXT(E268,"00")&amp;"-"&amp;H268)</f>
        <v>SAMP-KG01-L21-20251030-ORD-2025-00172-H20-Distortion</v>
      </c>
      <c r="K268" s="1" t="str">
        <f aca="false">IF(A268="","",IF(AND(G268&gt;=0,I268&gt;=0,I268&lt;=G268),"OK","CHECK"))</f>
        <v>OK</v>
      </c>
      <c r="L268" s="1" t="str">
        <f aca="false">IF(A268="","",IF(AND(E268&gt;=0,E268&lt;=23),"OK","CHECK"))</f>
        <v>OK</v>
      </c>
      <c r="M268" s="1" t="str">
        <f aca="false">IF(A268="","",IF(AND(K268="OK",L268="OK"),"OK","CHECK"))</f>
        <v>OK</v>
      </c>
    </row>
    <row r="269" customFormat="false" ht="18" hidden="false" customHeight="true" outlineLevel="0" collapsed="false">
      <c r="A269" s="9" t="s">
        <v>26</v>
      </c>
      <c r="B269" s="9" t="n">
        <v>21</v>
      </c>
      <c r="C269" s="11" t="n">
        <v>45961</v>
      </c>
      <c r="D269" s="9" t="s">
        <v>61</v>
      </c>
      <c r="E269" s="12" t="n">
        <v>12</v>
      </c>
      <c r="F269" s="9" t="s">
        <v>28</v>
      </c>
      <c r="G269" s="13" t="n">
        <v>150</v>
      </c>
      <c r="H269" s="9" t="s">
        <v>38</v>
      </c>
      <c r="I269" s="13" t="n">
        <v>4</v>
      </c>
      <c r="J269" s="1" t="str">
        <f aca="false">IF(A269="","", "SAMP-"&amp;A269&amp;"-L"&amp;TEXT(B269,"00")&amp;"-"&amp;TEXT(C269,"yyyymmdd")&amp;"-"&amp;D269&amp;"-H"&amp;TEXT(E269,"00")&amp;"-"&amp;H269)</f>
        <v>SAMP-KG01-L21-20251031-ORD-2025-00172-H12-Crack</v>
      </c>
      <c r="K269" s="1" t="str">
        <f aca="false">IF(A269="","",IF(AND(G269&gt;=0,I269&gt;=0,I269&lt;=G269),"OK","CHECK"))</f>
        <v>OK</v>
      </c>
      <c r="L269" s="1" t="str">
        <f aca="false">IF(A269="","",IF(AND(E269&gt;=0,E269&lt;=23),"OK","CHECK"))</f>
        <v>OK</v>
      </c>
      <c r="M269" s="1" t="str">
        <f aca="false">IF(A269="","",IF(AND(K269="OK",L269="OK"),"OK","CHECK"))</f>
        <v>OK</v>
      </c>
    </row>
    <row r="270" customFormat="false" ht="18" hidden="false" customHeight="true" outlineLevel="0" collapsed="false">
      <c r="A270" s="9" t="s">
        <v>26</v>
      </c>
      <c r="B270" s="9" t="n">
        <v>21</v>
      </c>
      <c r="C270" s="11" t="n">
        <v>45961</v>
      </c>
      <c r="D270" s="9" t="s">
        <v>61</v>
      </c>
      <c r="E270" s="12" t="n">
        <v>7</v>
      </c>
      <c r="F270" s="9" t="s">
        <v>28</v>
      </c>
      <c r="G270" s="13" t="n">
        <v>200</v>
      </c>
      <c r="H270" s="9" t="s">
        <v>35</v>
      </c>
      <c r="I270" s="13" t="n">
        <v>4</v>
      </c>
      <c r="J270" s="1" t="str">
        <f aca="false">IF(A270="","", "SAMP-"&amp;A270&amp;"-L"&amp;TEXT(B270,"00")&amp;"-"&amp;TEXT(C270,"yyyymmdd")&amp;"-"&amp;D270&amp;"-H"&amp;TEXT(E270,"00")&amp;"-"&amp;H270)</f>
        <v>SAMP-KG01-L21-20251031-ORD-2025-00172-H07-Stone</v>
      </c>
      <c r="K270" s="1" t="str">
        <f aca="false">IF(A270="","",IF(AND(G270&gt;=0,I270&gt;=0,I270&lt;=G270),"OK","CHECK"))</f>
        <v>OK</v>
      </c>
      <c r="L270" s="1" t="str">
        <f aca="false">IF(A270="","",IF(AND(E270&gt;=0,E270&lt;=23),"OK","CHECK"))</f>
        <v>OK</v>
      </c>
      <c r="M270" s="1" t="str">
        <f aca="false">IF(A270="","",IF(AND(K270="OK",L270="OK"),"OK","CHECK"))</f>
        <v>OK</v>
      </c>
    </row>
    <row r="271" customFormat="false" ht="18" hidden="false" customHeight="true" outlineLevel="0" collapsed="false">
      <c r="A271" s="9" t="s">
        <v>26</v>
      </c>
      <c r="B271" s="9" t="n">
        <v>21</v>
      </c>
      <c r="C271" s="11" t="n">
        <v>45961</v>
      </c>
      <c r="D271" s="9" t="s">
        <v>61</v>
      </c>
      <c r="E271" s="12" t="n">
        <v>9</v>
      </c>
      <c r="F271" s="9" t="s">
        <v>28</v>
      </c>
      <c r="G271" s="13" t="n">
        <v>50</v>
      </c>
      <c r="H271" s="9" t="s">
        <v>37</v>
      </c>
      <c r="I271" s="13" t="n">
        <v>1</v>
      </c>
      <c r="J271" s="1" t="str">
        <f aca="false">IF(A271="","", "SAMP-"&amp;A271&amp;"-L"&amp;TEXT(B271,"00")&amp;"-"&amp;TEXT(C271,"yyyymmdd")&amp;"-"&amp;D271&amp;"-H"&amp;TEXT(E271,"00")&amp;"-"&amp;H271)</f>
        <v>SAMP-KG01-L21-20251031-ORD-2025-00172-H09-Bird Swing</v>
      </c>
      <c r="K271" s="1" t="str">
        <f aca="false">IF(A271="","",IF(AND(G271&gt;=0,I271&gt;=0,I271&lt;=G271),"OK","CHECK"))</f>
        <v>OK</v>
      </c>
      <c r="L271" s="1" t="str">
        <f aca="false">IF(A271="","",IF(AND(E271&gt;=0,E271&lt;=23),"OK","CHECK"))</f>
        <v>OK</v>
      </c>
      <c r="M271" s="1" t="str">
        <f aca="false">IF(A271="","",IF(AND(K271="OK",L271="OK"),"OK","CHECK"))</f>
        <v>OK</v>
      </c>
    </row>
    <row r="272" customFormat="false" ht="18" hidden="false" customHeight="true" outlineLevel="0" collapsed="false">
      <c r="A272" s="9" t="s">
        <v>26</v>
      </c>
      <c r="B272" s="9" t="n">
        <v>21</v>
      </c>
      <c r="C272" s="11" t="n">
        <v>45961</v>
      </c>
      <c r="D272" s="9" t="s">
        <v>61</v>
      </c>
      <c r="E272" s="12" t="n">
        <v>20</v>
      </c>
      <c r="F272" s="9" t="s">
        <v>31</v>
      </c>
      <c r="G272" s="13" t="n">
        <v>150</v>
      </c>
      <c r="H272" s="9" t="s">
        <v>30</v>
      </c>
      <c r="I272" s="13" t="n">
        <v>4</v>
      </c>
      <c r="J272" s="1" t="str">
        <f aca="false">IF(A272="","", "SAMP-"&amp;A272&amp;"-L"&amp;TEXT(B272,"00")&amp;"-"&amp;TEXT(C272,"yyyymmdd")&amp;"-"&amp;D272&amp;"-H"&amp;TEXT(E272,"00")&amp;"-"&amp;H272)</f>
        <v>SAMP-KG01-L21-20251031-ORD-2025-00172-H20-Overpress</v>
      </c>
      <c r="K272" s="1" t="str">
        <f aca="false">IF(A272="","",IF(AND(G272&gt;=0,I272&gt;=0,I272&lt;=G272),"OK","CHECK"))</f>
        <v>OK</v>
      </c>
      <c r="L272" s="1" t="str">
        <f aca="false">IF(A272="","",IF(AND(E272&gt;=0,E272&lt;=23),"OK","CHECK"))</f>
        <v>OK</v>
      </c>
      <c r="M272" s="1" t="str">
        <f aca="false">IF(A272="","",IF(AND(K272="OK",L272="OK"),"OK","CHECK"))</f>
        <v>OK</v>
      </c>
    </row>
    <row r="273" customFormat="false" ht="18" hidden="false" customHeight="true" outlineLevel="0" collapsed="false">
      <c r="A273" s="9" t="s">
        <v>26</v>
      </c>
      <c r="B273" s="9" t="n">
        <v>21</v>
      </c>
      <c r="C273" s="11" t="n">
        <v>45961</v>
      </c>
      <c r="D273" s="9" t="s">
        <v>61</v>
      </c>
      <c r="E273" s="12" t="n">
        <v>23</v>
      </c>
      <c r="F273" s="9" t="s">
        <v>31</v>
      </c>
      <c r="G273" s="13" t="n">
        <v>100</v>
      </c>
      <c r="H273" s="9" t="s">
        <v>36</v>
      </c>
      <c r="I273" s="13" t="n">
        <v>2</v>
      </c>
      <c r="J273" s="1" t="str">
        <f aca="false">IF(A273="","", "SAMP-"&amp;A273&amp;"-L"&amp;TEXT(B273,"00")&amp;"-"&amp;TEXT(C273,"yyyymmdd")&amp;"-"&amp;D273&amp;"-H"&amp;TEXT(E273,"00")&amp;"-"&amp;H273)</f>
        <v>SAMP-KG01-L21-20251031-ORD-2025-00172-H23-Blister</v>
      </c>
      <c r="K273" s="1" t="str">
        <f aca="false">IF(A273="","",IF(AND(G273&gt;=0,I273&gt;=0,I273&lt;=G273),"OK","CHECK"))</f>
        <v>OK</v>
      </c>
      <c r="L273" s="1" t="str">
        <f aca="false">IF(A273="","",IF(AND(E273&gt;=0,E273&lt;=23),"OK","CHECK"))</f>
        <v>OK</v>
      </c>
      <c r="M273" s="1" t="str">
        <f aca="false">IF(A273="","",IF(AND(K273="OK",L273="OK"),"OK","CHECK"))</f>
        <v>OK</v>
      </c>
    </row>
    <row r="274" customFormat="false" ht="18" hidden="false" customHeight="true" outlineLevel="0" collapsed="false">
      <c r="A274" s="9" t="s">
        <v>26</v>
      </c>
      <c r="B274" s="9" t="n">
        <v>21</v>
      </c>
      <c r="C274" s="11" t="n">
        <v>45961</v>
      </c>
      <c r="D274" s="9" t="s">
        <v>61</v>
      </c>
      <c r="E274" s="12" t="n">
        <v>16</v>
      </c>
      <c r="F274" s="9" t="s">
        <v>31</v>
      </c>
      <c r="G274" s="13" t="n">
        <v>50</v>
      </c>
      <c r="H274" s="9" t="s">
        <v>38</v>
      </c>
      <c r="I274" s="13" t="n">
        <v>0</v>
      </c>
      <c r="J274" s="1" t="str">
        <f aca="false">IF(A274="","", "SAMP-"&amp;A274&amp;"-L"&amp;TEXT(B274,"00")&amp;"-"&amp;TEXT(C274,"yyyymmdd")&amp;"-"&amp;D274&amp;"-H"&amp;TEXT(E274,"00")&amp;"-"&amp;H274)</f>
        <v>SAMP-KG01-L21-20251031-ORD-2025-00172-H16-Crack</v>
      </c>
      <c r="K274" s="1" t="str">
        <f aca="false">IF(A274="","",IF(AND(G274&gt;=0,I274&gt;=0,I274&lt;=G274),"OK","CHECK"))</f>
        <v>OK</v>
      </c>
      <c r="L274" s="1" t="str">
        <f aca="false">IF(A274="","",IF(AND(E274&gt;=0,E274&lt;=23),"OK","CHECK"))</f>
        <v>OK</v>
      </c>
      <c r="M274" s="1" t="str">
        <f aca="false">IF(A274="","",IF(AND(K274="OK",L274="OK"),"OK","CHECK"))</f>
        <v>OK</v>
      </c>
    </row>
    <row r="275" customFormat="false" ht="18" hidden="false" customHeight="true" outlineLevel="0" collapsed="false">
      <c r="A275" s="9" t="s">
        <v>26</v>
      </c>
      <c r="B275" s="9" t="n">
        <v>21</v>
      </c>
      <c r="C275" s="11" t="n">
        <v>45962</v>
      </c>
      <c r="D275" s="9" t="s">
        <v>62</v>
      </c>
      <c r="E275" s="12" t="n">
        <v>9</v>
      </c>
      <c r="F275" s="9" t="s">
        <v>28</v>
      </c>
      <c r="G275" s="13" t="n">
        <v>200</v>
      </c>
      <c r="H275" s="9" t="s">
        <v>35</v>
      </c>
      <c r="I275" s="13" t="n">
        <v>0</v>
      </c>
      <c r="J275" s="1" t="str">
        <f aca="false">IF(A275="","", "SAMP-"&amp;A275&amp;"-L"&amp;TEXT(B275,"00")&amp;"-"&amp;TEXT(C275,"yyyymmdd")&amp;"-"&amp;D275&amp;"-H"&amp;TEXT(E275,"00")&amp;"-"&amp;H275)</f>
        <v>SAMP-KG01-L21-20251101-ORD-2025-00173-H09-Stone</v>
      </c>
      <c r="K275" s="1" t="str">
        <f aca="false">IF(A275="","",IF(AND(G275&gt;=0,I275&gt;=0,I275&lt;=G275),"OK","CHECK"))</f>
        <v>OK</v>
      </c>
      <c r="L275" s="1" t="str">
        <f aca="false">IF(A275="","",IF(AND(E275&gt;=0,E275&lt;=23),"OK","CHECK"))</f>
        <v>OK</v>
      </c>
      <c r="M275" s="1" t="str">
        <f aca="false">IF(A275="","",IF(AND(K275="OK",L275="OK"),"OK","CHECK"))</f>
        <v>OK</v>
      </c>
    </row>
    <row r="276" customFormat="false" ht="18" hidden="false" customHeight="true" outlineLevel="0" collapsed="false">
      <c r="A276" s="9" t="s">
        <v>26</v>
      </c>
      <c r="B276" s="9" t="n">
        <v>21</v>
      </c>
      <c r="C276" s="11" t="n">
        <v>45962</v>
      </c>
      <c r="D276" s="9" t="s">
        <v>62</v>
      </c>
      <c r="E276" s="12" t="n">
        <v>7</v>
      </c>
      <c r="F276" s="9" t="s">
        <v>28</v>
      </c>
      <c r="G276" s="13" t="n">
        <v>200</v>
      </c>
      <c r="H276" s="9" t="s">
        <v>38</v>
      </c>
      <c r="I276" s="13" t="n">
        <v>5</v>
      </c>
      <c r="J276" s="1" t="str">
        <f aca="false">IF(A276="","", "SAMP-"&amp;A276&amp;"-L"&amp;TEXT(B276,"00")&amp;"-"&amp;TEXT(C276,"yyyymmdd")&amp;"-"&amp;D276&amp;"-H"&amp;TEXT(E276,"00")&amp;"-"&amp;H276)</f>
        <v>SAMP-KG01-L21-20251101-ORD-2025-00173-H07-Crack</v>
      </c>
      <c r="K276" s="1" t="str">
        <f aca="false">IF(A276="","",IF(AND(G276&gt;=0,I276&gt;=0,I276&lt;=G276),"OK","CHECK"))</f>
        <v>OK</v>
      </c>
      <c r="L276" s="1" t="str">
        <f aca="false">IF(A276="","",IF(AND(E276&gt;=0,E276&lt;=23),"OK","CHECK"))</f>
        <v>OK</v>
      </c>
      <c r="M276" s="1" t="str">
        <f aca="false">IF(A276="","",IF(AND(K276="OK",L276="OK"),"OK","CHECK"))</f>
        <v>OK</v>
      </c>
    </row>
    <row r="277" customFormat="false" ht="18" hidden="false" customHeight="true" outlineLevel="0" collapsed="false">
      <c r="A277" s="9" t="s">
        <v>26</v>
      </c>
      <c r="B277" s="9" t="n">
        <v>21</v>
      </c>
      <c r="C277" s="11" t="n">
        <v>45962</v>
      </c>
      <c r="D277" s="9" t="s">
        <v>62</v>
      </c>
      <c r="E277" s="12" t="n">
        <v>16</v>
      </c>
      <c r="F277" s="9" t="s">
        <v>31</v>
      </c>
      <c r="G277" s="13" t="n">
        <v>100</v>
      </c>
      <c r="H277" s="9" t="s">
        <v>29</v>
      </c>
      <c r="I277" s="13" t="n">
        <v>1</v>
      </c>
      <c r="J277" s="1" t="str">
        <f aca="false">IF(A277="","", "SAMP-"&amp;A277&amp;"-L"&amp;TEXT(B277,"00")&amp;"-"&amp;TEXT(C277,"yyyymmdd")&amp;"-"&amp;D277&amp;"-H"&amp;TEXT(E277,"00")&amp;"-"&amp;H277)</f>
        <v>SAMP-KG01-L21-20251101-ORD-2025-00173-H16-Choke Neck</v>
      </c>
      <c r="K277" s="1" t="str">
        <f aca="false">IF(A277="","",IF(AND(G277&gt;=0,I277&gt;=0,I277&lt;=G277),"OK","CHECK"))</f>
        <v>OK</v>
      </c>
      <c r="L277" s="1" t="str">
        <f aca="false">IF(A277="","",IF(AND(E277&gt;=0,E277&lt;=23),"OK","CHECK"))</f>
        <v>OK</v>
      </c>
      <c r="M277" s="1" t="str">
        <f aca="false">IF(A277="","",IF(AND(K277="OK",L277="OK"),"OK","CHECK"))</f>
        <v>OK</v>
      </c>
    </row>
    <row r="278" customFormat="false" ht="18" hidden="false" customHeight="true" outlineLevel="0" collapsed="false">
      <c r="A278" s="9" t="s">
        <v>26</v>
      </c>
      <c r="B278" s="9" t="n">
        <v>21</v>
      </c>
      <c r="C278" s="11" t="n">
        <v>45962</v>
      </c>
      <c r="D278" s="9" t="s">
        <v>62</v>
      </c>
      <c r="E278" s="12" t="n">
        <v>23</v>
      </c>
      <c r="F278" s="9" t="s">
        <v>31</v>
      </c>
      <c r="G278" s="13" t="n">
        <v>150</v>
      </c>
      <c r="H278" s="9" t="s">
        <v>41</v>
      </c>
      <c r="I278" s="13" t="n">
        <v>1</v>
      </c>
      <c r="J278" s="1" t="str">
        <f aca="false">IF(A278="","", "SAMP-"&amp;A278&amp;"-L"&amp;TEXT(B278,"00")&amp;"-"&amp;TEXT(C278,"yyyymmdd")&amp;"-"&amp;D278&amp;"-H"&amp;TEXT(E278,"00")&amp;"-"&amp;H278)</f>
        <v>SAMP-KG01-L21-20251101-ORD-2025-00173-H23-Chip</v>
      </c>
      <c r="K278" s="1" t="str">
        <f aca="false">IF(A278="","",IF(AND(G278&gt;=0,I278&gt;=0,I278&lt;=G278),"OK","CHECK"))</f>
        <v>OK</v>
      </c>
      <c r="L278" s="1" t="str">
        <f aca="false">IF(A278="","",IF(AND(E278&gt;=0,E278&lt;=23),"OK","CHECK"))</f>
        <v>OK</v>
      </c>
      <c r="M278" s="1" t="str">
        <f aca="false">IF(A278="","",IF(AND(K278="OK",L278="OK"),"OK","CHECK"))</f>
        <v>OK</v>
      </c>
    </row>
    <row r="279" customFormat="false" ht="18" hidden="false" customHeight="true" outlineLevel="0" collapsed="false">
      <c r="A279" s="9" t="s">
        <v>26</v>
      </c>
      <c r="B279" s="9" t="n">
        <v>21</v>
      </c>
      <c r="C279" s="11" t="n">
        <v>45962</v>
      </c>
      <c r="D279" s="9" t="s">
        <v>62</v>
      </c>
      <c r="E279" s="12" t="n">
        <v>20</v>
      </c>
      <c r="F279" s="9" t="s">
        <v>31</v>
      </c>
      <c r="G279" s="13" t="n">
        <v>100</v>
      </c>
      <c r="H279" s="9" t="s">
        <v>41</v>
      </c>
      <c r="I279" s="13" t="n">
        <v>1</v>
      </c>
      <c r="J279" s="1" t="str">
        <f aca="false">IF(A279="","", "SAMP-"&amp;A279&amp;"-L"&amp;TEXT(B279,"00")&amp;"-"&amp;TEXT(C279,"yyyymmdd")&amp;"-"&amp;D279&amp;"-H"&amp;TEXT(E279,"00")&amp;"-"&amp;H279)</f>
        <v>SAMP-KG01-L21-20251101-ORD-2025-00173-H20-Chip</v>
      </c>
      <c r="K279" s="1" t="str">
        <f aca="false">IF(A279="","",IF(AND(G279&gt;=0,I279&gt;=0,I279&lt;=G279),"OK","CHECK"))</f>
        <v>OK</v>
      </c>
      <c r="L279" s="1" t="str">
        <f aca="false">IF(A279="","",IF(AND(E279&gt;=0,E279&lt;=23),"OK","CHECK"))</f>
        <v>OK</v>
      </c>
      <c r="M279" s="1" t="str">
        <f aca="false">IF(A279="","",IF(AND(K279="OK",L279="OK"),"OK","CHECK"))</f>
        <v>OK</v>
      </c>
    </row>
    <row r="280" customFormat="false" ht="18" hidden="false" customHeight="true" outlineLevel="0" collapsed="false">
      <c r="A280" s="9" t="s">
        <v>26</v>
      </c>
      <c r="B280" s="9" t="n">
        <v>21</v>
      </c>
      <c r="C280" s="11" t="n">
        <v>45963</v>
      </c>
      <c r="D280" s="9" t="s">
        <v>62</v>
      </c>
      <c r="E280" s="12" t="n">
        <v>7</v>
      </c>
      <c r="F280" s="9" t="s">
        <v>28</v>
      </c>
      <c r="G280" s="13" t="n">
        <v>50</v>
      </c>
      <c r="H280" s="9" t="s">
        <v>29</v>
      </c>
      <c r="I280" s="13" t="n">
        <v>2</v>
      </c>
      <c r="J280" s="1" t="str">
        <f aca="false">IF(A280="","", "SAMP-"&amp;A280&amp;"-L"&amp;TEXT(B280,"00")&amp;"-"&amp;TEXT(C280,"yyyymmdd")&amp;"-"&amp;D280&amp;"-H"&amp;TEXT(E280,"00")&amp;"-"&amp;H280)</f>
        <v>SAMP-KG01-L21-20251102-ORD-2025-00173-H07-Choke Neck</v>
      </c>
      <c r="K280" s="1" t="str">
        <f aca="false">IF(A280="","",IF(AND(G280&gt;=0,I280&gt;=0,I280&lt;=G280),"OK","CHECK"))</f>
        <v>OK</v>
      </c>
      <c r="L280" s="1" t="str">
        <f aca="false">IF(A280="","",IF(AND(E280&gt;=0,E280&lt;=23),"OK","CHECK"))</f>
        <v>OK</v>
      </c>
      <c r="M280" s="1" t="str">
        <f aca="false">IF(A280="","",IF(AND(K280="OK",L280="OK"),"OK","CHECK"))</f>
        <v>OK</v>
      </c>
    </row>
    <row r="281" customFormat="false" ht="18" hidden="false" customHeight="true" outlineLevel="0" collapsed="false">
      <c r="A281" s="9" t="s">
        <v>26</v>
      </c>
      <c r="B281" s="9" t="n">
        <v>21</v>
      </c>
      <c r="C281" s="11" t="n">
        <v>45963</v>
      </c>
      <c r="D281" s="9" t="s">
        <v>62</v>
      </c>
      <c r="E281" s="12" t="n">
        <v>9</v>
      </c>
      <c r="F281" s="9" t="s">
        <v>28</v>
      </c>
      <c r="G281" s="13" t="n">
        <v>150</v>
      </c>
      <c r="H281" s="9" t="s">
        <v>30</v>
      </c>
      <c r="I281" s="13" t="n">
        <v>4</v>
      </c>
      <c r="J281" s="1" t="str">
        <f aca="false">IF(A281="","", "SAMP-"&amp;A281&amp;"-L"&amp;TEXT(B281,"00")&amp;"-"&amp;TEXT(C281,"yyyymmdd")&amp;"-"&amp;D281&amp;"-H"&amp;TEXT(E281,"00")&amp;"-"&amp;H281)</f>
        <v>SAMP-KG01-L21-20251102-ORD-2025-00173-H09-Overpress</v>
      </c>
      <c r="K281" s="1" t="str">
        <f aca="false">IF(A281="","",IF(AND(G281&gt;=0,I281&gt;=0,I281&lt;=G281),"OK","CHECK"))</f>
        <v>OK</v>
      </c>
      <c r="L281" s="1" t="str">
        <f aca="false">IF(A281="","",IF(AND(E281&gt;=0,E281&lt;=23),"OK","CHECK"))</f>
        <v>OK</v>
      </c>
      <c r="M281" s="1" t="str">
        <f aca="false">IF(A281="","",IF(AND(K281="OK",L281="OK"),"OK","CHECK"))</f>
        <v>OK</v>
      </c>
    </row>
    <row r="282" customFormat="false" ht="18" hidden="false" customHeight="true" outlineLevel="0" collapsed="false">
      <c r="A282" s="9" t="s">
        <v>26</v>
      </c>
      <c r="B282" s="9" t="n">
        <v>21</v>
      </c>
      <c r="C282" s="11" t="n">
        <v>45963</v>
      </c>
      <c r="D282" s="9" t="s">
        <v>62</v>
      </c>
      <c r="E282" s="12" t="n">
        <v>12</v>
      </c>
      <c r="F282" s="9" t="s">
        <v>28</v>
      </c>
      <c r="G282" s="13" t="n">
        <v>200</v>
      </c>
      <c r="H282" s="9" t="s">
        <v>34</v>
      </c>
      <c r="I282" s="13" t="n">
        <v>10</v>
      </c>
      <c r="J282" s="1" t="str">
        <f aca="false">IF(A282="","", "SAMP-"&amp;A282&amp;"-L"&amp;TEXT(B282,"00")&amp;"-"&amp;TEXT(C282,"yyyymmdd")&amp;"-"&amp;D282&amp;"-H"&amp;TEXT(E282,"00")&amp;"-"&amp;H282)</f>
        <v>SAMP-KG01-L21-20251102-ORD-2025-00173-H12-Thin Wall</v>
      </c>
      <c r="K282" s="1" t="str">
        <f aca="false">IF(A282="","",IF(AND(G282&gt;=0,I282&gt;=0,I282&lt;=G282),"OK","CHECK"))</f>
        <v>OK</v>
      </c>
      <c r="L282" s="1" t="str">
        <f aca="false">IF(A282="","",IF(AND(E282&gt;=0,E282&lt;=23),"OK","CHECK"))</f>
        <v>OK</v>
      </c>
      <c r="M282" s="1" t="str">
        <f aca="false">IF(A282="","",IF(AND(K282="OK",L282="OK"),"OK","CHECK"))</f>
        <v>OK</v>
      </c>
    </row>
    <row r="283" customFormat="false" ht="18" hidden="false" customHeight="true" outlineLevel="0" collapsed="false">
      <c r="A283" s="9" t="s">
        <v>26</v>
      </c>
      <c r="B283" s="9" t="n">
        <v>21</v>
      </c>
      <c r="C283" s="11" t="n">
        <v>45963</v>
      </c>
      <c r="D283" s="9" t="s">
        <v>62</v>
      </c>
      <c r="E283" s="12" t="n">
        <v>20</v>
      </c>
      <c r="F283" s="9" t="s">
        <v>31</v>
      </c>
      <c r="G283" s="13" t="n">
        <v>200</v>
      </c>
      <c r="H283" s="9" t="s">
        <v>36</v>
      </c>
      <c r="I283" s="13" t="n">
        <v>2</v>
      </c>
      <c r="J283" s="1" t="str">
        <f aca="false">IF(A283="","", "SAMP-"&amp;A283&amp;"-L"&amp;TEXT(B283,"00")&amp;"-"&amp;TEXT(C283,"yyyymmdd")&amp;"-"&amp;D283&amp;"-H"&amp;TEXT(E283,"00")&amp;"-"&amp;H283)</f>
        <v>SAMP-KG01-L21-20251102-ORD-2025-00173-H20-Blister</v>
      </c>
      <c r="K283" s="1" t="str">
        <f aca="false">IF(A283="","",IF(AND(G283&gt;=0,I283&gt;=0,I283&lt;=G283),"OK","CHECK"))</f>
        <v>OK</v>
      </c>
      <c r="L283" s="1" t="str">
        <f aca="false">IF(A283="","",IF(AND(E283&gt;=0,E283&lt;=23),"OK","CHECK"))</f>
        <v>OK</v>
      </c>
      <c r="M283" s="1" t="str">
        <f aca="false">IF(A283="","",IF(AND(K283="OK",L283="OK"),"OK","CHECK"))</f>
        <v>OK</v>
      </c>
    </row>
    <row r="284" customFormat="false" ht="18" hidden="false" customHeight="true" outlineLevel="0" collapsed="false">
      <c r="A284" s="9" t="s">
        <v>26</v>
      </c>
      <c r="B284" s="9" t="n">
        <v>21</v>
      </c>
      <c r="C284" s="11" t="n">
        <v>45963</v>
      </c>
      <c r="D284" s="9" t="s">
        <v>62</v>
      </c>
      <c r="E284" s="12" t="n">
        <v>16</v>
      </c>
      <c r="F284" s="9" t="s">
        <v>31</v>
      </c>
      <c r="G284" s="13" t="n">
        <v>50</v>
      </c>
      <c r="H284" s="9" t="s">
        <v>29</v>
      </c>
      <c r="I284" s="13" t="n">
        <v>1</v>
      </c>
      <c r="J284" s="1" t="str">
        <f aca="false">IF(A284="","", "SAMP-"&amp;A284&amp;"-L"&amp;TEXT(B284,"00")&amp;"-"&amp;TEXT(C284,"yyyymmdd")&amp;"-"&amp;D284&amp;"-H"&amp;TEXT(E284,"00")&amp;"-"&amp;H284)</f>
        <v>SAMP-KG01-L21-20251102-ORD-2025-00173-H16-Choke Neck</v>
      </c>
      <c r="K284" s="1" t="str">
        <f aca="false">IF(A284="","",IF(AND(G284&gt;=0,I284&gt;=0,I284&lt;=G284),"OK","CHECK"))</f>
        <v>OK</v>
      </c>
      <c r="L284" s="1" t="str">
        <f aca="false">IF(A284="","",IF(AND(E284&gt;=0,E284&lt;=23),"OK","CHECK"))</f>
        <v>OK</v>
      </c>
      <c r="M284" s="1" t="str">
        <f aca="false">IF(A284="","",IF(AND(K284="OK",L284="OK"),"OK","CHECK"))</f>
        <v>OK</v>
      </c>
    </row>
    <row r="285" customFormat="false" ht="18" hidden="false" customHeight="true" outlineLevel="0" collapsed="false">
      <c r="A285" s="9" t="s">
        <v>26</v>
      </c>
      <c r="B285" s="9" t="n">
        <v>21</v>
      </c>
      <c r="C285" s="11" t="n">
        <v>45964</v>
      </c>
      <c r="D285" s="9" t="s">
        <v>62</v>
      </c>
      <c r="E285" s="12" t="n">
        <v>9</v>
      </c>
      <c r="F285" s="9" t="s">
        <v>28</v>
      </c>
      <c r="G285" s="13" t="n">
        <v>150</v>
      </c>
      <c r="H285" s="9" t="s">
        <v>35</v>
      </c>
      <c r="I285" s="13" t="n">
        <v>1</v>
      </c>
      <c r="J285" s="1" t="str">
        <f aca="false">IF(A285="","", "SAMP-"&amp;A285&amp;"-L"&amp;TEXT(B285,"00")&amp;"-"&amp;TEXT(C285,"yyyymmdd")&amp;"-"&amp;D285&amp;"-H"&amp;TEXT(E285,"00")&amp;"-"&amp;H285)</f>
        <v>SAMP-KG01-L21-20251103-ORD-2025-00173-H09-Stone</v>
      </c>
      <c r="K285" s="1" t="str">
        <f aca="false">IF(A285="","",IF(AND(G285&gt;=0,I285&gt;=0,I285&lt;=G285),"OK","CHECK"))</f>
        <v>OK</v>
      </c>
      <c r="L285" s="1" t="str">
        <f aca="false">IF(A285="","",IF(AND(E285&gt;=0,E285&lt;=23),"OK","CHECK"))</f>
        <v>OK</v>
      </c>
      <c r="M285" s="1" t="str">
        <f aca="false">IF(A285="","",IF(AND(K285="OK",L285="OK"),"OK","CHECK"))</f>
        <v>OK</v>
      </c>
    </row>
    <row r="286" customFormat="false" ht="18" hidden="false" customHeight="true" outlineLevel="0" collapsed="false">
      <c r="A286" s="9" t="s">
        <v>26</v>
      </c>
      <c r="B286" s="9" t="n">
        <v>21</v>
      </c>
      <c r="C286" s="11" t="n">
        <v>45964</v>
      </c>
      <c r="D286" s="9" t="s">
        <v>62</v>
      </c>
      <c r="E286" s="12" t="n">
        <v>12</v>
      </c>
      <c r="F286" s="9" t="s">
        <v>28</v>
      </c>
      <c r="G286" s="13" t="n">
        <v>50</v>
      </c>
      <c r="H286" s="9" t="s">
        <v>34</v>
      </c>
      <c r="I286" s="13" t="n">
        <v>2</v>
      </c>
      <c r="J286" s="1" t="str">
        <f aca="false">IF(A286="","", "SAMP-"&amp;A286&amp;"-L"&amp;TEXT(B286,"00")&amp;"-"&amp;TEXT(C286,"yyyymmdd")&amp;"-"&amp;D286&amp;"-H"&amp;TEXT(E286,"00")&amp;"-"&amp;H286)</f>
        <v>SAMP-KG01-L21-20251103-ORD-2025-00173-H12-Thin Wall</v>
      </c>
      <c r="K286" s="1" t="str">
        <f aca="false">IF(A286="","",IF(AND(G286&gt;=0,I286&gt;=0,I286&lt;=G286),"OK","CHECK"))</f>
        <v>OK</v>
      </c>
      <c r="L286" s="1" t="str">
        <f aca="false">IF(A286="","",IF(AND(E286&gt;=0,E286&lt;=23),"OK","CHECK"))</f>
        <v>OK</v>
      </c>
      <c r="M286" s="1" t="str">
        <f aca="false">IF(A286="","",IF(AND(K286="OK",L286="OK"),"OK","CHECK"))</f>
        <v>OK</v>
      </c>
    </row>
    <row r="287" customFormat="false" ht="18" hidden="false" customHeight="true" outlineLevel="0" collapsed="false">
      <c r="A287" s="9" t="s">
        <v>26</v>
      </c>
      <c r="B287" s="9" t="n">
        <v>21</v>
      </c>
      <c r="C287" s="11" t="n">
        <v>45964</v>
      </c>
      <c r="D287" s="9" t="s">
        <v>63</v>
      </c>
      <c r="E287" s="12" t="n">
        <v>23</v>
      </c>
      <c r="F287" s="9" t="s">
        <v>31</v>
      </c>
      <c r="G287" s="13" t="n">
        <v>100</v>
      </c>
      <c r="H287" s="9" t="s">
        <v>30</v>
      </c>
      <c r="I287" s="13" t="n">
        <v>2</v>
      </c>
      <c r="J287" s="1" t="str">
        <f aca="false">IF(A287="","", "SAMP-"&amp;A287&amp;"-L"&amp;TEXT(B287,"00")&amp;"-"&amp;TEXT(C287,"yyyymmdd")&amp;"-"&amp;D287&amp;"-H"&amp;TEXT(E287,"00")&amp;"-"&amp;H287)</f>
        <v>SAMP-KG01-L21-20251103-ORD-2025-00174-H23-Overpress</v>
      </c>
      <c r="K287" s="1" t="str">
        <f aca="false">IF(A287="","",IF(AND(G287&gt;=0,I287&gt;=0,I287&lt;=G287),"OK","CHECK"))</f>
        <v>OK</v>
      </c>
      <c r="L287" s="1" t="str">
        <f aca="false">IF(A287="","",IF(AND(E287&gt;=0,E287&lt;=23),"OK","CHECK"))</f>
        <v>OK</v>
      </c>
      <c r="M287" s="1" t="str">
        <f aca="false">IF(A287="","",IF(AND(K287="OK",L287="OK"),"OK","CHECK"))</f>
        <v>OK</v>
      </c>
    </row>
    <row r="288" customFormat="false" ht="18" hidden="false" customHeight="true" outlineLevel="0" collapsed="false">
      <c r="A288" s="9" t="s">
        <v>26</v>
      </c>
      <c r="B288" s="9" t="n">
        <v>21</v>
      </c>
      <c r="C288" s="11" t="n">
        <v>45964</v>
      </c>
      <c r="D288" s="9" t="s">
        <v>63</v>
      </c>
      <c r="E288" s="12" t="n">
        <v>20</v>
      </c>
      <c r="F288" s="9" t="s">
        <v>31</v>
      </c>
      <c r="G288" s="13" t="n">
        <v>150</v>
      </c>
      <c r="H288" s="9" t="s">
        <v>38</v>
      </c>
      <c r="I288" s="13" t="n">
        <v>2</v>
      </c>
      <c r="J288" s="1" t="str">
        <f aca="false">IF(A288="","", "SAMP-"&amp;A288&amp;"-L"&amp;TEXT(B288,"00")&amp;"-"&amp;TEXT(C288,"yyyymmdd")&amp;"-"&amp;D288&amp;"-H"&amp;TEXT(E288,"00")&amp;"-"&amp;H288)</f>
        <v>SAMP-KG01-L21-20251103-ORD-2025-00174-H20-Crack</v>
      </c>
      <c r="K288" s="1" t="str">
        <f aca="false">IF(A288="","",IF(AND(G288&gt;=0,I288&gt;=0,I288&lt;=G288),"OK","CHECK"))</f>
        <v>OK</v>
      </c>
      <c r="L288" s="1" t="str">
        <f aca="false">IF(A288="","",IF(AND(E288&gt;=0,E288&lt;=23),"OK","CHECK"))</f>
        <v>OK</v>
      </c>
      <c r="M288" s="1" t="str">
        <f aca="false">IF(A288="","",IF(AND(K288="OK",L288="OK"),"OK","CHECK"))</f>
        <v>OK</v>
      </c>
    </row>
    <row r="289" customFormat="false" ht="18" hidden="false" customHeight="true" outlineLevel="0" collapsed="false">
      <c r="A289" s="9" t="s">
        <v>26</v>
      </c>
      <c r="B289" s="9" t="n">
        <v>21</v>
      </c>
      <c r="C289" s="11" t="n">
        <v>45964</v>
      </c>
      <c r="D289" s="9" t="s">
        <v>63</v>
      </c>
      <c r="E289" s="12" t="n">
        <v>16</v>
      </c>
      <c r="F289" s="9" t="s">
        <v>31</v>
      </c>
      <c r="G289" s="13" t="n">
        <v>100</v>
      </c>
      <c r="H289" s="9" t="s">
        <v>34</v>
      </c>
      <c r="I289" s="13" t="n">
        <v>4</v>
      </c>
      <c r="J289" s="1" t="str">
        <f aca="false">IF(A289="","", "SAMP-"&amp;A289&amp;"-L"&amp;TEXT(B289,"00")&amp;"-"&amp;TEXT(C289,"yyyymmdd")&amp;"-"&amp;D289&amp;"-H"&amp;TEXT(E289,"00")&amp;"-"&amp;H289)</f>
        <v>SAMP-KG01-L21-20251103-ORD-2025-00174-H16-Thin Wall</v>
      </c>
      <c r="K289" s="1" t="str">
        <f aca="false">IF(A289="","",IF(AND(G289&gt;=0,I289&gt;=0,I289&lt;=G289),"OK","CHECK"))</f>
        <v>OK</v>
      </c>
      <c r="L289" s="1" t="str">
        <f aca="false">IF(A289="","",IF(AND(E289&gt;=0,E289&lt;=23),"OK","CHECK"))</f>
        <v>OK</v>
      </c>
      <c r="M289" s="1" t="str">
        <f aca="false">IF(A289="","",IF(AND(K289="OK",L289="OK"),"OK","CHECK"))</f>
        <v>OK</v>
      </c>
    </row>
    <row r="290" customFormat="false" ht="18" hidden="false" customHeight="true" outlineLevel="0" collapsed="false">
      <c r="A290" s="9" t="s">
        <v>26</v>
      </c>
      <c r="B290" s="9" t="n">
        <v>21</v>
      </c>
      <c r="C290" s="11" t="n">
        <v>45965</v>
      </c>
      <c r="D290" s="9" t="s">
        <v>63</v>
      </c>
      <c r="E290" s="12" t="n">
        <v>7</v>
      </c>
      <c r="F290" s="9" t="s">
        <v>28</v>
      </c>
      <c r="G290" s="13" t="n">
        <v>100</v>
      </c>
      <c r="H290" s="9" t="s">
        <v>30</v>
      </c>
      <c r="I290" s="13" t="n">
        <v>3</v>
      </c>
      <c r="J290" s="1" t="str">
        <f aca="false">IF(A290="","", "SAMP-"&amp;A290&amp;"-L"&amp;TEXT(B290,"00")&amp;"-"&amp;TEXT(C290,"yyyymmdd")&amp;"-"&amp;D290&amp;"-H"&amp;TEXT(E290,"00")&amp;"-"&amp;H290)</f>
        <v>SAMP-KG01-L21-20251104-ORD-2025-00174-H07-Overpress</v>
      </c>
      <c r="K290" s="1" t="str">
        <f aca="false">IF(A290="","",IF(AND(G290&gt;=0,I290&gt;=0,I290&lt;=G290),"OK","CHECK"))</f>
        <v>OK</v>
      </c>
      <c r="L290" s="1" t="str">
        <f aca="false">IF(A290="","",IF(AND(E290&gt;=0,E290&lt;=23),"OK","CHECK"))</f>
        <v>OK</v>
      </c>
      <c r="M290" s="1" t="str">
        <f aca="false">IF(A290="","",IF(AND(K290="OK",L290="OK"),"OK","CHECK"))</f>
        <v>OK</v>
      </c>
    </row>
    <row r="291" customFormat="false" ht="18" hidden="false" customHeight="true" outlineLevel="0" collapsed="false">
      <c r="A291" s="9" t="s">
        <v>26</v>
      </c>
      <c r="B291" s="9" t="n">
        <v>21</v>
      </c>
      <c r="C291" s="11" t="n">
        <v>45965</v>
      </c>
      <c r="D291" s="9" t="s">
        <v>63</v>
      </c>
      <c r="E291" s="12" t="n">
        <v>12</v>
      </c>
      <c r="F291" s="9" t="s">
        <v>28</v>
      </c>
      <c r="G291" s="13" t="n">
        <v>150</v>
      </c>
      <c r="H291" s="9" t="s">
        <v>36</v>
      </c>
      <c r="I291" s="13" t="n">
        <v>2</v>
      </c>
      <c r="J291" s="1" t="str">
        <f aca="false">IF(A291="","", "SAMP-"&amp;A291&amp;"-L"&amp;TEXT(B291,"00")&amp;"-"&amp;TEXT(C291,"yyyymmdd")&amp;"-"&amp;D291&amp;"-H"&amp;TEXT(E291,"00")&amp;"-"&amp;H291)</f>
        <v>SAMP-KG01-L21-20251104-ORD-2025-00174-H12-Blister</v>
      </c>
      <c r="K291" s="1" t="str">
        <f aca="false">IF(A291="","",IF(AND(G291&gt;=0,I291&gt;=0,I291&lt;=G291),"OK","CHECK"))</f>
        <v>OK</v>
      </c>
      <c r="L291" s="1" t="str">
        <f aca="false">IF(A291="","",IF(AND(E291&gt;=0,E291&lt;=23),"OK","CHECK"))</f>
        <v>OK</v>
      </c>
      <c r="M291" s="1" t="str">
        <f aca="false">IF(A291="","",IF(AND(K291="OK",L291="OK"),"OK","CHECK"))</f>
        <v>OK</v>
      </c>
    </row>
    <row r="292" customFormat="false" ht="18" hidden="false" customHeight="true" outlineLevel="0" collapsed="false">
      <c r="A292" s="9" t="s">
        <v>26</v>
      </c>
      <c r="B292" s="9" t="n">
        <v>21</v>
      </c>
      <c r="C292" s="11" t="n">
        <v>45965</v>
      </c>
      <c r="D292" s="9" t="s">
        <v>63</v>
      </c>
      <c r="E292" s="12" t="n">
        <v>9</v>
      </c>
      <c r="F292" s="9" t="s">
        <v>28</v>
      </c>
      <c r="G292" s="13" t="n">
        <v>150</v>
      </c>
      <c r="H292" s="9" t="s">
        <v>33</v>
      </c>
      <c r="I292" s="13" t="n">
        <v>4</v>
      </c>
      <c r="J292" s="1" t="str">
        <f aca="false">IF(A292="","", "SAMP-"&amp;A292&amp;"-L"&amp;TEXT(B292,"00")&amp;"-"&amp;TEXT(C292,"yyyymmdd")&amp;"-"&amp;D292&amp;"-H"&amp;TEXT(E292,"00")&amp;"-"&amp;H292)</f>
        <v>SAMP-KG01-L21-20251104-ORD-2025-00174-H09-Distortion</v>
      </c>
      <c r="K292" s="1" t="str">
        <f aca="false">IF(A292="","",IF(AND(G292&gt;=0,I292&gt;=0,I292&lt;=G292),"OK","CHECK"))</f>
        <v>OK</v>
      </c>
      <c r="L292" s="1" t="str">
        <f aca="false">IF(A292="","",IF(AND(E292&gt;=0,E292&lt;=23),"OK","CHECK"))</f>
        <v>OK</v>
      </c>
      <c r="M292" s="1" t="str">
        <f aca="false">IF(A292="","",IF(AND(K292="OK",L292="OK"),"OK","CHECK"))</f>
        <v>OK</v>
      </c>
    </row>
    <row r="293" customFormat="false" ht="18" hidden="false" customHeight="true" outlineLevel="0" collapsed="false">
      <c r="A293" s="9" t="s">
        <v>26</v>
      </c>
      <c r="B293" s="9" t="n">
        <v>21</v>
      </c>
      <c r="C293" s="11" t="n">
        <v>45965</v>
      </c>
      <c r="D293" s="9" t="s">
        <v>63</v>
      </c>
      <c r="E293" s="12" t="n">
        <v>23</v>
      </c>
      <c r="F293" s="9" t="s">
        <v>31</v>
      </c>
      <c r="G293" s="13" t="n">
        <v>100</v>
      </c>
      <c r="H293" s="9" t="s">
        <v>41</v>
      </c>
      <c r="I293" s="13" t="n">
        <v>0</v>
      </c>
      <c r="J293" s="1" t="str">
        <f aca="false">IF(A293="","", "SAMP-"&amp;A293&amp;"-L"&amp;TEXT(B293,"00")&amp;"-"&amp;TEXT(C293,"yyyymmdd")&amp;"-"&amp;D293&amp;"-H"&amp;TEXT(E293,"00")&amp;"-"&amp;H293)</f>
        <v>SAMP-KG01-L21-20251104-ORD-2025-00174-H23-Chip</v>
      </c>
      <c r="K293" s="1" t="str">
        <f aca="false">IF(A293="","",IF(AND(G293&gt;=0,I293&gt;=0,I293&lt;=G293),"OK","CHECK"))</f>
        <v>OK</v>
      </c>
      <c r="L293" s="1" t="str">
        <f aca="false">IF(A293="","",IF(AND(E293&gt;=0,E293&lt;=23),"OK","CHECK"))</f>
        <v>OK</v>
      </c>
      <c r="M293" s="1" t="str">
        <f aca="false">IF(A293="","",IF(AND(K293="OK",L293="OK"),"OK","CHECK"))</f>
        <v>OK</v>
      </c>
    </row>
    <row r="294" customFormat="false" ht="18" hidden="false" customHeight="true" outlineLevel="0" collapsed="false">
      <c r="A294" s="9" t="s">
        <v>26</v>
      </c>
      <c r="B294" s="9" t="n">
        <v>21</v>
      </c>
      <c r="C294" s="11" t="n">
        <v>45965</v>
      </c>
      <c r="D294" s="9" t="s">
        <v>63</v>
      </c>
      <c r="E294" s="12" t="n">
        <v>20</v>
      </c>
      <c r="F294" s="9" t="s">
        <v>31</v>
      </c>
      <c r="G294" s="13" t="n">
        <v>50</v>
      </c>
      <c r="H294" s="9" t="s">
        <v>29</v>
      </c>
      <c r="I294" s="13" t="n">
        <v>1</v>
      </c>
      <c r="J294" s="1" t="str">
        <f aca="false">IF(A294="","", "SAMP-"&amp;A294&amp;"-L"&amp;TEXT(B294,"00")&amp;"-"&amp;TEXT(C294,"yyyymmdd")&amp;"-"&amp;D294&amp;"-H"&amp;TEXT(E294,"00")&amp;"-"&amp;H294)</f>
        <v>SAMP-KG01-L21-20251104-ORD-2025-00174-H20-Choke Neck</v>
      </c>
      <c r="K294" s="1" t="str">
        <f aca="false">IF(A294="","",IF(AND(G294&gt;=0,I294&gt;=0,I294&lt;=G294),"OK","CHECK"))</f>
        <v>OK</v>
      </c>
      <c r="L294" s="1" t="str">
        <f aca="false">IF(A294="","",IF(AND(E294&gt;=0,E294&lt;=23),"OK","CHECK"))</f>
        <v>OK</v>
      </c>
      <c r="M294" s="1" t="str">
        <f aca="false">IF(A294="","",IF(AND(K294="OK",L294="OK"),"OK","CHECK"))</f>
        <v>OK</v>
      </c>
    </row>
    <row r="295" customFormat="false" ht="18" hidden="false" customHeight="true" outlineLevel="0" collapsed="false">
      <c r="A295" s="9" t="s">
        <v>26</v>
      </c>
      <c r="B295" s="9" t="n">
        <v>21</v>
      </c>
      <c r="C295" s="11" t="n">
        <v>45965</v>
      </c>
      <c r="D295" s="9" t="s">
        <v>63</v>
      </c>
      <c r="E295" s="12" t="n">
        <v>16</v>
      </c>
      <c r="F295" s="9" t="s">
        <v>31</v>
      </c>
      <c r="G295" s="13" t="n">
        <v>50</v>
      </c>
      <c r="H295" s="9" t="s">
        <v>30</v>
      </c>
      <c r="I295" s="13" t="n">
        <v>0</v>
      </c>
      <c r="J295" s="1" t="str">
        <f aca="false">IF(A295="","", "SAMP-"&amp;A295&amp;"-L"&amp;TEXT(B295,"00")&amp;"-"&amp;TEXT(C295,"yyyymmdd")&amp;"-"&amp;D295&amp;"-H"&amp;TEXT(E295,"00")&amp;"-"&amp;H295)</f>
        <v>SAMP-KG01-L21-20251104-ORD-2025-00174-H16-Overpress</v>
      </c>
      <c r="K295" s="1" t="str">
        <f aca="false">IF(A295="","",IF(AND(G295&gt;=0,I295&gt;=0,I295&lt;=G295),"OK","CHECK"))</f>
        <v>OK</v>
      </c>
      <c r="L295" s="1" t="str">
        <f aca="false">IF(A295="","",IF(AND(E295&gt;=0,E295&lt;=23),"OK","CHECK"))</f>
        <v>OK</v>
      </c>
      <c r="M295" s="1" t="str">
        <f aca="false">IF(A295="","",IF(AND(K295="OK",L295="OK"),"OK","CHECK"))</f>
        <v>OK</v>
      </c>
    </row>
    <row r="296" customFormat="false" ht="18" hidden="false" customHeight="true" outlineLevel="0" collapsed="false">
      <c r="A296" s="9" t="s">
        <v>26</v>
      </c>
      <c r="B296" s="9" t="n">
        <v>21</v>
      </c>
      <c r="C296" s="11" t="n">
        <v>45966</v>
      </c>
      <c r="D296" s="9" t="s">
        <v>63</v>
      </c>
      <c r="E296" s="12" t="n">
        <v>12</v>
      </c>
      <c r="F296" s="9" t="s">
        <v>28</v>
      </c>
      <c r="G296" s="13" t="n">
        <v>50</v>
      </c>
      <c r="H296" s="9" t="s">
        <v>30</v>
      </c>
      <c r="I296" s="13" t="n">
        <v>1</v>
      </c>
      <c r="J296" s="1" t="str">
        <f aca="false">IF(A296="","", "SAMP-"&amp;A296&amp;"-L"&amp;TEXT(B296,"00")&amp;"-"&amp;TEXT(C296,"yyyymmdd")&amp;"-"&amp;D296&amp;"-H"&amp;TEXT(E296,"00")&amp;"-"&amp;H296)</f>
        <v>SAMP-KG01-L21-20251105-ORD-2025-00174-H12-Overpress</v>
      </c>
      <c r="K296" s="1" t="str">
        <f aca="false">IF(A296="","",IF(AND(G296&gt;=0,I296&gt;=0,I296&lt;=G296),"OK","CHECK"))</f>
        <v>OK</v>
      </c>
      <c r="L296" s="1" t="str">
        <f aca="false">IF(A296="","",IF(AND(E296&gt;=0,E296&lt;=23),"OK","CHECK"))</f>
        <v>OK</v>
      </c>
      <c r="M296" s="1" t="str">
        <f aca="false">IF(A296="","",IF(AND(K296="OK",L296="OK"),"OK","CHECK"))</f>
        <v>OK</v>
      </c>
    </row>
    <row r="297" customFormat="false" ht="18" hidden="false" customHeight="true" outlineLevel="0" collapsed="false">
      <c r="A297" s="9" t="s">
        <v>26</v>
      </c>
      <c r="B297" s="9" t="n">
        <v>21</v>
      </c>
      <c r="C297" s="11" t="n">
        <v>45966</v>
      </c>
      <c r="D297" s="9" t="s">
        <v>63</v>
      </c>
      <c r="E297" s="12" t="n">
        <v>7</v>
      </c>
      <c r="F297" s="9" t="s">
        <v>28</v>
      </c>
      <c r="G297" s="13" t="n">
        <v>150</v>
      </c>
      <c r="H297" s="9" t="s">
        <v>33</v>
      </c>
      <c r="I297" s="13" t="n">
        <v>5</v>
      </c>
      <c r="J297" s="1" t="str">
        <f aca="false">IF(A297="","", "SAMP-"&amp;A297&amp;"-L"&amp;TEXT(B297,"00")&amp;"-"&amp;TEXT(C297,"yyyymmdd")&amp;"-"&amp;D297&amp;"-H"&amp;TEXT(E297,"00")&amp;"-"&amp;H297)</f>
        <v>SAMP-KG01-L21-20251105-ORD-2025-00174-H07-Distortion</v>
      </c>
      <c r="K297" s="1" t="str">
        <f aca="false">IF(A297="","",IF(AND(G297&gt;=0,I297&gt;=0,I297&lt;=G297),"OK","CHECK"))</f>
        <v>OK</v>
      </c>
      <c r="L297" s="1" t="str">
        <f aca="false">IF(A297="","",IF(AND(E297&gt;=0,E297&lt;=23),"OK","CHECK"))</f>
        <v>OK</v>
      </c>
      <c r="M297" s="1" t="str">
        <f aca="false">IF(A297="","",IF(AND(K297="OK",L297="OK"),"OK","CHECK"))</f>
        <v>OK</v>
      </c>
    </row>
    <row r="298" customFormat="false" ht="18" hidden="false" customHeight="true" outlineLevel="0" collapsed="false">
      <c r="A298" s="9" t="s">
        <v>26</v>
      </c>
      <c r="B298" s="9" t="n">
        <v>21</v>
      </c>
      <c r="C298" s="11" t="n">
        <v>45966</v>
      </c>
      <c r="D298" s="9" t="s">
        <v>63</v>
      </c>
      <c r="E298" s="12" t="n">
        <v>9</v>
      </c>
      <c r="F298" s="9" t="s">
        <v>28</v>
      </c>
      <c r="G298" s="13" t="n">
        <v>100</v>
      </c>
      <c r="H298" s="9" t="s">
        <v>35</v>
      </c>
      <c r="I298" s="13" t="n">
        <v>6</v>
      </c>
      <c r="J298" s="1" t="str">
        <f aca="false">IF(A298="","", "SAMP-"&amp;A298&amp;"-L"&amp;TEXT(B298,"00")&amp;"-"&amp;TEXT(C298,"yyyymmdd")&amp;"-"&amp;D298&amp;"-H"&amp;TEXT(E298,"00")&amp;"-"&amp;H298)</f>
        <v>SAMP-KG01-L21-20251105-ORD-2025-00174-H09-Stone</v>
      </c>
      <c r="K298" s="1" t="str">
        <f aca="false">IF(A298="","",IF(AND(G298&gt;=0,I298&gt;=0,I298&lt;=G298),"OK","CHECK"))</f>
        <v>OK</v>
      </c>
      <c r="L298" s="1" t="str">
        <f aca="false">IF(A298="","",IF(AND(E298&gt;=0,E298&lt;=23),"OK","CHECK"))</f>
        <v>OK</v>
      </c>
      <c r="M298" s="1" t="str">
        <f aca="false">IF(A298="","",IF(AND(K298="OK",L298="OK"),"OK","CHECK"))</f>
        <v>OK</v>
      </c>
    </row>
    <row r="299" customFormat="false" ht="18" hidden="false" customHeight="true" outlineLevel="0" collapsed="false">
      <c r="A299" s="9" t="s">
        <v>26</v>
      </c>
      <c r="B299" s="9" t="n">
        <v>21</v>
      </c>
      <c r="C299" s="11" t="n">
        <v>45966</v>
      </c>
      <c r="D299" s="9" t="s">
        <v>63</v>
      </c>
      <c r="E299" s="12" t="n">
        <v>20</v>
      </c>
      <c r="F299" s="9" t="s">
        <v>31</v>
      </c>
      <c r="G299" s="13" t="n">
        <v>100</v>
      </c>
      <c r="H299" s="9" t="s">
        <v>33</v>
      </c>
      <c r="I299" s="13" t="n">
        <v>1</v>
      </c>
      <c r="J299" s="1" t="str">
        <f aca="false">IF(A299="","", "SAMP-"&amp;A299&amp;"-L"&amp;TEXT(B299,"00")&amp;"-"&amp;TEXT(C299,"yyyymmdd")&amp;"-"&amp;D299&amp;"-H"&amp;TEXT(E299,"00")&amp;"-"&amp;H299)</f>
        <v>SAMP-KG01-L21-20251105-ORD-2025-00174-H20-Distortion</v>
      </c>
      <c r="K299" s="1" t="str">
        <f aca="false">IF(A299="","",IF(AND(G299&gt;=0,I299&gt;=0,I299&lt;=G299),"OK","CHECK"))</f>
        <v>OK</v>
      </c>
      <c r="L299" s="1" t="str">
        <f aca="false">IF(A299="","",IF(AND(E299&gt;=0,E299&lt;=23),"OK","CHECK"))</f>
        <v>OK</v>
      </c>
      <c r="M299" s="1" t="str">
        <f aca="false">IF(A299="","",IF(AND(K299="OK",L299="OK"),"OK","CHECK"))</f>
        <v>OK</v>
      </c>
    </row>
    <row r="300" customFormat="false" ht="18" hidden="false" customHeight="true" outlineLevel="0" collapsed="false">
      <c r="A300" s="9" t="s">
        <v>26</v>
      </c>
      <c r="B300" s="9" t="n">
        <v>21</v>
      </c>
      <c r="C300" s="11" t="n">
        <v>45966</v>
      </c>
      <c r="D300" s="9" t="s">
        <v>63</v>
      </c>
      <c r="E300" s="12" t="n">
        <v>16</v>
      </c>
      <c r="F300" s="9" t="s">
        <v>31</v>
      </c>
      <c r="G300" s="13" t="n">
        <v>100</v>
      </c>
      <c r="H300" s="9" t="s">
        <v>35</v>
      </c>
      <c r="I300" s="13" t="n">
        <v>5</v>
      </c>
      <c r="J300" s="1" t="str">
        <f aca="false">IF(A300="","", "SAMP-"&amp;A300&amp;"-L"&amp;TEXT(B300,"00")&amp;"-"&amp;TEXT(C300,"yyyymmdd")&amp;"-"&amp;D300&amp;"-H"&amp;TEXT(E300,"00")&amp;"-"&amp;H300)</f>
        <v>SAMP-KG01-L21-20251105-ORD-2025-00174-H16-Stone</v>
      </c>
      <c r="K300" s="1" t="str">
        <f aca="false">IF(A300="","",IF(AND(G300&gt;=0,I300&gt;=0,I300&lt;=G300),"OK","CHECK"))</f>
        <v>OK</v>
      </c>
      <c r="L300" s="1" t="str">
        <f aca="false">IF(A300="","",IF(AND(E300&gt;=0,E300&lt;=23),"OK","CHECK"))</f>
        <v>OK</v>
      </c>
      <c r="M300" s="1" t="str">
        <f aca="false">IF(A300="","",IF(AND(K300="OK",L300="OK"),"OK","CHECK"))</f>
        <v>OK</v>
      </c>
    </row>
    <row r="301" customFormat="false" ht="18" hidden="false" customHeight="true" outlineLevel="0" collapsed="false">
      <c r="A301" s="9" t="s">
        <v>26</v>
      </c>
      <c r="B301" s="9" t="n">
        <v>21</v>
      </c>
      <c r="C301" s="11" t="n">
        <v>45966</v>
      </c>
      <c r="D301" s="9" t="s">
        <v>63</v>
      </c>
      <c r="E301" s="12" t="n">
        <v>23</v>
      </c>
      <c r="F301" s="9" t="s">
        <v>31</v>
      </c>
      <c r="G301" s="13" t="n">
        <v>50</v>
      </c>
      <c r="H301" s="9" t="s">
        <v>33</v>
      </c>
      <c r="I301" s="13" t="n">
        <v>0</v>
      </c>
      <c r="J301" s="1" t="str">
        <f aca="false">IF(A301="","", "SAMP-"&amp;A301&amp;"-L"&amp;TEXT(B301,"00")&amp;"-"&amp;TEXT(C301,"yyyymmdd")&amp;"-"&amp;D301&amp;"-H"&amp;TEXT(E301,"00")&amp;"-"&amp;H301)</f>
        <v>SAMP-KG01-L21-20251105-ORD-2025-00174-H23-Distortion</v>
      </c>
      <c r="K301" s="1" t="str">
        <f aca="false">IF(A301="","",IF(AND(G301&gt;=0,I301&gt;=0,I301&lt;=G301),"OK","CHECK"))</f>
        <v>OK</v>
      </c>
      <c r="L301" s="1" t="str">
        <f aca="false">IF(A301="","",IF(AND(E301&gt;=0,E301&lt;=23),"OK","CHECK"))</f>
        <v>OK</v>
      </c>
      <c r="M301" s="1" t="str">
        <f aca="false">IF(A301="","",IF(AND(K301="OK",L301="OK"),"OK","CHECK"))</f>
        <v>OK</v>
      </c>
    </row>
    <row r="302" customFormat="false" ht="18" hidden="false" customHeight="true" outlineLevel="0" collapsed="false">
      <c r="A302" s="9" t="s">
        <v>26</v>
      </c>
      <c r="B302" s="9" t="n">
        <v>21</v>
      </c>
      <c r="C302" s="11" t="n">
        <v>45967</v>
      </c>
      <c r="D302" s="9" t="s">
        <v>63</v>
      </c>
      <c r="E302" s="12" t="n">
        <v>7</v>
      </c>
      <c r="F302" s="9" t="s">
        <v>28</v>
      </c>
      <c r="G302" s="13" t="n">
        <v>200</v>
      </c>
      <c r="H302" s="9" t="s">
        <v>30</v>
      </c>
      <c r="I302" s="13" t="n">
        <v>12</v>
      </c>
      <c r="J302" s="1" t="str">
        <f aca="false">IF(A302="","", "SAMP-"&amp;A302&amp;"-L"&amp;TEXT(B302,"00")&amp;"-"&amp;TEXT(C302,"yyyymmdd")&amp;"-"&amp;D302&amp;"-H"&amp;TEXT(E302,"00")&amp;"-"&amp;H302)</f>
        <v>SAMP-KG01-L21-20251106-ORD-2025-00174-H07-Overpress</v>
      </c>
      <c r="K302" s="1" t="str">
        <f aca="false">IF(A302="","",IF(AND(G302&gt;=0,I302&gt;=0,I302&lt;=G302),"OK","CHECK"))</f>
        <v>OK</v>
      </c>
      <c r="L302" s="1" t="str">
        <f aca="false">IF(A302="","",IF(AND(E302&gt;=0,E302&lt;=23),"OK","CHECK"))</f>
        <v>OK</v>
      </c>
      <c r="M302" s="1" t="str">
        <f aca="false">IF(A302="","",IF(AND(K302="OK",L302="OK"),"OK","CHECK"))</f>
        <v>OK</v>
      </c>
    </row>
    <row r="303" customFormat="false" ht="18" hidden="false" customHeight="true" outlineLevel="0" collapsed="false">
      <c r="A303" s="9" t="s">
        <v>26</v>
      </c>
      <c r="B303" s="9" t="n">
        <v>21</v>
      </c>
      <c r="C303" s="11" t="n">
        <v>45967</v>
      </c>
      <c r="D303" s="9" t="s">
        <v>63</v>
      </c>
      <c r="E303" s="12" t="n">
        <v>9</v>
      </c>
      <c r="F303" s="9" t="s">
        <v>28</v>
      </c>
      <c r="G303" s="13" t="n">
        <v>150</v>
      </c>
      <c r="H303" s="9" t="s">
        <v>37</v>
      </c>
      <c r="I303" s="13" t="n">
        <v>4</v>
      </c>
      <c r="J303" s="1" t="str">
        <f aca="false">IF(A303="","", "SAMP-"&amp;A303&amp;"-L"&amp;TEXT(B303,"00")&amp;"-"&amp;TEXT(C303,"yyyymmdd")&amp;"-"&amp;D303&amp;"-H"&amp;TEXT(E303,"00")&amp;"-"&amp;H303)</f>
        <v>SAMP-KG01-L21-20251106-ORD-2025-00174-H09-Bird Swing</v>
      </c>
      <c r="K303" s="1" t="str">
        <f aca="false">IF(A303="","",IF(AND(G303&gt;=0,I303&gt;=0,I303&lt;=G303),"OK","CHECK"))</f>
        <v>OK</v>
      </c>
      <c r="L303" s="1" t="str">
        <f aca="false">IF(A303="","",IF(AND(E303&gt;=0,E303&lt;=23),"OK","CHECK"))</f>
        <v>OK</v>
      </c>
      <c r="M303" s="1" t="str">
        <f aca="false">IF(A303="","",IF(AND(K303="OK",L303="OK"),"OK","CHECK"))</f>
        <v>OK</v>
      </c>
    </row>
    <row r="304" customFormat="false" ht="18" hidden="false" customHeight="true" outlineLevel="0" collapsed="false">
      <c r="A304" s="9" t="s">
        <v>26</v>
      </c>
      <c r="B304" s="9" t="n">
        <v>21</v>
      </c>
      <c r="C304" s="11" t="n">
        <v>45967</v>
      </c>
      <c r="D304" s="9" t="s">
        <v>63</v>
      </c>
      <c r="E304" s="12" t="n">
        <v>23</v>
      </c>
      <c r="F304" s="9" t="s">
        <v>31</v>
      </c>
      <c r="G304" s="13" t="n">
        <v>200</v>
      </c>
      <c r="H304" s="9" t="s">
        <v>37</v>
      </c>
      <c r="I304" s="13" t="n">
        <v>5</v>
      </c>
      <c r="J304" s="1" t="str">
        <f aca="false">IF(A304="","", "SAMP-"&amp;A304&amp;"-L"&amp;TEXT(B304,"00")&amp;"-"&amp;TEXT(C304,"yyyymmdd")&amp;"-"&amp;D304&amp;"-H"&amp;TEXT(E304,"00")&amp;"-"&amp;H304)</f>
        <v>SAMP-KG01-L21-20251106-ORD-2025-00174-H23-Bird Swing</v>
      </c>
      <c r="K304" s="1" t="str">
        <f aca="false">IF(A304="","",IF(AND(G304&gt;=0,I304&gt;=0,I304&lt;=G304),"OK","CHECK"))</f>
        <v>OK</v>
      </c>
      <c r="L304" s="1" t="str">
        <f aca="false">IF(A304="","",IF(AND(E304&gt;=0,E304&lt;=23),"OK","CHECK"))</f>
        <v>OK</v>
      </c>
      <c r="M304" s="1" t="str">
        <f aca="false">IF(A304="","",IF(AND(K304="OK",L304="OK"),"OK","CHECK"))</f>
        <v>OK</v>
      </c>
    </row>
    <row r="305" customFormat="false" ht="18" hidden="false" customHeight="true" outlineLevel="0" collapsed="false">
      <c r="A305" s="9" t="s">
        <v>26</v>
      </c>
      <c r="B305" s="9" t="n">
        <v>21</v>
      </c>
      <c r="C305" s="11" t="n">
        <v>45967</v>
      </c>
      <c r="D305" s="9" t="s">
        <v>63</v>
      </c>
      <c r="E305" s="12" t="n">
        <v>20</v>
      </c>
      <c r="F305" s="9" t="s">
        <v>31</v>
      </c>
      <c r="G305" s="13" t="n">
        <v>150</v>
      </c>
      <c r="H305" s="9" t="s">
        <v>37</v>
      </c>
      <c r="I305" s="13" t="n">
        <v>1</v>
      </c>
      <c r="J305" s="1" t="str">
        <f aca="false">IF(A305="","", "SAMP-"&amp;A305&amp;"-L"&amp;TEXT(B305,"00")&amp;"-"&amp;TEXT(C305,"yyyymmdd")&amp;"-"&amp;D305&amp;"-H"&amp;TEXT(E305,"00")&amp;"-"&amp;H305)</f>
        <v>SAMP-KG01-L21-20251106-ORD-2025-00174-H20-Bird Swing</v>
      </c>
      <c r="K305" s="1" t="str">
        <f aca="false">IF(A305="","",IF(AND(G305&gt;=0,I305&gt;=0,I305&lt;=G305),"OK","CHECK"))</f>
        <v>OK</v>
      </c>
      <c r="L305" s="1" t="str">
        <f aca="false">IF(A305="","",IF(AND(E305&gt;=0,E305&lt;=23),"OK","CHECK"))</f>
        <v>OK</v>
      </c>
      <c r="M305" s="1" t="str">
        <f aca="false">IF(A305="","",IF(AND(K305="OK",L305="OK"),"OK","CHECK"))</f>
        <v>OK</v>
      </c>
    </row>
    <row r="306" customFormat="false" ht="18" hidden="false" customHeight="true" outlineLevel="0" collapsed="false">
      <c r="A306" s="9" t="s">
        <v>26</v>
      </c>
      <c r="B306" s="9" t="n">
        <v>21</v>
      </c>
      <c r="C306" s="11" t="n">
        <v>45967</v>
      </c>
      <c r="D306" s="9" t="s">
        <v>63</v>
      </c>
      <c r="E306" s="12" t="n">
        <v>16</v>
      </c>
      <c r="F306" s="9" t="s">
        <v>31</v>
      </c>
      <c r="G306" s="13" t="n">
        <v>100</v>
      </c>
      <c r="H306" s="9" t="s">
        <v>37</v>
      </c>
      <c r="I306" s="13" t="n">
        <v>4</v>
      </c>
      <c r="J306" s="1" t="str">
        <f aca="false">IF(A306="","", "SAMP-"&amp;A306&amp;"-L"&amp;TEXT(B306,"00")&amp;"-"&amp;TEXT(C306,"yyyymmdd")&amp;"-"&amp;D306&amp;"-H"&amp;TEXT(E306,"00")&amp;"-"&amp;H306)</f>
        <v>SAMP-KG01-L21-20251106-ORD-2025-00174-H16-Bird Swing</v>
      </c>
      <c r="K306" s="1" t="str">
        <f aca="false">IF(A306="","",IF(AND(G306&gt;=0,I306&gt;=0,I306&lt;=G306),"OK","CHECK"))</f>
        <v>OK</v>
      </c>
      <c r="L306" s="1" t="str">
        <f aca="false">IF(A306="","",IF(AND(E306&gt;=0,E306&lt;=23),"OK","CHECK"))</f>
        <v>OK</v>
      </c>
      <c r="M306" s="1" t="str">
        <f aca="false">IF(A306="","",IF(AND(K306="OK",L306="OK"),"OK","CHECK"))</f>
        <v>OK</v>
      </c>
    </row>
    <row r="307" customFormat="false" ht="18" hidden="false" customHeight="true" outlineLevel="0" collapsed="false">
      <c r="A307" s="9" t="s">
        <v>26</v>
      </c>
      <c r="B307" s="9" t="n">
        <v>21</v>
      </c>
      <c r="C307" s="11" t="n">
        <v>45968</v>
      </c>
      <c r="D307" s="9" t="s">
        <v>63</v>
      </c>
      <c r="E307" s="12" t="n">
        <v>9</v>
      </c>
      <c r="F307" s="9" t="s">
        <v>28</v>
      </c>
      <c r="G307" s="13" t="n">
        <v>200</v>
      </c>
      <c r="H307" s="9" t="s">
        <v>41</v>
      </c>
      <c r="I307" s="13" t="n">
        <v>3</v>
      </c>
      <c r="J307" s="1" t="str">
        <f aca="false">IF(A307="","", "SAMP-"&amp;A307&amp;"-L"&amp;TEXT(B307,"00")&amp;"-"&amp;TEXT(C307,"yyyymmdd")&amp;"-"&amp;D307&amp;"-H"&amp;TEXT(E307,"00")&amp;"-"&amp;H307)</f>
        <v>SAMP-KG01-L21-20251107-ORD-2025-00174-H09-Chip</v>
      </c>
      <c r="K307" s="1" t="str">
        <f aca="false">IF(A307="","",IF(AND(G307&gt;=0,I307&gt;=0,I307&lt;=G307),"OK","CHECK"))</f>
        <v>OK</v>
      </c>
      <c r="L307" s="1" t="str">
        <f aca="false">IF(A307="","",IF(AND(E307&gt;=0,E307&lt;=23),"OK","CHECK"))</f>
        <v>OK</v>
      </c>
      <c r="M307" s="1" t="str">
        <f aca="false">IF(A307="","",IF(AND(K307="OK",L307="OK"),"OK","CHECK"))</f>
        <v>OK</v>
      </c>
    </row>
    <row r="308" customFormat="false" ht="18" hidden="false" customHeight="true" outlineLevel="0" collapsed="false">
      <c r="A308" s="9" t="s">
        <v>26</v>
      </c>
      <c r="B308" s="9" t="n">
        <v>21</v>
      </c>
      <c r="C308" s="11" t="n">
        <v>45968</v>
      </c>
      <c r="D308" s="9" t="s">
        <v>63</v>
      </c>
      <c r="E308" s="12" t="n">
        <v>12</v>
      </c>
      <c r="F308" s="9" t="s">
        <v>28</v>
      </c>
      <c r="G308" s="13" t="n">
        <v>200</v>
      </c>
      <c r="H308" s="9" t="s">
        <v>33</v>
      </c>
      <c r="I308" s="13" t="n">
        <v>5</v>
      </c>
      <c r="J308" s="1" t="str">
        <f aca="false">IF(A308="","", "SAMP-"&amp;A308&amp;"-L"&amp;TEXT(B308,"00")&amp;"-"&amp;TEXT(C308,"yyyymmdd")&amp;"-"&amp;D308&amp;"-H"&amp;TEXT(E308,"00")&amp;"-"&amp;H308)</f>
        <v>SAMP-KG01-L21-20251107-ORD-2025-00174-H12-Distortion</v>
      </c>
      <c r="K308" s="1" t="str">
        <f aca="false">IF(A308="","",IF(AND(G308&gt;=0,I308&gt;=0,I308&lt;=G308),"OK","CHECK"))</f>
        <v>OK</v>
      </c>
      <c r="L308" s="1" t="str">
        <f aca="false">IF(A308="","",IF(AND(E308&gt;=0,E308&lt;=23),"OK","CHECK"))</f>
        <v>OK</v>
      </c>
      <c r="M308" s="1" t="str">
        <f aca="false">IF(A308="","",IF(AND(K308="OK",L308="OK"),"OK","CHECK"))</f>
        <v>OK</v>
      </c>
    </row>
    <row r="309" customFormat="false" ht="18" hidden="false" customHeight="true" outlineLevel="0" collapsed="false">
      <c r="A309" s="9" t="s">
        <v>26</v>
      </c>
      <c r="B309" s="9" t="n">
        <v>21</v>
      </c>
      <c r="C309" s="11" t="n">
        <v>45968</v>
      </c>
      <c r="D309" s="9" t="s">
        <v>63</v>
      </c>
      <c r="E309" s="12" t="n">
        <v>7</v>
      </c>
      <c r="F309" s="9" t="s">
        <v>28</v>
      </c>
      <c r="G309" s="13" t="n">
        <v>100</v>
      </c>
      <c r="H309" s="9" t="s">
        <v>37</v>
      </c>
      <c r="I309" s="13" t="n">
        <v>2</v>
      </c>
      <c r="J309" s="1" t="str">
        <f aca="false">IF(A309="","", "SAMP-"&amp;A309&amp;"-L"&amp;TEXT(B309,"00")&amp;"-"&amp;TEXT(C309,"yyyymmdd")&amp;"-"&amp;D309&amp;"-H"&amp;TEXT(E309,"00")&amp;"-"&amp;H309)</f>
        <v>SAMP-KG01-L21-20251107-ORD-2025-00174-H07-Bird Swing</v>
      </c>
      <c r="K309" s="1" t="str">
        <f aca="false">IF(A309="","",IF(AND(G309&gt;=0,I309&gt;=0,I309&lt;=G309),"OK","CHECK"))</f>
        <v>OK</v>
      </c>
      <c r="L309" s="1" t="str">
        <f aca="false">IF(A309="","",IF(AND(E309&gt;=0,E309&lt;=23),"OK","CHECK"))</f>
        <v>OK</v>
      </c>
      <c r="M309" s="1" t="str">
        <f aca="false">IF(A309="","",IF(AND(K309="OK",L309="OK"),"OK","CHECK"))</f>
        <v>OK</v>
      </c>
    </row>
    <row r="310" customFormat="false" ht="18" hidden="false" customHeight="true" outlineLevel="0" collapsed="false">
      <c r="A310" s="9" t="s">
        <v>26</v>
      </c>
      <c r="B310" s="9" t="n">
        <v>21</v>
      </c>
      <c r="C310" s="11" t="n">
        <v>45968</v>
      </c>
      <c r="D310" s="9" t="s">
        <v>64</v>
      </c>
      <c r="E310" s="12" t="n">
        <v>20</v>
      </c>
      <c r="F310" s="9" t="s">
        <v>31</v>
      </c>
      <c r="G310" s="13" t="n">
        <v>150</v>
      </c>
      <c r="H310" s="9" t="s">
        <v>35</v>
      </c>
      <c r="I310" s="13" t="n">
        <v>0</v>
      </c>
      <c r="J310" s="1" t="str">
        <f aca="false">IF(A310="","", "SAMP-"&amp;A310&amp;"-L"&amp;TEXT(B310,"00")&amp;"-"&amp;TEXT(C310,"yyyymmdd")&amp;"-"&amp;D310&amp;"-H"&amp;TEXT(E310,"00")&amp;"-"&amp;H310)</f>
        <v>SAMP-KG01-L21-20251107-ORD-2025-00175-H20-Stone</v>
      </c>
      <c r="K310" s="1" t="str">
        <f aca="false">IF(A310="","",IF(AND(G310&gt;=0,I310&gt;=0,I310&lt;=G310),"OK","CHECK"))</f>
        <v>OK</v>
      </c>
      <c r="L310" s="1" t="str">
        <f aca="false">IF(A310="","",IF(AND(E310&gt;=0,E310&lt;=23),"OK","CHECK"))</f>
        <v>OK</v>
      </c>
      <c r="M310" s="1" t="str">
        <f aca="false">IF(A310="","",IF(AND(K310="OK",L310="OK"),"OK","CHECK"))</f>
        <v>OK</v>
      </c>
    </row>
    <row r="311" customFormat="false" ht="18" hidden="false" customHeight="true" outlineLevel="0" collapsed="false">
      <c r="A311" s="9" t="s">
        <v>26</v>
      </c>
      <c r="B311" s="9" t="n">
        <v>21</v>
      </c>
      <c r="C311" s="11" t="n">
        <v>45968</v>
      </c>
      <c r="D311" s="9" t="s">
        <v>64</v>
      </c>
      <c r="E311" s="12" t="n">
        <v>16</v>
      </c>
      <c r="F311" s="9" t="s">
        <v>31</v>
      </c>
      <c r="G311" s="13" t="n">
        <v>100</v>
      </c>
      <c r="H311" s="9" t="s">
        <v>30</v>
      </c>
      <c r="I311" s="13" t="n">
        <v>2</v>
      </c>
      <c r="J311" s="1" t="str">
        <f aca="false">IF(A311="","", "SAMP-"&amp;A311&amp;"-L"&amp;TEXT(B311,"00")&amp;"-"&amp;TEXT(C311,"yyyymmdd")&amp;"-"&amp;D311&amp;"-H"&amp;TEXT(E311,"00")&amp;"-"&amp;H311)</f>
        <v>SAMP-KG01-L21-20251107-ORD-2025-00175-H16-Overpress</v>
      </c>
      <c r="K311" s="1" t="str">
        <f aca="false">IF(A311="","",IF(AND(G311&gt;=0,I311&gt;=0,I311&lt;=G311),"OK","CHECK"))</f>
        <v>OK</v>
      </c>
      <c r="L311" s="1" t="str">
        <f aca="false">IF(A311="","",IF(AND(E311&gt;=0,E311&lt;=23),"OK","CHECK"))</f>
        <v>OK</v>
      </c>
      <c r="M311" s="1" t="str">
        <f aca="false">IF(A311="","",IF(AND(K311="OK",L311="OK"),"OK","CHECK"))</f>
        <v>OK</v>
      </c>
    </row>
    <row r="312" customFormat="false" ht="18" hidden="false" customHeight="true" outlineLevel="0" collapsed="false">
      <c r="A312" s="9" t="s">
        <v>26</v>
      </c>
      <c r="B312" s="9" t="n">
        <v>21</v>
      </c>
      <c r="C312" s="11" t="n">
        <v>45968</v>
      </c>
      <c r="D312" s="9" t="s">
        <v>64</v>
      </c>
      <c r="E312" s="12" t="n">
        <v>23</v>
      </c>
      <c r="F312" s="9" t="s">
        <v>31</v>
      </c>
      <c r="G312" s="13" t="n">
        <v>100</v>
      </c>
      <c r="H312" s="9" t="s">
        <v>37</v>
      </c>
      <c r="I312" s="13" t="n">
        <v>2</v>
      </c>
      <c r="J312" s="1" t="str">
        <f aca="false">IF(A312="","", "SAMP-"&amp;A312&amp;"-L"&amp;TEXT(B312,"00")&amp;"-"&amp;TEXT(C312,"yyyymmdd")&amp;"-"&amp;D312&amp;"-H"&amp;TEXT(E312,"00")&amp;"-"&amp;H312)</f>
        <v>SAMP-KG01-L21-20251107-ORD-2025-00175-H23-Bird Swing</v>
      </c>
      <c r="K312" s="1" t="str">
        <f aca="false">IF(A312="","",IF(AND(G312&gt;=0,I312&gt;=0,I312&lt;=G312),"OK","CHECK"))</f>
        <v>OK</v>
      </c>
      <c r="L312" s="1" t="str">
        <f aca="false">IF(A312="","",IF(AND(E312&gt;=0,E312&lt;=23),"OK","CHECK"))</f>
        <v>OK</v>
      </c>
      <c r="M312" s="1" t="str">
        <f aca="false">IF(A312="","",IF(AND(K312="OK",L312="OK"),"OK","CHECK"))</f>
        <v>OK</v>
      </c>
    </row>
    <row r="313" customFormat="false" ht="18" hidden="false" customHeight="true" outlineLevel="0" collapsed="false">
      <c r="A313" s="9" t="s">
        <v>26</v>
      </c>
      <c r="B313" s="9" t="n">
        <v>21</v>
      </c>
      <c r="C313" s="11" t="n">
        <v>45969</v>
      </c>
      <c r="D313" s="9" t="s">
        <v>64</v>
      </c>
      <c r="E313" s="12" t="n">
        <v>9</v>
      </c>
      <c r="F313" s="9" t="s">
        <v>28</v>
      </c>
      <c r="G313" s="13" t="n">
        <v>100</v>
      </c>
      <c r="H313" s="9" t="s">
        <v>41</v>
      </c>
      <c r="I313" s="13" t="n">
        <v>1</v>
      </c>
      <c r="J313" s="1" t="str">
        <f aca="false">IF(A313="","", "SAMP-"&amp;A313&amp;"-L"&amp;TEXT(B313,"00")&amp;"-"&amp;TEXT(C313,"yyyymmdd")&amp;"-"&amp;D313&amp;"-H"&amp;TEXT(E313,"00")&amp;"-"&amp;H313)</f>
        <v>SAMP-KG01-L21-20251108-ORD-2025-00175-H09-Chip</v>
      </c>
      <c r="K313" s="1" t="str">
        <f aca="false">IF(A313="","",IF(AND(G313&gt;=0,I313&gt;=0,I313&lt;=G313),"OK","CHECK"))</f>
        <v>OK</v>
      </c>
      <c r="L313" s="1" t="str">
        <f aca="false">IF(A313="","",IF(AND(E313&gt;=0,E313&lt;=23),"OK","CHECK"))</f>
        <v>OK</v>
      </c>
      <c r="M313" s="1" t="str">
        <f aca="false">IF(A313="","",IF(AND(K313="OK",L313="OK"),"OK","CHECK"))</f>
        <v>OK</v>
      </c>
    </row>
    <row r="314" customFormat="false" ht="18" hidden="false" customHeight="true" outlineLevel="0" collapsed="false">
      <c r="A314" s="9" t="s">
        <v>26</v>
      </c>
      <c r="B314" s="9" t="n">
        <v>21</v>
      </c>
      <c r="C314" s="11" t="n">
        <v>45969</v>
      </c>
      <c r="D314" s="9" t="s">
        <v>64</v>
      </c>
      <c r="E314" s="12" t="n">
        <v>12</v>
      </c>
      <c r="F314" s="9" t="s">
        <v>28</v>
      </c>
      <c r="G314" s="13" t="n">
        <v>100</v>
      </c>
      <c r="H314" s="9" t="s">
        <v>38</v>
      </c>
      <c r="I314" s="13" t="n">
        <v>0</v>
      </c>
      <c r="J314" s="1" t="str">
        <f aca="false">IF(A314="","", "SAMP-"&amp;A314&amp;"-L"&amp;TEXT(B314,"00")&amp;"-"&amp;TEXT(C314,"yyyymmdd")&amp;"-"&amp;D314&amp;"-H"&amp;TEXT(E314,"00")&amp;"-"&amp;H314)</f>
        <v>SAMP-KG01-L21-20251108-ORD-2025-00175-H12-Crack</v>
      </c>
      <c r="K314" s="1" t="str">
        <f aca="false">IF(A314="","",IF(AND(G314&gt;=0,I314&gt;=0,I314&lt;=G314),"OK","CHECK"))</f>
        <v>OK</v>
      </c>
      <c r="L314" s="1" t="str">
        <f aca="false">IF(A314="","",IF(AND(E314&gt;=0,E314&lt;=23),"OK","CHECK"))</f>
        <v>OK</v>
      </c>
      <c r="M314" s="1" t="str">
        <f aca="false">IF(A314="","",IF(AND(K314="OK",L314="OK"),"OK","CHECK"))</f>
        <v>OK</v>
      </c>
    </row>
    <row r="315" customFormat="false" ht="18" hidden="false" customHeight="true" outlineLevel="0" collapsed="false">
      <c r="A315" s="9" t="s">
        <v>26</v>
      </c>
      <c r="B315" s="9" t="n">
        <v>21</v>
      </c>
      <c r="C315" s="11" t="n">
        <v>45969</v>
      </c>
      <c r="D315" s="9" t="s">
        <v>64</v>
      </c>
      <c r="E315" s="12" t="n">
        <v>7</v>
      </c>
      <c r="F315" s="9" t="s">
        <v>28</v>
      </c>
      <c r="G315" s="13" t="n">
        <v>100</v>
      </c>
      <c r="H315" s="9" t="s">
        <v>33</v>
      </c>
      <c r="I315" s="13" t="n">
        <v>3</v>
      </c>
      <c r="J315" s="1" t="str">
        <f aca="false">IF(A315="","", "SAMP-"&amp;A315&amp;"-L"&amp;TEXT(B315,"00")&amp;"-"&amp;TEXT(C315,"yyyymmdd")&amp;"-"&amp;D315&amp;"-H"&amp;TEXT(E315,"00")&amp;"-"&amp;H315)</f>
        <v>SAMP-KG01-L21-20251108-ORD-2025-00175-H07-Distortion</v>
      </c>
      <c r="K315" s="1" t="str">
        <f aca="false">IF(A315="","",IF(AND(G315&gt;=0,I315&gt;=0,I315&lt;=G315),"OK","CHECK"))</f>
        <v>OK</v>
      </c>
      <c r="L315" s="1" t="str">
        <f aca="false">IF(A315="","",IF(AND(E315&gt;=0,E315&lt;=23),"OK","CHECK"))</f>
        <v>OK</v>
      </c>
      <c r="M315" s="1" t="str">
        <f aca="false">IF(A315="","",IF(AND(K315="OK",L315="OK"),"OK","CHECK"))</f>
        <v>OK</v>
      </c>
    </row>
    <row r="316" customFormat="false" ht="18" hidden="false" customHeight="true" outlineLevel="0" collapsed="false">
      <c r="A316" s="9" t="s">
        <v>26</v>
      </c>
      <c r="B316" s="9" t="n">
        <v>21</v>
      </c>
      <c r="C316" s="11" t="n">
        <v>45969</v>
      </c>
      <c r="D316" s="9" t="s">
        <v>64</v>
      </c>
      <c r="E316" s="12" t="n">
        <v>23</v>
      </c>
      <c r="F316" s="9" t="s">
        <v>31</v>
      </c>
      <c r="G316" s="13" t="n">
        <v>100</v>
      </c>
      <c r="H316" s="9" t="s">
        <v>30</v>
      </c>
      <c r="I316" s="13" t="n">
        <v>4</v>
      </c>
      <c r="J316" s="1" t="str">
        <f aca="false">IF(A316="","", "SAMP-"&amp;A316&amp;"-L"&amp;TEXT(B316,"00")&amp;"-"&amp;TEXT(C316,"yyyymmdd")&amp;"-"&amp;D316&amp;"-H"&amp;TEXT(E316,"00")&amp;"-"&amp;H316)</f>
        <v>SAMP-KG01-L21-20251108-ORD-2025-00175-H23-Overpress</v>
      </c>
      <c r="K316" s="1" t="str">
        <f aca="false">IF(A316="","",IF(AND(G316&gt;=0,I316&gt;=0,I316&lt;=G316),"OK","CHECK"))</f>
        <v>OK</v>
      </c>
      <c r="L316" s="1" t="str">
        <f aca="false">IF(A316="","",IF(AND(E316&gt;=0,E316&lt;=23),"OK","CHECK"))</f>
        <v>OK</v>
      </c>
      <c r="M316" s="1" t="str">
        <f aca="false">IF(A316="","",IF(AND(K316="OK",L316="OK"),"OK","CHECK"))</f>
        <v>OK</v>
      </c>
    </row>
    <row r="317" customFormat="false" ht="18" hidden="false" customHeight="true" outlineLevel="0" collapsed="false">
      <c r="A317" s="9" t="s">
        <v>26</v>
      </c>
      <c r="B317" s="9" t="n">
        <v>21</v>
      </c>
      <c r="C317" s="11" t="n">
        <v>45969</v>
      </c>
      <c r="D317" s="9" t="s">
        <v>64</v>
      </c>
      <c r="E317" s="12" t="n">
        <v>16</v>
      </c>
      <c r="F317" s="9" t="s">
        <v>31</v>
      </c>
      <c r="G317" s="13" t="n">
        <v>50</v>
      </c>
      <c r="H317" s="9" t="s">
        <v>35</v>
      </c>
      <c r="I317" s="13" t="n">
        <v>2</v>
      </c>
      <c r="J317" s="1" t="str">
        <f aca="false">IF(A317="","", "SAMP-"&amp;A317&amp;"-L"&amp;TEXT(B317,"00")&amp;"-"&amp;TEXT(C317,"yyyymmdd")&amp;"-"&amp;D317&amp;"-H"&amp;TEXT(E317,"00")&amp;"-"&amp;H317)</f>
        <v>SAMP-KG01-L21-20251108-ORD-2025-00175-H16-Stone</v>
      </c>
      <c r="K317" s="1" t="str">
        <f aca="false">IF(A317="","",IF(AND(G317&gt;=0,I317&gt;=0,I317&lt;=G317),"OK","CHECK"))</f>
        <v>OK</v>
      </c>
      <c r="L317" s="1" t="str">
        <f aca="false">IF(A317="","",IF(AND(E317&gt;=0,E317&lt;=23),"OK","CHECK"))</f>
        <v>OK</v>
      </c>
      <c r="M317" s="1" t="str">
        <f aca="false">IF(A317="","",IF(AND(K317="OK",L317="OK"),"OK","CHECK"))</f>
        <v>OK</v>
      </c>
    </row>
    <row r="318" customFormat="false" ht="18" hidden="false" customHeight="true" outlineLevel="0" collapsed="false">
      <c r="A318" s="9" t="s">
        <v>26</v>
      </c>
      <c r="B318" s="9" t="n">
        <v>21</v>
      </c>
      <c r="C318" s="11" t="n">
        <v>45969</v>
      </c>
      <c r="D318" s="9" t="s">
        <v>64</v>
      </c>
      <c r="E318" s="12" t="n">
        <v>20</v>
      </c>
      <c r="F318" s="9" t="s">
        <v>31</v>
      </c>
      <c r="G318" s="13" t="n">
        <v>100</v>
      </c>
      <c r="H318" s="9" t="s">
        <v>33</v>
      </c>
      <c r="I318" s="13" t="n">
        <v>2</v>
      </c>
      <c r="J318" s="1" t="str">
        <f aca="false">IF(A318="","", "SAMP-"&amp;A318&amp;"-L"&amp;TEXT(B318,"00")&amp;"-"&amp;TEXT(C318,"yyyymmdd")&amp;"-"&amp;D318&amp;"-H"&amp;TEXT(E318,"00")&amp;"-"&amp;H318)</f>
        <v>SAMP-KG01-L21-20251108-ORD-2025-00175-H20-Distortion</v>
      </c>
      <c r="K318" s="1" t="str">
        <f aca="false">IF(A318="","",IF(AND(G318&gt;=0,I318&gt;=0,I318&lt;=G318),"OK","CHECK"))</f>
        <v>OK</v>
      </c>
      <c r="L318" s="1" t="str">
        <f aca="false">IF(A318="","",IF(AND(E318&gt;=0,E318&lt;=23),"OK","CHECK"))</f>
        <v>OK</v>
      </c>
      <c r="M318" s="1" t="str">
        <f aca="false">IF(A318="","",IF(AND(K318="OK",L318="OK"),"OK","CHECK"))</f>
        <v>OK</v>
      </c>
    </row>
    <row r="319" customFormat="false" ht="18" hidden="false" customHeight="true" outlineLevel="0" collapsed="false">
      <c r="A319" s="9" t="s">
        <v>26</v>
      </c>
      <c r="B319" s="9" t="n">
        <v>21</v>
      </c>
      <c r="C319" s="11" t="n">
        <v>45970</v>
      </c>
      <c r="D319" s="9" t="s">
        <v>64</v>
      </c>
      <c r="E319" s="12" t="n">
        <v>7</v>
      </c>
      <c r="F319" s="9" t="s">
        <v>28</v>
      </c>
      <c r="G319" s="13" t="n">
        <v>150</v>
      </c>
      <c r="H319" s="9" t="s">
        <v>33</v>
      </c>
      <c r="I319" s="13" t="n">
        <v>2</v>
      </c>
      <c r="J319" s="1" t="str">
        <f aca="false">IF(A319="","", "SAMP-"&amp;A319&amp;"-L"&amp;TEXT(B319,"00")&amp;"-"&amp;TEXT(C319,"yyyymmdd")&amp;"-"&amp;D319&amp;"-H"&amp;TEXT(E319,"00")&amp;"-"&amp;H319)</f>
        <v>SAMP-KG01-L21-20251109-ORD-2025-00175-H07-Distortion</v>
      </c>
      <c r="K319" s="1" t="str">
        <f aca="false">IF(A319="","",IF(AND(G319&gt;=0,I319&gt;=0,I319&lt;=G319),"OK","CHECK"))</f>
        <v>OK</v>
      </c>
      <c r="L319" s="1" t="str">
        <f aca="false">IF(A319="","",IF(AND(E319&gt;=0,E319&lt;=23),"OK","CHECK"))</f>
        <v>OK</v>
      </c>
      <c r="M319" s="1" t="str">
        <f aca="false">IF(A319="","",IF(AND(K319="OK",L319="OK"),"OK","CHECK"))</f>
        <v>OK</v>
      </c>
    </row>
    <row r="320" customFormat="false" ht="18" hidden="false" customHeight="true" outlineLevel="0" collapsed="false">
      <c r="A320" s="9" t="s">
        <v>26</v>
      </c>
      <c r="B320" s="9" t="n">
        <v>21</v>
      </c>
      <c r="C320" s="11" t="n">
        <v>45970</v>
      </c>
      <c r="D320" s="9" t="s">
        <v>64</v>
      </c>
      <c r="E320" s="12" t="n">
        <v>9</v>
      </c>
      <c r="F320" s="9" t="s">
        <v>28</v>
      </c>
      <c r="G320" s="13" t="n">
        <v>50</v>
      </c>
      <c r="H320" s="9" t="s">
        <v>34</v>
      </c>
      <c r="I320" s="13" t="n">
        <v>1</v>
      </c>
      <c r="J320" s="1" t="str">
        <f aca="false">IF(A320="","", "SAMP-"&amp;A320&amp;"-L"&amp;TEXT(B320,"00")&amp;"-"&amp;TEXT(C320,"yyyymmdd")&amp;"-"&amp;D320&amp;"-H"&amp;TEXT(E320,"00")&amp;"-"&amp;H320)</f>
        <v>SAMP-KG01-L21-20251109-ORD-2025-00175-H09-Thin Wall</v>
      </c>
      <c r="K320" s="1" t="str">
        <f aca="false">IF(A320="","",IF(AND(G320&gt;=0,I320&gt;=0,I320&lt;=G320),"OK","CHECK"))</f>
        <v>OK</v>
      </c>
      <c r="L320" s="1" t="str">
        <f aca="false">IF(A320="","",IF(AND(E320&gt;=0,E320&lt;=23),"OK","CHECK"))</f>
        <v>OK</v>
      </c>
      <c r="M320" s="1" t="str">
        <f aca="false">IF(A320="","",IF(AND(K320="OK",L320="OK"),"OK","CHECK"))</f>
        <v>OK</v>
      </c>
    </row>
    <row r="321" customFormat="false" ht="18" hidden="false" customHeight="true" outlineLevel="0" collapsed="false">
      <c r="A321" s="9" t="s">
        <v>26</v>
      </c>
      <c r="B321" s="9" t="n">
        <v>21</v>
      </c>
      <c r="C321" s="11" t="n">
        <v>45970</v>
      </c>
      <c r="D321" s="9" t="s">
        <v>64</v>
      </c>
      <c r="E321" s="12" t="n">
        <v>12</v>
      </c>
      <c r="F321" s="9" t="s">
        <v>28</v>
      </c>
      <c r="G321" s="13" t="n">
        <v>200</v>
      </c>
      <c r="H321" s="9" t="s">
        <v>33</v>
      </c>
      <c r="I321" s="13" t="n">
        <v>3</v>
      </c>
      <c r="J321" s="1" t="str">
        <f aca="false">IF(A321="","", "SAMP-"&amp;A321&amp;"-L"&amp;TEXT(B321,"00")&amp;"-"&amp;TEXT(C321,"yyyymmdd")&amp;"-"&amp;D321&amp;"-H"&amp;TEXT(E321,"00")&amp;"-"&amp;H321)</f>
        <v>SAMP-KG01-L21-20251109-ORD-2025-00175-H12-Distortion</v>
      </c>
      <c r="K321" s="1" t="str">
        <f aca="false">IF(A321="","",IF(AND(G321&gt;=0,I321&gt;=0,I321&lt;=G321),"OK","CHECK"))</f>
        <v>OK</v>
      </c>
      <c r="L321" s="1" t="str">
        <f aca="false">IF(A321="","",IF(AND(E321&gt;=0,E321&lt;=23),"OK","CHECK"))</f>
        <v>OK</v>
      </c>
      <c r="M321" s="1" t="str">
        <f aca="false">IF(A321="","",IF(AND(K321="OK",L321="OK"),"OK","CHECK"))</f>
        <v>OK</v>
      </c>
    </row>
    <row r="322" customFormat="false" ht="18" hidden="false" customHeight="true" outlineLevel="0" collapsed="false">
      <c r="A322" s="9" t="s">
        <v>26</v>
      </c>
      <c r="B322" s="9" t="n">
        <v>21</v>
      </c>
      <c r="C322" s="11" t="n">
        <v>45970</v>
      </c>
      <c r="D322" s="9" t="s">
        <v>64</v>
      </c>
      <c r="E322" s="12" t="n">
        <v>23</v>
      </c>
      <c r="F322" s="9" t="s">
        <v>31</v>
      </c>
      <c r="G322" s="13" t="n">
        <v>50</v>
      </c>
      <c r="H322" s="9" t="s">
        <v>29</v>
      </c>
      <c r="I322" s="13" t="n">
        <v>0</v>
      </c>
      <c r="J322" s="1" t="str">
        <f aca="false">IF(A322="","", "SAMP-"&amp;A322&amp;"-L"&amp;TEXT(B322,"00")&amp;"-"&amp;TEXT(C322,"yyyymmdd")&amp;"-"&amp;D322&amp;"-H"&amp;TEXT(E322,"00")&amp;"-"&amp;H322)</f>
        <v>SAMP-KG01-L21-20251109-ORD-2025-00175-H23-Choke Neck</v>
      </c>
      <c r="K322" s="1" t="str">
        <f aca="false">IF(A322="","",IF(AND(G322&gt;=0,I322&gt;=0,I322&lt;=G322),"OK","CHECK"))</f>
        <v>OK</v>
      </c>
      <c r="L322" s="1" t="str">
        <f aca="false">IF(A322="","",IF(AND(E322&gt;=0,E322&lt;=23),"OK","CHECK"))</f>
        <v>OK</v>
      </c>
      <c r="M322" s="1" t="str">
        <f aca="false">IF(A322="","",IF(AND(K322="OK",L322="OK"),"OK","CHECK"))</f>
        <v>OK</v>
      </c>
    </row>
    <row r="323" customFormat="false" ht="18" hidden="false" customHeight="true" outlineLevel="0" collapsed="false">
      <c r="A323" s="9" t="s">
        <v>26</v>
      </c>
      <c r="B323" s="9" t="n">
        <v>21</v>
      </c>
      <c r="C323" s="11" t="n">
        <v>45970</v>
      </c>
      <c r="D323" s="9" t="s">
        <v>64</v>
      </c>
      <c r="E323" s="12" t="n">
        <v>16</v>
      </c>
      <c r="F323" s="9" t="s">
        <v>31</v>
      </c>
      <c r="G323" s="13" t="n">
        <v>200</v>
      </c>
      <c r="H323" s="9" t="s">
        <v>29</v>
      </c>
      <c r="I323" s="13" t="n">
        <v>0</v>
      </c>
      <c r="J323" s="1" t="str">
        <f aca="false">IF(A323="","", "SAMP-"&amp;A323&amp;"-L"&amp;TEXT(B323,"00")&amp;"-"&amp;TEXT(C323,"yyyymmdd")&amp;"-"&amp;D323&amp;"-H"&amp;TEXT(E323,"00")&amp;"-"&amp;H323)</f>
        <v>SAMP-KG01-L21-20251109-ORD-2025-00175-H16-Choke Neck</v>
      </c>
      <c r="K323" s="1" t="str">
        <f aca="false">IF(A323="","",IF(AND(G323&gt;=0,I323&gt;=0,I323&lt;=G323),"OK","CHECK"))</f>
        <v>OK</v>
      </c>
      <c r="L323" s="1" t="str">
        <f aca="false">IF(A323="","",IF(AND(E323&gt;=0,E323&lt;=23),"OK","CHECK"))</f>
        <v>OK</v>
      </c>
      <c r="M323" s="1" t="str">
        <f aca="false">IF(A323="","",IF(AND(K323="OK",L323="OK"),"OK","CHECK"))</f>
        <v>OK</v>
      </c>
    </row>
    <row r="324" customFormat="false" ht="18" hidden="false" customHeight="true" outlineLevel="0" collapsed="false">
      <c r="A324" s="9" t="s">
        <v>26</v>
      </c>
      <c r="B324" s="9" t="n">
        <v>21</v>
      </c>
      <c r="C324" s="11" t="n">
        <v>45971</v>
      </c>
      <c r="D324" s="9" t="s">
        <v>64</v>
      </c>
      <c r="E324" s="12" t="n">
        <v>7</v>
      </c>
      <c r="F324" s="9" t="s">
        <v>28</v>
      </c>
      <c r="G324" s="13" t="n">
        <v>50</v>
      </c>
      <c r="H324" s="9" t="s">
        <v>37</v>
      </c>
      <c r="I324" s="13" t="n">
        <v>1</v>
      </c>
      <c r="J324" s="1" t="str">
        <f aca="false">IF(A324="","", "SAMP-"&amp;A324&amp;"-L"&amp;TEXT(B324,"00")&amp;"-"&amp;TEXT(C324,"yyyymmdd")&amp;"-"&amp;D324&amp;"-H"&amp;TEXT(E324,"00")&amp;"-"&amp;H324)</f>
        <v>SAMP-KG01-L21-20251110-ORD-2025-00175-H07-Bird Swing</v>
      </c>
      <c r="K324" s="1" t="str">
        <f aca="false">IF(A324="","",IF(AND(G324&gt;=0,I324&gt;=0,I324&lt;=G324),"OK","CHECK"))</f>
        <v>OK</v>
      </c>
      <c r="L324" s="1" t="str">
        <f aca="false">IF(A324="","",IF(AND(E324&gt;=0,E324&lt;=23),"OK","CHECK"))</f>
        <v>OK</v>
      </c>
      <c r="M324" s="1" t="str">
        <f aca="false">IF(A324="","",IF(AND(K324="OK",L324="OK"),"OK","CHECK"))</f>
        <v>OK</v>
      </c>
    </row>
    <row r="325" customFormat="false" ht="18" hidden="false" customHeight="true" outlineLevel="0" collapsed="false">
      <c r="A325" s="9" t="s">
        <v>26</v>
      </c>
      <c r="B325" s="9" t="n">
        <v>21</v>
      </c>
      <c r="C325" s="11" t="n">
        <v>45971</v>
      </c>
      <c r="D325" s="9" t="s">
        <v>64</v>
      </c>
      <c r="E325" s="12" t="n">
        <v>12</v>
      </c>
      <c r="F325" s="9" t="s">
        <v>28</v>
      </c>
      <c r="G325" s="13" t="n">
        <v>150</v>
      </c>
      <c r="H325" s="9" t="s">
        <v>37</v>
      </c>
      <c r="I325" s="13" t="n">
        <v>1</v>
      </c>
      <c r="J325" s="1" t="str">
        <f aca="false">IF(A325="","", "SAMP-"&amp;A325&amp;"-L"&amp;TEXT(B325,"00")&amp;"-"&amp;TEXT(C325,"yyyymmdd")&amp;"-"&amp;D325&amp;"-H"&amp;TEXT(E325,"00")&amp;"-"&amp;H325)</f>
        <v>SAMP-KG01-L21-20251110-ORD-2025-00175-H12-Bird Swing</v>
      </c>
      <c r="K325" s="1" t="str">
        <f aca="false">IF(A325="","",IF(AND(G325&gt;=0,I325&gt;=0,I325&lt;=G325),"OK","CHECK"))</f>
        <v>OK</v>
      </c>
      <c r="L325" s="1" t="str">
        <f aca="false">IF(A325="","",IF(AND(E325&gt;=0,E325&lt;=23),"OK","CHECK"))</f>
        <v>OK</v>
      </c>
      <c r="M325" s="1" t="str">
        <f aca="false">IF(A325="","",IF(AND(K325="OK",L325="OK"),"OK","CHECK"))</f>
        <v>OK</v>
      </c>
    </row>
    <row r="326" customFormat="false" ht="18" hidden="false" customHeight="true" outlineLevel="0" collapsed="false">
      <c r="A326" s="9" t="s">
        <v>26</v>
      </c>
      <c r="B326" s="9" t="n">
        <v>21</v>
      </c>
      <c r="C326" s="11" t="n">
        <v>45971</v>
      </c>
      <c r="D326" s="9" t="s">
        <v>64</v>
      </c>
      <c r="E326" s="12" t="n">
        <v>9</v>
      </c>
      <c r="F326" s="9" t="s">
        <v>28</v>
      </c>
      <c r="G326" s="13" t="n">
        <v>100</v>
      </c>
      <c r="H326" s="9" t="s">
        <v>33</v>
      </c>
      <c r="I326" s="13" t="n">
        <v>0</v>
      </c>
      <c r="J326" s="1" t="str">
        <f aca="false">IF(A326="","", "SAMP-"&amp;A326&amp;"-L"&amp;TEXT(B326,"00")&amp;"-"&amp;TEXT(C326,"yyyymmdd")&amp;"-"&amp;D326&amp;"-H"&amp;TEXT(E326,"00")&amp;"-"&amp;H326)</f>
        <v>SAMP-KG01-L21-20251110-ORD-2025-00175-H09-Distortion</v>
      </c>
      <c r="K326" s="1" t="str">
        <f aca="false">IF(A326="","",IF(AND(G326&gt;=0,I326&gt;=0,I326&lt;=G326),"OK","CHECK"))</f>
        <v>OK</v>
      </c>
      <c r="L326" s="1" t="str">
        <f aca="false">IF(A326="","",IF(AND(E326&gt;=0,E326&lt;=23),"OK","CHECK"))</f>
        <v>OK</v>
      </c>
      <c r="M326" s="1" t="str">
        <f aca="false">IF(A326="","",IF(AND(K326="OK",L326="OK"),"OK","CHECK"))</f>
        <v>OK</v>
      </c>
    </row>
    <row r="327" customFormat="false" ht="18" hidden="false" customHeight="true" outlineLevel="0" collapsed="false">
      <c r="A327" s="9" t="s">
        <v>26</v>
      </c>
      <c r="B327" s="9" t="n">
        <v>21</v>
      </c>
      <c r="C327" s="11" t="n">
        <v>45971</v>
      </c>
      <c r="D327" s="9" t="s">
        <v>65</v>
      </c>
      <c r="E327" s="12" t="n">
        <v>23</v>
      </c>
      <c r="F327" s="9" t="s">
        <v>31</v>
      </c>
      <c r="G327" s="13" t="n">
        <v>200</v>
      </c>
      <c r="H327" s="9" t="s">
        <v>35</v>
      </c>
      <c r="I327" s="13" t="n">
        <v>10</v>
      </c>
      <c r="J327" s="1" t="str">
        <f aca="false">IF(A327="","", "SAMP-"&amp;A327&amp;"-L"&amp;TEXT(B327,"00")&amp;"-"&amp;TEXT(C327,"yyyymmdd")&amp;"-"&amp;D327&amp;"-H"&amp;TEXT(E327,"00")&amp;"-"&amp;H327)</f>
        <v>SAMP-KG01-L21-20251110-ORD-2025-00176-H23-Stone</v>
      </c>
      <c r="K327" s="1" t="str">
        <f aca="false">IF(A327="","",IF(AND(G327&gt;=0,I327&gt;=0,I327&lt;=G327),"OK","CHECK"))</f>
        <v>OK</v>
      </c>
      <c r="L327" s="1" t="str">
        <f aca="false">IF(A327="","",IF(AND(E327&gt;=0,E327&lt;=23),"OK","CHECK"))</f>
        <v>OK</v>
      </c>
      <c r="M327" s="1" t="str">
        <f aca="false">IF(A327="","",IF(AND(K327="OK",L327="OK"),"OK","CHECK"))</f>
        <v>OK</v>
      </c>
    </row>
    <row r="328" customFormat="false" ht="18" hidden="false" customHeight="true" outlineLevel="0" collapsed="false">
      <c r="A328" s="9" t="s">
        <v>26</v>
      </c>
      <c r="B328" s="9" t="n">
        <v>21</v>
      </c>
      <c r="C328" s="11" t="n">
        <v>45971</v>
      </c>
      <c r="D328" s="9" t="s">
        <v>65</v>
      </c>
      <c r="E328" s="12" t="n">
        <v>16</v>
      </c>
      <c r="F328" s="9" t="s">
        <v>31</v>
      </c>
      <c r="G328" s="13" t="n">
        <v>150</v>
      </c>
      <c r="H328" s="9" t="s">
        <v>34</v>
      </c>
      <c r="I328" s="13" t="n">
        <v>6</v>
      </c>
      <c r="J328" s="1" t="str">
        <f aca="false">IF(A328="","", "SAMP-"&amp;A328&amp;"-L"&amp;TEXT(B328,"00")&amp;"-"&amp;TEXT(C328,"yyyymmdd")&amp;"-"&amp;D328&amp;"-H"&amp;TEXT(E328,"00")&amp;"-"&amp;H328)</f>
        <v>SAMP-KG01-L21-20251110-ORD-2025-00176-H16-Thin Wall</v>
      </c>
      <c r="K328" s="1" t="str">
        <f aca="false">IF(A328="","",IF(AND(G328&gt;=0,I328&gt;=0,I328&lt;=G328),"OK","CHECK"))</f>
        <v>OK</v>
      </c>
      <c r="L328" s="1" t="str">
        <f aca="false">IF(A328="","",IF(AND(E328&gt;=0,E328&lt;=23),"OK","CHECK"))</f>
        <v>OK</v>
      </c>
      <c r="M328" s="1" t="str">
        <f aca="false">IF(A328="","",IF(AND(K328="OK",L328="OK"),"OK","CHECK"))</f>
        <v>OK</v>
      </c>
    </row>
    <row r="329" customFormat="false" ht="18" hidden="false" customHeight="true" outlineLevel="0" collapsed="false">
      <c r="A329" s="9" t="s">
        <v>26</v>
      </c>
      <c r="B329" s="9" t="n">
        <v>21</v>
      </c>
      <c r="C329" s="11" t="n">
        <v>45971</v>
      </c>
      <c r="D329" s="9" t="s">
        <v>65</v>
      </c>
      <c r="E329" s="12" t="n">
        <v>20</v>
      </c>
      <c r="F329" s="9" t="s">
        <v>31</v>
      </c>
      <c r="G329" s="13" t="n">
        <v>100</v>
      </c>
      <c r="H329" s="9" t="s">
        <v>38</v>
      </c>
      <c r="I329" s="13" t="n">
        <v>3</v>
      </c>
      <c r="J329" s="1" t="str">
        <f aca="false">IF(A329="","", "SAMP-"&amp;A329&amp;"-L"&amp;TEXT(B329,"00")&amp;"-"&amp;TEXT(C329,"yyyymmdd")&amp;"-"&amp;D329&amp;"-H"&amp;TEXT(E329,"00")&amp;"-"&amp;H329)</f>
        <v>SAMP-KG01-L21-20251110-ORD-2025-00176-H20-Crack</v>
      </c>
      <c r="K329" s="1" t="str">
        <f aca="false">IF(A329="","",IF(AND(G329&gt;=0,I329&gt;=0,I329&lt;=G329),"OK","CHECK"))</f>
        <v>OK</v>
      </c>
      <c r="L329" s="1" t="str">
        <f aca="false">IF(A329="","",IF(AND(E329&gt;=0,E329&lt;=23),"OK","CHECK"))</f>
        <v>OK</v>
      </c>
      <c r="M329" s="1" t="str">
        <f aca="false">IF(A329="","",IF(AND(K329="OK",L329="OK"),"OK","CHECK"))</f>
        <v>OK</v>
      </c>
    </row>
    <row r="330" customFormat="false" ht="18" hidden="false" customHeight="true" outlineLevel="0" collapsed="false">
      <c r="A330" s="9" t="s">
        <v>26</v>
      </c>
      <c r="B330" s="9" t="n">
        <v>21</v>
      </c>
      <c r="C330" s="11" t="n">
        <v>45972</v>
      </c>
      <c r="D330" s="9" t="s">
        <v>65</v>
      </c>
      <c r="E330" s="12" t="n">
        <v>9</v>
      </c>
      <c r="F330" s="9" t="s">
        <v>28</v>
      </c>
      <c r="G330" s="13" t="n">
        <v>200</v>
      </c>
      <c r="H330" s="9" t="s">
        <v>34</v>
      </c>
      <c r="I330" s="13" t="n">
        <v>0</v>
      </c>
      <c r="J330" s="1" t="str">
        <f aca="false">IF(A330="","", "SAMP-"&amp;A330&amp;"-L"&amp;TEXT(B330,"00")&amp;"-"&amp;TEXT(C330,"yyyymmdd")&amp;"-"&amp;D330&amp;"-H"&amp;TEXT(E330,"00")&amp;"-"&amp;H330)</f>
        <v>SAMP-KG01-L21-20251111-ORD-2025-00176-H09-Thin Wall</v>
      </c>
      <c r="K330" s="1" t="str">
        <f aca="false">IF(A330="","",IF(AND(G330&gt;=0,I330&gt;=0,I330&lt;=G330),"OK","CHECK"))</f>
        <v>OK</v>
      </c>
      <c r="L330" s="1" t="str">
        <f aca="false">IF(A330="","",IF(AND(E330&gt;=0,E330&lt;=23),"OK","CHECK"))</f>
        <v>OK</v>
      </c>
      <c r="M330" s="1" t="str">
        <f aca="false">IF(A330="","",IF(AND(K330="OK",L330="OK"),"OK","CHECK"))</f>
        <v>OK</v>
      </c>
    </row>
    <row r="331" customFormat="false" ht="18" hidden="false" customHeight="true" outlineLevel="0" collapsed="false">
      <c r="A331" s="9" t="s">
        <v>26</v>
      </c>
      <c r="B331" s="9" t="n">
        <v>21</v>
      </c>
      <c r="C331" s="11" t="n">
        <v>45972</v>
      </c>
      <c r="D331" s="9" t="s">
        <v>65</v>
      </c>
      <c r="E331" s="12" t="n">
        <v>7</v>
      </c>
      <c r="F331" s="9" t="s">
        <v>28</v>
      </c>
      <c r="G331" s="13" t="n">
        <v>200</v>
      </c>
      <c r="H331" s="9" t="s">
        <v>37</v>
      </c>
      <c r="I331" s="13" t="n">
        <v>5</v>
      </c>
      <c r="J331" s="1" t="str">
        <f aca="false">IF(A331="","", "SAMP-"&amp;A331&amp;"-L"&amp;TEXT(B331,"00")&amp;"-"&amp;TEXT(C331,"yyyymmdd")&amp;"-"&amp;D331&amp;"-H"&amp;TEXT(E331,"00")&amp;"-"&amp;H331)</f>
        <v>SAMP-KG01-L21-20251111-ORD-2025-00176-H07-Bird Swing</v>
      </c>
      <c r="K331" s="1" t="str">
        <f aca="false">IF(A331="","",IF(AND(G331&gt;=0,I331&gt;=0,I331&lt;=G331),"OK","CHECK"))</f>
        <v>OK</v>
      </c>
      <c r="L331" s="1" t="str">
        <f aca="false">IF(A331="","",IF(AND(E331&gt;=0,E331&lt;=23),"OK","CHECK"))</f>
        <v>OK</v>
      </c>
      <c r="M331" s="1" t="str">
        <f aca="false">IF(A331="","",IF(AND(K331="OK",L331="OK"),"OK","CHECK"))</f>
        <v>OK</v>
      </c>
    </row>
    <row r="332" customFormat="false" ht="18" hidden="false" customHeight="true" outlineLevel="0" collapsed="false">
      <c r="A332" s="9" t="s">
        <v>26</v>
      </c>
      <c r="B332" s="9" t="n">
        <v>21</v>
      </c>
      <c r="C332" s="11" t="n">
        <v>45972</v>
      </c>
      <c r="D332" s="9" t="s">
        <v>65</v>
      </c>
      <c r="E332" s="12" t="n">
        <v>12</v>
      </c>
      <c r="F332" s="9" t="s">
        <v>28</v>
      </c>
      <c r="G332" s="13" t="n">
        <v>200</v>
      </c>
      <c r="H332" s="9" t="s">
        <v>33</v>
      </c>
      <c r="I332" s="13" t="n">
        <v>4</v>
      </c>
      <c r="J332" s="1" t="str">
        <f aca="false">IF(A332="","", "SAMP-"&amp;A332&amp;"-L"&amp;TEXT(B332,"00")&amp;"-"&amp;TEXT(C332,"yyyymmdd")&amp;"-"&amp;D332&amp;"-H"&amp;TEXT(E332,"00")&amp;"-"&amp;H332)</f>
        <v>SAMP-KG01-L21-20251111-ORD-2025-00176-H12-Distortion</v>
      </c>
      <c r="K332" s="1" t="str">
        <f aca="false">IF(A332="","",IF(AND(G332&gt;=0,I332&gt;=0,I332&lt;=G332),"OK","CHECK"))</f>
        <v>OK</v>
      </c>
      <c r="L332" s="1" t="str">
        <f aca="false">IF(A332="","",IF(AND(E332&gt;=0,E332&lt;=23),"OK","CHECK"))</f>
        <v>OK</v>
      </c>
      <c r="M332" s="1" t="str">
        <f aca="false">IF(A332="","",IF(AND(K332="OK",L332="OK"),"OK","CHECK"))</f>
        <v>OK</v>
      </c>
    </row>
    <row r="333" customFormat="false" ht="18" hidden="false" customHeight="true" outlineLevel="0" collapsed="false">
      <c r="A333" s="9" t="s">
        <v>26</v>
      </c>
      <c r="B333" s="9" t="n">
        <v>21</v>
      </c>
      <c r="C333" s="11" t="n">
        <v>45972</v>
      </c>
      <c r="D333" s="9" t="s">
        <v>65</v>
      </c>
      <c r="E333" s="12" t="n">
        <v>16</v>
      </c>
      <c r="F333" s="9" t="s">
        <v>31</v>
      </c>
      <c r="G333" s="13" t="n">
        <v>100</v>
      </c>
      <c r="H333" s="9" t="s">
        <v>34</v>
      </c>
      <c r="I333" s="13" t="n">
        <v>2</v>
      </c>
      <c r="J333" s="1" t="str">
        <f aca="false">IF(A333="","", "SAMP-"&amp;A333&amp;"-L"&amp;TEXT(B333,"00")&amp;"-"&amp;TEXT(C333,"yyyymmdd")&amp;"-"&amp;D333&amp;"-H"&amp;TEXT(E333,"00")&amp;"-"&amp;H333)</f>
        <v>SAMP-KG01-L21-20251111-ORD-2025-00176-H16-Thin Wall</v>
      </c>
      <c r="K333" s="1" t="str">
        <f aca="false">IF(A333="","",IF(AND(G333&gt;=0,I333&gt;=0,I333&lt;=G333),"OK","CHECK"))</f>
        <v>OK</v>
      </c>
      <c r="L333" s="1" t="str">
        <f aca="false">IF(A333="","",IF(AND(E333&gt;=0,E333&lt;=23),"OK","CHECK"))</f>
        <v>OK</v>
      </c>
      <c r="M333" s="1" t="str">
        <f aca="false">IF(A333="","",IF(AND(K333="OK",L333="OK"),"OK","CHECK"))</f>
        <v>OK</v>
      </c>
    </row>
    <row r="334" customFormat="false" ht="18" hidden="false" customHeight="true" outlineLevel="0" collapsed="false">
      <c r="A334" s="9" t="s">
        <v>26</v>
      </c>
      <c r="B334" s="9" t="n">
        <v>21</v>
      </c>
      <c r="C334" s="11" t="n">
        <v>45972</v>
      </c>
      <c r="D334" s="9" t="s">
        <v>65</v>
      </c>
      <c r="E334" s="12" t="n">
        <v>23</v>
      </c>
      <c r="F334" s="9" t="s">
        <v>31</v>
      </c>
      <c r="G334" s="13" t="n">
        <v>50</v>
      </c>
      <c r="H334" s="9" t="s">
        <v>38</v>
      </c>
      <c r="I334" s="13" t="n">
        <v>2</v>
      </c>
      <c r="J334" s="1" t="str">
        <f aca="false">IF(A334="","", "SAMP-"&amp;A334&amp;"-L"&amp;TEXT(B334,"00")&amp;"-"&amp;TEXT(C334,"yyyymmdd")&amp;"-"&amp;D334&amp;"-H"&amp;TEXT(E334,"00")&amp;"-"&amp;H334)</f>
        <v>SAMP-KG01-L21-20251111-ORD-2025-00176-H23-Crack</v>
      </c>
      <c r="K334" s="1" t="str">
        <f aca="false">IF(A334="","",IF(AND(G334&gt;=0,I334&gt;=0,I334&lt;=G334),"OK","CHECK"))</f>
        <v>OK</v>
      </c>
      <c r="L334" s="1" t="str">
        <f aca="false">IF(A334="","",IF(AND(E334&gt;=0,E334&lt;=23),"OK","CHECK"))</f>
        <v>OK</v>
      </c>
      <c r="M334" s="1" t="str">
        <f aca="false">IF(A334="","",IF(AND(K334="OK",L334="OK"),"OK","CHECK"))</f>
        <v>OK</v>
      </c>
    </row>
    <row r="335" customFormat="false" ht="18" hidden="false" customHeight="true" outlineLevel="0" collapsed="false">
      <c r="A335" s="9" t="s">
        <v>26</v>
      </c>
      <c r="B335" s="9" t="n">
        <v>21</v>
      </c>
      <c r="C335" s="11" t="n">
        <v>45972</v>
      </c>
      <c r="D335" s="9" t="s">
        <v>65</v>
      </c>
      <c r="E335" s="12" t="n">
        <v>20</v>
      </c>
      <c r="F335" s="9" t="s">
        <v>31</v>
      </c>
      <c r="G335" s="13" t="n">
        <v>50</v>
      </c>
      <c r="H335" s="9" t="s">
        <v>38</v>
      </c>
      <c r="I335" s="13" t="n">
        <v>1</v>
      </c>
      <c r="J335" s="1" t="str">
        <f aca="false">IF(A335="","", "SAMP-"&amp;A335&amp;"-L"&amp;TEXT(B335,"00")&amp;"-"&amp;TEXT(C335,"yyyymmdd")&amp;"-"&amp;D335&amp;"-H"&amp;TEXT(E335,"00")&amp;"-"&amp;H335)</f>
        <v>SAMP-KG01-L21-20251111-ORD-2025-00176-H20-Crack</v>
      </c>
      <c r="K335" s="1" t="str">
        <f aca="false">IF(A335="","",IF(AND(G335&gt;=0,I335&gt;=0,I335&lt;=G335),"OK","CHECK"))</f>
        <v>OK</v>
      </c>
      <c r="L335" s="1" t="str">
        <f aca="false">IF(A335="","",IF(AND(E335&gt;=0,E335&lt;=23),"OK","CHECK"))</f>
        <v>OK</v>
      </c>
      <c r="M335" s="1" t="str">
        <f aca="false">IF(A335="","",IF(AND(K335="OK",L335="OK"),"OK","CHECK"))</f>
        <v>OK</v>
      </c>
    </row>
    <row r="336" customFormat="false" ht="18" hidden="false" customHeight="true" outlineLevel="0" collapsed="false">
      <c r="A336" s="9" t="s">
        <v>26</v>
      </c>
      <c r="B336" s="9" t="n">
        <v>21</v>
      </c>
      <c r="C336" s="11" t="n">
        <v>45973</v>
      </c>
      <c r="D336" s="9" t="s">
        <v>65</v>
      </c>
      <c r="E336" s="12" t="n">
        <v>7</v>
      </c>
      <c r="F336" s="9" t="s">
        <v>28</v>
      </c>
      <c r="G336" s="13" t="n">
        <v>100</v>
      </c>
      <c r="H336" s="9" t="s">
        <v>36</v>
      </c>
      <c r="I336" s="13" t="n">
        <v>3</v>
      </c>
      <c r="J336" s="1" t="str">
        <f aca="false">IF(A336="","", "SAMP-"&amp;A336&amp;"-L"&amp;TEXT(B336,"00")&amp;"-"&amp;TEXT(C336,"yyyymmdd")&amp;"-"&amp;D336&amp;"-H"&amp;TEXT(E336,"00")&amp;"-"&amp;H336)</f>
        <v>SAMP-KG01-L21-20251112-ORD-2025-00176-H07-Blister</v>
      </c>
      <c r="K336" s="1" t="str">
        <f aca="false">IF(A336="","",IF(AND(G336&gt;=0,I336&gt;=0,I336&lt;=G336),"OK","CHECK"))</f>
        <v>OK</v>
      </c>
      <c r="L336" s="1" t="str">
        <f aca="false">IF(A336="","",IF(AND(E336&gt;=0,E336&lt;=23),"OK","CHECK"))</f>
        <v>OK</v>
      </c>
      <c r="M336" s="1" t="str">
        <f aca="false">IF(A336="","",IF(AND(K336="OK",L336="OK"),"OK","CHECK"))</f>
        <v>OK</v>
      </c>
    </row>
    <row r="337" customFormat="false" ht="18" hidden="false" customHeight="true" outlineLevel="0" collapsed="false">
      <c r="A337" s="9" t="s">
        <v>26</v>
      </c>
      <c r="B337" s="9" t="n">
        <v>21</v>
      </c>
      <c r="C337" s="11" t="n">
        <v>45973</v>
      </c>
      <c r="D337" s="9" t="s">
        <v>65</v>
      </c>
      <c r="E337" s="12" t="n">
        <v>9</v>
      </c>
      <c r="F337" s="9" t="s">
        <v>28</v>
      </c>
      <c r="G337" s="13" t="n">
        <v>200</v>
      </c>
      <c r="H337" s="9" t="s">
        <v>33</v>
      </c>
      <c r="I337" s="13" t="n">
        <v>5</v>
      </c>
      <c r="J337" s="1" t="str">
        <f aca="false">IF(A337="","", "SAMP-"&amp;A337&amp;"-L"&amp;TEXT(B337,"00")&amp;"-"&amp;TEXT(C337,"yyyymmdd")&amp;"-"&amp;D337&amp;"-H"&amp;TEXT(E337,"00")&amp;"-"&amp;H337)</f>
        <v>SAMP-KG01-L21-20251112-ORD-2025-00176-H09-Distortion</v>
      </c>
      <c r="K337" s="1" t="str">
        <f aca="false">IF(A337="","",IF(AND(G337&gt;=0,I337&gt;=0,I337&lt;=G337),"OK","CHECK"))</f>
        <v>OK</v>
      </c>
      <c r="L337" s="1" t="str">
        <f aca="false">IF(A337="","",IF(AND(E337&gt;=0,E337&lt;=23),"OK","CHECK"))</f>
        <v>OK</v>
      </c>
      <c r="M337" s="1" t="str">
        <f aca="false">IF(A337="","",IF(AND(K337="OK",L337="OK"),"OK","CHECK"))</f>
        <v>OK</v>
      </c>
    </row>
    <row r="338" customFormat="false" ht="18" hidden="false" customHeight="true" outlineLevel="0" collapsed="false">
      <c r="A338" s="9" t="s">
        <v>26</v>
      </c>
      <c r="B338" s="9" t="n">
        <v>21</v>
      </c>
      <c r="C338" s="11" t="n">
        <v>45973</v>
      </c>
      <c r="D338" s="9" t="s">
        <v>65</v>
      </c>
      <c r="E338" s="12" t="n">
        <v>20</v>
      </c>
      <c r="F338" s="9" t="s">
        <v>31</v>
      </c>
      <c r="G338" s="13" t="n">
        <v>150</v>
      </c>
      <c r="H338" s="9" t="s">
        <v>33</v>
      </c>
      <c r="I338" s="13" t="n">
        <v>6</v>
      </c>
      <c r="J338" s="1" t="str">
        <f aca="false">IF(A338="","", "SAMP-"&amp;A338&amp;"-L"&amp;TEXT(B338,"00")&amp;"-"&amp;TEXT(C338,"yyyymmdd")&amp;"-"&amp;D338&amp;"-H"&amp;TEXT(E338,"00")&amp;"-"&amp;H338)</f>
        <v>SAMP-KG01-L21-20251112-ORD-2025-00176-H20-Distortion</v>
      </c>
      <c r="K338" s="1" t="str">
        <f aca="false">IF(A338="","",IF(AND(G338&gt;=0,I338&gt;=0,I338&lt;=G338),"OK","CHECK"))</f>
        <v>OK</v>
      </c>
      <c r="L338" s="1" t="str">
        <f aca="false">IF(A338="","",IF(AND(E338&gt;=0,E338&lt;=23),"OK","CHECK"))</f>
        <v>OK</v>
      </c>
      <c r="M338" s="1" t="str">
        <f aca="false">IF(A338="","",IF(AND(K338="OK",L338="OK"),"OK","CHECK"))</f>
        <v>OK</v>
      </c>
    </row>
    <row r="339" customFormat="false" ht="18" hidden="false" customHeight="true" outlineLevel="0" collapsed="false">
      <c r="A339" s="9" t="s">
        <v>26</v>
      </c>
      <c r="B339" s="9" t="n">
        <v>21</v>
      </c>
      <c r="C339" s="11" t="n">
        <v>45973</v>
      </c>
      <c r="D339" s="9" t="s">
        <v>65</v>
      </c>
      <c r="E339" s="12" t="n">
        <v>16</v>
      </c>
      <c r="F339" s="9" t="s">
        <v>31</v>
      </c>
      <c r="G339" s="13" t="n">
        <v>50</v>
      </c>
      <c r="H339" s="9" t="s">
        <v>33</v>
      </c>
      <c r="I339" s="13" t="n">
        <v>1</v>
      </c>
      <c r="J339" s="1" t="str">
        <f aca="false">IF(A339="","", "SAMP-"&amp;A339&amp;"-L"&amp;TEXT(B339,"00")&amp;"-"&amp;TEXT(C339,"yyyymmdd")&amp;"-"&amp;D339&amp;"-H"&amp;TEXT(E339,"00")&amp;"-"&amp;H339)</f>
        <v>SAMP-KG01-L21-20251112-ORD-2025-00176-H16-Distortion</v>
      </c>
      <c r="K339" s="1" t="str">
        <f aca="false">IF(A339="","",IF(AND(G339&gt;=0,I339&gt;=0,I339&lt;=G339),"OK","CHECK"))</f>
        <v>OK</v>
      </c>
      <c r="L339" s="1" t="str">
        <f aca="false">IF(A339="","",IF(AND(E339&gt;=0,E339&lt;=23),"OK","CHECK"))</f>
        <v>OK</v>
      </c>
      <c r="M339" s="1" t="str">
        <f aca="false">IF(A339="","",IF(AND(K339="OK",L339="OK"),"OK","CHECK"))</f>
        <v>OK</v>
      </c>
    </row>
    <row r="340" customFormat="false" ht="18" hidden="false" customHeight="true" outlineLevel="0" collapsed="false">
      <c r="A340" s="9" t="s">
        <v>26</v>
      </c>
      <c r="B340" s="9" t="n">
        <v>21</v>
      </c>
      <c r="C340" s="11" t="n">
        <v>45974</v>
      </c>
      <c r="D340" s="9" t="s">
        <v>65</v>
      </c>
      <c r="E340" s="12" t="n">
        <v>12</v>
      </c>
      <c r="F340" s="9" t="s">
        <v>28</v>
      </c>
      <c r="G340" s="13" t="n">
        <v>100</v>
      </c>
      <c r="H340" s="9" t="s">
        <v>38</v>
      </c>
      <c r="I340" s="13" t="n">
        <v>2</v>
      </c>
      <c r="J340" s="1" t="str">
        <f aca="false">IF(A340="","", "SAMP-"&amp;A340&amp;"-L"&amp;TEXT(B340,"00")&amp;"-"&amp;TEXT(C340,"yyyymmdd")&amp;"-"&amp;D340&amp;"-H"&amp;TEXT(E340,"00")&amp;"-"&amp;H340)</f>
        <v>SAMP-KG01-L21-20251113-ORD-2025-00176-H12-Crack</v>
      </c>
      <c r="K340" s="1" t="str">
        <f aca="false">IF(A340="","",IF(AND(G340&gt;=0,I340&gt;=0,I340&lt;=G340),"OK","CHECK"))</f>
        <v>OK</v>
      </c>
      <c r="L340" s="1" t="str">
        <f aca="false">IF(A340="","",IF(AND(E340&gt;=0,E340&lt;=23),"OK","CHECK"))</f>
        <v>OK</v>
      </c>
      <c r="M340" s="1" t="str">
        <f aca="false">IF(A340="","",IF(AND(K340="OK",L340="OK"),"OK","CHECK"))</f>
        <v>OK</v>
      </c>
    </row>
    <row r="341" customFormat="false" ht="18" hidden="false" customHeight="true" outlineLevel="0" collapsed="false">
      <c r="A341" s="9" t="s">
        <v>26</v>
      </c>
      <c r="B341" s="9" t="n">
        <v>21</v>
      </c>
      <c r="C341" s="11" t="n">
        <v>45974</v>
      </c>
      <c r="D341" s="9" t="s">
        <v>65</v>
      </c>
      <c r="E341" s="12" t="n">
        <v>7</v>
      </c>
      <c r="F341" s="9" t="s">
        <v>28</v>
      </c>
      <c r="G341" s="13" t="n">
        <v>150</v>
      </c>
      <c r="H341" s="9" t="s">
        <v>37</v>
      </c>
      <c r="I341" s="13" t="n">
        <v>4</v>
      </c>
      <c r="J341" s="1" t="str">
        <f aca="false">IF(A341="","", "SAMP-"&amp;A341&amp;"-L"&amp;TEXT(B341,"00")&amp;"-"&amp;TEXT(C341,"yyyymmdd")&amp;"-"&amp;D341&amp;"-H"&amp;TEXT(E341,"00")&amp;"-"&amp;H341)</f>
        <v>SAMP-KG01-L21-20251113-ORD-2025-00176-H07-Bird Swing</v>
      </c>
      <c r="K341" s="1" t="str">
        <f aca="false">IF(A341="","",IF(AND(G341&gt;=0,I341&gt;=0,I341&lt;=G341),"OK","CHECK"))</f>
        <v>OK</v>
      </c>
      <c r="L341" s="1" t="str">
        <f aca="false">IF(A341="","",IF(AND(E341&gt;=0,E341&lt;=23),"OK","CHECK"))</f>
        <v>OK</v>
      </c>
      <c r="M341" s="1" t="str">
        <f aca="false">IF(A341="","",IF(AND(K341="OK",L341="OK"),"OK","CHECK"))</f>
        <v>OK</v>
      </c>
    </row>
    <row r="342" customFormat="false" ht="18" hidden="false" customHeight="true" outlineLevel="0" collapsed="false">
      <c r="A342" s="9" t="s">
        <v>26</v>
      </c>
      <c r="B342" s="9" t="n">
        <v>21</v>
      </c>
      <c r="C342" s="11" t="n">
        <v>45974</v>
      </c>
      <c r="D342" s="9" t="s">
        <v>65</v>
      </c>
      <c r="E342" s="12" t="n">
        <v>9</v>
      </c>
      <c r="F342" s="9" t="s">
        <v>28</v>
      </c>
      <c r="G342" s="13" t="n">
        <v>100</v>
      </c>
      <c r="H342" s="9" t="s">
        <v>29</v>
      </c>
      <c r="I342" s="13" t="n">
        <v>2</v>
      </c>
      <c r="J342" s="1" t="str">
        <f aca="false">IF(A342="","", "SAMP-"&amp;A342&amp;"-L"&amp;TEXT(B342,"00")&amp;"-"&amp;TEXT(C342,"yyyymmdd")&amp;"-"&amp;D342&amp;"-H"&amp;TEXT(E342,"00")&amp;"-"&amp;H342)</f>
        <v>SAMP-KG01-L21-20251113-ORD-2025-00176-H09-Choke Neck</v>
      </c>
      <c r="K342" s="1" t="str">
        <f aca="false">IF(A342="","",IF(AND(G342&gt;=0,I342&gt;=0,I342&lt;=G342),"OK","CHECK"))</f>
        <v>OK</v>
      </c>
      <c r="L342" s="1" t="str">
        <f aca="false">IF(A342="","",IF(AND(E342&gt;=0,E342&lt;=23),"OK","CHECK"))</f>
        <v>OK</v>
      </c>
      <c r="M342" s="1" t="str">
        <f aca="false">IF(A342="","",IF(AND(K342="OK",L342="OK"),"OK","CHECK"))</f>
        <v>OK</v>
      </c>
    </row>
    <row r="343" customFormat="false" ht="18" hidden="false" customHeight="true" outlineLevel="0" collapsed="false">
      <c r="A343" s="9" t="s">
        <v>26</v>
      </c>
      <c r="B343" s="9" t="n">
        <v>21</v>
      </c>
      <c r="C343" s="11" t="n">
        <v>45974</v>
      </c>
      <c r="D343" s="9" t="s">
        <v>65</v>
      </c>
      <c r="E343" s="12" t="n">
        <v>23</v>
      </c>
      <c r="F343" s="9" t="s">
        <v>31</v>
      </c>
      <c r="G343" s="13" t="n">
        <v>200</v>
      </c>
      <c r="H343" s="9" t="s">
        <v>33</v>
      </c>
      <c r="I343" s="13" t="n">
        <v>2</v>
      </c>
      <c r="J343" s="1" t="str">
        <f aca="false">IF(A343="","", "SAMP-"&amp;A343&amp;"-L"&amp;TEXT(B343,"00")&amp;"-"&amp;TEXT(C343,"yyyymmdd")&amp;"-"&amp;D343&amp;"-H"&amp;TEXT(E343,"00")&amp;"-"&amp;H343)</f>
        <v>SAMP-KG01-L21-20251113-ORD-2025-00176-H23-Distortion</v>
      </c>
      <c r="K343" s="1" t="str">
        <f aca="false">IF(A343="","",IF(AND(G343&gt;=0,I343&gt;=0,I343&lt;=G343),"OK","CHECK"))</f>
        <v>OK</v>
      </c>
      <c r="L343" s="1" t="str">
        <f aca="false">IF(A343="","",IF(AND(E343&gt;=0,E343&lt;=23),"OK","CHECK"))</f>
        <v>OK</v>
      </c>
      <c r="M343" s="1" t="str">
        <f aca="false">IF(A343="","",IF(AND(K343="OK",L343="OK"),"OK","CHECK"))</f>
        <v>OK</v>
      </c>
    </row>
    <row r="344" customFormat="false" ht="18" hidden="false" customHeight="true" outlineLevel="0" collapsed="false">
      <c r="A344" s="9" t="s">
        <v>26</v>
      </c>
      <c r="B344" s="9" t="n">
        <v>21</v>
      </c>
      <c r="C344" s="11" t="n">
        <v>45974</v>
      </c>
      <c r="D344" s="9" t="s">
        <v>65</v>
      </c>
      <c r="E344" s="12" t="n">
        <v>16</v>
      </c>
      <c r="F344" s="9" t="s">
        <v>31</v>
      </c>
      <c r="G344" s="13" t="n">
        <v>150</v>
      </c>
      <c r="H344" s="9" t="s">
        <v>36</v>
      </c>
      <c r="I344" s="13" t="n">
        <v>2</v>
      </c>
      <c r="J344" s="1" t="str">
        <f aca="false">IF(A344="","", "SAMP-"&amp;A344&amp;"-L"&amp;TEXT(B344,"00")&amp;"-"&amp;TEXT(C344,"yyyymmdd")&amp;"-"&amp;D344&amp;"-H"&amp;TEXT(E344,"00")&amp;"-"&amp;H344)</f>
        <v>SAMP-KG01-L21-20251113-ORD-2025-00176-H16-Blister</v>
      </c>
      <c r="K344" s="1" t="str">
        <f aca="false">IF(A344="","",IF(AND(G344&gt;=0,I344&gt;=0,I344&lt;=G344),"OK","CHECK"))</f>
        <v>OK</v>
      </c>
      <c r="L344" s="1" t="str">
        <f aca="false">IF(A344="","",IF(AND(E344&gt;=0,E344&lt;=23),"OK","CHECK"))</f>
        <v>OK</v>
      </c>
      <c r="M344" s="1" t="str">
        <f aca="false">IF(A344="","",IF(AND(K344="OK",L344="OK"),"OK","CHECK"))</f>
        <v>OK</v>
      </c>
    </row>
    <row r="345" customFormat="false" ht="18" hidden="false" customHeight="true" outlineLevel="0" collapsed="false">
      <c r="A345" s="9" t="s">
        <v>26</v>
      </c>
      <c r="B345" s="9" t="n">
        <v>21</v>
      </c>
      <c r="C345" s="11" t="n">
        <v>45975</v>
      </c>
      <c r="D345" s="9" t="s">
        <v>65</v>
      </c>
      <c r="E345" s="12" t="n">
        <v>12</v>
      </c>
      <c r="F345" s="9" t="s">
        <v>28</v>
      </c>
      <c r="G345" s="13" t="n">
        <v>100</v>
      </c>
      <c r="H345" s="9" t="s">
        <v>36</v>
      </c>
      <c r="I345" s="13" t="n">
        <v>0</v>
      </c>
      <c r="J345" s="1" t="str">
        <f aca="false">IF(A345="","", "SAMP-"&amp;A345&amp;"-L"&amp;TEXT(B345,"00")&amp;"-"&amp;TEXT(C345,"yyyymmdd")&amp;"-"&amp;D345&amp;"-H"&amp;TEXT(E345,"00")&amp;"-"&amp;H345)</f>
        <v>SAMP-KG01-L21-20251114-ORD-2025-00176-H12-Blister</v>
      </c>
      <c r="K345" s="1" t="str">
        <f aca="false">IF(A345="","",IF(AND(G345&gt;=0,I345&gt;=0,I345&lt;=G345),"OK","CHECK"))</f>
        <v>OK</v>
      </c>
      <c r="L345" s="1" t="str">
        <f aca="false">IF(A345="","",IF(AND(E345&gt;=0,E345&lt;=23),"OK","CHECK"))</f>
        <v>OK</v>
      </c>
      <c r="M345" s="1" t="str">
        <f aca="false">IF(A345="","",IF(AND(K345="OK",L345="OK"),"OK","CHECK"))</f>
        <v>OK</v>
      </c>
    </row>
    <row r="346" customFormat="false" ht="18" hidden="false" customHeight="true" outlineLevel="0" collapsed="false">
      <c r="A346" s="9" t="s">
        <v>26</v>
      </c>
      <c r="B346" s="9" t="n">
        <v>21</v>
      </c>
      <c r="C346" s="11" t="n">
        <v>45975</v>
      </c>
      <c r="D346" s="9" t="s">
        <v>65</v>
      </c>
      <c r="E346" s="12" t="n">
        <v>7</v>
      </c>
      <c r="F346" s="9" t="s">
        <v>28</v>
      </c>
      <c r="G346" s="13" t="n">
        <v>100</v>
      </c>
      <c r="H346" s="9" t="s">
        <v>34</v>
      </c>
      <c r="I346" s="13" t="n">
        <v>2</v>
      </c>
      <c r="J346" s="1" t="str">
        <f aca="false">IF(A346="","", "SAMP-"&amp;A346&amp;"-L"&amp;TEXT(B346,"00")&amp;"-"&amp;TEXT(C346,"yyyymmdd")&amp;"-"&amp;D346&amp;"-H"&amp;TEXT(E346,"00")&amp;"-"&amp;H346)</f>
        <v>SAMP-KG01-L21-20251114-ORD-2025-00176-H07-Thin Wall</v>
      </c>
      <c r="K346" s="1" t="str">
        <f aca="false">IF(A346="","",IF(AND(G346&gt;=0,I346&gt;=0,I346&lt;=G346),"OK","CHECK"))</f>
        <v>OK</v>
      </c>
      <c r="L346" s="1" t="str">
        <f aca="false">IF(A346="","",IF(AND(E346&gt;=0,E346&lt;=23),"OK","CHECK"))</f>
        <v>OK</v>
      </c>
      <c r="M346" s="1" t="str">
        <f aca="false">IF(A346="","",IF(AND(K346="OK",L346="OK"),"OK","CHECK"))</f>
        <v>OK</v>
      </c>
    </row>
    <row r="347" customFormat="false" ht="18" hidden="false" customHeight="true" outlineLevel="0" collapsed="false">
      <c r="A347" s="9" t="s">
        <v>26</v>
      </c>
      <c r="B347" s="9" t="n">
        <v>21</v>
      </c>
      <c r="C347" s="11" t="n">
        <v>45975</v>
      </c>
      <c r="D347" s="9" t="s">
        <v>65</v>
      </c>
      <c r="E347" s="12" t="n">
        <v>9</v>
      </c>
      <c r="F347" s="9" t="s">
        <v>28</v>
      </c>
      <c r="G347" s="13" t="n">
        <v>100</v>
      </c>
      <c r="H347" s="9" t="s">
        <v>38</v>
      </c>
      <c r="I347" s="13" t="n">
        <v>4</v>
      </c>
      <c r="J347" s="1" t="str">
        <f aca="false">IF(A347="","", "SAMP-"&amp;A347&amp;"-L"&amp;TEXT(B347,"00")&amp;"-"&amp;TEXT(C347,"yyyymmdd")&amp;"-"&amp;D347&amp;"-H"&amp;TEXT(E347,"00")&amp;"-"&amp;H347)</f>
        <v>SAMP-KG01-L21-20251114-ORD-2025-00176-H09-Crack</v>
      </c>
      <c r="K347" s="1" t="str">
        <f aca="false">IF(A347="","",IF(AND(G347&gt;=0,I347&gt;=0,I347&lt;=G347),"OK","CHECK"))</f>
        <v>OK</v>
      </c>
      <c r="L347" s="1" t="str">
        <f aca="false">IF(A347="","",IF(AND(E347&gt;=0,E347&lt;=23),"OK","CHECK"))</f>
        <v>OK</v>
      </c>
      <c r="M347" s="1" t="str">
        <f aca="false">IF(A347="","",IF(AND(K347="OK",L347="OK"),"OK","CHECK"))</f>
        <v>OK</v>
      </c>
    </row>
    <row r="348" customFormat="false" ht="18" hidden="false" customHeight="true" outlineLevel="0" collapsed="false">
      <c r="A348" s="9" t="s">
        <v>26</v>
      </c>
      <c r="B348" s="9" t="n">
        <v>21</v>
      </c>
      <c r="C348" s="11" t="n">
        <v>45975</v>
      </c>
      <c r="D348" s="9" t="s">
        <v>66</v>
      </c>
      <c r="E348" s="12" t="n">
        <v>20</v>
      </c>
      <c r="F348" s="9" t="s">
        <v>31</v>
      </c>
      <c r="G348" s="13" t="n">
        <v>150</v>
      </c>
      <c r="H348" s="9" t="s">
        <v>33</v>
      </c>
      <c r="I348" s="13" t="n">
        <v>5</v>
      </c>
      <c r="J348" s="1" t="str">
        <f aca="false">IF(A348="","", "SAMP-"&amp;A348&amp;"-L"&amp;TEXT(B348,"00")&amp;"-"&amp;TEXT(C348,"yyyymmdd")&amp;"-"&amp;D348&amp;"-H"&amp;TEXT(E348,"00")&amp;"-"&amp;H348)</f>
        <v>SAMP-KG01-L21-20251114-ORD-2025-00177-H20-Distortion</v>
      </c>
      <c r="K348" s="1" t="str">
        <f aca="false">IF(A348="","",IF(AND(G348&gt;=0,I348&gt;=0,I348&lt;=G348),"OK","CHECK"))</f>
        <v>OK</v>
      </c>
      <c r="L348" s="1" t="str">
        <f aca="false">IF(A348="","",IF(AND(E348&gt;=0,E348&lt;=23),"OK","CHECK"))</f>
        <v>OK</v>
      </c>
      <c r="M348" s="1" t="str">
        <f aca="false">IF(A348="","",IF(AND(K348="OK",L348="OK"),"OK","CHECK"))</f>
        <v>OK</v>
      </c>
    </row>
    <row r="349" customFormat="false" ht="18" hidden="false" customHeight="true" outlineLevel="0" collapsed="false">
      <c r="A349" s="9" t="s">
        <v>26</v>
      </c>
      <c r="B349" s="9" t="n">
        <v>21</v>
      </c>
      <c r="C349" s="11" t="n">
        <v>45975</v>
      </c>
      <c r="D349" s="9" t="s">
        <v>66</v>
      </c>
      <c r="E349" s="12" t="n">
        <v>23</v>
      </c>
      <c r="F349" s="9" t="s">
        <v>31</v>
      </c>
      <c r="G349" s="13" t="n">
        <v>50</v>
      </c>
      <c r="H349" s="9" t="s">
        <v>29</v>
      </c>
      <c r="I349" s="13" t="n">
        <v>2</v>
      </c>
      <c r="J349" s="1" t="str">
        <f aca="false">IF(A349="","", "SAMP-"&amp;A349&amp;"-L"&amp;TEXT(B349,"00")&amp;"-"&amp;TEXT(C349,"yyyymmdd")&amp;"-"&amp;D349&amp;"-H"&amp;TEXT(E349,"00")&amp;"-"&amp;H349)</f>
        <v>SAMP-KG01-L21-20251114-ORD-2025-00177-H23-Choke Neck</v>
      </c>
      <c r="K349" s="1" t="str">
        <f aca="false">IF(A349="","",IF(AND(G349&gt;=0,I349&gt;=0,I349&lt;=G349),"OK","CHECK"))</f>
        <v>OK</v>
      </c>
      <c r="L349" s="1" t="str">
        <f aca="false">IF(A349="","",IF(AND(E349&gt;=0,E349&lt;=23),"OK","CHECK"))</f>
        <v>OK</v>
      </c>
      <c r="M349" s="1" t="str">
        <f aca="false">IF(A349="","",IF(AND(K349="OK",L349="OK"),"OK","CHECK"))</f>
        <v>OK</v>
      </c>
    </row>
    <row r="350" customFormat="false" ht="18" hidden="false" customHeight="true" outlineLevel="0" collapsed="false">
      <c r="A350" s="9" t="s">
        <v>26</v>
      </c>
      <c r="B350" s="9" t="n">
        <v>21</v>
      </c>
      <c r="C350" s="11" t="n">
        <v>45975</v>
      </c>
      <c r="D350" s="9" t="s">
        <v>66</v>
      </c>
      <c r="E350" s="12" t="n">
        <v>16</v>
      </c>
      <c r="F350" s="9" t="s">
        <v>31</v>
      </c>
      <c r="G350" s="13" t="n">
        <v>150</v>
      </c>
      <c r="H350" s="9" t="s">
        <v>38</v>
      </c>
      <c r="I350" s="13" t="n">
        <v>2</v>
      </c>
      <c r="J350" s="1" t="str">
        <f aca="false">IF(A350="","", "SAMP-"&amp;A350&amp;"-L"&amp;TEXT(B350,"00")&amp;"-"&amp;TEXT(C350,"yyyymmdd")&amp;"-"&amp;D350&amp;"-H"&amp;TEXT(E350,"00")&amp;"-"&amp;H350)</f>
        <v>SAMP-KG01-L21-20251114-ORD-2025-00177-H16-Crack</v>
      </c>
      <c r="K350" s="1" t="str">
        <f aca="false">IF(A350="","",IF(AND(G350&gt;=0,I350&gt;=0,I350&lt;=G350),"OK","CHECK"))</f>
        <v>OK</v>
      </c>
      <c r="L350" s="1" t="str">
        <f aca="false">IF(A350="","",IF(AND(E350&gt;=0,E350&lt;=23),"OK","CHECK"))</f>
        <v>OK</v>
      </c>
      <c r="M350" s="1" t="str">
        <f aca="false">IF(A350="","",IF(AND(K350="OK",L350="OK"),"OK","CHECK"))</f>
        <v>OK</v>
      </c>
    </row>
    <row r="351" customFormat="false" ht="18" hidden="false" customHeight="true" outlineLevel="0" collapsed="false">
      <c r="A351" s="9" t="s">
        <v>26</v>
      </c>
      <c r="B351" s="9" t="n">
        <v>21</v>
      </c>
      <c r="C351" s="11" t="n">
        <v>45976</v>
      </c>
      <c r="D351" s="9" t="s">
        <v>66</v>
      </c>
      <c r="E351" s="12" t="n">
        <v>12</v>
      </c>
      <c r="F351" s="9" t="s">
        <v>28</v>
      </c>
      <c r="G351" s="13" t="n">
        <v>50</v>
      </c>
      <c r="H351" s="9" t="s">
        <v>29</v>
      </c>
      <c r="I351" s="13" t="n">
        <v>1</v>
      </c>
      <c r="J351" s="1" t="str">
        <f aca="false">IF(A351="","", "SAMP-"&amp;A351&amp;"-L"&amp;TEXT(B351,"00")&amp;"-"&amp;TEXT(C351,"yyyymmdd")&amp;"-"&amp;D351&amp;"-H"&amp;TEXT(E351,"00")&amp;"-"&amp;H351)</f>
        <v>SAMP-KG01-L21-20251115-ORD-2025-00177-H12-Choke Neck</v>
      </c>
      <c r="K351" s="1" t="str">
        <f aca="false">IF(A351="","",IF(AND(G351&gt;=0,I351&gt;=0,I351&lt;=G351),"OK","CHECK"))</f>
        <v>OK</v>
      </c>
      <c r="L351" s="1" t="str">
        <f aca="false">IF(A351="","",IF(AND(E351&gt;=0,E351&lt;=23),"OK","CHECK"))</f>
        <v>OK</v>
      </c>
      <c r="M351" s="1" t="str">
        <f aca="false">IF(A351="","",IF(AND(K351="OK",L351="OK"),"OK","CHECK"))</f>
        <v>OK</v>
      </c>
    </row>
    <row r="352" customFormat="false" ht="18" hidden="false" customHeight="true" outlineLevel="0" collapsed="false">
      <c r="A352" s="9" t="s">
        <v>26</v>
      </c>
      <c r="B352" s="9" t="n">
        <v>21</v>
      </c>
      <c r="C352" s="11" t="n">
        <v>45976</v>
      </c>
      <c r="D352" s="9" t="s">
        <v>66</v>
      </c>
      <c r="E352" s="12" t="n">
        <v>9</v>
      </c>
      <c r="F352" s="9" t="s">
        <v>28</v>
      </c>
      <c r="G352" s="13" t="n">
        <v>100</v>
      </c>
      <c r="H352" s="9" t="s">
        <v>30</v>
      </c>
      <c r="I352" s="13" t="n">
        <v>0</v>
      </c>
      <c r="J352" s="1" t="str">
        <f aca="false">IF(A352="","", "SAMP-"&amp;A352&amp;"-L"&amp;TEXT(B352,"00")&amp;"-"&amp;TEXT(C352,"yyyymmdd")&amp;"-"&amp;D352&amp;"-H"&amp;TEXT(E352,"00")&amp;"-"&amp;H352)</f>
        <v>SAMP-KG01-L21-20251115-ORD-2025-00177-H09-Overpress</v>
      </c>
      <c r="K352" s="1" t="str">
        <f aca="false">IF(A352="","",IF(AND(G352&gt;=0,I352&gt;=0,I352&lt;=G352),"OK","CHECK"))</f>
        <v>OK</v>
      </c>
      <c r="L352" s="1" t="str">
        <f aca="false">IF(A352="","",IF(AND(E352&gt;=0,E352&lt;=23),"OK","CHECK"))</f>
        <v>OK</v>
      </c>
      <c r="M352" s="1" t="str">
        <f aca="false">IF(A352="","",IF(AND(K352="OK",L352="OK"),"OK","CHECK"))</f>
        <v>OK</v>
      </c>
    </row>
    <row r="353" customFormat="false" ht="18" hidden="false" customHeight="true" outlineLevel="0" collapsed="false">
      <c r="A353" s="9" t="s">
        <v>26</v>
      </c>
      <c r="B353" s="9" t="n">
        <v>21</v>
      </c>
      <c r="C353" s="11" t="n">
        <v>45976</v>
      </c>
      <c r="D353" s="9" t="s">
        <v>66</v>
      </c>
      <c r="E353" s="12" t="n">
        <v>23</v>
      </c>
      <c r="F353" s="9" t="s">
        <v>31</v>
      </c>
      <c r="G353" s="13" t="n">
        <v>100</v>
      </c>
      <c r="H353" s="9" t="s">
        <v>30</v>
      </c>
      <c r="I353" s="13" t="n">
        <v>0</v>
      </c>
      <c r="J353" s="1" t="str">
        <f aca="false">IF(A353="","", "SAMP-"&amp;A353&amp;"-L"&amp;TEXT(B353,"00")&amp;"-"&amp;TEXT(C353,"yyyymmdd")&amp;"-"&amp;D353&amp;"-H"&amp;TEXT(E353,"00")&amp;"-"&amp;H353)</f>
        <v>SAMP-KG01-L21-20251115-ORD-2025-00177-H23-Overpress</v>
      </c>
      <c r="K353" s="1" t="str">
        <f aca="false">IF(A353="","",IF(AND(G353&gt;=0,I353&gt;=0,I353&lt;=G353),"OK","CHECK"))</f>
        <v>OK</v>
      </c>
      <c r="L353" s="1" t="str">
        <f aca="false">IF(A353="","",IF(AND(E353&gt;=0,E353&lt;=23),"OK","CHECK"))</f>
        <v>OK</v>
      </c>
      <c r="M353" s="1" t="str">
        <f aca="false">IF(A353="","",IF(AND(K353="OK",L353="OK"),"OK","CHECK"))</f>
        <v>OK</v>
      </c>
    </row>
    <row r="354" customFormat="false" ht="18" hidden="false" customHeight="true" outlineLevel="0" collapsed="false">
      <c r="A354" s="9" t="s">
        <v>26</v>
      </c>
      <c r="B354" s="9" t="n">
        <v>21</v>
      </c>
      <c r="C354" s="11" t="n">
        <v>45976</v>
      </c>
      <c r="D354" s="9" t="s">
        <v>66</v>
      </c>
      <c r="E354" s="12" t="n">
        <v>16</v>
      </c>
      <c r="F354" s="9" t="s">
        <v>31</v>
      </c>
      <c r="G354" s="13" t="n">
        <v>50</v>
      </c>
      <c r="H354" s="9" t="s">
        <v>41</v>
      </c>
      <c r="I354" s="13" t="n">
        <v>1</v>
      </c>
      <c r="J354" s="1" t="str">
        <f aca="false">IF(A354="","", "SAMP-"&amp;A354&amp;"-L"&amp;TEXT(B354,"00")&amp;"-"&amp;TEXT(C354,"yyyymmdd")&amp;"-"&amp;D354&amp;"-H"&amp;TEXT(E354,"00")&amp;"-"&amp;H354)</f>
        <v>SAMP-KG01-L21-20251115-ORD-2025-00177-H16-Chip</v>
      </c>
      <c r="K354" s="1" t="str">
        <f aca="false">IF(A354="","",IF(AND(G354&gt;=0,I354&gt;=0,I354&lt;=G354),"OK","CHECK"))</f>
        <v>OK</v>
      </c>
      <c r="L354" s="1" t="str">
        <f aca="false">IF(A354="","",IF(AND(E354&gt;=0,E354&lt;=23),"OK","CHECK"))</f>
        <v>OK</v>
      </c>
      <c r="M354" s="1" t="str">
        <f aca="false">IF(A354="","",IF(AND(K354="OK",L354="OK"),"OK","CHECK"))</f>
        <v>OK</v>
      </c>
    </row>
    <row r="355" customFormat="false" ht="18" hidden="false" customHeight="true" outlineLevel="0" collapsed="false">
      <c r="A355" s="9" t="s">
        <v>26</v>
      </c>
      <c r="B355" s="9" t="n">
        <v>21</v>
      </c>
      <c r="C355" s="11" t="n">
        <v>45977</v>
      </c>
      <c r="D355" s="9" t="s">
        <v>66</v>
      </c>
      <c r="E355" s="12" t="n">
        <v>7</v>
      </c>
      <c r="F355" s="9" t="s">
        <v>28</v>
      </c>
      <c r="G355" s="13" t="n">
        <v>100</v>
      </c>
      <c r="H355" s="9" t="s">
        <v>41</v>
      </c>
      <c r="I355" s="13" t="n">
        <v>2</v>
      </c>
      <c r="J355" s="1" t="str">
        <f aca="false">IF(A355="","", "SAMP-"&amp;A355&amp;"-L"&amp;TEXT(B355,"00")&amp;"-"&amp;TEXT(C355,"yyyymmdd")&amp;"-"&amp;D355&amp;"-H"&amp;TEXT(E355,"00")&amp;"-"&amp;H355)</f>
        <v>SAMP-KG01-L21-20251116-ORD-2025-00177-H07-Chip</v>
      </c>
      <c r="K355" s="1" t="str">
        <f aca="false">IF(A355="","",IF(AND(G355&gt;=0,I355&gt;=0,I355&lt;=G355),"OK","CHECK"))</f>
        <v>OK</v>
      </c>
      <c r="L355" s="1" t="str">
        <f aca="false">IF(A355="","",IF(AND(E355&gt;=0,E355&lt;=23),"OK","CHECK"))</f>
        <v>OK</v>
      </c>
      <c r="M355" s="1" t="str">
        <f aca="false">IF(A355="","",IF(AND(K355="OK",L355="OK"),"OK","CHECK"))</f>
        <v>OK</v>
      </c>
    </row>
    <row r="356" customFormat="false" ht="18" hidden="false" customHeight="true" outlineLevel="0" collapsed="false">
      <c r="A356" s="9" t="s">
        <v>26</v>
      </c>
      <c r="B356" s="9" t="n">
        <v>21</v>
      </c>
      <c r="C356" s="11" t="n">
        <v>45977</v>
      </c>
      <c r="D356" s="9" t="s">
        <v>66</v>
      </c>
      <c r="E356" s="12" t="n">
        <v>9</v>
      </c>
      <c r="F356" s="9" t="s">
        <v>28</v>
      </c>
      <c r="G356" s="13" t="n">
        <v>200</v>
      </c>
      <c r="H356" s="9" t="s">
        <v>30</v>
      </c>
      <c r="I356" s="13" t="n">
        <v>9</v>
      </c>
      <c r="J356" s="1" t="str">
        <f aca="false">IF(A356="","", "SAMP-"&amp;A356&amp;"-L"&amp;TEXT(B356,"00")&amp;"-"&amp;TEXT(C356,"yyyymmdd")&amp;"-"&amp;D356&amp;"-H"&amp;TEXT(E356,"00")&amp;"-"&amp;H356)</f>
        <v>SAMP-KG01-L21-20251116-ORD-2025-00177-H09-Overpress</v>
      </c>
      <c r="K356" s="1" t="str">
        <f aca="false">IF(A356="","",IF(AND(G356&gt;=0,I356&gt;=0,I356&lt;=G356),"OK","CHECK"))</f>
        <v>OK</v>
      </c>
      <c r="L356" s="1" t="str">
        <f aca="false">IF(A356="","",IF(AND(E356&gt;=0,E356&lt;=23),"OK","CHECK"))</f>
        <v>OK</v>
      </c>
      <c r="M356" s="1" t="str">
        <f aca="false">IF(A356="","",IF(AND(K356="OK",L356="OK"),"OK","CHECK"))</f>
        <v>OK</v>
      </c>
    </row>
    <row r="357" customFormat="false" ht="18" hidden="false" customHeight="true" outlineLevel="0" collapsed="false">
      <c r="A357" s="9" t="s">
        <v>26</v>
      </c>
      <c r="B357" s="9" t="n">
        <v>21</v>
      </c>
      <c r="C357" s="11" t="n">
        <v>45977</v>
      </c>
      <c r="D357" s="9" t="s">
        <v>66</v>
      </c>
      <c r="E357" s="12" t="n">
        <v>12</v>
      </c>
      <c r="F357" s="9" t="s">
        <v>28</v>
      </c>
      <c r="G357" s="13" t="n">
        <v>150</v>
      </c>
      <c r="H357" s="9" t="s">
        <v>30</v>
      </c>
      <c r="I357" s="13" t="n">
        <v>1</v>
      </c>
      <c r="J357" s="1" t="str">
        <f aca="false">IF(A357="","", "SAMP-"&amp;A357&amp;"-L"&amp;TEXT(B357,"00")&amp;"-"&amp;TEXT(C357,"yyyymmdd")&amp;"-"&amp;D357&amp;"-H"&amp;TEXT(E357,"00")&amp;"-"&amp;H357)</f>
        <v>SAMP-KG01-L21-20251116-ORD-2025-00177-H12-Overpress</v>
      </c>
      <c r="K357" s="1" t="str">
        <f aca="false">IF(A357="","",IF(AND(G357&gt;=0,I357&gt;=0,I357&lt;=G357),"OK","CHECK"))</f>
        <v>OK</v>
      </c>
      <c r="L357" s="1" t="str">
        <f aca="false">IF(A357="","",IF(AND(E357&gt;=0,E357&lt;=23),"OK","CHECK"))</f>
        <v>OK</v>
      </c>
      <c r="M357" s="1" t="str">
        <f aca="false">IF(A357="","",IF(AND(K357="OK",L357="OK"),"OK","CHECK"))</f>
        <v>OK</v>
      </c>
    </row>
    <row r="358" customFormat="false" ht="18" hidden="false" customHeight="true" outlineLevel="0" collapsed="false">
      <c r="A358" s="9" t="s">
        <v>26</v>
      </c>
      <c r="B358" s="9" t="n">
        <v>21</v>
      </c>
      <c r="C358" s="11" t="n">
        <v>45977</v>
      </c>
      <c r="D358" s="9" t="s">
        <v>66</v>
      </c>
      <c r="E358" s="12" t="n">
        <v>16</v>
      </c>
      <c r="F358" s="9" t="s">
        <v>31</v>
      </c>
      <c r="G358" s="13" t="n">
        <v>150</v>
      </c>
      <c r="H358" s="9" t="s">
        <v>36</v>
      </c>
      <c r="I358" s="13" t="n">
        <v>7</v>
      </c>
      <c r="J358" s="1" t="str">
        <f aca="false">IF(A358="","", "SAMP-"&amp;A358&amp;"-L"&amp;TEXT(B358,"00")&amp;"-"&amp;TEXT(C358,"yyyymmdd")&amp;"-"&amp;D358&amp;"-H"&amp;TEXT(E358,"00")&amp;"-"&amp;H358)</f>
        <v>SAMP-KG01-L21-20251116-ORD-2025-00177-H16-Blister</v>
      </c>
      <c r="K358" s="1" t="str">
        <f aca="false">IF(A358="","",IF(AND(G358&gt;=0,I358&gt;=0,I358&lt;=G358),"OK","CHECK"))</f>
        <v>OK</v>
      </c>
      <c r="L358" s="1" t="str">
        <f aca="false">IF(A358="","",IF(AND(E358&gt;=0,E358&lt;=23),"OK","CHECK"))</f>
        <v>OK</v>
      </c>
      <c r="M358" s="1" t="str">
        <f aca="false">IF(A358="","",IF(AND(K358="OK",L358="OK"),"OK","CHECK"))</f>
        <v>OK</v>
      </c>
    </row>
    <row r="359" customFormat="false" ht="18" hidden="false" customHeight="true" outlineLevel="0" collapsed="false">
      <c r="A359" s="9" t="s">
        <v>26</v>
      </c>
      <c r="B359" s="9" t="n">
        <v>21</v>
      </c>
      <c r="C359" s="11" t="n">
        <v>45977</v>
      </c>
      <c r="D359" s="9" t="s">
        <v>66</v>
      </c>
      <c r="E359" s="12" t="n">
        <v>20</v>
      </c>
      <c r="F359" s="9" t="s">
        <v>31</v>
      </c>
      <c r="G359" s="13" t="n">
        <v>100</v>
      </c>
      <c r="H359" s="9" t="s">
        <v>36</v>
      </c>
      <c r="I359" s="13" t="n">
        <v>5</v>
      </c>
      <c r="J359" s="1" t="str">
        <f aca="false">IF(A359="","", "SAMP-"&amp;A359&amp;"-L"&amp;TEXT(B359,"00")&amp;"-"&amp;TEXT(C359,"yyyymmdd")&amp;"-"&amp;D359&amp;"-H"&amp;TEXT(E359,"00")&amp;"-"&amp;H359)</f>
        <v>SAMP-KG01-L21-20251116-ORD-2025-00177-H20-Blister</v>
      </c>
      <c r="K359" s="1" t="str">
        <f aca="false">IF(A359="","",IF(AND(G359&gt;=0,I359&gt;=0,I359&lt;=G359),"OK","CHECK"))</f>
        <v>OK</v>
      </c>
      <c r="L359" s="1" t="str">
        <f aca="false">IF(A359="","",IF(AND(E359&gt;=0,E359&lt;=23),"OK","CHECK"))</f>
        <v>OK</v>
      </c>
      <c r="M359" s="1" t="str">
        <f aca="false">IF(A359="","",IF(AND(K359="OK",L359="OK"),"OK","CHECK"))</f>
        <v>OK</v>
      </c>
    </row>
    <row r="360" customFormat="false" ht="18" hidden="false" customHeight="true" outlineLevel="0" collapsed="false">
      <c r="A360" s="9" t="s">
        <v>26</v>
      </c>
      <c r="B360" s="9" t="n">
        <v>21</v>
      </c>
      <c r="C360" s="11" t="n">
        <v>45977</v>
      </c>
      <c r="D360" s="9" t="s">
        <v>66</v>
      </c>
      <c r="E360" s="12" t="n">
        <v>23</v>
      </c>
      <c r="F360" s="9" t="s">
        <v>31</v>
      </c>
      <c r="G360" s="13" t="n">
        <v>100</v>
      </c>
      <c r="H360" s="9" t="s">
        <v>36</v>
      </c>
      <c r="I360" s="13" t="n">
        <v>4</v>
      </c>
      <c r="J360" s="1" t="str">
        <f aca="false">IF(A360="","", "SAMP-"&amp;A360&amp;"-L"&amp;TEXT(B360,"00")&amp;"-"&amp;TEXT(C360,"yyyymmdd")&amp;"-"&amp;D360&amp;"-H"&amp;TEXT(E360,"00")&amp;"-"&amp;H360)</f>
        <v>SAMP-KG01-L21-20251116-ORD-2025-00177-H23-Blister</v>
      </c>
      <c r="K360" s="1" t="str">
        <f aca="false">IF(A360="","",IF(AND(G360&gt;=0,I360&gt;=0,I360&lt;=G360),"OK","CHECK"))</f>
        <v>OK</v>
      </c>
      <c r="L360" s="1" t="str">
        <f aca="false">IF(A360="","",IF(AND(E360&gt;=0,E360&lt;=23),"OK","CHECK"))</f>
        <v>OK</v>
      </c>
      <c r="M360" s="1" t="str">
        <f aca="false">IF(A360="","",IF(AND(K360="OK",L360="OK"),"OK","CHECK"))</f>
        <v>OK</v>
      </c>
    </row>
    <row r="361" customFormat="false" ht="18" hidden="false" customHeight="true" outlineLevel="0" collapsed="false">
      <c r="A361" s="9" t="s">
        <v>26</v>
      </c>
      <c r="B361" s="9" t="n">
        <v>21</v>
      </c>
      <c r="C361" s="11" t="n">
        <v>45978</v>
      </c>
      <c r="D361" s="9" t="s">
        <v>66</v>
      </c>
      <c r="E361" s="12" t="n">
        <v>12</v>
      </c>
      <c r="F361" s="9" t="s">
        <v>28</v>
      </c>
      <c r="G361" s="13" t="n">
        <v>150</v>
      </c>
      <c r="H361" s="9" t="s">
        <v>36</v>
      </c>
      <c r="I361" s="13" t="n">
        <v>2</v>
      </c>
      <c r="J361" s="1" t="str">
        <f aca="false">IF(A361="","", "SAMP-"&amp;A361&amp;"-L"&amp;TEXT(B361,"00")&amp;"-"&amp;TEXT(C361,"yyyymmdd")&amp;"-"&amp;D361&amp;"-H"&amp;TEXT(E361,"00")&amp;"-"&amp;H361)</f>
        <v>SAMP-KG01-L21-20251117-ORD-2025-00177-H12-Blister</v>
      </c>
      <c r="K361" s="1" t="str">
        <f aca="false">IF(A361="","",IF(AND(G361&gt;=0,I361&gt;=0,I361&lt;=G361),"OK","CHECK"))</f>
        <v>OK</v>
      </c>
      <c r="L361" s="1" t="str">
        <f aca="false">IF(A361="","",IF(AND(E361&gt;=0,E361&lt;=23),"OK","CHECK"))</f>
        <v>OK</v>
      </c>
      <c r="M361" s="1" t="str">
        <f aca="false">IF(A361="","",IF(AND(K361="OK",L361="OK"),"OK","CHECK"))</f>
        <v>OK</v>
      </c>
    </row>
    <row r="362" customFormat="false" ht="18" hidden="false" customHeight="true" outlineLevel="0" collapsed="false">
      <c r="A362" s="9" t="s">
        <v>26</v>
      </c>
      <c r="B362" s="9" t="n">
        <v>21</v>
      </c>
      <c r="C362" s="11" t="n">
        <v>45978</v>
      </c>
      <c r="D362" s="9" t="s">
        <v>66</v>
      </c>
      <c r="E362" s="12" t="n">
        <v>9</v>
      </c>
      <c r="F362" s="9" t="s">
        <v>28</v>
      </c>
      <c r="G362" s="13" t="n">
        <v>150</v>
      </c>
      <c r="H362" s="9" t="s">
        <v>29</v>
      </c>
      <c r="I362" s="13" t="n">
        <v>7</v>
      </c>
      <c r="J362" s="1" t="str">
        <f aca="false">IF(A362="","", "SAMP-"&amp;A362&amp;"-L"&amp;TEXT(B362,"00")&amp;"-"&amp;TEXT(C362,"yyyymmdd")&amp;"-"&amp;D362&amp;"-H"&amp;TEXT(E362,"00")&amp;"-"&amp;H362)</f>
        <v>SAMP-KG01-L21-20251117-ORD-2025-00177-H09-Choke Neck</v>
      </c>
      <c r="K362" s="1" t="str">
        <f aca="false">IF(A362="","",IF(AND(G362&gt;=0,I362&gt;=0,I362&lt;=G362),"OK","CHECK"))</f>
        <v>OK</v>
      </c>
      <c r="L362" s="1" t="str">
        <f aca="false">IF(A362="","",IF(AND(E362&gt;=0,E362&lt;=23),"OK","CHECK"))</f>
        <v>OK</v>
      </c>
      <c r="M362" s="1" t="str">
        <f aca="false">IF(A362="","",IF(AND(K362="OK",L362="OK"),"OK","CHECK"))</f>
        <v>OK</v>
      </c>
    </row>
    <row r="363" customFormat="false" ht="18" hidden="false" customHeight="true" outlineLevel="0" collapsed="false">
      <c r="A363" s="9" t="s">
        <v>26</v>
      </c>
      <c r="B363" s="9" t="n">
        <v>21</v>
      </c>
      <c r="C363" s="11" t="n">
        <v>45978</v>
      </c>
      <c r="D363" s="9" t="s">
        <v>66</v>
      </c>
      <c r="E363" s="12" t="n">
        <v>23</v>
      </c>
      <c r="F363" s="9" t="s">
        <v>31</v>
      </c>
      <c r="G363" s="13" t="n">
        <v>150</v>
      </c>
      <c r="H363" s="9" t="s">
        <v>30</v>
      </c>
      <c r="I363" s="13" t="n">
        <v>3</v>
      </c>
      <c r="J363" s="1" t="str">
        <f aca="false">IF(A363="","", "SAMP-"&amp;A363&amp;"-L"&amp;TEXT(B363,"00")&amp;"-"&amp;TEXT(C363,"yyyymmdd")&amp;"-"&amp;D363&amp;"-H"&amp;TEXT(E363,"00")&amp;"-"&amp;H363)</f>
        <v>SAMP-KG01-L21-20251117-ORD-2025-00177-H23-Overpress</v>
      </c>
      <c r="K363" s="1" t="str">
        <f aca="false">IF(A363="","",IF(AND(G363&gt;=0,I363&gt;=0,I363&lt;=G363),"OK","CHECK"))</f>
        <v>OK</v>
      </c>
      <c r="L363" s="1" t="str">
        <f aca="false">IF(A363="","",IF(AND(E363&gt;=0,E363&lt;=23),"OK","CHECK"))</f>
        <v>OK</v>
      </c>
      <c r="M363" s="1" t="str">
        <f aca="false">IF(A363="","",IF(AND(K363="OK",L363="OK"),"OK","CHECK"))</f>
        <v>OK</v>
      </c>
    </row>
    <row r="364" customFormat="false" ht="18" hidden="false" customHeight="true" outlineLevel="0" collapsed="false">
      <c r="A364" s="9" t="s">
        <v>26</v>
      </c>
      <c r="B364" s="9" t="n">
        <v>21</v>
      </c>
      <c r="C364" s="11" t="n">
        <v>45978</v>
      </c>
      <c r="D364" s="9" t="s">
        <v>66</v>
      </c>
      <c r="E364" s="12" t="n">
        <v>16</v>
      </c>
      <c r="F364" s="9" t="s">
        <v>31</v>
      </c>
      <c r="G364" s="13" t="n">
        <v>50</v>
      </c>
      <c r="H364" s="9" t="s">
        <v>30</v>
      </c>
      <c r="I364" s="13" t="n">
        <v>2</v>
      </c>
      <c r="J364" s="1" t="str">
        <f aca="false">IF(A364="","", "SAMP-"&amp;A364&amp;"-L"&amp;TEXT(B364,"00")&amp;"-"&amp;TEXT(C364,"yyyymmdd")&amp;"-"&amp;D364&amp;"-H"&amp;TEXT(E364,"00")&amp;"-"&amp;H364)</f>
        <v>SAMP-KG01-L21-20251117-ORD-2025-00177-H16-Overpress</v>
      </c>
      <c r="K364" s="1" t="str">
        <f aca="false">IF(A364="","",IF(AND(G364&gt;=0,I364&gt;=0,I364&lt;=G364),"OK","CHECK"))</f>
        <v>OK</v>
      </c>
      <c r="L364" s="1" t="str">
        <f aca="false">IF(A364="","",IF(AND(E364&gt;=0,E364&lt;=23),"OK","CHECK"))</f>
        <v>OK</v>
      </c>
      <c r="M364" s="1" t="str">
        <f aca="false">IF(A364="","",IF(AND(K364="OK",L364="OK"),"OK","CHECK"))</f>
        <v>OK</v>
      </c>
    </row>
    <row r="365" customFormat="false" ht="18" hidden="false" customHeight="true" outlineLevel="0" collapsed="false">
      <c r="A365" s="9" t="s">
        <v>26</v>
      </c>
      <c r="B365" s="9" t="n">
        <v>21</v>
      </c>
      <c r="C365" s="11" t="n">
        <v>45978</v>
      </c>
      <c r="D365" s="9" t="s">
        <v>66</v>
      </c>
      <c r="E365" s="12" t="n">
        <v>20</v>
      </c>
      <c r="F365" s="9" t="s">
        <v>31</v>
      </c>
      <c r="G365" s="13" t="n">
        <v>150</v>
      </c>
      <c r="H365" s="9" t="s">
        <v>33</v>
      </c>
      <c r="I365" s="13" t="n">
        <v>7</v>
      </c>
      <c r="J365" s="1" t="str">
        <f aca="false">IF(A365="","", "SAMP-"&amp;A365&amp;"-L"&amp;TEXT(B365,"00")&amp;"-"&amp;TEXT(C365,"yyyymmdd")&amp;"-"&amp;D365&amp;"-H"&amp;TEXT(E365,"00")&amp;"-"&amp;H365)</f>
        <v>SAMP-KG01-L21-20251117-ORD-2025-00177-H20-Distortion</v>
      </c>
      <c r="K365" s="1" t="str">
        <f aca="false">IF(A365="","",IF(AND(G365&gt;=0,I365&gt;=0,I365&lt;=G365),"OK","CHECK"))</f>
        <v>OK</v>
      </c>
      <c r="L365" s="1" t="str">
        <f aca="false">IF(A365="","",IF(AND(E365&gt;=0,E365&lt;=23),"OK","CHECK"))</f>
        <v>OK</v>
      </c>
      <c r="M365" s="1" t="str">
        <f aca="false">IF(A365="","",IF(AND(K365="OK",L365="OK"),"OK","CHECK"))</f>
        <v>OK</v>
      </c>
    </row>
    <row r="366" customFormat="false" ht="18" hidden="false" customHeight="true" outlineLevel="0" collapsed="false">
      <c r="A366" s="9" t="s">
        <v>26</v>
      </c>
      <c r="B366" s="9" t="n">
        <v>21</v>
      </c>
      <c r="C366" s="11" t="n">
        <v>45979</v>
      </c>
      <c r="D366" s="9" t="s">
        <v>66</v>
      </c>
      <c r="E366" s="12" t="n">
        <v>12</v>
      </c>
      <c r="F366" s="9" t="s">
        <v>28</v>
      </c>
      <c r="G366" s="13" t="n">
        <v>100</v>
      </c>
      <c r="H366" s="9" t="s">
        <v>34</v>
      </c>
      <c r="I366" s="13" t="n">
        <v>3</v>
      </c>
      <c r="J366" s="1" t="str">
        <f aca="false">IF(A366="","", "SAMP-"&amp;A366&amp;"-L"&amp;TEXT(B366,"00")&amp;"-"&amp;TEXT(C366,"yyyymmdd")&amp;"-"&amp;D366&amp;"-H"&amp;TEXT(E366,"00")&amp;"-"&amp;H366)</f>
        <v>SAMP-KG01-L21-20251118-ORD-2025-00177-H12-Thin Wall</v>
      </c>
      <c r="K366" s="1" t="str">
        <f aca="false">IF(A366="","",IF(AND(G366&gt;=0,I366&gt;=0,I366&lt;=G366),"OK","CHECK"))</f>
        <v>OK</v>
      </c>
      <c r="L366" s="1" t="str">
        <f aca="false">IF(A366="","",IF(AND(E366&gt;=0,E366&lt;=23),"OK","CHECK"))</f>
        <v>OK</v>
      </c>
      <c r="M366" s="1" t="str">
        <f aca="false">IF(A366="","",IF(AND(K366="OK",L366="OK"),"OK","CHECK"))</f>
        <v>OK</v>
      </c>
    </row>
    <row r="367" customFormat="false" ht="18" hidden="false" customHeight="true" outlineLevel="0" collapsed="false">
      <c r="A367" s="9" t="s">
        <v>26</v>
      </c>
      <c r="B367" s="9" t="n">
        <v>21</v>
      </c>
      <c r="C367" s="11" t="n">
        <v>45979</v>
      </c>
      <c r="D367" s="9" t="s">
        <v>66</v>
      </c>
      <c r="E367" s="12" t="n">
        <v>7</v>
      </c>
      <c r="F367" s="9" t="s">
        <v>28</v>
      </c>
      <c r="G367" s="13" t="n">
        <v>50</v>
      </c>
      <c r="H367" s="9" t="s">
        <v>29</v>
      </c>
      <c r="I367" s="13" t="n">
        <v>1</v>
      </c>
      <c r="J367" s="1" t="str">
        <f aca="false">IF(A367="","", "SAMP-"&amp;A367&amp;"-L"&amp;TEXT(B367,"00")&amp;"-"&amp;TEXT(C367,"yyyymmdd")&amp;"-"&amp;D367&amp;"-H"&amp;TEXT(E367,"00")&amp;"-"&amp;H367)</f>
        <v>SAMP-KG01-L21-20251118-ORD-2025-00177-H07-Choke Neck</v>
      </c>
      <c r="K367" s="1" t="str">
        <f aca="false">IF(A367="","",IF(AND(G367&gt;=0,I367&gt;=0,I367&lt;=G367),"OK","CHECK"))</f>
        <v>OK</v>
      </c>
      <c r="L367" s="1" t="str">
        <f aca="false">IF(A367="","",IF(AND(E367&gt;=0,E367&lt;=23),"OK","CHECK"))</f>
        <v>OK</v>
      </c>
      <c r="M367" s="1" t="str">
        <f aca="false">IF(A367="","",IF(AND(K367="OK",L367="OK"),"OK","CHECK"))</f>
        <v>OK</v>
      </c>
    </row>
    <row r="368" customFormat="false" ht="18" hidden="false" customHeight="true" outlineLevel="0" collapsed="false">
      <c r="A368" s="9" t="s">
        <v>26</v>
      </c>
      <c r="B368" s="9" t="n">
        <v>21</v>
      </c>
      <c r="C368" s="11" t="n">
        <v>45979</v>
      </c>
      <c r="D368" s="9" t="s">
        <v>66</v>
      </c>
      <c r="E368" s="12" t="n">
        <v>9</v>
      </c>
      <c r="F368" s="9" t="s">
        <v>28</v>
      </c>
      <c r="G368" s="13" t="n">
        <v>50</v>
      </c>
      <c r="H368" s="9" t="s">
        <v>35</v>
      </c>
      <c r="I368" s="13" t="n">
        <v>0</v>
      </c>
      <c r="J368" s="1" t="str">
        <f aca="false">IF(A368="","", "SAMP-"&amp;A368&amp;"-L"&amp;TEXT(B368,"00")&amp;"-"&amp;TEXT(C368,"yyyymmdd")&amp;"-"&amp;D368&amp;"-H"&amp;TEXT(E368,"00")&amp;"-"&amp;H368)</f>
        <v>SAMP-KG01-L21-20251118-ORD-2025-00177-H09-Stone</v>
      </c>
      <c r="K368" s="1" t="str">
        <f aca="false">IF(A368="","",IF(AND(G368&gt;=0,I368&gt;=0,I368&lt;=G368),"OK","CHECK"))</f>
        <v>OK</v>
      </c>
      <c r="L368" s="1" t="str">
        <f aca="false">IF(A368="","",IF(AND(E368&gt;=0,E368&lt;=23),"OK","CHECK"))</f>
        <v>OK</v>
      </c>
      <c r="M368" s="1" t="str">
        <f aca="false">IF(A368="","",IF(AND(K368="OK",L368="OK"),"OK","CHECK"))</f>
        <v>OK</v>
      </c>
    </row>
    <row r="369" customFormat="false" ht="18" hidden="false" customHeight="true" outlineLevel="0" collapsed="false">
      <c r="A369" s="9" t="s">
        <v>26</v>
      </c>
      <c r="B369" s="9" t="n">
        <v>21</v>
      </c>
      <c r="C369" s="11" t="n">
        <v>45979</v>
      </c>
      <c r="D369" s="9" t="s">
        <v>66</v>
      </c>
      <c r="E369" s="12" t="n">
        <v>16</v>
      </c>
      <c r="F369" s="9" t="s">
        <v>31</v>
      </c>
      <c r="G369" s="13" t="n">
        <v>200</v>
      </c>
      <c r="H369" s="9" t="s">
        <v>37</v>
      </c>
      <c r="I369" s="13" t="n">
        <v>7</v>
      </c>
      <c r="J369" s="1" t="str">
        <f aca="false">IF(A369="","", "SAMP-"&amp;A369&amp;"-L"&amp;TEXT(B369,"00")&amp;"-"&amp;TEXT(C369,"yyyymmdd")&amp;"-"&amp;D369&amp;"-H"&amp;TEXT(E369,"00")&amp;"-"&amp;H369)</f>
        <v>SAMP-KG01-L21-20251118-ORD-2025-00177-H16-Bird Swing</v>
      </c>
      <c r="K369" s="1" t="str">
        <f aca="false">IF(A369="","",IF(AND(G369&gt;=0,I369&gt;=0,I369&lt;=G369),"OK","CHECK"))</f>
        <v>OK</v>
      </c>
      <c r="L369" s="1" t="str">
        <f aca="false">IF(A369="","",IF(AND(E369&gt;=0,E369&lt;=23),"OK","CHECK"))</f>
        <v>OK</v>
      </c>
      <c r="M369" s="1" t="str">
        <f aca="false">IF(A369="","",IF(AND(K369="OK",L369="OK"),"OK","CHECK"))</f>
        <v>OK</v>
      </c>
    </row>
    <row r="370" customFormat="false" ht="18" hidden="false" customHeight="true" outlineLevel="0" collapsed="false">
      <c r="A370" s="9" t="s">
        <v>26</v>
      </c>
      <c r="B370" s="9" t="n">
        <v>21</v>
      </c>
      <c r="C370" s="11" t="n">
        <v>45979</v>
      </c>
      <c r="D370" s="9" t="s">
        <v>66</v>
      </c>
      <c r="E370" s="12" t="n">
        <v>23</v>
      </c>
      <c r="F370" s="9" t="s">
        <v>31</v>
      </c>
      <c r="G370" s="13" t="n">
        <v>100</v>
      </c>
      <c r="H370" s="9" t="s">
        <v>29</v>
      </c>
      <c r="I370" s="13" t="n">
        <v>4</v>
      </c>
      <c r="J370" s="1" t="str">
        <f aca="false">IF(A370="","", "SAMP-"&amp;A370&amp;"-L"&amp;TEXT(B370,"00")&amp;"-"&amp;TEXT(C370,"yyyymmdd")&amp;"-"&amp;D370&amp;"-H"&amp;TEXT(E370,"00")&amp;"-"&amp;H370)</f>
        <v>SAMP-KG01-L21-20251118-ORD-2025-00177-H23-Choke Neck</v>
      </c>
      <c r="K370" s="1" t="str">
        <f aca="false">IF(A370="","",IF(AND(G370&gt;=0,I370&gt;=0,I370&lt;=G370),"OK","CHECK"))</f>
        <v>OK</v>
      </c>
      <c r="L370" s="1" t="str">
        <f aca="false">IF(A370="","",IF(AND(E370&gt;=0,E370&lt;=23),"OK","CHECK"))</f>
        <v>OK</v>
      </c>
      <c r="M370" s="1" t="str">
        <f aca="false">IF(A370="","",IF(AND(K370="OK",L370="OK"),"OK","CHECK"))</f>
        <v>OK</v>
      </c>
    </row>
    <row r="371" customFormat="false" ht="18" hidden="false" customHeight="true" outlineLevel="0" collapsed="false">
      <c r="A371" s="9" t="s">
        <v>26</v>
      </c>
      <c r="B371" s="9" t="n">
        <v>21</v>
      </c>
      <c r="C371" s="11" t="n">
        <v>45979</v>
      </c>
      <c r="D371" s="9" t="s">
        <v>66</v>
      </c>
      <c r="E371" s="12" t="n">
        <v>20</v>
      </c>
      <c r="F371" s="9" t="s">
        <v>31</v>
      </c>
      <c r="G371" s="13" t="n">
        <v>150</v>
      </c>
      <c r="H371" s="9" t="s">
        <v>36</v>
      </c>
      <c r="I371" s="13" t="n">
        <v>2</v>
      </c>
      <c r="J371" s="1" t="str">
        <f aca="false">IF(A371="","", "SAMP-"&amp;A371&amp;"-L"&amp;TEXT(B371,"00")&amp;"-"&amp;TEXT(C371,"yyyymmdd")&amp;"-"&amp;D371&amp;"-H"&amp;TEXT(E371,"00")&amp;"-"&amp;H371)</f>
        <v>SAMP-KG01-L21-20251118-ORD-2025-00177-H20-Blister</v>
      </c>
      <c r="K371" s="1" t="str">
        <f aca="false">IF(A371="","",IF(AND(G371&gt;=0,I371&gt;=0,I371&lt;=G371),"OK","CHECK"))</f>
        <v>OK</v>
      </c>
      <c r="L371" s="1" t="str">
        <f aca="false">IF(A371="","",IF(AND(E371&gt;=0,E371&lt;=23),"OK","CHECK"))</f>
        <v>OK</v>
      </c>
      <c r="M371" s="1" t="str">
        <f aca="false">IF(A371="","",IF(AND(K371="OK",L371="OK"),"OK","CHECK"))</f>
        <v>OK</v>
      </c>
    </row>
    <row r="372" customFormat="false" ht="18" hidden="false" customHeight="true" outlineLevel="0" collapsed="false">
      <c r="A372" s="9" t="s">
        <v>26</v>
      </c>
      <c r="B372" s="9" t="n">
        <v>21</v>
      </c>
      <c r="C372" s="11" t="n">
        <v>45980</v>
      </c>
      <c r="D372" s="9" t="s">
        <v>67</v>
      </c>
      <c r="E372" s="12" t="n">
        <v>12</v>
      </c>
      <c r="F372" s="9" t="s">
        <v>28</v>
      </c>
      <c r="G372" s="13" t="n">
        <v>100</v>
      </c>
      <c r="H372" s="9" t="s">
        <v>30</v>
      </c>
      <c r="I372" s="13" t="n">
        <v>3</v>
      </c>
      <c r="J372" s="1" t="str">
        <f aca="false">IF(A372="","", "SAMP-"&amp;A372&amp;"-L"&amp;TEXT(B372,"00")&amp;"-"&amp;TEXT(C372,"yyyymmdd")&amp;"-"&amp;D372&amp;"-H"&amp;TEXT(E372,"00")&amp;"-"&amp;H372)</f>
        <v>SAMP-KG01-L21-20251119-ORD-2025-00178-H12-Overpress</v>
      </c>
      <c r="K372" s="1" t="str">
        <f aca="false">IF(A372="","",IF(AND(G372&gt;=0,I372&gt;=0,I372&lt;=G372),"OK","CHECK"))</f>
        <v>OK</v>
      </c>
      <c r="L372" s="1" t="str">
        <f aca="false">IF(A372="","",IF(AND(E372&gt;=0,E372&lt;=23),"OK","CHECK"))</f>
        <v>OK</v>
      </c>
      <c r="M372" s="1" t="str">
        <f aca="false">IF(A372="","",IF(AND(K372="OK",L372="OK"),"OK","CHECK"))</f>
        <v>OK</v>
      </c>
    </row>
    <row r="373" customFormat="false" ht="18" hidden="false" customHeight="true" outlineLevel="0" collapsed="false">
      <c r="A373" s="9" t="s">
        <v>26</v>
      </c>
      <c r="B373" s="9" t="n">
        <v>21</v>
      </c>
      <c r="C373" s="11" t="n">
        <v>45980</v>
      </c>
      <c r="D373" s="9" t="s">
        <v>67</v>
      </c>
      <c r="E373" s="12" t="n">
        <v>7</v>
      </c>
      <c r="F373" s="9" t="s">
        <v>28</v>
      </c>
      <c r="G373" s="13" t="n">
        <v>150</v>
      </c>
      <c r="H373" s="9" t="s">
        <v>30</v>
      </c>
      <c r="I373" s="13" t="n">
        <v>6</v>
      </c>
      <c r="J373" s="1" t="str">
        <f aca="false">IF(A373="","", "SAMP-"&amp;A373&amp;"-L"&amp;TEXT(B373,"00")&amp;"-"&amp;TEXT(C373,"yyyymmdd")&amp;"-"&amp;D373&amp;"-H"&amp;TEXT(E373,"00")&amp;"-"&amp;H373)</f>
        <v>SAMP-KG01-L21-20251119-ORD-2025-00178-H07-Overpress</v>
      </c>
      <c r="K373" s="1" t="str">
        <f aca="false">IF(A373="","",IF(AND(G373&gt;=0,I373&gt;=0,I373&lt;=G373),"OK","CHECK"))</f>
        <v>OK</v>
      </c>
      <c r="L373" s="1" t="str">
        <f aca="false">IF(A373="","",IF(AND(E373&gt;=0,E373&lt;=23),"OK","CHECK"))</f>
        <v>OK</v>
      </c>
      <c r="M373" s="1" t="str">
        <f aca="false">IF(A373="","",IF(AND(K373="OK",L373="OK"),"OK","CHECK"))</f>
        <v>OK</v>
      </c>
    </row>
    <row r="374" customFormat="false" ht="18" hidden="false" customHeight="true" outlineLevel="0" collapsed="false">
      <c r="A374" s="9" t="s">
        <v>26</v>
      </c>
      <c r="B374" s="9" t="n">
        <v>21</v>
      </c>
      <c r="C374" s="11" t="n">
        <v>45980</v>
      </c>
      <c r="D374" s="9" t="s">
        <v>67</v>
      </c>
      <c r="E374" s="12" t="n">
        <v>23</v>
      </c>
      <c r="F374" s="9" t="s">
        <v>31</v>
      </c>
      <c r="G374" s="13" t="n">
        <v>200</v>
      </c>
      <c r="H374" s="9" t="s">
        <v>41</v>
      </c>
      <c r="I374" s="13" t="n">
        <v>3</v>
      </c>
      <c r="J374" s="1" t="str">
        <f aca="false">IF(A374="","", "SAMP-"&amp;A374&amp;"-L"&amp;TEXT(B374,"00")&amp;"-"&amp;TEXT(C374,"yyyymmdd")&amp;"-"&amp;D374&amp;"-H"&amp;TEXT(E374,"00")&amp;"-"&amp;H374)</f>
        <v>SAMP-KG01-L21-20251119-ORD-2025-00178-H23-Chip</v>
      </c>
      <c r="K374" s="1" t="str">
        <f aca="false">IF(A374="","",IF(AND(G374&gt;=0,I374&gt;=0,I374&lt;=G374),"OK","CHECK"))</f>
        <v>OK</v>
      </c>
      <c r="L374" s="1" t="str">
        <f aca="false">IF(A374="","",IF(AND(E374&gt;=0,E374&lt;=23),"OK","CHECK"))</f>
        <v>OK</v>
      </c>
      <c r="M374" s="1" t="str">
        <f aca="false">IF(A374="","",IF(AND(K374="OK",L374="OK"),"OK","CHECK"))</f>
        <v>OK</v>
      </c>
    </row>
    <row r="375" customFormat="false" ht="18" hidden="false" customHeight="true" outlineLevel="0" collapsed="false">
      <c r="A375" s="9" t="s">
        <v>26</v>
      </c>
      <c r="B375" s="9" t="n">
        <v>21</v>
      </c>
      <c r="C375" s="11" t="n">
        <v>45980</v>
      </c>
      <c r="D375" s="9" t="s">
        <v>67</v>
      </c>
      <c r="E375" s="12" t="n">
        <v>20</v>
      </c>
      <c r="F375" s="9" t="s">
        <v>31</v>
      </c>
      <c r="G375" s="13" t="n">
        <v>200</v>
      </c>
      <c r="H375" s="9" t="s">
        <v>38</v>
      </c>
      <c r="I375" s="13" t="n">
        <v>6</v>
      </c>
      <c r="J375" s="1" t="str">
        <f aca="false">IF(A375="","", "SAMP-"&amp;A375&amp;"-L"&amp;TEXT(B375,"00")&amp;"-"&amp;TEXT(C375,"yyyymmdd")&amp;"-"&amp;D375&amp;"-H"&amp;TEXT(E375,"00")&amp;"-"&amp;H375)</f>
        <v>SAMP-KG01-L21-20251119-ORD-2025-00178-H20-Crack</v>
      </c>
      <c r="K375" s="1" t="str">
        <f aca="false">IF(A375="","",IF(AND(G375&gt;=0,I375&gt;=0,I375&lt;=G375),"OK","CHECK"))</f>
        <v>OK</v>
      </c>
      <c r="L375" s="1" t="str">
        <f aca="false">IF(A375="","",IF(AND(E375&gt;=0,E375&lt;=23),"OK","CHECK"))</f>
        <v>OK</v>
      </c>
      <c r="M375" s="1" t="str">
        <f aca="false">IF(A375="","",IF(AND(K375="OK",L375="OK"),"OK","CHECK"))</f>
        <v>OK</v>
      </c>
    </row>
    <row r="376" customFormat="false" ht="18" hidden="false" customHeight="true" outlineLevel="0" collapsed="false">
      <c r="A376" s="9" t="s">
        <v>26</v>
      </c>
      <c r="B376" s="9" t="n">
        <v>21</v>
      </c>
      <c r="C376" s="11" t="n">
        <v>45980</v>
      </c>
      <c r="D376" s="9" t="s">
        <v>67</v>
      </c>
      <c r="E376" s="12" t="n">
        <v>16</v>
      </c>
      <c r="F376" s="9" t="s">
        <v>31</v>
      </c>
      <c r="G376" s="13" t="n">
        <v>150</v>
      </c>
      <c r="H376" s="9" t="s">
        <v>37</v>
      </c>
      <c r="I376" s="13" t="n">
        <v>3</v>
      </c>
      <c r="J376" s="1" t="str">
        <f aca="false">IF(A376="","", "SAMP-"&amp;A376&amp;"-L"&amp;TEXT(B376,"00")&amp;"-"&amp;TEXT(C376,"yyyymmdd")&amp;"-"&amp;D376&amp;"-H"&amp;TEXT(E376,"00")&amp;"-"&amp;H376)</f>
        <v>SAMP-KG01-L21-20251119-ORD-2025-00178-H16-Bird Swing</v>
      </c>
      <c r="K376" s="1" t="str">
        <f aca="false">IF(A376="","",IF(AND(G376&gt;=0,I376&gt;=0,I376&lt;=G376),"OK","CHECK"))</f>
        <v>OK</v>
      </c>
      <c r="L376" s="1" t="str">
        <f aca="false">IF(A376="","",IF(AND(E376&gt;=0,E376&lt;=23),"OK","CHECK"))</f>
        <v>OK</v>
      </c>
      <c r="M376" s="1" t="str">
        <f aca="false">IF(A376="","",IF(AND(K376="OK",L376="OK"),"OK","CHECK"))</f>
        <v>OK</v>
      </c>
    </row>
    <row r="377" customFormat="false" ht="18" hidden="false" customHeight="true" outlineLevel="0" collapsed="false">
      <c r="A377" s="9" t="s">
        <v>26</v>
      </c>
      <c r="B377" s="9" t="n">
        <v>21</v>
      </c>
      <c r="C377" s="11" t="n">
        <v>45981</v>
      </c>
      <c r="D377" s="9" t="s">
        <v>67</v>
      </c>
      <c r="E377" s="12" t="n">
        <v>12</v>
      </c>
      <c r="F377" s="9" t="s">
        <v>28</v>
      </c>
      <c r="G377" s="13" t="n">
        <v>50</v>
      </c>
      <c r="H377" s="9" t="s">
        <v>30</v>
      </c>
      <c r="I377" s="13" t="n">
        <v>1</v>
      </c>
      <c r="J377" s="1" t="str">
        <f aca="false">IF(A377="","", "SAMP-"&amp;A377&amp;"-L"&amp;TEXT(B377,"00")&amp;"-"&amp;TEXT(C377,"yyyymmdd")&amp;"-"&amp;D377&amp;"-H"&amp;TEXT(E377,"00")&amp;"-"&amp;H377)</f>
        <v>SAMP-KG01-L21-20251120-ORD-2025-00178-H12-Overpress</v>
      </c>
      <c r="K377" s="1" t="str">
        <f aca="false">IF(A377="","",IF(AND(G377&gt;=0,I377&gt;=0,I377&lt;=G377),"OK","CHECK"))</f>
        <v>OK</v>
      </c>
      <c r="L377" s="1" t="str">
        <f aca="false">IF(A377="","",IF(AND(E377&gt;=0,E377&lt;=23),"OK","CHECK"))</f>
        <v>OK</v>
      </c>
      <c r="M377" s="1" t="str">
        <f aca="false">IF(A377="","",IF(AND(K377="OK",L377="OK"),"OK","CHECK"))</f>
        <v>OK</v>
      </c>
    </row>
    <row r="378" customFormat="false" ht="18" hidden="false" customHeight="true" outlineLevel="0" collapsed="false">
      <c r="A378" s="9" t="s">
        <v>26</v>
      </c>
      <c r="B378" s="9" t="n">
        <v>21</v>
      </c>
      <c r="C378" s="11" t="n">
        <v>45981</v>
      </c>
      <c r="D378" s="9" t="s">
        <v>67</v>
      </c>
      <c r="E378" s="12" t="n">
        <v>7</v>
      </c>
      <c r="F378" s="9" t="s">
        <v>28</v>
      </c>
      <c r="G378" s="13" t="n">
        <v>150</v>
      </c>
      <c r="H378" s="9" t="s">
        <v>41</v>
      </c>
      <c r="I378" s="13" t="n">
        <v>6</v>
      </c>
      <c r="J378" s="1" t="str">
        <f aca="false">IF(A378="","", "SAMP-"&amp;A378&amp;"-L"&amp;TEXT(B378,"00")&amp;"-"&amp;TEXT(C378,"yyyymmdd")&amp;"-"&amp;D378&amp;"-H"&amp;TEXT(E378,"00")&amp;"-"&amp;H378)</f>
        <v>SAMP-KG01-L21-20251120-ORD-2025-00178-H07-Chip</v>
      </c>
      <c r="K378" s="1" t="str">
        <f aca="false">IF(A378="","",IF(AND(G378&gt;=0,I378&gt;=0,I378&lt;=G378),"OK","CHECK"))</f>
        <v>OK</v>
      </c>
      <c r="L378" s="1" t="str">
        <f aca="false">IF(A378="","",IF(AND(E378&gt;=0,E378&lt;=23),"OK","CHECK"))</f>
        <v>OK</v>
      </c>
      <c r="M378" s="1" t="str">
        <f aca="false">IF(A378="","",IF(AND(K378="OK",L378="OK"),"OK","CHECK"))</f>
        <v>OK</v>
      </c>
    </row>
    <row r="379" customFormat="false" ht="18" hidden="false" customHeight="true" outlineLevel="0" collapsed="false">
      <c r="A379" s="9" t="s">
        <v>26</v>
      </c>
      <c r="B379" s="9" t="n">
        <v>21</v>
      </c>
      <c r="C379" s="11" t="n">
        <v>45981</v>
      </c>
      <c r="D379" s="9" t="s">
        <v>67</v>
      </c>
      <c r="E379" s="12" t="n">
        <v>9</v>
      </c>
      <c r="F379" s="9" t="s">
        <v>28</v>
      </c>
      <c r="G379" s="13" t="n">
        <v>150</v>
      </c>
      <c r="H379" s="9" t="s">
        <v>37</v>
      </c>
      <c r="I379" s="13" t="n">
        <v>5</v>
      </c>
      <c r="J379" s="1" t="str">
        <f aca="false">IF(A379="","", "SAMP-"&amp;A379&amp;"-L"&amp;TEXT(B379,"00")&amp;"-"&amp;TEXT(C379,"yyyymmdd")&amp;"-"&amp;D379&amp;"-H"&amp;TEXT(E379,"00")&amp;"-"&amp;H379)</f>
        <v>SAMP-KG01-L21-20251120-ORD-2025-00178-H09-Bird Swing</v>
      </c>
      <c r="K379" s="1" t="str">
        <f aca="false">IF(A379="","",IF(AND(G379&gt;=0,I379&gt;=0,I379&lt;=G379),"OK","CHECK"))</f>
        <v>OK</v>
      </c>
      <c r="L379" s="1" t="str">
        <f aca="false">IF(A379="","",IF(AND(E379&gt;=0,E379&lt;=23),"OK","CHECK"))</f>
        <v>OK</v>
      </c>
      <c r="M379" s="1" t="str">
        <f aca="false">IF(A379="","",IF(AND(K379="OK",L379="OK"),"OK","CHECK"))</f>
        <v>OK</v>
      </c>
    </row>
    <row r="380" customFormat="false" ht="18" hidden="false" customHeight="true" outlineLevel="0" collapsed="false">
      <c r="A380" s="9" t="s">
        <v>26</v>
      </c>
      <c r="B380" s="9" t="n">
        <v>21</v>
      </c>
      <c r="C380" s="11" t="n">
        <v>45981</v>
      </c>
      <c r="D380" s="9" t="s">
        <v>67</v>
      </c>
      <c r="E380" s="12" t="n">
        <v>20</v>
      </c>
      <c r="F380" s="9" t="s">
        <v>31</v>
      </c>
      <c r="G380" s="13" t="n">
        <v>200</v>
      </c>
      <c r="H380" s="9" t="s">
        <v>33</v>
      </c>
      <c r="I380" s="13" t="n">
        <v>1</v>
      </c>
      <c r="J380" s="1" t="str">
        <f aca="false">IF(A380="","", "SAMP-"&amp;A380&amp;"-L"&amp;TEXT(B380,"00")&amp;"-"&amp;TEXT(C380,"yyyymmdd")&amp;"-"&amp;D380&amp;"-H"&amp;TEXT(E380,"00")&amp;"-"&amp;H380)</f>
        <v>SAMP-KG01-L21-20251120-ORD-2025-00178-H20-Distortion</v>
      </c>
      <c r="K380" s="1" t="str">
        <f aca="false">IF(A380="","",IF(AND(G380&gt;=0,I380&gt;=0,I380&lt;=G380),"OK","CHECK"))</f>
        <v>OK</v>
      </c>
      <c r="L380" s="1" t="str">
        <f aca="false">IF(A380="","",IF(AND(E380&gt;=0,E380&lt;=23),"OK","CHECK"))</f>
        <v>OK</v>
      </c>
      <c r="M380" s="1" t="str">
        <f aca="false">IF(A380="","",IF(AND(K380="OK",L380="OK"),"OK","CHECK"))</f>
        <v>OK</v>
      </c>
    </row>
    <row r="381" customFormat="false" ht="18" hidden="false" customHeight="true" outlineLevel="0" collapsed="false">
      <c r="A381" s="9" t="s">
        <v>26</v>
      </c>
      <c r="B381" s="9" t="n">
        <v>21</v>
      </c>
      <c r="C381" s="11" t="n">
        <v>45981</v>
      </c>
      <c r="D381" s="9" t="s">
        <v>67</v>
      </c>
      <c r="E381" s="12" t="n">
        <v>16</v>
      </c>
      <c r="F381" s="9" t="s">
        <v>31</v>
      </c>
      <c r="G381" s="13" t="n">
        <v>200</v>
      </c>
      <c r="H381" s="9" t="s">
        <v>37</v>
      </c>
      <c r="I381" s="13" t="n">
        <v>2</v>
      </c>
      <c r="J381" s="1" t="str">
        <f aca="false">IF(A381="","", "SAMP-"&amp;A381&amp;"-L"&amp;TEXT(B381,"00")&amp;"-"&amp;TEXT(C381,"yyyymmdd")&amp;"-"&amp;D381&amp;"-H"&amp;TEXT(E381,"00")&amp;"-"&amp;H381)</f>
        <v>SAMP-KG01-L21-20251120-ORD-2025-00178-H16-Bird Swing</v>
      </c>
      <c r="K381" s="1" t="str">
        <f aca="false">IF(A381="","",IF(AND(G381&gt;=0,I381&gt;=0,I381&lt;=G381),"OK","CHECK"))</f>
        <v>OK</v>
      </c>
      <c r="L381" s="1" t="str">
        <f aca="false">IF(A381="","",IF(AND(E381&gt;=0,E381&lt;=23),"OK","CHECK"))</f>
        <v>OK</v>
      </c>
      <c r="M381" s="1" t="str">
        <f aca="false">IF(A381="","",IF(AND(K381="OK",L381="OK"),"OK","CHECK"))</f>
        <v>OK</v>
      </c>
    </row>
    <row r="382" customFormat="false" ht="18" hidden="false" customHeight="true" outlineLevel="0" collapsed="false">
      <c r="A382" s="9" t="s">
        <v>26</v>
      </c>
      <c r="B382" s="9" t="n">
        <v>21</v>
      </c>
      <c r="C382" s="11" t="n">
        <v>45981</v>
      </c>
      <c r="D382" s="9" t="s">
        <v>67</v>
      </c>
      <c r="E382" s="12" t="n">
        <v>23</v>
      </c>
      <c r="F382" s="9" t="s">
        <v>31</v>
      </c>
      <c r="G382" s="13" t="n">
        <v>100</v>
      </c>
      <c r="H382" s="9" t="s">
        <v>38</v>
      </c>
      <c r="I382" s="13" t="n">
        <v>2</v>
      </c>
      <c r="J382" s="1" t="str">
        <f aca="false">IF(A382="","", "SAMP-"&amp;A382&amp;"-L"&amp;TEXT(B382,"00")&amp;"-"&amp;TEXT(C382,"yyyymmdd")&amp;"-"&amp;D382&amp;"-H"&amp;TEXT(E382,"00")&amp;"-"&amp;H382)</f>
        <v>SAMP-KG01-L21-20251120-ORD-2025-00178-H23-Crack</v>
      </c>
      <c r="K382" s="1" t="str">
        <f aca="false">IF(A382="","",IF(AND(G382&gt;=0,I382&gt;=0,I382&lt;=G382),"OK","CHECK"))</f>
        <v>OK</v>
      </c>
      <c r="L382" s="1" t="str">
        <f aca="false">IF(A382="","",IF(AND(E382&gt;=0,E382&lt;=23),"OK","CHECK"))</f>
        <v>OK</v>
      </c>
      <c r="M382" s="1" t="str">
        <f aca="false">IF(A382="","",IF(AND(K382="OK",L382="OK"),"OK","CHECK"))</f>
        <v>OK</v>
      </c>
    </row>
    <row r="383" customFormat="false" ht="18" hidden="false" customHeight="true" outlineLevel="0" collapsed="false">
      <c r="A383" s="9" t="s">
        <v>26</v>
      </c>
      <c r="B383" s="9" t="n">
        <v>21</v>
      </c>
      <c r="C383" s="11" t="n">
        <v>45982</v>
      </c>
      <c r="D383" s="9" t="s">
        <v>67</v>
      </c>
      <c r="E383" s="12" t="n">
        <v>7</v>
      </c>
      <c r="F383" s="9" t="s">
        <v>28</v>
      </c>
      <c r="G383" s="13" t="n">
        <v>200</v>
      </c>
      <c r="H383" s="9" t="s">
        <v>36</v>
      </c>
      <c r="I383" s="13" t="n">
        <v>4</v>
      </c>
      <c r="J383" s="1" t="str">
        <f aca="false">IF(A383="","", "SAMP-"&amp;A383&amp;"-L"&amp;TEXT(B383,"00")&amp;"-"&amp;TEXT(C383,"yyyymmdd")&amp;"-"&amp;D383&amp;"-H"&amp;TEXT(E383,"00")&amp;"-"&amp;H383)</f>
        <v>SAMP-KG01-L21-20251121-ORD-2025-00178-H07-Blister</v>
      </c>
      <c r="K383" s="1" t="str">
        <f aca="false">IF(A383="","",IF(AND(G383&gt;=0,I383&gt;=0,I383&lt;=G383),"OK","CHECK"))</f>
        <v>OK</v>
      </c>
      <c r="L383" s="1" t="str">
        <f aca="false">IF(A383="","",IF(AND(E383&gt;=0,E383&lt;=23),"OK","CHECK"))</f>
        <v>OK</v>
      </c>
      <c r="M383" s="1" t="str">
        <f aca="false">IF(A383="","",IF(AND(K383="OK",L383="OK"),"OK","CHECK"))</f>
        <v>OK</v>
      </c>
    </row>
    <row r="384" customFormat="false" ht="18" hidden="false" customHeight="true" outlineLevel="0" collapsed="false">
      <c r="A384" s="9" t="s">
        <v>26</v>
      </c>
      <c r="B384" s="9" t="n">
        <v>21</v>
      </c>
      <c r="C384" s="11" t="n">
        <v>45982</v>
      </c>
      <c r="D384" s="9" t="s">
        <v>67</v>
      </c>
      <c r="E384" s="12" t="n">
        <v>9</v>
      </c>
      <c r="F384" s="9" t="s">
        <v>28</v>
      </c>
      <c r="G384" s="13" t="n">
        <v>50</v>
      </c>
      <c r="H384" s="9" t="s">
        <v>41</v>
      </c>
      <c r="I384" s="13" t="n">
        <v>0</v>
      </c>
      <c r="J384" s="1" t="str">
        <f aca="false">IF(A384="","", "SAMP-"&amp;A384&amp;"-L"&amp;TEXT(B384,"00")&amp;"-"&amp;TEXT(C384,"yyyymmdd")&amp;"-"&amp;D384&amp;"-H"&amp;TEXT(E384,"00")&amp;"-"&amp;H384)</f>
        <v>SAMP-KG01-L21-20251121-ORD-2025-00178-H09-Chip</v>
      </c>
      <c r="K384" s="1" t="str">
        <f aca="false">IF(A384="","",IF(AND(G384&gt;=0,I384&gt;=0,I384&lt;=G384),"OK","CHECK"))</f>
        <v>OK</v>
      </c>
      <c r="L384" s="1" t="str">
        <f aca="false">IF(A384="","",IF(AND(E384&gt;=0,E384&lt;=23),"OK","CHECK"))</f>
        <v>OK</v>
      </c>
      <c r="M384" s="1" t="str">
        <f aca="false">IF(A384="","",IF(AND(K384="OK",L384="OK"),"OK","CHECK"))</f>
        <v>OK</v>
      </c>
    </row>
    <row r="385" customFormat="false" ht="18" hidden="false" customHeight="true" outlineLevel="0" collapsed="false">
      <c r="A385" s="9" t="s">
        <v>26</v>
      </c>
      <c r="B385" s="9" t="n">
        <v>21</v>
      </c>
      <c r="C385" s="11" t="n">
        <v>45982</v>
      </c>
      <c r="D385" s="9" t="s">
        <v>67</v>
      </c>
      <c r="E385" s="12" t="n">
        <v>12</v>
      </c>
      <c r="F385" s="9" t="s">
        <v>28</v>
      </c>
      <c r="G385" s="13" t="n">
        <v>50</v>
      </c>
      <c r="H385" s="9" t="s">
        <v>36</v>
      </c>
      <c r="I385" s="13" t="n">
        <v>0</v>
      </c>
      <c r="J385" s="1" t="str">
        <f aca="false">IF(A385="","", "SAMP-"&amp;A385&amp;"-L"&amp;TEXT(B385,"00")&amp;"-"&amp;TEXT(C385,"yyyymmdd")&amp;"-"&amp;D385&amp;"-H"&amp;TEXT(E385,"00")&amp;"-"&amp;H385)</f>
        <v>SAMP-KG01-L21-20251121-ORD-2025-00178-H12-Blister</v>
      </c>
      <c r="K385" s="1" t="str">
        <f aca="false">IF(A385="","",IF(AND(G385&gt;=0,I385&gt;=0,I385&lt;=G385),"OK","CHECK"))</f>
        <v>OK</v>
      </c>
      <c r="L385" s="1" t="str">
        <f aca="false">IF(A385="","",IF(AND(E385&gt;=0,E385&lt;=23),"OK","CHECK"))</f>
        <v>OK</v>
      </c>
      <c r="M385" s="1" t="str">
        <f aca="false">IF(A385="","",IF(AND(K385="OK",L385="OK"),"OK","CHECK"))</f>
        <v>OK</v>
      </c>
    </row>
    <row r="386" customFormat="false" ht="18" hidden="false" customHeight="true" outlineLevel="0" collapsed="false">
      <c r="A386" s="9" t="s">
        <v>26</v>
      </c>
      <c r="B386" s="9" t="n">
        <v>21</v>
      </c>
      <c r="C386" s="11" t="n">
        <v>45982</v>
      </c>
      <c r="D386" s="9" t="s">
        <v>67</v>
      </c>
      <c r="E386" s="12" t="n">
        <v>16</v>
      </c>
      <c r="F386" s="9" t="s">
        <v>31</v>
      </c>
      <c r="G386" s="13" t="n">
        <v>50</v>
      </c>
      <c r="H386" s="9" t="s">
        <v>33</v>
      </c>
      <c r="I386" s="13" t="n">
        <v>0</v>
      </c>
      <c r="J386" s="1" t="str">
        <f aca="false">IF(A386="","", "SAMP-"&amp;A386&amp;"-L"&amp;TEXT(B386,"00")&amp;"-"&amp;TEXT(C386,"yyyymmdd")&amp;"-"&amp;D386&amp;"-H"&amp;TEXT(E386,"00")&amp;"-"&amp;H386)</f>
        <v>SAMP-KG01-L21-20251121-ORD-2025-00178-H16-Distortion</v>
      </c>
      <c r="K386" s="1" t="str">
        <f aca="false">IF(A386="","",IF(AND(G386&gt;=0,I386&gt;=0,I386&lt;=G386),"OK","CHECK"))</f>
        <v>OK</v>
      </c>
      <c r="L386" s="1" t="str">
        <f aca="false">IF(A386="","",IF(AND(E386&gt;=0,E386&lt;=23),"OK","CHECK"))</f>
        <v>OK</v>
      </c>
      <c r="M386" s="1" t="str">
        <f aca="false">IF(A386="","",IF(AND(K386="OK",L386="OK"),"OK","CHECK"))</f>
        <v>OK</v>
      </c>
    </row>
    <row r="387" customFormat="false" ht="18" hidden="false" customHeight="true" outlineLevel="0" collapsed="false">
      <c r="A387" s="9" t="s">
        <v>26</v>
      </c>
      <c r="B387" s="9" t="n">
        <v>21</v>
      </c>
      <c r="C387" s="11" t="n">
        <v>45982</v>
      </c>
      <c r="D387" s="9" t="s">
        <v>67</v>
      </c>
      <c r="E387" s="12" t="n">
        <v>20</v>
      </c>
      <c r="F387" s="9" t="s">
        <v>31</v>
      </c>
      <c r="G387" s="13" t="n">
        <v>200</v>
      </c>
      <c r="H387" s="9" t="s">
        <v>30</v>
      </c>
      <c r="I387" s="13" t="n">
        <v>2</v>
      </c>
      <c r="J387" s="1" t="str">
        <f aca="false">IF(A387="","", "SAMP-"&amp;A387&amp;"-L"&amp;TEXT(B387,"00")&amp;"-"&amp;TEXT(C387,"yyyymmdd")&amp;"-"&amp;D387&amp;"-H"&amp;TEXT(E387,"00")&amp;"-"&amp;H387)</f>
        <v>SAMP-KG01-L21-20251121-ORD-2025-00178-H20-Overpress</v>
      </c>
      <c r="K387" s="1" t="str">
        <f aca="false">IF(A387="","",IF(AND(G387&gt;=0,I387&gt;=0,I387&lt;=G387),"OK","CHECK"))</f>
        <v>OK</v>
      </c>
      <c r="L387" s="1" t="str">
        <f aca="false">IF(A387="","",IF(AND(E387&gt;=0,E387&lt;=23),"OK","CHECK"))</f>
        <v>OK</v>
      </c>
      <c r="M387" s="1" t="str">
        <f aca="false">IF(A387="","",IF(AND(K387="OK",L387="OK"),"OK","CHECK"))</f>
        <v>OK</v>
      </c>
    </row>
    <row r="388" customFormat="false" ht="18" hidden="false" customHeight="true" outlineLevel="0" collapsed="false">
      <c r="A388" s="9" t="s">
        <v>26</v>
      </c>
      <c r="B388" s="9" t="n">
        <v>21</v>
      </c>
      <c r="C388" s="11" t="n">
        <v>45983</v>
      </c>
      <c r="D388" s="9" t="s">
        <v>67</v>
      </c>
      <c r="E388" s="12" t="n">
        <v>12</v>
      </c>
      <c r="F388" s="9" t="s">
        <v>28</v>
      </c>
      <c r="G388" s="13" t="n">
        <v>50</v>
      </c>
      <c r="H388" s="9" t="s">
        <v>29</v>
      </c>
      <c r="I388" s="13" t="n">
        <v>1</v>
      </c>
      <c r="J388" s="1" t="str">
        <f aca="false">IF(A388="","", "SAMP-"&amp;A388&amp;"-L"&amp;TEXT(B388,"00")&amp;"-"&amp;TEXT(C388,"yyyymmdd")&amp;"-"&amp;D388&amp;"-H"&amp;TEXT(E388,"00")&amp;"-"&amp;H388)</f>
        <v>SAMP-KG01-L21-20251122-ORD-2025-00178-H12-Choke Neck</v>
      </c>
      <c r="K388" s="1" t="str">
        <f aca="false">IF(A388="","",IF(AND(G388&gt;=0,I388&gt;=0,I388&lt;=G388),"OK","CHECK"))</f>
        <v>OK</v>
      </c>
      <c r="L388" s="1" t="str">
        <f aca="false">IF(A388="","",IF(AND(E388&gt;=0,E388&lt;=23),"OK","CHECK"))</f>
        <v>OK</v>
      </c>
      <c r="M388" s="1" t="str">
        <f aca="false">IF(A388="","",IF(AND(K388="OK",L388="OK"),"OK","CHECK"))</f>
        <v>OK</v>
      </c>
    </row>
    <row r="389" customFormat="false" ht="18" hidden="false" customHeight="true" outlineLevel="0" collapsed="false">
      <c r="A389" s="9" t="s">
        <v>26</v>
      </c>
      <c r="B389" s="9" t="n">
        <v>21</v>
      </c>
      <c r="C389" s="11" t="n">
        <v>45983</v>
      </c>
      <c r="D389" s="9" t="s">
        <v>67</v>
      </c>
      <c r="E389" s="12" t="n">
        <v>9</v>
      </c>
      <c r="F389" s="9" t="s">
        <v>28</v>
      </c>
      <c r="G389" s="13" t="n">
        <v>200</v>
      </c>
      <c r="H389" s="9" t="s">
        <v>34</v>
      </c>
      <c r="I389" s="13" t="n">
        <v>4</v>
      </c>
      <c r="J389" s="1" t="str">
        <f aca="false">IF(A389="","", "SAMP-"&amp;A389&amp;"-L"&amp;TEXT(B389,"00")&amp;"-"&amp;TEXT(C389,"yyyymmdd")&amp;"-"&amp;D389&amp;"-H"&amp;TEXT(E389,"00")&amp;"-"&amp;H389)</f>
        <v>SAMP-KG01-L21-20251122-ORD-2025-00178-H09-Thin Wall</v>
      </c>
      <c r="K389" s="1" t="str">
        <f aca="false">IF(A389="","",IF(AND(G389&gt;=0,I389&gt;=0,I389&lt;=G389),"OK","CHECK"))</f>
        <v>OK</v>
      </c>
      <c r="L389" s="1" t="str">
        <f aca="false">IF(A389="","",IF(AND(E389&gt;=0,E389&lt;=23),"OK","CHECK"))</f>
        <v>OK</v>
      </c>
      <c r="M389" s="1" t="str">
        <f aca="false">IF(A389="","",IF(AND(K389="OK",L389="OK"),"OK","CHECK"))</f>
        <v>OK</v>
      </c>
    </row>
    <row r="390" customFormat="false" ht="18" hidden="false" customHeight="true" outlineLevel="0" collapsed="false">
      <c r="A390" s="9" t="s">
        <v>26</v>
      </c>
      <c r="B390" s="9" t="n">
        <v>21</v>
      </c>
      <c r="C390" s="11" t="n">
        <v>45983</v>
      </c>
      <c r="D390" s="9" t="s">
        <v>67</v>
      </c>
      <c r="E390" s="12" t="n">
        <v>7</v>
      </c>
      <c r="F390" s="9" t="s">
        <v>28</v>
      </c>
      <c r="G390" s="13" t="n">
        <v>200</v>
      </c>
      <c r="H390" s="9" t="s">
        <v>33</v>
      </c>
      <c r="I390" s="13" t="n">
        <v>8</v>
      </c>
      <c r="J390" s="1" t="str">
        <f aca="false">IF(A390="","", "SAMP-"&amp;A390&amp;"-L"&amp;TEXT(B390,"00")&amp;"-"&amp;TEXT(C390,"yyyymmdd")&amp;"-"&amp;D390&amp;"-H"&amp;TEXT(E390,"00")&amp;"-"&amp;H390)</f>
        <v>SAMP-KG01-L21-20251122-ORD-2025-00178-H07-Distortion</v>
      </c>
      <c r="K390" s="1" t="str">
        <f aca="false">IF(A390="","",IF(AND(G390&gt;=0,I390&gt;=0,I390&lt;=G390),"OK","CHECK"))</f>
        <v>OK</v>
      </c>
      <c r="L390" s="1" t="str">
        <f aca="false">IF(A390="","",IF(AND(E390&gt;=0,E390&lt;=23),"OK","CHECK"))</f>
        <v>OK</v>
      </c>
      <c r="M390" s="1" t="str">
        <f aca="false">IF(A390="","",IF(AND(K390="OK",L390="OK"),"OK","CHECK"))</f>
        <v>OK</v>
      </c>
    </row>
    <row r="391" customFormat="false" ht="18" hidden="false" customHeight="true" outlineLevel="0" collapsed="false">
      <c r="A391" s="9" t="s">
        <v>26</v>
      </c>
      <c r="B391" s="9" t="n">
        <v>21</v>
      </c>
      <c r="C391" s="11" t="n">
        <v>45983</v>
      </c>
      <c r="D391" s="9" t="s">
        <v>67</v>
      </c>
      <c r="E391" s="12" t="n">
        <v>16</v>
      </c>
      <c r="F391" s="9" t="s">
        <v>31</v>
      </c>
      <c r="G391" s="13" t="n">
        <v>50</v>
      </c>
      <c r="H391" s="9" t="s">
        <v>34</v>
      </c>
      <c r="I391" s="13" t="n">
        <v>1</v>
      </c>
      <c r="J391" s="1" t="str">
        <f aca="false">IF(A391="","", "SAMP-"&amp;A391&amp;"-L"&amp;TEXT(B391,"00")&amp;"-"&amp;TEXT(C391,"yyyymmdd")&amp;"-"&amp;D391&amp;"-H"&amp;TEXT(E391,"00")&amp;"-"&amp;H391)</f>
        <v>SAMP-KG01-L21-20251122-ORD-2025-00178-H16-Thin Wall</v>
      </c>
      <c r="K391" s="1" t="str">
        <f aca="false">IF(A391="","",IF(AND(G391&gt;=0,I391&gt;=0,I391&lt;=G391),"OK","CHECK"))</f>
        <v>OK</v>
      </c>
      <c r="L391" s="1" t="str">
        <f aca="false">IF(A391="","",IF(AND(E391&gt;=0,E391&lt;=23),"OK","CHECK"))</f>
        <v>OK</v>
      </c>
      <c r="M391" s="1" t="str">
        <f aca="false">IF(A391="","",IF(AND(K391="OK",L391="OK"),"OK","CHECK"))</f>
        <v>OK</v>
      </c>
    </row>
    <row r="392" customFormat="false" ht="18" hidden="false" customHeight="true" outlineLevel="0" collapsed="false">
      <c r="A392" s="9" t="s">
        <v>26</v>
      </c>
      <c r="B392" s="9" t="n">
        <v>21</v>
      </c>
      <c r="C392" s="11" t="n">
        <v>45983</v>
      </c>
      <c r="D392" s="9" t="s">
        <v>67</v>
      </c>
      <c r="E392" s="12" t="n">
        <v>20</v>
      </c>
      <c r="F392" s="9" t="s">
        <v>31</v>
      </c>
      <c r="G392" s="13" t="n">
        <v>150</v>
      </c>
      <c r="H392" s="9" t="s">
        <v>29</v>
      </c>
      <c r="I392" s="13" t="n">
        <v>1</v>
      </c>
      <c r="J392" s="1" t="str">
        <f aca="false">IF(A392="","", "SAMP-"&amp;A392&amp;"-L"&amp;TEXT(B392,"00")&amp;"-"&amp;TEXT(C392,"yyyymmdd")&amp;"-"&amp;D392&amp;"-H"&amp;TEXT(E392,"00")&amp;"-"&amp;H392)</f>
        <v>SAMP-KG01-L21-20251122-ORD-2025-00178-H20-Choke Neck</v>
      </c>
      <c r="K392" s="1" t="str">
        <f aca="false">IF(A392="","",IF(AND(G392&gt;=0,I392&gt;=0,I392&lt;=G392),"OK","CHECK"))</f>
        <v>OK</v>
      </c>
      <c r="L392" s="1" t="str">
        <f aca="false">IF(A392="","",IF(AND(E392&gt;=0,E392&lt;=23),"OK","CHECK"))</f>
        <v>OK</v>
      </c>
      <c r="M392" s="1" t="str">
        <f aca="false">IF(A392="","",IF(AND(K392="OK",L392="OK"),"OK","CHECK"))</f>
        <v>OK</v>
      </c>
    </row>
    <row r="393" customFormat="false" ht="18" hidden="false" customHeight="true" outlineLevel="0" collapsed="false">
      <c r="A393" s="9" t="s">
        <v>26</v>
      </c>
      <c r="B393" s="9" t="n">
        <v>21</v>
      </c>
      <c r="C393" s="11" t="n">
        <v>45983</v>
      </c>
      <c r="D393" s="9" t="s">
        <v>67</v>
      </c>
      <c r="E393" s="12" t="n">
        <v>23</v>
      </c>
      <c r="F393" s="9" t="s">
        <v>31</v>
      </c>
      <c r="G393" s="13" t="n">
        <v>200</v>
      </c>
      <c r="H393" s="9" t="s">
        <v>37</v>
      </c>
      <c r="I393" s="13" t="n">
        <v>3</v>
      </c>
      <c r="J393" s="1" t="str">
        <f aca="false">IF(A393="","", "SAMP-"&amp;A393&amp;"-L"&amp;TEXT(B393,"00")&amp;"-"&amp;TEXT(C393,"yyyymmdd")&amp;"-"&amp;D393&amp;"-H"&amp;TEXT(E393,"00")&amp;"-"&amp;H393)</f>
        <v>SAMP-KG01-L21-20251122-ORD-2025-00178-H23-Bird Swing</v>
      </c>
      <c r="K393" s="1" t="str">
        <f aca="false">IF(A393="","",IF(AND(G393&gt;=0,I393&gt;=0,I393&lt;=G393),"OK","CHECK"))</f>
        <v>OK</v>
      </c>
      <c r="L393" s="1" t="str">
        <f aca="false">IF(A393="","",IF(AND(E393&gt;=0,E393&lt;=23),"OK","CHECK"))</f>
        <v>OK</v>
      </c>
      <c r="M393" s="1" t="str">
        <f aca="false">IF(A393="","",IF(AND(K393="OK",L393="OK"),"OK","CHECK"))</f>
        <v>OK</v>
      </c>
    </row>
    <row r="394" customFormat="false" ht="18" hidden="false" customHeight="true" outlineLevel="0" collapsed="false">
      <c r="A394" s="9" t="s">
        <v>26</v>
      </c>
      <c r="B394" s="9" t="n">
        <v>21</v>
      </c>
      <c r="C394" s="11" t="n">
        <v>45984</v>
      </c>
      <c r="D394" s="9" t="s">
        <v>68</v>
      </c>
      <c r="E394" s="12" t="n">
        <v>12</v>
      </c>
      <c r="F394" s="9" t="s">
        <v>28</v>
      </c>
      <c r="G394" s="13" t="n">
        <v>100</v>
      </c>
      <c r="H394" s="9" t="s">
        <v>41</v>
      </c>
      <c r="I394" s="13" t="n">
        <v>0</v>
      </c>
      <c r="J394" s="1" t="str">
        <f aca="false">IF(A394="","", "SAMP-"&amp;A394&amp;"-L"&amp;TEXT(B394,"00")&amp;"-"&amp;TEXT(C394,"yyyymmdd")&amp;"-"&amp;D394&amp;"-H"&amp;TEXT(E394,"00")&amp;"-"&amp;H394)</f>
        <v>SAMP-KG01-L21-20251123-ORD-2025-00179-H12-Chip</v>
      </c>
      <c r="K394" s="1" t="str">
        <f aca="false">IF(A394="","",IF(AND(G394&gt;=0,I394&gt;=0,I394&lt;=G394),"OK","CHECK"))</f>
        <v>OK</v>
      </c>
      <c r="L394" s="1" t="str">
        <f aca="false">IF(A394="","",IF(AND(E394&gt;=0,E394&lt;=23),"OK","CHECK"))</f>
        <v>OK</v>
      </c>
      <c r="M394" s="1" t="str">
        <f aca="false">IF(A394="","",IF(AND(K394="OK",L394="OK"),"OK","CHECK"))</f>
        <v>OK</v>
      </c>
    </row>
    <row r="395" customFormat="false" ht="18" hidden="false" customHeight="true" outlineLevel="0" collapsed="false">
      <c r="A395" s="9" t="s">
        <v>26</v>
      </c>
      <c r="B395" s="9" t="n">
        <v>21</v>
      </c>
      <c r="C395" s="11" t="n">
        <v>45984</v>
      </c>
      <c r="D395" s="9" t="s">
        <v>68</v>
      </c>
      <c r="E395" s="12" t="n">
        <v>7</v>
      </c>
      <c r="F395" s="9" t="s">
        <v>28</v>
      </c>
      <c r="G395" s="13" t="n">
        <v>200</v>
      </c>
      <c r="H395" s="9" t="s">
        <v>37</v>
      </c>
      <c r="I395" s="13" t="n">
        <v>1</v>
      </c>
      <c r="J395" s="1" t="str">
        <f aca="false">IF(A395="","", "SAMP-"&amp;A395&amp;"-L"&amp;TEXT(B395,"00")&amp;"-"&amp;TEXT(C395,"yyyymmdd")&amp;"-"&amp;D395&amp;"-H"&amp;TEXT(E395,"00")&amp;"-"&amp;H395)</f>
        <v>SAMP-KG01-L21-20251123-ORD-2025-00179-H07-Bird Swing</v>
      </c>
      <c r="K395" s="1" t="str">
        <f aca="false">IF(A395="","",IF(AND(G395&gt;=0,I395&gt;=0,I395&lt;=G395),"OK","CHECK"))</f>
        <v>OK</v>
      </c>
      <c r="L395" s="1" t="str">
        <f aca="false">IF(A395="","",IF(AND(E395&gt;=0,E395&lt;=23),"OK","CHECK"))</f>
        <v>OK</v>
      </c>
      <c r="M395" s="1" t="str">
        <f aca="false">IF(A395="","",IF(AND(K395="OK",L395="OK"),"OK","CHECK"))</f>
        <v>OK</v>
      </c>
    </row>
    <row r="396" customFormat="false" ht="18" hidden="false" customHeight="true" outlineLevel="0" collapsed="false">
      <c r="A396" s="9" t="s">
        <v>26</v>
      </c>
      <c r="B396" s="9" t="n">
        <v>21</v>
      </c>
      <c r="C396" s="11" t="n">
        <v>45984</v>
      </c>
      <c r="D396" s="9" t="s">
        <v>68</v>
      </c>
      <c r="E396" s="12" t="n">
        <v>9</v>
      </c>
      <c r="F396" s="9" t="s">
        <v>28</v>
      </c>
      <c r="G396" s="13" t="n">
        <v>150</v>
      </c>
      <c r="H396" s="9" t="s">
        <v>33</v>
      </c>
      <c r="I396" s="13" t="n">
        <v>6</v>
      </c>
      <c r="J396" s="1" t="str">
        <f aca="false">IF(A396="","", "SAMP-"&amp;A396&amp;"-L"&amp;TEXT(B396,"00")&amp;"-"&amp;TEXT(C396,"yyyymmdd")&amp;"-"&amp;D396&amp;"-H"&amp;TEXT(E396,"00")&amp;"-"&amp;H396)</f>
        <v>SAMP-KG01-L21-20251123-ORD-2025-00179-H09-Distortion</v>
      </c>
      <c r="K396" s="1" t="str">
        <f aca="false">IF(A396="","",IF(AND(G396&gt;=0,I396&gt;=0,I396&lt;=G396),"OK","CHECK"))</f>
        <v>OK</v>
      </c>
      <c r="L396" s="1" t="str">
        <f aca="false">IF(A396="","",IF(AND(E396&gt;=0,E396&lt;=23),"OK","CHECK"))</f>
        <v>OK</v>
      </c>
      <c r="M396" s="1" t="str">
        <f aca="false">IF(A396="","",IF(AND(K396="OK",L396="OK"),"OK","CHECK"))</f>
        <v>OK</v>
      </c>
    </row>
    <row r="397" customFormat="false" ht="18" hidden="false" customHeight="true" outlineLevel="0" collapsed="false">
      <c r="A397" s="9" t="s">
        <v>26</v>
      </c>
      <c r="B397" s="9" t="n">
        <v>21</v>
      </c>
      <c r="C397" s="11" t="n">
        <v>45984</v>
      </c>
      <c r="D397" s="9" t="s">
        <v>68</v>
      </c>
      <c r="E397" s="12" t="n">
        <v>16</v>
      </c>
      <c r="F397" s="9" t="s">
        <v>31</v>
      </c>
      <c r="G397" s="13" t="n">
        <v>100</v>
      </c>
      <c r="H397" s="9" t="s">
        <v>38</v>
      </c>
      <c r="I397" s="13" t="n">
        <v>2</v>
      </c>
      <c r="J397" s="1" t="str">
        <f aca="false">IF(A397="","", "SAMP-"&amp;A397&amp;"-L"&amp;TEXT(B397,"00")&amp;"-"&amp;TEXT(C397,"yyyymmdd")&amp;"-"&amp;D397&amp;"-H"&amp;TEXT(E397,"00")&amp;"-"&amp;H397)</f>
        <v>SAMP-KG01-L21-20251123-ORD-2025-00179-H16-Crack</v>
      </c>
      <c r="K397" s="1" t="str">
        <f aca="false">IF(A397="","",IF(AND(G397&gt;=0,I397&gt;=0,I397&lt;=G397),"OK","CHECK"))</f>
        <v>OK</v>
      </c>
      <c r="L397" s="1" t="str">
        <f aca="false">IF(A397="","",IF(AND(E397&gt;=0,E397&lt;=23),"OK","CHECK"))</f>
        <v>OK</v>
      </c>
      <c r="M397" s="1" t="str">
        <f aca="false">IF(A397="","",IF(AND(K397="OK",L397="OK"),"OK","CHECK"))</f>
        <v>OK</v>
      </c>
    </row>
    <row r="398" customFormat="false" ht="18" hidden="false" customHeight="true" outlineLevel="0" collapsed="false">
      <c r="A398" s="9" t="s">
        <v>26</v>
      </c>
      <c r="B398" s="9" t="n">
        <v>21</v>
      </c>
      <c r="C398" s="11" t="n">
        <v>45984</v>
      </c>
      <c r="D398" s="9" t="s">
        <v>68</v>
      </c>
      <c r="E398" s="12" t="n">
        <v>23</v>
      </c>
      <c r="F398" s="9" t="s">
        <v>31</v>
      </c>
      <c r="G398" s="13" t="n">
        <v>100</v>
      </c>
      <c r="H398" s="9" t="s">
        <v>41</v>
      </c>
      <c r="I398" s="13" t="n">
        <v>1</v>
      </c>
      <c r="J398" s="1" t="str">
        <f aca="false">IF(A398="","", "SAMP-"&amp;A398&amp;"-L"&amp;TEXT(B398,"00")&amp;"-"&amp;TEXT(C398,"yyyymmdd")&amp;"-"&amp;D398&amp;"-H"&amp;TEXT(E398,"00")&amp;"-"&amp;H398)</f>
        <v>SAMP-KG01-L21-20251123-ORD-2025-00179-H23-Chip</v>
      </c>
      <c r="K398" s="1" t="str">
        <f aca="false">IF(A398="","",IF(AND(G398&gt;=0,I398&gt;=0,I398&lt;=G398),"OK","CHECK"))</f>
        <v>OK</v>
      </c>
      <c r="L398" s="1" t="str">
        <f aca="false">IF(A398="","",IF(AND(E398&gt;=0,E398&lt;=23),"OK","CHECK"))</f>
        <v>OK</v>
      </c>
      <c r="M398" s="1" t="str">
        <f aca="false">IF(A398="","",IF(AND(K398="OK",L398="OK"),"OK","CHECK"))</f>
        <v>OK</v>
      </c>
    </row>
    <row r="399" customFormat="false" ht="18" hidden="false" customHeight="true" outlineLevel="0" collapsed="false">
      <c r="A399" s="9" t="s">
        <v>26</v>
      </c>
      <c r="B399" s="9" t="n">
        <v>21</v>
      </c>
      <c r="C399" s="11" t="n">
        <v>45984</v>
      </c>
      <c r="D399" s="9" t="s">
        <v>68</v>
      </c>
      <c r="E399" s="12" t="n">
        <v>20</v>
      </c>
      <c r="F399" s="9" t="s">
        <v>31</v>
      </c>
      <c r="G399" s="13" t="n">
        <v>50</v>
      </c>
      <c r="H399" s="9" t="s">
        <v>37</v>
      </c>
      <c r="I399" s="13" t="n">
        <v>1</v>
      </c>
      <c r="J399" s="1" t="str">
        <f aca="false">IF(A399="","", "SAMP-"&amp;A399&amp;"-L"&amp;TEXT(B399,"00")&amp;"-"&amp;TEXT(C399,"yyyymmdd")&amp;"-"&amp;D399&amp;"-H"&amp;TEXT(E399,"00")&amp;"-"&amp;H399)</f>
        <v>SAMP-KG01-L21-20251123-ORD-2025-00179-H20-Bird Swing</v>
      </c>
      <c r="K399" s="1" t="str">
        <f aca="false">IF(A399="","",IF(AND(G399&gt;=0,I399&gt;=0,I399&lt;=G399),"OK","CHECK"))</f>
        <v>OK</v>
      </c>
      <c r="L399" s="1" t="str">
        <f aca="false">IF(A399="","",IF(AND(E399&gt;=0,E399&lt;=23),"OK","CHECK"))</f>
        <v>OK</v>
      </c>
      <c r="M399" s="1" t="str">
        <f aca="false">IF(A399="","",IF(AND(K399="OK",L399="OK"),"OK","CHECK"))</f>
        <v>OK</v>
      </c>
    </row>
    <row r="400" customFormat="false" ht="18" hidden="false" customHeight="true" outlineLevel="0" collapsed="false">
      <c r="A400" s="9" t="s">
        <v>26</v>
      </c>
      <c r="B400" s="9" t="n">
        <v>21</v>
      </c>
      <c r="C400" s="11" t="n">
        <v>45985</v>
      </c>
      <c r="D400" s="9" t="s">
        <v>68</v>
      </c>
      <c r="E400" s="12" t="n">
        <v>9</v>
      </c>
      <c r="F400" s="9" t="s">
        <v>28</v>
      </c>
      <c r="G400" s="13" t="n">
        <v>200</v>
      </c>
      <c r="H400" s="9" t="s">
        <v>35</v>
      </c>
      <c r="I400" s="13" t="n">
        <v>0</v>
      </c>
      <c r="J400" s="1" t="str">
        <f aca="false">IF(A400="","", "SAMP-"&amp;A400&amp;"-L"&amp;TEXT(B400,"00")&amp;"-"&amp;TEXT(C400,"yyyymmdd")&amp;"-"&amp;D400&amp;"-H"&amp;TEXT(E400,"00")&amp;"-"&amp;H400)</f>
        <v>SAMP-KG01-L21-20251124-ORD-2025-00179-H09-Stone</v>
      </c>
      <c r="K400" s="1" t="str">
        <f aca="false">IF(A400="","",IF(AND(G400&gt;=0,I400&gt;=0,I400&lt;=G400),"OK","CHECK"))</f>
        <v>OK</v>
      </c>
      <c r="L400" s="1" t="str">
        <f aca="false">IF(A400="","",IF(AND(E400&gt;=0,E400&lt;=23),"OK","CHECK"))</f>
        <v>OK</v>
      </c>
      <c r="M400" s="1" t="str">
        <f aca="false">IF(A400="","",IF(AND(K400="OK",L400="OK"),"OK","CHECK"))</f>
        <v>OK</v>
      </c>
    </row>
    <row r="401" customFormat="false" ht="18" hidden="false" customHeight="true" outlineLevel="0" collapsed="false">
      <c r="A401" s="9" t="s">
        <v>26</v>
      </c>
      <c r="B401" s="9" t="n">
        <v>21</v>
      </c>
      <c r="C401" s="11" t="n">
        <v>45985</v>
      </c>
      <c r="D401" s="9" t="s">
        <v>68</v>
      </c>
      <c r="E401" s="12" t="n">
        <v>12</v>
      </c>
      <c r="F401" s="9" t="s">
        <v>28</v>
      </c>
      <c r="G401" s="13" t="n">
        <v>50</v>
      </c>
      <c r="H401" s="9" t="s">
        <v>36</v>
      </c>
      <c r="I401" s="13" t="n">
        <v>1</v>
      </c>
      <c r="J401" s="1" t="str">
        <f aca="false">IF(A401="","", "SAMP-"&amp;A401&amp;"-L"&amp;TEXT(B401,"00")&amp;"-"&amp;TEXT(C401,"yyyymmdd")&amp;"-"&amp;D401&amp;"-H"&amp;TEXT(E401,"00")&amp;"-"&amp;H401)</f>
        <v>SAMP-KG01-L21-20251124-ORD-2025-00179-H12-Blister</v>
      </c>
      <c r="K401" s="1" t="str">
        <f aca="false">IF(A401="","",IF(AND(G401&gt;=0,I401&gt;=0,I401&lt;=G401),"OK","CHECK"))</f>
        <v>OK</v>
      </c>
      <c r="L401" s="1" t="str">
        <f aca="false">IF(A401="","",IF(AND(E401&gt;=0,E401&lt;=23),"OK","CHECK"))</f>
        <v>OK</v>
      </c>
      <c r="M401" s="1" t="str">
        <f aca="false">IF(A401="","",IF(AND(K401="OK",L401="OK"),"OK","CHECK"))</f>
        <v>OK</v>
      </c>
    </row>
    <row r="402" customFormat="false" ht="18" hidden="false" customHeight="true" outlineLevel="0" collapsed="false">
      <c r="A402" s="9" t="s">
        <v>26</v>
      </c>
      <c r="B402" s="9" t="n">
        <v>21</v>
      </c>
      <c r="C402" s="11" t="n">
        <v>45985</v>
      </c>
      <c r="D402" s="9" t="s">
        <v>68</v>
      </c>
      <c r="E402" s="12" t="n">
        <v>7</v>
      </c>
      <c r="F402" s="9" t="s">
        <v>28</v>
      </c>
      <c r="G402" s="13" t="n">
        <v>200</v>
      </c>
      <c r="H402" s="9" t="s">
        <v>29</v>
      </c>
      <c r="I402" s="13" t="n">
        <v>1</v>
      </c>
      <c r="J402" s="1" t="str">
        <f aca="false">IF(A402="","", "SAMP-"&amp;A402&amp;"-L"&amp;TEXT(B402,"00")&amp;"-"&amp;TEXT(C402,"yyyymmdd")&amp;"-"&amp;D402&amp;"-H"&amp;TEXT(E402,"00")&amp;"-"&amp;H402)</f>
        <v>SAMP-KG01-L21-20251124-ORD-2025-00179-H07-Choke Neck</v>
      </c>
      <c r="K402" s="1" t="str">
        <f aca="false">IF(A402="","",IF(AND(G402&gt;=0,I402&gt;=0,I402&lt;=G402),"OK","CHECK"))</f>
        <v>OK</v>
      </c>
      <c r="L402" s="1" t="str">
        <f aca="false">IF(A402="","",IF(AND(E402&gt;=0,E402&lt;=23),"OK","CHECK"))</f>
        <v>OK</v>
      </c>
      <c r="M402" s="1" t="str">
        <f aca="false">IF(A402="","",IF(AND(K402="OK",L402="OK"),"OK","CHECK"))</f>
        <v>OK</v>
      </c>
    </row>
    <row r="403" customFormat="false" ht="18" hidden="false" customHeight="true" outlineLevel="0" collapsed="false">
      <c r="A403" s="9" t="s">
        <v>26</v>
      </c>
      <c r="B403" s="9" t="n">
        <v>21</v>
      </c>
      <c r="C403" s="11" t="n">
        <v>45985</v>
      </c>
      <c r="D403" s="9" t="s">
        <v>69</v>
      </c>
      <c r="E403" s="12" t="n">
        <v>20</v>
      </c>
      <c r="F403" s="9" t="s">
        <v>31</v>
      </c>
      <c r="G403" s="13" t="n">
        <v>200</v>
      </c>
      <c r="H403" s="9" t="s">
        <v>34</v>
      </c>
      <c r="I403" s="13" t="n">
        <v>5</v>
      </c>
      <c r="J403" s="1" t="str">
        <f aca="false">IF(A403="","", "SAMP-"&amp;A403&amp;"-L"&amp;TEXT(B403,"00")&amp;"-"&amp;TEXT(C403,"yyyymmdd")&amp;"-"&amp;D403&amp;"-H"&amp;TEXT(E403,"00")&amp;"-"&amp;H403)</f>
        <v>SAMP-KG01-L21-20251124-ORD-2025-00180-H20-Thin Wall</v>
      </c>
      <c r="K403" s="1" t="str">
        <f aca="false">IF(A403="","",IF(AND(G403&gt;=0,I403&gt;=0,I403&lt;=G403),"OK","CHECK"))</f>
        <v>OK</v>
      </c>
      <c r="L403" s="1" t="str">
        <f aca="false">IF(A403="","",IF(AND(E403&gt;=0,E403&lt;=23),"OK","CHECK"))</f>
        <v>OK</v>
      </c>
      <c r="M403" s="1" t="str">
        <f aca="false">IF(A403="","",IF(AND(K403="OK",L403="OK"),"OK","CHECK"))</f>
        <v>OK</v>
      </c>
    </row>
    <row r="404" customFormat="false" ht="18" hidden="false" customHeight="true" outlineLevel="0" collapsed="false">
      <c r="A404" s="9" t="s">
        <v>26</v>
      </c>
      <c r="B404" s="9" t="n">
        <v>21</v>
      </c>
      <c r="C404" s="11" t="n">
        <v>45985</v>
      </c>
      <c r="D404" s="9" t="s">
        <v>69</v>
      </c>
      <c r="E404" s="12" t="n">
        <v>23</v>
      </c>
      <c r="F404" s="9" t="s">
        <v>31</v>
      </c>
      <c r="G404" s="13" t="n">
        <v>150</v>
      </c>
      <c r="H404" s="9" t="s">
        <v>41</v>
      </c>
      <c r="I404" s="13" t="n">
        <v>2</v>
      </c>
      <c r="J404" s="1" t="str">
        <f aca="false">IF(A404="","", "SAMP-"&amp;A404&amp;"-L"&amp;TEXT(B404,"00")&amp;"-"&amp;TEXT(C404,"yyyymmdd")&amp;"-"&amp;D404&amp;"-H"&amp;TEXT(E404,"00")&amp;"-"&amp;H404)</f>
        <v>SAMP-KG01-L21-20251124-ORD-2025-00180-H23-Chip</v>
      </c>
      <c r="K404" s="1" t="str">
        <f aca="false">IF(A404="","",IF(AND(G404&gt;=0,I404&gt;=0,I404&lt;=G404),"OK","CHECK"))</f>
        <v>OK</v>
      </c>
      <c r="L404" s="1" t="str">
        <f aca="false">IF(A404="","",IF(AND(E404&gt;=0,E404&lt;=23),"OK","CHECK"))</f>
        <v>OK</v>
      </c>
      <c r="M404" s="1" t="str">
        <f aca="false">IF(A404="","",IF(AND(K404="OK",L404="OK"),"OK","CHECK"))</f>
        <v>OK</v>
      </c>
    </row>
    <row r="405" customFormat="false" ht="18" hidden="false" customHeight="true" outlineLevel="0" collapsed="false">
      <c r="A405" s="9" t="s">
        <v>26</v>
      </c>
      <c r="B405" s="9" t="n">
        <v>21</v>
      </c>
      <c r="C405" s="11" t="n">
        <v>45985</v>
      </c>
      <c r="D405" s="9" t="s">
        <v>69</v>
      </c>
      <c r="E405" s="12" t="n">
        <v>16</v>
      </c>
      <c r="F405" s="9" t="s">
        <v>31</v>
      </c>
      <c r="G405" s="13" t="n">
        <v>150</v>
      </c>
      <c r="H405" s="9" t="s">
        <v>30</v>
      </c>
      <c r="I405" s="13" t="n">
        <v>4</v>
      </c>
      <c r="J405" s="1" t="str">
        <f aca="false">IF(A405="","", "SAMP-"&amp;A405&amp;"-L"&amp;TEXT(B405,"00")&amp;"-"&amp;TEXT(C405,"yyyymmdd")&amp;"-"&amp;D405&amp;"-H"&amp;TEXT(E405,"00")&amp;"-"&amp;H405)</f>
        <v>SAMP-KG01-L21-20251124-ORD-2025-00180-H16-Overpress</v>
      </c>
      <c r="K405" s="1" t="str">
        <f aca="false">IF(A405="","",IF(AND(G405&gt;=0,I405&gt;=0,I405&lt;=G405),"OK","CHECK"))</f>
        <v>OK</v>
      </c>
      <c r="L405" s="1" t="str">
        <f aca="false">IF(A405="","",IF(AND(E405&gt;=0,E405&lt;=23),"OK","CHECK"))</f>
        <v>OK</v>
      </c>
      <c r="M405" s="1" t="str">
        <f aca="false">IF(A405="","",IF(AND(K405="OK",L405="OK"),"OK","CHECK"))</f>
        <v>OK</v>
      </c>
    </row>
    <row r="406" customFormat="false" ht="18" hidden="false" customHeight="true" outlineLevel="0" collapsed="false">
      <c r="A406" s="9" t="s">
        <v>26</v>
      </c>
      <c r="B406" s="9" t="n">
        <v>21</v>
      </c>
      <c r="C406" s="11" t="n">
        <v>45986</v>
      </c>
      <c r="D406" s="9" t="s">
        <v>69</v>
      </c>
      <c r="E406" s="12" t="n">
        <v>9</v>
      </c>
      <c r="F406" s="9" t="s">
        <v>28</v>
      </c>
      <c r="G406" s="13" t="n">
        <v>50</v>
      </c>
      <c r="H406" s="9" t="s">
        <v>38</v>
      </c>
      <c r="I406" s="13" t="n">
        <v>0</v>
      </c>
      <c r="J406" s="1" t="str">
        <f aca="false">IF(A406="","", "SAMP-"&amp;A406&amp;"-L"&amp;TEXT(B406,"00")&amp;"-"&amp;TEXT(C406,"yyyymmdd")&amp;"-"&amp;D406&amp;"-H"&amp;TEXT(E406,"00")&amp;"-"&amp;H406)</f>
        <v>SAMP-KG01-L21-20251125-ORD-2025-00180-H09-Crack</v>
      </c>
      <c r="K406" s="1" t="str">
        <f aca="false">IF(A406="","",IF(AND(G406&gt;=0,I406&gt;=0,I406&lt;=G406),"OK","CHECK"))</f>
        <v>OK</v>
      </c>
      <c r="L406" s="1" t="str">
        <f aca="false">IF(A406="","",IF(AND(E406&gt;=0,E406&lt;=23),"OK","CHECK"))</f>
        <v>OK</v>
      </c>
      <c r="M406" s="1" t="str">
        <f aca="false">IF(A406="","",IF(AND(K406="OK",L406="OK"),"OK","CHECK"))</f>
        <v>OK</v>
      </c>
    </row>
    <row r="407" customFormat="false" ht="18" hidden="false" customHeight="true" outlineLevel="0" collapsed="false">
      <c r="A407" s="9" t="s">
        <v>26</v>
      </c>
      <c r="B407" s="9" t="n">
        <v>21</v>
      </c>
      <c r="C407" s="11" t="n">
        <v>45986</v>
      </c>
      <c r="D407" s="9" t="s">
        <v>69</v>
      </c>
      <c r="E407" s="12" t="n">
        <v>12</v>
      </c>
      <c r="F407" s="9" t="s">
        <v>28</v>
      </c>
      <c r="G407" s="13" t="n">
        <v>100</v>
      </c>
      <c r="H407" s="9" t="s">
        <v>34</v>
      </c>
      <c r="I407" s="13" t="n">
        <v>3</v>
      </c>
      <c r="J407" s="1" t="str">
        <f aca="false">IF(A407="","", "SAMP-"&amp;A407&amp;"-L"&amp;TEXT(B407,"00")&amp;"-"&amp;TEXT(C407,"yyyymmdd")&amp;"-"&amp;D407&amp;"-H"&amp;TEXT(E407,"00")&amp;"-"&amp;H407)</f>
        <v>SAMP-KG01-L21-20251125-ORD-2025-00180-H12-Thin Wall</v>
      </c>
      <c r="K407" s="1" t="str">
        <f aca="false">IF(A407="","",IF(AND(G407&gt;=0,I407&gt;=0,I407&lt;=G407),"OK","CHECK"))</f>
        <v>OK</v>
      </c>
      <c r="L407" s="1" t="str">
        <f aca="false">IF(A407="","",IF(AND(E407&gt;=0,E407&lt;=23),"OK","CHECK"))</f>
        <v>OK</v>
      </c>
      <c r="M407" s="1" t="str">
        <f aca="false">IF(A407="","",IF(AND(K407="OK",L407="OK"),"OK","CHECK"))</f>
        <v>OK</v>
      </c>
    </row>
    <row r="408" customFormat="false" ht="18" hidden="false" customHeight="true" outlineLevel="0" collapsed="false">
      <c r="A408" s="9" t="s">
        <v>26</v>
      </c>
      <c r="B408" s="9" t="n">
        <v>21</v>
      </c>
      <c r="C408" s="11" t="n">
        <v>45986</v>
      </c>
      <c r="D408" s="9" t="s">
        <v>69</v>
      </c>
      <c r="E408" s="12" t="n">
        <v>16</v>
      </c>
      <c r="F408" s="9" t="s">
        <v>31</v>
      </c>
      <c r="G408" s="13" t="n">
        <v>200</v>
      </c>
      <c r="H408" s="9" t="s">
        <v>36</v>
      </c>
      <c r="I408" s="13" t="n">
        <v>7</v>
      </c>
      <c r="J408" s="1" t="str">
        <f aca="false">IF(A408="","", "SAMP-"&amp;A408&amp;"-L"&amp;TEXT(B408,"00")&amp;"-"&amp;TEXT(C408,"yyyymmdd")&amp;"-"&amp;D408&amp;"-H"&amp;TEXT(E408,"00")&amp;"-"&amp;H408)</f>
        <v>SAMP-KG01-L21-20251125-ORD-2025-00180-H16-Blister</v>
      </c>
      <c r="K408" s="1" t="str">
        <f aca="false">IF(A408="","",IF(AND(G408&gt;=0,I408&gt;=0,I408&lt;=G408),"OK","CHECK"))</f>
        <v>OK</v>
      </c>
      <c r="L408" s="1" t="str">
        <f aca="false">IF(A408="","",IF(AND(E408&gt;=0,E408&lt;=23),"OK","CHECK"))</f>
        <v>OK</v>
      </c>
      <c r="M408" s="1" t="str">
        <f aca="false">IF(A408="","",IF(AND(K408="OK",L408="OK"),"OK","CHECK"))</f>
        <v>OK</v>
      </c>
    </row>
    <row r="409" customFormat="false" ht="18" hidden="false" customHeight="true" outlineLevel="0" collapsed="false">
      <c r="A409" s="9" t="s">
        <v>26</v>
      </c>
      <c r="B409" s="9" t="n">
        <v>21</v>
      </c>
      <c r="C409" s="11" t="n">
        <v>45986</v>
      </c>
      <c r="D409" s="9" t="s">
        <v>69</v>
      </c>
      <c r="E409" s="12" t="n">
        <v>20</v>
      </c>
      <c r="F409" s="9" t="s">
        <v>31</v>
      </c>
      <c r="G409" s="13" t="n">
        <v>50</v>
      </c>
      <c r="H409" s="9" t="s">
        <v>37</v>
      </c>
      <c r="I409" s="13" t="n">
        <v>1</v>
      </c>
      <c r="J409" s="1" t="str">
        <f aca="false">IF(A409="","", "SAMP-"&amp;A409&amp;"-L"&amp;TEXT(B409,"00")&amp;"-"&amp;TEXT(C409,"yyyymmdd")&amp;"-"&amp;D409&amp;"-H"&amp;TEXT(E409,"00")&amp;"-"&amp;H409)</f>
        <v>SAMP-KG01-L21-20251125-ORD-2025-00180-H20-Bird Swing</v>
      </c>
      <c r="K409" s="1" t="str">
        <f aca="false">IF(A409="","",IF(AND(G409&gt;=0,I409&gt;=0,I409&lt;=G409),"OK","CHECK"))</f>
        <v>OK</v>
      </c>
      <c r="L409" s="1" t="str">
        <f aca="false">IF(A409="","",IF(AND(E409&gt;=0,E409&lt;=23),"OK","CHECK"))</f>
        <v>OK</v>
      </c>
      <c r="M409" s="1" t="str">
        <f aca="false">IF(A409="","",IF(AND(K409="OK",L409="OK"),"OK","CHECK"))</f>
        <v>OK</v>
      </c>
    </row>
    <row r="410" customFormat="false" ht="18" hidden="false" customHeight="true" outlineLevel="0" collapsed="false">
      <c r="A410" s="9" t="s">
        <v>26</v>
      </c>
      <c r="B410" s="9" t="n">
        <v>21</v>
      </c>
      <c r="C410" s="11" t="n">
        <v>45986</v>
      </c>
      <c r="D410" s="9" t="s">
        <v>69</v>
      </c>
      <c r="E410" s="12" t="n">
        <v>23</v>
      </c>
      <c r="F410" s="9" t="s">
        <v>31</v>
      </c>
      <c r="G410" s="13" t="n">
        <v>100</v>
      </c>
      <c r="H410" s="9" t="s">
        <v>30</v>
      </c>
      <c r="I410" s="13" t="n">
        <v>2</v>
      </c>
      <c r="J410" s="1" t="str">
        <f aca="false">IF(A410="","", "SAMP-"&amp;A410&amp;"-L"&amp;TEXT(B410,"00")&amp;"-"&amp;TEXT(C410,"yyyymmdd")&amp;"-"&amp;D410&amp;"-H"&amp;TEXT(E410,"00")&amp;"-"&amp;H410)</f>
        <v>SAMP-KG01-L21-20251125-ORD-2025-00180-H23-Overpress</v>
      </c>
      <c r="K410" s="1" t="str">
        <f aca="false">IF(A410="","",IF(AND(G410&gt;=0,I410&gt;=0,I410&lt;=G410),"OK","CHECK"))</f>
        <v>OK</v>
      </c>
      <c r="L410" s="1" t="str">
        <f aca="false">IF(A410="","",IF(AND(E410&gt;=0,E410&lt;=23),"OK","CHECK"))</f>
        <v>OK</v>
      </c>
      <c r="M410" s="1" t="str">
        <f aca="false">IF(A410="","",IF(AND(K410="OK",L410="OK"),"OK","CHECK"))</f>
        <v>OK</v>
      </c>
    </row>
    <row r="411" customFormat="false" ht="18" hidden="false" customHeight="true" outlineLevel="0" collapsed="false">
      <c r="A411" s="9" t="s">
        <v>26</v>
      </c>
      <c r="B411" s="9" t="n">
        <v>21</v>
      </c>
      <c r="C411" s="11" t="n">
        <v>45987</v>
      </c>
      <c r="D411" s="9" t="s">
        <v>69</v>
      </c>
      <c r="E411" s="12" t="n">
        <v>12</v>
      </c>
      <c r="F411" s="9" t="s">
        <v>28</v>
      </c>
      <c r="G411" s="13" t="n">
        <v>100</v>
      </c>
      <c r="H411" s="9" t="s">
        <v>37</v>
      </c>
      <c r="I411" s="13" t="n">
        <v>3</v>
      </c>
      <c r="J411" s="1" t="str">
        <f aca="false">IF(A411="","", "SAMP-"&amp;A411&amp;"-L"&amp;TEXT(B411,"00")&amp;"-"&amp;TEXT(C411,"yyyymmdd")&amp;"-"&amp;D411&amp;"-H"&amp;TEXT(E411,"00")&amp;"-"&amp;H411)</f>
        <v>SAMP-KG01-L21-20251126-ORD-2025-00180-H12-Bird Swing</v>
      </c>
      <c r="K411" s="1" t="str">
        <f aca="false">IF(A411="","",IF(AND(G411&gt;=0,I411&gt;=0,I411&lt;=G411),"OK","CHECK"))</f>
        <v>OK</v>
      </c>
      <c r="L411" s="1" t="str">
        <f aca="false">IF(A411="","",IF(AND(E411&gt;=0,E411&lt;=23),"OK","CHECK"))</f>
        <v>OK</v>
      </c>
      <c r="M411" s="1" t="str">
        <f aca="false">IF(A411="","",IF(AND(K411="OK",L411="OK"),"OK","CHECK"))</f>
        <v>OK</v>
      </c>
    </row>
    <row r="412" customFormat="false" ht="18" hidden="false" customHeight="true" outlineLevel="0" collapsed="false">
      <c r="A412" s="9" t="s">
        <v>26</v>
      </c>
      <c r="B412" s="9" t="n">
        <v>21</v>
      </c>
      <c r="C412" s="11" t="n">
        <v>45987</v>
      </c>
      <c r="D412" s="9" t="s">
        <v>69</v>
      </c>
      <c r="E412" s="12" t="n">
        <v>9</v>
      </c>
      <c r="F412" s="9" t="s">
        <v>28</v>
      </c>
      <c r="G412" s="13" t="n">
        <v>150</v>
      </c>
      <c r="H412" s="9" t="s">
        <v>41</v>
      </c>
      <c r="I412" s="13" t="n">
        <v>4</v>
      </c>
      <c r="J412" s="1" t="str">
        <f aca="false">IF(A412="","", "SAMP-"&amp;A412&amp;"-L"&amp;TEXT(B412,"00")&amp;"-"&amp;TEXT(C412,"yyyymmdd")&amp;"-"&amp;D412&amp;"-H"&amp;TEXT(E412,"00")&amp;"-"&amp;H412)</f>
        <v>SAMP-KG01-L21-20251126-ORD-2025-00180-H09-Chip</v>
      </c>
      <c r="K412" s="1" t="str">
        <f aca="false">IF(A412="","",IF(AND(G412&gt;=0,I412&gt;=0,I412&lt;=G412),"OK","CHECK"))</f>
        <v>OK</v>
      </c>
      <c r="L412" s="1" t="str">
        <f aca="false">IF(A412="","",IF(AND(E412&gt;=0,E412&lt;=23),"OK","CHECK"))</f>
        <v>OK</v>
      </c>
      <c r="M412" s="1" t="str">
        <f aca="false">IF(A412="","",IF(AND(K412="OK",L412="OK"),"OK","CHECK"))</f>
        <v>OK</v>
      </c>
    </row>
    <row r="413" customFormat="false" ht="18" hidden="false" customHeight="true" outlineLevel="0" collapsed="false">
      <c r="A413" s="9" t="s">
        <v>26</v>
      </c>
      <c r="B413" s="9" t="n">
        <v>21</v>
      </c>
      <c r="C413" s="11" t="n">
        <v>45987</v>
      </c>
      <c r="D413" s="9" t="s">
        <v>69</v>
      </c>
      <c r="E413" s="12" t="n">
        <v>7</v>
      </c>
      <c r="F413" s="9" t="s">
        <v>28</v>
      </c>
      <c r="G413" s="13" t="n">
        <v>200</v>
      </c>
      <c r="H413" s="9" t="s">
        <v>33</v>
      </c>
      <c r="I413" s="13" t="n">
        <v>6</v>
      </c>
      <c r="J413" s="1" t="str">
        <f aca="false">IF(A413="","", "SAMP-"&amp;A413&amp;"-L"&amp;TEXT(B413,"00")&amp;"-"&amp;TEXT(C413,"yyyymmdd")&amp;"-"&amp;D413&amp;"-H"&amp;TEXT(E413,"00")&amp;"-"&amp;H413)</f>
        <v>SAMP-KG01-L21-20251126-ORD-2025-00180-H07-Distortion</v>
      </c>
      <c r="K413" s="1" t="str">
        <f aca="false">IF(A413="","",IF(AND(G413&gt;=0,I413&gt;=0,I413&lt;=G413),"OK","CHECK"))</f>
        <v>OK</v>
      </c>
      <c r="L413" s="1" t="str">
        <f aca="false">IF(A413="","",IF(AND(E413&gt;=0,E413&lt;=23),"OK","CHECK"))</f>
        <v>OK</v>
      </c>
      <c r="M413" s="1" t="str">
        <f aca="false">IF(A413="","",IF(AND(K413="OK",L413="OK"),"OK","CHECK"))</f>
        <v>OK</v>
      </c>
    </row>
    <row r="414" customFormat="false" ht="18" hidden="false" customHeight="true" outlineLevel="0" collapsed="false">
      <c r="A414" s="9" t="s">
        <v>26</v>
      </c>
      <c r="B414" s="9" t="n">
        <v>21</v>
      </c>
      <c r="C414" s="11" t="n">
        <v>45987</v>
      </c>
      <c r="D414" s="9" t="s">
        <v>70</v>
      </c>
      <c r="E414" s="12" t="n">
        <v>20</v>
      </c>
      <c r="F414" s="9" t="s">
        <v>31</v>
      </c>
      <c r="G414" s="13" t="n">
        <v>150</v>
      </c>
      <c r="H414" s="9" t="s">
        <v>35</v>
      </c>
      <c r="I414" s="13" t="n">
        <v>6</v>
      </c>
      <c r="J414" s="1" t="str">
        <f aca="false">IF(A414="","", "SAMP-"&amp;A414&amp;"-L"&amp;TEXT(B414,"00")&amp;"-"&amp;TEXT(C414,"yyyymmdd")&amp;"-"&amp;D414&amp;"-H"&amp;TEXT(E414,"00")&amp;"-"&amp;H414)</f>
        <v>SAMP-KG01-L21-20251126-ORD-2025-00181-H20-Stone</v>
      </c>
      <c r="K414" s="1" t="str">
        <f aca="false">IF(A414="","",IF(AND(G414&gt;=0,I414&gt;=0,I414&lt;=G414),"OK","CHECK"))</f>
        <v>OK</v>
      </c>
      <c r="L414" s="1" t="str">
        <f aca="false">IF(A414="","",IF(AND(E414&gt;=0,E414&lt;=23),"OK","CHECK"))</f>
        <v>OK</v>
      </c>
      <c r="M414" s="1" t="str">
        <f aca="false">IF(A414="","",IF(AND(K414="OK",L414="OK"),"OK","CHECK"))</f>
        <v>OK</v>
      </c>
    </row>
    <row r="415" customFormat="false" ht="18" hidden="false" customHeight="true" outlineLevel="0" collapsed="false">
      <c r="A415" s="9" t="s">
        <v>26</v>
      </c>
      <c r="B415" s="9" t="n">
        <v>21</v>
      </c>
      <c r="C415" s="11" t="n">
        <v>45987</v>
      </c>
      <c r="D415" s="9" t="s">
        <v>70</v>
      </c>
      <c r="E415" s="12" t="n">
        <v>16</v>
      </c>
      <c r="F415" s="9" t="s">
        <v>31</v>
      </c>
      <c r="G415" s="13" t="n">
        <v>150</v>
      </c>
      <c r="H415" s="9" t="s">
        <v>30</v>
      </c>
      <c r="I415" s="13" t="n">
        <v>1</v>
      </c>
      <c r="J415" s="1" t="str">
        <f aca="false">IF(A415="","", "SAMP-"&amp;A415&amp;"-L"&amp;TEXT(B415,"00")&amp;"-"&amp;TEXT(C415,"yyyymmdd")&amp;"-"&amp;D415&amp;"-H"&amp;TEXT(E415,"00")&amp;"-"&amp;H415)</f>
        <v>SAMP-KG01-L21-20251126-ORD-2025-00181-H16-Overpress</v>
      </c>
      <c r="K415" s="1" t="str">
        <f aca="false">IF(A415="","",IF(AND(G415&gt;=0,I415&gt;=0,I415&lt;=G415),"OK","CHECK"))</f>
        <v>OK</v>
      </c>
      <c r="L415" s="1" t="str">
        <f aca="false">IF(A415="","",IF(AND(E415&gt;=0,E415&lt;=23),"OK","CHECK"))</f>
        <v>OK</v>
      </c>
      <c r="M415" s="1" t="str">
        <f aca="false">IF(A415="","",IF(AND(K415="OK",L415="OK"),"OK","CHECK"))</f>
        <v>OK</v>
      </c>
    </row>
    <row r="416" customFormat="false" ht="18" hidden="false" customHeight="true" outlineLevel="0" collapsed="false">
      <c r="A416" s="9" t="s">
        <v>26</v>
      </c>
      <c r="B416" s="9" t="n">
        <v>21</v>
      </c>
      <c r="C416" s="11" t="n">
        <v>45987</v>
      </c>
      <c r="D416" s="9" t="s">
        <v>70</v>
      </c>
      <c r="E416" s="12" t="n">
        <v>23</v>
      </c>
      <c r="F416" s="9" t="s">
        <v>31</v>
      </c>
      <c r="G416" s="13" t="n">
        <v>150</v>
      </c>
      <c r="H416" s="9" t="s">
        <v>35</v>
      </c>
      <c r="I416" s="13" t="n">
        <v>1</v>
      </c>
      <c r="J416" s="1" t="str">
        <f aca="false">IF(A416="","", "SAMP-"&amp;A416&amp;"-L"&amp;TEXT(B416,"00")&amp;"-"&amp;TEXT(C416,"yyyymmdd")&amp;"-"&amp;D416&amp;"-H"&amp;TEXT(E416,"00")&amp;"-"&amp;H416)</f>
        <v>SAMP-KG01-L21-20251126-ORD-2025-00181-H23-Stone</v>
      </c>
      <c r="K416" s="1" t="str">
        <f aca="false">IF(A416="","",IF(AND(G416&gt;=0,I416&gt;=0,I416&lt;=G416),"OK","CHECK"))</f>
        <v>OK</v>
      </c>
      <c r="L416" s="1" t="str">
        <f aca="false">IF(A416="","",IF(AND(E416&gt;=0,E416&lt;=23),"OK","CHECK"))</f>
        <v>OK</v>
      </c>
      <c r="M416" s="1" t="str">
        <f aca="false">IF(A416="","",IF(AND(K416="OK",L416="OK"),"OK","CHECK"))</f>
        <v>OK</v>
      </c>
    </row>
    <row r="417" customFormat="false" ht="18" hidden="false" customHeight="true" outlineLevel="0" collapsed="false">
      <c r="A417" s="9" t="s">
        <v>26</v>
      </c>
      <c r="B417" s="9" t="n">
        <v>21</v>
      </c>
      <c r="C417" s="11" t="n">
        <v>45988</v>
      </c>
      <c r="D417" s="9" t="s">
        <v>70</v>
      </c>
      <c r="E417" s="12" t="n">
        <v>9</v>
      </c>
      <c r="F417" s="9" t="s">
        <v>28</v>
      </c>
      <c r="G417" s="13" t="n">
        <v>100</v>
      </c>
      <c r="H417" s="9" t="s">
        <v>35</v>
      </c>
      <c r="I417" s="13" t="n">
        <v>3</v>
      </c>
      <c r="J417" s="1" t="str">
        <f aca="false">IF(A417="","", "SAMP-"&amp;A417&amp;"-L"&amp;TEXT(B417,"00")&amp;"-"&amp;TEXT(C417,"yyyymmdd")&amp;"-"&amp;D417&amp;"-H"&amp;TEXT(E417,"00")&amp;"-"&amp;H417)</f>
        <v>SAMP-KG01-L21-20251127-ORD-2025-00181-H09-Stone</v>
      </c>
      <c r="K417" s="1" t="str">
        <f aca="false">IF(A417="","",IF(AND(G417&gt;=0,I417&gt;=0,I417&lt;=G417),"OK","CHECK"))</f>
        <v>OK</v>
      </c>
      <c r="L417" s="1" t="str">
        <f aca="false">IF(A417="","",IF(AND(E417&gt;=0,E417&lt;=23),"OK","CHECK"))</f>
        <v>OK</v>
      </c>
      <c r="M417" s="1" t="str">
        <f aca="false">IF(A417="","",IF(AND(K417="OK",L417="OK"),"OK","CHECK"))</f>
        <v>OK</v>
      </c>
    </row>
    <row r="418" customFormat="false" ht="18" hidden="false" customHeight="true" outlineLevel="0" collapsed="false">
      <c r="A418" s="9" t="s">
        <v>26</v>
      </c>
      <c r="B418" s="9" t="n">
        <v>21</v>
      </c>
      <c r="C418" s="11" t="n">
        <v>45988</v>
      </c>
      <c r="D418" s="9" t="s">
        <v>70</v>
      </c>
      <c r="E418" s="12" t="n">
        <v>12</v>
      </c>
      <c r="F418" s="9" t="s">
        <v>28</v>
      </c>
      <c r="G418" s="13" t="n">
        <v>150</v>
      </c>
      <c r="H418" s="9" t="s">
        <v>41</v>
      </c>
      <c r="I418" s="13" t="n">
        <v>3</v>
      </c>
      <c r="J418" s="1" t="str">
        <f aca="false">IF(A418="","", "SAMP-"&amp;A418&amp;"-L"&amp;TEXT(B418,"00")&amp;"-"&amp;TEXT(C418,"yyyymmdd")&amp;"-"&amp;D418&amp;"-H"&amp;TEXT(E418,"00")&amp;"-"&amp;H418)</f>
        <v>SAMP-KG01-L21-20251127-ORD-2025-00181-H12-Chip</v>
      </c>
      <c r="K418" s="1" t="str">
        <f aca="false">IF(A418="","",IF(AND(G418&gt;=0,I418&gt;=0,I418&lt;=G418),"OK","CHECK"))</f>
        <v>OK</v>
      </c>
      <c r="L418" s="1" t="str">
        <f aca="false">IF(A418="","",IF(AND(E418&gt;=0,E418&lt;=23),"OK","CHECK"))</f>
        <v>OK</v>
      </c>
      <c r="M418" s="1" t="str">
        <f aca="false">IF(A418="","",IF(AND(K418="OK",L418="OK"),"OK","CHECK"))</f>
        <v>OK</v>
      </c>
    </row>
    <row r="419" customFormat="false" ht="18" hidden="false" customHeight="true" outlineLevel="0" collapsed="false">
      <c r="A419" s="9" t="s">
        <v>26</v>
      </c>
      <c r="B419" s="9" t="n">
        <v>21</v>
      </c>
      <c r="C419" s="11" t="n">
        <v>45988</v>
      </c>
      <c r="D419" s="9" t="s">
        <v>70</v>
      </c>
      <c r="E419" s="12" t="n">
        <v>7</v>
      </c>
      <c r="F419" s="9" t="s">
        <v>28</v>
      </c>
      <c r="G419" s="13" t="n">
        <v>50</v>
      </c>
      <c r="H419" s="9" t="s">
        <v>30</v>
      </c>
      <c r="I419" s="13" t="n">
        <v>0</v>
      </c>
      <c r="J419" s="1" t="str">
        <f aca="false">IF(A419="","", "SAMP-"&amp;A419&amp;"-L"&amp;TEXT(B419,"00")&amp;"-"&amp;TEXT(C419,"yyyymmdd")&amp;"-"&amp;D419&amp;"-H"&amp;TEXT(E419,"00")&amp;"-"&amp;H419)</f>
        <v>SAMP-KG01-L21-20251127-ORD-2025-00181-H07-Overpress</v>
      </c>
      <c r="K419" s="1" t="str">
        <f aca="false">IF(A419="","",IF(AND(G419&gt;=0,I419&gt;=0,I419&lt;=G419),"OK","CHECK"))</f>
        <v>OK</v>
      </c>
      <c r="L419" s="1" t="str">
        <f aca="false">IF(A419="","",IF(AND(E419&gt;=0,E419&lt;=23),"OK","CHECK"))</f>
        <v>OK</v>
      </c>
      <c r="M419" s="1" t="str">
        <f aca="false">IF(A419="","",IF(AND(K419="OK",L419="OK"),"OK","CHECK"))</f>
        <v>OK</v>
      </c>
    </row>
    <row r="420" customFormat="false" ht="18" hidden="false" customHeight="true" outlineLevel="0" collapsed="false">
      <c r="A420" s="9" t="s">
        <v>26</v>
      </c>
      <c r="B420" s="9" t="n">
        <v>21</v>
      </c>
      <c r="C420" s="11" t="n">
        <v>45988</v>
      </c>
      <c r="D420" s="9" t="s">
        <v>70</v>
      </c>
      <c r="E420" s="12" t="n">
        <v>23</v>
      </c>
      <c r="F420" s="9" t="s">
        <v>31</v>
      </c>
      <c r="G420" s="13" t="n">
        <v>150</v>
      </c>
      <c r="H420" s="9" t="s">
        <v>34</v>
      </c>
      <c r="I420" s="13" t="n">
        <v>2</v>
      </c>
      <c r="J420" s="1" t="str">
        <f aca="false">IF(A420="","", "SAMP-"&amp;A420&amp;"-L"&amp;TEXT(B420,"00")&amp;"-"&amp;TEXT(C420,"yyyymmdd")&amp;"-"&amp;D420&amp;"-H"&amp;TEXT(E420,"00")&amp;"-"&amp;H420)</f>
        <v>SAMP-KG01-L21-20251127-ORD-2025-00181-H23-Thin Wall</v>
      </c>
      <c r="K420" s="1" t="str">
        <f aca="false">IF(A420="","",IF(AND(G420&gt;=0,I420&gt;=0,I420&lt;=G420),"OK","CHECK"))</f>
        <v>OK</v>
      </c>
      <c r="L420" s="1" t="str">
        <f aca="false">IF(A420="","",IF(AND(E420&gt;=0,E420&lt;=23),"OK","CHECK"))</f>
        <v>OK</v>
      </c>
      <c r="M420" s="1" t="str">
        <f aca="false">IF(A420="","",IF(AND(K420="OK",L420="OK"),"OK","CHECK"))</f>
        <v>OK</v>
      </c>
    </row>
    <row r="421" customFormat="false" ht="18" hidden="false" customHeight="true" outlineLevel="0" collapsed="false">
      <c r="A421" s="9" t="s">
        <v>26</v>
      </c>
      <c r="B421" s="9" t="n">
        <v>21</v>
      </c>
      <c r="C421" s="11" t="n">
        <v>45988</v>
      </c>
      <c r="D421" s="9" t="s">
        <v>70</v>
      </c>
      <c r="E421" s="12" t="n">
        <v>16</v>
      </c>
      <c r="F421" s="9" t="s">
        <v>31</v>
      </c>
      <c r="G421" s="13" t="n">
        <v>150</v>
      </c>
      <c r="H421" s="9" t="s">
        <v>30</v>
      </c>
      <c r="I421" s="13" t="n">
        <v>6</v>
      </c>
      <c r="J421" s="1" t="str">
        <f aca="false">IF(A421="","", "SAMP-"&amp;A421&amp;"-L"&amp;TEXT(B421,"00")&amp;"-"&amp;TEXT(C421,"yyyymmdd")&amp;"-"&amp;D421&amp;"-H"&amp;TEXT(E421,"00")&amp;"-"&amp;H421)</f>
        <v>SAMP-KG01-L21-20251127-ORD-2025-00181-H16-Overpress</v>
      </c>
      <c r="K421" s="1" t="str">
        <f aca="false">IF(A421="","",IF(AND(G421&gt;=0,I421&gt;=0,I421&lt;=G421),"OK","CHECK"))</f>
        <v>OK</v>
      </c>
      <c r="L421" s="1" t="str">
        <f aca="false">IF(A421="","",IF(AND(E421&gt;=0,E421&lt;=23),"OK","CHECK"))</f>
        <v>OK</v>
      </c>
      <c r="M421" s="1" t="str">
        <f aca="false">IF(A421="","",IF(AND(K421="OK",L421="OK"),"OK","CHECK"))</f>
        <v>OK</v>
      </c>
    </row>
    <row r="422" customFormat="false" ht="18" hidden="false" customHeight="true" outlineLevel="0" collapsed="false">
      <c r="A422" s="9" t="s">
        <v>26</v>
      </c>
      <c r="B422" s="9" t="n">
        <v>21</v>
      </c>
      <c r="C422" s="11" t="n">
        <v>45988</v>
      </c>
      <c r="D422" s="9" t="s">
        <v>70</v>
      </c>
      <c r="E422" s="12" t="n">
        <v>20</v>
      </c>
      <c r="F422" s="9" t="s">
        <v>31</v>
      </c>
      <c r="G422" s="13" t="n">
        <v>150</v>
      </c>
      <c r="H422" s="9" t="s">
        <v>38</v>
      </c>
      <c r="I422" s="13" t="n">
        <v>0</v>
      </c>
      <c r="J422" s="1" t="str">
        <f aca="false">IF(A422="","", "SAMP-"&amp;A422&amp;"-L"&amp;TEXT(B422,"00")&amp;"-"&amp;TEXT(C422,"yyyymmdd")&amp;"-"&amp;D422&amp;"-H"&amp;TEXT(E422,"00")&amp;"-"&amp;H422)</f>
        <v>SAMP-KG01-L21-20251127-ORD-2025-00181-H20-Crack</v>
      </c>
      <c r="K422" s="1" t="str">
        <f aca="false">IF(A422="","",IF(AND(G422&gt;=0,I422&gt;=0,I422&lt;=G422),"OK","CHECK"))</f>
        <v>OK</v>
      </c>
      <c r="L422" s="1" t="str">
        <f aca="false">IF(A422="","",IF(AND(E422&gt;=0,E422&lt;=23),"OK","CHECK"))</f>
        <v>OK</v>
      </c>
      <c r="M422" s="1" t="str">
        <f aca="false">IF(A422="","",IF(AND(K422="OK",L422="OK"),"OK","CHECK"))</f>
        <v>OK</v>
      </c>
    </row>
    <row r="423" customFormat="false" ht="18" hidden="false" customHeight="true" outlineLevel="0" collapsed="false">
      <c r="A423" s="9" t="s">
        <v>26</v>
      </c>
      <c r="B423" s="9" t="n">
        <v>21</v>
      </c>
      <c r="C423" s="11" t="n">
        <v>45989</v>
      </c>
      <c r="D423" s="9" t="s">
        <v>70</v>
      </c>
      <c r="E423" s="12" t="n">
        <v>7</v>
      </c>
      <c r="F423" s="9" t="s">
        <v>28</v>
      </c>
      <c r="G423" s="13" t="n">
        <v>150</v>
      </c>
      <c r="H423" s="9" t="s">
        <v>29</v>
      </c>
      <c r="I423" s="13" t="n">
        <v>2</v>
      </c>
      <c r="J423" s="1" t="str">
        <f aca="false">IF(A423="","", "SAMP-"&amp;A423&amp;"-L"&amp;TEXT(B423,"00")&amp;"-"&amp;TEXT(C423,"yyyymmdd")&amp;"-"&amp;D423&amp;"-H"&amp;TEXT(E423,"00")&amp;"-"&amp;H423)</f>
        <v>SAMP-KG01-L21-20251128-ORD-2025-00181-H07-Choke Neck</v>
      </c>
      <c r="K423" s="1" t="str">
        <f aca="false">IF(A423="","",IF(AND(G423&gt;=0,I423&gt;=0,I423&lt;=G423),"OK","CHECK"))</f>
        <v>OK</v>
      </c>
      <c r="L423" s="1" t="str">
        <f aca="false">IF(A423="","",IF(AND(E423&gt;=0,E423&lt;=23),"OK","CHECK"))</f>
        <v>OK</v>
      </c>
      <c r="M423" s="1" t="str">
        <f aca="false">IF(A423="","",IF(AND(K423="OK",L423="OK"),"OK","CHECK"))</f>
        <v>OK</v>
      </c>
    </row>
    <row r="424" customFormat="false" ht="18" hidden="false" customHeight="true" outlineLevel="0" collapsed="false">
      <c r="A424" s="9" t="s">
        <v>26</v>
      </c>
      <c r="B424" s="9" t="n">
        <v>21</v>
      </c>
      <c r="C424" s="11" t="n">
        <v>45989</v>
      </c>
      <c r="D424" s="9" t="s">
        <v>70</v>
      </c>
      <c r="E424" s="12" t="n">
        <v>12</v>
      </c>
      <c r="F424" s="9" t="s">
        <v>28</v>
      </c>
      <c r="G424" s="13" t="n">
        <v>200</v>
      </c>
      <c r="H424" s="9" t="s">
        <v>36</v>
      </c>
      <c r="I424" s="13" t="n">
        <v>1</v>
      </c>
      <c r="J424" s="1" t="str">
        <f aca="false">IF(A424="","", "SAMP-"&amp;A424&amp;"-L"&amp;TEXT(B424,"00")&amp;"-"&amp;TEXT(C424,"yyyymmdd")&amp;"-"&amp;D424&amp;"-H"&amp;TEXT(E424,"00")&amp;"-"&amp;H424)</f>
        <v>SAMP-KG01-L21-20251128-ORD-2025-00181-H12-Blister</v>
      </c>
      <c r="K424" s="1" t="str">
        <f aca="false">IF(A424="","",IF(AND(G424&gt;=0,I424&gt;=0,I424&lt;=G424),"OK","CHECK"))</f>
        <v>OK</v>
      </c>
      <c r="L424" s="1" t="str">
        <f aca="false">IF(A424="","",IF(AND(E424&gt;=0,E424&lt;=23),"OK","CHECK"))</f>
        <v>OK</v>
      </c>
      <c r="M424" s="1" t="str">
        <f aca="false">IF(A424="","",IF(AND(K424="OK",L424="OK"),"OK","CHECK"))</f>
        <v>OK</v>
      </c>
    </row>
    <row r="425" customFormat="false" ht="18" hidden="false" customHeight="true" outlineLevel="0" collapsed="false">
      <c r="A425" s="9" t="s">
        <v>26</v>
      </c>
      <c r="B425" s="9" t="n">
        <v>21</v>
      </c>
      <c r="C425" s="11" t="n">
        <v>45989</v>
      </c>
      <c r="D425" s="9" t="s">
        <v>70</v>
      </c>
      <c r="E425" s="12" t="n">
        <v>9</v>
      </c>
      <c r="F425" s="9" t="s">
        <v>28</v>
      </c>
      <c r="G425" s="13" t="n">
        <v>100</v>
      </c>
      <c r="H425" s="9" t="s">
        <v>29</v>
      </c>
      <c r="I425" s="13" t="n">
        <v>1</v>
      </c>
      <c r="J425" s="1" t="str">
        <f aca="false">IF(A425="","", "SAMP-"&amp;A425&amp;"-L"&amp;TEXT(B425,"00")&amp;"-"&amp;TEXT(C425,"yyyymmdd")&amp;"-"&amp;D425&amp;"-H"&amp;TEXT(E425,"00")&amp;"-"&amp;H425)</f>
        <v>SAMP-KG01-L21-20251128-ORD-2025-00181-H09-Choke Neck</v>
      </c>
      <c r="K425" s="1" t="str">
        <f aca="false">IF(A425="","",IF(AND(G425&gt;=0,I425&gt;=0,I425&lt;=G425),"OK","CHECK"))</f>
        <v>OK</v>
      </c>
      <c r="L425" s="1" t="str">
        <f aca="false">IF(A425="","",IF(AND(E425&gt;=0,E425&lt;=23),"OK","CHECK"))</f>
        <v>OK</v>
      </c>
      <c r="M425" s="1" t="str">
        <f aca="false">IF(A425="","",IF(AND(K425="OK",L425="OK"),"OK","CHECK"))</f>
        <v>OK</v>
      </c>
    </row>
    <row r="426" customFormat="false" ht="18" hidden="false" customHeight="true" outlineLevel="0" collapsed="false">
      <c r="A426" s="9" t="s">
        <v>26</v>
      </c>
      <c r="B426" s="9" t="n">
        <v>21</v>
      </c>
      <c r="C426" s="11" t="n">
        <v>45989</v>
      </c>
      <c r="D426" s="9" t="s">
        <v>70</v>
      </c>
      <c r="E426" s="12" t="n">
        <v>16</v>
      </c>
      <c r="F426" s="9" t="s">
        <v>31</v>
      </c>
      <c r="G426" s="13" t="n">
        <v>50</v>
      </c>
      <c r="H426" s="9" t="s">
        <v>38</v>
      </c>
      <c r="I426" s="13" t="n">
        <v>2</v>
      </c>
      <c r="J426" s="1" t="str">
        <f aca="false">IF(A426="","", "SAMP-"&amp;A426&amp;"-L"&amp;TEXT(B426,"00")&amp;"-"&amp;TEXT(C426,"yyyymmdd")&amp;"-"&amp;D426&amp;"-H"&amp;TEXT(E426,"00")&amp;"-"&amp;H426)</f>
        <v>SAMP-KG01-L21-20251128-ORD-2025-00181-H16-Crack</v>
      </c>
      <c r="K426" s="1" t="str">
        <f aca="false">IF(A426="","",IF(AND(G426&gt;=0,I426&gt;=0,I426&lt;=G426),"OK","CHECK"))</f>
        <v>OK</v>
      </c>
      <c r="L426" s="1" t="str">
        <f aca="false">IF(A426="","",IF(AND(E426&gt;=0,E426&lt;=23),"OK","CHECK"))</f>
        <v>OK</v>
      </c>
      <c r="M426" s="1" t="str">
        <f aca="false">IF(A426="","",IF(AND(K426="OK",L426="OK"),"OK","CHECK"))</f>
        <v>OK</v>
      </c>
    </row>
    <row r="427" customFormat="false" ht="18" hidden="false" customHeight="true" outlineLevel="0" collapsed="false">
      <c r="A427" s="9" t="s">
        <v>26</v>
      </c>
      <c r="B427" s="9" t="n">
        <v>21</v>
      </c>
      <c r="C427" s="11" t="n">
        <v>45989</v>
      </c>
      <c r="D427" s="9" t="s">
        <v>70</v>
      </c>
      <c r="E427" s="12" t="n">
        <v>23</v>
      </c>
      <c r="F427" s="9" t="s">
        <v>31</v>
      </c>
      <c r="G427" s="13" t="n">
        <v>200</v>
      </c>
      <c r="H427" s="9" t="s">
        <v>36</v>
      </c>
      <c r="I427" s="13" t="n">
        <v>4</v>
      </c>
      <c r="J427" s="1" t="str">
        <f aca="false">IF(A427="","", "SAMP-"&amp;A427&amp;"-L"&amp;TEXT(B427,"00")&amp;"-"&amp;TEXT(C427,"yyyymmdd")&amp;"-"&amp;D427&amp;"-H"&amp;TEXT(E427,"00")&amp;"-"&amp;H427)</f>
        <v>SAMP-KG01-L21-20251128-ORD-2025-00181-H23-Blister</v>
      </c>
      <c r="K427" s="1" t="str">
        <f aca="false">IF(A427="","",IF(AND(G427&gt;=0,I427&gt;=0,I427&lt;=G427),"OK","CHECK"))</f>
        <v>OK</v>
      </c>
      <c r="L427" s="1" t="str">
        <f aca="false">IF(A427="","",IF(AND(E427&gt;=0,E427&lt;=23),"OK","CHECK"))</f>
        <v>OK</v>
      </c>
      <c r="M427" s="1" t="str">
        <f aca="false">IF(A427="","",IF(AND(K427="OK",L427="OK"),"OK","CHECK"))</f>
        <v>OK</v>
      </c>
    </row>
    <row r="428" customFormat="false" ht="18" hidden="false" customHeight="true" outlineLevel="0" collapsed="false">
      <c r="A428" s="9" t="s">
        <v>26</v>
      </c>
      <c r="B428" s="9" t="n">
        <v>21</v>
      </c>
      <c r="C428" s="11" t="n">
        <v>45989</v>
      </c>
      <c r="D428" s="9" t="s">
        <v>70</v>
      </c>
      <c r="E428" s="12" t="n">
        <v>20</v>
      </c>
      <c r="F428" s="9" t="s">
        <v>31</v>
      </c>
      <c r="G428" s="13" t="n">
        <v>50</v>
      </c>
      <c r="H428" s="9" t="s">
        <v>36</v>
      </c>
      <c r="I428" s="13" t="n">
        <v>2</v>
      </c>
      <c r="J428" s="1" t="str">
        <f aca="false">IF(A428="","", "SAMP-"&amp;A428&amp;"-L"&amp;TEXT(B428,"00")&amp;"-"&amp;TEXT(C428,"yyyymmdd")&amp;"-"&amp;D428&amp;"-H"&amp;TEXT(E428,"00")&amp;"-"&amp;H428)</f>
        <v>SAMP-KG01-L21-20251128-ORD-2025-00181-H20-Blister</v>
      </c>
      <c r="K428" s="1" t="str">
        <f aca="false">IF(A428="","",IF(AND(G428&gt;=0,I428&gt;=0,I428&lt;=G428),"OK","CHECK"))</f>
        <v>OK</v>
      </c>
      <c r="L428" s="1" t="str">
        <f aca="false">IF(A428="","",IF(AND(E428&gt;=0,E428&lt;=23),"OK","CHECK"))</f>
        <v>OK</v>
      </c>
      <c r="M428" s="1" t="str">
        <f aca="false">IF(A428="","",IF(AND(K428="OK",L428="OK"),"OK","CHECK"))</f>
        <v>OK</v>
      </c>
    </row>
    <row r="429" customFormat="false" ht="18" hidden="false" customHeight="true" outlineLevel="0" collapsed="false">
      <c r="A429" s="9" t="s">
        <v>26</v>
      </c>
      <c r="B429" s="9" t="n">
        <v>21</v>
      </c>
      <c r="C429" s="11" t="n">
        <v>45990</v>
      </c>
      <c r="D429" s="9" t="s">
        <v>70</v>
      </c>
      <c r="E429" s="12" t="n">
        <v>9</v>
      </c>
      <c r="F429" s="9" t="s">
        <v>28</v>
      </c>
      <c r="G429" s="13" t="n">
        <v>150</v>
      </c>
      <c r="H429" s="9" t="s">
        <v>29</v>
      </c>
      <c r="I429" s="13" t="n">
        <v>5</v>
      </c>
      <c r="J429" s="1" t="str">
        <f aca="false">IF(A429="","", "SAMP-"&amp;A429&amp;"-L"&amp;TEXT(B429,"00")&amp;"-"&amp;TEXT(C429,"yyyymmdd")&amp;"-"&amp;D429&amp;"-H"&amp;TEXT(E429,"00")&amp;"-"&amp;H429)</f>
        <v>SAMP-KG01-L21-20251129-ORD-2025-00181-H09-Choke Neck</v>
      </c>
      <c r="K429" s="1" t="str">
        <f aca="false">IF(A429="","",IF(AND(G429&gt;=0,I429&gt;=0,I429&lt;=G429),"OK","CHECK"))</f>
        <v>OK</v>
      </c>
      <c r="L429" s="1" t="str">
        <f aca="false">IF(A429="","",IF(AND(E429&gt;=0,E429&lt;=23),"OK","CHECK"))</f>
        <v>OK</v>
      </c>
      <c r="M429" s="1" t="str">
        <f aca="false">IF(A429="","",IF(AND(K429="OK",L429="OK"),"OK","CHECK"))</f>
        <v>OK</v>
      </c>
    </row>
    <row r="430" customFormat="false" ht="18" hidden="false" customHeight="true" outlineLevel="0" collapsed="false">
      <c r="A430" s="9" t="s">
        <v>26</v>
      </c>
      <c r="B430" s="9" t="n">
        <v>21</v>
      </c>
      <c r="C430" s="11" t="n">
        <v>45990</v>
      </c>
      <c r="D430" s="9" t="s">
        <v>70</v>
      </c>
      <c r="E430" s="12" t="n">
        <v>12</v>
      </c>
      <c r="F430" s="9" t="s">
        <v>28</v>
      </c>
      <c r="G430" s="13" t="n">
        <v>150</v>
      </c>
      <c r="H430" s="9" t="s">
        <v>33</v>
      </c>
      <c r="I430" s="13" t="n">
        <v>2</v>
      </c>
      <c r="J430" s="1" t="str">
        <f aca="false">IF(A430="","", "SAMP-"&amp;A430&amp;"-L"&amp;TEXT(B430,"00")&amp;"-"&amp;TEXT(C430,"yyyymmdd")&amp;"-"&amp;D430&amp;"-H"&amp;TEXT(E430,"00")&amp;"-"&amp;H430)</f>
        <v>SAMP-KG01-L21-20251129-ORD-2025-00181-H12-Distortion</v>
      </c>
      <c r="K430" s="1" t="str">
        <f aca="false">IF(A430="","",IF(AND(G430&gt;=0,I430&gt;=0,I430&lt;=G430),"OK","CHECK"))</f>
        <v>OK</v>
      </c>
      <c r="L430" s="1" t="str">
        <f aca="false">IF(A430="","",IF(AND(E430&gt;=0,E430&lt;=23),"OK","CHECK"))</f>
        <v>OK</v>
      </c>
      <c r="M430" s="1" t="str">
        <f aca="false">IF(A430="","",IF(AND(K430="OK",L430="OK"),"OK","CHECK"))</f>
        <v>OK</v>
      </c>
    </row>
    <row r="431" customFormat="false" ht="18" hidden="false" customHeight="true" outlineLevel="0" collapsed="false">
      <c r="A431" s="9" t="s">
        <v>26</v>
      </c>
      <c r="B431" s="9" t="n">
        <v>21</v>
      </c>
      <c r="C431" s="11" t="n">
        <v>45990</v>
      </c>
      <c r="D431" s="9" t="s">
        <v>70</v>
      </c>
      <c r="E431" s="12" t="n">
        <v>20</v>
      </c>
      <c r="F431" s="9" t="s">
        <v>31</v>
      </c>
      <c r="G431" s="13" t="n">
        <v>100</v>
      </c>
      <c r="H431" s="9" t="s">
        <v>36</v>
      </c>
      <c r="I431" s="13" t="n">
        <v>4</v>
      </c>
      <c r="J431" s="1" t="str">
        <f aca="false">IF(A431="","", "SAMP-"&amp;A431&amp;"-L"&amp;TEXT(B431,"00")&amp;"-"&amp;TEXT(C431,"yyyymmdd")&amp;"-"&amp;D431&amp;"-H"&amp;TEXT(E431,"00")&amp;"-"&amp;H431)</f>
        <v>SAMP-KG01-L21-20251129-ORD-2025-00181-H20-Blister</v>
      </c>
      <c r="K431" s="1" t="str">
        <f aca="false">IF(A431="","",IF(AND(G431&gt;=0,I431&gt;=0,I431&lt;=G431),"OK","CHECK"))</f>
        <v>OK</v>
      </c>
      <c r="L431" s="1" t="str">
        <f aca="false">IF(A431="","",IF(AND(E431&gt;=0,E431&lt;=23),"OK","CHECK"))</f>
        <v>OK</v>
      </c>
      <c r="M431" s="1" t="str">
        <f aca="false">IF(A431="","",IF(AND(K431="OK",L431="OK"),"OK","CHECK"))</f>
        <v>OK</v>
      </c>
    </row>
    <row r="432" customFormat="false" ht="18" hidden="false" customHeight="true" outlineLevel="0" collapsed="false">
      <c r="A432" s="9" t="s">
        <v>26</v>
      </c>
      <c r="B432" s="9" t="n">
        <v>21</v>
      </c>
      <c r="C432" s="11" t="n">
        <v>45990</v>
      </c>
      <c r="D432" s="9" t="s">
        <v>70</v>
      </c>
      <c r="E432" s="12" t="n">
        <v>23</v>
      </c>
      <c r="F432" s="9" t="s">
        <v>31</v>
      </c>
      <c r="G432" s="13" t="n">
        <v>50</v>
      </c>
      <c r="H432" s="9" t="s">
        <v>33</v>
      </c>
      <c r="I432" s="13" t="n">
        <v>2</v>
      </c>
      <c r="J432" s="1" t="str">
        <f aca="false">IF(A432="","", "SAMP-"&amp;A432&amp;"-L"&amp;TEXT(B432,"00")&amp;"-"&amp;TEXT(C432,"yyyymmdd")&amp;"-"&amp;D432&amp;"-H"&amp;TEXT(E432,"00")&amp;"-"&amp;H432)</f>
        <v>SAMP-KG01-L21-20251129-ORD-2025-00181-H23-Distortion</v>
      </c>
      <c r="K432" s="1" t="str">
        <f aca="false">IF(A432="","",IF(AND(G432&gt;=0,I432&gt;=0,I432&lt;=G432),"OK","CHECK"))</f>
        <v>OK</v>
      </c>
      <c r="L432" s="1" t="str">
        <f aca="false">IF(A432="","",IF(AND(E432&gt;=0,E432&lt;=23),"OK","CHECK"))</f>
        <v>OK</v>
      </c>
      <c r="M432" s="1" t="str">
        <f aca="false">IF(A432="","",IF(AND(K432="OK",L432="OK"),"OK","CHECK"))</f>
        <v>OK</v>
      </c>
    </row>
    <row r="433" customFormat="false" ht="18" hidden="false" customHeight="true" outlineLevel="0" collapsed="false">
      <c r="A433" s="9" t="s">
        <v>26</v>
      </c>
      <c r="B433" s="9" t="n">
        <v>21</v>
      </c>
      <c r="C433" s="11" t="n">
        <v>45990</v>
      </c>
      <c r="D433" s="9" t="s">
        <v>70</v>
      </c>
      <c r="E433" s="12" t="n">
        <v>16</v>
      </c>
      <c r="F433" s="9" t="s">
        <v>31</v>
      </c>
      <c r="G433" s="13" t="n">
        <v>200</v>
      </c>
      <c r="H433" s="9" t="s">
        <v>35</v>
      </c>
      <c r="I433" s="13" t="n">
        <v>4</v>
      </c>
      <c r="J433" s="1" t="str">
        <f aca="false">IF(A433="","", "SAMP-"&amp;A433&amp;"-L"&amp;TEXT(B433,"00")&amp;"-"&amp;TEXT(C433,"yyyymmdd")&amp;"-"&amp;D433&amp;"-H"&amp;TEXT(E433,"00")&amp;"-"&amp;H433)</f>
        <v>SAMP-KG01-L21-20251129-ORD-2025-00181-H16-Stone</v>
      </c>
      <c r="K433" s="1" t="str">
        <f aca="false">IF(A433="","",IF(AND(G433&gt;=0,I433&gt;=0,I433&lt;=G433),"OK","CHECK"))</f>
        <v>OK</v>
      </c>
      <c r="L433" s="1" t="str">
        <f aca="false">IF(A433="","",IF(AND(E433&gt;=0,E433&lt;=23),"OK","CHECK"))</f>
        <v>OK</v>
      </c>
      <c r="M433" s="1" t="str">
        <f aca="false">IF(A433="","",IF(AND(K433="OK",L433="OK"),"OK","CHECK"))</f>
        <v>OK</v>
      </c>
    </row>
    <row r="434" customFormat="false" ht="18" hidden="false" customHeight="true" outlineLevel="0" collapsed="false">
      <c r="A434" s="9" t="s">
        <v>26</v>
      </c>
      <c r="B434" s="9" t="n">
        <v>21</v>
      </c>
      <c r="C434" s="11" t="n">
        <v>45991</v>
      </c>
      <c r="D434" s="9" t="s">
        <v>70</v>
      </c>
      <c r="E434" s="12" t="n">
        <v>7</v>
      </c>
      <c r="F434" s="9" t="s">
        <v>28</v>
      </c>
      <c r="G434" s="13" t="n">
        <v>50</v>
      </c>
      <c r="H434" s="9" t="s">
        <v>38</v>
      </c>
      <c r="I434" s="13" t="n">
        <v>2</v>
      </c>
      <c r="J434" s="1" t="str">
        <f aca="false">IF(A434="","", "SAMP-"&amp;A434&amp;"-L"&amp;TEXT(B434,"00")&amp;"-"&amp;TEXT(C434,"yyyymmdd")&amp;"-"&amp;D434&amp;"-H"&amp;TEXT(E434,"00")&amp;"-"&amp;H434)</f>
        <v>SAMP-KG01-L21-20251130-ORD-2025-00181-H07-Crack</v>
      </c>
      <c r="K434" s="1" t="str">
        <f aca="false">IF(A434="","",IF(AND(G434&gt;=0,I434&gt;=0,I434&lt;=G434),"OK","CHECK"))</f>
        <v>OK</v>
      </c>
      <c r="L434" s="1" t="str">
        <f aca="false">IF(A434="","",IF(AND(E434&gt;=0,E434&lt;=23),"OK","CHECK"))</f>
        <v>OK</v>
      </c>
      <c r="M434" s="1" t="str">
        <f aca="false">IF(A434="","",IF(AND(K434="OK",L434="OK"),"OK","CHECK"))</f>
        <v>OK</v>
      </c>
    </row>
    <row r="435" customFormat="false" ht="18" hidden="false" customHeight="true" outlineLevel="0" collapsed="false">
      <c r="A435" s="9" t="s">
        <v>26</v>
      </c>
      <c r="B435" s="9" t="n">
        <v>21</v>
      </c>
      <c r="C435" s="11" t="n">
        <v>45991</v>
      </c>
      <c r="D435" s="9" t="s">
        <v>70</v>
      </c>
      <c r="E435" s="12" t="n">
        <v>12</v>
      </c>
      <c r="F435" s="9" t="s">
        <v>28</v>
      </c>
      <c r="G435" s="13" t="n">
        <v>150</v>
      </c>
      <c r="H435" s="9" t="s">
        <v>41</v>
      </c>
      <c r="I435" s="13" t="n">
        <v>6</v>
      </c>
      <c r="J435" s="1" t="str">
        <f aca="false">IF(A435="","", "SAMP-"&amp;A435&amp;"-L"&amp;TEXT(B435,"00")&amp;"-"&amp;TEXT(C435,"yyyymmdd")&amp;"-"&amp;D435&amp;"-H"&amp;TEXT(E435,"00")&amp;"-"&amp;H435)</f>
        <v>SAMP-KG01-L21-20251130-ORD-2025-00181-H12-Chip</v>
      </c>
      <c r="K435" s="1" t="str">
        <f aca="false">IF(A435="","",IF(AND(G435&gt;=0,I435&gt;=0,I435&lt;=G435),"OK","CHECK"))</f>
        <v>OK</v>
      </c>
      <c r="L435" s="1" t="str">
        <f aca="false">IF(A435="","",IF(AND(E435&gt;=0,E435&lt;=23),"OK","CHECK"))</f>
        <v>OK</v>
      </c>
      <c r="M435" s="1" t="str">
        <f aca="false">IF(A435="","",IF(AND(K435="OK",L435="OK"),"OK","CHECK"))</f>
        <v>OK</v>
      </c>
    </row>
    <row r="436" customFormat="false" ht="18" hidden="false" customHeight="true" outlineLevel="0" collapsed="false">
      <c r="A436" s="9" t="s">
        <v>26</v>
      </c>
      <c r="B436" s="9" t="n">
        <v>21</v>
      </c>
      <c r="C436" s="11" t="n">
        <v>45991</v>
      </c>
      <c r="D436" s="9" t="s">
        <v>70</v>
      </c>
      <c r="E436" s="12" t="n">
        <v>9</v>
      </c>
      <c r="F436" s="9" t="s">
        <v>28</v>
      </c>
      <c r="G436" s="13" t="n">
        <v>100</v>
      </c>
      <c r="H436" s="9" t="s">
        <v>41</v>
      </c>
      <c r="I436" s="13" t="n">
        <v>3</v>
      </c>
      <c r="J436" s="1" t="str">
        <f aca="false">IF(A436="","", "SAMP-"&amp;A436&amp;"-L"&amp;TEXT(B436,"00")&amp;"-"&amp;TEXT(C436,"yyyymmdd")&amp;"-"&amp;D436&amp;"-H"&amp;TEXT(E436,"00")&amp;"-"&amp;H436)</f>
        <v>SAMP-KG01-L21-20251130-ORD-2025-00181-H09-Chip</v>
      </c>
      <c r="K436" s="1" t="str">
        <f aca="false">IF(A436="","",IF(AND(G436&gt;=0,I436&gt;=0,I436&lt;=G436),"OK","CHECK"))</f>
        <v>OK</v>
      </c>
      <c r="L436" s="1" t="str">
        <f aca="false">IF(A436="","",IF(AND(E436&gt;=0,E436&lt;=23),"OK","CHECK"))</f>
        <v>OK</v>
      </c>
      <c r="M436" s="1" t="str">
        <f aca="false">IF(A436="","",IF(AND(K436="OK",L436="OK"),"OK","CHECK"))</f>
        <v>OK</v>
      </c>
    </row>
    <row r="437" customFormat="false" ht="18" hidden="false" customHeight="true" outlineLevel="0" collapsed="false">
      <c r="A437" s="9" t="s">
        <v>26</v>
      </c>
      <c r="B437" s="9" t="n">
        <v>21</v>
      </c>
      <c r="C437" s="11" t="n">
        <v>45991</v>
      </c>
      <c r="D437" s="9" t="s">
        <v>70</v>
      </c>
      <c r="E437" s="12" t="n">
        <v>20</v>
      </c>
      <c r="F437" s="9" t="s">
        <v>31</v>
      </c>
      <c r="G437" s="13" t="n">
        <v>100</v>
      </c>
      <c r="H437" s="9" t="s">
        <v>37</v>
      </c>
      <c r="I437" s="13" t="n">
        <v>5</v>
      </c>
      <c r="J437" s="1" t="str">
        <f aca="false">IF(A437="","", "SAMP-"&amp;A437&amp;"-L"&amp;TEXT(B437,"00")&amp;"-"&amp;TEXT(C437,"yyyymmdd")&amp;"-"&amp;D437&amp;"-H"&amp;TEXT(E437,"00")&amp;"-"&amp;H437)</f>
        <v>SAMP-KG01-L21-20251130-ORD-2025-00181-H20-Bird Swing</v>
      </c>
      <c r="K437" s="1" t="str">
        <f aca="false">IF(A437="","",IF(AND(G437&gt;=0,I437&gt;=0,I437&lt;=G437),"OK","CHECK"))</f>
        <v>OK</v>
      </c>
      <c r="L437" s="1" t="str">
        <f aca="false">IF(A437="","",IF(AND(E437&gt;=0,E437&lt;=23),"OK","CHECK"))</f>
        <v>OK</v>
      </c>
      <c r="M437" s="1" t="str">
        <f aca="false">IF(A437="","",IF(AND(K437="OK",L437="OK"),"OK","CHECK"))</f>
        <v>OK</v>
      </c>
    </row>
    <row r="438" customFormat="false" ht="18" hidden="false" customHeight="true" outlineLevel="0" collapsed="false">
      <c r="A438" s="9" t="s">
        <v>26</v>
      </c>
      <c r="B438" s="9" t="n">
        <v>21</v>
      </c>
      <c r="C438" s="11" t="n">
        <v>45991</v>
      </c>
      <c r="D438" s="9" t="s">
        <v>70</v>
      </c>
      <c r="E438" s="12" t="n">
        <v>23</v>
      </c>
      <c r="F438" s="9" t="s">
        <v>31</v>
      </c>
      <c r="G438" s="13" t="n">
        <v>150</v>
      </c>
      <c r="H438" s="9" t="s">
        <v>34</v>
      </c>
      <c r="I438" s="13" t="n">
        <v>6</v>
      </c>
      <c r="J438" s="1" t="str">
        <f aca="false">IF(A438="","", "SAMP-"&amp;A438&amp;"-L"&amp;TEXT(B438,"00")&amp;"-"&amp;TEXT(C438,"yyyymmdd")&amp;"-"&amp;D438&amp;"-H"&amp;TEXT(E438,"00")&amp;"-"&amp;H438)</f>
        <v>SAMP-KG01-L21-20251130-ORD-2025-00181-H23-Thin Wall</v>
      </c>
      <c r="K438" s="1" t="str">
        <f aca="false">IF(A438="","",IF(AND(G438&gt;=0,I438&gt;=0,I438&lt;=G438),"OK","CHECK"))</f>
        <v>OK</v>
      </c>
      <c r="L438" s="1" t="str">
        <f aca="false">IF(A438="","",IF(AND(E438&gt;=0,E438&lt;=23),"OK","CHECK"))</f>
        <v>OK</v>
      </c>
      <c r="M438" s="1" t="str">
        <f aca="false">IF(A438="","",IF(AND(K438="OK",L438="OK"),"OK","CHECK"))</f>
        <v>OK</v>
      </c>
    </row>
    <row r="439" customFormat="false" ht="18" hidden="false" customHeight="true" outlineLevel="0" collapsed="false">
      <c r="A439" s="9" t="s">
        <v>26</v>
      </c>
      <c r="B439" s="9" t="n">
        <v>21</v>
      </c>
      <c r="C439" s="11" t="n">
        <v>45991</v>
      </c>
      <c r="D439" s="9" t="s">
        <v>70</v>
      </c>
      <c r="E439" s="12" t="n">
        <v>16</v>
      </c>
      <c r="F439" s="9" t="s">
        <v>31</v>
      </c>
      <c r="G439" s="13" t="n">
        <v>200</v>
      </c>
      <c r="H439" s="9" t="s">
        <v>41</v>
      </c>
      <c r="I439" s="13" t="n">
        <v>3</v>
      </c>
      <c r="J439" s="1" t="str">
        <f aca="false">IF(A439="","", "SAMP-"&amp;A439&amp;"-L"&amp;TEXT(B439,"00")&amp;"-"&amp;TEXT(C439,"yyyymmdd")&amp;"-"&amp;D439&amp;"-H"&amp;TEXT(E439,"00")&amp;"-"&amp;H439)</f>
        <v>SAMP-KG01-L21-20251130-ORD-2025-00181-H16-Chip</v>
      </c>
      <c r="K439" s="1" t="str">
        <f aca="false">IF(A439="","",IF(AND(G439&gt;=0,I439&gt;=0,I439&lt;=G439),"OK","CHECK"))</f>
        <v>OK</v>
      </c>
      <c r="L439" s="1" t="str">
        <f aca="false">IF(A439="","",IF(AND(E439&gt;=0,E439&lt;=23),"OK","CHECK"))</f>
        <v>OK</v>
      </c>
      <c r="M439" s="1" t="str">
        <f aca="false">IF(A439="","",IF(AND(K439="OK",L439="OK"),"OK","CHECK"))</f>
        <v>OK</v>
      </c>
    </row>
    <row r="440" customFormat="false" ht="18" hidden="false" customHeight="true" outlineLevel="0" collapsed="false">
      <c r="A440" s="9" t="s">
        <v>26</v>
      </c>
      <c r="B440" s="9" t="n">
        <v>21</v>
      </c>
      <c r="C440" s="11" t="n">
        <v>45992</v>
      </c>
      <c r="D440" s="9" t="s">
        <v>71</v>
      </c>
      <c r="E440" s="12" t="n">
        <v>7</v>
      </c>
      <c r="F440" s="9" t="s">
        <v>28</v>
      </c>
      <c r="G440" s="13" t="n">
        <v>150</v>
      </c>
      <c r="H440" s="9" t="s">
        <v>33</v>
      </c>
      <c r="I440" s="13" t="n">
        <v>3</v>
      </c>
      <c r="J440" s="1" t="str">
        <f aca="false">IF(A440="","", "SAMP-"&amp;A440&amp;"-L"&amp;TEXT(B440,"00")&amp;"-"&amp;TEXT(C440,"yyyymmdd")&amp;"-"&amp;D440&amp;"-H"&amp;TEXT(E440,"00")&amp;"-"&amp;H440)</f>
        <v>SAMP-KG01-L21-20251201-ORD-2025-00182-H07-Distortion</v>
      </c>
      <c r="K440" s="1" t="str">
        <f aca="false">IF(A440="","",IF(AND(G440&gt;=0,I440&gt;=0,I440&lt;=G440),"OK","CHECK"))</f>
        <v>OK</v>
      </c>
      <c r="L440" s="1" t="str">
        <f aca="false">IF(A440="","",IF(AND(E440&gt;=0,E440&lt;=23),"OK","CHECK"))</f>
        <v>OK</v>
      </c>
      <c r="M440" s="1" t="str">
        <f aca="false">IF(A440="","",IF(AND(K440="OK",L440="OK"),"OK","CHECK"))</f>
        <v>OK</v>
      </c>
    </row>
    <row r="441" customFormat="false" ht="18" hidden="false" customHeight="true" outlineLevel="0" collapsed="false">
      <c r="A441" s="9" t="s">
        <v>26</v>
      </c>
      <c r="B441" s="9" t="n">
        <v>21</v>
      </c>
      <c r="C441" s="11" t="n">
        <v>45992</v>
      </c>
      <c r="D441" s="9" t="s">
        <v>71</v>
      </c>
      <c r="E441" s="12" t="n">
        <v>9</v>
      </c>
      <c r="F441" s="9" t="s">
        <v>28</v>
      </c>
      <c r="G441" s="13" t="n">
        <v>200</v>
      </c>
      <c r="H441" s="9" t="s">
        <v>33</v>
      </c>
      <c r="I441" s="13" t="n">
        <v>7</v>
      </c>
      <c r="J441" s="1" t="str">
        <f aca="false">IF(A441="","", "SAMP-"&amp;A441&amp;"-L"&amp;TEXT(B441,"00")&amp;"-"&amp;TEXT(C441,"yyyymmdd")&amp;"-"&amp;D441&amp;"-H"&amp;TEXT(E441,"00")&amp;"-"&amp;H441)</f>
        <v>SAMP-KG01-L21-20251201-ORD-2025-00182-H09-Distortion</v>
      </c>
      <c r="K441" s="1" t="str">
        <f aca="false">IF(A441="","",IF(AND(G441&gt;=0,I441&gt;=0,I441&lt;=G441),"OK","CHECK"))</f>
        <v>OK</v>
      </c>
      <c r="L441" s="1" t="str">
        <f aca="false">IF(A441="","",IF(AND(E441&gt;=0,E441&lt;=23),"OK","CHECK"))</f>
        <v>OK</v>
      </c>
      <c r="M441" s="1" t="str">
        <f aca="false">IF(A441="","",IF(AND(K441="OK",L441="OK"),"OK","CHECK"))</f>
        <v>OK</v>
      </c>
    </row>
    <row r="442" customFormat="false" ht="18" hidden="false" customHeight="true" outlineLevel="0" collapsed="false">
      <c r="A442" s="9" t="s">
        <v>26</v>
      </c>
      <c r="B442" s="9" t="n">
        <v>21</v>
      </c>
      <c r="C442" s="11" t="n">
        <v>45992</v>
      </c>
      <c r="D442" s="9" t="s">
        <v>71</v>
      </c>
      <c r="E442" s="12" t="n">
        <v>12</v>
      </c>
      <c r="F442" s="9" t="s">
        <v>28</v>
      </c>
      <c r="G442" s="13" t="n">
        <v>50</v>
      </c>
      <c r="H442" s="9" t="s">
        <v>41</v>
      </c>
      <c r="I442" s="13" t="n">
        <v>1</v>
      </c>
      <c r="J442" s="1" t="str">
        <f aca="false">IF(A442="","", "SAMP-"&amp;A442&amp;"-L"&amp;TEXT(B442,"00")&amp;"-"&amp;TEXT(C442,"yyyymmdd")&amp;"-"&amp;D442&amp;"-H"&amp;TEXT(E442,"00")&amp;"-"&amp;H442)</f>
        <v>SAMP-KG01-L21-20251201-ORD-2025-00182-H12-Chip</v>
      </c>
      <c r="K442" s="1" t="str">
        <f aca="false">IF(A442="","",IF(AND(G442&gt;=0,I442&gt;=0,I442&lt;=G442),"OK","CHECK"))</f>
        <v>OK</v>
      </c>
      <c r="L442" s="1" t="str">
        <f aca="false">IF(A442="","",IF(AND(E442&gt;=0,E442&lt;=23),"OK","CHECK"))</f>
        <v>OK</v>
      </c>
      <c r="M442" s="1" t="str">
        <f aca="false">IF(A442="","",IF(AND(K442="OK",L442="OK"),"OK","CHECK"))</f>
        <v>OK</v>
      </c>
    </row>
    <row r="443" customFormat="false" ht="18" hidden="false" customHeight="true" outlineLevel="0" collapsed="false">
      <c r="A443" s="9" t="s">
        <v>26</v>
      </c>
      <c r="B443" s="9" t="n">
        <v>21</v>
      </c>
      <c r="C443" s="11" t="n">
        <v>45992</v>
      </c>
      <c r="D443" s="9" t="s">
        <v>71</v>
      </c>
      <c r="E443" s="12" t="n">
        <v>16</v>
      </c>
      <c r="F443" s="9" t="s">
        <v>31</v>
      </c>
      <c r="G443" s="13" t="n">
        <v>100</v>
      </c>
      <c r="H443" s="9" t="s">
        <v>33</v>
      </c>
      <c r="I443" s="13" t="n">
        <v>4</v>
      </c>
      <c r="J443" s="1" t="str">
        <f aca="false">IF(A443="","", "SAMP-"&amp;A443&amp;"-L"&amp;TEXT(B443,"00")&amp;"-"&amp;TEXT(C443,"yyyymmdd")&amp;"-"&amp;D443&amp;"-H"&amp;TEXT(E443,"00")&amp;"-"&amp;H443)</f>
        <v>SAMP-KG01-L21-20251201-ORD-2025-00182-H16-Distortion</v>
      </c>
      <c r="K443" s="1" t="str">
        <f aca="false">IF(A443="","",IF(AND(G443&gt;=0,I443&gt;=0,I443&lt;=G443),"OK","CHECK"))</f>
        <v>OK</v>
      </c>
      <c r="L443" s="1" t="str">
        <f aca="false">IF(A443="","",IF(AND(E443&gt;=0,E443&lt;=23),"OK","CHECK"))</f>
        <v>OK</v>
      </c>
      <c r="M443" s="1" t="str">
        <f aca="false">IF(A443="","",IF(AND(K443="OK",L443="OK"),"OK","CHECK"))</f>
        <v>OK</v>
      </c>
    </row>
    <row r="444" customFormat="false" ht="18" hidden="false" customHeight="true" outlineLevel="0" collapsed="false">
      <c r="A444" s="9" t="s">
        <v>26</v>
      </c>
      <c r="B444" s="9" t="n">
        <v>21</v>
      </c>
      <c r="C444" s="11" t="n">
        <v>45992</v>
      </c>
      <c r="D444" s="9" t="s">
        <v>71</v>
      </c>
      <c r="E444" s="12" t="n">
        <v>23</v>
      </c>
      <c r="F444" s="9" t="s">
        <v>31</v>
      </c>
      <c r="G444" s="13" t="n">
        <v>200</v>
      </c>
      <c r="H444" s="9" t="s">
        <v>36</v>
      </c>
      <c r="I444" s="13" t="n">
        <v>8</v>
      </c>
      <c r="J444" s="1" t="str">
        <f aca="false">IF(A444="","", "SAMP-"&amp;A444&amp;"-L"&amp;TEXT(B444,"00")&amp;"-"&amp;TEXT(C444,"yyyymmdd")&amp;"-"&amp;D444&amp;"-H"&amp;TEXT(E444,"00")&amp;"-"&amp;H444)</f>
        <v>SAMP-KG01-L21-20251201-ORD-2025-00182-H23-Blister</v>
      </c>
      <c r="K444" s="1" t="str">
        <f aca="false">IF(A444="","",IF(AND(G444&gt;=0,I444&gt;=0,I444&lt;=G444),"OK","CHECK"))</f>
        <v>OK</v>
      </c>
      <c r="L444" s="1" t="str">
        <f aca="false">IF(A444="","",IF(AND(E444&gt;=0,E444&lt;=23),"OK","CHECK"))</f>
        <v>OK</v>
      </c>
      <c r="M444" s="1" t="str">
        <f aca="false">IF(A444="","",IF(AND(K444="OK",L444="OK"),"OK","CHECK"))</f>
        <v>OK</v>
      </c>
    </row>
    <row r="445" customFormat="false" ht="18" hidden="false" customHeight="true" outlineLevel="0" collapsed="false">
      <c r="A445" s="9" t="s">
        <v>26</v>
      </c>
      <c r="B445" s="9" t="n">
        <v>21</v>
      </c>
      <c r="C445" s="11" t="n">
        <v>45992</v>
      </c>
      <c r="D445" s="9" t="s">
        <v>71</v>
      </c>
      <c r="E445" s="12" t="n">
        <v>20</v>
      </c>
      <c r="F445" s="9" t="s">
        <v>31</v>
      </c>
      <c r="G445" s="13" t="n">
        <v>50</v>
      </c>
      <c r="H445" s="9" t="s">
        <v>33</v>
      </c>
      <c r="I445" s="13" t="n">
        <v>0</v>
      </c>
      <c r="J445" s="1" t="str">
        <f aca="false">IF(A445="","", "SAMP-"&amp;A445&amp;"-L"&amp;TEXT(B445,"00")&amp;"-"&amp;TEXT(C445,"yyyymmdd")&amp;"-"&amp;D445&amp;"-H"&amp;TEXT(E445,"00")&amp;"-"&amp;H445)</f>
        <v>SAMP-KG01-L21-20251201-ORD-2025-00182-H20-Distortion</v>
      </c>
      <c r="K445" s="1" t="str">
        <f aca="false">IF(A445="","",IF(AND(G445&gt;=0,I445&gt;=0,I445&lt;=G445),"OK","CHECK"))</f>
        <v>OK</v>
      </c>
      <c r="L445" s="1" t="str">
        <f aca="false">IF(A445="","",IF(AND(E445&gt;=0,E445&lt;=23),"OK","CHECK"))</f>
        <v>OK</v>
      </c>
      <c r="M445" s="1" t="str">
        <f aca="false">IF(A445="","",IF(AND(K445="OK",L445="OK"),"OK","CHECK"))</f>
        <v>OK</v>
      </c>
    </row>
    <row r="446" customFormat="false" ht="18" hidden="false" customHeight="true" outlineLevel="0" collapsed="false">
      <c r="A446" s="9" t="s">
        <v>26</v>
      </c>
      <c r="B446" s="9" t="n">
        <v>21</v>
      </c>
      <c r="C446" s="11" t="n">
        <v>45993</v>
      </c>
      <c r="D446" s="9" t="s">
        <v>71</v>
      </c>
      <c r="E446" s="12" t="n">
        <v>9</v>
      </c>
      <c r="F446" s="9" t="s">
        <v>28</v>
      </c>
      <c r="G446" s="13" t="n">
        <v>100</v>
      </c>
      <c r="H446" s="9" t="s">
        <v>35</v>
      </c>
      <c r="I446" s="13" t="n">
        <v>0</v>
      </c>
      <c r="J446" s="1" t="str">
        <f aca="false">IF(A446="","", "SAMP-"&amp;A446&amp;"-L"&amp;TEXT(B446,"00")&amp;"-"&amp;TEXT(C446,"yyyymmdd")&amp;"-"&amp;D446&amp;"-H"&amp;TEXT(E446,"00")&amp;"-"&amp;H446)</f>
        <v>SAMP-KG01-L21-20251202-ORD-2025-00182-H09-Stone</v>
      </c>
      <c r="K446" s="1" t="str">
        <f aca="false">IF(A446="","",IF(AND(G446&gt;=0,I446&gt;=0,I446&lt;=G446),"OK","CHECK"))</f>
        <v>OK</v>
      </c>
      <c r="L446" s="1" t="str">
        <f aca="false">IF(A446="","",IF(AND(E446&gt;=0,E446&lt;=23),"OK","CHECK"))</f>
        <v>OK</v>
      </c>
      <c r="M446" s="1" t="str">
        <f aca="false">IF(A446="","",IF(AND(K446="OK",L446="OK"),"OK","CHECK"))</f>
        <v>OK</v>
      </c>
    </row>
    <row r="447" customFormat="false" ht="18" hidden="false" customHeight="true" outlineLevel="0" collapsed="false">
      <c r="A447" s="9" t="s">
        <v>26</v>
      </c>
      <c r="B447" s="9" t="n">
        <v>21</v>
      </c>
      <c r="C447" s="11" t="n">
        <v>45993</v>
      </c>
      <c r="D447" s="9" t="s">
        <v>71</v>
      </c>
      <c r="E447" s="12" t="n">
        <v>12</v>
      </c>
      <c r="F447" s="9" t="s">
        <v>28</v>
      </c>
      <c r="G447" s="13" t="n">
        <v>50</v>
      </c>
      <c r="H447" s="9" t="s">
        <v>35</v>
      </c>
      <c r="I447" s="13" t="n">
        <v>2</v>
      </c>
      <c r="J447" s="1" t="str">
        <f aca="false">IF(A447="","", "SAMP-"&amp;A447&amp;"-L"&amp;TEXT(B447,"00")&amp;"-"&amp;TEXT(C447,"yyyymmdd")&amp;"-"&amp;D447&amp;"-H"&amp;TEXT(E447,"00")&amp;"-"&amp;H447)</f>
        <v>SAMP-KG01-L21-20251202-ORD-2025-00182-H12-Stone</v>
      </c>
      <c r="K447" s="1" t="str">
        <f aca="false">IF(A447="","",IF(AND(G447&gt;=0,I447&gt;=0,I447&lt;=G447),"OK","CHECK"))</f>
        <v>OK</v>
      </c>
      <c r="L447" s="1" t="str">
        <f aca="false">IF(A447="","",IF(AND(E447&gt;=0,E447&lt;=23),"OK","CHECK"))</f>
        <v>OK</v>
      </c>
      <c r="M447" s="1" t="str">
        <f aca="false">IF(A447="","",IF(AND(K447="OK",L447="OK"),"OK","CHECK"))</f>
        <v>OK</v>
      </c>
    </row>
    <row r="448" customFormat="false" ht="18" hidden="false" customHeight="true" outlineLevel="0" collapsed="false">
      <c r="A448" s="9" t="s">
        <v>26</v>
      </c>
      <c r="B448" s="9" t="n">
        <v>21</v>
      </c>
      <c r="C448" s="11" t="n">
        <v>45993</v>
      </c>
      <c r="D448" s="9" t="s">
        <v>71</v>
      </c>
      <c r="E448" s="12" t="n">
        <v>7</v>
      </c>
      <c r="F448" s="9" t="s">
        <v>28</v>
      </c>
      <c r="G448" s="13" t="n">
        <v>100</v>
      </c>
      <c r="H448" s="9" t="s">
        <v>34</v>
      </c>
      <c r="I448" s="13" t="n">
        <v>2</v>
      </c>
      <c r="J448" s="1" t="str">
        <f aca="false">IF(A448="","", "SAMP-"&amp;A448&amp;"-L"&amp;TEXT(B448,"00")&amp;"-"&amp;TEXT(C448,"yyyymmdd")&amp;"-"&amp;D448&amp;"-H"&amp;TEXT(E448,"00")&amp;"-"&amp;H448)</f>
        <v>SAMP-KG01-L21-20251202-ORD-2025-00182-H07-Thin Wall</v>
      </c>
      <c r="K448" s="1" t="str">
        <f aca="false">IF(A448="","",IF(AND(G448&gt;=0,I448&gt;=0,I448&lt;=G448),"OK","CHECK"))</f>
        <v>OK</v>
      </c>
      <c r="L448" s="1" t="str">
        <f aca="false">IF(A448="","",IF(AND(E448&gt;=0,E448&lt;=23),"OK","CHECK"))</f>
        <v>OK</v>
      </c>
      <c r="M448" s="1" t="str">
        <f aca="false">IF(A448="","",IF(AND(K448="OK",L448="OK"),"OK","CHECK"))</f>
        <v>OK</v>
      </c>
    </row>
    <row r="449" customFormat="false" ht="18" hidden="false" customHeight="true" outlineLevel="0" collapsed="false">
      <c r="A449" s="9" t="s">
        <v>26</v>
      </c>
      <c r="B449" s="9" t="n">
        <v>21</v>
      </c>
      <c r="C449" s="11" t="n">
        <v>45993</v>
      </c>
      <c r="D449" s="9" t="s">
        <v>71</v>
      </c>
      <c r="E449" s="12" t="n">
        <v>23</v>
      </c>
      <c r="F449" s="9" t="s">
        <v>31</v>
      </c>
      <c r="G449" s="13" t="n">
        <v>150</v>
      </c>
      <c r="H449" s="9" t="s">
        <v>36</v>
      </c>
      <c r="I449" s="13" t="n">
        <v>1</v>
      </c>
      <c r="J449" s="1" t="str">
        <f aca="false">IF(A449="","", "SAMP-"&amp;A449&amp;"-L"&amp;TEXT(B449,"00")&amp;"-"&amp;TEXT(C449,"yyyymmdd")&amp;"-"&amp;D449&amp;"-H"&amp;TEXT(E449,"00")&amp;"-"&amp;H449)</f>
        <v>SAMP-KG01-L21-20251202-ORD-2025-00182-H23-Blister</v>
      </c>
      <c r="K449" s="1" t="str">
        <f aca="false">IF(A449="","",IF(AND(G449&gt;=0,I449&gt;=0,I449&lt;=G449),"OK","CHECK"))</f>
        <v>OK</v>
      </c>
      <c r="L449" s="1" t="str">
        <f aca="false">IF(A449="","",IF(AND(E449&gt;=0,E449&lt;=23),"OK","CHECK"))</f>
        <v>OK</v>
      </c>
      <c r="M449" s="1" t="str">
        <f aca="false">IF(A449="","",IF(AND(K449="OK",L449="OK"),"OK","CHECK"))</f>
        <v>OK</v>
      </c>
    </row>
    <row r="450" customFormat="false" ht="18" hidden="false" customHeight="true" outlineLevel="0" collapsed="false">
      <c r="A450" s="9" t="s">
        <v>26</v>
      </c>
      <c r="B450" s="9" t="n">
        <v>21</v>
      </c>
      <c r="C450" s="11" t="n">
        <v>45993</v>
      </c>
      <c r="D450" s="9" t="s">
        <v>71</v>
      </c>
      <c r="E450" s="12" t="n">
        <v>16</v>
      </c>
      <c r="F450" s="9" t="s">
        <v>31</v>
      </c>
      <c r="G450" s="13" t="n">
        <v>150</v>
      </c>
      <c r="H450" s="9" t="s">
        <v>30</v>
      </c>
      <c r="I450" s="13" t="n">
        <v>3</v>
      </c>
      <c r="J450" s="1" t="str">
        <f aca="false">IF(A450="","", "SAMP-"&amp;A450&amp;"-L"&amp;TEXT(B450,"00")&amp;"-"&amp;TEXT(C450,"yyyymmdd")&amp;"-"&amp;D450&amp;"-H"&amp;TEXT(E450,"00")&amp;"-"&amp;H450)</f>
        <v>SAMP-KG01-L21-20251202-ORD-2025-00182-H16-Overpress</v>
      </c>
      <c r="K450" s="1" t="str">
        <f aca="false">IF(A450="","",IF(AND(G450&gt;=0,I450&gt;=0,I450&lt;=G450),"OK","CHECK"))</f>
        <v>OK</v>
      </c>
      <c r="L450" s="1" t="str">
        <f aca="false">IF(A450="","",IF(AND(E450&gt;=0,E450&lt;=23),"OK","CHECK"))</f>
        <v>OK</v>
      </c>
      <c r="M450" s="1" t="str">
        <f aca="false">IF(A450="","",IF(AND(K450="OK",L450="OK"),"OK","CHECK"))</f>
        <v>OK</v>
      </c>
    </row>
    <row r="451" customFormat="false" ht="18" hidden="false" customHeight="true" outlineLevel="0" collapsed="false">
      <c r="A451" s="9" t="s">
        <v>26</v>
      </c>
      <c r="B451" s="9" t="n">
        <v>21</v>
      </c>
      <c r="C451" s="11" t="n">
        <v>45993</v>
      </c>
      <c r="D451" s="9" t="s">
        <v>71</v>
      </c>
      <c r="E451" s="12" t="n">
        <v>20</v>
      </c>
      <c r="F451" s="9" t="s">
        <v>31</v>
      </c>
      <c r="G451" s="13" t="n">
        <v>100</v>
      </c>
      <c r="H451" s="9" t="s">
        <v>41</v>
      </c>
      <c r="I451" s="13" t="n">
        <v>0</v>
      </c>
      <c r="J451" s="1" t="str">
        <f aca="false">IF(A451="","", "SAMP-"&amp;A451&amp;"-L"&amp;TEXT(B451,"00")&amp;"-"&amp;TEXT(C451,"yyyymmdd")&amp;"-"&amp;D451&amp;"-H"&amp;TEXT(E451,"00")&amp;"-"&amp;H451)</f>
        <v>SAMP-KG01-L21-20251202-ORD-2025-00182-H20-Chip</v>
      </c>
      <c r="K451" s="1" t="str">
        <f aca="false">IF(A451="","",IF(AND(G451&gt;=0,I451&gt;=0,I451&lt;=G451),"OK","CHECK"))</f>
        <v>OK</v>
      </c>
      <c r="L451" s="1" t="str">
        <f aca="false">IF(A451="","",IF(AND(E451&gt;=0,E451&lt;=23),"OK","CHECK"))</f>
        <v>OK</v>
      </c>
      <c r="M451" s="1" t="str">
        <f aca="false">IF(A451="","",IF(AND(K451="OK",L451="OK"),"OK","CHECK"))</f>
        <v>OK</v>
      </c>
    </row>
    <row r="452" customFormat="false" ht="18" hidden="false" customHeight="true" outlineLevel="0" collapsed="false">
      <c r="A452" s="9" t="s">
        <v>26</v>
      </c>
      <c r="B452" s="9" t="n">
        <v>21</v>
      </c>
      <c r="C452" s="11" t="n">
        <v>45994</v>
      </c>
      <c r="D452" s="9" t="s">
        <v>71</v>
      </c>
      <c r="E452" s="12" t="n">
        <v>9</v>
      </c>
      <c r="F452" s="9" t="s">
        <v>28</v>
      </c>
      <c r="G452" s="13" t="n">
        <v>200</v>
      </c>
      <c r="H452" s="9" t="s">
        <v>35</v>
      </c>
      <c r="I452" s="13" t="n">
        <v>4</v>
      </c>
      <c r="J452" s="1" t="str">
        <f aca="false">IF(A452="","", "SAMP-"&amp;A452&amp;"-L"&amp;TEXT(B452,"00")&amp;"-"&amp;TEXT(C452,"yyyymmdd")&amp;"-"&amp;D452&amp;"-H"&amp;TEXT(E452,"00")&amp;"-"&amp;H452)</f>
        <v>SAMP-KG01-L21-20251203-ORD-2025-00182-H09-Stone</v>
      </c>
      <c r="K452" s="1" t="str">
        <f aca="false">IF(A452="","",IF(AND(G452&gt;=0,I452&gt;=0,I452&lt;=G452),"OK","CHECK"))</f>
        <v>OK</v>
      </c>
      <c r="L452" s="1" t="str">
        <f aca="false">IF(A452="","",IF(AND(E452&gt;=0,E452&lt;=23),"OK","CHECK"))</f>
        <v>OK</v>
      </c>
      <c r="M452" s="1" t="str">
        <f aca="false">IF(A452="","",IF(AND(K452="OK",L452="OK"),"OK","CHECK"))</f>
        <v>OK</v>
      </c>
    </row>
    <row r="453" customFormat="false" ht="18" hidden="false" customHeight="true" outlineLevel="0" collapsed="false">
      <c r="A453" s="9" t="s">
        <v>26</v>
      </c>
      <c r="B453" s="9" t="n">
        <v>21</v>
      </c>
      <c r="C453" s="11" t="n">
        <v>45994</v>
      </c>
      <c r="D453" s="9" t="s">
        <v>71</v>
      </c>
      <c r="E453" s="12" t="n">
        <v>12</v>
      </c>
      <c r="F453" s="9" t="s">
        <v>28</v>
      </c>
      <c r="G453" s="13" t="n">
        <v>100</v>
      </c>
      <c r="H453" s="9" t="s">
        <v>37</v>
      </c>
      <c r="I453" s="13" t="n">
        <v>2</v>
      </c>
      <c r="J453" s="1" t="str">
        <f aca="false">IF(A453="","", "SAMP-"&amp;A453&amp;"-L"&amp;TEXT(B453,"00")&amp;"-"&amp;TEXT(C453,"yyyymmdd")&amp;"-"&amp;D453&amp;"-H"&amp;TEXT(E453,"00")&amp;"-"&amp;H453)</f>
        <v>SAMP-KG01-L21-20251203-ORD-2025-00182-H12-Bird Swing</v>
      </c>
      <c r="K453" s="1" t="str">
        <f aca="false">IF(A453="","",IF(AND(G453&gt;=0,I453&gt;=0,I453&lt;=G453),"OK","CHECK"))</f>
        <v>OK</v>
      </c>
      <c r="L453" s="1" t="str">
        <f aca="false">IF(A453="","",IF(AND(E453&gt;=0,E453&lt;=23),"OK","CHECK"))</f>
        <v>OK</v>
      </c>
      <c r="M453" s="1" t="str">
        <f aca="false">IF(A453="","",IF(AND(K453="OK",L453="OK"),"OK","CHECK"))</f>
        <v>OK</v>
      </c>
    </row>
    <row r="454" customFormat="false" ht="18" hidden="false" customHeight="true" outlineLevel="0" collapsed="false">
      <c r="A454" s="9" t="s">
        <v>26</v>
      </c>
      <c r="B454" s="9" t="n">
        <v>21</v>
      </c>
      <c r="C454" s="11" t="n">
        <v>45994</v>
      </c>
      <c r="D454" s="9" t="s">
        <v>71</v>
      </c>
      <c r="E454" s="12" t="n">
        <v>7</v>
      </c>
      <c r="F454" s="9" t="s">
        <v>28</v>
      </c>
      <c r="G454" s="13" t="n">
        <v>50</v>
      </c>
      <c r="H454" s="9" t="s">
        <v>36</v>
      </c>
      <c r="I454" s="13" t="n">
        <v>1</v>
      </c>
      <c r="J454" s="1" t="str">
        <f aca="false">IF(A454="","", "SAMP-"&amp;A454&amp;"-L"&amp;TEXT(B454,"00")&amp;"-"&amp;TEXT(C454,"yyyymmdd")&amp;"-"&amp;D454&amp;"-H"&amp;TEXT(E454,"00")&amp;"-"&amp;H454)</f>
        <v>SAMP-KG01-L21-20251203-ORD-2025-00182-H07-Blister</v>
      </c>
      <c r="K454" s="1" t="str">
        <f aca="false">IF(A454="","",IF(AND(G454&gt;=0,I454&gt;=0,I454&lt;=G454),"OK","CHECK"))</f>
        <v>OK</v>
      </c>
      <c r="L454" s="1" t="str">
        <f aca="false">IF(A454="","",IF(AND(E454&gt;=0,E454&lt;=23),"OK","CHECK"))</f>
        <v>OK</v>
      </c>
      <c r="M454" s="1" t="str">
        <f aca="false">IF(A454="","",IF(AND(K454="OK",L454="OK"),"OK","CHECK"))</f>
        <v>OK</v>
      </c>
    </row>
    <row r="455" customFormat="false" ht="18" hidden="false" customHeight="true" outlineLevel="0" collapsed="false">
      <c r="A455" s="9" t="s">
        <v>26</v>
      </c>
      <c r="B455" s="9" t="n">
        <v>21</v>
      </c>
      <c r="C455" s="11" t="n">
        <v>45994</v>
      </c>
      <c r="D455" s="9" t="s">
        <v>71</v>
      </c>
      <c r="E455" s="12" t="n">
        <v>16</v>
      </c>
      <c r="F455" s="9" t="s">
        <v>31</v>
      </c>
      <c r="G455" s="13" t="n">
        <v>150</v>
      </c>
      <c r="H455" s="9" t="s">
        <v>30</v>
      </c>
      <c r="I455" s="13" t="n">
        <v>7</v>
      </c>
      <c r="J455" s="1" t="str">
        <f aca="false">IF(A455="","", "SAMP-"&amp;A455&amp;"-L"&amp;TEXT(B455,"00")&amp;"-"&amp;TEXT(C455,"yyyymmdd")&amp;"-"&amp;D455&amp;"-H"&amp;TEXT(E455,"00")&amp;"-"&amp;H455)</f>
        <v>SAMP-KG01-L21-20251203-ORD-2025-00182-H16-Overpress</v>
      </c>
      <c r="K455" s="1" t="str">
        <f aca="false">IF(A455="","",IF(AND(G455&gt;=0,I455&gt;=0,I455&lt;=G455),"OK","CHECK"))</f>
        <v>OK</v>
      </c>
      <c r="L455" s="1" t="str">
        <f aca="false">IF(A455="","",IF(AND(E455&gt;=0,E455&lt;=23),"OK","CHECK"))</f>
        <v>OK</v>
      </c>
      <c r="M455" s="1" t="str">
        <f aca="false">IF(A455="","",IF(AND(K455="OK",L455="OK"),"OK","CHECK"))</f>
        <v>OK</v>
      </c>
    </row>
    <row r="456" customFormat="false" ht="18" hidden="false" customHeight="true" outlineLevel="0" collapsed="false">
      <c r="A456" s="9" t="s">
        <v>26</v>
      </c>
      <c r="B456" s="9" t="n">
        <v>21</v>
      </c>
      <c r="C456" s="11" t="n">
        <v>45994</v>
      </c>
      <c r="D456" s="9" t="s">
        <v>71</v>
      </c>
      <c r="E456" s="12" t="n">
        <v>23</v>
      </c>
      <c r="F456" s="9" t="s">
        <v>31</v>
      </c>
      <c r="G456" s="13" t="n">
        <v>200</v>
      </c>
      <c r="H456" s="9" t="s">
        <v>37</v>
      </c>
      <c r="I456" s="13" t="n">
        <v>6</v>
      </c>
      <c r="J456" s="1" t="str">
        <f aca="false">IF(A456="","", "SAMP-"&amp;A456&amp;"-L"&amp;TEXT(B456,"00")&amp;"-"&amp;TEXT(C456,"yyyymmdd")&amp;"-"&amp;D456&amp;"-H"&amp;TEXT(E456,"00")&amp;"-"&amp;H456)</f>
        <v>SAMP-KG01-L21-20251203-ORD-2025-00182-H23-Bird Swing</v>
      </c>
      <c r="K456" s="1" t="str">
        <f aca="false">IF(A456="","",IF(AND(G456&gt;=0,I456&gt;=0,I456&lt;=G456),"OK","CHECK"))</f>
        <v>OK</v>
      </c>
      <c r="L456" s="1" t="str">
        <f aca="false">IF(A456="","",IF(AND(E456&gt;=0,E456&lt;=23),"OK","CHECK"))</f>
        <v>OK</v>
      </c>
      <c r="M456" s="1" t="str">
        <f aca="false">IF(A456="","",IF(AND(K456="OK",L456="OK"),"OK","CHECK"))</f>
        <v>OK</v>
      </c>
    </row>
    <row r="457" customFormat="false" ht="18" hidden="false" customHeight="true" outlineLevel="0" collapsed="false">
      <c r="A457" s="9" t="s">
        <v>26</v>
      </c>
      <c r="B457" s="9" t="n">
        <v>21</v>
      </c>
      <c r="C457" s="11" t="n">
        <v>45994</v>
      </c>
      <c r="D457" s="9" t="s">
        <v>71</v>
      </c>
      <c r="E457" s="12" t="n">
        <v>20</v>
      </c>
      <c r="F457" s="9" t="s">
        <v>31</v>
      </c>
      <c r="G457" s="13" t="n">
        <v>100</v>
      </c>
      <c r="H457" s="9" t="s">
        <v>33</v>
      </c>
      <c r="I457" s="13" t="n">
        <v>4</v>
      </c>
      <c r="J457" s="1" t="str">
        <f aca="false">IF(A457="","", "SAMP-"&amp;A457&amp;"-L"&amp;TEXT(B457,"00")&amp;"-"&amp;TEXT(C457,"yyyymmdd")&amp;"-"&amp;D457&amp;"-H"&amp;TEXT(E457,"00")&amp;"-"&amp;H457)</f>
        <v>SAMP-KG01-L21-20251203-ORD-2025-00182-H20-Distortion</v>
      </c>
      <c r="K457" s="1" t="str">
        <f aca="false">IF(A457="","",IF(AND(G457&gt;=0,I457&gt;=0,I457&lt;=G457),"OK","CHECK"))</f>
        <v>OK</v>
      </c>
      <c r="L457" s="1" t="str">
        <f aca="false">IF(A457="","",IF(AND(E457&gt;=0,E457&lt;=23),"OK","CHECK"))</f>
        <v>OK</v>
      </c>
      <c r="M457" s="1" t="str">
        <f aca="false">IF(A457="","",IF(AND(K457="OK",L457="OK"),"OK","CHECK"))</f>
        <v>OK</v>
      </c>
    </row>
    <row r="458" customFormat="false" ht="18" hidden="false" customHeight="true" outlineLevel="0" collapsed="false">
      <c r="A458" s="9" t="s">
        <v>26</v>
      </c>
      <c r="B458" s="9" t="n">
        <v>21</v>
      </c>
      <c r="C458" s="11" t="n">
        <v>45995</v>
      </c>
      <c r="D458" s="9" t="s">
        <v>71</v>
      </c>
      <c r="E458" s="12" t="n">
        <v>7</v>
      </c>
      <c r="F458" s="9" t="s">
        <v>28</v>
      </c>
      <c r="G458" s="13" t="n">
        <v>50</v>
      </c>
      <c r="H458" s="9" t="s">
        <v>36</v>
      </c>
      <c r="I458" s="13" t="n">
        <v>2</v>
      </c>
      <c r="J458" s="1" t="str">
        <f aca="false">IF(A458="","", "SAMP-"&amp;A458&amp;"-L"&amp;TEXT(B458,"00")&amp;"-"&amp;TEXT(C458,"yyyymmdd")&amp;"-"&amp;D458&amp;"-H"&amp;TEXT(E458,"00")&amp;"-"&amp;H458)</f>
        <v>SAMP-KG01-L21-20251204-ORD-2025-00182-H07-Blister</v>
      </c>
      <c r="K458" s="1" t="str">
        <f aca="false">IF(A458="","",IF(AND(G458&gt;=0,I458&gt;=0,I458&lt;=G458),"OK","CHECK"))</f>
        <v>OK</v>
      </c>
      <c r="L458" s="1" t="str">
        <f aca="false">IF(A458="","",IF(AND(E458&gt;=0,E458&lt;=23),"OK","CHECK"))</f>
        <v>OK</v>
      </c>
      <c r="M458" s="1" t="str">
        <f aca="false">IF(A458="","",IF(AND(K458="OK",L458="OK"),"OK","CHECK"))</f>
        <v>OK</v>
      </c>
    </row>
    <row r="459" customFormat="false" ht="18" hidden="false" customHeight="true" outlineLevel="0" collapsed="false">
      <c r="A459" s="9" t="s">
        <v>26</v>
      </c>
      <c r="B459" s="9" t="n">
        <v>21</v>
      </c>
      <c r="C459" s="11" t="n">
        <v>45995</v>
      </c>
      <c r="D459" s="9" t="s">
        <v>71</v>
      </c>
      <c r="E459" s="12" t="n">
        <v>12</v>
      </c>
      <c r="F459" s="9" t="s">
        <v>28</v>
      </c>
      <c r="G459" s="13" t="n">
        <v>50</v>
      </c>
      <c r="H459" s="9" t="s">
        <v>33</v>
      </c>
      <c r="I459" s="13" t="n">
        <v>1</v>
      </c>
      <c r="J459" s="1" t="str">
        <f aca="false">IF(A459="","", "SAMP-"&amp;A459&amp;"-L"&amp;TEXT(B459,"00")&amp;"-"&amp;TEXT(C459,"yyyymmdd")&amp;"-"&amp;D459&amp;"-H"&amp;TEXT(E459,"00")&amp;"-"&amp;H459)</f>
        <v>SAMP-KG01-L21-20251204-ORD-2025-00182-H12-Distortion</v>
      </c>
      <c r="K459" s="1" t="str">
        <f aca="false">IF(A459="","",IF(AND(G459&gt;=0,I459&gt;=0,I459&lt;=G459),"OK","CHECK"))</f>
        <v>OK</v>
      </c>
      <c r="L459" s="1" t="str">
        <f aca="false">IF(A459="","",IF(AND(E459&gt;=0,E459&lt;=23),"OK","CHECK"))</f>
        <v>OK</v>
      </c>
      <c r="M459" s="1" t="str">
        <f aca="false">IF(A459="","",IF(AND(K459="OK",L459="OK"),"OK","CHECK"))</f>
        <v>OK</v>
      </c>
    </row>
    <row r="460" customFormat="false" ht="18" hidden="false" customHeight="true" outlineLevel="0" collapsed="false">
      <c r="A460" s="9" t="s">
        <v>26</v>
      </c>
      <c r="B460" s="9" t="n">
        <v>21</v>
      </c>
      <c r="C460" s="11" t="n">
        <v>45995</v>
      </c>
      <c r="D460" s="9" t="s">
        <v>71</v>
      </c>
      <c r="E460" s="12" t="n">
        <v>9</v>
      </c>
      <c r="F460" s="9" t="s">
        <v>28</v>
      </c>
      <c r="G460" s="13" t="n">
        <v>100</v>
      </c>
      <c r="H460" s="9" t="s">
        <v>38</v>
      </c>
      <c r="I460" s="13" t="n">
        <v>2</v>
      </c>
      <c r="J460" s="1" t="str">
        <f aca="false">IF(A460="","", "SAMP-"&amp;A460&amp;"-L"&amp;TEXT(B460,"00")&amp;"-"&amp;TEXT(C460,"yyyymmdd")&amp;"-"&amp;D460&amp;"-H"&amp;TEXT(E460,"00")&amp;"-"&amp;H460)</f>
        <v>SAMP-KG01-L21-20251204-ORD-2025-00182-H09-Crack</v>
      </c>
      <c r="K460" s="1" t="str">
        <f aca="false">IF(A460="","",IF(AND(G460&gt;=0,I460&gt;=0,I460&lt;=G460),"OK","CHECK"))</f>
        <v>OK</v>
      </c>
      <c r="L460" s="1" t="str">
        <f aca="false">IF(A460="","",IF(AND(E460&gt;=0,E460&lt;=23),"OK","CHECK"))</f>
        <v>OK</v>
      </c>
      <c r="M460" s="1" t="str">
        <f aca="false">IF(A460="","",IF(AND(K460="OK",L460="OK"),"OK","CHECK"))</f>
        <v>OK</v>
      </c>
    </row>
    <row r="461" customFormat="false" ht="18" hidden="false" customHeight="true" outlineLevel="0" collapsed="false">
      <c r="A461" s="9" t="s">
        <v>26</v>
      </c>
      <c r="B461" s="9" t="n">
        <v>21</v>
      </c>
      <c r="C461" s="11" t="n">
        <v>45995</v>
      </c>
      <c r="D461" s="9" t="s">
        <v>72</v>
      </c>
      <c r="E461" s="12" t="n">
        <v>20</v>
      </c>
      <c r="F461" s="9" t="s">
        <v>31</v>
      </c>
      <c r="G461" s="13" t="n">
        <v>50</v>
      </c>
      <c r="H461" s="9" t="s">
        <v>41</v>
      </c>
      <c r="I461" s="13" t="n">
        <v>2</v>
      </c>
      <c r="J461" s="1" t="str">
        <f aca="false">IF(A461="","", "SAMP-"&amp;A461&amp;"-L"&amp;TEXT(B461,"00")&amp;"-"&amp;TEXT(C461,"yyyymmdd")&amp;"-"&amp;D461&amp;"-H"&amp;TEXT(E461,"00")&amp;"-"&amp;H461)</f>
        <v>SAMP-KG01-L21-20251204-ORD-2025-00183-H20-Chip</v>
      </c>
      <c r="K461" s="1" t="str">
        <f aca="false">IF(A461="","",IF(AND(G461&gt;=0,I461&gt;=0,I461&lt;=G461),"OK","CHECK"))</f>
        <v>OK</v>
      </c>
      <c r="L461" s="1" t="str">
        <f aca="false">IF(A461="","",IF(AND(E461&gt;=0,E461&lt;=23),"OK","CHECK"))</f>
        <v>OK</v>
      </c>
      <c r="M461" s="1" t="str">
        <f aca="false">IF(A461="","",IF(AND(K461="OK",L461="OK"),"OK","CHECK"))</f>
        <v>OK</v>
      </c>
    </row>
    <row r="462" customFormat="false" ht="18" hidden="false" customHeight="true" outlineLevel="0" collapsed="false">
      <c r="A462" s="9" t="s">
        <v>26</v>
      </c>
      <c r="B462" s="9" t="n">
        <v>21</v>
      </c>
      <c r="C462" s="11" t="n">
        <v>45995</v>
      </c>
      <c r="D462" s="9" t="s">
        <v>72</v>
      </c>
      <c r="E462" s="12" t="n">
        <v>23</v>
      </c>
      <c r="F462" s="9" t="s">
        <v>31</v>
      </c>
      <c r="G462" s="13" t="n">
        <v>200</v>
      </c>
      <c r="H462" s="9" t="s">
        <v>34</v>
      </c>
      <c r="I462" s="13" t="n">
        <v>0</v>
      </c>
      <c r="J462" s="1" t="str">
        <f aca="false">IF(A462="","", "SAMP-"&amp;A462&amp;"-L"&amp;TEXT(B462,"00")&amp;"-"&amp;TEXT(C462,"yyyymmdd")&amp;"-"&amp;D462&amp;"-H"&amp;TEXT(E462,"00")&amp;"-"&amp;H462)</f>
        <v>SAMP-KG01-L21-20251204-ORD-2025-00183-H23-Thin Wall</v>
      </c>
      <c r="K462" s="1" t="str">
        <f aca="false">IF(A462="","",IF(AND(G462&gt;=0,I462&gt;=0,I462&lt;=G462),"OK","CHECK"))</f>
        <v>OK</v>
      </c>
      <c r="L462" s="1" t="str">
        <f aca="false">IF(A462="","",IF(AND(E462&gt;=0,E462&lt;=23),"OK","CHECK"))</f>
        <v>OK</v>
      </c>
      <c r="M462" s="1" t="str">
        <f aca="false">IF(A462="","",IF(AND(K462="OK",L462="OK"),"OK","CHECK"))</f>
        <v>OK</v>
      </c>
    </row>
    <row r="463" customFormat="false" ht="18" hidden="false" customHeight="true" outlineLevel="0" collapsed="false">
      <c r="A463" s="9" t="s">
        <v>26</v>
      </c>
      <c r="B463" s="9" t="n">
        <v>21</v>
      </c>
      <c r="C463" s="11" t="n">
        <v>45995</v>
      </c>
      <c r="D463" s="9" t="s">
        <v>72</v>
      </c>
      <c r="E463" s="12" t="n">
        <v>16</v>
      </c>
      <c r="F463" s="9" t="s">
        <v>31</v>
      </c>
      <c r="G463" s="13" t="n">
        <v>200</v>
      </c>
      <c r="H463" s="9" t="s">
        <v>30</v>
      </c>
      <c r="I463" s="13" t="n">
        <v>8</v>
      </c>
      <c r="J463" s="1" t="str">
        <f aca="false">IF(A463="","", "SAMP-"&amp;A463&amp;"-L"&amp;TEXT(B463,"00")&amp;"-"&amp;TEXT(C463,"yyyymmdd")&amp;"-"&amp;D463&amp;"-H"&amp;TEXT(E463,"00")&amp;"-"&amp;H463)</f>
        <v>SAMP-KG01-L21-20251204-ORD-2025-00183-H16-Overpress</v>
      </c>
      <c r="K463" s="1" t="str">
        <f aca="false">IF(A463="","",IF(AND(G463&gt;=0,I463&gt;=0,I463&lt;=G463),"OK","CHECK"))</f>
        <v>OK</v>
      </c>
      <c r="L463" s="1" t="str">
        <f aca="false">IF(A463="","",IF(AND(E463&gt;=0,E463&lt;=23),"OK","CHECK"))</f>
        <v>OK</v>
      </c>
      <c r="M463" s="1" t="str">
        <f aca="false">IF(A463="","",IF(AND(K463="OK",L463="OK"),"OK","CHECK"))</f>
        <v>OK</v>
      </c>
    </row>
    <row r="464" customFormat="false" ht="18" hidden="false" customHeight="true" outlineLevel="0" collapsed="false">
      <c r="A464" s="9" t="s">
        <v>26</v>
      </c>
      <c r="B464" s="9" t="n">
        <v>21</v>
      </c>
      <c r="C464" s="11" t="n">
        <v>45996</v>
      </c>
      <c r="D464" s="9" t="s">
        <v>72</v>
      </c>
      <c r="E464" s="12" t="n">
        <v>9</v>
      </c>
      <c r="F464" s="9" t="s">
        <v>28</v>
      </c>
      <c r="G464" s="13" t="n">
        <v>100</v>
      </c>
      <c r="H464" s="9" t="s">
        <v>38</v>
      </c>
      <c r="I464" s="13" t="n">
        <v>3</v>
      </c>
      <c r="J464" s="1" t="str">
        <f aca="false">IF(A464="","", "SAMP-"&amp;A464&amp;"-L"&amp;TEXT(B464,"00")&amp;"-"&amp;TEXT(C464,"yyyymmdd")&amp;"-"&amp;D464&amp;"-H"&amp;TEXT(E464,"00")&amp;"-"&amp;H464)</f>
        <v>SAMP-KG01-L21-20251205-ORD-2025-00183-H09-Crack</v>
      </c>
      <c r="K464" s="1" t="str">
        <f aca="false">IF(A464="","",IF(AND(G464&gt;=0,I464&gt;=0,I464&lt;=G464),"OK","CHECK"))</f>
        <v>OK</v>
      </c>
      <c r="L464" s="1" t="str">
        <f aca="false">IF(A464="","",IF(AND(E464&gt;=0,E464&lt;=23),"OK","CHECK"))</f>
        <v>OK</v>
      </c>
      <c r="M464" s="1" t="str">
        <f aca="false">IF(A464="","",IF(AND(K464="OK",L464="OK"),"OK","CHECK"))</f>
        <v>OK</v>
      </c>
    </row>
    <row r="465" customFormat="false" ht="18" hidden="false" customHeight="true" outlineLevel="0" collapsed="false">
      <c r="A465" s="9" t="s">
        <v>26</v>
      </c>
      <c r="B465" s="9" t="n">
        <v>21</v>
      </c>
      <c r="C465" s="11" t="n">
        <v>45996</v>
      </c>
      <c r="D465" s="9" t="s">
        <v>72</v>
      </c>
      <c r="E465" s="12" t="n">
        <v>12</v>
      </c>
      <c r="F465" s="9" t="s">
        <v>28</v>
      </c>
      <c r="G465" s="13" t="n">
        <v>100</v>
      </c>
      <c r="H465" s="9" t="s">
        <v>38</v>
      </c>
      <c r="I465" s="13" t="n">
        <v>4</v>
      </c>
      <c r="J465" s="1" t="str">
        <f aca="false">IF(A465="","", "SAMP-"&amp;A465&amp;"-L"&amp;TEXT(B465,"00")&amp;"-"&amp;TEXT(C465,"yyyymmdd")&amp;"-"&amp;D465&amp;"-H"&amp;TEXT(E465,"00")&amp;"-"&amp;H465)</f>
        <v>SAMP-KG01-L21-20251205-ORD-2025-00183-H12-Crack</v>
      </c>
      <c r="K465" s="1" t="str">
        <f aca="false">IF(A465="","",IF(AND(G465&gt;=0,I465&gt;=0,I465&lt;=G465),"OK","CHECK"))</f>
        <v>OK</v>
      </c>
      <c r="L465" s="1" t="str">
        <f aca="false">IF(A465="","",IF(AND(E465&gt;=0,E465&lt;=23),"OK","CHECK"))</f>
        <v>OK</v>
      </c>
      <c r="M465" s="1" t="str">
        <f aca="false">IF(A465="","",IF(AND(K465="OK",L465="OK"),"OK","CHECK"))</f>
        <v>OK</v>
      </c>
    </row>
    <row r="466" customFormat="false" ht="18" hidden="false" customHeight="true" outlineLevel="0" collapsed="false">
      <c r="A466" s="9" t="s">
        <v>26</v>
      </c>
      <c r="B466" s="9" t="n">
        <v>21</v>
      </c>
      <c r="C466" s="11" t="n">
        <v>45996</v>
      </c>
      <c r="D466" s="9" t="s">
        <v>72</v>
      </c>
      <c r="E466" s="12" t="n">
        <v>7</v>
      </c>
      <c r="F466" s="9" t="s">
        <v>28</v>
      </c>
      <c r="G466" s="13" t="n">
        <v>50</v>
      </c>
      <c r="H466" s="9" t="s">
        <v>36</v>
      </c>
      <c r="I466" s="13" t="n">
        <v>2</v>
      </c>
      <c r="J466" s="1" t="str">
        <f aca="false">IF(A466="","", "SAMP-"&amp;A466&amp;"-L"&amp;TEXT(B466,"00")&amp;"-"&amp;TEXT(C466,"yyyymmdd")&amp;"-"&amp;D466&amp;"-H"&amp;TEXT(E466,"00")&amp;"-"&amp;H466)</f>
        <v>SAMP-KG01-L21-20251205-ORD-2025-00183-H07-Blister</v>
      </c>
      <c r="K466" s="1" t="str">
        <f aca="false">IF(A466="","",IF(AND(G466&gt;=0,I466&gt;=0,I466&lt;=G466),"OK","CHECK"))</f>
        <v>OK</v>
      </c>
      <c r="L466" s="1" t="str">
        <f aca="false">IF(A466="","",IF(AND(E466&gt;=0,E466&lt;=23),"OK","CHECK"))</f>
        <v>OK</v>
      </c>
      <c r="M466" s="1" t="str">
        <f aca="false">IF(A466="","",IF(AND(K466="OK",L466="OK"),"OK","CHECK"))</f>
        <v>OK</v>
      </c>
    </row>
    <row r="467" customFormat="false" ht="18" hidden="false" customHeight="true" outlineLevel="0" collapsed="false">
      <c r="A467" s="9" t="s">
        <v>26</v>
      </c>
      <c r="B467" s="9" t="n">
        <v>21</v>
      </c>
      <c r="C467" s="11" t="n">
        <v>45996</v>
      </c>
      <c r="D467" s="9" t="s">
        <v>72</v>
      </c>
      <c r="E467" s="12" t="n">
        <v>20</v>
      </c>
      <c r="F467" s="9" t="s">
        <v>31</v>
      </c>
      <c r="G467" s="13" t="n">
        <v>50</v>
      </c>
      <c r="H467" s="9" t="s">
        <v>33</v>
      </c>
      <c r="I467" s="13" t="n">
        <v>0</v>
      </c>
      <c r="J467" s="1" t="str">
        <f aca="false">IF(A467="","", "SAMP-"&amp;A467&amp;"-L"&amp;TEXT(B467,"00")&amp;"-"&amp;TEXT(C467,"yyyymmdd")&amp;"-"&amp;D467&amp;"-H"&amp;TEXT(E467,"00")&amp;"-"&amp;H467)</f>
        <v>SAMP-KG01-L21-20251205-ORD-2025-00183-H20-Distortion</v>
      </c>
      <c r="K467" s="1" t="str">
        <f aca="false">IF(A467="","",IF(AND(G467&gt;=0,I467&gt;=0,I467&lt;=G467),"OK","CHECK"))</f>
        <v>OK</v>
      </c>
      <c r="L467" s="1" t="str">
        <f aca="false">IF(A467="","",IF(AND(E467&gt;=0,E467&lt;=23),"OK","CHECK"))</f>
        <v>OK</v>
      </c>
      <c r="M467" s="1" t="str">
        <f aca="false">IF(A467="","",IF(AND(K467="OK",L467="OK"),"OK","CHECK"))</f>
        <v>OK</v>
      </c>
    </row>
    <row r="468" customFormat="false" ht="18" hidden="false" customHeight="true" outlineLevel="0" collapsed="false">
      <c r="A468" s="9" t="s">
        <v>26</v>
      </c>
      <c r="B468" s="9" t="n">
        <v>21</v>
      </c>
      <c r="C468" s="11" t="n">
        <v>45996</v>
      </c>
      <c r="D468" s="9" t="s">
        <v>72</v>
      </c>
      <c r="E468" s="12" t="n">
        <v>16</v>
      </c>
      <c r="F468" s="9" t="s">
        <v>31</v>
      </c>
      <c r="G468" s="13" t="n">
        <v>150</v>
      </c>
      <c r="H468" s="9" t="s">
        <v>36</v>
      </c>
      <c r="I468" s="13" t="n">
        <v>6</v>
      </c>
      <c r="J468" s="1" t="str">
        <f aca="false">IF(A468="","", "SAMP-"&amp;A468&amp;"-L"&amp;TEXT(B468,"00")&amp;"-"&amp;TEXT(C468,"yyyymmdd")&amp;"-"&amp;D468&amp;"-H"&amp;TEXT(E468,"00")&amp;"-"&amp;H468)</f>
        <v>SAMP-KG01-L21-20251205-ORD-2025-00183-H16-Blister</v>
      </c>
      <c r="K468" s="1" t="str">
        <f aca="false">IF(A468="","",IF(AND(G468&gt;=0,I468&gt;=0,I468&lt;=G468),"OK","CHECK"))</f>
        <v>OK</v>
      </c>
      <c r="L468" s="1" t="str">
        <f aca="false">IF(A468="","",IF(AND(E468&gt;=0,E468&lt;=23),"OK","CHECK"))</f>
        <v>OK</v>
      </c>
      <c r="M468" s="1" t="str">
        <f aca="false">IF(A468="","",IF(AND(K468="OK",L468="OK"),"OK","CHECK"))</f>
        <v>OK</v>
      </c>
    </row>
    <row r="469" customFormat="false" ht="18" hidden="false" customHeight="true" outlineLevel="0" collapsed="false">
      <c r="A469" s="9" t="s">
        <v>26</v>
      </c>
      <c r="B469" s="9" t="n">
        <v>21</v>
      </c>
      <c r="C469" s="11" t="n">
        <v>45996</v>
      </c>
      <c r="D469" s="9" t="s">
        <v>72</v>
      </c>
      <c r="E469" s="12" t="n">
        <v>23</v>
      </c>
      <c r="F469" s="9" t="s">
        <v>31</v>
      </c>
      <c r="G469" s="13" t="n">
        <v>200</v>
      </c>
      <c r="H469" s="9" t="s">
        <v>41</v>
      </c>
      <c r="I469" s="13" t="n">
        <v>5</v>
      </c>
      <c r="J469" s="1" t="str">
        <f aca="false">IF(A469="","", "SAMP-"&amp;A469&amp;"-L"&amp;TEXT(B469,"00")&amp;"-"&amp;TEXT(C469,"yyyymmdd")&amp;"-"&amp;D469&amp;"-H"&amp;TEXT(E469,"00")&amp;"-"&amp;H469)</f>
        <v>SAMP-KG01-L21-20251205-ORD-2025-00183-H23-Chip</v>
      </c>
      <c r="K469" s="1" t="str">
        <f aca="false">IF(A469="","",IF(AND(G469&gt;=0,I469&gt;=0,I469&lt;=G469),"OK","CHECK"))</f>
        <v>OK</v>
      </c>
      <c r="L469" s="1" t="str">
        <f aca="false">IF(A469="","",IF(AND(E469&gt;=0,E469&lt;=23),"OK","CHECK"))</f>
        <v>OK</v>
      </c>
      <c r="M469" s="1" t="str">
        <f aca="false">IF(A469="","",IF(AND(K469="OK",L469="OK"),"OK","CHECK"))</f>
        <v>OK</v>
      </c>
    </row>
    <row r="470" customFormat="false" ht="18" hidden="false" customHeight="true" outlineLevel="0" collapsed="false">
      <c r="A470" s="9" t="s">
        <v>26</v>
      </c>
      <c r="B470" s="9" t="n">
        <v>21</v>
      </c>
      <c r="C470" s="11" t="n">
        <v>45997</v>
      </c>
      <c r="D470" s="9" t="s">
        <v>72</v>
      </c>
      <c r="E470" s="12" t="n">
        <v>7</v>
      </c>
      <c r="F470" s="9" t="s">
        <v>28</v>
      </c>
      <c r="G470" s="13" t="n">
        <v>100</v>
      </c>
      <c r="H470" s="9" t="s">
        <v>36</v>
      </c>
      <c r="I470" s="13" t="n">
        <v>2</v>
      </c>
      <c r="J470" s="1" t="str">
        <f aca="false">IF(A470="","", "SAMP-"&amp;A470&amp;"-L"&amp;TEXT(B470,"00")&amp;"-"&amp;TEXT(C470,"yyyymmdd")&amp;"-"&amp;D470&amp;"-H"&amp;TEXT(E470,"00")&amp;"-"&amp;H470)</f>
        <v>SAMP-KG01-L21-20251206-ORD-2025-00183-H07-Blister</v>
      </c>
      <c r="K470" s="1" t="str">
        <f aca="false">IF(A470="","",IF(AND(G470&gt;=0,I470&gt;=0,I470&lt;=G470),"OK","CHECK"))</f>
        <v>OK</v>
      </c>
      <c r="L470" s="1" t="str">
        <f aca="false">IF(A470="","",IF(AND(E470&gt;=0,E470&lt;=23),"OK","CHECK"))</f>
        <v>OK</v>
      </c>
      <c r="M470" s="1" t="str">
        <f aca="false">IF(A470="","",IF(AND(K470="OK",L470="OK"),"OK","CHECK"))</f>
        <v>OK</v>
      </c>
    </row>
    <row r="471" customFormat="false" ht="18" hidden="false" customHeight="true" outlineLevel="0" collapsed="false">
      <c r="A471" s="9" t="s">
        <v>26</v>
      </c>
      <c r="B471" s="9" t="n">
        <v>21</v>
      </c>
      <c r="C471" s="11" t="n">
        <v>45997</v>
      </c>
      <c r="D471" s="9" t="s">
        <v>72</v>
      </c>
      <c r="E471" s="12" t="n">
        <v>9</v>
      </c>
      <c r="F471" s="9" t="s">
        <v>28</v>
      </c>
      <c r="G471" s="13" t="n">
        <v>50</v>
      </c>
      <c r="H471" s="9" t="s">
        <v>37</v>
      </c>
      <c r="I471" s="13" t="n">
        <v>1</v>
      </c>
      <c r="J471" s="1" t="str">
        <f aca="false">IF(A471="","", "SAMP-"&amp;A471&amp;"-L"&amp;TEXT(B471,"00")&amp;"-"&amp;TEXT(C471,"yyyymmdd")&amp;"-"&amp;D471&amp;"-H"&amp;TEXT(E471,"00")&amp;"-"&amp;H471)</f>
        <v>SAMP-KG01-L21-20251206-ORD-2025-00183-H09-Bird Swing</v>
      </c>
      <c r="K471" s="1" t="str">
        <f aca="false">IF(A471="","",IF(AND(G471&gt;=0,I471&gt;=0,I471&lt;=G471),"OK","CHECK"))</f>
        <v>OK</v>
      </c>
      <c r="L471" s="1" t="str">
        <f aca="false">IF(A471="","",IF(AND(E471&gt;=0,E471&lt;=23),"OK","CHECK"))</f>
        <v>OK</v>
      </c>
      <c r="M471" s="1" t="str">
        <f aca="false">IF(A471="","",IF(AND(K471="OK",L471="OK"),"OK","CHECK"))</f>
        <v>OK</v>
      </c>
    </row>
    <row r="472" customFormat="false" ht="18" hidden="false" customHeight="true" outlineLevel="0" collapsed="false">
      <c r="A472" s="9" t="s">
        <v>26</v>
      </c>
      <c r="B472" s="9" t="n">
        <v>21</v>
      </c>
      <c r="C472" s="11" t="n">
        <v>45997</v>
      </c>
      <c r="D472" s="9" t="s">
        <v>72</v>
      </c>
      <c r="E472" s="12" t="n">
        <v>20</v>
      </c>
      <c r="F472" s="9" t="s">
        <v>31</v>
      </c>
      <c r="G472" s="13" t="n">
        <v>150</v>
      </c>
      <c r="H472" s="9" t="s">
        <v>29</v>
      </c>
      <c r="I472" s="13" t="n">
        <v>0</v>
      </c>
      <c r="J472" s="1" t="str">
        <f aca="false">IF(A472="","", "SAMP-"&amp;A472&amp;"-L"&amp;TEXT(B472,"00")&amp;"-"&amp;TEXT(C472,"yyyymmdd")&amp;"-"&amp;D472&amp;"-H"&amp;TEXT(E472,"00")&amp;"-"&amp;H472)</f>
        <v>SAMP-KG01-L21-20251206-ORD-2025-00183-H20-Choke Neck</v>
      </c>
      <c r="K472" s="1" t="str">
        <f aca="false">IF(A472="","",IF(AND(G472&gt;=0,I472&gt;=0,I472&lt;=G472),"OK","CHECK"))</f>
        <v>OK</v>
      </c>
      <c r="L472" s="1" t="str">
        <f aca="false">IF(A472="","",IF(AND(E472&gt;=0,E472&lt;=23),"OK","CHECK"))</f>
        <v>OK</v>
      </c>
      <c r="M472" s="1" t="str">
        <f aca="false">IF(A472="","",IF(AND(K472="OK",L472="OK"),"OK","CHECK"))</f>
        <v>OK</v>
      </c>
    </row>
    <row r="473" customFormat="false" ht="18" hidden="false" customHeight="true" outlineLevel="0" collapsed="false">
      <c r="A473" s="9" t="s">
        <v>26</v>
      </c>
      <c r="B473" s="9" t="n">
        <v>21</v>
      </c>
      <c r="C473" s="11" t="n">
        <v>45997</v>
      </c>
      <c r="D473" s="9" t="s">
        <v>72</v>
      </c>
      <c r="E473" s="12" t="n">
        <v>23</v>
      </c>
      <c r="F473" s="9" t="s">
        <v>31</v>
      </c>
      <c r="G473" s="13" t="n">
        <v>50</v>
      </c>
      <c r="H473" s="9" t="s">
        <v>34</v>
      </c>
      <c r="I473" s="13" t="n">
        <v>1</v>
      </c>
      <c r="J473" s="1" t="str">
        <f aca="false">IF(A473="","", "SAMP-"&amp;A473&amp;"-L"&amp;TEXT(B473,"00")&amp;"-"&amp;TEXT(C473,"yyyymmdd")&amp;"-"&amp;D473&amp;"-H"&amp;TEXT(E473,"00")&amp;"-"&amp;H473)</f>
        <v>SAMP-KG01-L21-20251206-ORD-2025-00183-H23-Thin Wall</v>
      </c>
      <c r="K473" s="1" t="str">
        <f aca="false">IF(A473="","",IF(AND(G473&gt;=0,I473&gt;=0,I473&lt;=G473),"OK","CHECK"))</f>
        <v>OK</v>
      </c>
      <c r="L473" s="1" t="str">
        <f aca="false">IF(A473="","",IF(AND(E473&gt;=0,E473&lt;=23),"OK","CHECK"))</f>
        <v>OK</v>
      </c>
      <c r="M473" s="1" t="str">
        <f aca="false">IF(A473="","",IF(AND(K473="OK",L473="OK"),"OK","CHECK"))</f>
        <v>OK</v>
      </c>
    </row>
    <row r="474" customFormat="false" ht="18" hidden="false" customHeight="true" outlineLevel="0" collapsed="false">
      <c r="A474" s="9" t="s">
        <v>26</v>
      </c>
      <c r="B474" s="9" t="n">
        <v>21</v>
      </c>
      <c r="C474" s="11" t="n">
        <v>45998</v>
      </c>
      <c r="D474" s="9" t="s">
        <v>72</v>
      </c>
      <c r="E474" s="12" t="n">
        <v>9</v>
      </c>
      <c r="F474" s="9" t="s">
        <v>28</v>
      </c>
      <c r="G474" s="13" t="n">
        <v>50</v>
      </c>
      <c r="H474" s="9" t="s">
        <v>36</v>
      </c>
      <c r="I474" s="13" t="n">
        <v>1</v>
      </c>
      <c r="J474" s="1" t="str">
        <f aca="false">IF(A474="","", "SAMP-"&amp;A474&amp;"-L"&amp;TEXT(B474,"00")&amp;"-"&amp;TEXT(C474,"yyyymmdd")&amp;"-"&amp;D474&amp;"-H"&amp;TEXT(E474,"00")&amp;"-"&amp;H474)</f>
        <v>SAMP-KG01-L21-20251207-ORD-2025-00183-H09-Blister</v>
      </c>
      <c r="K474" s="1" t="str">
        <f aca="false">IF(A474="","",IF(AND(G474&gt;=0,I474&gt;=0,I474&lt;=G474),"OK","CHECK"))</f>
        <v>OK</v>
      </c>
      <c r="L474" s="1" t="str">
        <f aca="false">IF(A474="","",IF(AND(E474&gt;=0,E474&lt;=23),"OK","CHECK"))</f>
        <v>OK</v>
      </c>
      <c r="M474" s="1" t="str">
        <f aca="false">IF(A474="","",IF(AND(K474="OK",L474="OK"),"OK","CHECK"))</f>
        <v>OK</v>
      </c>
    </row>
    <row r="475" customFormat="false" ht="18" hidden="false" customHeight="true" outlineLevel="0" collapsed="false">
      <c r="A475" s="9" t="s">
        <v>26</v>
      </c>
      <c r="B475" s="9" t="n">
        <v>21</v>
      </c>
      <c r="C475" s="11" t="n">
        <v>45998</v>
      </c>
      <c r="D475" s="9" t="s">
        <v>72</v>
      </c>
      <c r="E475" s="12" t="n">
        <v>12</v>
      </c>
      <c r="F475" s="9" t="s">
        <v>28</v>
      </c>
      <c r="G475" s="13" t="n">
        <v>150</v>
      </c>
      <c r="H475" s="9" t="s">
        <v>29</v>
      </c>
      <c r="I475" s="13" t="n">
        <v>3</v>
      </c>
      <c r="J475" s="1" t="str">
        <f aca="false">IF(A475="","", "SAMP-"&amp;A475&amp;"-L"&amp;TEXT(B475,"00")&amp;"-"&amp;TEXT(C475,"yyyymmdd")&amp;"-"&amp;D475&amp;"-H"&amp;TEXT(E475,"00")&amp;"-"&amp;H475)</f>
        <v>SAMP-KG01-L21-20251207-ORD-2025-00183-H12-Choke Neck</v>
      </c>
      <c r="K475" s="1" t="str">
        <f aca="false">IF(A475="","",IF(AND(G475&gt;=0,I475&gt;=0,I475&lt;=G475),"OK","CHECK"))</f>
        <v>OK</v>
      </c>
      <c r="L475" s="1" t="str">
        <f aca="false">IF(A475="","",IF(AND(E475&gt;=0,E475&lt;=23),"OK","CHECK"))</f>
        <v>OK</v>
      </c>
      <c r="M475" s="1" t="str">
        <f aca="false">IF(A475="","",IF(AND(K475="OK",L475="OK"),"OK","CHECK"))</f>
        <v>OK</v>
      </c>
    </row>
    <row r="476" customFormat="false" ht="18" hidden="false" customHeight="true" outlineLevel="0" collapsed="false">
      <c r="A476" s="9" t="s">
        <v>26</v>
      </c>
      <c r="B476" s="9" t="n">
        <v>21</v>
      </c>
      <c r="C476" s="11" t="n">
        <v>45998</v>
      </c>
      <c r="D476" s="9" t="s">
        <v>72</v>
      </c>
      <c r="E476" s="12" t="n">
        <v>7</v>
      </c>
      <c r="F476" s="9" t="s">
        <v>28</v>
      </c>
      <c r="G476" s="13" t="n">
        <v>100</v>
      </c>
      <c r="H476" s="9" t="s">
        <v>29</v>
      </c>
      <c r="I476" s="13" t="n">
        <v>3</v>
      </c>
      <c r="J476" s="1" t="str">
        <f aca="false">IF(A476="","", "SAMP-"&amp;A476&amp;"-L"&amp;TEXT(B476,"00")&amp;"-"&amp;TEXT(C476,"yyyymmdd")&amp;"-"&amp;D476&amp;"-H"&amp;TEXT(E476,"00")&amp;"-"&amp;H476)</f>
        <v>SAMP-KG01-L21-20251207-ORD-2025-00183-H07-Choke Neck</v>
      </c>
      <c r="K476" s="1" t="str">
        <f aca="false">IF(A476="","",IF(AND(G476&gt;=0,I476&gt;=0,I476&lt;=G476),"OK","CHECK"))</f>
        <v>OK</v>
      </c>
      <c r="L476" s="1" t="str">
        <f aca="false">IF(A476="","",IF(AND(E476&gt;=0,E476&lt;=23),"OK","CHECK"))</f>
        <v>OK</v>
      </c>
      <c r="M476" s="1" t="str">
        <f aca="false">IF(A476="","",IF(AND(K476="OK",L476="OK"),"OK","CHECK"))</f>
        <v>OK</v>
      </c>
    </row>
    <row r="477" customFormat="false" ht="18" hidden="false" customHeight="true" outlineLevel="0" collapsed="false">
      <c r="A477" s="9" t="s">
        <v>26</v>
      </c>
      <c r="B477" s="9" t="n">
        <v>21</v>
      </c>
      <c r="C477" s="11" t="n">
        <v>45998</v>
      </c>
      <c r="D477" s="9" t="s">
        <v>72</v>
      </c>
      <c r="E477" s="12" t="n">
        <v>23</v>
      </c>
      <c r="F477" s="9" t="s">
        <v>31</v>
      </c>
      <c r="G477" s="13" t="n">
        <v>50</v>
      </c>
      <c r="H477" s="9" t="s">
        <v>36</v>
      </c>
      <c r="I477" s="13" t="n">
        <v>0</v>
      </c>
      <c r="J477" s="1" t="str">
        <f aca="false">IF(A477="","", "SAMP-"&amp;A477&amp;"-L"&amp;TEXT(B477,"00")&amp;"-"&amp;TEXT(C477,"yyyymmdd")&amp;"-"&amp;D477&amp;"-H"&amp;TEXT(E477,"00")&amp;"-"&amp;H477)</f>
        <v>SAMP-KG01-L21-20251207-ORD-2025-00183-H23-Blister</v>
      </c>
      <c r="K477" s="1" t="str">
        <f aca="false">IF(A477="","",IF(AND(G477&gt;=0,I477&gt;=0,I477&lt;=G477),"OK","CHECK"))</f>
        <v>OK</v>
      </c>
      <c r="L477" s="1" t="str">
        <f aca="false">IF(A477="","",IF(AND(E477&gt;=0,E477&lt;=23),"OK","CHECK"))</f>
        <v>OK</v>
      </c>
      <c r="M477" s="1" t="str">
        <f aca="false">IF(A477="","",IF(AND(K477="OK",L477="OK"),"OK","CHECK"))</f>
        <v>OK</v>
      </c>
    </row>
    <row r="478" customFormat="false" ht="18" hidden="false" customHeight="true" outlineLevel="0" collapsed="false">
      <c r="A478" s="9" t="s">
        <v>26</v>
      </c>
      <c r="B478" s="9" t="n">
        <v>21</v>
      </c>
      <c r="C478" s="11" t="n">
        <v>45998</v>
      </c>
      <c r="D478" s="9" t="s">
        <v>72</v>
      </c>
      <c r="E478" s="12" t="n">
        <v>16</v>
      </c>
      <c r="F478" s="9" t="s">
        <v>31</v>
      </c>
      <c r="G478" s="13" t="n">
        <v>100</v>
      </c>
      <c r="H478" s="9" t="s">
        <v>37</v>
      </c>
      <c r="I478" s="13" t="n">
        <v>0</v>
      </c>
      <c r="J478" s="1" t="str">
        <f aca="false">IF(A478="","", "SAMP-"&amp;A478&amp;"-L"&amp;TEXT(B478,"00")&amp;"-"&amp;TEXT(C478,"yyyymmdd")&amp;"-"&amp;D478&amp;"-H"&amp;TEXT(E478,"00")&amp;"-"&amp;H478)</f>
        <v>SAMP-KG01-L21-20251207-ORD-2025-00183-H16-Bird Swing</v>
      </c>
      <c r="K478" s="1" t="str">
        <f aca="false">IF(A478="","",IF(AND(G478&gt;=0,I478&gt;=0,I478&lt;=G478),"OK","CHECK"))</f>
        <v>OK</v>
      </c>
      <c r="L478" s="1" t="str">
        <f aca="false">IF(A478="","",IF(AND(E478&gt;=0,E478&lt;=23),"OK","CHECK"))</f>
        <v>OK</v>
      </c>
      <c r="M478" s="1" t="str">
        <f aca="false">IF(A478="","",IF(AND(K478="OK",L478="OK"),"OK","CHECK"))</f>
        <v>OK</v>
      </c>
    </row>
    <row r="479" customFormat="false" ht="18" hidden="false" customHeight="true" outlineLevel="0" collapsed="false">
      <c r="A479" s="9" t="s">
        <v>26</v>
      </c>
      <c r="B479" s="9" t="n">
        <v>21</v>
      </c>
      <c r="C479" s="11" t="n">
        <v>45998</v>
      </c>
      <c r="D479" s="9" t="s">
        <v>72</v>
      </c>
      <c r="E479" s="12" t="n">
        <v>20</v>
      </c>
      <c r="F479" s="9" t="s">
        <v>31</v>
      </c>
      <c r="G479" s="13" t="n">
        <v>150</v>
      </c>
      <c r="H479" s="9" t="s">
        <v>30</v>
      </c>
      <c r="I479" s="13" t="n">
        <v>1</v>
      </c>
      <c r="J479" s="1" t="str">
        <f aca="false">IF(A479="","", "SAMP-"&amp;A479&amp;"-L"&amp;TEXT(B479,"00")&amp;"-"&amp;TEXT(C479,"yyyymmdd")&amp;"-"&amp;D479&amp;"-H"&amp;TEXT(E479,"00")&amp;"-"&amp;H479)</f>
        <v>SAMP-KG01-L21-20251207-ORD-2025-00183-H20-Overpress</v>
      </c>
      <c r="K479" s="1" t="str">
        <f aca="false">IF(A479="","",IF(AND(G479&gt;=0,I479&gt;=0,I479&lt;=G479),"OK","CHECK"))</f>
        <v>OK</v>
      </c>
      <c r="L479" s="1" t="str">
        <f aca="false">IF(A479="","",IF(AND(E479&gt;=0,E479&lt;=23),"OK","CHECK"))</f>
        <v>OK</v>
      </c>
      <c r="M479" s="1" t="str">
        <f aca="false">IF(A479="","",IF(AND(K479="OK",L479="OK"),"OK","CHECK"))</f>
        <v>OK</v>
      </c>
    </row>
    <row r="480" customFormat="false" ht="18" hidden="false" customHeight="true" outlineLevel="0" collapsed="false">
      <c r="A480" s="9" t="s">
        <v>26</v>
      </c>
      <c r="B480" s="9" t="n">
        <v>21</v>
      </c>
      <c r="C480" s="11" t="n">
        <v>45999</v>
      </c>
      <c r="D480" s="9" t="s">
        <v>72</v>
      </c>
      <c r="E480" s="12" t="n">
        <v>12</v>
      </c>
      <c r="F480" s="9" t="s">
        <v>28</v>
      </c>
      <c r="G480" s="13" t="n">
        <v>100</v>
      </c>
      <c r="H480" s="9" t="s">
        <v>33</v>
      </c>
      <c r="I480" s="13" t="n">
        <v>0</v>
      </c>
      <c r="J480" s="1" t="str">
        <f aca="false">IF(A480="","", "SAMP-"&amp;A480&amp;"-L"&amp;TEXT(B480,"00")&amp;"-"&amp;TEXT(C480,"yyyymmdd")&amp;"-"&amp;D480&amp;"-H"&amp;TEXT(E480,"00")&amp;"-"&amp;H480)</f>
        <v>SAMP-KG01-L21-20251208-ORD-2025-00183-H12-Distortion</v>
      </c>
      <c r="K480" s="1" t="str">
        <f aca="false">IF(A480="","",IF(AND(G480&gt;=0,I480&gt;=0,I480&lt;=G480),"OK","CHECK"))</f>
        <v>OK</v>
      </c>
      <c r="L480" s="1" t="str">
        <f aca="false">IF(A480="","",IF(AND(E480&gt;=0,E480&lt;=23),"OK","CHECK"))</f>
        <v>OK</v>
      </c>
      <c r="M480" s="1" t="str">
        <f aca="false">IF(A480="","",IF(AND(K480="OK",L480="OK"),"OK","CHECK"))</f>
        <v>OK</v>
      </c>
    </row>
    <row r="481" customFormat="false" ht="18" hidden="false" customHeight="true" outlineLevel="0" collapsed="false">
      <c r="A481" s="9" t="s">
        <v>26</v>
      </c>
      <c r="B481" s="9" t="n">
        <v>21</v>
      </c>
      <c r="C481" s="11" t="n">
        <v>45999</v>
      </c>
      <c r="D481" s="9" t="s">
        <v>72</v>
      </c>
      <c r="E481" s="12" t="n">
        <v>9</v>
      </c>
      <c r="F481" s="9" t="s">
        <v>28</v>
      </c>
      <c r="G481" s="13" t="n">
        <v>200</v>
      </c>
      <c r="H481" s="9" t="s">
        <v>41</v>
      </c>
      <c r="I481" s="13" t="n">
        <v>4</v>
      </c>
      <c r="J481" s="1" t="str">
        <f aca="false">IF(A481="","", "SAMP-"&amp;A481&amp;"-L"&amp;TEXT(B481,"00")&amp;"-"&amp;TEXT(C481,"yyyymmdd")&amp;"-"&amp;D481&amp;"-H"&amp;TEXT(E481,"00")&amp;"-"&amp;H481)</f>
        <v>SAMP-KG01-L21-20251208-ORD-2025-00183-H09-Chip</v>
      </c>
      <c r="K481" s="1" t="str">
        <f aca="false">IF(A481="","",IF(AND(G481&gt;=0,I481&gt;=0,I481&lt;=G481),"OK","CHECK"))</f>
        <v>OK</v>
      </c>
      <c r="L481" s="1" t="str">
        <f aca="false">IF(A481="","",IF(AND(E481&gt;=0,E481&lt;=23),"OK","CHECK"))</f>
        <v>OK</v>
      </c>
      <c r="M481" s="1" t="str">
        <f aca="false">IF(A481="","",IF(AND(K481="OK",L481="OK"),"OK","CHECK"))</f>
        <v>OK</v>
      </c>
    </row>
    <row r="482" customFormat="false" ht="18" hidden="false" customHeight="true" outlineLevel="0" collapsed="false">
      <c r="A482" s="9" t="s">
        <v>26</v>
      </c>
      <c r="B482" s="9" t="n">
        <v>21</v>
      </c>
      <c r="C482" s="11" t="n">
        <v>45999</v>
      </c>
      <c r="D482" s="9" t="s">
        <v>72</v>
      </c>
      <c r="E482" s="12" t="n">
        <v>7</v>
      </c>
      <c r="F482" s="9" t="s">
        <v>28</v>
      </c>
      <c r="G482" s="13" t="n">
        <v>100</v>
      </c>
      <c r="H482" s="9" t="s">
        <v>41</v>
      </c>
      <c r="I482" s="13" t="n">
        <v>2</v>
      </c>
      <c r="J482" s="1" t="str">
        <f aca="false">IF(A482="","", "SAMP-"&amp;A482&amp;"-L"&amp;TEXT(B482,"00")&amp;"-"&amp;TEXT(C482,"yyyymmdd")&amp;"-"&amp;D482&amp;"-H"&amp;TEXT(E482,"00")&amp;"-"&amp;H482)</f>
        <v>SAMP-KG01-L21-20251208-ORD-2025-00183-H07-Chip</v>
      </c>
      <c r="K482" s="1" t="str">
        <f aca="false">IF(A482="","",IF(AND(G482&gt;=0,I482&gt;=0,I482&lt;=G482),"OK","CHECK"))</f>
        <v>OK</v>
      </c>
      <c r="L482" s="1" t="str">
        <f aca="false">IF(A482="","",IF(AND(E482&gt;=0,E482&lt;=23),"OK","CHECK"))</f>
        <v>OK</v>
      </c>
      <c r="M482" s="1" t="str">
        <f aca="false">IF(A482="","",IF(AND(K482="OK",L482="OK"),"OK","CHECK"))</f>
        <v>OK</v>
      </c>
    </row>
    <row r="483" customFormat="false" ht="18" hidden="false" customHeight="true" outlineLevel="0" collapsed="false">
      <c r="A483" s="9" t="s">
        <v>26</v>
      </c>
      <c r="B483" s="9" t="n">
        <v>21</v>
      </c>
      <c r="C483" s="11" t="n">
        <v>45999</v>
      </c>
      <c r="D483" s="9" t="s">
        <v>73</v>
      </c>
      <c r="E483" s="12" t="n">
        <v>16</v>
      </c>
      <c r="F483" s="9" t="s">
        <v>31</v>
      </c>
      <c r="G483" s="13" t="n">
        <v>50</v>
      </c>
      <c r="H483" s="9" t="s">
        <v>33</v>
      </c>
      <c r="I483" s="13" t="n">
        <v>1</v>
      </c>
      <c r="J483" s="1" t="str">
        <f aca="false">IF(A483="","", "SAMP-"&amp;A483&amp;"-L"&amp;TEXT(B483,"00")&amp;"-"&amp;TEXT(C483,"yyyymmdd")&amp;"-"&amp;D483&amp;"-H"&amp;TEXT(E483,"00")&amp;"-"&amp;H483)</f>
        <v>SAMP-KG01-L21-20251208-ORD-2025-00184-H16-Distortion</v>
      </c>
      <c r="K483" s="1" t="str">
        <f aca="false">IF(A483="","",IF(AND(G483&gt;=0,I483&gt;=0,I483&lt;=G483),"OK","CHECK"))</f>
        <v>OK</v>
      </c>
      <c r="L483" s="1" t="str">
        <f aca="false">IF(A483="","",IF(AND(E483&gt;=0,E483&lt;=23),"OK","CHECK"))</f>
        <v>OK</v>
      </c>
      <c r="M483" s="1" t="str">
        <f aca="false">IF(A483="","",IF(AND(K483="OK",L483="OK"),"OK","CHECK"))</f>
        <v>OK</v>
      </c>
    </row>
    <row r="484" customFormat="false" ht="18" hidden="false" customHeight="true" outlineLevel="0" collapsed="false">
      <c r="A484" s="9" t="s">
        <v>26</v>
      </c>
      <c r="B484" s="9" t="n">
        <v>21</v>
      </c>
      <c r="C484" s="11" t="n">
        <v>45999</v>
      </c>
      <c r="D484" s="9" t="s">
        <v>73</v>
      </c>
      <c r="E484" s="12" t="n">
        <v>20</v>
      </c>
      <c r="F484" s="9" t="s">
        <v>31</v>
      </c>
      <c r="G484" s="13" t="n">
        <v>150</v>
      </c>
      <c r="H484" s="9" t="s">
        <v>29</v>
      </c>
      <c r="I484" s="13" t="n">
        <v>0</v>
      </c>
      <c r="J484" s="1" t="str">
        <f aca="false">IF(A484="","", "SAMP-"&amp;A484&amp;"-L"&amp;TEXT(B484,"00")&amp;"-"&amp;TEXT(C484,"yyyymmdd")&amp;"-"&amp;D484&amp;"-H"&amp;TEXT(E484,"00")&amp;"-"&amp;H484)</f>
        <v>SAMP-KG01-L21-20251208-ORD-2025-00184-H20-Choke Neck</v>
      </c>
      <c r="K484" s="1" t="str">
        <f aca="false">IF(A484="","",IF(AND(G484&gt;=0,I484&gt;=0,I484&lt;=G484),"OK","CHECK"))</f>
        <v>OK</v>
      </c>
      <c r="L484" s="1" t="str">
        <f aca="false">IF(A484="","",IF(AND(E484&gt;=0,E484&lt;=23),"OK","CHECK"))</f>
        <v>OK</v>
      </c>
      <c r="M484" s="1" t="str">
        <f aca="false">IF(A484="","",IF(AND(K484="OK",L484="OK"),"OK","CHECK"))</f>
        <v>OK</v>
      </c>
    </row>
    <row r="485" customFormat="false" ht="18" hidden="false" customHeight="true" outlineLevel="0" collapsed="false">
      <c r="A485" s="9" t="s">
        <v>26</v>
      </c>
      <c r="B485" s="9" t="n">
        <v>21</v>
      </c>
      <c r="C485" s="11" t="n">
        <v>46000</v>
      </c>
      <c r="D485" s="9" t="s">
        <v>73</v>
      </c>
      <c r="E485" s="12" t="n">
        <v>12</v>
      </c>
      <c r="F485" s="9" t="s">
        <v>28</v>
      </c>
      <c r="G485" s="13" t="n">
        <v>200</v>
      </c>
      <c r="H485" s="9" t="s">
        <v>38</v>
      </c>
      <c r="I485" s="13" t="n">
        <v>7</v>
      </c>
      <c r="J485" s="1" t="str">
        <f aca="false">IF(A485="","", "SAMP-"&amp;A485&amp;"-L"&amp;TEXT(B485,"00")&amp;"-"&amp;TEXT(C485,"yyyymmdd")&amp;"-"&amp;D485&amp;"-H"&amp;TEXT(E485,"00")&amp;"-"&amp;H485)</f>
        <v>SAMP-KG01-L21-20251209-ORD-2025-00184-H12-Crack</v>
      </c>
      <c r="K485" s="1" t="str">
        <f aca="false">IF(A485="","",IF(AND(G485&gt;=0,I485&gt;=0,I485&lt;=G485),"OK","CHECK"))</f>
        <v>OK</v>
      </c>
      <c r="L485" s="1" t="str">
        <f aca="false">IF(A485="","",IF(AND(E485&gt;=0,E485&lt;=23),"OK","CHECK"))</f>
        <v>OK</v>
      </c>
      <c r="M485" s="1" t="str">
        <f aca="false">IF(A485="","",IF(AND(K485="OK",L485="OK"),"OK","CHECK"))</f>
        <v>OK</v>
      </c>
    </row>
    <row r="486" customFormat="false" ht="18" hidden="false" customHeight="true" outlineLevel="0" collapsed="false">
      <c r="A486" s="9" t="s">
        <v>26</v>
      </c>
      <c r="B486" s="9" t="n">
        <v>21</v>
      </c>
      <c r="C486" s="11" t="n">
        <v>46000</v>
      </c>
      <c r="D486" s="9" t="s">
        <v>73</v>
      </c>
      <c r="E486" s="12" t="n">
        <v>7</v>
      </c>
      <c r="F486" s="9" t="s">
        <v>28</v>
      </c>
      <c r="G486" s="13" t="n">
        <v>200</v>
      </c>
      <c r="H486" s="9" t="s">
        <v>35</v>
      </c>
      <c r="I486" s="13" t="n">
        <v>2</v>
      </c>
      <c r="J486" s="1" t="str">
        <f aca="false">IF(A486="","", "SAMP-"&amp;A486&amp;"-L"&amp;TEXT(B486,"00")&amp;"-"&amp;TEXT(C486,"yyyymmdd")&amp;"-"&amp;D486&amp;"-H"&amp;TEXT(E486,"00")&amp;"-"&amp;H486)</f>
        <v>SAMP-KG01-L21-20251209-ORD-2025-00184-H07-Stone</v>
      </c>
      <c r="K486" s="1" t="str">
        <f aca="false">IF(A486="","",IF(AND(G486&gt;=0,I486&gt;=0,I486&lt;=G486),"OK","CHECK"))</f>
        <v>OK</v>
      </c>
      <c r="L486" s="1" t="str">
        <f aca="false">IF(A486="","",IF(AND(E486&gt;=0,E486&lt;=23),"OK","CHECK"))</f>
        <v>OK</v>
      </c>
      <c r="M486" s="1" t="str">
        <f aca="false">IF(A486="","",IF(AND(K486="OK",L486="OK"),"OK","CHECK"))</f>
        <v>OK</v>
      </c>
    </row>
    <row r="487" customFormat="false" ht="18" hidden="false" customHeight="true" outlineLevel="0" collapsed="false">
      <c r="A487" s="9" t="s">
        <v>26</v>
      </c>
      <c r="B487" s="9" t="n">
        <v>21</v>
      </c>
      <c r="C487" s="11" t="n">
        <v>46000</v>
      </c>
      <c r="D487" s="9" t="s">
        <v>73</v>
      </c>
      <c r="E487" s="12" t="n">
        <v>23</v>
      </c>
      <c r="F487" s="9" t="s">
        <v>31</v>
      </c>
      <c r="G487" s="13" t="n">
        <v>50</v>
      </c>
      <c r="H487" s="9" t="s">
        <v>35</v>
      </c>
      <c r="I487" s="13" t="n">
        <v>0</v>
      </c>
      <c r="J487" s="1" t="str">
        <f aca="false">IF(A487="","", "SAMP-"&amp;A487&amp;"-L"&amp;TEXT(B487,"00")&amp;"-"&amp;TEXT(C487,"yyyymmdd")&amp;"-"&amp;D487&amp;"-H"&amp;TEXT(E487,"00")&amp;"-"&amp;H487)</f>
        <v>SAMP-KG01-L21-20251209-ORD-2025-00184-H23-Stone</v>
      </c>
      <c r="K487" s="1" t="str">
        <f aca="false">IF(A487="","",IF(AND(G487&gt;=0,I487&gt;=0,I487&lt;=G487),"OK","CHECK"))</f>
        <v>OK</v>
      </c>
      <c r="L487" s="1" t="str">
        <f aca="false">IF(A487="","",IF(AND(E487&gt;=0,E487&lt;=23),"OK","CHECK"))</f>
        <v>OK</v>
      </c>
      <c r="M487" s="1" t="str">
        <f aca="false">IF(A487="","",IF(AND(K487="OK",L487="OK"),"OK","CHECK"))</f>
        <v>OK</v>
      </c>
    </row>
    <row r="488" customFormat="false" ht="18" hidden="false" customHeight="true" outlineLevel="0" collapsed="false">
      <c r="A488" s="9" t="s">
        <v>26</v>
      </c>
      <c r="B488" s="9" t="n">
        <v>21</v>
      </c>
      <c r="C488" s="11" t="n">
        <v>46000</v>
      </c>
      <c r="D488" s="9" t="s">
        <v>73</v>
      </c>
      <c r="E488" s="12" t="n">
        <v>16</v>
      </c>
      <c r="F488" s="9" t="s">
        <v>31</v>
      </c>
      <c r="G488" s="13" t="n">
        <v>150</v>
      </c>
      <c r="H488" s="9" t="s">
        <v>36</v>
      </c>
      <c r="I488" s="13" t="n">
        <v>0</v>
      </c>
      <c r="J488" s="1" t="str">
        <f aca="false">IF(A488="","", "SAMP-"&amp;A488&amp;"-L"&amp;TEXT(B488,"00")&amp;"-"&amp;TEXT(C488,"yyyymmdd")&amp;"-"&amp;D488&amp;"-H"&amp;TEXT(E488,"00")&amp;"-"&amp;H488)</f>
        <v>SAMP-KG01-L21-20251209-ORD-2025-00184-H16-Blister</v>
      </c>
      <c r="K488" s="1" t="str">
        <f aca="false">IF(A488="","",IF(AND(G488&gt;=0,I488&gt;=0,I488&lt;=G488),"OK","CHECK"))</f>
        <v>OK</v>
      </c>
      <c r="L488" s="1" t="str">
        <f aca="false">IF(A488="","",IF(AND(E488&gt;=0,E488&lt;=23),"OK","CHECK"))</f>
        <v>OK</v>
      </c>
      <c r="M488" s="1" t="str">
        <f aca="false">IF(A488="","",IF(AND(K488="OK",L488="OK"),"OK","CHECK"))</f>
        <v>OK</v>
      </c>
    </row>
    <row r="489" customFormat="false" ht="18" hidden="false" customHeight="true" outlineLevel="0" collapsed="false">
      <c r="A489" s="9" t="s">
        <v>26</v>
      </c>
      <c r="B489" s="9" t="n">
        <v>21</v>
      </c>
      <c r="C489" s="11" t="n">
        <v>46000</v>
      </c>
      <c r="D489" s="9" t="s">
        <v>73</v>
      </c>
      <c r="E489" s="12" t="n">
        <v>20</v>
      </c>
      <c r="F489" s="9" t="s">
        <v>31</v>
      </c>
      <c r="G489" s="13" t="n">
        <v>50</v>
      </c>
      <c r="H489" s="9" t="s">
        <v>34</v>
      </c>
      <c r="I489" s="13" t="n">
        <v>0</v>
      </c>
      <c r="J489" s="1" t="str">
        <f aca="false">IF(A489="","", "SAMP-"&amp;A489&amp;"-L"&amp;TEXT(B489,"00")&amp;"-"&amp;TEXT(C489,"yyyymmdd")&amp;"-"&amp;D489&amp;"-H"&amp;TEXT(E489,"00")&amp;"-"&amp;H489)</f>
        <v>SAMP-KG01-L21-20251209-ORD-2025-00184-H20-Thin Wall</v>
      </c>
      <c r="K489" s="1" t="str">
        <f aca="false">IF(A489="","",IF(AND(G489&gt;=0,I489&gt;=0,I489&lt;=G489),"OK","CHECK"))</f>
        <v>OK</v>
      </c>
      <c r="L489" s="1" t="str">
        <f aca="false">IF(A489="","",IF(AND(E489&gt;=0,E489&lt;=23),"OK","CHECK"))</f>
        <v>OK</v>
      </c>
      <c r="M489" s="1" t="str">
        <f aca="false">IF(A489="","",IF(AND(K489="OK",L489="OK"),"OK","CHECK"))</f>
        <v>OK</v>
      </c>
    </row>
    <row r="490" customFormat="false" ht="18" hidden="false" customHeight="true" outlineLevel="0" collapsed="false">
      <c r="A490" s="9" t="s">
        <v>26</v>
      </c>
      <c r="B490" s="9" t="n">
        <v>21</v>
      </c>
      <c r="C490" s="11" t="n">
        <v>46001</v>
      </c>
      <c r="D490" s="9" t="s">
        <v>73</v>
      </c>
      <c r="E490" s="12" t="n">
        <v>7</v>
      </c>
      <c r="F490" s="9" t="s">
        <v>28</v>
      </c>
      <c r="G490" s="13" t="n">
        <v>100</v>
      </c>
      <c r="H490" s="9" t="s">
        <v>34</v>
      </c>
      <c r="I490" s="13" t="n">
        <v>4</v>
      </c>
      <c r="J490" s="1" t="str">
        <f aca="false">IF(A490="","", "SAMP-"&amp;A490&amp;"-L"&amp;TEXT(B490,"00")&amp;"-"&amp;TEXT(C490,"yyyymmdd")&amp;"-"&amp;D490&amp;"-H"&amp;TEXT(E490,"00")&amp;"-"&amp;H490)</f>
        <v>SAMP-KG01-L21-20251210-ORD-2025-00184-H07-Thin Wall</v>
      </c>
      <c r="K490" s="1" t="str">
        <f aca="false">IF(A490="","",IF(AND(G490&gt;=0,I490&gt;=0,I490&lt;=G490),"OK","CHECK"))</f>
        <v>OK</v>
      </c>
      <c r="L490" s="1" t="str">
        <f aca="false">IF(A490="","",IF(AND(E490&gt;=0,E490&lt;=23),"OK","CHECK"))</f>
        <v>OK</v>
      </c>
      <c r="M490" s="1" t="str">
        <f aca="false">IF(A490="","",IF(AND(K490="OK",L490="OK"),"OK","CHECK"))</f>
        <v>OK</v>
      </c>
    </row>
    <row r="491" customFormat="false" ht="18" hidden="false" customHeight="true" outlineLevel="0" collapsed="false">
      <c r="A491" s="9" t="s">
        <v>26</v>
      </c>
      <c r="B491" s="9" t="n">
        <v>21</v>
      </c>
      <c r="C491" s="11" t="n">
        <v>46001</v>
      </c>
      <c r="D491" s="9" t="s">
        <v>73</v>
      </c>
      <c r="E491" s="12" t="n">
        <v>12</v>
      </c>
      <c r="F491" s="9" t="s">
        <v>28</v>
      </c>
      <c r="G491" s="13" t="n">
        <v>100</v>
      </c>
      <c r="H491" s="9" t="s">
        <v>33</v>
      </c>
      <c r="I491" s="13" t="n">
        <v>1</v>
      </c>
      <c r="J491" s="1" t="str">
        <f aca="false">IF(A491="","", "SAMP-"&amp;A491&amp;"-L"&amp;TEXT(B491,"00")&amp;"-"&amp;TEXT(C491,"yyyymmdd")&amp;"-"&amp;D491&amp;"-H"&amp;TEXT(E491,"00")&amp;"-"&amp;H491)</f>
        <v>SAMP-KG01-L21-20251210-ORD-2025-00184-H12-Distortion</v>
      </c>
      <c r="K491" s="1" t="str">
        <f aca="false">IF(A491="","",IF(AND(G491&gt;=0,I491&gt;=0,I491&lt;=G491),"OK","CHECK"))</f>
        <v>OK</v>
      </c>
      <c r="L491" s="1" t="str">
        <f aca="false">IF(A491="","",IF(AND(E491&gt;=0,E491&lt;=23),"OK","CHECK"))</f>
        <v>OK</v>
      </c>
      <c r="M491" s="1" t="str">
        <f aca="false">IF(A491="","",IF(AND(K491="OK",L491="OK"),"OK","CHECK"))</f>
        <v>OK</v>
      </c>
    </row>
    <row r="492" customFormat="false" ht="18" hidden="false" customHeight="true" outlineLevel="0" collapsed="false">
      <c r="A492" s="9" t="s">
        <v>26</v>
      </c>
      <c r="B492" s="9" t="n">
        <v>21</v>
      </c>
      <c r="C492" s="11" t="n">
        <v>46001</v>
      </c>
      <c r="D492" s="9" t="s">
        <v>74</v>
      </c>
      <c r="E492" s="12" t="n">
        <v>16</v>
      </c>
      <c r="F492" s="9" t="s">
        <v>31</v>
      </c>
      <c r="G492" s="13" t="n">
        <v>150</v>
      </c>
      <c r="H492" s="9" t="s">
        <v>35</v>
      </c>
      <c r="I492" s="13" t="n">
        <v>4</v>
      </c>
      <c r="J492" s="1" t="str">
        <f aca="false">IF(A492="","", "SAMP-"&amp;A492&amp;"-L"&amp;TEXT(B492,"00")&amp;"-"&amp;TEXT(C492,"yyyymmdd")&amp;"-"&amp;D492&amp;"-H"&amp;TEXT(E492,"00")&amp;"-"&amp;H492)</f>
        <v>SAMP-KG01-L21-20251210-ORD-2025-00185-H16-Stone</v>
      </c>
      <c r="K492" s="1" t="str">
        <f aca="false">IF(A492="","",IF(AND(G492&gt;=0,I492&gt;=0,I492&lt;=G492),"OK","CHECK"))</f>
        <v>OK</v>
      </c>
      <c r="L492" s="1" t="str">
        <f aca="false">IF(A492="","",IF(AND(E492&gt;=0,E492&lt;=23),"OK","CHECK"))</f>
        <v>OK</v>
      </c>
      <c r="M492" s="1" t="str">
        <f aca="false">IF(A492="","",IF(AND(K492="OK",L492="OK"),"OK","CHECK"))</f>
        <v>OK</v>
      </c>
    </row>
    <row r="493" customFormat="false" ht="18" hidden="false" customHeight="true" outlineLevel="0" collapsed="false">
      <c r="A493" s="9" t="s">
        <v>26</v>
      </c>
      <c r="B493" s="9" t="n">
        <v>21</v>
      </c>
      <c r="C493" s="11" t="n">
        <v>46001</v>
      </c>
      <c r="D493" s="9" t="s">
        <v>74</v>
      </c>
      <c r="E493" s="12" t="n">
        <v>23</v>
      </c>
      <c r="F493" s="9" t="s">
        <v>31</v>
      </c>
      <c r="G493" s="13" t="n">
        <v>100</v>
      </c>
      <c r="H493" s="9" t="s">
        <v>30</v>
      </c>
      <c r="I493" s="13" t="n">
        <v>3</v>
      </c>
      <c r="J493" s="1" t="str">
        <f aca="false">IF(A493="","", "SAMP-"&amp;A493&amp;"-L"&amp;TEXT(B493,"00")&amp;"-"&amp;TEXT(C493,"yyyymmdd")&amp;"-"&amp;D493&amp;"-H"&amp;TEXT(E493,"00")&amp;"-"&amp;H493)</f>
        <v>SAMP-KG01-L21-20251210-ORD-2025-00185-H23-Overpress</v>
      </c>
      <c r="K493" s="1" t="str">
        <f aca="false">IF(A493="","",IF(AND(G493&gt;=0,I493&gt;=0,I493&lt;=G493),"OK","CHECK"))</f>
        <v>OK</v>
      </c>
      <c r="L493" s="1" t="str">
        <f aca="false">IF(A493="","",IF(AND(E493&gt;=0,E493&lt;=23),"OK","CHECK"))</f>
        <v>OK</v>
      </c>
      <c r="M493" s="1" t="str">
        <f aca="false">IF(A493="","",IF(AND(K493="OK",L493="OK"),"OK","CHECK"))</f>
        <v>OK</v>
      </c>
    </row>
    <row r="494" customFormat="false" ht="18" hidden="false" customHeight="true" outlineLevel="0" collapsed="false">
      <c r="A494" s="9" t="s">
        <v>26</v>
      </c>
      <c r="B494" s="9" t="n">
        <v>21</v>
      </c>
      <c r="C494" s="11" t="n">
        <v>46001</v>
      </c>
      <c r="D494" s="9" t="s">
        <v>74</v>
      </c>
      <c r="E494" s="12" t="n">
        <v>20</v>
      </c>
      <c r="F494" s="9" t="s">
        <v>31</v>
      </c>
      <c r="G494" s="13" t="n">
        <v>150</v>
      </c>
      <c r="H494" s="9" t="s">
        <v>35</v>
      </c>
      <c r="I494" s="13" t="n">
        <v>0</v>
      </c>
      <c r="J494" s="1" t="str">
        <f aca="false">IF(A494="","", "SAMP-"&amp;A494&amp;"-L"&amp;TEXT(B494,"00")&amp;"-"&amp;TEXT(C494,"yyyymmdd")&amp;"-"&amp;D494&amp;"-H"&amp;TEXT(E494,"00")&amp;"-"&amp;H494)</f>
        <v>SAMP-KG01-L21-20251210-ORD-2025-00185-H20-Stone</v>
      </c>
      <c r="K494" s="1" t="str">
        <f aca="false">IF(A494="","",IF(AND(G494&gt;=0,I494&gt;=0,I494&lt;=G494),"OK","CHECK"))</f>
        <v>OK</v>
      </c>
      <c r="L494" s="1" t="str">
        <f aca="false">IF(A494="","",IF(AND(E494&gt;=0,E494&lt;=23),"OK","CHECK"))</f>
        <v>OK</v>
      </c>
      <c r="M494" s="1" t="str">
        <f aca="false">IF(A494="","",IF(AND(K494="OK",L494="OK"),"OK","CHECK"))</f>
        <v>OK</v>
      </c>
    </row>
    <row r="495" customFormat="false" ht="18" hidden="false" customHeight="true" outlineLevel="0" collapsed="false">
      <c r="A495" s="9" t="s">
        <v>26</v>
      </c>
      <c r="B495" s="9" t="n">
        <v>21</v>
      </c>
      <c r="C495" s="11" t="n">
        <v>46002</v>
      </c>
      <c r="D495" s="9" t="s">
        <v>74</v>
      </c>
      <c r="E495" s="12" t="n">
        <v>7</v>
      </c>
      <c r="F495" s="9" t="s">
        <v>28</v>
      </c>
      <c r="G495" s="13" t="n">
        <v>100</v>
      </c>
      <c r="H495" s="9" t="s">
        <v>35</v>
      </c>
      <c r="I495" s="13" t="n">
        <v>1</v>
      </c>
      <c r="J495" s="1" t="str">
        <f aca="false">IF(A495="","", "SAMP-"&amp;A495&amp;"-L"&amp;TEXT(B495,"00")&amp;"-"&amp;TEXT(C495,"yyyymmdd")&amp;"-"&amp;D495&amp;"-H"&amp;TEXT(E495,"00")&amp;"-"&amp;H495)</f>
        <v>SAMP-KG01-L21-20251211-ORD-2025-00185-H07-Stone</v>
      </c>
      <c r="K495" s="1" t="str">
        <f aca="false">IF(A495="","",IF(AND(G495&gt;=0,I495&gt;=0,I495&lt;=G495),"OK","CHECK"))</f>
        <v>OK</v>
      </c>
      <c r="L495" s="1" t="str">
        <f aca="false">IF(A495="","",IF(AND(E495&gt;=0,E495&lt;=23),"OK","CHECK"))</f>
        <v>OK</v>
      </c>
      <c r="M495" s="1" t="str">
        <f aca="false">IF(A495="","",IF(AND(K495="OK",L495="OK"),"OK","CHECK"))</f>
        <v>OK</v>
      </c>
    </row>
    <row r="496" customFormat="false" ht="18" hidden="false" customHeight="true" outlineLevel="0" collapsed="false">
      <c r="A496" s="9" t="s">
        <v>26</v>
      </c>
      <c r="B496" s="9" t="n">
        <v>21</v>
      </c>
      <c r="C496" s="11" t="n">
        <v>46002</v>
      </c>
      <c r="D496" s="9" t="s">
        <v>74</v>
      </c>
      <c r="E496" s="12" t="n">
        <v>12</v>
      </c>
      <c r="F496" s="9" t="s">
        <v>28</v>
      </c>
      <c r="G496" s="13" t="n">
        <v>150</v>
      </c>
      <c r="H496" s="9" t="s">
        <v>35</v>
      </c>
      <c r="I496" s="13" t="n">
        <v>0</v>
      </c>
      <c r="J496" s="1" t="str">
        <f aca="false">IF(A496="","", "SAMP-"&amp;A496&amp;"-L"&amp;TEXT(B496,"00")&amp;"-"&amp;TEXT(C496,"yyyymmdd")&amp;"-"&amp;D496&amp;"-H"&amp;TEXT(E496,"00")&amp;"-"&amp;H496)</f>
        <v>SAMP-KG01-L21-20251211-ORD-2025-00185-H12-Stone</v>
      </c>
      <c r="K496" s="1" t="str">
        <f aca="false">IF(A496="","",IF(AND(G496&gt;=0,I496&gt;=0,I496&lt;=G496),"OK","CHECK"))</f>
        <v>OK</v>
      </c>
      <c r="L496" s="1" t="str">
        <f aca="false">IF(A496="","",IF(AND(E496&gt;=0,E496&lt;=23),"OK","CHECK"))</f>
        <v>OK</v>
      </c>
      <c r="M496" s="1" t="str">
        <f aca="false">IF(A496="","",IF(AND(K496="OK",L496="OK"),"OK","CHECK"))</f>
        <v>OK</v>
      </c>
    </row>
    <row r="497" customFormat="false" ht="18" hidden="false" customHeight="true" outlineLevel="0" collapsed="false">
      <c r="A497" s="9" t="s">
        <v>26</v>
      </c>
      <c r="B497" s="9" t="n">
        <v>21</v>
      </c>
      <c r="C497" s="11" t="n">
        <v>46002</v>
      </c>
      <c r="D497" s="9" t="s">
        <v>74</v>
      </c>
      <c r="E497" s="12" t="n">
        <v>9</v>
      </c>
      <c r="F497" s="9" t="s">
        <v>28</v>
      </c>
      <c r="G497" s="13" t="n">
        <v>50</v>
      </c>
      <c r="H497" s="9" t="s">
        <v>35</v>
      </c>
      <c r="I497" s="13" t="n">
        <v>2</v>
      </c>
      <c r="J497" s="1" t="str">
        <f aca="false">IF(A497="","", "SAMP-"&amp;A497&amp;"-L"&amp;TEXT(B497,"00")&amp;"-"&amp;TEXT(C497,"yyyymmdd")&amp;"-"&amp;D497&amp;"-H"&amp;TEXT(E497,"00")&amp;"-"&amp;H497)</f>
        <v>SAMP-KG01-L21-20251211-ORD-2025-00185-H09-Stone</v>
      </c>
      <c r="K497" s="1" t="str">
        <f aca="false">IF(A497="","",IF(AND(G497&gt;=0,I497&gt;=0,I497&lt;=G497),"OK","CHECK"))</f>
        <v>OK</v>
      </c>
      <c r="L497" s="1" t="str">
        <f aca="false">IF(A497="","",IF(AND(E497&gt;=0,E497&lt;=23),"OK","CHECK"))</f>
        <v>OK</v>
      </c>
      <c r="M497" s="1" t="str">
        <f aca="false">IF(A497="","",IF(AND(K497="OK",L497="OK"),"OK","CHECK"))</f>
        <v>OK</v>
      </c>
    </row>
    <row r="498" customFormat="false" ht="18" hidden="false" customHeight="true" outlineLevel="0" collapsed="false">
      <c r="A498" s="9" t="s">
        <v>26</v>
      </c>
      <c r="B498" s="9" t="n">
        <v>21</v>
      </c>
      <c r="C498" s="11" t="n">
        <v>46002</v>
      </c>
      <c r="D498" s="9" t="s">
        <v>74</v>
      </c>
      <c r="E498" s="12" t="n">
        <v>23</v>
      </c>
      <c r="F498" s="9" t="s">
        <v>31</v>
      </c>
      <c r="G498" s="13" t="n">
        <v>150</v>
      </c>
      <c r="H498" s="9" t="s">
        <v>34</v>
      </c>
      <c r="I498" s="13" t="n">
        <v>4</v>
      </c>
      <c r="J498" s="1" t="str">
        <f aca="false">IF(A498="","", "SAMP-"&amp;A498&amp;"-L"&amp;TEXT(B498,"00")&amp;"-"&amp;TEXT(C498,"yyyymmdd")&amp;"-"&amp;D498&amp;"-H"&amp;TEXT(E498,"00")&amp;"-"&amp;H498)</f>
        <v>SAMP-KG01-L21-20251211-ORD-2025-00185-H23-Thin Wall</v>
      </c>
      <c r="K498" s="1" t="str">
        <f aca="false">IF(A498="","",IF(AND(G498&gt;=0,I498&gt;=0,I498&lt;=G498),"OK","CHECK"))</f>
        <v>OK</v>
      </c>
      <c r="L498" s="1" t="str">
        <f aca="false">IF(A498="","",IF(AND(E498&gt;=0,E498&lt;=23),"OK","CHECK"))</f>
        <v>OK</v>
      </c>
      <c r="M498" s="1" t="str">
        <f aca="false">IF(A498="","",IF(AND(K498="OK",L498="OK"),"OK","CHECK"))</f>
        <v>OK</v>
      </c>
    </row>
    <row r="499" customFormat="false" ht="18" hidden="false" customHeight="true" outlineLevel="0" collapsed="false">
      <c r="A499" s="9" t="s">
        <v>26</v>
      </c>
      <c r="B499" s="9" t="n">
        <v>21</v>
      </c>
      <c r="C499" s="11" t="n">
        <v>46002</v>
      </c>
      <c r="D499" s="9" t="s">
        <v>74</v>
      </c>
      <c r="E499" s="12" t="n">
        <v>20</v>
      </c>
      <c r="F499" s="9" t="s">
        <v>31</v>
      </c>
      <c r="G499" s="13" t="n">
        <v>150</v>
      </c>
      <c r="H499" s="9" t="s">
        <v>30</v>
      </c>
      <c r="I499" s="13" t="n">
        <v>3</v>
      </c>
      <c r="J499" s="1" t="str">
        <f aca="false">IF(A499="","", "SAMP-"&amp;A499&amp;"-L"&amp;TEXT(B499,"00")&amp;"-"&amp;TEXT(C499,"yyyymmdd")&amp;"-"&amp;D499&amp;"-H"&amp;TEXT(E499,"00")&amp;"-"&amp;H499)</f>
        <v>SAMP-KG01-L21-20251211-ORD-2025-00185-H20-Overpress</v>
      </c>
      <c r="K499" s="1" t="str">
        <f aca="false">IF(A499="","",IF(AND(G499&gt;=0,I499&gt;=0,I499&lt;=G499),"OK","CHECK"))</f>
        <v>OK</v>
      </c>
      <c r="L499" s="1" t="str">
        <f aca="false">IF(A499="","",IF(AND(E499&gt;=0,E499&lt;=23),"OK","CHECK"))</f>
        <v>OK</v>
      </c>
      <c r="M499" s="1" t="str">
        <f aca="false">IF(A499="","",IF(AND(K499="OK",L499="OK"),"OK","CHECK"))</f>
        <v>OK</v>
      </c>
    </row>
    <row r="500" customFormat="false" ht="18" hidden="false" customHeight="true" outlineLevel="0" collapsed="false">
      <c r="A500" s="9" t="s">
        <v>26</v>
      </c>
      <c r="B500" s="9" t="n">
        <v>21</v>
      </c>
      <c r="C500" s="11" t="n">
        <v>46002</v>
      </c>
      <c r="D500" s="9" t="s">
        <v>74</v>
      </c>
      <c r="E500" s="12" t="n">
        <v>16</v>
      </c>
      <c r="F500" s="9" t="s">
        <v>31</v>
      </c>
      <c r="G500" s="13" t="n">
        <v>150</v>
      </c>
      <c r="H500" s="9" t="s">
        <v>41</v>
      </c>
      <c r="I500" s="13" t="n">
        <v>0</v>
      </c>
      <c r="J500" s="1" t="str">
        <f aca="false">IF(A500="","", "SAMP-"&amp;A500&amp;"-L"&amp;TEXT(B500,"00")&amp;"-"&amp;TEXT(C500,"yyyymmdd")&amp;"-"&amp;D500&amp;"-H"&amp;TEXT(E500,"00")&amp;"-"&amp;H500)</f>
        <v>SAMP-KG01-L21-20251211-ORD-2025-00185-H16-Chip</v>
      </c>
      <c r="K500" s="1" t="str">
        <f aca="false">IF(A500="","",IF(AND(G500&gt;=0,I500&gt;=0,I500&lt;=G500),"OK","CHECK"))</f>
        <v>OK</v>
      </c>
      <c r="L500" s="1" t="str">
        <f aca="false">IF(A500="","",IF(AND(E500&gt;=0,E500&lt;=23),"OK","CHECK"))</f>
        <v>OK</v>
      </c>
      <c r="M500" s="1" t="str">
        <f aca="false">IF(A500="","",IF(AND(K500="OK",L500="OK"),"OK","CHECK"))</f>
        <v>OK</v>
      </c>
    </row>
    <row r="501" customFormat="false" ht="18" hidden="false" customHeight="true" outlineLevel="0" collapsed="false">
      <c r="A501" s="9" t="s">
        <v>26</v>
      </c>
      <c r="B501" s="9" t="n">
        <v>21</v>
      </c>
      <c r="C501" s="11" t="n">
        <v>46003</v>
      </c>
      <c r="D501" s="9" t="s">
        <v>74</v>
      </c>
      <c r="E501" s="12" t="n">
        <v>12</v>
      </c>
      <c r="F501" s="9" t="s">
        <v>28</v>
      </c>
      <c r="G501" s="13" t="n">
        <v>150</v>
      </c>
      <c r="H501" s="9" t="s">
        <v>36</v>
      </c>
      <c r="I501" s="13" t="n">
        <v>0</v>
      </c>
      <c r="J501" s="1" t="str">
        <f aca="false">IF(A501="","", "SAMP-"&amp;A501&amp;"-L"&amp;TEXT(B501,"00")&amp;"-"&amp;TEXT(C501,"yyyymmdd")&amp;"-"&amp;D501&amp;"-H"&amp;TEXT(E501,"00")&amp;"-"&amp;H501)</f>
        <v>SAMP-KG01-L21-20251212-ORD-2025-00185-H12-Blister</v>
      </c>
      <c r="K501" s="1" t="str">
        <f aca="false">IF(A501="","",IF(AND(G501&gt;=0,I501&gt;=0,I501&lt;=G501),"OK","CHECK"))</f>
        <v>OK</v>
      </c>
      <c r="L501" s="1" t="str">
        <f aca="false">IF(A501="","",IF(AND(E501&gt;=0,E501&lt;=23),"OK","CHECK"))</f>
        <v>OK</v>
      </c>
      <c r="M501" s="1" t="str">
        <f aca="false">IF(A501="","",IF(AND(K501="OK",L501="OK"),"OK","CHECK"))</f>
        <v>OK</v>
      </c>
    </row>
    <row r="502" customFormat="false" ht="18" hidden="false" customHeight="true" outlineLevel="0" collapsed="false">
      <c r="A502" s="9" t="s">
        <v>26</v>
      </c>
      <c r="B502" s="9" t="n">
        <v>21</v>
      </c>
      <c r="C502" s="11" t="n">
        <v>46003</v>
      </c>
      <c r="D502" s="9" t="s">
        <v>74</v>
      </c>
      <c r="E502" s="12" t="n">
        <v>9</v>
      </c>
      <c r="F502" s="9" t="s">
        <v>28</v>
      </c>
      <c r="G502" s="13" t="n">
        <v>200</v>
      </c>
      <c r="H502" s="9" t="s">
        <v>30</v>
      </c>
      <c r="I502" s="13" t="n">
        <v>3</v>
      </c>
      <c r="J502" s="1" t="str">
        <f aca="false">IF(A502="","", "SAMP-"&amp;A502&amp;"-L"&amp;TEXT(B502,"00")&amp;"-"&amp;TEXT(C502,"yyyymmdd")&amp;"-"&amp;D502&amp;"-H"&amp;TEXT(E502,"00")&amp;"-"&amp;H502)</f>
        <v>SAMP-KG01-L21-20251212-ORD-2025-00185-H09-Overpress</v>
      </c>
      <c r="K502" s="1" t="str">
        <f aca="false">IF(A502="","",IF(AND(G502&gt;=0,I502&gt;=0,I502&lt;=G502),"OK","CHECK"))</f>
        <v>OK</v>
      </c>
      <c r="L502" s="1" t="str">
        <f aca="false">IF(A502="","",IF(AND(E502&gt;=0,E502&lt;=23),"OK","CHECK"))</f>
        <v>OK</v>
      </c>
      <c r="M502" s="1" t="str">
        <f aca="false">IF(A502="","",IF(AND(K502="OK",L502="OK"),"OK","CHECK"))</f>
        <v>OK</v>
      </c>
    </row>
    <row r="503" customFormat="false" ht="18" hidden="false" customHeight="true" outlineLevel="0" collapsed="false">
      <c r="A503" s="9" t="s">
        <v>26</v>
      </c>
      <c r="B503" s="9" t="n">
        <v>21</v>
      </c>
      <c r="C503" s="11" t="n">
        <v>46003</v>
      </c>
      <c r="D503" s="9" t="s">
        <v>74</v>
      </c>
      <c r="E503" s="12" t="n">
        <v>7</v>
      </c>
      <c r="F503" s="9" t="s">
        <v>28</v>
      </c>
      <c r="G503" s="13" t="n">
        <v>150</v>
      </c>
      <c r="H503" s="9" t="s">
        <v>30</v>
      </c>
      <c r="I503" s="13" t="n">
        <v>2</v>
      </c>
      <c r="J503" s="1" t="str">
        <f aca="false">IF(A503="","", "SAMP-"&amp;A503&amp;"-L"&amp;TEXT(B503,"00")&amp;"-"&amp;TEXT(C503,"yyyymmdd")&amp;"-"&amp;D503&amp;"-H"&amp;TEXT(E503,"00")&amp;"-"&amp;H503)</f>
        <v>SAMP-KG01-L21-20251212-ORD-2025-00185-H07-Overpress</v>
      </c>
      <c r="K503" s="1" t="str">
        <f aca="false">IF(A503="","",IF(AND(G503&gt;=0,I503&gt;=0,I503&lt;=G503),"OK","CHECK"))</f>
        <v>OK</v>
      </c>
      <c r="L503" s="1" t="str">
        <f aca="false">IF(A503="","",IF(AND(E503&gt;=0,E503&lt;=23),"OK","CHECK"))</f>
        <v>OK</v>
      </c>
      <c r="M503" s="1" t="str">
        <f aca="false">IF(A503="","",IF(AND(K503="OK",L503="OK"),"OK","CHECK"))</f>
        <v>OK</v>
      </c>
    </row>
    <row r="504" customFormat="false" ht="18" hidden="false" customHeight="true" outlineLevel="0" collapsed="false">
      <c r="A504" s="9" t="s">
        <v>26</v>
      </c>
      <c r="B504" s="9" t="n">
        <v>21</v>
      </c>
      <c r="C504" s="11" t="n">
        <v>46003</v>
      </c>
      <c r="D504" s="9" t="s">
        <v>74</v>
      </c>
      <c r="E504" s="12" t="n">
        <v>20</v>
      </c>
      <c r="F504" s="9" t="s">
        <v>31</v>
      </c>
      <c r="G504" s="13" t="n">
        <v>200</v>
      </c>
      <c r="H504" s="9" t="s">
        <v>34</v>
      </c>
      <c r="I504" s="13" t="n">
        <v>3</v>
      </c>
      <c r="J504" s="1" t="str">
        <f aca="false">IF(A504="","", "SAMP-"&amp;A504&amp;"-L"&amp;TEXT(B504,"00")&amp;"-"&amp;TEXT(C504,"yyyymmdd")&amp;"-"&amp;D504&amp;"-H"&amp;TEXT(E504,"00")&amp;"-"&amp;H504)</f>
        <v>SAMP-KG01-L21-20251212-ORD-2025-00185-H20-Thin Wall</v>
      </c>
      <c r="K504" s="1" t="str">
        <f aca="false">IF(A504="","",IF(AND(G504&gt;=0,I504&gt;=0,I504&lt;=G504),"OK","CHECK"))</f>
        <v>OK</v>
      </c>
      <c r="L504" s="1" t="str">
        <f aca="false">IF(A504="","",IF(AND(E504&gt;=0,E504&lt;=23),"OK","CHECK"))</f>
        <v>OK</v>
      </c>
      <c r="M504" s="1" t="str">
        <f aca="false">IF(A504="","",IF(AND(K504="OK",L504="OK"),"OK","CHECK"))</f>
        <v>OK</v>
      </c>
    </row>
    <row r="505" customFormat="false" ht="18" hidden="false" customHeight="true" outlineLevel="0" collapsed="false">
      <c r="A505" s="9" t="s">
        <v>26</v>
      </c>
      <c r="B505" s="9" t="n">
        <v>21</v>
      </c>
      <c r="C505" s="11" t="n">
        <v>46003</v>
      </c>
      <c r="D505" s="9" t="s">
        <v>74</v>
      </c>
      <c r="E505" s="12" t="n">
        <v>16</v>
      </c>
      <c r="F505" s="9" t="s">
        <v>31</v>
      </c>
      <c r="G505" s="13" t="n">
        <v>150</v>
      </c>
      <c r="H505" s="9" t="s">
        <v>36</v>
      </c>
      <c r="I505" s="13" t="n">
        <v>4</v>
      </c>
      <c r="J505" s="1" t="str">
        <f aca="false">IF(A505="","", "SAMP-"&amp;A505&amp;"-L"&amp;TEXT(B505,"00")&amp;"-"&amp;TEXT(C505,"yyyymmdd")&amp;"-"&amp;D505&amp;"-H"&amp;TEXT(E505,"00")&amp;"-"&amp;H505)</f>
        <v>SAMP-KG01-L21-20251212-ORD-2025-00185-H16-Blister</v>
      </c>
      <c r="K505" s="1" t="str">
        <f aca="false">IF(A505="","",IF(AND(G505&gt;=0,I505&gt;=0,I505&lt;=G505),"OK","CHECK"))</f>
        <v>OK</v>
      </c>
      <c r="L505" s="1" t="str">
        <f aca="false">IF(A505="","",IF(AND(E505&gt;=0,E505&lt;=23),"OK","CHECK"))</f>
        <v>OK</v>
      </c>
      <c r="M505" s="1" t="str">
        <f aca="false">IF(A505="","",IF(AND(K505="OK",L505="OK"),"OK","CHECK"))</f>
        <v>OK</v>
      </c>
    </row>
    <row r="506" customFormat="false" ht="18" hidden="false" customHeight="true" outlineLevel="0" collapsed="false">
      <c r="A506" s="9" t="s">
        <v>26</v>
      </c>
      <c r="B506" s="9" t="n">
        <v>21</v>
      </c>
      <c r="C506" s="11" t="n">
        <v>46003</v>
      </c>
      <c r="D506" s="9" t="s">
        <v>74</v>
      </c>
      <c r="E506" s="12" t="n">
        <v>23</v>
      </c>
      <c r="F506" s="9" t="s">
        <v>31</v>
      </c>
      <c r="G506" s="13" t="n">
        <v>50</v>
      </c>
      <c r="H506" s="9" t="s">
        <v>30</v>
      </c>
      <c r="I506" s="13" t="n">
        <v>2</v>
      </c>
      <c r="J506" s="1" t="str">
        <f aca="false">IF(A506="","", "SAMP-"&amp;A506&amp;"-L"&amp;TEXT(B506,"00")&amp;"-"&amp;TEXT(C506,"yyyymmdd")&amp;"-"&amp;D506&amp;"-H"&amp;TEXT(E506,"00")&amp;"-"&amp;H506)</f>
        <v>SAMP-KG01-L21-20251212-ORD-2025-00185-H23-Overpress</v>
      </c>
      <c r="K506" s="1" t="str">
        <f aca="false">IF(A506="","",IF(AND(G506&gt;=0,I506&gt;=0,I506&lt;=G506),"OK","CHECK"))</f>
        <v>OK</v>
      </c>
      <c r="L506" s="1" t="str">
        <f aca="false">IF(A506="","",IF(AND(E506&gt;=0,E506&lt;=23),"OK","CHECK"))</f>
        <v>OK</v>
      </c>
      <c r="M506" s="1" t="str">
        <f aca="false">IF(A506="","",IF(AND(K506="OK",L506="OK"),"OK","CHECK"))</f>
        <v>OK</v>
      </c>
    </row>
    <row r="507" customFormat="false" ht="18" hidden="false" customHeight="true" outlineLevel="0" collapsed="false">
      <c r="A507" s="9" t="s">
        <v>26</v>
      </c>
      <c r="B507" s="9" t="n">
        <v>21</v>
      </c>
      <c r="C507" s="11" t="n">
        <v>46004</v>
      </c>
      <c r="D507" s="9" t="s">
        <v>74</v>
      </c>
      <c r="E507" s="12" t="n">
        <v>7</v>
      </c>
      <c r="F507" s="9" t="s">
        <v>28</v>
      </c>
      <c r="G507" s="13" t="n">
        <v>50</v>
      </c>
      <c r="H507" s="9" t="s">
        <v>37</v>
      </c>
      <c r="I507" s="13" t="n">
        <v>1</v>
      </c>
      <c r="J507" s="1" t="str">
        <f aca="false">IF(A507="","", "SAMP-"&amp;A507&amp;"-L"&amp;TEXT(B507,"00")&amp;"-"&amp;TEXT(C507,"yyyymmdd")&amp;"-"&amp;D507&amp;"-H"&amp;TEXT(E507,"00")&amp;"-"&amp;H507)</f>
        <v>SAMP-KG01-L21-20251213-ORD-2025-00185-H07-Bird Swing</v>
      </c>
      <c r="K507" s="1" t="str">
        <f aca="false">IF(A507="","",IF(AND(G507&gt;=0,I507&gt;=0,I507&lt;=G507),"OK","CHECK"))</f>
        <v>OK</v>
      </c>
      <c r="L507" s="1" t="str">
        <f aca="false">IF(A507="","",IF(AND(E507&gt;=0,E507&lt;=23),"OK","CHECK"))</f>
        <v>OK</v>
      </c>
      <c r="M507" s="1" t="str">
        <f aca="false">IF(A507="","",IF(AND(K507="OK",L507="OK"),"OK","CHECK"))</f>
        <v>OK</v>
      </c>
    </row>
    <row r="508" customFormat="false" ht="18" hidden="false" customHeight="true" outlineLevel="0" collapsed="false">
      <c r="A508" s="9" t="s">
        <v>26</v>
      </c>
      <c r="B508" s="9" t="n">
        <v>21</v>
      </c>
      <c r="C508" s="11" t="n">
        <v>46004</v>
      </c>
      <c r="D508" s="9" t="s">
        <v>74</v>
      </c>
      <c r="E508" s="12" t="n">
        <v>12</v>
      </c>
      <c r="F508" s="9" t="s">
        <v>28</v>
      </c>
      <c r="G508" s="13" t="n">
        <v>100</v>
      </c>
      <c r="H508" s="9" t="s">
        <v>36</v>
      </c>
      <c r="I508" s="13" t="n">
        <v>1</v>
      </c>
      <c r="J508" s="1" t="str">
        <f aca="false">IF(A508="","", "SAMP-"&amp;A508&amp;"-L"&amp;TEXT(B508,"00")&amp;"-"&amp;TEXT(C508,"yyyymmdd")&amp;"-"&amp;D508&amp;"-H"&amp;TEXT(E508,"00")&amp;"-"&amp;H508)</f>
        <v>SAMP-KG01-L21-20251213-ORD-2025-00185-H12-Blister</v>
      </c>
      <c r="K508" s="1" t="str">
        <f aca="false">IF(A508="","",IF(AND(G508&gt;=0,I508&gt;=0,I508&lt;=G508),"OK","CHECK"))</f>
        <v>OK</v>
      </c>
      <c r="L508" s="1" t="str">
        <f aca="false">IF(A508="","",IF(AND(E508&gt;=0,E508&lt;=23),"OK","CHECK"))</f>
        <v>OK</v>
      </c>
      <c r="M508" s="1" t="str">
        <f aca="false">IF(A508="","",IF(AND(K508="OK",L508="OK"),"OK","CHECK"))</f>
        <v>OK</v>
      </c>
    </row>
    <row r="509" customFormat="false" ht="18" hidden="false" customHeight="true" outlineLevel="0" collapsed="false">
      <c r="A509" s="9" t="s">
        <v>26</v>
      </c>
      <c r="B509" s="9" t="n">
        <v>21</v>
      </c>
      <c r="C509" s="11" t="n">
        <v>46004</v>
      </c>
      <c r="D509" s="9" t="s">
        <v>75</v>
      </c>
      <c r="E509" s="12" t="n">
        <v>20</v>
      </c>
      <c r="F509" s="9" t="s">
        <v>31</v>
      </c>
      <c r="G509" s="13" t="n">
        <v>100</v>
      </c>
      <c r="H509" s="9" t="s">
        <v>37</v>
      </c>
      <c r="I509" s="13" t="n">
        <v>2</v>
      </c>
      <c r="J509" s="1" t="str">
        <f aca="false">IF(A509="","", "SAMP-"&amp;A509&amp;"-L"&amp;TEXT(B509,"00")&amp;"-"&amp;TEXT(C509,"yyyymmdd")&amp;"-"&amp;D509&amp;"-H"&amp;TEXT(E509,"00")&amp;"-"&amp;H509)</f>
        <v>SAMP-KG01-L21-20251213-ORD-2025-00186-H20-Bird Swing</v>
      </c>
      <c r="K509" s="1" t="str">
        <f aca="false">IF(A509="","",IF(AND(G509&gt;=0,I509&gt;=0,I509&lt;=G509),"OK","CHECK"))</f>
        <v>OK</v>
      </c>
      <c r="L509" s="1" t="str">
        <f aca="false">IF(A509="","",IF(AND(E509&gt;=0,E509&lt;=23),"OK","CHECK"))</f>
        <v>OK</v>
      </c>
      <c r="M509" s="1" t="str">
        <f aca="false">IF(A509="","",IF(AND(K509="OK",L509="OK"),"OK","CHECK"))</f>
        <v>OK</v>
      </c>
    </row>
    <row r="510" customFormat="false" ht="18" hidden="false" customHeight="true" outlineLevel="0" collapsed="false">
      <c r="A510" s="9" t="s">
        <v>26</v>
      </c>
      <c r="B510" s="9" t="n">
        <v>21</v>
      </c>
      <c r="C510" s="11" t="n">
        <v>46004</v>
      </c>
      <c r="D510" s="9" t="s">
        <v>75</v>
      </c>
      <c r="E510" s="12" t="n">
        <v>16</v>
      </c>
      <c r="F510" s="9" t="s">
        <v>31</v>
      </c>
      <c r="G510" s="13" t="n">
        <v>150</v>
      </c>
      <c r="H510" s="9" t="s">
        <v>30</v>
      </c>
      <c r="I510" s="13" t="n">
        <v>3</v>
      </c>
      <c r="J510" s="1" t="str">
        <f aca="false">IF(A510="","", "SAMP-"&amp;A510&amp;"-L"&amp;TEXT(B510,"00")&amp;"-"&amp;TEXT(C510,"yyyymmdd")&amp;"-"&amp;D510&amp;"-H"&amp;TEXT(E510,"00")&amp;"-"&amp;H510)</f>
        <v>SAMP-KG01-L21-20251213-ORD-2025-00186-H16-Overpress</v>
      </c>
      <c r="K510" s="1" t="str">
        <f aca="false">IF(A510="","",IF(AND(G510&gt;=0,I510&gt;=0,I510&lt;=G510),"OK","CHECK"))</f>
        <v>OK</v>
      </c>
      <c r="L510" s="1" t="str">
        <f aca="false">IF(A510="","",IF(AND(E510&gt;=0,E510&lt;=23),"OK","CHECK"))</f>
        <v>OK</v>
      </c>
      <c r="M510" s="1" t="str">
        <f aca="false">IF(A510="","",IF(AND(K510="OK",L510="OK"),"OK","CHECK"))</f>
        <v>OK</v>
      </c>
    </row>
    <row r="511" customFormat="false" ht="18" hidden="false" customHeight="true" outlineLevel="0" collapsed="false">
      <c r="A511" s="9" t="s">
        <v>26</v>
      </c>
      <c r="B511" s="9" t="n">
        <v>21</v>
      </c>
      <c r="C511" s="11" t="n">
        <v>46004</v>
      </c>
      <c r="D511" s="9" t="s">
        <v>75</v>
      </c>
      <c r="E511" s="12" t="n">
        <v>23</v>
      </c>
      <c r="F511" s="9" t="s">
        <v>31</v>
      </c>
      <c r="G511" s="13" t="n">
        <v>100</v>
      </c>
      <c r="H511" s="9" t="s">
        <v>30</v>
      </c>
      <c r="I511" s="13" t="n">
        <v>3</v>
      </c>
      <c r="J511" s="1" t="str">
        <f aca="false">IF(A511="","", "SAMP-"&amp;A511&amp;"-L"&amp;TEXT(B511,"00")&amp;"-"&amp;TEXT(C511,"yyyymmdd")&amp;"-"&amp;D511&amp;"-H"&amp;TEXT(E511,"00")&amp;"-"&amp;H511)</f>
        <v>SAMP-KG01-L21-20251213-ORD-2025-00186-H23-Overpress</v>
      </c>
      <c r="K511" s="1" t="str">
        <f aca="false">IF(A511="","",IF(AND(G511&gt;=0,I511&gt;=0,I511&lt;=G511),"OK","CHECK"))</f>
        <v>OK</v>
      </c>
      <c r="L511" s="1" t="str">
        <f aca="false">IF(A511="","",IF(AND(E511&gt;=0,E511&lt;=23),"OK","CHECK"))</f>
        <v>OK</v>
      </c>
      <c r="M511" s="1" t="str">
        <f aca="false">IF(A511="","",IF(AND(K511="OK",L511="OK"),"OK","CHECK"))</f>
        <v>OK</v>
      </c>
    </row>
    <row r="512" customFormat="false" ht="18" hidden="false" customHeight="true" outlineLevel="0" collapsed="false">
      <c r="A512" s="9" t="s">
        <v>26</v>
      </c>
      <c r="B512" s="9" t="n">
        <v>21</v>
      </c>
      <c r="C512" s="11" t="n">
        <v>46005</v>
      </c>
      <c r="D512" s="9" t="s">
        <v>75</v>
      </c>
      <c r="E512" s="12" t="n">
        <v>12</v>
      </c>
      <c r="F512" s="9" t="s">
        <v>28</v>
      </c>
      <c r="G512" s="13" t="n">
        <v>50</v>
      </c>
      <c r="H512" s="9" t="s">
        <v>30</v>
      </c>
      <c r="I512" s="13" t="n">
        <v>1</v>
      </c>
      <c r="J512" s="1" t="str">
        <f aca="false">IF(A512="","", "SAMP-"&amp;A512&amp;"-L"&amp;TEXT(B512,"00")&amp;"-"&amp;TEXT(C512,"yyyymmdd")&amp;"-"&amp;D512&amp;"-H"&amp;TEXT(E512,"00")&amp;"-"&amp;H512)</f>
        <v>SAMP-KG01-L21-20251214-ORD-2025-00186-H12-Overpress</v>
      </c>
      <c r="K512" s="1" t="str">
        <f aca="false">IF(A512="","",IF(AND(G512&gt;=0,I512&gt;=0,I512&lt;=G512),"OK","CHECK"))</f>
        <v>OK</v>
      </c>
      <c r="L512" s="1" t="str">
        <f aca="false">IF(A512="","",IF(AND(E512&gt;=0,E512&lt;=23),"OK","CHECK"))</f>
        <v>OK</v>
      </c>
      <c r="M512" s="1" t="str">
        <f aca="false">IF(A512="","",IF(AND(K512="OK",L512="OK"),"OK","CHECK"))</f>
        <v>OK</v>
      </c>
    </row>
    <row r="513" customFormat="false" ht="18" hidden="false" customHeight="true" outlineLevel="0" collapsed="false">
      <c r="A513" s="9" t="s">
        <v>26</v>
      </c>
      <c r="B513" s="9" t="n">
        <v>21</v>
      </c>
      <c r="C513" s="11" t="n">
        <v>46005</v>
      </c>
      <c r="D513" s="9" t="s">
        <v>75</v>
      </c>
      <c r="E513" s="12" t="n">
        <v>9</v>
      </c>
      <c r="F513" s="9" t="s">
        <v>28</v>
      </c>
      <c r="G513" s="13" t="n">
        <v>150</v>
      </c>
      <c r="H513" s="9" t="s">
        <v>29</v>
      </c>
      <c r="I513" s="13" t="n">
        <v>4</v>
      </c>
      <c r="J513" s="1" t="str">
        <f aca="false">IF(A513="","", "SAMP-"&amp;A513&amp;"-L"&amp;TEXT(B513,"00")&amp;"-"&amp;TEXT(C513,"yyyymmdd")&amp;"-"&amp;D513&amp;"-H"&amp;TEXT(E513,"00")&amp;"-"&amp;H513)</f>
        <v>SAMP-KG01-L21-20251214-ORD-2025-00186-H09-Choke Neck</v>
      </c>
      <c r="K513" s="1" t="str">
        <f aca="false">IF(A513="","",IF(AND(G513&gt;=0,I513&gt;=0,I513&lt;=G513),"OK","CHECK"))</f>
        <v>OK</v>
      </c>
      <c r="L513" s="1" t="str">
        <f aca="false">IF(A513="","",IF(AND(E513&gt;=0,E513&lt;=23),"OK","CHECK"))</f>
        <v>OK</v>
      </c>
      <c r="M513" s="1" t="str">
        <f aca="false">IF(A513="","",IF(AND(K513="OK",L513="OK"),"OK","CHECK"))</f>
        <v>OK</v>
      </c>
    </row>
    <row r="514" customFormat="false" ht="18" hidden="false" customHeight="true" outlineLevel="0" collapsed="false">
      <c r="A514" s="9" t="s">
        <v>26</v>
      </c>
      <c r="B514" s="9" t="n">
        <v>21</v>
      </c>
      <c r="C514" s="11" t="n">
        <v>46005</v>
      </c>
      <c r="D514" s="9" t="s">
        <v>75</v>
      </c>
      <c r="E514" s="12" t="n">
        <v>7</v>
      </c>
      <c r="F514" s="9" t="s">
        <v>28</v>
      </c>
      <c r="G514" s="13" t="n">
        <v>50</v>
      </c>
      <c r="H514" s="9" t="s">
        <v>29</v>
      </c>
      <c r="I514" s="13" t="n">
        <v>1</v>
      </c>
      <c r="J514" s="1" t="str">
        <f aca="false">IF(A514="","", "SAMP-"&amp;A514&amp;"-L"&amp;TEXT(B514,"00")&amp;"-"&amp;TEXT(C514,"yyyymmdd")&amp;"-"&amp;D514&amp;"-H"&amp;TEXT(E514,"00")&amp;"-"&amp;H514)</f>
        <v>SAMP-KG01-L21-20251214-ORD-2025-00186-H07-Choke Neck</v>
      </c>
      <c r="K514" s="1" t="str">
        <f aca="false">IF(A514="","",IF(AND(G514&gt;=0,I514&gt;=0,I514&lt;=G514),"OK","CHECK"))</f>
        <v>OK</v>
      </c>
      <c r="L514" s="1" t="str">
        <f aca="false">IF(A514="","",IF(AND(E514&gt;=0,E514&lt;=23),"OK","CHECK"))</f>
        <v>OK</v>
      </c>
      <c r="M514" s="1" t="str">
        <f aca="false">IF(A514="","",IF(AND(K514="OK",L514="OK"),"OK","CHECK"))</f>
        <v>OK</v>
      </c>
    </row>
    <row r="515" customFormat="false" ht="18" hidden="false" customHeight="true" outlineLevel="0" collapsed="false">
      <c r="A515" s="9" t="s">
        <v>26</v>
      </c>
      <c r="B515" s="9" t="n">
        <v>21</v>
      </c>
      <c r="C515" s="11" t="n">
        <v>46005</v>
      </c>
      <c r="D515" s="9" t="s">
        <v>75</v>
      </c>
      <c r="E515" s="12" t="n">
        <v>16</v>
      </c>
      <c r="F515" s="9" t="s">
        <v>31</v>
      </c>
      <c r="G515" s="13" t="n">
        <v>50</v>
      </c>
      <c r="H515" s="9" t="s">
        <v>35</v>
      </c>
      <c r="I515" s="13" t="n">
        <v>1</v>
      </c>
      <c r="J515" s="1" t="str">
        <f aca="false">IF(A515="","", "SAMP-"&amp;A515&amp;"-L"&amp;TEXT(B515,"00")&amp;"-"&amp;TEXT(C515,"yyyymmdd")&amp;"-"&amp;D515&amp;"-H"&amp;TEXT(E515,"00")&amp;"-"&amp;H515)</f>
        <v>SAMP-KG01-L21-20251214-ORD-2025-00186-H16-Stone</v>
      </c>
      <c r="K515" s="1" t="str">
        <f aca="false">IF(A515="","",IF(AND(G515&gt;=0,I515&gt;=0,I515&lt;=G515),"OK","CHECK"))</f>
        <v>OK</v>
      </c>
      <c r="L515" s="1" t="str">
        <f aca="false">IF(A515="","",IF(AND(E515&gt;=0,E515&lt;=23),"OK","CHECK"))</f>
        <v>OK</v>
      </c>
      <c r="M515" s="1" t="str">
        <f aca="false">IF(A515="","",IF(AND(K515="OK",L515="OK"),"OK","CHECK"))</f>
        <v>OK</v>
      </c>
    </row>
    <row r="516" customFormat="false" ht="18" hidden="false" customHeight="true" outlineLevel="0" collapsed="false">
      <c r="A516" s="9" t="s">
        <v>26</v>
      </c>
      <c r="B516" s="9" t="n">
        <v>21</v>
      </c>
      <c r="C516" s="11" t="n">
        <v>46005</v>
      </c>
      <c r="D516" s="9" t="s">
        <v>75</v>
      </c>
      <c r="E516" s="12" t="n">
        <v>23</v>
      </c>
      <c r="F516" s="9" t="s">
        <v>31</v>
      </c>
      <c r="G516" s="13" t="n">
        <v>100</v>
      </c>
      <c r="H516" s="9" t="s">
        <v>36</v>
      </c>
      <c r="I516" s="13" t="n">
        <v>4</v>
      </c>
      <c r="J516" s="1" t="str">
        <f aca="false">IF(A516="","", "SAMP-"&amp;A516&amp;"-L"&amp;TEXT(B516,"00")&amp;"-"&amp;TEXT(C516,"yyyymmdd")&amp;"-"&amp;D516&amp;"-H"&amp;TEXT(E516,"00")&amp;"-"&amp;H516)</f>
        <v>SAMP-KG01-L21-20251214-ORD-2025-00186-H23-Blister</v>
      </c>
      <c r="K516" s="1" t="str">
        <f aca="false">IF(A516="","",IF(AND(G516&gt;=0,I516&gt;=0,I516&lt;=G516),"OK","CHECK"))</f>
        <v>OK</v>
      </c>
      <c r="L516" s="1" t="str">
        <f aca="false">IF(A516="","",IF(AND(E516&gt;=0,E516&lt;=23),"OK","CHECK"))</f>
        <v>OK</v>
      </c>
      <c r="M516" s="1" t="str">
        <f aca="false">IF(A516="","",IF(AND(K516="OK",L516="OK"),"OK","CHECK"))</f>
        <v>OK</v>
      </c>
    </row>
    <row r="517" customFormat="false" ht="18" hidden="false" customHeight="true" outlineLevel="0" collapsed="false">
      <c r="A517" s="9" t="s">
        <v>26</v>
      </c>
      <c r="B517" s="9" t="n">
        <v>21</v>
      </c>
      <c r="C517" s="11" t="n">
        <v>46006</v>
      </c>
      <c r="D517" s="9" t="s">
        <v>75</v>
      </c>
      <c r="E517" s="12" t="n">
        <v>7</v>
      </c>
      <c r="F517" s="9" t="s">
        <v>28</v>
      </c>
      <c r="G517" s="13" t="n">
        <v>50</v>
      </c>
      <c r="H517" s="9" t="s">
        <v>37</v>
      </c>
      <c r="I517" s="13" t="n">
        <v>1</v>
      </c>
      <c r="J517" s="1" t="str">
        <f aca="false">IF(A517="","", "SAMP-"&amp;A517&amp;"-L"&amp;TEXT(B517,"00")&amp;"-"&amp;TEXT(C517,"yyyymmdd")&amp;"-"&amp;D517&amp;"-H"&amp;TEXT(E517,"00")&amp;"-"&amp;H517)</f>
        <v>SAMP-KG01-L21-20251215-ORD-2025-00186-H07-Bird Swing</v>
      </c>
      <c r="K517" s="1" t="str">
        <f aca="false">IF(A517="","",IF(AND(G517&gt;=0,I517&gt;=0,I517&lt;=G517),"OK","CHECK"))</f>
        <v>OK</v>
      </c>
      <c r="L517" s="1" t="str">
        <f aca="false">IF(A517="","",IF(AND(E517&gt;=0,E517&lt;=23),"OK","CHECK"))</f>
        <v>OK</v>
      </c>
      <c r="M517" s="1" t="str">
        <f aca="false">IF(A517="","",IF(AND(K517="OK",L517="OK"),"OK","CHECK"))</f>
        <v>OK</v>
      </c>
    </row>
    <row r="518" customFormat="false" ht="18" hidden="false" customHeight="true" outlineLevel="0" collapsed="false">
      <c r="A518" s="9" t="s">
        <v>26</v>
      </c>
      <c r="B518" s="9" t="n">
        <v>21</v>
      </c>
      <c r="C518" s="11" t="n">
        <v>46006</v>
      </c>
      <c r="D518" s="9" t="s">
        <v>75</v>
      </c>
      <c r="E518" s="12" t="n">
        <v>12</v>
      </c>
      <c r="F518" s="9" t="s">
        <v>28</v>
      </c>
      <c r="G518" s="13" t="n">
        <v>150</v>
      </c>
      <c r="H518" s="9" t="s">
        <v>29</v>
      </c>
      <c r="I518" s="13" t="n">
        <v>1</v>
      </c>
      <c r="J518" s="1" t="str">
        <f aca="false">IF(A518="","", "SAMP-"&amp;A518&amp;"-L"&amp;TEXT(B518,"00")&amp;"-"&amp;TEXT(C518,"yyyymmdd")&amp;"-"&amp;D518&amp;"-H"&amp;TEXT(E518,"00")&amp;"-"&amp;H518)</f>
        <v>SAMP-KG01-L21-20251215-ORD-2025-00186-H12-Choke Neck</v>
      </c>
      <c r="K518" s="1" t="str">
        <f aca="false">IF(A518="","",IF(AND(G518&gt;=0,I518&gt;=0,I518&lt;=G518),"OK","CHECK"))</f>
        <v>OK</v>
      </c>
      <c r="L518" s="1" t="str">
        <f aca="false">IF(A518="","",IF(AND(E518&gt;=0,E518&lt;=23),"OK","CHECK"))</f>
        <v>OK</v>
      </c>
      <c r="M518" s="1" t="str">
        <f aca="false">IF(A518="","",IF(AND(K518="OK",L518="OK"),"OK","CHECK"))</f>
        <v>OK</v>
      </c>
    </row>
    <row r="519" customFormat="false" ht="18" hidden="false" customHeight="true" outlineLevel="0" collapsed="false">
      <c r="A519" s="9" t="s">
        <v>26</v>
      </c>
      <c r="B519" s="9" t="n">
        <v>21</v>
      </c>
      <c r="C519" s="11" t="n">
        <v>46006</v>
      </c>
      <c r="D519" s="9" t="s">
        <v>75</v>
      </c>
      <c r="E519" s="12" t="n">
        <v>9</v>
      </c>
      <c r="F519" s="9" t="s">
        <v>28</v>
      </c>
      <c r="G519" s="13" t="n">
        <v>150</v>
      </c>
      <c r="H519" s="9" t="s">
        <v>29</v>
      </c>
      <c r="I519" s="13" t="n">
        <v>0</v>
      </c>
      <c r="J519" s="1" t="str">
        <f aca="false">IF(A519="","", "SAMP-"&amp;A519&amp;"-L"&amp;TEXT(B519,"00")&amp;"-"&amp;TEXT(C519,"yyyymmdd")&amp;"-"&amp;D519&amp;"-H"&amp;TEXT(E519,"00")&amp;"-"&amp;H519)</f>
        <v>SAMP-KG01-L21-20251215-ORD-2025-00186-H09-Choke Neck</v>
      </c>
      <c r="K519" s="1" t="str">
        <f aca="false">IF(A519="","",IF(AND(G519&gt;=0,I519&gt;=0,I519&lt;=G519),"OK","CHECK"))</f>
        <v>OK</v>
      </c>
      <c r="L519" s="1" t="str">
        <f aca="false">IF(A519="","",IF(AND(E519&gt;=0,E519&lt;=23),"OK","CHECK"))</f>
        <v>OK</v>
      </c>
      <c r="M519" s="1" t="str">
        <f aca="false">IF(A519="","",IF(AND(K519="OK",L519="OK"),"OK","CHECK"))</f>
        <v>OK</v>
      </c>
    </row>
    <row r="520" customFormat="false" ht="18" hidden="false" customHeight="true" outlineLevel="0" collapsed="false">
      <c r="A520" s="9" t="s">
        <v>26</v>
      </c>
      <c r="B520" s="9" t="n">
        <v>21</v>
      </c>
      <c r="C520" s="11" t="n">
        <v>46006</v>
      </c>
      <c r="D520" s="9" t="s">
        <v>76</v>
      </c>
      <c r="E520" s="12" t="n">
        <v>20</v>
      </c>
      <c r="F520" s="9" t="s">
        <v>31</v>
      </c>
      <c r="G520" s="13" t="n">
        <v>200</v>
      </c>
      <c r="H520" s="9" t="s">
        <v>35</v>
      </c>
      <c r="I520" s="13" t="n">
        <v>5</v>
      </c>
      <c r="J520" s="1" t="str">
        <f aca="false">IF(A520="","", "SAMP-"&amp;A520&amp;"-L"&amp;TEXT(B520,"00")&amp;"-"&amp;TEXT(C520,"yyyymmdd")&amp;"-"&amp;D520&amp;"-H"&amp;TEXT(E520,"00")&amp;"-"&amp;H520)</f>
        <v>SAMP-KG01-L21-20251215-ORD-2025-00187-H20-Stone</v>
      </c>
      <c r="K520" s="1" t="str">
        <f aca="false">IF(A520="","",IF(AND(G520&gt;=0,I520&gt;=0,I520&lt;=G520),"OK","CHECK"))</f>
        <v>OK</v>
      </c>
      <c r="L520" s="1" t="str">
        <f aca="false">IF(A520="","",IF(AND(E520&gt;=0,E520&lt;=23),"OK","CHECK"))</f>
        <v>OK</v>
      </c>
      <c r="M520" s="1" t="str">
        <f aca="false">IF(A520="","",IF(AND(K520="OK",L520="OK"),"OK","CHECK"))</f>
        <v>OK</v>
      </c>
    </row>
    <row r="521" customFormat="false" ht="18" hidden="false" customHeight="true" outlineLevel="0" collapsed="false">
      <c r="A521" s="9" t="s">
        <v>26</v>
      </c>
      <c r="B521" s="9" t="n">
        <v>21</v>
      </c>
      <c r="C521" s="11" t="n">
        <v>46006</v>
      </c>
      <c r="D521" s="9" t="s">
        <v>76</v>
      </c>
      <c r="E521" s="12" t="n">
        <v>23</v>
      </c>
      <c r="F521" s="9" t="s">
        <v>31</v>
      </c>
      <c r="G521" s="13" t="n">
        <v>50</v>
      </c>
      <c r="H521" s="9" t="s">
        <v>29</v>
      </c>
      <c r="I521" s="13" t="n">
        <v>1</v>
      </c>
      <c r="J521" s="1" t="str">
        <f aca="false">IF(A521="","", "SAMP-"&amp;A521&amp;"-L"&amp;TEXT(B521,"00")&amp;"-"&amp;TEXT(C521,"yyyymmdd")&amp;"-"&amp;D521&amp;"-H"&amp;TEXT(E521,"00")&amp;"-"&amp;H521)</f>
        <v>SAMP-KG01-L21-20251215-ORD-2025-00187-H23-Choke Neck</v>
      </c>
      <c r="K521" s="1" t="str">
        <f aca="false">IF(A521="","",IF(AND(G521&gt;=0,I521&gt;=0,I521&lt;=G521),"OK","CHECK"))</f>
        <v>OK</v>
      </c>
      <c r="L521" s="1" t="str">
        <f aca="false">IF(A521="","",IF(AND(E521&gt;=0,E521&lt;=23),"OK","CHECK"))</f>
        <v>OK</v>
      </c>
      <c r="M521" s="1" t="str">
        <f aca="false">IF(A521="","",IF(AND(K521="OK",L521="OK"),"OK","CHECK"))</f>
        <v>OK</v>
      </c>
    </row>
    <row r="522" customFormat="false" ht="18" hidden="false" customHeight="true" outlineLevel="0" collapsed="false">
      <c r="A522" s="9" t="s">
        <v>26</v>
      </c>
      <c r="B522" s="9" t="n">
        <v>21</v>
      </c>
      <c r="C522" s="11" t="n">
        <v>46006</v>
      </c>
      <c r="D522" s="9" t="s">
        <v>76</v>
      </c>
      <c r="E522" s="12" t="n">
        <v>16</v>
      </c>
      <c r="F522" s="9" t="s">
        <v>31</v>
      </c>
      <c r="G522" s="13" t="n">
        <v>150</v>
      </c>
      <c r="H522" s="9" t="s">
        <v>35</v>
      </c>
      <c r="I522" s="13" t="n">
        <v>2</v>
      </c>
      <c r="J522" s="1" t="str">
        <f aca="false">IF(A522="","", "SAMP-"&amp;A522&amp;"-L"&amp;TEXT(B522,"00")&amp;"-"&amp;TEXT(C522,"yyyymmdd")&amp;"-"&amp;D522&amp;"-H"&amp;TEXT(E522,"00")&amp;"-"&amp;H522)</f>
        <v>SAMP-KG01-L21-20251215-ORD-2025-00187-H16-Stone</v>
      </c>
      <c r="K522" s="1" t="str">
        <f aca="false">IF(A522="","",IF(AND(G522&gt;=0,I522&gt;=0,I522&lt;=G522),"OK","CHECK"))</f>
        <v>OK</v>
      </c>
      <c r="L522" s="1" t="str">
        <f aca="false">IF(A522="","",IF(AND(E522&gt;=0,E522&lt;=23),"OK","CHECK"))</f>
        <v>OK</v>
      </c>
      <c r="M522" s="1" t="str">
        <f aca="false">IF(A522="","",IF(AND(K522="OK",L522="OK"),"OK","CHECK"))</f>
        <v>OK</v>
      </c>
    </row>
    <row r="523" customFormat="false" ht="18" hidden="false" customHeight="true" outlineLevel="0" collapsed="false">
      <c r="A523" s="9" t="s">
        <v>26</v>
      </c>
      <c r="B523" s="9" t="n">
        <v>21</v>
      </c>
      <c r="C523" s="11" t="n">
        <v>46007</v>
      </c>
      <c r="D523" s="9" t="s">
        <v>76</v>
      </c>
      <c r="E523" s="12" t="n">
        <v>9</v>
      </c>
      <c r="F523" s="9" t="s">
        <v>28</v>
      </c>
      <c r="G523" s="13" t="n">
        <v>50</v>
      </c>
      <c r="H523" s="9" t="s">
        <v>30</v>
      </c>
      <c r="I523" s="13" t="n">
        <v>1</v>
      </c>
      <c r="J523" s="1" t="str">
        <f aca="false">IF(A523="","", "SAMP-"&amp;A523&amp;"-L"&amp;TEXT(B523,"00")&amp;"-"&amp;TEXT(C523,"yyyymmdd")&amp;"-"&amp;D523&amp;"-H"&amp;TEXT(E523,"00")&amp;"-"&amp;H523)</f>
        <v>SAMP-KG01-L21-20251216-ORD-2025-00187-H09-Overpress</v>
      </c>
      <c r="K523" s="1" t="str">
        <f aca="false">IF(A523="","",IF(AND(G523&gt;=0,I523&gt;=0,I523&lt;=G523),"OK","CHECK"))</f>
        <v>OK</v>
      </c>
      <c r="L523" s="1" t="str">
        <f aca="false">IF(A523="","",IF(AND(E523&gt;=0,E523&lt;=23),"OK","CHECK"))</f>
        <v>OK</v>
      </c>
      <c r="M523" s="1" t="str">
        <f aca="false">IF(A523="","",IF(AND(K523="OK",L523="OK"),"OK","CHECK"))</f>
        <v>OK</v>
      </c>
    </row>
    <row r="524" customFormat="false" ht="18" hidden="false" customHeight="true" outlineLevel="0" collapsed="false">
      <c r="A524" s="9" t="s">
        <v>26</v>
      </c>
      <c r="B524" s="9" t="n">
        <v>21</v>
      </c>
      <c r="C524" s="11" t="n">
        <v>46007</v>
      </c>
      <c r="D524" s="9" t="s">
        <v>76</v>
      </c>
      <c r="E524" s="12" t="n">
        <v>7</v>
      </c>
      <c r="F524" s="9" t="s">
        <v>28</v>
      </c>
      <c r="G524" s="13" t="n">
        <v>100</v>
      </c>
      <c r="H524" s="9" t="s">
        <v>29</v>
      </c>
      <c r="I524" s="13" t="n">
        <v>4</v>
      </c>
      <c r="J524" s="1" t="str">
        <f aca="false">IF(A524="","", "SAMP-"&amp;A524&amp;"-L"&amp;TEXT(B524,"00")&amp;"-"&amp;TEXT(C524,"yyyymmdd")&amp;"-"&amp;D524&amp;"-H"&amp;TEXT(E524,"00")&amp;"-"&amp;H524)</f>
        <v>SAMP-KG01-L21-20251216-ORD-2025-00187-H07-Choke Neck</v>
      </c>
      <c r="K524" s="1" t="str">
        <f aca="false">IF(A524="","",IF(AND(G524&gt;=0,I524&gt;=0,I524&lt;=G524),"OK","CHECK"))</f>
        <v>OK</v>
      </c>
      <c r="L524" s="1" t="str">
        <f aca="false">IF(A524="","",IF(AND(E524&gt;=0,E524&lt;=23),"OK","CHECK"))</f>
        <v>OK</v>
      </c>
      <c r="M524" s="1" t="str">
        <f aca="false">IF(A524="","",IF(AND(K524="OK",L524="OK"),"OK","CHECK"))</f>
        <v>OK</v>
      </c>
    </row>
    <row r="525" customFormat="false" ht="18" hidden="false" customHeight="true" outlineLevel="0" collapsed="false">
      <c r="A525" s="9" t="s">
        <v>26</v>
      </c>
      <c r="B525" s="9" t="n">
        <v>21</v>
      </c>
      <c r="C525" s="11" t="n">
        <v>46007</v>
      </c>
      <c r="D525" s="9" t="s">
        <v>76</v>
      </c>
      <c r="E525" s="12" t="n">
        <v>12</v>
      </c>
      <c r="F525" s="9" t="s">
        <v>28</v>
      </c>
      <c r="G525" s="13" t="n">
        <v>200</v>
      </c>
      <c r="H525" s="9" t="s">
        <v>33</v>
      </c>
      <c r="I525" s="13" t="n">
        <v>2</v>
      </c>
      <c r="J525" s="1" t="str">
        <f aca="false">IF(A525="","", "SAMP-"&amp;A525&amp;"-L"&amp;TEXT(B525,"00")&amp;"-"&amp;TEXT(C525,"yyyymmdd")&amp;"-"&amp;D525&amp;"-H"&amp;TEXT(E525,"00")&amp;"-"&amp;H525)</f>
        <v>SAMP-KG01-L21-20251216-ORD-2025-00187-H12-Distortion</v>
      </c>
      <c r="K525" s="1" t="str">
        <f aca="false">IF(A525="","",IF(AND(G525&gt;=0,I525&gt;=0,I525&lt;=G525),"OK","CHECK"))</f>
        <v>OK</v>
      </c>
      <c r="L525" s="1" t="str">
        <f aca="false">IF(A525="","",IF(AND(E525&gt;=0,E525&lt;=23),"OK","CHECK"))</f>
        <v>OK</v>
      </c>
      <c r="M525" s="1" t="str">
        <f aca="false">IF(A525="","",IF(AND(K525="OK",L525="OK"),"OK","CHECK"))</f>
        <v>OK</v>
      </c>
    </row>
    <row r="526" customFormat="false" ht="18" hidden="false" customHeight="true" outlineLevel="0" collapsed="false">
      <c r="A526" s="9" t="s">
        <v>26</v>
      </c>
      <c r="B526" s="9" t="n">
        <v>21</v>
      </c>
      <c r="C526" s="11" t="n">
        <v>46007</v>
      </c>
      <c r="D526" s="9" t="s">
        <v>76</v>
      </c>
      <c r="E526" s="12" t="n">
        <v>23</v>
      </c>
      <c r="F526" s="9" t="s">
        <v>31</v>
      </c>
      <c r="G526" s="13" t="n">
        <v>200</v>
      </c>
      <c r="H526" s="9" t="s">
        <v>35</v>
      </c>
      <c r="I526" s="13" t="n">
        <v>7</v>
      </c>
      <c r="J526" s="1" t="str">
        <f aca="false">IF(A526="","", "SAMP-"&amp;A526&amp;"-L"&amp;TEXT(B526,"00")&amp;"-"&amp;TEXT(C526,"yyyymmdd")&amp;"-"&amp;D526&amp;"-H"&amp;TEXT(E526,"00")&amp;"-"&amp;H526)</f>
        <v>SAMP-KG01-L21-20251216-ORD-2025-00187-H23-Stone</v>
      </c>
      <c r="K526" s="1" t="str">
        <f aca="false">IF(A526="","",IF(AND(G526&gt;=0,I526&gt;=0,I526&lt;=G526),"OK","CHECK"))</f>
        <v>OK</v>
      </c>
      <c r="L526" s="1" t="str">
        <f aca="false">IF(A526="","",IF(AND(E526&gt;=0,E526&lt;=23),"OK","CHECK"))</f>
        <v>OK</v>
      </c>
      <c r="M526" s="1" t="str">
        <f aca="false">IF(A526="","",IF(AND(K526="OK",L526="OK"),"OK","CHECK"))</f>
        <v>OK</v>
      </c>
    </row>
    <row r="527" customFormat="false" ht="18" hidden="false" customHeight="true" outlineLevel="0" collapsed="false">
      <c r="A527" s="9" t="s">
        <v>26</v>
      </c>
      <c r="B527" s="9" t="n">
        <v>21</v>
      </c>
      <c r="C527" s="11" t="n">
        <v>46007</v>
      </c>
      <c r="D527" s="9" t="s">
        <v>76</v>
      </c>
      <c r="E527" s="12" t="n">
        <v>20</v>
      </c>
      <c r="F527" s="9" t="s">
        <v>31</v>
      </c>
      <c r="G527" s="13" t="n">
        <v>150</v>
      </c>
      <c r="H527" s="9" t="s">
        <v>41</v>
      </c>
      <c r="I527" s="13" t="n">
        <v>2</v>
      </c>
      <c r="J527" s="1" t="str">
        <f aca="false">IF(A527="","", "SAMP-"&amp;A527&amp;"-L"&amp;TEXT(B527,"00")&amp;"-"&amp;TEXT(C527,"yyyymmdd")&amp;"-"&amp;D527&amp;"-H"&amp;TEXT(E527,"00")&amp;"-"&amp;H527)</f>
        <v>SAMP-KG01-L21-20251216-ORD-2025-00187-H20-Chip</v>
      </c>
      <c r="K527" s="1" t="str">
        <f aca="false">IF(A527="","",IF(AND(G527&gt;=0,I527&gt;=0,I527&lt;=G527),"OK","CHECK"))</f>
        <v>OK</v>
      </c>
      <c r="L527" s="1" t="str">
        <f aca="false">IF(A527="","",IF(AND(E527&gt;=0,E527&lt;=23),"OK","CHECK"))</f>
        <v>OK</v>
      </c>
      <c r="M527" s="1" t="str">
        <f aca="false">IF(A527="","",IF(AND(K527="OK",L527="OK"),"OK","CHECK"))</f>
        <v>OK</v>
      </c>
    </row>
    <row r="528" customFormat="false" ht="18" hidden="false" customHeight="true" outlineLevel="0" collapsed="false">
      <c r="A528" s="9" t="s">
        <v>26</v>
      </c>
      <c r="B528" s="9" t="n">
        <v>21</v>
      </c>
      <c r="C528" s="11" t="n">
        <v>46007</v>
      </c>
      <c r="D528" s="9" t="s">
        <v>76</v>
      </c>
      <c r="E528" s="12" t="n">
        <v>16</v>
      </c>
      <c r="F528" s="9" t="s">
        <v>31</v>
      </c>
      <c r="G528" s="13" t="n">
        <v>200</v>
      </c>
      <c r="H528" s="9" t="s">
        <v>36</v>
      </c>
      <c r="I528" s="13" t="n">
        <v>5</v>
      </c>
      <c r="J528" s="1" t="str">
        <f aca="false">IF(A528="","", "SAMP-"&amp;A528&amp;"-L"&amp;TEXT(B528,"00")&amp;"-"&amp;TEXT(C528,"yyyymmdd")&amp;"-"&amp;D528&amp;"-H"&amp;TEXT(E528,"00")&amp;"-"&amp;H528)</f>
        <v>SAMP-KG01-L21-20251216-ORD-2025-00187-H16-Blister</v>
      </c>
      <c r="K528" s="1" t="str">
        <f aca="false">IF(A528="","",IF(AND(G528&gt;=0,I528&gt;=0,I528&lt;=G528),"OK","CHECK"))</f>
        <v>OK</v>
      </c>
      <c r="L528" s="1" t="str">
        <f aca="false">IF(A528="","",IF(AND(E528&gt;=0,E528&lt;=23),"OK","CHECK"))</f>
        <v>OK</v>
      </c>
      <c r="M528" s="1" t="str">
        <f aca="false">IF(A528="","",IF(AND(K528="OK",L528="OK"),"OK","CHECK"))</f>
        <v>OK</v>
      </c>
    </row>
    <row r="529" customFormat="false" ht="18" hidden="false" customHeight="true" outlineLevel="0" collapsed="false">
      <c r="A529" s="9" t="s">
        <v>26</v>
      </c>
      <c r="B529" s="9" t="n">
        <v>21</v>
      </c>
      <c r="C529" s="11" t="n">
        <v>46008</v>
      </c>
      <c r="D529" s="9" t="s">
        <v>76</v>
      </c>
      <c r="E529" s="12" t="n">
        <v>12</v>
      </c>
      <c r="F529" s="9" t="s">
        <v>28</v>
      </c>
      <c r="G529" s="13" t="n">
        <v>200</v>
      </c>
      <c r="H529" s="9" t="s">
        <v>36</v>
      </c>
      <c r="I529" s="13" t="n">
        <v>8</v>
      </c>
      <c r="J529" s="1" t="str">
        <f aca="false">IF(A529="","", "SAMP-"&amp;A529&amp;"-L"&amp;TEXT(B529,"00")&amp;"-"&amp;TEXT(C529,"yyyymmdd")&amp;"-"&amp;D529&amp;"-H"&amp;TEXT(E529,"00")&amp;"-"&amp;H529)</f>
        <v>SAMP-KG01-L21-20251217-ORD-2025-00187-H12-Blister</v>
      </c>
      <c r="K529" s="1" t="str">
        <f aca="false">IF(A529="","",IF(AND(G529&gt;=0,I529&gt;=0,I529&lt;=G529),"OK","CHECK"))</f>
        <v>OK</v>
      </c>
      <c r="L529" s="1" t="str">
        <f aca="false">IF(A529="","",IF(AND(E529&gt;=0,E529&lt;=23),"OK","CHECK"))</f>
        <v>OK</v>
      </c>
      <c r="M529" s="1" t="str">
        <f aca="false">IF(A529="","",IF(AND(K529="OK",L529="OK"),"OK","CHECK"))</f>
        <v>OK</v>
      </c>
    </row>
    <row r="530" customFormat="false" ht="18" hidden="false" customHeight="true" outlineLevel="0" collapsed="false">
      <c r="A530" s="9" t="s">
        <v>26</v>
      </c>
      <c r="B530" s="9" t="n">
        <v>21</v>
      </c>
      <c r="C530" s="11" t="n">
        <v>46008</v>
      </c>
      <c r="D530" s="9" t="s">
        <v>76</v>
      </c>
      <c r="E530" s="12" t="n">
        <v>7</v>
      </c>
      <c r="F530" s="9" t="s">
        <v>28</v>
      </c>
      <c r="G530" s="13" t="n">
        <v>100</v>
      </c>
      <c r="H530" s="9" t="s">
        <v>41</v>
      </c>
      <c r="I530" s="13" t="n">
        <v>2</v>
      </c>
      <c r="J530" s="1" t="str">
        <f aca="false">IF(A530="","", "SAMP-"&amp;A530&amp;"-L"&amp;TEXT(B530,"00")&amp;"-"&amp;TEXT(C530,"yyyymmdd")&amp;"-"&amp;D530&amp;"-H"&amp;TEXT(E530,"00")&amp;"-"&amp;H530)</f>
        <v>SAMP-KG01-L21-20251217-ORD-2025-00187-H07-Chip</v>
      </c>
      <c r="K530" s="1" t="str">
        <f aca="false">IF(A530="","",IF(AND(G530&gt;=0,I530&gt;=0,I530&lt;=G530),"OK","CHECK"))</f>
        <v>OK</v>
      </c>
      <c r="L530" s="1" t="str">
        <f aca="false">IF(A530="","",IF(AND(E530&gt;=0,E530&lt;=23),"OK","CHECK"))</f>
        <v>OK</v>
      </c>
      <c r="M530" s="1" t="str">
        <f aca="false">IF(A530="","",IF(AND(K530="OK",L530="OK"),"OK","CHECK"))</f>
        <v>OK</v>
      </c>
    </row>
    <row r="531" customFormat="false" ht="18" hidden="false" customHeight="true" outlineLevel="0" collapsed="false">
      <c r="A531" s="9" t="s">
        <v>26</v>
      </c>
      <c r="B531" s="9" t="n">
        <v>21</v>
      </c>
      <c r="C531" s="11" t="n">
        <v>46008</v>
      </c>
      <c r="D531" s="9" t="s">
        <v>77</v>
      </c>
      <c r="E531" s="12" t="n">
        <v>16</v>
      </c>
      <c r="F531" s="9" t="s">
        <v>31</v>
      </c>
      <c r="G531" s="13" t="n">
        <v>100</v>
      </c>
      <c r="H531" s="9" t="s">
        <v>35</v>
      </c>
      <c r="I531" s="13" t="n">
        <v>2</v>
      </c>
      <c r="J531" s="1" t="str">
        <f aca="false">IF(A531="","", "SAMP-"&amp;A531&amp;"-L"&amp;TEXT(B531,"00")&amp;"-"&amp;TEXT(C531,"yyyymmdd")&amp;"-"&amp;D531&amp;"-H"&amp;TEXT(E531,"00")&amp;"-"&amp;H531)</f>
        <v>SAMP-KG01-L21-20251217-ORD-2025-00188-H16-Stone</v>
      </c>
      <c r="K531" s="1" t="str">
        <f aca="false">IF(A531="","",IF(AND(G531&gt;=0,I531&gt;=0,I531&lt;=G531),"OK","CHECK"))</f>
        <v>OK</v>
      </c>
      <c r="L531" s="1" t="str">
        <f aca="false">IF(A531="","",IF(AND(E531&gt;=0,E531&lt;=23),"OK","CHECK"))</f>
        <v>OK</v>
      </c>
      <c r="M531" s="1" t="str">
        <f aca="false">IF(A531="","",IF(AND(K531="OK",L531="OK"),"OK","CHECK"))</f>
        <v>OK</v>
      </c>
    </row>
    <row r="532" customFormat="false" ht="18" hidden="false" customHeight="true" outlineLevel="0" collapsed="false">
      <c r="A532" s="9" t="s">
        <v>26</v>
      </c>
      <c r="B532" s="9" t="n">
        <v>21</v>
      </c>
      <c r="C532" s="11" t="n">
        <v>46008</v>
      </c>
      <c r="D532" s="9" t="s">
        <v>77</v>
      </c>
      <c r="E532" s="12" t="n">
        <v>20</v>
      </c>
      <c r="F532" s="9" t="s">
        <v>31</v>
      </c>
      <c r="G532" s="13" t="n">
        <v>100</v>
      </c>
      <c r="H532" s="9" t="s">
        <v>41</v>
      </c>
      <c r="I532" s="13" t="n">
        <v>2</v>
      </c>
      <c r="J532" s="1" t="str">
        <f aca="false">IF(A532="","", "SAMP-"&amp;A532&amp;"-L"&amp;TEXT(B532,"00")&amp;"-"&amp;TEXT(C532,"yyyymmdd")&amp;"-"&amp;D532&amp;"-H"&amp;TEXT(E532,"00")&amp;"-"&amp;H532)</f>
        <v>SAMP-KG01-L21-20251217-ORD-2025-00188-H20-Chip</v>
      </c>
      <c r="K532" s="1" t="str">
        <f aca="false">IF(A532="","",IF(AND(G532&gt;=0,I532&gt;=0,I532&lt;=G532),"OK","CHECK"))</f>
        <v>OK</v>
      </c>
      <c r="L532" s="1" t="str">
        <f aca="false">IF(A532="","",IF(AND(E532&gt;=0,E532&lt;=23),"OK","CHECK"))</f>
        <v>OK</v>
      </c>
      <c r="M532" s="1" t="str">
        <f aca="false">IF(A532="","",IF(AND(K532="OK",L532="OK"),"OK","CHECK"))</f>
        <v>OK</v>
      </c>
    </row>
    <row r="533" customFormat="false" ht="18" hidden="false" customHeight="true" outlineLevel="0" collapsed="false">
      <c r="A533" s="9" t="s">
        <v>26</v>
      </c>
      <c r="B533" s="9" t="n">
        <v>21</v>
      </c>
      <c r="C533" s="11" t="n">
        <v>46009</v>
      </c>
      <c r="D533" s="9" t="s">
        <v>77</v>
      </c>
      <c r="E533" s="12" t="n">
        <v>7</v>
      </c>
      <c r="F533" s="9" t="s">
        <v>28</v>
      </c>
      <c r="G533" s="13" t="n">
        <v>200</v>
      </c>
      <c r="H533" s="9" t="s">
        <v>36</v>
      </c>
      <c r="I533" s="13" t="n">
        <v>7</v>
      </c>
      <c r="J533" s="1" t="str">
        <f aca="false">IF(A533="","", "SAMP-"&amp;A533&amp;"-L"&amp;TEXT(B533,"00")&amp;"-"&amp;TEXT(C533,"yyyymmdd")&amp;"-"&amp;D533&amp;"-H"&amp;TEXT(E533,"00")&amp;"-"&amp;H533)</f>
        <v>SAMP-KG01-L21-20251218-ORD-2025-00188-H07-Blister</v>
      </c>
      <c r="K533" s="1" t="str">
        <f aca="false">IF(A533="","",IF(AND(G533&gt;=0,I533&gt;=0,I533&lt;=G533),"OK","CHECK"))</f>
        <v>OK</v>
      </c>
      <c r="L533" s="1" t="str">
        <f aca="false">IF(A533="","",IF(AND(E533&gt;=0,E533&lt;=23),"OK","CHECK"))</f>
        <v>OK</v>
      </c>
      <c r="M533" s="1" t="str">
        <f aca="false">IF(A533="","",IF(AND(K533="OK",L533="OK"),"OK","CHECK"))</f>
        <v>OK</v>
      </c>
    </row>
    <row r="534" customFormat="false" ht="18" hidden="false" customHeight="true" outlineLevel="0" collapsed="false">
      <c r="A534" s="9" t="s">
        <v>26</v>
      </c>
      <c r="B534" s="9" t="n">
        <v>21</v>
      </c>
      <c r="C534" s="11" t="n">
        <v>46009</v>
      </c>
      <c r="D534" s="9" t="s">
        <v>77</v>
      </c>
      <c r="E534" s="12" t="n">
        <v>9</v>
      </c>
      <c r="F534" s="9" t="s">
        <v>28</v>
      </c>
      <c r="G534" s="13" t="n">
        <v>200</v>
      </c>
      <c r="H534" s="9" t="s">
        <v>35</v>
      </c>
      <c r="I534" s="13" t="n">
        <v>1</v>
      </c>
      <c r="J534" s="1" t="str">
        <f aca="false">IF(A534="","", "SAMP-"&amp;A534&amp;"-L"&amp;TEXT(B534,"00")&amp;"-"&amp;TEXT(C534,"yyyymmdd")&amp;"-"&amp;D534&amp;"-H"&amp;TEXT(E534,"00")&amp;"-"&amp;H534)</f>
        <v>SAMP-KG01-L21-20251218-ORD-2025-00188-H09-Stone</v>
      </c>
      <c r="K534" s="1" t="str">
        <f aca="false">IF(A534="","",IF(AND(G534&gt;=0,I534&gt;=0,I534&lt;=G534),"OK","CHECK"))</f>
        <v>OK</v>
      </c>
      <c r="L534" s="1" t="str">
        <f aca="false">IF(A534="","",IF(AND(E534&gt;=0,E534&lt;=23),"OK","CHECK"))</f>
        <v>OK</v>
      </c>
      <c r="M534" s="1" t="str">
        <f aca="false">IF(A534="","",IF(AND(K534="OK",L534="OK"),"OK","CHECK"))</f>
        <v>OK</v>
      </c>
    </row>
    <row r="535" customFormat="false" ht="18" hidden="false" customHeight="true" outlineLevel="0" collapsed="false">
      <c r="A535" s="9" t="s">
        <v>26</v>
      </c>
      <c r="B535" s="9" t="n">
        <v>21</v>
      </c>
      <c r="C535" s="11" t="n">
        <v>46009</v>
      </c>
      <c r="D535" s="9" t="s">
        <v>77</v>
      </c>
      <c r="E535" s="12" t="n">
        <v>23</v>
      </c>
      <c r="F535" s="9" t="s">
        <v>31</v>
      </c>
      <c r="G535" s="13" t="n">
        <v>50</v>
      </c>
      <c r="H535" s="9" t="s">
        <v>38</v>
      </c>
      <c r="I535" s="13" t="n">
        <v>1</v>
      </c>
      <c r="J535" s="1" t="str">
        <f aca="false">IF(A535="","", "SAMP-"&amp;A535&amp;"-L"&amp;TEXT(B535,"00")&amp;"-"&amp;TEXT(C535,"yyyymmdd")&amp;"-"&amp;D535&amp;"-H"&amp;TEXT(E535,"00")&amp;"-"&amp;H535)</f>
        <v>SAMP-KG01-L21-20251218-ORD-2025-00188-H23-Crack</v>
      </c>
      <c r="K535" s="1" t="str">
        <f aca="false">IF(A535="","",IF(AND(G535&gt;=0,I535&gt;=0,I535&lt;=G535),"OK","CHECK"))</f>
        <v>OK</v>
      </c>
      <c r="L535" s="1" t="str">
        <f aca="false">IF(A535="","",IF(AND(E535&gt;=0,E535&lt;=23),"OK","CHECK"))</f>
        <v>OK</v>
      </c>
      <c r="M535" s="1" t="str">
        <f aca="false">IF(A535="","",IF(AND(K535="OK",L535="OK"),"OK","CHECK"))</f>
        <v>OK</v>
      </c>
    </row>
    <row r="536" customFormat="false" ht="18" hidden="false" customHeight="true" outlineLevel="0" collapsed="false">
      <c r="A536" s="9" t="s">
        <v>26</v>
      </c>
      <c r="B536" s="9" t="n">
        <v>21</v>
      </c>
      <c r="C536" s="11" t="n">
        <v>46009</v>
      </c>
      <c r="D536" s="9" t="s">
        <v>77</v>
      </c>
      <c r="E536" s="12" t="n">
        <v>16</v>
      </c>
      <c r="F536" s="9" t="s">
        <v>31</v>
      </c>
      <c r="G536" s="13" t="n">
        <v>100</v>
      </c>
      <c r="H536" s="9" t="s">
        <v>30</v>
      </c>
      <c r="I536" s="13" t="n">
        <v>2</v>
      </c>
      <c r="J536" s="1" t="str">
        <f aca="false">IF(A536="","", "SAMP-"&amp;A536&amp;"-L"&amp;TEXT(B536,"00")&amp;"-"&amp;TEXT(C536,"yyyymmdd")&amp;"-"&amp;D536&amp;"-H"&amp;TEXT(E536,"00")&amp;"-"&amp;H536)</f>
        <v>SAMP-KG01-L21-20251218-ORD-2025-00188-H16-Overpress</v>
      </c>
      <c r="K536" s="1" t="str">
        <f aca="false">IF(A536="","",IF(AND(G536&gt;=0,I536&gt;=0,I536&lt;=G536),"OK","CHECK"))</f>
        <v>OK</v>
      </c>
      <c r="L536" s="1" t="str">
        <f aca="false">IF(A536="","",IF(AND(E536&gt;=0,E536&lt;=23),"OK","CHECK"))</f>
        <v>OK</v>
      </c>
      <c r="M536" s="1" t="str">
        <f aca="false">IF(A536="","",IF(AND(K536="OK",L536="OK"),"OK","CHECK"))</f>
        <v>OK</v>
      </c>
    </row>
    <row r="537" customFormat="false" ht="18" hidden="false" customHeight="true" outlineLevel="0" collapsed="false">
      <c r="A537" s="9" t="s">
        <v>26</v>
      </c>
      <c r="B537" s="9" t="n">
        <v>21</v>
      </c>
      <c r="C537" s="11" t="n">
        <v>46009</v>
      </c>
      <c r="D537" s="9" t="s">
        <v>77</v>
      </c>
      <c r="E537" s="12" t="n">
        <v>20</v>
      </c>
      <c r="F537" s="9" t="s">
        <v>31</v>
      </c>
      <c r="G537" s="13" t="n">
        <v>100</v>
      </c>
      <c r="H537" s="9" t="s">
        <v>38</v>
      </c>
      <c r="I537" s="13" t="n">
        <v>2</v>
      </c>
      <c r="J537" s="1" t="str">
        <f aca="false">IF(A537="","", "SAMP-"&amp;A537&amp;"-L"&amp;TEXT(B537,"00")&amp;"-"&amp;TEXT(C537,"yyyymmdd")&amp;"-"&amp;D537&amp;"-H"&amp;TEXT(E537,"00")&amp;"-"&amp;H537)</f>
        <v>SAMP-KG01-L21-20251218-ORD-2025-00188-H20-Crack</v>
      </c>
      <c r="K537" s="1" t="str">
        <f aca="false">IF(A537="","",IF(AND(G537&gt;=0,I537&gt;=0,I537&lt;=G537),"OK","CHECK"))</f>
        <v>OK</v>
      </c>
      <c r="L537" s="1" t="str">
        <f aca="false">IF(A537="","",IF(AND(E537&gt;=0,E537&lt;=23),"OK","CHECK"))</f>
        <v>OK</v>
      </c>
      <c r="M537" s="1" t="str">
        <f aca="false">IF(A537="","",IF(AND(K537="OK",L537="OK"),"OK","CHECK"))</f>
        <v>OK</v>
      </c>
    </row>
    <row r="538" customFormat="false" ht="18" hidden="false" customHeight="true" outlineLevel="0" collapsed="false">
      <c r="A538" s="9" t="s">
        <v>26</v>
      </c>
      <c r="B538" s="9" t="n">
        <v>21</v>
      </c>
      <c r="C538" s="11" t="n">
        <v>46010</v>
      </c>
      <c r="D538" s="9" t="s">
        <v>77</v>
      </c>
      <c r="E538" s="12" t="n">
        <v>7</v>
      </c>
      <c r="F538" s="9" t="s">
        <v>28</v>
      </c>
      <c r="G538" s="13" t="n">
        <v>100</v>
      </c>
      <c r="H538" s="9" t="s">
        <v>36</v>
      </c>
      <c r="I538" s="13" t="n">
        <v>1</v>
      </c>
      <c r="J538" s="1" t="str">
        <f aca="false">IF(A538="","", "SAMP-"&amp;A538&amp;"-L"&amp;TEXT(B538,"00")&amp;"-"&amp;TEXT(C538,"yyyymmdd")&amp;"-"&amp;D538&amp;"-H"&amp;TEXT(E538,"00")&amp;"-"&amp;H538)</f>
        <v>SAMP-KG01-L21-20251219-ORD-2025-00188-H07-Blister</v>
      </c>
      <c r="K538" s="1" t="str">
        <f aca="false">IF(A538="","",IF(AND(G538&gt;=0,I538&gt;=0,I538&lt;=G538),"OK","CHECK"))</f>
        <v>OK</v>
      </c>
      <c r="L538" s="1" t="str">
        <f aca="false">IF(A538="","",IF(AND(E538&gt;=0,E538&lt;=23),"OK","CHECK"))</f>
        <v>OK</v>
      </c>
      <c r="M538" s="1" t="str">
        <f aca="false">IF(A538="","",IF(AND(K538="OK",L538="OK"),"OK","CHECK"))</f>
        <v>OK</v>
      </c>
    </row>
    <row r="539" customFormat="false" ht="18" hidden="false" customHeight="true" outlineLevel="0" collapsed="false">
      <c r="A539" s="9" t="s">
        <v>26</v>
      </c>
      <c r="B539" s="9" t="n">
        <v>21</v>
      </c>
      <c r="C539" s="11" t="n">
        <v>46010</v>
      </c>
      <c r="D539" s="9" t="s">
        <v>77</v>
      </c>
      <c r="E539" s="12" t="n">
        <v>9</v>
      </c>
      <c r="F539" s="9" t="s">
        <v>28</v>
      </c>
      <c r="G539" s="13" t="n">
        <v>200</v>
      </c>
      <c r="H539" s="9" t="s">
        <v>33</v>
      </c>
      <c r="I539" s="13" t="n">
        <v>4</v>
      </c>
      <c r="J539" s="1" t="str">
        <f aca="false">IF(A539="","", "SAMP-"&amp;A539&amp;"-L"&amp;TEXT(B539,"00")&amp;"-"&amp;TEXT(C539,"yyyymmdd")&amp;"-"&amp;D539&amp;"-H"&amp;TEXT(E539,"00")&amp;"-"&amp;H539)</f>
        <v>SAMP-KG01-L21-20251219-ORD-2025-00188-H09-Distortion</v>
      </c>
      <c r="K539" s="1" t="str">
        <f aca="false">IF(A539="","",IF(AND(G539&gt;=0,I539&gt;=0,I539&lt;=G539),"OK","CHECK"))</f>
        <v>OK</v>
      </c>
      <c r="L539" s="1" t="str">
        <f aca="false">IF(A539="","",IF(AND(E539&gt;=0,E539&lt;=23),"OK","CHECK"))</f>
        <v>OK</v>
      </c>
      <c r="M539" s="1" t="str">
        <f aca="false">IF(A539="","",IF(AND(K539="OK",L539="OK"),"OK","CHECK"))</f>
        <v>OK</v>
      </c>
    </row>
    <row r="540" customFormat="false" ht="18" hidden="false" customHeight="true" outlineLevel="0" collapsed="false">
      <c r="A540" s="9" t="s">
        <v>26</v>
      </c>
      <c r="B540" s="9" t="n">
        <v>21</v>
      </c>
      <c r="C540" s="11" t="n">
        <v>46010</v>
      </c>
      <c r="D540" s="9" t="s">
        <v>77</v>
      </c>
      <c r="E540" s="12" t="n">
        <v>16</v>
      </c>
      <c r="F540" s="9" t="s">
        <v>31</v>
      </c>
      <c r="G540" s="13" t="n">
        <v>50</v>
      </c>
      <c r="H540" s="9" t="s">
        <v>37</v>
      </c>
      <c r="I540" s="13" t="n">
        <v>1</v>
      </c>
      <c r="J540" s="1" t="str">
        <f aca="false">IF(A540="","", "SAMP-"&amp;A540&amp;"-L"&amp;TEXT(B540,"00")&amp;"-"&amp;TEXT(C540,"yyyymmdd")&amp;"-"&amp;D540&amp;"-H"&amp;TEXT(E540,"00")&amp;"-"&amp;H540)</f>
        <v>SAMP-KG01-L21-20251219-ORD-2025-00188-H16-Bird Swing</v>
      </c>
      <c r="K540" s="1" t="str">
        <f aca="false">IF(A540="","",IF(AND(G540&gt;=0,I540&gt;=0,I540&lt;=G540),"OK","CHECK"))</f>
        <v>OK</v>
      </c>
      <c r="L540" s="1" t="str">
        <f aca="false">IF(A540="","",IF(AND(E540&gt;=0,E540&lt;=23),"OK","CHECK"))</f>
        <v>OK</v>
      </c>
      <c r="M540" s="1" t="str">
        <f aca="false">IF(A540="","",IF(AND(K540="OK",L540="OK"),"OK","CHECK"))</f>
        <v>OK</v>
      </c>
    </row>
    <row r="541" customFormat="false" ht="18" hidden="false" customHeight="true" outlineLevel="0" collapsed="false">
      <c r="A541" s="9" t="s">
        <v>26</v>
      </c>
      <c r="B541" s="9" t="n">
        <v>21</v>
      </c>
      <c r="C541" s="11" t="n">
        <v>46010</v>
      </c>
      <c r="D541" s="9" t="s">
        <v>77</v>
      </c>
      <c r="E541" s="12" t="n">
        <v>20</v>
      </c>
      <c r="F541" s="9" t="s">
        <v>31</v>
      </c>
      <c r="G541" s="13" t="n">
        <v>100</v>
      </c>
      <c r="H541" s="9" t="s">
        <v>29</v>
      </c>
      <c r="I541" s="13" t="n">
        <v>1</v>
      </c>
      <c r="J541" s="1" t="str">
        <f aca="false">IF(A541="","", "SAMP-"&amp;A541&amp;"-L"&amp;TEXT(B541,"00")&amp;"-"&amp;TEXT(C541,"yyyymmdd")&amp;"-"&amp;D541&amp;"-H"&amp;TEXT(E541,"00")&amp;"-"&amp;H541)</f>
        <v>SAMP-KG01-L21-20251219-ORD-2025-00188-H20-Choke Neck</v>
      </c>
      <c r="K541" s="1" t="str">
        <f aca="false">IF(A541="","",IF(AND(G541&gt;=0,I541&gt;=0,I541&lt;=G541),"OK","CHECK"))</f>
        <v>OK</v>
      </c>
      <c r="L541" s="1" t="str">
        <f aca="false">IF(A541="","",IF(AND(E541&gt;=0,E541&lt;=23),"OK","CHECK"))</f>
        <v>OK</v>
      </c>
      <c r="M541" s="1" t="str">
        <f aca="false">IF(A541="","",IF(AND(K541="OK",L541="OK"),"OK","CHECK"))</f>
        <v>OK</v>
      </c>
    </row>
    <row r="542" customFormat="false" ht="18" hidden="false" customHeight="true" outlineLevel="0" collapsed="false">
      <c r="A542" s="9" t="s">
        <v>26</v>
      </c>
      <c r="B542" s="9" t="n">
        <v>21</v>
      </c>
      <c r="C542" s="11" t="n">
        <v>46011</v>
      </c>
      <c r="D542" s="9" t="s">
        <v>77</v>
      </c>
      <c r="E542" s="12" t="n">
        <v>9</v>
      </c>
      <c r="F542" s="9" t="s">
        <v>28</v>
      </c>
      <c r="G542" s="13" t="n">
        <v>200</v>
      </c>
      <c r="H542" s="9" t="s">
        <v>36</v>
      </c>
      <c r="I542" s="13" t="n">
        <v>2</v>
      </c>
      <c r="J542" s="1" t="str">
        <f aca="false">IF(A542="","", "SAMP-"&amp;A542&amp;"-L"&amp;TEXT(B542,"00")&amp;"-"&amp;TEXT(C542,"yyyymmdd")&amp;"-"&amp;D542&amp;"-H"&amp;TEXT(E542,"00")&amp;"-"&amp;H542)</f>
        <v>SAMP-KG01-L21-20251220-ORD-2025-00188-H09-Blister</v>
      </c>
      <c r="K542" s="1" t="str">
        <f aca="false">IF(A542="","",IF(AND(G542&gt;=0,I542&gt;=0,I542&lt;=G542),"OK","CHECK"))</f>
        <v>OK</v>
      </c>
      <c r="L542" s="1" t="str">
        <f aca="false">IF(A542="","",IF(AND(E542&gt;=0,E542&lt;=23),"OK","CHECK"))</f>
        <v>OK</v>
      </c>
      <c r="M542" s="1" t="str">
        <f aca="false">IF(A542="","",IF(AND(K542="OK",L542="OK"),"OK","CHECK"))</f>
        <v>OK</v>
      </c>
    </row>
    <row r="543" customFormat="false" ht="18" hidden="false" customHeight="true" outlineLevel="0" collapsed="false">
      <c r="A543" s="9" t="s">
        <v>26</v>
      </c>
      <c r="B543" s="9" t="n">
        <v>21</v>
      </c>
      <c r="C543" s="11" t="n">
        <v>46011</v>
      </c>
      <c r="D543" s="9" t="s">
        <v>77</v>
      </c>
      <c r="E543" s="12" t="n">
        <v>7</v>
      </c>
      <c r="F543" s="9" t="s">
        <v>28</v>
      </c>
      <c r="G543" s="13" t="n">
        <v>50</v>
      </c>
      <c r="H543" s="9" t="s">
        <v>38</v>
      </c>
      <c r="I543" s="13" t="n">
        <v>0</v>
      </c>
      <c r="J543" s="1" t="str">
        <f aca="false">IF(A543="","", "SAMP-"&amp;A543&amp;"-L"&amp;TEXT(B543,"00")&amp;"-"&amp;TEXT(C543,"yyyymmdd")&amp;"-"&amp;D543&amp;"-H"&amp;TEXT(E543,"00")&amp;"-"&amp;H543)</f>
        <v>SAMP-KG01-L21-20251220-ORD-2025-00188-H07-Crack</v>
      </c>
      <c r="K543" s="1" t="str">
        <f aca="false">IF(A543="","",IF(AND(G543&gt;=0,I543&gt;=0,I543&lt;=G543),"OK","CHECK"))</f>
        <v>OK</v>
      </c>
      <c r="L543" s="1" t="str">
        <f aca="false">IF(A543="","",IF(AND(E543&gt;=0,E543&lt;=23),"OK","CHECK"))</f>
        <v>OK</v>
      </c>
      <c r="M543" s="1" t="str">
        <f aca="false">IF(A543="","",IF(AND(K543="OK",L543="OK"),"OK","CHECK"))</f>
        <v>OK</v>
      </c>
    </row>
    <row r="544" customFormat="false" ht="18" hidden="false" customHeight="true" outlineLevel="0" collapsed="false">
      <c r="A544" s="9" t="s">
        <v>26</v>
      </c>
      <c r="B544" s="9" t="n">
        <v>21</v>
      </c>
      <c r="C544" s="11" t="n">
        <v>46011</v>
      </c>
      <c r="D544" s="9" t="s">
        <v>77</v>
      </c>
      <c r="E544" s="12" t="n">
        <v>20</v>
      </c>
      <c r="F544" s="9" t="s">
        <v>31</v>
      </c>
      <c r="G544" s="13" t="n">
        <v>200</v>
      </c>
      <c r="H544" s="9" t="s">
        <v>30</v>
      </c>
      <c r="I544" s="13" t="n">
        <v>9</v>
      </c>
      <c r="J544" s="1" t="str">
        <f aca="false">IF(A544="","", "SAMP-"&amp;A544&amp;"-L"&amp;TEXT(B544,"00")&amp;"-"&amp;TEXT(C544,"yyyymmdd")&amp;"-"&amp;D544&amp;"-H"&amp;TEXT(E544,"00")&amp;"-"&amp;H544)</f>
        <v>SAMP-KG01-L21-20251220-ORD-2025-00188-H20-Overpress</v>
      </c>
      <c r="K544" s="1" t="str">
        <f aca="false">IF(A544="","",IF(AND(G544&gt;=0,I544&gt;=0,I544&lt;=G544),"OK","CHECK"))</f>
        <v>OK</v>
      </c>
      <c r="L544" s="1" t="str">
        <f aca="false">IF(A544="","",IF(AND(E544&gt;=0,E544&lt;=23),"OK","CHECK"))</f>
        <v>OK</v>
      </c>
      <c r="M544" s="1" t="str">
        <f aca="false">IF(A544="","",IF(AND(K544="OK",L544="OK"),"OK","CHECK"))</f>
        <v>OK</v>
      </c>
    </row>
    <row r="545" customFormat="false" ht="18" hidden="false" customHeight="true" outlineLevel="0" collapsed="false">
      <c r="A545" s="9" t="s">
        <v>26</v>
      </c>
      <c r="B545" s="9" t="n">
        <v>21</v>
      </c>
      <c r="C545" s="11" t="n">
        <v>46011</v>
      </c>
      <c r="D545" s="9" t="s">
        <v>77</v>
      </c>
      <c r="E545" s="12" t="n">
        <v>23</v>
      </c>
      <c r="F545" s="9" t="s">
        <v>31</v>
      </c>
      <c r="G545" s="13" t="n">
        <v>100</v>
      </c>
      <c r="H545" s="9" t="s">
        <v>29</v>
      </c>
      <c r="I545" s="13" t="n">
        <v>1</v>
      </c>
      <c r="J545" s="1" t="str">
        <f aca="false">IF(A545="","", "SAMP-"&amp;A545&amp;"-L"&amp;TEXT(B545,"00")&amp;"-"&amp;TEXT(C545,"yyyymmdd")&amp;"-"&amp;D545&amp;"-H"&amp;TEXT(E545,"00")&amp;"-"&amp;H545)</f>
        <v>SAMP-KG01-L21-20251220-ORD-2025-00188-H23-Choke Neck</v>
      </c>
      <c r="K545" s="1" t="str">
        <f aca="false">IF(A545="","",IF(AND(G545&gt;=0,I545&gt;=0,I545&lt;=G545),"OK","CHECK"))</f>
        <v>OK</v>
      </c>
      <c r="L545" s="1" t="str">
        <f aca="false">IF(A545="","",IF(AND(E545&gt;=0,E545&lt;=23),"OK","CHECK"))</f>
        <v>OK</v>
      </c>
      <c r="M545" s="1" t="str">
        <f aca="false">IF(A545="","",IF(AND(K545="OK",L545="OK"),"OK","CHECK"))</f>
        <v>OK</v>
      </c>
    </row>
    <row r="546" customFormat="false" ht="18" hidden="false" customHeight="true" outlineLevel="0" collapsed="false">
      <c r="A546" s="9" t="s">
        <v>26</v>
      </c>
      <c r="B546" s="9" t="n">
        <v>21</v>
      </c>
      <c r="C546" s="11" t="n">
        <v>46011</v>
      </c>
      <c r="D546" s="9" t="s">
        <v>77</v>
      </c>
      <c r="E546" s="12" t="n">
        <v>16</v>
      </c>
      <c r="F546" s="9" t="s">
        <v>31</v>
      </c>
      <c r="G546" s="13" t="n">
        <v>100</v>
      </c>
      <c r="H546" s="9" t="s">
        <v>29</v>
      </c>
      <c r="I546" s="13" t="n">
        <v>1</v>
      </c>
      <c r="J546" s="1" t="str">
        <f aca="false">IF(A546="","", "SAMP-"&amp;A546&amp;"-L"&amp;TEXT(B546,"00")&amp;"-"&amp;TEXT(C546,"yyyymmdd")&amp;"-"&amp;D546&amp;"-H"&amp;TEXT(E546,"00")&amp;"-"&amp;H546)</f>
        <v>SAMP-KG01-L21-20251220-ORD-2025-00188-H16-Choke Neck</v>
      </c>
      <c r="K546" s="1" t="str">
        <f aca="false">IF(A546="","",IF(AND(G546&gt;=0,I546&gt;=0,I546&lt;=G546),"OK","CHECK"))</f>
        <v>OK</v>
      </c>
      <c r="L546" s="1" t="str">
        <f aca="false">IF(A546="","",IF(AND(E546&gt;=0,E546&lt;=23),"OK","CHECK"))</f>
        <v>OK</v>
      </c>
      <c r="M546" s="1" t="str">
        <f aca="false">IF(A546="","",IF(AND(K546="OK",L546="OK"),"OK","CHECK"))</f>
        <v>OK</v>
      </c>
    </row>
    <row r="547" customFormat="false" ht="18" hidden="false" customHeight="true" outlineLevel="0" collapsed="false">
      <c r="A547" s="9" t="s">
        <v>26</v>
      </c>
      <c r="B547" s="9" t="n">
        <v>21</v>
      </c>
      <c r="C547" s="11" t="n">
        <v>46012</v>
      </c>
      <c r="D547" s="9" t="s">
        <v>77</v>
      </c>
      <c r="E547" s="12" t="n">
        <v>7</v>
      </c>
      <c r="F547" s="9" t="s">
        <v>28</v>
      </c>
      <c r="G547" s="13" t="n">
        <v>50</v>
      </c>
      <c r="H547" s="9" t="s">
        <v>29</v>
      </c>
      <c r="I547" s="13" t="n">
        <v>1</v>
      </c>
      <c r="J547" s="1" t="str">
        <f aca="false">IF(A547="","", "SAMP-"&amp;A547&amp;"-L"&amp;TEXT(B547,"00")&amp;"-"&amp;TEXT(C547,"yyyymmdd")&amp;"-"&amp;D547&amp;"-H"&amp;TEXT(E547,"00")&amp;"-"&amp;H547)</f>
        <v>SAMP-KG01-L21-20251221-ORD-2025-00188-H07-Choke Neck</v>
      </c>
      <c r="K547" s="1" t="str">
        <f aca="false">IF(A547="","",IF(AND(G547&gt;=0,I547&gt;=0,I547&lt;=G547),"OK","CHECK"))</f>
        <v>OK</v>
      </c>
      <c r="L547" s="1" t="str">
        <f aca="false">IF(A547="","",IF(AND(E547&gt;=0,E547&lt;=23),"OK","CHECK"))</f>
        <v>OK</v>
      </c>
      <c r="M547" s="1" t="str">
        <f aca="false">IF(A547="","",IF(AND(K547="OK",L547="OK"),"OK","CHECK"))</f>
        <v>OK</v>
      </c>
    </row>
    <row r="548" customFormat="false" ht="18" hidden="false" customHeight="true" outlineLevel="0" collapsed="false">
      <c r="A548" s="9" t="s">
        <v>26</v>
      </c>
      <c r="B548" s="9" t="n">
        <v>21</v>
      </c>
      <c r="C548" s="11" t="n">
        <v>46012</v>
      </c>
      <c r="D548" s="9" t="s">
        <v>77</v>
      </c>
      <c r="E548" s="12" t="n">
        <v>9</v>
      </c>
      <c r="F548" s="9" t="s">
        <v>28</v>
      </c>
      <c r="G548" s="13" t="n">
        <v>150</v>
      </c>
      <c r="H548" s="9" t="s">
        <v>41</v>
      </c>
      <c r="I548" s="13" t="n">
        <v>7</v>
      </c>
      <c r="J548" s="1" t="str">
        <f aca="false">IF(A548="","", "SAMP-"&amp;A548&amp;"-L"&amp;TEXT(B548,"00")&amp;"-"&amp;TEXT(C548,"yyyymmdd")&amp;"-"&amp;D548&amp;"-H"&amp;TEXT(E548,"00")&amp;"-"&amp;H548)</f>
        <v>SAMP-KG01-L21-20251221-ORD-2025-00188-H09-Chip</v>
      </c>
      <c r="K548" s="1" t="str">
        <f aca="false">IF(A548="","",IF(AND(G548&gt;=0,I548&gt;=0,I548&lt;=G548),"OK","CHECK"))</f>
        <v>OK</v>
      </c>
      <c r="L548" s="1" t="str">
        <f aca="false">IF(A548="","",IF(AND(E548&gt;=0,E548&lt;=23),"OK","CHECK"))</f>
        <v>OK</v>
      </c>
      <c r="M548" s="1" t="str">
        <f aca="false">IF(A548="","",IF(AND(K548="OK",L548="OK"),"OK","CHECK"))</f>
        <v>OK</v>
      </c>
    </row>
    <row r="549" customFormat="false" ht="18" hidden="false" customHeight="true" outlineLevel="0" collapsed="false">
      <c r="A549" s="9" t="s">
        <v>26</v>
      </c>
      <c r="B549" s="9" t="n">
        <v>21</v>
      </c>
      <c r="C549" s="11" t="n">
        <v>46012</v>
      </c>
      <c r="D549" s="9" t="s">
        <v>77</v>
      </c>
      <c r="E549" s="12" t="n">
        <v>12</v>
      </c>
      <c r="F549" s="9" t="s">
        <v>28</v>
      </c>
      <c r="G549" s="13" t="n">
        <v>200</v>
      </c>
      <c r="H549" s="9" t="s">
        <v>36</v>
      </c>
      <c r="I549" s="13" t="n">
        <v>0</v>
      </c>
      <c r="J549" s="1" t="str">
        <f aca="false">IF(A549="","", "SAMP-"&amp;A549&amp;"-L"&amp;TEXT(B549,"00")&amp;"-"&amp;TEXT(C549,"yyyymmdd")&amp;"-"&amp;D549&amp;"-H"&amp;TEXT(E549,"00")&amp;"-"&amp;H549)</f>
        <v>SAMP-KG01-L21-20251221-ORD-2025-00188-H12-Blister</v>
      </c>
      <c r="K549" s="1" t="str">
        <f aca="false">IF(A549="","",IF(AND(G549&gt;=0,I549&gt;=0,I549&lt;=G549),"OK","CHECK"))</f>
        <v>OK</v>
      </c>
      <c r="L549" s="1" t="str">
        <f aca="false">IF(A549="","",IF(AND(E549&gt;=0,E549&lt;=23),"OK","CHECK"))</f>
        <v>OK</v>
      </c>
      <c r="M549" s="1" t="str">
        <f aca="false">IF(A549="","",IF(AND(K549="OK",L549="OK"),"OK","CHECK"))</f>
        <v>OK</v>
      </c>
    </row>
    <row r="550" customFormat="false" ht="18" hidden="false" customHeight="true" outlineLevel="0" collapsed="false">
      <c r="A550" s="9" t="s">
        <v>26</v>
      </c>
      <c r="B550" s="9" t="n">
        <v>21</v>
      </c>
      <c r="C550" s="11" t="n">
        <v>46012</v>
      </c>
      <c r="D550" s="9" t="s">
        <v>77</v>
      </c>
      <c r="E550" s="12" t="n">
        <v>20</v>
      </c>
      <c r="F550" s="9" t="s">
        <v>31</v>
      </c>
      <c r="G550" s="13" t="n">
        <v>200</v>
      </c>
      <c r="H550" s="9" t="s">
        <v>29</v>
      </c>
      <c r="I550" s="13" t="n">
        <v>2</v>
      </c>
      <c r="J550" s="1" t="str">
        <f aca="false">IF(A550="","", "SAMP-"&amp;A550&amp;"-L"&amp;TEXT(B550,"00")&amp;"-"&amp;TEXT(C550,"yyyymmdd")&amp;"-"&amp;D550&amp;"-H"&amp;TEXT(E550,"00")&amp;"-"&amp;H550)</f>
        <v>SAMP-KG01-L21-20251221-ORD-2025-00188-H20-Choke Neck</v>
      </c>
      <c r="K550" s="1" t="str">
        <f aca="false">IF(A550="","",IF(AND(G550&gt;=0,I550&gt;=0,I550&lt;=G550),"OK","CHECK"))</f>
        <v>OK</v>
      </c>
      <c r="L550" s="1" t="str">
        <f aca="false">IF(A550="","",IF(AND(E550&gt;=0,E550&lt;=23),"OK","CHECK"))</f>
        <v>OK</v>
      </c>
      <c r="M550" s="1" t="str">
        <f aca="false">IF(A550="","",IF(AND(K550="OK",L550="OK"),"OK","CHECK"))</f>
        <v>OK</v>
      </c>
    </row>
    <row r="551" customFormat="false" ht="18" hidden="false" customHeight="true" outlineLevel="0" collapsed="false">
      <c r="A551" s="9" t="s">
        <v>26</v>
      </c>
      <c r="B551" s="9" t="n">
        <v>21</v>
      </c>
      <c r="C551" s="11" t="n">
        <v>46012</v>
      </c>
      <c r="D551" s="9" t="s">
        <v>77</v>
      </c>
      <c r="E551" s="12" t="n">
        <v>16</v>
      </c>
      <c r="F551" s="9" t="s">
        <v>31</v>
      </c>
      <c r="G551" s="13" t="n">
        <v>50</v>
      </c>
      <c r="H551" s="9" t="s">
        <v>41</v>
      </c>
      <c r="I551" s="13" t="n">
        <v>2</v>
      </c>
      <c r="J551" s="1" t="str">
        <f aca="false">IF(A551="","", "SAMP-"&amp;A551&amp;"-L"&amp;TEXT(B551,"00")&amp;"-"&amp;TEXT(C551,"yyyymmdd")&amp;"-"&amp;D551&amp;"-H"&amp;TEXT(E551,"00")&amp;"-"&amp;H551)</f>
        <v>SAMP-KG01-L21-20251221-ORD-2025-00188-H16-Chip</v>
      </c>
      <c r="K551" s="1" t="str">
        <f aca="false">IF(A551="","",IF(AND(G551&gt;=0,I551&gt;=0,I551&lt;=G551),"OK","CHECK"))</f>
        <v>OK</v>
      </c>
      <c r="L551" s="1" t="str">
        <f aca="false">IF(A551="","",IF(AND(E551&gt;=0,E551&lt;=23),"OK","CHECK"))</f>
        <v>OK</v>
      </c>
      <c r="M551" s="1" t="str">
        <f aca="false">IF(A551="","",IF(AND(K551="OK",L551="OK"),"OK","CHECK"))</f>
        <v>OK</v>
      </c>
    </row>
    <row r="552" customFormat="false" ht="18" hidden="false" customHeight="true" outlineLevel="0" collapsed="false">
      <c r="A552" s="9" t="s">
        <v>26</v>
      </c>
      <c r="B552" s="9" t="n">
        <v>21</v>
      </c>
      <c r="C552" s="11" t="n">
        <v>46012</v>
      </c>
      <c r="D552" s="9" t="s">
        <v>77</v>
      </c>
      <c r="E552" s="12" t="n">
        <v>23</v>
      </c>
      <c r="F552" s="9" t="s">
        <v>31</v>
      </c>
      <c r="G552" s="13" t="n">
        <v>100</v>
      </c>
      <c r="H552" s="9" t="s">
        <v>36</v>
      </c>
      <c r="I552" s="13" t="n">
        <v>1</v>
      </c>
      <c r="J552" s="1" t="str">
        <f aca="false">IF(A552="","", "SAMP-"&amp;A552&amp;"-L"&amp;TEXT(B552,"00")&amp;"-"&amp;TEXT(C552,"yyyymmdd")&amp;"-"&amp;D552&amp;"-H"&amp;TEXT(E552,"00")&amp;"-"&amp;H552)</f>
        <v>SAMP-KG01-L21-20251221-ORD-2025-00188-H23-Blister</v>
      </c>
      <c r="K552" s="1" t="str">
        <f aca="false">IF(A552="","",IF(AND(G552&gt;=0,I552&gt;=0,I552&lt;=G552),"OK","CHECK"))</f>
        <v>OK</v>
      </c>
      <c r="L552" s="1" t="str">
        <f aca="false">IF(A552="","",IF(AND(E552&gt;=0,E552&lt;=23),"OK","CHECK"))</f>
        <v>OK</v>
      </c>
      <c r="M552" s="1" t="str">
        <f aca="false">IF(A552="","",IF(AND(K552="OK",L552="OK"),"OK","CHECK"))</f>
        <v>OK</v>
      </c>
    </row>
    <row r="553" customFormat="false" ht="18" hidden="false" customHeight="true" outlineLevel="0" collapsed="false">
      <c r="A553" s="9" t="s">
        <v>26</v>
      </c>
      <c r="B553" s="9" t="n">
        <v>21</v>
      </c>
      <c r="C553" s="11" t="n">
        <v>46013</v>
      </c>
      <c r="D553" s="9" t="s">
        <v>77</v>
      </c>
      <c r="E553" s="12" t="n">
        <v>7</v>
      </c>
      <c r="F553" s="9" t="s">
        <v>28</v>
      </c>
      <c r="G553" s="13" t="n">
        <v>100</v>
      </c>
      <c r="H553" s="9" t="s">
        <v>37</v>
      </c>
      <c r="I553" s="13" t="n">
        <v>0</v>
      </c>
      <c r="J553" s="1" t="str">
        <f aca="false">IF(A553="","", "SAMP-"&amp;A553&amp;"-L"&amp;TEXT(B553,"00")&amp;"-"&amp;TEXT(C553,"yyyymmdd")&amp;"-"&amp;D553&amp;"-H"&amp;TEXT(E553,"00")&amp;"-"&amp;H553)</f>
        <v>SAMP-KG01-L21-20251222-ORD-2025-00188-H07-Bird Swing</v>
      </c>
      <c r="K553" s="1" t="str">
        <f aca="false">IF(A553="","",IF(AND(G553&gt;=0,I553&gt;=0,I553&lt;=G553),"OK","CHECK"))</f>
        <v>OK</v>
      </c>
      <c r="L553" s="1" t="str">
        <f aca="false">IF(A553="","",IF(AND(E553&gt;=0,E553&lt;=23),"OK","CHECK"))</f>
        <v>OK</v>
      </c>
      <c r="M553" s="1" t="str">
        <f aca="false">IF(A553="","",IF(AND(K553="OK",L553="OK"),"OK","CHECK"))</f>
        <v>OK</v>
      </c>
    </row>
    <row r="554" customFormat="false" ht="18" hidden="false" customHeight="true" outlineLevel="0" collapsed="false">
      <c r="A554" s="9" t="s">
        <v>26</v>
      </c>
      <c r="B554" s="9" t="n">
        <v>21</v>
      </c>
      <c r="C554" s="11" t="n">
        <v>46013</v>
      </c>
      <c r="D554" s="9" t="s">
        <v>77</v>
      </c>
      <c r="E554" s="12" t="n">
        <v>12</v>
      </c>
      <c r="F554" s="9" t="s">
        <v>28</v>
      </c>
      <c r="G554" s="13" t="n">
        <v>100</v>
      </c>
      <c r="H554" s="9" t="s">
        <v>34</v>
      </c>
      <c r="I554" s="13" t="n">
        <v>2</v>
      </c>
      <c r="J554" s="1" t="str">
        <f aca="false">IF(A554="","", "SAMP-"&amp;A554&amp;"-L"&amp;TEXT(B554,"00")&amp;"-"&amp;TEXT(C554,"yyyymmdd")&amp;"-"&amp;D554&amp;"-H"&amp;TEXT(E554,"00")&amp;"-"&amp;H554)</f>
        <v>SAMP-KG01-L21-20251222-ORD-2025-00188-H12-Thin Wall</v>
      </c>
      <c r="K554" s="1" t="str">
        <f aca="false">IF(A554="","",IF(AND(G554&gt;=0,I554&gt;=0,I554&lt;=G554),"OK","CHECK"))</f>
        <v>OK</v>
      </c>
      <c r="L554" s="1" t="str">
        <f aca="false">IF(A554="","",IF(AND(E554&gt;=0,E554&lt;=23),"OK","CHECK"))</f>
        <v>OK</v>
      </c>
      <c r="M554" s="1" t="str">
        <f aca="false">IF(A554="","",IF(AND(K554="OK",L554="OK"),"OK","CHECK"))</f>
        <v>OK</v>
      </c>
    </row>
    <row r="555" customFormat="false" ht="18" hidden="false" customHeight="true" outlineLevel="0" collapsed="false">
      <c r="A555" s="9" t="s">
        <v>26</v>
      </c>
      <c r="B555" s="9" t="n">
        <v>21</v>
      </c>
      <c r="C555" s="11" t="n">
        <v>46013</v>
      </c>
      <c r="D555" s="9" t="s">
        <v>77</v>
      </c>
      <c r="E555" s="12" t="n">
        <v>9</v>
      </c>
      <c r="F555" s="9" t="s">
        <v>28</v>
      </c>
      <c r="G555" s="13" t="n">
        <v>50</v>
      </c>
      <c r="H555" s="9" t="s">
        <v>29</v>
      </c>
      <c r="I555" s="13" t="n">
        <v>0</v>
      </c>
      <c r="J555" s="1" t="str">
        <f aca="false">IF(A555="","", "SAMP-"&amp;A555&amp;"-L"&amp;TEXT(B555,"00")&amp;"-"&amp;TEXT(C555,"yyyymmdd")&amp;"-"&amp;D555&amp;"-H"&amp;TEXT(E555,"00")&amp;"-"&amp;H555)</f>
        <v>SAMP-KG01-L21-20251222-ORD-2025-00188-H09-Choke Neck</v>
      </c>
      <c r="K555" s="1" t="str">
        <f aca="false">IF(A555="","",IF(AND(G555&gt;=0,I555&gt;=0,I555&lt;=G555),"OK","CHECK"))</f>
        <v>OK</v>
      </c>
      <c r="L555" s="1" t="str">
        <f aca="false">IF(A555="","",IF(AND(E555&gt;=0,E555&lt;=23),"OK","CHECK"))</f>
        <v>OK</v>
      </c>
      <c r="M555" s="1" t="str">
        <f aca="false">IF(A555="","",IF(AND(K555="OK",L555="OK"),"OK","CHECK"))</f>
        <v>OK</v>
      </c>
    </row>
    <row r="556" customFormat="false" ht="18" hidden="false" customHeight="true" outlineLevel="0" collapsed="false">
      <c r="A556" s="9" t="s">
        <v>26</v>
      </c>
      <c r="B556" s="9" t="n">
        <v>21</v>
      </c>
      <c r="C556" s="11" t="n">
        <v>46013</v>
      </c>
      <c r="D556" s="9" t="s">
        <v>78</v>
      </c>
      <c r="E556" s="12" t="n">
        <v>20</v>
      </c>
      <c r="F556" s="9" t="s">
        <v>31</v>
      </c>
      <c r="G556" s="13" t="n">
        <v>200</v>
      </c>
      <c r="H556" s="9" t="s">
        <v>34</v>
      </c>
      <c r="I556" s="13" t="n">
        <v>1</v>
      </c>
      <c r="J556" s="1" t="str">
        <f aca="false">IF(A556="","", "SAMP-"&amp;A556&amp;"-L"&amp;TEXT(B556,"00")&amp;"-"&amp;TEXT(C556,"yyyymmdd")&amp;"-"&amp;D556&amp;"-H"&amp;TEXT(E556,"00")&amp;"-"&amp;H556)</f>
        <v>SAMP-KG01-L21-20251222-ORD-2025-00189-H20-Thin Wall</v>
      </c>
      <c r="K556" s="1" t="str">
        <f aca="false">IF(A556="","",IF(AND(G556&gt;=0,I556&gt;=0,I556&lt;=G556),"OK","CHECK"))</f>
        <v>OK</v>
      </c>
      <c r="L556" s="1" t="str">
        <f aca="false">IF(A556="","",IF(AND(E556&gt;=0,E556&lt;=23),"OK","CHECK"))</f>
        <v>OK</v>
      </c>
      <c r="M556" s="1" t="str">
        <f aca="false">IF(A556="","",IF(AND(K556="OK",L556="OK"),"OK","CHECK"))</f>
        <v>OK</v>
      </c>
    </row>
    <row r="557" customFormat="false" ht="18" hidden="false" customHeight="true" outlineLevel="0" collapsed="false">
      <c r="A557" s="9" t="s">
        <v>26</v>
      </c>
      <c r="B557" s="9" t="n">
        <v>21</v>
      </c>
      <c r="C557" s="11" t="n">
        <v>46013</v>
      </c>
      <c r="D557" s="9" t="s">
        <v>78</v>
      </c>
      <c r="E557" s="12" t="n">
        <v>16</v>
      </c>
      <c r="F557" s="9" t="s">
        <v>31</v>
      </c>
      <c r="G557" s="13" t="n">
        <v>200</v>
      </c>
      <c r="H557" s="9" t="s">
        <v>37</v>
      </c>
      <c r="I557" s="13" t="n">
        <v>7</v>
      </c>
      <c r="J557" s="1" t="str">
        <f aca="false">IF(A557="","", "SAMP-"&amp;A557&amp;"-L"&amp;TEXT(B557,"00")&amp;"-"&amp;TEXT(C557,"yyyymmdd")&amp;"-"&amp;D557&amp;"-H"&amp;TEXT(E557,"00")&amp;"-"&amp;H557)</f>
        <v>SAMP-KG01-L21-20251222-ORD-2025-00189-H16-Bird Swing</v>
      </c>
      <c r="K557" s="1" t="str">
        <f aca="false">IF(A557="","",IF(AND(G557&gt;=0,I557&gt;=0,I557&lt;=G557),"OK","CHECK"))</f>
        <v>OK</v>
      </c>
      <c r="L557" s="1" t="str">
        <f aca="false">IF(A557="","",IF(AND(E557&gt;=0,E557&lt;=23),"OK","CHECK"))</f>
        <v>OK</v>
      </c>
      <c r="M557" s="1" t="str">
        <f aca="false">IF(A557="","",IF(AND(K557="OK",L557="OK"),"OK","CHECK"))</f>
        <v>OK</v>
      </c>
    </row>
    <row r="558" customFormat="false" ht="18" hidden="false" customHeight="true" outlineLevel="0" collapsed="false">
      <c r="A558" s="9" t="s">
        <v>26</v>
      </c>
      <c r="B558" s="9" t="n">
        <v>21</v>
      </c>
      <c r="C558" s="11" t="n">
        <v>46013</v>
      </c>
      <c r="D558" s="9" t="s">
        <v>78</v>
      </c>
      <c r="E558" s="12" t="n">
        <v>23</v>
      </c>
      <c r="F558" s="9" t="s">
        <v>31</v>
      </c>
      <c r="G558" s="13" t="n">
        <v>100</v>
      </c>
      <c r="H558" s="9" t="s">
        <v>38</v>
      </c>
      <c r="I558" s="13" t="n">
        <v>0</v>
      </c>
      <c r="J558" s="1" t="str">
        <f aca="false">IF(A558="","", "SAMP-"&amp;A558&amp;"-L"&amp;TEXT(B558,"00")&amp;"-"&amp;TEXT(C558,"yyyymmdd")&amp;"-"&amp;D558&amp;"-H"&amp;TEXT(E558,"00")&amp;"-"&amp;H558)</f>
        <v>SAMP-KG01-L21-20251222-ORD-2025-00189-H23-Crack</v>
      </c>
      <c r="K558" s="1" t="str">
        <f aca="false">IF(A558="","",IF(AND(G558&gt;=0,I558&gt;=0,I558&lt;=G558),"OK","CHECK"))</f>
        <v>OK</v>
      </c>
      <c r="L558" s="1" t="str">
        <f aca="false">IF(A558="","",IF(AND(E558&gt;=0,E558&lt;=23),"OK","CHECK"))</f>
        <v>OK</v>
      </c>
      <c r="M558" s="1" t="str">
        <f aca="false">IF(A558="","",IF(AND(K558="OK",L558="OK"),"OK","CHECK"))</f>
        <v>OK</v>
      </c>
    </row>
    <row r="559" customFormat="false" ht="18" hidden="false" customHeight="true" outlineLevel="0" collapsed="false">
      <c r="A559" s="9" t="s">
        <v>26</v>
      </c>
      <c r="B559" s="9" t="n">
        <v>21</v>
      </c>
      <c r="C559" s="11" t="n">
        <v>46014</v>
      </c>
      <c r="D559" s="9" t="s">
        <v>78</v>
      </c>
      <c r="E559" s="12" t="n">
        <v>12</v>
      </c>
      <c r="F559" s="9" t="s">
        <v>28</v>
      </c>
      <c r="G559" s="13" t="n">
        <v>100</v>
      </c>
      <c r="H559" s="9" t="s">
        <v>41</v>
      </c>
      <c r="I559" s="13" t="n">
        <v>0</v>
      </c>
      <c r="J559" s="1" t="str">
        <f aca="false">IF(A559="","", "SAMP-"&amp;A559&amp;"-L"&amp;TEXT(B559,"00")&amp;"-"&amp;TEXT(C559,"yyyymmdd")&amp;"-"&amp;D559&amp;"-H"&amp;TEXT(E559,"00")&amp;"-"&amp;H559)</f>
        <v>SAMP-KG01-L21-20251223-ORD-2025-00189-H12-Chip</v>
      </c>
      <c r="K559" s="1" t="str">
        <f aca="false">IF(A559="","",IF(AND(G559&gt;=0,I559&gt;=0,I559&lt;=G559),"OK","CHECK"))</f>
        <v>OK</v>
      </c>
      <c r="L559" s="1" t="str">
        <f aca="false">IF(A559="","",IF(AND(E559&gt;=0,E559&lt;=23),"OK","CHECK"))</f>
        <v>OK</v>
      </c>
      <c r="M559" s="1" t="str">
        <f aca="false">IF(A559="","",IF(AND(K559="OK",L559="OK"),"OK","CHECK"))</f>
        <v>OK</v>
      </c>
    </row>
    <row r="560" customFormat="false" ht="18" hidden="false" customHeight="true" outlineLevel="0" collapsed="false">
      <c r="A560" s="9" t="s">
        <v>26</v>
      </c>
      <c r="B560" s="9" t="n">
        <v>21</v>
      </c>
      <c r="C560" s="11" t="n">
        <v>46014</v>
      </c>
      <c r="D560" s="9" t="s">
        <v>78</v>
      </c>
      <c r="E560" s="12" t="n">
        <v>9</v>
      </c>
      <c r="F560" s="9" t="s">
        <v>28</v>
      </c>
      <c r="G560" s="13" t="n">
        <v>100</v>
      </c>
      <c r="H560" s="9" t="s">
        <v>34</v>
      </c>
      <c r="I560" s="13" t="n">
        <v>0</v>
      </c>
      <c r="J560" s="1" t="str">
        <f aca="false">IF(A560="","", "SAMP-"&amp;A560&amp;"-L"&amp;TEXT(B560,"00")&amp;"-"&amp;TEXT(C560,"yyyymmdd")&amp;"-"&amp;D560&amp;"-H"&amp;TEXT(E560,"00")&amp;"-"&amp;H560)</f>
        <v>SAMP-KG01-L21-20251223-ORD-2025-00189-H09-Thin Wall</v>
      </c>
      <c r="K560" s="1" t="str">
        <f aca="false">IF(A560="","",IF(AND(G560&gt;=0,I560&gt;=0,I560&lt;=G560),"OK","CHECK"))</f>
        <v>OK</v>
      </c>
      <c r="L560" s="1" t="str">
        <f aca="false">IF(A560="","",IF(AND(E560&gt;=0,E560&lt;=23),"OK","CHECK"))</f>
        <v>OK</v>
      </c>
      <c r="M560" s="1" t="str">
        <f aca="false">IF(A560="","",IF(AND(K560="OK",L560="OK"),"OK","CHECK"))</f>
        <v>OK</v>
      </c>
    </row>
    <row r="561" customFormat="false" ht="18" hidden="false" customHeight="true" outlineLevel="0" collapsed="false">
      <c r="A561" s="9" t="s">
        <v>26</v>
      </c>
      <c r="B561" s="9" t="n">
        <v>21</v>
      </c>
      <c r="C561" s="11" t="n">
        <v>46014</v>
      </c>
      <c r="D561" s="9" t="s">
        <v>78</v>
      </c>
      <c r="E561" s="12" t="n">
        <v>20</v>
      </c>
      <c r="F561" s="9" t="s">
        <v>31</v>
      </c>
      <c r="G561" s="13" t="n">
        <v>150</v>
      </c>
      <c r="H561" s="9" t="s">
        <v>30</v>
      </c>
      <c r="I561" s="13" t="n">
        <v>0</v>
      </c>
      <c r="J561" s="1" t="str">
        <f aca="false">IF(A561="","", "SAMP-"&amp;A561&amp;"-L"&amp;TEXT(B561,"00")&amp;"-"&amp;TEXT(C561,"yyyymmdd")&amp;"-"&amp;D561&amp;"-H"&amp;TEXT(E561,"00")&amp;"-"&amp;H561)</f>
        <v>SAMP-KG01-L21-20251223-ORD-2025-00189-H20-Overpress</v>
      </c>
      <c r="K561" s="1" t="str">
        <f aca="false">IF(A561="","",IF(AND(G561&gt;=0,I561&gt;=0,I561&lt;=G561),"OK","CHECK"))</f>
        <v>OK</v>
      </c>
      <c r="L561" s="1" t="str">
        <f aca="false">IF(A561="","",IF(AND(E561&gt;=0,E561&lt;=23),"OK","CHECK"))</f>
        <v>OK</v>
      </c>
      <c r="M561" s="1" t="str">
        <f aca="false">IF(A561="","",IF(AND(K561="OK",L561="OK"),"OK","CHECK"))</f>
        <v>OK</v>
      </c>
    </row>
    <row r="562" customFormat="false" ht="18" hidden="false" customHeight="true" outlineLevel="0" collapsed="false">
      <c r="A562" s="9" t="s">
        <v>26</v>
      </c>
      <c r="B562" s="9" t="n">
        <v>21</v>
      </c>
      <c r="C562" s="11" t="n">
        <v>46014</v>
      </c>
      <c r="D562" s="9" t="s">
        <v>78</v>
      </c>
      <c r="E562" s="12" t="n">
        <v>16</v>
      </c>
      <c r="F562" s="9" t="s">
        <v>31</v>
      </c>
      <c r="G562" s="13" t="n">
        <v>100</v>
      </c>
      <c r="H562" s="9" t="s">
        <v>29</v>
      </c>
      <c r="I562" s="13" t="n">
        <v>2</v>
      </c>
      <c r="J562" s="1" t="str">
        <f aca="false">IF(A562="","", "SAMP-"&amp;A562&amp;"-L"&amp;TEXT(B562,"00")&amp;"-"&amp;TEXT(C562,"yyyymmdd")&amp;"-"&amp;D562&amp;"-H"&amp;TEXT(E562,"00")&amp;"-"&amp;H562)</f>
        <v>SAMP-KG01-L21-20251223-ORD-2025-00189-H16-Choke Neck</v>
      </c>
      <c r="K562" s="1" t="str">
        <f aca="false">IF(A562="","",IF(AND(G562&gt;=0,I562&gt;=0,I562&lt;=G562),"OK","CHECK"))</f>
        <v>OK</v>
      </c>
      <c r="L562" s="1" t="str">
        <f aca="false">IF(A562="","",IF(AND(E562&gt;=0,E562&lt;=23),"OK","CHECK"))</f>
        <v>OK</v>
      </c>
      <c r="M562" s="1" t="str">
        <f aca="false">IF(A562="","",IF(AND(K562="OK",L562="OK"),"OK","CHECK"))</f>
        <v>OK</v>
      </c>
    </row>
    <row r="563" customFormat="false" ht="18" hidden="false" customHeight="true" outlineLevel="0" collapsed="false">
      <c r="A563" s="9" t="s">
        <v>26</v>
      </c>
      <c r="B563" s="9" t="n">
        <v>21</v>
      </c>
      <c r="C563" s="11" t="n">
        <v>46015</v>
      </c>
      <c r="D563" s="9" t="s">
        <v>78</v>
      </c>
      <c r="E563" s="12" t="n">
        <v>7</v>
      </c>
      <c r="F563" s="9" t="s">
        <v>28</v>
      </c>
      <c r="G563" s="13" t="n">
        <v>200</v>
      </c>
      <c r="H563" s="9" t="s">
        <v>30</v>
      </c>
      <c r="I563" s="13" t="n">
        <v>1</v>
      </c>
      <c r="J563" s="1" t="str">
        <f aca="false">IF(A563="","", "SAMP-"&amp;A563&amp;"-L"&amp;TEXT(B563,"00")&amp;"-"&amp;TEXT(C563,"yyyymmdd")&amp;"-"&amp;D563&amp;"-H"&amp;TEXT(E563,"00")&amp;"-"&amp;H563)</f>
        <v>SAMP-KG01-L21-20251224-ORD-2025-00189-H07-Overpress</v>
      </c>
      <c r="K563" s="1" t="str">
        <f aca="false">IF(A563="","",IF(AND(G563&gt;=0,I563&gt;=0,I563&lt;=G563),"OK","CHECK"))</f>
        <v>OK</v>
      </c>
      <c r="L563" s="1" t="str">
        <f aca="false">IF(A563="","",IF(AND(E563&gt;=0,E563&lt;=23),"OK","CHECK"))</f>
        <v>OK</v>
      </c>
      <c r="M563" s="1" t="str">
        <f aca="false">IF(A563="","",IF(AND(K563="OK",L563="OK"),"OK","CHECK"))</f>
        <v>OK</v>
      </c>
    </row>
    <row r="564" customFormat="false" ht="18" hidden="false" customHeight="true" outlineLevel="0" collapsed="false">
      <c r="A564" s="9" t="s">
        <v>26</v>
      </c>
      <c r="B564" s="9" t="n">
        <v>21</v>
      </c>
      <c r="C564" s="11" t="n">
        <v>46015</v>
      </c>
      <c r="D564" s="9" t="s">
        <v>78</v>
      </c>
      <c r="E564" s="12" t="n">
        <v>12</v>
      </c>
      <c r="F564" s="9" t="s">
        <v>28</v>
      </c>
      <c r="G564" s="13" t="n">
        <v>150</v>
      </c>
      <c r="H564" s="9" t="s">
        <v>30</v>
      </c>
      <c r="I564" s="13" t="n">
        <v>0</v>
      </c>
      <c r="J564" s="1" t="str">
        <f aca="false">IF(A564="","", "SAMP-"&amp;A564&amp;"-L"&amp;TEXT(B564,"00")&amp;"-"&amp;TEXT(C564,"yyyymmdd")&amp;"-"&amp;D564&amp;"-H"&amp;TEXT(E564,"00")&amp;"-"&amp;H564)</f>
        <v>SAMP-KG01-L21-20251224-ORD-2025-00189-H12-Overpress</v>
      </c>
      <c r="K564" s="1" t="str">
        <f aca="false">IF(A564="","",IF(AND(G564&gt;=0,I564&gt;=0,I564&lt;=G564),"OK","CHECK"))</f>
        <v>OK</v>
      </c>
      <c r="L564" s="1" t="str">
        <f aca="false">IF(A564="","",IF(AND(E564&gt;=0,E564&lt;=23),"OK","CHECK"))</f>
        <v>OK</v>
      </c>
      <c r="M564" s="1" t="str">
        <f aca="false">IF(A564="","",IF(AND(K564="OK",L564="OK"),"OK","CHECK"))</f>
        <v>OK</v>
      </c>
    </row>
    <row r="565" customFormat="false" ht="18" hidden="false" customHeight="true" outlineLevel="0" collapsed="false">
      <c r="A565" s="9" t="s">
        <v>26</v>
      </c>
      <c r="B565" s="9" t="n">
        <v>21</v>
      </c>
      <c r="C565" s="11" t="n">
        <v>46015</v>
      </c>
      <c r="D565" s="9" t="s">
        <v>78</v>
      </c>
      <c r="E565" s="12" t="n">
        <v>9</v>
      </c>
      <c r="F565" s="9" t="s">
        <v>28</v>
      </c>
      <c r="G565" s="13" t="n">
        <v>150</v>
      </c>
      <c r="H565" s="9" t="s">
        <v>41</v>
      </c>
      <c r="I565" s="13" t="n">
        <v>2</v>
      </c>
      <c r="J565" s="1" t="str">
        <f aca="false">IF(A565="","", "SAMP-"&amp;A565&amp;"-L"&amp;TEXT(B565,"00")&amp;"-"&amp;TEXT(C565,"yyyymmdd")&amp;"-"&amp;D565&amp;"-H"&amp;TEXT(E565,"00")&amp;"-"&amp;H565)</f>
        <v>SAMP-KG01-L21-20251224-ORD-2025-00189-H09-Chip</v>
      </c>
      <c r="K565" s="1" t="str">
        <f aca="false">IF(A565="","",IF(AND(G565&gt;=0,I565&gt;=0,I565&lt;=G565),"OK","CHECK"))</f>
        <v>OK</v>
      </c>
      <c r="L565" s="1" t="str">
        <f aca="false">IF(A565="","",IF(AND(E565&gt;=0,E565&lt;=23),"OK","CHECK"))</f>
        <v>OK</v>
      </c>
      <c r="M565" s="1" t="str">
        <f aca="false">IF(A565="","",IF(AND(K565="OK",L565="OK"),"OK","CHECK"))</f>
        <v>OK</v>
      </c>
    </row>
    <row r="566" customFormat="false" ht="18" hidden="false" customHeight="true" outlineLevel="0" collapsed="false">
      <c r="A566" s="9" t="s">
        <v>26</v>
      </c>
      <c r="B566" s="9" t="n">
        <v>21</v>
      </c>
      <c r="C566" s="11" t="n">
        <v>46015</v>
      </c>
      <c r="D566" s="9" t="s">
        <v>78</v>
      </c>
      <c r="E566" s="12" t="n">
        <v>20</v>
      </c>
      <c r="F566" s="9" t="s">
        <v>31</v>
      </c>
      <c r="G566" s="13" t="n">
        <v>150</v>
      </c>
      <c r="H566" s="9" t="s">
        <v>29</v>
      </c>
      <c r="I566" s="13" t="n">
        <v>0</v>
      </c>
      <c r="J566" s="1" t="str">
        <f aca="false">IF(A566="","", "SAMP-"&amp;A566&amp;"-L"&amp;TEXT(B566,"00")&amp;"-"&amp;TEXT(C566,"yyyymmdd")&amp;"-"&amp;D566&amp;"-H"&amp;TEXT(E566,"00")&amp;"-"&amp;H566)</f>
        <v>SAMP-KG01-L21-20251224-ORD-2025-00189-H20-Choke Neck</v>
      </c>
      <c r="K566" s="1" t="str">
        <f aca="false">IF(A566="","",IF(AND(G566&gt;=0,I566&gt;=0,I566&lt;=G566),"OK","CHECK"))</f>
        <v>OK</v>
      </c>
      <c r="L566" s="1" t="str">
        <f aca="false">IF(A566="","",IF(AND(E566&gt;=0,E566&lt;=23),"OK","CHECK"))</f>
        <v>OK</v>
      </c>
      <c r="M566" s="1" t="str">
        <f aca="false">IF(A566="","",IF(AND(K566="OK",L566="OK"),"OK","CHECK"))</f>
        <v>OK</v>
      </c>
    </row>
    <row r="567" customFormat="false" ht="18" hidden="false" customHeight="true" outlineLevel="0" collapsed="false">
      <c r="A567" s="9" t="s">
        <v>26</v>
      </c>
      <c r="B567" s="9" t="n">
        <v>21</v>
      </c>
      <c r="C567" s="11" t="n">
        <v>46015</v>
      </c>
      <c r="D567" s="9" t="s">
        <v>78</v>
      </c>
      <c r="E567" s="12" t="n">
        <v>23</v>
      </c>
      <c r="F567" s="9" t="s">
        <v>31</v>
      </c>
      <c r="G567" s="13" t="n">
        <v>100</v>
      </c>
      <c r="H567" s="9" t="s">
        <v>37</v>
      </c>
      <c r="I567" s="13" t="n">
        <v>0</v>
      </c>
      <c r="J567" s="1" t="str">
        <f aca="false">IF(A567="","", "SAMP-"&amp;A567&amp;"-L"&amp;TEXT(B567,"00")&amp;"-"&amp;TEXT(C567,"yyyymmdd")&amp;"-"&amp;D567&amp;"-H"&amp;TEXT(E567,"00")&amp;"-"&amp;H567)</f>
        <v>SAMP-KG01-L21-20251224-ORD-2025-00189-H23-Bird Swing</v>
      </c>
      <c r="K567" s="1" t="str">
        <f aca="false">IF(A567="","",IF(AND(G567&gt;=0,I567&gt;=0,I567&lt;=G567),"OK","CHECK"))</f>
        <v>OK</v>
      </c>
      <c r="L567" s="1" t="str">
        <f aca="false">IF(A567="","",IF(AND(E567&gt;=0,E567&lt;=23),"OK","CHECK"))</f>
        <v>OK</v>
      </c>
      <c r="M567" s="1" t="str">
        <f aca="false">IF(A567="","",IF(AND(K567="OK",L567="OK"),"OK","CHECK"))</f>
        <v>OK</v>
      </c>
    </row>
    <row r="568" customFormat="false" ht="18" hidden="false" customHeight="true" outlineLevel="0" collapsed="false">
      <c r="A568" s="9" t="s">
        <v>26</v>
      </c>
      <c r="B568" s="9" t="n">
        <v>21</v>
      </c>
      <c r="C568" s="11" t="n">
        <v>46015</v>
      </c>
      <c r="D568" s="9" t="s">
        <v>78</v>
      </c>
      <c r="E568" s="12" t="n">
        <v>16</v>
      </c>
      <c r="F568" s="9" t="s">
        <v>31</v>
      </c>
      <c r="G568" s="13" t="n">
        <v>150</v>
      </c>
      <c r="H568" s="9" t="s">
        <v>33</v>
      </c>
      <c r="I568" s="13" t="n">
        <v>0</v>
      </c>
      <c r="J568" s="1" t="str">
        <f aca="false">IF(A568="","", "SAMP-"&amp;A568&amp;"-L"&amp;TEXT(B568,"00")&amp;"-"&amp;TEXT(C568,"yyyymmdd")&amp;"-"&amp;D568&amp;"-H"&amp;TEXT(E568,"00")&amp;"-"&amp;H568)</f>
        <v>SAMP-KG01-L21-20251224-ORD-2025-00189-H16-Distortion</v>
      </c>
      <c r="K568" s="1" t="str">
        <f aca="false">IF(A568="","",IF(AND(G568&gt;=0,I568&gt;=0,I568&lt;=G568),"OK","CHECK"))</f>
        <v>OK</v>
      </c>
      <c r="L568" s="1" t="str">
        <f aca="false">IF(A568="","",IF(AND(E568&gt;=0,E568&lt;=23),"OK","CHECK"))</f>
        <v>OK</v>
      </c>
      <c r="M568" s="1" t="str">
        <f aca="false">IF(A568="","",IF(AND(K568="OK",L568="OK"),"OK","CHECK"))</f>
        <v>OK</v>
      </c>
    </row>
    <row r="569" customFormat="false" ht="18" hidden="false" customHeight="true" outlineLevel="0" collapsed="false">
      <c r="A569" s="9" t="s">
        <v>26</v>
      </c>
      <c r="B569" s="9" t="n">
        <v>21</v>
      </c>
      <c r="C569" s="11" t="n">
        <v>46016</v>
      </c>
      <c r="D569" s="9" t="s">
        <v>78</v>
      </c>
      <c r="E569" s="12" t="n">
        <v>9</v>
      </c>
      <c r="F569" s="9" t="s">
        <v>28</v>
      </c>
      <c r="G569" s="13" t="n">
        <v>100</v>
      </c>
      <c r="H569" s="9" t="s">
        <v>38</v>
      </c>
      <c r="I569" s="13" t="n">
        <v>1</v>
      </c>
      <c r="J569" s="1" t="str">
        <f aca="false">IF(A569="","", "SAMP-"&amp;A569&amp;"-L"&amp;TEXT(B569,"00")&amp;"-"&amp;TEXT(C569,"yyyymmdd")&amp;"-"&amp;D569&amp;"-H"&amp;TEXT(E569,"00")&amp;"-"&amp;H569)</f>
        <v>SAMP-KG01-L21-20251225-ORD-2025-00189-H09-Crack</v>
      </c>
      <c r="K569" s="1" t="str">
        <f aca="false">IF(A569="","",IF(AND(G569&gt;=0,I569&gt;=0,I569&lt;=G569),"OK","CHECK"))</f>
        <v>OK</v>
      </c>
      <c r="L569" s="1" t="str">
        <f aca="false">IF(A569="","",IF(AND(E569&gt;=0,E569&lt;=23),"OK","CHECK"))</f>
        <v>OK</v>
      </c>
      <c r="M569" s="1" t="str">
        <f aca="false">IF(A569="","",IF(AND(K569="OK",L569="OK"),"OK","CHECK"))</f>
        <v>OK</v>
      </c>
    </row>
    <row r="570" customFormat="false" ht="18" hidden="false" customHeight="true" outlineLevel="0" collapsed="false">
      <c r="A570" s="9" t="s">
        <v>26</v>
      </c>
      <c r="B570" s="9" t="n">
        <v>21</v>
      </c>
      <c r="C570" s="11" t="n">
        <v>46016</v>
      </c>
      <c r="D570" s="9" t="s">
        <v>78</v>
      </c>
      <c r="E570" s="12" t="n">
        <v>12</v>
      </c>
      <c r="F570" s="9" t="s">
        <v>28</v>
      </c>
      <c r="G570" s="13" t="n">
        <v>200</v>
      </c>
      <c r="H570" s="9" t="s">
        <v>35</v>
      </c>
      <c r="I570" s="13" t="n">
        <v>3</v>
      </c>
      <c r="J570" s="1" t="str">
        <f aca="false">IF(A570="","", "SAMP-"&amp;A570&amp;"-L"&amp;TEXT(B570,"00")&amp;"-"&amp;TEXT(C570,"yyyymmdd")&amp;"-"&amp;D570&amp;"-H"&amp;TEXT(E570,"00")&amp;"-"&amp;H570)</f>
        <v>SAMP-KG01-L21-20251225-ORD-2025-00189-H12-Stone</v>
      </c>
      <c r="K570" s="1" t="str">
        <f aca="false">IF(A570="","",IF(AND(G570&gt;=0,I570&gt;=0,I570&lt;=G570),"OK","CHECK"))</f>
        <v>OK</v>
      </c>
      <c r="L570" s="1" t="str">
        <f aca="false">IF(A570="","",IF(AND(E570&gt;=0,E570&lt;=23),"OK","CHECK"))</f>
        <v>OK</v>
      </c>
      <c r="M570" s="1" t="str">
        <f aca="false">IF(A570="","",IF(AND(K570="OK",L570="OK"),"OK","CHECK"))</f>
        <v>OK</v>
      </c>
    </row>
    <row r="571" customFormat="false" ht="18" hidden="false" customHeight="true" outlineLevel="0" collapsed="false">
      <c r="A571" s="9" t="s">
        <v>26</v>
      </c>
      <c r="B571" s="9" t="n">
        <v>21</v>
      </c>
      <c r="C571" s="11" t="n">
        <v>46016</v>
      </c>
      <c r="D571" s="9" t="s">
        <v>78</v>
      </c>
      <c r="E571" s="12" t="n">
        <v>20</v>
      </c>
      <c r="F571" s="9" t="s">
        <v>31</v>
      </c>
      <c r="G571" s="13" t="n">
        <v>200</v>
      </c>
      <c r="H571" s="9" t="s">
        <v>30</v>
      </c>
      <c r="I571" s="13" t="n">
        <v>3</v>
      </c>
      <c r="J571" s="1" t="str">
        <f aca="false">IF(A571="","", "SAMP-"&amp;A571&amp;"-L"&amp;TEXT(B571,"00")&amp;"-"&amp;TEXT(C571,"yyyymmdd")&amp;"-"&amp;D571&amp;"-H"&amp;TEXT(E571,"00")&amp;"-"&amp;H571)</f>
        <v>SAMP-KG01-L21-20251225-ORD-2025-00189-H20-Overpress</v>
      </c>
      <c r="K571" s="1" t="str">
        <f aca="false">IF(A571="","",IF(AND(G571&gt;=0,I571&gt;=0,I571&lt;=G571),"OK","CHECK"))</f>
        <v>OK</v>
      </c>
      <c r="L571" s="1" t="str">
        <f aca="false">IF(A571="","",IF(AND(E571&gt;=0,E571&lt;=23),"OK","CHECK"))</f>
        <v>OK</v>
      </c>
      <c r="M571" s="1" t="str">
        <f aca="false">IF(A571="","",IF(AND(K571="OK",L571="OK"),"OK","CHECK"))</f>
        <v>OK</v>
      </c>
    </row>
    <row r="572" customFormat="false" ht="18" hidden="false" customHeight="true" outlineLevel="0" collapsed="false">
      <c r="A572" s="9" t="s">
        <v>26</v>
      </c>
      <c r="B572" s="9" t="n">
        <v>21</v>
      </c>
      <c r="C572" s="11" t="n">
        <v>46016</v>
      </c>
      <c r="D572" s="9" t="s">
        <v>78</v>
      </c>
      <c r="E572" s="12" t="n">
        <v>23</v>
      </c>
      <c r="F572" s="9" t="s">
        <v>31</v>
      </c>
      <c r="G572" s="13" t="n">
        <v>200</v>
      </c>
      <c r="H572" s="9" t="s">
        <v>38</v>
      </c>
      <c r="I572" s="13" t="n">
        <v>0</v>
      </c>
      <c r="J572" s="1" t="str">
        <f aca="false">IF(A572="","", "SAMP-"&amp;A572&amp;"-L"&amp;TEXT(B572,"00")&amp;"-"&amp;TEXT(C572,"yyyymmdd")&amp;"-"&amp;D572&amp;"-H"&amp;TEXT(E572,"00")&amp;"-"&amp;H572)</f>
        <v>SAMP-KG01-L21-20251225-ORD-2025-00189-H23-Crack</v>
      </c>
      <c r="K572" s="1" t="str">
        <f aca="false">IF(A572="","",IF(AND(G572&gt;=0,I572&gt;=0,I572&lt;=G572),"OK","CHECK"))</f>
        <v>OK</v>
      </c>
      <c r="L572" s="1" t="str">
        <f aca="false">IF(A572="","",IF(AND(E572&gt;=0,E572&lt;=23),"OK","CHECK"))</f>
        <v>OK</v>
      </c>
      <c r="M572" s="1" t="str">
        <f aca="false">IF(A572="","",IF(AND(K572="OK",L572="OK"),"OK","CHECK"))</f>
        <v>OK</v>
      </c>
    </row>
    <row r="573" customFormat="false" ht="18" hidden="false" customHeight="true" outlineLevel="0" collapsed="false">
      <c r="A573" s="9" t="s">
        <v>26</v>
      </c>
      <c r="B573" s="9" t="n">
        <v>21</v>
      </c>
      <c r="C573" s="11" t="n">
        <v>46016</v>
      </c>
      <c r="D573" s="9" t="s">
        <v>78</v>
      </c>
      <c r="E573" s="12" t="n">
        <v>16</v>
      </c>
      <c r="F573" s="9" t="s">
        <v>31</v>
      </c>
      <c r="G573" s="13" t="n">
        <v>200</v>
      </c>
      <c r="H573" s="9" t="s">
        <v>35</v>
      </c>
      <c r="I573" s="13" t="n">
        <v>3</v>
      </c>
      <c r="J573" s="1" t="str">
        <f aca="false">IF(A573="","", "SAMP-"&amp;A573&amp;"-L"&amp;TEXT(B573,"00")&amp;"-"&amp;TEXT(C573,"yyyymmdd")&amp;"-"&amp;D573&amp;"-H"&amp;TEXT(E573,"00")&amp;"-"&amp;H573)</f>
        <v>SAMP-KG01-L21-20251225-ORD-2025-00189-H16-Stone</v>
      </c>
      <c r="K573" s="1" t="str">
        <f aca="false">IF(A573="","",IF(AND(G573&gt;=0,I573&gt;=0,I573&lt;=G573),"OK","CHECK"))</f>
        <v>OK</v>
      </c>
      <c r="L573" s="1" t="str">
        <f aca="false">IF(A573="","",IF(AND(E573&gt;=0,E573&lt;=23),"OK","CHECK"))</f>
        <v>OK</v>
      </c>
      <c r="M573" s="1" t="str">
        <f aca="false">IF(A573="","",IF(AND(K573="OK",L573="OK"),"OK","CHECK"))</f>
        <v>OK</v>
      </c>
    </row>
    <row r="574" customFormat="false" ht="18" hidden="false" customHeight="true" outlineLevel="0" collapsed="false">
      <c r="A574" s="9" t="s">
        <v>26</v>
      </c>
      <c r="B574" s="9" t="n">
        <v>21</v>
      </c>
      <c r="C574" s="11" t="n">
        <v>46017</v>
      </c>
      <c r="D574" s="9" t="s">
        <v>78</v>
      </c>
      <c r="E574" s="12" t="n">
        <v>9</v>
      </c>
      <c r="F574" s="9" t="s">
        <v>28</v>
      </c>
      <c r="G574" s="13" t="n">
        <v>200</v>
      </c>
      <c r="H574" s="9" t="s">
        <v>35</v>
      </c>
      <c r="I574" s="13" t="n">
        <v>7</v>
      </c>
      <c r="J574" s="1" t="str">
        <f aca="false">IF(A574="","", "SAMP-"&amp;A574&amp;"-L"&amp;TEXT(B574,"00")&amp;"-"&amp;TEXT(C574,"yyyymmdd")&amp;"-"&amp;D574&amp;"-H"&amp;TEXT(E574,"00")&amp;"-"&amp;H574)</f>
        <v>SAMP-KG01-L21-20251226-ORD-2025-00189-H09-Stone</v>
      </c>
      <c r="K574" s="1" t="str">
        <f aca="false">IF(A574="","",IF(AND(G574&gt;=0,I574&gt;=0,I574&lt;=G574),"OK","CHECK"))</f>
        <v>OK</v>
      </c>
      <c r="L574" s="1" t="str">
        <f aca="false">IF(A574="","",IF(AND(E574&gt;=0,E574&lt;=23),"OK","CHECK"))</f>
        <v>OK</v>
      </c>
      <c r="M574" s="1" t="str">
        <f aca="false">IF(A574="","",IF(AND(K574="OK",L574="OK"),"OK","CHECK"))</f>
        <v>OK</v>
      </c>
    </row>
    <row r="575" customFormat="false" ht="18" hidden="false" customHeight="true" outlineLevel="0" collapsed="false">
      <c r="A575" s="9" t="s">
        <v>26</v>
      </c>
      <c r="B575" s="9" t="n">
        <v>21</v>
      </c>
      <c r="C575" s="11" t="n">
        <v>46017</v>
      </c>
      <c r="D575" s="9" t="s">
        <v>78</v>
      </c>
      <c r="E575" s="12" t="n">
        <v>12</v>
      </c>
      <c r="F575" s="9" t="s">
        <v>28</v>
      </c>
      <c r="G575" s="13" t="n">
        <v>150</v>
      </c>
      <c r="H575" s="9" t="s">
        <v>41</v>
      </c>
      <c r="I575" s="13" t="n">
        <v>4</v>
      </c>
      <c r="J575" s="1" t="str">
        <f aca="false">IF(A575="","", "SAMP-"&amp;A575&amp;"-L"&amp;TEXT(B575,"00")&amp;"-"&amp;TEXT(C575,"yyyymmdd")&amp;"-"&amp;D575&amp;"-H"&amp;TEXT(E575,"00")&amp;"-"&amp;H575)</f>
        <v>SAMP-KG01-L21-20251226-ORD-2025-00189-H12-Chip</v>
      </c>
      <c r="K575" s="1" t="str">
        <f aca="false">IF(A575="","",IF(AND(G575&gt;=0,I575&gt;=0,I575&lt;=G575),"OK","CHECK"))</f>
        <v>OK</v>
      </c>
      <c r="L575" s="1" t="str">
        <f aca="false">IF(A575="","",IF(AND(E575&gt;=0,E575&lt;=23),"OK","CHECK"))</f>
        <v>OK</v>
      </c>
      <c r="M575" s="1" t="str">
        <f aca="false">IF(A575="","",IF(AND(K575="OK",L575="OK"),"OK","CHECK"))</f>
        <v>OK</v>
      </c>
    </row>
    <row r="576" customFormat="false" ht="18" hidden="false" customHeight="true" outlineLevel="0" collapsed="false">
      <c r="A576" s="9" t="s">
        <v>26</v>
      </c>
      <c r="B576" s="9" t="n">
        <v>21</v>
      </c>
      <c r="C576" s="11" t="n">
        <v>46017</v>
      </c>
      <c r="D576" s="9" t="s">
        <v>78</v>
      </c>
      <c r="E576" s="12" t="n">
        <v>7</v>
      </c>
      <c r="F576" s="9" t="s">
        <v>28</v>
      </c>
      <c r="G576" s="13" t="n">
        <v>200</v>
      </c>
      <c r="H576" s="9" t="s">
        <v>34</v>
      </c>
      <c r="I576" s="13" t="n">
        <v>4</v>
      </c>
      <c r="J576" s="1" t="str">
        <f aca="false">IF(A576="","", "SAMP-"&amp;A576&amp;"-L"&amp;TEXT(B576,"00")&amp;"-"&amp;TEXT(C576,"yyyymmdd")&amp;"-"&amp;D576&amp;"-H"&amp;TEXT(E576,"00")&amp;"-"&amp;H576)</f>
        <v>SAMP-KG01-L21-20251226-ORD-2025-00189-H07-Thin Wall</v>
      </c>
      <c r="K576" s="1" t="str">
        <f aca="false">IF(A576="","",IF(AND(G576&gt;=0,I576&gt;=0,I576&lt;=G576),"OK","CHECK"))</f>
        <v>OK</v>
      </c>
      <c r="L576" s="1" t="str">
        <f aca="false">IF(A576="","",IF(AND(E576&gt;=0,E576&lt;=23),"OK","CHECK"))</f>
        <v>OK</v>
      </c>
      <c r="M576" s="1" t="str">
        <f aca="false">IF(A576="","",IF(AND(K576="OK",L576="OK"),"OK","CHECK"))</f>
        <v>OK</v>
      </c>
    </row>
    <row r="577" customFormat="false" ht="18" hidden="false" customHeight="true" outlineLevel="0" collapsed="false">
      <c r="A577" s="9" t="s">
        <v>26</v>
      </c>
      <c r="B577" s="9" t="n">
        <v>21</v>
      </c>
      <c r="C577" s="11" t="n">
        <v>46017</v>
      </c>
      <c r="D577" s="9" t="s">
        <v>79</v>
      </c>
      <c r="E577" s="12" t="n">
        <v>16</v>
      </c>
      <c r="F577" s="9" t="s">
        <v>31</v>
      </c>
      <c r="G577" s="13" t="n">
        <v>200</v>
      </c>
      <c r="H577" s="9" t="s">
        <v>35</v>
      </c>
      <c r="I577" s="13" t="n">
        <v>10</v>
      </c>
      <c r="J577" s="1" t="str">
        <f aca="false">IF(A577="","", "SAMP-"&amp;A577&amp;"-L"&amp;TEXT(B577,"00")&amp;"-"&amp;TEXT(C577,"yyyymmdd")&amp;"-"&amp;D577&amp;"-H"&amp;TEXT(E577,"00")&amp;"-"&amp;H577)</f>
        <v>SAMP-KG01-L21-20251226-ORD-2025-00190-H16-Stone</v>
      </c>
      <c r="K577" s="1" t="str">
        <f aca="false">IF(A577="","",IF(AND(G577&gt;=0,I577&gt;=0,I577&lt;=G577),"OK","CHECK"))</f>
        <v>OK</v>
      </c>
      <c r="L577" s="1" t="str">
        <f aca="false">IF(A577="","",IF(AND(E577&gt;=0,E577&lt;=23),"OK","CHECK"))</f>
        <v>OK</v>
      </c>
      <c r="M577" s="1" t="str">
        <f aca="false">IF(A577="","",IF(AND(K577="OK",L577="OK"),"OK","CHECK"))</f>
        <v>OK</v>
      </c>
    </row>
    <row r="578" customFormat="false" ht="18" hidden="false" customHeight="true" outlineLevel="0" collapsed="false">
      <c r="A578" s="9" t="s">
        <v>26</v>
      </c>
      <c r="B578" s="9" t="n">
        <v>21</v>
      </c>
      <c r="C578" s="11" t="n">
        <v>46017</v>
      </c>
      <c r="D578" s="9" t="s">
        <v>79</v>
      </c>
      <c r="E578" s="12" t="n">
        <v>20</v>
      </c>
      <c r="F578" s="9" t="s">
        <v>31</v>
      </c>
      <c r="G578" s="13" t="n">
        <v>50</v>
      </c>
      <c r="H578" s="9" t="s">
        <v>35</v>
      </c>
      <c r="I578" s="13" t="n">
        <v>1</v>
      </c>
      <c r="J578" s="1" t="str">
        <f aca="false">IF(A578="","", "SAMP-"&amp;A578&amp;"-L"&amp;TEXT(B578,"00")&amp;"-"&amp;TEXT(C578,"yyyymmdd")&amp;"-"&amp;D578&amp;"-H"&amp;TEXT(E578,"00")&amp;"-"&amp;H578)</f>
        <v>SAMP-KG01-L21-20251226-ORD-2025-00190-H20-Stone</v>
      </c>
      <c r="K578" s="1" t="str">
        <f aca="false">IF(A578="","",IF(AND(G578&gt;=0,I578&gt;=0,I578&lt;=G578),"OK","CHECK"))</f>
        <v>OK</v>
      </c>
      <c r="L578" s="1" t="str">
        <f aca="false">IF(A578="","",IF(AND(E578&gt;=0,E578&lt;=23),"OK","CHECK"))</f>
        <v>OK</v>
      </c>
      <c r="M578" s="1" t="str">
        <f aca="false">IF(A578="","",IF(AND(K578="OK",L578="OK"),"OK","CHECK"))</f>
        <v>OK</v>
      </c>
    </row>
    <row r="579" customFormat="false" ht="18" hidden="false" customHeight="true" outlineLevel="0" collapsed="false">
      <c r="A579" s="9" t="s">
        <v>26</v>
      </c>
      <c r="B579" s="9" t="n">
        <v>21</v>
      </c>
      <c r="C579" s="11" t="n">
        <v>46017</v>
      </c>
      <c r="D579" s="9" t="s">
        <v>79</v>
      </c>
      <c r="E579" s="12" t="n">
        <v>23</v>
      </c>
      <c r="F579" s="9" t="s">
        <v>31</v>
      </c>
      <c r="G579" s="13" t="n">
        <v>100</v>
      </c>
      <c r="H579" s="9" t="s">
        <v>29</v>
      </c>
      <c r="I579" s="13" t="n">
        <v>2</v>
      </c>
      <c r="J579" s="1" t="str">
        <f aca="false">IF(A579="","", "SAMP-"&amp;A579&amp;"-L"&amp;TEXT(B579,"00")&amp;"-"&amp;TEXT(C579,"yyyymmdd")&amp;"-"&amp;D579&amp;"-H"&amp;TEXT(E579,"00")&amp;"-"&amp;H579)</f>
        <v>SAMP-KG01-L21-20251226-ORD-2025-00190-H23-Choke Neck</v>
      </c>
      <c r="K579" s="1" t="str">
        <f aca="false">IF(A579="","",IF(AND(G579&gt;=0,I579&gt;=0,I579&lt;=G579),"OK","CHECK"))</f>
        <v>OK</v>
      </c>
      <c r="L579" s="1" t="str">
        <f aca="false">IF(A579="","",IF(AND(E579&gt;=0,E579&lt;=23),"OK","CHECK"))</f>
        <v>OK</v>
      </c>
      <c r="M579" s="1" t="str">
        <f aca="false">IF(A579="","",IF(AND(K579="OK",L579="OK"),"OK","CHECK"))</f>
        <v>OK</v>
      </c>
    </row>
    <row r="580" customFormat="false" ht="18" hidden="false" customHeight="true" outlineLevel="0" collapsed="false">
      <c r="A580" s="9" t="s">
        <v>26</v>
      </c>
      <c r="B580" s="9" t="n">
        <v>21</v>
      </c>
      <c r="C580" s="11" t="n">
        <v>46018</v>
      </c>
      <c r="D580" s="9" t="s">
        <v>79</v>
      </c>
      <c r="E580" s="12" t="n">
        <v>7</v>
      </c>
      <c r="F580" s="9" t="s">
        <v>28</v>
      </c>
      <c r="G580" s="13" t="n">
        <v>50</v>
      </c>
      <c r="H580" s="9" t="s">
        <v>38</v>
      </c>
      <c r="I580" s="13" t="n">
        <v>1</v>
      </c>
      <c r="J580" s="1" t="str">
        <f aca="false">IF(A580="","", "SAMP-"&amp;A580&amp;"-L"&amp;TEXT(B580,"00")&amp;"-"&amp;TEXT(C580,"yyyymmdd")&amp;"-"&amp;D580&amp;"-H"&amp;TEXT(E580,"00")&amp;"-"&amp;H580)</f>
        <v>SAMP-KG01-L21-20251227-ORD-2025-00190-H07-Crack</v>
      </c>
      <c r="K580" s="1" t="str">
        <f aca="false">IF(A580="","",IF(AND(G580&gt;=0,I580&gt;=0,I580&lt;=G580),"OK","CHECK"))</f>
        <v>OK</v>
      </c>
      <c r="L580" s="1" t="str">
        <f aca="false">IF(A580="","",IF(AND(E580&gt;=0,E580&lt;=23),"OK","CHECK"))</f>
        <v>OK</v>
      </c>
      <c r="M580" s="1" t="str">
        <f aca="false">IF(A580="","",IF(AND(K580="OK",L580="OK"),"OK","CHECK"))</f>
        <v>OK</v>
      </c>
    </row>
    <row r="581" customFormat="false" ht="18" hidden="false" customHeight="true" outlineLevel="0" collapsed="false">
      <c r="A581" s="9" t="s">
        <v>26</v>
      </c>
      <c r="B581" s="9" t="n">
        <v>21</v>
      </c>
      <c r="C581" s="11" t="n">
        <v>46018</v>
      </c>
      <c r="D581" s="9" t="s">
        <v>79</v>
      </c>
      <c r="E581" s="12" t="n">
        <v>9</v>
      </c>
      <c r="F581" s="9" t="s">
        <v>28</v>
      </c>
      <c r="G581" s="13" t="n">
        <v>200</v>
      </c>
      <c r="H581" s="9" t="s">
        <v>38</v>
      </c>
      <c r="I581" s="13" t="n">
        <v>5</v>
      </c>
      <c r="J581" s="1" t="str">
        <f aca="false">IF(A581="","", "SAMP-"&amp;A581&amp;"-L"&amp;TEXT(B581,"00")&amp;"-"&amp;TEXT(C581,"yyyymmdd")&amp;"-"&amp;D581&amp;"-H"&amp;TEXT(E581,"00")&amp;"-"&amp;H581)</f>
        <v>SAMP-KG01-L21-20251227-ORD-2025-00190-H09-Crack</v>
      </c>
      <c r="K581" s="1" t="str">
        <f aca="false">IF(A581="","",IF(AND(G581&gt;=0,I581&gt;=0,I581&lt;=G581),"OK","CHECK"))</f>
        <v>OK</v>
      </c>
      <c r="L581" s="1" t="str">
        <f aca="false">IF(A581="","",IF(AND(E581&gt;=0,E581&lt;=23),"OK","CHECK"))</f>
        <v>OK</v>
      </c>
      <c r="M581" s="1" t="str">
        <f aca="false">IF(A581="","",IF(AND(K581="OK",L581="OK"),"OK","CHECK"))</f>
        <v>OK</v>
      </c>
    </row>
    <row r="582" customFormat="false" ht="18" hidden="false" customHeight="true" outlineLevel="0" collapsed="false">
      <c r="A582" s="9" t="s">
        <v>26</v>
      </c>
      <c r="B582" s="9" t="n">
        <v>21</v>
      </c>
      <c r="C582" s="11" t="n">
        <v>46018</v>
      </c>
      <c r="D582" s="9" t="s">
        <v>79</v>
      </c>
      <c r="E582" s="12" t="n">
        <v>12</v>
      </c>
      <c r="F582" s="9" t="s">
        <v>28</v>
      </c>
      <c r="G582" s="13" t="n">
        <v>200</v>
      </c>
      <c r="H582" s="9" t="s">
        <v>30</v>
      </c>
      <c r="I582" s="13" t="n">
        <v>3</v>
      </c>
      <c r="J582" s="1" t="str">
        <f aca="false">IF(A582="","", "SAMP-"&amp;A582&amp;"-L"&amp;TEXT(B582,"00")&amp;"-"&amp;TEXT(C582,"yyyymmdd")&amp;"-"&amp;D582&amp;"-H"&amp;TEXT(E582,"00")&amp;"-"&amp;H582)</f>
        <v>SAMP-KG01-L21-20251227-ORD-2025-00190-H12-Overpress</v>
      </c>
      <c r="K582" s="1" t="str">
        <f aca="false">IF(A582="","",IF(AND(G582&gt;=0,I582&gt;=0,I582&lt;=G582),"OK","CHECK"))</f>
        <v>OK</v>
      </c>
      <c r="L582" s="1" t="str">
        <f aca="false">IF(A582="","",IF(AND(E582&gt;=0,E582&lt;=23),"OK","CHECK"))</f>
        <v>OK</v>
      </c>
      <c r="M582" s="1" t="str">
        <f aca="false">IF(A582="","",IF(AND(K582="OK",L582="OK"),"OK","CHECK"))</f>
        <v>OK</v>
      </c>
    </row>
    <row r="583" customFormat="false" ht="18" hidden="false" customHeight="true" outlineLevel="0" collapsed="false">
      <c r="A583" s="9" t="s">
        <v>26</v>
      </c>
      <c r="B583" s="9" t="n">
        <v>21</v>
      </c>
      <c r="C583" s="11" t="n">
        <v>46018</v>
      </c>
      <c r="D583" s="9" t="s">
        <v>79</v>
      </c>
      <c r="E583" s="12" t="n">
        <v>16</v>
      </c>
      <c r="F583" s="9" t="s">
        <v>31</v>
      </c>
      <c r="G583" s="13" t="n">
        <v>150</v>
      </c>
      <c r="H583" s="9" t="s">
        <v>29</v>
      </c>
      <c r="I583" s="13" t="n">
        <v>6</v>
      </c>
      <c r="J583" s="1" t="str">
        <f aca="false">IF(A583="","", "SAMP-"&amp;A583&amp;"-L"&amp;TEXT(B583,"00")&amp;"-"&amp;TEXT(C583,"yyyymmdd")&amp;"-"&amp;D583&amp;"-H"&amp;TEXT(E583,"00")&amp;"-"&amp;H583)</f>
        <v>SAMP-KG01-L21-20251227-ORD-2025-00190-H16-Choke Neck</v>
      </c>
      <c r="K583" s="1" t="str">
        <f aca="false">IF(A583="","",IF(AND(G583&gt;=0,I583&gt;=0,I583&lt;=G583),"OK","CHECK"))</f>
        <v>OK</v>
      </c>
      <c r="L583" s="1" t="str">
        <f aca="false">IF(A583="","",IF(AND(E583&gt;=0,E583&lt;=23),"OK","CHECK"))</f>
        <v>OK</v>
      </c>
      <c r="M583" s="1" t="str">
        <f aca="false">IF(A583="","",IF(AND(K583="OK",L583="OK"),"OK","CHECK"))</f>
        <v>OK</v>
      </c>
    </row>
    <row r="584" customFormat="false" ht="18" hidden="false" customHeight="true" outlineLevel="0" collapsed="false">
      <c r="A584" s="9" t="s">
        <v>26</v>
      </c>
      <c r="B584" s="9" t="n">
        <v>21</v>
      </c>
      <c r="C584" s="11" t="n">
        <v>46018</v>
      </c>
      <c r="D584" s="9" t="s">
        <v>79</v>
      </c>
      <c r="E584" s="12" t="n">
        <v>23</v>
      </c>
      <c r="F584" s="9" t="s">
        <v>31</v>
      </c>
      <c r="G584" s="13" t="n">
        <v>150</v>
      </c>
      <c r="H584" s="9" t="s">
        <v>37</v>
      </c>
      <c r="I584" s="13" t="n">
        <v>0</v>
      </c>
      <c r="J584" s="1" t="str">
        <f aca="false">IF(A584="","", "SAMP-"&amp;A584&amp;"-L"&amp;TEXT(B584,"00")&amp;"-"&amp;TEXT(C584,"yyyymmdd")&amp;"-"&amp;D584&amp;"-H"&amp;TEXT(E584,"00")&amp;"-"&amp;H584)</f>
        <v>SAMP-KG01-L21-20251227-ORD-2025-00190-H23-Bird Swing</v>
      </c>
      <c r="K584" s="1" t="str">
        <f aca="false">IF(A584="","",IF(AND(G584&gt;=0,I584&gt;=0,I584&lt;=G584),"OK","CHECK"))</f>
        <v>OK</v>
      </c>
      <c r="L584" s="1" t="str">
        <f aca="false">IF(A584="","",IF(AND(E584&gt;=0,E584&lt;=23),"OK","CHECK"))</f>
        <v>OK</v>
      </c>
      <c r="M584" s="1" t="str">
        <f aca="false">IF(A584="","",IF(AND(K584="OK",L584="OK"),"OK","CHECK"))</f>
        <v>OK</v>
      </c>
    </row>
    <row r="585" customFormat="false" ht="18" hidden="false" customHeight="true" outlineLevel="0" collapsed="false">
      <c r="A585" s="9" t="s">
        <v>26</v>
      </c>
      <c r="B585" s="9" t="n">
        <v>21</v>
      </c>
      <c r="C585" s="11" t="n">
        <v>46019</v>
      </c>
      <c r="D585" s="9" t="s">
        <v>79</v>
      </c>
      <c r="E585" s="12" t="n">
        <v>12</v>
      </c>
      <c r="F585" s="9" t="s">
        <v>28</v>
      </c>
      <c r="G585" s="13" t="n">
        <v>50</v>
      </c>
      <c r="H585" s="9" t="s">
        <v>37</v>
      </c>
      <c r="I585" s="13" t="n">
        <v>1</v>
      </c>
      <c r="J585" s="1" t="str">
        <f aca="false">IF(A585="","", "SAMP-"&amp;A585&amp;"-L"&amp;TEXT(B585,"00")&amp;"-"&amp;TEXT(C585,"yyyymmdd")&amp;"-"&amp;D585&amp;"-H"&amp;TEXT(E585,"00")&amp;"-"&amp;H585)</f>
        <v>SAMP-KG01-L21-20251228-ORD-2025-00190-H12-Bird Swing</v>
      </c>
      <c r="K585" s="1" t="str">
        <f aca="false">IF(A585="","",IF(AND(G585&gt;=0,I585&gt;=0,I585&lt;=G585),"OK","CHECK"))</f>
        <v>OK</v>
      </c>
      <c r="L585" s="1" t="str">
        <f aca="false">IF(A585="","",IF(AND(E585&gt;=0,E585&lt;=23),"OK","CHECK"))</f>
        <v>OK</v>
      </c>
      <c r="M585" s="1" t="str">
        <f aca="false">IF(A585="","",IF(AND(K585="OK",L585="OK"),"OK","CHECK"))</f>
        <v>OK</v>
      </c>
    </row>
    <row r="586" customFormat="false" ht="18" hidden="false" customHeight="true" outlineLevel="0" collapsed="false">
      <c r="A586" s="9" t="s">
        <v>26</v>
      </c>
      <c r="B586" s="9" t="n">
        <v>21</v>
      </c>
      <c r="C586" s="11" t="n">
        <v>46019</v>
      </c>
      <c r="D586" s="9" t="s">
        <v>79</v>
      </c>
      <c r="E586" s="12" t="n">
        <v>7</v>
      </c>
      <c r="F586" s="9" t="s">
        <v>28</v>
      </c>
      <c r="G586" s="13" t="n">
        <v>200</v>
      </c>
      <c r="H586" s="9" t="s">
        <v>35</v>
      </c>
      <c r="I586" s="13" t="n">
        <v>2</v>
      </c>
      <c r="J586" s="1" t="str">
        <f aca="false">IF(A586="","", "SAMP-"&amp;A586&amp;"-L"&amp;TEXT(B586,"00")&amp;"-"&amp;TEXT(C586,"yyyymmdd")&amp;"-"&amp;D586&amp;"-H"&amp;TEXT(E586,"00")&amp;"-"&amp;H586)</f>
        <v>SAMP-KG01-L21-20251228-ORD-2025-00190-H07-Stone</v>
      </c>
      <c r="K586" s="1" t="str">
        <f aca="false">IF(A586="","",IF(AND(G586&gt;=0,I586&gt;=0,I586&lt;=G586),"OK","CHECK"))</f>
        <v>OK</v>
      </c>
      <c r="L586" s="1" t="str">
        <f aca="false">IF(A586="","",IF(AND(E586&gt;=0,E586&lt;=23),"OK","CHECK"))</f>
        <v>OK</v>
      </c>
      <c r="M586" s="1" t="str">
        <f aca="false">IF(A586="","",IF(AND(K586="OK",L586="OK"),"OK","CHECK"))</f>
        <v>OK</v>
      </c>
    </row>
    <row r="587" customFormat="false" ht="18" hidden="false" customHeight="true" outlineLevel="0" collapsed="false">
      <c r="A587" s="9" t="s">
        <v>26</v>
      </c>
      <c r="B587" s="9" t="n">
        <v>21</v>
      </c>
      <c r="C587" s="11" t="n">
        <v>46019</v>
      </c>
      <c r="D587" s="9" t="s">
        <v>79</v>
      </c>
      <c r="E587" s="12" t="n">
        <v>23</v>
      </c>
      <c r="F587" s="9" t="s">
        <v>31</v>
      </c>
      <c r="G587" s="13" t="n">
        <v>50</v>
      </c>
      <c r="H587" s="9" t="s">
        <v>29</v>
      </c>
      <c r="I587" s="13" t="n">
        <v>0</v>
      </c>
      <c r="J587" s="1" t="str">
        <f aca="false">IF(A587="","", "SAMP-"&amp;A587&amp;"-L"&amp;TEXT(B587,"00")&amp;"-"&amp;TEXT(C587,"yyyymmdd")&amp;"-"&amp;D587&amp;"-H"&amp;TEXT(E587,"00")&amp;"-"&amp;H587)</f>
        <v>SAMP-KG01-L21-20251228-ORD-2025-00190-H23-Choke Neck</v>
      </c>
      <c r="K587" s="1" t="str">
        <f aca="false">IF(A587="","",IF(AND(G587&gt;=0,I587&gt;=0,I587&lt;=G587),"OK","CHECK"))</f>
        <v>OK</v>
      </c>
      <c r="L587" s="1" t="str">
        <f aca="false">IF(A587="","",IF(AND(E587&gt;=0,E587&lt;=23),"OK","CHECK"))</f>
        <v>OK</v>
      </c>
      <c r="M587" s="1" t="str">
        <f aca="false">IF(A587="","",IF(AND(K587="OK",L587="OK"),"OK","CHECK"))</f>
        <v>OK</v>
      </c>
    </row>
    <row r="588" customFormat="false" ht="18" hidden="false" customHeight="true" outlineLevel="0" collapsed="false">
      <c r="A588" s="9" t="s">
        <v>26</v>
      </c>
      <c r="B588" s="9" t="n">
        <v>21</v>
      </c>
      <c r="C588" s="11" t="n">
        <v>46019</v>
      </c>
      <c r="D588" s="9" t="s">
        <v>79</v>
      </c>
      <c r="E588" s="12" t="n">
        <v>20</v>
      </c>
      <c r="F588" s="9" t="s">
        <v>31</v>
      </c>
      <c r="G588" s="13" t="n">
        <v>150</v>
      </c>
      <c r="H588" s="9" t="s">
        <v>30</v>
      </c>
      <c r="I588" s="13" t="n">
        <v>5</v>
      </c>
      <c r="J588" s="1" t="str">
        <f aca="false">IF(A588="","", "SAMP-"&amp;A588&amp;"-L"&amp;TEXT(B588,"00")&amp;"-"&amp;TEXT(C588,"yyyymmdd")&amp;"-"&amp;D588&amp;"-H"&amp;TEXT(E588,"00")&amp;"-"&amp;H588)</f>
        <v>SAMP-KG01-L21-20251228-ORD-2025-00190-H20-Overpress</v>
      </c>
      <c r="K588" s="1" t="str">
        <f aca="false">IF(A588="","",IF(AND(G588&gt;=0,I588&gt;=0,I588&lt;=G588),"OK","CHECK"))</f>
        <v>OK</v>
      </c>
      <c r="L588" s="1" t="str">
        <f aca="false">IF(A588="","",IF(AND(E588&gt;=0,E588&lt;=23),"OK","CHECK"))</f>
        <v>OK</v>
      </c>
      <c r="M588" s="1" t="str">
        <f aca="false">IF(A588="","",IF(AND(K588="OK",L588="OK"),"OK","CHECK"))</f>
        <v>OK</v>
      </c>
    </row>
    <row r="589" customFormat="false" ht="18" hidden="false" customHeight="true" outlineLevel="0" collapsed="false">
      <c r="A589" s="9" t="s">
        <v>26</v>
      </c>
      <c r="B589" s="9" t="n">
        <v>21</v>
      </c>
      <c r="C589" s="11" t="n">
        <v>46019</v>
      </c>
      <c r="D589" s="9" t="s">
        <v>79</v>
      </c>
      <c r="E589" s="12" t="n">
        <v>16</v>
      </c>
      <c r="F589" s="9" t="s">
        <v>31</v>
      </c>
      <c r="G589" s="13" t="n">
        <v>100</v>
      </c>
      <c r="H589" s="9" t="s">
        <v>34</v>
      </c>
      <c r="I589" s="13" t="n">
        <v>2</v>
      </c>
      <c r="J589" s="1" t="str">
        <f aca="false">IF(A589="","", "SAMP-"&amp;A589&amp;"-L"&amp;TEXT(B589,"00")&amp;"-"&amp;TEXT(C589,"yyyymmdd")&amp;"-"&amp;D589&amp;"-H"&amp;TEXT(E589,"00")&amp;"-"&amp;H589)</f>
        <v>SAMP-KG01-L21-20251228-ORD-2025-00190-H16-Thin Wall</v>
      </c>
      <c r="K589" s="1" t="str">
        <f aca="false">IF(A589="","",IF(AND(G589&gt;=0,I589&gt;=0,I589&lt;=G589),"OK","CHECK"))</f>
        <v>OK</v>
      </c>
      <c r="L589" s="1" t="str">
        <f aca="false">IF(A589="","",IF(AND(E589&gt;=0,E589&lt;=23),"OK","CHECK"))</f>
        <v>OK</v>
      </c>
      <c r="M589" s="1" t="str">
        <f aca="false">IF(A589="","",IF(AND(K589="OK",L589="OK"),"OK","CHECK"))</f>
        <v>OK</v>
      </c>
    </row>
    <row r="590" customFormat="false" ht="18" hidden="false" customHeight="true" outlineLevel="0" collapsed="false">
      <c r="A590" s="9" t="s">
        <v>26</v>
      </c>
      <c r="B590" s="9" t="n">
        <v>21</v>
      </c>
      <c r="C590" s="11" t="n">
        <v>46020</v>
      </c>
      <c r="D590" s="9" t="s">
        <v>79</v>
      </c>
      <c r="E590" s="12" t="n">
        <v>7</v>
      </c>
      <c r="F590" s="9" t="s">
        <v>28</v>
      </c>
      <c r="G590" s="13" t="n">
        <v>100</v>
      </c>
      <c r="H590" s="9" t="s">
        <v>38</v>
      </c>
      <c r="I590" s="13" t="n">
        <v>1</v>
      </c>
      <c r="J590" s="1" t="str">
        <f aca="false">IF(A590="","", "SAMP-"&amp;A590&amp;"-L"&amp;TEXT(B590,"00")&amp;"-"&amp;TEXT(C590,"yyyymmdd")&amp;"-"&amp;D590&amp;"-H"&amp;TEXT(E590,"00")&amp;"-"&amp;H590)</f>
        <v>SAMP-KG01-L21-20251229-ORD-2025-00190-H07-Crack</v>
      </c>
      <c r="K590" s="1" t="str">
        <f aca="false">IF(A590="","",IF(AND(G590&gt;=0,I590&gt;=0,I590&lt;=G590),"OK","CHECK"))</f>
        <v>OK</v>
      </c>
      <c r="L590" s="1" t="str">
        <f aca="false">IF(A590="","",IF(AND(E590&gt;=0,E590&lt;=23),"OK","CHECK"))</f>
        <v>OK</v>
      </c>
      <c r="M590" s="1" t="str">
        <f aca="false">IF(A590="","",IF(AND(K590="OK",L590="OK"),"OK","CHECK"))</f>
        <v>OK</v>
      </c>
    </row>
    <row r="591" customFormat="false" ht="18" hidden="false" customHeight="true" outlineLevel="0" collapsed="false">
      <c r="A591" s="9" t="s">
        <v>26</v>
      </c>
      <c r="B591" s="9" t="n">
        <v>21</v>
      </c>
      <c r="C591" s="11" t="n">
        <v>46020</v>
      </c>
      <c r="D591" s="9" t="s">
        <v>79</v>
      </c>
      <c r="E591" s="12" t="n">
        <v>12</v>
      </c>
      <c r="F591" s="9" t="s">
        <v>28</v>
      </c>
      <c r="G591" s="13" t="n">
        <v>200</v>
      </c>
      <c r="H591" s="9" t="s">
        <v>41</v>
      </c>
      <c r="I591" s="13" t="n">
        <v>0</v>
      </c>
      <c r="J591" s="1" t="str">
        <f aca="false">IF(A591="","", "SAMP-"&amp;A591&amp;"-L"&amp;TEXT(B591,"00")&amp;"-"&amp;TEXT(C591,"yyyymmdd")&amp;"-"&amp;D591&amp;"-H"&amp;TEXT(E591,"00")&amp;"-"&amp;H591)</f>
        <v>SAMP-KG01-L21-20251229-ORD-2025-00190-H12-Chip</v>
      </c>
      <c r="K591" s="1" t="str">
        <f aca="false">IF(A591="","",IF(AND(G591&gt;=0,I591&gt;=0,I591&lt;=G591),"OK","CHECK"))</f>
        <v>OK</v>
      </c>
      <c r="L591" s="1" t="str">
        <f aca="false">IF(A591="","",IF(AND(E591&gt;=0,E591&lt;=23),"OK","CHECK"))</f>
        <v>OK</v>
      </c>
      <c r="M591" s="1" t="str">
        <f aca="false">IF(A591="","",IF(AND(K591="OK",L591="OK"),"OK","CHECK"))</f>
        <v>OK</v>
      </c>
    </row>
    <row r="592" customFormat="false" ht="18" hidden="false" customHeight="true" outlineLevel="0" collapsed="false">
      <c r="A592" s="9" t="s">
        <v>26</v>
      </c>
      <c r="B592" s="9" t="n">
        <v>21</v>
      </c>
      <c r="C592" s="11" t="n">
        <v>46020</v>
      </c>
      <c r="D592" s="9" t="s">
        <v>79</v>
      </c>
      <c r="E592" s="12" t="n">
        <v>9</v>
      </c>
      <c r="F592" s="9" t="s">
        <v>28</v>
      </c>
      <c r="G592" s="13" t="n">
        <v>150</v>
      </c>
      <c r="H592" s="9" t="s">
        <v>33</v>
      </c>
      <c r="I592" s="13" t="n">
        <v>9</v>
      </c>
      <c r="J592" s="1" t="str">
        <f aca="false">IF(A592="","", "SAMP-"&amp;A592&amp;"-L"&amp;TEXT(B592,"00")&amp;"-"&amp;TEXT(C592,"yyyymmdd")&amp;"-"&amp;D592&amp;"-H"&amp;TEXT(E592,"00")&amp;"-"&amp;H592)</f>
        <v>SAMP-KG01-L21-20251229-ORD-2025-00190-H09-Distortion</v>
      </c>
      <c r="K592" s="1" t="str">
        <f aca="false">IF(A592="","",IF(AND(G592&gt;=0,I592&gt;=0,I592&lt;=G592),"OK","CHECK"))</f>
        <v>OK</v>
      </c>
      <c r="L592" s="1" t="str">
        <f aca="false">IF(A592="","",IF(AND(E592&gt;=0,E592&lt;=23),"OK","CHECK"))</f>
        <v>OK</v>
      </c>
      <c r="M592" s="1" t="str">
        <f aca="false">IF(A592="","",IF(AND(K592="OK",L592="OK"),"OK","CHECK"))</f>
        <v>OK</v>
      </c>
    </row>
    <row r="593" customFormat="false" ht="18" hidden="false" customHeight="true" outlineLevel="0" collapsed="false">
      <c r="A593" s="9" t="s">
        <v>26</v>
      </c>
      <c r="B593" s="9" t="n">
        <v>21</v>
      </c>
      <c r="C593" s="11" t="n">
        <v>46020</v>
      </c>
      <c r="D593" s="9" t="s">
        <v>79</v>
      </c>
      <c r="E593" s="12" t="n">
        <v>20</v>
      </c>
      <c r="F593" s="9" t="s">
        <v>31</v>
      </c>
      <c r="G593" s="13" t="n">
        <v>150</v>
      </c>
      <c r="H593" s="9" t="s">
        <v>33</v>
      </c>
      <c r="I593" s="13" t="n">
        <v>4</v>
      </c>
      <c r="J593" s="1" t="str">
        <f aca="false">IF(A593="","", "SAMP-"&amp;A593&amp;"-L"&amp;TEXT(B593,"00")&amp;"-"&amp;TEXT(C593,"yyyymmdd")&amp;"-"&amp;D593&amp;"-H"&amp;TEXT(E593,"00")&amp;"-"&amp;H593)</f>
        <v>SAMP-KG01-L21-20251229-ORD-2025-00190-H20-Distortion</v>
      </c>
      <c r="K593" s="1" t="str">
        <f aca="false">IF(A593="","",IF(AND(G593&gt;=0,I593&gt;=0,I593&lt;=G593),"OK","CHECK"))</f>
        <v>OK</v>
      </c>
      <c r="L593" s="1" t="str">
        <f aca="false">IF(A593="","",IF(AND(E593&gt;=0,E593&lt;=23),"OK","CHECK"))</f>
        <v>OK</v>
      </c>
      <c r="M593" s="1" t="str">
        <f aca="false">IF(A593="","",IF(AND(K593="OK",L593="OK"),"OK","CHECK"))</f>
        <v>OK</v>
      </c>
    </row>
    <row r="594" customFormat="false" ht="18" hidden="false" customHeight="true" outlineLevel="0" collapsed="false">
      <c r="A594" s="9" t="s">
        <v>26</v>
      </c>
      <c r="B594" s="9" t="n">
        <v>21</v>
      </c>
      <c r="C594" s="11" t="n">
        <v>46020</v>
      </c>
      <c r="D594" s="9" t="s">
        <v>79</v>
      </c>
      <c r="E594" s="12" t="n">
        <v>23</v>
      </c>
      <c r="F594" s="9" t="s">
        <v>31</v>
      </c>
      <c r="G594" s="13" t="n">
        <v>200</v>
      </c>
      <c r="H594" s="9" t="s">
        <v>29</v>
      </c>
      <c r="I594" s="13" t="n">
        <v>1</v>
      </c>
      <c r="J594" s="1" t="str">
        <f aca="false">IF(A594="","", "SAMP-"&amp;A594&amp;"-L"&amp;TEXT(B594,"00")&amp;"-"&amp;TEXT(C594,"yyyymmdd")&amp;"-"&amp;D594&amp;"-H"&amp;TEXT(E594,"00")&amp;"-"&amp;H594)</f>
        <v>SAMP-KG01-L21-20251229-ORD-2025-00190-H23-Choke Neck</v>
      </c>
      <c r="K594" s="1" t="str">
        <f aca="false">IF(A594="","",IF(AND(G594&gt;=0,I594&gt;=0,I594&lt;=G594),"OK","CHECK"))</f>
        <v>OK</v>
      </c>
      <c r="L594" s="1" t="str">
        <f aca="false">IF(A594="","",IF(AND(E594&gt;=0,E594&lt;=23),"OK","CHECK"))</f>
        <v>OK</v>
      </c>
      <c r="M594" s="1" t="str">
        <f aca="false">IF(A594="","",IF(AND(K594="OK",L594="OK"),"OK","CHECK"))</f>
        <v>OK</v>
      </c>
    </row>
    <row r="595" customFormat="false" ht="18" hidden="false" customHeight="true" outlineLevel="0" collapsed="false">
      <c r="A595" s="9" t="s">
        <v>26</v>
      </c>
      <c r="B595" s="9" t="n">
        <v>21</v>
      </c>
      <c r="C595" s="11" t="n">
        <v>46020</v>
      </c>
      <c r="D595" s="9" t="s">
        <v>79</v>
      </c>
      <c r="E595" s="12" t="n">
        <v>16</v>
      </c>
      <c r="F595" s="9" t="s">
        <v>31</v>
      </c>
      <c r="G595" s="13" t="n">
        <v>150</v>
      </c>
      <c r="H595" s="9" t="s">
        <v>30</v>
      </c>
      <c r="I595" s="13" t="n">
        <v>0</v>
      </c>
      <c r="J595" s="1" t="str">
        <f aca="false">IF(A595="","", "SAMP-"&amp;A595&amp;"-L"&amp;TEXT(B595,"00")&amp;"-"&amp;TEXT(C595,"yyyymmdd")&amp;"-"&amp;D595&amp;"-H"&amp;TEXT(E595,"00")&amp;"-"&amp;H595)</f>
        <v>SAMP-KG01-L21-20251229-ORD-2025-00190-H16-Overpress</v>
      </c>
      <c r="K595" s="1" t="str">
        <f aca="false">IF(A595="","",IF(AND(G595&gt;=0,I595&gt;=0,I595&lt;=G595),"OK","CHECK"))</f>
        <v>OK</v>
      </c>
      <c r="L595" s="1" t="str">
        <f aca="false">IF(A595="","",IF(AND(E595&gt;=0,E595&lt;=23),"OK","CHECK"))</f>
        <v>OK</v>
      </c>
      <c r="M595" s="1" t="str">
        <f aca="false">IF(A595="","",IF(AND(K595="OK",L595="OK"),"OK","CHECK"))</f>
        <v>OK</v>
      </c>
    </row>
    <row r="596" customFormat="false" ht="18" hidden="false" customHeight="true" outlineLevel="0" collapsed="false">
      <c r="A596" s="9" t="s">
        <v>26</v>
      </c>
      <c r="B596" s="9" t="n">
        <v>21</v>
      </c>
      <c r="C596" s="11" t="n">
        <v>46021</v>
      </c>
      <c r="D596" s="9" t="s">
        <v>79</v>
      </c>
      <c r="E596" s="12" t="n">
        <v>12</v>
      </c>
      <c r="F596" s="9" t="s">
        <v>28</v>
      </c>
      <c r="G596" s="13" t="n">
        <v>50</v>
      </c>
      <c r="H596" s="9" t="s">
        <v>41</v>
      </c>
      <c r="I596" s="13" t="n">
        <v>1</v>
      </c>
      <c r="J596" s="1" t="str">
        <f aca="false">IF(A596="","", "SAMP-"&amp;A596&amp;"-L"&amp;TEXT(B596,"00")&amp;"-"&amp;TEXT(C596,"yyyymmdd")&amp;"-"&amp;D596&amp;"-H"&amp;TEXT(E596,"00")&amp;"-"&amp;H596)</f>
        <v>SAMP-KG01-L21-20251230-ORD-2025-00190-H12-Chip</v>
      </c>
      <c r="K596" s="1" t="str">
        <f aca="false">IF(A596="","",IF(AND(G596&gt;=0,I596&gt;=0,I596&lt;=G596),"OK","CHECK"))</f>
        <v>OK</v>
      </c>
      <c r="L596" s="1" t="str">
        <f aca="false">IF(A596="","",IF(AND(E596&gt;=0,E596&lt;=23),"OK","CHECK"))</f>
        <v>OK</v>
      </c>
      <c r="M596" s="1" t="str">
        <f aca="false">IF(A596="","",IF(AND(K596="OK",L596="OK"),"OK","CHECK"))</f>
        <v>OK</v>
      </c>
    </row>
    <row r="597" customFormat="false" ht="18" hidden="false" customHeight="true" outlineLevel="0" collapsed="false">
      <c r="A597" s="9" t="s">
        <v>26</v>
      </c>
      <c r="B597" s="9" t="n">
        <v>21</v>
      </c>
      <c r="C597" s="11" t="n">
        <v>46021</v>
      </c>
      <c r="D597" s="9" t="s">
        <v>79</v>
      </c>
      <c r="E597" s="12" t="n">
        <v>7</v>
      </c>
      <c r="F597" s="9" t="s">
        <v>28</v>
      </c>
      <c r="G597" s="13" t="n">
        <v>50</v>
      </c>
      <c r="H597" s="9" t="s">
        <v>38</v>
      </c>
      <c r="I597" s="13" t="n">
        <v>1</v>
      </c>
      <c r="J597" s="1" t="str">
        <f aca="false">IF(A597="","", "SAMP-"&amp;A597&amp;"-L"&amp;TEXT(B597,"00")&amp;"-"&amp;TEXT(C597,"yyyymmdd")&amp;"-"&amp;D597&amp;"-H"&amp;TEXT(E597,"00")&amp;"-"&amp;H597)</f>
        <v>SAMP-KG01-L21-20251230-ORD-2025-00190-H07-Crack</v>
      </c>
      <c r="K597" s="1" t="str">
        <f aca="false">IF(A597="","",IF(AND(G597&gt;=0,I597&gt;=0,I597&lt;=G597),"OK","CHECK"))</f>
        <v>OK</v>
      </c>
      <c r="L597" s="1" t="str">
        <f aca="false">IF(A597="","",IF(AND(E597&gt;=0,E597&lt;=23),"OK","CHECK"))</f>
        <v>OK</v>
      </c>
      <c r="M597" s="1" t="str">
        <f aca="false">IF(A597="","",IF(AND(K597="OK",L597="OK"),"OK","CHECK"))</f>
        <v>OK</v>
      </c>
    </row>
    <row r="598" customFormat="false" ht="18" hidden="false" customHeight="true" outlineLevel="0" collapsed="false">
      <c r="A598" s="9" t="s">
        <v>26</v>
      </c>
      <c r="B598" s="9" t="n">
        <v>21</v>
      </c>
      <c r="C598" s="11" t="n">
        <v>46021</v>
      </c>
      <c r="D598" s="9" t="s">
        <v>79</v>
      </c>
      <c r="E598" s="12" t="n">
        <v>9</v>
      </c>
      <c r="F598" s="9" t="s">
        <v>28</v>
      </c>
      <c r="G598" s="13" t="n">
        <v>50</v>
      </c>
      <c r="H598" s="9" t="s">
        <v>33</v>
      </c>
      <c r="I598" s="13" t="n">
        <v>0</v>
      </c>
      <c r="J598" s="1" t="str">
        <f aca="false">IF(A598="","", "SAMP-"&amp;A598&amp;"-L"&amp;TEXT(B598,"00")&amp;"-"&amp;TEXT(C598,"yyyymmdd")&amp;"-"&amp;D598&amp;"-H"&amp;TEXT(E598,"00")&amp;"-"&amp;H598)</f>
        <v>SAMP-KG01-L21-20251230-ORD-2025-00190-H09-Distortion</v>
      </c>
      <c r="K598" s="1" t="str">
        <f aca="false">IF(A598="","",IF(AND(G598&gt;=0,I598&gt;=0,I598&lt;=G598),"OK","CHECK"))</f>
        <v>OK</v>
      </c>
      <c r="L598" s="1" t="str">
        <f aca="false">IF(A598="","",IF(AND(E598&gt;=0,E598&lt;=23),"OK","CHECK"))</f>
        <v>OK</v>
      </c>
      <c r="M598" s="1" t="str">
        <f aca="false">IF(A598="","",IF(AND(K598="OK",L598="OK"),"OK","CHECK"))</f>
        <v>OK</v>
      </c>
    </row>
    <row r="599" customFormat="false" ht="18" hidden="false" customHeight="true" outlineLevel="0" collapsed="false">
      <c r="A599" s="9" t="s">
        <v>26</v>
      </c>
      <c r="B599" s="9" t="n">
        <v>21</v>
      </c>
      <c r="C599" s="11" t="n">
        <v>46021</v>
      </c>
      <c r="D599" s="9" t="s">
        <v>80</v>
      </c>
      <c r="E599" s="12" t="n">
        <v>16</v>
      </c>
      <c r="F599" s="9" t="s">
        <v>31</v>
      </c>
      <c r="G599" s="13" t="n">
        <v>150</v>
      </c>
      <c r="H599" s="9" t="s">
        <v>35</v>
      </c>
      <c r="I599" s="13" t="n">
        <v>5</v>
      </c>
      <c r="J599" s="1" t="str">
        <f aca="false">IF(A599="","", "SAMP-"&amp;A599&amp;"-L"&amp;TEXT(B599,"00")&amp;"-"&amp;TEXT(C599,"yyyymmdd")&amp;"-"&amp;D599&amp;"-H"&amp;TEXT(E599,"00")&amp;"-"&amp;H599)</f>
        <v>SAMP-KG01-L21-20251230-ORD-2025-00191-H16-Stone</v>
      </c>
      <c r="K599" s="1" t="str">
        <f aca="false">IF(A599="","",IF(AND(G599&gt;=0,I599&gt;=0,I599&lt;=G599),"OK","CHECK"))</f>
        <v>OK</v>
      </c>
      <c r="L599" s="1" t="str">
        <f aca="false">IF(A599="","",IF(AND(E599&gt;=0,E599&lt;=23),"OK","CHECK"))</f>
        <v>OK</v>
      </c>
      <c r="M599" s="1" t="str">
        <f aca="false">IF(A599="","",IF(AND(K599="OK",L599="OK"),"OK","CHECK"))</f>
        <v>OK</v>
      </c>
    </row>
    <row r="600" customFormat="false" ht="18" hidden="false" customHeight="true" outlineLevel="0" collapsed="false">
      <c r="A600" s="9" t="s">
        <v>26</v>
      </c>
      <c r="B600" s="9" t="n">
        <v>21</v>
      </c>
      <c r="C600" s="11" t="n">
        <v>46021</v>
      </c>
      <c r="D600" s="9" t="s">
        <v>80</v>
      </c>
      <c r="E600" s="12" t="n">
        <v>23</v>
      </c>
      <c r="F600" s="9" t="s">
        <v>31</v>
      </c>
      <c r="G600" s="13" t="n">
        <v>150</v>
      </c>
      <c r="H600" s="9" t="s">
        <v>35</v>
      </c>
      <c r="I600" s="13" t="n">
        <v>5</v>
      </c>
      <c r="J600" s="1" t="str">
        <f aca="false">IF(A600="","", "SAMP-"&amp;A600&amp;"-L"&amp;TEXT(B600,"00")&amp;"-"&amp;TEXT(C600,"yyyymmdd")&amp;"-"&amp;D600&amp;"-H"&amp;TEXT(E600,"00")&amp;"-"&amp;H600)</f>
        <v>SAMP-KG01-L21-20251230-ORD-2025-00191-H23-Stone</v>
      </c>
      <c r="K600" s="1" t="str">
        <f aca="false">IF(A600="","",IF(AND(G600&gt;=0,I600&gt;=0,I600&lt;=G600),"OK","CHECK"))</f>
        <v>OK</v>
      </c>
      <c r="L600" s="1" t="str">
        <f aca="false">IF(A600="","",IF(AND(E600&gt;=0,E600&lt;=23),"OK","CHECK"))</f>
        <v>OK</v>
      </c>
      <c r="M600" s="1" t="str">
        <f aca="false">IF(A600="","",IF(AND(K600="OK",L600="OK"),"OK","CHECK"))</f>
        <v>OK</v>
      </c>
    </row>
    <row r="601" customFormat="false" ht="18" hidden="false" customHeight="true" outlineLevel="0" collapsed="false">
      <c r="A601" s="9" t="s">
        <v>26</v>
      </c>
      <c r="B601" s="9" t="n">
        <v>21</v>
      </c>
      <c r="C601" s="11" t="n">
        <v>46022</v>
      </c>
      <c r="D601" s="9" t="s">
        <v>80</v>
      </c>
      <c r="E601" s="12" t="n">
        <v>9</v>
      </c>
      <c r="F601" s="9" t="s">
        <v>28</v>
      </c>
      <c r="G601" s="13" t="n">
        <v>150</v>
      </c>
      <c r="H601" s="9" t="s">
        <v>37</v>
      </c>
      <c r="I601" s="13" t="n">
        <v>5</v>
      </c>
      <c r="J601" s="1" t="str">
        <f aca="false">IF(A601="","", "SAMP-"&amp;A601&amp;"-L"&amp;TEXT(B601,"00")&amp;"-"&amp;TEXT(C601,"yyyymmdd")&amp;"-"&amp;D601&amp;"-H"&amp;TEXT(E601,"00")&amp;"-"&amp;H601)</f>
        <v>SAMP-KG01-L21-20251231-ORD-2025-00191-H09-Bird Swing</v>
      </c>
      <c r="K601" s="1" t="str">
        <f aca="false">IF(A601="","",IF(AND(G601&gt;=0,I601&gt;=0,I601&lt;=G601),"OK","CHECK"))</f>
        <v>OK</v>
      </c>
      <c r="L601" s="1" t="str">
        <f aca="false">IF(A601="","",IF(AND(E601&gt;=0,E601&lt;=23),"OK","CHECK"))</f>
        <v>OK</v>
      </c>
      <c r="M601" s="1" t="str">
        <f aca="false">IF(A601="","",IF(AND(K601="OK",L601="OK"),"OK","CHECK"))</f>
        <v>OK</v>
      </c>
    </row>
    <row r="602" customFormat="false" ht="18" hidden="false" customHeight="true" outlineLevel="0" collapsed="false">
      <c r="A602" s="9" t="s">
        <v>26</v>
      </c>
      <c r="B602" s="9" t="n">
        <v>21</v>
      </c>
      <c r="C602" s="11" t="n">
        <v>46022</v>
      </c>
      <c r="D602" s="9" t="s">
        <v>80</v>
      </c>
      <c r="E602" s="12" t="n">
        <v>12</v>
      </c>
      <c r="F602" s="9" t="s">
        <v>28</v>
      </c>
      <c r="G602" s="13" t="n">
        <v>200</v>
      </c>
      <c r="H602" s="9" t="s">
        <v>29</v>
      </c>
      <c r="I602" s="13" t="n">
        <v>6</v>
      </c>
      <c r="J602" s="1" t="str">
        <f aca="false">IF(A602="","", "SAMP-"&amp;A602&amp;"-L"&amp;TEXT(B602,"00")&amp;"-"&amp;TEXT(C602,"yyyymmdd")&amp;"-"&amp;D602&amp;"-H"&amp;TEXT(E602,"00")&amp;"-"&amp;H602)</f>
        <v>SAMP-KG01-L21-20251231-ORD-2025-00191-H12-Choke Neck</v>
      </c>
      <c r="K602" s="1" t="str">
        <f aca="false">IF(A602="","",IF(AND(G602&gt;=0,I602&gt;=0,I602&lt;=G602),"OK","CHECK"))</f>
        <v>OK</v>
      </c>
      <c r="L602" s="1" t="str">
        <f aca="false">IF(A602="","",IF(AND(E602&gt;=0,E602&lt;=23),"OK","CHECK"))</f>
        <v>OK</v>
      </c>
      <c r="M602" s="1" t="str">
        <f aca="false">IF(A602="","",IF(AND(K602="OK",L602="OK"),"OK","CHECK"))</f>
        <v>OK</v>
      </c>
    </row>
    <row r="603" customFormat="false" ht="18" hidden="false" customHeight="true" outlineLevel="0" collapsed="false">
      <c r="A603" s="9" t="s">
        <v>26</v>
      </c>
      <c r="B603" s="9" t="n">
        <v>21</v>
      </c>
      <c r="C603" s="11" t="n">
        <v>46022</v>
      </c>
      <c r="D603" s="9" t="s">
        <v>80</v>
      </c>
      <c r="E603" s="12" t="n">
        <v>16</v>
      </c>
      <c r="F603" s="9" t="s">
        <v>31</v>
      </c>
      <c r="G603" s="13" t="n">
        <v>200</v>
      </c>
      <c r="H603" s="9" t="s">
        <v>36</v>
      </c>
      <c r="I603" s="13" t="n">
        <v>2</v>
      </c>
      <c r="J603" s="1" t="str">
        <f aca="false">IF(A603="","", "SAMP-"&amp;A603&amp;"-L"&amp;TEXT(B603,"00")&amp;"-"&amp;TEXT(C603,"yyyymmdd")&amp;"-"&amp;D603&amp;"-H"&amp;TEXT(E603,"00")&amp;"-"&amp;H603)</f>
        <v>SAMP-KG01-L21-20251231-ORD-2025-00191-H16-Blister</v>
      </c>
      <c r="K603" s="1" t="str">
        <f aca="false">IF(A603="","",IF(AND(G603&gt;=0,I603&gt;=0,I603&lt;=G603),"OK","CHECK"))</f>
        <v>OK</v>
      </c>
      <c r="L603" s="1" t="str">
        <f aca="false">IF(A603="","",IF(AND(E603&gt;=0,E603&lt;=23),"OK","CHECK"))</f>
        <v>OK</v>
      </c>
      <c r="M603" s="1" t="str">
        <f aca="false">IF(A603="","",IF(AND(K603="OK",L603="OK"),"OK","CHECK"))</f>
        <v>OK</v>
      </c>
    </row>
    <row r="604" customFormat="false" ht="18" hidden="false" customHeight="true" outlineLevel="0" collapsed="false">
      <c r="A604" s="9" t="s">
        <v>26</v>
      </c>
      <c r="B604" s="9" t="n">
        <v>21</v>
      </c>
      <c r="C604" s="11" t="n">
        <v>46022</v>
      </c>
      <c r="D604" s="9" t="s">
        <v>80</v>
      </c>
      <c r="E604" s="12" t="n">
        <v>20</v>
      </c>
      <c r="F604" s="9" t="s">
        <v>31</v>
      </c>
      <c r="G604" s="13" t="n">
        <v>100</v>
      </c>
      <c r="H604" s="9" t="s">
        <v>41</v>
      </c>
      <c r="I604" s="13" t="n">
        <v>1</v>
      </c>
      <c r="J604" s="1" t="str">
        <f aca="false">IF(A604="","", "SAMP-"&amp;A604&amp;"-L"&amp;TEXT(B604,"00")&amp;"-"&amp;TEXT(C604,"yyyymmdd")&amp;"-"&amp;D604&amp;"-H"&amp;TEXT(E604,"00")&amp;"-"&amp;H604)</f>
        <v>SAMP-KG01-L21-20251231-ORD-2025-00191-H20-Chip</v>
      </c>
      <c r="K604" s="1" t="str">
        <f aca="false">IF(A604="","",IF(AND(G604&gt;=0,I604&gt;=0,I604&lt;=G604),"OK","CHECK"))</f>
        <v>OK</v>
      </c>
      <c r="L604" s="1" t="str">
        <f aca="false">IF(A604="","",IF(AND(E604&gt;=0,E604&lt;=23),"OK","CHECK"))</f>
        <v>OK</v>
      </c>
      <c r="M604" s="1" t="str">
        <f aca="false">IF(A604="","",IF(AND(K604="OK",L604="OK"),"OK","CHECK"))</f>
        <v>OK</v>
      </c>
    </row>
    <row r="605" customFormat="false" ht="18" hidden="false" customHeight="true" outlineLevel="0" collapsed="false">
      <c r="A605" s="9" t="s">
        <v>26</v>
      </c>
      <c r="B605" s="9" t="n">
        <v>21</v>
      </c>
      <c r="C605" s="11" t="n">
        <v>46022</v>
      </c>
      <c r="D605" s="9" t="s">
        <v>80</v>
      </c>
      <c r="E605" s="12" t="n">
        <v>23</v>
      </c>
      <c r="F605" s="9" t="s">
        <v>31</v>
      </c>
      <c r="G605" s="13" t="n">
        <v>200</v>
      </c>
      <c r="H605" s="9" t="s">
        <v>34</v>
      </c>
      <c r="I605" s="13" t="n">
        <v>6</v>
      </c>
      <c r="J605" s="1" t="str">
        <f aca="false">IF(A605="","", "SAMP-"&amp;A605&amp;"-L"&amp;TEXT(B605,"00")&amp;"-"&amp;TEXT(C605,"yyyymmdd")&amp;"-"&amp;D605&amp;"-H"&amp;TEXT(E605,"00")&amp;"-"&amp;H605)</f>
        <v>SAMP-KG01-L21-20251231-ORD-2025-00191-H23-Thin Wall</v>
      </c>
      <c r="K605" s="1" t="str">
        <f aca="false">IF(A605="","",IF(AND(G605&gt;=0,I605&gt;=0,I605&lt;=G605),"OK","CHECK"))</f>
        <v>OK</v>
      </c>
      <c r="L605" s="1" t="str">
        <f aca="false">IF(A605="","",IF(AND(E605&gt;=0,E605&lt;=23),"OK","CHECK"))</f>
        <v>OK</v>
      </c>
      <c r="M605" s="1" t="str">
        <f aca="false">IF(A605="","",IF(AND(K605="OK",L605="OK"),"OK","CHECK"))</f>
        <v>OK</v>
      </c>
    </row>
    <row r="606" customFormat="false" ht="18" hidden="false" customHeight="true" outlineLevel="0" collapsed="false">
      <c r="A606" s="9" t="s">
        <v>26</v>
      </c>
      <c r="B606" s="9" t="n">
        <v>22</v>
      </c>
      <c r="C606" s="11" t="n">
        <v>45931</v>
      </c>
      <c r="D606" s="9" t="s">
        <v>81</v>
      </c>
      <c r="E606" s="12" t="n">
        <v>9</v>
      </c>
      <c r="F606" s="9" t="s">
        <v>28</v>
      </c>
      <c r="G606" s="13" t="n">
        <v>100</v>
      </c>
      <c r="H606" s="9" t="s">
        <v>36</v>
      </c>
      <c r="I606" s="13" t="n">
        <v>2</v>
      </c>
      <c r="J606" s="1" t="str">
        <f aca="false">IF(A606="","", "SAMP-"&amp;A606&amp;"-L"&amp;TEXT(B606,"00")&amp;"-"&amp;TEXT(C606,"yyyymmdd")&amp;"-"&amp;D606&amp;"-H"&amp;TEXT(E606,"00")&amp;"-"&amp;H606)</f>
        <v>SAMP-KG01-L22-20251001-ORD-2025-00192-H09-Blister</v>
      </c>
      <c r="K606" s="1" t="str">
        <f aca="false">IF(A606="","",IF(AND(G606&gt;=0,I606&gt;=0,I606&lt;=G606),"OK","CHECK"))</f>
        <v>OK</v>
      </c>
      <c r="L606" s="1" t="str">
        <f aca="false">IF(A606="","",IF(AND(E606&gt;=0,E606&lt;=23),"OK","CHECK"))</f>
        <v>OK</v>
      </c>
      <c r="M606" s="1" t="str">
        <f aca="false">IF(A606="","",IF(AND(K606="OK",L606="OK"),"OK","CHECK"))</f>
        <v>OK</v>
      </c>
    </row>
    <row r="607" customFormat="false" ht="18" hidden="false" customHeight="true" outlineLevel="0" collapsed="false">
      <c r="A607" s="9" t="s">
        <v>26</v>
      </c>
      <c r="B607" s="9" t="n">
        <v>22</v>
      </c>
      <c r="C607" s="11" t="n">
        <v>45931</v>
      </c>
      <c r="D607" s="9" t="s">
        <v>81</v>
      </c>
      <c r="E607" s="12" t="n">
        <v>12</v>
      </c>
      <c r="F607" s="9" t="s">
        <v>28</v>
      </c>
      <c r="G607" s="13" t="n">
        <v>100</v>
      </c>
      <c r="H607" s="9" t="s">
        <v>33</v>
      </c>
      <c r="I607" s="13" t="n">
        <v>2</v>
      </c>
      <c r="J607" s="1" t="str">
        <f aca="false">IF(A607="","", "SAMP-"&amp;A607&amp;"-L"&amp;TEXT(B607,"00")&amp;"-"&amp;TEXT(C607,"yyyymmdd")&amp;"-"&amp;D607&amp;"-H"&amp;TEXT(E607,"00")&amp;"-"&amp;H607)</f>
        <v>SAMP-KG01-L22-20251001-ORD-2025-00192-H12-Distortion</v>
      </c>
      <c r="K607" s="1" t="str">
        <f aca="false">IF(A607="","",IF(AND(G607&gt;=0,I607&gt;=0,I607&lt;=G607),"OK","CHECK"))</f>
        <v>OK</v>
      </c>
      <c r="L607" s="1" t="str">
        <f aca="false">IF(A607="","",IF(AND(E607&gt;=0,E607&lt;=23),"OK","CHECK"))</f>
        <v>OK</v>
      </c>
      <c r="M607" s="1" t="str">
        <f aca="false">IF(A607="","",IF(AND(K607="OK",L607="OK"),"OK","CHECK"))</f>
        <v>OK</v>
      </c>
    </row>
    <row r="608" customFormat="false" ht="18" hidden="false" customHeight="true" outlineLevel="0" collapsed="false">
      <c r="A608" s="9" t="s">
        <v>26</v>
      </c>
      <c r="B608" s="9" t="n">
        <v>22</v>
      </c>
      <c r="C608" s="11" t="n">
        <v>45931</v>
      </c>
      <c r="D608" s="9" t="s">
        <v>81</v>
      </c>
      <c r="E608" s="12" t="n">
        <v>7</v>
      </c>
      <c r="F608" s="9" t="s">
        <v>28</v>
      </c>
      <c r="G608" s="13" t="n">
        <v>150</v>
      </c>
      <c r="H608" s="9" t="s">
        <v>34</v>
      </c>
      <c r="I608" s="13" t="n">
        <v>3</v>
      </c>
      <c r="J608" s="1" t="str">
        <f aca="false">IF(A608="","", "SAMP-"&amp;A608&amp;"-L"&amp;TEXT(B608,"00")&amp;"-"&amp;TEXT(C608,"yyyymmdd")&amp;"-"&amp;D608&amp;"-H"&amp;TEXT(E608,"00")&amp;"-"&amp;H608)</f>
        <v>SAMP-KG01-L22-20251001-ORD-2025-00192-H07-Thin Wall</v>
      </c>
      <c r="K608" s="1" t="str">
        <f aca="false">IF(A608="","",IF(AND(G608&gt;=0,I608&gt;=0,I608&lt;=G608),"OK","CHECK"))</f>
        <v>OK</v>
      </c>
      <c r="L608" s="1" t="str">
        <f aca="false">IF(A608="","",IF(AND(E608&gt;=0,E608&lt;=23),"OK","CHECK"))</f>
        <v>OK</v>
      </c>
      <c r="M608" s="1" t="str">
        <f aca="false">IF(A608="","",IF(AND(K608="OK",L608="OK"),"OK","CHECK"))</f>
        <v>OK</v>
      </c>
    </row>
    <row r="609" customFormat="false" ht="18" hidden="false" customHeight="true" outlineLevel="0" collapsed="false">
      <c r="A609" s="9" t="s">
        <v>26</v>
      </c>
      <c r="B609" s="9" t="n">
        <v>22</v>
      </c>
      <c r="C609" s="11" t="n">
        <v>45931</v>
      </c>
      <c r="D609" s="9" t="s">
        <v>81</v>
      </c>
      <c r="E609" s="12" t="n">
        <v>20</v>
      </c>
      <c r="F609" s="9" t="s">
        <v>31</v>
      </c>
      <c r="G609" s="13" t="n">
        <v>150</v>
      </c>
      <c r="H609" s="9" t="s">
        <v>37</v>
      </c>
      <c r="I609" s="13" t="n">
        <v>1</v>
      </c>
      <c r="J609" s="1" t="str">
        <f aca="false">IF(A609="","", "SAMP-"&amp;A609&amp;"-L"&amp;TEXT(B609,"00")&amp;"-"&amp;TEXT(C609,"yyyymmdd")&amp;"-"&amp;D609&amp;"-H"&amp;TEXT(E609,"00")&amp;"-"&amp;H609)</f>
        <v>SAMP-KG01-L22-20251001-ORD-2025-00192-H20-Bird Swing</v>
      </c>
      <c r="K609" s="1" t="str">
        <f aca="false">IF(A609="","",IF(AND(G609&gt;=0,I609&gt;=0,I609&lt;=G609),"OK","CHECK"))</f>
        <v>OK</v>
      </c>
      <c r="L609" s="1" t="str">
        <f aca="false">IF(A609="","",IF(AND(E609&gt;=0,E609&lt;=23),"OK","CHECK"))</f>
        <v>OK</v>
      </c>
      <c r="M609" s="1" t="str">
        <f aca="false">IF(A609="","",IF(AND(K609="OK",L609="OK"),"OK","CHECK"))</f>
        <v>OK</v>
      </c>
    </row>
    <row r="610" customFormat="false" ht="18" hidden="false" customHeight="true" outlineLevel="0" collapsed="false">
      <c r="A610" s="9" t="s">
        <v>26</v>
      </c>
      <c r="B610" s="9" t="n">
        <v>22</v>
      </c>
      <c r="C610" s="11" t="n">
        <v>45931</v>
      </c>
      <c r="D610" s="9" t="s">
        <v>81</v>
      </c>
      <c r="E610" s="12" t="n">
        <v>23</v>
      </c>
      <c r="F610" s="9" t="s">
        <v>31</v>
      </c>
      <c r="G610" s="13" t="n">
        <v>150</v>
      </c>
      <c r="H610" s="9" t="s">
        <v>33</v>
      </c>
      <c r="I610" s="13" t="n">
        <v>1</v>
      </c>
      <c r="J610" s="1" t="str">
        <f aca="false">IF(A610="","", "SAMP-"&amp;A610&amp;"-L"&amp;TEXT(B610,"00")&amp;"-"&amp;TEXT(C610,"yyyymmdd")&amp;"-"&amp;D610&amp;"-H"&amp;TEXT(E610,"00")&amp;"-"&amp;H610)</f>
        <v>SAMP-KG01-L22-20251001-ORD-2025-00192-H23-Distortion</v>
      </c>
      <c r="K610" s="1" t="str">
        <f aca="false">IF(A610="","",IF(AND(G610&gt;=0,I610&gt;=0,I610&lt;=G610),"OK","CHECK"))</f>
        <v>OK</v>
      </c>
      <c r="L610" s="1" t="str">
        <f aca="false">IF(A610="","",IF(AND(E610&gt;=0,E610&lt;=23),"OK","CHECK"))</f>
        <v>OK</v>
      </c>
      <c r="M610" s="1" t="str">
        <f aca="false">IF(A610="","",IF(AND(K610="OK",L610="OK"),"OK","CHECK"))</f>
        <v>OK</v>
      </c>
    </row>
    <row r="611" customFormat="false" ht="18" hidden="false" customHeight="true" outlineLevel="0" collapsed="false">
      <c r="A611" s="9" t="s">
        <v>26</v>
      </c>
      <c r="B611" s="9" t="n">
        <v>22</v>
      </c>
      <c r="C611" s="11" t="n">
        <v>45931</v>
      </c>
      <c r="D611" s="9" t="s">
        <v>81</v>
      </c>
      <c r="E611" s="12" t="n">
        <v>16</v>
      </c>
      <c r="F611" s="9" t="s">
        <v>31</v>
      </c>
      <c r="G611" s="13" t="n">
        <v>50</v>
      </c>
      <c r="H611" s="9" t="s">
        <v>33</v>
      </c>
      <c r="I611" s="13" t="n">
        <v>1</v>
      </c>
      <c r="J611" s="1" t="str">
        <f aca="false">IF(A611="","", "SAMP-"&amp;A611&amp;"-L"&amp;TEXT(B611,"00")&amp;"-"&amp;TEXT(C611,"yyyymmdd")&amp;"-"&amp;D611&amp;"-H"&amp;TEXT(E611,"00")&amp;"-"&amp;H611)</f>
        <v>SAMP-KG01-L22-20251001-ORD-2025-00192-H16-Distortion</v>
      </c>
      <c r="K611" s="1" t="str">
        <f aca="false">IF(A611="","",IF(AND(G611&gt;=0,I611&gt;=0,I611&lt;=G611),"OK","CHECK"))</f>
        <v>OK</v>
      </c>
      <c r="L611" s="1" t="str">
        <f aca="false">IF(A611="","",IF(AND(E611&gt;=0,E611&lt;=23),"OK","CHECK"))</f>
        <v>OK</v>
      </c>
      <c r="M611" s="1" t="str">
        <f aca="false">IF(A611="","",IF(AND(K611="OK",L611="OK"),"OK","CHECK"))</f>
        <v>OK</v>
      </c>
    </row>
    <row r="612" customFormat="false" ht="18" hidden="false" customHeight="true" outlineLevel="0" collapsed="false">
      <c r="A612" s="9" t="s">
        <v>26</v>
      </c>
      <c r="B612" s="9" t="n">
        <v>22</v>
      </c>
      <c r="C612" s="11" t="n">
        <v>45932</v>
      </c>
      <c r="D612" s="9" t="s">
        <v>81</v>
      </c>
      <c r="E612" s="12" t="n">
        <v>9</v>
      </c>
      <c r="F612" s="9" t="s">
        <v>28</v>
      </c>
      <c r="G612" s="13" t="n">
        <v>50</v>
      </c>
      <c r="H612" s="9" t="s">
        <v>36</v>
      </c>
      <c r="I612" s="13" t="n">
        <v>1</v>
      </c>
      <c r="J612" s="1" t="str">
        <f aca="false">IF(A612="","", "SAMP-"&amp;A612&amp;"-L"&amp;TEXT(B612,"00")&amp;"-"&amp;TEXT(C612,"yyyymmdd")&amp;"-"&amp;D612&amp;"-H"&amp;TEXT(E612,"00")&amp;"-"&amp;H612)</f>
        <v>SAMP-KG01-L22-20251002-ORD-2025-00192-H09-Blister</v>
      </c>
      <c r="K612" s="1" t="str">
        <f aca="false">IF(A612="","",IF(AND(G612&gt;=0,I612&gt;=0,I612&lt;=G612),"OK","CHECK"))</f>
        <v>OK</v>
      </c>
      <c r="L612" s="1" t="str">
        <f aca="false">IF(A612="","",IF(AND(E612&gt;=0,E612&lt;=23),"OK","CHECK"))</f>
        <v>OK</v>
      </c>
      <c r="M612" s="1" t="str">
        <f aca="false">IF(A612="","",IF(AND(K612="OK",L612="OK"),"OK","CHECK"))</f>
        <v>OK</v>
      </c>
    </row>
    <row r="613" customFormat="false" ht="18" hidden="false" customHeight="true" outlineLevel="0" collapsed="false">
      <c r="A613" s="9" t="s">
        <v>26</v>
      </c>
      <c r="B613" s="9" t="n">
        <v>22</v>
      </c>
      <c r="C613" s="11" t="n">
        <v>45932</v>
      </c>
      <c r="D613" s="9" t="s">
        <v>81</v>
      </c>
      <c r="E613" s="12" t="n">
        <v>7</v>
      </c>
      <c r="F613" s="9" t="s">
        <v>28</v>
      </c>
      <c r="G613" s="13" t="n">
        <v>100</v>
      </c>
      <c r="H613" s="9" t="s">
        <v>41</v>
      </c>
      <c r="I613" s="13" t="n">
        <v>4</v>
      </c>
      <c r="J613" s="1" t="str">
        <f aca="false">IF(A613="","", "SAMP-"&amp;A613&amp;"-L"&amp;TEXT(B613,"00")&amp;"-"&amp;TEXT(C613,"yyyymmdd")&amp;"-"&amp;D613&amp;"-H"&amp;TEXT(E613,"00")&amp;"-"&amp;H613)</f>
        <v>SAMP-KG01-L22-20251002-ORD-2025-00192-H07-Chip</v>
      </c>
      <c r="K613" s="1" t="str">
        <f aca="false">IF(A613="","",IF(AND(G613&gt;=0,I613&gt;=0,I613&lt;=G613),"OK","CHECK"))</f>
        <v>OK</v>
      </c>
      <c r="L613" s="1" t="str">
        <f aca="false">IF(A613="","",IF(AND(E613&gt;=0,E613&lt;=23),"OK","CHECK"))</f>
        <v>OK</v>
      </c>
      <c r="M613" s="1" t="str">
        <f aca="false">IF(A613="","",IF(AND(K613="OK",L613="OK"),"OK","CHECK"))</f>
        <v>OK</v>
      </c>
    </row>
    <row r="614" customFormat="false" ht="18" hidden="false" customHeight="true" outlineLevel="0" collapsed="false">
      <c r="A614" s="9" t="s">
        <v>26</v>
      </c>
      <c r="B614" s="9" t="n">
        <v>22</v>
      </c>
      <c r="C614" s="11" t="n">
        <v>45932</v>
      </c>
      <c r="D614" s="9" t="s">
        <v>81</v>
      </c>
      <c r="E614" s="12" t="n">
        <v>12</v>
      </c>
      <c r="F614" s="9" t="s">
        <v>28</v>
      </c>
      <c r="G614" s="13" t="n">
        <v>100</v>
      </c>
      <c r="H614" s="9" t="s">
        <v>38</v>
      </c>
      <c r="I614" s="13" t="n">
        <v>3</v>
      </c>
      <c r="J614" s="1" t="str">
        <f aca="false">IF(A614="","", "SAMP-"&amp;A614&amp;"-L"&amp;TEXT(B614,"00")&amp;"-"&amp;TEXT(C614,"yyyymmdd")&amp;"-"&amp;D614&amp;"-H"&amp;TEXT(E614,"00")&amp;"-"&amp;H614)</f>
        <v>SAMP-KG01-L22-20251002-ORD-2025-00192-H12-Crack</v>
      </c>
      <c r="K614" s="1" t="str">
        <f aca="false">IF(A614="","",IF(AND(G614&gt;=0,I614&gt;=0,I614&lt;=G614),"OK","CHECK"))</f>
        <v>OK</v>
      </c>
      <c r="L614" s="1" t="str">
        <f aca="false">IF(A614="","",IF(AND(E614&gt;=0,E614&lt;=23),"OK","CHECK"))</f>
        <v>OK</v>
      </c>
      <c r="M614" s="1" t="str">
        <f aca="false">IF(A614="","",IF(AND(K614="OK",L614="OK"),"OK","CHECK"))</f>
        <v>OK</v>
      </c>
    </row>
    <row r="615" customFormat="false" ht="18" hidden="false" customHeight="true" outlineLevel="0" collapsed="false">
      <c r="A615" s="9" t="s">
        <v>26</v>
      </c>
      <c r="B615" s="9" t="n">
        <v>22</v>
      </c>
      <c r="C615" s="11" t="n">
        <v>45932</v>
      </c>
      <c r="D615" s="9" t="s">
        <v>81</v>
      </c>
      <c r="E615" s="12" t="n">
        <v>23</v>
      </c>
      <c r="F615" s="9" t="s">
        <v>31</v>
      </c>
      <c r="G615" s="13" t="n">
        <v>50</v>
      </c>
      <c r="H615" s="9" t="s">
        <v>34</v>
      </c>
      <c r="I615" s="13" t="n">
        <v>1</v>
      </c>
      <c r="J615" s="1" t="str">
        <f aca="false">IF(A615="","", "SAMP-"&amp;A615&amp;"-L"&amp;TEXT(B615,"00")&amp;"-"&amp;TEXT(C615,"yyyymmdd")&amp;"-"&amp;D615&amp;"-H"&amp;TEXT(E615,"00")&amp;"-"&amp;H615)</f>
        <v>SAMP-KG01-L22-20251002-ORD-2025-00192-H23-Thin Wall</v>
      </c>
      <c r="K615" s="1" t="str">
        <f aca="false">IF(A615="","",IF(AND(G615&gt;=0,I615&gt;=0,I615&lt;=G615),"OK","CHECK"))</f>
        <v>OK</v>
      </c>
      <c r="L615" s="1" t="str">
        <f aca="false">IF(A615="","",IF(AND(E615&gt;=0,E615&lt;=23),"OK","CHECK"))</f>
        <v>OK</v>
      </c>
      <c r="M615" s="1" t="str">
        <f aca="false">IF(A615="","",IF(AND(K615="OK",L615="OK"),"OK","CHECK"))</f>
        <v>OK</v>
      </c>
    </row>
    <row r="616" customFormat="false" ht="18" hidden="false" customHeight="true" outlineLevel="0" collapsed="false">
      <c r="A616" s="9" t="s">
        <v>26</v>
      </c>
      <c r="B616" s="9" t="n">
        <v>22</v>
      </c>
      <c r="C616" s="11" t="n">
        <v>45932</v>
      </c>
      <c r="D616" s="9" t="s">
        <v>81</v>
      </c>
      <c r="E616" s="12" t="n">
        <v>16</v>
      </c>
      <c r="F616" s="9" t="s">
        <v>31</v>
      </c>
      <c r="G616" s="13" t="n">
        <v>100</v>
      </c>
      <c r="H616" s="9" t="s">
        <v>36</v>
      </c>
      <c r="I616" s="13" t="n">
        <v>1</v>
      </c>
      <c r="J616" s="1" t="str">
        <f aca="false">IF(A616="","", "SAMP-"&amp;A616&amp;"-L"&amp;TEXT(B616,"00")&amp;"-"&amp;TEXT(C616,"yyyymmdd")&amp;"-"&amp;D616&amp;"-H"&amp;TEXT(E616,"00")&amp;"-"&amp;H616)</f>
        <v>SAMP-KG01-L22-20251002-ORD-2025-00192-H16-Blister</v>
      </c>
      <c r="K616" s="1" t="str">
        <f aca="false">IF(A616="","",IF(AND(G616&gt;=0,I616&gt;=0,I616&lt;=G616),"OK","CHECK"))</f>
        <v>OK</v>
      </c>
      <c r="L616" s="1" t="str">
        <f aca="false">IF(A616="","",IF(AND(E616&gt;=0,E616&lt;=23),"OK","CHECK"))</f>
        <v>OK</v>
      </c>
      <c r="M616" s="1" t="str">
        <f aca="false">IF(A616="","",IF(AND(K616="OK",L616="OK"),"OK","CHECK"))</f>
        <v>OK</v>
      </c>
    </row>
    <row r="617" customFormat="false" ht="18" hidden="false" customHeight="true" outlineLevel="0" collapsed="false">
      <c r="A617" s="9" t="s">
        <v>26</v>
      </c>
      <c r="B617" s="9" t="n">
        <v>22</v>
      </c>
      <c r="C617" s="11" t="n">
        <v>45932</v>
      </c>
      <c r="D617" s="9" t="s">
        <v>81</v>
      </c>
      <c r="E617" s="12" t="n">
        <v>20</v>
      </c>
      <c r="F617" s="9" t="s">
        <v>31</v>
      </c>
      <c r="G617" s="13" t="n">
        <v>100</v>
      </c>
      <c r="H617" s="9" t="s">
        <v>30</v>
      </c>
      <c r="I617" s="13" t="n">
        <v>1</v>
      </c>
      <c r="J617" s="1" t="str">
        <f aca="false">IF(A617="","", "SAMP-"&amp;A617&amp;"-L"&amp;TEXT(B617,"00")&amp;"-"&amp;TEXT(C617,"yyyymmdd")&amp;"-"&amp;D617&amp;"-H"&amp;TEXT(E617,"00")&amp;"-"&amp;H617)</f>
        <v>SAMP-KG01-L22-20251002-ORD-2025-00192-H20-Overpress</v>
      </c>
      <c r="K617" s="1" t="str">
        <f aca="false">IF(A617="","",IF(AND(G617&gt;=0,I617&gt;=0,I617&lt;=G617),"OK","CHECK"))</f>
        <v>OK</v>
      </c>
      <c r="L617" s="1" t="str">
        <f aca="false">IF(A617="","",IF(AND(E617&gt;=0,E617&lt;=23),"OK","CHECK"))</f>
        <v>OK</v>
      </c>
      <c r="M617" s="1" t="str">
        <f aca="false">IF(A617="","",IF(AND(K617="OK",L617="OK"),"OK","CHECK"))</f>
        <v>OK</v>
      </c>
    </row>
    <row r="618" customFormat="false" ht="18" hidden="false" customHeight="true" outlineLevel="0" collapsed="false">
      <c r="A618" s="9" t="s">
        <v>26</v>
      </c>
      <c r="B618" s="9" t="n">
        <v>22</v>
      </c>
      <c r="C618" s="11" t="n">
        <v>45933</v>
      </c>
      <c r="D618" s="9" t="s">
        <v>82</v>
      </c>
      <c r="E618" s="12" t="n">
        <v>12</v>
      </c>
      <c r="F618" s="9" t="s">
        <v>28</v>
      </c>
      <c r="G618" s="13" t="n">
        <v>150</v>
      </c>
      <c r="H618" s="9" t="s">
        <v>37</v>
      </c>
      <c r="I618" s="13" t="n">
        <v>2</v>
      </c>
      <c r="J618" s="1" t="str">
        <f aca="false">IF(A618="","", "SAMP-"&amp;A618&amp;"-L"&amp;TEXT(B618,"00")&amp;"-"&amp;TEXT(C618,"yyyymmdd")&amp;"-"&amp;D618&amp;"-H"&amp;TEXT(E618,"00")&amp;"-"&amp;H618)</f>
        <v>SAMP-KG01-L22-20251003-ORD-2025-00193-H12-Bird Swing</v>
      </c>
      <c r="K618" s="1" t="str">
        <f aca="false">IF(A618="","",IF(AND(G618&gt;=0,I618&gt;=0,I618&lt;=G618),"OK","CHECK"))</f>
        <v>OK</v>
      </c>
      <c r="L618" s="1" t="str">
        <f aca="false">IF(A618="","",IF(AND(E618&gt;=0,E618&lt;=23),"OK","CHECK"))</f>
        <v>OK</v>
      </c>
      <c r="M618" s="1" t="str">
        <f aca="false">IF(A618="","",IF(AND(K618="OK",L618="OK"),"OK","CHECK"))</f>
        <v>OK</v>
      </c>
    </row>
    <row r="619" customFormat="false" ht="18" hidden="false" customHeight="true" outlineLevel="0" collapsed="false">
      <c r="A619" s="9" t="s">
        <v>26</v>
      </c>
      <c r="B619" s="9" t="n">
        <v>22</v>
      </c>
      <c r="C619" s="11" t="n">
        <v>45933</v>
      </c>
      <c r="D619" s="9" t="s">
        <v>82</v>
      </c>
      <c r="E619" s="12" t="n">
        <v>7</v>
      </c>
      <c r="F619" s="9" t="s">
        <v>28</v>
      </c>
      <c r="G619" s="13" t="n">
        <v>150</v>
      </c>
      <c r="H619" s="9" t="s">
        <v>36</v>
      </c>
      <c r="I619" s="13" t="n">
        <v>3</v>
      </c>
      <c r="J619" s="1" t="str">
        <f aca="false">IF(A619="","", "SAMP-"&amp;A619&amp;"-L"&amp;TEXT(B619,"00")&amp;"-"&amp;TEXT(C619,"yyyymmdd")&amp;"-"&amp;D619&amp;"-H"&amp;TEXT(E619,"00")&amp;"-"&amp;H619)</f>
        <v>SAMP-KG01-L22-20251003-ORD-2025-00193-H07-Blister</v>
      </c>
      <c r="K619" s="1" t="str">
        <f aca="false">IF(A619="","",IF(AND(G619&gt;=0,I619&gt;=0,I619&lt;=G619),"OK","CHECK"))</f>
        <v>OK</v>
      </c>
      <c r="L619" s="1" t="str">
        <f aca="false">IF(A619="","",IF(AND(E619&gt;=0,E619&lt;=23),"OK","CHECK"))</f>
        <v>OK</v>
      </c>
      <c r="M619" s="1" t="str">
        <f aca="false">IF(A619="","",IF(AND(K619="OK",L619="OK"),"OK","CHECK"))</f>
        <v>OK</v>
      </c>
    </row>
    <row r="620" customFormat="false" ht="18" hidden="false" customHeight="true" outlineLevel="0" collapsed="false">
      <c r="A620" s="9" t="s">
        <v>26</v>
      </c>
      <c r="B620" s="9" t="n">
        <v>22</v>
      </c>
      <c r="C620" s="11" t="n">
        <v>45933</v>
      </c>
      <c r="D620" s="9" t="s">
        <v>82</v>
      </c>
      <c r="E620" s="12" t="n">
        <v>9</v>
      </c>
      <c r="F620" s="9" t="s">
        <v>28</v>
      </c>
      <c r="G620" s="13" t="n">
        <v>150</v>
      </c>
      <c r="H620" s="9" t="s">
        <v>36</v>
      </c>
      <c r="I620" s="13" t="n">
        <v>3</v>
      </c>
      <c r="J620" s="1" t="str">
        <f aca="false">IF(A620="","", "SAMP-"&amp;A620&amp;"-L"&amp;TEXT(B620,"00")&amp;"-"&amp;TEXT(C620,"yyyymmdd")&amp;"-"&amp;D620&amp;"-H"&amp;TEXT(E620,"00")&amp;"-"&amp;H620)</f>
        <v>SAMP-KG01-L22-20251003-ORD-2025-00193-H09-Blister</v>
      </c>
      <c r="K620" s="1" t="str">
        <f aca="false">IF(A620="","",IF(AND(G620&gt;=0,I620&gt;=0,I620&lt;=G620),"OK","CHECK"))</f>
        <v>OK</v>
      </c>
      <c r="L620" s="1" t="str">
        <f aca="false">IF(A620="","",IF(AND(E620&gt;=0,E620&lt;=23),"OK","CHECK"))</f>
        <v>OK</v>
      </c>
      <c r="M620" s="1" t="str">
        <f aca="false">IF(A620="","",IF(AND(K620="OK",L620="OK"),"OK","CHECK"))</f>
        <v>OK</v>
      </c>
    </row>
    <row r="621" customFormat="false" ht="18" hidden="false" customHeight="true" outlineLevel="0" collapsed="false">
      <c r="A621" s="9" t="s">
        <v>26</v>
      </c>
      <c r="B621" s="9" t="n">
        <v>22</v>
      </c>
      <c r="C621" s="11" t="n">
        <v>45933</v>
      </c>
      <c r="D621" s="9" t="s">
        <v>82</v>
      </c>
      <c r="E621" s="12" t="n">
        <v>16</v>
      </c>
      <c r="F621" s="9" t="s">
        <v>31</v>
      </c>
      <c r="G621" s="13" t="n">
        <v>150</v>
      </c>
      <c r="H621" s="9" t="s">
        <v>41</v>
      </c>
      <c r="I621" s="13" t="n">
        <v>1</v>
      </c>
      <c r="J621" s="1" t="str">
        <f aca="false">IF(A621="","", "SAMP-"&amp;A621&amp;"-L"&amp;TEXT(B621,"00")&amp;"-"&amp;TEXT(C621,"yyyymmdd")&amp;"-"&amp;D621&amp;"-H"&amp;TEXT(E621,"00")&amp;"-"&amp;H621)</f>
        <v>SAMP-KG01-L22-20251003-ORD-2025-00193-H16-Chip</v>
      </c>
      <c r="K621" s="1" t="str">
        <f aca="false">IF(A621="","",IF(AND(G621&gt;=0,I621&gt;=0,I621&lt;=G621),"OK","CHECK"))</f>
        <v>OK</v>
      </c>
      <c r="L621" s="1" t="str">
        <f aca="false">IF(A621="","",IF(AND(E621&gt;=0,E621&lt;=23),"OK","CHECK"))</f>
        <v>OK</v>
      </c>
      <c r="M621" s="1" t="str">
        <f aca="false">IF(A621="","",IF(AND(K621="OK",L621="OK"),"OK","CHECK"))</f>
        <v>OK</v>
      </c>
    </row>
    <row r="622" customFormat="false" ht="18" hidden="false" customHeight="true" outlineLevel="0" collapsed="false">
      <c r="A622" s="9" t="s">
        <v>26</v>
      </c>
      <c r="B622" s="9" t="n">
        <v>22</v>
      </c>
      <c r="C622" s="11" t="n">
        <v>45933</v>
      </c>
      <c r="D622" s="9" t="s">
        <v>82</v>
      </c>
      <c r="E622" s="12" t="n">
        <v>20</v>
      </c>
      <c r="F622" s="9" t="s">
        <v>31</v>
      </c>
      <c r="G622" s="13" t="n">
        <v>200</v>
      </c>
      <c r="H622" s="9" t="s">
        <v>41</v>
      </c>
      <c r="I622" s="13" t="n">
        <v>10</v>
      </c>
      <c r="J622" s="1" t="str">
        <f aca="false">IF(A622="","", "SAMP-"&amp;A622&amp;"-L"&amp;TEXT(B622,"00")&amp;"-"&amp;TEXT(C622,"yyyymmdd")&amp;"-"&amp;D622&amp;"-H"&amp;TEXT(E622,"00")&amp;"-"&amp;H622)</f>
        <v>SAMP-KG01-L22-20251003-ORD-2025-00193-H20-Chip</v>
      </c>
      <c r="K622" s="1" t="str">
        <f aca="false">IF(A622="","",IF(AND(G622&gt;=0,I622&gt;=0,I622&lt;=G622),"OK","CHECK"))</f>
        <v>OK</v>
      </c>
      <c r="L622" s="1" t="str">
        <f aca="false">IF(A622="","",IF(AND(E622&gt;=0,E622&lt;=23),"OK","CHECK"))</f>
        <v>OK</v>
      </c>
      <c r="M622" s="1" t="str">
        <f aca="false">IF(A622="","",IF(AND(K622="OK",L622="OK"),"OK","CHECK"))</f>
        <v>OK</v>
      </c>
    </row>
    <row r="623" customFormat="false" ht="18" hidden="false" customHeight="true" outlineLevel="0" collapsed="false">
      <c r="A623" s="9" t="s">
        <v>26</v>
      </c>
      <c r="B623" s="9" t="n">
        <v>22</v>
      </c>
      <c r="C623" s="11" t="n">
        <v>45933</v>
      </c>
      <c r="D623" s="9" t="s">
        <v>82</v>
      </c>
      <c r="E623" s="12" t="n">
        <v>23</v>
      </c>
      <c r="F623" s="9" t="s">
        <v>31</v>
      </c>
      <c r="G623" s="13" t="n">
        <v>50</v>
      </c>
      <c r="H623" s="9" t="s">
        <v>37</v>
      </c>
      <c r="I623" s="13" t="n">
        <v>2</v>
      </c>
      <c r="J623" s="1" t="str">
        <f aca="false">IF(A623="","", "SAMP-"&amp;A623&amp;"-L"&amp;TEXT(B623,"00")&amp;"-"&amp;TEXT(C623,"yyyymmdd")&amp;"-"&amp;D623&amp;"-H"&amp;TEXT(E623,"00")&amp;"-"&amp;H623)</f>
        <v>SAMP-KG01-L22-20251003-ORD-2025-00193-H23-Bird Swing</v>
      </c>
      <c r="K623" s="1" t="str">
        <f aca="false">IF(A623="","",IF(AND(G623&gt;=0,I623&gt;=0,I623&lt;=G623),"OK","CHECK"))</f>
        <v>OK</v>
      </c>
      <c r="L623" s="1" t="str">
        <f aca="false">IF(A623="","",IF(AND(E623&gt;=0,E623&lt;=23),"OK","CHECK"))</f>
        <v>OK</v>
      </c>
      <c r="M623" s="1" t="str">
        <f aca="false">IF(A623="","",IF(AND(K623="OK",L623="OK"),"OK","CHECK"))</f>
        <v>OK</v>
      </c>
    </row>
    <row r="624" customFormat="false" ht="18" hidden="false" customHeight="true" outlineLevel="0" collapsed="false">
      <c r="A624" s="9" t="s">
        <v>26</v>
      </c>
      <c r="B624" s="9" t="n">
        <v>22</v>
      </c>
      <c r="C624" s="11" t="n">
        <v>45934</v>
      </c>
      <c r="D624" s="9" t="s">
        <v>82</v>
      </c>
      <c r="E624" s="12" t="n">
        <v>12</v>
      </c>
      <c r="F624" s="9" t="s">
        <v>28</v>
      </c>
      <c r="G624" s="13" t="n">
        <v>200</v>
      </c>
      <c r="H624" s="9" t="s">
        <v>34</v>
      </c>
      <c r="I624" s="13" t="n">
        <v>3</v>
      </c>
      <c r="J624" s="1" t="str">
        <f aca="false">IF(A624="","", "SAMP-"&amp;A624&amp;"-L"&amp;TEXT(B624,"00")&amp;"-"&amp;TEXT(C624,"yyyymmdd")&amp;"-"&amp;D624&amp;"-H"&amp;TEXT(E624,"00")&amp;"-"&amp;H624)</f>
        <v>SAMP-KG01-L22-20251004-ORD-2025-00193-H12-Thin Wall</v>
      </c>
      <c r="K624" s="1" t="str">
        <f aca="false">IF(A624="","",IF(AND(G624&gt;=0,I624&gt;=0,I624&lt;=G624),"OK","CHECK"))</f>
        <v>OK</v>
      </c>
      <c r="L624" s="1" t="str">
        <f aca="false">IF(A624="","",IF(AND(E624&gt;=0,E624&lt;=23),"OK","CHECK"))</f>
        <v>OK</v>
      </c>
      <c r="M624" s="1" t="str">
        <f aca="false">IF(A624="","",IF(AND(K624="OK",L624="OK"),"OK","CHECK"))</f>
        <v>OK</v>
      </c>
    </row>
    <row r="625" customFormat="false" ht="18" hidden="false" customHeight="true" outlineLevel="0" collapsed="false">
      <c r="A625" s="9" t="s">
        <v>26</v>
      </c>
      <c r="B625" s="9" t="n">
        <v>22</v>
      </c>
      <c r="C625" s="11" t="n">
        <v>45934</v>
      </c>
      <c r="D625" s="9" t="s">
        <v>82</v>
      </c>
      <c r="E625" s="12" t="n">
        <v>7</v>
      </c>
      <c r="F625" s="9" t="s">
        <v>28</v>
      </c>
      <c r="G625" s="13" t="n">
        <v>150</v>
      </c>
      <c r="H625" s="9" t="s">
        <v>33</v>
      </c>
      <c r="I625" s="13" t="n">
        <v>5</v>
      </c>
      <c r="J625" s="1" t="str">
        <f aca="false">IF(A625="","", "SAMP-"&amp;A625&amp;"-L"&amp;TEXT(B625,"00")&amp;"-"&amp;TEXT(C625,"yyyymmdd")&amp;"-"&amp;D625&amp;"-H"&amp;TEXT(E625,"00")&amp;"-"&amp;H625)</f>
        <v>SAMP-KG01-L22-20251004-ORD-2025-00193-H07-Distortion</v>
      </c>
      <c r="K625" s="1" t="str">
        <f aca="false">IF(A625="","",IF(AND(G625&gt;=0,I625&gt;=0,I625&lt;=G625),"OK","CHECK"))</f>
        <v>OK</v>
      </c>
      <c r="L625" s="1" t="str">
        <f aca="false">IF(A625="","",IF(AND(E625&gt;=0,E625&lt;=23),"OK","CHECK"))</f>
        <v>OK</v>
      </c>
      <c r="M625" s="1" t="str">
        <f aca="false">IF(A625="","",IF(AND(K625="OK",L625="OK"),"OK","CHECK"))</f>
        <v>OK</v>
      </c>
    </row>
    <row r="626" customFormat="false" ht="18" hidden="false" customHeight="true" outlineLevel="0" collapsed="false">
      <c r="A626" s="9" t="s">
        <v>26</v>
      </c>
      <c r="B626" s="9" t="n">
        <v>22</v>
      </c>
      <c r="C626" s="11" t="n">
        <v>45934</v>
      </c>
      <c r="D626" s="9" t="s">
        <v>82</v>
      </c>
      <c r="E626" s="12" t="n">
        <v>9</v>
      </c>
      <c r="F626" s="9" t="s">
        <v>28</v>
      </c>
      <c r="G626" s="13" t="n">
        <v>150</v>
      </c>
      <c r="H626" s="9" t="s">
        <v>36</v>
      </c>
      <c r="I626" s="13" t="n">
        <v>2</v>
      </c>
      <c r="J626" s="1" t="str">
        <f aca="false">IF(A626="","", "SAMP-"&amp;A626&amp;"-L"&amp;TEXT(B626,"00")&amp;"-"&amp;TEXT(C626,"yyyymmdd")&amp;"-"&amp;D626&amp;"-H"&amp;TEXT(E626,"00")&amp;"-"&amp;H626)</f>
        <v>SAMP-KG01-L22-20251004-ORD-2025-00193-H09-Blister</v>
      </c>
      <c r="K626" s="1" t="str">
        <f aca="false">IF(A626="","",IF(AND(G626&gt;=0,I626&gt;=0,I626&lt;=G626),"OK","CHECK"))</f>
        <v>OK</v>
      </c>
      <c r="L626" s="1" t="str">
        <f aca="false">IF(A626="","",IF(AND(E626&gt;=0,E626&lt;=23),"OK","CHECK"))</f>
        <v>OK</v>
      </c>
      <c r="M626" s="1" t="str">
        <f aca="false">IF(A626="","",IF(AND(K626="OK",L626="OK"),"OK","CHECK"))</f>
        <v>OK</v>
      </c>
    </row>
    <row r="627" customFormat="false" ht="18" hidden="false" customHeight="true" outlineLevel="0" collapsed="false">
      <c r="A627" s="9" t="s">
        <v>26</v>
      </c>
      <c r="B627" s="9" t="n">
        <v>22</v>
      </c>
      <c r="C627" s="11" t="n">
        <v>45934</v>
      </c>
      <c r="D627" s="9" t="s">
        <v>82</v>
      </c>
      <c r="E627" s="12" t="n">
        <v>16</v>
      </c>
      <c r="F627" s="9" t="s">
        <v>31</v>
      </c>
      <c r="G627" s="13" t="n">
        <v>150</v>
      </c>
      <c r="H627" s="9" t="s">
        <v>35</v>
      </c>
      <c r="I627" s="13" t="n">
        <v>7</v>
      </c>
      <c r="J627" s="1" t="str">
        <f aca="false">IF(A627="","", "SAMP-"&amp;A627&amp;"-L"&amp;TEXT(B627,"00")&amp;"-"&amp;TEXT(C627,"yyyymmdd")&amp;"-"&amp;D627&amp;"-H"&amp;TEXT(E627,"00")&amp;"-"&amp;H627)</f>
        <v>SAMP-KG01-L22-20251004-ORD-2025-00193-H16-Stone</v>
      </c>
      <c r="K627" s="1" t="str">
        <f aca="false">IF(A627="","",IF(AND(G627&gt;=0,I627&gt;=0,I627&lt;=G627),"OK","CHECK"))</f>
        <v>OK</v>
      </c>
      <c r="L627" s="1" t="str">
        <f aca="false">IF(A627="","",IF(AND(E627&gt;=0,E627&lt;=23),"OK","CHECK"))</f>
        <v>OK</v>
      </c>
      <c r="M627" s="1" t="str">
        <f aca="false">IF(A627="","",IF(AND(K627="OK",L627="OK"),"OK","CHECK"))</f>
        <v>OK</v>
      </c>
    </row>
    <row r="628" customFormat="false" ht="18" hidden="false" customHeight="true" outlineLevel="0" collapsed="false">
      <c r="A628" s="9" t="s">
        <v>26</v>
      </c>
      <c r="B628" s="9" t="n">
        <v>22</v>
      </c>
      <c r="C628" s="11" t="n">
        <v>45934</v>
      </c>
      <c r="D628" s="9" t="s">
        <v>82</v>
      </c>
      <c r="E628" s="12" t="n">
        <v>20</v>
      </c>
      <c r="F628" s="9" t="s">
        <v>31</v>
      </c>
      <c r="G628" s="13" t="n">
        <v>200</v>
      </c>
      <c r="H628" s="9" t="s">
        <v>33</v>
      </c>
      <c r="I628" s="13" t="n">
        <v>4</v>
      </c>
      <c r="J628" s="1" t="str">
        <f aca="false">IF(A628="","", "SAMP-"&amp;A628&amp;"-L"&amp;TEXT(B628,"00")&amp;"-"&amp;TEXT(C628,"yyyymmdd")&amp;"-"&amp;D628&amp;"-H"&amp;TEXT(E628,"00")&amp;"-"&amp;H628)</f>
        <v>SAMP-KG01-L22-20251004-ORD-2025-00193-H20-Distortion</v>
      </c>
      <c r="K628" s="1" t="str">
        <f aca="false">IF(A628="","",IF(AND(G628&gt;=0,I628&gt;=0,I628&lt;=G628),"OK","CHECK"))</f>
        <v>OK</v>
      </c>
      <c r="L628" s="1" t="str">
        <f aca="false">IF(A628="","",IF(AND(E628&gt;=0,E628&lt;=23),"OK","CHECK"))</f>
        <v>OK</v>
      </c>
      <c r="M628" s="1" t="str">
        <f aca="false">IF(A628="","",IF(AND(K628="OK",L628="OK"),"OK","CHECK"))</f>
        <v>OK</v>
      </c>
    </row>
    <row r="629" customFormat="false" ht="18" hidden="false" customHeight="true" outlineLevel="0" collapsed="false">
      <c r="A629" s="9" t="s">
        <v>26</v>
      </c>
      <c r="B629" s="9" t="n">
        <v>22</v>
      </c>
      <c r="C629" s="11" t="n">
        <v>45934</v>
      </c>
      <c r="D629" s="9" t="s">
        <v>82</v>
      </c>
      <c r="E629" s="12" t="n">
        <v>23</v>
      </c>
      <c r="F629" s="9" t="s">
        <v>31</v>
      </c>
      <c r="G629" s="13" t="n">
        <v>100</v>
      </c>
      <c r="H629" s="9" t="s">
        <v>38</v>
      </c>
      <c r="I629" s="13" t="n">
        <v>5</v>
      </c>
      <c r="J629" s="1" t="str">
        <f aca="false">IF(A629="","", "SAMP-"&amp;A629&amp;"-L"&amp;TEXT(B629,"00")&amp;"-"&amp;TEXT(C629,"yyyymmdd")&amp;"-"&amp;D629&amp;"-H"&amp;TEXT(E629,"00")&amp;"-"&amp;H629)</f>
        <v>SAMP-KG01-L22-20251004-ORD-2025-00193-H23-Crack</v>
      </c>
      <c r="K629" s="1" t="str">
        <f aca="false">IF(A629="","",IF(AND(G629&gt;=0,I629&gt;=0,I629&lt;=G629),"OK","CHECK"))</f>
        <v>OK</v>
      </c>
      <c r="L629" s="1" t="str">
        <f aca="false">IF(A629="","",IF(AND(E629&gt;=0,E629&lt;=23),"OK","CHECK"))</f>
        <v>OK</v>
      </c>
      <c r="M629" s="1" t="str">
        <f aca="false">IF(A629="","",IF(AND(K629="OK",L629="OK"),"OK","CHECK"))</f>
        <v>OK</v>
      </c>
    </row>
    <row r="630" customFormat="false" ht="18" hidden="false" customHeight="true" outlineLevel="0" collapsed="false">
      <c r="A630" s="9" t="s">
        <v>26</v>
      </c>
      <c r="B630" s="9" t="n">
        <v>22</v>
      </c>
      <c r="C630" s="11" t="n">
        <v>45935</v>
      </c>
      <c r="D630" s="9" t="s">
        <v>82</v>
      </c>
      <c r="E630" s="12" t="n">
        <v>7</v>
      </c>
      <c r="F630" s="9" t="s">
        <v>28</v>
      </c>
      <c r="G630" s="13" t="n">
        <v>100</v>
      </c>
      <c r="H630" s="9" t="s">
        <v>33</v>
      </c>
      <c r="I630" s="13" t="n">
        <v>3</v>
      </c>
      <c r="J630" s="1" t="str">
        <f aca="false">IF(A630="","", "SAMP-"&amp;A630&amp;"-L"&amp;TEXT(B630,"00")&amp;"-"&amp;TEXT(C630,"yyyymmdd")&amp;"-"&amp;D630&amp;"-H"&amp;TEXT(E630,"00")&amp;"-"&amp;H630)</f>
        <v>SAMP-KG01-L22-20251005-ORD-2025-00193-H07-Distortion</v>
      </c>
      <c r="K630" s="1" t="str">
        <f aca="false">IF(A630="","",IF(AND(G630&gt;=0,I630&gt;=0,I630&lt;=G630),"OK","CHECK"))</f>
        <v>OK</v>
      </c>
      <c r="L630" s="1" t="str">
        <f aca="false">IF(A630="","",IF(AND(E630&gt;=0,E630&lt;=23),"OK","CHECK"))</f>
        <v>OK</v>
      </c>
      <c r="M630" s="1" t="str">
        <f aca="false">IF(A630="","",IF(AND(K630="OK",L630="OK"),"OK","CHECK"))</f>
        <v>OK</v>
      </c>
    </row>
    <row r="631" customFormat="false" ht="18" hidden="false" customHeight="true" outlineLevel="0" collapsed="false">
      <c r="A631" s="9" t="s">
        <v>26</v>
      </c>
      <c r="B631" s="9" t="n">
        <v>22</v>
      </c>
      <c r="C631" s="11" t="n">
        <v>45935</v>
      </c>
      <c r="D631" s="9" t="s">
        <v>82</v>
      </c>
      <c r="E631" s="12" t="n">
        <v>9</v>
      </c>
      <c r="F631" s="9" t="s">
        <v>28</v>
      </c>
      <c r="G631" s="13" t="n">
        <v>50</v>
      </c>
      <c r="H631" s="9" t="s">
        <v>41</v>
      </c>
      <c r="I631" s="13" t="n">
        <v>1</v>
      </c>
      <c r="J631" s="1" t="str">
        <f aca="false">IF(A631="","", "SAMP-"&amp;A631&amp;"-L"&amp;TEXT(B631,"00")&amp;"-"&amp;TEXT(C631,"yyyymmdd")&amp;"-"&amp;D631&amp;"-H"&amp;TEXT(E631,"00")&amp;"-"&amp;H631)</f>
        <v>SAMP-KG01-L22-20251005-ORD-2025-00193-H09-Chip</v>
      </c>
      <c r="K631" s="1" t="str">
        <f aca="false">IF(A631="","",IF(AND(G631&gt;=0,I631&gt;=0,I631&lt;=G631),"OK","CHECK"))</f>
        <v>OK</v>
      </c>
      <c r="L631" s="1" t="str">
        <f aca="false">IF(A631="","",IF(AND(E631&gt;=0,E631&lt;=23),"OK","CHECK"))</f>
        <v>OK</v>
      </c>
      <c r="M631" s="1" t="str">
        <f aca="false">IF(A631="","",IF(AND(K631="OK",L631="OK"),"OK","CHECK"))</f>
        <v>OK</v>
      </c>
    </row>
    <row r="632" customFormat="false" ht="18" hidden="false" customHeight="true" outlineLevel="0" collapsed="false">
      <c r="A632" s="9" t="s">
        <v>26</v>
      </c>
      <c r="B632" s="9" t="n">
        <v>22</v>
      </c>
      <c r="C632" s="11" t="n">
        <v>45935</v>
      </c>
      <c r="D632" s="9" t="s">
        <v>82</v>
      </c>
      <c r="E632" s="12" t="n">
        <v>12</v>
      </c>
      <c r="F632" s="9" t="s">
        <v>28</v>
      </c>
      <c r="G632" s="13" t="n">
        <v>100</v>
      </c>
      <c r="H632" s="9" t="s">
        <v>33</v>
      </c>
      <c r="I632" s="13" t="n">
        <v>3</v>
      </c>
      <c r="J632" s="1" t="str">
        <f aca="false">IF(A632="","", "SAMP-"&amp;A632&amp;"-L"&amp;TEXT(B632,"00")&amp;"-"&amp;TEXT(C632,"yyyymmdd")&amp;"-"&amp;D632&amp;"-H"&amp;TEXT(E632,"00")&amp;"-"&amp;H632)</f>
        <v>SAMP-KG01-L22-20251005-ORD-2025-00193-H12-Distortion</v>
      </c>
      <c r="K632" s="1" t="str">
        <f aca="false">IF(A632="","",IF(AND(G632&gt;=0,I632&gt;=0,I632&lt;=G632),"OK","CHECK"))</f>
        <v>OK</v>
      </c>
      <c r="L632" s="1" t="str">
        <f aca="false">IF(A632="","",IF(AND(E632&gt;=0,E632&lt;=23),"OK","CHECK"))</f>
        <v>OK</v>
      </c>
      <c r="M632" s="1" t="str">
        <f aca="false">IF(A632="","",IF(AND(K632="OK",L632="OK"),"OK","CHECK"))</f>
        <v>OK</v>
      </c>
    </row>
    <row r="633" customFormat="false" ht="18" hidden="false" customHeight="true" outlineLevel="0" collapsed="false">
      <c r="A633" s="9" t="s">
        <v>26</v>
      </c>
      <c r="B633" s="9" t="n">
        <v>22</v>
      </c>
      <c r="C633" s="11" t="n">
        <v>45935</v>
      </c>
      <c r="D633" s="9" t="s">
        <v>83</v>
      </c>
      <c r="E633" s="12" t="n">
        <v>20</v>
      </c>
      <c r="F633" s="9" t="s">
        <v>31</v>
      </c>
      <c r="G633" s="13" t="n">
        <v>100</v>
      </c>
      <c r="H633" s="9" t="s">
        <v>29</v>
      </c>
      <c r="I633" s="13" t="n">
        <v>0</v>
      </c>
      <c r="J633" s="1" t="str">
        <f aca="false">IF(A633="","", "SAMP-"&amp;A633&amp;"-L"&amp;TEXT(B633,"00")&amp;"-"&amp;TEXT(C633,"yyyymmdd")&amp;"-"&amp;D633&amp;"-H"&amp;TEXT(E633,"00")&amp;"-"&amp;H633)</f>
        <v>SAMP-KG01-L22-20251005-ORD-2025-00194-H20-Choke Neck</v>
      </c>
      <c r="K633" s="1" t="str">
        <f aca="false">IF(A633="","",IF(AND(G633&gt;=0,I633&gt;=0,I633&lt;=G633),"OK","CHECK"))</f>
        <v>OK</v>
      </c>
      <c r="L633" s="1" t="str">
        <f aca="false">IF(A633="","",IF(AND(E633&gt;=0,E633&lt;=23),"OK","CHECK"))</f>
        <v>OK</v>
      </c>
      <c r="M633" s="1" t="str">
        <f aca="false">IF(A633="","",IF(AND(K633="OK",L633="OK"),"OK","CHECK"))</f>
        <v>OK</v>
      </c>
    </row>
    <row r="634" customFormat="false" ht="18" hidden="false" customHeight="true" outlineLevel="0" collapsed="false">
      <c r="A634" s="9" t="s">
        <v>26</v>
      </c>
      <c r="B634" s="9" t="n">
        <v>22</v>
      </c>
      <c r="C634" s="11" t="n">
        <v>45935</v>
      </c>
      <c r="D634" s="9" t="s">
        <v>83</v>
      </c>
      <c r="E634" s="12" t="n">
        <v>16</v>
      </c>
      <c r="F634" s="9" t="s">
        <v>31</v>
      </c>
      <c r="G634" s="13" t="n">
        <v>50</v>
      </c>
      <c r="H634" s="9" t="s">
        <v>37</v>
      </c>
      <c r="I634" s="13" t="n">
        <v>1</v>
      </c>
      <c r="J634" s="1" t="str">
        <f aca="false">IF(A634="","", "SAMP-"&amp;A634&amp;"-L"&amp;TEXT(B634,"00")&amp;"-"&amp;TEXT(C634,"yyyymmdd")&amp;"-"&amp;D634&amp;"-H"&amp;TEXT(E634,"00")&amp;"-"&amp;H634)</f>
        <v>SAMP-KG01-L22-20251005-ORD-2025-00194-H16-Bird Swing</v>
      </c>
      <c r="K634" s="1" t="str">
        <f aca="false">IF(A634="","",IF(AND(G634&gt;=0,I634&gt;=0,I634&lt;=G634),"OK","CHECK"))</f>
        <v>OK</v>
      </c>
      <c r="L634" s="1" t="str">
        <f aca="false">IF(A634="","",IF(AND(E634&gt;=0,E634&lt;=23),"OK","CHECK"))</f>
        <v>OK</v>
      </c>
      <c r="M634" s="1" t="str">
        <f aca="false">IF(A634="","",IF(AND(K634="OK",L634="OK"),"OK","CHECK"))</f>
        <v>OK</v>
      </c>
    </row>
    <row r="635" customFormat="false" ht="18" hidden="false" customHeight="true" outlineLevel="0" collapsed="false">
      <c r="A635" s="9" t="s">
        <v>26</v>
      </c>
      <c r="B635" s="9" t="n">
        <v>22</v>
      </c>
      <c r="C635" s="11" t="n">
        <v>45935</v>
      </c>
      <c r="D635" s="9" t="s">
        <v>83</v>
      </c>
      <c r="E635" s="12" t="n">
        <v>23</v>
      </c>
      <c r="F635" s="9" t="s">
        <v>31</v>
      </c>
      <c r="G635" s="13" t="n">
        <v>200</v>
      </c>
      <c r="H635" s="9" t="s">
        <v>33</v>
      </c>
      <c r="I635" s="13" t="n">
        <v>1</v>
      </c>
      <c r="J635" s="1" t="str">
        <f aca="false">IF(A635="","", "SAMP-"&amp;A635&amp;"-L"&amp;TEXT(B635,"00")&amp;"-"&amp;TEXT(C635,"yyyymmdd")&amp;"-"&amp;D635&amp;"-H"&amp;TEXT(E635,"00")&amp;"-"&amp;H635)</f>
        <v>SAMP-KG01-L22-20251005-ORD-2025-00194-H23-Distortion</v>
      </c>
      <c r="K635" s="1" t="str">
        <f aca="false">IF(A635="","",IF(AND(G635&gt;=0,I635&gt;=0,I635&lt;=G635),"OK","CHECK"))</f>
        <v>OK</v>
      </c>
      <c r="L635" s="1" t="str">
        <f aca="false">IF(A635="","",IF(AND(E635&gt;=0,E635&lt;=23),"OK","CHECK"))</f>
        <v>OK</v>
      </c>
      <c r="M635" s="1" t="str">
        <f aca="false">IF(A635="","",IF(AND(K635="OK",L635="OK"),"OK","CHECK"))</f>
        <v>OK</v>
      </c>
    </row>
    <row r="636" customFormat="false" ht="18" hidden="false" customHeight="true" outlineLevel="0" collapsed="false">
      <c r="A636" s="9" t="s">
        <v>26</v>
      </c>
      <c r="B636" s="9" t="n">
        <v>22</v>
      </c>
      <c r="C636" s="11" t="n">
        <v>45936</v>
      </c>
      <c r="D636" s="9" t="s">
        <v>83</v>
      </c>
      <c r="E636" s="12" t="n">
        <v>9</v>
      </c>
      <c r="F636" s="9" t="s">
        <v>28</v>
      </c>
      <c r="G636" s="13" t="n">
        <v>100</v>
      </c>
      <c r="H636" s="9" t="s">
        <v>37</v>
      </c>
      <c r="I636" s="13" t="n">
        <v>1</v>
      </c>
      <c r="J636" s="1" t="str">
        <f aca="false">IF(A636="","", "SAMP-"&amp;A636&amp;"-L"&amp;TEXT(B636,"00")&amp;"-"&amp;TEXT(C636,"yyyymmdd")&amp;"-"&amp;D636&amp;"-H"&amp;TEXT(E636,"00")&amp;"-"&amp;H636)</f>
        <v>SAMP-KG01-L22-20251006-ORD-2025-00194-H09-Bird Swing</v>
      </c>
      <c r="K636" s="1" t="str">
        <f aca="false">IF(A636="","",IF(AND(G636&gt;=0,I636&gt;=0,I636&lt;=G636),"OK","CHECK"))</f>
        <v>OK</v>
      </c>
      <c r="L636" s="1" t="str">
        <f aca="false">IF(A636="","",IF(AND(E636&gt;=0,E636&lt;=23),"OK","CHECK"))</f>
        <v>OK</v>
      </c>
      <c r="M636" s="1" t="str">
        <f aca="false">IF(A636="","",IF(AND(K636="OK",L636="OK"),"OK","CHECK"))</f>
        <v>OK</v>
      </c>
    </row>
    <row r="637" customFormat="false" ht="18" hidden="false" customHeight="true" outlineLevel="0" collapsed="false">
      <c r="A637" s="9" t="s">
        <v>26</v>
      </c>
      <c r="B637" s="9" t="n">
        <v>22</v>
      </c>
      <c r="C637" s="11" t="n">
        <v>45936</v>
      </c>
      <c r="D637" s="9" t="s">
        <v>83</v>
      </c>
      <c r="E637" s="12" t="n">
        <v>12</v>
      </c>
      <c r="F637" s="9" t="s">
        <v>28</v>
      </c>
      <c r="G637" s="13" t="n">
        <v>50</v>
      </c>
      <c r="H637" s="9" t="s">
        <v>34</v>
      </c>
      <c r="I637" s="13" t="n">
        <v>0</v>
      </c>
      <c r="J637" s="1" t="str">
        <f aca="false">IF(A637="","", "SAMP-"&amp;A637&amp;"-L"&amp;TEXT(B637,"00")&amp;"-"&amp;TEXT(C637,"yyyymmdd")&amp;"-"&amp;D637&amp;"-H"&amp;TEXT(E637,"00")&amp;"-"&amp;H637)</f>
        <v>SAMP-KG01-L22-20251006-ORD-2025-00194-H12-Thin Wall</v>
      </c>
      <c r="K637" s="1" t="str">
        <f aca="false">IF(A637="","",IF(AND(G637&gt;=0,I637&gt;=0,I637&lt;=G637),"OK","CHECK"))</f>
        <v>OK</v>
      </c>
      <c r="L637" s="1" t="str">
        <f aca="false">IF(A637="","",IF(AND(E637&gt;=0,E637&lt;=23),"OK","CHECK"))</f>
        <v>OK</v>
      </c>
      <c r="M637" s="1" t="str">
        <f aca="false">IF(A637="","",IF(AND(K637="OK",L637="OK"),"OK","CHECK"))</f>
        <v>OK</v>
      </c>
    </row>
    <row r="638" customFormat="false" ht="18" hidden="false" customHeight="true" outlineLevel="0" collapsed="false">
      <c r="A638" s="9" t="s">
        <v>26</v>
      </c>
      <c r="B638" s="9" t="n">
        <v>22</v>
      </c>
      <c r="C638" s="11" t="n">
        <v>45936</v>
      </c>
      <c r="D638" s="9" t="s">
        <v>83</v>
      </c>
      <c r="E638" s="12" t="n">
        <v>20</v>
      </c>
      <c r="F638" s="9" t="s">
        <v>31</v>
      </c>
      <c r="G638" s="13" t="n">
        <v>150</v>
      </c>
      <c r="H638" s="9" t="s">
        <v>33</v>
      </c>
      <c r="I638" s="13" t="n">
        <v>0</v>
      </c>
      <c r="J638" s="1" t="str">
        <f aca="false">IF(A638="","", "SAMP-"&amp;A638&amp;"-L"&amp;TEXT(B638,"00")&amp;"-"&amp;TEXT(C638,"yyyymmdd")&amp;"-"&amp;D638&amp;"-H"&amp;TEXT(E638,"00")&amp;"-"&amp;H638)</f>
        <v>SAMP-KG01-L22-20251006-ORD-2025-00194-H20-Distortion</v>
      </c>
      <c r="K638" s="1" t="str">
        <f aca="false">IF(A638="","",IF(AND(G638&gt;=0,I638&gt;=0,I638&lt;=G638),"OK","CHECK"))</f>
        <v>OK</v>
      </c>
      <c r="L638" s="1" t="str">
        <f aca="false">IF(A638="","",IF(AND(E638&gt;=0,E638&lt;=23),"OK","CHECK"))</f>
        <v>OK</v>
      </c>
      <c r="M638" s="1" t="str">
        <f aca="false">IF(A638="","",IF(AND(K638="OK",L638="OK"),"OK","CHECK"))</f>
        <v>OK</v>
      </c>
    </row>
    <row r="639" customFormat="false" ht="18" hidden="false" customHeight="true" outlineLevel="0" collapsed="false">
      <c r="A639" s="9" t="s">
        <v>26</v>
      </c>
      <c r="B639" s="9" t="n">
        <v>22</v>
      </c>
      <c r="C639" s="11" t="n">
        <v>45936</v>
      </c>
      <c r="D639" s="9" t="s">
        <v>83</v>
      </c>
      <c r="E639" s="12" t="n">
        <v>23</v>
      </c>
      <c r="F639" s="9" t="s">
        <v>31</v>
      </c>
      <c r="G639" s="13" t="n">
        <v>50</v>
      </c>
      <c r="H639" s="9" t="s">
        <v>41</v>
      </c>
      <c r="I639" s="13" t="n">
        <v>1</v>
      </c>
      <c r="J639" s="1" t="str">
        <f aca="false">IF(A639="","", "SAMP-"&amp;A639&amp;"-L"&amp;TEXT(B639,"00")&amp;"-"&amp;TEXT(C639,"yyyymmdd")&amp;"-"&amp;D639&amp;"-H"&amp;TEXT(E639,"00")&amp;"-"&amp;H639)</f>
        <v>SAMP-KG01-L22-20251006-ORD-2025-00194-H23-Chip</v>
      </c>
      <c r="K639" s="1" t="str">
        <f aca="false">IF(A639="","",IF(AND(G639&gt;=0,I639&gt;=0,I639&lt;=G639),"OK","CHECK"))</f>
        <v>OK</v>
      </c>
      <c r="L639" s="1" t="str">
        <f aca="false">IF(A639="","",IF(AND(E639&gt;=0,E639&lt;=23),"OK","CHECK"))</f>
        <v>OK</v>
      </c>
      <c r="M639" s="1" t="str">
        <f aca="false">IF(A639="","",IF(AND(K639="OK",L639="OK"),"OK","CHECK"))</f>
        <v>OK</v>
      </c>
    </row>
    <row r="640" customFormat="false" ht="18" hidden="false" customHeight="true" outlineLevel="0" collapsed="false">
      <c r="A640" s="9" t="s">
        <v>26</v>
      </c>
      <c r="B640" s="9" t="n">
        <v>22</v>
      </c>
      <c r="C640" s="11" t="n">
        <v>45936</v>
      </c>
      <c r="D640" s="9" t="s">
        <v>83</v>
      </c>
      <c r="E640" s="12" t="n">
        <v>16</v>
      </c>
      <c r="F640" s="9" t="s">
        <v>31</v>
      </c>
      <c r="G640" s="13" t="n">
        <v>50</v>
      </c>
      <c r="H640" s="9" t="s">
        <v>37</v>
      </c>
      <c r="I640" s="13" t="n">
        <v>0</v>
      </c>
      <c r="J640" s="1" t="str">
        <f aca="false">IF(A640="","", "SAMP-"&amp;A640&amp;"-L"&amp;TEXT(B640,"00")&amp;"-"&amp;TEXT(C640,"yyyymmdd")&amp;"-"&amp;D640&amp;"-H"&amp;TEXT(E640,"00")&amp;"-"&amp;H640)</f>
        <v>SAMP-KG01-L22-20251006-ORD-2025-00194-H16-Bird Swing</v>
      </c>
      <c r="K640" s="1" t="str">
        <f aca="false">IF(A640="","",IF(AND(G640&gt;=0,I640&gt;=0,I640&lt;=G640),"OK","CHECK"))</f>
        <v>OK</v>
      </c>
      <c r="L640" s="1" t="str">
        <f aca="false">IF(A640="","",IF(AND(E640&gt;=0,E640&lt;=23),"OK","CHECK"))</f>
        <v>OK</v>
      </c>
      <c r="M640" s="1" t="str">
        <f aca="false">IF(A640="","",IF(AND(K640="OK",L640="OK"),"OK","CHECK"))</f>
        <v>OK</v>
      </c>
    </row>
    <row r="641" customFormat="false" ht="18" hidden="false" customHeight="true" outlineLevel="0" collapsed="false">
      <c r="A641" s="9" t="s">
        <v>26</v>
      </c>
      <c r="B641" s="9" t="n">
        <v>22</v>
      </c>
      <c r="C641" s="11" t="n">
        <v>45937</v>
      </c>
      <c r="D641" s="9" t="s">
        <v>83</v>
      </c>
      <c r="E641" s="12" t="n">
        <v>9</v>
      </c>
      <c r="F641" s="9" t="s">
        <v>28</v>
      </c>
      <c r="G641" s="13" t="n">
        <v>50</v>
      </c>
      <c r="H641" s="9" t="s">
        <v>34</v>
      </c>
      <c r="I641" s="13" t="n">
        <v>1</v>
      </c>
      <c r="J641" s="1" t="str">
        <f aca="false">IF(A641="","", "SAMP-"&amp;A641&amp;"-L"&amp;TEXT(B641,"00")&amp;"-"&amp;TEXT(C641,"yyyymmdd")&amp;"-"&amp;D641&amp;"-H"&amp;TEXT(E641,"00")&amp;"-"&amp;H641)</f>
        <v>SAMP-KG01-L22-20251007-ORD-2025-00194-H09-Thin Wall</v>
      </c>
      <c r="K641" s="1" t="str">
        <f aca="false">IF(A641="","",IF(AND(G641&gt;=0,I641&gt;=0,I641&lt;=G641),"OK","CHECK"))</f>
        <v>OK</v>
      </c>
      <c r="L641" s="1" t="str">
        <f aca="false">IF(A641="","",IF(AND(E641&gt;=0,E641&lt;=23),"OK","CHECK"))</f>
        <v>OK</v>
      </c>
      <c r="M641" s="1" t="str">
        <f aca="false">IF(A641="","",IF(AND(K641="OK",L641="OK"),"OK","CHECK"))</f>
        <v>OK</v>
      </c>
    </row>
    <row r="642" customFormat="false" ht="18" hidden="false" customHeight="true" outlineLevel="0" collapsed="false">
      <c r="A642" s="9" t="s">
        <v>26</v>
      </c>
      <c r="B642" s="9" t="n">
        <v>22</v>
      </c>
      <c r="C642" s="11" t="n">
        <v>45937</v>
      </c>
      <c r="D642" s="9" t="s">
        <v>83</v>
      </c>
      <c r="E642" s="12" t="n">
        <v>12</v>
      </c>
      <c r="F642" s="9" t="s">
        <v>28</v>
      </c>
      <c r="G642" s="13" t="n">
        <v>200</v>
      </c>
      <c r="H642" s="9" t="s">
        <v>30</v>
      </c>
      <c r="I642" s="13" t="n">
        <v>8</v>
      </c>
      <c r="J642" s="1" t="str">
        <f aca="false">IF(A642="","", "SAMP-"&amp;A642&amp;"-L"&amp;TEXT(B642,"00")&amp;"-"&amp;TEXT(C642,"yyyymmdd")&amp;"-"&amp;D642&amp;"-H"&amp;TEXT(E642,"00")&amp;"-"&amp;H642)</f>
        <v>SAMP-KG01-L22-20251007-ORD-2025-00194-H12-Overpress</v>
      </c>
      <c r="K642" s="1" t="str">
        <f aca="false">IF(A642="","",IF(AND(G642&gt;=0,I642&gt;=0,I642&lt;=G642),"OK","CHECK"))</f>
        <v>OK</v>
      </c>
      <c r="L642" s="1" t="str">
        <f aca="false">IF(A642="","",IF(AND(E642&gt;=0,E642&lt;=23),"OK","CHECK"))</f>
        <v>OK</v>
      </c>
      <c r="M642" s="1" t="str">
        <f aca="false">IF(A642="","",IF(AND(K642="OK",L642="OK"),"OK","CHECK"))</f>
        <v>OK</v>
      </c>
    </row>
    <row r="643" customFormat="false" ht="18" hidden="false" customHeight="true" outlineLevel="0" collapsed="false">
      <c r="A643" s="9" t="s">
        <v>26</v>
      </c>
      <c r="B643" s="9" t="n">
        <v>22</v>
      </c>
      <c r="C643" s="11" t="n">
        <v>45937</v>
      </c>
      <c r="D643" s="9" t="s">
        <v>83</v>
      </c>
      <c r="E643" s="12" t="n">
        <v>7</v>
      </c>
      <c r="F643" s="9" t="s">
        <v>28</v>
      </c>
      <c r="G643" s="13" t="n">
        <v>200</v>
      </c>
      <c r="H643" s="9" t="s">
        <v>41</v>
      </c>
      <c r="I643" s="13" t="n">
        <v>2</v>
      </c>
      <c r="J643" s="1" t="str">
        <f aca="false">IF(A643="","", "SAMP-"&amp;A643&amp;"-L"&amp;TEXT(B643,"00")&amp;"-"&amp;TEXT(C643,"yyyymmdd")&amp;"-"&amp;D643&amp;"-H"&amp;TEXT(E643,"00")&amp;"-"&amp;H643)</f>
        <v>SAMP-KG01-L22-20251007-ORD-2025-00194-H07-Chip</v>
      </c>
      <c r="K643" s="1" t="str">
        <f aca="false">IF(A643="","",IF(AND(G643&gt;=0,I643&gt;=0,I643&lt;=G643),"OK","CHECK"))</f>
        <v>OK</v>
      </c>
      <c r="L643" s="1" t="str">
        <f aca="false">IF(A643="","",IF(AND(E643&gt;=0,E643&lt;=23),"OK","CHECK"))</f>
        <v>OK</v>
      </c>
      <c r="M643" s="1" t="str">
        <f aca="false">IF(A643="","",IF(AND(K643="OK",L643="OK"),"OK","CHECK"))</f>
        <v>OK</v>
      </c>
    </row>
    <row r="644" customFormat="false" ht="18" hidden="false" customHeight="true" outlineLevel="0" collapsed="false">
      <c r="A644" s="9" t="s">
        <v>26</v>
      </c>
      <c r="B644" s="9" t="n">
        <v>22</v>
      </c>
      <c r="C644" s="11" t="n">
        <v>45937</v>
      </c>
      <c r="D644" s="9" t="s">
        <v>83</v>
      </c>
      <c r="E644" s="12" t="n">
        <v>16</v>
      </c>
      <c r="F644" s="9" t="s">
        <v>31</v>
      </c>
      <c r="G644" s="13" t="n">
        <v>100</v>
      </c>
      <c r="H644" s="9" t="s">
        <v>35</v>
      </c>
      <c r="I644" s="13" t="n">
        <v>4</v>
      </c>
      <c r="J644" s="1" t="str">
        <f aca="false">IF(A644="","", "SAMP-"&amp;A644&amp;"-L"&amp;TEXT(B644,"00")&amp;"-"&amp;TEXT(C644,"yyyymmdd")&amp;"-"&amp;D644&amp;"-H"&amp;TEXT(E644,"00")&amp;"-"&amp;H644)</f>
        <v>SAMP-KG01-L22-20251007-ORD-2025-00194-H16-Stone</v>
      </c>
      <c r="K644" s="1" t="str">
        <f aca="false">IF(A644="","",IF(AND(G644&gt;=0,I644&gt;=0,I644&lt;=G644),"OK","CHECK"))</f>
        <v>OK</v>
      </c>
      <c r="L644" s="1" t="str">
        <f aca="false">IF(A644="","",IF(AND(E644&gt;=0,E644&lt;=23),"OK","CHECK"))</f>
        <v>OK</v>
      </c>
      <c r="M644" s="1" t="str">
        <f aca="false">IF(A644="","",IF(AND(K644="OK",L644="OK"),"OK","CHECK"))</f>
        <v>OK</v>
      </c>
    </row>
    <row r="645" customFormat="false" ht="18" hidden="false" customHeight="true" outlineLevel="0" collapsed="false">
      <c r="A645" s="9" t="s">
        <v>26</v>
      </c>
      <c r="B645" s="9" t="n">
        <v>22</v>
      </c>
      <c r="C645" s="11" t="n">
        <v>45937</v>
      </c>
      <c r="D645" s="9" t="s">
        <v>83</v>
      </c>
      <c r="E645" s="12" t="n">
        <v>23</v>
      </c>
      <c r="F645" s="9" t="s">
        <v>31</v>
      </c>
      <c r="G645" s="13" t="n">
        <v>200</v>
      </c>
      <c r="H645" s="9" t="s">
        <v>35</v>
      </c>
      <c r="I645" s="13" t="n">
        <v>1</v>
      </c>
      <c r="J645" s="1" t="str">
        <f aca="false">IF(A645="","", "SAMP-"&amp;A645&amp;"-L"&amp;TEXT(B645,"00")&amp;"-"&amp;TEXT(C645,"yyyymmdd")&amp;"-"&amp;D645&amp;"-H"&amp;TEXT(E645,"00")&amp;"-"&amp;H645)</f>
        <v>SAMP-KG01-L22-20251007-ORD-2025-00194-H23-Stone</v>
      </c>
      <c r="K645" s="1" t="str">
        <f aca="false">IF(A645="","",IF(AND(G645&gt;=0,I645&gt;=0,I645&lt;=G645),"OK","CHECK"))</f>
        <v>OK</v>
      </c>
      <c r="L645" s="1" t="str">
        <f aca="false">IF(A645="","",IF(AND(E645&gt;=0,E645&lt;=23),"OK","CHECK"))</f>
        <v>OK</v>
      </c>
      <c r="M645" s="1" t="str">
        <f aca="false">IF(A645="","",IF(AND(K645="OK",L645="OK"),"OK","CHECK"))</f>
        <v>OK</v>
      </c>
    </row>
    <row r="646" customFormat="false" ht="18" hidden="false" customHeight="true" outlineLevel="0" collapsed="false">
      <c r="A646" s="9" t="s">
        <v>26</v>
      </c>
      <c r="B646" s="9" t="n">
        <v>22</v>
      </c>
      <c r="C646" s="11" t="n">
        <v>45937</v>
      </c>
      <c r="D646" s="9" t="s">
        <v>83</v>
      </c>
      <c r="E646" s="12" t="n">
        <v>20</v>
      </c>
      <c r="F646" s="9" t="s">
        <v>31</v>
      </c>
      <c r="G646" s="13" t="n">
        <v>150</v>
      </c>
      <c r="H646" s="9" t="s">
        <v>38</v>
      </c>
      <c r="I646" s="13" t="n">
        <v>1</v>
      </c>
      <c r="J646" s="1" t="str">
        <f aca="false">IF(A646="","", "SAMP-"&amp;A646&amp;"-L"&amp;TEXT(B646,"00")&amp;"-"&amp;TEXT(C646,"yyyymmdd")&amp;"-"&amp;D646&amp;"-H"&amp;TEXT(E646,"00")&amp;"-"&amp;H646)</f>
        <v>SAMP-KG01-L22-20251007-ORD-2025-00194-H20-Crack</v>
      </c>
      <c r="K646" s="1" t="str">
        <f aca="false">IF(A646="","",IF(AND(G646&gt;=0,I646&gt;=0,I646&lt;=G646),"OK","CHECK"))</f>
        <v>OK</v>
      </c>
      <c r="L646" s="1" t="str">
        <f aca="false">IF(A646="","",IF(AND(E646&gt;=0,E646&lt;=23),"OK","CHECK"))</f>
        <v>OK</v>
      </c>
      <c r="M646" s="1" t="str">
        <f aca="false">IF(A646="","",IF(AND(K646="OK",L646="OK"),"OK","CHECK"))</f>
        <v>OK</v>
      </c>
    </row>
    <row r="647" customFormat="false" ht="18" hidden="false" customHeight="true" outlineLevel="0" collapsed="false">
      <c r="A647" s="9" t="s">
        <v>26</v>
      </c>
      <c r="B647" s="9" t="n">
        <v>22</v>
      </c>
      <c r="C647" s="11" t="n">
        <v>45938</v>
      </c>
      <c r="D647" s="9" t="s">
        <v>83</v>
      </c>
      <c r="E647" s="12" t="n">
        <v>12</v>
      </c>
      <c r="F647" s="9" t="s">
        <v>28</v>
      </c>
      <c r="G647" s="13" t="n">
        <v>50</v>
      </c>
      <c r="H647" s="9" t="s">
        <v>38</v>
      </c>
      <c r="I647" s="13" t="n">
        <v>0</v>
      </c>
      <c r="J647" s="1" t="str">
        <f aca="false">IF(A647="","", "SAMP-"&amp;A647&amp;"-L"&amp;TEXT(B647,"00")&amp;"-"&amp;TEXT(C647,"yyyymmdd")&amp;"-"&amp;D647&amp;"-H"&amp;TEXT(E647,"00")&amp;"-"&amp;H647)</f>
        <v>SAMP-KG01-L22-20251008-ORD-2025-00194-H12-Crack</v>
      </c>
      <c r="K647" s="1" t="str">
        <f aca="false">IF(A647="","",IF(AND(G647&gt;=0,I647&gt;=0,I647&lt;=G647),"OK","CHECK"))</f>
        <v>OK</v>
      </c>
      <c r="L647" s="1" t="str">
        <f aca="false">IF(A647="","",IF(AND(E647&gt;=0,E647&lt;=23),"OK","CHECK"))</f>
        <v>OK</v>
      </c>
      <c r="M647" s="1" t="str">
        <f aca="false">IF(A647="","",IF(AND(K647="OK",L647="OK"),"OK","CHECK"))</f>
        <v>OK</v>
      </c>
    </row>
    <row r="648" customFormat="false" ht="18" hidden="false" customHeight="true" outlineLevel="0" collapsed="false">
      <c r="A648" s="9" t="s">
        <v>26</v>
      </c>
      <c r="B648" s="9" t="n">
        <v>22</v>
      </c>
      <c r="C648" s="11" t="n">
        <v>45938</v>
      </c>
      <c r="D648" s="9" t="s">
        <v>83</v>
      </c>
      <c r="E648" s="12" t="n">
        <v>7</v>
      </c>
      <c r="F648" s="9" t="s">
        <v>28</v>
      </c>
      <c r="G648" s="13" t="n">
        <v>150</v>
      </c>
      <c r="H648" s="9" t="s">
        <v>34</v>
      </c>
      <c r="I648" s="13" t="n">
        <v>3</v>
      </c>
      <c r="J648" s="1" t="str">
        <f aca="false">IF(A648="","", "SAMP-"&amp;A648&amp;"-L"&amp;TEXT(B648,"00")&amp;"-"&amp;TEXT(C648,"yyyymmdd")&amp;"-"&amp;D648&amp;"-H"&amp;TEXT(E648,"00")&amp;"-"&amp;H648)</f>
        <v>SAMP-KG01-L22-20251008-ORD-2025-00194-H07-Thin Wall</v>
      </c>
      <c r="K648" s="1" t="str">
        <f aca="false">IF(A648="","",IF(AND(G648&gt;=0,I648&gt;=0,I648&lt;=G648),"OK","CHECK"))</f>
        <v>OK</v>
      </c>
      <c r="L648" s="1" t="str">
        <f aca="false">IF(A648="","",IF(AND(E648&gt;=0,E648&lt;=23),"OK","CHECK"))</f>
        <v>OK</v>
      </c>
      <c r="M648" s="1" t="str">
        <f aca="false">IF(A648="","",IF(AND(K648="OK",L648="OK"),"OK","CHECK"))</f>
        <v>OK</v>
      </c>
    </row>
    <row r="649" customFormat="false" ht="18" hidden="false" customHeight="true" outlineLevel="0" collapsed="false">
      <c r="A649" s="9" t="s">
        <v>26</v>
      </c>
      <c r="B649" s="9" t="n">
        <v>22</v>
      </c>
      <c r="C649" s="11" t="n">
        <v>45938</v>
      </c>
      <c r="D649" s="9" t="s">
        <v>84</v>
      </c>
      <c r="E649" s="12" t="n">
        <v>23</v>
      </c>
      <c r="F649" s="9" t="s">
        <v>31</v>
      </c>
      <c r="G649" s="13" t="n">
        <v>50</v>
      </c>
      <c r="H649" s="9" t="s">
        <v>41</v>
      </c>
      <c r="I649" s="13" t="n">
        <v>1</v>
      </c>
      <c r="J649" s="1" t="str">
        <f aca="false">IF(A649="","", "SAMP-"&amp;A649&amp;"-L"&amp;TEXT(B649,"00")&amp;"-"&amp;TEXT(C649,"yyyymmdd")&amp;"-"&amp;D649&amp;"-H"&amp;TEXT(E649,"00")&amp;"-"&amp;H649)</f>
        <v>SAMP-KG01-L22-20251008-ORD-2025-00195-H23-Chip</v>
      </c>
      <c r="K649" s="1" t="str">
        <f aca="false">IF(A649="","",IF(AND(G649&gt;=0,I649&gt;=0,I649&lt;=G649),"OK","CHECK"))</f>
        <v>OK</v>
      </c>
      <c r="L649" s="1" t="str">
        <f aca="false">IF(A649="","",IF(AND(E649&gt;=0,E649&lt;=23),"OK","CHECK"))</f>
        <v>OK</v>
      </c>
      <c r="M649" s="1" t="str">
        <f aca="false">IF(A649="","",IF(AND(K649="OK",L649="OK"),"OK","CHECK"))</f>
        <v>OK</v>
      </c>
    </row>
    <row r="650" customFormat="false" ht="18" hidden="false" customHeight="true" outlineLevel="0" collapsed="false">
      <c r="A650" s="9" t="s">
        <v>26</v>
      </c>
      <c r="B650" s="9" t="n">
        <v>22</v>
      </c>
      <c r="C650" s="11" t="n">
        <v>45938</v>
      </c>
      <c r="D650" s="9" t="s">
        <v>84</v>
      </c>
      <c r="E650" s="12" t="n">
        <v>20</v>
      </c>
      <c r="F650" s="9" t="s">
        <v>31</v>
      </c>
      <c r="G650" s="13" t="n">
        <v>200</v>
      </c>
      <c r="H650" s="9" t="s">
        <v>29</v>
      </c>
      <c r="I650" s="13" t="n">
        <v>3</v>
      </c>
      <c r="J650" s="1" t="str">
        <f aca="false">IF(A650="","", "SAMP-"&amp;A650&amp;"-L"&amp;TEXT(B650,"00")&amp;"-"&amp;TEXT(C650,"yyyymmdd")&amp;"-"&amp;D650&amp;"-H"&amp;TEXT(E650,"00")&amp;"-"&amp;H650)</f>
        <v>SAMP-KG01-L22-20251008-ORD-2025-00195-H20-Choke Neck</v>
      </c>
      <c r="K650" s="1" t="str">
        <f aca="false">IF(A650="","",IF(AND(G650&gt;=0,I650&gt;=0,I650&lt;=G650),"OK","CHECK"))</f>
        <v>OK</v>
      </c>
      <c r="L650" s="1" t="str">
        <f aca="false">IF(A650="","",IF(AND(E650&gt;=0,E650&lt;=23),"OK","CHECK"))</f>
        <v>OK</v>
      </c>
      <c r="M650" s="1" t="str">
        <f aca="false">IF(A650="","",IF(AND(K650="OK",L650="OK"),"OK","CHECK"))</f>
        <v>OK</v>
      </c>
    </row>
    <row r="651" customFormat="false" ht="18" hidden="false" customHeight="true" outlineLevel="0" collapsed="false">
      <c r="A651" s="9" t="s">
        <v>26</v>
      </c>
      <c r="B651" s="9" t="n">
        <v>22</v>
      </c>
      <c r="C651" s="11" t="n">
        <v>45938</v>
      </c>
      <c r="D651" s="9" t="s">
        <v>84</v>
      </c>
      <c r="E651" s="12" t="n">
        <v>16</v>
      </c>
      <c r="F651" s="9" t="s">
        <v>31</v>
      </c>
      <c r="G651" s="13" t="n">
        <v>150</v>
      </c>
      <c r="H651" s="9" t="s">
        <v>30</v>
      </c>
      <c r="I651" s="13" t="n">
        <v>5</v>
      </c>
      <c r="J651" s="1" t="str">
        <f aca="false">IF(A651="","", "SAMP-"&amp;A651&amp;"-L"&amp;TEXT(B651,"00")&amp;"-"&amp;TEXT(C651,"yyyymmdd")&amp;"-"&amp;D651&amp;"-H"&amp;TEXT(E651,"00")&amp;"-"&amp;H651)</f>
        <v>SAMP-KG01-L22-20251008-ORD-2025-00195-H16-Overpress</v>
      </c>
      <c r="K651" s="1" t="str">
        <f aca="false">IF(A651="","",IF(AND(G651&gt;=0,I651&gt;=0,I651&lt;=G651),"OK","CHECK"))</f>
        <v>OK</v>
      </c>
      <c r="L651" s="1" t="str">
        <f aca="false">IF(A651="","",IF(AND(E651&gt;=0,E651&lt;=23),"OK","CHECK"))</f>
        <v>OK</v>
      </c>
      <c r="M651" s="1" t="str">
        <f aca="false">IF(A651="","",IF(AND(K651="OK",L651="OK"),"OK","CHECK"))</f>
        <v>OK</v>
      </c>
    </row>
    <row r="652" customFormat="false" ht="18" hidden="false" customHeight="true" outlineLevel="0" collapsed="false">
      <c r="A652" s="9" t="s">
        <v>26</v>
      </c>
      <c r="B652" s="9" t="n">
        <v>22</v>
      </c>
      <c r="C652" s="11" t="n">
        <v>45939</v>
      </c>
      <c r="D652" s="9" t="s">
        <v>84</v>
      </c>
      <c r="E652" s="12" t="n">
        <v>12</v>
      </c>
      <c r="F652" s="9" t="s">
        <v>28</v>
      </c>
      <c r="G652" s="13" t="n">
        <v>150</v>
      </c>
      <c r="H652" s="9" t="s">
        <v>34</v>
      </c>
      <c r="I652" s="13" t="n">
        <v>5</v>
      </c>
      <c r="J652" s="1" t="str">
        <f aca="false">IF(A652="","", "SAMP-"&amp;A652&amp;"-L"&amp;TEXT(B652,"00")&amp;"-"&amp;TEXT(C652,"yyyymmdd")&amp;"-"&amp;D652&amp;"-H"&amp;TEXT(E652,"00")&amp;"-"&amp;H652)</f>
        <v>SAMP-KG01-L22-20251009-ORD-2025-00195-H12-Thin Wall</v>
      </c>
      <c r="K652" s="1" t="str">
        <f aca="false">IF(A652="","",IF(AND(G652&gt;=0,I652&gt;=0,I652&lt;=G652),"OK","CHECK"))</f>
        <v>OK</v>
      </c>
      <c r="L652" s="1" t="str">
        <f aca="false">IF(A652="","",IF(AND(E652&gt;=0,E652&lt;=23),"OK","CHECK"))</f>
        <v>OK</v>
      </c>
      <c r="M652" s="1" t="str">
        <f aca="false">IF(A652="","",IF(AND(K652="OK",L652="OK"),"OK","CHECK"))</f>
        <v>OK</v>
      </c>
    </row>
    <row r="653" customFormat="false" ht="18" hidden="false" customHeight="true" outlineLevel="0" collapsed="false">
      <c r="A653" s="9" t="s">
        <v>26</v>
      </c>
      <c r="B653" s="9" t="n">
        <v>22</v>
      </c>
      <c r="C653" s="11" t="n">
        <v>45939</v>
      </c>
      <c r="D653" s="9" t="s">
        <v>84</v>
      </c>
      <c r="E653" s="12" t="n">
        <v>9</v>
      </c>
      <c r="F653" s="9" t="s">
        <v>28</v>
      </c>
      <c r="G653" s="13" t="n">
        <v>150</v>
      </c>
      <c r="H653" s="9" t="s">
        <v>34</v>
      </c>
      <c r="I653" s="13" t="n">
        <v>7</v>
      </c>
      <c r="J653" s="1" t="str">
        <f aca="false">IF(A653="","", "SAMP-"&amp;A653&amp;"-L"&amp;TEXT(B653,"00")&amp;"-"&amp;TEXT(C653,"yyyymmdd")&amp;"-"&amp;D653&amp;"-H"&amp;TEXT(E653,"00")&amp;"-"&amp;H653)</f>
        <v>SAMP-KG01-L22-20251009-ORD-2025-00195-H09-Thin Wall</v>
      </c>
      <c r="K653" s="1" t="str">
        <f aca="false">IF(A653="","",IF(AND(G653&gt;=0,I653&gt;=0,I653&lt;=G653),"OK","CHECK"))</f>
        <v>OK</v>
      </c>
      <c r="L653" s="1" t="str">
        <f aca="false">IF(A653="","",IF(AND(E653&gt;=0,E653&lt;=23),"OK","CHECK"))</f>
        <v>OK</v>
      </c>
      <c r="M653" s="1" t="str">
        <f aca="false">IF(A653="","",IF(AND(K653="OK",L653="OK"),"OK","CHECK"))</f>
        <v>OK</v>
      </c>
    </row>
    <row r="654" customFormat="false" ht="18" hidden="false" customHeight="true" outlineLevel="0" collapsed="false">
      <c r="A654" s="9" t="s">
        <v>26</v>
      </c>
      <c r="B654" s="9" t="n">
        <v>22</v>
      </c>
      <c r="C654" s="11" t="n">
        <v>45939</v>
      </c>
      <c r="D654" s="9" t="s">
        <v>84</v>
      </c>
      <c r="E654" s="12" t="n">
        <v>7</v>
      </c>
      <c r="F654" s="9" t="s">
        <v>28</v>
      </c>
      <c r="G654" s="13" t="n">
        <v>150</v>
      </c>
      <c r="H654" s="9" t="s">
        <v>37</v>
      </c>
      <c r="I654" s="13" t="n">
        <v>3</v>
      </c>
      <c r="J654" s="1" t="str">
        <f aca="false">IF(A654="","", "SAMP-"&amp;A654&amp;"-L"&amp;TEXT(B654,"00")&amp;"-"&amp;TEXT(C654,"yyyymmdd")&amp;"-"&amp;D654&amp;"-H"&amp;TEXT(E654,"00")&amp;"-"&amp;H654)</f>
        <v>SAMP-KG01-L22-20251009-ORD-2025-00195-H07-Bird Swing</v>
      </c>
      <c r="K654" s="1" t="str">
        <f aca="false">IF(A654="","",IF(AND(G654&gt;=0,I654&gt;=0,I654&lt;=G654),"OK","CHECK"))</f>
        <v>OK</v>
      </c>
      <c r="L654" s="1" t="str">
        <f aca="false">IF(A654="","",IF(AND(E654&gt;=0,E654&lt;=23),"OK","CHECK"))</f>
        <v>OK</v>
      </c>
      <c r="M654" s="1" t="str">
        <f aca="false">IF(A654="","",IF(AND(K654="OK",L654="OK"),"OK","CHECK"))</f>
        <v>OK</v>
      </c>
    </row>
    <row r="655" customFormat="false" ht="18" hidden="false" customHeight="true" outlineLevel="0" collapsed="false">
      <c r="A655" s="9" t="s">
        <v>26</v>
      </c>
      <c r="B655" s="9" t="n">
        <v>22</v>
      </c>
      <c r="C655" s="11" t="n">
        <v>45939</v>
      </c>
      <c r="D655" s="9" t="s">
        <v>84</v>
      </c>
      <c r="E655" s="12" t="n">
        <v>23</v>
      </c>
      <c r="F655" s="9" t="s">
        <v>31</v>
      </c>
      <c r="G655" s="13" t="n">
        <v>100</v>
      </c>
      <c r="H655" s="9" t="s">
        <v>36</v>
      </c>
      <c r="I655" s="13" t="n">
        <v>1</v>
      </c>
      <c r="J655" s="1" t="str">
        <f aca="false">IF(A655="","", "SAMP-"&amp;A655&amp;"-L"&amp;TEXT(B655,"00")&amp;"-"&amp;TEXT(C655,"yyyymmdd")&amp;"-"&amp;D655&amp;"-H"&amp;TEXT(E655,"00")&amp;"-"&amp;H655)</f>
        <v>SAMP-KG01-L22-20251009-ORD-2025-00195-H23-Blister</v>
      </c>
      <c r="K655" s="1" t="str">
        <f aca="false">IF(A655="","",IF(AND(G655&gt;=0,I655&gt;=0,I655&lt;=G655),"OK","CHECK"))</f>
        <v>OK</v>
      </c>
      <c r="L655" s="1" t="str">
        <f aca="false">IF(A655="","",IF(AND(E655&gt;=0,E655&lt;=23),"OK","CHECK"))</f>
        <v>OK</v>
      </c>
      <c r="M655" s="1" t="str">
        <f aca="false">IF(A655="","",IF(AND(K655="OK",L655="OK"),"OK","CHECK"))</f>
        <v>OK</v>
      </c>
    </row>
    <row r="656" customFormat="false" ht="18" hidden="false" customHeight="true" outlineLevel="0" collapsed="false">
      <c r="A656" s="9" t="s">
        <v>26</v>
      </c>
      <c r="B656" s="9" t="n">
        <v>22</v>
      </c>
      <c r="C656" s="11" t="n">
        <v>45939</v>
      </c>
      <c r="D656" s="9" t="s">
        <v>84</v>
      </c>
      <c r="E656" s="12" t="n">
        <v>16</v>
      </c>
      <c r="F656" s="9" t="s">
        <v>31</v>
      </c>
      <c r="G656" s="13" t="n">
        <v>50</v>
      </c>
      <c r="H656" s="9" t="s">
        <v>34</v>
      </c>
      <c r="I656" s="13" t="n">
        <v>1</v>
      </c>
      <c r="J656" s="1" t="str">
        <f aca="false">IF(A656="","", "SAMP-"&amp;A656&amp;"-L"&amp;TEXT(B656,"00")&amp;"-"&amp;TEXT(C656,"yyyymmdd")&amp;"-"&amp;D656&amp;"-H"&amp;TEXT(E656,"00")&amp;"-"&amp;H656)</f>
        <v>SAMP-KG01-L22-20251009-ORD-2025-00195-H16-Thin Wall</v>
      </c>
      <c r="K656" s="1" t="str">
        <f aca="false">IF(A656="","",IF(AND(G656&gt;=0,I656&gt;=0,I656&lt;=G656),"OK","CHECK"))</f>
        <v>OK</v>
      </c>
      <c r="L656" s="1" t="str">
        <f aca="false">IF(A656="","",IF(AND(E656&gt;=0,E656&lt;=23),"OK","CHECK"))</f>
        <v>OK</v>
      </c>
      <c r="M656" s="1" t="str">
        <f aca="false">IF(A656="","",IF(AND(K656="OK",L656="OK"),"OK","CHECK"))</f>
        <v>OK</v>
      </c>
    </row>
    <row r="657" customFormat="false" ht="18" hidden="false" customHeight="true" outlineLevel="0" collapsed="false">
      <c r="A657" s="9" t="s">
        <v>26</v>
      </c>
      <c r="B657" s="9" t="n">
        <v>22</v>
      </c>
      <c r="C657" s="11" t="n">
        <v>45940</v>
      </c>
      <c r="D657" s="9" t="s">
        <v>84</v>
      </c>
      <c r="E657" s="12" t="n">
        <v>7</v>
      </c>
      <c r="F657" s="9" t="s">
        <v>28</v>
      </c>
      <c r="G657" s="13" t="n">
        <v>100</v>
      </c>
      <c r="H657" s="9" t="s">
        <v>34</v>
      </c>
      <c r="I657" s="13" t="n">
        <v>0</v>
      </c>
      <c r="J657" s="1" t="str">
        <f aca="false">IF(A657="","", "SAMP-"&amp;A657&amp;"-L"&amp;TEXT(B657,"00")&amp;"-"&amp;TEXT(C657,"yyyymmdd")&amp;"-"&amp;D657&amp;"-H"&amp;TEXT(E657,"00")&amp;"-"&amp;H657)</f>
        <v>SAMP-KG01-L22-20251010-ORD-2025-00195-H07-Thin Wall</v>
      </c>
      <c r="K657" s="1" t="str">
        <f aca="false">IF(A657="","",IF(AND(G657&gt;=0,I657&gt;=0,I657&lt;=G657),"OK","CHECK"))</f>
        <v>OK</v>
      </c>
      <c r="L657" s="1" t="str">
        <f aca="false">IF(A657="","",IF(AND(E657&gt;=0,E657&lt;=23),"OK","CHECK"))</f>
        <v>OK</v>
      </c>
      <c r="M657" s="1" t="str">
        <f aca="false">IF(A657="","",IF(AND(K657="OK",L657="OK"),"OK","CHECK"))</f>
        <v>OK</v>
      </c>
    </row>
    <row r="658" customFormat="false" ht="18" hidden="false" customHeight="true" outlineLevel="0" collapsed="false">
      <c r="A658" s="9" t="s">
        <v>26</v>
      </c>
      <c r="B658" s="9" t="n">
        <v>22</v>
      </c>
      <c r="C658" s="11" t="n">
        <v>45940</v>
      </c>
      <c r="D658" s="9" t="s">
        <v>84</v>
      </c>
      <c r="E658" s="12" t="n">
        <v>9</v>
      </c>
      <c r="F658" s="9" t="s">
        <v>28</v>
      </c>
      <c r="G658" s="13" t="n">
        <v>50</v>
      </c>
      <c r="H658" s="9" t="s">
        <v>34</v>
      </c>
      <c r="I658" s="13" t="n">
        <v>2</v>
      </c>
      <c r="J658" s="1" t="str">
        <f aca="false">IF(A658="","", "SAMP-"&amp;A658&amp;"-L"&amp;TEXT(B658,"00")&amp;"-"&amp;TEXT(C658,"yyyymmdd")&amp;"-"&amp;D658&amp;"-H"&amp;TEXT(E658,"00")&amp;"-"&amp;H658)</f>
        <v>SAMP-KG01-L22-20251010-ORD-2025-00195-H09-Thin Wall</v>
      </c>
      <c r="K658" s="1" t="str">
        <f aca="false">IF(A658="","",IF(AND(G658&gt;=0,I658&gt;=0,I658&lt;=G658),"OK","CHECK"))</f>
        <v>OK</v>
      </c>
      <c r="L658" s="1" t="str">
        <f aca="false">IF(A658="","",IF(AND(E658&gt;=0,E658&lt;=23),"OK","CHECK"))</f>
        <v>OK</v>
      </c>
      <c r="M658" s="1" t="str">
        <f aca="false">IF(A658="","",IF(AND(K658="OK",L658="OK"),"OK","CHECK"))</f>
        <v>OK</v>
      </c>
    </row>
    <row r="659" customFormat="false" ht="18" hidden="false" customHeight="true" outlineLevel="0" collapsed="false">
      <c r="A659" s="9" t="s">
        <v>26</v>
      </c>
      <c r="B659" s="9" t="n">
        <v>22</v>
      </c>
      <c r="C659" s="11" t="n">
        <v>45940</v>
      </c>
      <c r="D659" s="9" t="s">
        <v>84</v>
      </c>
      <c r="E659" s="12" t="n">
        <v>20</v>
      </c>
      <c r="F659" s="9" t="s">
        <v>31</v>
      </c>
      <c r="G659" s="13" t="n">
        <v>150</v>
      </c>
      <c r="H659" s="9" t="s">
        <v>33</v>
      </c>
      <c r="I659" s="13" t="n">
        <v>3</v>
      </c>
      <c r="J659" s="1" t="str">
        <f aca="false">IF(A659="","", "SAMP-"&amp;A659&amp;"-L"&amp;TEXT(B659,"00")&amp;"-"&amp;TEXT(C659,"yyyymmdd")&amp;"-"&amp;D659&amp;"-H"&amp;TEXT(E659,"00")&amp;"-"&amp;H659)</f>
        <v>SAMP-KG01-L22-20251010-ORD-2025-00195-H20-Distortion</v>
      </c>
      <c r="K659" s="1" t="str">
        <f aca="false">IF(A659="","",IF(AND(G659&gt;=0,I659&gt;=0,I659&lt;=G659),"OK","CHECK"))</f>
        <v>OK</v>
      </c>
      <c r="L659" s="1" t="str">
        <f aca="false">IF(A659="","",IF(AND(E659&gt;=0,E659&lt;=23),"OK","CHECK"))</f>
        <v>OK</v>
      </c>
      <c r="M659" s="1" t="str">
        <f aca="false">IF(A659="","",IF(AND(K659="OK",L659="OK"),"OK","CHECK"))</f>
        <v>OK</v>
      </c>
    </row>
    <row r="660" customFormat="false" ht="18" hidden="false" customHeight="true" outlineLevel="0" collapsed="false">
      <c r="A660" s="9" t="s">
        <v>26</v>
      </c>
      <c r="B660" s="9" t="n">
        <v>22</v>
      </c>
      <c r="C660" s="11" t="n">
        <v>45940</v>
      </c>
      <c r="D660" s="9" t="s">
        <v>84</v>
      </c>
      <c r="E660" s="12" t="n">
        <v>23</v>
      </c>
      <c r="F660" s="9" t="s">
        <v>31</v>
      </c>
      <c r="G660" s="13" t="n">
        <v>200</v>
      </c>
      <c r="H660" s="9" t="s">
        <v>34</v>
      </c>
      <c r="I660" s="13" t="n">
        <v>4</v>
      </c>
      <c r="J660" s="1" t="str">
        <f aca="false">IF(A660="","", "SAMP-"&amp;A660&amp;"-L"&amp;TEXT(B660,"00")&amp;"-"&amp;TEXT(C660,"yyyymmdd")&amp;"-"&amp;D660&amp;"-H"&amp;TEXT(E660,"00")&amp;"-"&amp;H660)</f>
        <v>SAMP-KG01-L22-20251010-ORD-2025-00195-H23-Thin Wall</v>
      </c>
      <c r="K660" s="1" t="str">
        <f aca="false">IF(A660="","",IF(AND(G660&gt;=0,I660&gt;=0,I660&lt;=G660),"OK","CHECK"))</f>
        <v>OK</v>
      </c>
      <c r="L660" s="1" t="str">
        <f aca="false">IF(A660="","",IF(AND(E660&gt;=0,E660&lt;=23),"OK","CHECK"))</f>
        <v>OK</v>
      </c>
      <c r="M660" s="1" t="str">
        <f aca="false">IF(A660="","",IF(AND(K660="OK",L660="OK"),"OK","CHECK"))</f>
        <v>OK</v>
      </c>
    </row>
    <row r="661" customFormat="false" ht="18" hidden="false" customHeight="true" outlineLevel="0" collapsed="false">
      <c r="A661" s="9" t="s">
        <v>26</v>
      </c>
      <c r="B661" s="9" t="n">
        <v>22</v>
      </c>
      <c r="C661" s="11" t="n">
        <v>45940</v>
      </c>
      <c r="D661" s="9" t="s">
        <v>84</v>
      </c>
      <c r="E661" s="12" t="n">
        <v>16</v>
      </c>
      <c r="F661" s="9" t="s">
        <v>31</v>
      </c>
      <c r="G661" s="13" t="n">
        <v>200</v>
      </c>
      <c r="H661" s="9" t="s">
        <v>29</v>
      </c>
      <c r="I661" s="13" t="n">
        <v>2</v>
      </c>
      <c r="J661" s="1" t="str">
        <f aca="false">IF(A661="","", "SAMP-"&amp;A661&amp;"-L"&amp;TEXT(B661,"00")&amp;"-"&amp;TEXT(C661,"yyyymmdd")&amp;"-"&amp;D661&amp;"-H"&amp;TEXT(E661,"00")&amp;"-"&amp;H661)</f>
        <v>SAMP-KG01-L22-20251010-ORD-2025-00195-H16-Choke Neck</v>
      </c>
      <c r="K661" s="1" t="str">
        <f aca="false">IF(A661="","",IF(AND(G661&gt;=0,I661&gt;=0,I661&lt;=G661),"OK","CHECK"))</f>
        <v>OK</v>
      </c>
      <c r="L661" s="1" t="str">
        <f aca="false">IF(A661="","",IF(AND(E661&gt;=0,E661&lt;=23),"OK","CHECK"))</f>
        <v>OK</v>
      </c>
      <c r="M661" s="1" t="str">
        <f aca="false">IF(A661="","",IF(AND(K661="OK",L661="OK"),"OK","CHECK"))</f>
        <v>OK</v>
      </c>
    </row>
    <row r="662" customFormat="false" ht="18" hidden="false" customHeight="true" outlineLevel="0" collapsed="false">
      <c r="A662" s="9" t="s">
        <v>26</v>
      </c>
      <c r="B662" s="9" t="n">
        <v>22</v>
      </c>
      <c r="C662" s="11" t="n">
        <v>45941</v>
      </c>
      <c r="D662" s="9" t="s">
        <v>84</v>
      </c>
      <c r="E662" s="12" t="n">
        <v>7</v>
      </c>
      <c r="F662" s="9" t="s">
        <v>28</v>
      </c>
      <c r="G662" s="13" t="n">
        <v>100</v>
      </c>
      <c r="H662" s="9" t="s">
        <v>38</v>
      </c>
      <c r="I662" s="13" t="n">
        <v>2</v>
      </c>
      <c r="J662" s="1" t="str">
        <f aca="false">IF(A662="","", "SAMP-"&amp;A662&amp;"-L"&amp;TEXT(B662,"00")&amp;"-"&amp;TEXT(C662,"yyyymmdd")&amp;"-"&amp;D662&amp;"-H"&amp;TEXT(E662,"00")&amp;"-"&amp;H662)</f>
        <v>SAMP-KG01-L22-20251011-ORD-2025-00195-H07-Crack</v>
      </c>
      <c r="K662" s="1" t="str">
        <f aca="false">IF(A662="","",IF(AND(G662&gt;=0,I662&gt;=0,I662&lt;=G662),"OK","CHECK"))</f>
        <v>OK</v>
      </c>
      <c r="L662" s="1" t="str">
        <f aca="false">IF(A662="","",IF(AND(E662&gt;=0,E662&lt;=23),"OK","CHECK"))</f>
        <v>OK</v>
      </c>
      <c r="M662" s="1" t="str">
        <f aca="false">IF(A662="","",IF(AND(K662="OK",L662="OK"),"OK","CHECK"))</f>
        <v>OK</v>
      </c>
    </row>
    <row r="663" customFormat="false" ht="18" hidden="false" customHeight="true" outlineLevel="0" collapsed="false">
      <c r="A663" s="9" t="s">
        <v>26</v>
      </c>
      <c r="B663" s="9" t="n">
        <v>22</v>
      </c>
      <c r="C663" s="11" t="n">
        <v>45941</v>
      </c>
      <c r="D663" s="9" t="s">
        <v>84</v>
      </c>
      <c r="E663" s="12" t="n">
        <v>12</v>
      </c>
      <c r="F663" s="9" t="s">
        <v>28</v>
      </c>
      <c r="G663" s="13" t="n">
        <v>200</v>
      </c>
      <c r="H663" s="9" t="s">
        <v>29</v>
      </c>
      <c r="I663" s="13" t="n">
        <v>7</v>
      </c>
      <c r="J663" s="1" t="str">
        <f aca="false">IF(A663="","", "SAMP-"&amp;A663&amp;"-L"&amp;TEXT(B663,"00")&amp;"-"&amp;TEXT(C663,"yyyymmdd")&amp;"-"&amp;D663&amp;"-H"&amp;TEXT(E663,"00")&amp;"-"&amp;H663)</f>
        <v>SAMP-KG01-L22-20251011-ORD-2025-00195-H12-Choke Neck</v>
      </c>
      <c r="K663" s="1" t="str">
        <f aca="false">IF(A663="","",IF(AND(G663&gt;=0,I663&gt;=0,I663&lt;=G663),"OK","CHECK"))</f>
        <v>OK</v>
      </c>
      <c r="L663" s="1" t="str">
        <f aca="false">IF(A663="","",IF(AND(E663&gt;=0,E663&lt;=23),"OK","CHECK"))</f>
        <v>OK</v>
      </c>
      <c r="M663" s="1" t="str">
        <f aca="false">IF(A663="","",IF(AND(K663="OK",L663="OK"),"OK","CHECK"))</f>
        <v>OK</v>
      </c>
    </row>
    <row r="664" customFormat="false" ht="18" hidden="false" customHeight="true" outlineLevel="0" collapsed="false">
      <c r="A664" s="9" t="s">
        <v>26</v>
      </c>
      <c r="B664" s="9" t="n">
        <v>22</v>
      </c>
      <c r="C664" s="11" t="n">
        <v>45941</v>
      </c>
      <c r="D664" s="9" t="s">
        <v>84</v>
      </c>
      <c r="E664" s="12" t="n">
        <v>16</v>
      </c>
      <c r="F664" s="9" t="s">
        <v>31</v>
      </c>
      <c r="G664" s="13" t="n">
        <v>200</v>
      </c>
      <c r="H664" s="9" t="s">
        <v>29</v>
      </c>
      <c r="I664" s="13" t="n">
        <v>10</v>
      </c>
      <c r="J664" s="1" t="str">
        <f aca="false">IF(A664="","", "SAMP-"&amp;A664&amp;"-L"&amp;TEXT(B664,"00")&amp;"-"&amp;TEXT(C664,"yyyymmdd")&amp;"-"&amp;D664&amp;"-H"&amp;TEXT(E664,"00")&amp;"-"&amp;H664)</f>
        <v>SAMP-KG01-L22-20251011-ORD-2025-00195-H16-Choke Neck</v>
      </c>
      <c r="K664" s="1" t="str">
        <f aca="false">IF(A664="","",IF(AND(G664&gt;=0,I664&gt;=0,I664&lt;=G664),"OK","CHECK"))</f>
        <v>OK</v>
      </c>
      <c r="L664" s="1" t="str">
        <f aca="false">IF(A664="","",IF(AND(E664&gt;=0,E664&lt;=23),"OK","CHECK"))</f>
        <v>OK</v>
      </c>
      <c r="M664" s="1" t="str">
        <f aca="false">IF(A664="","",IF(AND(K664="OK",L664="OK"),"OK","CHECK"))</f>
        <v>OK</v>
      </c>
    </row>
    <row r="665" customFormat="false" ht="18" hidden="false" customHeight="true" outlineLevel="0" collapsed="false">
      <c r="A665" s="9" t="s">
        <v>26</v>
      </c>
      <c r="B665" s="9" t="n">
        <v>22</v>
      </c>
      <c r="C665" s="11" t="n">
        <v>45941</v>
      </c>
      <c r="D665" s="9" t="s">
        <v>84</v>
      </c>
      <c r="E665" s="12" t="n">
        <v>23</v>
      </c>
      <c r="F665" s="9" t="s">
        <v>31</v>
      </c>
      <c r="G665" s="13" t="n">
        <v>150</v>
      </c>
      <c r="H665" s="9" t="s">
        <v>38</v>
      </c>
      <c r="I665" s="13" t="n">
        <v>6</v>
      </c>
      <c r="J665" s="1" t="str">
        <f aca="false">IF(A665="","", "SAMP-"&amp;A665&amp;"-L"&amp;TEXT(B665,"00")&amp;"-"&amp;TEXT(C665,"yyyymmdd")&amp;"-"&amp;D665&amp;"-H"&amp;TEXT(E665,"00")&amp;"-"&amp;H665)</f>
        <v>SAMP-KG01-L22-20251011-ORD-2025-00195-H23-Crack</v>
      </c>
      <c r="K665" s="1" t="str">
        <f aca="false">IF(A665="","",IF(AND(G665&gt;=0,I665&gt;=0,I665&lt;=G665),"OK","CHECK"))</f>
        <v>OK</v>
      </c>
      <c r="L665" s="1" t="str">
        <f aca="false">IF(A665="","",IF(AND(E665&gt;=0,E665&lt;=23),"OK","CHECK"))</f>
        <v>OK</v>
      </c>
      <c r="M665" s="1" t="str">
        <f aca="false">IF(A665="","",IF(AND(K665="OK",L665="OK"),"OK","CHECK"))</f>
        <v>OK</v>
      </c>
    </row>
    <row r="666" customFormat="false" ht="18" hidden="false" customHeight="true" outlineLevel="0" collapsed="false">
      <c r="A666" s="9" t="s">
        <v>26</v>
      </c>
      <c r="B666" s="9" t="n">
        <v>22</v>
      </c>
      <c r="C666" s="11" t="n">
        <v>45942</v>
      </c>
      <c r="D666" s="9" t="s">
        <v>84</v>
      </c>
      <c r="E666" s="12" t="n">
        <v>12</v>
      </c>
      <c r="F666" s="9" t="s">
        <v>28</v>
      </c>
      <c r="G666" s="13" t="n">
        <v>50</v>
      </c>
      <c r="H666" s="9" t="s">
        <v>34</v>
      </c>
      <c r="I666" s="13" t="n">
        <v>1</v>
      </c>
      <c r="J666" s="1" t="str">
        <f aca="false">IF(A666="","", "SAMP-"&amp;A666&amp;"-L"&amp;TEXT(B666,"00")&amp;"-"&amp;TEXT(C666,"yyyymmdd")&amp;"-"&amp;D666&amp;"-H"&amp;TEXT(E666,"00")&amp;"-"&amp;H666)</f>
        <v>SAMP-KG01-L22-20251012-ORD-2025-00195-H12-Thin Wall</v>
      </c>
      <c r="K666" s="1" t="str">
        <f aca="false">IF(A666="","",IF(AND(G666&gt;=0,I666&gt;=0,I666&lt;=G666),"OK","CHECK"))</f>
        <v>OK</v>
      </c>
      <c r="L666" s="1" t="str">
        <f aca="false">IF(A666="","",IF(AND(E666&gt;=0,E666&lt;=23),"OK","CHECK"))</f>
        <v>OK</v>
      </c>
      <c r="M666" s="1" t="str">
        <f aca="false">IF(A666="","",IF(AND(K666="OK",L666="OK"),"OK","CHECK"))</f>
        <v>OK</v>
      </c>
    </row>
    <row r="667" customFormat="false" ht="18" hidden="false" customHeight="true" outlineLevel="0" collapsed="false">
      <c r="A667" s="9" t="s">
        <v>26</v>
      </c>
      <c r="B667" s="9" t="n">
        <v>22</v>
      </c>
      <c r="C667" s="11" t="n">
        <v>45942</v>
      </c>
      <c r="D667" s="9" t="s">
        <v>84</v>
      </c>
      <c r="E667" s="12" t="n">
        <v>7</v>
      </c>
      <c r="F667" s="9" t="s">
        <v>28</v>
      </c>
      <c r="G667" s="13" t="n">
        <v>150</v>
      </c>
      <c r="H667" s="9" t="s">
        <v>36</v>
      </c>
      <c r="I667" s="13" t="n">
        <v>3</v>
      </c>
      <c r="J667" s="1" t="str">
        <f aca="false">IF(A667="","", "SAMP-"&amp;A667&amp;"-L"&amp;TEXT(B667,"00")&amp;"-"&amp;TEXT(C667,"yyyymmdd")&amp;"-"&amp;D667&amp;"-H"&amp;TEXT(E667,"00")&amp;"-"&amp;H667)</f>
        <v>SAMP-KG01-L22-20251012-ORD-2025-00195-H07-Blister</v>
      </c>
      <c r="K667" s="1" t="str">
        <f aca="false">IF(A667="","",IF(AND(G667&gt;=0,I667&gt;=0,I667&lt;=G667),"OK","CHECK"))</f>
        <v>OK</v>
      </c>
      <c r="L667" s="1" t="str">
        <f aca="false">IF(A667="","",IF(AND(E667&gt;=0,E667&lt;=23),"OK","CHECK"))</f>
        <v>OK</v>
      </c>
      <c r="M667" s="1" t="str">
        <f aca="false">IF(A667="","",IF(AND(K667="OK",L667="OK"),"OK","CHECK"))</f>
        <v>OK</v>
      </c>
    </row>
    <row r="668" customFormat="false" ht="18" hidden="false" customHeight="true" outlineLevel="0" collapsed="false">
      <c r="A668" s="9" t="s">
        <v>26</v>
      </c>
      <c r="B668" s="9" t="n">
        <v>22</v>
      </c>
      <c r="C668" s="11" t="n">
        <v>45942</v>
      </c>
      <c r="D668" s="9" t="s">
        <v>84</v>
      </c>
      <c r="E668" s="12" t="n">
        <v>20</v>
      </c>
      <c r="F668" s="9" t="s">
        <v>31</v>
      </c>
      <c r="G668" s="13" t="n">
        <v>150</v>
      </c>
      <c r="H668" s="9" t="s">
        <v>41</v>
      </c>
      <c r="I668" s="13" t="n">
        <v>1</v>
      </c>
      <c r="J668" s="1" t="str">
        <f aca="false">IF(A668="","", "SAMP-"&amp;A668&amp;"-L"&amp;TEXT(B668,"00")&amp;"-"&amp;TEXT(C668,"yyyymmdd")&amp;"-"&amp;D668&amp;"-H"&amp;TEXT(E668,"00")&amp;"-"&amp;H668)</f>
        <v>SAMP-KG01-L22-20251012-ORD-2025-00195-H20-Chip</v>
      </c>
      <c r="K668" s="1" t="str">
        <f aca="false">IF(A668="","",IF(AND(G668&gt;=0,I668&gt;=0,I668&lt;=G668),"OK","CHECK"))</f>
        <v>OK</v>
      </c>
      <c r="L668" s="1" t="str">
        <f aca="false">IF(A668="","",IF(AND(E668&gt;=0,E668&lt;=23),"OK","CHECK"))</f>
        <v>OK</v>
      </c>
      <c r="M668" s="1" t="str">
        <f aca="false">IF(A668="","",IF(AND(K668="OK",L668="OK"),"OK","CHECK"))</f>
        <v>OK</v>
      </c>
    </row>
    <row r="669" customFormat="false" ht="18" hidden="false" customHeight="true" outlineLevel="0" collapsed="false">
      <c r="A669" s="9" t="s">
        <v>26</v>
      </c>
      <c r="B669" s="9" t="n">
        <v>22</v>
      </c>
      <c r="C669" s="11" t="n">
        <v>45942</v>
      </c>
      <c r="D669" s="9" t="s">
        <v>84</v>
      </c>
      <c r="E669" s="12" t="n">
        <v>16</v>
      </c>
      <c r="F669" s="9" t="s">
        <v>31</v>
      </c>
      <c r="G669" s="13" t="n">
        <v>50</v>
      </c>
      <c r="H669" s="9" t="s">
        <v>34</v>
      </c>
      <c r="I669" s="13" t="n">
        <v>0</v>
      </c>
      <c r="J669" s="1" t="str">
        <f aca="false">IF(A669="","", "SAMP-"&amp;A669&amp;"-L"&amp;TEXT(B669,"00")&amp;"-"&amp;TEXT(C669,"yyyymmdd")&amp;"-"&amp;D669&amp;"-H"&amp;TEXT(E669,"00")&amp;"-"&amp;H669)</f>
        <v>SAMP-KG01-L22-20251012-ORD-2025-00195-H16-Thin Wall</v>
      </c>
      <c r="K669" s="1" t="str">
        <f aca="false">IF(A669="","",IF(AND(G669&gt;=0,I669&gt;=0,I669&lt;=G669),"OK","CHECK"))</f>
        <v>OK</v>
      </c>
      <c r="L669" s="1" t="str">
        <f aca="false">IF(A669="","",IF(AND(E669&gt;=0,E669&lt;=23),"OK","CHECK"))</f>
        <v>OK</v>
      </c>
      <c r="M669" s="1" t="str">
        <f aca="false">IF(A669="","",IF(AND(K669="OK",L669="OK"),"OK","CHECK"))</f>
        <v>OK</v>
      </c>
    </row>
    <row r="670" customFormat="false" ht="18" hidden="false" customHeight="true" outlineLevel="0" collapsed="false">
      <c r="A670" s="9" t="s">
        <v>26</v>
      </c>
      <c r="B670" s="9" t="n">
        <v>22</v>
      </c>
      <c r="C670" s="11" t="n">
        <v>45942</v>
      </c>
      <c r="D670" s="9" t="s">
        <v>84</v>
      </c>
      <c r="E670" s="12" t="n">
        <v>23</v>
      </c>
      <c r="F670" s="9" t="s">
        <v>31</v>
      </c>
      <c r="G670" s="13" t="n">
        <v>50</v>
      </c>
      <c r="H670" s="9" t="s">
        <v>37</v>
      </c>
      <c r="I670" s="13" t="n">
        <v>1</v>
      </c>
      <c r="J670" s="1" t="str">
        <f aca="false">IF(A670="","", "SAMP-"&amp;A670&amp;"-L"&amp;TEXT(B670,"00")&amp;"-"&amp;TEXT(C670,"yyyymmdd")&amp;"-"&amp;D670&amp;"-H"&amp;TEXT(E670,"00")&amp;"-"&amp;H670)</f>
        <v>SAMP-KG01-L22-20251012-ORD-2025-00195-H23-Bird Swing</v>
      </c>
      <c r="K670" s="1" t="str">
        <f aca="false">IF(A670="","",IF(AND(G670&gt;=0,I670&gt;=0,I670&lt;=G670),"OK","CHECK"))</f>
        <v>OK</v>
      </c>
      <c r="L670" s="1" t="str">
        <f aca="false">IF(A670="","",IF(AND(E670&gt;=0,E670&lt;=23),"OK","CHECK"))</f>
        <v>OK</v>
      </c>
      <c r="M670" s="1" t="str">
        <f aca="false">IF(A670="","",IF(AND(K670="OK",L670="OK"),"OK","CHECK"))</f>
        <v>OK</v>
      </c>
    </row>
    <row r="671" customFormat="false" ht="18" hidden="false" customHeight="true" outlineLevel="0" collapsed="false">
      <c r="A671" s="9" t="s">
        <v>26</v>
      </c>
      <c r="B671" s="9" t="n">
        <v>22</v>
      </c>
      <c r="C671" s="11" t="n">
        <v>45943</v>
      </c>
      <c r="D671" s="9" t="s">
        <v>85</v>
      </c>
      <c r="E671" s="12" t="n">
        <v>12</v>
      </c>
      <c r="F671" s="9" t="s">
        <v>28</v>
      </c>
      <c r="G671" s="13" t="n">
        <v>50</v>
      </c>
      <c r="H671" s="9" t="s">
        <v>33</v>
      </c>
      <c r="I671" s="13" t="n">
        <v>2</v>
      </c>
      <c r="J671" s="1" t="str">
        <f aca="false">IF(A671="","", "SAMP-"&amp;A671&amp;"-L"&amp;TEXT(B671,"00")&amp;"-"&amp;TEXT(C671,"yyyymmdd")&amp;"-"&amp;D671&amp;"-H"&amp;TEXT(E671,"00")&amp;"-"&amp;H671)</f>
        <v>SAMP-KG01-L22-20251013-ORD-2025-00196-H12-Distortion</v>
      </c>
      <c r="K671" s="1" t="str">
        <f aca="false">IF(A671="","",IF(AND(G671&gt;=0,I671&gt;=0,I671&lt;=G671),"OK","CHECK"))</f>
        <v>OK</v>
      </c>
      <c r="L671" s="1" t="str">
        <f aca="false">IF(A671="","",IF(AND(E671&gt;=0,E671&lt;=23),"OK","CHECK"))</f>
        <v>OK</v>
      </c>
      <c r="M671" s="1" t="str">
        <f aca="false">IF(A671="","",IF(AND(K671="OK",L671="OK"),"OK","CHECK"))</f>
        <v>OK</v>
      </c>
    </row>
    <row r="672" customFormat="false" ht="18" hidden="false" customHeight="true" outlineLevel="0" collapsed="false">
      <c r="A672" s="9" t="s">
        <v>26</v>
      </c>
      <c r="B672" s="9" t="n">
        <v>22</v>
      </c>
      <c r="C672" s="11" t="n">
        <v>45943</v>
      </c>
      <c r="D672" s="9" t="s">
        <v>85</v>
      </c>
      <c r="E672" s="12" t="n">
        <v>7</v>
      </c>
      <c r="F672" s="9" t="s">
        <v>28</v>
      </c>
      <c r="G672" s="13" t="n">
        <v>50</v>
      </c>
      <c r="H672" s="9" t="s">
        <v>38</v>
      </c>
      <c r="I672" s="13" t="n">
        <v>1</v>
      </c>
      <c r="J672" s="1" t="str">
        <f aca="false">IF(A672="","", "SAMP-"&amp;A672&amp;"-L"&amp;TEXT(B672,"00")&amp;"-"&amp;TEXT(C672,"yyyymmdd")&amp;"-"&amp;D672&amp;"-H"&amp;TEXT(E672,"00")&amp;"-"&amp;H672)</f>
        <v>SAMP-KG01-L22-20251013-ORD-2025-00196-H07-Crack</v>
      </c>
      <c r="K672" s="1" t="str">
        <f aca="false">IF(A672="","",IF(AND(G672&gt;=0,I672&gt;=0,I672&lt;=G672),"OK","CHECK"))</f>
        <v>OK</v>
      </c>
      <c r="L672" s="1" t="str">
        <f aca="false">IF(A672="","",IF(AND(E672&gt;=0,E672&lt;=23),"OK","CHECK"))</f>
        <v>OK</v>
      </c>
      <c r="M672" s="1" t="str">
        <f aca="false">IF(A672="","",IF(AND(K672="OK",L672="OK"),"OK","CHECK"))</f>
        <v>OK</v>
      </c>
    </row>
    <row r="673" customFormat="false" ht="18" hidden="false" customHeight="true" outlineLevel="0" collapsed="false">
      <c r="A673" s="9" t="s">
        <v>26</v>
      </c>
      <c r="B673" s="9" t="n">
        <v>22</v>
      </c>
      <c r="C673" s="11" t="n">
        <v>45943</v>
      </c>
      <c r="D673" s="9" t="s">
        <v>85</v>
      </c>
      <c r="E673" s="12" t="n">
        <v>23</v>
      </c>
      <c r="F673" s="9" t="s">
        <v>31</v>
      </c>
      <c r="G673" s="13" t="n">
        <v>100</v>
      </c>
      <c r="H673" s="9" t="s">
        <v>37</v>
      </c>
      <c r="I673" s="13" t="n">
        <v>5</v>
      </c>
      <c r="J673" s="1" t="str">
        <f aca="false">IF(A673="","", "SAMP-"&amp;A673&amp;"-L"&amp;TEXT(B673,"00")&amp;"-"&amp;TEXT(C673,"yyyymmdd")&amp;"-"&amp;D673&amp;"-H"&amp;TEXT(E673,"00")&amp;"-"&amp;H673)</f>
        <v>SAMP-KG01-L22-20251013-ORD-2025-00196-H23-Bird Swing</v>
      </c>
      <c r="K673" s="1" t="str">
        <f aca="false">IF(A673="","",IF(AND(G673&gt;=0,I673&gt;=0,I673&lt;=G673),"OK","CHECK"))</f>
        <v>OK</v>
      </c>
      <c r="L673" s="1" t="str">
        <f aca="false">IF(A673="","",IF(AND(E673&gt;=0,E673&lt;=23),"OK","CHECK"))</f>
        <v>OK</v>
      </c>
      <c r="M673" s="1" t="str">
        <f aca="false">IF(A673="","",IF(AND(K673="OK",L673="OK"),"OK","CHECK"))</f>
        <v>OK</v>
      </c>
    </row>
    <row r="674" customFormat="false" ht="18" hidden="false" customHeight="true" outlineLevel="0" collapsed="false">
      <c r="A674" s="9" t="s">
        <v>26</v>
      </c>
      <c r="B674" s="9" t="n">
        <v>22</v>
      </c>
      <c r="C674" s="11" t="n">
        <v>45943</v>
      </c>
      <c r="D674" s="9" t="s">
        <v>85</v>
      </c>
      <c r="E674" s="12" t="n">
        <v>20</v>
      </c>
      <c r="F674" s="9" t="s">
        <v>31</v>
      </c>
      <c r="G674" s="13" t="n">
        <v>150</v>
      </c>
      <c r="H674" s="9" t="s">
        <v>41</v>
      </c>
      <c r="I674" s="13" t="n">
        <v>3</v>
      </c>
      <c r="J674" s="1" t="str">
        <f aca="false">IF(A674="","", "SAMP-"&amp;A674&amp;"-L"&amp;TEXT(B674,"00")&amp;"-"&amp;TEXT(C674,"yyyymmdd")&amp;"-"&amp;D674&amp;"-H"&amp;TEXT(E674,"00")&amp;"-"&amp;H674)</f>
        <v>SAMP-KG01-L22-20251013-ORD-2025-00196-H20-Chip</v>
      </c>
      <c r="K674" s="1" t="str">
        <f aca="false">IF(A674="","",IF(AND(G674&gt;=0,I674&gt;=0,I674&lt;=G674),"OK","CHECK"))</f>
        <v>OK</v>
      </c>
      <c r="L674" s="1" t="str">
        <f aca="false">IF(A674="","",IF(AND(E674&gt;=0,E674&lt;=23),"OK","CHECK"))</f>
        <v>OK</v>
      </c>
      <c r="M674" s="1" t="str">
        <f aca="false">IF(A674="","",IF(AND(K674="OK",L674="OK"),"OK","CHECK"))</f>
        <v>OK</v>
      </c>
    </row>
    <row r="675" customFormat="false" ht="18" hidden="false" customHeight="true" outlineLevel="0" collapsed="false">
      <c r="A675" s="9" t="s">
        <v>26</v>
      </c>
      <c r="B675" s="9" t="n">
        <v>22</v>
      </c>
      <c r="C675" s="11" t="n">
        <v>45943</v>
      </c>
      <c r="D675" s="9" t="s">
        <v>85</v>
      </c>
      <c r="E675" s="12" t="n">
        <v>16</v>
      </c>
      <c r="F675" s="9" t="s">
        <v>31</v>
      </c>
      <c r="G675" s="13" t="n">
        <v>50</v>
      </c>
      <c r="H675" s="9" t="s">
        <v>29</v>
      </c>
      <c r="I675" s="13" t="n">
        <v>2</v>
      </c>
      <c r="J675" s="1" t="str">
        <f aca="false">IF(A675="","", "SAMP-"&amp;A675&amp;"-L"&amp;TEXT(B675,"00")&amp;"-"&amp;TEXT(C675,"yyyymmdd")&amp;"-"&amp;D675&amp;"-H"&amp;TEXT(E675,"00")&amp;"-"&amp;H675)</f>
        <v>SAMP-KG01-L22-20251013-ORD-2025-00196-H16-Choke Neck</v>
      </c>
      <c r="K675" s="1" t="str">
        <f aca="false">IF(A675="","",IF(AND(G675&gt;=0,I675&gt;=0,I675&lt;=G675),"OK","CHECK"))</f>
        <v>OK</v>
      </c>
      <c r="L675" s="1" t="str">
        <f aca="false">IF(A675="","",IF(AND(E675&gt;=0,E675&lt;=23),"OK","CHECK"))</f>
        <v>OK</v>
      </c>
      <c r="M675" s="1" t="str">
        <f aca="false">IF(A675="","",IF(AND(K675="OK",L675="OK"),"OK","CHECK"))</f>
        <v>OK</v>
      </c>
    </row>
    <row r="676" customFormat="false" ht="18" hidden="false" customHeight="true" outlineLevel="0" collapsed="false">
      <c r="A676" s="9" t="s">
        <v>26</v>
      </c>
      <c r="B676" s="9" t="n">
        <v>22</v>
      </c>
      <c r="C676" s="11" t="n">
        <v>45944</v>
      </c>
      <c r="D676" s="9" t="s">
        <v>85</v>
      </c>
      <c r="E676" s="12" t="n">
        <v>12</v>
      </c>
      <c r="F676" s="9" t="s">
        <v>28</v>
      </c>
      <c r="G676" s="13" t="n">
        <v>50</v>
      </c>
      <c r="H676" s="9" t="s">
        <v>35</v>
      </c>
      <c r="I676" s="13" t="n">
        <v>0</v>
      </c>
      <c r="J676" s="1" t="str">
        <f aca="false">IF(A676="","", "SAMP-"&amp;A676&amp;"-L"&amp;TEXT(B676,"00")&amp;"-"&amp;TEXT(C676,"yyyymmdd")&amp;"-"&amp;D676&amp;"-H"&amp;TEXT(E676,"00")&amp;"-"&amp;H676)</f>
        <v>SAMP-KG01-L22-20251014-ORD-2025-00196-H12-Stone</v>
      </c>
      <c r="K676" s="1" t="str">
        <f aca="false">IF(A676="","",IF(AND(G676&gt;=0,I676&gt;=0,I676&lt;=G676),"OK","CHECK"))</f>
        <v>OK</v>
      </c>
      <c r="L676" s="1" t="str">
        <f aca="false">IF(A676="","",IF(AND(E676&gt;=0,E676&lt;=23),"OK","CHECK"))</f>
        <v>OK</v>
      </c>
      <c r="M676" s="1" t="str">
        <f aca="false">IF(A676="","",IF(AND(K676="OK",L676="OK"),"OK","CHECK"))</f>
        <v>OK</v>
      </c>
    </row>
    <row r="677" customFormat="false" ht="18" hidden="false" customHeight="true" outlineLevel="0" collapsed="false">
      <c r="A677" s="9" t="s">
        <v>26</v>
      </c>
      <c r="B677" s="9" t="n">
        <v>22</v>
      </c>
      <c r="C677" s="11" t="n">
        <v>45944</v>
      </c>
      <c r="D677" s="9" t="s">
        <v>85</v>
      </c>
      <c r="E677" s="12" t="n">
        <v>7</v>
      </c>
      <c r="F677" s="9" t="s">
        <v>28</v>
      </c>
      <c r="G677" s="13" t="n">
        <v>150</v>
      </c>
      <c r="H677" s="9" t="s">
        <v>33</v>
      </c>
      <c r="I677" s="13" t="n">
        <v>7</v>
      </c>
      <c r="J677" s="1" t="str">
        <f aca="false">IF(A677="","", "SAMP-"&amp;A677&amp;"-L"&amp;TEXT(B677,"00")&amp;"-"&amp;TEXT(C677,"yyyymmdd")&amp;"-"&amp;D677&amp;"-H"&amp;TEXT(E677,"00")&amp;"-"&amp;H677)</f>
        <v>SAMP-KG01-L22-20251014-ORD-2025-00196-H07-Distortion</v>
      </c>
      <c r="K677" s="1" t="str">
        <f aca="false">IF(A677="","",IF(AND(G677&gt;=0,I677&gt;=0,I677&lt;=G677),"OK","CHECK"))</f>
        <v>OK</v>
      </c>
      <c r="L677" s="1" t="str">
        <f aca="false">IF(A677="","",IF(AND(E677&gt;=0,E677&lt;=23),"OK","CHECK"))</f>
        <v>OK</v>
      </c>
      <c r="M677" s="1" t="str">
        <f aca="false">IF(A677="","",IF(AND(K677="OK",L677="OK"),"OK","CHECK"))</f>
        <v>OK</v>
      </c>
    </row>
    <row r="678" customFormat="false" ht="18" hidden="false" customHeight="true" outlineLevel="0" collapsed="false">
      <c r="A678" s="9" t="s">
        <v>26</v>
      </c>
      <c r="B678" s="9" t="n">
        <v>22</v>
      </c>
      <c r="C678" s="11" t="n">
        <v>45944</v>
      </c>
      <c r="D678" s="9" t="s">
        <v>85</v>
      </c>
      <c r="E678" s="12" t="n">
        <v>9</v>
      </c>
      <c r="F678" s="9" t="s">
        <v>28</v>
      </c>
      <c r="G678" s="13" t="n">
        <v>200</v>
      </c>
      <c r="H678" s="9" t="s">
        <v>33</v>
      </c>
      <c r="I678" s="13" t="n">
        <v>0</v>
      </c>
      <c r="J678" s="1" t="str">
        <f aca="false">IF(A678="","", "SAMP-"&amp;A678&amp;"-L"&amp;TEXT(B678,"00")&amp;"-"&amp;TEXT(C678,"yyyymmdd")&amp;"-"&amp;D678&amp;"-H"&amp;TEXT(E678,"00")&amp;"-"&amp;H678)</f>
        <v>SAMP-KG01-L22-20251014-ORD-2025-00196-H09-Distortion</v>
      </c>
      <c r="K678" s="1" t="str">
        <f aca="false">IF(A678="","",IF(AND(G678&gt;=0,I678&gt;=0,I678&lt;=G678),"OK","CHECK"))</f>
        <v>OK</v>
      </c>
      <c r="L678" s="1" t="str">
        <f aca="false">IF(A678="","",IF(AND(E678&gt;=0,E678&lt;=23),"OK","CHECK"))</f>
        <v>OK</v>
      </c>
      <c r="M678" s="1" t="str">
        <f aca="false">IF(A678="","",IF(AND(K678="OK",L678="OK"),"OK","CHECK"))</f>
        <v>OK</v>
      </c>
    </row>
    <row r="679" customFormat="false" ht="18" hidden="false" customHeight="true" outlineLevel="0" collapsed="false">
      <c r="A679" s="9" t="s">
        <v>26</v>
      </c>
      <c r="B679" s="9" t="n">
        <v>22</v>
      </c>
      <c r="C679" s="11" t="n">
        <v>45944</v>
      </c>
      <c r="D679" s="9" t="s">
        <v>85</v>
      </c>
      <c r="E679" s="12" t="n">
        <v>16</v>
      </c>
      <c r="F679" s="9" t="s">
        <v>31</v>
      </c>
      <c r="G679" s="13" t="n">
        <v>100</v>
      </c>
      <c r="H679" s="9" t="s">
        <v>34</v>
      </c>
      <c r="I679" s="13" t="n">
        <v>4</v>
      </c>
      <c r="J679" s="1" t="str">
        <f aca="false">IF(A679="","", "SAMP-"&amp;A679&amp;"-L"&amp;TEXT(B679,"00")&amp;"-"&amp;TEXT(C679,"yyyymmdd")&amp;"-"&amp;D679&amp;"-H"&amp;TEXT(E679,"00")&amp;"-"&amp;H679)</f>
        <v>SAMP-KG01-L22-20251014-ORD-2025-00196-H16-Thin Wall</v>
      </c>
      <c r="K679" s="1" t="str">
        <f aca="false">IF(A679="","",IF(AND(G679&gt;=0,I679&gt;=0,I679&lt;=G679),"OK","CHECK"))</f>
        <v>OK</v>
      </c>
      <c r="L679" s="1" t="str">
        <f aca="false">IF(A679="","",IF(AND(E679&gt;=0,E679&lt;=23),"OK","CHECK"))</f>
        <v>OK</v>
      </c>
      <c r="M679" s="1" t="str">
        <f aca="false">IF(A679="","",IF(AND(K679="OK",L679="OK"),"OK","CHECK"))</f>
        <v>OK</v>
      </c>
    </row>
    <row r="680" customFormat="false" ht="18" hidden="false" customHeight="true" outlineLevel="0" collapsed="false">
      <c r="A680" s="9" t="s">
        <v>26</v>
      </c>
      <c r="B680" s="9" t="n">
        <v>22</v>
      </c>
      <c r="C680" s="11" t="n">
        <v>45944</v>
      </c>
      <c r="D680" s="9" t="s">
        <v>85</v>
      </c>
      <c r="E680" s="12" t="n">
        <v>20</v>
      </c>
      <c r="F680" s="9" t="s">
        <v>31</v>
      </c>
      <c r="G680" s="13" t="n">
        <v>50</v>
      </c>
      <c r="H680" s="9" t="s">
        <v>33</v>
      </c>
      <c r="I680" s="13" t="n">
        <v>1</v>
      </c>
      <c r="J680" s="1" t="str">
        <f aca="false">IF(A680="","", "SAMP-"&amp;A680&amp;"-L"&amp;TEXT(B680,"00")&amp;"-"&amp;TEXT(C680,"yyyymmdd")&amp;"-"&amp;D680&amp;"-H"&amp;TEXT(E680,"00")&amp;"-"&amp;H680)</f>
        <v>SAMP-KG01-L22-20251014-ORD-2025-00196-H20-Distortion</v>
      </c>
      <c r="K680" s="1" t="str">
        <f aca="false">IF(A680="","",IF(AND(G680&gt;=0,I680&gt;=0,I680&lt;=G680),"OK","CHECK"))</f>
        <v>OK</v>
      </c>
      <c r="L680" s="1" t="str">
        <f aca="false">IF(A680="","",IF(AND(E680&gt;=0,E680&lt;=23),"OK","CHECK"))</f>
        <v>OK</v>
      </c>
      <c r="M680" s="1" t="str">
        <f aca="false">IF(A680="","",IF(AND(K680="OK",L680="OK"),"OK","CHECK"))</f>
        <v>OK</v>
      </c>
    </row>
    <row r="681" customFormat="false" ht="18" hidden="false" customHeight="true" outlineLevel="0" collapsed="false">
      <c r="A681" s="9" t="s">
        <v>26</v>
      </c>
      <c r="B681" s="9" t="n">
        <v>22</v>
      </c>
      <c r="C681" s="11" t="n">
        <v>45944</v>
      </c>
      <c r="D681" s="9" t="s">
        <v>85</v>
      </c>
      <c r="E681" s="12" t="n">
        <v>23</v>
      </c>
      <c r="F681" s="9" t="s">
        <v>31</v>
      </c>
      <c r="G681" s="13" t="n">
        <v>200</v>
      </c>
      <c r="H681" s="9" t="s">
        <v>33</v>
      </c>
      <c r="I681" s="13" t="n">
        <v>1</v>
      </c>
      <c r="J681" s="1" t="str">
        <f aca="false">IF(A681="","", "SAMP-"&amp;A681&amp;"-L"&amp;TEXT(B681,"00")&amp;"-"&amp;TEXT(C681,"yyyymmdd")&amp;"-"&amp;D681&amp;"-H"&amp;TEXT(E681,"00")&amp;"-"&amp;H681)</f>
        <v>SAMP-KG01-L22-20251014-ORD-2025-00196-H23-Distortion</v>
      </c>
      <c r="K681" s="1" t="str">
        <f aca="false">IF(A681="","",IF(AND(G681&gt;=0,I681&gt;=0,I681&lt;=G681),"OK","CHECK"))</f>
        <v>OK</v>
      </c>
      <c r="L681" s="1" t="str">
        <f aca="false">IF(A681="","",IF(AND(E681&gt;=0,E681&lt;=23),"OK","CHECK"))</f>
        <v>OK</v>
      </c>
      <c r="M681" s="1" t="str">
        <f aca="false">IF(A681="","",IF(AND(K681="OK",L681="OK"),"OK","CHECK"))</f>
        <v>OK</v>
      </c>
    </row>
    <row r="682" customFormat="false" ht="18" hidden="false" customHeight="true" outlineLevel="0" collapsed="false">
      <c r="A682" s="9" t="s">
        <v>26</v>
      </c>
      <c r="B682" s="9" t="n">
        <v>22</v>
      </c>
      <c r="C682" s="11" t="n">
        <v>45945</v>
      </c>
      <c r="D682" s="9" t="s">
        <v>85</v>
      </c>
      <c r="E682" s="12" t="n">
        <v>9</v>
      </c>
      <c r="F682" s="9" t="s">
        <v>28</v>
      </c>
      <c r="G682" s="13" t="n">
        <v>50</v>
      </c>
      <c r="H682" s="9" t="s">
        <v>37</v>
      </c>
      <c r="I682" s="13" t="n">
        <v>0</v>
      </c>
      <c r="J682" s="1" t="str">
        <f aca="false">IF(A682="","", "SAMP-"&amp;A682&amp;"-L"&amp;TEXT(B682,"00")&amp;"-"&amp;TEXT(C682,"yyyymmdd")&amp;"-"&amp;D682&amp;"-H"&amp;TEXT(E682,"00")&amp;"-"&amp;H682)</f>
        <v>SAMP-KG01-L22-20251015-ORD-2025-00196-H09-Bird Swing</v>
      </c>
      <c r="K682" s="1" t="str">
        <f aca="false">IF(A682="","",IF(AND(G682&gt;=0,I682&gt;=0,I682&lt;=G682),"OK","CHECK"))</f>
        <v>OK</v>
      </c>
      <c r="L682" s="1" t="str">
        <f aca="false">IF(A682="","",IF(AND(E682&gt;=0,E682&lt;=23),"OK","CHECK"))</f>
        <v>OK</v>
      </c>
      <c r="M682" s="1" t="str">
        <f aca="false">IF(A682="","",IF(AND(K682="OK",L682="OK"),"OK","CHECK"))</f>
        <v>OK</v>
      </c>
    </row>
    <row r="683" customFormat="false" ht="18" hidden="false" customHeight="true" outlineLevel="0" collapsed="false">
      <c r="A683" s="9" t="s">
        <v>26</v>
      </c>
      <c r="B683" s="9" t="n">
        <v>22</v>
      </c>
      <c r="C683" s="11" t="n">
        <v>45945</v>
      </c>
      <c r="D683" s="9" t="s">
        <v>85</v>
      </c>
      <c r="E683" s="12" t="n">
        <v>7</v>
      </c>
      <c r="F683" s="9" t="s">
        <v>28</v>
      </c>
      <c r="G683" s="13" t="n">
        <v>200</v>
      </c>
      <c r="H683" s="9" t="s">
        <v>41</v>
      </c>
      <c r="I683" s="13" t="n">
        <v>2</v>
      </c>
      <c r="J683" s="1" t="str">
        <f aca="false">IF(A683="","", "SAMP-"&amp;A683&amp;"-L"&amp;TEXT(B683,"00")&amp;"-"&amp;TEXT(C683,"yyyymmdd")&amp;"-"&amp;D683&amp;"-H"&amp;TEXT(E683,"00")&amp;"-"&amp;H683)</f>
        <v>SAMP-KG01-L22-20251015-ORD-2025-00196-H07-Chip</v>
      </c>
      <c r="K683" s="1" t="str">
        <f aca="false">IF(A683="","",IF(AND(G683&gt;=0,I683&gt;=0,I683&lt;=G683),"OK","CHECK"))</f>
        <v>OK</v>
      </c>
      <c r="L683" s="1" t="str">
        <f aca="false">IF(A683="","",IF(AND(E683&gt;=0,E683&lt;=23),"OK","CHECK"))</f>
        <v>OK</v>
      </c>
      <c r="M683" s="1" t="str">
        <f aca="false">IF(A683="","",IF(AND(K683="OK",L683="OK"),"OK","CHECK"))</f>
        <v>OK</v>
      </c>
    </row>
    <row r="684" customFormat="false" ht="18" hidden="false" customHeight="true" outlineLevel="0" collapsed="false">
      <c r="A684" s="9" t="s">
        <v>26</v>
      </c>
      <c r="B684" s="9" t="n">
        <v>22</v>
      </c>
      <c r="C684" s="11" t="n">
        <v>45945</v>
      </c>
      <c r="D684" s="9" t="s">
        <v>85</v>
      </c>
      <c r="E684" s="12" t="n">
        <v>12</v>
      </c>
      <c r="F684" s="9" t="s">
        <v>28</v>
      </c>
      <c r="G684" s="13" t="n">
        <v>150</v>
      </c>
      <c r="H684" s="9" t="s">
        <v>35</v>
      </c>
      <c r="I684" s="13" t="n">
        <v>1</v>
      </c>
      <c r="J684" s="1" t="str">
        <f aca="false">IF(A684="","", "SAMP-"&amp;A684&amp;"-L"&amp;TEXT(B684,"00")&amp;"-"&amp;TEXT(C684,"yyyymmdd")&amp;"-"&amp;D684&amp;"-H"&amp;TEXT(E684,"00")&amp;"-"&amp;H684)</f>
        <v>SAMP-KG01-L22-20251015-ORD-2025-00196-H12-Stone</v>
      </c>
      <c r="K684" s="1" t="str">
        <f aca="false">IF(A684="","",IF(AND(G684&gt;=0,I684&gt;=0,I684&lt;=G684),"OK","CHECK"))</f>
        <v>OK</v>
      </c>
      <c r="L684" s="1" t="str">
        <f aca="false">IF(A684="","",IF(AND(E684&gt;=0,E684&lt;=23),"OK","CHECK"))</f>
        <v>OK</v>
      </c>
      <c r="M684" s="1" t="str">
        <f aca="false">IF(A684="","",IF(AND(K684="OK",L684="OK"),"OK","CHECK"))</f>
        <v>OK</v>
      </c>
    </row>
    <row r="685" customFormat="false" ht="18" hidden="false" customHeight="true" outlineLevel="0" collapsed="false">
      <c r="A685" s="9" t="s">
        <v>26</v>
      </c>
      <c r="B685" s="9" t="n">
        <v>22</v>
      </c>
      <c r="C685" s="11" t="n">
        <v>45945</v>
      </c>
      <c r="D685" s="9" t="s">
        <v>85</v>
      </c>
      <c r="E685" s="12" t="n">
        <v>20</v>
      </c>
      <c r="F685" s="9" t="s">
        <v>31</v>
      </c>
      <c r="G685" s="13" t="n">
        <v>200</v>
      </c>
      <c r="H685" s="9" t="s">
        <v>36</v>
      </c>
      <c r="I685" s="13" t="n">
        <v>5</v>
      </c>
      <c r="J685" s="1" t="str">
        <f aca="false">IF(A685="","", "SAMP-"&amp;A685&amp;"-L"&amp;TEXT(B685,"00")&amp;"-"&amp;TEXT(C685,"yyyymmdd")&amp;"-"&amp;D685&amp;"-H"&amp;TEXT(E685,"00")&amp;"-"&amp;H685)</f>
        <v>SAMP-KG01-L22-20251015-ORD-2025-00196-H20-Blister</v>
      </c>
      <c r="K685" s="1" t="str">
        <f aca="false">IF(A685="","",IF(AND(G685&gt;=0,I685&gt;=0,I685&lt;=G685),"OK","CHECK"))</f>
        <v>OK</v>
      </c>
      <c r="L685" s="1" t="str">
        <f aca="false">IF(A685="","",IF(AND(E685&gt;=0,E685&lt;=23),"OK","CHECK"))</f>
        <v>OK</v>
      </c>
      <c r="M685" s="1" t="str">
        <f aca="false">IF(A685="","",IF(AND(K685="OK",L685="OK"),"OK","CHECK"))</f>
        <v>OK</v>
      </c>
    </row>
    <row r="686" customFormat="false" ht="18" hidden="false" customHeight="true" outlineLevel="0" collapsed="false">
      <c r="A686" s="9" t="s">
        <v>26</v>
      </c>
      <c r="B686" s="9" t="n">
        <v>22</v>
      </c>
      <c r="C686" s="11" t="n">
        <v>45945</v>
      </c>
      <c r="D686" s="9" t="s">
        <v>85</v>
      </c>
      <c r="E686" s="12" t="n">
        <v>23</v>
      </c>
      <c r="F686" s="9" t="s">
        <v>31</v>
      </c>
      <c r="G686" s="13" t="n">
        <v>150</v>
      </c>
      <c r="H686" s="9" t="s">
        <v>37</v>
      </c>
      <c r="I686" s="13" t="n">
        <v>3</v>
      </c>
      <c r="J686" s="1" t="str">
        <f aca="false">IF(A686="","", "SAMP-"&amp;A686&amp;"-L"&amp;TEXT(B686,"00")&amp;"-"&amp;TEXT(C686,"yyyymmdd")&amp;"-"&amp;D686&amp;"-H"&amp;TEXT(E686,"00")&amp;"-"&amp;H686)</f>
        <v>SAMP-KG01-L22-20251015-ORD-2025-00196-H23-Bird Swing</v>
      </c>
      <c r="K686" s="1" t="str">
        <f aca="false">IF(A686="","",IF(AND(G686&gt;=0,I686&gt;=0,I686&lt;=G686),"OK","CHECK"))</f>
        <v>OK</v>
      </c>
      <c r="L686" s="1" t="str">
        <f aca="false">IF(A686="","",IF(AND(E686&gt;=0,E686&lt;=23),"OK","CHECK"))</f>
        <v>OK</v>
      </c>
      <c r="M686" s="1" t="str">
        <f aca="false">IF(A686="","",IF(AND(K686="OK",L686="OK"),"OK","CHECK"))</f>
        <v>OK</v>
      </c>
    </row>
    <row r="687" customFormat="false" ht="18" hidden="false" customHeight="true" outlineLevel="0" collapsed="false">
      <c r="A687" s="9" t="s">
        <v>26</v>
      </c>
      <c r="B687" s="9" t="n">
        <v>22</v>
      </c>
      <c r="C687" s="11" t="n">
        <v>45945</v>
      </c>
      <c r="D687" s="9" t="s">
        <v>85</v>
      </c>
      <c r="E687" s="12" t="n">
        <v>16</v>
      </c>
      <c r="F687" s="9" t="s">
        <v>31</v>
      </c>
      <c r="G687" s="13" t="n">
        <v>200</v>
      </c>
      <c r="H687" s="9" t="s">
        <v>35</v>
      </c>
      <c r="I687" s="13" t="n">
        <v>3</v>
      </c>
      <c r="J687" s="1" t="str">
        <f aca="false">IF(A687="","", "SAMP-"&amp;A687&amp;"-L"&amp;TEXT(B687,"00")&amp;"-"&amp;TEXT(C687,"yyyymmdd")&amp;"-"&amp;D687&amp;"-H"&amp;TEXT(E687,"00")&amp;"-"&amp;H687)</f>
        <v>SAMP-KG01-L22-20251015-ORD-2025-00196-H16-Stone</v>
      </c>
      <c r="K687" s="1" t="str">
        <f aca="false">IF(A687="","",IF(AND(G687&gt;=0,I687&gt;=0,I687&lt;=G687),"OK","CHECK"))</f>
        <v>OK</v>
      </c>
      <c r="L687" s="1" t="str">
        <f aca="false">IF(A687="","",IF(AND(E687&gt;=0,E687&lt;=23),"OK","CHECK"))</f>
        <v>OK</v>
      </c>
      <c r="M687" s="1" t="str">
        <f aca="false">IF(A687="","",IF(AND(K687="OK",L687="OK"),"OK","CHECK"))</f>
        <v>OK</v>
      </c>
    </row>
    <row r="688" customFormat="false" ht="18" hidden="false" customHeight="true" outlineLevel="0" collapsed="false">
      <c r="A688" s="9" t="s">
        <v>26</v>
      </c>
      <c r="B688" s="9" t="n">
        <v>22</v>
      </c>
      <c r="C688" s="11" t="n">
        <v>45946</v>
      </c>
      <c r="D688" s="9" t="s">
        <v>86</v>
      </c>
      <c r="E688" s="12" t="n">
        <v>9</v>
      </c>
      <c r="F688" s="9" t="s">
        <v>28</v>
      </c>
      <c r="G688" s="13" t="n">
        <v>100</v>
      </c>
      <c r="H688" s="9" t="s">
        <v>34</v>
      </c>
      <c r="I688" s="13" t="n">
        <v>0</v>
      </c>
      <c r="J688" s="1" t="str">
        <f aca="false">IF(A688="","", "SAMP-"&amp;A688&amp;"-L"&amp;TEXT(B688,"00")&amp;"-"&amp;TEXT(C688,"yyyymmdd")&amp;"-"&amp;D688&amp;"-H"&amp;TEXT(E688,"00")&amp;"-"&amp;H688)</f>
        <v>SAMP-KG01-L22-20251016-ORD-2025-00197-H09-Thin Wall</v>
      </c>
      <c r="K688" s="1" t="str">
        <f aca="false">IF(A688="","",IF(AND(G688&gt;=0,I688&gt;=0,I688&lt;=G688),"OK","CHECK"))</f>
        <v>OK</v>
      </c>
      <c r="L688" s="1" t="str">
        <f aca="false">IF(A688="","",IF(AND(E688&gt;=0,E688&lt;=23),"OK","CHECK"))</f>
        <v>OK</v>
      </c>
      <c r="M688" s="1" t="str">
        <f aca="false">IF(A688="","",IF(AND(K688="OK",L688="OK"),"OK","CHECK"))</f>
        <v>OK</v>
      </c>
    </row>
    <row r="689" customFormat="false" ht="18" hidden="false" customHeight="true" outlineLevel="0" collapsed="false">
      <c r="A689" s="9" t="s">
        <v>26</v>
      </c>
      <c r="B689" s="9" t="n">
        <v>22</v>
      </c>
      <c r="C689" s="11" t="n">
        <v>45946</v>
      </c>
      <c r="D689" s="9" t="s">
        <v>86</v>
      </c>
      <c r="E689" s="12" t="n">
        <v>7</v>
      </c>
      <c r="F689" s="9" t="s">
        <v>28</v>
      </c>
      <c r="G689" s="13" t="n">
        <v>100</v>
      </c>
      <c r="H689" s="9" t="s">
        <v>29</v>
      </c>
      <c r="I689" s="13" t="n">
        <v>2</v>
      </c>
      <c r="J689" s="1" t="str">
        <f aca="false">IF(A689="","", "SAMP-"&amp;A689&amp;"-L"&amp;TEXT(B689,"00")&amp;"-"&amp;TEXT(C689,"yyyymmdd")&amp;"-"&amp;D689&amp;"-H"&amp;TEXT(E689,"00")&amp;"-"&amp;H689)</f>
        <v>SAMP-KG01-L22-20251016-ORD-2025-00197-H07-Choke Neck</v>
      </c>
      <c r="K689" s="1" t="str">
        <f aca="false">IF(A689="","",IF(AND(G689&gt;=0,I689&gt;=0,I689&lt;=G689),"OK","CHECK"))</f>
        <v>OK</v>
      </c>
      <c r="L689" s="1" t="str">
        <f aca="false">IF(A689="","",IF(AND(E689&gt;=0,E689&lt;=23),"OK","CHECK"))</f>
        <v>OK</v>
      </c>
      <c r="M689" s="1" t="str">
        <f aca="false">IF(A689="","",IF(AND(K689="OK",L689="OK"),"OK","CHECK"))</f>
        <v>OK</v>
      </c>
    </row>
    <row r="690" customFormat="false" ht="18" hidden="false" customHeight="true" outlineLevel="0" collapsed="false">
      <c r="A690" s="9" t="s">
        <v>26</v>
      </c>
      <c r="B690" s="9" t="n">
        <v>22</v>
      </c>
      <c r="C690" s="11" t="n">
        <v>45946</v>
      </c>
      <c r="D690" s="9" t="s">
        <v>86</v>
      </c>
      <c r="E690" s="12" t="n">
        <v>12</v>
      </c>
      <c r="F690" s="9" t="s">
        <v>28</v>
      </c>
      <c r="G690" s="13" t="n">
        <v>200</v>
      </c>
      <c r="H690" s="9" t="s">
        <v>30</v>
      </c>
      <c r="I690" s="13" t="n">
        <v>2</v>
      </c>
      <c r="J690" s="1" t="str">
        <f aca="false">IF(A690="","", "SAMP-"&amp;A690&amp;"-L"&amp;TEXT(B690,"00")&amp;"-"&amp;TEXT(C690,"yyyymmdd")&amp;"-"&amp;D690&amp;"-H"&amp;TEXT(E690,"00")&amp;"-"&amp;H690)</f>
        <v>SAMP-KG01-L22-20251016-ORD-2025-00197-H12-Overpress</v>
      </c>
      <c r="K690" s="1" t="str">
        <f aca="false">IF(A690="","",IF(AND(G690&gt;=0,I690&gt;=0,I690&lt;=G690),"OK","CHECK"))</f>
        <v>OK</v>
      </c>
      <c r="L690" s="1" t="str">
        <f aca="false">IF(A690="","",IF(AND(E690&gt;=0,E690&lt;=23),"OK","CHECK"))</f>
        <v>OK</v>
      </c>
      <c r="M690" s="1" t="str">
        <f aca="false">IF(A690="","",IF(AND(K690="OK",L690="OK"),"OK","CHECK"))</f>
        <v>OK</v>
      </c>
    </row>
    <row r="691" customFormat="false" ht="18" hidden="false" customHeight="true" outlineLevel="0" collapsed="false">
      <c r="A691" s="9" t="s">
        <v>26</v>
      </c>
      <c r="B691" s="9" t="n">
        <v>22</v>
      </c>
      <c r="C691" s="11" t="n">
        <v>45946</v>
      </c>
      <c r="D691" s="9" t="s">
        <v>86</v>
      </c>
      <c r="E691" s="12" t="n">
        <v>20</v>
      </c>
      <c r="F691" s="9" t="s">
        <v>31</v>
      </c>
      <c r="G691" s="13" t="n">
        <v>200</v>
      </c>
      <c r="H691" s="9" t="s">
        <v>35</v>
      </c>
      <c r="I691" s="13" t="n">
        <v>5</v>
      </c>
      <c r="J691" s="1" t="str">
        <f aca="false">IF(A691="","", "SAMP-"&amp;A691&amp;"-L"&amp;TEXT(B691,"00")&amp;"-"&amp;TEXT(C691,"yyyymmdd")&amp;"-"&amp;D691&amp;"-H"&amp;TEXT(E691,"00")&amp;"-"&amp;H691)</f>
        <v>SAMP-KG01-L22-20251016-ORD-2025-00197-H20-Stone</v>
      </c>
      <c r="K691" s="1" t="str">
        <f aca="false">IF(A691="","",IF(AND(G691&gt;=0,I691&gt;=0,I691&lt;=G691),"OK","CHECK"))</f>
        <v>OK</v>
      </c>
      <c r="L691" s="1" t="str">
        <f aca="false">IF(A691="","",IF(AND(E691&gt;=0,E691&lt;=23),"OK","CHECK"))</f>
        <v>OK</v>
      </c>
      <c r="M691" s="1" t="str">
        <f aca="false">IF(A691="","",IF(AND(K691="OK",L691="OK"),"OK","CHECK"))</f>
        <v>OK</v>
      </c>
    </row>
    <row r="692" customFormat="false" ht="18" hidden="false" customHeight="true" outlineLevel="0" collapsed="false">
      <c r="A692" s="9" t="s">
        <v>26</v>
      </c>
      <c r="B692" s="9" t="n">
        <v>22</v>
      </c>
      <c r="C692" s="11" t="n">
        <v>45946</v>
      </c>
      <c r="D692" s="9" t="s">
        <v>86</v>
      </c>
      <c r="E692" s="12" t="n">
        <v>16</v>
      </c>
      <c r="F692" s="9" t="s">
        <v>31</v>
      </c>
      <c r="G692" s="13" t="n">
        <v>150</v>
      </c>
      <c r="H692" s="9" t="s">
        <v>41</v>
      </c>
      <c r="I692" s="13" t="n">
        <v>4</v>
      </c>
      <c r="J692" s="1" t="str">
        <f aca="false">IF(A692="","", "SAMP-"&amp;A692&amp;"-L"&amp;TEXT(B692,"00")&amp;"-"&amp;TEXT(C692,"yyyymmdd")&amp;"-"&amp;D692&amp;"-H"&amp;TEXT(E692,"00")&amp;"-"&amp;H692)</f>
        <v>SAMP-KG01-L22-20251016-ORD-2025-00197-H16-Chip</v>
      </c>
      <c r="K692" s="1" t="str">
        <f aca="false">IF(A692="","",IF(AND(G692&gt;=0,I692&gt;=0,I692&lt;=G692),"OK","CHECK"))</f>
        <v>OK</v>
      </c>
      <c r="L692" s="1" t="str">
        <f aca="false">IF(A692="","",IF(AND(E692&gt;=0,E692&lt;=23),"OK","CHECK"))</f>
        <v>OK</v>
      </c>
      <c r="M692" s="1" t="str">
        <f aca="false">IF(A692="","",IF(AND(K692="OK",L692="OK"),"OK","CHECK"))</f>
        <v>OK</v>
      </c>
    </row>
    <row r="693" customFormat="false" ht="18" hidden="false" customHeight="true" outlineLevel="0" collapsed="false">
      <c r="A693" s="9" t="s">
        <v>26</v>
      </c>
      <c r="B693" s="9" t="n">
        <v>22</v>
      </c>
      <c r="C693" s="11" t="n">
        <v>45946</v>
      </c>
      <c r="D693" s="9" t="s">
        <v>86</v>
      </c>
      <c r="E693" s="12" t="n">
        <v>23</v>
      </c>
      <c r="F693" s="9" t="s">
        <v>31</v>
      </c>
      <c r="G693" s="13" t="n">
        <v>50</v>
      </c>
      <c r="H693" s="9" t="s">
        <v>38</v>
      </c>
      <c r="I693" s="13" t="n">
        <v>0</v>
      </c>
      <c r="J693" s="1" t="str">
        <f aca="false">IF(A693="","", "SAMP-"&amp;A693&amp;"-L"&amp;TEXT(B693,"00")&amp;"-"&amp;TEXT(C693,"yyyymmdd")&amp;"-"&amp;D693&amp;"-H"&amp;TEXT(E693,"00")&amp;"-"&amp;H693)</f>
        <v>SAMP-KG01-L22-20251016-ORD-2025-00197-H23-Crack</v>
      </c>
      <c r="K693" s="1" t="str">
        <f aca="false">IF(A693="","",IF(AND(G693&gt;=0,I693&gt;=0,I693&lt;=G693),"OK","CHECK"))</f>
        <v>OK</v>
      </c>
      <c r="L693" s="1" t="str">
        <f aca="false">IF(A693="","",IF(AND(E693&gt;=0,E693&lt;=23),"OK","CHECK"))</f>
        <v>OK</v>
      </c>
      <c r="M693" s="1" t="str">
        <f aca="false">IF(A693="","",IF(AND(K693="OK",L693="OK"),"OK","CHECK"))</f>
        <v>OK</v>
      </c>
    </row>
    <row r="694" customFormat="false" ht="18" hidden="false" customHeight="true" outlineLevel="0" collapsed="false">
      <c r="A694" s="9" t="s">
        <v>26</v>
      </c>
      <c r="B694" s="9" t="n">
        <v>22</v>
      </c>
      <c r="C694" s="11" t="n">
        <v>45947</v>
      </c>
      <c r="D694" s="9" t="s">
        <v>86</v>
      </c>
      <c r="E694" s="12" t="n">
        <v>12</v>
      </c>
      <c r="F694" s="9" t="s">
        <v>28</v>
      </c>
      <c r="G694" s="13" t="n">
        <v>150</v>
      </c>
      <c r="H694" s="9" t="s">
        <v>33</v>
      </c>
      <c r="I694" s="13" t="n">
        <v>1</v>
      </c>
      <c r="J694" s="1" t="str">
        <f aca="false">IF(A694="","", "SAMP-"&amp;A694&amp;"-L"&amp;TEXT(B694,"00")&amp;"-"&amp;TEXT(C694,"yyyymmdd")&amp;"-"&amp;D694&amp;"-H"&amp;TEXT(E694,"00")&amp;"-"&amp;H694)</f>
        <v>SAMP-KG01-L22-20251017-ORD-2025-00197-H12-Distortion</v>
      </c>
      <c r="K694" s="1" t="str">
        <f aca="false">IF(A694="","",IF(AND(G694&gt;=0,I694&gt;=0,I694&lt;=G694),"OK","CHECK"))</f>
        <v>OK</v>
      </c>
      <c r="L694" s="1" t="str">
        <f aca="false">IF(A694="","",IF(AND(E694&gt;=0,E694&lt;=23),"OK","CHECK"))</f>
        <v>OK</v>
      </c>
      <c r="M694" s="1" t="str">
        <f aca="false">IF(A694="","",IF(AND(K694="OK",L694="OK"),"OK","CHECK"))</f>
        <v>OK</v>
      </c>
    </row>
    <row r="695" customFormat="false" ht="18" hidden="false" customHeight="true" outlineLevel="0" collapsed="false">
      <c r="A695" s="9" t="s">
        <v>26</v>
      </c>
      <c r="B695" s="9" t="n">
        <v>22</v>
      </c>
      <c r="C695" s="11" t="n">
        <v>45947</v>
      </c>
      <c r="D695" s="9" t="s">
        <v>86</v>
      </c>
      <c r="E695" s="12" t="n">
        <v>9</v>
      </c>
      <c r="F695" s="9" t="s">
        <v>28</v>
      </c>
      <c r="G695" s="13" t="n">
        <v>150</v>
      </c>
      <c r="H695" s="9" t="s">
        <v>30</v>
      </c>
      <c r="I695" s="13" t="n">
        <v>7</v>
      </c>
      <c r="J695" s="1" t="str">
        <f aca="false">IF(A695="","", "SAMP-"&amp;A695&amp;"-L"&amp;TEXT(B695,"00")&amp;"-"&amp;TEXT(C695,"yyyymmdd")&amp;"-"&amp;D695&amp;"-H"&amp;TEXT(E695,"00")&amp;"-"&amp;H695)</f>
        <v>SAMP-KG01-L22-20251017-ORD-2025-00197-H09-Overpress</v>
      </c>
      <c r="K695" s="1" t="str">
        <f aca="false">IF(A695="","",IF(AND(G695&gt;=0,I695&gt;=0,I695&lt;=G695),"OK","CHECK"))</f>
        <v>OK</v>
      </c>
      <c r="L695" s="1" t="str">
        <f aca="false">IF(A695="","",IF(AND(E695&gt;=0,E695&lt;=23),"OK","CHECK"))</f>
        <v>OK</v>
      </c>
      <c r="M695" s="1" t="str">
        <f aca="false">IF(A695="","",IF(AND(K695="OK",L695="OK"),"OK","CHECK"))</f>
        <v>OK</v>
      </c>
    </row>
    <row r="696" customFormat="false" ht="18" hidden="false" customHeight="true" outlineLevel="0" collapsed="false">
      <c r="A696" s="9" t="s">
        <v>26</v>
      </c>
      <c r="B696" s="9" t="n">
        <v>22</v>
      </c>
      <c r="C696" s="11" t="n">
        <v>45947</v>
      </c>
      <c r="D696" s="9" t="s">
        <v>87</v>
      </c>
      <c r="E696" s="12" t="n">
        <v>16</v>
      </c>
      <c r="F696" s="9" t="s">
        <v>31</v>
      </c>
      <c r="G696" s="13" t="n">
        <v>50</v>
      </c>
      <c r="H696" s="9" t="s">
        <v>33</v>
      </c>
      <c r="I696" s="13" t="n">
        <v>1</v>
      </c>
      <c r="J696" s="1" t="str">
        <f aca="false">IF(A696="","", "SAMP-"&amp;A696&amp;"-L"&amp;TEXT(B696,"00")&amp;"-"&amp;TEXT(C696,"yyyymmdd")&amp;"-"&amp;D696&amp;"-H"&amp;TEXT(E696,"00")&amp;"-"&amp;H696)</f>
        <v>SAMP-KG01-L22-20251017-ORD-2025-00198-H16-Distortion</v>
      </c>
      <c r="K696" s="1" t="str">
        <f aca="false">IF(A696="","",IF(AND(G696&gt;=0,I696&gt;=0,I696&lt;=G696),"OK","CHECK"))</f>
        <v>OK</v>
      </c>
      <c r="L696" s="1" t="str">
        <f aca="false">IF(A696="","",IF(AND(E696&gt;=0,E696&lt;=23),"OK","CHECK"))</f>
        <v>OK</v>
      </c>
      <c r="M696" s="1" t="str">
        <f aca="false">IF(A696="","",IF(AND(K696="OK",L696="OK"),"OK","CHECK"))</f>
        <v>OK</v>
      </c>
    </row>
    <row r="697" customFormat="false" ht="18" hidden="false" customHeight="true" outlineLevel="0" collapsed="false">
      <c r="A697" s="9" t="s">
        <v>26</v>
      </c>
      <c r="B697" s="9" t="n">
        <v>22</v>
      </c>
      <c r="C697" s="11" t="n">
        <v>45947</v>
      </c>
      <c r="D697" s="9" t="s">
        <v>87</v>
      </c>
      <c r="E697" s="12" t="n">
        <v>20</v>
      </c>
      <c r="F697" s="9" t="s">
        <v>31</v>
      </c>
      <c r="G697" s="13" t="n">
        <v>100</v>
      </c>
      <c r="H697" s="9" t="s">
        <v>34</v>
      </c>
      <c r="I697" s="13" t="n">
        <v>0</v>
      </c>
      <c r="J697" s="1" t="str">
        <f aca="false">IF(A697="","", "SAMP-"&amp;A697&amp;"-L"&amp;TEXT(B697,"00")&amp;"-"&amp;TEXT(C697,"yyyymmdd")&amp;"-"&amp;D697&amp;"-H"&amp;TEXT(E697,"00")&amp;"-"&amp;H697)</f>
        <v>SAMP-KG01-L22-20251017-ORD-2025-00198-H20-Thin Wall</v>
      </c>
      <c r="K697" s="1" t="str">
        <f aca="false">IF(A697="","",IF(AND(G697&gt;=0,I697&gt;=0,I697&lt;=G697),"OK","CHECK"))</f>
        <v>OK</v>
      </c>
      <c r="L697" s="1" t="str">
        <f aca="false">IF(A697="","",IF(AND(E697&gt;=0,E697&lt;=23),"OK","CHECK"))</f>
        <v>OK</v>
      </c>
      <c r="M697" s="1" t="str">
        <f aca="false">IF(A697="","",IF(AND(K697="OK",L697="OK"),"OK","CHECK"))</f>
        <v>OK</v>
      </c>
    </row>
    <row r="698" customFormat="false" ht="18" hidden="false" customHeight="true" outlineLevel="0" collapsed="false">
      <c r="A698" s="9" t="s">
        <v>26</v>
      </c>
      <c r="B698" s="9" t="n">
        <v>22</v>
      </c>
      <c r="C698" s="11" t="n">
        <v>45947</v>
      </c>
      <c r="D698" s="9" t="s">
        <v>87</v>
      </c>
      <c r="E698" s="12" t="n">
        <v>23</v>
      </c>
      <c r="F698" s="9" t="s">
        <v>31</v>
      </c>
      <c r="G698" s="13" t="n">
        <v>100</v>
      </c>
      <c r="H698" s="9" t="s">
        <v>38</v>
      </c>
      <c r="I698" s="13" t="n">
        <v>2</v>
      </c>
      <c r="J698" s="1" t="str">
        <f aca="false">IF(A698="","", "SAMP-"&amp;A698&amp;"-L"&amp;TEXT(B698,"00")&amp;"-"&amp;TEXT(C698,"yyyymmdd")&amp;"-"&amp;D698&amp;"-H"&amp;TEXT(E698,"00")&amp;"-"&amp;H698)</f>
        <v>SAMP-KG01-L22-20251017-ORD-2025-00198-H23-Crack</v>
      </c>
      <c r="K698" s="1" t="str">
        <f aca="false">IF(A698="","",IF(AND(G698&gt;=0,I698&gt;=0,I698&lt;=G698),"OK","CHECK"))</f>
        <v>OK</v>
      </c>
      <c r="L698" s="1" t="str">
        <f aca="false">IF(A698="","",IF(AND(E698&gt;=0,E698&lt;=23),"OK","CHECK"))</f>
        <v>OK</v>
      </c>
      <c r="M698" s="1" t="str">
        <f aca="false">IF(A698="","",IF(AND(K698="OK",L698="OK"),"OK","CHECK"))</f>
        <v>OK</v>
      </c>
    </row>
    <row r="699" customFormat="false" ht="18" hidden="false" customHeight="true" outlineLevel="0" collapsed="false">
      <c r="A699" s="9" t="s">
        <v>26</v>
      </c>
      <c r="B699" s="9" t="n">
        <v>22</v>
      </c>
      <c r="C699" s="11" t="n">
        <v>45948</v>
      </c>
      <c r="D699" s="9" t="s">
        <v>87</v>
      </c>
      <c r="E699" s="12" t="n">
        <v>9</v>
      </c>
      <c r="F699" s="9" t="s">
        <v>28</v>
      </c>
      <c r="G699" s="13" t="n">
        <v>150</v>
      </c>
      <c r="H699" s="9" t="s">
        <v>35</v>
      </c>
      <c r="I699" s="13" t="n">
        <v>6</v>
      </c>
      <c r="J699" s="1" t="str">
        <f aca="false">IF(A699="","", "SAMP-"&amp;A699&amp;"-L"&amp;TEXT(B699,"00")&amp;"-"&amp;TEXT(C699,"yyyymmdd")&amp;"-"&amp;D699&amp;"-H"&amp;TEXT(E699,"00")&amp;"-"&amp;H699)</f>
        <v>SAMP-KG01-L22-20251018-ORD-2025-00198-H09-Stone</v>
      </c>
      <c r="K699" s="1" t="str">
        <f aca="false">IF(A699="","",IF(AND(G699&gt;=0,I699&gt;=0,I699&lt;=G699),"OK","CHECK"))</f>
        <v>OK</v>
      </c>
      <c r="L699" s="1" t="str">
        <f aca="false">IF(A699="","",IF(AND(E699&gt;=0,E699&lt;=23),"OK","CHECK"))</f>
        <v>OK</v>
      </c>
      <c r="M699" s="1" t="str">
        <f aca="false">IF(A699="","",IF(AND(K699="OK",L699="OK"),"OK","CHECK"))</f>
        <v>OK</v>
      </c>
    </row>
    <row r="700" customFormat="false" ht="18" hidden="false" customHeight="true" outlineLevel="0" collapsed="false">
      <c r="A700" s="9" t="s">
        <v>26</v>
      </c>
      <c r="B700" s="9" t="n">
        <v>22</v>
      </c>
      <c r="C700" s="11" t="n">
        <v>45948</v>
      </c>
      <c r="D700" s="9" t="s">
        <v>87</v>
      </c>
      <c r="E700" s="12" t="n">
        <v>7</v>
      </c>
      <c r="F700" s="9" t="s">
        <v>28</v>
      </c>
      <c r="G700" s="13" t="n">
        <v>150</v>
      </c>
      <c r="H700" s="9" t="s">
        <v>34</v>
      </c>
      <c r="I700" s="13" t="n">
        <v>6</v>
      </c>
      <c r="J700" s="1" t="str">
        <f aca="false">IF(A700="","", "SAMP-"&amp;A700&amp;"-L"&amp;TEXT(B700,"00")&amp;"-"&amp;TEXT(C700,"yyyymmdd")&amp;"-"&amp;D700&amp;"-H"&amp;TEXT(E700,"00")&amp;"-"&amp;H700)</f>
        <v>SAMP-KG01-L22-20251018-ORD-2025-00198-H07-Thin Wall</v>
      </c>
      <c r="K700" s="1" t="str">
        <f aca="false">IF(A700="","",IF(AND(G700&gt;=0,I700&gt;=0,I700&lt;=G700),"OK","CHECK"))</f>
        <v>OK</v>
      </c>
      <c r="L700" s="1" t="str">
        <f aca="false">IF(A700="","",IF(AND(E700&gt;=0,E700&lt;=23),"OK","CHECK"))</f>
        <v>OK</v>
      </c>
      <c r="M700" s="1" t="str">
        <f aca="false">IF(A700="","",IF(AND(K700="OK",L700="OK"),"OK","CHECK"))</f>
        <v>OK</v>
      </c>
    </row>
    <row r="701" customFormat="false" ht="18" hidden="false" customHeight="true" outlineLevel="0" collapsed="false">
      <c r="A701" s="9" t="s">
        <v>26</v>
      </c>
      <c r="B701" s="9" t="n">
        <v>22</v>
      </c>
      <c r="C701" s="11" t="n">
        <v>45948</v>
      </c>
      <c r="D701" s="9" t="s">
        <v>87</v>
      </c>
      <c r="E701" s="12" t="n">
        <v>12</v>
      </c>
      <c r="F701" s="9" t="s">
        <v>28</v>
      </c>
      <c r="G701" s="13" t="n">
        <v>100</v>
      </c>
      <c r="H701" s="9" t="s">
        <v>37</v>
      </c>
      <c r="I701" s="13" t="n">
        <v>4</v>
      </c>
      <c r="J701" s="1" t="str">
        <f aca="false">IF(A701="","", "SAMP-"&amp;A701&amp;"-L"&amp;TEXT(B701,"00")&amp;"-"&amp;TEXT(C701,"yyyymmdd")&amp;"-"&amp;D701&amp;"-H"&amp;TEXT(E701,"00")&amp;"-"&amp;H701)</f>
        <v>SAMP-KG01-L22-20251018-ORD-2025-00198-H12-Bird Swing</v>
      </c>
      <c r="K701" s="1" t="str">
        <f aca="false">IF(A701="","",IF(AND(G701&gt;=0,I701&gt;=0,I701&lt;=G701),"OK","CHECK"))</f>
        <v>OK</v>
      </c>
      <c r="L701" s="1" t="str">
        <f aca="false">IF(A701="","",IF(AND(E701&gt;=0,E701&lt;=23),"OK","CHECK"))</f>
        <v>OK</v>
      </c>
      <c r="M701" s="1" t="str">
        <f aca="false">IF(A701="","",IF(AND(K701="OK",L701="OK"),"OK","CHECK"))</f>
        <v>OK</v>
      </c>
    </row>
    <row r="702" customFormat="false" ht="18" hidden="false" customHeight="true" outlineLevel="0" collapsed="false">
      <c r="A702" s="9" t="s">
        <v>26</v>
      </c>
      <c r="B702" s="9" t="n">
        <v>22</v>
      </c>
      <c r="C702" s="11" t="n">
        <v>45948</v>
      </c>
      <c r="D702" s="9" t="s">
        <v>87</v>
      </c>
      <c r="E702" s="12" t="n">
        <v>16</v>
      </c>
      <c r="F702" s="9" t="s">
        <v>31</v>
      </c>
      <c r="G702" s="13" t="n">
        <v>200</v>
      </c>
      <c r="H702" s="9" t="s">
        <v>34</v>
      </c>
      <c r="I702" s="13" t="n">
        <v>0</v>
      </c>
      <c r="J702" s="1" t="str">
        <f aca="false">IF(A702="","", "SAMP-"&amp;A702&amp;"-L"&amp;TEXT(B702,"00")&amp;"-"&amp;TEXT(C702,"yyyymmdd")&amp;"-"&amp;D702&amp;"-H"&amp;TEXT(E702,"00")&amp;"-"&amp;H702)</f>
        <v>SAMP-KG01-L22-20251018-ORD-2025-00198-H16-Thin Wall</v>
      </c>
      <c r="K702" s="1" t="str">
        <f aca="false">IF(A702="","",IF(AND(G702&gt;=0,I702&gt;=0,I702&lt;=G702),"OK","CHECK"))</f>
        <v>OK</v>
      </c>
      <c r="L702" s="1" t="str">
        <f aca="false">IF(A702="","",IF(AND(E702&gt;=0,E702&lt;=23),"OK","CHECK"))</f>
        <v>OK</v>
      </c>
      <c r="M702" s="1" t="str">
        <f aca="false">IF(A702="","",IF(AND(K702="OK",L702="OK"),"OK","CHECK"))</f>
        <v>OK</v>
      </c>
    </row>
    <row r="703" customFormat="false" ht="18" hidden="false" customHeight="true" outlineLevel="0" collapsed="false">
      <c r="A703" s="9" t="s">
        <v>26</v>
      </c>
      <c r="B703" s="9" t="n">
        <v>22</v>
      </c>
      <c r="C703" s="11" t="n">
        <v>45948</v>
      </c>
      <c r="D703" s="9" t="s">
        <v>87</v>
      </c>
      <c r="E703" s="12" t="n">
        <v>20</v>
      </c>
      <c r="F703" s="9" t="s">
        <v>31</v>
      </c>
      <c r="G703" s="13" t="n">
        <v>50</v>
      </c>
      <c r="H703" s="9" t="s">
        <v>36</v>
      </c>
      <c r="I703" s="13" t="n">
        <v>2</v>
      </c>
      <c r="J703" s="1" t="str">
        <f aca="false">IF(A703="","", "SAMP-"&amp;A703&amp;"-L"&amp;TEXT(B703,"00")&amp;"-"&amp;TEXT(C703,"yyyymmdd")&amp;"-"&amp;D703&amp;"-H"&amp;TEXT(E703,"00")&amp;"-"&amp;H703)</f>
        <v>SAMP-KG01-L22-20251018-ORD-2025-00198-H20-Blister</v>
      </c>
      <c r="K703" s="1" t="str">
        <f aca="false">IF(A703="","",IF(AND(G703&gt;=0,I703&gt;=0,I703&lt;=G703),"OK","CHECK"))</f>
        <v>OK</v>
      </c>
      <c r="L703" s="1" t="str">
        <f aca="false">IF(A703="","",IF(AND(E703&gt;=0,E703&lt;=23),"OK","CHECK"))</f>
        <v>OK</v>
      </c>
      <c r="M703" s="1" t="str">
        <f aca="false">IF(A703="","",IF(AND(K703="OK",L703="OK"),"OK","CHECK"))</f>
        <v>OK</v>
      </c>
    </row>
    <row r="704" customFormat="false" ht="18" hidden="false" customHeight="true" outlineLevel="0" collapsed="false">
      <c r="A704" s="9" t="s">
        <v>26</v>
      </c>
      <c r="B704" s="9" t="n">
        <v>22</v>
      </c>
      <c r="C704" s="11" t="n">
        <v>45948</v>
      </c>
      <c r="D704" s="9" t="s">
        <v>87</v>
      </c>
      <c r="E704" s="12" t="n">
        <v>23</v>
      </c>
      <c r="F704" s="9" t="s">
        <v>31</v>
      </c>
      <c r="G704" s="13" t="n">
        <v>100</v>
      </c>
      <c r="H704" s="9" t="s">
        <v>29</v>
      </c>
      <c r="I704" s="13" t="n">
        <v>0</v>
      </c>
      <c r="J704" s="1" t="str">
        <f aca="false">IF(A704="","", "SAMP-"&amp;A704&amp;"-L"&amp;TEXT(B704,"00")&amp;"-"&amp;TEXT(C704,"yyyymmdd")&amp;"-"&amp;D704&amp;"-H"&amp;TEXT(E704,"00")&amp;"-"&amp;H704)</f>
        <v>SAMP-KG01-L22-20251018-ORD-2025-00198-H23-Choke Neck</v>
      </c>
      <c r="K704" s="1" t="str">
        <f aca="false">IF(A704="","",IF(AND(G704&gt;=0,I704&gt;=0,I704&lt;=G704),"OK","CHECK"))</f>
        <v>OK</v>
      </c>
      <c r="L704" s="1" t="str">
        <f aca="false">IF(A704="","",IF(AND(E704&gt;=0,E704&lt;=23),"OK","CHECK"))</f>
        <v>OK</v>
      </c>
      <c r="M704" s="1" t="str">
        <f aca="false">IF(A704="","",IF(AND(K704="OK",L704="OK"),"OK","CHECK"))</f>
        <v>OK</v>
      </c>
    </row>
    <row r="705" customFormat="false" ht="18" hidden="false" customHeight="true" outlineLevel="0" collapsed="false">
      <c r="A705" s="9" t="s">
        <v>26</v>
      </c>
      <c r="B705" s="9" t="n">
        <v>22</v>
      </c>
      <c r="C705" s="11" t="n">
        <v>45949</v>
      </c>
      <c r="D705" s="9" t="s">
        <v>88</v>
      </c>
      <c r="E705" s="12" t="n">
        <v>9</v>
      </c>
      <c r="F705" s="9" t="s">
        <v>28</v>
      </c>
      <c r="G705" s="13" t="n">
        <v>50</v>
      </c>
      <c r="H705" s="9" t="s">
        <v>33</v>
      </c>
      <c r="I705" s="13" t="n">
        <v>1</v>
      </c>
      <c r="J705" s="1" t="str">
        <f aca="false">IF(A705="","", "SAMP-"&amp;A705&amp;"-L"&amp;TEXT(B705,"00")&amp;"-"&amp;TEXT(C705,"yyyymmdd")&amp;"-"&amp;D705&amp;"-H"&amp;TEXT(E705,"00")&amp;"-"&amp;H705)</f>
        <v>SAMP-KG01-L22-20251019-ORD-2025-00199-H09-Distortion</v>
      </c>
      <c r="K705" s="1" t="str">
        <f aca="false">IF(A705="","",IF(AND(G705&gt;=0,I705&gt;=0,I705&lt;=G705),"OK","CHECK"))</f>
        <v>OK</v>
      </c>
      <c r="L705" s="1" t="str">
        <f aca="false">IF(A705="","",IF(AND(E705&gt;=0,E705&lt;=23),"OK","CHECK"))</f>
        <v>OK</v>
      </c>
      <c r="M705" s="1" t="str">
        <f aca="false">IF(A705="","",IF(AND(K705="OK",L705="OK"),"OK","CHECK"))</f>
        <v>OK</v>
      </c>
    </row>
    <row r="706" customFormat="false" ht="18" hidden="false" customHeight="true" outlineLevel="0" collapsed="false">
      <c r="A706" s="9" t="s">
        <v>26</v>
      </c>
      <c r="B706" s="9" t="n">
        <v>22</v>
      </c>
      <c r="C706" s="11" t="n">
        <v>45949</v>
      </c>
      <c r="D706" s="9" t="s">
        <v>88</v>
      </c>
      <c r="E706" s="12" t="n">
        <v>12</v>
      </c>
      <c r="F706" s="9" t="s">
        <v>28</v>
      </c>
      <c r="G706" s="13" t="n">
        <v>150</v>
      </c>
      <c r="H706" s="9" t="s">
        <v>29</v>
      </c>
      <c r="I706" s="13" t="n">
        <v>3</v>
      </c>
      <c r="J706" s="1" t="str">
        <f aca="false">IF(A706="","", "SAMP-"&amp;A706&amp;"-L"&amp;TEXT(B706,"00")&amp;"-"&amp;TEXT(C706,"yyyymmdd")&amp;"-"&amp;D706&amp;"-H"&amp;TEXT(E706,"00")&amp;"-"&amp;H706)</f>
        <v>SAMP-KG01-L22-20251019-ORD-2025-00199-H12-Choke Neck</v>
      </c>
      <c r="K706" s="1" t="str">
        <f aca="false">IF(A706="","",IF(AND(G706&gt;=0,I706&gt;=0,I706&lt;=G706),"OK","CHECK"))</f>
        <v>OK</v>
      </c>
      <c r="L706" s="1" t="str">
        <f aca="false">IF(A706="","",IF(AND(E706&gt;=0,E706&lt;=23),"OK","CHECK"))</f>
        <v>OK</v>
      </c>
      <c r="M706" s="1" t="str">
        <f aca="false">IF(A706="","",IF(AND(K706="OK",L706="OK"),"OK","CHECK"))</f>
        <v>OK</v>
      </c>
    </row>
    <row r="707" customFormat="false" ht="18" hidden="false" customHeight="true" outlineLevel="0" collapsed="false">
      <c r="A707" s="9" t="s">
        <v>26</v>
      </c>
      <c r="B707" s="9" t="n">
        <v>22</v>
      </c>
      <c r="C707" s="11" t="n">
        <v>45949</v>
      </c>
      <c r="D707" s="9" t="s">
        <v>88</v>
      </c>
      <c r="E707" s="12" t="n">
        <v>7</v>
      </c>
      <c r="F707" s="9" t="s">
        <v>28</v>
      </c>
      <c r="G707" s="13" t="n">
        <v>200</v>
      </c>
      <c r="H707" s="9" t="s">
        <v>41</v>
      </c>
      <c r="I707" s="13" t="n">
        <v>1</v>
      </c>
      <c r="J707" s="1" t="str">
        <f aca="false">IF(A707="","", "SAMP-"&amp;A707&amp;"-L"&amp;TEXT(B707,"00")&amp;"-"&amp;TEXT(C707,"yyyymmdd")&amp;"-"&amp;D707&amp;"-H"&amp;TEXT(E707,"00")&amp;"-"&amp;H707)</f>
        <v>SAMP-KG01-L22-20251019-ORD-2025-00199-H07-Chip</v>
      </c>
      <c r="K707" s="1" t="str">
        <f aca="false">IF(A707="","",IF(AND(G707&gt;=0,I707&gt;=0,I707&lt;=G707),"OK","CHECK"))</f>
        <v>OK</v>
      </c>
      <c r="L707" s="1" t="str">
        <f aca="false">IF(A707="","",IF(AND(E707&gt;=0,E707&lt;=23),"OK","CHECK"))</f>
        <v>OK</v>
      </c>
      <c r="M707" s="1" t="str">
        <f aca="false">IF(A707="","",IF(AND(K707="OK",L707="OK"),"OK","CHECK"))</f>
        <v>OK</v>
      </c>
    </row>
    <row r="708" customFormat="false" ht="18" hidden="false" customHeight="true" outlineLevel="0" collapsed="false">
      <c r="A708" s="9" t="s">
        <v>26</v>
      </c>
      <c r="B708" s="9" t="n">
        <v>22</v>
      </c>
      <c r="C708" s="11" t="n">
        <v>45949</v>
      </c>
      <c r="D708" s="9" t="s">
        <v>88</v>
      </c>
      <c r="E708" s="12" t="n">
        <v>20</v>
      </c>
      <c r="F708" s="9" t="s">
        <v>31</v>
      </c>
      <c r="G708" s="13" t="n">
        <v>200</v>
      </c>
      <c r="H708" s="9" t="s">
        <v>29</v>
      </c>
      <c r="I708" s="13" t="n">
        <v>12</v>
      </c>
      <c r="J708" s="1" t="str">
        <f aca="false">IF(A708="","", "SAMP-"&amp;A708&amp;"-L"&amp;TEXT(B708,"00")&amp;"-"&amp;TEXT(C708,"yyyymmdd")&amp;"-"&amp;D708&amp;"-H"&amp;TEXT(E708,"00")&amp;"-"&amp;H708)</f>
        <v>SAMP-KG01-L22-20251019-ORD-2025-00199-H20-Choke Neck</v>
      </c>
      <c r="K708" s="1" t="str">
        <f aca="false">IF(A708="","",IF(AND(G708&gt;=0,I708&gt;=0,I708&lt;=G708),"OK","CHECK"))</f>
        <v>OK</v>
      </c>
      <c r="L708" s="1" t="str">
        <f aca="false">IF(A708="","",IF(AND(E708&gt;=0,E708&lt;=23),"OK","CHECK"))</f>
        <v>OK</v>
      </c>
      <c r="M708" s="1" t="str">
        <f aca="false">IF(A708="","",IF(AND(K708="OK",L708="OK"),"OK","CHECK"))</f>
        <v>OK</v>
      </c>
    </row>
    <row r="709" customFormat="false" ht="18" hidden="false" customHeight="true" outlineLevel="0" collapsed="false">
      <c r="A709" s="9" t="s">
        <v>26</v>
      </c>
      <c r="B709" s="9" t="n">
        <v>22</v>
      </c>
      <c r="C709" s="11" t="n">
        <v>45949</v>
      </c>
      <c r="D709" s="9" t="s">
        <v>88</v>
      </c>
      <c r="E709" s="12" t="n">
        <v>16</v>
      </c>
      <c r="F709" s="9" t="s">
        <v>31</v>
      </c>
      <c r="G709" s="13" t="n">
        <v>50</v>
      </c>
      <c r="H709" s="9" t="s">
        <v>30</v>
      </c>
      <c r="I709" s="13" t="n">
        <v>0</v>
      </c>
      <c r="J709" s="1" t="str">
        <f aca="false">IF(A709="","", "SAMP-"&amp;A709&amp;"-L"&amp;TEXT(B709,"00")&amp;"-"&amp;TEXT(C709,"yyyymmdd")&amp;"-"&amp;D709&amp;"-H"&amp;TEXT(E709,"00")&amp;"-"&amp;H709)</f>
        <v>SAMP-KG01-L22-20251019-ORD-2025-00199-H16-Overpress</v>
      </c>
      <c r="K709" s="1" t="str">
        <f aca="false">IF(A709="","",IF(AND(G709&gt;=0,I709&gt;=0,I709&lt;=G709),"OK","CHECK"))</f>
        <v>OK</v>
      </c>
      <c r="L709" s="1" t="str">
        <f aca="false">IF(A709="","",IF(AND(E709&gt;=0,E709&lt;=23),"OK","CHECK"))</f>
        <v>OK</v>
      </c>
      <c r="M709" s="1" t="str">
        <f aca="false">IF(A709="","",IF(AND(K709="OK",L709="OK"),"OK","CHECK"))</f>
        <v>OK</v>
      </c>
    </row>
    <row r="710" customFormat="false" ht="18" hidden="false" customHeight="true" outlineLevel="0" collapsed="false">
      <c r="A710" s="9" t="s">
        <v>26</v>
      </c>
      <c r="B710" s="9" t="n">
        <v>22</v>
      </c>
      <c r="C710" s="11" t="n">
        <v>45949</v>
      </c>
      <c r="D710" s="9" t="s">
        <v>88</v>
      </c>
      <c r="E710" s="12" t="n">
        <v>23</v>
      </c>
      <c r="F710" s="9" t="s">
        <v>31</v>
      </c>
      <c r="G710" s="13" t="n">
        <v>150</v>
      </c>
      <c r="H710" s="9" t="s">
        <v>38</v>
      </c>
      <c r="I710" s="13" t="n">
        <v>5</v>
      </c>
      <c r="J710" s="1" t="str">
        <f aca="false">IF(A710="","", "SAMP-"&amp;A710&amp;"-L"&amp;TEXT(B710,"00")&amp;"-"&amp;TEXT(C710,"yyyymmdd")&amp;"-"&amp;D710&amp;"-H"&amp;TEXT(E710,"00")&amp;"-"&amp;H710)</f>
        <v>SAMP-KG01-L22-20251019-ORD-2025-00199-H23-Crack</v>
      </c>
      <c r="K710" s="1" t="str">
        <f aca="false">IF(A710="","",IF(AND(G710&gt;=0,I710&gt;=0,I710&lt;=G710),"OK","CHECK"))</f>
        <v>OK</v>
      </c>
      <c r="L710" s="1" t="str">
        <f aca="false">IF(A710="","",IF(AND(E710&gt;=0,E710&lt;=23),"OK","CHECK"))</f>
        <v>OK</v>
      </c>
      <c r="M710" s="1" t="str">
        <f aca="false">IF(A710="","",IF(AND(K710="OK",L710="OK"),"OK","CHECK"))</f>
        <v>OK</v>
      </c>
    </row>
    <row r="711" customFormat="false" ht="18" hidden="false" customHeight="true" outlineLevel="0" collapsed="false">
      <c r="A711" s="9" t="s">
        <v>26</v>
      </c>
      <c r="B711" s="9" t="n">
        <v>22</v>
      </c>
      <c r="C711" s="11" t="n">
        <v>45957</v>
      </c>
      <c r="D711" s="9" t="s">
        <v>89</v>
      </c>
      <c r="E711" s="12" t="n">
        <v>12</v>
      </c>
      <c r="F711" s="9" t="s">
        <v>28</v>
      </c>
      <c r="G711" s="13" t="n">
        <v>100</v>
      </c>
      <c r="H711" s="9" t="s">
        <v>29</v>
      </c>
      <c r="I711" s="13" t="n">
        <v>5</v>
      </c>
      <c r="J711" s="1" t="str">
        <f aca="false">IF(A711="","", "SAMP-"&amp;A711&amp;"-L"&amp;TEXT(B711,"00")&amp;"-"&amp;TEXT(C711,"yyyymmdd")&amp;"-"&amp;D711&amp;"-H"&amp;TEXT(E711,"00")&amp;"-"&amp;H711)</f>
        <v>SAMP-KG01-L22-20251027-ORD-2025-00200-H12-Choke Neck</v>
      </c>
      <c r="K711" s="1" t="str">
        <f aca="false">IF(A711="","",IF(AND(G711&gt;=0,I711&gt;=0,I711&lt;=G711),"OK","CHECK"))</f>
        <v>OK</v>
      </c>
      <c r="L711" s="1" t="str">
        <f aca="false">IF(A711="","",IF(AND(E711&gt;=0,E711&lt;=23),"OK","CHECK"))</f>
        <v>OK</v>
      </c>
      <c r="M711" s="1" t="str">
        <f aca="false">IF(A711="","",IF(AND(K711="OK",L711="OK"),"OK","CHECK"))</f>
        <v>OK</v>
      </c>
    </row>
    <row r="712" customFormat="false" ht="18" hidden="false" customHeight="true" outlineLevel="0" collapsed="false">
      <c r="A712" s="9" t="s">
        <v>26</v>
      </c>
      <c r="B712" s="9" t="n">
        <v>22</v>
      </c>
      <c r="C712" s="11" t="n">
        <v>45957</v>
      </c>
      <c r="D712" s="9" t="s">
        <v>89</v>
      </c>
      <c r="E712" s="12" t="n">
        <v>9</v>
      </c>
      <c r="F712" s="9" t="s">
        <v>28</v>
      </c>
      <c r="G712" s="13" t="n">
        <v>200</v>
      </c>
      <c r="H712" s="9" t="s">
        <v>34</v>
      </c>
      <c r="I712" s="13" t="n">
        <v>2</v>
      </c>
      <c r="J712" s="1" t="str">
        <f aca="false">IF(A712="","", "SAMP-"&amp;A712&amp;"-L"&amp;TEXT(B712,"00")&amp;"-"&amp;TEXT(C712,"yyyymmdd")&amp;"-"&amp;D712&amp;"-H"&amp;TEXT(E712,"00")&amp;"-"&amp;H712)</f>
        <v>SAMP-KG01-L22-20251027-ORD-2025-00200-H09-Thin Wall</v>
      </c>
      <c r="K712" s="1" t="str">
        <f aca="false">IF(A712="","",IF(AND(G712&gt;=0,I712&gt;=0,I712&lt;=G712),"OK","CHECK"))</f>
        <v>OK</v>
      </c>
      <c r="L712" s="1" t="str">
        <f aca="false">IF(A712="","",IF(AND(E712&gt;=0,E712&lt;=23),"OK","CHECK"))</f>
        <v>OK</v>
      </c>
      <c r="M712" s="1" t="str">
        <f aca="false">IF(A712="","",IF(AND(K712="OK",L712="OK"),"OK","CHECK"))</f>
        <v>OK</v>
      </c>
    </row>
    <row r="713" customFormat="false" ht="18" hidden="false" customHeight="true" outlineLevel="0" collapsed="false">
      <c r="A713" s="9" t="s">
        <v>26</v>
      </c>
      <c r="B713" s="9" t="n">
        <v>22</v>
      </c>
      <c r="C713" s="11" t="n">
        <v>45957</v>
      </c>
      <c r="D713" s="9" t="s">
        <v>89</v>
      </c>
      <c r="E713" s="12" t="n">
        <v>23</v>
      </c>
      <c r="F713" s="9" t="s">
        <v>31</v>
      </c>
      <c r="G713" s="13" t="n">
        <v>200</v>
      </c>
      <c r="H713" s="9" t="s">
        <v>35</v>
      </c>
      <c r="I713" s="13" t="n">
        <v>2</v>
      </c>
      <c r="J713" s="1" t="str">
        <f aca="false">IF(A713="","", "SAMP-"&amp;A713&amp;"-L"&amp;TEXT(B713,"00")&amp;"-"&amp;TEXT(C713,"yyyymmdd")&amp;"-"&amp;D713&amp;"-H"&amp;TEXT(E713,"00")&amp;"-"&amp;H713)</f>
        <v>SAMP-KG01-L22-20251027-ORD-2025-00200-H23-Stone</v>
      </c>
      <c r="K713" s="1" t="str">
        <f aca="false">IF(A713="","",IF(AND(G713&gt;=0,I713&gt;=0,I713&lt;=G713),"OK","CHECK"))</f>
        <v>OK</v>
      </c>
      <c r="L713" s="1" t="str">
        <f aca="false">IF(A713="","",IF(AND(E713&gt;=0,E713&lt;=23),"OK","CHECK"))</f>
        <v>OK</v>
      </c>
      <c r="M713" s="1" t="str">
        <f aca="false">IF(A713="","",IF(AND(K713="OK",L713="OK"),"OK","CHECK"))</f>
        <v>OK</v>
      </c>
    </row>
    <row r="714" customFormat="false" ht="18" hidden="false" customHeight="true" outlineLevel="0" collapsed="false">
      <c r="A714" s="9" t="s">
        <v>26</v>
      </c>
      <c r="B714" s="9" t="n">
        <v>22</v>
      </c>
      <c r="C714" s="11" t="n">
        <v>45957</v>
      </c>
      <c r="D714" s="9" t="s">
        <v>89</v>
      </c>
      <c r="E714" s="12" t="n">
        <v>16</v>
      </c>
      <c r="F714" s="9" t="s">
        <v>31</v>
      </c>
      <c r="G714" s="13" t="n">
        <v>200</v>
      </c>
      <c r="H714" s="9" t="s">
        <v>34</v>
      </c>
      <c r="I714" s="13" t="n">
        <v>6</v>
      </c>
      <c r="J714" s="1" t="str">
        <f aca="false">IF(A714="","", "SAMP-"&amp;A714&amp;"-L"&amp;TEXT(B714,"00")&amp;"-"&amp;TEXT(C714,"yyyymmdd")&amp;"-"&amp;D714&amp;"-H"&amp;TEXT(E714,"00")&amp;"-"&amp;H714)</f>
        <v>SAMP-KG01-L22-20251027-ORD-2025-00200-H16-Thin Wall</v>
      </c>
      <c r="K714" s="1" t="str">
        <f aca="false">IF(A714="","",IF(AND(G714&gt;=0,I714&gt;=0,I714&lt;=G714),"OK","CHECK"))</f>
        <v>OK</v>
      </c>
      <c r="L714" s="1" t="str">
        <f aca="false">IF(A714="","",IF(AND(E714&gt;=0,E714&lt;=23),"OK","CHECK"))</f>
        <v>OK</v>
      </c>
      <c r="M714" s="1" t="str">
        <f aca="false">IF(A714="","",IF(AND(K714="OK",L714="OK"),"OK","CHECK"))</f>
        <v>OK</v>
      </c>
    </row>
    <row r="715" customFormat="false" ht="18" hidden="false" customHeight="true" outlineLevel="0" collapsed="false">
      <c r="A715" s="9" t="s">
        <v>26</v>
      </c>
      <c r="B715" s="9" t="n">
        <v>22</v>
      </c>
      <c r="C715" s="11" t="n">
        <v>45957</v>
      </c>
      <c r="D715" s="9" t="s">
        <v>89</v>
      </c>
      <c r="E715" s="12" t="n">
        <v>20</v>
      </c>
      <c r="F715" s="9" t="s">
        <v>31</v>
      </c>
      <c r="G715" s="13" t="n">
        <v>100</v>
      </c>
      <c r="H715" s="9" t="s">
        <v>38</v>
      </c>
      <c r="I715" s="13" t="n">
        <v>2</v>
      </c>
      <c r="J715" s="1" t="str">
        <f aca="false">IF(A715="","", "SAMP-"&amp;A715&amp;"-L"&amp;TEXT(B715,"00")&amp;"-"&amp;TEXT(C715,"yyyymmdd")&amp;"-"&amp;D715&amp;"-H"&amp;TEXT(E715,"00")&amp;"-"&amp;H715)</f>
        <v>SAMP-KG01-L22-20251027-ORD-2025-00200-H20-Crack</v>
      </c>
      <c r="K715" s="1" t="str">
        <f aca="false">IF(A715="","",IF(AND(G715&gt;=0,I715&gt;=0,I715&lt;=G715),"OK","CHECK"))</f>
        <v>OK</v>
      </c>
      <c r="L715" s="1" t="str">
        <f aca="false">IF(A715="","",IF(AND(E715&gt;=0,E715&lt;=23),"OK","CHECK"))</f>
        <v>OK</v>
      </c>
      <c r="M715" s="1" t="str">
        <f aca="false">IF(A715="","",IF(AND(K715="OK",L715="OK"),"OK","CHECK"))</f>
        <v>OK</v>
      </c>
    </row>
    <row r="716" customFormat="false" ht="18" hidden="false" customHeight="true" outlineLevel="0" collapsed="false">
      <c r="A716" s="9" t="s">
        <v>26</v>
      </c>
      <c r="B716" s="9" t="n">
        <v>22</v>
      </c>
      <c r="C716" s="11" t="n">
        <v>45958</v>
      </c>
      <c r="D716" s="9" t="s">
        <v>89</v>
      </c>
      <c r="E716" s="12" t="n">
        <v>12</v>
      </c>
      <c r="F716" s="9" t="s">
        <v>28</v>
      </c>
      <c r="G716" s="13" t="n">
        <v>150</v>
      </c>
      <c r="H716" s="9" t="s">
        <v>33</v>
      </c>
      <c r="I716" s="13" t="n">
        <v>0</v>
      </c>
      <c r="J716" s="1" t="str">
        <f aca="false">IF(A716="","", "SAMP-"&amp;A716&amp;"-L"&amp;TEXT(B716,"00")&amp;"-"&amp;TEXT(C716,"yyyymmdd")&amp;"-"&amp;D716&amp;"-H"&amp;TEXT(E716,"00")&amp;"-"&amp;H716)</f>
        <v>SAMP-KG01-L22-20251028-ORD-2025-00200-H12-Distortion</v>
      </c>
      <c r="K716" s="1" t="str">
        <f aca="false">IF(A716="","",IF(AND(G716&gt;=0,I716&gt;=0,I716&lt;=G716),"OK","CHECK"))</f>
        <v>OK</v>
      </c>
      <c r="L716" s="1" t="str">
        <f aca="false">IF(A716="","",IF(AND(E716&gt;=0,E716&lt;=23),"OK","CHECK"))</f>
        <v>OK</v>
      </c>
      <c r="M716" s="1" t="str">
        <f aca="false">IF(A716="","",IF(AND(K716="OK",L716="OK"),"OK","CHECK"))</f>
        <v>OK</v>
      </c>
    </row>
    <row r="717" customFormat="false" ht="18" hidden="false" customHeight="true" outlineLevel="0" collapsed="false">
      <c r="A717" s="9" t="s">
        <v>26</v>
      </c>
      <c r="B717" s="9" t="n">
        <v>22</v>
      </c>
      <c r="C717" s="11" t="n">
        <v>45958</v>
      </c>
      <c r="D717" s="9" t="s">
        <v>89</v>
      </c>
      <c r="E717" s="12" t="n">
        <v>7</v>
      </c>
      <c r="F717" s="9" t="s">
        <v>28</v>
      </c>
      <c r="G717" s="13" t="n">
        <v>200</v>
      </c>
      <c r="H717" s="9" t="s">
        <v>38</v>
      </c>
      <c r="I717" s="13" t="n">
        <v>4</v>
      </c>
      <c r="J717" s="1" t="str">
        <f aca="false">IF(A717="","", "SAMP-"&amp;A717&amp;"-L"&amp;TEXT(B717,"00")&amp;"-"&amp;TEXT(C717,"yyyymmdd")&amp;"-"&amp;D717&amp;"-H"&amp;TEXT(E717,"00")&amp;"-"&amp;H717)</f>
        <v>SAMP-KG01-L22-20251028-ORD-2025-00200-H07-Crack</v>
      </c>
      <c r="K717" s="1" t="str">
        <f aca="false">IF(A717="","",IF(AND(G717&gt;=0,I717&gt;=0,I717&lt;=G717),"OK","CHECK"))</f>
        <v>OK</v>
      </c>
      <c r="L717" s="1" t="str">
        <f aca="false">IF(A717="","",IF(AND(E717&gt;=0,E717&lt;=23),"OK","CHECK"))</f>
        <v>OK</v>
      </c>
      <c r="M717" s="1" t="str">
        <f aca="false">IF(A717="","",IF(AND(K717="OK",L717="OK"),"OK","CHECK"))</f>
        <v>OK</v>
      </c>
    </row>
    <row r="718" customFormat="false" ht="18" hidden="false" customHeight="true" outlineLevel="0" collapsed="false">
      <c r="A718" s="9" t="s">
        <v>26</v>
      </c>
      <c r="B718" s="9" t="n">
        <v>22</v>
      </c>
      <c r="C718" s="11" t="n">
        <v>45958</v>
      </c>
      <c r="D718" s="9" t="s">
        <v>89</v>
      </c>
      <c r="E718" s="12" t="n">
        <v>23</v>
      </c>
      <c r="F718" s="9" t="s">
        <v>31</v>
      </c>
      <c r="G718" s="13" t="n">
        <v>100</v>
      </c>
      <c r="H718" s="9" t="s">
        <v>37</v>
      </c>
      <c r="I718" s="13" t="n">
        <v>2</v>
      </c>
      <c r="J718" s="1" t="str">
        <f aca="false">IF(A718="","", "SAMP-"&amp;A718&amp;"-L"&amp;TEXT(B718,"00")&amp;"-"&amp;TEXT(C718,"yyyymmdd")&amp;"-"&amp;D718&amp;"-H"&amp;TEXT(E718,"00")&amp;"-"&amp;H718)</f>
        <v>SAMP-KG01-L22-20251028-ORD-2025-00200-H23-Bird Swing</v>
      </c>
      <c r="K718" s="1" t="str">
        <f aca="false">IF(A718="","",IF(AND(G718&gt;=0,I718&gt;=0,I718&lt;=G718),"OK","CHECK"))</f>
        <v>OK</v>
      </c>
      <c r="L718" s="1" t="str">
        <f aca="false">IF(A718="","",IF(AND(E718&gt;=0,E718&lt;=23),"OK","CHECK"))</f>
        <v>OK</v>
      </c>
      <c r="M718" s="1" t="str">
        <f aca="false">IF(A718="","",IF(AND(K718="OK",L718="OK"),"OK","CHECK"))</f>
        <v>OK</v>
      </c>
    </row>
    <row r="719" customFormat="false" ht="18" hidden="false" customHeight="true" outlineLevel="0" collapsed="false">
      <c r="A719" s="9" t="s">
        <v>26</v>
      </c>
      <c r="B719" s="9" t="n">
        <v>22</v>
      </c>
      <c r="C719" s="11" t="n">
        <v>45958</v>
      </c>
      <c r="D719" s="9" t="s">
        <v>89</v>
      </c>
      <c r="E719" s="12" t="n">
        <v>16</v>
      </c>
      <c r="F719" s="9" t="s">
        <v>31</v>
      </c>
      <c r="G719" s="13" t="n">
        <v>50</v>
      </c>
      <c r="H719" s="9" t="s">
        <v>35</v>
      </c>
      <c r="I719" s="13" t="n">
        <v>1</v>
      </c>
      <c r="J719" s="1" t="str">
        <f aca="false">IF(A719="","", "SAMP-"&amp;A719&amp;"-L"&amp;TEXT(B719,"00")&amp;"-"&amp;TEXT(C719,"yyyymmdd")&amp;"-"&amp;D719&amp;"-H"&amp;TEXT(E719,"00")&amp;"-"&amp;H719)</f>
        <v>SAMP-KG01-L22-20251028-ORD-2025-00200-H16-Stone</v>
      </c>
      <c r="K719" s="1" t="str">
        <f aca="false">IF(A719="","",IF(AND(G719&gt;=0,I719&gt;=0,I719&lt;=G719),"OK","CHECK"))</f>
        <v>OK</v>
      </c>
      <c r="L719" s="1" t="str">
        <f aca="false">IF(A719="","",IF(AND(E719&gt;=0,E719&lt;=23),"OK","CHECK"))</f>
        <v>OK</v>
      </c>
      <c r="M719" s="1" t="str">
        <f aca="false">IF(A719="","",IF(AND(K719="OK",L719="OK"),"OK","CHECK"))</f>
        <v>OK</v>
      </c>
    </row>
    <row r="720" customFormat="false" ht="18" hidden="false" customHeight="true" outlineLevel="0" collapsed="false">
      <c r="A720" s="9" t="s">
        <v>26</v>
      </c>
      <c r="B720" s="9" t="n">
        <v>22</v>
      </c>
      <c r="C720" s="11" t="n">
        <v>45958</v>
      </c>
      <c r="D720" s="9" t="s">
        <v>89</v>
      </c>
      <c r="E720" s="12" t="n">
        <v>20</v>
      </c>
      <c r="F720" s="9" t="s">
        <v>31</v>
      </c>
      <c r="G720" s="13" t="n">
        <v>50</v>
      </c>
      <c r="H720" s="9" t="s">
        <v>36</v>
      </c>
      <c r="I720" s="13" t="n">
        <v>1</v>
      </c>
      <c r="J720" s="1" t="str">
        <f aca="false">IF(A720="","", "SAMP-"&amp;A720&amp;"-L"&amp;TEXT(B720,"00")&amp;"-"&amp;TEXT(C720,"yyyymmdd")&amp;"-"&amp;D720&amp;"-H"&amp;TEXT(E720,"00")&amp;"-"&amp;H720)</f>
        <v>SAMP-KG01-L22-20251028-ORD-2025-00200-H20-Blister</v>
      </c>
      <c r="K720" s="1" t="str">
        <f aca="false">IF(A720="","",IF(AND(G720&gt;=0,I720&gt;=0,I720&lt;=G720),"OK","CHECK"))</f>
        <v>OK</v>
      </c>
      <c r="L720" s="1" t="str">
        <f aca="false">IF(A720="","",IF(AND(E720&gt;=0,E720&lt;=23),"OK","CHECK"))</f>
        <v>OK</v>
      </c>
      <c r="M720" s="1" t="str">
        <f aca="false">IF(A720="","",IF(AND(K720="OK",L720="OK"),"OK","CHECK"))</f>
        <v>OK</v>
      </c>
    </row>
    <row r="721" customFormat="false" ht="18" hidden="false" customHeight="true" outlineLevel="0" collapsed="false">
      <c r="A721" s="9" t="s">
        <v>26</v>
      </c>
      <c r="B721" s="9" t="n">
        <v>22</v>
      </c>
      <c r="C721" s="11" t="n">
        <v>45959</v>
      </c>
      <c r="D721" s="9" t="s">
        <v>89</v>
      </c>
      <c r="E721" s="12" t="n">
        <v>12</v>
      </c>
      <c r="F721" s="9" t="s">
        <v>28</v>
      </c>
      <c r="G721" s="13" t="n">
        <v>150</v>
      </c>
      <c r="H721" s="9" t="s">
        <v>34</v>
      </c>
      <c r="I721" s="13" t="n">
        <v>2</v>
      </c>
      <c r="J721" s="1" t="str">
        <f aca="false">IF(A721="","", "SAMP-"&amp;A721&amp;"-L"&amp;TEXT(B721,"00")&amp;"-"&amp;TEXT(C721,"yyyymmdd")&amp;"-"&amp;D721&amp;"-H"&amp;TEXT(E721,"00")&amp;"-"&amp;H721)</f>
        <v>SAMP-KG01-L22-20251029-ORD-2025-00200-H12-Thin Wall</v>
      </c>
      <c r="K721" s="1" t="str">
        <f aca="false">IF(A721="","",IF(AND(G721&gt;=0,I721&gt;=0,I721&lt;=G721),"OK","CHECK"))</f>
        <v>OK</v>
      </c>
      <c r="L721" s="1" t="str">
        <f aca="false">IF(A721="","",IF(AND(E721&gt;=0,E721&lt;=23),"OK","CHECK"))</f>
        <v>OK</v>
      </c>
      <c r="M721" s="1" t="str">
        <f aca="false">IF(A721="","",IF(AND(K721="OK",L721="OK"),"OK","CHECK"))</f>
        <v>OK</v>
      </c>
    </row>
    <row r="722" customFormat="false" ht="18" hidden="false" customHeight="true" outlineLevel="0" collapsed="false">
      <c r="A722" s="9" t="s">
        <v>26</v>
      </c>
      <c r="B722" s="9" t="n">
        <v>22</v>
      </c>
      <c r="C722" s="11" t="n">
        <v>45959</v>
      </c>
      <c r="D722" s="9" t="s">
        <v>89</v>
      </c>
      <c r="E722" s="12" t="n">
        <v>7</v>
      </c>
      <c r="F722" s="9" t="s">
        <v>28</v>
      </c>
      <c r="G722" s="13" t="n">
        <v>200</v>
      </c>
      <c r="H722" s="9" t="s">
        <v>36</v>
      </c>
      <c r="I722" s="13" t="n">
        <v>9</v>
      </c>
      <c r="J722" s="1" t="str">
        <f aca="false">IF(A722="","", "SAMP-"&amp;A722&amp;"-L"&amp;TEXT(B722,"00")&amp;"-"&amp;TEXT(C722,"yyyymmdd")&amp;"-"&amp;D722&amp;"-H"&amp;TEXT(E722,"00")&amp;"-"&amp;H722)</f>
        <v>SAMP-KG01-L22-20251029-ORD-2025-00200-H07-Blister</v>
      </c>
      <c r="K722" s="1" t="str">
        <f aca="false">IF(A722="","",IF(AND(G722&gt;=0,I722&gt;=0,I722&lt;=G722),"OK","CHECK"))</f>
        <v>OK</v>
      </c>
      <c r="L722" s="1" t="str">
        <f aca="false">IF(A722="","",IF(AND(E722&gt;=0,E722&lt;=23),"OK","CHECK"))</f>
        <v>OK</v>
      </c>
      <c r="M722" s="1" t="str">
        <f aca="false">IF(A722="","",IF(AND(K722="OK",L722="OK"),"OK","CHECK"))</f>
        <v>OK</v>
      </c>
    </row>
    <row r="723" customFormat="false" ht="18" hidden="false" customHeight="true" outlineLevel="0" collapsed="false">
      <c r="A723" s="9" t="s">
        <v>26</v>
      </c>
      <c r="B723" s="9" t="n">
        <v>22</v>
      </c>
      <c r="C723" s="11" t="n">
        <v>45959</v>
      </c>
      <c r="D723" s="9" t="s">
        <v>89</v>
      </c>
      <c r="E723" s="12" t="n">
        <v>16</v>
      </c>
      <c r="F723" s="9" t="s">
        <v>31</v>
      </c>
      <c r="G723" s="13" t="n">
        <v>200</v>
      </c>
      <c r="H723" s="9" t="s">
        <v>35</v>
      </c>
      <c r="I723" s="13" t="n">
        <v>4</v>
      </c>
      <c r="J723" s="1" t="str">
        <f aca="false">IF(A723="","", "SAMP-"&amp;A723&amp;"-L"&amp;TEXT(B723,"00")&amp;"-"&amp;TEXT(C723,"yyyymmdd")&amp;"-"&amp;D723&amp;"-H"&amp;TEXT(E723,"00")&amp;"-"&amp;H723)</f>
        <v>SAMP-KG01-L22-20251029-ORD-2025-00200-H16-Stone</v>
      </c>
      <c r="K723" s="1" t="str">
        <f aca="false">IF(A723="","",IF(AND(G723&gt;=0,I723&gt;=0,I723&lt;=G723),"OK","CHECK"))</f>
        <v>OK</v>
      </c>
      <c r="L723" s="1" t="str">
        <f aca="false">IF(A723="","",IF(AND(E723&gt;=0,E723&lt;=23),"OK","CHECK"))</f>
        <v>OK</v>
      </c>
      <c r="M723" s="1" t="str">
        <f aca="false">IF(A723="","",IF(AND(K723="OK",L723="OK"),"OK","CHECK"))</f>
        <v>OK</v>
      </c>
    </row>
    <row r="724" customFormat="false" ht="18" hidden="false" customHeight="true" outlineLevel="0" collapsed="false">
      <c r="A724" s="9" t="s">
        <v>26</v>
      </c>
      <c r="B724" s="9" t="n">
        <v>22</v>
      </c>
      <c r="C724" s="11" t="n">
        <v>45959</v>
      </c>
      <c r="D724" s="9" t="s">
        <v>89</v>
      </c>
      <c r="E724" s="12" t="n">
        <v>23</v>
      </c>
      <c r="F724" s="9" t="s">
        <v>31</v>
      </c>
      <c r="G724" s="13" t="n">
        <v>50</v>
      </c>
      <c r="H724" s="9" t="s">
        <v>33</v>
      </c>
      <c r="I724" s="13" t="n">
        <v>1</v>
      </c>
      <c r="J724" s="1" t="str">
        <f aca="false">IF(A724="","", "SAMP-"&amp;A724&amp;"-L"&amp;TEXT(B724,"00")&amp;"-"&amp;TEXT(C724,"yyyymmdd")&amp;"-"&amp;D724&amp;"-H"&amp;TEXT(E724,"00")&amp;"-"&amp;H724)</f>
        <v>SAMP-KG01-L22-20251029-ORD-2025-00200-H23-Distortion</v>
      </c>
      <c r="K724" s="1" t="str">
        <f aca="false">IF(A724="","",IF(AND(G724&gt;=0,I724&gt;=0,I724&lt;=G724),"OK","CHECK"))</f>
        <v>OK</v>
      </c>
      <c r="L724" s="1" t="str">
        <f aca="false">IF(A724="","",IF(AND(E724&gt;=0,E724&lt;=23),"OK","CHECK"))</f>
        <v>OK</v>
      </c>
      <c r="M724" s="1" t="str">
        <f aca="false">IF(A724="","",IF(AND(K724="OK",L724="OK"),"OK","CHECK"))</f>
        <v>OK</v>
      </c>
    </row>
    <row r="725" customFormat="false" ht="18" hidden="false" customHeight="true" outlineLevel="0" collapsed="false">
      <c r="A725" s="9" t="s">
        <v>26</v>
      </c>
      <c r="B725" s="9" t="n">
        <v>22</v>
      </c>
      <c r="C725" s="11" t="n">
        <v>45960</v>
      </c>
      <c r="D725" s="9" t="s">
        <v>90</v>
      </c>
      <c r="E725" s="12" t="n">
        <v>12</v>
      </c>
      <c r="F725" s="9" t="s">
        <v>28</v>
      </c>
      <c r="G725" s="13" t="n">
        <v>200</v>
      </c>
      <c r="H725" s="9" t="s">
        <v>35</v>
      </c>
      <c r="I725" s="13" t="n">
        <v>6</v>
      </c>
      <c r="J725" s="1" t="str">
        <f aca="false">IF(A725="","", "SAMP-"&amp;A725&amp;"-L"&amp;TEXT(B725,"00")&amp;"-"&amp;TEXT(C725,"yyyymmdd")&amp;"-"&amp;D725&amp;"-H"&amp;TEXT(E725,"00")&amp;"-"&amp;H725)</f>
        <v>SAMP-KG01-L22-20251030-ORD-2025-00201-H12-Stone</v>
      </c>
      <c r="K725" s="1" t="str">
        <f aca="false">IF(A725="","",IF(AND(G725&gt;=0,I725&gt;=0,I725&lt;=G725),"OK","CHECK"))</f>
        <v>OK</v>
      </c>
      <c r="L725" s="1" t="str">
        <f aca="false">IF(A725="","",IF(AND(E725&gt;=0,E725&lt;=23),"OK","CHECK"))</f>
        <v>OK</v>
      </c>
      <c r="M725" s="1" t="str">
        <f aca="false">IF(A725="","",IF(AND(K725="OK",L725="OK"),"OK","CHECK"))</f>
        <v>OK</v>
      </c>
    </row>
    <row r="726" customFormat="false" ht="18" hidden="false" customHeight="true" outlineLevel="0" collapsed="false">
      <c r="A726" s="9" t="s">
        <v>26</v>
      </c>
      <c r="B726" s="9" t="n">
        <v>22</v>
      </c>
      <c r="C726" s="11" t="n">
        <v>45960</v>
      </c>
      <c r="D726" s="9" t="s">
        <v>90</v>
      </c>
      <c r="E726" s="12" t="n">
        <v>7</v>
      </c>
      <c r="F726" s="9" t="s">
        <v>28</v>
      </c>
      <c r="G726" s="13" t="n">
        <v>50</v>
      </c>
      <c r="H726" s="9" t="s">
        <v>36</v>
      </c>
      <c r="I726" s="13" t="n">
        <v>1</v>
      </c>
      <c r="J726" s="1" t="str">
        <f aca="false">IF(A726="","", "SAMP-"&amp;A726&amp;"-L"&amp;TEXT(B726,"00")&amp;"-"&amp;TEXT(C726,"yyyymmdd")&amp;"-"&amp;D726&amp;"-H"&amp;TEXT(E726,"00")&amp;"-"&amp;H726)</f>
        <v>SAMP-KG01-L22-20251030-ORD-2025-00201-H07-Blister</v>
      </c>
      <c r="K726" s="1" t="str">
        <f aca="false">IF(A726="","",IF(AND(G726&gt;=0,I726&gt;=0,I726&lt;=G726),"OK","CHECK"))</f>
        <v>OK</v>
      </c>
      <c r="L726" s="1" t="str">
        <f aca="false">IF(A726="","",IF(AND(E726&gt;=0,E726&lt;=23),"OK","CHECK"))</f>
        <v>OK</v>
      </c>
      <c r="M726" s="1" t="str">
        <f aca="false">IF(A726="","",IF(AND(K726="OK",L726="OK"),"OK","CHECK"))</f>
        <v>OK</v>
      </c>
    </row>
    <row r="727" customFormat="false" ht="18" hidden="false" customHeight="true" outlineLevel="0" collapsed="false">
      <c r="A727" s="9" t="s">
        <v>26</v>
      </c>
      <c r="B727" s="9" t="n">
        <v>22</v>
      </c>
      <c r="C727" s="11" t="n">
        <v>45960</v>
      </c>
      <c r="D727" s="9" t="s">
        <v>90</v>
      </c>
      <c r="E727" s="12" t="n">
        <v>9</v>
      </c>
      <c r="F727" s="9" t="s">
        <v>28</v>
      </c>
      <c r="G727" s="13" t="n">
        <v>200</v>
      </c>
      <c r="H727" s="9" t="s">
        <v>38</v>
      </c>
      <c r="I727" s="13" t="n">
        <v>6</v>
      </c>
      <c r="J727" s="1" t="str">
        <f aca="false">IF(A727="","", "SAMP-"&amp;A727&amp;"-L"&amp;TEXT(B727,"00")&amp;"-"&amp;TEXT(C727,"yyyymmdd")&amp;"-"&amp;D727&amp;"-H"&amp;TEXT(E727,"00")&amp;"-"&amp;H727)</f>
        <v>SAMP-KG01-L22-20251030-ORD-2025-00201-H09-Crack</v>
      </c>
      <c r="K727" s="1" t="str">
        <f aca="false">IF(A727="","",IF(AND(G727&gt;=0,I727&gt;=0,I727&lt;=G727),"OK","CHECK"))</f>
        <v>OK</v>
      </c>
      <c r="L727" s="1" t="str">
        <f aca="false">IF(A727="","",IF(AND(E727&gt;=0,E727&lt;=23),"OK","CHECK"))</f>
        <v>OK</v>
      </c>
      <c r="M727" s="1" t="str">
        <f aca="false">IF(A727="","",IF(AND(K727="OK",L727="OK"),"OK","CHECK"))</f>
        <v>OK</v>
      </c>
    </row>
    <row r="728" customFormat="false" ht="18" hidden="false" customHeight="true" outlineLevel="0" collapsed="false">
      <c r="A728" s="9" t="s">
        <v>26</v>
      </c>
      <c r="B728" s="9" t="n">
        <v>22</v>
      </c>
      <c r="C728" s="11" t="n">
        <v>45960</v>
      </c>
      <c r="D728" s="9" t="s">
        <v>90</v>
      </c>
      <c r="E728" s="12" t="n">
        <v>16</v>
      </c>
      <c r="F728" s="9" t="s">
        <v>31</v>
      </c>
      <c r="G728" s="13" t="n">
        <v>200</v>
      </c>
      <c r="H728" s="9" t="s">
        <v>33</v>
      </c>
      <c r="I728" s="13" t="n">
        <v>5</v>
      </c>
      <c r="J728" s="1" t="str">
        <f aca="false">IF(A728="","", "SAMP-"&amp;A728&amp;"-L"&amp;TEXT(B728,"00")&amp;"-"&amp;TEXT(C728,"yyyymmdd")&amp;"-"&amp;D728&amp;"-H"&amp;TEXT(E728,"00")&amp;"-"&amp;H728)</f>
        <v>SAMP-KG01-L22-20251030-ORD-2025-00201-H16-Distortion</v>
      </c>
      <c r="K728" s="1" t="str">
        <f aca="false">IF(A728="","",IF(AND(G728&gt;=0,I728&gt;=0,I728&lt;=G728),"OK","CHECK"))</f>
        <v>OK</v>
      </c>
      <c r="L728" s="1" t="str">
        <f aca="false">IF(A728="","",IF(AND(E728&gt;=0,E728&lt;=23),"OK","CHECK"))</f>
        <v>OK</v>
      </c>
      <c r="M728" s="1" t="str">
        <f aca="false">IF(A728="","",IF(AND(K728="OK",L728="OK"),"OK","CHECK"))</f>
        <v>OK</v>
      </c>
    </row>
    <row r="729" customFormat="false" ht="18" hidden="false" customHeight="true" outlineLevel="0" collapsed="false">
      <c r="A729" s="9" t="s">
        <v>26</v>
      </c>
      <c r="B729" s="9" t="n">
        <v>22</v>
      </c>
      <c r="C729" s="11" t="n">
        <v>45960</v>
      </c>
      <c r="D729" s="9" t="s">
        <v>90</v>
      </c>
      <c r="E729" s="12" t="n">
        <v>20</v>
      </c>
      <c r="F729" s="9" t="s">
        <v>31</v>
      </c>
      <c r="G729" s="13" t="n">
        <v>200</v>
      </c>
      <c r="H729" s="9" t="s">
        <v>35</v>
      </c>
      <c r="I729" s="13" t="n">
        <v>7</v>
      </c>
      <c r="J729" s="1" t="str">
        <f aca="false">IF(A729="","", "SAMP-"&amp;A729&amp;"-L"&amp;TEXT(B729,"00")&amp;"-"&amp;TEXT(C729,"yyyymmdd")&amp;"-"&amp;D729&amp;"-H"&amp;TEXT(E729,"00")&amp;"-"&amp;H729)</f>
        <v>SAMP-KG01-L22-20251030-ORD-2025-00201-H20-Stone</v>
      </c>
      <c r="K729" s="1" t="str">
        <f aca="false">IF(A729="","",IF(AND(G729&gt;=0,I729&gt;=0,I729&lt;=G729),"OK","CHECK"))</f>
        <v>OK</v>
      </c>
      <c r="L729" s="1" t="str">
        <f aca="false">IF(A729="","",IF(AND(E729&gt;=0,E729&lt;=23),"OK","CHECK"))</f>
        <v>OK</v>
      </c>
      <c r="M729" s="1" t="str">
        <f aca="false">IF(A729="","",IF(AND(K729="OK",L729="OK"),"OK","CHECK"))</f>
        <v>OK</v>
      </c>
    </row>
    <row r="730" customFormat="false" ht="18" hidden="false" customHeight="true" outlineLevel="0" collapsed="false">
      <c r="A730" s="9" t="s">
        <v>26</v>
      </c>
      <c r="B730" s="9" t="n">
        <v>22</v>
      </c>
      <c r="C730" s="11" t="n">
        <v>45960</v>
      </c>
      <c r="D730" s="9" t="s">
        <v>90</v>
      </c>
      <c r="E730" s="12" t="n">
        <v>23</v>
      </c>
      <c r="F730" s="9" t="s">
        <v>31</v>
      </c>
      <c r="G730" s="13" t="n">
        <v>100</v>
      </c>
      <c r="H730" s="9" t="s">
        <v>36</v>
      </c>
      <c r="I730" s="13" t="n">
        <v>2</v>
      </c>
      <c r="J730" s="1" t="str">
        <f aca="false">IF(A730="","", "SAMP-"&amp;A730&amp;"-L"&amp;TEXT(B730,"00")&amp;"-"&amp;TEXT(C730,"yyyymmdd")&amp;"-"&amp;D730&amp;"-H"&amp;TEXT(E730,"00")&amp;"-"&amp;H730)</f>
        <v>SAMP-KG01-L22-20251030-ORD-2025-00201-H23-Blister</v>
      </c>
      <c r="K730" s="1" t="str">
        <f aca="false">IF(A730="","",IF(AND(G730&gt;=0,I730&gt;=0,I730&lt;=G730),"OK","CHECK"))</f>
        <v>OK</v>
      </c>
      <c r="L730" s="1" t="str">
        <f aca="false">IF(A730="","",IF(AND(E730&gt;=0,E730&lt;=23),"OK","CHECK"))</f>
        <v>OK</v>
      </c>
      <c r="M730" s="1" t="str">
        <f aca="false">IF(A730="","",IF(AND(K730="OK",L730="OK"),"OK","CHECK"))</f>
        <v>OK</v>
      </c>
    </row>
    <row r="731" customFormat="false" ht="18" hidden="false" customHeight="true" outlineLevel="0" collapsed="false">
      <c r="A731" s="9" t="s">
        <v>26</v>
      </c>
      <c r="B731" s="9" t="n">
        <v>22</v>
      </c>
      <c r="C731" s="11" t="n">
        <v>45961</v>
      </c>
      <c r="D731" s="9" t="s">
        <v>90</v>
      </c>
      <c r="E731" s="12" t="n">
        <v>7</v>
      </c>
      <c r="F731" s="9" t="s">
        <v>28</v>
      </c>
      <c r="G731" s="13" t="n">
        <v>50</v>
      </c>
      <c r="H731" s="9" t="s">
        <v>29</v>
      </c>
      <c r="I731" s="13" t="n">
        <v>2</v>
      </c>
      <c r="J731" s="1" t="str">
        <f aca="false">IF(A731="","", "SAMP-"&amp;A731&amp;"-L"&amp;TEXT(B731,"00")&amp;"-"&amp;TEXT(C731,"yyyymmdd")&amp;"-"&amp;D731&amp;"-H"&amp;TEXT(E731,"00")&amp;"-"&amp;H731)</f>
        <v>SAMP-KG01-L22-20251031-ORD-2025-00201-H07-Choke Neck</v>
      </c>
      <c r="K731" s="1" t="str">
        <f aca="false">IF(A731="","",IF(AND(G731&gt;=0,I731&gt;=0,I731&lt;=G731),"OK","CHECK"))</f>
        <v>OK</v>
      </c>
      <c r="L731" s="1" t="str">
        <f aca="false">IF(A731="","",IF(AND(E731&gt;=0,E731&lt;=23),"OK","CHECK"))</f>
        <v>OK</v>
      </c>
      <c r="M731" s="1" t="str">
        <f aca="false">IF(A731="","",IF(AND(K731="OK",L731="OK"),"OK","CHECK"))</f>
        <v>OK</v>
      </c>
    </row>
    <row r="732" customFormat="false" ht="18" hidden="false" customHeight="true" outlineLevel="0" collapsed="false">
      <c r="A732" s="9" t="s">
        <v>26</v>
      </c>
      <c r="B732" s="9" t="n">
        <v>22</v>
      </c>
      <c r="C732" s="11" t="n">
        <v>45961</v>
      </c>
      <c r="D732" s="9" t="s">
        <v>90</v>
      </c>
      <c r="E732" s="12" t="n">
        <v>9</v>
      </c>
      <c r="F732" s="9" t="s">
        <v>28</v>
      </c>
      <c r="G732" s="13" t="n">
        <v>50</v>
      </c>
      <c r="H732" s="9" t="s">
        <v>38</v>
      </c>
      <c r="I732" s="13" t="n">
        <v>1</v>
      </c>
      <c r="J732" s="1" t="str">
        <f aca="false">IF(A732="","", "SAMP-"&amp;A732&amp;"-L"&amp;TEXT(B732,"00")&amp;"-"&amp;TEXT(C732,"yyyymmdd")&amp;"-"&amp;D732&amp;"-H"&amp;TEXT(E732,"00")&amp;"-"&amp;H732)</f>
        <v>SAMP-KG01-L22-20251031-ORD-2025-00201-H09-Crack</v>
      </c>
      <c r="K732" s="1" t="str">
        <f aca="false">IF(A732="","",IF(AND(G732&gt;=0,I732&gt;=0,I732&lt;=G732),"OK","CHECK"))</f>
        <v>OK</v>
      </c>
      <c r="L732" s="1" t="str">
        <f aca="false">IF(A732="","",IF(AND(E732&gt;=0,E732&lt;=23),"OK","CHECK"))</f>
        <v>OK</v>
      </c>
      <c r="M732" s="1" t="str">
        <f aca="false">IF(A732="","",IF(AND(K732="OK",L732="OK"),"OK","CHECK"))</f>
        <v>OK</v>
      </c>
    </row>
    <row r="733" customFormat="false" ht="18" hidden="false" customHeight="true" outlineLevel="0" collapsed="false">
      <c r="A733" s="9" t="s">
        <v>26</v>
      </c>
      <c r="B733" s="9" t="n">
        <v>22</v>
      </c>
      <c r="C733" s="11" t="n">
        <v>45961</v>
      </c>
      <c r="D733" s="9" t="s">
        <v>90</v>
      </c>
      <c r="E733" s="12" t="n">
        <v>12</v>
      </c>
      <c r="F733" s="9" t="s">
        <v>28</v>
      </c>
      <c r="G733" s="13" t="n">
        <v>200</v>
      </c>
      <c r="H733" s="9" t="s">
        <v>41</v>
      </c>
      <c r="I733" s="13" t="n">
        <v>7</v>
      </c>
      <c r="J733" s="1" t="str">
        <f aca="false">IF(A733="","", "SAMP-"&amp;A733&amp;"-L"&amp;TEXT(B733,"00")&amp;"-"&amp;TEXT(C733,"yyyymmdd")&amp;"-"&amp;D733&amp;"-H"&amp;TEXT(E733,"00")&amp;"-"&amp;H733)</f>
        <v>SAMP-KG01-L22-20251031-ORD-2025-00201-H12-Chip</v>
      </c>
      <c r="K733" s="1" t="str">
        <f aca="false">IF(A733="","",IF(AND(G733&gt;=0,I733&gt;=0,I733&lt;=G733),"OK","CHECK"))</f>
        <v>OK</v>
      </c>
      <c r="L733" s="1" t="str">
        <f aca="false">IF(A733="","",IF(AND(E733&gt;=0,E733&lt;=23),"OK","CHECK"))</f>
        <v>OK</v>
      </c>
      <c r="M733" s="1" t="str">
        <f aca="false">IF(A733="","",IF(AND(K733="OK",L733="OK"),"OK","CHECK"))</f>
        <v>OK</v>
      </c>
    </row>
    <row r="734" customFormat="false" ht="18" hidden="false" customHeight="true" outlineLevel="0" collapsed="false">
      <c r="A734" s="9" t="s">
        <v>26</v>
      </c>
      <c r="B734" s="9" t="n">
        <v>22</v>
      </c>
      <c r="C734" s="11" t="n">
        <v>45961</v>
      </c>
      <c r="D734" s="9" t="s">
        <v>90</v>
      </c>
      <c r="E734" s="12" t="n">
        <v>16</v>
      </c>
      <c r="F734" s="9" t="s">
        <v>31</v>
      </c>
      <c r="G734" s="13" t="n">
        <v>50</v>
      </c>
      <c r="H734" s="9" t="s">
        <v>36</v>
      </c>
      <c r="I734" s="13" t="n">
        <v>0</v>
      </c>
      <c r="J734" s="1" t="str">
        <f aca="false">IF(A734="","", "SAMP-"&amp;A734&amp;"-L"&amp;TEXT(B734,"00")&amp;"-"&amp;TEXT(C734,"yyyymmdd")&amp;"-"&amp;D734&amp;"-H"&amp;TEXT(E734,"00")&amp;"-"&amp;H734)</f>
        <v>SAMP-KG01-L22-20251031-ORD-2025-00201-H16-Blister</v>
      </c>
      <c r="K734" s="1" t="str">
        <f aca="false">IF(A734="","",IF(AND(G734&gt;=0,I734&gt;=0,I734&lt;=G734),"OK","CHECK"))</f>
        <v>OK</v>
      </c>
      <c r="L734" s="1" t="str">
        <f aca="false">IF(A734="","",IF(AND(E734&gt;=0,E734&lt;=23),"OK","CHECK"))</f>
        <v>OK</v>
      </c>
      <c r="M734" s="1" t="str">
        <f aca="false">IF(A734="","",IF(AND(K734="OK",L734="OK"),"OK","CHECK"))</f>
        <v>OK</v>
      </c>
    </row>
    <row r="735" customFormat="false" ht="18" hidden="false" customHeight="true" outlineLevel="0" collapsed="false">
      <c r="A735" s="9" t="s">
        <v>26</v>
      </c>
      <c r="B735" s="9" t="n">
        <v>22</v>
      </c>
      <c r="C735" s="11" t="n">
        <v>45961</v>
      </c>
      <c r="D735" s="9" t="s">
        <v>90</v>
      </c>
      <c r="E735" s="12" t="n">
        <v>23</v>
      </c>
      <c r="F735" s="9" t="s">
        <v>31</v>
      </c>
      <c r="G735" s="13" t="n">
        <v>100</v>
      </c>
      <c r="H735" s="9" t="s">
        <v>38</v>
      </c>
      <c r="I735" s="13" t="n">
        <v>2</v>
      </c>
      <c r="J735" s="1" t="str">
        <f aca="false">IF(A735="","", "SAMP-"&amp;A735&amp;"-L"&amp;TEXT(B735,"00")&amp;"-"&amp;TEXT(C735,"yyyymmdd")&amp;"-"&amp;D735&amp;"-H"&amp;TEXT(E735,"00")&amp;"-"&amp;H735)</f>
        <v>SAMP-KG01-L22-20251031-ORD-2025-00201-H23-Crack</v>
      </c>
      <c r="K735" s="1" t="str">
        <f aca="false">IF(A735="","",IF(AND(G735&gt;=0,I735&gt;=0,I735&lt;=G735),"OK","CHECK"))</f>
        <v>OK</v>
      </c>
      <c r="L735" s="1" t="str">
        <f aca="false">IF(A735="","",IF(AND(E735&gt;=0,E735&lt;=23),"OK","CHECK"))</f>
        <v>OK</v>
      </c>
      <c r="M735" s="1" t="str">
        <f aca="false">IF(A735="","",IF(AND(K735="OK",L735="OK"),"OK","CHECK"))</f>
        <v>OK</v>
      </c>
    </row>
    <row r="736" customFormat="false" ht="18" hidden="false" customHeight="true" outlineLevel="0" collapsed="false">
      <c r="A736" s="9" t="s">
        <v>26</v>
      </c>
      <c r="B736" s="9" t="n">
        <v>22</v>
      </c>
      <c r="C736" s="11" t="n">
        <v>45961</v>
      </c>
      <c r="D736" s="9" t="s">
        <v>90</v>
      </c>
      <c r="E736" s="12" t="n">
        <v>20</v>
      </c>
      <c r="F736" s="9" t="s">
        <v>31</v>
      </c>
      <c r="G736" s="13" t="n">
        <v>100</v>
      </c>
      <c r="H736" s="9" t="s">
        <v>38</v>
      </c>
      <c r="I736" s="13" t="n">
        <v>3</v>
      </c>
      <c r="J736" s="1" t="str">
        <f aca="false">IF(A736="","", "SAMP-"&amp;A736&amp;"-L"&amp;TEXT(B736,"00")&amp;"-"&amp;TEXT(C736,"yyyymmdd")&amp;"-"&amp;D736&amp;"-H"&amp;TEXT(E736,"00")&amp;"-"&amp;H736)</f>
        <v>SAMP-KG01-L22-20251031-ORD-2025-00201-H20-Crack</v>
      </c>
      <c r="K736" s="1" t="str">
        <f aca="false">IF(A736="","",IF(AND(G736&gt;=0,I736&gt;=0,I736&lt;=G736),"OK","CHECK"))</f>
        <v>OK</v>
      </c>
      <c r="L736" s="1" t="str">
        <f aca="false">IF(A736="","",IF(AND(E736&gt;=0,E736&lt;=23),"OK","CHECK"))</f>
        <v>OK</v>
      </c>
      <c r="M736" s="1" t="str">
        <f aca="false">IF(A736="","",IF(AND(K736="OK",L736="OK"),"OK","CHECK"))</f>
        <v>OK</v>
      </c>
    </row>
    <row r="737" customFormat="false" ht="18" hidden="false" customHeight="true" outlineLevel="0" collapsed="false">
      <c r="A737" s="9" t="s">
        <v>26</v>
      </c>
      <c r="B737" s="9" t="n">
        <v>22</v>
      </c>
      <c r="C737" s="11" t="n">
        <v>45962</v>
      </c>
      <c r="D737" s="9" t="s">
        <v>90</v>
      </c>
      <c r="E737" s="12" t="n">
        <v>9</v>
      </c>
      <c r="F737" s="9" t="s">
        <v>28</v>
      </c>
      <c r="G737" s="13" t="n">
        <v>50</v>
      </c>
      <c r="H737" s="9" t="s">
        <v>37</v>
      </c>
      <c r="I737" s="13" t="n">
        <v>1</v>
      </c>
      <c r="J737" s="1" t="str">
        <f aca="false">IF(A737="","", "SAMP-"&amp;A737&amp;"-L"&amp;TEXT(B737,"00")&amp;"-"&amp;TEXT(C737,"yyyymmdd")&amp;"-"&amp;D737&amp;"-H"&amp;TEXT(E737,"00")&amp;"-"&amp;H737)</f>
        <v>SAMP-KG01-L22-20251101-ORD-2025-00201-H09-Bird Swing</v>
      </c>
      <c r="K737" s="1" t="str">
        <f aca="false">IF(A737="","",IF(AND(G737&gt;=0,I737&gt;=0,I737&lt;=G737),"OK","CHECK"))</f>
        <v>OK</v>
      </c>
      <c r="L737" s="1" t="str">
        <f aca="false">IF(A737="","",IF(AND(E737&gt;=0,E737&lt;=23),"OK","CHECK"))</f>
        <v>OK</v>
      </c>
      <c r="M737" s="1" t="str">
        <f aca="false">IF(A737="","",IF(AND(K737="OK",L737="OK"),"OK","CHECK"))</f>
        <v>OK</v>
      </c>
    </row>
    <row r="738" customFormat="false" ht="18" hidden="false" customHeight="true" outlineLevel="0" collapsed="false">
      <c r="A738" s="9" t="s">
        <v>26</v>
      </c>
      <c r="B738" s="9" t="n">
        <v>22</v>
      </c>
      <c r="C738" s="11" t="n">
        <v>45962</v>
      </c>
      <c r="D738" s="9" t="s">
        <v>90</v>
      </c>
      <c r="E738" s="12" t="n">
        <v>12</v>
      </c>
      <c r="F738" s="9" t="s">
        <v>28</v>
      </c>
      <c r="G738" s="13" t="n">
        <v>100</v>
      </c>
      <c r="H738" s="9" t="s">
        <v>30</v>
      </c>
      <c r="I738" s="13" t="n">
        <v>4</v>
      </c>
      <c r="J738" s="1" t="str">
        <f aca="false">IF(A738="","", "SAMP-"&amp;A738&amp;"-L"&amp;TEXT(B738,"00")&amp;"-"&amp;TEXT(C738,"yyyymmdd")&amp;"-"&amp;D738&amp;"-H"&amp;TEXT(E738,"00")&amp;"-"&amp;H738)</f>
        <v>SAMP-KG01-L22-20251101-ORD-2025-00201-H12-Overpress</v>
      </c>
      <c r="K738" s="1" t="str">
        <f aca="false">IF(A738="","",IF(AND(G738&gt;=0,I738&gt;=0,I738&lt;=G738),"OK","CHECK"))</f>
        <v>OK</v>
      </c>
      <c r="L738" s="1" t="str">
        <f aca="false">IF(A738="","",IF(AND(E738&gt;=0,E738&lt;=23),"OK","CHECK"))</f>
        <v>OK</v>
      </c>
      <c r="M738" s="1" t="str">
        <f aca="false">IF(A738="","",IF(AND(K738="OK",L738="OK"),"OK","CHECK"))</f>
        <v>OK</v>
      </c>
    </row>
    <row r="739" customFormat="false" ht="18" hidden="false" customHeight="true" outlineLevel="0" collapsed="false">
      <c r="A739" s="9" t="s">
        <v>26</v>
      </c>
      <c r="B739" s="9" t="n">
        <v>22</v>
      </c>
      <c r="C739" s="11" t="n">
        <v>45962</v>
      </c>
      <c r="D739" s="9" t="s">
        <v>90</v>
      </c>
      <c r="E739" s="12" t="n">
        <v>7</v>
      </c>
      <c r="F739" s="9" t="s">
        <v>28</v>
      </c>
      <c r="G739" s="13" t="n">
        <v>50</v>
      </c>
      <c r="H739" s="9" t="s">
        <v>37</v>
      </c>
      <c r="I739" s="13" t="n">
        <v>1</v>
      </c>
      <c r="J739" s="1" t="str">
        <f aca="false">IF(A739="","", "SAMP-"&amp;A739&amp;"-L"&amp;TEXT(B739,"00")&amp;"-"&amp;TEXT(C739,"yyyymmdd")&amp;"-"&amp;D739&amp;"-H"&amp;TEXT(E739,"00")&amp;"-"&amp;H739)</f>
        <v>SAMP-KG01-L22-20251101-ORD-2025-00201-H07-Bird Swing</v>
      </c>
      <c r="K739" s="1" t="str">
        <f aca="false">IF(A739="","",IF(AND(G739&gt;=0,I739&gt;=0,I739&lt;=G739),"OK","CHECK"))</f>
        <v>OK</v>
      </c>
      <c r="L739" s="1" t="str">
        <f aca="false">IF(A739="","",IF(AND(E739&gt;=0,E739&lt;=23),"OK","CHECK"))</f>
        <v>OK</v>
      </c>
      <c r="M739" s="1" t="str">
        <f aca="false">IF(A739="","",IF(AND(K739="OK",L739="OK"),"OK","CHECK"))</f>
        <v>OK</v>
      </c>
    </row>
    <row r="740" customFormat="false" ht="18" hidden="false" customHeight="true" outlineLevel="0" collapsed="false">
      <c r="A740" s="9" t="s">
        <v>26</v>
      </c>
      <c r="B740" s="9" t="n">
        <v>22</v>
      </c>
      <c r="C740" s="11" t="n">
        <v>45962</v>
      </c>
      <c r="D740" s="9" t="s">
        <v>90</v>
      </c>
      <c r="E740" s="12" t="n">
        <v>20</v>
      </c>
      <c r="F740" s="9" t="s">
        <v>31</v>
      </c>
      <c r="G740" s="13" t="n">
        <v>50</v>
      </c>
      <c r="H740" s="9" t="s">
        <v>41</v>
      </c>
      <c r="I740" s="13" t="n">
        <v>1</v>
      </c>
      <c r="J740" s="1" t="str">
        <f aca="false">IF(A740="","", "SAMP-"&amp;A740&amp;"-L"&amp;TEXT(B740,"00")&amp;"-"&amp;TEXT(C740,"yyyymmdd")&amp;"-"&amp;D740&amp;"-H"&amp;TEXT(E740,"00")&amp;"-"&amp;H740)</f>
        <v>SAMP-KG01-L22-20251101-ORD-2025-00201-H20-Chip</v>
      </c>
      <c r="K740" s="1" t="str">
        <f aca="false">IF(A740="","",IF(AND(G740&gt;=0,I740&gt;=0,I740&lt;=G740),"OK","CHECK"))</f>
        <v>OK</v>
      </c>
      <c r="L740" s="1" t="str">
        <f aca="false">IF(A740="","",IF(AND(E740&gt;=0,E740&lt;=23),"OK","CHECK"))</f>
        <v>OK</v>
      </c>
      <c r="M740" s="1" t="str">
        <f aca="false">IF(A740="","",IF(AND(K740="OK",L740="OK"),"OK","CHECK"))</f>
        <v>OK</v>
      </c>
    </row>
    <row r="741" customFormat="false" ht="18" hidden="false" customHeight="true" outlineLevel="0" collapsed="false">
      <c r="A741" s="9" t="s">
        <v>26</v>
      </c>
      <c r="B741" s="9" t="n">
        <v>22</v>
      </c>
      <c r="C741" s="11" t="n">
        <v>45962</v>
      </c>
      <c r="D741" s="9" t="s">
        <v>90</v>
      </c>
      <c r="E741" s="12" t="n">
        <v>23</v>
      </c>
      <c r="F741" s="9" t="s">
        <v>31</v>
      </c>
      <c r="G741" s="13" t="n">
        <v>50</v>
      </c>
      <c r="H741" s="9" t="s">
        <v>38</v>
      </c>
      <c r="I741" s="13" t="n">
        <v>1</v>
      </c>
      <c r="J741" s="1" t="str">
        <f aca="false">IF(A741="","", "SAMP-"&amp;A741&amp;"-L"&amp;TEXT(B741,"00")&amp;"-"&amp;TEXT(C741,"yyyymmdd")&amp;"-"&amp;D741&amp;"-H"&amp;TEXT(E741,"00")&amp;"-"&amp;H741)</f>
        <v>SAMP-KG01-L22-20251101-ORD-2025-00201-H23-Crack</v>
      </c>
      <c r="K741" s="1" t="str">
        <f aca="false">IF(A741="","",IF(AND(G741&gt;=0,I741&gt;=0,I741&lt;=G741),"OK","CHECK"))</f>
        <v>OK</v>
      </c>
      <c r="L741" s="1" t="str">
        <f aca="false">IF(A741="","",IF(AND(E741&gt;=0,E741&lt;=23),"OK","CHECK"))</f>
        <v>OK</v>
      </c>
      <c r="M741" s="1" t="str">
        <f aca="false">IF(A741="","",IF(AND(K741="OK",L741="OK"),"OK","CHECK"))</f>
        <v>OK</v>
      </c>
    </row>
    <row r="742" customFormat="false" ht="18" hidden="false" customHeight="true" outlineLevel="0" collapsed="false">
      <c r="A742" s="9" t="s">
        <v>26</v>
      </c>
      <c r="B742" s="9" t="n">
        <v>22</v>
      </c>
      <c r="C742" s="11" t="n">
        <v>45962</v>
      </c>
      <c r="D742" s="9" t="s">
        <v>90</v>
      </c>
      <c r="E742" s="12" t="n">
        <v>16</v>
      </c>
      <c r="F742" s="9" t="s">
        <v>31</v>
      </c>
      <c r="G742" s="13" t="n">
        <v>200</v>
      </c>
      <c r="H742" s="9" t="s">
        <v>33</v>
      </c>
      <c r="I742" s="13" t="n">
        <v>3</v>
      </c>
      <c r="J742" s="1" t="str">
        <f aca="false">IF(A742="","", "SAMP-"&amp;A742&amp;"-L"&amp;TEXT(B742,"00")&amp;"-"&amp;TEXT(C742,"yyyymmdd")&amp;"-"&amp;D742&amp;"-H"&amp;TEXT(E742,"00")&amp;"-"&amp;H742)</f>
        <v>SAMP-KG01-L22-20251101-ORD-2025-00201-H16-Distortion</v>
      </c>
      <c r="K742" s="1" t="str">
        <f aca="false">IF(A742="","",IF(AND(G742&gt;=0,I742&gt;=0,I742&lt;=G742),"OK","CHECK"))</f>
        <v>OK</v>
      </c>
      <c r="L742" s="1" t="str">
        <f aca="false">IF(A742="","",IF(AND(E742&gt;=0,E742&lt;=23),"OK","CHECK"))</f>
        <v>OK</v>
      </c>
      <c r="M742" s="1" t="str">
        <f aca="false">IF(A742="","",IF(AND(K742="OK",L742="OK"),"OK","CHECK"))</f>
        <v>OK</v>
      </c>
    </row>
    <row r="743" customFormat="false" ht="18" hidden="false" customHeight="true" outlineLevel="0" collapsed="false">
      <c r="A743" s="9" t="s">
        <v>26</v>
      </c>
      <c r="B743" s="9" t="n">
        <v>22</v>
      </c>
      <c r="C743" s="11" t="n">
        <v>45963</v>
      </c>
      <c r="D743" s="9" t="s">
        <v>90</v>
      </c>
      <c r="E743" s="12" t="n">
        <v>12</v>
      </c>
      <c r="F743" s="9" t="s">
        <v>28</v>
      </c>
      <c r="G743" s="13" t="n">
        <v>100</v>
      </c>
      <c r="H743" s="9" t="s">
        <v>36</v>
      </c>
      <c r="I743" s="13" t="n">
        <v>2</v>
      </c>
      <c r="J743" s="1" t="str">
        <f aca="false">IF(A743="","", "SAMP-"&amp;A743&amp;"-L"&amp;TEXT(B743,"00")&amp;"-"&amp;TEXT(C743,"yyyymmdd")&amp;"-"&amp;D743&amp;"-H"&amp;TEXT(E743,"00")&amp;"-"&amp;H743)</f>
        <v>SAMP-KG01-L22-20251102-ORD-2025-00201-H12-Blister</v>
      </c>
      <c r="K743" s="1" t="str">
        <f aca="false">IF(A743="","",IF(AND(G743&gt;=0,I743&gt;=0,I743&lt;=G743),"OK","CHECK"))</f>
        <v>OK</v>
      </c>
      <c r="L743" s="1" t="str">
        <f aca="false">IF(A743="","",IF(AND(E743&gt;=0,E743&lt;=23),"OK","CHECK"))</f>
        <v>OK</v>
      </c>
      <c r="M743" s="1" t="str">
        <f aca="false">IF(A743="","",IF(AND(K743="OK",L743="OK"),"OK","CHECK"))</f>
        <v>OK</v>
      </c>
    </row>
    <row r="744" customFormat="false" ht="18" hidden="false" customHeight="true" outlineLevel="0" collapsed="false">
      <c r="A744" s="9" t="s">
        <v>26</v>
      </c>
      <c r="B744" s="9" t="n">
        <v>22</v>
      </c>
      <c r="C744" s="11" t="n">
        <v>45963</v>
      </c>
      <c r="D744" s="9" t="s">
        <v>90</v>
      </c>
      <c r="E744" s="12" t="n">
        <v>9</v>
      </c>
      <c r="F744" s="9" t="s">
        <v>28</v>
      </c>
      <c r="G744" s="13" t="n">
        <v>50</v>
      </c>
      <c r="H744" s="9" t="s">
        <v>41</v>
      </c>
      <c r="I744" s="13" t="n">
        <v>1</v>
      </c>
      <c r="J744" s="1" t="str">
        <f aca="false">IF(A744="","", "SAMP-"&amp;A744&amp;"-L"&amp;TEXT(B744,"00")&amp;"-"&amp;TEXT(C744,"yyyymmdd")&amp;"-"&amp;D744&amp;"-H"&amp;TEXT(E744,"00")&amp;"-"&amp;H744)</f>
        <v>SAMP-KG01-L22-20251102-ORD-2025-00201-H09-Chip</v>
      </c>
      <c r="K744" s="1" t="str">
        <f aca="false">IF(A744="","",IF(AND(G744&gt;=0,I744&gt;=0,I744&lt;=G744),"OK","CHECK"))</f>
        <v>OK</v>
      </c>
      <c r="L744" s="1" t="str">
        <f aca="false">IF(A744="","",IF(AND(E744&gt;=0,E744&lt;=23),"OK","CHECK"))</f>
        <v>OK</v>
      </c>
      <c r="M744" s="1" t="str">
        <f aca="false">IF(A744="","",IF(AND(K744="OK",L744="OK"),"OK","CHECK"))</f>
        <v>OK</v>
      </c>
    </row>
    <row r="745" customFormat="false" ht="18" hidden="false" customHeight="true" outlineLevel="0" collapsed="false">
      <c r="A745" s="9" t="s">
        <v>26</v>
      </c>
      <c r="B745" s="9" t="n">
        <v>22</v>
      </c>
      <c r="C745" s="11" t="n">
        <v>45963</v>
      </c>
      <c r="D745" s="9" t="s">
        <v>90</v>
      </c>
      <c r="E745" s="12" t="n">
        <v>23</v>
      </c>
      <c r="F745" s="9" t="s">
        <v>31</v>
      </c>
      <c r="G745" s="13" t="n">
        <v>50</v>
      </c>
      <c r="H745" s="9" t="s">
        <v>30</v>
      </c>
      <c r="I745" s="13" t="n">
        <v>2</v>
      </c>
      <c r="J745" s="1" t="str">
        <f aca="false">IF(A745="","", "SAMP-"&amp;A745&amp;"-L"&amp;TEXT(B745,"00")&amp;"-"&amp;TEXT(C745,"yyyymmdd")&amp;"-"&amp;D745&amp;"-H"&amp;TEXT(E745,"00")&amp;"-"&amp;H745)</f>
        <v>SAMP-KG01-L22-20251102-ORD-2025-00201-H23-Overpress</v>
      </c>
      <c r="K745" s="1" t="str">
        <f aca="false">IF(A745="","",IF(AND(G745&gt;=0,I745&gt;=0,I745&lt;=G745),"OK","CHECK"))</f>
        <v>OK</v>
      </c>
      <c r="L745" s="1" t="str">
        <f aca="false">IF(A745="","",IF(AND(E745&gt;=0,E745&lt;=23),"OK","CHECK"))</f>
        <v>OK</v>
      </c>
      <c r="M745" s="1" t="str">
        <f aca="false">IF(A745="","",IF(AND(K745="OK",L745="OK"),"OK","CHECK"))</f>
        <v>OK</v>
      </c>
    </row>
    <row r="746" customFormat="false" ht="18" hidden="false" customHeight="true" outlineLevel="0" collapsed="false">
      <c r="A746" s="9" t="s">
        <v>26</v>
      </c>
      <c r="B746" s="9" t="n">
        <v>22</v>
      </c>
      <c r="C746" s="11" t="n">
        <v>45963</v>
      </c>
      <c r="D746" s="9" t="s">
        <v>90</v>
      </c>
      <c r="E746" s="12" t="n">
        <v>20</v>
      </c>
      <c r="F746" s="9" t="s">
        <v>31</v>
      </c>
      <c r="G746" s="13" t="n">
        <v>200</v>
      </c>
      <c r="H746" s="9" t="s">
        <v>36</v>
      </c>
      <c r="I746" s="13" t="n">
        <v>4</v>
      </c>
      <c r="J746" s="1" t="str">
        <f aca="false">IF(A746="","", "SAMP-"&amp;A746&amp;"-L"&amp;TEXT(B746,"00")&amp;"-"&amp;TEXT(C746,"yyyymmdd")&amp;"-"&amp;D746&amp;"-H"&amp;TEXT(E746,"00")&amp;"-"&amp;H746)</f>
        <v>SAMP-KG01-L22-20251102-ORD-2025-00201-H20-Blister</v>
      </c>
      <c r="K746" s="1" t="str">
        <f aca="false">IF(A746="","",IF(AND(G746&gt;=0,I746&gt;=0,I746&lt;=G746),"OK","CHECK"))</f>
        <v>OK</v>
      </c>
      <c r="L746" s="1" t="str">
        <f aca="false">IF(A746="","",IF(AND(E746&gt;=0,E746&lt;=23),"OK","CHECK"))</f>
        <v>OK</v>
      </c>
      <c r="M746" s="1" t="str">
        <f aca="false">IF(A746="","",IF(AND(K746="OK",L746="OK"),"OK","CHECK"))</f>
        <v>OK</v>
      </c>
    </row>
    <row r="747" customFormat="false" ht="18" hidden="false" customHeight="true" outlineLevel="0" collapsed="false">
      <c r="A747" s="9" t="s">
        <v>26</v>
      </c>
      <c r="B747" s="9" t="n">
        <v>22</v>
      </c>
      <c r="C747" s="11" t="n">
        <v>45964</v>
      </c>
      <c r="D747" s="9" t="s">
        <v>91</v>
      </c>
      <c r="E747" s="12" t="n">
        <v>9</v>
      </c>
      <c r="F747" s="9" t="s">
        <v>28</v>
      </c>
      <c r="G747" s="13" t="n">
        <v>50</v>
      </c>
      <c r="H747" s="9" t="s">
        <v>34</v>
      </c>
      <c r="I747" s="13" t="n">
        <v>1</v>
      </c>
      <c r="J747" s="1" t="str">
        <f aca="false">IF(A747="","", "SAMP-"&amp;A747&amp;"-L"&amp;TEXT(B747,"00")&amp;"-"&amp;TEXT(C747,"yyyymmdd")&amp;"-"&amp;D747&amp;"-H"&amp;TEXT(E747,"00")&amp;"-"&amp;H747)</f>
        <v>SAMP-KG01-L22-20251103-ORD-2025-00202-H09-Thin Wall</v>
      </c>
      <c r="K747" s="1" t="str">
        <f aca="false">IF(A747="","",IF(AND(G747&gt;=0,I747&gt;=0,I747&lt;=G747),"OK","CHECK"))</f>
        <v>OK</v>
      </c>
      <c r="L747" s="1" t="str">
        <f aca="false">IF(A747="","",IF(AND(E747&gt;=0,E747&lt;=23),"OK","CHECK"))</f>
        <v>OK</v>
      </c>
      <c r="M747" s="1" t="str">
        <f aca="false">IF(A747="","",IF(AND(K747="OK",L747="OK"),"OK","CHECK"))</f>
        <v>OK</v>
      </c>
    </row>
    <row r="748" customFormat="false" ht="18" hidden="false" customHeight="true" outlineLevel="0" collapsed="false">
      <c r="A748" s="9" t="s">
        <v>26</v>
      </c>
      <c r="B748" s="9" t="n">
        <v>22</v>
      </c>
      <c r="C748" s="11" t="n">
        <v>45964</v>
      </c>
      <c r="D748" s="9" t="s">
        <v>91</v>
      </c>
      <c r="E748" s="12" t="n">
        <v>12</v>
      </c>
      <c r="F748" s="9" t="s">
        <v>28</v>
      </c>
      <c r="G748" s="13" t="n">
        <v>50</v>
      </c>
      <c r="H748" s="9" t="s">
        <v>36</v>
      </c>
      <c r="I748" s="13" t="n">
        <v>0</v>
      </c>
      <c r="J748" s="1" t="str">
        <f aca="false">IF(A748="","", "SAMP-"&amp;A748&amp;"-L"&amp;TEXT(B748,"00")&amp;"-"&amp;TEXT(C748,"yyyymmdd")&amp;"-"&amp;D748&amp;"-H"&amp;TEXT(E748,"00")&amp;"-"&amp;H748)</f>
        <v>SAMP-KG01-L22-20251103-ORD-2025-00202-H12-Blister</v>
      </c>
      <c r="K748" s="1" t="str">
        <f aca="false">IF(A748="","",IF(AND(G748&gt;=0,I748&gt;=0,I748&lt;=G748),"OK","CHECK"))</f>
        <v>OK</v>
      </c>
      <c r="L748" s="1" t="str">
        <f aca="false">IF(A748="","",IF(AND(E748&gt;=0,E748&lt;=23),"OK","CHECK"))</f>
        <v>OK</v>
      </c>
      <c r="M748" s="1" t="str">
        <f aca="false">IF(A748="","",IF(AND(K748="OK",L748="OK"),"OK","CHECK"))</f>
        <v>OK</v>
      </c>
    </row>
    <row r="749" customFormat="false" ht="18" hidden="false" customHeight="true" outlineLevel="0" collapsed="false">
      <c r="A749" s="9" t="s">
        <v>26</v>
      </c>
      <c r="B749" s="9" t="n">
        <v>22</v>
      </c>
      <c r="C749" s="11" t="n">
        <v>45964</v>
      </c>
      <c r="D749" s="9" t="s">
        <v>91</v>
      </c>
      <c r="E749" s="12" t="n">
        <v>7</v>
      </c>
      <c r="F749" s="9" t="s">
        <v>28</v>
      </c>
      <c r="G749" s="13" t="n">
        <v>50</v>
      </c>
      <c r="H749" s="9" t="s">
        <v>34</v>
      </c>
      <c r="I749" s="13" t="n">
        <v>0</v>
      </c>
      <c r="J749" s="1" t="str">
        <f aca="false">IF(A749="","", "SAMP-"&amp;A749&amp;"-L"&amp;TEXT(B749,"00")&amp;"-"&amp;TEXT(C749,"yyyymmdd")&amp;"-"&amp;D749&amp;"-H"&amp;TEXT(E749,"00")&amp;"-"&amp;H749)</f>
        <v>SAMP-KG01-L22-20251103-ORD-2025-00202-H07-Thin Wall</v>
      </c>
      <c r="K749" s="1" t="str">
        <f aca="false">IF(A749="","",IF(AND(G749&gt;=0,I749&gt;=0,I749&lt;=G749),"OK","CHECK"))</f>
        <v>OK</v>
      </c>
      <c r="L749" s="1" t="str">
        <f aca="false">IF(A749="","",IF(AND(E749&gt;=0,E749&lt;=23),"OK","CHECK"))</f>
        <v>OK</v>
      </c>
      <c r="M749" s="1" t="str">
        <f aca="false">IF(A749="","",IF(AND(K749="OK",L749="OK"),"OK","CHECK"))</f>
        <v>OK</v>
      </c>
    </row>
    <row r="750" customFormat="false" ht="18" hidden="false" customHeight="true" outlineLevel="0" collapsed="false">
      <c r="A750" s="9" t="s">
        <v>26</v>
      </c>
      <c r="B750" s="9" t="n">
        <v>22</v>
      </c>
      <c r="C750" s="11" t="n">
        <v>45964</v>
      </c>
      <c r="D750" s="9" t="s">
        <v>91</v>
      </c>
      <c r="E750" s="12" t="n">
        <v>20</v>
      </c>
      <c r="F750" s="9" t="s">
        <v>31</v>
      </c>
      <c r="G750" s="13" t="n">
        <v>150</v>
      </c>
      <c r="H750" s="9" t="s">
        <v>33</v>
      </c>
      <c r="I750" s="13" t="n">
        <v>0</v>
      </c>
      <c r="J750" s="1" t="str">
        <f aca="false">IF(A750="","", "SAMP-"&amp;A750&amp;"-L"&amp;TEXT(B750,"00")&amp;"-"&amp;TEXT(C750,"yyyymmdd")&amp;"-"&amp;D750&amp;"-H"&amp;TEXT(E750,"00")&amp;"-"&amp;H750)</f>
        <v>SAMP-KG01-L22-20251103-ORD-2025-00202-H20-Distortion</v>
      </c>
      <c r="K750" s="1" t="str">
        <f aca="false">IF(A750="","",IF(AND(G750&gt;=0,I750&gt;=0,I750&lt;=G750),"OK","CHECK"))</f>
        <v>OK</v>
      </c>
      <c r="L750" s="1" t="str">
        <f aca="false">IF(A750="","",IF(AND(E750&gt;=0,E750&lt;=23),"OK","CHECK"))</f>
        <v>OK</v>
      </c>
      <c r="M750" s="1" t="str">
        <f aca="false">IF(A750="","",IF(AND(K750="OK",L750="OK"),"OK","CHECK"))</f>
        <v>OK</v>
      </c>
    </row>
    <row r="751" customFormat="false" ht="18" hidden="false" customHeight="true" outlineLevel="0" collapsed="false">
      <c r="A751" s="9" t="s">
        <v>26</v>
      </c>
      <c r="B751" s="9" t="n">
        <v>22</v>
      </c>
      <c r="C751" s="11" t="n">
        <v>45964</v>
      </c>
      <c r="D751" s="9" t="s">
        <v>91</v>
      </c>
      <c r="E751" s="12" t="n">
        <v>23</v>
      </c>
      <c r="F751" s="9" t="s">
        <v>31</v>
      </c>
      <c r="G751" s="13" t="n">
        <v>100</v>
      </c>
      <c r="H751" s="9" t="s">
        <v>33</v>
      </c>
      <c r="I751" s="13" t="n">
        <v>4</v>
      </c>
      <c r="J751" s="1" t="str">
        <f aca="false">IF(A751="","", "SAMP-"&amp;A751&amp;"-L"&amp;TEXT(B751,"00")&amp;"-"&amp;TEXT(C751,"yyyymmdd")&amp;"-"&amp;D751&amp;"-H"&amp;TEXT(E751,"00")&amp;"-"&amp;H751)</f>
        <v>SAMP-KG01-L22-20251103-ORD-2025-00202-H23-Distortion</v>
      </c>
      <c r="K751" s="1" t="str">
        <f aca="false">IF(A751="","",IF(AND(G751&gt;=0,I751&gt;=0,I751&lt;=G751),"OK","CHECK"))</f>
        <v>OK</v>
      </c>
      <c r="L751" s="1" t="str">
        <f aca="false">IF(A751="","",IF(AND(E751&gt;=0,E751&lt;=23),"OK","CHECK"))</f>
        <v>OK</v>
      </c>
      <c r="M751" s="1" t="str">
        <f aca="false">IF(A751="","",IF(AND(K751="OK",L751="OK"),"OK","CHECK"))</f>
        <v>OK</v>
      </c>
    </row>
    <row r="752" customFormat="false" ht="18" hidden="false" customHeight="true" outlineLevel="0" collapsed="false">
      <c r="A752" s="9" t="s">
        <v>26</v>
      </c>
      <c r="B752" s="9" t="n">
        <v>22</v>
      </c>
      <c r="C752" s="11" t="n">
        <v>45965</v>
      </c>
      <c r="D752" s="9" t="s">
        <v>91</v>
      </c>
      <c r="E752" s="12" t="n">
        <v>9</v>
      </c>
      <c r="F752" s="9" t="s">
        <v>28</v>
      </c>
      <c r="G752" s="13" t="n">
        <v>150</v>
      </c>
      <c r="H752" s="9" t="s">
        <v>36</v>
      </c>
      <c r="I752" s="13" t="n">
        <v>5</v>
      </c>
      <c r="J752" s="1" t="str">
        <f aca="false">IF(A752="","", "SAMP-"&amp;A752&amp;"-L"&amp;TEXT(B752,"00")&amp;"-"&amp;TEXT(C752,"yyyymmdd")&amp;"-"&amp;D752&amp;"-H"&amp;TEXT(E752,"00")&amp;"-"&amp;H752)</f>
        <v>SAMP-KG01-L22-20251104-ORD-2025-00202-H09-Blister</v>
      </c>
      <c r="K752" s="1" t="str">
        <f aca="false">IF(A752="","",IF(AND(G752&gt;=0,I752&gt;=0,I752&lt;=G752),"OK","CHECK"))</f>
        <v>OK</v>
      </c>
      <c r="L752" s="1" t="str">
        <f aca="false">IF(A752="","",IF(AND(E752&gt;=0,E752&lt;=23),"OK","CHECK"))</f>
        <v>OK</v>
      </c>
      <c r="M752" s="1" t="str">
        <f aca="false">IF(A752="","",IF(AND(K752="OK",L752="OK"),"OK","CHECK"))</f>
        <v>OK</v>
      </c>
    </row>
    <row r="753" customFormat="false" ht="18" hidden="false" customHeight="true" outlineLevel="0" collapsed="false">
      <c r="A753" s="9" t="s">
        <v>26</v>
      </c>
      <c r="B753" s="9" t="n">
        <v>22</v>
      </c>
      <c r="C753" s="11" t="n">
        <v>45965</v>
      </c>
      <c r="D753" s="9" t="s">
        <v>91</v>
      </c>
      <c r="E753" s="12" t="n">
        <v>7</v>
      </c>
      <c r="F753" s="9" t="s">
        <v>28</v>
      </c>
      <c r="G753" s="13" t="n">
        <v>100</v>
      </c>
      <c r="H753" s="9" t="s">
        <v>37</v>
      </c>
      <c r="I753" s="13" t="n">
        <v>3</v>
      </c>
      <c r="J753" s="1" t="str">
        <f aca="false">IF(A753="","", "SAMP-"&amp;A753&amp;"-L"&amp;TEXT(B753,"00")&amp;"-"&amp;TEXT(C753,"yyyymmdd")&amp;"-"&amp;D753&amp;"-H"&amp;TEXT(E753,"00")&amp;"-"&amp;H753)</f>
        <v>SAMP-KG01-L22-20251104-ORD-2025-00202-H07-Bird Swing</v>
      </c>
      <c r="K753" s="1" t="str">
        <f aca="false">IF(A753="","",IF(AND(G753&gt;=0,I753&gt;=0,I753&lt;=G753),"OK","CHECK"))</f>
        <v>OK</v>
      </c>
      <c r="L753" s="1" t="str">
        <f aca="false">IF(A753="","",IF(AND(E753&gt;=0,E753&lt;=23),"OK","CHECK"))</f>
        <v>OK</v>
      </c>
      <c r="M753" s="1" t="str">
        <f aca="false">IF(A753="","",IF(AND(K753="OK",L753="OK"),"OK","CHECK"))</f>
        <v>OK</v>
      </c>
    </row>
    <row r="754" customFormat="false" ht="18" hidden="false" customHeight="true" outlineLevel="0" collapsed="false">
      <c r="A754" s="9" t="s">
        <v>26</v>
      </c>
      <c r="B754" s="9" t="n">
        <v>22</v>
      </c>
      <c r="C754" s="11" t="n">
        <v>45965</v>
      </c>
      <c r="D754" s="9" t="s">
        <v>91</v>
      </c>
      <c r="E754" s="12" t="n">
        <v>12</v>
      </c>
      <c r="F754" s="9" t="s">
        <v>28</v>
      </c>
      <c r="G754" s="13" t="n">
        <v>100</v>
      </c>
      <c r="H754" s="9" t="s">
        <v>33</v>
      </c>
      <c r="I754" s="13" t="n">
        <v>3</v>
      </c>
      <c r="J754" s="1" t="str">
        <f aca="false">IF(A754="","", "SAMP-"&amp;A754&amp;"-L"&amp;TEXT(B754,"00")&amp;"-"&amp;TEXT(C754,"yyyymmdd")&amp;"-"&amp;D754&amp;"-H"&amp;TEXT(E754,"00")&amp;"-"&amp;H754)</f>
        <v>SAMP-KG01-L22-20251104-ORD-2025-00202-H12-Distortion</v>
      </c>
      <c r="K754" s="1" t="str">
        <f aca="false">IF(A754="","",IF(AND(G754&gt;=0,I754&gt;=0,I754&lt;=G754),"OK","CHECK"))</f>
        <v>OK</v>
      </c>
      <c r="L754" s="1" t="str">
        <f aca="false">IF(A754="","",IF(AND(E754&gt;=0,E754&lt;=23),"OK","CHECK"))</f>
        <v>OK</v>
      </c>
      <c r="M754" s="1" t="str">
        <f aca="false">IF(A754="","",IF(AND(K754="OK",L754="OK"),"OK","CHECK"))</f>
        <v>OK</v>
      </c>
    </row>
    <row r="755" customFormat="false" ht="18" hidden="false" customHeight="true" outlineLevel="0" collapsed="false">
      <c r="A755" s="9" t="s">
        <v>26</v>
      </c>
      <c r="B755" s="9" t="n">
        <v>22</v>
      </c>
      <c r="C755" s="11" t="n">
        <v>45965</v>
      </c>
      <c r="D755" s="9" t="s">
        <v>91</v>
      </c>
      <c r="E755" s="12" t="n">
        <v>16</v>
      </c>
      <c r="F755" s="9" t="s">
        <v>31</v>
      </c>
      <c r="G755" s="13" t="n">
        <v>150</v>
      </c>
      <c r="H755" s="9" t="s">
        <v>35</v>
      </c>
      <c r="I755" s="13" t="n">
        <v>2</v>
      </c>
      <c r="J755" s="1" t="str">
        <f aca="false">IF(A755="","", "SAMP-"&amp;A755&amp;"-L"&amp;TEXT(B755,"00")&amp;"-"&amp;TEXT(C755,"yyyymmdd")&amp;"-"&amp;D755&amp;"-H"&amp;TEXT(E755,"00")&amp;"-"&amp;H755)</f>
        <v>SAMP-KG01-L22-20251104-ORD-2025-00202-H16-Stone</v>
      </c>
      <c r="K755" s="1" t="str">
        <f aca="false">IF(A755="","",IF(AND(G755&gt;=0,I755&gt;=0,I755&lt;=G755),"OK","CHECK"))</f>
        <v>OK</v>
      </c>
      <c r="L755" s="1" t="str">
        <f aca="false">IF(A755="","",IF(AND(E755&gt;=0,E755&lt;=23),"OK","CHECK"))</f>
        <v>OK</v>
      </c>
      <c r="M755" s="1" t="str">
        <f aca="false">IF(A755="","",IF(AND(K755="OK",L755="OK"),"OK","CHECK"))</f>
        <v>OK</v>
      </c>
    </row>
    <row r="756" customFormat="false" ht="18" hidden="false" customHeight="true" outlineLevel="0" collapsed="false">
      <c r="A756" s="9" t="s">
        <v>26</v>
      </c>
      <c r="B756" s="9" t="n">
        <v>22</v>
      </c>
      <c r="C756" s="11" t="n">
        <v>45965</v>
      </c>
      <c r="D756" s="9" t="s">
        <v>91</v>
      </c>
      <c r="E756" s="12" t="n">
        <v>23</v>
      </c>
      <c r="F756" s="9" t="s">
        <v>31</v>
      </c>
      <c r="G756" s="13" t="n">
        <v>200</v>
      </c>
      <c r="H756" s="9" t="s">
        <v>34</v>
      </c>
      <c r="I756" s="13" t="n">
        <v>6</v>
      </c>
      <c r="J756" s="1" t="str">
        <f aca="false">IF(A756="","", "SAMP-"&amp;A756&amp;"-L"&amp;TEXT(B756,"00")&amp;"-"&amp;TEXT(C756,"yyyymmdd")&amp;"-"&amp;D756&amp;"-H"&amp;TEXT(E756,"00")&amp;"-"&amp;H756)</f>
        <v>SAMP-KG01-L22-20251104-ORD-2025-00202-H23-Thin Wall</v>
      </c>
      <c r="K756" s="1" t="str">
        <f aca="false">IF(A756="","",IF(AND(G756&gt;=0,I756&gt;=0,I756&lt;=G756),"OK","CHECK"))</f>
        <v>OK</v>
      </c>
      <c r="L756" s="1" t="str">
        <f aca="false">IF(A756="","",IF(AND(E756&gt;=0,E756&lt;=23),"OK","CHECK"))</f>
        <v>OK</v>
      </c>
      <c r="M756" s="1" t="str">
        <f aca="false">IF(A756="","",IF(AND(K756="OK",L756="OK"),"OK","CHECK"))</f>
        <v>OK</v>
      </c>
    </row>
    <row r="757" customFormat="false" ht="18" hidden="false" customHeight="true" outlineLevel="0" collapsed="false">
      <c r="A757" s="9" t="s">
        <v>26</v>
      </c>
      <c r="B757" s="9" t="n">
        <v>22</v>
      </c>
      <c r="C757" s="11" t="n">
        <v>45966</v>
      </c>
      <c r="D757" s="9" t="s">
        <v>91</v>
      </c>
      <c r="E757" s="12" t="n">
        <v>7</v>
      </c>
      <c r="F757" s="9" t="s">
        <v>28</v>
      </c>
      <c r="G757" s="13" t="n">
        <v>200</v>
      </c>
      <c r="H757" s="9" t="s">
        <v>37</v>
      </c>
      <c r="I757" s="13" t="n">
        <v>2</v>
      </c>
      <c r="J757" s="1" t="str">
        <f aca="false">IF(A757="","", "SAMP-"&amp;A757&amp;"-L"&amp;TEXT(B757,"00")&amp;"-"&amp;TEXT(C757,"yyyymmdd")&amp;"-"&amp;D757&amp;"-H"&amp;TEXT(E757,"00")&amp;"-"&amp;H757)</f>
        <v>SAMP-KG01-L22-20251105-ORD-2025-00202-H07-Bird Swing</v>
      </c>
      <c r="K757" s="1" t="str">
        <f aca="false">IF(A757="","",IF(AND(G757&gt;=0,I757&gt;=0,I757&lt;=G757),"OK","CHECK"))</f>
        <v>OK</v>
      </c>
      <c r="L757" s="1" t="str">
        <f aca="false">IF(A757="","",IF(AND(E757&gt;=0,E757&lt;=23),"OK","CHECK"))</f>
        <v>OK</v>
      </c>
      <c r="M757" s="1" t="str">
        <f aca="false">IF(A757="","",IF(AND(K757="OK",L757="OK"),"OK","CHECK"))</f>
        <v>OK</v>
      </c>
    </row>
    <row r="758" customFormat="false" ht="18" hidden="false" customHeight="true" outlineLevel="0" collapsed="false">
      <c r="A758" s="9" t="s">
        <v>26</v>
      </c>
      <c r="B758" s="9" t="n">
        <v>22</v>
      </c>
      <c r="C758" s="11" t="n">
        <v>45966</v>
      </c>
      <c r="D758" s="9" t="s">
        <v>91</v>
      </c>
      <c r="E758" s="12" t="n">
        <v>12</v>
      </c>
      <c r="F758" s="9" t="s">
        <v>28</v>
      </c>
      <c r="G758" s="13" t="n">
        <v>150</v>
      </c>
      <c r="H758" s="9" t="s">
        <v>41</v>
      </c>
      <c r="I758" s="13" t="n">
        <v>3</v>
      </c>
      <c r="J758" s="1" t="str">
        <f aca="false">IF(A758="","", "SAMP-"&amp;A758&amp;"-L"&amp;TEXT(B758,"00")&amp;"-"&amp;TEXT(C758,"yyyymmdd")&amp;"-"&amp;D758&amp;"-H"&amp;TEXT(E758,"00")&amp;"-"&amp;H758)</f>
        <v>SAMP-KG01-L22-20251105-ORD-2025-00202-H12-Chip</v>
      </c>
      <c r="K758" s="1" t="str">
        <f aca="false">IF(A758="","",IF(AND(G758&gt;=0,I758&gt;=0,I758&lt;=G758),"OK","CHECK"))</f>
        <v>OK</v>
      </c>
      <c r="L758" s="1" t="str">
        <f aca="false">IF(A758="","",IF(AND(E758&gt;=0,E758&lt;=23),"OK","CHECK"))</f>
        <v>OK</v>
      </c>
      <c r="M758" s="1" t="str">
        <f aca="false">IF(A758="","",IF(AND(K758="OK",L758="OK"),"OK","CHECK"))</f>
        <v>OK</v>
      </c>
    </row>
    <row r="759" customFormat="false" ht="18" hidden="false" customHeight="true" outlineLevel="0" collapsed="false">
      <c r="A759" s="9" t="s">
        <v>26</v>
      </c>
      <c r="B759" s="9" t="n">
        <v>22</v>
      </c>
      <c r="C759" s="11" t="n">
        <v>45966</v>
      </c>
      <c r="D759" s="9" t="s">
        <v>91</v>
      </c>
      <c r="E759" s="12" t="n">
        <v>16</v>
      </c>
      <c r="F759" s="9" t="s">
        <v>31</v>
      </c>
      <c r="G759" s="13" t="n">
        <v>50</v>
      </c>
      <c r="H759" s="9" t="s">
        <v>36</v>
      </c>
      <c r="I759" s="13" t="n">
        <v>1</v>
      </c>
      <c r="J759" s="1" t="str">
        <f aca="false">IF(A759="","", "SAMP-"&amp;A759&amp;"-L"&amp;TEXT(B759,"00")&amp;"-"&amp;TEXT(C759,"yyyymmdd")&amp;"-"&amp;D759&amp;"-H"&amp;TEXT(E759,"00")&amp;"-"&amp;H759)</f>
        <v>SAMP-KG01-L22-20251105-ORD-2025-00202-H16-Blister</v>
      </c>
      <c r="K759" s="1" t="str">
        <f aca="false">IF(A759="","",IF(AND(G759&gt;=0,I759&gt;=0,I759&lt;=G759),"OK","CHECK"))</f>
        <v>OK</v>
      </c>
      <c r="L759" s="1" t="str">
        <f aca="false">IF(A759="","",IF(AND(E759&gt;=0,E759&lt;=23),"OK","CHECK"))</f>
        <v>OK</v>
      </c>
      <c r="M759" s="1" t="str">
        <f aca="false">IF(A759="","",IF(AND(K759="OK",L759="OK"),"OK","CHECK"))</f>
        <v>OK</v>
      </c>
    </row>
    <row r="760" customFormat="false" ht="18" hidden="false" customHeight="true" outlineLevel="0" collapsed="false">
      <c r="A760" s="9" t="s">
        <v>26</v>
      </c>
      <c r="B760" s="9" t="n">
        <v>22</v>
      </c>
      <c r="C760" s="11" t="n">
        <v>45966</v>
      </c>
      <c r="D760" s="9" t="s">
        <v>91</v>
      </c>
      <c r="E760" s="12" t="n">
        <v>20</v>
      </c>
      <c r="F760" s="9" t="s">
        <v>31</v>
      </c>
      <c r="G760" s="13" t="n">
        <v>150</v>
      </c>
      <c r="H760" s="9" t="s">
        <v>37</v>
      </c>
      <c r="I760" s="13" t="n">
        <v>4</v>
      </c>
      <c r="J760" s="1" t="str">
        <f aca="false">IF(A760="","", "SAMP-"&amp;A760&amp;"-L"&amp;TEXT(B760,"00")&amp;"-"&amp;TEXT(C760,"yyyymmdd")&amp;"-"&amp;D760&amp;"-H"&amp;TEXT(E760,"00")&amp;"-"&amp;H760)</f>
        <v>SAMP-KG01-L22-20251105-ORD-2025-00202-H20-Bird Swing</v>
      </c>
      <c r="K760" s="1" t="str">
        <f aca="false">IF(A760="","",IF(AND(G760&gt;=0,I760&gt;=0,I760&lt;=G760),"OK","CHECK"))</f>
        <v>OK</v>
      </c>
      <c r="L760" s="1" t="str">
        <f aca="false">IF(A760="","",IF(AND(E760&gt;=0,E760&lt;=23),"OK","CHECK"))</f>
        <v>OK</v>
      </c>
      <c r="M760" s="1" t="str">
        <f aca="false">IF(A760="","",IF(AND(K760="OK",L760="OK"),"OK","CHECK"))</f>
        <v>OK</v>
      </c>
    </row>
    <row r="761" customFormat="false" ht="18" hidden="false" customHeight="true" outlineLevel="0" collapsed="false">
      <c r="A761" s="9" t="s">
        <v>26</v>
      </c>
      <c r="B761" s="9" t="n">
        <v>22</v>
      </c>
      <c r="C761" s="11" t="n">
        <v>45966</v>
      </c>
      <c r="D761" s="9" t="s">
        <v>91</v>
      </c>
      <c r="E761" s="12" t="n">
        <v>23</v>
      </c>
      <c r="F761" s="9" t="s">
        <v>31</v>
      </c>
      <c r="G761" s="13" t="n">
        <v>150</v>
      </c>
      <c r="H761" s="9" t="s">
        <v>41</v>
      </c>
      <c r="I761" s="13" t="n">
        <v>1</v>
      </c>
      <c r="J761" s="1" t="str">
        <f aca="false">IF(A761="","", "SAMP-"&amp;A761&amp;"-L"&amp;TEXT(B761,"00")&amp;"-"&amp;TEXT(C761,"yyyymmdd")&amp;"-"&amp;D761&amp;"-H"&amp;TEXT(E761,"00")&amp;"-"&amp;H761)</f>
        <v>SAMP-KG01-L22-20251105-ORD-2025-00202-H23-Chip</v>
      </c>
      <c r="K761" s="1" t="str">
        <f aca="false">IF(A761="","",IF(AND(G761&gt;=0,I761&gt;=0,I761&lt;=G761),"OK","CHECK"))</f>
        <v>OK</v>
      </c>
      <c r="L761" s="1" t="str">
        <f aca="false">IF(A761="","",IF(AND(E761&gt;=0,E761&lt;=23),"OK","CHECK"))</f>
        <v>OK</v>
      </c>
      <c r="M761" s="1" t="str">
        <f aca="false">IF(A761="","",IF(AND(K761="OK",L761="OK"),"OK","CHECK"))</f>
        <v>OK</v>
      </c>
    </row>
    <row r="762" customFormat="false" ht="18" hidden="false" customHeight="true" outlineLevel="0" collapsed="false">
      <c r="A762" s="9" t="s">
        <v>26</v>
      </c>
      <c r="B762" s="9" t="n">
        <v>22</v>
      </c>
      <c r="C762" s="11" t="n">
        <v>45967</v>
      </c>
      <c r="D762" s="9" t="s">
        <v>91</v>
      </c>
      <c r="E762" s="12" t="n">
        <v>7</v>
      </c>
      <c r="F762" s="9" t="s">
        <v>28</v>
      </c>
      <c r="G762" s="13" t="n">
        <v>50</v>
      </c>
      <c r="H762" s="9" t="s">
        <v>41</v>
      </c>
      <c r="I762" s="13" t="n">
        <v>0</v>
      </c>
      <c r="J762" s="1" t="str">
        <f aca="false">IF(A762="","", "SAMP-"&amp;A762&amp;"-L"&amp;TEXT(B762,"00")&amp;"-"&amp;TEXT(C762,"yyyymmdd")&amp;"-"&amp;D762&amp;"-H"&amp;TEXT(E762,"00")&amp;"-"&amp;H762)</f>
        <v>SAMP-KG01-L22-20251106-ORD-2025-00202-H07-Chip</v>
      </c>
      <c r="K762" s="1" t="str">
        <f aca="false">IF(A762="","",IF(AND(G762&gt;=0,I762&gt;=0,I762&lt;=G762),"OK","CHECK"))</f>
        <v>OK</v>
      </c>
      <c r="L762" s="1" t="str">
        <f aca="false">IF(A762="","",IF(AND(E762&gt;=0,E762&lt;=23),"OK","CHECK"))</f>
        <v>OK</v>
      </c>
      <c r="M762" s="1" t="str">
        <f aca="false">IF(A762="","",IF(AND(K762="OK",L762="OK"),"OK","CHECK"))</f>
        <v>OK</v>
      </c>
    </row>
    <row r="763" customFormat="false" ht="18" hidden="false" customHeight="true" outlineLevel="0" collapsed="false">
      <c r="A763" s="9" t="s">
        <v>26</v>
      </c>
      <c r="B763" s="9" t="n">
        <v>22</v>
      </c>
      <c r="C763" s="11" t="n">
        <v>45967</v>
      </c>
      <c r="D763" s="9" t="s">
        <v>91</v>
      </c>
      <c r="E763" s="12" t="n">
        <v>12</v>
      </c>
      <c r="F763" s="9" t="s">
        <v>28</v>
      </c>
      <c r="G763" s="13" t="n">
        <v>50</v>
      </c>
      <c r="H763" s="9" t="s">
        <v>36</v>
      </c>
      <c r="I763" s="13" t="n">
        <v>3</v>
      </c>
      <c r="J763" s="1" t="str">
        <f aca="false">IF(A763="","", "SAMP-"&amp;A763&amp;"-L"&amp;TEXT(B763,"00")&amp;"-"&amp;TEXT(C763,"yyyymmdd")&amp;"-"&amp;D763&amp;"-H"&amp;TEXT(E763,"00")&amp;"-"&amp;H763)</f>
        <v>SAMP-KG01-L22-20251106-ORD-2025-00202-H12-Blister</v>
      </c>
      <c r="K763" s="1" t="str">
        <f aca="false">IF(A763="","",IF(AND(G763&gt;=0,I763&gt;=0,I763&lt;=G763),"OK","CHECK"))</f>
        <v>OK</v>
      </c>
      <c r="L763" s="1" t="str">
        <f aca="false">IF(A763="","",IF(AND(E763&gt;=0,E763&lt;=23),"OK","CHECK"))</f>
        <v>OK</v>
      </c>
      <c r="M763" s="1" t="str">
        <f aca="false">IF(A763="","",IF(AND(K763="OK",L763="OK"),"OK","CHECK"))</f>
        <v>OK</v>
      </c>
    </row>
    <row r="764" customFormat="false" ht="18" hidden="false" customHeight="true" outlineLevel="0" collapsed="false">
      <c r="A764" s="9" t="s">
        <v>26</v>
      </c>
      <c r="B764" s="9" t="n">
        <v>22</v>
      </c>
      <c r="C764" s="11" t="n">
        <v>45967</v>
      </c>
      <c r="D764" s="9" t="s">
        <v>91</v>
      </c>
      <c r="E764" s="12" t="n">
        <v>9</v>
      </c>
      <c r="F764" s="9" t="s">
        <v>28</v>
      </c>
      <c r="G764" s="13" t="n">
        <v>200</v>
      </c>
      <c r="H764" s="9" t="s">
        <v>29</v>
      </c>
      <c r="I764" s="13" t="n">
        <v>11</v>
      </c>
      <c r="J764" s="1" t="str">
        <f aca="false">IF(A764="","", "SAMP-"&amp;A764&amp;"-L"&amp;TEXT(B764,"00")&amp;"-"&amp;TEXT(C764,"yyyymmdd")&amp;"-"&amp;D764&amp;"-H"&amp;TEXT(E764,"00")&amp;"-"&amp;H764)</f>
        <v>SAMP-KG01-L22-20251106-ORD-2025-00202-H09-Choke Neck</v>
      </c>
      <c r="K764" s="1" t="str">
        <f aca="false">IF(A764="","",IF(AND(G764&gt;=0,I764&gt;=0,I764&lt;=G764),"OK","CHECK"))</f>
        <v>OK</v>
      </c>
      <c r="L764" s="1" t="str">
        <f aca="false">IF(A764="","",IF(AND(E764&gt;=0,E764&lt;=23),"OK","CHECK"))</f>
        <v>OK</v>
      </c>
      <c r="M764" s="1" t="str">
        <f aca="false">IF(A764="","",IF(AND(K764="OK",L764="OK"),"OK","CHECK"))</f>
        <v>OK</v>
      </c>
    </row>
    <row r="765" customFormat="false" ht="18" hidden="false" customHeight="true" outlineLevel="0" collapsed="false">
      <c r="A765" s="9" t="s">
        <v>26</v>
      </c>
      <c r="B765" s="9" t="n">
        <v>22</v>
      </c>
      <c r="C765" s="11" t="n">
        <v>45967</v>
      </c>
      <c r="D765" s="9" t="s">
        <v>91</v>
      </c>
      <c r="E765" s="12" t="n">
        <v>23</v>
      </c>
      <c r="F765" s="9" t="s">
        <v>31</v>
      </c>
      <c r="G765" s="13" t="n">
        <v>200</v>
      </c>
      <c r="H765" s="9" t="s">
        <v>29</v>
      </c>
      <c r="I765" s="13" t="n">
        <v>0</v>
      </c>
      <c r="J765" s="1" t="str">
        <f aca="false">IF(A765="","", "SAMP-"&amp;A765&amp;"-L"&amp;TEXT(B765,"00")&amp;"-"&amp;TEXT(C765,"yyyymmdd")&amp;"-"&amp;D765&amp;"-H"&amp;TEXT(E765,"00")&amp;"-"&amp;H765)</f>
        <v>SAMP-KG01-L22-20251106-ORD-2025-00202-H23-Choke Neck</v>
      </c>
      <c r="K765" s="1" t="str">
        <f aca="false">IF(A765="","",IF(AND(G765&gt;=0,I765&gt;=0,I765&lt;=G765),"OK","CHECK"))</f>
        <v>OK</v>
      </c>
      <c r="L765" s="1" t="str">
        <f aca="false">IF(A765="","",IF(AND(E765&gt;=0,E765&lt;=23),"OK","CHECK"))</f>
        <v>OK</v>
      </c>
      <c r="M765" s="1" t="str">
        <f aca="false">IF(A765="","",IF(AND(K765="OK",L765="OK"),"OK","CHECK"))</f>
        <v>OK</v>
      </c>
    </row>
    <row r="766" customFormat="false" ht="18" hidden="false" customHeight="true" outlineLevel="0" collapsed="false">
      <c r="A766" s="9" t="s">
        <v>26</v>
      </c>
      <c r="B766" s="9" t="n">
        <v>22</v>
      </c>
      <c r="C766" s="11" t="n">
        <v>45967</v>
      </c>
      <c r="D766" s="9" t="s">
        <v>91</v>
      </c>
      <c r="E766" s="12" t="n">
        <v>20</v>
      </c>
      <c r="F766" s="9" t="s">
        <v>31</v>
      </c>
      <c r="G766" s="13" t="n">
        <v>200</v>
      </c>
      <c r="H766" s="9" t="s">
        <v>29</v>
      </c>
      <c r="I766" s="13" t="n">
        <v>3</v>
      </c>
      <c r="J766" s="1" t="str">
        <f aca="false">IF(A766="","", "SAMP-"&amp;A766&amp;"-L"&amp;TEXT(B766,"00")&amp;"-"&amp;TEXT(C766,"yyyymmdd")&amp;"-"&amp;D766&amp;"-H"&amp;TEXT(E766,"00")&amp;"-"&amp;H766)</f>
        <v>SAMP-KG01-L22-20251106-ORD-2025-00202-H20-Choke Neck</v>
      </c>
      <c r="K766" s="1" t="str">
        <f aca="false">IF(A766="","",IF(AND(G766&gt;=0,I766&gt;=0,I766&lt;=G766),"OK","CHECK"))</f>
        <v>OK</v>
      </c>
      <c r="L766" s="1" t="str">
        <f aca="false">IF(A766="","",IF(AND(E766&gt;=0,E766&lt;=23),"OK","CHECK"))</f>
        <v>OK</v>
      </c>
      <c r="M766" s="1" t="str">
        <f aca="false">IF(A766="","",IF(AND(K766="OK",L766="OK"),"OK","CHECK"))</f>
        <v>OK</v>
      </c>
    </row>
    <row r="767" customFormat="false" ht="18" hidden="false" customHeight="true" outlineLevel="0" collapsed="false">
      <c r="A767" s="9" t="s">
        <v>26</v>
      </c>
      <c r="B767" s="9" t="n">
        <v>22</v>
      </c>
      <c r="C767" s="11" t="n">
        <v>45967</v>
      </c>
      <c r="D767" s="9" t="s">
        <v>91</v>
      </c>
      <c r="E767" s="12" t="n">
        <v>16</v>
      </c>
      <c r="F767" s="9" t="s">
        <v>31</v>
      </c>
      <c r="G767" s="13" t="n">
        <v>200</v>
      </c>
      <c r="H767" s="9" t="s">
        <v>30</v>
      </c>
      <c r="I767" s="13" t="n">
        <v>3</v>
      </c>
      <c r="J767" s="1" t="str">
        <f aca="false">IF(A767="","", "SAMP-"&amp;A767&amp;"-L"&amp;TEXT(B767,"00")&amp;"-"&amp;TEXT(C767,"yyyymmdd")&amp;"-"&amp;D767&amp;"-H"&amp;TEXT(E767,"00")&amp;"-"&amp;H767)</f>
        <v>SAMP-KG01-L22-20251106-ORD-2025-00202-H16-Overpress</v>
      </c>
      <c r="K767" s="1" t="str">
        <f aca="false">IF(A767="","",IF(AND(G767&gt;=0,I767&gt;=0,I767&lt;=G767),"OK","CHECK"))</f>
        <v>OK</v>
      </c>
      <c r="L767" s="1" t="str">
        <f aca="false">IF(A767="","",IF(AND(E767&gt;=0,E767&lt;=23),"OK","CHECK"))</f>
        <v>OK</v>
      </c>
      <c r="M767" s="1" t="str">
        <f aca="false">IF(A767="","",IF(AND(K767="OK",L767="OK"),"OK","CHECK"))</f>
        <v>OK</v>
      </c>
    </row>
    <row r="768" customFormat="false" ht="18" hidden="false" customHeight="true" outlineLevel="0" collapsed="false">
      <c r="A768" s="9" t="s">
        <v>26</v>
      </c>
      <c r="B768" s="9" t="n">
        <v>22</v>
      </c>
      <c r="C768" s="11" t="n">
        <v>45968</v>
      </c>
      <c r="D768" s="9" t="s">
        <v>91</v>
      </c>
      <c r="E768" s="12" t="n">
        <v>7</v>
      </c>
      <c r="F768" s="9" t="s">
        <v>28</v>
      </c>
      <c r="G768" s="13" t="n">
        <v>150</v>
      </c>
      <c r="H768" s="9" t="s">
        <v>34</v>
      </c>
      <c r="I768" s="13" t="n">
        <v>3</v>
      </c>
      <c r="J768" s="1" t="str">
        <f aca="false">IF(A768="","", "SAMP-"&amp;A768&amp;"-L"&amp;TEXT(B768,"00")&amp;"-"&amp;TEXT(C768,"yyyymmdd")&amp;"-"&amp;D768&amp;"-H"&amp;TEXT(E768,"00")&amp;"-"&amp;H768)</f>
        <v>SAMP-KG01-L22-20251107-ORD-2025-00202-H07-Thin Wall</v>
      </c>
      <c r="K768" s="1" t="str">
        <f aca="false">IF(A768="","",IF(AND(G768&gt;=0,I768&gt;=0,I768&lt;=G768),"OK","CHECK"))</f>
        <v>OK</v>
      </c>
      <c r="L768" s="1" t="str">
        <f aca="false">IF(A768="","",IF(AND(E768&gt;=0,E768&lt;=23),"OK","CHECK"))</f>
        <v>OK</v>
      </c>
      <c r="M768" s="1" t="str">
        <f aca="false">IF(A768="","",IF(AND(K768="OK",L768="OK"),"OK","CHECK"))</f>
        <v>OK</v>
      </c>
    </row>
    <row r="769" customFormat="false" ht="18" hidden="false" customHeight="true" outlineLevel="0" collapsed="false">
      <c r="A769" s="9" t="s">
        <v>26</v>
      </c>
      <c r="B769" s="9" t="n">
        <v>22</v>
      </c>
      <c r="C769" s="11" t="n">
        <v>45968</v>
      </c>
      <c r="D769" s="9" t="s">
        <v>91</v>
      </c>
      <c r="E769" s="12" t="n">
        <v>9</v>
      </c>
      <c r="F769" s="9" t="s">
        <v>28</v>
      </c>
      <c r="G769" s="13" t="n">
        <v>100</v>
      </c>
      <c r="H769" s="9" t="s">
        <v>34</v>
      </c>
      <c r="I769" s="13" t="n">
        <v>4</v>
      </c>
      <c r="J769" s="1" t="str">
        <f aca="false">IF(A769="","", "SAMP-"&amp;A769&amp;"-L"&amp;TEXT(B769,"00")&amp;"-"&amp;TEXT(C769,"yyyymmdd")&amp;"-"&amp;D769&amp;"-H"&amp;TEXT(E769,"00")&amp;"-"&amp;H769)</f>
        <v>SAMP-KG01-L22-20251107-ORD-2025-00202-H09-Thin Wall</v>
      </c>
      <c r="K769" s="1" t="str">
        <f aca="false">IF(A769="","",IF(AND(G769&gt;=0,I769&gt;=0,I769&lt;=G769),"OK","CHECK"))</f>
        <v>OK</v>
      </c>
      <c r="L769" s="1" t="str">
        <f aca="false">IF(A769="","",IF(AND(E769&gt;=0,E769&lt;=23),"OK","CHECK"))</f>
        <v>OK</v>
      </c>
      <c r="M769" s="1" t="str">
        <f aca="false">IF(A769="","",IF(AND(K769="OK",L769="OK"),"OK","CHECK"))</f>
        <v>OK</v>
      </c>
    </row>
    <row r="770" customFormat="false" ht="18" hidden="false" customHeight="true" outlineLevel="0" collapsed="false">
      <c r="A770" s="9" t="s">
        <v>26</v>
      </c>
      <c r="B770" s="9" t="n">
        <v>22</v>
      </c>
      <c r="C770" s="11" t="n">
        <v>45968</v>
      </c>
      <c r="D770" s="9" t="s">
        <v>91</v>
      </c>
      <c r="E770" s="12" t="n">
        <v>23</v>
      </c>
      <c r="F770" s="9" t="s">
        <v>31</v>
      </c>
      <c r="G770" s="13" t="n">
        <v>50</v>
      </c>
      <c r="H770" s="9" t="s">
        <v>34</v>
      </c>
      <c r="I770" s="13" t="n">
        <v>1</v>
      </c>
      <c r="J770" s="1" t="str">
        <f aca="false">IF(A770="","", "SAMP-"&amp;A770&amp;"-L"&amp;TEXT(B770,"00")&amp;"-"&amp;TEXT(C770,"yyyymmdd")&amp;"-"&amp;D770&amp;"-H"&amp;TEXT(E770,"00")&amp;"-"&amp;H770)</f>
        <v>SAMP-KG01-L22-20251107-ORD-2025-00202-H23-Thin Wall</v>
      </c>
      <c r="K770" s="1" t="str">
        <f aca="false">IF(A770="","",IF(AND(G770&gt;=0,I770&gt;=0,I770&lt;=G770),"OK","CHECK"))</f>
        <v>OK</v>
      </c>
      <c r="L770" s="1" t="str">
        <f aca="false">IF(A770="","",IF(AND(E770&gt;=0,E770&lt;=23),"OK","CHECK"))</f>
        <v>OK</v>
      </c>
      <c r="M770" s="1" t="str">
        <f aca="false">IF(A770="","",IF(AND(K770="OK",L770="OK"),"OK","CHECK"))</f>
        <v>OK</v>
      </c>
    </row>
    <row r="771" customFormat="false" ht="18" hidden="false" customHeight="true" outlineLevel="0" collapsed="false">
      <c r="A771" s="9" t="s">
        <v>26</v>
      </c>
      <c r="B771" s="9" t="n">
        <v>22</v>
      </c>
      <c r="C771" s="11" t="n">
        <v>45968</v>
      </c>
      <c r="D771" s="9" t="s">
        <v>91</v>
      </c>
      <c r="E771" s="12" t="n">
        <v>16</v>
      </c>
      <c r="F771" s="9" t="s">
        <v>31</v>
      </c>
      <c r="G771" s="13" t="n">
        <v>100</v>
      </c>
      <c r="H771" s="9" t="s">
        <v>41</v>
      </c>
      <c r="I771" s="13" t="n">
        <v>5</v>
      </c>
      <c r="J771" s="1" t="str">
        <f aca="false">IF(A771="","", "SAMP-"&amp;A771&amp;"-L"&amp;TEXT(B771,"00")&amp;"-"&amp;TEXT(C771,"yyyymmdd")&amp;"-"&amp;D771&amp;"-H"&amp;TEXT(E771,"00")&amp;"-"&amp;H771)</f>
        <v>SAMP-KG01-L22-20251107-ORD-2025-00202-H16-Chip</v>
      </c>
      <c r="K771" s="1" t="str">
        <f aca="false">IF(A771="","",IF(AND(G771&gt;=0,I771&gt;=0,I771&lt;=G771),"OK","CHECK"))</f>
        <v>OK</v>
      </c>
      <c r="L771" s="1" t="str">
        <f aca="false">IF(A771="","",IF(AND(E771&gt;=0,E771&lt;=23),"OK","CHECK"))</f>
        <v>OK</v>
      </c>
      <c r="M771" s="1" t="str">
        <f aca="false">IF(A771="","",IF(AND(K771="OK",L771="OK"),"OK","CHECK"))</f>
        <v>OK</v>
      </c>
    </row>
    <row r="772" customFormat="false" ht="18" hidden="false" customHeight="true" outlineLevel="0" collapsed="false">
      <c r="A772" s="9" t="s">
        <v>26</v>
      </c>
      <c r="B772" s="9" t="n">
        <v>22</v>
      </c>
      <c r="C772" s="11" t="n">
        <v>45969</v>
      </c>
      <c r="D772" s="9" t="s">
        <v>92</v>
      </c>
      <c r="E772" s="12" t="n">
        <v>9</v>
      </c>
      <c r="F772" s="9" t="s">
        <v>28</v>
      </c>
      <c r="G772" s="13" t="n">
        <v>200</v>
      </c>
      <c r="H772" s="9" t="s">
        <v>29</v>
      </c>
      <c r="I772" s="13" t="n">
        <v>9</v>
      </c>
      <c r="J772" s="1" t="str">
        <f aca="false">IF(A772="","", "SAMP-"&amp;A772&amp;"-L"&amp;TEXT(B772,"00")&amp;"-"&amp;TEXT(C772,"yyyymmdd")&amp;"-"&amp;D772&amp;"-H"&amp;TEXT(E772,"00")&amp;"-"&amp;H772)</f>
        <v>SAMP-KG01-L22-20251108-ORD-2025-00203-H09-Choke Neck</v>
      </c>
      <c r="K772" s="1" t="str">
        <f aca="false">IF(A772="","",IF(AND(G772&gt;=0,I772&gt;=0,I772&lt;=G772),"OK","CHECK"))</f>
        <v>OK</v>
      </c>
      <c r="L772" s="1" t="str">
        <f aca="false">IF(A772="","",IF(AND(E772&gt;=0,E772&lt;=23),"OK","CHECK"))</f>
        <v>OK</v>
      </c>
      <c r="M772" s="1" t="str">
        <f aca="false">IF(A772="","",IF(AND(K772="OK",L772="OK"),"OK","CHECK"))</f>
        <v>OK</v>
      </c>
    </row>
    <row r="773" customFormat="false" ht="18" hidden="false" customHeight="true" outlineLevel="0" collapsed="false">
      <c r="A773" s="9" t="s">
        <v>26</v>
      </c>
      <c r="B773" s="9" t="n">
        <v>22</v>
      </c>
      <c r="C773" s="11" t="n">
        <v>45969</v>
      </c>
      <c r="D773" s="9" t="s">
        <v>92</v>
      </c>
      <c r="E773" s="12" t="n">
        <v>7</v>
      </c>
      <c r="F773" s="9" t="s">
        <v>28</v>
      </c>
      <c r="G773" s="13" t="n">
        <v>100</v>
      </c>
      <c r="H773" s="9" t="s">
        <v>30</v>
      </c>
      <c r="I773" s="13" t="n">
        <v>1</v>
      </c>
      <c r="J773" s="1" t="str">
        <f aca="false">IF(A773="","", "SAMP-"&amp;A773&amp;"-L"&amp;TEXT(B773,"00")&amp;"-"&amp;TEXT(C773,"yyyymmdd")&amp;"-"&amp;D773&amp;"-H"&amp;TEXT(E773,"00")&amp;"-"&amp;H773)</f>
        <v>SAMP-KG01-L22-20251108-ORD-2025-00203-H07-Overpress</v>
      </c>
      <c r="K773" s="1" t="str">
        <f aca="false">IF(A773="","",IF(AND(G773&gt;=0,I773&gt;=0,I773&lt;=G773),"OK","CHECK"))</f>
        <v>OK</v>
      </c>
      <c r="L773" s="1" t="str">
        <f aca="false">IF(A773="","",IF(AND(E773&gt;=0,E773&lt;=23),"OK","CHECK"))</f>
        <v>OK</v>
      </c>
      <c r="M773" s="1" t="str">
        <f aca="false">IF(A773="","",IF(AND(K773="OK",L773="OK"),"OK","CHECK"))</f>
        <v>OK</v>
      </c>
    </row>
    <row r="774" customFormat="false" ht="18" hidden="false" customHeight="true" outlineLevel="0" collapsed="false">
      <c r="A774" s="9" t="s">
        <v>26</v>
      </c>
      <c r="B774" s="9" t="n">
        <v>22</v>
      </c>
      <c r="C774" s="11" t="n">
        <v>45969</v>
      </c>
      <c r="D774" s="9" t="s">
        <v>92</v>
      </c>
      <c r="E774" s="12" t="n">
        <v>12</v>
      </c>
      <c r="F774" s="9" t="s">
        <v>28</v>
      </c>
      <c r="G774" s="13" t="n">
        <v>100</v>
      </c>
      <c r="H774" s="9" t="s">
        <v>33</v>
      </c>
      <c r="I774" s="13" t="n">
        <v>3</v>
      </c>
      <c r="J774" s="1" t="str">
        <f aca="false">IF(A774="","", "SAMP-"&amp;A774&amp;"-L"&amp;TEXT(B774,"00")&amp;"-"&amp;TEXT(C774,"yyyymmdd")&amp;"-"&amp;D774&amp;"-H"&amp;TEXT(E774,"00")&amp;"-"&amp;H774)</f>
        <v>SAMP-KG01-L22-20251108-ORD-2025-00203-H12-Distortion</v>
      </c>
      <c r="K774" s="1" t="str">
        <f aca="false">IF(A774="","",IF(AND(G774&gt;=0,I774&gt;=0,I774&lt;=G774),"OK","CHECK"))</f>
        <v>OK</v>
      </c>
      <c r="L774" s="1" t="str">
        <f aca="false">IF(A774="","",IF(AND(E774&gt;=0,E774&lt;=23),"OK","CHECK"))</f>
        <v>OK</v>
      </c>
      <c r="M774" s="1" t="str">
        <f aca="false">IF(A774="","",IF(AND(K774="OK",L774="OK"),"OK","CHECK"))</f>
        <v>OK</v>
      </c>
    </row>
    <row r="775" customFormat="false" ht="18" hidden="false" customHeight="true" outlineLevel="0" collapsed="false">
      <c r="A775" s="9" t="s">
        <v>26</v>
      </c>
      <c r="B775" s="9" t="n">
        <v>22</v>
      </c>
      <c r="C775" s="11" t="n">
        <v>45969</v>
      </c>
      <c r="D775" s="9" t="s">
        <v>92</v>
      </c>
      <c r="E775" s="12" t="n">
        <v>23</v>
      </c>
      <c r="F775" s="9" t="s">
        <v>31</v>
      </c>
      <c r="G775" s="13" t="n">
        <v>150</v>
      </c>
      <c r="H775" s="9" t="s">
        <v>34</v>
      </c>
      <c r="I775" s="13" t="n">
        <v>0</v>
      </c>
      <c r="J775" s="1" t="str">
        <f aca="false">IF(A775="","", "SAMP-"&amp;A775&amp;"-L"&amp;TEXT(B775,"00")&amp;"-"&amp;TEXT(C775,"yyyymmdd")&amp;"-"&amp;D775&amp;"-H"&amp;TEXT(E775,"00")&amp;"-"&amp;H775)</f>
        <v>SAMP-KG01-L22-20251108-ORD-2025-00203-H23-Thin Wall</v>
      </c>
      <c r="K775" s="1" t="str">
        <f aca="false">IF(A775="","",IF(AND(G775&gt;=0,I775&gt;=0,I775&lt;=G775),"OK","CHECK"))</f>
        <v>OK</v>
      </c>
      <c r="L775" s="1" t="str">
        <f aca="false">IF(A775="","",IF(AND(E775&gt;=0,E775&lt;=23),"OK","CHECK"))</f>
        <v>OK</v>
      </c>
      <c r="M775" s="1" t="str">
        <f aca="false">IF(A775="","",IF(AND(K775="OK",L775="OK"),"OK","CHECK"))</f>
        <v>OK</v>
      </c>
    </row>
    <row r="776" customFormat="false" ht="18" hidden="false" customHeight="true" outlineLevel="0" collapsed="false">
      <c r="A776" s="9" t="s">
        <v>26</v>
      </c>
      <c r="B776" s="9" t="n">
        <v>22</v>
      </c>
      <c r="C776" s="11" t="n">
        <v>45969</v>
      </c>
      <c r="D776" s="9" t="s">
        <v>92</v>
      </c>
      <c r="E776" s="12" t="n">
        <v>20</v>
      </c>
      <c r="F776" s="9" t="s">
        <v>31</v>
      </c>
      <c r="G776" s="13" t="n">
        <v>50</v>
      </c>
      <c r="H776" s="9" t="s">
        <v>29</v>
      </c>
      <c r="I776" s="13" t="n">
        <v>1</v>
      </c>
      <c r="J776" s="1" t="str">
        <f aca="false">IF(A776="","", "SAMP-"&amp;A776&amp;"-L"&amp;TEXT(B776,"00")&amp;"-"&amp;TEXT(C776,"yyyymmdd")&amp;"-"&amp;D776&amp;"-H"&amp;TEXT(E776,"00")&amp;"-"&amp;H776)</f>
        <v>SAMP-KG01-L22-20251108-ORD-2025-00203-H20-Choke Neck</v>
      </c>
      <c r="K776" s="1" t="str">
        <f aca="false">IF(A776="","",IF(AND(G776&gt;=0,I776&gt;=0,I776&lt;=G776),"OK","CHECK"))</f>
        <v>OK</v>
      </c>
      <c r="L776" s="1" t="str">
        <f aca="false">IF(A776="","",IF(AND(E776&gt;=0,E776&lt;=23),"OK","CHECK"))</f>
        <v>OK</v>
      </c>
      <c r="M776" s="1" t="str">
        <f aca="false">IF(A776="","",IF(AND(K776="OK",L776="OK"),"OK","CHECK"))</f>
        <v>OK</v>
      </c>
    </row>
    <row r="777" customFormat="false" ht="18" hidden="false" customHeight="true" outlineLevel="0" collapsed="false">
      <c r="A777" s="9" t="s">
        <v>26</v>
      </c>
      <c r="B777" s="9" t="n">
        <v>22</v>
      </c>
      <c r="C777" s="11" t="n">
        <v>45969</v>
      </c>
      <c r="D777" s="9" t="s">
        <v>92</v>
      </c>
      <c r="E777" s="12" t="n">
        <v>16</v>
      </c>
      <c r="F777" s="9" t="s">
        <v>31</v>
      </c>
      <c r="G777" s="13" t="n">
        <v>200</v>
      </c>
      <c r="H777" s="9" t="s">
        <v>37</v>
      </c>
      <c r="I777" s="13" t="n">
        <v>6</v>
      </c>
      <c r="J777" s="1" t="str">
        <f aca="false">IF(A777="","", "SAMP-"&amp;A777&amp;"-L"&amp;TEXT(B777,"00")&amp;"-"&amp;TEXT(C777,"yyyymmdd")&amp;"-"&amp;D777&amp;"-H"&amp;TEXT(E777,"00")&amp;"-"&amp;H777)</f>
        <v>SAMP-KG01-L22-20251108-ORD-2025-00203-H16-Bird Swing</v>
      </c>
      <c r="K777" s="1" t="str">
        <f aca="false">IF(A777="","",IF(AND(G777&gt;=0,I777&gt;=0,I777&lt;=G777),"OK","CHECK"))</f>
        <v>OK</v>
      </c>
      <c r="L777" s="1" t="str">
        <f aca="false">IF(A777="","",IF(AND(E777&gt;=0,E777&lt;=23),"OK","CHECK"))</f>
        <v>OK</v>
      </c>
      <c r="M777" s="1" t="str">
        <f aca="false">IF(A777="","",IF(AND(K777="OK",L777="OK"),"OK","CHECK"))</f>
        <v>OK</v>
      </c>
    </row>
    <row r="778" customFormat="false" ht="18" hidden="false" customHeight="true" outlineLevel="0" collapsed="false">
      <c r="A778" s="9" t="s">
        <v>26</v>
      </c>
      <c r="B778" s="9" t="n">
        <v>22</v>
      </c>
      <c r="C778" s="11" t="n">
        <v>45970</v>
      </c>
      <c r="D778" s="9" t="s">
        <v>92</v>
      </c>
      <c r="E778" s="12" t="n">
        <v>9</v>
      </c>
      <c r="F778" s="9" t="s">
        <v>28</v>
      </c>
      <c r="G778" s="13" t="n">
        <v>50</v>
      </c>
      <c r="H778" s="9" t="s">
        <v>36</v>
      </c>
      <c r="I778" s="13" t="n">
        <v>1</v>
      </c>
      <c r="J778" s="1" t="str">
        <f aca="false">IF(A778="","", "SAMP-"&amp;A778&amp;"-L"&amp;TEXT(B778,"00")&amp;"-"&amp;TEXT(C778,"yyyymmdd")&amp;"-"&amp;D778&amp;"-H"&amp;TEXT(E778,"00")&amp;"-"&amp;H778)</f>
        <v>SAMP-KG01-L22-20251109-ORD-2025-00203-H09-Blister</v>
      </c>
      <c r="K778" s="1" t="str">
        <f aca="false">IF(A778="","",IF(AND(G778&gt;=0,I778&gt;=0,I778&lt;=G778),"OK","CHECK"))</f>
        <v>OK</v>
      </c>
      <c r="L778" s="1" t="str">
        <f aca="false">IF(A778="","",IF(AND(E778&gt;=0,E778&lt;=23),"OK","CHECK"))</f>
        <v>OK</v>
      </c>
      <c r="M778" s="1" t="str">
        <f aca="false">IF(A778="","",IF(AND(K778="OK",L778="OK"),"OK","CHECK"))</f>
        <v>OK</v>
      </c>
    </row>
    <row r="779" customFormat="false" ht="18" hidden="false" customHeight="true" outlineLevel="0" collapsed="false">
      <c r="A779" s="9" t="s">
        <v>26</v>
      </c>
      <c r="B779" s="9" t="n">
        <v>22</v>
      </c>
      <c r="C779" s="11" t="n">
        <v>45970</v>
      </c>
      <c r="D779" s="9" t="s">
        <v>92</v>
      </c>
      <c r="E779" s="12" t="n">
        <v>7</v>
      </c>
      <c r="F779" s="9" t="s">
        <v>28</v>
      </c>
      <c r="G779" s="13" t="n">
        <v>200</v>
      </c>
      <c r="H779" s="9" t="s">
        <v>36</v>
      </c>
      <c r="I779" s="13" t="n">
        <v>5</v>
      </c>
      <c r="J779" s="1" t="str">
        <f aca="false">IF(A779="","", "SAMP-"&amp;A779&amp;"-L"&amp;TEXT(B779,"00")&amp;"-"&amp;TEXT(C779,"yyyymmdd")&amp;"-"&amp;D779&amp;"-H"&amp;TEXT(E779,"00")&amp;"-"&amp;H779)</f>
        <v>SAMP-KG01-L22-20251109-ORD-2025-00203-H07-Blister</v>
      </c>
      <c r="K779" s="1" t="str">
        <f aca="false">IF(A779="","",IF(AND(G779&gt;=0,I779&gt;=0,I779&lt;=G779),"OK","CHECK"))</f>
        <v>OK</v>
      </c>
      <c r="L779" s="1" t="str">
        <f aca="false">IF(A779="","",IF(AND(E779&gt;=0,E779&lt;=23),"OK","CHECK"))</f>
        <v>OK</v>
      </c>
      <c r="M779" s="1" t="str">
        <f aca="false">IF(A779="","",IF(AND(K779="OK",L779="OK"),"OK","CHECK"))</f>
        <v>OK</v>
      </c>
    </row>
    <row r="780" customFormat="false" ht="18" hidden="false" customHeight="true" outlineLevel="0" collapsed="false">
      <c r="A780" s="9" t="s">
        <v>26</v>
      </c>
      <c r="B780" s="9" t="n">
        <v>22</v>
      </c>
      <c r="C780" s="11" t="n">
        <v>45970</v>
      </c>
      <c r="D780" s="9" t="s">
        <v>92</v>
      </c>
      <c r="E780" s="12" t="n">
        <v>12</v>
      </c>
      <c r="F780" s="9" t="s">
        <v>28</v>
      </c>
      <c r="G780" s="13" t="n">
        <v>50</v>
      </c>
      <c r="H780" s="9" t="s">
        <v>37</v>
      </c>
      <c r="I780" s="13" t="n">
        <v>1</v>
      </c>
      <c r="J780" s="1" t="str">
        <f aca="false">IF(A780="","", "SAMP-"&amp;A780&amp;"-L"&amp;TEXT(B780,"00")&amp;"-"&amp;TEXT(C780,"yyyymmdd")&amp;"-"&amp;D780&amp;"-H"&amp;TEXT(E780,"00")&amp;"-"&amp;H780)</f>
        <v>SAMP-KG01-L22-20251109-ORD-2025-00203-H12-Bird Swing</v>
      </c>
      <c r="K780" s="1" t="str">
        <f aca="false">IF(A780="","",IF(AND(G780&gt;=0,I780&gt;=0,I780&lt;=G780),"OK","CHECK"))</f>
        <v>OK</v>
      </c>
      <c r="L780" s="1" t="str">
        <f aca="false">IF(A780="","",IF(AND(E780&gt;=0,E780&lt;=23),"OK","CHECK"))</f>
        <v>OK</v>
      </c>
      <c r="M780" s="1" t="str">
        <f aca="false">IF(A780="","",IF(AND(K780="OK",L780="OK"),"OK","CHECK"))</f>
        <v>OK</v>
      </c>
    </row>
    <row r="781" customFormat="false" ht="18" hidden="false" customHeight="true" outlineLevel="0" collapsed="false">
      <c r="A781" s="9" t="s">
        <v>26</v>
      </c>
      <c r="B781" s="9" t="n">
        <v>22</v>
      </c>
      <c r="C781" s="11" t="n">
        <v>45970</v>
      </c>
      <c r="D781" s="9" t="s">
        <v>92</v>
      </c>
      <c r="E781" s="12" t="n">
        <v>16</v>
      </c>
      <c r="F781" s="9" t="s">
        <v>31</v>
      </c>
      <c r="G781" s="13" t="n">
        <v>50</v>
      </c>
      <c r="H781" s="9" t="s">
        <v>38</v>
      </c>
      <c r="I781" s="13" t="n">
        <v>1</v>
      </c>
      <c r="J781" s="1" t="str">
        <f aca="false">IF(A781="","", "SAMP-"&amp;A781&amp;"-L"&amp;TEXT(B781,"00")&amp;"-"&amp;TEXT(C781,"yyyymmdd")&amp;"-"&amp;D781&amp;"-H"&amp;TEXT(E781,"00")&amp;"-"&amp;H781)</f>
        <v>SAMP-KG01-L22-20251109-ORD-2025-00203-H16-Crack</v>
      </c>
      <c r="K781" s="1" t="str">
        <f aca="false">IF(A781="","",IF(AND(G781&gt;=0,I781&gt;=0,I781&lt;=G781),"OK","CHECK"))</f>
        <v>OK</v>
      </c>
      <c r="L781" s="1" t="str">
        <f aca="false">IF(A781="","",IF(AND(E781&gt;=0,E781&lt;=23),"OK","CHECK"))</f>
        <v>OK</v>
      </c>
      <c r="M781" s="1" t="str">
        <f aca="false">IF(A781="","",IF(AND(K781="OK",L781="OK"),"OK","CHECK"))</f>
        <v>OK</v>
      </c>
    </row>
    <row r="782" customFormat="false" ht="18" hidden="false" customHeight="true" outlineLevel="0" collapsed="false">
      <c r="A782" s="9" t="s">
        <v>26</v>
      </c>
      <c r="B782" s="9" t="n">
        <v>22</v>
      </c>
      <c r="C782" s="11" t="n">
        <v>45970</v>
      </c>
      <c r="D782" s="9" t="s">
        <v>92</v>
      </c>
      <c r="E782" s="12" t="n">
        <v>23</v>
      </c>
      <c r="F782" s="9" t="s">
        <v>31</v>
      </c>
      <c r="G782" s="13" t="n">
        <v>200</v>
      </c>
      <c r="H782" s="9" t="s">
        <v>33</v>
      </c>
      <c r="I782" s="13" t="n">
        <v>5</v>
      </c>
      <c r="J782" s="1" t="str">
        <f aca="false">IF(A782="","", "SAMP-"&amp;A782&amp;"-L"&amp;TEXT(B782,"00")&amp;"-"&amp;TEXT(C782,"yyyymmdd")&amp;"-"&amp;D782&amp;"-H"&amp;TEXT(E782,"00")&amp;"-"&amp;H782)</f>
        <v>SAMP-KG01-L22-20251109-ORD-2025-00203-H23-Distortion</v>
      </c>
      <c r="K782" s="1" t="str">
        <f aca="false">IF(A782="","",IF(AND(G782&gt;=0,I782&gt;=0,I782&lt;=G782),"OK","CHECK"))</f>
        <v>OK</v>
      </c>
      <c r="L782" s="1" t="str">
        <f aca="false">IF(A782="","",IF(AND(E782&gt;=0,E782&lt;=23),"OK","CHECK"))</f>
        <v>OK</v>
      </c>
      <c r="M782" s="1" t="str">
        <f aca="false">IF(A782="","",IF(AND(K782="OK",L782="OK"),"OK","CHECK"))</f>
        <v>OK</v>
      </c>
    </row>
    <row r="783" customFormat="false" ht="18" hidden="false" customHeight="true" outlineLevel="0" collapsed="false">
      <c r="A783" s="9" t="s">
        <v>26</v>
      </c>
      <c r="B783" s="9" t="n">
        <v>22</v>
      </c>
      <c r="C783" s="11" t="n">
        <v>45970</v>
      </c>
      <c r="D783" s="9" t="s">
        <v>92</v>
      </c>
      <c r="E783" s="12" t="n">
        <v>20</v>
      </c>
      <c r="F783" s="9" t="s">
        <v>31</v>
      </c>
      <c r="G783" s="13" t="n">
        <v>200</v>
      </c>
      <c r="H783" s="9" t="s">
        <v>34</v>
      </c>
      <c r="I783" s="13" t="n">
        <v>0</v>
      </c>
      <c r="J783" s="1" t="str">
        <f aca="false">IF(A783="","", "SAMP-"&amp;A783&amp;"-L"&amp;TEXT(B783,"00")&amp;"-"&amp;TEXT(C783,"yyyymmdd")&amp;"-"&amp;D783&amp;"-H"&amp;TEXT(E783,"00")&amp;"-"&amp;H783)</f>
        <v>SAMP-KG01-L22-20251109-ORD-2025-00203-H20-Thin Wall</v>
      </c>
      <c r="K783" s="1" t="str">
        <f aca="false">IF(A783="","",IF(AND(G783&gt;=0,I783&gt;=0,I783&lt;=G783),"OK","CHECK"))</f>
        <v>OK</v>
      </c>
      <c r="L783" s="1" t="str">
        <f aca="false">IF(A783="","",IF(AND(E783&gt;=0,E783&lt;=23),"OK","CHECK"))</f>
        <v>OK</v>
      </c>
      <c r="M783" s="1" t="str">
        <f aca="false">IF(A783="","",IF(AND(K783="OK",L783="OK"),"OK","CHECK"))</f>
        <v>OK</v>
      </c>
    </row>
    <row r="784" customFormat="false" ht="18" hidden="false" customHeight="true" outlineLevel="0" collapsed="false">
      <c r="A784" s="9" t="s">
        <v>26</v>
      </c>
      <c r="B784" s="9" t="n">
        <v>22</v>
      </c>
      <c r="C784" s="11" t="n">
        <v>45971</v>
      </c>
      <c r="D784" s="9" t="s">
        <v>92</v>
      </c>
      <c r="E784" s="12" t="n">
        <v>12</v>
      </c>
      <c r="F784" s="9" t="s">
        <v>28</v>
      </c>
      <c r="G784" s="13" t="n">
        <v>50</v>
      </c>
      <c r="H784" s="9" t="s">
        <v>29</v>
      </c>
      <c r="I784" s="13" t="n">
        <v>0</v>
      </c>
      <c r="J784" s="1" t="str">
        <f aca="false">IF(A784="","", "SAMP-"&amp;A784&amp;"-L"&amp;TEXT(B784,"00")&amp;"-"&amp;TEXT(C784,"yyyymmdd")&amp;"-"&amp;D784&amp;"-H"&amp;TEXT(E784,"00")&amp;"-"&amp;H784)</f>
        <v>SAMP-KG01-L22-20251110-ORD-2025-00203-H12-Choke Neck</v>
      </c>
      <c r="K784" s="1" t="str">
        <f aca="false">IF(A784="","",IF(AND(G784&gt;=0,I784&gt;=0,I784&lt;=G784),"OK","CHECK"))</f>
        <v>OK</v>
      </c>
      <c r="L784" s="1" t="str">
        <f aca="false">IF(A784="","",IF(AND(E784&gt;=0,E784&lt;=23),"OK","CHECK"))</f>
        <v>OK</v>
      </c>
      <c r="M784" s="1" t="str">
        <f aca="false">IF(A784="","",IF(AND(K784="OK",L784="OK"),"OK","CHECK"))</f>
        <v>OK</v>
      </c>
    </row>
    <row r="785" customFormat="false" ht="18" hidden="false" customHeight="true" outlineLevel="0" collapsed="false">
      <c r="A785" s="9" t="s">
        <v>26</v>
      </c>
      <c r="B785" s="9" t="n">
        <v>22</v>
      </c>
      <c r="C785" s="11" t="n">
        <v>45971</v>
      </c>
      <c r="D785" s="9" t="s">
        <v>92</v>
      </c>
      <c r="E785" s="12" t="n">
        <v>7</v>
      </c>
      <c r="F785" s="9" t="s">
        <v>28</v>
      </c>
      <c r="G785" s="13" t="n">
        <v>50</v>
      </c>
      <c r="H785" s="9" t="s">
        <v>41</v>
      </c>
      <c r="I785" s="13" t="n">
        <v>1</v>
      </c>
      <c r="J785" s="1" t="str">
        <f aca="false">IF(A785="","", "SAMP-"&amp;A785&amp;"-L"&amp;TEXT(B785,"00")&amp;"-"&amp;TEXT(C785,"yyyymmdd")&amp;"-"&amp;D785&amp;"-H"&amp;TEXT(E785,"00")&amp;"-"&amp;H785)</f>
        <v>SAMP-KG01-L22-20251110-ORD-2025-00203-H07-Chip</v>
      </c>
      <c r="K785" s="1" t="str">
        <f aca="false">IF(A785="","",IF(AND(G785&gt;=0,I785&gt;=0,I785&lt;=G785),"OK","CHECK"))</f>
        <v>OK</v>
      </c>
      <c r="L785" s="1" t="str">
        <f aca="false">IF(A785="","",IF(AND(E785&gt;=0,E785&lt;=23),"OK","CHECK"))</f>
        <v>OK</v>
      </c>
      <c r="M785" s="1" t="str">
        <f aca="false">IF(A785="","",IF(AND(K785="OK",L785="OK"),"OK","CHECK"))</f>
        <v>OK</v>
      </c>
    </row>
    <row r="786" customFormat="false" ht="18" hidden="false" customHeight="true" outlineLevel="0" collapsed="false">
      <c r="A786" s="9" t="s">
        <v>26</v>
      </c>
      <c r="B786" s="9" t="n">
        <v>22</v>
      </c>
      <c r="C786" s="11" t="n">
        <v>45971</v>
      </c>
      <c r="D786" s="9" t="s">
        <v>92</v>
      </c>
      <c r="E786" s="12" t="n">
        <v>9</v>
      </c>
      <c r="F786" s="9" t="s">
        <v>28</v>
      </c>
      <c r="G786" s="13" t="n">
        <v>150</v>
      </c>
      <c r="H786" s="9" t="s">
        <v>41</v>
      </c>
      <c r="I786" s="13" t="n">
        <v>3</v>
      </c>
      <c r="J786" s="1" t="str">
        <f aca="false">IF(A786="","", "SAMP-"&amp;A786&amp;"-L"&amp;TEXT(B786,"00")&amp;"-"&amp;TEXT(C786,"yyyymmdd")&amp;"-"&amp;D786&amp;"-H"&amp;TEXT(E786,"00")&amp;"-"&amp;H786)</f>
        <v>SAMP-KG01-L22-20251110-ORD-2025-00203-H09-Chip</v>
      </c>
      <c r="K786" s="1" t="str">
        <f aca="false">IF(A786="","",IF(AND(G786&gt;=0,I786&gt;=0,I786&lt;=G786),"OK","CHECK"))</f>
        <v>OK</v>
      </c>
      <c r="L786" s="1" t="str">
        <f aca="false">IF(A786="","",IF(AND(E786&gt;=0,E786&lt;=23),"OK","CHECK"))</f>
        <v>OK</v>
      </c>
      <c r="M786" s="1" t="str">
        <f aca="false">IF(A786="","",IF(AND(K786="OK",L786="OK"),"OK","CHECK"))</f>
        <v>OK</v>
      </c>
    </row>
    <row r="787" customFormat="false" ht="18" hidden="false" customHeight="true" outlineLevel="0" collapsed="false">
      <c r="A787" s="9" t="s">
        <v>26</v>
      </c>
      <c r="B787" s="9" t="n">
        <v>22</v>
      </c>
      <c r="C787" s="11" t="n">
        <v>45971</v>
      </c>
      <c r="D787" s="9" t="s">
        <v>92</v>
      </c>
      <c r="E787" s="12" t="n">
        <v>20</v>
      </c>
      <c r="F787" s="9" t="s">
        <v>31</v>
      </c>
      <c r="G787" s="13" t="n">
        <v>100</v>
      </c>
      <c r="H787" s="9" t="s">
        <v>36</v>
      </c>
      <c r="I787" s="13" t="n">
        <v>2</v>
      </c>
      <c r="J787" s="1" t="str">
        <f aca="false">IF(A787="","", "SAMP-"&amp;A787&amp;"-L"&amp;TEXT(B787,"00")&amp;"-"&amp;TEXT(C787,"yyyymmdd")&amp;"-"&amp;D787&amp;"-H"&amp;TEXT(E787,"00")&amp;"-"&amp;H787)</f>
        <v>SAMP-KG01-L22-20251110-ORD-2025-00203-H20-Blister</v>
      </c>
      <c r="K787" s="1" t="str">
        <f aca="false">IF(A787="","",IF(AND(G787&gt;=0,I787&gt;=0,I787&lt;=G787),"OK","CHECK"))</f>
        <v>OK</v>
      </c>
      <c r="L787" s="1" t="str">
        <f aca="false">IF(A787="","",IF(AND(E787&gt;=0,E787&lt;=23),"OK","CHECK"))</f>
        <v>OK</v>
      </c>
      <c r="M787" s="1" t="str">
        <f aca="false">IF(A787="","",IF(AND(K787="OK",L787="OK"),"OK","CHECK"))</f>
        <v>OK</v>
      </c>
    </row>
    <row r="788" customFormat="false" ht="18" hidden="false" customHeight="true" outlineLevel="0" collapsed="false">
      <c r="A788" s="9" t="s">
        <v>26</v>
      </c>
      <c r="B788" s="9" t="n">
        <v>22</v>
      </c>
      <c r="C788" s="11" t="n">
        <v>45971</v>
      </c>
      <c r="D788" s="9" t="s">
        <v>92</v>
      </c>
      <c r="E788" s="12" t="n">
        <v>16</v>
      </c>
      <c r="F788" s="9" t="s">
        <v>31</v>
      </c>
      <c r="G788" s="13" t="n">
        <v>200</v>
      </c>
      <c r="H788" s="9" t="s">
        <v>33</v>
      </c>
      <c r="I788" s="13" t="n">
        <v>9</v>
      </c>
      <c r="J788" s="1" t="str">
        <f aca="false">IF(A788="","", "SAMP-"&amp;A788&amp;"-L"&amp;TEXT(B788,"00")&amp;"-"&amp;TEXT(C788,"yyyymmdd")&amp;"-"&amp;D788&amp;"-H"&amp;TEXT(E788,"00")&amp;"-"&amp;H788)</f>
        <v>SAMP-KG01-L22-20251110-ORD-2025-00203-H16-Distortion</v>
      </c>
      <c r="K788" s="1" t="str">
        <f aca="false">IF(A788="","",IF(AND(G788&gt;=0,I788&gt;=0,I788&lt;=G788),"OK","CHECK"))</f>
        <v>OK</v>
      </c>
      <c r="L788" s="1" t="str">
        <f aca="false">IF(A788="","",IF(AND(E788&gt;=0,E788&lt;=23),"OK","CHECK"))</f>
        <v>OK</v>
      </c>
      <c r="M788" s="1" t="str">
        <f aca="false">IF(A788="","",IF(AND(K788="OK",L788="OK"),"OK","CHECK"))</f>
        <v>OK</v>
      </c>
    </row>
    <row r="789" customFormat="false" ht="18" hidden="false" customHeight="true" outlineLevel="0" collapsed="false">
      <c r="A789" s="9" t="s">
        <v>26</v>
      </c>
      <c r="B789" s="9" t="n">
        <v>22</v>
      </c>
      <c r="C789" s="11" t="n">
        <v>45972</v>
      </c>
      <c r="D789" s="9" t="s">
        <v>92</v>
      </c>
      <c r="E789" s="12" t="n">
        <v>12</v>
      </c>
      <c r="F789" s="9" t="s">
        <v>28</v>
      </c>
      <c r="G789" s="13" t="n">
        <v>50</v>
      </c>
      <c r="H789" s="9" t="s">
        <v>29</v>
      </c>
      <c r="I789" s="13" t="n">
        <v>1</v>
      </c>
      <c r="J789" s="1" t="str">
        <f aca="false">IF(A789="","", "SAMP-"&amp;A789&amp;"-L"&amp;TEXT(B789,"00")&amp;"-"&amp;TEXT(C789,"yyyymmdd")&amp;"-"&amp;D789&amp;"-H"&amp;TEXT(E789,"00")&amp;"-"&amp;H789)</f>
        <v>SAMP-KG01-L22-20251111-ORD-2025-00203-H12-Choke Neck</v>
      </c>
      <c r="K789" s="1" t="str">
        <f aca="false">IF(A789="","",IF(AND(G789&gt;=0,I789&gt;=0,I789&lt;=G789),"OK","CHECK"))</f>
        <v>OK</v>
      </c>
      <c r="L789" s="1" t="str">
        <f aca="false">IF(A789="","",IF(AND(E789&gt;=0,E789&lt;=23),"OK","CHECK"))</f>
        <v>OK</v>
      </c>
      <c r="M789" s="1" t="str">
        <f aca="false">IF(A789="","",IF(AND(K789="OK",L789="OK"),"OK","CHECK"))</f>
        <v>OK</v>
      </c>
    </row>
    <row r="790" customFormat="false" ht="18" hidden="false" customHeight="true" outlineLevel="0" collapsed="false">
      <c r="A790" s="9" t="s">
        <v>26</v>
      </c>
      <c r="B790" s="9" t="n">
        <v>22</v>
      </c>
      <c r="C790" s="11" t="n">
        <v>45972</v>
      </c>
      <c r="D790" s="9" t="s">
        <v>92</v>
      </c>
      <c r="E790" s="12" t="n">
        <v>7</v>
      </c>
      <c r="F790" s="9" t="s">
        <v>28</v>
      </c>
      <c r="G790" s="13" t="n">
        <v>150</v>
      </c>
      <c r="H790" s="9" t="s">
        <v>35</v>
      </c>
      <c r="I790" s="13" t="n">
        <v>0</v>
      </c>
      <c r="J790" s="1" t="str">
        <f aca="false">IF(A790="","", "SAMP-"&amp;A790&amp;"-L"&amp;TEXT(B790,"00")&amp;"-"&amp;TEXT(C790,"yyyymmdd")&amp;"-"&amp;D790&amp;"-H"&amp;TEXT(E790,"00")&amp;"-"&amp;H790)</f>
        <v>SAMP-KG01-L22-20251111-ORD-2025-00203-H07-Stone</v>
      </c>
      <c r="K790" s="1" t="str">
        <f aca="false">IF(A790="","",IF(AND(G790&gt;=0,I790&gt;=0,I790&lt;=G790),"OK","CHECK"))</f>
        <v>OK</v>
      </c>
      <c r="L790" s="1" t="str">
        <f aca="false">IF(A790="","",IF(AND(E790&gt;=0,E790&lt;=23),"OK","CHECK"))</f>
        <v>OK</v>
      </c>
      <c r="M790" s="1" t="str">
        <f aca="false">IF(A790="","",IF(AND(K790="OK",L790="OK"),"OK","CHECK"))</f>
        <v>OK</v>
      </c>
    </row>
    <row r="791" customFormat="false" ht="18" hidden="false" customHeight="true" outlineLevel="0" collapsed="false">
      <c r="A791" s="9" t="s">
        <v>26</v>
      </c>
      <c r="B791" s="9" t="n">
        <v>22</v>
      </c>
      <c r="C791" s="11" t="n">
        <v>45972</v>
      </c>
      <c r="D791" s="9" t="s">
        <v>92</v>
      </c>
      <c r="E791" s="12" t="n">
        <v>9</v>
      </c>
      <c r="F791" s="9" t="s">
        <v>28</v>
      </c>
      <c r="G791" s="13" t="n">
        <v>50</v>
      </c>
      <c r="H791" s="9" t="s">
        <v>29</v>
      </c>
      <c r="I791" s="13" t="n">
        <v>1</v>
      </c>
      <c r="J791" s="1" t="str">
        <f aca="false">IF(A791="","", "SAMP-"&amp;A791&amp;"-L"&amp;TEXT(B791,"00")&amp;"-"&amp;TEXT(C791,"yyyymmdd")&amp;"-"&amp;D791&amp;"-H"&amp;TEXT(E791,"00")&amp;"-"&amp;H791)</f>
        <v>SAMP-KG01-L22-20251111-ORD-2025-00203-H09-Choke Neck</v>
      </c>
      <c r="K791" s="1" t="str">
        <f aca="false">IF(A791="","",IF(AND(G791&gt;=0,I791&gt;=0,I791&lt;=G791),"OK","CHECK"))</f>
        <v>OK</v>
      </c>
      <c r="L791" s="1" t="str">
        <f aca="false">IF(A791="","",IF(AND(E791&gt;=0,E791&lt;=23),"OK","CHECK"))</f>
        <v>OK</v>
      </c>
      <c r="M791" s="1" t="str">
        <f aca="false">IF(A791="","",IF(AND(K791="OK",L791="OK"),"OK","CHECK"))</f>
        <v>OK</v>
      </c>
    </row>
    <row r="792" customFormat="false" ht="18" hidden="false" customHeight="true" outlineLevel="0" collapsed="false">
      <c r="A792" s="9" t="s">
        <v>26</v>
      </c>
      <c r="B792" s="9" t="n">
        <v>22</v>
      </c>
      <c r="C792" s="11" t="n">
        <v>45972</v>
      </c>
      <c r="D792" s="9" t="s">
        <v>92</v>
      </c>
      <c r="E792" s="12" t="n">
        <v>20</v>
      </c>
      <c r="F792" s="9" t="s">
        <v>31</v>
      </c>
      <c r="G792" s="13" t="n">
        <v>100</v>
      </c>
      <c r="H792" s="9" t="s">
        <v>38</v>
      </c>
      <c r="I792" s="13" t="n">
        <v>5</v>
      </c>
      <c r="J792" s="1" t="str">
        <f aca="false">IF(A792="","", "SAMP-"&amp;A792&amp;"-L"&amp;TEXT(B792,"00")&amp;"-"&amp;TEXT(C792,"yyyymmdd")&amp;"-"&amp;D792&amp;"-H"&amp;TEXT(E792,"00")&amp;"-"&amp;H792)</f>
        <v>SAMP-KG01-L22-20251111-ORD-2025-00203-H20-Crack</v>
      </c>
      <c r="K792" s="1" t="str">
        <f aca="false">IF(A792="","",IF(AND(G792&gt;=0,I792&gt;=0,I792&lt;=G792),"OK","CHECK"))</f>
        <v>OK</v>
      </c>
      <c r="L792" s="1" t="str">
        <f aca="false">IF(A792="","",IF(AND(E792&gt;=0,E792&lt;=23),"OK","CHECK"))</f>
        <v>OK</v>
      </c>
      <c r="M792" s="1" t="str">
        <f aca="false">IF(A792="","",IF(AND(K792="OK",L792="OK"),"OK","CHECK"))</f>
        <v>OK</v>
      </c>
    </row>
    <row r="793" customFormat="false" ht="18" hidden="false" customHeight="true" outlineLevel="0" collapsed="false">
      <c r="A793" s="9" t="s">
        <v>26</v>
      </c>
      <c r="B793" s="9" t="n">
        <v>22</v>
      </c>
      <c r="C793" s="11" t="n">
        <v>45972</v>
      </c>
      <c r="D793" s="9" t="s">
        <v>92</v>
      </c>
      <c r="E793" s="12" t="n">
        <v>23</v>
      </c>
      <c r="F793" s="9" t="s">
        <v>31</v>
      </c>
      <c r="G793" s="13" t="n">
        <v>150</v>
      </c>
      <c r="H793" s="9" t="s">
        <v>33</v>
      </c>
      <c r="I793" s="13" t="n">
        <v>5</v>
      </c>
      <c r="J793" s="1" t="str">
        <f aca="false">IF(A793="","", "SAMP-"&amp;A793&amp;"-L"&amp;TEXT(B793,"00")&amp;"-"&amp;TEXT(C793,"yyyymmdd")&amp;"-"&amp;D793&amp;"-H"&amp;TEXT(E793,"00")&amp;"-"&amp;H793)</f>
        <v>SAMP-KG01-L22-20251111-ORD-2025-00203-H23-Distortion</v>
      </c>
      <c r="K793" s="1" t="str">
        <f aca="false">IF(A793="","",IF(AND(G793&gt;=0,I793&gt;=0,I793&lt;=G793),"OK","CHECK"))</f>
        <v>OK</v>
      </c>
      <c r="L793" s="1" t="str">
        <f aca="false">IF(A793="","",IF(AND(E793&gt;=0,E793&lt;=23),"OK","CHECK"))</f>
        <v>OK</v>
      </c>
      <c r="M793" s="1" t="str">
        <f aca="false">IF(A793="","",IF(AND(K793="OK",L793="OK"),"OK","CHECK"))</f>
        <v>OK</v>
      </c>
    </row>
    <row r="794" customFormat="false" ht="18" hidden="false" customHeight="true" outlineLevel="0" collapsed="false">
      <c r="A794" s="9" t="s">
        <v>26</v>
      </c>
      <c r="B794" s="9" t="n">
        <v>22</v>
      </c>
      <c r="C794" s="11" t="n">
        <v>45972</v>
      </c>
      <c r="D794" s="9" t="s">
        <v>92</v>
      </c>
      <c r="E794" s="12" t="n">
        <v>16</v>
      </c>
      <c r="F794" s="9" t="s">
        <v>31</v>
      </c>
      <c r="G794" s="13" t="n">
        <v>100</v>
      </c>
      <c r="H794" s="9" t="s">
        <v>30</v>
      </c>
      <c r="I794" s="13" t="n">
        <v>2</v>
      </c>
      <c r="J794" s="1" t="str">
        <f aca="false">IF(A794="","", "SAMP-"&amp;A794&amp;"-L"&amp;TEXT(B794,"00")&amp;"-"&amp;TEXT(C794,"yyyymmdd")&amp;"-"&amp;D794&amp;"-H"&amp;TEXT(E794,"00")&amp;"-"&amp;H794)</f>
        <v>SAMP-KG01-L22-20251111-ORD-2025-00203-H16-Overpress</v>
      </c>
      <c r="K794" s="1" t="str">
        <f aca="false">IF(A794="","",IF(AND(G794&gt;=0,I794&gt;=0,I794&lt;=G794),"OK","CHECK"))</f>
        <v>OK</v>
      </c>
      <c r="L794" s="1" t="str">
        <f aca="false">IF(A794="","",IF(AND(E794&gt;=0,E794&lt;=23),"OK","CHECK"))</f>
        <v>OK</v>
      </c>
      <c r="M794" s="1" t="str">
        <f aca="false">IF(A794="","",IF(AND(K794="OK",L794="OK"),"OK","CHECK"))</f>
        <v>OK</v>
      </c>
    </row>
    <row r="795" customFormat="false" ht="18" hidden="false" customHeight="true" outlineLevel="0" collapsed="false">
      <c r="A795" s="9" t="s">
        <v>26</v>
      </c>
      <c r="B795" s="9" t="n">
        <v>22</v>
      </c>
      <c r="C795" s="11" t="n">
        <v>45973</v>
      </c>
      <c r="D795" s="9" t="s">
        <v>92</v>
      </c>
      <c r="E795" s="12" t="n">
        <v>9</v>
      </c>
      <c r="F795" s="9" t="s">
        <v>28</v>
      </c>
      <c r="G795" s="13" t="n">
        <v>50</v>
      </c>
      <c r="H795" s="9" t="s">
        <v>37</v>
      </c>
      <c r="I795" s="13" t="n">
        <v>1</v>
      </c>
      <c r="J795" s="1" t="str">
        <f aca="false">IF(A795="","", "SAMP-"&amp;A795&amp;"-L"&amp;TEXT(B795,"00")&amp;"-"&amp;TEXT(C795,"yyyymmdd")&amp;"-"&amp;D795&amp;"-H"&amp;TEXT(E795,"00")&amp;"-"&amp;H795)</f>
        <v>SAMP-KG01-L22-20251112-ORD-2025-00203-H09-Bird Swing</v>
      </c>
      <c r="K795" s="1" t="str">
        <f aca="false">IF(A795="","",IF(AND(G795&gt;=0,I795&gt;=0,I795&lt;=G795),"OK","CHECK"))</f>
        <v>OK</v>
      </c>
      <c r="L795" s="1" t="str">
        <f aca="false">IF(A795="","",IF(AND(E795&gt;=0,E795&lt;=23),"OK","CHECK"))</f>
        <v>OK</v>
      </c>
      <c r="M795" s="1" t="str">
        <f aca="false">IF(A795="","",IF(AND(K795="OK",L795="OK"),"OK","CHECK"))</f>
        <v>OK</v>
      </c>
    </row>
    <row r="796" customFormat="false" ht="18" hidden="false" customHeight="true" outlineLevel="0" collapsed="false">
      <c r="A796" s="9" t="s">
        <v>26</v>
      </c>
      <c r="B796" s="9" t="n">
        <v>22</v>
      </c>
      <c r="C796" s="11" t="n">
        <v>45973</v>
      </c>
      <c r="D796" s="9" t="s">
        <v>92</v>
      </c>
      <c r="E796" s="12" t="n">
        <v>7</v>
      </c>
      <c r="F796" s="9" t="s">
        <v>28</v>
      </c>
      <c r="G796" s="13" t="n">
        <v>50</v>
      </c>
      <c r="H796" s="9" t="s">
        <v>29</v>
      </c>
      <c r="I796" s="13" t="n">
        <v>0</v>
      </c>
      <c r="J796" s="1" t="str">
        <f aca="false">IF(A796="","", "SAMP-"&amp;A796&amp;"-L"&amp;TEXT(B796,"00")&amp;"-"&amp;TEXT(C796,"yyyymmdd")&amp;"-"&amp;D796&amp;"-H"&amp;TEXT(E796,"00")&amp;"-"&amp;H796)</f>
        <v>SAMP-KG01-L22-20251112-ORD-2025-00203-H07-Choke Neck</v>
      </c>
      <c r="K796" s="1" t="str">
        <f aca="false">IF(A796="","",IF(AND(G796&gt;=0,I796&gt;=0,I796&lt;=G796),"OK","CHECK"))</f>
        <v>OK</v>
      </c>
      <c r="L796" s="1" t="str">
        <f aca="false">IF(A796="","",IF(AND(E796&gt;=0,E796&lt;=23),"OK","CHECK"))</f>
        <v>OK</v>
      </c>
      <c r="M796" s="1" t="str">
        <f aca="false">IF(A796="","",IF(AND(K796="OK",L796="OK"),"OK","CHECK"))</f>
        <v>OK</v>
      </c>
    </row>
    <row r="797" customFormat="false" ht="18" hidden="false" customHeight="true" outlineLevel="0" collapsed="false">
      <c r="A797" s="9" t="s">
        <v>26</v>
      </c>
      <c r="B797" s="9" t="n">
        <v>22</v>
      </c>
      <c r="C797" s="11" t="n">
        <v>45973</v>
      </c>
      <c r="D797" s="9" t="s">
        <v>92</v>
      </c>
      <c r="E797" s="12" t="n">
        <v>12</v>
      </c>
      <c r="F797" s="9" t="s">
        <v>28</v>
      </c>
      <c r="G797" s="13" t="n">
        <v>150</v>
      </c>
      <c r="H797" s="9" t="s">
        <v>29</v>
      </c>
      <c r="I797" s="13" t="n">
        <v>0</v>
      </c>
      <c r="J797" s="1" t="str">
        <f aca="false">IF(A797="","", "SAMP-"&amp;A797&amp;"-L"&amp;TEXT(B797,"00")&amp;"-"&amp;TEXT(C797,"yyyymmdd")&amp;"-"&amp;D797&amp;"-H"&amp;TEXT(E797,"00")&amp;"-"&amp;H797)</f>
        <v>SAMP-KG01-L22-20251112-ORD-2025-00203-H12-Choke Neck</v>
      </c>
      <c r="K797" s="1" t="str">
        <f aca="false">IF(A797="","",IF(AND(G797&gt;=0,I797&gt;=0,I797&lt;=G797),"OK","CHECK"))</f>
        <v>OK</v>
      </c>
      <c r="L797" s="1" t="str">
        <f aca="false">IF(A797="","",IF(AND(E797&gt;=0,E797&lt;=23),"OK","CHECK"))</f>
        <v>OK</v>
      </c>
      <c r="M797" s="1" t="str">
        <f aca="false">IF(A797="","",IF(AND(K797="OK",L797="OK"),"OK","CHECK"))</f>
        <v>OK</v>
      </c>
    </row>
    <row r="798" customFormat="false" ht="18" hidden="false" customHeight="true" outlineLevel="0" collapsed="false">
      <c r="A798" s="9" t="s">
        <v>26</v>
      </c>
      <c r="B798" s="9" t="n">
        <v>22</v>
      </c>
      <c r="C798" s="11" t="n">
        <v>45973</v>
      </c>
      <c r="D798" s="9" t="s">
        <v>92</v>
      </c>
      <c r="E798" s="12" t="n">
        <v>23</v>
      </c>
      <c r="F798" s="9" t="s">
        <v>31</v>
      </c>
      <c r="G798" s="13" t="n">
        <v>50</v>
      </c>
      <c r="H798" s="9" t="s">
        <v>33</v>
      </c>
      <c r="I798" s="13" t="n">
        <v>0</v>
      </c>
      <c r="J798" s="1" t="str">
        <f aca="false">IF(A798="","", "SAMP-"&amp;A798&amp;"-L"&amp;TEXT(B798,"00")&amp;"-"&amp;TEXT(C798,"yyyymmdd")&amp;"-"&amp;D798&amp;"-H"&amp;TEXT(E798,"00")&amp;"-"&amp;H798)</f>
        <v>SAMP-KG01-L22-20251112-ORD-2025-00203-H23-Distortion</v>
      </c>
      <c r="K798" s="1" t="str">
        <f aca="false">IF(A798="","",IF(AND(G798&gt;=0,I798&gt;=0,I798&lt;=G798),"OK","CHECK"))</f>
        <v>OK</v>
      </c>
      <c r="L798" s="1" t="str">
        <f aca="false">IF(A798="","",IF(AND(E798&gt;=0,E798&lt;=23),"OK","CHECK"))</f>
        <v>OK</v>
      </c>
      <c r="M798" s="1" t="str">
        <f aca="false">IF(A798="","",IF(AND(K798="OK",L798="OK"),"OK","CHECK"))</f>
        <v>OK</v>
      </c>
    </row>
    <row r="799" customFormat="false" ht="18" hidden="false" customHeight="true" outlineLevel="0" collapsed="false">
      <c r="A799" s="9" t="s">
        <v>26</v>
      </c>
      <c r="B799" s="9" t="n">
        <v>22</v>
      </c>
      <c r="C799" s="11" t="n">
        <v>45973</v>
      </c>
      <c r="D799" s="9" t="s">
        <v>92</v>
      </c>
      <c r="E799" s="12" t="n">
        <v>20</v>
      </c>
      <c r="F799" s="9" t="s">
        <v>31</v>
      </c>
      <c r="G799" s="13" t="n">
        <v>50</v>
      </c>
      <c r="H799" s="9" t="s">
        <v>41</v>
      </c>
      <c r="I799" s="13" t="n">
        <v>0</v>
      </c>
      <c r="J799" s="1" t="str">
        <f aca="false">IF(A799="","", "SAMP-"&amp;A799&amp;"-L"&amp;TEXT(B799,"00")&amp;"-"&amp;TEXT(C799,"yyyymmdd")&amp;"-"&amp;D799&amp;"-H"&amp;TEXT(E799,"00")&amp;"-"&amp;H799)</f>
        <v>SAMP-KG01-L22-20251112-ORD-2025-00203-H20-Chip</v>
      </c>
      <c r="K799" s="1" t="str">
        <f aca="false">IF(A799="","",IF(AND(G799&gt;=0,I799&gt;=0,I799&lt;=G799),"OK","CHECK"))</f>
        <v>OK</v>
      </c>
      <c r="L799" s="1" t="str">
        <f aca="false">IF(A799="","",IF(AND(E799&gt;=0,E799&lt;=23),"OK","CHECK"))</f>
        <v>OK</v>
      </c>
      <c r="M799" s="1" t="str">
        <f aca="false">IF(A799="","",IF(AND(K799="OK",L799="OK"),"OK","CHECK"))</f>
        <v>OK</v>
      </c>
    </row>
    <row r="800" customFormat="false" ht="18" hidden="false" customHeight="true" outlineLevel="0" collapsed="false">
      <c r="A800" s="9" t="s">
        <v>26</v>
      </c>
      <c r="B800" s="9" t="n">
        <v>22</v>
      </c>
      <c r="C800" s="11" t="n">
        <v>45973</v>
      </c>
      <c r="D800" s="9" t="s">
        <v>92</v>
      </c>
      <c r="E800" s="12" t="n">
        <v>16</v>
      </c>
      <c r="F800" s="9" t="s">
        <v>31</v>
      </c>
      <c r="G800" s="13" t="n">
        <v>150</v>
      </c>
      <c r="H800" s="9" t="s">
        <v>33</v>
      </c>
      <c r="I800" s="13" t="n">
        <v>2</v>
      </c>
      <c r="J800" s="1" t="str">
        <f aca="false">IF(A800="","", "SAMP-"&amp;A800&amp;"-L"&amp;TEXT(B800,"00")&amp;"-"&amp;TEXT(C800,"yyyymmdd")&amp;"-"&amp;D800&amp;"-H"&amp;TEXT(E800,"00")&amp;"-"&amp;H800)</f>
        <v>SAMP-KG01-L22-20251112-ORD-2025-00203-H16-Distortion</v>
      </c>
      <c r="K800" s="1" t="str">
        <f aca="false">IF(A800="","",IF(AND(G800&gt;=0,I800&gt;=0,I800&lt;=G800),"OK","CHECK"))</f>
        <v>OK</v>
      </c>
      <c r="L800" s="1" t="str">
        <f aca="false">IF(A800="","",IF(AND(E800&gt;=0,E800&lt;=23),"OK","CHECK"))</f>
        <v>OK</v>
      </c>
      <c r="M800" s="1" t="str">
        <f aca="false">IF(A800="","",IF(AND(K800="OK",L800="OK"),"OK","CHECK"))</f>
        <v>OK</v>
      </c>
    </row>
    <row r="801" customFormat="false" ht="18" hidden="false" customHeight="true" outlineLevel="0" collapsed="false">
      <c r="A801" s="9" t="s">
        <v>26</v>
      </c>
      <c r="B801" s="9" t="n">
        <v>22</v>
      </c>
      <c r="C801" s="11" t="n">
        <v>45974</v>
      </c>
      <c r="D801" s="9" t="s">
        <v>93</v>
      </c>
      <c r="E801" s="12" t="n">
        <v>9</v>
      </c>
      <c r="F801" s="9" t="s">
        <v>28</v>
      </c>
      <c r="G801" s="13" t="n">
        <v>150</v>
      </c>
      <c r="H801" s="9" t="s">
        <v>30</v>
      </c>
      <c r="I801" s="13" t="n">
        <v>4</v>
      </c>
      <c r="J801" s="1" t="str">
        <f aca="false">IF(A801="","", "SAMP-"&amp;A801&amp;"-L"&amp;TEXT(B801,"00")&amp;"-"&amp;TEXT(C801,"yyyymmdd")&amp;"-"&amp;D801&amp;"-H"&amp;TEXT(E801,"00")&amp;"-"&amp;H801)</f>
        <v>SAMP-KG01-L22-20251113-ORD-2025-00204-H09-Overpress</v>
      </c>
      <c r="K801" s="1" t="str">
        <f aca="false">IF(A801="","",IF(AND(G801&gt;=0,I801&gt;=0,I801&lt;=G801),"OK","CHECK"))</f>
        <v>OK</v>
      </c>
      <c r="L801" s="1" t="str">
        <f aca="false">IF(A801="","",IF(AND(E801&gt;=0,E801&lt;=23),"OK","CHECK"))</f>
        <v>OK</v>
      </c>
      <c r="M801" s="1" t="str">
        <f aca="false">IF(A801="","",IF(AND(K801="OK",L801="OK"),"OK","CHECK"))</f>
        <v>OK</v>
      </c>
    </row>
    <row r="802" customFormat="false" ht="18" hidden="false" customHeight="true" outlineLevel="0" collapsed="false">
      <c r="A802" s="9" t="s">
        <v>26</v>
      </c>
      <c r="B802" s="9" t="n">
        <v>22</v>
      </c>
      <c r="C802" s="11" t="n">
        <v>45974</v>
      </c>
      <c r="D802" s="9" t="s">
        <v>93</v>
      </c>
      <c r="E802" s="12" t="n">
        <v>7</v>
      </c>
      <c r="F802" s="9" t="s">
        <v>28</v>
      </c>
      <c r="G802" s="13" t="n">
        <v>150</v>
      </c>
      <c r="H802" s="9" t="s">
        <v>35</v>
      </c>
      <c r="I802" s="13" t="n">
        <v>0</v>
      </c>
      <c r="J802" s="1" t="str">
        <f aca="false">IF(A802="","", "SAMP-"&amp;A802&amp;"-L"&amp;TEXT(B802,"00")&amp;"-"&amp;TEXT(C802,"yyyymmdd")&amp;"-"&amp;D802&amp;"-H"&amp;TEXT(E802,"00")&amp;"-"&amp;H802)</f>
        <v>SAMP-KG01-L22-20251113-ORD-2025-00204-H07-Stone</v>
      </c>
      <c r="K802" s="1" t="str">
        <f aca="false">IF(A802="","",IF(AND(G802&gt;=0,I802&gt;=0,I802&lt;=G802),"OK","CHECK"))</f>
        <v>OK</v>
      </c>
      <c r="L802" s="1" t="str">
        <f aca="false">IF(A802="","",IF(AND(E802&gt;=0,E802&lt;=23),"OK","CHECK"))</f>
        <v>OK</v>
      </c>
      <c r="M802" s="1" t="str">
        <f aca="false">IF(A802="","",IF(AND(K802="OK",L802="OK"),"OK","CHECK"))</f>
        <v>OK</v>
      </c>
    </row>
    <row r="803" customFormat="false" ht="18" hidden="false" customHeight="true" outlineLevel="0" collapsed="false">
      <c r="A803" s="9" t="s">
        <v>26</v>
      </c>
      <c r="B803" s="9" t="n">
        <v>22</v>
      </c>
      <c r="C803" s="11" t="n">
        <v>45974</v>
      </c>
      <c r="D803" s="9" t="s">
        <v>93</v>
      </c>
      <c r="E803" s="12" t="n">
        <v>12</v>
      </c>
      <c r="F803" s="9" t="s">
        <v>28</v>
      </c>
      <c r="G803" s="13" t="n">
        <v>200</v>
      </c>
      <c r="H803" s="9" t="s">
        <v>30</v>
      </c>
      <c r="I803" s="13" t="n">
        <v>2</v>
      </c>
      <c r="J803" s="1" t="str">
        <f aca="false">IF(A803="","", "SAMP-"&amp;A803&amp;"-L"&amp;TEXT(B803,"00")&amp;"-"&amp;TEXT(C803,"yyyymmdd")&amp;"-"&amp;D803&amp;"-H"&amp;TEXT(E803,"00")&amp;"-"&amp;H803)</f>
        <v>SAMP-KG01-L22-20251113-ORD-2025-00204-H12-Overpress</v>
      </c>
      <c r="K803" s="1" t="str">
        <f aca="false">IF(A803="","",IF(AND(G803&gt;=0,I803&gt;=0,I803&lt;=G803),"OK","CHECK"))</f>
        <v>OK</v>
      </c>
      <c r="L803" s="1" t="str">
        <f aca="false">IF(A803="","",IF(AND(E803&gt;=0,E803&lt;=23),"OK","CHECK"))</f>
        <v>OK</v>
      </c>
      <c r="M803" s="1" t="str">
        <f aca="false">IF(A803="","",IF(AND(K803="OK",L803="OK"),"OK","CHECK"))</f>
        <v>OK</v>
      </c>
    </row>
    <row r="804" customFormat="false" ht="18" hidden="false" customHeight="true" outlineLevel="0" collapsed="false">
      <c r="A804" s="9" t="s">
        <v>26</v>
      </c>
      <c r="B804" s="9" t="n">
        <v>22</v>
      </c>
      <c r="C804" s="11" t="n">
        <v>45974</v>
      </c>
      <c r="D804" s="9" t="s">
        <v>93</v>
      </c>
      <c r="E804" s="12" t="n">
        <v>16</v>
      </c>
      <c r="F804" s="9" t="s">
        <v>31</v>
      </c>
      <c r="G804" s="13" t="n">
        <v>50</v>
      </c>
      <c r="H804" s="9" t="s">
        <v>29</v>
      </c>
      <c r="I804" s="13" t="n">
        <v>2</v>
      </c>
      <c r="J804" s="1" t="str">
        <f aca="false">IF(A804="","", "SAMP-"&amp;A804&amp;"-L"&amp;TEXT(B804,"00")&amp;"-"&amp;TEXT(C804,"yyyymmdd")&amp;"-"&amp;D804&amp;"-H"&amp;TEXT(E804,"00")&amp;"-"&amp;H804)</f>
        <v>SAMP-KG01-L22-20251113-ORD-2025-00204-H16-Choke Neck</v>
      </c>
      <c r="K804" s="1" t="str">
        <f aca="false">IF(A804="","",IF(AND(G804&gt;=0,I804&gt;=0,I804&lt;=G804),"OK","CHECK"))</f>
        <v>OK</v>
      </c>
      <c r="L804" s="1" t="str">
        <f aca="false">IF(A804="","",IF(AND(E804&gt;=0,E804&lt;=23),"OK","CHECK"))</f>
        <v>OK</v>
      </c>
      <c r="M804" s="1" t="str">
        <f aca="false">IF(A804="","",IF(AND(K804="OK",L804="OK"),"OK","CHECK"))</f>
        <v>OK</v>
      </c>
    </row>
    <row r="805" customFormat="false" ht="18" hidden="false" customHeight="true" outlineLevel="0" collapsed="false">
      <c r="A805" s="9" t="s">
        <v>26</v>
      </c>
      <c r="B805" s="9" t="n">
        <v>22</v>
      </c>
      <c r="C805" s="11" t="n">
        <v>45974</v>
      </c>
      <c r="D805" s="9" t="s">
        <v>93</v>
      </c>
      <c r="E805" s="12" t="n">
        <v>23</v>
      </c>
      <c r="F805" s="9" t="s">
        <v>31</v>
      </c>
      <c r="G805" s="13" t="n">
        <v>50</v>
      </c>
      <c r="H805" s="9" t="s">
        <v>36</v>
      </c>
      <c r="I805" s="13" t="n">
        <v>2</v>
      </c>
      <c r="J805" s="1" t="str">
        <f aca="false">IF(A805="","", "SAMP-"&amp;A805&amp;"-L"&amp;TEXT(B805,"00")&amp;"-"&amp;TEXT(C805,"yyyymmdd")&amp;"-"&amp;D805&amp;"-H"&amp;TEXT(E805,"00")&amp;"-"&amp;H805)</f>
        <v>SAMP-KG01-L22-20251113-ORD-2025-00204-H23-Blister</v>
      </c>
      <c r="K805" s="1" t="str">
        <f aca="false">IF(A805="","",IF(AND(G805&gt;=0,I805&gt;=0,I805&lt;=G805),"OK","CHECK"))</f>
        <v>OK</v>
      </c>
      <c r="L805" s="1" t="str">
        <f aca="false">IF(A805="","",IF(AND(E805&gt;=0,E805&lt;=23),"OK","CHECK"))</f>
        <v>OK</v>
      </c>
      <c r="M805" s="1" t="str">
        <f aca="false">IF(A805="","",IF(AND(K805="OK",L805="OK"),"OK","CHECK"))</f>
        <v>OK</v>
      </c>
    </row>
    <row r="806" customFormat="false" ht="18" hidden="false" customHeight="true" outlineLevel="0" collapsed="false">
      <c r="A806" s="9" t="s">
        <v>26</v>
      </c>
      <c r="B806" s="9" t="n">
        <v>22</v>
      </c>
      <c r="C806" s="11" t="n">
        <v>45974</v>
      </c>
      <c r="D806" s="9" t="s">
        <v>93</v>
      </c>
      <c r="E806" s="12" t="n">
        <v>20</v>
      </c>
      <c r="F806" s="9" t="s">
        <v>31</v>
      </c>
      <c r="G806" s="13" t="n">
        <v>50</v>
      </c>
      <c r="H806" s="9" t="s">
        <v>29</v>
      </c>
      <c r="I806" s="13" t="n">
        <v>1</v>
      </c>
      <c r="J806" s="1" t="str">
        <f aca="false">IF(A806="","", "SAMP-"&amp;A806&amp;"-L"&amp;TEXT(B806,"00")&amp;"-"&amp;TEXT(C806,"yyyymmdd")&amp;"-"&amp;D806&amp;"-H"&amp;TEXT(E806,"00")&amp;"-"&amp;H806)</f>
        <v>SAMP-KG01-L22-20251113-ORD-2025-00204-H20-Choke Neck</v>
      </c>
      <c r="K806" s="1" t="str">
        <f aca="false">IF(A806="","",IF(AND(G806&gt;=0,I806&gt;=0,I806&lt;=G806),"OK","CHECK"))</f>
        <v>OK</v>
      </c>
      <c r="L806" s="1" t="str">
        <f aca="false">IF(A806="","",IF(AND(E806&gt;=0,E806&lt;=23),"OK","CHECK"))</f>
        <v>OK</v>
      </c>
      <c r="M806" s="1" t="str">
        <f aca="false">IF(A806="","",IF(AND(K806="OK",L806="OK"),"OK","CHECK"))</f>
        <v>OK</v>
      </c>
    </row>
    <row r="807" customFormat="false" ht="18" hidden="false" customHeight="true" outlineLevel="0" collapsed="false">
      <c r="A807" s="9" t="s">
        <v>26</v>
      </c>
      <c r="B807" s="9" t="n">
        <v>22</v>
      </c>
      <c r="C807" s="11" t="n">
        <v>45975</v>
      </c>
      <c r="D807" s="9" t="s">
        <v>93</v>
      </c>
      <c r="E807" s="12" t="n">
        <v>12</v>
      </c>
      <c r="F807" s="9" t="s">
        <v>28</v>
      </c>
      <c r="G807" s="13" t="n">
        <v>50</v>
      </c>
      <c r="H807" s="9" t="s">
        <v>36</v>
      </c>
      <c r="I807" s="13" t="n">
        <v>1</v>
      </c>
      <c r="J807" s="1" t="str">
        <f aca="false">IF(A807="","", "SAMP-"&amp;A807&amp;"-L"&amp;TEXT(B807,"00")&amp;"-"&amp;TEXT(C807,"yyyymmdd")&amp;"-"&amp;D807&amp;"-H"&amp;TEXT(E807,"00")&amp;"-"&amp;H807)</f>
        <v>SAMP-KG01-L22-20251114-ORD-2025-00204-H12-Blister</v>
      </c>
      <c r="K807" s="1" t="str">
        <f aca="false">IF(A807="","",IF(AND(G807&gt;=0,I807&gt;=0,I807&lt;=G807),"OK","CHECK"))</f>
        <v>OK</v>
      </c>
      <c r="L807" s="1" t="str">
        <f aca="false">IF(A807="","",IF(AND(E807&gt;=0,E807&lt;=23),"OK","CHECK"))</f>
        <v>OK</v>
      </c>
      <c r="M807" s="1" t="str">
        <f aca="false">IF(A807="","",IF(AND(K807="OK",L807="OK"),"OK","CHECK"))</f>
        <v>OK</v>
      </c>
    </row>
    <row r="808" customFormat="false" ht="18" hidden="false" customHeight="true" outlineLevel="0" collapsed="false">
      <c r="A808" s="9" t="s">
        <v>26</v>
      </c>
      <c r="B808" s="9" t="n">
        <v>22</v>
      </c>
      <c r="C808" s="11" t="n">
        <v>45975</v>
      </c>
      <c r="D808" s="9" t="s">
        <v>93</v>
      </c>
      <c r="E808" s="12" t="n">
        <v>9</v>
      </c>
      <c r="F808" s="9" t="s">
        <v>28</v>
      </c>
      <c r="G808" s="13" t="n">
        <v>200</v>
      </c>
      <c r="H808" s="9" t="s">
        <v>36</v>
      </c>
      <c r="I808" s="13" t="n">
        <v>7</v>
      </c>
      <c r="J808" s="1" t="str">
        <f aca="false">IF(A808="","", "SAMP-"&amp;A808&amp;"-L"&amp;TEXT(B808,"00")&amp;"-"&amp;TEXT(C808,"yyyymmdd")&amp;"-"&amp;D808&amp;"-H"&amp;TEXT(E808,"00")&amp;"-"&amp;H808)</f>
        <v>SAMP-KG01-L22-20251114-ORD-2025-00204-H09-Blister</v>
      </c>
      <c r="K808" s="1" t="str">
        <f aca="false">IF(A808="","",IF(AND(G808&gt;=0,I808&gt;=0,I808&lt;=G808),"OK","CHECK"))</f>
        <v>OK</v>
      </c>
      <c r="L808" s="1" t="str">
        <f aca="false">IF(A808="","",IF(AND(E808&gt;=0,E808&lt;=23),"OK","CHECK"))</f>
        <v>OK</v>
      </c>
      <c r="M808" s="1" t="str">
        <f aca="false">IF(A808="","",IF(AND(K808="OK",L808="OK"),"OK","CHECK"))</f>
        <v>OK</v>
      </c>
    </row>
    <row r="809" customFormat="false" ht="18" hidden="false" customHeight="true" outlineLevel="0" collapsed="false">
      <c r="A809" s="9" t="s">
        <v>26</v>
      </c>
      <c r="B809" s="9" t="n">
        <v>22</v>
      </c>
      <c r="C809" s="11" t="n">
        <v>45975</v>
      </c>
      <c r="D809" s="9" t="s">
        <v>93</v>
      </c>
      <c r="E809" s="12" t="n">
        <v>7</v>
      </c>
      <c r="F809" s="9" t="s">
        <v>28</v>
      </c>
      <c r="G809" s="13" t="n">
        <v>50</v>
      </c>
      <c r="H809" s="9" t="s">
        <v>34</v>
      </c>
      <c r="I809" s="13" t="n">
        <v>1</v>
      </c>
      <c r="J809" s="1" t="str">
        <f aca="false">IF(A809="","", "SAMP-"&amp;A809&amp;"-L"&amp;TEXT(B809,"00")&amp;"-"&amp;TEXT(C809,"yyyymmdd")&amp;"-"&amp;D809&amp;"-H"&amp;TEXT(E809,"00")&amp;"-"&amp;H809)</f>
        <v>SAMP-KG01-L22-20251114-ORD-2025-00204-H07-Thin Wall</v>
      </c>
      <c r="K809" s="1" t="str">
        <f aca="false">IF(A809="","",IF(AND(G809&gt;=0,I809&gt;=0,I809&lt;=G809),"OK","CHECK"))</f>
        <v>OK</v>
      </c>
      <c r="L809" s="1" t="str">
        <f aca="false">IF(A809="","",IF(AND(E809&gt;=0,E809&lt;=23),"OK","CHECK"))</f>
        <v>OK</v>
      </c>
      <c r="M809" s="1" t="str">
        <f aca="false">IF(A809="","",IF(AND(K809="OK",L809="OK"),"OK","CHECK"))</f>
        <v>OK</v>
      </c>
    </row>
    <row r="810" customFormat="false" ht="18" hidden="false" customHeight="true" outlineLevel="0" collapsed="false">
      <c r="A810" s="9" t="s">
        <v>26</v>
      </c>
      <c r="B810" s="9" t="n">
        <v>22</v>
      </c>
      <c r="C810" s="11" t="n">
        <v>45975</v>
      </c>
      <c r="D810" s="9" t="s">
        <v>93</v>
      </c>
      <c r="E810" s="12" t="n">
        <v>23</v>
      </c>
      <c r="F810" s="9" t="s">
        <v>31</v>
      </c>
      <c r="G810" s="13" t="n">
        <v>200</v>
      </c>
      <c r="H810" s="9" t="s">
        <v>33</v>
      </c>
      <c r="I810" s="13" t="n">
        <v>5</v>
      </c>
      <c r="J810" s="1" t="str">
        <f aca="false">IF(A810="","", "SAMP-"&amp;A810&amp;"-L"&amp;TEXT(B810,"00")&amp;"-"&amp;TEXT(C810,"yyyymmdd")&amp;"-"&amp;D810&amp;"-H"&amp;TEXT(E810,"00")&amp;"-"&amp;H810)</f>
        <v>SAMP-KG01-L22-20251114-ORD-2025-00204-H23-Distortion</v>
      </c>
      <c r="K810" s="1" t="str">
        <f aca="false">IF(A810="","",IF(AND(G810&gt;=0,I810&gt;=0,I810&lt;=G810),"OK","CHECK"))</f>
        <v>OK</v>
      </c>
      <c r="L810" s="1" t="str">
        <f aca="false">IF(A810="","",IF(AND(E810&gt;=0,E810&lt;=23),"OK","CHECK"))</f>
        <v>OK</v>
      </c>
      <c r="M810" s="1" t="str">
        <f aca="false">IF(A810="","",IF(AND(K810="OK",L810="OK"),"OK","CHECK"))</f>
        <v>OK</v>
      </c>
    </row>
    <row r="811" customFormat="false" ht="18" hidden="false" customHeight="true" outlineLevel="0" collapsed="false">
      <c r="A811" s="9" t="s">
        <v>26</v>
      </c>
      <c r="B811" s="9" t="n">
        <v>22</v>
      </c>
      <c r="C811" s="11" t="n">
        <v>45975</v>
      </c>
      <c r="D811" s="9" t="s">
        <v>93</v>
      </c>
      <c r="E811" s="12" t="n">
        <v>20</v>
      </c>
      <c r="F811" s="9" t="s">
        <v>31</v>
      </c>
      <c r="G811" s="13" t="n">
        <v>100</v>
      </c>
      <c r="H811" s="9" t="s">
        <v>30</v>
      </c>
      <c r="I811" s="13" t="n">
        <v>1</v>
      </c>
      <c r="J811" s="1" t="str">
        <f aca="false">IF(A811="","", "SAMP-"&amp;A811&amp;"-L"&amp;TEXT(B811,"00")&amp;"-"&amp;TEXT(C811,"yyyymmdd")&amp;"-"&amp;D811&amp;"-H"&amp;TEXT(E811,"00")&amp;"-"&amp;H811)</f>
        <v>SAMP-KG01-L22-20251114-ORD-2025-00204-H20-Overpress</v>
      </c>
      <c r="K811" s="1" t="str">
        <f aca="false">IF(A811="","",IF(AND(G811&gt;=0,I811&gt;=0,I811&lt;=G811),"OK","CHECK"))</f>
        <v>OK</v>
      </c>
      <c r="L811" s="1" t="str">
        <f aca="false">IF(A811="","",IF(AND(E811&gt;=0,E811&lt;=23),"OK","CHECK"))</f>
        <v>OK</v>
      </c>
      <c r="M811" s="1" t="str">
        <f aca="false">IF(A811="","",IF(AND(K811="OK",L811="OK"),"OK","CHECK"))</f>
        <v>OK</v>
      </c>
    </row>
    <row r="812" customFormat="false" ht="18" hidden="false" customHeight="true" outlineLevel="0" collapsed="false">
      <c r="A812" s="9" t="s">
        <v>26</v>
      </c>
      <c r="B812" s="9" t="n">
        <v>22</v>
      </c>
      <c r="C812" s="11" t="n">
        <v>45975</v>
      </c>
      <c r="D812" s="9" t="s">
        <v>93</v>
      </c>
      <c r="E812" s="12" t="n">
        <v>16</v>
      </c>
      <c r="F812" s="9" t="s">
        <v>31</v>
      </c>
      <c r="G812" s="13" t="n">
        <v>150</v>
      </c>
      <c r="H812" s="9" t="s">
        <v>36</v>
      </c>
      <c r="I812" s="13" t="n">
        <v>5</v>
      </c>
      <c r="J812" s="1" t="str">
        <f aca="false">IF(A812="","", "SAMP-"&amp;A812&amp;"-L"&amp;TEXT(B812,"00")&amp;"-"&amp;TEXT(C812,"yyyymmdd")&amp;"-"&amp;D812&amp;"-H"&amp;TEXT(E812,"00")&amp;"-"&amp;H812)</f>
        <v>SAMP-KG01-L22-20251114-ORD-2025-00204-H16-Blister</v>
      </c>
      <c r="K812" s="1" t="str">
        <f aca="false">IF(A812="","",IF(AND(G812&gt;=0,I812&gt;=0,I812&lt;=G812),"OK","CHECK"))</f>
        <v>OK</v>
      </c>
      <c r="L812" s="1" t="str">
        <f aca="false">IF(A812="","",IF(AND(E812&gt;=0,E812&lt;=23),"OK","CHECK"))</f>
        <v>OK</v>
      </c>
      <c r="M812" s="1" t="str">
        <f aca="false">IF(A812="","",IF(AND(K812="OK",L812="OK"),"OK","CHECK"))</f>
        <v>OK</v>
      </c>
    </row>
    <row r="813" customFormat="false" ht="18" hidden="false" customHeight="true" outlineLevel="0" collapsed="false">
      <c r="A813" s="9" t="s">
        <v>26</v>
      </c>
      <c r="B813" s="9" t="n">
        <v>22</v>
      </c>
      <c r="C813" s="11" t="n">
        <v>45976</v>
      </c>
      <c r="D813" s="9" t="s">
        <v>93</v>
      </c>
      <c r="E813" s="12" t="n">
        <v>7</v>
      </c>
      <c r="F813" s="9" t="s">
        <v>28</v>
      </c>
      <c r="G813" s="13" t="n">
        <v>50</v>
      </c>
      <c r="H813" s="9" t="s">
        <v>36</v>
      </c>
      <c r="I813" s="13" t="n">
        <v>1</v>
      </c>
      <c r="J813" s="1" t="str">
        <f aca="false">IF(A813="","", "SAMP-"&amp;A813&amp;"-L"&amp;TEXT(B813,"00")&amp;"-"&amp;TEXT(C813,"yyyymmdd")&amp;"-"&amp;D813&amp;"-H"&amp;TEXT(E813,"00")&amp;"-"&amp;H813)</f>
        <v>SAMP-KG01-L22-20251115-ORD-2025-00204-H07-Blister</v>
      </c>
      <c r="K813" s="1" t="str">
        <f aca="false">IF(A813="","",IF(AND(G813&gt;=0,I813&gt;=0,I813&lt;=G813),"OK","CHECK"))</f>
        <v>OK</v>
      </c>
      <c r="L813" s="1" t="str">
        <f aca="false">IF(A813="","",IF(AND(E813&gt;=0,E813&lt;=23),"OK","CHECK"))</f>
        <v>OK</v>
      </c>
      <c r="M813" s="1" t="str">
        <f aca="false">IF(A813="","",IF(AND(K813="OK",L813="OK"),"OK","CHECK"))</f>
        <v>OK</v>
      </c>
    </row>
    <row r="814" customFormat="false" ht="18" hidden="false" customHeight="true" outlineLevel="0" collapsed="false">
      <c r="A814" s="9" t="s">
        <v>26</v>
      </c>
      <c r="B814" s="9" t="n">
        <v>22</v>
      </c>
      <c r="C814" s="11" t="n">
        <v>45976</v>
      </c>
      <c r="D814" s="9" t="s">
        <v>93</v>
      </c>
      <c r="E814" s="12" t="n">
        <v>12</v>
      </c>
      <c r="F814" s="9" t="s">
        <v>28</v>
      </c>
      <c r="G814" s="13" t="n">
        <v>50</v>
      </c>
      <c r="H814" s="9" t="s">
        <v>29</v>
      </c>
      <c r="I814" s="13" t="n">
        <v>2</v>
      </c>
      <c r="J814" s="1" t="str">
        <f aca="false">IF(A814="","", "SAMP-"&amp;A814&amp;"-L"&amp;TEXT(B814,"00")&amp;"-"&amp;TEXT(C814,"yyyymmdd")&amp;"-"&amp;D814&amp;"-H"&amp;TEXT(E814,"00")&amp;"-"&amp;H814)</f>
        <v>SAMP-KG01-L22-20251115-ORD-2025-00204-H12-Choke Neck</v>
      </c>
      <c r="K814" s="1" t="str">
        <f aca="false">IF(A814="","",IF(AND(G814&gt;=0,I814&gt;=0,I814&lt;=G814),"OK","CHECK"))</f>
        <v>OK</v>
      </c>
      <c r="L814" s="1" t="str">
        <f aca="false">IF(A814="","",IF(AND(E814&gt;=0,E814&lt;=23),"OK","CHECK"))</f>
        <v>OK</v>
      </c>
      <c r="M814" s="1" t="str">
        <f aca="false">IF(A814="","",IF(AND(K814="OK",L814="OK"),"OK","CHECK"))</f>
        <v>OK</v>
      </c>
    </row>
    <row r="815" customFormat="false" ht="18" hidden="false" customHeight="true" outlineLevel="0" collapsed="false">
      <c r="A815" s="9" t="s">
        <v>26</v>
      </c>
      <c r="B815" s="9" t="n">
        <v>22</v>
      </c>
      <c r="C815" s="11" t="n">
        <v>45976</v>
      </c>
      <c r="D815" s="9" t="s">
        <v>93</v>
      </c>
      <c r="E815" s="12" t="n">
        <v>9</v>
      </c>
      <c r="F815" s="9" t="s">
        <v>28</v>
      </c>
      <c r="G815" s="13" t="n">
        <v>150</v>
      </c>
      <c r="H815" s="9" t="s">
        <v>41</v>
      </c>
      <c r="I815" s="13" t="n">
        <v>2</v>
      </c>
      <c r="J815" s="1" t="str">
        <f aca="false">IF(A815="","", "SAMP-"&amp;A815&amp;"-L"&amp;TEXT(B815,"00")&amp;"-"&amp;TEXT(C815,"yyyymmdd")&amp;"-"&amp;D815&amp;"-H"&amp;TEXT(E815,"00")&amp;"-"&amp;H815)</f>
        <v>SAMP-KG01-L22-20251115-ORD-2025-00204-H09-Chip</v>
      </c>
      <c r="K815" s="1" t="str">
        <f aca="false">IF(A815="","",IF(AND(G815&gt;=0,I815&gt;=0,I815&lt;=G815),"OK","CHECK"))</f>
        <v>OK</v>
      </c>
      <c r="L815" s="1" t="str">
        <f aca="false">IF(A815="","",IF(AND(E815&gt;=0,E815&lt;=23),"OK","CHECK"))</f>
        <v>OK</v>
      </c>
      <c r="M815" s="1" t="str">
        <f aca="false">IF(A815="","",IF(AND(K815="OK",L815="OK"),"OK","CHECK"))</f>
        <v>OK</v>
      </c>
    </row>
    <row r="816" customFormat="false" ht="18" hidden="false" customHeight="true" outlineLevel="0" collapsed="false">
      <c r="A816" s="9" t="s">
        <v>26</v>
      </c>
      <c r="B816" s="9" t="n">
        <v>22</v>
      </c>
      <c r="C816" s="11" t="n">
        <v>45976</v>
      </c>
      <c r="D816" s="9" t="s">
        <v>94</v>
      </c>
      <c r="E816" s="12" t="n">
        <v>23</v>
      </c>
      <c r="F816" s="9" t="s">
        <v>31</v>
      </c>
      <c r="G816" s="13" t="n">
        <v>50</v>
      </c>
      <c r="H816" s="9" t="s">
        <v>36</v>
      </c>
      <c r="I816" s="13" t="n">
        <v>1</v>
      </c>
      <c r="J816" s="1" t="str">
        <f aca="false">IF(A816="","", "SAMP-"&amp;A816&amp;"-L"&amp;TEXT(B816,"00")&amp;"-"&amp;TEXT(C816,"yyyymmdd")&amp;"-"&amp;D816&amp;"-H"&amp;TEXT(E816,"00")&amp;"-"&amp;H816)</f>
        <v>SAMP-KG01-L22-20251115-ORD-2025-00205-H23-Blister</v>
      </c>
      <c r="K816" s="1" t="str">
        <f aca="false">IF(A816="","",IF(AND(G816&gt;=0,I816&gt;=0,I816&lt;=G816),"OK","CHECK"))</f>
        <v>OK</v>
      </c>
      <c r="L816" s="1" t="str">
        <f aca="false">IF(A816="","",IF(AND(E816&gt;=0,E816&lt;=23),"OK","CHECK"))</f>
        <v>OK</v>
      </c>
      <c r="M816" s="1" t="str">
        <f aca="false">IF(A816="","",IF(AND(K816="OK",L816="OK"),"OK","CHECK"))</f>
        <v>OK</v>
      </c>
    </row>
    <row r="817" customFormat="false" ht="18" hidden="false" customHeight="true" outlineLevel="0" collapsed="false">
      <c r="A817" s="9" t="s">
        <v>26</v>
      </c>
      <c r="B817" s="9" t="n">
        <v>22</v>
      </c>
      <c r="C817" s="11" t="n">
        <v>45976</v>
      </c>
      <c r="D817" s="9" t="s">
        <v>94</v>
      </c>
      <c r="E817" s="12" t="n">
        <v>20</v>
      </c>
      <c r="F817" s="9" t="s">
        <v>31</v>
      </c>
      <c r="G817" s="13" t="n">
        <v>150</v>
      </c>
      <c r="H817" s="9" t="s">
        <v>38</v>
      </c>
      <c r="I817" s="13" t="n">
        <v>0</v>
      </c>
      <c r="J817" s="1" t="str">
        <f aca="false">IF(A817="","", "SAMP-"&amp;A817&amp;"-L"&amp;TEXT(B817,"00")&amp;"-"&amp;TEXT(C817,"yyyymmdd")&amp;"-"&amp;D817&amp;"-H"&amp;TEXT(E817,"00")&amp;"-"&amp;H817)</f>
        <v>SAMP-KG01-L22-20251115-ORD-2025-00205-H20-Crack</v>
      </c>
      <c r="K817" s="1" t="str">
        <f aca="false">IF(A817="","",IF(AND(G817&gt;=0,I817&gt;=0,I817&lt;=G817),"OK","CHECK"))</f>
        <v>OK</v>
      </c>
      <c r="L817" s="1" t="str">
        <f aca="false">IF(A817="","",IF(AND(E817&gt;=0,E817&lt;=23),"OK","CHECK"))</f>
        <v>OK</v>
      </c>
      <c r="M817" s="1" t="str">
        <f aca="false">IF(A817="","",IF(AND(K817="OK",L817="OK"),"OK","CHECK"))</f>
        <v>OK</v>
      </c>
    </row>
    <row r="818" customFormat="false" ht="18" hidden="false" customHeight="true" outlineLevel="0" collapsed="false">
      <c r="A818" s="9" t="s">
        <v>26</v>
      </c>
      <c r="B818" s="9" t="n">
        <v>22</v>
      </c>
      <c r="C818" s="11" t="n">
        <v>45977</v>
      </c>
      <c r="D818" s="9" t="s">
        <v>94</v>
      </c>
      <c r="E818" s="12" t="n">
        <v>12</v>
      </c>
      <c r="F818" s="9" t="s">
        <v>28</v>
      </c>
      <c r="G818" s="13" t="n">
        <v>50</v>
      </c>
      <c r="H818" s="9" t="s">
        <v>38</v>
      </c>
      <c r="I818" s="13" t="n">
        <v>1</v>
      </c>
      <c r="J818" s="1" t="str">
        <f aca="false">IF(A818="","", "SAMP-"&amp;A818&amp;"-L"&amp;TEXT(B818,"00")&amp;"-"&amp;TEXT(C818,"yyyymmdd")&amp;"-"&amp;D818&amp;"-H"&amp;TEXT(E818,"00")&amp;"-"&amp;H818)</f>
        <v>SAMP-KG01-L22-20251116-ORD-2025-00205-H12-Crack</v>
      </c>
      <c r="K818" s="1" t="str">
        <f aca="false">IF(A818="","",IF(AND(G818&gt;=0,I818&gt;=0,I818&lt;=G818),"OK","CHECK"))</f>
        <v>OK</v>
      </c>
      <c r="L818" s="1" t="str">
        <f aca="false">IF(A818="","",IF(AND(E818&gt;=0,E818&lt;=23),"OK","CHECK"))</f>
        <v>OK</v>
      </c>
      <c r="M818" s="1" t="str">
        <f aca="false">IF(A818="","",IF(AND(K818="OK",L818="OK"),"OK","CHECK"))</f>
        <v>OK</v>
      </c>
    </row>
    <row r="819" customFormat="false" ht="18" hidden="false" customHeight="true" outlineLevel="0" collapsed="false">
      <c r="A819" s="9" t="s">
        <v>26</v>
      </c>
      <c r="B819" s="9" t="n">
        <v>22</v>
      </c>
      <c r="C819" s="11" t="n">
        <v>45977</v>
      </c>
      <c r="D819" s="9" t="s">
        <v>94</v>
      </c>
      <c r="E819" s="12" t="n">
        <v>9</v>
      </c>
      <c r="F819" s="9" t="s">
        <v>28</v>
      </c>
      <c r="G819" s="13" t="n">
        <v>50</v>
      </c>
      <c r="H819" s="9" t="s">
        <v>35</v>
      </c>
      <c r="I819" s="13" t="n">
        <v>1</v>
      </c>
      <c r="J819" s="1" t="str">
        <f aca="false">IF(A819="","", "SAMP-"&amp;A819&amp;"-L"&amp;TEXT(B819,"00")&amp;"-"&amp;TEXT(C819,"yyyymmdd")&amp;"-"&amp;D819&amp;"-H"&amp;TEXT(E819,"00")&amp;"-"&amp;H819)</f>
        <v>SAMP-KG01-L22-20251116-ORD-2025-00205-H09-Stone</v>
      </c>
      <c r="K819" s="1" t="str">
        <f aca="false">IF(A819="","",IF(AND(G819&gt;=0,I819&gt;=0,I819&lt;=G819),"OK","CHECK"))</f>
        <v>OK</v>
      </c>
      <c r="L819" s="1" t="str">
        <f aca="false">IF(A819="","",IF(AND(E819&gt;=0,E819&lt;=23),"OK","CHECK"))</f>
        <v>OK</v>
      </c>
      <c r="M819" s="1" t="str">
        <f aca="false">IF(A819="","",IF(AND(K819="OK",L819="OK"),"OK","CHECK"))</f>
        <v>OK</v>
      </c>
    </row>
    <row r="820" customFormat="false" ht="18" hidden="false" customHeight="true" outlineLevel="0" collapsed="false">
      <c r="A820" s="9" t="s">
        <v>26</v>
      </c>
      <c r="B820" s="9" t="n">
        <v>22</v>
      </c>
      <c r="C820" s="11" t="n">
        <v>45977</v>
      </c>
      <c r="D820" s="9" t="s">
        <v>94</v>
      </c>
      <c r="E820" s="12" t="n">
        <v>7</v>
      </c>
      <c r="F820" s="9" t="s">
        <v>28</v>
      </c>
      <c r="G820" s="13" t="n">
        <v>200</v>
      </c>
      <c r="H820" s="9" t="s">
        <v>30</v>
      </c>
      <c r="I820" s="13" t="n">
        <v>5</v>
      </c>
      <c r="J820" s="1" t="str">
        <f aca="false">IF(A820="","", "SAMP-"&amp;A820&amp;"-L"&amp;TEXT(B820,"00")&amp;"-"&amp;TEXT(C820,"yyyymmdd")&amp;"-"&amp;D820&amp;"-H"&amp;TEXT(E820,"00")&amp;"-"&amp;H820)</f>
        <v>SAMP-KG01-L22-20251116-ORD-2025-00205-H07-Overpress</v>
      </c>
      <c r="K820" s="1" t="str">
        <f aca="false">IF(A820="","",IF(AND(G820&gt;=0,I820&gt;=0,I820&lt;=G820),"OK","CHECK"))</f>
        <v>OK</v>
      </c>
      <c r="L820" s="1" t="str">
        <f aca="false">IF(A820="","",IF(AND(E820&gt;=0,E820&lt;=23),"OK","CHECK"))</f>
        <v>OK</v>
      </c>
      <c r="M820" s="1" t="str">
        <f aca="false">IF(A820="","",IF(AND(K820="OK",L820="OK"),"OK","CHECK"))</f>
        <v>OK</v>
      </c>
    </row>
    <row r="821" customFormat="false" ht="18" hidden="false" customHeight="true" outlineLevel="0" collapsed="false">
      <c r="A821" s="9" t="s">
        <v>26</v>
      </c>
      <c r="B821" s="9" t="n">
        <v>22</v>
      </c>
      <c r="C821" s="11" t="n">
        <v>45977</v>
      </c>
      <c r="D821" s="9" t="s">
        <v>94</v>
      </c>
      <c r="E821" s="12" t="n">
        <v>23</v>
      </c>
      <c r="F821" s="9" t="s">
        <v>31</v>
      </c>
      <c r="G821" s="13" t="n">
        <v>50</v>
      </c>
      <c r="H821" s="9" t="s">
        <v>38</v>
      </c>
      <c r="I821" s="13" t="n">
        <v>1</v>
      </c>
      <c r="J821" s="1" t="str">
        <f aca="false">IF(A821="","", "SAMP-"&amp;A821&amp;"-L"&amp;TEXT(B821,"00")&amp;"-"&amp;TEXT(C821,"yyyymmdd")&amp;"-"&amp;D821&amp;"-H"&amp;TEXT(E821,"00")&amp;"-"&amp;H821)</f>
        <v>SAMP-KG01-L22-20251116-ORD-2025-00205-H23-Crack</v>
      </c>
      <c r="K821" s="1" t="str">
        <f aca="false">IF(A821="","",IF(AND(G821&gt;=0,I821&gt;=0,I821&lt;=G821),"OK","CHECK"))</f>
        <v>OK</v>
      </c>
      <c r="L821" s="1" t="str">
        <f aca="false">IF(A821="","",IF(AND(E821&gt;=0,E821&lt;=23),"OK","CHECK"))</f>
        <v>OK</v>
      </c>
      <c r="M821" s="1" t="str">
        <f aca="false">IF(A821="","",IF(AND(K821="OK",L821="OK"),"OK","CHECK"))</f>
        <v>OK</v>
      </c>
    </row>
    <row r="822" customFormat="false" ht="18" hidden="false" customHeight="true" outlineLevel="0" collapsed="false">
      <c r="A822" s="9" t="s">
        <v>26</v>
      </c>
      <c r="B822" s="9" t="n">
        <v>22</v>
      </c>
      <c r="C822" s="11" t="n">
        <v>45977</v>
      </c>
      <c r="D822" s="9" t="s">
        <v>94</v>
      </c>
      <c r="E822" s="12" t="n">
        <v>16</v>
      </c>
      <c r="F822" s="9" t="s">
        <v>31</v>
      </c>
      <c r="G822" s="13" t="n">
        <v>50</v>
      </c>
      <c r="H822" s="9" t="s">
        <v>36</v>
      </c>
      <c r="I822" s="13" t="n">
        <v>1</v>
      </c>
      <c r="J822" s="1" t="str">
        <f aca="false">IF(A822="","", "SAMP-"&amp;A822&amp;"-L"&amp;TEXT(B822,"00")&amp;"-"&amp;TEXT(C822,"yyyymmdd")&amp;"-"&amp;D822&amp;"-H"&amp;TEXT(E822,"00")&amp;"-"&amp;H822)</f>
        <v>SAMP-KG01-L22-20251116-ORD-2025-00205-H16-Blister</v>
      </c>
      <c r="K822" s="1" t="str">
        <f aca="false">IF(A822="","",IF(AND(G822&gt;=0,I822&gt;=0,I822&lt;=G822),"OK","CHECK"))</f>
        <v>OK</v>
      </c>
      <c r="L822" s="1" t="str">
        <f aca="false">IF(A822="","",IF(AND(E822&gt;=0,E822&lt;=23),"OK","CHECK"))</f>
        <v>OK</v>
      </c>
      <c r="M822" s="1" t="str">
        <f aca="false">IF(A822="","",IF(AND(K822="OK",L822="OK"),"OK","CHECK"))</f>
        <v>OK</v>
      </c>
    </row>
    <row r="823" customFormat="false" ht="18" hidden="false" customHeight="true" outlineLevel="0" collapsed="false">
      <c r="A823" s="9" t="s">
        <v>26</v>
      </c>
      <c r="B823" s="9" t="n">
        <v>22</v>
      </c>
      <c r="C823" s="11" t="n">
        <v>45977</v>
      </c>
      <c r="D823" s="9" t="s">
        <v>94</v>
      </c>
      <c r="E823" s="12" t="n">
        <v>20</v>
      </c>
      <c r="F823" s="9" t="s">
        <v>31</v>
      </c>
      <c r="G823" s="13" t="n">
        <v>200</v>
      </c>
      <c r="H823" s="9" t="s">
        <v>41</v>
      </c>
      <c r="I823" s="13" t="n">
        <v>10</v>
      </c>
      <c r="J823" s="1" t="str">
        <f aca="false">IF(A823="","", "SAMP-"&amp;A823&amp;"-L"&amp;TEXT(B823,"00")&amp;"-"&amp;TEXT(C823,"yyyymmdd")&amp;"-"&amp;D823&amp;"-H"&amp;TEXT(E823,"00")&amp;"-"&amp;H823)</f>
        <v>SAMP-KG01-L22-20251116-ORD-2025-00205-H20-Chip</v>
      </c>
      <c r="K823" s="1" t="str">
        <f aca="false">IF(A823="","",IF(AND(G823&gt;=0,I823&gt;=0,I823&lt;=G823),"OK","CHECK"))</f>
        <v>OK</v>
      </c>
      <c r="L823" s="1" t="str">
        <f aca="false">IF(A823="","",IF(AND(E823&gt;=0,E823&lt;=23),"OK","CHECK"))</f>
        <v>OK</v>
      </c>
      <c r="M823" s="1" t="str">
        <f aca="false">IF(A823="","",IF(AND(K823="OK",L823="OK"),"OK","CHECK"))</f>
        <v>OK</v>
      </c>
    </row>
    <row r="824" customFormat="false" ht="18" hidden="false" customHeight="true" outlineLevel="0" collapsed="false">
      <c r="A824" s="9" t="s">
        <v>26</v>
      </c>
      <c r="B824" s="9" t="n">
        <v>22</v>
      </c>
      <c r="C824" s="11" t="n">
        <v>45978</v>
      </c>
      <c r="D824" s="9" t="s">
        <v>94</v>
      </c>
      <c r="E824" s="12" t="n">
        <v>7</v>
      </c>
      <c r="F824" s="9" t="s">
        <v>28</v>
      </c>
      <c r="G824" s="13" t="n">
        <v>150</v>
      </c>
      <c r="H824" s="9" t="s">
        <v>29</v>
      </c>
      <c r="I824" s="13" t="n">
        <v>3</v>
      </c>
      <c r="J824" s="1" t="str">
        <f aca="false">IF(A824="","", "SAMP-"&amp;A824&amp;"-L"&amp;TEXT(B824,"00")&amp;"-"&amp;TEXT(C824,"yyyymmdd")&amp;"-"&amp;D824&amp;"-H"&amp;TEXT(E824,"00")&amp;"-"&amp;H824)</f>
        <v>SAMP-KG01-L22-20251117-ORD-2025-00205-H07-Choke Neck</v>
      </c>
      <c r="K824" s="1" t="str">
        <f aca="false">IF(A824="","",IF(AND(G824&gt;=0,I824&gt;=0,I824&lt;=G824),"OK","CHECK"))</f>
        <v>OK</v>
      </c>
      <c r="L824" s="1" t="str">
        <f aca="false">IF(A824="","",IF(AND(E824&gt;=0,E824&lt;=23),"OK","CHECK"))</f>
        <v>OK</v>
      </c>
      <c r="M824" s="1" t="str">
        <f aca="false">IF(A824="","",IF(AND(K824="OK",L824="OK"),"OK","CHECK"))</f>
        <v>OK</v>
      </c>
    </row>
    <row r="825" customFormat="false" ht="18" hidden="false" customHeight="true" outlineLevel="0" collapsed="false">
      <c r="A825" s="9" t="s">
        <v>26</v>
      </c>
      <c r="B825" s="9" t="n">
        <v>22</v>
      </c>
      <c r="C825" s="11" t="n">
        <v>45978</v>
      </c>
      <c r="D825" s="9" t="s">
        <v>94</v>
      </c>
      <c r="E825" s="12" t="n">
        <v>12</v>
      </c>
      <c r="F825" s="9" t="s">
        <v>28</v>
      </c>
      <c r="G825" s="13" t="n">
        <v>200</v>
      </c>
      <c r="H825" s="9" t="s">
        <v>30</v>
      </c>
      <c r="I825" s="13" t="n">
        <v>4</v>
      </c>
      <c r="J825" s="1" t="str">
        <f aca="false">IF(A825="","", "SAMP-"&amp;A825&amp;"-L"&amp;TEXT(B825,"00")&amp;"-"&amp;TEXT(C825,"yyyymmdd")&amp;"-"&amp;D825&amp;"-H"&amp;TEXT(E825,"00")&amp;"-"&amp;H825)</f>
        <v>SAMP-KG01-L22-20251117-ORD-2025-00205-H12-Overpress</v>
      </c>
      <c r="K825" s="1" t="str">
        <f aca="false">IF(A825="","",IF(AND(G825&gt;=0,I825&gt;=0,I825&lt;=G825),"OK","CHECK"))</f>
        <v>OK</v>
      </c>
      <c r="L825" s="1" t="str">
        <f aca="false">IF(A825="","",IF(AND(E825&gt;=0,E825&lt;=23),"OK","CHECK"))</f>
        <v>OK</v>
      </c>
      <c r="M825" s="1" t="str">
        <f aca="false">IF(A825="","",IF(AND(K825="OK",L825="OK"),"OK","CHECK"))</f>
        <v>OK</v>
      </c>
    </row>
    <row r="826" customFormat="false" ht="18" hidden="false" customHeight="true" outlineLevel="0" collapsed="false">
      <c r="A826" s="9" t="s">
        <v>26</v>
      </c>
      <c r="B826" s="9" t="n">
        <v>22</v>
      </c>
      <c r="C826" s="11" t="n">
        <v>45978</v>
      </c>
      <c r="D826" s="9" t="s">
        <v>94</v>
      </c>
      <c r="E826" s="12" t="n">
        <v>9</v>
      </c>
      <c r="F826" s="9" t="s">
        <v>28</v>
      </c>
      <c r="G826" s="13" t="n">
        <v>150</v>
      </c>
      <c r="H826" s="9" t="s">
        <v>33</v>
      </c>
      <c r="I826" s="13" t="n">
        <v>7</v>
      </c>
      <c r="J826" s="1" t="str">
        <f aca="false">IF(A826="","", "SAMP-"&amp;A826&amp;"-L"&amp;TEXT(B826,"00")&amp;"-"&amp;TEXT(C826,"yyyymmdd")&amp;"-"&amp;D826&amp;"-H"&amp;TEXT(E826,"00")&amp;"-"&amp;H826)</f>
        <v>SAMP-KG01-L22-20251117-ORD-2025-00205-H09-Distortion</v>
      </c>
      <c r="K826" s="1" t="str">
        <f aca="false">IF(A826="","",IF(AND(G826&gt;=0,I826&gt;=0,I826&lt;=G826),"OK","CHECK"))</f>
        <v>OK</v>
      </c>
      <c r="L826" s="1" t="str">
        <f aca="false">IF(A826="","",IF(AND(E826&gt;=0,E826&lt;=23),"OK","CHECK"))</f>
        <v>OK</v>
      </c>
      <c r="M826" s="1" t="str">
        <f aca="false">IF(A826="","",IF(AND(K826="OK",L826="OK"),"OK","CHECK"))</f>
        <v>OK</v>
      </c>
    </row>
    <row r="827" customFormat="false" ht="18" hidden="false" customHeight="true" outlineLevel="0" collapsed="false">
      <c r="A827" s="9" t="s">
        <v>26</v>
      </c>
      <c r="B827" s="9" t="n">
        <v>22</v>
      </c>
      <c r="C827" s="11" t="n">
        <v>45978</v>
      </c>
      <c r="D827" s="9" t="s">
        <v>94</v>
      </c>
      <c r="E827" s="12" t="n">
        <v>20</v>
      </c>
      <c r="F827" s="9" t="s">
        <v>31</v>
      </c>
      <c r="G827" s="13" t="n">
        <v>150</v>
      </c>
      <c r="H827" s="9" t="s">
        <v>36</v>
      </c>
      <c r="I827" s="13" t="n">
        <v>2</v>
      </c>
      <c r="J827" s="1" t="str">
        <f aca="false">IF(A827="","", "SAMP-"&amp;A827&amp;"-L"&amp;TEXT(B827,"00")&amp;"-"&amp;TEXT(C827,"yyyymmdd")&amp;"-"&amp;D827&amp;"-H"&amp;TEXT(E827,"00")&amp;"-"&amp;H827)</f>
        <v>SAMP-KG01-L22-20251117-ORD-2025-00205-H20-Blister</v>
      </c>
      <c r="K827" s="1" t="str">
        <f aca="false">IF(A827="","",IF(AND(G827&gt;=0,I827&gt;=0,I827&lt;=G827),"OK","CHECK"))</f>
        <v>OK</v>
      </c>
      <c r="L827" s="1" t="str">
        <f aca="false">IF(A827="","",IF(AND(E827&gt;=0,E827&lt;=23),"OK","CHECK"))</f>
        <v>OK</v>
      </c>
      <c r="M827" s="1" t="str">
        <f aca="false">IF(A827="","",IF(AND(K827="OK",L827="OK"),"OK","CHECK"))</f>
        <v>OK</v>
      </c>
    </row>
    <row r="828" customFormat="false" ht="18" hidden="false" customHeight="true" outlineLevel="0" collapsed="false">
      <c r="A828" s="9" t="s">
        <v>26</v>
      </c>
      <c r="B828" s="9" t="n">
        <v>22</v>
      </c>
      <c r="C828" s="11" t="n">
        <v>45978</v>
      </c>
      <c r="D828" s="9" t="s">
        <v>94</v>
      </c>
      <c r="E828" s="12" t="n">
        <v>23</v>
      </c>
      <c r="F828" s="9" t="s">
        <v>31</v>
      </c>
      <c r="G828" s="13" t="n">
        <v>100</v>
      </c>
      <c r="H828" s="9" t="s">
        <v>34</v>
      </c>
      <c r="I828" s="13" t="n">
        <v>1</v>
      </c>
      <c r="J828" s="1" t="str">
        <f aca="false">IF(A828="","", "SAMP-"&amp;A828&amp;"-L"&amp;TEXT(B828,"00")&amp;"-"&amp;TEXT(C828,"yyyymmdd")&amp;"-"&amp;D828&amp;"-H"&amp;TEXT(E828,"00")&amp;"-"&amp;H828)</f>
        <v>SAMP-KG01-L22-20251117-ORD-2025-00205-H23-Thin Wall</v>
      </c>
      <c r="K828" s="1" t="str">
        <f aca="false">IF(A828="","",IF(AND(G828&gt;=0,I828&gt;=0,I828&lt;=G828),"OK","CHECK"))</f>
        <v>OK</v>
      </c>
      <c r="L828" s="1" t="str">
        <f aca="false">IF(A828="","",IF(AND(E828&gt;=0,E828&lt;=23),"OK","CHECK"))</f>
        <v>OK</v>
      </c>
      <c r="M828" s="1" t="str">
        <f aca="false">IF(A828="","",IF(AND(K828="OK",L828="OK"),"OK","CHECK"))</f>
        <v>OK</v>
      </c>
    </row>
    <row r="829" customFormat="false" ht="18" hidden="false" customHeight="true" outlineLevel="0" collapsed="false">
      <c r="A829" s="9" t="s">
        <v>26</v>
      </c>
      <c r="B829" s="9" t="n">
        <v>22</v>
      </c>
      <c r="C829" s="11" t="n">
        <v>45978</v>
      </c>
      <c r="D829" s="9" t="s">
        <v>94</v>
      </c>
      <c r="E829" s="12" t="n">
        <v>16</v>
      </c>
      <c r="F829" s="9" t="s">
        <v>31</v>
      </c>
      <c r="G829" s="13" t="n">
        <v>150</v>
      </c>
      <c r="H829" s="9" t="s">
        <v>30</v>
      </c>
      <c r="I829" s="13" t="n">
        <v>4</v>
      </c>
      <c r="J829" s="1" t="str">
        <f aca="false">IF(A829="","", "SAMP-"&amp;A829&amp;"-L"&amp;TEXT(B829,"00")&amp;"-"&amp;TEXT(C829,"yyyymmdd")&amp;"-"&amp;D829&amp;"-H"&amp;TEXT(E829,"00")&amp;"-"&amp;H829)</f>
        <v>SAMP-KG01-L22-20251117-ORD-2025-00205-H16-Overpress</v>
      </c>
      <c r="K829" s="1" t="str">
        <f aca="false">IF(A829="","",IF(AND(G829&gt;=0,I829&gt;=0,I829&lt;=G829),"OK","CHECK"))</f>
        <v>OK</v>
      </c>
      <c r="L829" s="1" t="str">
        <f aca="false">IF(A829="","",IF(AND(E829&gt;=0,E829&lt;=23),"OK","CHECK"))</f>
        <v>OK</v>
      </c>
      <c r="M829" s="1" t="str">
        <f aca="false">IF(A829="","",IF(AND(K829="OK",L829="OK"),"OK","CHECK"))</f>
        <v>OK</v>
      </c>
    </row>
    <row r="830" customFormat="false" ht="18" hidden="false" customHeight="true" outlineLevel="0" collapsed="false">
      <c r="A830" s="9" t="s">
        <v>26</v>
      </c>
      <c r="B830" s="9" t="n">
        <v>22</v>
      </c>
      <c r="C830" s="11" t="n">
        <v>45979</v>
      </c>
      <c r="D830" s="9" t="s">
        <v>94</v>
      </c>
      <c r="E830" s="12" t="n">
        <v>7</v>
      </c>
      <c r="F830" s="9" t="s">
        <v>28</v>
      </c>
      <c r="G830" s="13" t="n">
        <v>150</v>
      </c>
      <c r="H830" s="9" t="s">
        <v>33</v>
      </c>
      <c r="I830" s="13" t="n">
        <v>6</v>
      </c>
      <c r="J830" s="1" t="str">
        <f aca="false">IF(A830="","", "SAMP-"&amp;A830&amp;"-L"&amp;TEXT(B830,"00")&amp;"-"&amp;TEXT(C830,"yyyymmdd")&amp;"-"&amp;D830&amp;"-H"&amp;TEXT(E830,"00")&amp;"-"&amp;H830)</f>
        <v>SAMP-KG01-L22-20251118-ORD-2025-00205-H07-Distortion</v>
      </c>
      <c r="K830" s="1" t="str">
        <f aca="false">IF(A830="","",IF(AND(G830&gt;=0,I830&gt;=0,I830&lt;=G830),"OK","CHECK"))</f>
        <v>OK</v>
      </c>
      <c r="L830" s="1" t="str">
        <f aca="false">IF(A830="","",IF(AND(E830&gt;=0,E830&lt;=23),"OK","CHECK"))</f>
        <v>OK</v>
      </c>
      <c r="M830" s="1" t="str">
        <f aca="false">IF(A830="","",IF(AND(K830="OK",L830="OK"),"OK","CHECK"))</f>
        <v>OK</v>
      </c>
    </row>
    <row r="831" customFormat="false" ht="18" hidden="false" customHeight="true" outlineLevel="0" collapsed="false">
      <c r="A831" s="9" t="s">
        <v>26</v>
      </c>
      <c r="B831" s="9" t="n">
        <v>22</v>
      </c>
      <c r="C831" s="11" t="n">
        <v>45979</v>
      </c>
      <c r="D831" s="9" t="s">
        <v>94</v>
      </c>
      <c r="E831" s="12" t="n">
        <v>12</v>
      </c>
      <c r="F831" s="9" t="s">
        <v>28</v>
      </c>
      <c r="G831" s="13" t="n">
        <v>100</v>
      </c>
      <c r="H831" s="9" t="s">
        <v>35</v>
      </c>
      <c r="I831" s="13" t="n">
        <v>2</v>
      </c>
      <c r="J831" s="1" t="str">
        <f aca="false">IF(A831="","", "SAMP-"&amp;A831&amp;"-L"&amp;TEXT(B831,"00")&amp;"-"&amp;TEXT(C831,"yyyymmdd")&amp;"-"&amp;D831&amp;"-H"&amp;TEXT(E831,"00")&amp;"-"&amp;H831)</f>
        <v>SAMP-KG01-L22-20251118-ORD-2025-00205-H12-Stone</v>
      </c>
      <c r="K831" s="1" t="str">
        <f aca="false">IF(A831="","",IF(AND(G831&gt;=0,I831&gt;=0,I831&lt;=G831),"OK","CHECK"))</f>
        <v>OK</v>
      </c>
      <c r="L831" s="1" t="str">
        <f aca="false">IF(A831="","",IF(AND(E831&gt;=0,E831&lt;=23),"OK","CHECK"))</f>
        <v>OK</v>
      </c>
      <c r="M831" s="1" t="str">
        <f aca="false">IF(A831="","",IF(AND(K831="OK",L831="OK"),"OK","CHECK"))</f>
        <v>OK</v>
      </c>
    </row>
    <row r="832" customFormat="false" ht="18" hidden="false" customHeight="true" outlineLevel="0" collapsed="false">
      <c r="A832" s="9" t="s">
        <v>26</v>
      </c>
      <c r="B832" s="9" t="n">
        <v>22</v>
      </c>
      <c r="C832" s="11" t="n">
        <v>45979</v>
      </c>
      <c r="D832" s="9" t="s">
        <v>94</v>
      </c>
      <c r="E832" s="12" t="n">
        <v>16</v>
      </c>
      <c r="F832" s="9" t="s">
        <v>31</v>
      </c>
      <c r="G832" s="13" t="n">
        <v>150</v>
      </c>
      <c r="H832" s="9" t="s">
        <v>29</v>
      </c>
      <c r="I832" s="13" t="n">
        <v>4</v>
      </c>
      <c r="J832" s="1" t="str">
        <f aca="false">IF(A832="","", "SAMP-"&amp;A832&amp;"-L"&amp;TEXT(B832,"00")&amp;"-"&amp;TEXT(C832,"yyyymmdd")&amp;"-"&amp;D832&amp;"-H"&amp;TEXT(E832,"00")&amp;"-"&amp;H832)</f>
        <v>SAMP-KG01-L22-20251118-ORD-2025-00205-H16-Choke Neck</v>
      </c>
      <c r="K832" s="1" t="str">
        <f aca="false">IF(A832="","",IF(AND(G832&gt;=0,I832&gt;=0,I832&lt;=G832),"OK","CHECK"))</f>
        <v>OK</v>
      </c>
      <c r="L832" s="1" t="str">
        <f aca="false">IF(A832="","",IF(AND(E832&gt;=0,E832&lt;=23),"OK","CHECK"))</f>
        <v>OK</v>
      </c>
      <c r="M832" s="1" t="str">
        <f aca="false">IF(A832="","",IF(AND(K832="OK",L832="OK"),"OK","CHECK"))</f>
        <v>OK</v>
      </c>
    </row>
    <row r="833" customFormat="false" ht="18" hidden="false" customHeight="true" outlineLevel="0" collapsed="false">
      <c r="A833" s="9" t="s">
        <v>26</v>
      </c>
      <c r="B833" s="9" t="n">
        <v>22</v>
      </c>
      <c r="C833" s="11" t="n">
        <v>45979</v>
      </c>
      <c r="D833" s="9" t="s">
        <v>94</v>
      </c>
      <c r="E833" s="12" t="n">
        <v>20</v>
      </c>
      <c r="F833" s="9" t="s">
        <v>31</v>
      </c>
      <c r="G833" s="13" t="n">
        <v>200</v>
      </c>
      <c r="H833" s="9" t="s">
        <v>29</v>
      </c>
      <c r="I833" s="13" t="n">
        <v>4</v>
      </c>
      <c r="J833" s="1" t="str">
        <f aca="false">IF(A833="","", "SAMP-"&amp;A833&amp;"-L"&amp;TEXT(B833,"00")&amp;"-"&amp;TEXT(C833,"yyyymmdd")&amp;"-"&amp;D833&amp;"-H"&amp;TEXT(E833,"00")&amp;"-"&amp;H833)</f>
        <v>SAMP-KG01-L22-20251118-ORD-2025-00205-H20-Choke Neck</v>
      </c>
      <c r="K833" s="1" t="str">
        <f aca="false">IF(A833="","",IF(AND(G833&gt;=0,I833&gt;=0,I833&lt;=G833),"OK","CHECK"))</f>
        <v>OK</v>
      </c>
      <c r="L833" s="1" t="str">
        <f aca="false">IF(A833="","",IF(AND(E833&gt;=0,E833&lt;=23),"OK","CHECK"))</f>
        <v>OK</v>
      </c>
      <c r="M833" s="1" t="str">
        <f aca="false">IF(A833="","",IF(AND(K833="OK",L833="OK"),"OK","CHECK"))</f>
        <v>OK</v>
      </c>
    </row>
    <row r="834" customFormat="false" ht="18" hidden="false" customHeight="true" outlineLevel="0" collapsed="false">
      <c r="A834" s="9" t="s">
        <v>26</v>
      </c>
      <c r="B834" s="9" t="n">
        <v>22</v>
      </c>
      <c r="C834" s="11" t="n">
        <v>45979</v>
      </c>
      <c r="D834" s="9" t="s">
        <v>94</v>
      </c>
      <c r="E834" s="12" t="n">
        <v>23</v>
      </c>
      <c r="F834" s="9" t="s">
        <v>31</v>
      </c>
      <c r="G834" s="13" t="n">
        <v>100</v>
      </c>
      <c r="H834" s="9" t="s">
        <v>36</v>
      </c>
      <c r="I834" s="13" t="n">
        <v>4</v>
      </c>
      <c r="J834" s="1" t="str">
        <f aca="false">IF(A834="","", "SAMP-"&amp;A834&amp;"-L"&amp;TEXT(B834,"00")&amp;"-"&amp;TEXT(C834,"yyyymmdd")&amp;"-"&amp;D834&amp;"-H"&amp;TEXT(E834,"00")&amp;"-"&amp;H834)</f>
        <v>SAMP-KG01-L22-20251118-ORD-2025-00205-H23-Blister</v>
      </c>
      <c r="K834" s="1" t="str">
        <f aca="false">IF(A834="","",IF(AND(G834&gt;=0,I834&gt;=0,I834&lt;=G834),"OK","CHECK"))</f>
        <v>OK</v>
      </c>
      <c r="L834" s="1" t="str">
        <f aca="false">IF(A834="","",IF(AND(E834&gt;=0,E834&lt;=23),"OK","CHECK"))</f>
        <v>OK</v>
      </c>
      <c r="M834" s="1" t="str">
        <f aca="false">IF(A834="","",IF(AND(K834="OK",L834="OK"),"OK","CHECK"))</f>
        <v>OK</v>
      </c>
    </row>
    <row r="835" customFormat="false" ht="18" hidden="false" customHeight="true" outlineLevel="0" collapsed="false">
      <c r="A835" s="9" t="s">
        <v>26</v>
      </c>
      <c r="B835" s="9" t="n">
        <v>22</v>
      </c>
      <c r="C835" s="11" t="n">
        <v>45980</v>
      </c>
      <c r="D835" s="9" t="s">
        <v>95</v>
      </c>
      <c r="E835" s="12" t="n">
        <v>9</v>
      </c>
      <c r="F835" s="9" t="s">
        <v>28</v>
      </c>
      <c r="G835" s="13" t="n">
        <v>200</v>
      </c>
      <c r="H835" s="9" t="s">
        <v>38</v>
      </c>
      <c r="I835" s="13" t="n">
        <v>2</v>
      </c>
      <c r="J835" s="1" t="str">
        <f aca="false">IF(A835="","", "SAMP-"&amp;A835&amp;"-L"&amp;TEXT(B835,"00")&amp;"-"&amp;TEXT(C835,"yyyymmdd")&amp;"-"&amp;D835&amp;"-H"&amp;TEXT(E835,"00")&amp;"-"&amp;H835)</f>
        <v>SAMP-KG01-L22-20251119-ORD-2025-00206-H09-Crack</v>
      </c>
      <c r="K835" s="1" t="str">
        <f aca="false">IF(A835="","",IF(AND(G835&gt;=0,I835&gt;=0,I835&lt;=G835),"OK","CHECK"))</f>
        <v>OK</v>
      </c>
      <c r="L835" s="1" t="str">
        <f aca="false">IF(A835="","",IF(AND(E835&gt;=0,E835&lt;=23),"OK","CHECK"))</f>
        <v>OK</v>
      </c>
      <c r="M835" s="1" t="str">
        <f aca="false">IF(A835="","",IF(AND(K835="OK",L835="OK"),"OK","CHECK"))</f>
        <v>OK</v>
      </c>
    </row>
    <row r="836" customFormat="false" ht="18" hidden="false" customHeight="true" outlineLevel="0" collapsed="false">
      <c r="A836" s="9" t="s">
        <v>26</v>
      </c>
      <c r="B836" s="9" t="n">
        <v>22</v>
      </c>
      <c r="C836" s="11" t="n">
        <v>45980</v>
      </c>
      <c r="D836" s="9" t="s">
        <v>95</v>
      </c>
      <c r="E836" s="12" t="n">
        <v>7</v>
      </c>
      <c r="F836" s="9" t="s">
        <v>28</v>
      </c>
      <c r="G836" s="13" t="n">
        <v>200</v>
      </c>
      <c r="H836" s="9" t="s">
        <v>30</v>
      </c>
      <c r="I836" s="13" t="n">
        <v>3</v>
      </c>
      <c r="J836" s="1" t="str">
        <f aca="false">IF(A836="","", "SAMP-"&amp;A836&amp;"-L"&amp;TEXT(B836,"00")&amp;"-"&amp;TEXT(C836,"yyyymmdd")&amp;"-"&amp;D836&amp;"-H"&amp;TEXT(E836,"00")&amp;"-"&amp;H836)</f>
        <v>SAMP-KG01-L22-20251119-ORD-2025-00206-H07-Overpress</v>
      </c>
      <c r="K836" s="1" t="str">
        <f aca="false">IF(A836="","",IF(AND(G836&gt;=0,I836&gt;=0,I836&lt;=G836),"OK","CHECK"))</f>
        <v>OK</v>
      </c>
      <c r="L836" s="1" t="str">
        <f aca="false">IF(A836="","",IF(AND(E836&gt;=0,E836&lt;=23),"OK","CHECK"))</f>
        <v>OK</v>
      </c>
      <c r="M836" s="1" t="str">
        <f aca="false">IF(A836="","",IF(AND(K836="OK",L836="OK"),"OK","CHECK"))</f>
        <v>OK</v>
      </c>
    </row>
    <row r="837" customFormat="false" ht="18" hidden="false" customHeight="true" outlineLevel="0" collapsed="false">
      <c r="A837" s="9" t="s">
        <v>26</v>
      </c>
      <c r="B837" s="9" t="n">
        <v>22</v>
      </c>
      <c r="C837" s="11" t="n">
        <v>45980</v>
      </c>
      <c r="D837" s="9" t="s">
        <v>95</v>
      </c>
      <c r="E837" s="12" t="n">
        <v>12</v>
      </c>
      <c r="F837" s="9" t="s">
        <v>28</v>
      </c>
      <c r="G837" s="13" t="n">
        <v>150</v>
      </c>
      <c r="H837" s="9" t="s">
        <v>30</v>
      </c>
      <c r="I837" s="13" t="n">
        <v>1</v>
      </c>
      <c r="J837" s="1" t="str">
        <f aca="false">IF(A837="","", "SAMP-"&amp;A837&amp;"-L"&amp;TEXT(B837,"00")&amp;"-"&amp;TEXT(C837,"yyyymmdd")&amp;"-"&amp;D837&amp;"-H"&amp;TEXT(E837,"00")&amp;"-"&amp;H837)</f>
        <v>SAMP-KG01-L22-20251119-ORD-2025-00206-H12-Overpress</v>
      </c>
      <c r="K837" s="1" t="str">
        <f aca="false">IF(A837="","",IF(AND(G837&gt;=0,I837&gt;=0,I837&lt;=G837),"OK","CHECK"))</f>
        <v>OK</v>
      </c>
      <c r="L837" s="1" t="str">
        <f aca="false">IF(A837="","",IF(AND(E837&gt;=0,E837&lt;=23),"OK","CHECK"))</f>
        <v>OK</v>
      </c>
      <c r="M837" s="1" t="str">
        <f aca="false">IF(A837="","",IF(AND(K837="OK",L837="OK"),"OK","CHECK"))</f>
        <v>OK</v>
      </c>
    </row>
    <row r="838" customFormat="false" ht="18" hidden="false" customHeight="true" outlineLevel="0" collapsed="false">
      <c r="A838" s="9" t="s">
        <v>26</v>
      </c>
      <c r="B838" s="9" t="n">
        <v>22</v>
      </c>
      <c r="C838" s="11" t="n">
        <v>45980</v>
      </c>
      <c r="D838" s="9" t="s">
        <v>95</v>
      </c>
      <c r="E838" s="12" t="n">
        <v>16</v>
      </c>
      <c r="F838" s="9" t="s">
        <v>31</v>
      </c>
      <c r="G838" s="13" t="n">
        <v>200</v>
      </c>
      <c r="H838" s="9" t="s">
        <v>30</v>
      </c>
      <c r="I838" s="13" t="n">
        <v>6</v>
      </c>
      <c r="J838" s="1" t="str">
        <f aca="false">IF(A838="","", "SAMP-"&amp;A838&amp;"-L"&amp;TEXT(B838,"00")&amp;"-"&amp;TEXT(C838,"yyyymmdd")&amp;"-"&amp;D838&amp;"-H"&amp;TEXT(E838,"00")&amp;"-"&amp;H838)</f>
        <v>SAMP-KG01-L22-20251119-ORD-2025-00206-H16-Overpress</v>
      </c>
      <c r="K838" s="1" t="str">
        <f aca="false">IF(A838="","",IF(AND(G838&gt;=0,I838&gt;=0,I838&lt;=G838),"OK","CHECK"))</f>
        <v>OK</v>
      </c>
      <c r="L838" s="1" t="str">
        <f aca="false">IF(A838="","",IF(AND(E838&gt;=0,E838&lt;=23),"OK","CHECK"))</f>
        <v>OK</v>
      </c>
      <c r="M838" s="1" t="str">
        <f aca="false">IF(A838="","",IF(AND(K838="OK",L838="OK"),"OK","CHECK"))</f>
        <v>OK</v>
      </c>
    </row>
    <row r="839" customFormat="false" ht="18" hidden="false" customHeight="true" outlineLevel="0" collapsed="false">
      <c r="A839" s="9" t="s">
        <v>26</v>
      </c>
      <c r="B839" s="9" t="n">
        <v>22</v>
      </c>
      <c r="C839" s="11" t="n">
        <v>45980</v>
      </c>
      <c r="D839" s="9" t="s">
        <v>95</v>
      </c>
      <c r="E839" s="12" t="n">
        <v>20</v>
      </c>
      <c r="F839" s="9" t="s">
        <v>31</v>
      </c>
      <c r="G839" s="13" t="n">
        <v>150</v>
      </c>
      <c r="H839" s="9" t="s">
        <v>35</v>
      </c>
      <c r="I839" s="13" t="n">
        <v>1</v>
      </c>
      <c r="J839" s="1" t="str">
        <f aca="false">IF(A839="","", "SAMP-"&amp;A839&amp;"-L"&amp;TEXT(B839,"00")&amp;"-"&amp;TEXT(C839,"yyyymmdd")&amp;"-"&amp;D839&amp;"-H"&amp;TEXT(E839,"00")&amp;"-"&amp;H839)</f>
        <v>SAMP-KG01-L22-20251119-ORD-2025-00206-H20-Stone</v>
      </c>
      <c r="K839" s="1" t="str">
        <f aca="false">IF(A839="","",IF(AND(G839&gt;=0,I839&gt;=0,I839&lt;=G839),"OK","CHECK"))</f>
        <v>OK</v>
      </c>
      <c r="L839" s="1" t="str">
        <f aca="false">IF(A839="","",IF(AND(E839&gt;=0,E839&lt;=23),"OK","CHECK"))</f>
        <v>OK</v>
      </c>
      <c r="M839" s="1" t="str">
        <f aca="false">IF(A839="","",IF(AND(K839="OK",L839="OK"),"OK","CHECK"))</f>
        <v>OK</v>
      </c>
    </row>
    <row r="840" customFormat="false" ht="18" hidden="false" customHeight="true" outlineLevel="0" collapsed="false">
      <c r="A840" s="9" t="s">
        <v>26</v>
      </c>
      <c r="B840" s="9" t="n">
        <v>22</v>
      </c>
      <c r="C840" s="11" t="n">
        <v>45980</v>
      </c>
      <c r="D840" s="9" t="s">
        <v>95</v>
      </c>
      <c r="E840" s="12" t="n">
        <v>23</v>
      </c>
      <c r="F840" s="9" t="s">
        <v>31</v>
      </c>
      <c r="G840" s="13" t="n">
        <v>200</v>
      </c>
      <c r="H840" s="9" t="s">
        <v>34</v>
      </c>
      <c r="I840" s="13" t="n">
        <v>6</v>
      </c>
      <c r="J840" s="1" t="str">
        <f aca="false">IF(A840="","", "SAMP-"&amp;A840&amp;"-L"&amp;TEXT(B840,"00")&amp;"-"&amp;TEXT(C840,"yyyymmdd")&amp;"-"&amp;D840&amp;"-H"&amp;TEXT(E840,"00")&amp;"-"&amp;H840)</f>
        <v>SAMP-KG01-L22-20251119-ORD-2025-00206-H23-Thin Wall</v>
      </c>
      <c r="K840" s="1" t="str">
        <f aca="false">IF(A840="","",IF(AND(G840&gt;=0,I840&gt;=0,I840&lt;=G840),"OK","CHECK"))</f>
        <v>OK</v>
      </c>
      <c r="L840" s="1" t="str">
        <f aca="false">IF(A840="","",IF(AND(E840&gt;=0,E840&lt;=23),"OK","CHECK"))</f>
        <v>OK</v>
      </c>
      <c r="M840" s="1" t="str">
        <f aca="false">IF(A840="","",IF(AND(K840="OK",L840="OK"),"OK","CHECK"))</f>
        <v>OK</v>
      </c>
    </row>
    <row r="841" customFormat="false" ht="18" hidden="false" customHeight="true" outlineLevel="0" collapsed="false">
      <c r="A841" s="9" t="s">
        <v>26</v>
      </c>
      <c r="B841" s="9" t="n">
        <v>22</v>
      </c>
      <c r="C841" s="11" t="n">
        <v>45981</v>
      </c>
      <c r="D841" s="9" t="s">
        <v>95</v>
      </c>
      <c r="E841" s="12" t="n">
        <v>12</v>
      </c>
      <c r="F841" s="9" t="s">
        <v>28</v>
      </c>
      <c r="G841" s="13" t="n">
        <v>150</v>
      </c>
      <c r="H841" s="9" t="s">
        <v>38</v>
      </c>
      <c r="I841" s="13" t="n">
        <v>0</v>
      </c>
      <c r="J841" s="1" t="str">
        <f aca="false">IF(A841="","", "SAMP-"&amp;A841&amp;"-L"&amp;TEXT(B841,"00")&amp;"-"&amp;TEXT(C841,"yyyymmdd")&amp;"-"&amp;D841&amp;"-H"&amp;TEXT(E841,"00")&amp;"-"&amp;H841)</f>
        <v>SAMP-KG01-L22-20251120-ORD-2025-00206-H12-Crack</v>
      </c>
      <c r="K841" s="1" t="str">
        <f aca="false">IF(A841="","",IF(AND(G841&gt;=0,I841&gt;=0,I841&lt;=G841),"OK","CHECK"))</f>
        <v>OK</v>
      </c>
      <c r="L841" s="1" t="str">
        <f aca="false">IF(A841="","",IF(AND(E841&gt;=0,E841&lt;=23),"OK","CHECK"))</f>
        <v>OK</v>
      </c>
      <c r="M841" s="1" t="str">
        <f aca="false">IF(A841="","",IF(AND(K841="OK",L841="OK"),"OK","CHECK"))</f>
        <v>OK</v>
      </c>
    </row>
    <row r="842" customFormat="false" ht="18" hidden="false" customHeight="true" outlineLevel="0" collapsed="false">
      <c r="A842" s="9" t="s">
        <v>26</v>
      </c>
      <c r="B842" s="9" t="n">
        <v>22</v>
      </c>
      <c r="C842" s="11" t="n">
        <v>45981</v>
      </c>
      <c r="D842" s="9" t="s">
        <v>95</v>
      </c>
      <c r="E842" s="12" t="n">
        <v>7</v>
      </c>
      <c r="F842" s="9" t="s">
        <v>28</v>
      </c>
      <c r="G842" s="13" t="n">
        <v>50</v>
      </c>
      <c r="H842" s="9" t="s">
        <v>30</v>
      </c>
      <c r="I842" s="13" t="n">
        <v>1</v>
      </c>
      <c r="J842" s="1" t="str">
        <f aca="false">IF(A842="","", "SAMP-"&amp;A842&amp;"-L"&amp;TEXT(B842,"00")&amp;"-"&amp;TEXT(C842,"yyyymmdd")&amp;"-"&amp;D842&amp;"-H"&amp;TEXT(E842,"00")&amp;"-"&amp;H842)</f>
        <v>SAMP-KG01-L22-20251120-ORD-2025-00206-H07-Overpress</v>
      </c>
      <c r="K842" s="1" t="str">
        <f aca="false">IF(A842="","",IF(AND(G842&gt;=0,I842&gt;=0,I842&lt;=G842),"OK","CHECK"))</f>
        <v>OK</v>
      </c>
      <c r="L842" s="1" t="str">
        <f aca="false">IF(A842="","",IF(AND(E842&gt;=0,E842&lt;=23),"OK","CHECK"))</f>
        <v>OK</v>
      </c>
      <c r="M842" s="1" t="str">
        <f aca="false">IF(A842="","",IF(AND(K842="OK",L842="OK"),"OK","CHECK"))</f>
        <v>OK</v>
      </c>
    </row>
    <row r="843" customFormat="false" ht="18" hidden="false" customHeight="true" outlineLevel="0" collapsed="false">
      <c r="A843" s="9" t="s">
        <v>26</v>
      </c>
      <c r="B843" s="9" t="n">
        <v>22</v>
      </c>
      <c r="C843" s="11" t="n">
        <v>45981</v>
      </c>
      <c r="D843" s="9" t="s">
        <v>95</v>
      </c>
      <c r="E843" s="12" t="n">
        <v>23</v>
      </c>
      <c r="F843" s="9" t="s">
        <v>31</v>
      </c>
      <c r="G843" s="13" t="n">
        <v>100</v>
      </c>
      <c r="H843" s="9" t="s">
        <v>36</v>
      </c>
      <c r="I843" s="13" t="n">
        <v>2</v>
      </c>
      <c r="J843" s="1" t="str">
        <f aca="false">IF(A843="","", "SAMP-"&amp;A843&amp;"-L"&amp;TEXT(B843,"00")&amp;"-"&amp;TEXT(C843,"yyyymmdd")&amp;"-"&amp;D843&amp;"-H"&amp;TEXT(E843,"00")&amp;"-"&amp;H843)</f>
        <v>SAMP-KG01-L22-20251120-ORD-2025-00206-H23-Blister</v>
      </c>
      <c r="K843" s="1" t="str">
        <f aca="false">IF(A843="","",IF(AND(G843&gt;=0,I843&gt;=0,I843&lt;=G843),"OK","CHECK"))</f>
        <v>OK</v>
      </c>
      <c r="L843" s="1" t="str">
        <f aca="false">IF(A843="","",IF(AND(E843&gt;=0,E843&lt;=23),"OK","CHECK"))</f>
        <v>OK</v>
      </c>
      <c r="M843" s="1" t="str">
        <f aca="false">IF(A843="","",IF(AND(K843="OK",L843="OK"),"OK","CHECK"))</f>
        <v>OK</v>
      </c>
    </row>
    <row r="844" customFormat="false" ht="18" hidden="false" customHeight="true" outlineLevel="0" collapsed="false">
      <c r="A844" s="9" t="s">
        <v>26</v>
      </c>
      <c r="B844" s="9" t="n">
        <v>22</v>
      </c>
      <c r="C844" s="11" t="n">
        <v>45981</v>
      </c>
      <c r="D844" s="9" t="s">
        <v>95</v>
      </c>
      <c r="E844" s="12" t="n">
        <v>20</v>
      </c>
      <c r="F844" s="9" t="s">
        <v>31</v>
      </c>
      <c r="G844" s="13" t="n">
        <v>100</v>
      </c>
      <c r="H844" s="9" t="s">
        <v>37</v>
      </c>
      <c r="I844" s="13" t="n">
        <v>4</v>
      </c>
      <c r="J844" s="1" t="str">
        <f aca="false">IF(A844="","", "SAMP-"&amp;A844&amp;"-L"&amp;TEXT(B844,"00")&amp;"-"&amp;TEXT(C844,"yyyymmdd")&amp;"-"&amp;D844&amp;"-H"&amp;TEXT(E844,"00")&amp;"-"&amp;H844)</f>
        <v>SAMP-KG01-L22-20251120-ORD-2025-00206-H20-Bird Swing</v>
      </c>
      <c r="K844" s="1" t="str">
        <f aca="false">IF(A844="","",IF(AND(G844&gt;=0,I844&gt;=0,I844&lt;=G844),"OK","CHECK"))</f>
        <v>OK</v>
      </c>
      <c r="L844" s="1" t="str">
        <f aca="false">IF(A844="","",IF(AND(E844&gt;=0,E844&lt;=23),"OK","CHECK"))</f>
        <v>OK</v>
      </c>
      <c r="M844" s="1" t="str">
        <f aca="false">IF(A844="","",IF(AND(K844="OK",L844="OK"),"OK","CHECK"))</f>
        <v>OK</v>
      </c>
    </row>
    <row r="845" customFormat="false" ht="18" hidden="false" customHeight="true" outlineLevel="0" collapsed="false">
      <c r="A845" s="9" t="s">
        <v>26</v>
      </c>
      <c r="B845" s="9" t="n">
        <v>22</v>
      </c>
      <c r="C845" s="11" t="n">
        <v>45981</v>
      </c>
      <c r="D845" s="9" t="s">
        <v>95</v>
      </c>
      <c r="E845" s="12" t="n">
        <v>16</v>
      </c>
      <c r="F845" s="9" t="s">
        <v>31</v>
      </c>
      <c r="G845" s="13" t="n">
        <v>150</v>
      </c>
      <c r="H845" s="9" t="s">
        <v>38</v>
      </c>
      <c r="I845" s="13" t="n">
        <v>0</v>
      </c>
      <c r="J845" s="1" t="str">
        <f aca="false">IF(A845="","", "SAMP-"&amp;A845&amp;"-L"&amp;TEXT(B845,"00")&amp;"-"&amp;TEXT(C845,"yyyymmdd")&amp;"-"&amp;D845&amp;"-H"&amp;TEXT(E845,"00")&amp;"-"&amp;H845)</f>
        <v>SAMP-KG01-L22-20251120-ORD-2025-00206-H16-Crack</v>
      </c>
      <c r="K845" s="1" t="str">
        <f aca="false">IF(A845="","",IF(AND(G845&gt;=0,I845&gt;=0,I845&lt;=G845),"OK","CHECK"))</f>
        <v>OK</v>
      </c>
      <c r="L845" s="1" t="str">
        <f aca="false">IF(A845="","",IF(AND(E845&gt;=0,E845&lt;=23),"OK","CHECK"))</f>
        <v>OK</v>
      </c>
      <c r="M845" s="1" t="str">
        <f aca="false">IF(A845="","",IF(AND(K845="OK",L845="OK"),"OK","CHECK"))</f>
        <v>OK</v>
      </c>
    </row>
    <row r="846" customFormat="false" ht="18" hidden="false" customHeight="true" outlineLevel="0" collapsed="false">
      <c r="A846" s="9" t="s">
        <v>26</v>
      </c>
      <c r="B846" s="9" t="n">
        <v>22</v>
      </c>
      <c r="C846" s="11" t="n">
        <v>45982</v>
      </c>
      <c r="D846" s="9" t="s">
        <v>95</v>
      </c>
      <c r="E846" s="12" t="n">
        <v>12</v>
      </c>
      <c r="F846" s="9" t="s">
        <v>28</v>
      </c>
      <c r="G846" s="13" t="n">
        <v>100</v>
      </c>
      <c r="H846" s="9" t="s">
        <v>41</v>
      </c>
      <c r="I846" s="13" t="n">
        <v>3</v>
      </c>
      <c r="J846" s="1" t="str">
        <f aca="false">IF(A846="","", "SAMP-"&amp;A846&amp;"-L"&amp;TEXT(B846,"00")&amp;"-"&amp;TEXT(C846,"yyyymmdd")&amp;"-"&amp;D846&amp;"-H"&amp;TEXT(E846,"00")&amp;"-"&amp;H846)</f>
        <v>SAMP-KG01-L22-20251121-ORD-2025-00206-H12-Chip</v>
      </c>
      <c r="K846" s="1" t="str">
        <f aca="false">IF(A846="","",IF(AND(G846&gt;=0,I846&gt;=0,I846&lt;=G846),"OK","CHECK"))</f>
        <v>OK</v>
      </c>
      <c r="L846" s="1" t="str">
        <f aca="false">IF(A846="","",IF(AND(E846&gt;=0,E846&lt;=23),"OK","CHECK"))</f>
        <v>OK</v>
      </c>
      <c r="M846" s="1" t="str">
        <f aca="false">IF(A846="","",IF(AND(K846="OK",L846="OK"),"OK","CHECK"))</f>
        <v>OK</v>
      </c>
    </row>
    <row r="847" customFormat="false" ht="18" hidden="false" customHeight="true" outlineLevel="0" collapsed="false">
      <c r="A847" s="9" t="s">
        <v>26</v>
      </c>
      <c r="B847" s="9" t="n">
        <v>22</v>
      </c>
      <c r="C847" s="11" t="n">
        <v>45982</v>
      </c>
      <c r="D847" s="9" t="s">
        <v>95</v>
      </c>
      <c r="E847" s="12" t="n">
        <v>9</v>
      </c>
      <c r="F847" s="9" t="s">
        <v>28</v>
      </c>
      <c r="G847" s="13" t="n">
        <v>200</v>
      </c>
      <c r="H847" s="9" t="s">
        <v>35</v>
      </c>
      <c r="I847" s="13" t="n">
        <v>6</v>
      </c>
      <c r="J847" s="1" t="str">
        <f aca="false">IF(A847="","", "SAMP-"&amp;A847&amp;"-L"&amp;TEXT(B847,"00")&amp;"-"&amp;TEXT(C847,"yyyymmdd")&amp;"-"&amp;D847&amp;"-H"&amp;TEXT(E847,"00")&amp;"-"&amp;H847)</f>
        <v>SAMP-KG01-L22-20251121-ORD-2025-00206-H09-Stone</v>
      </c>
      <c r="K847" s="1" t="str">
        <f aca="false">IF(A847="","",IF(AND(G847&gt;=0,I847&gt;=0,I847&lt;=G847),"OK","CHECK"))</f>
        <v>OK</v>
      </c>
      <c r="L847" s="1" t="str">
        <f aca="false">IF(A847="","",IF(AND(E847&gt;=0,E847&lt;=23),"OK","CHECK"))</f>
        <v>OK</v>
      </c>
      <c r="M847" s="1" t="str">
        <f aca="false">IF(A847="","",IF(AND(K847="OK",L847="OK"),"OK","CHECK"))</f>
        <v>OK</v>
      </c>
    </row>
    <row r="848" customFormat="false" ht="18" hidden="false" customHeight="true" outlineLevel="0" collapsed="false">
      <c r="A848" s="9" t="s">
        <v>26</v>
      </c>
      <c r="B848" s="9" t="n">
        <v>22</v>
      </c>
      <c r="C848" s="11" t="n">
        <v>45982</v>
      </c>
      <c r="D848" s="9" t="s">
        <v>95</v>
      </c>
      <c r="E848" s="12" t="n">
        <v>7</v>
      </c>
      <c r="F848" s="9" t="s">
        <v>28</v>
      </c>
      <c r="G848" s="13" t="n">
        <v>150</v>
      </c>
      <c r="H848" s="9" t="s">
        <v>36</v>
      </c>
      <c r="I848" s="13" t="n">
        <v>1</v>
      </c>
      <c r="J848" s="1" t="str">
        <f aca="false">IF(A848="","", "SAMP-"&amp;A848&amp;"-L"&amp;TEXT(B848,"00")&amp;"-"&amp;TEXT(C848,"yyyymmdd")&amp;"-"&amp;D848&amp;"-H"&amp;TEXT(E848,"00")&amp;"-"&amp;H848)</f>
        <v>SAMP-KG01-L22-20251121-ORD-2025-00206-H07-Blister</v>
      </c>
      <c r="K848" s="1" t="str">
        <f aca="false">IF(A848="","",IF(AND(G848&gt;=0,I848&gt;=0,I848&lt;=G848),"OK","CHECK"))</f>
        <v>OK</v>
      </c>
      <c r="L848" s="1" t="str">
        <f aca="false">IF(A848="","",IF(AND(E848&gt;=0,E848&lt;=23),"OK","CHECK"))</f>
        <v>OK</v>
      </c>
      <c r="M848" s="1" t="str">
        <f aca="false">IF(A848="","",IF(AND(K848="OK",L848="OK"),"OK","CHECK"))</f>
        <v>OK</v>
      </c>
    </row>
    <row r="849" customFormat="false" ht="18" hidden="false" customHeight="true" outlineLevel="0" collapsed="false">
      <c r="A849" s="9" t="s">
        <v>26</v>
      </c>
      <c r="B849" s="9" t="n">
        <v>22</v>
      </c>
      <c r="C849" s="11" t="n">
        <v>45982</v>
      </c>
      <c r="D849" s="9" t="s">
        <v>95</v>
      </c>
      <c r="E849" s="12" t="n">
        <v>16</v>
      </c>
      <c r="F849" s="9" t="s">
        <v>31</v>
      </c>
      <c r="G849" s="13" t="n">
        <v>150</v>
      </c>
      <c r="H849" s="9" t="s">
        <v>41</v>
      </c>
      <c r="I849" s="13" t="n">
        <v>5</v>
      </c>
      <c r="J849" s="1" t="str">
        <f aca="false">IF(A849="","", "SAMP-"&amp;A849&amp;"-L"&amp;TEXT(B849,"00")&amp;"-"&amp;TEXT(C849,"yyyymmdd")&amp;"-"&amp;D849&amp;"-H"&amp;TEXT(E849,"00")&amp;"-"&amp;H849)</f>
        <v>SAMP-KG01-L22-20251121-ORD-2025-00206-H16-Chip</v>
      </c>
      <c r="K849" s="1" t="str">
        <f aca="false">IF(A849="","",IF(AND(G849&gt;=0,I849&gt;=0,I849&lt;=G849),"OK","CHECK"))</f>
        <v>OK</v>
      </c>
      <c r="L849" s="1" t="str">
        <f aca="false">IF(A849="","",IF(AND(E849&gt;=0,E849&lt;=23),"OK","CHECK"))</f>
        <v>OK</v>
      </c>
      <c r="M849" s="1" t="str">
        <f aca="false">IF(A849="","",IF(AND(K849="OK",L849="OK"),"OK","CHECK"))</f>
        <v>OK</v>
      </c>
    </row>
    <row r="850" customFormat="false" ht="18" hidden="false" customHeight="true" outlineLevel="0" collapsed="false">
      <c r="A850" s="9" t="s">
        <v>26</v>
      </c>
      <c r="B850" s="9" t="n">
        <v>22</v>
      </c>
      <c r="C850" s="11" t="n">
        <v>45982</v>
      </c>
      <c r="D850" s="9" t="s">
        <v>95</v>
      </c>
      <c r="E850" s="12" t="n">
        <v>20</v>
      </c>
      <c r="F850" s="9" t="s">
        <v>31</v>
      </c>
      <c r="G850" s="13" t="n">
        <v>50</v>
      </c>
      <c r="H850" s="9" t="s">
        <v>41</v>
      </c>
      <c r="I850" s="13" t="n">
        <v>1</v>
      </c>
      <c r="J850" s="1" t="str">
        <f aca="false">IF(A850="","", "SAMP-"&amp;A850&amp;"-L"&amp;TEXT(B850,"00")&amp;"-"&amp;TEXT(C850,"yyyymmdd")&amp;"-"&amp;D850&amp;"-H"&amp;TEXT(E850,"00")&amp;"-"&amp;H850)</f>
        <v>SAMP-KG01-L22-20251121-ORD-2025-00206-H20-Chip</v>
      </c>
      <c r="K850" s="1" t="str">
        <f aca="false">IF(A850="","",IF(AND(G850&gt;=0,I850&gt;=0,I850&lt;=G850),"OK","CHECK"))</f>
        <v>OK</v>
      </c>
      <c r="L850" s="1" t="str">
        <f aca="false">IF(A850="","",IF(AND(E850&gt;=0,E850&lt;=23),"OK","CHECK"))</f>
        <v>OK</v>
      </c>
      <c r="M850" s="1" t="str">
        <f aca="false">IF(A850="","",IF(AND(K850="OK",L850="OK"),"OK","CHECK"))</f>
        <v>OK</v>
      </c>
    </row>
    <row r="851" customFormat="false" ht="18" hidden="false" customHeight="true" outlineLevel="0" collapsed="false">
      <c r="A851" s="9" t="s">
        <v>26</v>
      </c>
      <c r="B851" s="9" t="n">
        <v>22</v>
      </c>
      <c r="C851" s="11" t="n">
        <v>45982</v>
      </c>
      <c r="D851" s="9" t="s">
        <v>95</v>
      </c>
      <c r="E851" s="12" t="n">
        <v>23</v>
      </c>
      <c r="F851" s="9" t="s">
        <v>31</v>
      </c>
      <c r="G851" s="13" t="n">
        <v>100</v>
      </c>
      <c r="H851" s="9" t="s">
        <v>29</v>
      </c>
      <c r="I851" s="13" t="n">
        <v>0</v>
      </c>
      <c r="J851" s="1" t="str">
        <f aca="false">IF(A851="","", "SAMP-"&amp;A851&amp;"-L"&amp;TEXT(B851,"00")&amp;"-"&amp;TEXT(C851,"yyyymmdd")&amp;"-"&amp;D851&amp;"-H"&amp;TEXT(E851,"00")&amp;"-"&amp;H851)</f>
        <v>SAMP-KG01-L22-20251121-ORD-2025-00206-H23-Choke Neck</v>
      </c>
      <c r="K851" s="1" t="str">
        <f aca="false">IF(A851="","",IF(AND(G851&gt;=0,I851&gt;=0,I851&lt;=G851),"OK","CHECK"))</f>
        <v>OK</v>
      </c>
      <c r="L851" s="1" t="str">
        <f aca="false">IF(A851="","",IF(AND(E851&gt;=0,E851&lt;=23),"OK","CHECK"))</f>
        <v>OK</v>
      </c>
      <c r="M851" s="1" t="str">
        <f aca="false">IF(A851="","",IF(AND(K851="OK",L851="OK"),"OK","CHECK"))</f>
        <v>OK</v>
      </c>
    </row>
    <row r="852" customFormat="false" ht="18" hidden="false" customHeight="true" outlineLevel="0" collapsed="false">
      <c r="A852" s="9" t="s">
        <v>26</v>
      </c>
      <c r="B852" s="9" t="n">
        <v>22</v>
      </c>
      <c r="C852" s="11" t="n">
        <v>45983</v>
      </c>
      <c r="D852" s="9" t="s">
        <v>95</v>
      </c>
      <c r="E852" s="12" t="n">
        <v>12</v>
      </c>
      <c r="F852" s="9" t="s">
        <v>28</v>
      </c>
      <c r="G852" s="13" t="n">
        <v>200</v>
      </c>
      <c r="H852" s="9" t="s">
        <v>33</v>
      </c>
      <c r="I852" s="13" t="n">
        <v>8</v>
      </c>
      <c r="J852" s="1" t="str">
        <f aca="false">IF(A852="","", "SAMP-"&amp;A852&amp;"-L"&amp;TEXT(B852,"00")&amp;"-"&amp;TEXT(C852,"yyyymmdd")&amp;"-"&amp;D852&amp;"-H"&amp;TEXT(E852,"00")&amp;"-"&amp;H852)</f>
        <v>SAMP-KG01-L22-20251122-ORD-2025-00206-H12-Distortion</v>
      </c>
      <c r="K852" s="1" t="str">
        <f aca="false">IF(A852="","",IF(AND(G852&gt;=0,I852&gt;=0,I852&lt;=G852),"OK","CHECK"))</f>
        <v>OK</v>
      </c>
      <c r="L852" s="1" t="str">
        <f aca="false">IF(A852="","",IF(AND(E852&gt;=0,E852&lt;=23),"OK","CHECK"))</f>
        <v>OK</v>
      </c>
      <c r="M852" s="1" t="str">
        <f aca="false">IF(A852="","",IF(AND(K852="OK",L852="OK"),"OK","CHECK"))</f>
        <v>OK</v>
      </c>
    </row>
    <row r="853" customFormat="false" ht="18" hidden="false" customHeight="true" outlineLevel="0" collapsed="false">
      <c r="A853" s="9" t="s">
        <v>26</v>
      </c>
      <c r="B853" s="9" t="n">
        <v>22</v>
      </c>
      <c r="C853" s="11" t="n">
        <v>45983</v>
      </c>
      <c r="D853" s="9" t="s">
        <v>95</v>
      </c>
      <c r="E853" s="12" t="n">
        <v>7</v>
      </c>
      <c r="F853" s="9" t="s">
        <v>28</v>
      </c>
      <c r="G853" s="13" t="n">
        <v>100</v>
      </c>
      <c r="H853" s="9" t="s">
        <v>35</v>
      </c>
      <c r="I853" s="13" t="n">
        <v>2</v>
      </c>
      <c r="J853" s="1" t="str">
        <f aca="false">IF(A853="","", "SAMP-"&amp;A853&amp;"-L"&amp;TEXT(B853,"00")&amp;"-"&amp;TEXT(C853,"yyyymmdd")&amp;"-"&amp;D853&amp;"-H"&amp;TEXT(E853,"00")&amp;"-"&amp;H853)</f>
        <v>SAMP-KG01-L22-20251122-ORD-2025-00206-H07-Stone</v>
      </c>
      <c r="K853" s="1" t="str">
        <f aca="false">IF(A853="","",IF(AND(G853&gt;=0,I853&gt;=0,I853&lt;=G853),"OK","CHECK"))</f>
        <v>OK</v>
      </c>
      <c r="L853" s="1" t="str">
        <f aca="false">IF(A853="","",IF(AND(E853&gt;=0,E853&lt;=23),"OK","CHECK"))</f>
        <v>OK</v>
      </c>
      <c r="M853" s="1" t="str">
        <f aca="false">IF(A853="","",IF(AND(K853="OK",L853="OK"),"OK","CHECK"))</f>
        <v>OK</v>
      </c>
    </row>
    <row r="854" customFormat="false" ht="18" hidden="false" customHeight="true" outlineLevel="0" collapsed="false">
      <c r="A854" s="9" t="s">
        <v>26</v>
      </c>
      <c r="B854" s="9" t="n">
        <v>22</v>
      </c>
      <c r="C854" s="11" t="n">
        <v>45983</v>
      </c>
      <c r="D854" s="9" t="s">
        <v>95</v>
      </c>
      <c r="E854" s="12" t="n">
        <v>20</v>
      </c>
      <c r="F854" s="9" t="s">
        <v>31</v>
      </c>
      <c r="G854" s="13" t="n">
        <v>50</v>
      </c>
      <c r="H854" s="9" t="s">
        <v>29</v>
      </c>
      <c r="I854" s="13" t="n">
        <v>0</v>
      </c>
      <c r="J854" s="1" t="str">
        <f aca="false">IF(A854="","", "SAMP-"&amp;A854&amp;"-L"&amp;TEXT(B854,"00")&amp;"-"&amp;TEXT(C854,"yyyymmdd")&amp;"-"&amp;D854&amp;"-H"&amp;TEXT(E854,"00")&amp;"-"&amp;H854)</f>
        <v>SAMP-KG01-L22-20251122-ORD-2025-00206-H20-Choke Neck</v>
      </c>
      <c r="K854" s="1" t="str">
        <f aca="false">IF(A854="","",IF(AND(G854&gt;=0,I854&gt;=0,I854&lt;=G854),"OK","CHECK"))</f>
        <v>OK</v>
      </c>
      <c r="L854" s="1" t="str">
        <f aca="false">IF(A854="","",IF(AND(E854&gt;=0,E854&lt;=23),"OK","CHECK"))</f>
        <v>OK</v>
      </c>
      <c r="M854" s="1" t="str">
        <f aca="false">IF(A854="","",IF(AND(K854="OK",L854="OK"),"OK","CHECK"))</f>
        <v>OK</v>
      </c>
    </row>
    <row r="855" customFormat="false" ht="18" hidden="false" customHeight="true" outlineLevel="0" collapsed="false">
      <c r="A855" s="9" t="s">
        <v>26</v>
      </c>
      <c r="B855" s="9" t="n">
        <v>22</v>
      </c>
      <c r="C855" s="11" t="n">
        <v>45983</v>
      </c>
      <c r="D855" s="9" t="s">
        <v>95</v>
      </c>
      <c r="E855" s="12" t="n">
        <v>23</v>
      </c>
      <c r="F855" s="9" t="s">
        <v>31</v>
      </c>
      <c r="G855" s="13" t="n">
        <v>200</v>
      </c>
      <c r="H855" s="9" t="s">
        <v>29</v>
      </c>
      <c r="I855" s="13" t="n">
        <v>4</v>
      </c>
      <c r="J855" s="1" t="str">
        <f aca="false">IF(A855="","", "SAMP-"&amp;A855&amp;"-L"&amp;TEXT(B855,"00")&amp;"-"&amp;TEXT(C855,"yyyymmdd")&amp;"-"&amp;D855&amp;"-H"&amp;TEXT(E855,"00")&amp;"-"&amp;H855)</f>
        <v>SAMP-KG01-L22-20251122-ORD-2025-00206-H23-Choke Neck</v>
      </c>
      <c r="K855" s="1" t="str">
        <f aca="false">IF(A855="","",IF(AND(G855&gt;=0,I855&gt;=0,I855&lt;=G855),"OK","CHECK"))</f>
        <v>OK</v>
      </c>
      <c r="L855" s="1" t="str">
        <f aca="false">IF(A855="","",IF(AND(E855&gt;=0,E855&lt;=23),"OK","CHECK"))</f>
        <v>OK</v>
      </c>
      <c r="M855" s="1" t="str">
        <f aca="false">IF(A855="","",IF(AND(K855="OK",L855="OK"),"OK","CHECK"))</f>
        <v>OK</v>
      </c>
    </row>
    <row r="856" customFormat="false" ht="18" hidden="false" customHeight="true" outlineLevel="0" collapsed="false">
      <c r="A856" s="9" t="s">
        <v>26</v>
      </c>
      <c r="B856" s="9" t="n">
        <v>22</v>
      </c>
      <c r="C856" s="11" t="n">
        <v>45983</v>
      </c>
      <c r="D856" s="9" t="s">
        <v>95</v>
      </c>
      <c r="E856" s="12" t="n">
        <v>16</v>
      </c>
      <c r="F856" s="9" t="s">
        <v>31</v>
      </c>
      <c r="G856" s="13" t="n">
        <v>50</v>
      </c>
      <c r="H856" s="9" t="s">
        <v>30</v>
      </c>
      <c r="I856" s="13" t="n">
        <v>0</v>
      </c>
      <c r="J856" s="1" t="str">
        <f aca="false">IF(A856="","", "SAMP-"&amp;A856&amp;"-L"&amp;TEXT(B856,"00")&amp;"-"&amp;TEXT(C856,"yyyymmdd")&amp;"-"&amp;D856&amp;"-H"&amp;TEXT(E856,"00")&amp;"-"&amp;H856)</f>
        <v>SAMP-KG01-L22-20251122-ORD-2025-00206-H16-Overpress</v>
      </c>
      <c r="K856" s="1" t="str">
        <f aca="false">IF(A856="","",IF(AND(G856&gt;=0,I856&gt;=0,I856&lt;=G856),"OK","CHECK"))</f>
        <v>OK</v>
      </c>
      <c r="L856" s="1" t="str">
        <f aca="false">IF(A856="","",IF(AND(E856&gt;=0,E856&lt;=23),"OK","CHECK"))</f>
        <v>OK</v>
      </c>
      <c r="M856" s="1" t="str">
        <f aca="false">IF(A856="","",IF(AND(K856="OK",L856="OK"),"OK","CHECK"))</f>
        <v>OK</v>
      </c>
    </row>
    <row r="857" customFormat="false" ht="18" hidden="false" customHeight="true" outlineLevel="0" collapsed="false">
      <c r="A857" s="9" t="s">
        <v>26</v>
      </c>
      <c r="B857" s="9" t="n">
        <v>22</v>
      </c>
      <c r="C857" s="11" t="n">
        <v>45984</v>
      </c>
      <c r="D857" s="9" t="s">
        <v>95</v>
      </c>
      <c r="E857" s="12" t="n">
        <v>9</v>
      </c>
      <c r="F857" s="9" t="s">
        <v>28</v>
      </c>
      <c r="G857" s="13" t="n">
        <v>50</v>
      </c>
      <c r="H857" s="9" t="s">
        <v>38</v>
      </c>
      <c r="I857" s="13" t="n">
        <v>2</v>
      </c>
      <c r="J857" s="1" t="str">
        <f aca="false">IF(A857="","", "SAMP-"&amp;A857&amp;"-L"&amp;TEXT(B857,"00")&amp;"-"&amp;TEXT(C857,"yyyymmdd")&amp;"-"&amp;D857&amp;"-H"&amp;TEXT(E857,"00")&amp;"-"&amp;H857)</f>
        <v>SAMP-KG01-L22-20251123-ORD-2025-00206-H09-Crack</v>
      </c>
      <c r="K857" s="1" t="str">
        <f aca="false">IF(A857="","",IF(AND(G857&gt;=0,I857&gt;=0,I857&lt;=G857),"OK","CHECK"))</f>
        <v>OK</v>
      </c>
      <c r="L857" s="1" t="str">
        <f aca="false">IF(A857="","",IF(AND(E857&gt;=0,E857&lt;=23),"OK","CHECK"))</f>
        <v>OK</v>
      </c>
      <c r="M857" s="1" t="str">
        <f aca="false">IF(A857="","",IF(AND(K857="OK",L857="OK"),"OK","CHECK"))</f>
        <v>OK</v>
      </c>
    </row>
    <row r="858" customFormat="false" ht="18" hidden="false" customHeight="true" outlineLevel="0" collapsed="false">
      <c r="A858" s="9" t="s">
        <v>26</v>
      </c>
      <c r="B858" s="9" t="n">
        <v>22</v>
      </c>
      <c r="C858" s="11" t="n">
        <v>45984</v>
      </c>
      <c r="D858" s="9" t="s">
        <v>95</v>
      </c>
      <c r="E858" s="12" t="n">
        <v>7</v>
      </c>
      <c r="F858" s="9" t="s">
        <v>28</v>
      </c>
      <c r="G858" s="13" t="n">
        <v>100</v>
      </c>
      <c r="H858" s="9" t="s">
        <v>41</v>
      </c>
      <c r="I858" s="13" t="n">
        <v>4</v>
      </c>
      <c r="J858" s="1" t="str">
        <f aca="false">IF(A858="","", "SAMP-"&amp;A858&amp;"-L"&amp;TEXT(B858,"00")&amp;"-"&amp;TEXT(C858,"yyyymmdd")&amp;"-"&amp;D858&amp;"-H"&amp;TEXT(E858,"00")&amp;"-"&amp;H858)</f>
        <v>SAMP-KG01-L22-20251123-ORD-2025-00206-H07-Chip</v>
      </c>
      <c r="K858" s="1" t="str">
        <f aca="false">IF(A858="","",IF(AND(G858&gt;=0,I858&gt;=0,I858&lt;=G858),"OK","CHECK"))</f>
        <v>OK</v>
      </c>
      <c r="L858" s="1" t="str">
        <f aca="false">IF(A858="","",IF(AND(E858&gt;=0,E858&lt;=23),"OK","CHECK"))</f>
        <v>OK</v>
      </c>
      <c r="M858" s="1" t="str">
        <f aca="false">IF(A858="","",IF(AND(K858="OK",L858="OK"),"OK","CHECK"))</f>
        <v>OK</v>
      </c>
    </row>
    <row r="859" customFormat="false" ht="18" hidden="false" customHeight="true" outlineLevel="0" collapsed="false">
      <c r="A859" s="9" t="s">
        <v>26</v>
      </c>
      <c r="B859" s="9" t="n">
        <v>22</v>
      </c>
      <c r="C859" s="11" t="n">
        <v>45984</v>
      </c>
      <c r="D859" s="9" t="s">
        <v>96</v>
      </c>
      <c r="E859" s="12" t="n">
        <v>16</v>
      </c>
      <c r="F859" s="9" t="s">
        <v>31</v>
      </c>
      <c r="G859" s="13" t="n">
        <v>100</v>
      </c>
      <c r="H859" s="9" t="s">
        <v>33</v>
      </c>
      <c r="I859" s="13" t="n">
        <v>5</v>
      </c>
      <c r="J859" s="1" t="str">
        <f aca="false">IF(A859="","", "SAMP-"&amp;A859&amp;"-L"&amp;TEXT(B859,"00")&amp;"-"&amp;TEXT(C859,"yyyymmdd")&amp;"-"&amp;D859&amp;"-H"&amp;TEXT(E859,"00")&amp;"-"&amp;H859)</f>
        <v>SAMP-KG01-L22-20251123-ORD-2025-00207-H16-Distortion</v>
      </c>
      <c r="K859" s="1" t="str">
        <f aca="false">IF(A859="","",IF(AND(G859&gt;=0,I859&gt;=0,I859&lt;=G859),"OK","CHECK"))</f>
        <v>OK</v>
      </c>
      <c r="L859" s="1" t="str">
        <f aca="false">IF(A859="","",IF(AND(E859&gt;=0,E859&lt;=23),"OK","CHECK"))</f>
        <v>OK</v>
      </c>
      <c r="M859" s="1" t="str">
        <f aca="false">IF(A859="","",IF(AND(K859="OK",L859="OK"),"OK","CHECK"))</f>
        <v>OK</v>
      </c>
    </row>
    <row r="860" customFormat="false" ht="18" hidden="false" customHeight="true" outlineLevel="0" collapsed="false">
      <c r="A860" s="9" t="s">
        <v>26</v>
      </c>
      <c r="B860" s="9" t="n">
        <v>22</v>
      </c>
      <c r="C860" s="11" t="n">
        <v>45984</v>
      </c>
      <c r="D860" s="9" t="s">
        <v>96</v>
      </c>
      <c r="E860" s="12" t="n">
        <v>20</v>
      </c>
      <c r="F860" s="9" t="s">
        <v>31</v>
      </c>
      <c r="G860" s="13" t="n">
        <v>50</v>
      </c>
      <c r="H860" s="9" t="s">
        <v>41</v>
      </c>
      <c r="I860" s="13" t="n">
        <v>1</v>
      </c>
      <c r="J860" s="1" t="str">
        <f aca="false">IF(A860="","", "SAMP-"&amp;A860&amp;"-L"&amp;TEXT(B860,"00")&amp;"-"&amp;TEXT(C860,"yyyymmdd")&amp;"-"&amp;D860&amp;"-H"&amp;TEXT(E860,"00")&amp;"-"&amp;H860)</f>
        <v>SAMP-KG01-L22-20251123-ORD-2025-00207-H20-Chip</v>
      </c>
      <c r="K860" s="1" t="str">
        <f aca="false">IF(A860="","",IF(AND(G860&gt;=0,I860&gt;=0,I860&lt;=G860),"OK","CHECK"))</f>
        <v>OK</v>
      </c>
      <c r="L860" s="1" t="str">
        <f aca="false">IF(A860="","",IF(AND(E860&gt;=0,E860&lt;=23),"OK","CHECK"))</f>
        <v>OK</v>
      </c>
      <c r="M860" s="1" t="str">
        <f aca="false">IF(A860="","",IF(AND(K860="OK",L860="OK"),"OK","CHECK"))</f>
        <v>OK</v>
      </c>
    </row>
    <row r="861" customFormat="false" ht="18" hidden="false" customHeight="true" outlineLevel="0" collapsed="false">
      <c r="A861" s="9" t="s">
        <v>26</v>
      </c>
      <c r="B861" s="9" t="n">
        <v>22</v>
      </c>
      <c r="C861" s="11" t="n">
        <v>45984</v>
      </c>
      <c r="D861" s="9" t="s">
        <v>96</v>
      </c>
      <c r="E861" s="12" t="n">
        <v>23</v>
      </c>
      <c r="F861" s="9" t="s">
        <v>31</v>
      </c>
      <c r="G861" s="13" t="n">
        <v>200</v>
      </c>
      <c r="H861" s="9" t="s">
        <v>38</v>
      </c>
      <c r="I861" s="13" t="n">
        <v>3</v>
      </c>
      <c r="J861" s="1" t="str">
        <f aca="false">IF(A861="","", "SAMP-"&amp;A861&amp;"-L"&amp;TEXT(B861,"00")&amp;"-"&amp;TEXT(C861,"yyyymmdd")&amp;"-"&amp;D861&amp;"-H"&amp;TEXT(E861,"00")&amp;"-"&amp;H861)</f>
        <v>SAMP-KG01-L22-20251123-ORD-2025-00207-H23-Crack</v>
      </c>
      <c r="K861" s="1" t="str">
        <f aca="false">IF(A861="","",IF(AND(G861&gt;=0,I861&gt;=0,I861&lt;=G861),"OK","CHECK"))</f>
        <v>OK</v>
      </c>
      <c r="L861" s="1" t="str">
        <f aca="false">IF(A861="","",IF(AND(E861&gt;=0,E861&lt;=23),"OK","CHECK"))</f>
        <v>OK</v>
      </c>
      <c r="M861" s="1" t="str">
        <f aca="false">IF(A861="","",IF(AND(K861="OK",L861="OK"),"OK","CHECK"))</f>
        <v>OK</v>
      </c>
    </row>
    <row r="862" customFormat="false" ht="18" hidden="false" customHeight="true" outlineLevel="0" collapsed="false">
      <c r="A862" s="9" t="s">
        <v>26</v>
      </c>
      <c r="B862" s="9" t="n">
        <v>22</v>
      </c>
      <c r="C862" s="11" t="n">
        <v>45985</v>
      </c>
      <c r="D862" s="9" t="s">
        <v>96</v>
      </c>
      <c r="E862" s="12" t="n">
        <v>9</v>
      </c>
      <c r="F862" s="9" t="s">
        <v>28</v>
      </c>
      <c r="G862" s="13" t="n">
        <v>200</v>
      </c>
      <c r="H862" s="9" t="s">
        <v>38</v>
      </c>
      <c r="I862" s="13" t="n">
        <v>6</v>
      </c>
      <c r="J862" s="1" t="str">
        <f aca="false">IF(A862="","", "SAMP-"&amp;A862&amp;"-L"&amp;TEXT(B862,"00")&amp;"-"&amp;TEXT(C862,"yyyymmdd")&amp;"-"&amp;D862&amp;"-H"&amp;TEXT(E862,"00")&amp;"-"&amp;H862)</f>
        <v>SAMP-KG01-L22-20251124-ORD-2025-00207-H09-Crack</v>
      </c>
      <c r="K862" s="1" t="str">
        <f aca="false">IF(A862="","",IF(AND(G862&gt;=0,I862&gt;=0,I862&lt;=G862),"OK","CHECK"))</f>
        <v>OK</v>
      </c>
      <c r="L862" s="1" t="str">
        <f aca="false">IF(A862="","",IF(AND(E862&gt;=0,E862&lt;=23),"OK","CHECK"))</f>
        <v>OK</v>
      </c>
      <c r="M862" s="1" t="str">
        <f aca="false">IF(A862="","",IF(AND(K862="OK",L862="OK"),"OK","CHECK"))</f>
        <v>OK</v>
      </c>
    </row>
    <row r="863" customFormat="false" ht="18" hidden="false" customHeight="true" outlineLevel="0" collapsed="false">
      <c r="A863" s="9" t="s">
        <v>26</v>
      </c>
      <c r="B863" s="9" t="n">
        <v>22</v>
      </c>
      <c r="C863" s="11" t="n">
        <v>45985</v>
      </c>
      <c r="D863" s="9" t="s">
        <v>96</v>
      </c>
      <c r="E863" s="12" t="n">
        <v>7</v>
      </c>
      <c r="F863" s="9" t="s">
        <v>28</v>
      </c>
      <c r="G863" s="13" t="n">
        <v>50</v>
      </c>
      <c r="H863" s="9" t="s">
        <v>33</v>
      </c>
      <c r="I863" s="13" t="n">
        <v>1</v>
      </c>
      <c r="J863" s="1" t="str">
        <f aca="false">IF(A863="","", "SAMP-"&amp;A863&amp;"-L"&amp;TEXT(B863,"00")&amp;"-"&amp;TEXT(C863,"yyyymmdd")&amp;"-"&amp;D863&amp;"-H"&amp;TEXT(E863,"00")&amp;"-"&amp;H863)</f>
        <v>SAMP-KG01-L22-20251124-ORD-2025-00207-H07-Distortion</v>
      </c>
      <c r="K863" s="1" t="str">
        <f aca="false">IF(A863="","",IF(AND(G863&gt;=0,I863&gt;=0,I863&lt;=G863),"OK","CHECK"))</f>
        <v>OK</v>
      </c>
      <c r="L863" s="1" t="str">
        <f aca="false">IF(A863="","",IF(AND(E863&gt;=0,E863&lt;=23),"OK","CHECK"))</f>
        <v>OK</v>
      </c>
      <c r="M863" s="1" t="str">
        <f aca="false">IF(A863="","",IF(AND(K863="OK",L863="OK"),"OK","CHECK"))</f>
        <v>OK</v>
      </c>
    </row>
    <row r="864" customFormat="false" ht="18" hidden="false" customHeight="true" outlineLevel="0" collapsed="false">
      <c r="A864" s="9" t="s">
        <v>26</v>
      </c>
      <c r="B864" s="9" t="n">
        <v>22</v>
      </c>
      <c r="C864" s="11" t="n">
        <v>45985</v>
      </c>
      <c r="D864" s="9" t="s">
        <v>96</v>
      </c>
      <c r="E864" s="12" t="n">
        <v>12</v>
      </c>
      <c r="F864" s="9" t="s">
        <v>28</v>
      </c>
      <c r="G864" s="13" t="n">
        <v>50</v>
      </c>
      <c r="H864" s="9" t="s">
        <v>34</v>
      </c>
      <c r="I864" s="13" t="n">
        <v>0</v>
      </c>
      <c r="J864" s="1" t="str">
        <f aca="false">IF(A864="","", "SAMP-"&amp;A864&amp;"-L"&amp;TEXT(B864,"00")&amp;"-"&amp;TEXT(C864,"yyyymmdd")&amp;"-"&amp;D864&amp;"-H"&amp;TEXT(E864,"00")&amp;"-"&amp;H864)</f>
        <v>SAMP-KG01-L22-20251124-ORD-2025-00207-H12-Thin Wall</v>
      </c>
      <c r="K864" s="1" t="str">
        <f aca="false">IF(A864="","",IF(AND(G864&gt;=0,I864&gt;=0,I864&lt;=G864),"OK","CHECK"))</f>
        <v>OK</v>
      </c>
      <c r="L864" s="1" t="str">
        <f aca="false">IF(A864="","",IF(AND(E864&gt;=0,E864&lt;=23),"OK","CHECK"))</f>
        <v>OK</v>
      </c>
      <c r="M864" s="1" t="str">
        <f aca="false">IF(A864="","",IF(AND(K864="OK",L864="OK"),"OK","CHECK"))</f>
        <v>OK</v>
      </c>
    </row>
    <row r="865" customFormat="false" ht="18" hidden="false" customHeight="true" outlineLevel="0" collapsed="false">
      <c r="A865" s="9" t="s">
        <v>26</v>
      </c>
      <c r="B865" s="9" t="n">
        <v>22</v>
      </c>
      <c r="C865" s="11" t="n">
        <v>45985</v>
      </c>
      <c r="D865" s="9" t="s">
        <v>96</v>
      </c>
      <c r="E865" s="12" t="n">
        <v>16</v>
      </c>
      <c r="F865" s="9" t="s">
        <v>31</v>
      </c>
      <c r="G865" s="13" t="n">
        <v>150</v>
      </c>
      <c r="H865" s="9" t="s">
        <v>38</v>
      </c>
      <c r="I865" s="13" t="n">
        <v>2</v>
      </c>
      <c r="J865" s="1" t="str">
        <f aca="false">IF(A865="","", "SAMP-"&amp;A865&amp;"-L"&amp;TEXT(B865,"00")&amp;"-"&amp;TEXT(C865,"yyyymmdd")&amp;"-"&amp;D865&amp;"-H"&amp;TEXT(E865,"00")&amp;"-"&amp;H865)</f>
        <v>SAMP-KG01-L22-20251124-ORD-2025-00207-H16-Crack</v>
      </c>
      <c r="K865" s="1" t="str">
        <f aca="false">IF(A865="","",IF(AND(G865&gt;=0,I865&gt;=0,I865&lt;=G865),"OK","CHECK"))</f>
        <v>OK</v>
      </c>
      <c r="L865" s="1" t="str">
        <f aca="false">IF(A865="","",IF(AND(E865&gt;=0,E865&lt;=23),"OK","CHECK"))</f>
        <v>OK</v>
      </c>
      <c r="M865" s="1" t="str">
        <f aca="false">IF(A865="","",IF(AND(K865="OK",L865="OK"),"OK","CHECK"))</f>
        <v>OK</v>
      </c>
    </row>
    <row r="866" customFormat="false" ht="18" hidden="false" customHeight="true" outlineLevel="0" collapsed="false">
      <c r="A866" s="9" t="s">
        <v>26</v>
      </c>
      <c r="B866" s="9" t="n">
        <v>22</v>
      </c>
      <c r="C866" s="11" t="n">
        <v>45985</v>
      </c>
      <c r="D866" s="9" t="s">
        <v>96</v>
      </c>
      <c r="E866" s="12" t="n">
        <v>23</v>
      </c>
      <c r="F866" s="9" t="s">
        <v>31</v>
      </c>
      <c r="G866" s="13" t="n">
        <v>50</v>
      </c>
      <c r="H866" s="9" t="s">
        <v>33</v>
      </c>
      <c r="I866" s="13" t="n">
        <v>0</v>
      </c>
      <c r="J866" s="1" t="str">
        <f aca="false">IF(A866="","", "SAMP-"&amp;A866&amp;"-L"&amp;TEXT(B866,"00")&amp;"-"&amp;TEXT(C866,"yyyymmdd")&amp;"-"&amp;D866&amp;"-H"&amp;TEXT(E866,"00")&amp;"-"&amp;H866)</f>
        <v>SAMP-KG01-L22-20251124-ORD-2025-00207-H23-Distortion</v>
      </c>
      <c r="K866" s="1" t="str">
        <f aca="false">IF(A866="","",IF(AND(G866&gt;=0,I866&gt;=0,I866&lt;=G866),"OK","CHECK"))</f>
        <v>OK</v>
      </c>
      <c r="L866" s="1" t="str">
        <f aca="false">IF(A866="","",IF(AND(E866&gt;=0,E866&lt;=23),"OK","CHECK"))</f>
        <v>OK</v>
      </c>
      <c r="M866" s="1" t="str">
        <f aca="false">IF(A866="","",IF(AND(K866="OK",L866="OK"),"OK","CHECK"))</f>
        <v>OK</v>
      </c>
    </row>
    <row r="867" customFormat="false" ht="18" hidden="false" customHeight="true" outlineLevel="0" collapsed="false">
      <c r="A867" s="9" t="s">
        <v>26</v>
      </c>
      <c r="B867" s="9" t="n">
        <v>22</v>
      </c>
      <c r="C867" s="11" t="n">
        <v>45986</v>
      </c>
      <c r="D867" s="9" t="s">
        <v>96</v>
      </c>
      <c r="E867" s="12" t="n">
        <v>7</v>
      </c>
      <c r="F867" s="9" t="s">
        <v>28</v>
      </c>
      <c r="G867" s="13" t="n">
        <v>200</v>
      </c>
      <c r="H867" s="9" t="s">
        <v>41</v>
      </c>
      <c r="I867" s="13" t="n">
        <v>11</v>
      </c>
      <c r="J867" s="1" t="str">
        <f aca="false">IF(A867="","", "SAMP-"&amp;A867&amp;"-L"&amp;TEXT(B867,"00")&amp;"-"&amp;TEXT(C867,"yyyymmdd")&amp;"-"&amp;D867&amp;"-H"&amp;TEXT(E867,"00")&amp;"-"&amp;H867)</f>
        <v>SAMP-KG01-L22-20251125-ORD-2025-00207-H07-Chip</v>
      </c>
      <c r="K867" s="1" t="str">
        <f aca="false">IF(A867="","",IF(AND(G867&gt;=0,I867&gt;=0,I867&lt;=G867),"OK","CHECK"))</f>
        <v>OK</v>
      </c>
      <c r="L867" s="1" t="str">
        <f aca="false">IF(A867="","",IF(AND(E867&gt;=0,E867&lt;=23),"OK","CHECK"))</f>
        <v>OK</v>
      </c>
      <c r="M867" s="1" t="str">
        <f aca="false">IF(A867="","",IF(AND(K867="OK",L867="OK"),"OK","CHECK"))</f>
        <v>OK</v>
      </c>
    </row>
    <row r="868" customFormat="false" ht="18" hidden="false" customHeight="true" outlineLevel="0" collapsed="false">
      <c r="A868" s="9" t="s">
        <v>26</v>
      </c>
      <c r="B868" s="9" t="n">
        <v>22</v>
      </c>
      <c r="C868" s="11" t="n">
        <v>45986</v>
      </c>
      <c r="D868" s="9" t="s">
        <v>96</v>
      </c>
      <c r="E868" s="12" t="n">
        <v>12</v>
      </c>
      <c r="F868" s="9" t="s">
        <v>28</v>
      </c>
      <c r="G868" s="13" t="n">
        <v>200</v>
      </c>
      <c r="H868" s="9" t="s">
        <v>29</v>
      </c>
      <c r="I868" s="13" t="n">
        <v>0</v>
      </c>
      <c r="J868" s="1" t="str">
        <f aca="false">IF(A868="","", "SAMP-"&amp;A868&amp;"-L"&amp;TEXT(B868,"00")&amp;"-"&amp;TEXT(C868,"yyyymmdd")&amp;"-"&amp;D868&amp;"-H"&amp;TEXT(E868,"00")&amp;"-"&amp;H868)</f>
        <v>SAMP-KG01-L22-20251125-ORD-2025-00207-H12-Choke Neck</v>
      </c>
      <c r="K868" s="1" t="str">
        <f aca="false">IF(A868="","",IF(AND(G868&gt;=0,I868&gt;=0,I868&lt;=G868),"OK","CHECK"))</f>
        <v>OK</v>
      </c>
      <c r="L868" s="1" t="str">
        <f aca="false">IF(A868="","",IF(AND(E868&gt;=0,E868&lt;=23),"OK","CHECK"))</f>
        <v>OK</v>
      </c>
      <c r="M868" s="1" t="str">
        <f aca="false">IF(A868="","",IF(AND(K868="OK",L868="OK"),"OK","CHECK"))</f>
        <v>OK</v>
      </c>
    </row>
    <row r="869" customFormat="false" ht="18" hidden="false" customHeight="true" outlineLevel="0" collapsed="false">
      <c r="A869" s="9" t="s">
        <v>26</v>
      </c>
      <c r="B869" s="9" t="n">
        <v>22</v>
      </c>
      <c r="C869" s="11" t="n">
        <v>45986</v>
      </c>
      <c r="D869" s="9" t="s">
        <v>96</v>
      </c>
      <c r="E869" s="12" t="n">
        <v>23</v>
      </c>
      <c r="F869" s="9" t="s">
        <v>31</v>
      </c>
      <c r="G869" s="13" t="n">
        <v>100</v>
      </c>
      <c r="H869" s="9" t="s">
        <v>37</v>
      </c>
      <c r="I869" s="13" t="n">
        <v>3</v>
      </c>
      <c r="J869" s="1" t="str">
        <f aca="false">IF(A869="","", "SAMP-"&amp;A869&amp;"-L"&amp;TEXT(B869,"00")&amp;"-"&amp;TEXT(C869,"yyyymmdd")&amp;"-"&amp;D869&amp;"-H"&amp;TEXT(E869,"00")&amp;"-"&amp;H869)</f>
        <v>SAMP-KG01-L22-20251125-ORD-2025-00207-H23-Bird Swing</v>
      </c>
      <c r="K869" s="1" t="str">
        <f aca="false">IF(A869="","",IF(AND(G869&gt;=0,I869&gt;=0,I869&lt;=G869),"OK","CHECK"))</f>
        <v>OK</v>
      </c>
      <c r="L869" s="1" t="str">
        <f aca="false">IF(A869="","",IF(AND(E869&gt;=0,E869&lt;=23),"OK","CHECK"))</f>
        <v>OK</v>
      </c>
      <c r="M869" s="1" t="str">
        <f aca="false">IF(A869="","",IF(AND(K869="OK",L869="OK"),"OK","CHECK"))</f>
        <v>OK</v>
      </c>
    </row>
    <row r="870" customFormat="false" ht="18" hidden="false" customHeight="true" outlineLevel="0" collapsed="false">
      <c r="A870" s="9" t="s">
        <v>26</v>
      </c>
      <c r="B870" s="9" t="n">
        <v>22</v>
      </c>
      <c r="C870" s="11" t="n">
        <v>45986</v>
      </c>
      <c r="D870" s="9" t="s">
        <v>96</v>
      </c>
      <c r="E870" s="12" t="n">
        <v>20</v>
      </c>
      <c r="F870" s="9" t="s">
        <v>31</v>
      </c>
      <c r="G870" s="13" t="n">
        <v>50</v>
      </c>
      <c r="H870" s="9" t="s">
        <v>29</v>
      </c>
      <c r="I870" s="13" t="n">
        <v>1</v>
      </c>
      <c r="J870" s="1" t="str">
        <f aca="false">IF(A870="","", "SAMP-"&amp;A870&amp;"-L"&amp;TEXT(B870,"00")&amp;"-"&amp;TEXT(C870,"yyyymmdd")&amp;"-"&amp;D870&amp;"-H"&amp;TEXT(E870,"00")&amp;"-"&amp;H870)</f>
        <v>SAMP-KG01-L22-20251125-ORD-2025-00207-H20-Choke Neck</v>
      </c>
      <c r="K870" s="1" t="str">
        <f aca="false">IF(A870="","",IF(AND(G870&gt;=0,I870&gt;=0,I870&lt;=G870),"OK","CHECK"))</f>
        <v>OK</v>
      </c>
      <c r="L870" s="1" t="str">
        <f aca="false">IF(A870="","",IF(AND(E870&gt;=0,E870&lt;=23),"OK","CHECK"))</f>
        <v>OK</v>
      </c>
      <c r="M870" s="1" t="str">
        <f aca="false">IF(A870="","",IF(AND(K870="OK",L870="OK"),"OK","CHECK"))</f>
        <v>OK</v>
      </c>
    </row>
    <row r="871" customFormat="false" ht="18" hidden="false" customHeight="true" outlineLevel="0" collapsed="false">
      <c r="A871" s="9" t="s">
        <v>26</v>
      </c>
      <c r="B871" s="9" t="n">
        <v>22</v>
      </c>
      <c r="C871" s="11" t="n">
        <v>45987</v>
      </c>
      <c r="D871" s="9" t="s">
        <v>96</v>
      </c>
      <c r="E871" s="12" t="n">
        <v>12</v>
      </c>
      <c r="F871" s="9" t="s">
        <v>28</v>
      </c>
      <c r="G871" s="13" t="n">
        <v>150</v>
      </c>
      <c r="H871" s="9" t="s">
        <v>38</v>
      </c>
      <c r="I871" s="13" t="n">
        <v>6</v>
      </c>
      <c r="J871" s="1" t="str">
        <f aca="false">IF(A871="","", "SAMP-"&amp;A871&amp;"-L"&amp;TEXT(B871,"00")&amp;"-"&amp;TEXT(C871,"yyyymmdd")&amp;"-"&amp;D871&amp;"-H"&amp;TEXT(E871,"00")&amp;"-"&amp;H871)</f>
        <v>SAMP-KG01-L22-20251126-ORD-2025-00207-H12-Crack</v>
      </c>
      <c r="K871" s="1" t="str">
        <f aca="false">IF(A871="","",IF(AND(G871&gt;=0,I871&gt;=0,I871&lt;=G871),"OK","CHECK"))</f>
        <v>OK</v>
      </c>
      <c r="L871" s="1" t="str">
        <f aca="false">IF(A871="","",IF(AND(E871&gt;=0,E871&lt;=23),"OK","CHECK"))</f>
        <v>OK</v>
      </c>
      <c r="M871" s="1" t="str">
        <f aca="false">IF(A871="","",IF(AND(K871="OK",L871="OK"),"OK","CHECK"))</f>
        <v>OK</v>
      </c>
    </row>
    <row r="872" customFormat="false" ht="18" hidden="false" customHeight="true" outlineLevel="0" collapsed="false">
      <c r="A872" s="9" t="s">
        <v>26</v>
      </c>
      <c r="B872" s="9" t="n">
        <v>22</v>
      </c>
      <c r="C872" s="11" t="n">
        <v>45987</v>
      </c>
      <c r="D872" s="9" t="s">
        <v>96</v>
      </c>
      <c r="E872" s="12" t="n">
        <v>9</v>
      </c>
      <c r="F872" s="9" t="s">
        <v>28</v>
      </c>
      <c r="G872" s="13" t="n">
        <v>50</v>
      </c>
      <c r="H872" s="9" t="s">
        <v>41</v>
      </c>
      <c r="I872" s="13" t="n">
        <v>1</v>
      </c>
      <c r="J872" s="1" t="str">
        <f aca="false">IF(A872="","", "SAMP-"&amp;A872&amp;"-L"&amp;TEXT(B872,"00")&amp;"-"&amp;TEXT(C872,"yyyymmdd")&amp;"-"&amp;D872&amp;"-H"&amp;TEXT(E872,"00")&amp;"-"&amp;H872)</f>
        <v>SAMP-KG01-L22-20251126-ORD-2025-00207-H09-Chip</v>
      </c>
      <c r="K872" s="1" t="str">
        <f aca="false">IF(A872="","",IF(AND(G872&gt;=0,I872&gt;=0,I872&lt;=G872),"OK","CHECK"))</f>
        <v>OK</v>
      </c>
      <c r="L872" s="1" t="str">
        <f aca="false">IF(A872="","",IF(AND(E872&gt;=0,E872&lt;=23),"OK","CHECK"))</f>
        <v>OK</v>
      </c>
      <c r="M872" s="1" t="str">
        <f aca="false">IF(A872="","",IF(AND(K872="OK",L872="OK"),"OK","CHECK"))</f>
        <v>OK</v>
      </c>
    </row>
    <row r="873" customFormat="false" ht="18" hidden="false" customHeight="true" outlineLevel="0" collapsed="false">
      <c r="A873" s="9" t="s">
        <v>26</v>
      </c>
      <c r="B873" s="9" t="n">
        <v>22</v>
      </c>
      <c r="C873" s="11" t="n">
        <v>45987</v>
      </c>
      <c r="D873" s="9" t="s">
        <v>96</v>
      </c>
      <c r="E873" s="12" t="n">
        <v>7</v>
      </c>
      <c r="F873" s="9" t="s">
        <v>28</v>
      </c>
      <c r="G873" s="13" t="n">
        <v>100</v>
      </c>
      <c r="H873" s="9" t="s">
        <v>37</v>
      </c>
      <c r="I873" s="13" t="n">
        <v>4</v>
      </c>
      <c r="J873" s="1" t="str">
        <f aca="false">IF(A873="","", "SAMP-"&amp;A873&amp;"-L"&amp;TEXT(B873,"00")&amp;"-"&amp;TEXT(C873,"yyyymmdd")&amp;"-"&amp;D873&amp;"-H"&amp;TEXT(E873,"00")&amp;"-"&amp;H873)</f>
        <v>SAMP-KG01-L22-20251126-ORD-2025-00207-H07-Bird Swing</v>
      </c>
      <c r="K873" s="1" t="str">
        <f aca="false">IF(A873="","",IF(AND(G873&gt;=0,I873&gt;=0,I873&lt;=G873),"OK","CHECK"))</f>
        <v>OK</v>
      </c>
      <c r="L873" s="1" t="str">
        <f aca="false">IF(A873="","",IF(AND(E873&gt;=0,E873&lt;=23),"OK","CHECK"))</f>
        <v>OK</v>
      </c>
      <c r="M873" s="1" t="str">
        <f aca="false">IF(A873="","",IF(AND(K873="OK",L873="OK"),"OK","CHECK"))</f>
        <v>OK</v>
      </c>
    </row>
    <row r="874" customFormat="false" ht="18" hidden="false" customHeight="true" outlineLevel="0" collapsed="false">
      <c r="A874" s="9" t="s">
        <v>26</v>
      </c>
      <c r="B874" s="9" t="n">
        <v>22</v>
      </c>
      <c r="C874" s="11" t="n">
        <v>45987</v>
      </c>
      <c r="D874" s="9" t="s">
        <v>96</v>
      </c>
      <c r="E874" s="12" t="n">
        <v>23</v>
      </c>
      <c r="F874" s="9" t="s">
        <v>31</v>
      </c>
      <c r="G874" s="13" t="n">
        <v>200</v>
      </c>
      <c r="H874" s="9" t="s">
        <v>36</v>
      </c>
      <c r="I874" s="13" t="n">
        <v>0</v>
      </c>
      <c r="J874" s="1" t="str">
        <f aca="false">IF(A874="","", "SAMP-"&amp;A874&amp;"-L"&amp;TEXT(B874,"00")&amp;"-"&amp;TEXT(C874,"yyyymmdd")&amp;"-"&amp;D874&amp;"-H"&amp;TEXT(E874,"00")&amp;"-"&amp;H874)</f>
        <v>SAMP-KG01-L22-20251126-ORD-2025-00207-H23-Blister</v>
      </c>
      <c r="K874" s="1" t="str">
        <f aca="false">IF(A874="","",IF(AND(G874&gt;=0,I874&gt;=0,I874&lt;=G874),"OK","CHECK"))</f>
        <v>OK</v>
      </c>
      <c r="L874" s="1" t="str">
        <f aca="false">IF(A874="","",IF(AND(E874&gt;=0,E874&lt;=23),"OK","CHECK"))</f>
        <v>OK</v>
      </c>
      <c r="M874" s="1" t="str">
        <f aca="false">IF(A874="","",IF(AND(K874="OK",L874="OK"),"OK","CHECK"))</f>
        <v>OK</v>
      </c>
    </row>
    <row r="875" customFormat="false" ht="18" hidden="false" customHeight="true" outlineLevel="0" collapsed="false">
      <c r="A875" s="9" t="s">
        <v>26</v>
      </c>
      <c r="B875" s="9" t="n">
        <v>22</v>
      </c>
      <c r="C875" s="11" t="n">
        <v>45987</v>
      </c>
      <c r="D875" s="9" t="s">
        <v>96</v>
      </c>
      <c r="E875" s="12" t="n">
        <v>16</v>
      </c>
      <c r="F875" s="9" t="s">
        <v>31</v>
      </c>
      <c r="G875" s="13" t="n">
        <v>200</v>
      </c>
      <c r="H875" s="9" t="s">
        <v>29</v>
      </c>
      <c r="I875" s="13" t="n">
        <v>2</v>
      </c>
      <c r="J875" s="1" t="str">
        <f aca="false">IF(A875="","", "SAMP-"&amp;A875&amp;"-L"&amp;TEXT(B875,"00")&amp;"-"&amp;TEXT(C875,"yyyymmdd")&amp;"-"&amp;D875&amp;"-H"&amp;TEXT(E875,"00")&amp;"-"&amp;H875)</f>
        <v>SAMP-KG01-L22-20251126-ORD-2025-00207-H16-Choke Neck</v>
      </c>
      <c r="K875" s="1" t="str">
        <f aca="false">IF(A875="","",IF(AND(G875&gt;=0,I875&gt;=0,I875&lt;=G875),"OK","CHECK"))</f>
        <v>OK</v>
      </c>
      <c r="L875" s="1" t="str">
        <f aca="false">IF(A875="","",IF(AND(E875&gt;=0,E875&lt;=23),"OK","CHECK"))</f>
        <v>OK</v>
      </c>
      <c r="M875" s="1" t="str">
        <f aca="false">IF(A875="","",IF(AND(K875="OK",L875="OK"),"OK","CHECK"))</f>
        <v>OK</v>
      </c>
    </row>
    <row r="876" customFormat="false" ht="18" hidden="false" customHeight="true" outlineLevel="0" collapsed="false">
      <c r="A876" s="9" t="s">
        <v>26</v>
      </c>
      <c r="B876" s="9" t="n">
        <v>22</v>
      </c>
      <c r="C876" s="11" t="n">
        <v>45987</v>
      </c>
      <c r="D876" s="9" t="s">
        <v>96</v>
      </c>
      <c r="E876" s="12" t="n">
        <v>20</v>
      </c>
      <c r="F876" s="9" t="s">
        <v>31</v>
      </c>
      <c r="G876" s="13" t="n">
        <v>50</v>
      </c>
      <c r="H876" s="9" t="s">
        <v>34</v>
      </c>
      <c r="I876" s="13" t="n">
        <v>2</v>
      </c>
      <c r="J876" s="1" t="str">
        <f aca="false">IF(A876="","", "SAMP-"&amp;A876&amp;"-L"&amp;TEXT(B876,"00")&amp;"-"&amp;TEXT(C876,"yyyymmdd")&amp;"-"&amp;D876&amp;"-H"&amp;TEXT(E876,"00")&amp;"-"&amp;H876)</f>
        <v>SAMP-KG01-L22-20251126-ORD-2025-00207-H20-Thin Wall</v>
      </c>
      <c r="K876" s="1" t="str">
        <f aca="false">IF(A876="","",IF(AND(G876&gt;=0,I876&gt;=0,I876&lt;=G876),"OK","CHECK"))</f>
        <v>OK</v>
      </c>
      <c r="L876" s="1" t="str">
        <f aca="false">IF(A876="","",IF(AND(E876&gt;=0,E876&lt;=23),"OK","CHECK"))</f>
        <v>OK</v>
      </c>
      <c r="M876" s="1" t="str">
        <f aca="false">IF(A876="","",IF(AND(K876="OK",L876="OK"),"OK","CHECK"))</f>
        <v>OK</v>
      </c>
    </row>
    <row r="877" customFormat="false" ht="18" hidden="false" customHeight="true" outlineLevel="0" collapsed="false">
      <c r="A877" s="9" t="s">
        <v>26</v>
      </c>
      <c r="B877" s="9" t="n">
        <v>22</v>
      </c>
      <c r="C877" s="11" t="n">
        <v>45988</v>
      </c>
      <c r="D877" s="9" t="s">
        <v>96</v>
      </c>
      <c r="E877" s="12" t="n">
        <v>12</v>
      </c>
      <c r="F877" s="9" t="s">
        <v>28</v>
      </c>
      <c r="G877" s="13" t="n">
        <v>200</v>
      </c>
      <c r="H877" s="9" t="s">
        <v>41</v>
      </c>
      <c r="I877" s="13" t="n">
        <v>7</v>
      </c>
      <c r="J877" s="1" t="str">
        <f aca="false">IF(A877="","", "SAMP-"&amp;A877&amp;"-L"&amp;TEXT(B877,"00")&amp;"-"&amp;TEXT(C877,"yyyymmdd")&amp;"-"&amp;D877&amp;"-H"&amp;TEXT(E877,"00")&amp;"-"&amp;H877)</f>
        <v>SAMP-KG01-L22-20251127-ORD-2025-00207-H12-Chip</v>
      </c>
      <c r="K877" s="1" t="str">
        <f aca="false">IF(A877="","",IF(AND(G877&gt;=0,I877&gt;=0,I877&lt;=G877),"OK","CHECK"))</f>
        <v>OK</v>
      </c>
      <c r="L877" s="1" t="str">
        <f aca="false">IF(A877="","",IF(AND(E877&gt;=0,E877&lt;=23),"OK","CHECK"))</f>
        <v>OK</v>
      </c>
      <c r="M877" s="1" t="str">
        <f aca="false">IF(A877="","",IF(AND(K877="OK",L877="OK"),"OK","CHECK"))</f>
        <v>OK</v>
      </c>
    </row>
    <row r="878" customFormat="false" ht="18" hidden="false" customHeight="true" outlineLevel="0" collapsed="false">
      <c r="A878" s="9" t="s">
        <v>26</v>
      </c>
      <c r="B878" s="9" t="n">
        <v>22</v>
      </c>
      <c r="C878" s="11" t="n">
        <v>45988</v>
      </c>
      <c r="D878" s="9" t="s">
        <v>96</v>
      </c>
      <c r="E878" s="12" t="n">
        <v>7</v>
      </c>
      <c r="F878" s="9" t="s">
        <v>28</v>
      </c>
      <c r="G878" s="13" t="n">
        <v>200</v>
      </c>
      <c r="H878" s="9" t="s">
        <v>41</v>
      </c>
      <c r="I878" s="13" t="n">
        <v>1</v>
      </c>
      <c r="J878" s="1" t="str">
        <f aca="false">IF(A878="","", "SAMP-"&amp;A878&amp;"-L"&amp;TEXT(B878,"00")&amp;"-"&amp;TEXT(C878,"yyyymmdd")&amp;"-"&amp;D878&amp;"-H"&amp;TEXT(E878,"00")&amp;"-"&amp;H878)</f>
        <v>SAMP-KG01-L22-20251127-ORD-2025-00207-H07-Chip</v>
      </c>
      <c r="K878" s="1" t="str">
        <f aca="false">IF(A878="","",IF(AND(G878&gt;=0,I878&gt;=0,I878&lt;=G878),"OK","CHECK"))</f>
        <v>OK</v>
      </c>
      <c r="L878" s="1" t="str">
        <f aca="false">IF(A878="","",IF(AND(E878&gt;=0,E878&lt;=23),"OK","CHECK"))</f>
        <v>OK</v>
      </c>
      <c r="M878" s="1" t="str">
        <f aca="false">IF(A878="","",IF(AND(K878="OK",L878="OK"),"OK","CHECK"))</f>
        <v>OK</v>
      </c>
    </row>
    <row r="879" customFormat="false" ht="18" hidden="false" customHeight="true" outlineLevel="0" collapsed="false">
      <c r="A879" s="9" t="s">
        <v>26</v>
      </c>
      <c r="B879" s="9" t="n">
        <v>22</v>
      </c>
      <c r="C879" s="11" t="n">
        <v>45988</v>
      </c>
      <c r="D879" s="9" t="s">
        <v>96</v>
      </c>
      <c r="E879" s="12" t="n">
        <v>23</v>
      </c>
      <c r="F879" s="9" t="s">
        <v>31</v>
      </c>
      <c r="G879" s="13" t="n">
        <v>100</v>
      </c>
      <c r="H879" s="9" t="s">
        <v>36</v>
      </c>
      <c r="I879" s="13" t="n">
        <v>3</v>
      </c>
      <c r="J879" s="1" t="str">
        <f aca="false">IF(A879="","", "SAMP-"&amp;A879&amp;"-L"&amp;TEXT(B879,"00")&amp;"-"&amp;TEXT(C879,"yyyymmdd")&amp;"-"&amp;D879&amp;"-H"&amp;TEXT(E879,"00")&amp;"-"&amp;H879)</f>
        <v>SAMP-KG01-L22-20251127-ORD-2025-00207-H23-Blister</v>
      </c>
      <c r="K879" s="1" t="str">
        <f aca="false">IF(A879="","",IF(AND(G879&gt;=0,I879&gt;=0,I879&lt;=G879),"OK","CHECK"))</f>
        <v>OK</v>
      </c>
      <c r="L879" s="1" t="str">
        <f aca="false">IF(A879="","",IF(AND(E879&gt;=0,E879&lt;=23),"OK","CHECK"))</f>
        <v>OK</v>
      </c>
      <c r="M879" s="1" t="str">
        <f aca="false">IF(A879="","",IF(AND(K879="OK",L879="OK"),"OK","CHECK"))</f>
        <v>OK</v>
      </c>
    </row>
    <row r="880" customFormat="false" ht="18" hidden="false" customHeight="true" outlineLevel="0" collapsed="false">
      <c r="A880" s="9" t="s">
        <v>26</v>
      </c>
      <c r="B880" s="9" t="n">
        <v>22</v>
      </c>
      <c r="C880" s="11" t="n">
        <v>45988</v>
      </c>
      <c r="D880" s="9" t="s">
        <v>96</v>
      </c>
      <c r="E880" s="12" t="n">
        <v>20</v>
      </c>
      <c r="F880" s="9" t="s">
        <v>31</v>
      </c>
      <c r="G880" s="13" t="n">
        <v>100</v>
      </c>
      <c r="H880" s="9" t="s">
        <v>30</v>
      </c>
      <c r="I880" s="13" t="n">
        <v>2</v>
      </c>
      <c r="J880" s="1" t="str">
        <f aca="false">IF(A880="","", "SAMP-"&amp;A880&amp;"-L"&amp;TEXT(B880,"00")&amp;"-"&amp;TEXT(C880,"yyyymmdd")&amp;"-"&amp;D880&amp;"-H"&amp;TEXT(E880,"00")&amp;"-"&amp;H880)</f>
        <v>SAMP-KG01-L22-20251127-ORD-2025-00207-H20-Overpress</v>
      </c>
      <c r="K880" s="1" t="str">
        <f aca="false">IF(A880="","",IF(AND(G880&gt;=0,I880&gt;=0,I880&lt;=G880),"OK","CHECK"))</f>
        <v>OK</v>
      </c>
      <c r="L880" s="1" t="str">
        <f aca="false">IF(A880="","",IF(AND(E880&gt;=0,E880&lt;=23),"OK","CHECK"))</f>
        <v>OK</v>
      </c>
      <c r="M880" s="1" t="str">
        <f aca="false">IF(A880="","",IF(AND(K880="OK",L880="OK"),"OK","CHECK"))</f>
        <v>OK</v>
      </c>
    </row>
    <row r="881" customFormat="false" ht="18" hidden="false" customHeight="true" outlineLevel="0" collapsed="false">
      <c r="A881" s="9" t="s">
        <v>26</v>
      </c>
      <c r="B881" s="9" t="n">
        <v>22</v>
      </c>
      <c r="C881" s="11" t="n">
        <v>45989</v>
      </c>
      <c r="D881" s="9" t="s">
        <v>97</v>
      </c>
      <c r="E881" s="12" t="n">
        <v>12</v>
      </c>
      <c r="F881" s="9" t="s">
        <v>28</v>
      </c>
      <c r="G881" s="13" t="n">
        <v>200</v>
      </c>
      <c r="H881" s="9" t="s">
        <v>37</v>
      </c>
      <c r="I881" s="13" t="n">
        <v>7</v>
      </c>
      <c r="J881" s="1" t="str">
        <f aca="false">IF(A881="","", "SAMP-"&amp;A881&amp;"-L"&amp;TEXT(B881,"00")&amp;"-"&amp;TEXT(C881,"yyyymmdd")&amp;"-"&amp;D881&amp;"-H"&amp;TEXT(E881,"00")&amp;"-"&amp;H881)</f>
        <v>SAMP-KG01-L22-20251128-ORD-2025-00208-H12-Bird Swing</v>
      </c>
      <c r="K881" s="1" t="str">
        <f aca="false">IF(A881="","",IF(AND(G881&gt;=0,I881&gt;=0,I881&lt;=G881),"OK","CHECK"))</f>
        <v>OK</v>
      </c>
      <c r="L881" s="1" t="str">
        <f aca="false">IF(A881="","",IF(AND(E881&gt;=0,E881&lt;=23),"OK","CHECK"))</f>
        <v>OK</v>
      </c>
      <c r="M881" s="1" t="str">
        <f aca="false">IF(A881="","",IF(AND(K881="OK",L881="OK"),"OK","CHECK"))</f>
        <v>OK</v>
      </c>
    </row>
    <row r="882" customFormat="false" ht="18" hidden="false" customHeight="true" outlineLevel="0" collapsed="false">
      <c r="A882" s="9" t="s">
        <v>26</v>
      </c>
      <c r="B882" s="9" t="n">
        <v>22</v>
      </c>
      <c r="C882" s="11" t="n">
        <v>45989</v>
      </c>
      <c r="D882" s="9" t="s">
        <v>97</v>
      </c>
      <c r="E882" s="12" t="n">
        <v>7</v>
      </c>
      <c r="F882" s="9" t="s">
        <v>28</v>
      </c>
      <c r="G882" s="13" t="n">
        <v>100</v>
      </c>
      <c r="H882" s="9" t="s">
        <v>38</v>
      </c>
      <c r="I882" s="13" t="n">
        <v>1</v>
      </c>
      <c r="J882" s="1" t="str">
        <f aca="false">IF(A882="","", "SAMP-"&amp;A882&amp;"-L"&amp;TEXT(B882,"00")&amp;"-"&amp;TEXT(C882,"yyyymmdd")&amp;"-"&amp;D882&amp;"-H"&amp;TEXT(E882,"00")&amp;"-"&amp;H882)</f>
        <v>SAMP-KG01-L22-20251128-ORD-2025-00208-H07-Crack</v>
      </c>
      <c r="K882" s="1" t="str">
        <f aca="false">IF(A882="","",IF(AND(G882&gt;=0,I882&gt;=0,I882&lt;=G882),"OK","CHECK"))</f>
        <v>OK</v>
      </c>
      <c r="L882" s="1" t="str">
        <f aca="false">IF(A882="","",IF(AND(E882&gt;=0,E882&lt;=23),"OK","CHECK"))</f>
        <v>OK</v>
      </c>
      <c r="M882" s="1" t="str">
        <f aca="false">IF(A882="","",IF(AND(K882="OK",L882="OK"),"OK","CHECK"))</f>
        <v>OK</v>
      </c>
    </row>
    <row r="883" customFormat="false" ht="18" hidden="false" customHeight="true" outlineLevel="0" collapsed="false">
      <c r="A883" s="9" t="s">
        <v>26</v>
      </c>
      <c r="B883" s="9" t="n">
        <v>22</v>
      </c>
      <c r="C883" s="11" t="n">
        <v>45989</v>
      </c>
      <c r="D883" s="9" t="s">
        <v>97</v>
      </c>
      <c r="E883" s="12" t="n">
        <v>16</v>
      </c>
      <c r="F883" s="9" t="s">
        <v>31</v>
      </c>
      <c r="G883" s="13" t="n">
        <v>150</v>
      </c>
      <c r="H883" s="9" t="s">
        <v>29</v>
      </c>
      <c r="I883" s="13" t="n">
        <v>4</v>
      </c>
      <c r="J883" s="1" t="str">
        <f aca="false">IF(A883="","", "SAMP-"&amp;A883&amp;"-L"&amp;TEXT(B883,"00")&amp;"-"&amp;TEXT(C883,"yyyymmdd")&amp;"-"&amp;D883&amp;"-H"&amp;TEXT(E883,"00")&amp;"-"&amp;H883)</f>
        <v>SAMP-KG01-L22-20251128-ORD-2025-00208-H16-Choke Neck</v>
      </c>
      <c r="K883" s="1" t="str">
        <f aca="false">IF(A883="","",IF(AND(G883&gt;=0,I883&gt;=0,I883&lt;=G883),"OK","CHECK"))</f>
        <v>OK</v>
      </c>
      <c r="L883" s="1" t="str">
        <f aca="false">IF(A883="","",IF(AND(E883&gt;=0,E883&lt;=23),"OK","CHECK"))</f>
        <v>OK</v>
      </c>
      <c r="M883" s="1" t="str">
        <f aca="false">IF(A883="","",IF(AND(K883="OK",L883="OK"),"OK","CHECK"))</f>
        <v>OK</v>
      </c>
    </row>
    <row r="884" customFormat="false" ht="18" hidden="false" customHeight="true" outlineLevel="0" collapsed="false">
      <c r="A884" s="9" t="s">
        <v>26</v>
      </c>
      <c r="B884" s="9" t="n">
        <v>22</v>
      </c>
      <c r="C884" s="11" t="n">
        <v>45989</v>
      </c>
      <c r="D884" s="9" t="s">
        <v>97</v>
      </c>
      <c r="E884" s="12" t="n">
        <v>23</v>
      </c>
      <c r="F884" s="9" t="s">
        <v>31</v>
      </c>
      <c r="G884" s="13" t="n">
        <v>50</v>
      </c>
      <c r="H884" s="9" t="s">
        <v>29</v>
      </c>
      <c r="I884" s="13" t="n">
        <v>1</v>
      </c>
      <c r="J884" s="1" t="str">
        <f aca="false">IF(A884="","", "SAMP-"&amp;A884&amp;"-L"&amp;TEXT(B884,"00")&amp;"-"&amp;TEXT(C884,"yyyymmdd")&amp;"-"&amp;D884&amp;"-H"&amp;TEXT(E884,"00")&amp;"-"&amp;H884)</f>
        <v>SAMP-KG01-L22-20251128-ORD-2025-00208-H23-Choke Neck</v>
      </c>
      <c r="K884" s="1" t="str">
        <f aca="false">IF(A884="","",IF(AND(G884&gt;=0,I884&gt;=0,I884&lt;=G884),"OK","CHECK"))</f>
        <v>OK</v>
      </c>
      <c r="L884" s="1" t="str">
        <f aca="false">IF(A884="","",IF(AND(E884&gt;=0,E884&lt;=23),"OK","CHECK"))</f>
        <v>OK</v>
      </c>
      <c r="M884" s="1" t="str">
        <f aca="false">IF(A884="","",IF(AND(K884="OK",L884="OK"),"OK","CHECK"))</f>
        <v>OK</v>
      </c>
    </row>
    <row r="885" customFormat="false" ht="18" hidden="false" customHeight="true" outlineLevel="0" collapsed="false">
      <c r="A885" s="9" t="s">
        <v>26</v>
      </c>
      <c r="B885" s="9" t="n">
        <v>22</v>
      </c>
      <c r="C885" s="11" t="n">
        <v>45990</v>
      </c>
      <c r="D885" s="9" t="s">
        <v>97</v>
      </c>
      <c r="E885" s="12" t="n">
        <v>7</v>
      </c>
      <c r="F885" s="9" t="s">
        <v>28</v>
      </c>
      <c r="G885" s="13" t="n">
        <v>150</v>
      </c>
      <c r="H885" s="9" t="s">
        <v>35</v>
      </c>
      <c r="I885" s="13" t="n">
        <v>5</v>
      </c>
      <c r="J885" s="1" t="str">
        <f aca="false">IF(A885="","", "SAMP-"&amp;A885&amp;"-L"&amp;TEXT(B885,"00")&amp;"-"&amp;TEXT(C885,"yyyymmdd")&amp;"-"&amp;D885&amp;"-H"&amp;TEXT(E885,"00")&amp;"-"&amp;H885)</f>
        <v>SAMP-KG01-L22-20251129-ORD-2025-00208-H07-Stone</v>
      </c>
      <c r="K885" s="1" t="str">
        <f aca="false">IF(A885="","",IF(AND(G885&gt;=0,I885&gt;=0,I885&lt;=G885),"OK","CHECK"))</f>
        <v>OK</v>
      </c>
      <c r="L885" s="1" t="str">
        <f aca="false">IF(A885="","",IF(AND(E885&gt;=0,E885&lt;=23),"OK","CHECK"))</f>
        <v>OK</v>
      </c>
      <c r="M885" s="1" t="str">
        <f aca="false">IF(A885="","",IF(AND(K885="OK",L885="OK"),"OK","CHECK"))</f>
        <v>OK</v>
      </c>
    </row>
    <row r="886" customFormat="false" ht="18" hidden="false" customHeight="true" outlineLevel="0" collapsed="false">
      <c r="A886" s="9" t="s">
        <v>26</v>
      </c>
      <c r="B886" s="9" t="n">
        <v>22</v>
      </c>
      <c r="C886" s="11" t="n">
        <v>45990</v>
      </c>
      <c r="D886" s="9" t="s">
        <v>97</v>
      </c>
      <c r="E886" s="12" t="n">
        <v>12</v>
      </c>
      <c r="F886" s="9" t="s">
        <v>28</v>
      </c>
      <c r="G886" s="13" t="n">
        <v>100</v>
      </c>
      <c r="H886" s="9" t="s">
        <v>36</v>
      </c>
      <c r="I886" s="13" t="n">
        <v>2</v>
      </c>
      <c r="J886" s="1" t="str">
        <f aca="false">IF(A886="","", "SAMP-"&amp;A886&amp;"-L"&amp;TEXT(B886,"00")&amp;"-"&amp;TEXT(C886,"yyyymmdd")&amp;"-"&amp;D886&amp;"-H"&amp;TEXT(E886,"00")&amp;"-"&amp;H886)</f>
        <v>SAMP-KG01-L22-20251129-ORD-2025-00208-H12-Blister</v>
      </c>
      <c r="K886" s="1" t="str">
        <f aca="false">IF(A886="","",IF(AND(G886&gt;=0,I886&gt;=0,I886&lt;=G886),"OK","CHECK"))</f>
        <v>OK</v>
      </c>
      <c r="L886" s="1" t="str">
        <f aca="false">IF(A886="","",IF(AND(E886&gt;=0,E886&lt;=23),"OK","CHECK"))</f>
        <v>OK</v>
      </c>
      <c r="M886" s="1" t="str">
        <f aca="false">IF(A886="","",IF(AND(K886="OK",L886="OK"),"OK","CHECK"))</f>
        <v>OK</v>
      </c>
    </row>
    <row r="887" customFormat="false" ht="18" hidden="false" customHeight="true" outlineLevel="0" collapsed="false">
      <c r="A887" s="9" t="s">
        <v>26</v>
      </c>
      <c r="B887" s="9" t="n">
        <v>22</v>
      </c>
      <c r="C887" s="11" t="n">
        <v>45990</v>
      </c>
      <c r="D887" s="9" t="s">
        <v>97</v>
      </c>
      <c r="E887" s="12" t="n">
        <v>16</v>
      </c>
      <c r="F887" s="9" t="s">
        <v>31</v>
      </c>
      <c r="G887" s="13" t="n">
        <v>50</v>
      </c>
      <c r="H887" s="9" t="s">
        <v>30</v>
      </c>
      <c r="I887" s="13" t="n">
        <v>2</v>
      </c>
      <c r="J887" s="1" t="str">
        <f aca="false">IF(A887="","", "SAMP-"&amp;A887&amp;"-L"&amp;TEXT(B887,"00")&amp;"-"&amp;TEXT(C887,"yyyymmdd")&amp;"-"&amp;D887&amp;"-H"&amp;TEXT(E887,"00")&amp;"-"&amp;H887)</f>
        <v>SAMP-KG01-L22-20251129-ORD-2025-00208-H16-Overpress</v>
      </c>
      <c r="K887" s="1" t="str">
        <f aca="false">IF(A887="","",IF(AND(G887&gt;=0,I887&gt;=0,I887&lt;=G887),"OK","CHECK"))</f>
        <v>OK</v>
      </c>
      <c r="L887" s="1" t="str">
        <f aca="false">IF(A887="","",IF(AND(E887&gt;=0,E887&lt;=23),"OK","CHECK"))</f>
        <v>OK</v>
      </c>
      <c r="M887" s="1" t="str">
        <f aca="false">IF(A887="","",IF(AND(K887="OK",L887="OK"),"OK","CHECK"))</f>
        <v>OK</v>
      </c>
    </row>
    <row r="888" customFormat="false" ht="18" hidden="false" customHeight="true" outlineLevel="0" collapsed="false">
      <c r="A888" s="9" t="s">
        <v>26</v>
      </c>
      <c r="B888" s="9" t="n">
        <v>22</v>
      </c>
      <c r="C888" s="11" t="n">
        <v>45990</v>
      </c>
      <c r="D888" s="9" t="s">
        <v>97</v>
      </c>
      <c r="E888" s="12" t="n">
        <v>23</v>
      </c>
      <c r="F888" s="9" t="s">
        <v>31</v>
      </c>
      <c r="G888" s="13" t="n">
        <v>200</v>
      </c>
      <c r="H888" s="9" t="s">
        <v>29</v>
      </c>
      <c r="I888" s="13" t="n">
        <v>2</v>
      </c>
      <c r="J888" s="1" t="str">
        <f aca="false">IF(A888="","", "SAMP-"&amp;A888&amp;"-L"&amp;TEXT(B888,"00")&amp;"-"&amp;TEXT(C888,"yyyymmdd")&amp;"-"&amp;D888&amp;"-H"&amp;TEXT(E888,"00")&amp;"-"&amp;H888)</f>
        <v>SAMP-KG01-L22-20251129-ORD-2025-00208-H23-Choke Neck</v>
      </c>
      <c r="K888" s="1" t="str">
        <f aca="false">IF(A888="","",IF(AND(G888&gt;=0,I888&gt;=0,I888&lt;=G888),"OK","CHECK"))</f>
        <v>OK</v>
      </c>
      <c r="L888" s="1" t="str">
        <f aca="false">IF(A888="","",IF(AND(E888&gt;=0,E888&lt;=23),"OK","CHECK"))</f>
        <v>OK</v>
      </c>
      <c r="M888" s="1" t="str">
        <f aca="false">IF(A888="","",IF(AND(K888="OK",L888="OK"),"OK","CHECK"))</f>
        <v>OK</v>
      </c>
    </row>
    <row r="889" customFormat="false" ht="18" hidden="false" customHeight="true" outlineLevel="0" collapsed="false">
      <c r="A889" s="9" t="s">
        <v>26</v>
      </c>
      <c r="B889" s="9" t="n">
        <v>22</v>
      </c>
      <c r="C889" s="11" t="n">
        <v>45990</v>
      </c>
      <c r="D889" s="9" t="s">
        <v>97</v>
      </c>
      <c r="E889" s="12" t="n">
        <v>20</v>
      </c>
      <c r="F889" s="9" t="s">
        <v>31</v>
      </c>
      <c r="G889" s="13" t="n">
        <v>200</v>
      </c>
      <c r="H889" s="9" t="s">
        <v>34</v>
      </c>
      <c r="I889" s="13" t="n">
        <v>7</v>
      </c>
      <c r="J889" s="1" t="str">
        <f aca="false">IF(A889="","", "SAMP-"&amp;A889&amp;"-L"&amp;TEXT(B889,"00")&amp;"-"&amp;TEXT(C889,"yyyymmdd")&amp;"-"&amp;D889&amp;"-H"&amp;TEXT(E889,"00")&amp;"-"&amp;H889)</f>
        <v>SAMP-KG01-L22-20251129-ORD-2025-00208-H20-Thin Wall</v>
      </c>
      <c r="K889" s="1" t="str">
        <f aca="false">IF(A889="","",IF(AND(G889&gt;=0,I889&gt;=0,I889&lt;=G889),"OK","CHECK"))</f>
        <v>OK</v>
      </c>
      <c r="L889" s="1" t="str">
        <f aca="false">IF(A889="","",IF(AND(E889&gt;=0,E889&lt;=23),"OK","CHECK"))</f>
        <v>OK</v>
      </c>
      <c r="M889" s="1" t="str">
        <f aca="false">IF(A889="","",IF(AND(K889="OK",L889="OK"),"OK","CHECK"))</f>
        <v>OK</v>
      </c>
    </row>
    <row r="890" customFormat="false" ht="18" hidden="false" customHeight="true" outlineLevel="0" collapsed="false">
      <c r="A890" s="9" t="s">
        <v>26</v>
      </c>
      <c r="B890" s="9" t="n">
        <v>22</v>
      </c>
      <c r="C890" s="11" t="n">
        <v>45991</v>
      </c>
      <c r="D890" s="9" t="s">
        <v>97</v>
      </c>
      <c r="E890" s="12" t="n">
        <v>9</v>
      </c>
      <c r="F890" s="9" t="s">
        <v>28</v>
      </c>
      <c r="G890" s="13" t="n">
        <v>150</v>
      </c>
      <c r="H890" s="9" t="s">
        <v>41</v>
      </c>
      <c r="I890" s="13" t="n">
        <v>0</v>
      </c>
      <c r="J890" s="1" t="str">
        <f aca="false">IF(A890="","", "SAMP-"&amp;A890&amp;"-L"&amp;TEXT(B890,"00")&amp;"-"&amp;TEXT(C890,"yyyymmdd")&amp;"-"&amp;D890&amp;"-H"&amp;TEXT(E890,"00")&amp;"-"&amp;H890)</f>
        <v>SAMP-KG01-L22-20251130-ORD-2025-00208-H09-Chip</v>
      </c>
      <c r="K890" s="1" t="str">
        <f aca="false">IF(A890="","",IF(AND(G890&gt;=0,I890&gt;=0,I890&lt;=G890),"OK","CHECK"))</f>
        <v>OK</v>
      </c>
      <c r="L890" s="1" t="str">
        <f aca="false">IF(A890="","",IF(AND(E890&gt;=0,E890&lt;=23),"OK","CHECK"))</f>
        <v>OK</v>
      </c>
      <c r="M890" s="1" t="str">
        <f aca="false">IF(A890="","",IF(AND(K890="OK",L890="OK"),"OK","CHECK"))</f>
        <v>OK</v>
      </c>
    </row>
    <row r="891" customFormat="false" ht="18" hidden="false" customHeight="true" outlineLevel="0" collapsed="false">
      <c r="A891" s="9" t="s">
        <v>26</v>
      </c>
      <c r="B891" s="9" t="n">
        <v>22</v>
      </c>
      <c r="C891" s="11" t="n">
        <v>45991</v>
      </c>
      <c r="D891" s="9" t="s">
        <v>97</v>
      </c>
      <c r="E891" s="12" t="n">
        <v>12</v>
      </c>
      <c r="F891" s="9" t="s">
        <v>28</v>
      </c>
      <c r="G891" s="13" t="n">
        <v>100</v>
      </c>
      <c r="H891" s="9" t="s">
        <v>37</v>
      </c>
      <c r="I891" s="13" t="n">
        <v>3</v>
      </c>
      <c r="J891" s="1" t="str">
        <f aca="false">IF(A891="","", "SAMP-"&amp;A891&amp;"-L"&amp;TEXT(B891,"00")&amp;"-"&amp;TEXT(C891,"yyyymmdd")&amp;"-"&amp;D891&amp;"-H"&amp;TEXT(E891,"00")&amp;"-"&amp;H891)</f>
        <v>SAMP-KG01-L22-20251130-ORD-2025-00208-H12-Bird Swing</v>
      </c>
      <c r="K891" s="1" t="str">
        <f aca="false">IF(A891="","",IF(AND(G891&gt;=0,I891&gt;=0,I891&lt;=G891),"OK","CHECK"))</f>
        <v>OK</v>
      </c>
      <c r="L891" s="1" t="str">
        <f aca="false">IF(A891="","",IF(AND(E891&gt;=0,E891&lt;=23),"OK","CHECK"))</f>
        <v>OK</v>
      </c>
      <c r="M891" s="1" t="str">
        <f aca="false">IF(A891="","",IF(AND(K891="OK",L891="OK"),"OK","CHECK"))</f>
        <v>OK</v>
      </c>
    </row>
    <row r="892" customFormat="false" ht="18" hidden="false" customHeight="true" outlineLevel="0" collapsed="false">
      <c r="A892" s="9" t="s">
        <v>26</v>
      </c>
      <c r="B892" s="9" t="n">
        <v>22</v>
      </c>
      <c r="C892" s="11" t="n">
        <v>45991</v>
      </c>
      <c r="D892" s="9" t="s">
        <v>98</v>
      </c>
      <c r="E892" s="12" t="n">
        <v>16</v>
      </c>
      <c r="F892" s="9" t="s">
        <v>31</v>
      </c>
      <c r="G892" s="13" t="n">
        <v>50</v>
      </c>
      <c r="H892" s="9" t="s">
        <v>30</v>
      </c>
      <c r="I892" s="13" t="n">
        <v>2</v>
      </c>
      <c r="J892" s="1" t="str">
        <f aca="false">IF(A892="","", "SAMP-"&amp;A892&amp;"-L"&amp;TEXT(B892,"00")&amp;"-"&amp;TEXT(C892,"yyyymmdd")&amp;"-"&amp;D892&amp;"-H"&amp;TEXT(E892,"00")&amp;"-"&amp;H892)</f>
        <v>SAMP-KG01-L22-20251130-ORD-2025-00209-H16-Overpress</v>
      </c>
      <c r="K892" s="1" t="str">
        <f aca="false">IF(A892="","",IF(AND(G892&gt;=0,I892&gt;=0,I892&lt;=G892),"OK","CHECK"))</f>
        <v>OK</v>
      </c>
      <c r="L892" s="1" t="str">
        <f aca="false">IF(A892="","",IF(AND(E892&gt;=0,E892&lt;=23),"OK","CHECK"))</f>
        <v>OK</v>
      </c>
      <c r="M892" s="1" t="str">
        <f aca="false">IF(A892="","",IF(AND(K892="OK",L892="OK"),"OK","CHECK"))</f>
        <v>OK</v>
      </c>
    </row>
    <row r="893" customFormat="false" ht="18" hidden="false" customHeight="true" outlineLevel="0" collapsed="false">
      <c r="A893" s="9" t="s">
        <v>26</v>
      </c>
      <c r="B893" s="9" t="n">
        <v>22</v>
      </c>
      <c r="C893" s="11" t="n">
        <v>45991</v>
      </c>
      <c r="D893" s="9" t="s">
        <v>98</v>
      </c>
      <c r="E893" s="12" t="n">
        <v>20</v>
      </c>
      <c r="F893" s="9" t="s">
        <v>31</v>
      </c>
      <c r="G893" s="13" t="n">
        <v>200</v>
      </c>
      <c r="H893" s="9" t="s">
        <v>41</v>
      </c>
      <c r="I893" s="13" t="n">
        <v>1</v>
      </c>
      <c r="J893" s="1" t="str">
        <f aca="false">IF(A893="","", "SAMP-"&amp;A893&amp;"-L"&amp;TEXT(B893,"00")&amp;"-"&amp;TEXT(C893,"yyyymmdd")&amp;"-"&amp;D893&amp;"-H"&amp;TEXT(E893,"00")&amp;"-"&amp;H893)</f>
        <v>SAMP-KG01-L22-20251130-ORD-2025-00209-H20-Chip</v>
      </c>
      <c r="K893" s="1" t="str">
        <f aca="false">IF(A893="","",IF(AND(G893&gt;=0,I893&gt;=0,I893&lt;=G893),"OK","CHECK"))</f>
        <v>OK</v>
      </c>
      <c r="L893" s="1" t="str">
        <f aca="false">IF(A893="","",IF(AND(E893&gt;=0,E893&lt;=23),"OK","CHECK"))</f>
        <v>OK</v>
      </c>
      <c r="M893" s="1" t="str">
        <f aca="false">IF(A893="","",IF(AND(K893="OK",L893="OK"),"OK","CHECK"))</f>
        <v>OK</v>
      </c>
    </row>
    <row r="894" customFormat="false" ht="18" hidden="false" customHeight="true" outlineLevel="0" collapsed="false">
      <c r="A894" s="9" t="s">
        <v>26</v>
      </c>
      <c r="B894" s="9" t="n">
        <v>22</v>
      </c>
      <c r="C894" s="11" t="n">
        <v>45991</v>
      </c>
      <c r="D894" s="9" t="s">
        <v>98</v>
      </c>
      <c r="E894" s="12" t="n">
        <v>23</v>
      </c>
      <c r="F894" s="9" t="s">
        <v>31</v>
      </c>
      <c r="G894" s="13" t="n">
        <v>50</v>
      </c>
      <c r="H894" s="9" t="s">
        <v>34</v>
      </c>
      <c r="I894" s="13" t="n">
        <v>1</v>
      </c>
      <c r="J894" s="1" t="str">
        <f aca="false">IF(A894="","", "SAMP-"&amp;A894&amp;"-L"&amp;TEXT(B894,"00")&amp;"-"&amp;TEXT(C894,"yyyymmdd")&amp;"-"&amp;D894&amp;"-H"&amp;TEXT(E894,"00")&amp;"-"&amp;H894)</f>
        <v>SAMP-KG01-L22-20251130-ORD-2025-00209-H23-Thin Wall</v>
      </c>
      <c r="K894" s="1" t="str">
        <f aca="false">IF(A894="","",IF(AND(G894&gt;=0,I894&gt;=0,I894&lt;=G894),"OK","CHECK"))</f>
        <v>OK</v>
      </c>
      <c r="L894" s="1" t="str">
        <f aca="false">IF(A894="","",IF(AND(E894&gt;=0,E894&lt;=23),"OK","CHECK"))</f>
        <v>OK</v>
      </c>
      <c r="M894" s="1" t="str">
        <f aca="false">IF(A894="","",IF(AND(K894="OK",L894="OK"),"OK","CHECK"))</f>
        <v>OK</v>
      </c>
    </row>
    <row r="895" customFormat="false" ht="18" hidden="false" customHeight="true" outlineLevel="0" collapsed="false">
      <c r="A895" s="9" t="s">
        <v>26</v>
      </c>
      <c r="B895" s="9" t="n">
        <v>22</v>
      </c>
      <c r="C895" s="11" t="n">
        <v>45992</v>
      </c>
      <c r="D895" s="9" t="s">
        <v>98</v>
      </c>
      <c r="E895" s="12" t="n">
        <v>7</v>
      </c>
      <c r="F895" s="9" t="s">
        <v>28</v>
      </c>
      <c r="G895" s="13" t="n">
        <v>150</v>
      </c>
      <c r="H895" s="9" t="s">
        <v>33</v>
      </c>
      <c r="I895" s="13" t="n">
        <v>2</v>
      </c>
      <c r="J895" s="1" t="str">
        <f aca="false">IF(A895="","", "SAMP-"&amp;A895&amp;"-L"&amp;TEXT(B895,"00")&amp;"-"&amp;TEXT(C895,"yyyymmdd")&amp;"-"&amp;D895&amp;"-H"&amp;TEXT(E895,"00")&amp;"-"&amp;H895)</f>
        <v>SAMP-KG01-L22-20251201-ORD-2025-00209-H07-Distortion</v>
      </c>
      <c r="K895" s="1" t="str">
        <f aca="false">IF(A895="","",IF(AND(G895&gt;=0,I895&gt;=0,I895&lt;=G895),"OK","CHECK"))</f>
        <v>OK</v>
      </c>
      <c r="L895" s="1" t="str">
        <f aca="false">IF(A895="","",IF(AND(E895&gt;=0,E895&lt;=23),"OK","CHECK"))</f>
        <v>OK</v>
      </c>
      <c r="M895" s="1" t="str">
        <f aca="false">IF(A895="","",IF(AND(K895="OK",L895="OK"),"OK","CHECK"))</f>
        <v>OK</v>
      </c>
    </row>
    <row r="896" customFormat="false" ht="18" hidden="false" customHeight="true" outlineLevel="0" collapsed="false">
      <c r="A896" s="9" t="s">
        <v>26</v>
      </c>
      <c r="B896" s="9" t="n">
        <v>22</v>
      </c>
      <c r="C896" s="11" t="n">
        <v>45992</v>
      </c>
      <c r="D896" s="9" t="s">
        <v>98</v>
      </c>
      <c r="E896" s="12" t="n">
        <v>9</v>
      </c>
      <c r="F896" s="9" t="s">
        <v>28</v>
      </c>
      <c r="G896" s="13" t="n">
        <v>50</v>
      </c>
      <c r="H896" s="9" t="s">
        <v>29</v>
      </c>
      <c r="I896" s="13" t="n">
        <v>2</v>
      </c>
      <c r="J896" s="1" t="str">
        <f aca="false">IF(A896="","", "SAMP-"&amp;A896&amp;"-L"&amp;TEXT(B896,"00")&amp;"-"&amp;TEXT(C896,"yyyymmdd")&amp;"-"&amp;D896&amp;"-H"&amp;TEXT(E896,"00")&amp;"-"&amp;H896)</f>
        <v>SAMP-KG01-L22-20251201-ORD-2025-00209-H09-Choke Neck</v>
      </c>
      <c r="K896" s="1" t="str">
        <f aca="false">IF(A896="","",IF(AND(G896&gt;=0,I896&gt;=0,I896&lt;=G896),"OK","CHECK"))</f>
        <v>OK</v>
      </c>
      <c r="L896" s="1" t="str">
        <f aca="false">IF(A896="","",IF(AND(E896&gt;=0,E896&lt;=23),"OK","CHECK"))</f>
        <v>OK</v>
      </c>
      <c r="M896" s="1" t="str">
        <f aca="false">IF(A896="","",IF(AND(K896="OK",L896="OK"),"OK","CHECK"))</f>
        <v>OK</v>
      </c>
    </row>
    <row r="897" customFormat="false" ht="18" hidden="false" customHeight="true" outlineLevel="0" collapsed="false">
      <c r="A897" s="9" t="s">
        <v>26</v>
      </c>
      <c r="B897" s="9" t="n">
        <v>22</v>
      </c>
      <c r="C897" s="11" t="n">
        <v>45992</v>
      </c>
      <c r="D897" s="9" t="s">
        <v>98</v>
      </c>
      <c r="E897" s="12" t="n">
        <v>12</v>
      </c>
      <c r="F897" s="9" t="s">
        <v>28</v>
      </c>
      <c r="G897" s="13" t="n">
        <v>150</v>
      </c>
      <c r="H897" s="9" t="s">
        <v>29</v>
      </c>
      <c r="I897" s="13" t="n">
        <v>1</v>
      </c>
      <c r="J897" s="1" t="str">
        <f aca="false">IF(A897="","", "SAMP-"&amp;A897&amp;"-L"&amp;TEXT(B897,"00")&amp;"-"&amp;TEXT(C897,"yyyymmdd")&amp;"-"&amp;D897&amp;"-H"&amp;TEXT(E897,"00")&amp;"-"&amp;H897)</f>
        <v>SAMP-KG01-L22-20251201-ORD-2025-00209-H12-Choke Neck</v>
      </c>
      <c r="K897" s="1" t="str">
        <f aca="false">IF(A897="","",IF(AND(G897&gt;=0,I897&gt;=0,I897&lt;=G897),"OK","CHECK"))</f>
        <v>OK</v>
      </c>
      <c r="L897" s="1" t="str">
        <f aca="false">IF(A897="","",IF(AND(E897&gt;=0,E897&lt;=23),"OK","CHECK"))</f>
        <v>OK</v>
      </c>
      <c r="M897" s="1" t="str">
        <f aca="false">IF(A897="","",IF(AND(K897="OK",L897="OK"),"OK","CHECK"))</f>
        <v>OK</v>
      </c>
    </row>
    <row r="898" customFormat="false" ht="18" hidden="false" customHeight="true" outlineLevel="0" collapsed="false">
      <c r="A898" s="9" t="s">
        <v>26</v>
      </c>
      <c r="B898" s="9" t="n">
        <v>22</v>
      </c>
      <c r="C898" s="11" t="n">
        <v>45992</v>
      </c>
      <c r="D898" s="9" t="s">
        <v>98</v>
      </c>
      <c r="E898" s="12" t="n">
        <v>23</v>
      </c>
      <c r="F898" s="9" t="s">
        <v>31</v>
      </c>
      <c r="G898" s="13" t="n">
        <v>50</v>
      </c>
      <c r="H898" s="9" t="s">
        <v>38</v>
      </c>
      <c r="I898" s="13" t="n">
        <v>1</v>
      </c>
      <c r="J898" s="1" t="str">
        <f aca="false">IF(A898="","", "SAMP-"&amp;A898&amp;"-L"&amp;TEXT(B898,"00")&amp;"-"&amp;TEXT(C898,"yyyymmdd")&amp;"-"&amp;D898&amp;"-H"&amp;TEXT(E898,"00")&amp;"-"&amp;H898)</f>
        <v>SAMP-KG01-L22-20251201-ORD-2025-00209-H23-Crack</v>
      </c>
      <c r="K898" s="1" t="str">
        <f aca="false">IF(A898="","",IF(AND(G898&gt;=0,I898&gt;=0,I898&lt;=G898),"OK","CHECK"))</f>
        <v>OK</v>
      </c>
      <c r="L898" s="1" t="str">
        <f aca="false">IF(A898="","",IF(AND(E898&gt;=0,E898&lt;=23),"OK","CHECK"))</f>
        <v>OK</v>
      </c>
      <c r="M898" s="1" t="str">
        <f aca="false">IF(A898="","",IF(AND(K898="OK",L898="OK"),"OK","CHECK"))</f>
        <v>OK</v>
      </c>
    </row>
    <row r="899" customFormat="false" ht="18" hidden="false" customHeight="true" outlineLevel="0" collapsed="false">
      <c r="A899" s="9" t="s">
        <v>26</v>
      </c>
      <c r="B899" s="9" t="n">
        <v>22</v>
      </c>
      <c r="C899" s="11" t="n">
        <v>45992</v>
      </c>
      <c r="D899" s="9" t="s">
        <v>98</v>
      </c>
      <c r="E899" s="12" t="n">
        <v>16</v>
      </c>
      <c r="F899" s="9" t="s">
        <v>31</v>
      </c>
      <c r="G899" s="13" t="n">
        <v>200</v>
      </c>
      <c r="H899" s="9" t="s">
        <v>41</v>
      </c>
      <c r="I899" s="13" t="n">
        <v>5</v>
      </c>
      <c r="J899" s="1" t="str">
        <f aca="false">IF(A899="","", "SAMP-"&amp;A899&amp;"-L"&amp;TEXT(B899,"00")&amp;"-"&amp;TEXT(C899,"yyyymmdd")&amp;"-"&amp;D899&amp;"-H"&amp;TEXT(E899,"00")&amp;"-"&amp;H899)</f>
        <v>SAMP-KG01-L22-20251201-ORD-2025-00209-H16-Chip</v>
      </c>
      <c r="K899" s="1" t="str">
        <f aca="false">IF(A899="","",IF(AND(G899&gt;=0,I899&gt;=0,I899&lt;=G899),"OK","CHECK"))</f>
        <v>OK</v>
      </c>
      <c r="L899" s="1" t="str">
        <f aca="false">IF(A899="","",IF(AND(E899&gt;=0,E899&lt;=23),"OK","CHECK"))</f>
        <v>OK</v>
      </c>
      <c r="M899" s="1" t="str">
        <f aca="false">IF(A899="","",IF(AND(K899="OK",L899="OK"),"OK","CHECK"))</f>
        <v>OK</v>
      </c>
    </row>
    <row r="900" customFormat="false" ht="18" hidden="false" customHeight="true" outlineLevel="0" collapsed="false">
      <c r="A900" s="9" t="s">
        <v>26</v>
      </c>
      <c r="B900" s="9" t="n">
        <v>22</v>
      </c>
      <c r="C900" s="11" t="n">
        <v>45992</v>
      </c>
      <c r="D900" s="9" t="s">
        <v>98</v>
      </c>
      <c r="E900" s="12" t="n">
        <v>20</v>
      </c>
      <c r="F900" s="9" t="s">
        <v>31</v>
      </c>
      <c r="G900" s="13" t="n">
        <v>50</v>
      </c>
      <c r="H900" s="9" t="s">
        <v>37</v>
      </c>
      <c r="I900" s="13" t="n">
        <v>1</v>
      </c>
      <c r="J900" s="1" t="str">
        <f aca="false">IF(A900="","", "SAMP-"&amp;A900&amp;"-L"&amp;TEXT(B900,"00")&amp;"-"&amp;TEXT(C900,"yyyymmdd")&amp;"-"&amp;D900&amp;"-H"&amp;TEXT(E900,"00")&amp;"-"&amp;H900)</f>
        <v>SAMP-KG01-L22-20251201-ORD-2025-00209-H20-Bird Swing</v>
      </c>
      <c r="K900" s="1" t="str">
        <f aca="false">IF(A900="","",IF(AND(G900&gt;=0,I900&gt;=0,I900&lt;=G900),"OK","CHECK"))</f>
        <v>OK</v>
      </c>
      <c r="L900" s="1" t="str">
        <f aca="false">IF(A900="","",IF(AND(E900&gt;=0,E900&lt;=23),"OK","CHECK"))</f>
        <v>OK</v>
      </c>
      <c r="M900" s="1" t="str">
        <f aca="false">IF(A900="","",IF(AND(K900="OK",L900="OK"),"OK","CHECK"))</f>
        <v>OK</v>
      </c>
    </row>
    <row r="901" customFormat="false" ht="18" hidden="false" customHeight="true" outlineLevel="0" collapsed="false">
      <c r="A901" s="9" t="s">
        <v>26</v>
      </c>
      <c r="B901" s="9" t="n">
        <v>22</v>
      </c>
      <c r="C901" s="11" t="n">
        <v>45993</v>
      </c>
      <c r="D901" s="9" t="s">
        <v>98</v>
      </c>
      <c r="E901" s="12" t="n">
        <v>9</v>
      </c>
      <c r="F901" s="9" t="s">
        <v>28</v>
      </c>
      <c r="G901" s="13" t="n">
        <v>200</v>
      </c>
      <c r="H901" s="9" t="s">
        <v>34</v>
      </c>
      <c r="I901" s="13" t="n">
        <v>3</v>
      </c>
      <c r="J901" s="1" t="str">
        <f aca="false">IF(A901="","", "SAMP-"&amp;A901&amp;"-L"&amp;TEXT(B901,"00")&amp;"-"&amp;TEXT(C901,"yyyymmdd")&amp;"-"&amp;D901&amp;"-H"&amp;TEXT(E901,"00")&amp;"-"&amp;H901)</f>
        <v>SAMP-KG01-L22-20251202-ORD-2025-00209-H09-Thin Wall</v>
      </c>
      <c r="K901" s="1" t="str">
        <f aca="false">IF(A901="","",IF(AND(G901&gt;=0,I901&gt;=0,I901&lt;=G901),"OK","CHECK"))</f>
        <v>OK</v>
      </c>
      <c r="L901" s="1" t="str">
        <f aca="false">IF(A901="","",IF(AND(E901&gt;=0,E901&lt;=23),"OK","CHECK"))</f>
        <v>OK</v>
      </c>
      <c r="M901" s="1" t="str">
        <f aca="false">IF(A901="","",IF(AND(K901="OK",L901="OK"),"OK","CHECK"))</f>
        <v>OK</v>
      </c>
    </row>
    <row r="902" customFormat="false" ht="18" hidden="false" customHeight="true" outlineLevel="0" collapsed="false">
      <c r="A902" s="9" t="s">
        <v>26</v>
      </c>
      <c r="B902" s="9" t="n">
        <v>22</v>
      </c>
      <c r="C902" s="11" t="n">
        <v>45993</v>
      </c>
      <c r="D902" s="9" t="s">
        <v>98</v>
      </c>
      <c r="E902" s="12" t="n">
        <v>7</v>
      </c>
      <c r="F902" s="9" t="s">
        <v>28</v>
      </c>
      <c r="G902" s="13" t="n">
        <v>150</v>
      </c>
      <c r="H902" s="9" t="s">
        <v>29</v>
      </c>
      <c r="I902" s="13" t="n">
        <v>6</v>
      </c>
      <c r="J902" s="1" t="str">
        <f aca="false">IF(A902="","", "SAMP-"&amp;A902&amp;"-L"&amp;TEXT(B902,"00")&amp;"-"&amp;TEXT(C902,"yyyymmdd")&amp;"-"&amp;D902&amp;"-H"&amp;TEXT(E902,"00")&amp;"-"&amp;H902)</f>
        <v>SAMP-KG01-L22-20251202-ORD-2025-00209-H07-Choke Neck</v>
      </c>
      <c r="K902" s="1" t="str">
        <f aca="false">IF(A902="","",IF(AND(G902&gt;=0,I902&gt;=0,I902&lt;=G902),"OK","CHECK"))</f>
        <v>OK</v>
      </c>
      <c r="L902" s="1" t="str">
        <f aca="false">IF(A902="","",IF(AND(E902&gt;=0,E902&lt;=23),"OK","CHECK"))</f>
        <v>OK</v>
      </c>
      <c r="M902" s="1" t="str">
        <f aca="false">IF(A902="","",IF(AND(K902="OK",L902="OK"),"OK","CHECK"))</f>
        <v>OK</v>
      </c>
    </row>
    <row r="903" customFormat="false" ht="18" hidden="false" customHeight="true" outlineLevel="0" collapsed="false">
      <c r="A903" s="9" t="s">
        <v>26</v>
      </c>
      <c r="B903" s="9" t="n">
        <v>22</v>
      </c>
      <c r="C903" s="11" t="n">
        <v>45993</v>
      </c>
      <c r="D903" s="9" t="s">
        <v>99</v>
      </c>
      <c r="E903" s="12" t="n">
        <v>23</v>
      </c>
      <c r="F903" s="9" t="s">
        <v>31</v>
      </c>
      <c r="G903" s="13" t="n">
        <v>150</v>
      </c>
      <c r="H903" s="9" t="s">
        <v>33</v>
      </c>
      <c r="I903" s="13" t="n">
        <v>3</v>
      </c>
      <c r="J903" s="1" t="str">
        <f aca="false">IF(A903="","", "SAMP-"&amp;A903&amp;"-L"&amp;TEXT(B903,"00")&amp;"-"&amp;TEXT(C903,"yyyymmdd")&amp;"-"&amp;D903&amp;"-H"&amp;TEXT(E903,"00")&amp;"-"&amp;H903)</f>
        <v>SAMP-KG01-L22-20251202-ORD-2025-00210-H23-Distortion</v>
      </c>
      <c r="K903" s="1" t="str">
        <f aca="false">IF(A903="","",IF(AND(G903&gt;=0,I903&gt;=0,I903&lt;=G903),"OK","CHECK"))</f>
        <v>OK</v>
      </c>
      <c r="L903" s="1" t="str">
        <f aca="false">IF(A903="","",IF(AND(E903&gt;=0,E903&lt;=23),"OK","CHECK"))</f>
        <v>OK</v>
      </c>
      <c r="M903" s="1" t="str">
        <f aca="false">IF(A903="","",IF(AND(K903="OK",L903="OK"),"OK","CHECK"))</f>
        <v>OK</v>
      </c>
    </row>
    <row r="904" customFormat="false" ht="18" hidden="false" customHeight="true" outlineLevel="0" collapsed="false">
      <c r="A904" s="9" t="s">
        <v>26</v>
      </c>
      <c r="B904" s="9" t="n">
        <v>22</v>
      </c>
      <c r="C904" s="11" t="n">
        <v>45993</v>
      </c>
      <c r="D904" s="9" t="s">
        <v>99</v>
      </c>
      <c r="E904" s="12" t="n">
        <v>16</v>
      </c>
      <c r="F904" s="9" t="s">
        <v>31</v>
      </c>
      <c r="G904" s="13" t="n">
        <v>150</v>
      </c>
      <c r="H904" s="9" t="s">
        <v>29</v>
      </c>
      <c r="I904" s="13" t="n">
        <v>3</v>
      </c>
      <c r="J904" s="1" t="str">
        <f aca="false">IF(A904="","", "SAMP-"&amp;A904&amp;"-L"&amp;TEXT(B904,"00")&amp;"-"&amp;TEXT(C904,"yyyymmdd")&amp;"-"&amp;D904&amp;"-H"&amp;TEXT(E904,"00")&amp;"-"&amp;H904)</f>
        <v>SAMP-KG01-L22-20251202-ORD-2025-00210-H16-Choke Neck</v>
      </c>
      <c r="K904" s="1" t="str">
        <f aca="false">IF(A904="","",IF(AND(G904&gt;=0,I904&gt;=0,I904&lt;=G904),"OK","CHECK"))</f>
        <v>OK</v>
      </c>
      <c r="L904" s="1" t="str">
        <f aca="false">IF(A904="","",IF(AND(E904&gt;=0,E904&lt;=23),"OK","CHECK"))</f>
        <v>OK</v>
      </c>
      <c r="M904" s="1" t="str">
        <f aca="false">IF(A904="","",IF(AND(K904="OK",L904="OK"),"OK","CHECK"))</f>
        <v>OK</v>
      </c>
    </row>
    <row r="905" customFormat="false" ht="18" hidden="false" customHeight="true" outlineLevel="0" collapsed="false">
      <c r="A905" s="9" t="s">
        <v>26</v>
      </c>
      <c r="B905" s="9" t="n">
        <v>22</v>
      </c>
      <c r="C905" s="11" t="n">
        <v>45993</v>
      </c>
      <c r="D905" s="9" t="s">
        <v>99</v>
      </c>
      <c r="E905" s="12" t="n">
        <v>20</v>
      </c>
      <c r="F905" s="9" t="s">
        <v>31</v>
      </c>
      <c r="G905" s="13" t="n">
        <v>50</v>
      </c>
      <c r="H905" s="9" t="s">
        <v>41</v>
      </c>
      <c r="I905" s="13" t="n">
        <v>1</v>
      </c>
      <c r="J905" s="1" t="str">
        <f aca="false">IF(A905="","", "SAMP-"&amp;A905&amp;"-L"&amp;TEXT(B905,"00")&amp;"-"&amp;TEXT(C905,"yyyymmdd")&amp;"-"&amp;D905&amp;"-H"&amp;TEXT(E905,"00")&amp;"-"&amp;H905)</f>
        <v>SAMP-KG01-L22-20251202-ORD-2025-00210-H20-Chip</v>
      </c>
      <c r="K905" s="1" t="str">
        <f aca="false">IF(A905="","",IF(AND(G905&gt;=0,I905&gt;=0,I905&lt;=G905),"OK","CHECK"))</f>
        <v>OK</v>
      </c>
      <c r="L905" s="1" t="str">
        <f aca="false">IF(A905="","",IF(AND(E905&gt;=0,E905&lt;=23),"OK","CHECK"))</f>
        <v>OK</v>
      </c>
      <c r="M905" s="1" t="str">
        <f aca="false">IF(A905="","",IF(AND(K905="OK",L905="OK"),"OK","CHECK"))</f>
        <v>OK</v>
      </c>
    </row>
    <row r="906" customFormat="false" ht="18" hidden="false" customHeight="true" outlineLevel="0" collapsed="false">
      <c r="A906" s="9" t="s">
        <v>26</v>
      </c>
      <c r="B906" s="9" t="n">
        <v>22</v>
      </c>
      <c r="C906" s="11" t="n">
        <v>45994</v>
      </c>
      <c r="D906" s="9" t="s">
        <v>99</v>
      </c>
      <c r="E906" s="12" t="n">
        <v>9</v>
      </c>
      <c r="F906" s="9" t="s">
        <v>28</v>
      </c>
      <c r="G906" s="13" t="n">
        <v>100</v>
      </c>
      <c r="H906" s="9" t="s">
        <v>34</v>
      </c>
      <c r="I906" s="13" t="n">
        <v>0</v>
      </c>
      <c r="J906" s="1" t="str">
        <f aca="false">IF(A906="","", "SAMP-"&amp;A906&amp;"-L"&amp;TEXT(B906,"00")&amp;"-"&amp;TEXT(C906,"yyyymmdd")&amp;"-"&amp;D906&amp;"-H"&amp;TEXT(E906,"00")&amp;"-"&amp;H906)</f>
        <v>SAMP-KG01-L22-20251203-ORD-2025-00210-H09-Thin Wall</v>
      </c>
      <c r="K906" s="1" t="str">
        <f aca="false">IF(A906="","",IF(AND(G906&gt;=0,I906&gt;=0,I906&lt;=G906),"OK","CHECK"))</f>
        <v>OK</v>
      </c>
      <c r="L906" s="1" t="str">
        <f aca="false">IF(A906="","",IF(AND(E906&gt;=0,E906&lt;=23),"OK","CHECK"))</f>
        <v>OK</v>
      </c>
      <c r="M906" s="1" t="str">
        <f aca="false">IF(A906="","",IF(AND(K906="OK",L906="OK"),"OK","CHECK"))</f>
        <v>OK</v>
      </c>
    </row>
    <row r="907" customFormat="false" ht="18" hidden="false" customHeight="true" outlineLevel="0" collapsed="false">
      <c r="A907" s="9" t="s">
        <v>26</v>
      </c>
      <c r="B907" s="9" t="n">
        <v>22</v>
      </c>
      <c r="C907" s="11" t="n">
        <v>45994</v>
      </c>
      <c r="D907" s="9" t="s">
        <v>99</v>
      </c>
      <c r="E907" s="12" t="n">
        <v>12</v>
      </c>
      <c r="F907" s="9" t="s">
        <v>28</v>
      </c>
      <c r="G907" s="13" t="n">
        <v>200</v>
      </c>
      <c r="H907" s="9" t="s">
        <v>41</v>
      </c>
      <c r="I907" s="13" t="n">
        <v>4</v>
      </c>
      <c r="J907" s="1" t="str">
        <f aca="false">IF(A907="","", "SAMP-"&amp;A907&amp;"-L"&amp;TEXT(B907,"00")&amp;"-"&amp;TEXT(C907,"yyyymmdd")&amp;"-"&amp;D907&amp;"-H"&amp;TEXT(E907,"00")&amp;"-"&amp;H907)</f>
        <v>SAMP-KG01-L22-20251203-ORD-2025-00210-H12-Chip</v>
      </c>
      <c r="K907" s="1" t="str">
        <f aca="false">IF(A907="","",IF(AND(G907&gt;=0,I907&gt;=0,I907&lt;=G907),"OK","CHECK"))</f>
        <v>OK</v>
      </c>
      <c r="L907" s="1" t="str">
        <f aca="false">IF(A907="","",IF(AND(E907&gt;=0,E907&lt;=23),"OK","CHECK"))</f>
        <v>OK</v>
      </c>
      <c r="M907" s="1" t="str">
        <f aca="false">IF(A907="","",IF(AND(K907="OK",L907="OK"),"OK","CHECK"))</f>
        <v>OK</v>
      </c>
    </row>
    <row r="908" customFormat="false" ht="18" hidden="false" customHeight="true" outlineLevel="0" collapsed="false">
      <c r="A908" s="9" t="s">
        <v>26</v>
      </c>
      <c r="B908" s="9" t="n">
        <v>22</v>
      </c>
      <c r="C908" s="11" t="n">
        <v>45994</v>
      </c>
      <c r="D908" s="9" t="s">
        <v>99</v>
      </c>
      <c r="E908" s="12" t="n">
        <v>7</v>
      </c>
      <c r="F908" s="9" t="s">
        <v>28</v>
      </c>
      <c r="G908" s="13" t="n">
        <v>150</v>
      </c>
      <c r="H908" s="9" t="s">
        <v>34</v>
      </c>
      <c r="I908" s="13" t="n">
        <v>3</v>
      </c>
      <c r="J908" s="1" t="str">
        <f aca="false">IF(A908="","", "SAMP-"&amp;A908&amp;"-L"&amp;TEXT(B908,"00")&amp;"-"&amp;TEXT(C908,"yyyymmdd")&amp;"-"&amp;D908&amp;"-H"&amp;TEXT(E908,"00")&amp;"-"&amp;H908)</f>
        <v>SAMP-KG01-L22-20251203-ORD-2025-00210-H07-Thin Wall</v>
      </c>
      <c r="K908" s="1" t="str">
        <f aca="false">IF(A908="","",IF(AND(G908&gt;=0,I908&gt;=0,I908&lt;=G908),"OK","CHECK"))</f>
        <v>OK</v>
      </c>
      <c r="L908" s="1" t="str">
        <f aca="false">IF(A908="","",IF(AND(E908&gt;=0,E908&lt;=23),"OK","CHECK"))</f>
        <v>OK</v>
      </c>
      <c r="M908" s="1" t="str">
        <f aca="false">IF(A908="","",IF(AND(K908="OK",L908="OK"),"OK","CHECK"))</f>
        <v>OK</v>
      </c>
    </row>
    <row r="909" customFormat="false" ht="18" hidden="false" customHeight="true" outlineLevel="0" collapsed="false">
      <c r="A909" s="9" t="s">
        <v>26</v>
      </c>
      <c r="B909" s="9" t="n">
        <v>22</v>
      </c>
      <c r="C909" s="11" t="n">
        <v>45994</v>
      </c>
      <c r="D909" s="9" t="s">
        <v>99</v>
      </c>
      <c r="E909" s="12" t="n">
        <v>16</v>
      </c>
      <c r="F909" s="9" t="s">
        <v>31</v>
      </c>
      <c r="G909" s="13" t="n">
        <v>200</v>
      </c>
      <c r="H909" s="9" t="s">
        <v>34</v>
      </c>
      <c r="I909" s="13" t="n">
        <v>7</v>
      </c>
      <c r="J909" s="1" t="str">
        <f aca="false">IF(A909="","", "SAMP-"&amp;A909&amp;"-L"&amp;TEXT(B909,"00")&amp;"-"&amp;TEXT(C909,"yyyymmdd")&amp;"-"&amp;D909&amp;"-H"&amp;TEXT(E909,"00")&amp;"-"&amp;H909)</f>
        <v>SAMP-KG01-L22-20251203-ORD-2025-00210-H16-Thin Wall</v>
      </c>
      <c r="K909" s="1" t="str">
        <f aca="false">IF(A909="","",IF(AND(G909&gt;=0,I909&gt;=0,I909&lt;=G909),"OK","CHECK"))</f>
        <v>OK</v>
      </c>
      <c r="L909" s="1" t="str">
        <f aca="false">IF(A909="","",IF(AND(E909&gt;=0,E909&lt;=23),"OK","CHECK"))</f>
        <v>OK</v>
      </c>
      <c r="M909" s="1" t="str">
        <f aca="false">IF(A909="","",IF(AND(K909="OK",L909="OK"),"OK","CHECK"))</f>
        <v>OK</v>
      </c>
    </row>
    <row r="910" customFormat="false" ht="18" hidden="false" customHeight="true" outlineLevel="0" collapsed="false">
      <c r="A910" s="9" t="s">
        <v>26</v>
      </c>
      <c r="B910" s="9" t="n">
        <v>22</v>
      </c>
      <c r="C910" s="11" t="n">
        <v>45994</v>
      </c>
      <c r="D910" s="9" t="s">
        <v>99</v>
      </c>
      <c r="E910" s="12" t="n">
        <v>23</v>
      </c>
      <c r="F910" s="9" t="s">
        <v>31</v>
      </c>
      <c r="G910" s="13" t="n">
        <v>150</v>
      </c>
      <c r="H910" s="9" t="s">
        <v>41</v>
      </c>
      <c r="I910" s="13" t="n">
        <v>5</v>
      </c>
      <c r="J910" s="1" t="str">
        <f aca="false">IF(A910="","", "SAMP-"&amp;A910&amp;"-L"&amp;TEXT(B910,"00")&amp;"-"&amp;TEXT(C910,"yyyymmdd")&amp;"-"&amp;D910&amp;"-H"&amp;TEXT(E910,"00")&amp;"-"&amp;H910)</f>
        <v>SAMP-KG01-L22-20251203-ORD-2025-00210-H23-Chip</v>
      </c>
      <c r="K910" s="1" t="str">
        <f aca="false">IF(A910="","",IF(AND(G910&gt;=0,I910&gt;=0,I910&lt;=G910),"OK","CHECK"))</f>
        <v>OK</v>
      </c>
      <c r="L910" s="1" t="str">
        <f aca="false">IF(A910="","",IF(AND(E910&gt;=0,E910&lt;=23),"OK","CHECK"))</f>
        <v>OK</v>
      </c>
      <c r="M910" s="1" t="str">
        <f aca="false">IF(A910="","",IF(AND(K910="OK",L910="OK"),"OK","CHECK"))</f>
        <v>OK</v>
      </c>
    </row>
    <row r="911" customFormat="false" ht="18" hidden="false" customHeight="true" outlineLevel="0" collapsed="false">
      <c r="A911" s="9" t="s">
        <v>26</v>
      </c>
      <c r="B911" s="9" t="n">
        <v>22</v>
      </c>
      <c r="C911" s="11" t="n">
        <v>45995</v>
      </c>
      <c r="D911" s="9" t="s">
        <v>99</v>
      </c>
      <c r="E911" s="12" t="n">
        <v>12</v>
      </c>
      <c r="F911" s="9" t="s">
        <v>28</v>
      </c>
      <c r="G911" s="13" t="n">
        <v>150</v>
      </c>
      <c r="H911" s="9" t="s">
        <v>35</v>
      </c>
      <c r="I911" s="13" t="n">
        <v>5</v>
      </c>
      <c r="J911" s="1" t="str">
        <f aca="false">IF(A911="","", "SAMP-"&amp;A911&amp;"-L"&amp;TEXT(B911,"00")&amp;"-"&amp;TEXT(C911,"yyyymmdd")&amp;"-"&amp;D911&amp;"-H"&amp;TEXT(E911,"00")&amp;"-"&amp;H911)</f>
        <v>SAMP-KG01-L22-20251204-ORD-2025-00210-H12-Stone</v>
      </c>
      <c r="K911" s="1" t="str">
        <f aca="false">IF(A911="","",IF(AND(G911&gt;=0,I911&gt;=0,I911&lt;=G911),"OK","CHECK"))</f>
        <v>OK</v>
      </c>
      <c r="L911" s="1" t="str">
        <f aca="false">IF(A911="","",IF(AND(E911&gt;=0,E911&lt;=23),"OK","CHECK"))</f>
        <v>OK</v>
      </c>
      <c r="M911" s="1" t="str">
        <f aca="false">IF(A911="","",IF(AND(K911="OK",L911="OK"),"OK","CHECK"))</f>
        <v>OK</v>
      </c>
    </row>
    <row r="912" customFormat="false" ht="18" hidden="false" customHeight="true" outlineLevel="0" collapsed="false">
      <c r="A912" s="9" t="s">
        <v>26</v>
      </c>
      <c r="B912" s="9" t="n">
        <v>22</v>
      </c>
      <c r="C912" s="11" t="n">
        <v>45995</v>
      </c>
      <c r="D912" s="9" t="s">
        <v>99</v>
      </c>
      <c r="E912" s="12" t="n">
        <v>7</v>
      </c>
      <c r="F912" s="9" t="s">
        <v>28</v>
      </c>
      <c r="G912" s="13" t="n">
        <v>100</v>
      </c>
      <c r="H912" s="9" t="s">
        <v>30</v>
      </c>
      <c r="I912" s="13" t="n">
        <v>3</v>
      </c>
      <c r="J912" s="1" t="str">
        <f aca="false">IF(A912="","", "SAMP-"&amp;A912&amp;"-L"&amp;TEXT(B912,"00")&amp;"-"&amp;TEXT(C912,"yyyymmdd")&amp;"-"&amp;D912&amp;"-H"&amp;TEXT(E912,"00")&amp;"-"&amp;H912)</f>
        <v>SAMP-KG01-L22-20251204-ORD-2025-00210-H07-Overpress</v>
      </c>
      <c r="K912" s="1" t="str">
        <f aca="false">IF(A912="","",IF(AND(G912&gt;=0,I912&gt;=0,I912&lt;=G912),"OK","CHECK"))</f>
        <v>OK</v>
      </c>
      <c r="L912" s="1" t="str">
        <f aca="false">IF(A912="","",IF(AND(E912&gt;=0,E912&lt;=23),"OK","CHECK"))</f>
        <v>OK</v>
      </c>
      <c r="M912" s="1" t="str">
        <f aca="false">IF(A912="","",IF(AND(K912="OK",L912="OK"),"OK","CHECK"))</f>
        <v>OK</v>
      </c>
    </row>
    <row r="913" customFormat="false" ht="18" hidden="false" customHeight="true" outlineLevel="0" collapsed="false">
      <c r="A913" s="9" t="s">
        <v>26</v>
      </c>
      <c r="B913" s="9" t="n">
        <v>22</v>
      </c>
      <c r="C913" s="11" t="n">
        <v>45995</v>
      </c>
      <c r="D913" s="9" t="s">
        <v>99</v>
      </c>
      <c r="E913" s="12" t="n">
        <v>9</v>
      </c>
      <c r="F913" s="9" t="s">
        <v>28</v>
      </c>
      <c r="G913" s="13" t="n">
        <v>200</v>
      </c>
      <c r="H913" s="9" t="s">
        <v>36</v>
      </c>
      <c r="I913" s="13" t="n">
        <v>1</v>
      </c>
      <c r="J913" s="1" t="str">
        <f aca="false">IF(A913="","", "SAMP-"&amp;A913&amp;"-L"&amp;TEXT(B913,"00")&amp;"-"&amp;TEXT(C913,"yyyymmdd")&amp;"-"&amp;D913&amp;"-H"&amp;TEXT(E913,"00")&amp;"-"&amp;H913)</f>
        <v>SAMP-KG01-L22-20251204-ORD-2025-00210-H09-Blister</v>
      </c>
      <c r="K913" s="1" t="str">
        <f aca="false">IF(A913="","",IF(AND(G913&gt;=0,I913&gt;=0,I913&lt;=G913),"OK","CHECK"))</f>
        <v>OK</v>
      </c>
      <c r="L913" s="1" t="str">
        <f aca="false">IF(A913="","",IF(AND(E913&gt;=0,E913&lt;=23),"OK","CHECK"))</f>
        <v>OK</v>
      </c>
      <c r="M913" s="1" t="str">
        <f aca="false">IF(A913="","",IF(AND(K913="OK",L913="OK"),"OK","CHECK"))</f>
        <v>OK</v>
      </c>
    </row>
    <row r="914" customFormat="false" ht="18" hidden="false" customHeight="true" outlineLevel="0" collapsed="false">
      <c r="A914" s="9" t="s">
        <v>26</v>
      </c>
      <c r="B914" s="9" t="n">
        <v>22</v>
      </c>
      <c r="C914" s="11" t="n">
        <v>45995</v>
      </c>
      <c r="D914" s="9" t="s">
        <v>100</v>
      </c>
      <c r="E914" s="12" t="n">
        <v>23</v>
      </c>
      <c r="F914" s="9" t="s">
        <v>31</v>
      </c>
      <c r="G914" s="13" t="n">
        <v>100</v>
      </c>
      <c r="H914" s="9" t="s">
        <v>35</v>
      </c>
      <c r="I914" s="13" t="n">
        <v>2</v>
      </c>
      <c r="J914" s="1" t="str">
        <f aca="false">IF(A914="","", "SAMP-"&amp;A914&amp;"-L"&amp;TEXT(B914,"00")&amp;"-"&amp;TEXT(C914,"yyyymmdd")&amp;"-"&amp;D914&amp;"-H"&amp;TEXT(E914,"00")&amp;"-"&amp;H914)</f>
        <v>SAMP-KG01-L22-20251204-ORD-2025-00211-H23-Stone</v>
      </c>
      <c r="K914" s="1" t="str">
        <f aca="false">IF(A914="","",IF(AND(G914&gt;=0,I914&gt;=0,I914&lt;=G914),"OK","CHECK"))</f>
        <v>OK</v>
      </c>
      <c r="L914" s="1" t="str">
        <f aca="false">IF(A914="","",IF(AND(E914&gt;=0,E914&lt;=23),"OK","CHECK"))</f>
        <v>OK</v>
      </c>
      <c r="M914" s="1" t="str">
        <f aca="false">IF(A914="","",IF(AND(K914="OK",L914="OK"),"OK","CHECK"))</f>
        <v>OK</v>
      </c>
    </row>
    <row r="915" customFormat="false" ht="18" hidden="false" customHeight="true" outlineLevel="0" collapsed="false">
      <c r="A915" s="9" t="s">
        <v>26</v>
      </c>
      <c r="B915" s="9" t="n">
        <v>22</v>
      </c>
      <c r="C915" s="11" t="n">
        <v>45995</v>
      </c>
      <c r="D915" s="9" t="s">
        <v>100</v>
      </c>
      <c r="E915" s="12" t="n">
        <v>20</v>
      </c>
      <c r="F915" s="9" t="s">
        <v>31</v>
      </c>
      <c r="G915" s="13" t="n">
        <v>150</v>
      </c>
      <c r="H915" s="9" t="s">
        <v>35</v>
      </c>
      <c r="I915" s="13" t="n">
        <v>1</v>
      </c>
      <c r="J915" s="1" t="str">
        <f aca="false">IF(A915="","", "SAMP-"&amp;A915&amp;"-L"&amp;TEXT(B915,"00")&amp;"-"&amp;TEXT(C915,"yyyymmdd")&amp;"-"&amp;D915&amp;"-H"&amp;TEXT(E915,"00")&amp;"-"&amp;H915)</f>
        <v>SAMP-KG01-L22-20251204-ORD-2025-00211-H20-Stone</v>
      </c>
      <c r="K915" s="1" t="str">
        <f aca="false">IF(A915="","",IF(AND(G915&gt;=0,I915&gt;=0,I915&lt;=G915),"OK","CHECK"))</f>
        <v>OK</v>
      </c>
      <c r="L915" s="1" t="str">
        <f aca="false">IF(A915="","",IF(AND(E915&gt;=0,E915&lt;=23),"OK","CHECK"))</f>
        <v>OK</v>
      </c>
      <c r="M915" s="1" t="str">
        <f aca="false">IF(A915="","",IF(AND(K915="OK",L915="OK"),"OK","CHECK"))</f>
        <v>OK</v>
      </c>
    </row>
    <row r="916" customFormat="false" ht="18" hidden="false" customHeight="true" outlineLevel="0" collapsed="false">
      <c r="A916" s="9" t="s">
        <v>26</v>
      </c>
      <c r="B916" s="9" t="n">
        <v>22</v>
      </c>
      <c r="C916" s="11" t="n">
        <v>45995</v>
      </c>
      <c r="D916" s="9" t="s">
        <v>100</v>
      </c>
      <c r="E916" s="12" t="n">
        <v>16</v>
      </c>
      <c r="F916" s="9" t="s">
        <v>31</v>
      </c>
      <c r="G916" s="13" t="n">
        <v>200</v>
      </c>
      <c r="H916" s="9" t="s">
        <v>34</v>
      </c>
      <c r="I916" s="13" t="n">
        <v>3</v>
      </c>
      <c r="J916" s="1" t="str">
        <f aca="false">IF(A916="","", "SAMP-"&amp;A916&amp;"-L"&amp;TEXT(B916,"00")&amp;"-"&amp;TEXT(C916,"yyyymmdd")&amp;"-"&amp;D916&amp;"-H"&amp;TEXT(E916,"00")&amp;"-"&amp;H916)</f>
        <v>SAMP-KG01-L22-20251204-ORD-2025-00211-H16-Thin Wall</v>
      </c>
      <c r="K916" s="1" t="str">
        <f aca="false">IF(A916="","",IF(AND(G916&gt;=0,I916&gt;=0,I916&lt;=G916),"OK","CHECK"))</f>
        <v>OK</v>
      </c>
      <c r="L916" s="1" t="str">
        <f aca="false">IF(A916="","",IF(AND(E916&gt;=0,E916&lt;=23),"OK","CHECK"))</f>
        <v>OK</v>
      </c>
      <c r="M916" s="1" t="str">
        <f aca="false">IF(A916="","",IF(AND(K916="OK",L916="OK"),"OK","CHECK"))</f>
        <v>OK</v>
      </c>
    </row>
    <row r="917" customFormat="false" ht="18" hidden="false" customHeight="true" outlineLevel="0" collapsed="false">
      <c r="A917" s="9" t="s">
        <v>26</v>
      </c>
      <c r="B917" s="9" t="n">
        <v>22</v>
      </c>
      <c r="C917" s="11" t="n">
        <v>45996</v>
      </c>
      <c r="D917" s="9" t="s">
        <v>100</v>
      </c>
      <c r="E917" s="12" t="n">
        <v>9</v>
      </c>
      <c r="F917" s="9" t="s">
        <v>28</v>
      </c>
      <c r="G917" s="13" t="n">
        <v>50</v>
      </c>
      <c r="H917" s="9" t="s">
        <v>34</v>
      </c>
      <c r="I917" s="13" t="n">
        <v>1</v>
      </c>
      <c r="J917" s="1" t="str">
        <f aca="false">IF(A917="","", "SAMP-"&amp;A917&amp;"-L"&amp;TEXT(B917,"00")&amp;"-"&amp;TEXT(C917,"yyyymmdd")&amp;"-"&amp;D917&amp;"-H"&amp;TEXT(E917,"00")&amp;"-"&amp;H917)</f>
        <v>SAMP-KG01-L22-20251205-ORD-2025-00211-H09-Thin Wall</v>
      </c>
      <c r="K917" s="1" t="str">
        <f aca="false">IF(A917="","",IF(AND(G917&gt;=0,I917&gt;=0,I917&lt;=G917),"OK","CHECK"))</f>
        <v>OK</v>
      </c>
      <c r="L917" s="1" t="str">
        <f aca="false">IF(A917="","",IF(AND(E917&gt;=0,E917&lt;=23),"OK","CHECK"))</f>
        <v>OK</v>
      </c>
      <c r="M917" s="1" t="str">
        <f aca="false">IF(A917="","",IF(AND(K917="OK",L917="OK"),"OK","CHECK"))</f>
        <v>OK</v>
      </c>
    </row>
    <row r="918" customFormat="false" ht="18" hidden="false" customHeight="true" outlineLevel="0" collapsed="false">
      <c r="A918" s="9" t="s">
        <v>26</v>
      </c>
      <c r="B918" s="9" t="n">
        <v>22</v>
      </c>
      <c r="C918" s="11" t="n">
        <v>45996</v>
      </c>
      <c r="D918" s="9" t="s">
        <v>100</v>
      </c>
      <c r="E918" s="12" t="n">
        <v>7</v>
      </c>
      <c r="F918" s="9" t="s">
        <v>28</v>
      </c>
      <c r="G918" s="13" t="n">
        <v>100</v>
      </c>
      <c r="H918" s="9" t="s">
        <v>38</v>
      </c>
      <c r="I918" s="13" t="n">
        <v>3</v>
      </c>
      <c r="J918" s="1" t="str">
        <f aca="false">IF(A918="","", "SAMP-"&amp;A918&amp;"-L"&amp;TEXT(B918,"00")&amp;"-"&amp;TEXT(C918,"yyyymmdd")&amp;"-"&amp;D918&amp;"-H"&amp;TEXT(E918,"00")&amp;"-"&amp;H918)</f>
        <v>SAMP-KG01-L22-20251205-ORD-2025-00211-H07-Crack</v>
      </c>
      <c r="K918" s="1" t="str">
        <f aca="false">IF(A918="","",IF(AND(G918&gt;=0,I918&gt;=0,I918&lt;=G918),"OK","CHECK"))</f>
        <v>OK</v>
      </c>
      <c r="L918" s="1" t="str">
        <f aca="false">IF(A918="","",IF(AND(E918&gt;=0,E918&lt;=23),"OK","CHECK"))</f>
        <v>OK</v>
      </c>
      <c r="M918" s="1" t="str">
        <f aca="false">IF(A918="","",IF(AND(K918="OK",L918="OK"),"OK","CHECK"))</f>
        <v>OK</v>
      </c>
    </row>
    <row r="919" customFormat="false" ht="18" hidden="false" customHeight="true" outlineLevel="0" collapsed="false">
      <c r="A919" s="9" t="s">
        <v>26</v>
      </c>
      <c r="B919" s="9" t="n">
        <v>22</v>
      </c>
      <c r="C919" s="11" t="n">
        <v>45996</v>
      </c>
      <c r="D919" s="9" t="s">
        <v>100</v>
      </c>
      <c r="E919" s="12" t="n">
        <v>20</v>
      </c>
      <c r="F919" s="9" t="s">
        <v>31</v>
      </c>
      <c r="G919" s="13" t="n">
        <v>100</v>
      </c>
      <c r="H919" s="9" t="s">
        <v>34</v>
      </c>
      <c r="I919" s="13" t="n">
        <v>1</v>
      </c>
      <c r="J919" s="1" t="str">
        <f aca="false">IF(A919="","", "SAMP-"&amp;A919&amp;"-L"&amp;TEXT(B919,"00")&amp;"-"&amp;TEXT(C919,"yyyymmdd")&amp;"-"&amp;D919&amp;"-H"&amp;TEXT(E919,"00")&amp;"-"&amp;H919)</f>
        <v>SAMP-KG01-L22-20251205-ORD-2025-00211-H20-Thin Wall</v>
      </c>
      <c r="K919" s="1" t="str">
        <f aca="false">IF(A919="","",IF(AND(G919&gt;=0,I919&gt;=0,I919&lt;=G919),"OK","CHECK"))</f>
        <v>OK</v>
      </c>
      <c r="L919" s="1" t="str">
        <f aca="false">IF(A919="","",IF(AND(E919&gt;=0,E919&lt;=23),"OK","CHECK"))</f>
        <v>OK</v>
      </c>
      <c r="M919" s="1" t="str">
        <f aca="false">IF(A919="","",IF(AND(K919="OK",L919="OK"),"OK","CHECK"))</f>
        <v>OK</v>
      </c>
    </row>
    <row r="920" customFormat="false" ht="18" hidden="false" customHeight="true" outlineLevel="0" collapsed="false">
      <c r="A920" s="9" t="s">
        <v>26</v>
      </c>
      <c r="B920" s="9" t="n">
        <v>22</v>
      </c>
      <c r="C920" s="11" t="n">
        <v>45996</v>
      </c>
      <c r="D920" s="9" t="s">
        <v>100</v>
      </c>
      <c r="E920" s="12" t="n">
        <v>23</v>
      </c>
      <c r="F920" s="9" t="s">
        <v>31</v>
      </c>
      <c r="G920" s="13" t="n">
        <v>50</v>
      </c>
      <c r="H920" s="9" t="s">
        <v>33</v>
      </c>
      <c r="I920" s="13" t="n">
        <v>2</v>
      </c>
      <c r="J920" s="1" t="str">
        <f aca="false">IF(A920="","", "SAMP-"&amp;A920&amp;"-L"&amp;TEXT(B920,"00")&amp;"-"&amp;TEXT(C920,"yyyymmdd")&amp;"-"&amp;D920&amp;"-H"&amp;TEXT(E920,"00")&amp;"-"&amp;H920)</f>
        <v>SAMP-KG01-L22-20251205-ORD-2025-00211-H23-Distortion</v>
      </c>
      <c r="K920" s="1" t="str">
        <f aca="false">IF(A920="","",IF(AND(G920&gt;=0,I920&gt;=0,I920&lt;=G920),"OK","CHECK"))</f>
        <v>OK</v>
      </c>
      <c r="L920" s="1" t="str">
        <f aca="false">IF(A920="","",IF(AND(E920&gt;=0,E920&lt;=23),"OK","CHECK"))</f>
        <v>OK</v>
      </c>
      <c r="M920" s="1" t="str">
        <f aca="false">IF(A920="","",IF(AND(K920="OK",L920="OK"),"OK","CHECK"))</f>
        <v>OK</v>
      </c>
    </row>
    <row r="921" customFormat="false" ht="18" hidden="false" customHeight="true" outlineLevel="0" collapsed="false">
      <c r="A921" s="9" t="s">
        <v>26</v>
      </c>
      <c r="B921" s="9" t="n">
        <v>22</v>
      </c>
      <c r="C921" s="11" t="n">
        <v>45996</v>
      </c>
      <c r="D921" s="9" t="s">
        <v>100</v>
      </c>
      <c r="E921" s="12" t="n">
        <v>16</v>
      </c>
      <c r="F921" s="9" t="s">
        <v>31</v>
      </c>
      <c r="G921" s="13" t="n">
        <v>100</v>
      </c>
      <c r="H921" s="9" t="s">
        <v>29</v>
      </c>
      <c r="I921" s="13" t="n">
        <v>3</v>
      </c>
      <c r="J921" s="1" t="str">
        <f aca="false">IF(A921="","", "SAMP-"&amp;A921&amp;"-L"&amp;TEXT(B921,"00")&amp;"-"&amp;TEXT(C921,"yyyymmdd")&amp;"-"&amp;D921&amp;"-H"&amp;TEXT(E921,"00")&amp;"-"&amp;H921)</f>
        <v>SAMP-KG01-L22-20251205-ORD-2025-00211-H16-Choke Neck</v>
      </c>
      <c r="K921" s="1" t="str">
        <f aca="false">IF(A921="","",IF(AND(G921&gt;=0,I921&gt;=0,I921&lt;=G921),"OK","CHECK"))</f>
        <v>OK</v>
      </c>
      <c r="L921" s="1" t="str">
        <f aca="false">IF(A921="","",IF(AND(E921&gt;=0,E921&lt;=23),"OK","CHECK"))</f>
        <v>OK</v>
      </c>
      <c r="M921" s="1" t="str">
        <f aca="false">IF(A921="","",IF(AND(K921="OK",L921="OK"),"OK","CHECK"))</f>
        <v>OK</v>
      </c>
    </row>
    <row r="922" customFormat="false" ht="18" hidden="false" customHeight="true" outlineLevel="0" collapsed="false">
      <c r="A922" s="9" t="s">
        <v>26</v>
      </c>
      <c r="B922" s="9" t="n">
        <v>22</v>
      </c>
      <c r="C922" s="11" t="n">
        <v>45997</v>
      </c>
      <c r="D922" s="9" t="s">
        <v>100</v>
      </c>
      <c r="E922" s="12" t="n">
        <v>7</v>
      </c>
      <c r="F922" s="9" t="s">
        <v>28</v>
      </c>
      <c r="G922" s="13" t="n">
        <v>150</v>
      </c>
      <c r="H922" s="9" t="s">
        <v>41</v>
      </c>
      <c r="I922" s="13" t="n">
        <v>4</v>
      </c>
      <c r="J922" s="1" t="str">
        <f aca="false">IF(A922="","", "SAMP-"&amp;A922&amp;"-L"&amp;TEXT(B922,"00")&amp;"-"&amp;TEXT(C922,"yyyymmdd")&amp;"-"&amp;D922&amp;"-H"&amp;TEXT(E922,"00")&amp;"-"&amp;H922)</f>
        <v>SAMP-KG01-L22-20251206-ORD-2025-00211-H07-Chip</v>
      </c>
      <c r="K922" s="1" t="str">
        <f aca="false">IF(A922="","",IF(AND(G922&gt;=0,I922&gt;=0,I922&lt;=G922),"OK","CHECK"))</f>
        <v>OK</v>
      </c>
      <c r="L922" s="1" t="str">
        <f aca="false">IF(A922="","",IF(AND(E922&gt;=0,E922&lt;=23),"OK","CHECK"))</f>
        <v>OK</v>
      </c>
      <c r="M922" s="1" t="str">
        <f aca="false">IF(A922="","",IF(AND(K922="OK",L922="OK"),"OK","CHECK"))</f>
        <v>OK</v>
      </c>
    </row>
    <row r="923" customFormat="false" ht="18" hidden="false" customHeight="true" outlineLevel="0" collapsed="false">
      <c r="A923" s="9" t="s">
        <v>26</v>
      </c>
      <c r="B923" s="9" t="n">
        <v>22</v>
      </c>
      <c r="C923" s="11" t="n">
        <v>45997</v>
      </c>
      <c r="D923" s="9" t="s">
        <v>100</v>
      </c>
      <c r="E923" s="12" t="n">
        <v>9</v>
      </c>
      <c r="F923" s="9" t="s">
        <v>28</v>
      </c>
      <c r="G923" s="13" t="n">
        <v>150</v>
      </c>
      <c r="H923" s="9" t="s">
        <v>34</v>
      </c>
      <c r="I923" s="13" t="n">
        <v>1</v>
      </c>
      <c r="J923" s="1" t="str">
        <f aca="false">IF(A923="","", "SAMP-"&amp;A923&amp;"-L"&amp;TEXT(B923,"00")&amp;"-"&amp;TEXT(C923,"yyyymmdd")&amp;"-"&amp;D923&amp;"-H"&amp;TEXT(E923,"00")&amp;"-"&amp;H923)</f>
        <v>SAMP-KG01-L22-20251206-ORD-2025-00211-H09-Thin Wall</v>
      </c>
      <c r="K923" s="1" t="str">
        <f aca="false">IF(A923="","",IF(AND(G923&gt;=0,I923&gt;=0,I923&lt;=G923),"OK","CHECK"))</f>
        <v>OK</v>
      </c>
      <c r="L923" s="1" t="str">
        <f aca="false">IF(A923="","",IF(AND(E923&gt;=0,E923&lt;=23),"OK","CHECK"))</f>
        <v>OK</v>
      </c>
      <c r="M923" s="1" t="str">
        <f aca="false">IF(A923="","",IF(AND(K923="OK",L923="OK"),"OK","CHECK"))</f>
        <v>OK</v>
      </c>
    </row>
    <row r="924" customFormat="false" ht="18" hidden="false" customHeight="true" outlineLevel="0" collapsed="false">
      <c r="A924" s="9" t="s">
        <v>26</v>
      </c>
      <c r="B924" s="9" t="n">
        <v>22</v>
      </c>
      <c r="C924" s="11" t="n">
        <v>45997</v>
      </c>
      <c r="D924" s="9" t="s">
        <v>100</v>
      </c>
      <c r="E924" s="12" t="n">
        <v>20</v>
      </c>
      <c r="F924" s="9" t="s">
        <v>31</v>
      </c>
      <c r="G924" s="13" t="n">
        <v>100</v>
      </c>
      <c r="H924" s="9" t="s">
        <v>37</v>
      </c>
      <c r="I924" s="13" t="n">
        <v>2</v>
      </c>
      <c r="J924" s="1" t="str">
        <f aca="false">IF(A924="","", "SAMP-"&amp;A924&amp;"-L"&amp;TEXT(B924,"00")&amp;"-"&amp;TEXT(C924,"yyyymmdd")&amp;"-"&amp;D924&amp;"-H"&amp;TEXT(E924,"00")&amp;"-"&amp;H924)</f>
        <v>SAMP-KG01-L22-20251206-ORD-2025-00211-H20-Bird Swing</v>
      </c>
      <c r="K924" s="1" t="str">
        <f aca="false">IF(A924="","",IF(AND(G924&gt;=0,I924&gt;=0,I924&lt;=G924),"OK","CHECK"))</f>
        <v>OK</v>
      </c>
      <c r="L924" s="1" t="str">
        <f aca="false">IF(A924="","",IF(AND(E924&gt;=0,E924&lt;=23),"OK","CHECK"))</f>
        <v>OK</v>
      </c>
      <c r="M924" s="1" t="str">
        <f aca="false">IF(A924="","",IF(AND(K924="OK",L924="OK"),"OK","CHECK"))</f>
        <v>OK</v>
      </c>
    </row>
    <row r="925" customFormat="false" ht="18" hidden="false" customHeight="true" outlineLevel="0" collapsed="false">
      <c r="A925" s="9" t="s">
        <v>26</v>
      </c>
      <c r="B925" s="9" t="n">
        <v>22</v>
      </c>
      <c r="C925" s="11" t="n">
        <v>45997</v>
      </c>
      <c r="D925" s="9" t="s">
        <v>100</v>
      </c>
      <c r="E925" s="12" t="n">
        <v>16</v>
      </c>
      <c r="F925" s="9" t="s">
        <v>31</v>
      </c>
      <c r="G925" s="13" t="n">
        <v>200</v>
      </c>
      <c r="H925" s="9" t="s">
        <v>36</v>
      </c>
      <c r="I925" s="13" t="n">
        <v>9</v>
      </c>
      <c r="J925" s="1" t="str">
        <f aca="false">IF(A925="","", "SAMP-"&amp;A925&amp;"-L"&amp;TEXT(B925,"00")&amp;"-"&amp;TEXT(C925,"yyyymmdd")&amp;"-"&amp;D925&amp;"-H"&amp;TEXT(E925,"00")&amp;"-"&amp;H925)</f>
        <v>SAMP-KG01-L22-20251206-ORD-2025-00211-H16-Blister</v>
      </c>
      <c r="K925" s="1" t="str">
        <f aca="false">IF(A925="","",IF(AND(G925&gt;=0,I925&gt;=0,I925&lt;=G925),"OK","CHECK"))</f>
        <v>OK</v>
      </c>
      <c r="L925" s="1" t="str">
        <f aca="false">IF(A925="","",IF(AND(E925&gt;=0,E925&lt;=23),"OK","CHECK"))</f>
        <v>OK</v>
      </c>
      <c r="M925" s="1" t="str">
        <f aca="false">IF(A925="","",IF(AND(K925="OK",L925="OK"),"OK","CHECK"))</f>
        <v>OK</v>
      </c>
    </row>
    <row r="926" customFormat="false" ht="18" hidden="false" customHeight="true" outlineLevel="0" collapsed="false">
      <c r="A926" s="9" t="s">
        <v>26</v>
      </c>
      <c r="B926" s="9" t="n">
        <v>22</v>
      </c>
      <c r="C926" s="11" t="n">
        <v>45997</v>
      </c>
      <c r="D926" s="9" t="s">
        <v>100</v>
      </c>
      <c r="E926" s="12" t="n">
        <v>23</v>
      </c>
      <c r="F926" s="9" t="s">
        <v>31</v>
      </c>
      <c r="G926" s="13" t="n">
        <v>200</v>
      </c>
      <c r="H926" s="9" t="s">
        <v>36</v>
      </c>
      <c r="I926" s="13" t="n">
        <v>0</v>
      </c>
      <c r="J926" s="1" t="str">
        <f aca="false">IF(A926="","", "SAMP-"&amp;A926&amp;"-L"&amp;TEXT(B926,"00")&amp;"-"&amp;TEXT(C926,"yyyymmdd")&amp;"-"&amp;D926&amp;"-H"&amp;TEXT(E926,"00")&amp;"-"&amp;H926)</f>
        <v>SAMP-KG01-L22-20251206-ORD-2025-00211-H23-Blister</v>
      </c>
      <c r="K926" s="1" t="str">
        <f aca="false">IF(A926="","",IF(AND(G926&gt;=0,I926&gt;=0,I926&lt;=G926),"OK","CHECK"))</f>
        <v>OK</v>
      </c>
      <c r="L926" s="1" t="str">
        <f aca="false">IF(A926="","",IF(AND(E926&gt;=0,E926&lt;=23),"OK","CHECK"))</f>
        <v>OK</v>
      </c>
      <c r="M926" s="1" t="str">
        <f aca="false">IF(A926="","",IF(AND(K926="OK",L926="OK"),"OK","CHECK"))</f>
        <v>OK</v>
      </c>
    </row>
    <row r="927" customFormat="false" ht="18" hidden="false" customHeight="true" outlineLevel="0" collapsed="false">
      <c r="A927" s="9" t="s">
        <v>26</v>
      </c>
      <c r="B927" s="9" t="n">
        <v>22</v>
      </c>
      <c r="C927" s="11" t="n">
        <v>45998</v>
      </c>
      <c r="D927" s="9" t="s">
        <v>101</v>
      </c>
      <c r="E927" s="12" t="n">
        <v>9</v>
      </c>
      <c r="F927" s="9" t="s">
        <v>28</v>
      </c>
      <c r="G927" s="13" t="n">
        <v>200</v>
      </c>
      <c r="H927" s="9" t="s">
        <v>35</v>
      </c>
      <c r="I927" s="13" t="n">
        <v>2</v>
      </c>
      <c r="J927" s="1" t="str">
        <f aca="false">IF(A927="","", "SAMP-"&amp;A927&amp;"-L"&amp;TEXT(B927,"00")&amp;"-"&amp;TEXT(C927,"yyyymmdd")&amp;"-"&amp;D927&amp;"-H"&amp;TEXT(E927,"00")&amp;"-"&amp;H927)</f>
        <v>SAMP-KG01-L22-20251207-ORD-2025-00212-H09-Stone</v>
      </c>
      <c r="K927" s="1" t="str">
        <f aca="false">IF(A927="","",IF(AND(G927&gt;=0,I927&gt;=0,I927&lt;=G927),"OK","CHECK"))</f>
        <v>OK</v>
      </c>
      <c r="L927" s="1" t="str">
        <f aca="false">IF(A927="","",IF(AND(E927&gt;=0,E927&lt;=23),"OK","CHECK"))</f>
        <v>OK</v>
      </c>
      <c r="M927" s="1" t="str">
        <f aca="false">IF(A927="","",IF(AND(K927="OK",L927="OK"),"OK","CHECK"))</f>
        <v>OK</v>
      </c>
    </row>
    <row r="928" customFormat="false" ht="18" hidden="false" customHeight="true" outlineLevel="0" collapsed="false">
      <c r="A928" s="9" t="s">
        <v>26</v>
      </c>
      <c r="B928" s="9" t="n">
        <v>22</v>
      </c>
      <c r="C928" s="11" t="n">
        <v>45998</v>
      </c>
      <c r="D928" s="9" t="s">
        <v>101</v>
      </c>
      <c r="E928" s="12" t="n">
        <v>12</v>
      </c>
      <c r="F928" s="9" t="s">
        <v>28</v>
      </c>
      <c r="G928" s="13" t="n">
        <v>100</v>
      </c>
      <c r="H928" s="9" t="s">
        <v>38</v>
      </c>
      <c r="I928" s="13" t="n">
        <v>0</v>
      </c>
      <c r="J928" s="1" t="str">
        <f aca="false">IF(A928="","", "SAMP-"&amp;A928&amp;"-L"&amp;TEXT(B928,"00")&amp;"-"&amp;TEXT(C928,"yyyymmdd")&amp;"-"&amp;D928&amp;"-H"&amp;TEXT(E928,"00")&amp;"-"&amp;H928)</f>
        <v>SAMP-KG01-L22-20251207-ORD-2025-00212-H12-Crack</v>
      </c>
      <c r="K928" s="1" t="str">
        <f aca="false">IF(A928="","",IF(AND(G928&gt;=0,I928&gt;=0,I928&lt;=G928),"OK","CHECK"))</f>
        <v>OK</v>
      </c>
      <c r="L928" s="1" t="str">
        <f aca="false">IF(A928="","",IF(AND(E928&gt;=0,E928&lt;=23),"OK","CHECK"))</f>
        <v>OK</v>
      </c>
      <c r="M928" s="1" t="str">
        <f aca="false">IF(A928="","",IF(AND(K928="OK",L928="OK"),"OK","CHECK"))</f>
        <v>OK</v>
      </c>
    </row>
    <row r="929" customFormat="false" ht="18" hidden="false" customHeight="true" outlineLevel="0" collapsed="false">
      <c r="A929" s="9" t="s">
        <v>26</v>
      </c>
      <c r="B929" s="9" t="n">
        <v>22</v>
      </c>
      <c r="C929" s="11" t="n">
        <v>45998</v>
      </c>
      <c r="D929" s="9" t="s">
        <v>101</v>
      </c>
      <c r="E929" s="12" t="n">
        <v>16</v>
      </c>
      <c r="F929" s="9" t="s">
        <v>31</v>
      </c>
      <c r="G929" s="13" t="n">
        <v>100</v>
      </c>
      <c r="H929" s="9" t="s">
        <v>37</v>
      </c>
      <c r="I929" s="13" t="n">
        <v>3</v>
      </c>
      <c r="J929" s="1" t="str">
        <f aca="false">IF(A929="","", "SAMP-"&amp;A929&amp;"-L"&amp;TEXT(B929,"00")&amp;"-"&amp;TEXT(C929,"yyyymmdd")&amp;"-"&amp;D929&amp;"-H"&amp;TEXT(E929,"00")&amp;"-"&amp;H929)</f>
        <v>SAMP-KG01-L22-20251207-ORD-2025-00212-H16-Bird Swing</v>
      </c>
      <c r="K929" s="1" t="str">
        <f aca="false">IF(A929="","",IF(AND(G929&gt;=0,I929&gt;=0,I929&lt;=G929),"OK","CHECK"))</f>
        <v>OK</v>
      </c>
      <c r="L929" s="1" t="str">
        <f aca="false">IF(A929="","",IF(AND(E929&gt;=0,E929&lt;=23),"OK","CHECK"))</f>
        <v>OK</v>
      </c>
      <c r="M929" s="1" t="str">
        <f aca="false">IF(A929="","",IF(AND(K929="OK",L929="OK"),"OK","CHECK"))</f>
        <v>OK</v>
      </c>
    </row>
    <row r="930" customFormat="false" ht="18" hidden="false" customHeight="true" outlineLevel="0" collapsed="false">
      <c r="A930" s="9" t="s">
        <v>26</v>
      </c>
      <c r="B930" s="9" t="n">
        <v>22</v>
      </c>
      <c r="C930" s="11" t="n">
        <v>45998</v>
      </c>
      <c r="D930" s="9" t="s">
        <v>101</v>
      </c>
      <c r="E930" s="12" t="n">
        <v>20</v>
      </c>
      <c r="F930" s="9" t="s">
        <v>31</v>
      </c>
      <c r="G930" s="13" t="n">
        <v>100</v>
      </c>
      <c r="H930" s="9" t="s">
        <v>29</v>
      </c>
      <c r="I930" s="13" t="n">
        <v>3</v>
      </c>
      <c r="J930" s="1" t="str">
        <f aca="false">IF(A930="","", "SAMP-"&amp;A930&amp;"-L"&amp;TEXT(B930,"00")&amp;"-"&amp;TEXT(C930,"yyyymmdd")&amp;"-"&amp;D930&amp;"-H"&amp;TEXT(E930,"00")&amp;"-"&amp;H930)</f>
        <v>SAMP-KG01-L22-20251207-ORD-2025-00212-H20-Choke Neck</v>
      </c>
      <c r="K930" s="1" t="str">
        <f aca="false">IF(A930="","",IF(AND(G930&gt;=0,I930&gt;=0,I930&lt;=G930),"OK","CHECK"))</f>
        <v>OK</v>
      </c>
      <c r="L930" s="1" t="str">
        <f aca="false">IF(A930="","",IF(AND(E930&gt;=0,E930&lt;=23),"OK","CHECK"))</f>
        <v>OK</v>
      </c>
      <c r="M930" s="1" t="str">
        <f aca="false">IF(A930="","",IF(AND(K930="OK",L930="OK"),"OK","CHECK"))</f>
        <v>OK</v>
      </c>
    </row>
    <row r="931" customFormat="false" ht="18" hidden="false" customHeight="true" outlineLevel="0" collapsed="false">
      <c r="A931" s="9" t="s">
        <v>26</v>
      </c>
      <c r="B931" s="9" t="n">
        <v>22</v>
      </c>
      <c r="C931" s="11" t="n">
        <v>45998</v>
      </c>
      <c r="D931" s="9" t="s">
        <v>101</v>
      </c>
      <c r="E931" s="12" t="n">
        <v>23</v>
      </c>
      <c r="F931" s="9" t="s">
        <v>31</v>
      </c>
      <c r="G931" s="13" t="n">
        <v>200</v>
      </c>
      <c r="H931" s="9" t="s">
        <v>36</v>
      </c>
      <c r="I931" s="13" t="n">
        <v>3</v>
      </c>
      <c r="J931" s="1" t="str">
        <f aca="false">IF(A931="","", "SAMP-"&amp;A931&amp;"-L"&amp;TEXT(B931,"00")&amp;"-"&amp;TEXT(C931,"yyyymmdd")&amp;"-"&amp;D931&amp;"-H"&amp;TEXT(E931,"00")&amp;"-"&amp;H931)</f>
        <v>SAMP-KG01-L22-20251207-ORD-2025-00212-H23-Blister</v>
      </c>
      <c r="K931" s="1" t="str">
        <f aca="false">IF(A931="","",IF(AND(G931&gt;=0,I931&gt;=0,I931&lt;=G931),"OK","CHECK"))</f>
        <v>OK</v>
      </c>
      <c r="L931" s="1" t="str">
        <f aca="false">IF(A931="","",IF(AND(E931&gt;=0,E931&lt;=23),"OK","CHECK"))</f>
        <v>OK</v>
      </c>
      <c r="M931" s="1" t="str">
        <f aca="false">IF(A931="","",IF(AND(K931="OK",L931="OK"),"OK","CHECK"))</f>
        <v>OK</v>
      </c>
    </row>
    <row r="932" customFormat="false" ht="18" hidden="false" customHeight="true" outlineLevel="0" collapsed="false">
      <c r="A932" s="9" t="s">
        <v>26</v>
      </c>
      <c r="B932" s="9" t="n">
        <v>22</v>
      </c>
      <c r="C932" s="11" t="n">
        <v>45999</v>
      </c>
      <c r="D932" s="9" t="s">
        <v>101</v>
      </c>
      <c r="E932" s="12" t="n">
        <v>12</v>
      </c>
      <c r="F932" s="9" t="s">
        <v>28</v>
      </c>
      <c r="G932" s="13" t="n">
        <v>200</v>
      </c>
      <c r="H932" s="9" t="s">
        <v>29</v>
      </c>
      <c r="I932" s="13" t="n">
        <v>6</v>
      </c>
      <c r="J932" s="1" t="str">
        <f aca="false">IF(A932="","", "SAMP-"&amp;A932&amp;"-L"&amp;TEXT(B932,"00")&amp;"-"&amp;TEXT(C932,"yyyymmdd")&amp;"-"&amp;D932&amp;"-H"&amp;TEXT(E932,"00")&amp;"-"&amp;H932)</f>
        <v>SAMP-KG01-L22-20251208-ORD-2025-00212-H12-Choke Neck</v>
      </c>
      <c r="K932" s="1" t="str">
        <f aca="false">IF(A932="","",IF(AND(G932&gt;=0,I932&gt;=0,I932&lt;=G932),"OK","CHECK"))</f>
        <v>OK</v>
      </c>
      <c r="L932" s="1" t="str">
        <f aca="false">IF(A932="","",IF(AND(E932&gt;=0,E932&lt;=23),"OK","CHECK"))</f>
        <v>OK</v>
      </c>
      <c r="M932" s="1" t="str">
        <f aca="false">IF(A932="","",IF(AND(K932="OK",L932="OK"),"OK","CHECK"))</f>
        <v>OK</v>
      </c>
    </row>
    <row r="933" customFormat="false" ht="18" hidden="false" customHeight="true" outlineLevel="0" collapsed="false">
      <c r="A933" s="9" t="s">
        <v>26</v>
      </c>
      <c r="B933" s="9" t="n">
        <v>22</v>
      </c>
      <c r="C933" s="11" t="n">
        <v>45999</v>
      </c>
      <c r="D933" s="9" t="s">
        <v>101</v>
      </c>
      <c r="E933" s="12" t="n">
        <v>7</v>
      </c>
      <c r="F933" s="9" t="s">
        <v>28</v>
      </c>
      <c r="G933" s="13" t="n">
        <v>200</v>
      </c>
      <c r="H933" s="9" t="s">
        <v>38</v>
      </c>
      <c r="I933" s="13" t="n">
        <v>0</v>
      </c>
      <c r="J933" s="1" t="str">
        <f aca="false">IF(A933="","", "SAMP-"&amp;A933&amp;"-L"&amp;TEXT(B933,"00")&amp;"-"&amp;TEXT(C933,"yyyymmdd")&amp;"-"&amp;D933&amp;"-H"&amp;TEXT(E933,"00")&amp;"-"&amp;H933)</f>
        <v>SAMP-KG01-L22-20251208-ORD-2025-00212-H07-Crack</v>
      </c>
      <c r="K933" s="1" t="str">
        <f aca="false">IF(A933="","",IF(AND(G933&gt;=0,I933&gt;=0,I933&lt;=G933),"OK","CHECK"))</f>
        <v>OK</v>
      </c>
      <c r="L933" s="1" t="str">
        <f aca="false">IF(A933="","",IF(AND(E933&gt;=0,E933&lt;=23),"OK","CHECK"))</f>
        <v>OK</v>
      </c>
      <c r="M933" s="1" t="str">
        <f aca="false">IF(A933="","",IF(AND(K933="OK",L933="OK"),"OK","CHECK"))</f>
        <v>OK</v>
      </c>
    </row>
    <row r="934" customFormat="false" ht="18" hidden="false" customHeight="true" outlineLevel="0" collapsed="false">
      <c r="A934" s="9" t="s">
        <v>26</v>
      </c>
      <c r="B934" s="9" t="n">
        <v>22</v>
      </c>
      <c r="C934" s="11" t="n">
        <v>45999</v>
      </c>
      <c r="D934" s="9" t="s">
        <v>101</v>
      </c>
      <c r="E934" s="12" t="n">
        <v>9</v>
      </c>
      <c r="F934" s="9" t="s">
        <v>28</v>
      </c>
      <c r="G934" s="13" t="n">
        <v>150</v>
      </c>
      <c r="H934" s="9" t="s">
        <v>29</v>
      </c>
      <c r="I934" s="13" t="n">
        <v>5</v>
      </c>
      <c r="J934" s="1" t="str">
        <f aca="false">IF(A934="","", "SAMP-"&amp;A934&amp;"-L"&amp;TEXT(B934,"00")&amp;"-"&amp;TEXT(C934,"yyyymmdd")&amp;"-"&amp;D934&amp;"-H"&amp;TEXT(E934,"00")&amp;"-"&amp;H934)</f>
        <v>SAMP-KG01-L22-20251208-ORD-2025-00212-H09-Choke Neck</v>
      </c>
      <c r="K934" s="1" t="str">
        <f aca="false">IF(A934="","",IF(AND(G934&gt;=0,I934&gt;=0,I934&lt;=G934),"OK","CHECK"))</f>
        <v>OK</v>
      </c>
      <c r="L934" s="1" t="str">
        <f aca="false">IF(A934="","",IF(AND(E934&gt;=0,E934&lt;=23),"OK","CHECK"))</f>
        <v>OK</v>
      </c>
      <c r="M934" s="1" t="str">
        <f aca="false">IF(A934="","",IF(AND(K934="OK",L934="OK"),"OK","CHECK"))</f>
        <v>OK</v>
      </c>
    </row>
    <row r="935" customFormat="false" ht="18" hidden="false" customHeight="true" outlineLevel="0" collapsed="false">
      <c r="A935" s="9" t="s">
        <v>26</v>
      </c>
      <c r="B935" s="9" t="n">
        <v>22</v>
      </c>
      <c r="C935" s="11" t="n">
        <v>45999</v>
      </c>
      <c r="D935" s="9" t="s">
        <v>101</v>
      </c>
      <c r="E935" s="12" t="n">
        <v>23</v>
      </c>
      <c r="F935" s="9" t="s">
        <v>31</v>
      </c>
      <c r="G935" s="13" t="n">
        <v>50</v>
      </c>
      <c r="H935" s="9" t="s">
        <v>37</v>
      </c>
      <c r="I935" s="13" t="n">
        <v>1</v>
      </c>
      <c r="J935" s="1" t="str">
        <f aca="false">IF(A935="","", "SAMP-"&amp;A935&amp;"-L"&amp;TEXT(B935,"00")&amp;"-"&amp;TEXT(C935,"yyyymmdd")&amp;"-"&amp;D935&amp;"-H"&amp;TEXT(E935,"00")&amp;"-"&amp;H935)</f>
        <v>SAMP-KG01-L22-20251208-ORD-2025-00212-H23-Bird Swing</v>
      </c>
      <c r="K935" s="1" t="str">
        <f aca="false">IF(A935="","",IF(AND(G935&gt;=0,I935&gt;=0,I935&lt;=G935),"OK","CHECK"))</f>
        <v>OK</v>
      </c>
      <c r="L935" s="1" t="str">
        <f aca="false">IF(A935="","",IF(AND(E935&gt;=0,E935&lt;=23),"OK","CHECK"))</f>
        <v>OK</v>
      </c>
      <c r="M935" s="1" t="str">
        <f aca="false">IF(A935="","",IF(AND(K935="OK",L935="OK"),"OK","CHECK"))</f>
        <v>OK</v>
      </c>
    </row>
    <row r="936" customFormat="false" ht="18" hidden="false" customHeight="true" outlineLevel="0" collapsed="false">
      <c r="A936" s="9" t="s">
        <v>26</v>
      </c>
      <c r="B936" s="9" t="n">
        <v>22</v>
      </c>
      <c r="C936" s="11" t="n">
        <v>45999</v>
      </c>
      <c r="D936" s="9" t="s">
        <v>101</v>
      </c>
      <c r="E936" s="12" t="n">
        <v>16</v>
      </c>
      <c r="F936" s="9" t="s">
        <v>31</v>
      </c>
      <c r="G936" s="13" t="n">
        <v>150</v>
      </c>
      <c r="H936" s="9" t="s">
        <v>33</v>
      </c>
      <c r="I936" s="13" t="n">
        <v>3</v>
      </c>
      <c r="J936" s="1" t="str">
        <f aca="false">IF(A936="","", "SAMP-"&amp;A936&amp;"-L"&amp;TEXT(B936,"00")&amp;"-"&amp;TEXT(C936,"yyyymmdd")&amp;"-"&amp;D936&amp;"-H"&amp;TEXT(E936,"00")&amp;"-"&amp;H936)</f>
        <v>SAMP-KG01-L22-20251208-ORD-2025-00212-H16-Distortion</v>
      </c>
      <c r="K936" s="1" t="str">
        <f aca="false">IF(A936="","",IF(AND(G936&gt;=0,I936&gt;=0,I936&lt;=G936),"OK","CHECK"))</f>
        <v>OK</v>
      </c>
      <c r="L936" s="1" t="str">
        <f aca="false">IF(A936="","",IF(AND(E936&gt;=0,E936&lt;=23),"OK","CHECK"))</f>
        <v>OK</v>
      </c>
      <c r="M936" s="1" t="str">
        <f aca="false">IF(A936="","",IF(AND(K936="OK",L936="OK"),"OK","CHECK"))</f>
        <v>OK</v>
      </c>
    </row>
    <row r="937" customFormat="false" ht="18" hidden="false" customHeight="true" outlineLevel="0" collapsed="false">
      <c r="A937" s="9" t="s">
        <v>26</v>
      </c>
      <c r="B937" s="9" t="n">
        <v>22</v>
      </c>
      <c r="C937" s="11" t="n">
        <v>45999</v>
      </c>
      <c r="D937" s="9" t="s">
        <v>101</v>
      </c>
      <c r="E937" s="12" t="n">
        <v>20</v>
      </c>
      <c r="F937" s="9" t="s">
        <v>31</v>
      </c>
      <c r="G937" s="13" t="n">
        <v>50</v>
      </c>
      <c r="H937" s="9" t="s">
        <v>29</v>
      </c>
      <c r="I937" s="13" t="n">
        <v>2</v>
      </c>
      <c r="J937" s="1" t="str">
        <f aca="false">IF(A937="","", "SAMP-"&amp;A937&amp;"-L"&amp;TEXT(B937,"00")&amp;"-"&amp;TEXT(C937,"yyyymmdd")&amp;"-"&amp;D937&amp;"-H"&amp;TEXT(E937,"00")&amp;"-"&amp;H937)</f>
        <v>SAMP-KG01-L22-20251208-ORD-2025-00212-H20-Choke Neck</v>
      </c>
      <c r="K937" s="1" t="str">
        <f aca="false">IF(A937="","",IF(AND(G937&gt;=0,I937&gt;=0,I937&lt;=G937),"OK","CHECK"))</f>
        <v>OK</v>
      </c>
      <c r="L937" s="1" t="str">
        <f aca="false">IF(A937="","",IF(AND(E937&gt;=0,E937&lt;=23),"OK","CHECK"))</f>
        <v>OK</v>
      </c>
      <c r="M937" s="1" t="str">
        <f aca="false">IF(A937="","",IF(AND(K937="OK",L937="OK"),"OK","CHECK"))</f>
        <v>OK</v>
      </c>
    </row>
    <row r="938" customFormat="false" ht="18" hidden="false" customHeight="true" outlineLevel="0" collapsed="false">
      <c r="A938" s="9" t="s">
        <v>26</v>
      </c>
      <c r="B938" s="9" t="n">
        <v>22</v>
      </c>
      <c r="C938" s="11" t="n">
        <v>46000</v>
      </c>
      <c r="D938" s="9" t="s">
        <v>101</v>
      </c>
      <c r="E938" s="12" t="n">
        <v>9</v>
      </c>
      <c r="F938" s="9" t="s">
        <v>28</v>
      </c>
      <c r="G938" s="13" t="n">
        <v>50</v>
      </c>
      <c r="H938" s="9" t="s">
        <v>37</v>
      </c>
      <c r="I938" s="13" t="n">
        <v>0</v>
      </c>
      <c r="J938" s="1" t="str">
        <f aca="false">IF(A938="","", "SAMP-"&amp;A938&amp;"-L"&amp;TEXT(B938,"00")&amp;"-"&amp;TEXT(C938,"yyyymmdd")&amp;"-"&amp;D938&amp;"-H"&amp;TEXT(E938,"00")&amp;"-"&amp;H938)</f>
        <v>SAMP-KG01-L22-20251209-ORD-2025-00212-H09-Bird Swing</v>
      </c>
      <c r="K938" s="1" t="str">
        <f aca="false">IF(A938="","",IF(AND(G938&gt;=0,I938&gt;=0,I938&lt;=G938),"OK","CHECK"))</f>
        <v>OK</v>
      </c>
      <c r="L938" s="1" t="str">
        <f aca="false">IF(A938="","",IF(AND(E938&gt;=0,E938&lt;=23),"OK","CHECK"))</f>
        <v>OK</v>
      </c>
      <c r="M938" s="1" t="str">
        <f aca="false">IF(A938="","",IF(AND(K938="OK",L938="OK"),"OK","CHECK"))</f>
        <v>OK</v>
      </c>
    </row>
    <row r="939" customFormat="false" ht="18" hidden="false" customHeight="true" outlineLevel="0" collapsed="false">
      <c r="A939" s="9" t="s">
        <v>26</v>
      </c>
      <c r="B939" s="9" t="n">
        <v>22</v>
      </c>
      <c r="C939" s="11" t="n">
        <v>46000</v>
      </c>
      <c r="D939" s="9" t="s">
        <v>101</v>
      </c>
      <c r="E939" s="12" t="n">
        <v>7</v>
      </c>
      <c r="F939" s="9" t="s">
        <v>28</v>
      </c>
      <c r="G939" s="13" t="n">
        <v>150</v>
      </c>
      <c r="H939" s="9" t="s">
        <v>38</v>
      </c>
      <c r="I939" s="13" t="n">
        <v>2</v>
      </c>
      <c r="J939" s="1" t="str">
        <f aca="false">IF(A939="","", "SAMP-"&amp;A939&amp;"-L"&amp;TEXT(B939,"00")&amp;"-"&amp;TEXT(C939,"yyyymmdd")&amp;"-"&amp;D939&amp;"-H"&amp;TEXT(E939,"00")&amp;"-"&amp;H939)</f>
        <v>SAMP-KG01-L22-20251209-ORD-2025-00212-H07-Crack</v>
      </c>
      <c r="K939" s="1" t="str">
        <f aca="false">IF(A939="","",IF(AND(G939&gt;=0,I939&gt;=0,I939&lt;=G939),"OK","CHECK"))</f>
        <v>OK</v>
      </c>
      <c r="L939" s="1" t="str">
        <f aca="false">IF(A939="","",IF(AND(E939&gt;=0,E939&lt;=23),"OK","CHECK"))</f>
        <v>OK</v>
      </c>
      <c r="M939" s="1" t="str">
        <f aca="false">IF(A939="","",IF(AND(K939="OK",L939="OK"),"OK","CHECK"))</f>
        <v>OK</v>
      </c>
    </row>
    <row r="940" customFormat="false" ht="18" hidden="false" customHeight="true" outlineLevel="0" collapsed="false">
      <c r="A940" s="9" t="s">
        <v>26</v>
      </c>
      <c r="B940" s="9" t="n">
        <v>22</v>
      </c>
      <c r="C940" s="11" t="n">
        <v>46000</v>
      </c>
      <c r="D940" s="9" t="s">
        <v>101</v>
      </c>
      <c r="E940" s="12" t="n">
        <v>12</v>
      </c>
      <c r="F940" s="9" t="s">
        <v>28</v>
      </c>
      <c r="G940" s="13" t="n">
        <v>150</v>
      </c>
      <c r="H940" s="9" t="s">
        <v>33</v>
      </c>
      <c r="I940" s="13" t="n">
        <v>1</v>
      </c>
      <c r="J940" s="1" t="str">
        <f aca="false">IF(A940="","", "SAMP-"&amp;A940&amp;"-L"&amp;TEXT(B940,"00")&amp;"-"&amp;TEXT(C940,"yyyymmdd")&amp;"-"&amp;D940&amp;"-H"&amp;TEXT(E940,"00")&amp;"-"&amp;H940)</f>
        <v>SAMP-KG01-L22-20251209-ORD-2025-00212-H12-Distortion</v>
      </c>
      <c r="K940" s="1" t="str">
        <f aca="false">IF(A940="","",IF(AND(G940&gt;=0,I940&gt;=0,I940&lt;=G940),"OK","CHECK"))</f>
        <v>OK</v>
      </c>
      <c r="L940" s="1" t="str">
        <f aca="false">IF(A940="","",IF(AND(E940&gt;=0,E940&lt;=23),"OK","CHECK"))</f>
        <v>OK</v>
      </c>
      <c r="M940" s="1" t="str">
        <f aca="false">IF(A940="","",IF(AND(K940="OK",L940="OK"),"OK","CHECK"))</f>
        <v>OK</v>
      </c>
    </row>
    <row r="941" customFormat="false" ht="18" hidden="false" customHeight="true" outlineLevel="0" collapsed="false">
      <c r="A941" s="9" t="s">
        <v>26</v>
      </c>
      <c r="B941" s="9" t="n">
        <v>22</v>
      </c>
      <c r="C941" s="11" t="n">
        <v>46000</v>
      </c>
      <c r="D941" s="9" t="s">
        <v>101</v>
      </c>
      <c r="E941" s="12" t="n">
        <v>20</v>
      </c>
      <c r="F941" s="9" t="s">
        <v>31</v>
      </c>
      <c r="G941" s="13" t="n">
        <v>200</v>
      </c>
      <c r="H941" s="9" t="s">
        <v>34</v>
      </c>
      <c r="I941" s="13" t="n">
        <v>0</v>
      </c>
      <c r="J941" s="1" t="str">
        <f aca="false">IF(A941="","", "SAMP-"&amp;A941&amp;"-L"&amp;TEXT(B941,"00")&amp;"-"&amp;TEXT(C941,"yyyymmdd")&amp;"-"&amp;D941&amp;"-H"&amp;TEXT(E941,"00")&amp;"-"&amp;H941)</f>
        <v>SAMP-KG01-L22-20251209-ORD-2025-00212-H20-Thin Wall</v>
      </c>
      <c r="K941" s="1" t="str">
        <f aca="false">IF(A941="","",IF(AND(G941&gt;=0,I941&gt;=0,I941&lt;=G941),"OK","CHECK"))</f>
        <v>OK</v>
      </c>
      <c r="L941" s="1" t="str">
        <f aca="false">IF(A941="","",IF(AND(E941&gt;=0,E941&lt;=23),"OK","CHECK"))</f>
        <v>OK</v>
      </c>
      <c r="M941" s="1" t="str">
        <f aca="false">IF(A941="","",IF(AND(K941="OK",L941="OK"),"OK","CHECK"))</f>
        <v>OK</v>
      </c>
    </row>
    <row r="942" customFormat="false" ht="18" hidden="false" customHeight="true" outlineLevel="0" collapsed="false">
      <c r="A942" s="9" t="s">
        <v>26</v>
      </c>
      <c r="B942" s="9" t="n">
        <v>22</v>
      </c>
      <c r="C942" s="11" t="n">
        <v>46000</v>
      </c>
      <c r="D942" s="9" t="s">
        <v>101</v>
      </c>
      <c r="E942" s="12" t="n">
        <v>16</v>
      </c>
      <c r="F942" s="9" t="s">
        <v>31</v>
      </c>
      <c r="G942" s="13" t="n">
        <v>150</v>
      </c>
      <c r="H942" s="9" t="s">
        <v>37</v>
      </c>
      <c r="I942" s="13" t="n">
        <v>3</v>
      </c>
      <c r="J942" s="1" t="str">
        <f aca="false">IF(A942="","", "SAMP-"&amp;A942&amp;"-L"&amp;TEXT(B942,"00")&amp;"-"&amp;TEXT(C942,"yyyymmdd")&amp;"-"&amp;D942&amp;"-H"&amp;TEXT(E942,"00")&amp;"-"&amp;H942)</f>
        <v>SAMP-KG01-L22-20251209-ORD-2025-00212-H16-Bird Swing</v>
      </c>
      <c r="K942" s="1" t="str">
        <f aca="false">IF(A942="","",IF(AND(G942&gt;=0,I942&gt;=0,I942&lt;=G942),"OK","CHECK"))</f>
        <v>OK</v>
      </c>
      <c r="L942" s="1" t="str">
        <f aca="false">IF(A942="","",IF(AND(E942&gt;=0,E942&lt;=23),"OK","CHECK"))</f>
        <v>OK</v>
      </c>
      <c r="M942" s="1" t="str">
        <f aca="false">IF(A942="","",IF(AND(K942="OK",L942="OK"),"OK","CHECK"))</f>
        <v>OK</v>
      </c>
    </row>
    <row r="943" customFormat="false" ht="18" hidden="false" customHeight="true" outlineLevel="0" collapsed="false">
      <c r="A943" s="9" t="s">
        <v>26</v>
      </c>
      <c r="B943" s="9" t="n">
        <v>22</v>
      </c>
      <c r="C943" s="11" t="n">
        <v>46000</v>
      </c>
      <c r="D943" s="9" t="s">
        <v>101</v>
      </c>
      <c r="E943" s="12" t="n">
        <v>23</v>
      </c>
      <c r="F943" s="9" t="s">
        <v>31</v>
      </c>
      <c r="G943" s="13" t="n">
        <v>50</v>
      </c>
      <c r="H943" s="9" t="s">
        <v>38</v>
      </c>
      <c r="I943" s="13" t="n">
        <v>2</v>
      </c>
      <c r="J943" s="1" t="str">
        <f aca="false">IF(A943="","", "SAMP-"&amp;A943&amp;"-L"&amp;TEXT(B943,"00")&amp;"-"&amp;TEXT(C943,"yyyymmdd")&amp;"-"&amp;D943&amp;"-H"&amp;TEXT(E943,"00")&amp;"-"&amp;H943)</f>
        <v>SAMP-KG01-L22-20251209-ORD-2025-00212-H23-Crack</v>
      </c>
      <c r="K943" s="1" t="str">
        <f aca="false">IF(A943="","",IF(AND(G943&gt;=0,I943&gt;=0,I943&lt;=G943),"OK","CHECK"))</f>
        <v>OK</v>
      </c>
      <c r="L943" s="1" t="str">
        <f aca="false">IF(A943="","",IF(AND(E943&gt;=0,E943&lt;=23),"OK","CHECK"))</f>
        <v>OK</v>
      </c>
      <c r="M943" s="1" t="str">
        <f aca="false">IF(A943="","",IF(AND(K943="OK",L943="OK"),"OK","CHECK"))</f>
        <v>OK</v>
      </c>
    </row>
    <row r="944" customFormat="false" ht="18" hidden="false" customHeight="true" outlineLevel="0" collapsed="false">
      <c r="A944" s="9" t="s">
        <v>26</v>
      </c>
      <c r="B944" s="9" t="n">
        <v>22</v>
      </c>
      <c r="C944" s="11" t="n">
        <v>46001</v>
      </c>
      <c r="D944" s="9" t="s">
        <v>101</v>
      </c>
      <c r="E944" s="12" t="n">
        <v>12</v>
      </c>
      <c r="F944" s="9" t="s">
        <v>28</v>
      </c>
      <c r="G944" s="13" t="n">
        <v>100</v>
      </c>
      <c r="H944" s="9" t="s">
        <v>34</v>
      </c>
      <c r="I944" s="13" t="n">
        <v>2</v>
      </c>
      <c r="J944" s="1" t="str">
        <f aca="false">IF(A944="","", "SAMP-"&amp;A944&amp;"-L"&amp;TEXT(B944,"00")&amp;"-"&amp;TEXT(C944,"yyyymmdd")&amp;"-"&amp;D944&amp;"-H"&amp;TEXT(E944,"00")&amp;"-"&amp;H944)</f>
        <v>SAMP-KG01-L22-20251210-ORD-2025-00212-H12-Thin Wall</v>
      </c>
      <c r="K944" s="1" t="str">
        <f aca="false">IF(A944="","",IF(AND(G944&gt;=0,I944&gt;=0,I944&lt;=G944),"OK","CHECK"))</f>
        <v>OK</v>
      </c>
      <c r="L944" s="1" t="str">
        <f aca="false">IF(A944="","",IF(AND(E944&gt;=0,E944&lt;=23),"OK","CHECK"))</f>
        <v>OK</v>
      </c>
      <c r="M944" s="1" t="str">
        <f aca="false">IF(A944="","",IF(AND(K944="OK",L944="OK"),"OK","CHECK"))</f>
        <v>OK</v>
      </c>
    </row>
    <row r="945" customFormat="false" ht="18" hidden="false" customHeight="true" outlineLevel="0" collapsed="false">
      <c r="A945" s="9" t="s">
        <v>26</v>
      </c>
      <c r="B945" s="9" t="n">
        <v>22</v>
      </c>
      <c r="C945" s="11" t="n">
        <v>46001</v>
      </c>
      <c r="D945" s="9" t="s">
        <v>101</v>
      </c>
      <c r="E945" s="12" t="n">
        <v>9</v>
      </c>
      <c r="F945" s="9" t="s">
        <v>28</v>
      </c>
      <c r="G945" s="13" t="n">
        <v>100</v>
      </c>
      <c r="H945" s="9" t="s">
        <v>34</v>
      </c>
      <c r="I945" s="13" t="n">
        <v>3</v>
      </c>
      <c r="J945" s="1" t="str">
        <f aca="false">IF(A945="","", "SAMP-"&amp;A945&amp;"-L"&amp;TEXT(B945,"00")&amp;"-"&amp;TEXT(C945,"yyyymmdd")&amp;"-"&amp;D945&amp;"-H"&amp;TEXT(E945,"00")&amp;"-"&amp;H945)</f>
        <v>SAMP-KG01-L22-20251210-ORD-2025-00212-H09-Thin Wall</v>
      </c>
      <c r="K945" s="1" t="str">
        <f aca="false">IF(A945="","",IF(AND(G945&gt;=0,I945&gt;=0,I945&lt;=G945),"OK","CHECK"))</f>
        <v>OK</v>
      </c>
      <c r="L945" s="1" t="str">
        <f aca="false">IF(A945="","",IF(AND(E945&gt;=0,E945&lt;=23),"OK","CHECK"))</f>
        <v>OK</v>
      </c>
      <c r="M945" s="1" t="str">
        <f aca="false">IF(A945="","",IF(AND(K945="OK",L945="OK"),"OK","CHECK"))</f>
        <v>OK</v>
      </c>
    </row>
    <row r="946" customFormat="false" ht="18" hidden="false" customHeight="true" outlineLevel="0" collapsed="false">
      <c r="A946" s="9" t="s">
        <v>26</v>
      </c>
      <c r="B946" s="9" t="n">
        <v>22</v>
      </c>
      <c r="C946" s="11" t="n">
        <v>46001</v>
      </c>
      <c r="D946" s="9" t="s">
        <v>101</v>
      </c>
      <c r="E946" s="12" t="n">
        <v>7</v>
      </c>
      <c r="F946" s="9" t="s">
        <v>28</v>
      </c>
      <c r="G946" s="13" t="n">
        <v>100</v>
      </c>
      <c r="H946" s="9" t="s">
        <v>36</v>
      </c>
      <c r="I946" s="13" t="n">
        <v>3</v>
      </c>
      <c r="J946" s="1" t="str">
        <f aca="false">IF(A946="","", "SAMP-"&amp;A946&amp;"-L"&amp;TEXT(B946,"00")&amp;"-"&amp;TEXT(C946,"yyyymmdd")&amp;"-"&amp;D946&amp;"-H"&amp;TEXT(E946,"00")&amp;"-"&amp;H946)</f>
        <v>SAMP-KG01-L22-20251210-ORD-2025-00212-H07-Blister</v>
      </c>
      <c r="K946" s="1" t="str">
        <f aca="false">IF(A946="","",IF(AND(G946&gt;=0,I946&gt;=0,I946&lt;=G946),"OK","CHECK"))</f>
        <v>OK</v>
      </c>
      <c r="L946" s="1" t="str">
        <f aca="false">IF(A946="","",IF(AND(E946&gt;=0,E946&lt;=23),"OK","CHECK"))</f>
        <v>OK</v>
      </c>
      <c r="M946" s="1" t="str">
        <f aca="false">IF(A946="","",IF(AND(K946="OK",L946="OK"),"OK","CHECK"))</f>
        <v>OK</v>
      </c>
    </row>
    <row r="947" customFormat="false" ht="18" hidden="false" customHeight="true" outlineLevel="0" collapsed="false">
      <c r="A947" s="9" t="s">
        <v>26</v>
      </c>
      <c r="B947" s="9" t="n">
        <v>22</v>
      </c>
      <c r="C947" s="11" t="n">
        <v>46001</v>
      </c>
      <c r="D947" s="9" t="s">
        <v>101</v>
      </c>
      <c r="E947" s="12" t="n">
        <v>20</v>
      </c>
      <c r="F947" s="9" t="s">
        <v>31</v>
      </c>
      <c r="G947" s="13" t="n">
        <v>50</v>
      </c>
      <c r="H947" s="9" t="s">
        <v>34</v>
      </c>
      <c r="I947" s="13" t="n">
        <v>1</v>
      </c>
      <c r="J947" s="1" t="str">
        <f aca="false">IF(A947="","", "SAMP-"&amp;A947&amp;"-L"&amp;TEXT(B947,"00")&amp;"-"&amp;TEXT(C947,"yyyymmdd")&amp;"-"&amp;D947&amp;"-H"&amp;TEXT(E947,"00")&amp;"-"&amp;H947)</f>
        <v>SAMP-KG01-L22-20251210-ORD-2025-00212-H20-Thin Wall</v>
      </c>
      <c r="K947" s="1" t="str">
        <f aca="false">IF(A947="","",IF(AND(G947&gt;=0,I947&gt;=0,I947&lt;=G947),"OK","CHECK"))</f>
        <v>OK</v>
      </c>
      <c r="L947" s="1" t="str">
        <f aca="false">IF(A947="","",IF(AND(E947&gt;=0,E947&lt;=23),"OK","CHECK"))</f>
        <v>OK</v>
      </c>
      <c r="M947" s="1" t="str">
        <f aca="false">IF(A947="","",IF(AND(K947="OK",L947="OK"),"OK","CHECK"))</f>
        <v>OK</v>
      </c>
    </row>
    <row r="948" customFormat="false" ht="18" hidden="false" customHeight="true" outlineLevel="0" collapsed="false">
      <c r="A948" s="9" t="s">
        <v>26</v>
      </c>
      <c r="B948" s="9" t="n">
        <v>22</v>
      </c>
      <c r="C948" s="11" t="n">
        <v>46001</v>
      </c>
      <c r="D948" s="9" t="s">
        <v>101</v>
      </c>
      <c r="E948" s="12" t="n">
        <v>16</v>
      </c>
      <c r="F948" s="9" t="s">
        <v>31</v>
      </c>
      <c r="G948" s="13" t="n">
        <v>150</v>
      </c>
      <c r="H948" s="9" t="s">
        <v>34</v>
      </c>
      <c r="I948" s="13" t="n">
        <v>2</v>
      </c>
      <c r="J948" s="1" t="str">
        <f aca="false">IF(A948="","", "SAMP-"&amp;A948&amp;"-L"&amp;TEXT(B948,"00")&amp;"-"&amp;TEXT(C948,"yyyymmdd")&amp;"-"&amp;D948&amp;"-H"&amp;TEXT(E948,"00")&amp;"-"&amp;H948)</f>
        <v>SAMP-KG01-L22-20251210-ORD-2025-00212-H16-Thin Wall</v>
      </c>
      <c r="K948" s="1" t="str">
        <f aca="false">IF(A948="","",IF(AND(G948&gt;=0,I948&gt;=0,I948&lt;=G948),"OK","CHECK"))</f>
        <v>OK</v>
      </c>
      <c r="L948" s="1" t="str">
        <f aca="false">IF(A948="","",IF(AND(E948&gt;=0,E948&lt;=23),"OK","CHECK"))</f>
        <v>OK</v>
      </c>
      <c r="M948" s="1" t="str">
        <f aca="false">IF(A948="","",IF(AND(K948="OK",L948="OK"),"OK","CHECK"))</f>
        <v>OK</v>
      </c>
    </row>
    <row r="949" customFormat="false" ht="18" hidden="false" customHeight="true" outlineLevel="0" collapsed="false">
      <c r="A949" s="9" t="s">
        <v>26</v>
      </c>
      <c r="B949" s="9" t="n">
        <v>22</v>
      </c>
      <c r="C949" s="11" t="n">
        <v>46001</v>
      </c>
      <c r="D949" s="9" t="s">
        <v>101</v>
      </c>
      <c r="E949" s="12" t="n">
        <v>23</v>
      </c>
      <c r="F949" s="9" t="s">
        <v>31</v>
      </c>
      <c r="G949" s="13" t="n">
        <v>200</v>
      </c>
      <c r="H949" s="9" t="s">
        <v>41</v>
      </c>
      <c r="I949" s="13" t="n">
        <v>5</v>
      </c>
      <c r="J949" s="1" t="str">
        <f aca="false">IF(A949="","", "SAMP-"&amp;A949&amp;"-L"&amp;TEXT(B949,"00")&amp;"-"&amp;TEXT(C949,"yyyymmdd")&amp;"-"&amp;D949&amp;"-H"&amp;TEXT(E949,"00")&amp;"-"&amp;H949)</f>
        <v>SAMP-KG01-L22-20251210-ORD-2025-00212-H23-Chip</v>
      </c>
      <c r="K949" s="1" t="str">
        <f aca="false">IF(A949="","",IF(AND(G949&gt;=0,I949&gt;=0,I949&lt;=G949),"OK","CHECK"))</f>
        <v>OK</v>
      </c>
      <c r="L949" s="1" t="str">
        <f aca="false">IF(A949="","",IF(AND(E949&gt;=0,E949&lt;=23),"OK","CHECK"))</f>
        <v>OK</v>
      </c>
      <c r="M949" s="1" t="str">
        <f aca="false">IF(A949="","",IF(AND(K949="OK",L949="OK"),"OK","CHECK"))</f>
        <v>OK</v>
      </c>
    </row>
    <row r="950" customFormat="false" ht="18" hidden="false" customHeight="true" outlineLevel="0" collapsed="false">
      <c r="A950" s="9" t="s">
        <v>26</v>
      </c>
      <c r="B950" s="9" t="n">
        <v>22</v>
      </c>
      <c r="C950" s="11" t="n">
        <v>46002</v>
      </c>
      <c r="D950" s="9" t="s">
        <v>101</v>
      </c>
      <c r="E950" s="12" t="n">
        <v>7</v>
      </c>
      <c r="F950" s="9" t="s">
        <v>28</v>
      </c>
      <c r="G950" s="13" t="n">
        <v>100</v>
      </c>
      <c r="H950" s="9" t="s">
        <v>29</v>
      </c>
      <c r="I950" s="13" t="n">
        <v>1</v>
      </c>
      <c r="J950" s="1" t="str">
        <f aca="false">IF(A950="","", "SAMP-"&amp;A950&amp;"-L"&amp;TEXT(B950,"00")&amp;"-"&amp;TEXT(C950,"yyyymmdd")&amp;"-"&amp;D950&amp;"-H"&amp;TEXT(E950,"00")&amp;"-"&amp;H950)</f>
        <v>SAMP-KG01-L22-20251211-ORD-2025-00212-H07-Choke Neck</v>
      </c>
      <c r="K950" s="1" t="str">
        <f aca="false">IF(A950="","",IF(AND(G950&gt;=0,I950&gt;=0,I950&lt;=G950),"OK","CHECK"))</f>
        <v>OK</v>
      </c>
      <c r="L950" s="1" t="str">
        <f aca="false">IF(A950="","",IF(AND(E950&gt;=0,E950&lt;=23),"OK","CHECK"))</f>
        <v>OK</v>
      </c>
      <c r="M950" s="1" t="str">
        <f aca="false">IF(A950="","",IF(AND(K950="OK",L950="OK"),"OK","CHECK"))</f>
        <v>OK</v>
      </c>
    </row>
    <row r="951" customFormat="false" ht="18" hidden="false" customHeight="true" outlineLevel="0" collapsed="false">
      <c r="A951" s="9" t="s">
        <v>26</v>
      </c>
      <c r="B951" s="9" t="n">
        <v>22</v>
      </c>
      <c r="C951" s="11" t="n">
        <v>46002</v>
      </c>
      <c r="D951" s="9" t="s">
        <v>101</v>
      </c>
      <c r="E951" s="12" t="n">
        <v>12</v>
      </c>
      <c r="F951" s="9" t="s">
        <v>28</v>
      </c>
      <c r="G951" s="13" t="n">
        <v>200</v>
      </c>
      <c r="H951" s="9" t="s">
        <v>29</v>
      </c>
      <c r="I951" s="13" t="n">
        <v>6</v>
      </c>
      <c r="J951" s="1" t="str">
        <f aca="false">IF(A951="","", "SAMP-"&amp;A951&amp;"-L"&amp;TEXT(B951,"00")&amp;"-"&amp;TEXT(C951,"yyyymmdd")&amp;"-"&amp;D951&amp;"-H"&amp;TEXT(E951,"00")&amp;"-"&amp;H951)</f>
        <v>SAMP-KG01-L22-20251211-ORD-2025-00212-H12-Choke Neck</v>
      </c>
      <c r="K951" s="1" t="str">
        <f aca="false">IF(A951="","",IF(AND(G951&gt;=0,I951&gt;=0,I951&lt;=G951),"OK","CHECK"))</f>
        <v>OK</v>
      </c>
      <c r="L951" s="1" t="str">
        <f aca="false">IF(A951="","",IF(AND(E951&gt;=0,E951&lt;=23),"OK","CHECK"))</f>
        <v>OK</v>
      </c>
      <c r="M951" s="1" t="str">
        <f aca="false">IF(A951="","",IF(AND(K951="OK",L951="OK"),"OK","CHECK"))</f>
        <v>OK</v>
      </c>
    </row>
    <row r="952" customFormat="false" ht="18" hidden="false" customHeight="true" outlineLevel="0" collapsed="false">
      <c r="A952" s="9" t="s">
        <v>26</v>
      </c>
      <c r="B952" s="9" t="n">
        <v>22</v>
      </c>
      <c r="C952" s="11" t="n">
        <v>46002</v>
      </c>
      <c r="D952" s="9" t="s">
        <v>101</v>
      </c>
      <c r="E952" s="12" t="n">
        <v>9</v>
      </c>
      <c r="F952" s="9" t="s">
        <v>28</v>
      </c>
      <c r="G952" s="13" t="n">
        <v>100</v>
      </c>
      <c r="H952" s="9" t="s">
        <v>38</v>
      </c>
      <c r="I952" s="13" t="n">
        <v>0</v>
      </c>
      <c r="J952" s="1" t="str">
        <f aca="false">IF(A952="","", "SAMP-"&amp;A952&amp;"-L"&amp;TEXT(B952,"00")&amp;"-"&amp;TEXT(C952,"yyyymmdd")&amp;"-"&amp;D952&amp;"-H"&amp;TEXT(E952,"00")&amp;"-"&amp;H952)</f>
        <v>SAMP-KG01-L22-20251211-ORD-2025-00212-H09-Crack</v>
      </c>
      <c r="K952" s="1" t="str">
        <f aca="false">IF(A952="","",IF(AND(G952&gt;=0,I952&gt;=0,I952&lt;=G952),"OK","CHECK"))</f>
        <v>OK</v>
      </c>
      <c r="L952" s="1" t="str">
        <f aca="false">IF(A952="","",IF(AND(E952&gt;=0,E952&lt;=23),"OK","CHECK"))</f>
        <v>OK</v>
      </c>
      <c r="M952" s="1" t="str">
        <f aca="false">IF(A952="","",IF(AND(K952="OK",L952="OK"),"OK","CHECK"))</f>
        <v>OK</v>
      </c>
    </row>
    <row r="953" customFormat="false" ht="18" hidden="false" customHeight="true" outlineLevel="0" collapsed="false">
      <c r="A953" s="9" t="s">
        <v>26</v>
      </c>
      <c r="B953" s="9" t="n">
        <v>22</v>
      </c>
      <c r="C953" s="11" t="n">
        <v>46002</v>
      </c>
      <c r="D953" s="9" t="s">
        <v>102</v>
      </c>
      <c r="E953" s="12" t="n">
        <v>23</v>
      </c>
      <c r="F953" s="9" t="s">
        <v>31</v>
      </c>
      <c r="G953" s="13" t="n">
        <v>100</v>
      </c>
      <c r="H953" s="9" t="s">
        <v>36</v>
      </c>
      <c r="I953" s="13" t="n">
        <v>5</v>
      </c>
      <c r="J953" s="1" t="str">
        <f aca="false">IF(A953="","", "SAMP-"&amp;A953&amp;"-L"&amp;TEXT(B953,"00")&amp;"-"&amp;TEXT(C953,"yyyymmdd")&amp;"-"&amp;D953&amp;"-H"&amp;TEXT(E953,"00")&amp;"-"&amp;H953)</f>
        <v>SAMP-KG01-L22-20251211-ORD-2025-00213-H23-Blister</v>
      </c>
      <c r="K953" s="1" t="str">
        <f aca="false">IF(A953="","",IF(AND(G953&gt;=0,I953&gt;=0,I953&lt;=G953),"OK","CHECK"))</f>
        <v>OK</v>
      </c>
      <c r="L953" s="1" t="str">
        <f aca="false">IF(A953="","",IF(AND(E953&gt;=0,E953&lt;=23),"OK","CHECK"))</f>
        <v>OK</v>
      </c>
      <c r="M953" s="1" t="str">
        <f aca="false">IF(A953="","",IF(AND(K953="OK",L953="OK"),"OK","CHECK"))</f>
        <v>OK</v>
      </c>
    </row>
    <row r="954" customFormat="false" ht="18" hidden="false" customHeight="true" outlineLevel="0" collapsed="false">
      <c r="A954" s="9" t="s">
        <v>26</v>
      </c>
      <c r="B954" s="9" t="n">
        <v>22</v>
      </c>
      <c r="C954" s="11" t="n">
        <v>46002</v>
      </c>
      <c r="D954" s="9" t="s">
        <v>102</v>
      </c>
      <c r="E954" s="12" t="n">
        <v>16</v>
      </c>
      <c r="F954" s="9" t="s">
        <v>31</v>
      </c>
      <c r="G954" s="13" t="n">
        <v>50</v>
      </c>
      <c r="H954" s="9" t="s">
        <v>36</v>
      </c>
      <c r="I954" s="13" t="n">
        <v>1</v>
      </c>
      <c r="J954" s="1" t="str">
        <f aca="false">IF(A954="","", "SAMP-"&amp;A954&amp;"-L"&amp;TEXT(B954,"00")&amp;"-"&amp;TEXT(C954,"yyyymmdd")&amp;"-"&amp;D954&amp;"-H"&amp;TEXT(E954,"00")&amp;"-"&amp;H954)</f>
        <v>SAMP-KG01-L22-20251211-ORD-2025-00213-H16-Blister</v>
      </c>
      <c r="K954" s="1" t="str">
        <f aca="false">IF(A954="","",IF(AND(G954&gt;=0,I954&gt;=0,I954&lt;=G954),"OK","CHECK"))</f>
        <v>OK</v>
      </c>
      <c r="L954" s="1" t="str">
        <f aca="false">IF(A954="","",IF(AND(E954&gt;=0,E954&lt;=23),"OK","CHECK"))</f>
        <v>OK</v>
      </c>
      <c r="M954" s="1" t="str">
        <f aca="false">IF(A954="","",IF(AND(K954="OK",L954="OK"),"OK","CHECK"))</f>
        <v>OK</v>
      </c>
    </row>
    <row r="955" customFormat="false" ht="18" hidden="false" customHeight="true" outlineLevel="0" collapsed="false">
      <c r="A955" s="9" t="s">
        <v>26</v>
      </c>
      <c r="B955" s="9" t="n">
        <v>22</v>
      </c>
      <c r="C955" s="11" t="n">
        <v>46002</v>
      </c>
      <c r="D955" s="9" t="s">
        <v>102</v>
      </c>
      <c r="E955" s="12" t="n">
        <v>20</v>
      </c>
      <c r="F955" s="9" t="s">
        <v>31</v>
      </c>
      <c r="G955" s="13" t="n">
        <v>50</v>
      </c>
      <c r="H955" s="9" t="s">
        <v>41</v>
      </c>
      <c r="I955" s="13" t="n">
        <v>0</v>
      </c>
      <c r="J955" s="1" t="str">
        <f aca="false">IF(A955="","", "SAMP-"&amp;A955&amp;"-L"&amp;TEXT(B955,"00")&amp;"-"&amp;TEXT(C955,"yyyymmdd")&amp;"-"&amp;D955&amp;"-H"&amp;TEXT(E955,"00")&amp;"-"&amp;H955)</f>
        <v>SAMP-KG01-L22-20251211-ORD-2025-00213-H20-Chip</v>
      </c>
      <c r="K955" s="1" t="str">
        <f aca="false">IF(A955="","",IF(AND(G955&gt;=0,I955&gt;=0,I955&lt;=G955),"OK","CHECK"))</f>
        <v>OK</v>
      </c>
      <c r="L955" s="1" t="str">
        <f aca="false">IF(A955="","",IF(AND(E955&gt;=0,E955&lt;=23),"OK","CHECK"))</f>
        <v>OK</v>
      </c>
      <c r="M955" s="1" t="str">
        <f aca="false">IF(A955="","",IF(AND(K955="OK",L955="OK"),"OK","CHECK"))</f>
        <v>OK</v>
      </c>
    </row>
    <row r="956" customFormat="false" ht="18" hidden="false" customHeight="true" outlineLevel="0" collapsed="false">
      <c r="A956" s="9" t="s">
        <v>26</v>
      </c>
      <c r="B956" s="9" t="n">
        <v>22</v>
      </c>
      <c r="C956" s="11" t="n">
        <v>46003</v>
      </c>
      <c r="D956" s="9" t="s">
        <v>102</v>
      </c>
      <c r="E956" s="12" t="n">
        <v>7</v>
      </c>
      <c r="F956" s="9" t="s">
        <v>28</v>
      </c>
      <c r="G956" s="13" t="n">
        <v>200</v>
      </c>
      <c r="H956" s="9" t="s">
        <v>41</v>
      </c>
      <c r="I956" s="13" t="n">
        <v>8</v>
      </c>
      <c r="J956" s="1" t="str">
        <f aca="false">IF(A956="","", "SAMP-"&amp;A956&amp;"-L"&amp;TEXT(B956,"00")&amp;"-"&amp;TEXT(C956,"yyyymmdd")&amp;"-"&amp;D956&amp;"-H"&amp;TEXT(E956,"00")&amp;"-"&amp;H956)</f>
        <v>SAMP-KG01-L22-20251212-ORD-2025-00213-H07-Chip</v>
      </c>
      <c r="K956" s="1" t="str">
        <f aca="false">IF(A956="","",IF(AND(G956&gt;=0,I956&gt;=0,I956&lt;=G956),"OK","CHECK"))</f>
        <v>OK</v>
      </c>
      <c r="L956" s="1" t="str">
        <f aca="false">IF(A956="","",IF(AND(E956&gt;=0,E956&lt;=23),"OK","CHECK"))</f>
        <v>OK</v>
      </c>
      <c r="M956" s="1" t="str">
        <f aca="false">IF(A956="","",IF(AND(K956="OK",L956="OK"),"OK","CHECK"))</f>
        <v>OK</v>
      </c>
    </row>
    <row r="957" customFormat="false" ht="18" hidden="false" customHeight="true" outlineLevel="0" collapsed="false">
      <c r="A957" s="9" t="s">
        <v>26</v>
      </c>
      <c r="B957" s="9" t="n">
        <v>22</v>
      </c>
      <c r="C957" s="11" t="n">
        <v>46003</v>
      </c>
      <c r="D957" s="9" t="s">
        <v>102</v>
      </c>
      <c r="E957" s="12" t="n">
        <v>9</v>
      </c>
      <c r="F957" s="9" t="s">
        <v>28</v>
      </c>
      <c r="G957" s="13" t="n">
        <v>50</v>
      </c>
      <c r="H957" s="9" t="s">
        <v>34</v>
      </c>
      <c r="I957" s="13" t="n">
        <v>1</v>
      </c>
      <c r="J957" s="1" t="str">
        <f aca="false">IF(A957="","", "SAMP-"&amp;A957&amp;"-L"&amp;TEXT(B957,"00")&amp;"-"&amp;TEXT(C957,"yyyymmdd")&amp;"-"&amp;D957&amp;"-H"&amp;TEXT(E957,"00")&amp;"-"&amp;H957)</f>
        <v>SAMP-KG01-L22-20251212-ORD-2025-00213-H09-Thin Wall</v>
      </c>
      <c r="K957" s="1" t="str">
        <f aca="false">IF(A957="","",IF(AND(G957&gt;=0,I957&gt;=0,I957&lt;=G957),"OK","CHECK"))</f>
        <v>OK</v>
      </c>
      <c r="L957" s="1" t="str">
        <f aca="false">IF(A957="","",IF(AND(E957&gt;=0,E957&lt;=23),"OK","CHECK"))</f>
        <v>OK</v>
      </c>
      <c r="M957" s="1" t="str">
        <f aca="false">IF(A957="","",IF(AND(K957="OK",L957="OK"),"OK","CHECK"))</f>
        <v>OK</v>
      </c>
    </row>
    <row r="958" customFormat="false" ht="18" hidden="false" customHeight="true" outlineLevel="0" collapsed="false">
      <c r="A958" s="9" t="s">
        <v>26</v>
      </c>
      <c r="B958" s="9" t="n">
        <v>22</v>
      </c>
      <c r="C958" s="11" t="n">
        <v>46003</v>
      </c>
      <c r="D958" s="9" t="s">
        <v>102</v>
      </c>
      <c r="E958" s="12" t="n">
        <v>12</v>
      </c>
      <c r="F958" s="9" t="s">
        <v>28</v>
      </c>
      <c r="G958" s="13" t="n">
        <v>200</v>
      </c>
      <c r="H958" s="9" t="s">
        <v>38</v>
      </c>
      <c r="I958" s="13" t="n">
        <v>9</v>
      </c>
      <c r="J958" s="1" t="str">
        <f aca="false">IF(A958="","", "SAMP-"&amp;A958&amp;"-L"&amp;TEXT(B958,"00")&amp;"-"&amp;TEXT(C958,"yyyymmdd")&amp;"-"&amp;D958&amp;"-H"&amp;TEXT(E958,"00")&amp;"-"&amp;H958)</f>
        <v>SAMP-KG01-L22-20251212-ORD-2025-00213-H12-Crack</v>
      </c>
      <c r="K958" s="1" t="str">
        <f aca="false">IF(A958="","",IF(AND(G958&gt;=0,I958&gt;=0,I958&lt;=G958),"OK","CHECK"))</f>
        <v>OK</v>
      </c>
      <c r="L958" s="1" t="str">
        <f aca="false">IF(A958="","",IF(AND(E958&gt;=0,E958&lt;=23),"OK","CHECK"))</f>
        <v>OK</v>
      </c>
      <c r="M958" s="1" t="str">
        <f aca="false">IF(A958="","",IF(AND(K958="OK",L958="OK"),"OK","CHECK"))</f>
        <v>OK</v>
      </c>
    </row>
    <row r="959" customFormat="false" ht="18" hidden="false" customHeight="true" outlineLevel="0" collapsed="false">
      <c r="A959" s="9" t="s">
        <v>26</v>
      </c>
      <c r="B959" s="9" t="n">
        <v>22</v>
      </c>
      <c r="C959" s="11" t="n">
        <v>46003</v>
      </c>
      <c r="D959" s="9" t="s">
        <v>102</v>
      </c>
      <c r="E959" s="12" t="n">
        <v>20</v>
      </c>
      <c r="F959" s="9" t="s">
        <v>31</v>
      </c>
      <c r="G959" s="13" t="n">
        <v>200</v>
      </c>
      <c r="H959" s="9" t="s">
        <v>38</v>
      </c>
      <c r="I959" s="13" t="n">
        <v>1</v>
      </c>
      <c r="J959" s="1" t="str">
        <f aca="false">IF(A959="","", "SAMP-"&amp;A959&amp;"-L"&amp;TEXT(B959,"00")&amp;"-"&amp;TEXT(C959,"yyyymmdd")&amp;"-"&amp;D959&amp;"-H"&amp;TEXT(E959,"00")&amp;"-"&amp;H959)</f>
        <v>SAMP-KG01-L22-20251212-ORD-2025-00213-H20-Crack</v>
      </c>
      <c r="K959" s="1" t="str">
        <f aca="false">IF(A959="","",IF(AND(G959&gt;=0,I959&gt;=0,I959&lt;=G959),"OK","CHECK"))</f>
        <v>OK</v>
      </c>
      <c r="L959" s="1" t="str">
        <f aca="false">IF(A959="","",IF(AND(E959&gt;=0,E959&lt;=23),"OK","CHECK"))</f>
        <v>OK</v>
      </c>
      <c r="M959" s="1" t="str">
        <f aca="false">IF(A959="","",IF(AND(K959="OK",L959="OK"),"OK","CHECK"))</f>
        <v>OK</v>
      </c>
    </row>
    <row r="960" customFormat="false" ht="18" hidden="false" customHeight="true" outlineLevel="0" collapsed="false">
      <c r="A960" s="9" t="s">
        <v>26</v>
      </c>
      <c r="B960" s="9" t="n">
        <v>22</v>
      </c>
      <c r="C960" s="11" t="n">
        <v>46003</v>
      </c>
      <c r="D960" s="9" t="s">
        <v>102</v>
      </c>
      <c r="E960" s="12" t="n">
        <v>16</v>
      </c>
      <c r="F960" s="9" t="s">
        <v>31</v>
      </c>
      <c r="G960" s="13" t="n">
        <v>150</v>
      </c>
      <c r="H960" s="9" t="s">
        <v>38</v>
      </c>
      <c r="I960" s="13" t="n">
        <v>5</v>
      </c>
      <c r="J960" s="1" t="str">
        <f aca="false">IF(A960="","", "SAMP-"&amp;A960&amp;"-L"&amp;TEXT(B960,"00")&amp;"-"&amp;TEXT(C960,"yyyymmdd")&amp;"-"&amp;D960&amp;"-H"&amp;TEXT(E960,"00")&amp;"-"&amp;H960)</f>
        <v>SAMP-KG01-L22-20251212-ORD-2025-00213-H16-Crack</v>
      </c>
      <c r="K960" s="1" t="str">
        <f aca="false">IF(A960="","",IF(AND(G960&gt;=0,I960&gt;=0,I960&lt;=G960),"OK","CHECK"))</f>
        <v>OK</v>
      </c>
      <c r="L960" s="1" t="str">
        <f aca="false">IF(A960="","",IF(AND(E960&gt;=0,E960&lt;=23),"OK","CHECK"))</f>
        <v>OK</v>
      </c>
      <c r="M960" s="1" t="str">
        <f aca="false">IF(A960="","",IF(AND(K960="OK",L960="OK"),"OK","CHECK"))</f>
        <v>OK</v>
      </c>
    </row>
    <row r="961" customFormat="false" ht="18" hidden="false" customHeight="true" outlineLevel="0" collapsed="false">
      <c r="A961" s="9" t="s">
        <v>26</v>
      </c>
      <c r="B961" s="9" t="n">
        <v>22</v>
      </c>
      <c r="C961" s="11" t="n">
        <v>46004</v>
      </c>
      <c r="D961" s="9" t="s">
        <v>102</v>
      </c>
      <c r="E961" s="12" t="n">
        <v>7</v>
      </c>
      <c r="F961" s="9" t="s">
        <v>28</v>
      </c>
      <c r="G961" s="13" t="n">
        <v>200</v>
      </c>
      <c r="H961" s="9" t="s">
        <v>36</v>
      </c>
      <c r="I961" s="13" t="n">
        <v>3</v>
      </c>
      <c r="J961" s="1" t="str">
        <f aca="false">IF(A961="","", "SAMP-"&amp;A961&amp;"-L"&amp;TEXT(B961,"00")&amp;"-"&amp;TEXT(C961,"yyyymmdd")&amp;"-"&amp;D961&amp;"-H"&amp;TEXT(E961,"00")&amp;"-"&amp;H961)</f>
        <v>SAMP-KG01-L22-20251213-ORD-2025-00213-H07-Blister</v>
      </c>
      <c r="K961" s="1" t="str">
        <f aca="false">IF(A961="","",IF(AND(G961&gt;=0,I961&gt;=0,I961&lt;=G961),"OK","CHECK"))</f>
        <v>OK</v>
      </c>
      <c r="L961" s="1" t="str">
        <f aca="false">IF(A961="","",IF(AND(E961&gt;=0,E961&lt;=23),"OK","CHECK"))</f>
        <v>OK</v>
      </c>
      <c r="M961" s="1" t="str">
        <f aca="false">IF(A961="","",IF(AND(K961="OK",L961="OK"),"OK","CHECK"))</f>
        <v>OK</v>
      </c>
    </row>
    <row r="962" customFormat="false" ht="18" hidden="false" customHeight="true" outlineLevel="0" collapsed="false">
      <c r="A962" s="9" t="s">
        <v>26</v>
      </c>
      <c r="B962" s="9" t="n">
        <v>22</v>
      </c>
      <c r="C962" s="11" t="n">
        <v>46004</v>
      </c>
      <c r="D962" s="9" t="s">
        <v>102</v>
      </c>
      <c r="E962" s="12" t="n">
        <v>12</v>
      </c>
      <c r="F962" s="9" t="s">
        <v>28</v>
      </c>
      <c r="G962" s="13" t="n">
        <v>150</v>
      </c>
      <c r="H962" s="9" t="s">
        <v>35</v>
      </c>
      <c r="I962" s="13" t="n">
        <v>2</v>
      </c>
      <c r="J962" s="1" t="str">
        <f aca="false">IF(A962="","", "SAMP-"&amp;A962&amp;"-L"&amp;TEXT(B962,"00")&amp;"-"&amp;TEXT(C962,"yyyymmdd")&amp;"-"&amp;D962&amp;"-H"&amp;TEXT(E962,"00")&amp;"-"&amp;H962)</f>
        <v>SAMP-KG01-L22-20251213-ORD-2025-00213-H12-Stone</v>
      </c>
      <c r="K962" s="1" t="str">
        <f aca="false">IF(A962="","",IF(AND(G962&gt;=0,I962&gt;=0,I962&lt;=G962),"OK","CHECK"))</f>
        <v>OK</v>
      </c>
      <c r="L962" s="1" t="str">
        <f aca="false">IF(A962="","",IF(AND(E962&gt;=0,E962&lt;=23),"OK","CHECK"))</f>
        <v>OK</v>
      </c>
      <c r="M962" s="1" t="str">
        <f aca="false">IF(A962="","",IF(AND(K962="OK",L962="OK"),"OK","CHECK"))</f>
        <v>OK</v>
      </c>
    </row>
    <row r="963" customFormat="false" ht="18" hidden="false" customHeight="true" outlineLevel="0" collapsed="false">
      <c r="A963" s="9" t="s">
        <v>26</v>
      </c>
      <c r="B963" s="9" t="n">
        <v>22</v>
      </c>
      <c r="C963" s="11" t="n">
        <v>46004</v>
      </c>
      <c r="D963" s="9" t="s">
        <v>102</v>
      </c>
      <c r="E963" s="12" t="n">
        <v>9</v>
      </c>
      <c r="F963" s="9" t="s">
        <v>28</v>
      </c>
      <c r="G963" s="13" t="n">
        <v>50</v>
      </c>
      <c r="H963" s="9" t="s">
        <v>34</v>
      </c>
      <c r="I963" s="13" t="n">
        <v>1</v>
      </c>
      <c r="J963" s="1" t="str">
        <f aca="false">IF(A963="","", "SAMP-"&amp;A963&amp;"-L"&amp;TEXT(B963,"00")&amp;"-"&amp;TEXT(C963,"yyyymmdd")&amp;"-"&amp;D963&amp;"-H"&amp;TEXT(E963,"00")&amp;"-"&amp;H963)</f>
        <v>SAMP-KG01-L22-20251213-ORD-2025-00213-H09-Thin Wall</v>
      </c>
      <c r="K963" s="1" t="str">
        <f aca="false">IF(A963="","",IF(AND(G963&gt;=0,I963&gt;=0,I963&lt;=G963),"OK","CHECK"))</f>
        <v>OK</v>
      </c>
      <c r="L963" s="1" t="str">
        <f aca="false">IF(A963="","",IF(AND(E963&gt;=0,E963&lt;=23),"OK","CHECK"))</f>
        <v>OK</v>
      </c>
      <c r="M963" s="1" t="str">
        <f aca="false">IF(A963="","",IF(AND(K963="OK",L963="OK"),"OK","CHECK"))</f>
        <v>OK</v>
      </c>
    </row>
    <row r="964" customFormat="false" ht="18" hidden="false" customHeight="true" outlineLevel="0" collapsed="false">
      <c r="A964" s="9" t="s">
        <v>26</v>
      </c>
      <c r="B964" s="9" t="n">
        <v>22</v>
      </c>
      <c r="C964" s="11" t="n">
        <v>46004</v>
      </c>
      <c r="D964" s="9" t="s">
        <v>102</v>
      </c>
      <c r="E964" s="12" t="n">
        <v>23</v>
      </c>
      <c r="F964" s="9" t="s">
        <v>31</v>
      </c>
      <c r="G964" s="13" t="n">
        <v>200</v>
      </c>
      <c r="H964" s="9" t="s">
        <v>33</v>
      </c>
      <c r="I964" s="13" t="n">
        <v>4</v>
      </c>
      <c r="J964" s="1" t="str">
        <f aca="false">IF(A964="","", "SAMP-"&amp;A964&amp;"-L"&amp;TEXT(B964,"00")&amp;"-"&amp;TEXT(C964,"yyyymmdd")&amp;"-"&amp;D964&amp;"-H"&amp;TEXT(E964,"00")&amp;"-"&amp;H964)</f>
        <v>SAMP-KG01-L22-20251213-ORD-2025-00213-H23-Distortion</v>
      </c>
      <c r="K964" s="1" t="str">
        <f aca="false">IF(A964="","",IF(AND(G964&gt;=0,I964&gt;=0,I964&lt;=G964),"OK","CHECK"))</f>
        <v>OK</v>
      </c>
      <c r="L964" s="1" t="str">
        <f aca="false">IF(A964="","",IF(AND(E964&gt;=0,E964&lt;=23),"OK","CHECK"))</f>
        <v>OK</v>
      </c>
      <c r="M964" s="1" t="str">
        <f aca="false">IF(A964="","",IF(AND(K964="OK",L964="OK"),"OK","CHECK"))</f>
        <v>OK</v>
      </c>
    </row>
    <row r="965" customFormat="false" ht="18" hidden="false" customHeight="true" outlineLevel="0" collapsed="false">
      <c r="A965" s="9" t="s">
        <v>26</v>
      </c>
      <c r="B965" s="9" t="n">
        <v>22</v>
      </c>
      <c r="C965" s="11" t="n">
        <v>46004</v>
      </c>
      <c r="D965" s="9" t="s">
        <v>102</v>
      </c>
      <c r="E965" s="12" t="n">
        <v>20</v>
      </c>
      <c r="F965" s="9" t="s">
        <v>31</v>
      </c>
      <c r="G965" s="13" t="n">
        <v>100</v>
      </c>
      <c r="H965" s="9" t="s">
        <v>38</v>
      </c>
      <c r="I965" s="13" t="n">
        <v>2</v>
      </c>
      <c r="J965" s="1" t="str">
        <f aca="false">IF(A965="","", "SAMP-"&amp;A965&amp;"-L"&amp;TEXT(B965,"00")&amp;"-"&amp;TEXT(C965,"yyyymmdd")&amp;"-"&amp;D965&amp;"-H"&amp;TEXT(E965,"00")&amp;"-"&amp;H965)</f>
        <v>SAMP-KG01-L22-20251213-ORD-2025-00213-H20-Crack</v>
      </c>
      <c r="K965" s="1" t="str">
        <f aca="false">IF(A965="","",IF(AND(G965&gt;=0,I965&gt;=0,I965&lt;=G965),"OK","CHECK"))</f>
        <v>OK</v>
      </c>
      <c r="L965" s="1" t="str">
        <f aca="false">IF(A965="","",IF(AND(E965&gt;=0,E965&lt;=23),"OK","CHECK"))</f>
        <v>OK</v>
      </c>
      <c r="M965" s="1" t="str">
        <f aca="false">IF(A965="","",IF(AND(K965="OK",L965="OK"),"OK","CHECK"))</f>
        <v>OK</v>
      </c>
    </row>
    <row r="966" customFormat="false" ht="18" hidden="false" customHeight="true" outlineLevel="0" collapsed="false">
      <c r="A966" s="9" t="s">
        <v>26</v>
      </c>
      <c r="B966" s="9" t="n">
        <v>22</v>
      </c>
      <c r="C966" s="11" t="n">
        <v>46004</v>
      </c>
      <c r="D966" s="9" t="s">
        <v>102</v>
      </c>
      <c r="E966" s="12" t="n">
        <v>16</v>
      </c>
      <c r="F966" s="9" t="s">
        <v>31</v>
      </c>
      <c r="G966" s="13" t="n">
        <v>200</v>
      </c>
      <c r="H966" s="9" t="s">
        <v>37</v>
      </c>
      <c r="I966" s="13" t="n">
        <v>4</v>
      </c>
      <c r="J966" s="1" t="str">
        <f aca="false">IF(A966="","", "SAMP-"&amp;A966&amp;"-L"&amp;TEXT(B966,"00")&amp;"-"&amp;TEXT(C966,"yyyymmdd")&amp;"-"&amp;D966&amp;"-H"&amp;TEXT(E966,"00")&amp;"-"&amp;H966)</f>
        <v>SAMP-KG01-L22-20251213-ORD-2025-00213-H16-Bird Swing</v>
      </c>
      <c r="K966" s="1" t="str">
        <f aca="false">IF(A966="","",IF(AND(G966&gt;=0,I966&gt;=0,I966&lt;=G966),"OK","CHECK"))</f>
        <v>OK</v>
      </c>
      <c r="L966" s="1" t="str">
        <f aca="false">IF(A966="","",IF(AND(E966&gt;=0,E966&lt;=23),"OK","CHECK"))</f>
        <v>OK</v>
      </c>
      <c r="M966" s="1" t="str">
        <f aca="false">IF(A966="","",IF(AND(K966="OK",L966="OK"),"OK","CHECK"))</f>
        <v>OK</v>
      </c>
    </row>
    <row r="967" customFormat="false" ht="18" hidden="false" customHeight="true" outlineLevel="0" collapsed="false">
      <c r="A967" s="9" t="s">
        <v>26</v>
      </c>
      <c r="B967" s="9" t="n">
        <v>22</v>
      </c>
      <c r="C967" s="11" t="n">
        <v>46005</v>
      </c>
      <c r="D967" s="9" t="s">
        <v>102</v>
      </c>
      <c r="E967" s="12" t="n">
        <v>12</v>
      </c>
      <c r="F967" s="9" t="s">
        <v>28</v>
      </c>
      <c r="G967" s="13" t="n">
        <v>100</v>
      </c>
      <c r="H967" s="9" t="s">
        <v>33</v>
      </c>
      <c r="I967" s="13" t="n">
        <v>3</v>
      </c>
      <c r="J967" s="1" t="str">
        <f aca="false">IF(A967="","", "SAMP-"&amp;A967&amp;"-L"&amp;TEXT(B967,"00")&amp;"-"&amp;TEXT(C967,"yyyymmdd")&amp;"-"&amp;D967&amp;"-H"&amp;TEXT(E967,"00")&amp;"-"&amp;H967)</f>
        <v>SAMP-KG01-L22-20251214-ORD-2025-00213-H12-Distortion</v>
      </c>
      <c r="K967" s="1" t="str">
        <f aca="false">IF(A967="","",IF(AND(G967&gt;=0,I967&gt;=0,I967&lt;=G967),"OK","CHECK"))</f>
        <v>OK</v>
      </c>
      <c r="L967" s="1" t="str">
        <f aca="false">IF(A967="","",IF(AND(E967&gt;=0,E967&lt;=23),"OK","CHECK"))</f>
        <v>OK</v>
      </c>
      <c r="M967" s="1" t="str">
        <f aca="false">IF(A967="","",IF(AND(K967="OK",L967="OK"),"OK","CHECK"))</f>
        <v>OK</v>
      </c>
    </row>
    <row r="968" customFormat="false" ht="18" hidden="false" customHeight="true" outlineLevel="0" collapsed="false">
      <c r="A968" s="9" t="s">
        <v>26</v>
      </c>
      <c r="B968" s="9" t="n">
        <v>22</v>
      </c>
      <c r="C968" s="11" t="n">
        <v>46005</v>
      </c>
      <c r="D968" s="9" t="s">
        <v>102</v>
      </c>
      <c r="E968" s="12" t="n">
        <v>9</v>
      </c>
      <c r="F968" s="9" t="s">
        <v>28</v>
      </c>
      <c r="G968" s="13" t="n">
        <v>100</v>
      </c>
      <c r="H968" s="9" t="s">
        <v>34</v>
      </c>
      <c r="I968" s="13" t="n">
        <v>1</v>
      </c>
      <c r="J968" s="1" t="str">
        <f aca="false">IF(A968="","", "SAMP-"&amp;A968&amp;"-L"&amp;TEXT(B968,"00")&amp;"-"&amp;TEXT(C968,"yyyymmdd")&amp;"-"&amp;D968&amp;"-H"&amp;TEXT(E968,"00")&amp;"-"&amp;H968)</f>
        <v>SAMP-KG01-L22-20251214-ORD-2025-00213-H09-Thin Wall</v>
      </c>
      <c r="K968" s="1" t="str">
        <f aca="false">IF(A968="","",IF(AND(G968&gt;=0,I968&gt;=0,I968&lt;=G968),"OK","CHECK"))</f>
        <v>OK</v>
      </c>
      <c r="L968" s="1" t="str">
        <f aca="false">IF(A968="","",IF(AND(E968&gt;=0,E968&lt;=23),"OK","CHECK"))</f>
        <v>OK</v>
      </c>
      <c r="M968" s="1" t="str">
        <f aca="false">IF(A968="","",IF(AND(K968="OK",L968="OK"),"OK","CHECK"))</f>
        <v>OK</v>
      </c>
    </row>
    <row r="969" customFormat="false" ht="18" hidden="false" customHeight="true" outlineLevel="0" collapsed="false">
      <c r="A969" s="9" t="s">
        <v>26</v>
      </c>
      <c r="B969" s="9" t="n">
        <v>22</v>
      </c>
      <c r="C969" s="11" t="n">
        <v>46005</v>
      </c>
      <c r="D969" s="9" t="s">
        <v>102</v>
      </c>
      <c r="E969" s="12" t="n">
        <v>7</v>
      </c>
      <c r="F969" s="9" t="s">
        <v>28</v>
      </c>
      <c r="G969" s="13" t="n">
        <v>200</v>
      </c>
      <c r="H969" s="9" t="s">
        <v>36</v>
      </c>
      <c r="I969" s="13" t="n">
        <v>0</v>
      </c>
      <c r="J969" s="1" t="str">
        <f aca="false">IF(A969="","", "SAMP-"&amp;A969&amp;"-L"&amp;TEXT(B969,"00")&amp;"-"&amp;TEXT(C969,"yyyymmdd")&amp;"-"&amp;D969&amp;"-H"&amp;TEXT(E969,"00")&amp;"-"&amp;H969)</f>
        <v>SAMP-KG01-L22-20251214-ORD-2025-00213-H07-Blister</v>
      </c>
      <c r="K969" s="1" t="str">
        <f aca="false">IF(A969="","",IF(AND(G969&gt;=0,I969&gt;=0,I969&lt;=G969),"OK","CHECK"))</f>
        <v>OK</v>
      </c>
      <c r="L969" s="1" t="str">
        <f aca="false">IF(A969="","",IF(AND(E969&gt;=0,E969&lt;=23),"OK","CHECK"))</f>
        <v>OK</v>
      </c>
      <c r="M969" s="1" t="str">
        <f aca="false">IF(A969="","",IF(AND(K969="OK",L969="OK"),"OK","CHECK"))</f>
        <v>OK</v>
      </c>
    </row>
    <row r="970" customFormat="false" ht="18" hidden="false" customHeight="true" outlineLevel="0" collapsed="false">
      <c r="A970" s="9" t="s">
        <v>26</v>
      </c>
      <c r="B970" s="9" t="n">
        <v>22</v>
      </c>
      <c r="C970" s="11" t="n">
        <v>46005</v>
      </c>
      <c r="D970" s="9" t="s">
        <v>102</v>
      </c>
      <c r="E970" s="12" t="n">
        <v>16</v>
      </c>
      <c r="F970" s="9" t="s">
        <v>31</v>
      </c>
      <c r="G970" s="13" t="n">
        <v>200</v>
      </c>
      <c r="H970" s="9" t="s">
        <v>33</v>
      </c>
      <c r="I970" s="13" t="n">
        <v>3</v>
      </c>
      <c r="J970" s="1" t="str">
        <f aca="false">IF(A970="","", "SAMP-"&amp;A970&amp;"-L"&amp;TEXT(B970,"00")&amp;"-"&amp;TEXT(C970,"yyyymmdd")&amp;"-"&amp;D970&amp;"-H"&amp;TEXT(E970,"00")&amp;"-"&amp;H970)</f>
        <v>SAMP-KG01-L22-20251214-ORD-2025-00213-H16-Distortion</v>
      </c>
      <c r="K970" s="1" t="str">
        <f aca="false">IF(A970="","",IF(AND(G970&gt;=0,I970&gt;=0,I970&lt;=G970),"OK","CHECK"))</f>
        <v>OK</v>
      </c>
      <c r="L970" s="1" t="str">
        <f aca="false">IF(A970="","",IF(AND(E970&gt;=0,E970&lt;=23),"OK","CHECK"))</f>
        <v>OK</v>
      </c>
      <c r="M970" s="1" t="str">
        <f aca="false">IF(A970="","",IF(AND(K970="OK",L970="OK"),"OK","CHECK"))</f>
        <v>OK</v>
      </c>
    </row>
    <row r="971" customFormat="false" ht="18" hidden="false" customHeight="true" outlineLevel="0" collapsed="false">
      <c r="A971" s="9" t="s">
        <v>26</v>
      </c>
      <c r="B971" s="9" t="n">
        <v>22</v>
      </c>
      <c r="C971" s="11" t="n">
        <v>46005</v>
      </c>
      <c r="D971" s="9" t="s">
        <v>102</v>
      </c>
      <c r="E971" s="12" t="n">
        <v>23</v>
      </c>
      <c r="F971" s="9" t="s">
        <v>31</v>
      </c>
      <c r="G971" s="13" t="n">
        <v>200</v>
      </c>
      <c r="H971" s="9" t="s">
        <v>38</v>
      </c>
      <c r="I971" s="13" t="n">
        <v>5</v>
      </c>
      <c r="J971" s="1" t="str">
        <f aca="false">IF(A971="","", "SAMP-"&amp;A971&amp;"-L"&amp;TEXT(B971,"00")&amp;"-"&amp;TEXT(C971,"yyyymmdd")&amp;"-"&amp;D971&amp;"-H"&amp;TEXT(E971,"00")&amp;"-"&amp;H971)</f>
        <v>SAMP-KG01-L22-20251214-ORD-2025-00213-H23-Crack</v>
      </c>
      <c r="K971" s="1" t="str">
        <f aca="false">IF(A971="","",IF(AND(G971&gt;=0,I971&gt;=0,I971&lt;=G971),"OK","CHECK"))</f>
        <v>OK</v>
      </c>
      <c r="L971" s="1" t="str">
        <f aca="false">IF(A971="","",IF(AND(E971&gt;=0,E971&lt;=23),"OK","CHECK"))</f>
        <v>OK</v>
      </c>
      <c r="M971" s="1" t="str">
        <f aca="false">IF(A971="","",IF(AND(K971="OK",L971="OK"),"OK","CHECK"))</f>
        <v>OK</v>
      </c>
    </row>
    <row r="972" customFormat="false" ht="18" hidden="false" customHeight="true" outlineLevel="0" collapsed="false">
      <c r="A972" s="9" t="s">
        <v>26</v>
      </c>
      <c r="B972" s="9" t="n">
        <v>22</v>
      </c>
      <c r="C972" s="11" t="n">
        <v>46006</v>
      </c>
      <c r="D972" s="9" t="s">
        <v>102</v>
      </c>
      <c r="E972" s="12" t="n">
        <v>9</v>
      </c>
      <c r="F972" s="9" t="s">
        <v>28</v>
      </c>
      <c r="G972" s="13" t="n">
        <v>200</v>
      </c>
      <c r="H972" s="9" t="s">
        <v>37</v>
      </c>
      <c r="I972" s="13" t="n">
        <v>5</v>
      </c>
      <c r="J972" s="1" t="str">
        <f aca="false">IF(A972="","", "SAMP-"&amp;A972&amp;"-L"&amp;TEXT(B972,"00")&amp;"-"&amp;TEXT(C972,"yyyymmdd")&amp;"-"&amp;D972&amp;"-H"&amp;TEXT(E972,"00")&amp;"-"&amp;H972)</f>
        <v>SAMP-KG01-L22-20251215-ORD-2025-00213-H09-Bird Swing</v>
      </c>
      <c r="K972" s="1" t="str">
        <f aca="false">IF(A972="","",IF(AND(G972&gt;=0,I972&gt;=0,I972&lt;=G972),"OK","CHECK"))</f>
        <v>OK</v>
      </c>
      <c r="L972" s="1" t="str">
        <f aca="false">IF(A972="","",IF(AND(E972&gt;=0,E972&lt;=23),"OK","CHECK"))</f>
        <v>OK</v>
      </c>
      <c r="M972" s="1" t="str">
        <f aca="false">IF(A972="","",IF(AND(K972="OK",L972="OK"),"OK","CHECK"))</f>
        <v>OK</v>
      </c>
    </row>
    <row r="973" customFormat="false" ht="18" hidden="false" customHeight="true" outlineLevel="0" collapsed="false">
      <c r="A973" s="9" t="s">
        <v>26</v>
      </c>
      <c r="B973" s="9" t="n">
        <v>22</v>
      </c>
      <c r="C973" s="11" t="n">
        <v>46006</v>
      </c>
      <c r="D973" s="9" t="s">
        <v>102</v>
      </c>
      <c r="E973" s="12" t="n">
        <v>12</v>
      </c>
      <c r="F973" s="9" t="s">
        <v>28</v>
      </c>
      <c r="G973" s="13" t="n">
        <v>100</v>
      </c>
      <c r="H973" s="9" t="s">
        <v>29</v>
      </c>
      <c r="I973" s="13" t="n">
        <v>1</v>
      </c>
      <c r="J973" s="1" t="str">
        <f aca="false">IF(A973="","", "SAMP-"&amp;A973&amp;"-L"&amp;TEXT(B973,"00")&amp;"-"&amp;TEXT(C973,"yyyymmdd")&amp;"-"&amp;D973&amp;"-H"&amp;TEXT(E973,"00")&amp;"-"&amp;H973)</f>
        <v>SAMP-KG01-L22-20251215-ORD-2025-00213-H12-Choke Neck</v>
      </c>
      <c r="K973" s="1" t="str">
        <f aca="false">IF(A973="","",IF(AND(G973&gt;=0,I973&gt;=0,I973&lt;=G973),"OK","CHECK"))</f>
        <v>OK</v>
      </c>
      <c r="L973" s="1" t="str">
        <f aca="false">IF(A973="","",IF(AND(E973&gt;=0,E973&lt;=23),"OK","CHECK"))</f>
        <v>OK</v>
      </c>
      <c r="M973" s="1" t="str">
        <f aca="false">IF(A973="","",IF(AND(K973="OK",L973="OK"),"OK","CHECK"))</f>
        <v>OK</v>
      </c>
    </row>
    <row r="974" customFormat="false" ht="18" hidden="false" customHeight="true" outlineLevel="0" collapsed="false">
      <c r="A974" s="9" t="s">
        <v>26</v>
      </c>
      <c r="B974" s="9" t="n">
        <v>22</v>
      </c>
      <c r="C974" s="11" t="n">
        <v>46006</v>
      </c>
      <c r="D974" s="9" t="s">
        <v>102</v>
      </c>
      <c r="E974" s="12" t="n">
        <v>7</v>
      </c>
      <c r="F974" s="9" t="s">
        <v>28</v>
      </c>
      <c r="G974" s="13" t="n">
        <v>150</v>
      </c>
      <c r="H974" s="9" t="s">
        <v>37</v>
      </c>
      <c r="I974" s="13" t="n">
        <v>6</v>
      </c>
      <c r="J974" s="1" t="str">
        <f aca="false">IF(A974="","", "SAMP-"&amp;A974&amp;"-L"&amp;TEXT(B974,"00")&amp;"-"&amp;TEXT(C974,"yyyymmdd")&amp;"-"&amp;D974&amp;"-H"&amp;TEXT(E974,"00")&amp;"-"&amp;H974)</f>
        <v>SAMP-KG01-L22-20251215-ORD-2025-00213-H07-Bird Swing</v>
      </c>
      <c r="K974" s="1" t="str">
        <f aca="false">IF(A974="","",IF(AND(G974&gt;=0,I974&gt;=0,I974&lt;=G974),"OK","CHECK"))</f>
        <v>OK</v>
      </c>
      <c r="L974" s="1" t="str">
        <f aca="false">IF(A974="","",IF(AND(E974&gt;=0,E974&lt;=23),"OK","CHECK"))</f>
        <v>OK</v>
      </c>
      <c r="M974" s="1" t="str">
        <f aca="false">IF(A974="","",IF(AND(K974="OK",L974="OK"),"OK","CHECK"))</f>
        <v>OK</v>
      </c>
    </row>
    <row r="975" customFormat="false" ht="18" hidden="false" customHeight="true" outlineLevel="0" collapsed="false">
      <c r="A975" s="9" t="s">
        <v>26</v>
      </c>
      <c r="B975" s="9" t="n">
        <v>22</v>
      </c>
      <c r="C975" s="11" t="n">
        <v>46006</v>
      </c>
      <c r="D975" s="9" t="s">
        <v>102</v>
      </c>
      <c r="E975" s="12" t="n">
        <v>23</v>
      </c>
      <c r="F975" s="9" t="s">
        <v>31</v>
      </c>
      <c r="G975" s="13" t="n">
        <v>200</v>
      </c>
      <c r="H975" s="9" t="s">
        <v>38</v>
      </c>
      <c r="I975" s="13" t="n">
        <v>3</v>
      </c>
      <c r="J975" s="1" t="str">
        <f aca="false">IF(A975="","", "SAMP-"&amp;A975&amp;"-L"&amp;TEXT(B975,"00")&amp;"-"&amp;TEXT(C975,"yyyymmdd")&amp;"-"&amp;D975&amp;"-H"&amp;TEXT(E975,"00")&amp;"-"&amp;H975)</f>
        <v>SAMP-KG01-L22-20251215-ORD-2025-00213-H23-Crack</v>
      </c>
      <c r="K975" s="1" t="str">
        <f aca="false">IF(A975="","",IF(AND(G975&gt;=0,I975&gt;=0,I975&lt;=G975),"OK","CHECK"))</f>
        <v>OK</v>
      </c>
      <c r="L975" s="1" t="str">
        <f aca="false">IF(A975="","",IF(AND(E975&gt;=0,E975&lt;=23),"OK","CHECK"))</f>
        <v>OK</v>
      </c>
      <c r="M975" s="1" t="str">
        <f aca="false">IF(A975="","",IF(AND(K975="OK",L975="OK"),"OK","CHECK"))</f>
        <v>OK</v>
      </c>
    </row>
    <row r="976" customFormat="false" ht="18" hidden="false" customHeight="true" outlineLevel="0" collapsed="false">
      <c r="A976" s="9" t="s">
        <v>26</v>
      </c>
      <c r="B976" s="9" t="n">
        <v>22</v>
      </c>
      <c r="C976" s="11" t="n">
        <v>46006</v>
      </c>
      <c r="D976" s="9" t="s">
        <v>102</v>
      </c>
      <c r="E976" s="12" t="n">
        <v>20</v>
      </c>
      <c r="F976" s="9" t="s">
        <v>31</v>
      </c>
      <c r="G976" s="13" t="n">
        <v>200</v>
      </c>
      <c r="H976" s="9" t="s">
        <v>35</v>
      </c>
      <c r="I976" s="13" t="n">
        <v>5</v>
      </c>
      <c r="J976" s="1" t="str">
        <f aca="false">IF(A976="","", "SAMP-"&amp;A976&amp;"-L"&amp;TEXT(B976,"00")&amp;"-"&amp;TEXT(C976,"yyyymmdd")&amp;"-"&amp;D976&amp;"-H"&amp;TEXT(E976,"00")&amp;"-"&amp;H976)</f>
        <v>SAMP-KG01-L22-20251215-ORD-2025-00213-H20-Stone</v>
      </c>
      <c r="K976" s="1" t="str">
        <f aca="false">IF(A976="","",IF(AND(G976&gt;=0,I976&gt;=0,I976&lt;=G976),"OK","CHECK"))</f>
        <v>OK</v>
      </c>
      <c r="L976" s="1" t="str">
        <f aca="false">IF(A976="","",IF(AND(E976&gt;=0,E976&lt;=23),"OK","CHECK"))</f>
        <v>OK</v>
      </c>
      <c r="M976" s="1" t="str">
        <f aca="false">IF(A976="","",IF(AND(K976="OK",L976="OK"),"OK","CHECK"))</f>
        <v>OK</v>
      </c>
    </row>
    <row r="977" customFormat="false" ht="18" hidden="false" customHeight="true" outlineLevel="0" collapsed="false">
      <c r="A977" s="9" t="s">
        <v>26</v>
      </c>
      <c r="B977" s="9" t="n">
        <v>22</v>
      </c>
      <c r="C977" s="11" t="n">
        <v>46006</v>
      </c>
      <c r="D977" s="9" t="s">
        <v>102</v>
      </c>
      <c r="E977" s="12" t="n">
        <v>16</v>
      </c>
      <c r="F977" s="9" t="s">
        <v>31</v>
      </c>
      <c r="G977" s="13" t="n">
        <v>200</v>
      </c>
      <c r="H977" s="9" t="s">
        <v>37</v>
      </c>
      <c r="I977" s="13" t="n">
        <v>1</v>
      </c>
      <c r="J977" s="1" t="str">
        <f aca="false">IF(A977="","", "SAMP-"&amp;A977&amp;"-L"&amp;TEXT(B977,"00")&amp;"-"&amp;TEXT(C977,"yyyymmdd")&amp;"-"&amp;D977&amp;"-H"&amp;TEXT(E977,"00")&amp;"-"&amp;H977)</f>
        <v>SAMP-KG01-L22-20251215-ORD-2025-00213-H16-Bird Swing</v>
      </c>
      <c r="K977" s="1" t="str">
        <f aca="false">IF(A977="","",IF(AND(G977&gt;=0,I977&gt;=0,I977&lt;=G977),"OK","CHECK"))</f>
        <v>OK</v>
      </c>
      <c r="L977" s="1" t="str">
        <f aca="false">IF(A977="","",IF(AND(E977&gt;=0,E977&lt;=23),"OK","CHECK"))</f>
        <v>OK</v>
      </c>
      <c r="M977" s="1" t="str">
        <f aca="false">IF(A977="","",IF(AND(K977="OK",L977="OK"),"OK","CHECK"))</f>
        <v>OK</v>
      </c>
    </row>
    <row r="978" customFormat="false" ht="18" hidden="false" customHeight="true" outlineLevel="0" collapsed="false">
      <c r="A978" s="9" t="s">
        <v>26</v>
      </c>
      <c r="B978" s="9" t="n">
        <v>22</v>
      </c>
      <c r="C978" s="11" t="n">
        <v>46007</v>
      </c>
      <c r="D978" s="9" t="s">
        <v>103</v>
      </c>
      <c r="E978" s="12" t="n">
        <v>7</v>
      </c>
      <c r="F978" s="9" t="s">
        <v>28</v>
      </c>
      <c r="G978" s="13" t="n">
        <v>50</v>
      </c>
      <c r="H978" s="9" t="s">
        <v>41</v>
      </c>
      <c r="I978" s="13" t="n">
        <v>0</v>
      </c>
      <c r="J978" s="1" t="str">
        <f aca="false">IF(A978="","", "SAMP-"&amp;A978&amp;"-L"&amp;TEXT(B978,"00")&amp;"-"&amp;TEXT(C978,"yyyymmdd")&amp;"-"&amp;D978&amp;"-H"&amp;TEXT(E978,"00")&amp;"-"&amp;H978)</f>
        <v>SAMP-KG01-L22-20251216-ORD-2025-00214-H07-Chip</v>
      </c>
      <c r="K978" s="1" t="str">
        <f aca="false">IF(A978="","",IF(AND(G978&gt;=0,I978&gt;=0,I978&lt;=G978),"OK","CHECK"))</f>
        <v>OK</v>
      </c>
      <c r="L978" s="1" t="str">
        <f aca="false">IF(A978="","",IF(AND(E978&gt;=0,E978&lt;=23),"OK","CHECK"))</f>
        <v>OK</v>
      </c>
      <c r="M978" s="1" t="str">
        <f aca="false">IF(A978="","",IF(AND(K978="OK",L978="OK"),"OK","CHECK"))</f>
        <v>OK</v>
      </c>
    </row>
    <row r="979" customFormat="false" ht="18" hidden="false" customHeight="true" outlineLevel="0" collapsed="false">
      <c r="A979" s="9" t="s">
        <v>26</v>
      </c>
      <c r="B979" s="9" t="n">
        <v>22</v>
      </c>
      <c r="C979" s="11" t="n">
        <v>46007</v>
      </c>
      <c r="D979" s="9" t="s">
        <v>103</v>
      </c>
      <c r="E979" s="12" t="n">
        <v>12</v>
      </c>
      <c r="F979" s="9" t="s">
        <v>28</v>
      </c>
      <c r="G979" s="13" t="n">
        <v>100</v>
      </c>
      <c r="H979" s="9" t="s">
        <v>38</v>
      </c>
      <c r="I979" s="13" t="n">
        <v>1</v>
      </c>
      <c r="J979" s="1" t="str">
        <f aca="false">IF(A979="","", "SAMP-"&amp;A979&amp;"-L"&amp;TEXT(B979,"00")&amp;"-"&amp;TEXT(C979,"yyyymmdd")&amp;"-"&amp;D979&amp;"-H"&amp;TEXT(E979,"00")&amp;"-"&amp;H979)</f>
        <v>SAMP-KG01-L22-20251216-ORD-2025-00214-H12-Crack</v>
      </c>
      <c r="K979" s="1" t="str">
        <f aca="false">IF(A979="","",IF(AND(G979&gt;=0,I979&gt;=0,I979&lt;=G979),"OK","CHECK"))</f>
        <v>OK</v>
      </c>
      <c r="L979" s="1" t="str">
        <f aca="false">IF(A979="","",IF(AND(E979&gt;=0,E979&lt;=23),"OK","CHECK"))</f>
        <v>OK</v>
      </c>
      <c r="M979" s="1" t="str">
        <f aca="false">IF(A979="","",IF(AND(K979="OK",L979="OK"),"OK","CHECK"))</f>
        <v>OK</v>
      </c>
    </row>
    <row r="980" customFormat="false" ht="18" hidden="false" customHeight="true" outlineLevel="0" collapsed="false">
      <c r="A980" s="9" t="s">
        <v>26</v>
      </c>
      <c r="B980" s="9" t="n">
        <v>22</v>
      </c>
      <c r="C980" s="11" t="n">
        <v>46007</v>
      </c>
      <c r="D980" s="9" t="s">
        <v>103</v>
      </c>
      <c r="E980" s="12" t="n">
        <v>9</v>
      </c>
      <c r="F980" s="9" t="s">
        <v>28</v>
      </c>
      <c r="G980" s="13" t="n">
        <v>100</v>
      </c>
      <c r="H980" s="9" t="s">
        <v>36</v>
      </c>
      <c r="I980" s="13" t="n">
        <v>2</v>
      </c>
      <c r="J980" s="1" t="str">
        <f aca="false">IF(A980="","", "SAMP-"&amp;A980&amp;"-L"&amp;TEXT(B980,"00")&amp;"-"&amp;TEXT(C980,"yyyymmdd")&amp;"-"&amp;D980&amp;"-H"&amp;TEXT(E980,"00")&amp;"-"&amp;H980)</f>
        <v>SAMP-KG01-L22-20251216-ORD-2025-00214-H09-Blister</v>
      </c>
      <c r="K980" s="1" t="str">
        <f aca="false">IF(A980="","",IF(AND(G980&gt;=0,I980&gt;=0,I980&lt;=G980),"OK","CHECK"))</f>
        <v>OK</v>
      </c>
      <c r="L980" s="1" t="str">
        <f aca="false">IF(A980="","",IF(AND(E980&gt;=0,E980&lt;=23),"OK","CHECK"))</f>
        <v>OK</v>
      </c>
      <c r="M980" s="1" t="str">
        <f aca="false">IF(A980="","",IF(AND(K980="OK",L980="OK"),"OK","CHECK"))</f>
        <v>OK</v>
      </c>
    </row>
    <row r="981" customFormat="false" ht="18" hidden="false" customHeight="true" outlineLevel="0" collapsed="false">
      <c r="A981" s="9" t="s">
        <v>26</v>
      </c>
      <c r="B981" s="9" t="n">
        <v>22</v>
      </c>
      <c r="C981" s="11" t="n">
        <v>46007</v>
      </c>
      <c r="D981" s="9" t="s">
        <v>103</v>
      </c>
      <c r="E981" s="12" t="n">
        <v>16</v>
      </c>
      <c r="F981" s="9" t="s">
        <v>31</v>
      </c>
      <c r="G981" s="13" t="n">
        <v>150</v>
      </c>
      <c r="H981" s="9" t="s">
        <v>29</v>
      </c>
      <c r="I981" s="13" t="n">
        <v>0</v>
      </c>
      <c r="J981" s="1" t="str">
        <f aca="false">IF(A981="","", "SAMP-"&amp;A981&amp;"-L"&amp;TEXT(B981,"00")&amp;"-"&amp;TEXT(C981,"yyyymmdd")&amp;"-"&amp;D981&amp;"-H"&amp;TEXT(E981,"00")&amp;"-"&amp;H981)</f>
        <v>SAMP-KG01-L22-20251216-ORD-2025-00214-H16-Choke Neck</v>
      </c>
      <c r="K981" s="1" t="str">
        <f aca="false">IF(A981="","",IF(AND(G981&gt;=0,I981&gt;=0,I981&lt;=G981),"OK","CHECK"))</f>
        <v>OK</v>
      </c>
      <c r="L981" s="1" t="str">
        <f aca="false">IF(A981="","",IF(AND(E981&gt;=0,E981&lt;=23),"OK","CHECK"))</f>
        <v>OK</v>
      </c>
      <c r="M981" s="1" t="str">
        <f aca="false">IF(A981="","",IF(AND(K981="OK",L981="OK"),"OK","CHECK"))</f>
        <v>OK</v>
      </c>
    </row>
    <row r="982" customFormat="false" ht="18" hidden="false" customHeight="true" outlineLevel="0" collapsed="false">
      <c r="A982" s="9" t="s">
        <v>26</v>
      </c>
      <c r="B982" s="9" t="n">
        <v>22</v>
      </c>
      <c r="C982" s="11" t="n">
        <v>46007</v>
      </c>
      <c r="D982" s="9" t="s">
        <v>103</v>
      </c>
      <c r="E982" s="12" t="n">
        <v>23</v>
      </c>
      <c r="F982" s="9" t="s">
        <v>31</v>
      </c>
      <c r="G982" s="13" t="n">
        <v>50</v>
      </c>
      <c r="H982" s="9" t="s">
        <v>33</v>
      </c>
      <c r="I982" s="13" t="n">
        <v>1</v>
      </c>
      <c r="J982" s="1" t="str">
        <f aca="false">IF(A982="","", "SAMP-"&amp;A982&amp;"-L"&amp;TEXT(B982,"00")&amp;"-"&amp;TEXT(C982,"yyyymmdd")&amp;"-"&amp;D982&amp;"-H"&amp;TEXT(E982,"00")&amp;"-"&amp;H982)</f>
        <v>SAMP-KG01-L22-20251216-ORD-2025-00214-H23-Distortion</v>
      </c>
      <c r="K982" s="1" t="str">
        <f aca="false">IF(A982="","",IF(AND(G982&gt;=0,I982&gt;=0,I982&lt;=G982),"OK","CHECK"))</f>
        <v>OK</v>
      </c>
      <c r="L982" s="1" t="str">
        <f aca="false">IF(A982="","",IF(AND(E982&gt;=0,E982&lt;=23),"OK","CHECK"))</f>
        <v>OK</v>
      </c>
      <c r="M982" s="1" t="str">
        <f aca="false">IF(A982="","",IF(AND(K982="OK",L982="OK"),"OK","CHECK"))</f>
        <v>OK</v>
      </c>
    </row>
    <row r="983" customFormat="false" ht="18" hidden="false" customHeight="true" outlineLevel="0" collapsed="false">
      <c r="A983" s="9" t="s">
        <v>26</v>
      </c>
      <c r="B983" s="9" t="n">
        <v>22</v>
      </c>
      <c r="C983" s="11" t="n">
        <v>46007</v>
      </c>
      <c r="D983" s="9" t="s">
        <v>103</v>
      </c>
      <c r="E983" s="12" t="n">
        <v>20</v>
      </c>
      <c r="F983" s="9" t="s">
        <v>31</v>
      </c>
      <c r="G983" s="13" t="n">
        <v>100</v>
      </c>
      <c r="H983" s="9" t="s">
        <v>33</v>
      </c>
      <c r="I983" s="13" t="n">
        <v>3</v>
      </c>
      <c r="J983" s="1" t="str">
        <f aca="false">IF(A983="","", "SAMP-"&amp;A983&amp;"-L"&amp;TEXT(B983,"00")&amp;"-"&amp;TEXT(C983,"yyyymmdd")&amp;"-"&amp;D983&amp;"-H"&amp;TEXT(E983,"00")&amp;"-"&amp;H983)</f>
        <v>SAMP-KG01-L22-20251216-ORD-2025-00214-H20-Distortion</v>
      </c>
      <c r="K983" s="1" t="str">
        <f aca="false">IF(A983="","",IF(AND(G983&gt;=0,I983&gt;=0,I983&lt;=G983),"OK","CHECK"))</f>
        <v>OK</v>
      </c>
      <c r="L983" s="1" t="str">
        <f aca="false">IF(A983="","",IF(AND(E983&gt;=0,E983&lt;=23),"OK","CHECK"))</f>
        <v>OK</v>
      </c>
      <c r="M983" s="1" t="str">
        <f aca="false">IF(A983="","",IF(AND(K983="OK",L983="OK"),"OK","CHECK"))</f>
        <v>OK</v>
      </c>
    </row>
    <row r="984" customFormat="false" ht="18" hidden="false" customHeight="true" outlineLevel="0" collapsed="false">
      <c r="A984" s="9" t="s">
        <v>26</v>
      </c>
      <c r="B984" s="9" t="n">
        <v>22</v>
      </c>
      <c r="C984" s="11" t="n">
        <v>46008</v>
      </c>
      <c r="D984" s="9" t="s">
        <v>103</v>
      </c>
      <c r="E984" s="12" t="n">
        <v>7</v>
      </c>
      <c r="F984" s="9" t="s">
        <v>28</v>
      </c>
      <c r="G984" s="13" t="n">
        <v>100</v>
      </c>
      <c r="H984" s="9" t="s">
        <v>37</v>
      </c>
      <c r="I984" s="13" t="n">
        <v>3</v>
      </c>
      <c r="J984" s="1" t="str">
        <f aca="false">IF(A984="","", "SAMP-"&amp;A984&amp;"-L"&amp;TEXT(B984,"00")&amp;"-"&amp;TEXT(C984,"yyyymmdd")&amp;"-"&amp;D984&amp;"-H"&amp;TEXT(E984,"00")&amp;"-"&amp;H984)</f>
        <v>SAMP-KG01-L22-20251217-ORD-2025-00214-H07-Bird Swing</v>
      </c>
      <c r="K984" s="1" t="str">
        <f aca="false">IF(A984="","",IF(AND(G984&gt;=0,I984&gt;=0,I984&lt;=G984),"OK","CHECK"))</f>
        <v>OK</v>
      </c>
      <c r="L984" s="1" t="str">
        <f aca="false">IF(A984="","",IF(AND(E984&gt;=0,E984&lt;=23),"OK","CHECK"))</f>
        <v>OK</v>
      </c>
      <c r="M984" s="1" t="str">
        <f aca="false">IF(A984="","",IF(AND(K984="OK",L984="OK"),"OK","CHECK"))</f>
        <v>OK</v>
      </c>
    </row>
    <row r="985" customFormat="false" ht="18" hidden="false" customHeight="true" outlineLevel="0" collapsed="false">
      <c r="A985" s="9" t="s">
        <v>26</v>
      </c>
      <c r="B985" s="9" t="n">
        <v>22</v>
      </c>
      <c r="C985" s="11" t="n">
        <v>46008</v>
      </c>
      <c r="D985" s="9" t="s">
        <v>103</v>
      </c>
      <c r="E985" s="12" t="n">
        <v>12</v>
      </c>
      <c r="F985" s="9" t="s">
        <v>28</v>
      </c>
      <c r="G985" s="13" t="n">
        <v>150</v>
      </c>
      <c r="H985" s="9" t="s">
        <v>37</v>
      </c>
      <c r="I985" s="13" t="n">
        <v>4</v>
      </c>
      <c r="J985" s="1" t="str">
        <f aca="false">IF(A985="","", "SAMP-"&amp;A985&amp;"-L"&amp;TEXT(B985,"00")&amp;"-"&amp;TEXT(C985,"yyyymmdd")&amp;"-"&amp;D985&amp;"-H"&amp;TEXT(E985,"00")&amp;"-"&amp;H985)</f>
        <v>SAMP-KG01-L22-20251217-ORD-2025-00214-H12-Bird Swing</v>
      </c>
      <c r="K985" s="1" t="str">
        <f aca="false">IF(A985="","",IF(AND(G985&gt;=0,I985&gt;=0,I985&lt;=G985),"OK","CHECK"))</f>
        <v>OK</v>
      </c>
      <c r="L985" s="1" t="str">
        <f aca="false">IF(A985="","",IF(AND(E985&gt;=0,E985&lt;=23),"OK","CHECK"))</f>
        <v>OK</v>
      </c>
      <c r="M985" s="1" t="str">
        <f aca="false">IF(A985="","",IF(AND(K985="OK",L985="OK"),"OK","CHECK"))</f>
        <v>OK</v>
      </c>
    </row>
    <row r="986" customFormat="false" ht="18" hidden="false" customHeight="true" outlineLevel="0" collapsed="false">
      <c r="A986" s="9" t="s">
        <v>26</v>
      </c>
      <c r="B986" s="9" t="n">
        <v>22</v>
      </c>
      <c r="C986" s="11" t="n">
        <v>46008</v>
      </c>
      <c r="D986" s="9" t="s">
        <v>103</v>
      </c>
      <c r="E986" s="12" t="n">
        <v>9</v>
      </c>
      <c r="F986" s="9" t="s">
        <v>28</v>
      </c>
      <c r="G986" s="13" t="n">
        <v>150</v>
      </c>
      <c r="H986" s="9" t="s">
        <v>38</v>
      </c>
      <c r="I986" s="13" t="n">
        <v>7</v>
      </c>
      <c r="J986" s="1" t="str">
        <f aca="false">IF(A986="","", "SAMP-"&amp;A986&amp;"-L"&amp;TEXT(B986,"00")&amp;"-"&amp;TEXT(C986,"yyyymmdd")&amp;"-"&amp;D986&amp;"-H"&amp;TEXT(E986,"00")&amp;"-"&amp;H986)</f>
        <v>SAMP-KG01-L22-20251217-ORD-2025-00214-H09-Crack</v>
      </c>
      <c r="K986" s="1" t="str">
        <f aca="false">IF(A986="","",IF(AND(G986&gt;=0,I986&gt;=0,I986&lt;=G986),"OK","CHECK"))</f>
        <v>OK</v>
      </c>
      <c r="L986" s="1" t="str">
        <f aca="false">IF(A986="","",IF(AND(E986&gt;=0,E986&lt;=23),"OK","CHECK"))</f>
        <v>OK</v>
      </c>
      <c r="M986" s="1" t="str">
        <f aca="false">IF(A986="","",IF(AND(K986="OK",L986="OK"),"OK","CHECK"))</f>
        <v>OK</v>
      </c>
    </row>
    <row r="987" customFormat="false" ht="18" hidden="false" customHeight="true" outlineLevel="0" collapsed="false">
      <c r="A987" s="9" t="s">
        <v>26</v>
      </c>
      <c r="B987" s="9" t="n">
        <v>22</v>
      </c>
      <c r="C987" s="11" t="n">
        <v>46008</v>
      </c>
      <c r="D987" s="9" t="s">
        <v>103</v>
      </c>
      <c r="E987" s="12" t="n">
        <v>20</v>
      </c>
      <c r="F987" s="9" t="s">
        <v>31</v>
      </c>
      <c r="G987" s="13" t="n">
        <v>50</v>
      </c>
      <c r="H987" s="9" t="s">
        <v>33</v>
      </c>
      <c r="I987" s="13" t="n">
        <v>2</v>
      </c>
      <c r="J987" s="1" t="str">
        <f aca="false">IF(A987="","", "SAMP-"&amp;A987&amp;"-L"&amp;TEXT(B987,"00")&amp;"-"&amp;TEXT(C987,"yyyymmdd")&amp;"-"&amp;D987&amp;"-H"&amp;TEXT(E987,"00")&amp;"-"&amp;H987)</f>
        <v>SAMP-KG01-L22-20251217-ORD-2025-00214-H20-Distortion</v>
      </c>
      <c r="K987" s="1" t="str">
        <f aca="false">IF(A987="","",IF(AND(G987&gt;=0,I987&gt;=0,I987&lt;=G987),"OK","CHECK"))</f>
        <v>OK</v>
      </c>
      <c r="L987" s="1" t="str">
        <f aca="false">IF(A987="","",IF(AND(E987&gt;=0,E987&lt;=23),"OK","CHECK"))</f>
        <v>OK</v>
      </c>
      <c r="M987" s="1" t="str">
        <f aca="false">IF(A987="","",IF(AND(K987="OK",L987="OK"),"OK","CHECK"))</f>
        <v>OK</v>
      </c>
    </row>
    <row r="988" customFormat="false" ht="18" hidden="false" customHeight="true" outlineLevel="0" collapsed="false">
      <c r="A988" s="9" t="s">
        <v>26</v>
      </c>
      <c r="B988" s="9" t="n">
        <v>22</v>
      </c>
      <c r="C988" s="11" t="n">
        <v>46008</v>
      </c>
      <c r="D988" s="9" t="s">
        <v>103</v>
      </c>
      <c r="E988" s="12" t="n">
        <v>23</v>
      </c>
      <c r="F988" s="9" t="s">
        <v>31</v>
      </c>
      <c r="G988" s="13" t="n">
        <v>200</v>
      </c>
      <c r="H988" s="9" t="s">
        <v>29</v>
      </c>
      <c r="I988" s="13" t="n">
        <v>6</v>
      </c>
      <c r="J988" s="1" t="str">
        <f aca="false">IF(A988="","", "SAMP-"&amp;A988&amp;"-L"&amp;TEXT(B988,"00")&amp;"-"&amp;TEXT(C988,"yyyymmdd")&amp;"-"&amp;D988&amp;"-H"&amp;TEXT(E988,"00")&amp;"-"&amp;H988)</f>
        <v>SAMP-KG01-L22-20251217-ORD-2025-00214-H23-Choke Neck</v>
      </c>
      <c r="K988" s="1" t="str">
        <f aca="false">IF(A988="","",IF(AND(G988&gt;=0,I988&gt;=0,I988&lt;=G988),"OK","CHECK"))</f>
        <v>OK</v>
      </c>
      <c r="L988" s="1" t="str">
        <f aca="false">IF(A988="","",IF(AND(E988&gt;=0,E988&lt;=23),"OK","CHECK"))</f>
        <v>OK</v>
      </c>
      <c r="M988" s="1" t="str">
        <f aca="false">IF(A988="","",IF(AND(K988="OK",L988="OK"),"OK","CHECK"))</f>
        <v>OK</v>
      </c>
    </row>
    <row r="989" customFormat="false" ht="18" hidden="false" customHeight="true" outlineLevel="0" collapsed="false">
      <c r="A989" s="9" t="s">
        <v>26</v>
      </c>
      <c r="B989" s="9" t="n">
        <v>22</v>
      </c>
      <c r="C989" s="11" t="n">
        <v>46008</v>
      </c>
      <c r="D989" s="9" t="s">
        <v>103</v>
      </c>
      <c r="E989" s="12" t="n">
        <v>16</v>
      </c>
      <c r="F989" s="9" t="s">
        <v>31</v>
      </c>
      <c r="G989" s="13" t="n">
        <v>150</v>
      </c>
      <c r="H989" s="9" t="s">
        <v>33</v>
      </c>
      <c r="I989" s="13" t="n">
        <v>0</v>
      </c>
      <c r="J989" s="1" t="str">
        <f aca="false">IF(A989="","", "SAMP-"&amp;A989&amp;"-L"&amp;TEXT(B989,"00")&amp;"-"&amp;TEXT(C989,"yyyymmdd")&amp;"-"&amp;D989&amp;"-H"&amp;TEXT(E989,"00")&amp;"-"&amp;H989)</f>
        <v>SAMP-KG01-L22-20251217-ORD-2025-00214-H16-Distortion</v>
      </c>
      <c r="K989" s="1" t="str">
        <f aca="false">IF(A989="","",IF(AND(G989&gt;=0,I989&gt;=0,I989&lt;=G989),"OK","CHECK"))</f>
        <v>OK</v>
      </c>
      <c r="L989" s="1" t="str">
        <f aca="false">IF(A989="","",IF(AND(E989&gt;=0,E989&lt;=23),"OK","CHECK"))</f>
        <v>OK</v>
      </c>
      <c r="M989" s="1" t="str">
        <f aca="false">IF(A989="","",IF(AND(K989="OK",L989="OK"),"OK","CHECK"))</f>
        <v>OK</v>
      </c>
    </row>
    <row r="990" customFormat="false" ht="18" hidden="false" customHeight="true" outlineLevel="0" collapsed="false">
      <c r="A990" s="9" t="s">
        <v>26</v>
      </c>
      <c r="B990" s="9" t="n">
        <v>22</v>
      </c>
      <c r="C990" s="11" t="n">
        <v>46009</v>
      </c>
      <c r="D990" s="9" t="s">
        <v>103</v>
      </c>
      <c r="E990" s="12" t="n">
        <v>7</v>
      </c>
      <c r="F990" s="9" t="s">
        <v>28</v>
      </c>
      <c r="G990" s="13" t="n">
        <v>150</v>
      </c>
      <c r="H990" s="9" t="s">
        <v>33</v>
      </c>
      <c r="I990" s="13" t="n">
        <v>2</v>
      </c>
      <c r="J990" s="1" t="str">
        <f aca="false">IF(A990="","", "SAMP-"&amp;A990&amp;"-L"&amp;TEXT(B990,"00")&amp;"-"&amp;TEXT(C990,"yyyymmdd")&amp;"-"&amp;D990&amp;"-H"&amp;TEXT(E990,"00")&amp;"-"&amp;H990)</f>
        <v>SAMP-KG01-L22-20251218-ORD-2025-00214-H07-Distortion</v>
      </c>
      <c r="K990" s="1" t="str">
        <f aca="false">IF(A990="","",IF(AND(G990&gt;=0,I990&gt;=0,I990&lt;=G990),"OK","CHECK"))</f>
        <v>OK</v>
      </c>
      <c r="L990" s="1" t="str">
        <f aca="false">IF(A990="","",IF(AND(E990&gt;=0,E990&lt;=23),"OK","CHECK"))</f>
        <v>OK</v>
      </c>
      <c r="M990" s="1" t="str">
        <f aca="false">IF(A990="","",IF(AND(K990="OK",L990="OK"),"OK","CHECK"))</f>
        <v>OK</v>
      </c>
    </row>
    <row r="991" customFormat="false" ht="18" hidden="false" customHeight="true" outlineLevel="0" collapsed="false">
      <c r="A991" s="9" t="s">
        <v>26</v>
      </c>
      <c r="B991" s="9" t="n">
        <v>22</v>
      </c>
      <c r="C991" s="11" t="n">
        <v>46009</v>
      </c>
      <c r="D991" s="9" t="s">
        <v>103</v>
      </c>
      <c r="E991" s="12" t="n">
        <v>12</v>
      </c>
      <c r="F991" s="9" t="s">
        <v>28</v>
      </c>
      <c r="G991" s="13" t="n">
        <v>200</v>
      </c>
      <c r="H991" s="9" t="s">
        <v>36</v>
      </c>
      <c r="I991" s="13" t="n">
        <v>5</v>
      </c>
      <c r="J991" s="1" t="str">
        <f aca="false">IF(A991="","", "SAMP-"&amp;A991&amp;"-L"&amp;TEXT(B991,"00")&amp;"-"&amp;TEXT(C991,"yyyymmdd")&amp;"-"&amp;D991&amp;"-H"&amp;TEXT(E991,"00")&amp;"-"&amp;H991)</f>
        <v>SAMP-KG01-L22-20251218-ORD-2025-00214-H12-Blister</v>
      </c>
      <c r="K991" s="1" t="str">
        <f aca="false">IF(A991="","",IF(AND(G991&gt;=0,I991&gt;=0,I991&lt;=G991),"OK","CHECK"))</f>
        <v>OK</v>
      </c>
      <c r="L991" s="1" t="str">
        <f aca="false">IF(A991="","",IF(AND(E991&gt;=0,E991&lt;=23),"OK","CHECK"))</f>
        <v>OK</v>
      </c>
      <c r="M991" s="1" t="str">
        <f aca="false">IF(A991="","",IF(AND(K991="OK",L991="OK"),"OK","CHECK"))</f>
        <v>OK</v>
      </c>
    </row>
    <row r="992" customFormat="false" ht="18" hidden="false" customHeight="true" outlineLevel="0" collapsed="false">
      <c r="A992" s="9" t="s">
        <v>26</v>
      </c>
      <c r="B992" s="9" t="n">
        <v>22</v>
      </c>
      <c r="C992" s="11" t="n">
        <v>46009</v>
      </c>
      <c r="D992" s="9" t="s">
        <v>103</v>
      </c>
      <c r="E992" s="12" t="n">
        <v>9</v>
      </c>
      <c r="F992" s="9" t="s">
        <v>28</v>
      </c>
      <c r="G992" s="13" t="n">
        <v>50</v>
      </c>
      <c r="H992" s="9" t="s">
        <v>29</v>
      </c>
      <c r="I992" s="13" t="n">
        <v>2</v>
      </c>
      <c r="J992" s="1" t="str">
        <f aca="false">IF(A992="","", "SAMP-"&amp;A992&amp;"-L"&amp;TEXT(B992,"00")&amp;"-"&amp;TEXT(C992,"yyyymmdd")&amp;"-"&amp;D992&amp;"-H"&amp;TEXT(E992,"00")&amp;"-"&amp;H992)</f>
        <v>SAMP-KG01-L22-20251218-ORD-2025-00214-H09-Choke Neck</v>
      </c>
      <c r="K992" s="1" t="str">
        <f aca="false">IF(A992="","",IF(AND(G992&gt;=0,I992&gt;=0,I992&lt;=G992),"OK","CHECK"))</f>
        <v>OK</v>
      </c>
      <c r="L992" s="1" t="str">
        <f aca="false">IF(A992="","",IF(AND(E992&gt;=0,E992&lt;=23),"OK","CHECK"))</f>
        <v>OK</v>
      </c>
      <c r="M992" s="1" t="str">
        <f aca="false">IF(A992="","",IF(AND(K992="OK",L992="OK"),"OK","CHECK"))</f>
        <v>OK</v>
      </c>
    </row>
    <row r="993" customFormat="false" ht="18" hidden="false" customHeight="true" outlineLevel="0" collapsed="false">
      <c r="A993" s="9" t="s">
        <v>26</v>
      </c>
      <c r="B993" s="9" t="n">
        <v>22</v>
      </c>
      <c r="C993" s="11" t="n">
        <v>46009</v>
      </c>
      <c r="D993" s="9" t="s">
        <v>103</v>
      </c>
      <c r="E993" s="12" t="n">
        <v>16</v>
      </c>
      <c r="F993" s="9" t="s">
        <v>31</v>
      </c>
      <c r="G993" s="13" t="n">
        <v>150</v>
      </c>
      <c r="H993" s="9" t="s">
        <v>41</v>
      </c>
      <c r="I993" s="13" t="n">
        <v>3</v>
      </c>
      <c r="J993" s="1" t="str">
        <f aca="false">IF(A993="","", "SAMP-"&amp;A993&amp;"-L"&amp;TEXT(B993,"00")&amp;"-"&amp;TEXT(C993,"yyyymmdd")&amp;"-"&amp;D993&amp;"-H"&amp;TEXT(E993,"00")&amp;"-"&amp;H993)</f>
        <v>SAMP-KG01-L22-20251218-ORD-2025-00214-H16-Chip</v>
      </c>
      <c r="K993" s="1" t="str">
        <f aca="false">IF(A993="","",IF(AND(G993&gt;=0,I993&gt;=0,I993&lt;=G993),"OK","CHECK"))</f>
        <v>OK</v>
      </c>
      <c r="L993" s="1" t="str">
        <f aca="false">IF(A993="","",IF(AND(E993&gt;=0,E993&lt;=23),"OK","CHECK"))</f>
        <v>OK</v>
      </c>
      <c r="M993" s="1" t="str">
        <f aca="false">IF(A993="","",IF(AND(K993="OK",L993="OK"),"OK","CHECK"))</f>
        <v>OK</v>
      </c>
    </row>
    <row r="994" customFormat="false" ht="18" hidden="false" customHeight="true" outlineLevel="0" collapsed="false">
      <c r="A994" s="9" t="s">
        <v>26</v>
      </c>
      <c r="B994" s="9" t="n">
        <v>22</v>
      </c>
      <c r="C994" s="11" t="n">
        <v>46009</v>
      </c>
      <c r="D994" s="9" t="s">
        <v>103</v>
      </c>
      <c r="E994" s="12" t="n">
        <v>23</v>
      </c>
      <c r="F994" s="9" t="s">
        <v>31</v>
      </c>
      <c r="G994" s="13" t="n">
        <v>100</v>
      </c>
      <c r="H994" s="9" t="s">
        <v>38</v>
      </c>
      <c r="I994" s="13" t="n">
        <v>1</v>
      </c>
      <c r="J994" s="1" t="str">
        <f aca="false">IF(A994="","", "SAMP-"&amp;A994&amp;"-L"&amp;TEXT(B994,"00")&amp;"-"&amp;TEXT(C994,"yyyymmdd")&amp;"-"&amp;D994&amp;"-H"&amp;TEXT(E994,"00")&amp;"-"&amp;H994)</f>
        <v>SAMP-KG01-L22-20251218-ORD-2025-00214-H23-Crack</v>
      </c>
      <c r="K994" s="1" t="str">
        <f aca="false">IF(A994="","",IF(AND(G994&gt;=0,I994&gt;=0,I994&lt;=G994),"OK","CHECK"))</f>
        <v>OK</v>
      </c>
      <c r="L994" s="1" t="str">
        <f aca="false">IF(A994="","",IF(AND(E994&gt;=0,E994&lt;=23),"OK","CHECK"))</f>
        <v>OK</v>
      </c>
      <c r="M994" s="1" t="str">
        <f aca="false">IF(A994="","",IF(AND(K994="OK",L994="OK"),"OK","CHECK"))</f>
        <v>OK</v>
      </c>
    </row>
    <row r="995" customFormat="false" ht="18" hidden="false" customHeight="true" outlineLevel="0" collapsed="false">
      <c r="A995" s="9" t="s">
        <v>26</v>
      </c>
      <c r="B995" s="9" t="n">
        <v>22</v>
      </c>
      <c r="C995" s="11" t="n">
        <v>46009</v>
      </c>
      <c r="D995" s="9" t="s">
        <v>103</v>
      </c>
      <c r="E995" s="12" t="n">
        <v>20</v>
      </c>
      <c r="F995" s="9" t="s">
        <v>31</v>
      </c>
      <c r="G995" s="13" t="n">
        <v>200</v>
      </c>
      <c r="H995" s="9" t="s">
        <v>37</v>
      </c>
      <c r="I995" s="13" t="n">
        <v>5</v>
      </c>
      <c r="J995" s="1" t="str">
        <f aca="false">IF(A995="","", "SAMP-"&amp;A995&amp;"-L"&amp;TEXT(B995,"00")&amp;"-"&amp;TEXT(C995,"yyyymmdd")&amp;"-"&amp;D995&amp;"-H"&amp;TEXT(E995,"00")&amp;"-"&amp;H995)</f>
        <v>SAMP-KG01-L22-20251218-ORD-2025-00214-H20-Bird Swing</v>
      </c>
      <c r="K995" s="1" t="str">
        <f aca="false">IF(A995="","",IF(AND(G995&gt;=0,I995&gt;=0,I995&lt;=G995),"OK","CHECK"))</f>
        <v>OK</v>
      </c>
      <c r="L995" s="1" t="str">
        <f aca="false">IF(A995="","",IF(AND(E995&gt;=0,E995&lt;=23),"OK","CHECK"))</f>
        <v>OK</v>
      </c>
      <c r="M995" s="1" t="str">
        <f aca="false">IF(A995="","",IF(AND(K995="OK",L995="OK"),"OK","CHECK"))</f>
        <v>OK</v>
      </c>
    </row>
    <row r="996" customFormat="false" ht="18" hidden="false" customHeight="true" outlineLevel="0" collapsed="false">
      <c r="A996" s="9" t="s">
        <v>26</v>
      </c>
      <c r="B996" s="9" t="n">
        <v>22</v>
      </c>
      <c r="C996" s="11" t="n">
        <v>46010</v>
      </c>
      <c r="D996" s="9" t="s">
        <v>103</v>
      </c>
      <c r="E996" s="12" t="n">
        <v>7</v>
      </c>
      <c r="F996" s="9" t="s">
        <v>28</v>
      </c>
      <c r="G996" s="13" t="n">
        <v>100</v>
      </c>
      <c r="H996" s="9" t="s">
        <v>34</v>
      </c>
      <c r="I996" s="13" t="n">
        <v>2</v>
      </c>
      <c r="J996" s="1" t="str">
        <f aca="false">IF(A996="","", "SAMP-"&amp;A996&amp;"-L"&amp;TEXT(B996,"00")&amp;"-"&amp;TEXT(C996,"yyyymmdd")&amp;"-"&amp;D996&amp;"-H"&amp;TEXT(E996,"00")&amp;"-"&amp;H996)</f>
        <v>SAMP-KG01-L22-20251219-ORD-2025-00214-H07-Thin Wall</v>
      </c>
      <c r="K996" s="1" t="str">
        <f aca="false">IF(A996="","",IF(AND(G996&gt;=0,I996&gt;=0,I996&lt;=G996),"OK","CHECK"))</f>
        <v>OK</v>
      </c>
      <c r="L996" s="1" t="str">
        <f aca="false">IF(A996="","",IF(AND(E996&gt;=0,E996&lt;=23),"OK","CHECK"))</f>
        <v>OK</v>
      </c>
      <c r="M996" s="1" t="str">
        <f aca="false">IF(A996="","",IF(AND(K996="OK",L996="OK"),"OK","CHECK"))</f>
        <v>OK</v>
      </c>
    </row>
    <row r="997" customFormat="false" ht="18" hidden="false" customHeight="true" outlineLevel="0" collapsed="false">
      <c r="A997" s="9" t="s">
        <v>26</v>
      </c>
      <c r="B997" s="9" t="n">
        <v>22</v>
      </c>
      <c r="C997" s="11" t="n">
        <v>46010</v>
      </c>
      <c r="D997" s="9" t="s">
        <v>103</v>
      </c>
      <c r="E997" s="12" t="n">
        <v>12</v>
      </c>
      <c r="F997" s="9" t="s">
        <v>28</v>
      </c>
      <c r="G997" s="13" t="n">
        <v>200</v>
      </c>
      <c r="H997" s="9" t="s">
        <v>35</v>
      </c>
      <c r="I997" s="13" t="n">
        <v>5</v>
      </c>
      <c r="J997" s="1" t="str">
        <f aca="false">IF(A997="","", "SAMP-"&amp;A997&amp;"-L"&amp;TEXT(B997,"00")&amp;"-"&amp;TEXT(C997,"yyyymmdd")&amp;"-"&amp;D997&amp;"-H"&amp;TEXT(E997,"00")&amp;"-"&amp;H997)</f>
        <v>SAMP-KG01-L22-20251219-ORD-2025-00214-H12-Stone</v>
      </c>
      <c r="K997" s="1" t="str">
        <f aca="false">IF(A997="","",IF(AND(G997&gt;=0,I997&gt;=0,I997&lt;=G997),"OK","CHECK"))</f>
        <v>OK</v>
      </c>
      <c r="L997" s="1" t="str">
        <f aca="false">IF(A997="","",IF(AND(E997&gt;=0,E997&lt;=23),"OK","CHECK"))</f>
        <v>OK</v>
      </c>
      <c r="M997" s="1" t="str">
        <f aca="false">IF(A997="","",IF(AND(K997="OK",L997="OK"),"OK","CHECK"))</f>
        <v>OK</v>
      </c>
    </row>
    <row r="998" customFormat="false" ht="18" hidden="false" customHeight="true" outlineLevel="0" collapsed="false">
      <c r="A998" s="9" t="s">
        <v>26</v>
      </c>
      <c r="B998" s="9" t="n">
        <v>22</v>
      </c>
      <c r="C998" s="11" t="n">
        <v>46010</v>
      </c>
      <c r="D998" s="9" t="s">
        <v>103</v>
      </c>
      <c r="E998" s="12" t="n">
        <v>9</v>
      </c>
      <c r="F998" s="9" t="s">
        <v>28</v>
      </c>
      <c r="G998" s="13" t="n">
        <v>150</v>
      </c>
      <c r="H998" s="9" t="s">
        <v>35</v>
      </c>
      <c r="I998" s="13" t="n">
        <v>6</v>
      </c>
      <c r="J998" s="1" t="str">
        <f aca="false">IF(A998="","", "SAMP-"&amp;A998&amp;"-L"&amp;TEXT(B998,"00")&amp;"-"&amp;TEXT(C998,"yyyymmdd")&amp;"-"&amp;D998&amp;"-H"&amp;TEXT(E998,"00")&amp;"-"&amp;H998)</f>
        <v>SAMP-KG01-L22-20251219-ORD-2025-00214-H09-Stone</v>
      </c>
      <c r="K998" s="1" t="str">
        <f aca="false">IF(A998="","",IF(AND(G998&gt;=0,I998&gt;=0,I998&lt;=G998),"OK","CHECK"))</f>
        <v>OK</v>
      </c>
      <c r="L998" s="1" t="str">
        <f aca="false">IF(A998="","",IF(AND(E998&gt;=0,E998&lt;=23),"OK","CHECK"))</f>
        <v>OK</v>
      </c>
      <c r="M998" s="1" t="str">
        <f aca="false">IF(A998="","",IF(AND(K998="OK",L998="OK"),"OK","CHECK"))</f>
        <v>OK</v>
      </c>
    </row>
    <row r="999" customFormat="false" ht="18" hidden="false" customHeight="true" outlineLevel="0" collapsed="false">
      <c r="A999" s="9" t="s">
        <v>26</v>
      </c>
      <c r="B999" s="9" t="n">
        <v>22</v>
      </c>
      <c r="C999" s="11" t="n">
        <v>46010</v>
      </c>
      <c r="D999" s="9" t="s">
        <v>103</v>
      </c>
      <c r="E999" s="12" t="n">
        <v>16</v>
      </c>
      <c r="F999" s="9" t="s">
        <v>31</v>
      </c>
      <c r="G999" s="13" t="n">
        <v>100</v>
      </c>
      <c r="H999" s="9" t="s">
        <v>34</v>
      </c>
      <c r="I999" s="13" t="n">
        <v>5</v>
      </c>
      <c r="J999" s="1" t="str">
        <f aca="false">IF(A999="","", "SAMP-"&amp;A999&amp;"-L"&amp;TEXT(B999,"00")&amp;"-"&amp;TEXT(C999,"yyyymmdd")&amp;"-"&amp;D999&amp;"-H"&amp;TEXT(E999,"00")&amp;"-"&amp;H999)</f>
        <v>SAMP-KG01-L22-20251219-ORD-2025-00214-H16-Thin Wall</v>
      </c>
      <c r="K999" s="1" t="str">
        <f aca="false">IF(A999="","",IF(AND(G999&gt;=0,I999&gt;=0,I999&lt;=G999),"OK","CHECK"))</f>
        <v>OK</v>
      </c>
      <c r="L999" s="1" t="str">
        <f aca="false">IF(A999="","",IF(AND(E999&gt;=0,E999&lt;=23),"OK","CHECK"))</f>
        <v>OK</v>
      </c>
      <c r="M999" s="1" t="str">
        <f aca="false">IF(A999="","",IF(AND(K999="OK",L999="OK"),"OK","CHECK"))</f>
        <v>OK</v>
      </c>
    </row>
    <row r="1000" customFormat="false" ht="18" hidden="false" customHeight="true" outlineLevel="0" collapsed="false">
      <c r="A1000" s="9" t="s">
        <v>26</v>
      </c>
      <c r="B1000" s="9" t="n">
        <v>22</v>
      </c>
      <c r="C1000" s="11" t="n">
        <v>46010</v>
      </c>
      <c r="D1000" s="9" t="s">
        <v>103</v>
      </c>
      <c r="E1000" s="12" t="n">
        <v>20</v>
      </c>
      <c r="F1000" s="9" t="s">
        <v>31</v>
      </c>
      <c r="G1000" s="13" t="n">
        <v>150</v>
      </c>
      <c r="H1000" s="9" t="s">
        <v>41</v>
      </c>
      <c r="I1000" s="13" t="n">
        <v>2</v>
      </c>
      <c r="J1000" s="1" t="str">
        <f aca="false">IF(A1000="","", "SAMP-"&amp;A1000&amp;"-L"&amp;TEXT(B1000,"00")&amp;"-"&amp;TEXT(C1000,"yyyymmdd")&amp;"-"&amp;D1000&amp;"-H"&amp;TEXT(E1000,"00")&amp;"-"&amp;H1000)</f>
        <v>SAMP-KG01-L22-20251219-ORD-2025-00214-H20-Chip</v>
      </c>
      <c r="K1000" s="1" t="str">
        <f aca="false">IF(A1000="","",IF(AND(G1000&gt;=0,I1000&gt;=0,I1000&lt;=G1000),"OK","CHECK"))</f>
        <v>OK</v>
      </c>
      <c r="L1000" s="1" t="str">
        <f aca="false">IF(A1000="","",IF(AND(E1000&gt;=0,E1000&lt;=23),"OK","CHECK"))</f>
        <v>OK</v>
      </c>
      <c r="M1000" s="1" t="str">
        <f aca="false">IF(A1000="","",IF(AND(K1000="OK",L1000="OK"),"OK","CHECK"))</f>
        <v>OK</v>
      </c>
    </row>
    <row r="1001" customFormat="false" ht="18" hidden="false" customHeight="true" outlineLevel="0" collapsed="false">
      <c r="A1001" s="9" t="s">
        <v>26</v>
      </c>
      <c r="B1001" s="9" t="n">
        <v>22</v>
      </c>
      <c r="C1001" s="11" t="n">
        <v>46010</v>
      </c>
      <c r="D1001" s="9" t="s">
        <v>103</v>
      </c>
      <c r="E1001" s="12" t="n">
        <v>23</v>
      </c>
      <c r="F1001" s="9" t="s">
        <v>31</v>
      </c>
      <c r="G1001" s="13" t="n">
        <v>200</v>
      </c>
      <c r="H1001" s="9" t="s">
        <v>41</v>
      </c>
      <c r="I1001" s="13" t="n">
        <v>3</v>
      </c>
      <c r="J1001" s="1" t="str">
        <f aca="false">IF(A1001="","", "SAMP-"&amp;A1001&amp;"-L"&amp;TEXT(B1001,"00")&amp;"-"&amp;TEXT(C1001,"yyyymmdd")&amp;"-"&amp;D1001&amp;"-H"&amp;TEXT(E1001,"00")&amp;"-"&amp;H1001)</f>
        <v>SAMP-KG01-L22-20251219-ORD-2025-00214-H23-Chip</v>
      </c>
      <c r="K1001" s="1" t="str">
        <f aca="false">IF(A1001="","",IF(AND(G1001&gt;=0,I1001&gt;=0,I1001&lt;=G1001),"OK","CHECK"))</f>
        <v>OK</v>
      </c>
      <c r="L1001" s="1" t="str">
        <f aca="false">IF(A1001="","",IF(AND(E1001&gt;=0,E1001&lt;=23),"OK","CHECK"))</f>
        <v>OK</v>
      </c>
      <c r="M1001" s="1" t="str">
        <f aca="false">IF(A1001="","",IF(AND(K1001="OK",L1001="OK"),"OK","CHECK"))</f>
        <v>OK</v>
      </c>
    </row>
    <row r="1002" customFormat="false" ht="18" hidden="false" customHeight="true" outlineLevel="0" collapsed="false">
      <c r="A1002" s="9" t="s">
        <v>26</v>
      </c>
      <c r="B1002" s="9" t="n">
        <v>22</v>
      </c>
      <c r="C1002" s="11" t="n">
        <v>46011</v>
      </c>
      <c r="D1002" s="9" t="s">
        <v>103</v>
      </c>
      <c r="E1002" s="12" t="n">
        <v>7</v>
      </c>
      <c r="F1002" s="9" t="s">
        <v>28</v>
      </c>
      <c r="G1002" s="13" t="n">
        <v>100</v>
      </c>
      <c r="H1002" s="9" t="s">
        <v>30</v>
      </c>
      <c r="I1002" s="13" t="n">
        <v>3</v>
      </c>
      <c r="J1002" s="1" t="str">
        <f aca="false">IF(A1002="","", "SAMP-"&amp;A1002&amp;"-L"&amp;TEXT(B1002,"00")&amp;"-"&amp;TEXT(C1002,"yyyymmdd")&amp;"-"&amp;D1002&amp;"-H"&amp;TEXT(E1002,"00")&amp;"-"&amp;H1002)</f>
        <v>SAMP-KG01-L22-20251220-ORD-2025-00214-H07-Overpress</v>
      </c>
      <c r="K1002" s="1" t="str">
        <f aca="false">IF(A1002="","",IF(AND(G1002&gt;=0,I1002&gt;=0,I1002&lt;=G1002),"OK","CHECK"))</f>
        <v>OK</v>
      </c>
      <c r="L1002" s="1" t="str">
        <f aca="false">IF(A1002="","",IF(AND(E1002&gt;=0,E1002&lt;=23),"OK","CHECK"))</f>
        <v>OK</v>
      </c>
      <c r="M1002" s="1" t="str">
        <f aca="false">IF(A1002="","",IF(AND(K1002="OK",L1002="OK"),"OK","CHECK"))</f>
        <v>OK</v>
      </c>
    </row>
    <row r="1003" customFormat="false" ht="18" hidden="false" customHeight="true" outlineLevel="0" collapsed="false">
      <c r="A1003" s="9" t="s">
        <v>26</v>
      </c>
      <c r="B1003" s="9" t="n">
        <v>22</v>
      </c>
      <c r="C1003" s="11" t="n">
        <v>46011</v>
      </c>
      <c r="D1003" s="9" t="s">
        <v>103</v>
      </c>
      <c r="E1003" s="12" t="n">
        <v>9</v>
      </c>
      <c r="F1003" s="9" t="s">
        <v>28</v>
      </c>
      <c r="G1003" s="13" t="n">
        <v>150</v>
      </c>
      <c r="H1003" s="9" t="s">
        <v>34</v>
      </c>
      <c r="I1003" s="13" t="n">
        <v>5</v>
      </c>
      <c r="J1003" s="1" t="str">
        <f aca="false">IF(A1003="","", "SAMP-"&amp;A1003&amp;"-L"&amp;TEXT(B1003,"00")&amp;"-"&amp;TEXT(C1003,"yyyymmdd")&amp;"-"&amp;D1003&amp;"-H"&amp;TEXT(E1003,"00")&amp;"-"&amp;H1003)</f>
        <v>SAMP-KG01-L22-20251220-ORD-2025-00214-H09-Thin Wall</v>
      </c>
      <c r="K1003" s="1" t="str">
        <f aca="false">IF(A1003="","",IF(AND(G1003&gt;=0,I1003&gt;=0,I1003&lt;=G1003),"OK","CHECK"))</f>
        <v>OK</v>
      </c>
      <c r="L1003" s="1" t="str">
        <f aca="false">IF(A1003="","",IF(AND(E1003&gt;=0,E1003&lt;=23),"OK","CHECK"))</f>
        <v>OK</v>
      </c>
      <c r="M1003" s="1" t="str">
        <f aca="false">IF(A1003="","",IF(AND(K1003="OK",L1003="OK"),"OK","CHECK"))</f>
        <v>OK</v>
      </c>
    </row>
    <row r="1004" customFormat="false" ht="18" hidden="false" customHeight="true" outlineLevel="0" collapsed="false">
      <c r="A1004" s="9" t="s">
        <v>26</v>
      </c>
      <c r="B1004" s="9" t="n">
        <v>22</v>
      </c>
      <c r="C1004" s="11" t="n">
        <v>46011</v>
      </c>
      <c r="D1004" s="9" t="s">
        <v>103</v>
      </c>
      <c r="E1004" s="12" t="n">
        <v>12</v>
      </c>
      <c r="F1004" s="9" t="s">
        <v>28</v>
      </c>
      <c r="G1004" s="13" t="n">
        <v>150</v>
      </c>
      <c r="H1004" s="9" t="s">
        <v>36</v>
      </c>
      <c r="I1004" s="13" t="n">
        <v>2</v>
      </c>
      <c r="J1004" s="1" t="str">
        <f aca="false">IF(A1004="","", "SAMP-"&amp;A1004&amp;"-L"&amp;TEXT(B1004,"00")&amp;"-"&amp;TEXT(C1004,"yyyymmdd")&amp;"-"&amp;D1004&amp;"-H"&amp;TEXT(E1004,"00")&amp;"-"&amp;H1004)</f>
        <v>SAMP-KG01-L22-20251220-ORD-2025-00214-H12-Blister</v>
      </c>
      <c r="K1004" s="1" t="str">
        <f aca="false">IF(A1004="","",IF(AND(G1004&gt;=0,I1004&gt;=0,I1004&lt;=G1004),"OK","CHECK"))</f>
        <v>OK</v>
      </c>
      <c r="L1004" s="1" t="str">
        <f aca="false">IF(A1004="","",IF(AND(E1004&gt;=0,E1004&lt;=23),"OK","CHECK"))</f>
        <v>OK</v>
      </c>
      <c r="M1004" s="1" t="str">
        <f aca="false">IF(A1004="","",IF(AND(K1004="OK",L1004="OK"),"OK","CHECK"))</f>
        <v>OK</v>
      </c>
    </row>
    <row r="1005" customFormat="false" ht="18" hidden="false" customHeight="true" outlineLevel="0" collapsed="false">
      <c r="A1005" s="9" t="s">
        <v>26</v>
      </c>
      <c r="B1005" s="9" t="n">
        <v>22</v>
      </c>
      <c r="C1005" s="11" t="n">
        <v>46011</v>
      </c>
      <c r="D1005" s="9" t="s">
        <v>103</v>
      </c>
      <c r="E1005" s="12" t="n">
        <v>20</v>
      </c>
      <c r="F1005" s="9" t="s">
        <v>31</v>
      </c>
      <c r="G1005" s="13" t="n">
        <v>100</v>
      </c>
      <c r="H1005" s="9" t="s">
        <v>38</v>
      </c>
      <c r="I1005" s="13" t="n">
        <v>0</v>
      </c>
      <c r="J1005" s="1" t="str">
        <f aca="false">IF(A1005="","", "SAMP-"&amp;A1005&amp;"-L"&amp;TEXT(B1005,"00")&amp;"-"&amp;TEXT(C1005,"yyyymmdd")&amp;"-"&amp;D1005&amp;"-H"&amp;TEXT(E1005,"00")&amp;"-"&amp;H1005)</f>
        <v>SAMP-KG01-L22-20251220-ORD-2025-00214-H20-Crack</v>
      </c>
      <c r="K1005" s="1" t="str">
        <f aca="false">IF(A1005="","",IF(AND(G1005&gt;=0,I1005&gt;=0,I1005&lt;=G1005),"OK","CHECK"))</f>
        <v>OK</v>
      </c>
      <c r="L1005" s="1" t="str">
        <f aca="false">IF(A1005="","",IF(AND(E1005&gt;=0,E1005&lt;=23),"OK","CHECK"))</f>
        <v>OK</v>
      </c>
      <c r="M1005" s="1" t="str">
        <f aca="false">IF(A1005="","",IF(AND(K1005="OK",L1005="OK"),"OK","CHECK"))</f>
        <v>OK</v>
      </c>
    </row>
    <row r="1006" customFormat="false" ht="18" hidden="false" customHeight="true" outlineLevel="0" collapsed="false">
      <c r="A1006" s="9" t="s">
        <v>26</v>
      </c>
      <c r="B1006" s="9" t="n">
        <v>22</v>
      </c>
      <c r="C1006" s="11" t="n">
        <v>46011</v>
      </c>
      <c r="D1006" s="9" t="s">
        <v>103</v>
      </c>
      <c r="E1006" s="12" t="n">
        <v>23</v>
      </c>
      <c r="F1006" s="9" t="s">
        <v>31</v>
      </c>
      <c r="G1006" s="13" t="n">
        <v>200</v>
      </c>
      <c r="H1006" s="9" t="s">
        <v>41</v>
      </c>
      <c r="I1006" s="13" t="n">
        <v>0</v>
      </c>
      <c r="J1006" s="1" t="str">
        <f aca="false">IF(A1006="","", "SAMP-"&amp;A1006&amp;"-L"&amp;TEXT(B1006,"00")&amp;"-"&amp;TEXT(C1006,"yyyymmdd")&amp;"-"&amp;D1006&amp;"-H"&amp;TEXT(E1006,"00")&amp;"-"&amp;H1006)</f>
        <v>SAMP-KG01-L22-20251220-ORD-2025-00214-H23-Chip</v>
      </c>
      <c r="K1006" s="1" t="str">
        <f aca="false">IF(A1006="","",IF(AND(G1006&gt;=0,I1006&gt;=0,I1006&lt;=G1006),"OK","CHECK"))</f>
        <v>OK</v>
      </c>
      <c r="L1006" s="1" t="str">
        <f aca="false">IF(A1006="","",IF(AND(E1006&gt;=0,E1006&lt;=23),"OK","CHECK"))</f>
        <v>OK</v>
      </c>
      <c r="M1006" s="1" t="str">
        <f aca="false">IF(A1006="","",IF(AND(K1006="OK",L1006="OK"),"OK","CHECK"))</f>
        <v>OK</v>
      </c>
    </row>
    <row r="1007" customFormat="false" ht="18" hidden="false" customHeight="true" outlineLevel="0" collapsed="false">
      <c r="A1007" s="9" t="s">
        <v>26</v>
      </c>
      <c r="B1007" s="9" t="n">
        <v>22</v>
      </c>
      <c r="C1007" s="11" t="n">
        <v>46011</v>
      </c>
      <c r="D1007" s="9" t="s">
        <v>103</v>
      </c>
      <c r="E1007" s="12" t="n">
        <v>16</v>
      </c>
      <c r="F1007" s="9" t="s">
        <v>31</v>
      </c>
      <c r="G1007" s="13" t="n">
        <v>50</v>
      </c>
      <c r="H1007" s="9" t="s">
        <v>38</v>
      </c>
      <c r="I1007" s="13" t="n">
        <v>1</v>
      </c>
      <c r="J1007" s="1" t="str">
        <f aca="false">IF(A1007="","", "SAMP-"&amp;A1007&amp;"-L"&amp;TEXT(B1007,"00")&amp;"-"&amp;TEXT(C1007,"yyyymmdd")&amp;"-"&amp;D1007&amp;"-H"&amp;TEXT(E1007,"00")&amp;"-"&amp;H1007)</f>
        <v>SAMP-KG01-L22-20251220-ORD-2025-00214-H16-Crack</v>
      </c>
      <c r="K1007" s="1" t="str">
        <f aca="false">IF(A1007="","",IF(AND(G1007&gt;=0,I1007&gt;=0,I1007&lt;=G1007),"OK","CHECK"))</f>
        <v>OK</v>
      </c>
      <c r="L1007" s="1" t="str">
        <f aca="false">IF(A1007="","",IF(AND(E1007&gt;=0,E1007&lt;=23),"OK","CHECK"))</f>
        <v>OK</v>
      </c>
      <c r="M1007" s="1" t="str">
        <f aca="false">IF(A1007="","",IF(AND(K1007="OK",L1007="OK"),"OK","CHECK"))</f>
        <v>OK</v>
      </c>
    </row>
    <row r="1008" customFormat="false" ht="18" hidden="false" customHeight="true" outlineLevel="0" collapsed="false">
      <c r="A1008" s="9" t="s">
        <v>26</v>
      </c>
      <c r="B1008" s="9" t="n">
        <v>22</v>
      </c>
      <c r="C1008" s="11" t="n">
        <v>46012</v>
      </c>
      <c r="D1008" s="9" t="s">
        <v>104</v>
      </c>
      <c r="E1008" s="12" t="n">
        <v>12</v>
      </c>
      <c r="F1008" s="9" t="s">
        <v>28</v>
      </c>
      <c r="G1008" s="13" t="n">
        <v>100</v>
      </c>
      <c r="H1008" s="9" t="s">
        <v>35</v>
      </c>
      <c r="I1008" s="13" t="n">
        <v>3</v>
      </c>
      <c r="J1008" s="1" t="str">
        <f aca="false">IF(A1008="","", "SAMP-"&amp;A1008&amp;"-L"&amp;TEXT(B1008,"00")&amp;"-"&amp;TEXT(C1008,"yyyymmdd")&amp;"-"&amp;D1008&amp;"-H"&amp;TEXT(E1008,"00")&amp;"-"&amp;H1008)</f>
        <v>SAMP-KG01-L22-20251221-ORD-2025-00215-H12-Stone</v>
      </c>
      <c r="K1008" s="1" t="str">
        <f aca="false">IF(A1008="","",IF(AND(G1008&gt;=0,I1008&gt;=0,I1008&lt;=G1008),"OK","CHECK"))</f>
        <v>OK</v>
      </c>
      <c r="L1008" s="1" t="str">
        <f aca="false">IF(A1008="","",IF(AND(E1008&gt;=0,E1008&lt;=23),"OK","CHECK"))</f>
        <v>OK</v>
      </c>
      <c r="M1008" s="1" t="str">
        <f aca="false">IF(A1008="","",IF(AND(K1008="OK",L1008="OK"),"OK","CHECK"))</f>
        <v>OK</v>
      </c>
    </row>
    <row r="1009" customFormat="false" ht="18" hidden="false" customHeight="true" outlineLevel="0" collapsed="false">
      <c r="A1009" s="9" t="s">
        <v>26</v>
      </c>
      <c r="B1009" s="9" t="n">
        <v>22</v>
      </c>
      <c r="C1009" s="11" t="n">
        <v>46012</v>
      </c>
      <c r="D1009" s="9" t="s">
        <v>104</v>
      </c>
      <c r="E1009" s="12" t="n">
        <v>9</v>
      </c>
      <c r="F1009" s="9" t="s">
        <v>28</v>
      </c>
      <c r="G1009" s="13" t="n">
        <v>50</v>
      </c>
      <c r="H1009" s="9" t="s">
        <v>41</v>
      </c>
      <c r="I1009" s="13" t="n">
        <v>1</v>
      </c>
      <c r="J1009" s="1" t="str">
        <f aca="false">IF(A1009="","", "SAMP-"&amp;A1009&amp;"-L"&amp;TEXT(B1009,"00")&amp;"-"&amp;TEXT(C1009,"yyyymmdd")&amp;"-"&amp;D1009&amp;"-H"&amp;TEXT(E1009,"00")&amp;"-"&amp;H1009)</f>
        <v>SAMP-KG01-L22-20251221-ORD-2025-00215-H09-Chip</v>
      </c>
      <c r="K1009" s="1" t="str">
        <f aca="false">IF(A1009="","",IF(AND(G1009&gt;=0,I1009&gt;=0,I1009&lt;=G1009),"OK","CHECK"))</f>
        <v>OK</v>
      </c>
      <c r="L1009" s="1" t="str">
        <f aca="false">IF(A1009="","",IF(AND(E1009&gt;=0,E1009&lt;=23),"OK","CHECK"))</f>
        <v>OK</v>
      </c>
      <c r="M1009" s="1" t="str">
        <f aca="false">IF(A1009="","",IF(AND(K1009="OK",L1009="OK"),"OK","CHECK"))</f>
        <v>OK</v>
      </c>
    </row>
    <row r="1010" customFormat="false" ht="18" hidden="false" customHeight="true" outlineLevel="0" collapsed="false">
      <c r="A1010" s="9" t="s">
        <v>26</v>
      </c>
      <c r="B1010" s="9" t="n">
        <v>22</v>
      </c>
      <c r="C1010" s="11" t="n">
        <v>46012</v>
      </c>
      <c r="D1010" s="9" t="s">
        <v>104</v>
      </c>
      <c r="E1010" s="12" t="n">
        <v>7</v>
      </c>
      <c r="F1010" s="9" t="s">
        <v>28</v>
      </c>
      <c r="G1010" s="13" t="n">
        <v>150</v>
      </c>
      <c r="H1010" s="9" t="s">
        <v>33</v>
      </c>
      <c r="I1010" s="13" t="n">
        <v>4</v>
      </c>
      <c r="J1010" s="1" t="str">
        <f aca="false">IF(A1010="","", "SAMP-"&amp;A1010&amp;"-L"&amp;TEXT(B1010,"00")&amp;"-"&amp;TEXT(C1010,"yyyymmdd")&amp;"-"&amp;D1010&amp;"-H"&amp;TEXT(E1010,"00")&amp;"-"&amp;H1010)</f>
        <v>SAMP-KG01-L22-20251221-ORD-2025-00215-H07-Distortion</v>
      </c>
      <c r="K1010" s="1" t="str">
        <f aca="false">IF(A1010="","",IF(AND(G1010&gt;=0,I1010&gt;=0,I1010&lt;=G1010),"OK","CHECK"))</f>
        <v>OK</v>
      </c>
      <c r="L1010" s="1" t="str">
        <f aca="false">IF(A1010="","",IF(AND(E1010&gt;=0,E1010&lt;=23),"OK","CHECK"))</f>
        <v>OK</v>
      </c>
      <c r="M1010" s="1" t="str">
        <f aca="false">IF(A1010="","",IF(AND(K1010="OK",L1010="OK"),"OK","CHECK"))</f>
        <v>OK</v>
      </c>
    </row>
    <row r="1011" customFormat="false" ht="18" hidden="false" customHeight="true" outlineLevel="0" collapsed="false">
      <c r="A1011" s="9" t="s">
        <v>26</v>
      </c>
      <c r="B1011" s="9" t="n">
        <v>22</v>
      </c>
      <c r="C1011" s="11" t="n">
        <v>46012</v>
      </c>
      <c r="D1011" s="9" t="s">
        <v>104</v>
      </c>
      <c r="E1011" s="12" t="n">
        <v>16</v>
      </c>
      <c r="F1011" s="9" t="s">
        <v>31</v>
      </c>
      <c r="G1011" s="13" t="n">
        <v>100</v>
      </c>
      <c r="H1011" s="9" t="s">
        <v>41</v>
      </c>
      <c r="I1011" s="13" t="n">
        <v>1</v>
      </c>
      <c r="J1011" s="1" t="str">
        <f aca="false">IF(A1011="","", "SAMP-"&amp;A1011&amp;"-L"&amp;TEXT(B1011,"00")&amp;"-"&amp;TEXT(C1011,"yyyymmdd")&amp;"-"&amp;D1011&amp;"-H"&amp;TEXT(E1011,"00")&amp;"-"&amp;H1011)</f>
        <v>SAMP-KG01-L22-20251221-ORD-2025-00215-H16-Chip</v>
      </c>
      <c r="K1011" s="1" t="str">
        <f aca="false">IF(A1011="","",IF(AND(G1011&gt;=0,I1011&gt;=0,I1011&lt;=G1011),"OK","CHECK"))</f>
        <v>OK</v>
      </c>
      <c r="L1011" s="1" t="str">
        <f aca="false">IF(A1011="","",IF(AND(E1011&gt;=0,E1011&lt;=23),"OK","CHECK"))</f>
        <v>OK</v>
      </c>
      <c r="M1011" s="1" t="str">
        <f aca="false">IF(A1011="","",IF(AND(K1011="OK",L1011="OK"),"OK","CHECK"))</f>
        <v>OK</v>
      </c>
    </row>
    <row r="1012" customFormat="false" ht="18" hidden="false" customHeight="true" outlineLevel="0" collapsed="false">
      <c r="A1012" s="9" t="s">
        <v>26</v>
      </c>
      <c r="B1012" s="9" t="n">
        <v>22</v>
      </c>
      <c r="C1012" s="11" t="n">
        <v>46012</v>
      </c>
      <c r="D1012" s="9" t="s">
        <v>104</v>
      </c>
      <c r="E1012" s="12" t="n">
        <v>20</v>
      </c>
      <c r="F1012" s="9" t="s">
        <v>31</v>
      </c>
      <c r="G1012" s="13" t="n">
        <v>50</v>
      </c>
      <c r="H1012" s="9" t="s">
        <v>35</v>
      </c>
      <c r="I1012" s="13" t="n">
        <v>1</v>
      </c>
      <c r="J1012" s="1" t="str">
        <f aca="false">IF(A1012="","", "SAMP-"&amp;A1012&amp;"-L"&amp;TEXT(B1012,"00")&amp;"-"&amp;TEXT(C1012,"yyyymmdd")&amp;"-"&amp;D1012&amp;"-H"&amp;TEXT(E1012,"00")&amp;"-"&amp;H1012)</f>
        <v>SAMP-KG01-L22-20251221-ORD-2025-00215-H20-Stone</v>
      </c>
      <c r="K1012" s="1" t="str">
        <f aca="false">IF(A1012="","",IF(AND(G1012&gt;=0,I1012&gt;=0,I1012&lt;=G1012),"OK","CHECK"))</f>
        <v>OK</v>
      </c>
      <c r="L1012" s="1" t="str">
        <f aca="false">IF(A1012="","",IF(AND(E1012&gt;=0,E1012&lt;=23),"OK","CHECK"))</f>
        <v>OK</v>
      </c>
      <c r="M1012" s="1" t="str">
        <f aca="false">IF(A1012="","",IF(AND(K1012="OK",L1012="OK"),"OK","CHECK"))</f>
        <v>OK</v>
      </c>
    </row>
    <row r="1013" customFormat="false" ht="18" hidden="false" customHeight="true" outlineLevel="0" collapsed="false">
      <c r="A1013" s="9" t="s">
        <v>26</v>
      </c>
      <c r="B1013" s="9" t="n">
        <v>22</v>
      </c>
      <c r="C1013" s="11" t="n">
        <v>46012</v>
      </c>
      <c r="D1013" s="9" t="s">
        <v>104</v>
      </c>
      <c r="E1013" s="12" t="n">
        <v>23</v>
      </c>
      <c r="F1013" s="9" t="s">
        <v>31</v>
      </c>
      <c r="G1013" s="13" t="n">
        <v>200</v>
      </c>
      <c r="H1013" s="9" t="s">
        <v>34</v>
      </c>
      <c r="I1013" s="13" t="n">
        <v>10</v>
      </c>
      <c r="J1013" s="1" t="str">
        <f aca="false">IF(A1013="","", "SAMP-"&amp;A1013&amp;"-L"&amp;TEXT(B1013,"00")&amp;"-"&amp;TEXT(C1013,"yyyymmdd")&amp;"-"&amp;D1013&amp;"-H"&amp;TEXT(E1013,"00")&amp;"-"&amp;H1013)</f>
        <v>SAMP-KG01-L22-20251221-ORD-2025-00215-H23-Thin Wall</v>
      </c>
      <c r="K1013" s="1" t="str">
        <f aca="false">IF(A1013="","",IF(AND(G1013&gt;=0,I1013&gt;=0,I1013&lt;=G1013),"OK","CHECK"))</f>
        <v>OK</v>
      </c>
      <c r="L1013" s="1" t="str">
        <f aca="false">IF(A1013="","",IF(AND(E1013&gt;=0,E1013&lt;=23),"OK","CHECK"))</f>
        <v>OK</v>
      </c>
      <c r="M1013" s="1" t="str">
        <f aca="false">IF(A1013="","",IF(AND(K1013="OK",L1013="OK"),"OK","CHECK"))</f>
        <v>OK</v>
      </c>
    </row>
    <row r="1014" customFormat="false" ht="18" hidden="false" customHeight="true" outlineLevel="0" collapsed="false">
      <c r="A1014" s="9" t="s">
        <v>26</v>
      </c>
      <c r="B1014" s="9" t="n">
        <v>22</v>
      </c>
      <c r="C1014" s="11" t="n">
        <v>46013</v>
      </c>
      <c r="D1014" s="9" t="s">
        <v>104</v>
      </c>
      <c r="E1014" s="12" t="n">
        <v>12</v>
      </c>
      <c r="F1014" s="9" t="s">
        <v>28</v>
      </c>
      <c r="G1014" s="13" t="n">
        <v>200</v>
      </c>
      <c r="H1014" s="9" t="s">
        <v>36</v>
      </c>
      <c r="I1014" s="13" t="n">
        <v>1</v>
      </c>
      <c r="J1014" s="1" t="str">
        <f aca="false">IF(A1014="","", "SAMP-"&amp;A1014&amp;"-L"&amp;TEXT(B1014,"00")&amp;"-"&amp;TEXT(C1014,"yyyymmdd")&amp;"-"&amp;D1014&amp;"-H"&amp;TEXT(E1014,"00")&amp;"-"&amp;H1014)</f>
        <v>SAMP-KG01-L22-20251222-ORD-2025-00215-H12-Blister</v>
      </c>
      <c r="K1014" s="1" t="str">
        <f aca="false">IF(A1014="","",IF(AND(G1014&gt;=0,I1014&gt;=0,I1014&lt;=G1014),"OK","CHECK"))</f>
        <v>OK</v>
      </c>
      <c r="L1014" s="1" t="str">
        <f aca="false">IF(A1014="","",IF(AND(E1014&gt;=0,E1014&lt;=23),"OK","CHECK"))</f>
        <v>OK</v>
      </c>
      <c r="M1014" s="1" t="str">
        <f aca="false">IF(A1014="","",IF(AND(K1014="OK",L1014="OK"),"OK","CHECK"))</f>
        <v>OK</v>
      </c>
    </row>
    <row r="1015" customFormat="false" ht="18" hidden="false" customHeight="true" outlineLevel="0" collapsed="false">
      <c r="A1015" s="9" t="s">
        <v>26</v>
      </c>
      <c r="B1015" s="9" t="n">
        <v>22</v>
      </c>
      <c r="C1015" s="11" t="n">
        <v>46013</v>
      </c>
      <c r="D1015" s="9" t="s">
        <v>104</v>
      </c>
      <c r="E1015" s="12" t="n">
        <v>7</v>
      </c>
      <c r="F1015" s="9" t="s">
        <v>28</v>
      </c>
      <c r="G1015" s="13" t="n">
        <v>100</v>
      </c>
      <c r="H1015" s="9" t="s">
        <v>36</v>
      </c>
      <c r="I1015" s="13" t="n">
        <v>4</v>
      </c>
      <c r="J1015" s="1" t="str">
        <f aca="false">IF(A1015="","", "SAMP-"&amp;A1015&amp;"-L"&amp;TEXT(B1015,"00")&amp;"-"&amp;TEXT(C1015,"yyyymmdd")&amp;"-"&amp;D1015&amp;"-H"&amp;TEXT(E1015,"00")&amp;"-"&amp;H1015)</f>
        <v>SAMP-KG01-L22-20251222-ORD-2025-00215-H07-Blister</v>
      </c>
      <c r="K1015" s="1" t="str">
        <f aca="false">IF(A1015="","",IF(AND(G1015&gt;=0,I1015&gt;=0,I1015&lt;=G1015),"OK","CHECK"))</f>
        <v>OK</v>
      </c>
      <c r="L1015" s="1" t="str">
        <f aca="false">IF(A1015="","",IF(AND(E1015&gt;=0,E1015&lt;=23),"OK","CHECK"))</f>
        <v>OK</v>
      </c>
      <c r="M1015" s="1" t="str">
        <f aca="false">IF(A1015="","",IF(AND(K1015="OK",L1015="OK"),"OK","CHECK"))</f>
        <v>OK</v>
      </c>
    </row>
    <row r="1016" customFormat="false" ht="18" hidden="false" customHeight="true" outlineLevel="0" collapsed="false">
      <c r="A1016" s="9" t="s">
        <v>26</v>
      </c>
      <c r="B1016" s="9" t="n">
        <v>22</v>
      </c>
      <c r="C1016" s="11" t="n">
        <v>46013</v>
      </c>
      <c r="D1016" s="9" t="s">
        <v>104</v>
      </c>
      <c r="E1016" s="12" t="n">
        <v>9</v>
      </c>
      <c r="F1016" s="9" t="s">
        <v>28</v>
      </c>
      <c r="G1016" s="13" t="n">
        <v>50</v>
      </c>
      <c r="H1016" s="9" t="s">
        <v>29</v>
      </c>
      <c r="I1016" s="13" t="n">
        <v>0</v>
      </c>
      <c r="J1016" s="1" t="str">
        <f aca="false">IF(A1016="","", "SAMP-"&amp;A1016&amp;"-L"&amp;TEXT(B1016,"00")&amp;"-"&amp;TEXT(C1016,"yyyymmdd")&amp;"-"&amp;D1016&amp;"-H"&amp;TEXT(E1016,"00")&amp;"-"&amp;H1016)</f>
        <v>SAMP-KG01-L22-20251222-ORD-2025-00215-H09-Choke Neck</v>
      </c>
      <c r="K1016" s="1" t="str">
        <f aca="false">IF(A1016="","",IF(AND(G1016&gt;=0,I1016&gt;=0,I1016&lt;=G1016),"OK","CHECK"))</f>
        <v>OK</v>
      </c>
      <c r="L1016" s="1" t="str">
        <f aca="false">IF(A1016="","",IF(AND(E1016&gt;=0,E1016&lt;=23),"OK","CHECK"))</f>
        <v>OK</v>
      </c>
      <c r="M1016" s="1" t="str">
        <f aca="false">IF(A1016="","",IF(AND(K1016="OK",L1016="OK"),"OK","CHECK"))</f>
        <v>OK</v>
      </c>
    </row>
    <row r="1017" customFormat="false" ht="18" hidden="false" customHeight="true" outlineLevel="0" collapsed="false">
      <c r="A1017" s="9" t="s">
        <v>26</v>
      </c>
      <c r="B1017" s="9" t="n">
        <v>22</v>
      </c>
      <c r="C1017" s="11" t="n">
        <v>46013</v>
      </c>
      <c r="D1017" s="9" t="s">
        <v>105</v>
      </c>
      <c r="E1017" s="12" t="n">
        <v>23</v>
      </c>
      <c r="F1017" s="9" t="s">
        <v>31</v>
      </c>
      <c r="G1017" s="13" t="n">
        <v>100</v>
      </c>
      <c r="H1017" s="9" t="s">
        <v>38</v>
      </c>
      <c r="I1017" s="13" t="n">
        <v>1</v>
      </c>
      <c r="J1017" s="1" t="str">
        <f aca="false">IF(A1017="","", "SAMP-"&amp;A1017&amp;"-L"&amp;TEXT(B1017,"00")&amp;"-"&amp;TEXT(C1017,"yyyymmdd")&amp;"-"&amp;D1017&amp;"-H"&amp;TEXT(E1017,"00")&amp;"-"&amp;H1017)</f>
        <v>SAMP-KG01-L22-20251222-ORD-2025-00216-H23-Crack</v>
      </c>
      <c r="K1017" s="1" t="str">
        <f aca="false">IF(A1017="","",IF(AND(G1017&gt;=0,I1017&gt;=0,I1017&lt;=G1017),"OK","CHECK"))</f>
        <v>OK</v>
      </c>
      <c r="L1017" s="1" t="str">
        <f aca="false">IF(A1017="","",IF(AND(E1017&gt;=0,E1017&lt;=23),"OK","CHECK"))</f>
        <v>OK</v>
      </c>
      <c r="M1017" s="1" t="str">
        <f aca="false">IF(A1017="","",IF(AND(K1017="OK",L1017="OK"),"OK","CHECK"))</f>
        <v>OK</v>
      </c>
    </row>
    <row r="1018" customFormat="false" ht="18" hidden="false" customHeight="true" outlineLevel="0" collapsed="false">
      <c r="A1018" s="9" t="s">
        <v>26</v>
      </c>
      <c r="B1018" s="9" t="n">
        <v>22</v>
      </c>
      <c r="C1018" s="11" t="n">
        <v>46013</v>
      </c>
      <c r="D1018" s="9" t="s">
        <v>105</v>
      </c>
      <c r="E1018" s="12" t="n">
        <v>20</v>
      </c>
      <c r="F1018" s="9" t="s">
        <v>31</v>
      </c>
      <c r="G1018" s="13" t="n">
        <v>150</v>
      </c>
      <c r="H1018" s="9" t="s">
        <v>29</v>
      </c>
      <c r="I1018" s="13" t="n">
        <v>2</v>
      </c>
      <c r="J1018" s="1" t="str">
        <f aca="false">IF(A1018="","", "SAMP-"&amp;A1018&amp;"-L"&amp;TEXT(B1018,"00")&amp;"-"&amp;TEXT(C1018,"yyyymmdd")&amp;"-"&amp;D1018&amp;"-H"&amp;TEXT(E1018,"00")&amp;"-"&amp;H1018)</f>
        <v>SAMP-KG01-L22-20251222-ORD-2025-00216-H20-Choke Neck</v>
      </c>
      <c r="K1018" s="1" t="str">
        <f aca="false">IF(A1018="","",IF(AND(G1018&gt;=0,I1018&gt;=0,I1018&lt;=G1018),"OK","CHECK"))</f>
        <v>OK</v>
      </c>
      <c r="L1018" s="1" t="str">
        <f aca="false">IF(A1018="","",IF(AND(E1018&gt;=0,E1018&lt;=23),"OK","CHECK"))</f>
        <v>OK</v>
      </c>
      <c r="M1018" s="1" t="str">
        <f aca="false">IF(A1018="","",IF(AND(K1018="OK",L1018="OK"),"OK","CHECK"))</f>
        <v>OK</v>
      </c>
    </row>
    <row r="1019" customFormat="false" ht="18" hidden="false" customHeight="true" outlineLevel="0" collapsed="false">
      <c r="A1019" s="9" t="s">
        <v>26</v>
      </c>
      <c r="B1019" s="9" t="n">
        <v>22</v>
      </c>
      <c r="C1019" s="11" t="n">
        <v>46013</v>
      </c>
      <c r="D1019" s="9" t="s">
        <v>105</v>
      </c>
      <c r="E1019" s="12" t="n">
        <v>16</v>
      </c>
      <c r="F1019" s="9" t="s">
        <v>31</v>
      </c>
      <c r="G1019" s="13" t="n">
        <v>200</v>
      </c>
      <c r="H1019" s="9" t="s">
        <v>30</v>
      </c>
      <c r="I1019" s="13" t="n">
        <v>4</v>
      </c>
      <c r="J1019" s="1" t="str">
        <f aca="false">IF(A1019="","", "SAMP-"&amp;A1019&amp;"-L"&amp;TEXT(B1019,"00")&amp;"-"&amp;TEXT(C1019,"yyyymmdd")&amp;"-"&amp;D1019&amp;"-H"&amp;TEXT(E1019,"00")&amp;"-"&amp;H1019)</f>
        <v>SAMP-KG01-L22-20251222-ORD-2025-00216-H16-Overpress</v>
      </c>
      <c r="K1019" s="1" t="str">
        <f aca="false">IF(A1019="","",IF(AND(G1019&gt;=0,I1019&gt;=0,I1019&lt;=G1019),"OK","CHECK"))</f>
        <v>OK</v>
      </c>
      <c r="L1019" s="1" t="str">
        <f aca="false">IF(A1019="","",IF(AND(E1019&gt;=0,E1019&lt;=23),"OK","CHECK"))</f>
        <v>OK</v>
      </c>
      <c r="M1019" s="1" t="str">
        <f aca="false">IF(A1019="","",IF(AND(K1019="OK",L1019="OK"),"OK","CHECK"))</f>
        <v>OK</v>
      </c>
    </row>
    <row r="1020" customFormat="false" ht="18" hidden="false" customHeight="true" outlineLevel="0" collapsed="false">
      <c r="A1020" s="9" t="s">
        <v>26</v>
      </c>
      <c r="B1020" s="9" t="n">
        <v>22</v>
      </c>
      <c r="C1020" s="11" t="n">
        <v>46014</v>
      </c>
      <c r="D1020" s="9" t="s">
        <v>105</v>
      </c>
      <c r="E1020" s="12" t="n">
        <v>7</v>
      </c>
      <c r="F1020" s="9" t="s">
        <v>28</v>
      </c>
      <c r="G1020" s="13" t="n">
        <v>200</v>
      </c>
      <c r="H1020" s="9" t="s">
        <v>37</v>
      </c>
      <c r="I1020" s="13" t="n">
        <v>9</v>
      </c>
      <c r="J1020" s="1" t="str">
        <f aca="false">IF(A1020="","", "SAMP-"&amp;A1020&amp;"-L"&amp;TEXT(B1020,"00")&amp;"-"&amp;TEXT(C1020,"yyyymmdd")&amp;"-"&amp;D1020&amp;"-H"&amp;TEXT(E1020,"00")&amp;"-"&amp;H1020)</f>
        <v>SAMP-KG01-L22-20251223-ORD-2025-00216-H07-Bird Swing</v>
      </c>
      <c r="K1020" s="1" t="str">
        <f aca="false">IF(A1020="","",IF(AND(G1020&gt;=0,I1020&gt;=0,I1020&lt;=G1020),"OK","CHECK"))</f>
        <v>OK</v>
      </c>
      <c r="L1020" s="1" t="str">
        <f aca="false">IF(A1020="","",IF(AND(E1020&gt;=0,E1020&lt;=23),"OK","CHECK"))</f>
        <v>OK</v>
      </c>
      <c r="M1020" s="1" t="str">
        <f aca="false">IF(A1020="","",IF(AND(K1020="OK",L1020="OK"),"OK","CHECK"))</f>
        <v>OK</v>
      </c>
    </row>
    <row r="1021" customFormat="false" ht="18" hidden="false" customHeight="true" outlineLevel="0" collapsed="false">
      <c r="A1021" s="9" t="s">
        <v>26</v>
      </c>
      <c r="B1021" s="9" t="n">
        <v>22</v>
      </c>
      <c r="C1021" s="11" t="n">
        <v>46014</v>
      </c>
      <c r="D1021" s="9" t="s">
        <v>105</v>
      </c>
      <c r="E1021" s="12" t="n">
        <v>12</v>
      </c>
      <c r="F1021" s="9" t="s">
        <v>28</v>
      </c>
      <c r="G1021" s="13" t="n">
        <v>50</v>
      </c>
      <c r="H1021" s="9" t="s">
        <v>36</v>
      </c>
      <c r="I1021" s="13" t="n">
        <v>2</v>
      </c>
      <c r="J1021" s="1" t="str">
        <f aca="false">IF(A1021="","", "SAMP-"&amp;A1021&amp;"-L"&amp;TEXT(B1021,"00")&amp;"-"&amp;TEXT(C1021,"yyyymmdd")&amp;"-"&amp;D1021&amp;"-H"&amp;TEXT(E1021,"00")&amp;"-"&amp;H1021)</f>
        <v>SAMP-KG01-L22-20251223-ORD-2025-00216-H12-Blister</v>
      </c>
      <c r="K1021" s="1" t="str">
        <f aca="false">IF(A1021="","",IF(AND(G1021&gt;=0,I1021&gt;=0,I1021&lt;=G1021),"OK","CHECK"))</f>
        <v>OK</v>
      </c>
      <c r="L1021" s="1" t="str">
        <f aca="false">IF(A1021="","",IF(AND(E1021&gt;=0,E1021&lt;=23),"OK","CHECK"))</f>
        <v>OK</v>
      </c>
      <c r="M1021" s="1" t="str">
        <f aca="false">IF(A1021="","",IF(AND(K1021="OK",L1021="OK"),"OK","CHECK"))</f>
        <v>OK</v>
      </c>
    </row>
    <row r="1022" customFormat="false" ht="18" hidden="false" customHeight="true" outlineLevel="0" collapsed="false">
      <c r="A1022" s="9" t="s">
        <v>26</v>
      </c>
      <c r="B1022" s="9" t="n">
        <v>22</v>
      </c>
      <c r="C1022" s="11" t="n">
        <v>46014</v>
      </c>
      <c r="D1022" s="9" t="s">
        <v>105</v>
      </c>
      <c r="E1022" s="12" t="n">
        <v>9</v>
      </c>
      <c r="F1022" s="9" t="s">
        <v>28</v>
      </c>
      <c r="G1022" s="13" t="n">
        <v>150</v>
      </c>
      <c r="H1022" s="9" t="s">
        <v>34</v>
      </c>
      <c r="I1022" s="13" t="n">
        <v>2</v>
      </c>
      <c r="J1022" s="1" t="str">
        <f aca="false">IF(A1022="","", "SAMP-"&amp;A1022&amp;"-L"&amp;TEXT(B1022,"00")&amp;"-"&amp;TEXT(C1022,"yyyymmdd")&amp;"-"&amp;D1022&amp;"-H"&amp;TEXT(E1022,"00")&amp;"-"&amp;H1022)</f>
        <v>SAMP-KG01-L22-20251223-ORD-2025-00216-H09-Thin Wall</v>
      </c>
      <c r="K1022" s="1" t="str">
        <f aca="false">IF(A1022="","",IF(AND(G1022&gt;=0,I1022&gt;=0,I1022&lt;=G1022),"OK","CHECK"))</f>
        <v>OK</v>
      </c>
      <c r="L1022" s="1" t="str">
        <f aca="false">IF(A1022="","",IF(AND(E1022&gt;=0,E1022&lt;=23),"OK","CHECK"))</f>
        <v>OK</v>
      </c>
      <c r="M1022" s="1" t="str">
        <f aca="false">IF(A1022="","",IF(AND(K1022="OK",L1022="OK"),"OK","CHECK"))</f>
        <v>OK</v>
      </c>
    </row>
    <row r="1023" customFormat="false" ht="18" hidden="false" customHeight="true" outlineLevel="0" collapsed="false">
      <c r="A1023" s="9" t="s">
        <v>26</v>
      </c>
      <c r="B1023" s="9" t="n">
        <v>22</v>
      </c>
      <c r="C1023" s="11" t="n">
        <v>46014</v>
      </c>
      <c r="D1023" s="9" t="s">
        <v>105</v>
      </c>
      <c r="E1023" s="12" t="n">
        <v>20</v>
      </c>
      <c r="F1023" s="9" t="s">
        <v>31</v>
      </c>
      <c r="G1023" s="13" t="n">
        <v>150</v>
      </c>
      <c r="H1023" s="9" t="s">
        <v>29</v>
      </c>
      <c r="I1023" s="13" t="n">
        <v>0</v>
      </c>
      <c r="J1023" s="1" t="str">
        <f aca="false">IF(A1023="","", "SAMP-"&amp;A1023&amp;"-L"&amp;TEXT(B1023,"00")&amp;"-"&amp;TEXT(C1023,"yyyymmdd")&amp;"-"&amp;D1023&amp;"-H"&amp;TEXT(E1023,"00")&amp;"-"&amp;H1023)</f>
        <v>SAMP-KG01-L22-20251223-ORD-2025-00216-H20-Choke Neck</v>
      </c>
      <c r="K1023" s="1" t="str">
        <f aca="false">IF(A1023="","",IF(AND(G1023&gt;=0,I1023&gt;=0,I1023&lt;=G1023),"OK","CHECK"))</f>
        <v>OK</v>
      </c>
      <c r="L1023" s="1" t="str">
        <f aca="false">IF(A1023="","",IF(AND(E1023&gt;=0,E1023&lt;=23),"OK","CHECK"))</f>
        <v>OK</v>
      </c>
      <c r="M1023" s="1" t="str">
        <f aca="false">IF(A1023="","",IF(AND(K1023="OK",L1023="OK"),"OK","CHECK"))</f>
        <v>OK</v>
      </c>
    </row>
    <row r="1024" customFormat="false" ht="18" hidden="false" customHeight="true" outlineLevel="0" collapsed="false">
      <c r="A1024" s="9" t="s">
        <v>26</v>
      </c>
      <c r="B1024" s="9" t="n">
        <v>22</v>
      </c>
      <c r="C1024" s="11" t="n">
        <v>46014</v>
      </c>
      <c r="D1024" s="9" t="s">
        <v>105</v>
      </c>
      <c r="E1024" s="12" t="n">
        <v>16</v>
      </c>
      <c r="F1024" s="9" t="s">
        <v>31</v>
      </c>
      <c r="G1024" s="13" t="n">
        <v>100</v>
      </c>
      <c r="H1024" s="9" t="s">
        <v>29</v>
      </c>
      <c r="I1024" s="13" t="n">
        <v>3</v>
      </c>
      <c r="J1024" s="1" t="str">
        <f aca="false">IF(A1024="","", "SAMP-"&amp;A1024&amp;"-L"&amp;TEXT(B1024,"00")&amp;"-"&amp;TEXT(C1024,"yyyymmdd")&amp;"-"&amp;D1024&amp;"-H"&amp;TEXT(E1024,"00")&amp;"-"&amp;H1024)</f>
        <v>SAMP-KG01-L22-20251223-ORD-2025-00216-H16-Choke Neck</v>
      </c>
      <c r="K1024" s="1" t="str">
        <f aca="false">IF(A1024="","",IF(AND(G1024&gt;=0,I1024&gt;=0,I1024&lt;=G1024),"OK","CHECK"))</f>
        <v>OK</v>
      </c>
      <c r="L1024" s="1" t="str">
        <f aca="false">IF(A1024="","",IF(AND(E1024&gt;=0,E1024&lt;=23),"OK","CHECK"))</f>
        <v>OK</v>
      </c>
      <c r="M1024" s="1" t="str">
        <f aca="false">IF(A1024="","",IF(AND(K1024="OK",L1024="OK"),"OK","CHECK"))</f>
        <v>OK</v>
      </c>
    </row>
    <row r="1025" customFormat="false" ht="18" hidden="false" customHeight="true" outlineLevel="0" collapsed="false">
      <c r="A1025" s="9" t="s">
        <v>26</v>
      </c>
      <c r="B1025" s="9" t="n">
        <v>22</v>
      </c>
      <c r="C1025" s="11" t="n">
        <v>46014</v>
      </c>
      <c r="D1025" s="9" t="s">
        <v>105</v>
      </c>
      <c r="E1025" s="12" t="n">
        <v>23</v>
      </c>
      <c r="F1025" s="9" t="s">
        <v>31</v>
      </c>
      <c r="G1025" s="13" t="n">
        <v>200</v>
      </c>
      <c r="H1025" s="9" t="s">
        <v>34</v>
      </c>
      <c r="I1025" s="13" t="n">
        <v>9</v>
      </c>
      <c r="J1025" s="1" t="str">
        <f aca="false">IF(A1025="","", "SAMP-"&amp;A1025&amp;"-L"&amp;TEXT(B1025,"00")&amp;"-"&amp;TEXT(C1025,"yyyymmdd")&amp;"-"&amp;D1025&amp;"-H"&amp;TEXT(E1025,"00")&amp;"-"&amp;H1025)</f>
        <v>SAMP-KG01-L22-20251223-ORD-2025-00216-H23-Thin Wall</v>
      </c>
      <c r="K1025" s="1" t="str">
        <f aca="false">IF(A1025="","",IF(AND(G1025&gt;=0,I1025&gt;=0,I1025&lt;=G1025),"OK","CHECK"))</f>
        <v>OK</v>
      </c>
      <c r="L1025" s="1" t="str">
        <f aca="false">IF(A1025="","",IF(AND(E1025&gt;=0,E1025&lt;=23),"OK","CHECK"))</f>
        <v>OK</v>
      </c>
      <c r="M1025" s="1" t="str">
        <f aca="false">IF(A1025="","",IF(AND(K1025="OK",L1025="OK"),"OK","CHECK"))</f>
        <v>OK</v>
      </c>
    </row>
    <row r="1026" customFormat="false" ht="18" hidden="false" customHeight="true" outlineLevel="0" collapsed="false">
      <c r="A1026" s="9" t="s">
        <v>26</v>
      </c>
      <c r="B1026" s="9" t="n">
        <v>22</v>
      </c>
      <c r="C1026" s="11" t="n">
        <v>46015</v>
      </c>
      <c r="D1026" s="9" t="s">
        <v>105</v>
      </c>
      <c r="E1026" s="12" t="n">
        <v>9</v>
      </c>
      <c r="F1026" s="9" t="s">
        <v>28</v>
      </c>
      <c r="G1026" s="13" t="n">
        <v>150</v>
      </c>
      <c r="H1026" s="9" t="s">
        <v>30</v>
      </c>
      <c r="I1026" s="13" t="n">
        <v>0</v>
      </c>
      <c r="J1026" s="1" t="str">
        <f aca="false">IF(A1026="","", "SAMP-"&amp;A1026&amp;"-L"&amp;TEXT(B1026,"00")&amp;"-"&amp;TEXT(C1026,"yyyymmdd")&amp;"-"&amp;D1026&amp;"-H"&amp;TEXT(E1026,"00")&amp;"-"&amp;H1026)</f>
        <v>SAMP-KG01-L22-20251224-ORD-2025-00216-H09-Overpress</v>
      </c>
      <c r="K1026" s="1" t="str">
        <f aca="false">IF(A1026="","",IF(AND(G1026&gt;=0,I1026&gt;=0,I1026&lt;=G1026),"OK","CHECK"))</f>
        <v>OK</v>
      </c>
      <c r="L1026" s="1" t="str">
        <f aca="false">IF(A1026="","",IF(AND(E1026&gt;=0,E1026&lt;=23),"OK","CHECK"))</f>
        <v>OK</v>
      </c>
      <c r="M1026" s="1" t="str">
        <f aca="false">IF(A1026="","",IF(AND(K1026="OK",L1026="OK"),"OK","CHECK"))</f>
        <v>OK</v>
      </c>
    </row>
    <row r="1027" customFormat="false" ht="18" hidden="false" customHeight="true" outlineLevel="0" collapsed="false">
      <c r="A1027" s="9" t="s">
        <v>26</v>
      </c>
      <c r="B1027" s="9" t="n">
        <v>22</v>
      </c>
      <c r="C1027" s="11" t="n">
        <v>46015</v>
      </c>
      <c r="D1027" s="9" t="s">
        <v>105</v>
      </c>
      <c r="E1027" s="12" t="n">
        <v>7</v>
      </c>
      <c r="F1027" s="9" t="s">
        <v>28</v>
      </c>
      <c r="G1027" s="13" t="n">
        <v>100</v>
      </c>
      <c r="H1027" s="9" t="s">
        <v>37</v>
      </c>
      <c r="I1027" s="13" t="n">
        <v>2</v>
      </c>
      <c r="J1027" s="1" t="str">
        <f aca="false">IF(A1027="","", "SAMP-"&amp;A1027&amp;"-L"&amp;TEXT(B1027,"00")&amp;"-"&amp;TEXT(C1027,"yyyymmdd")&amp;"-"&amp;D1027&amp;"-H"&amp;TEXT(E1027,"00")&amp;"-"&amp;H1027)</f>
        <v>SAMP-KG01-L22-20251224-ORD-2025-00216-H07-Bird Swing</v>
      </c>
      <c r="K1027" s="1" t="str">
        <f aca="false">IF(A1027="","",IF(AND(G1027&gt;=0,I1027&gt;=0,I1027&lt;=G1027),"OK","CHECK"))</f>
        <v>OK</v>
      </c>
      <c r="L1027" s="1" t="str">
        <f aca="false">IF(A1027="","",IF(AND(E1027&gt;=0,E1027&lt;=23),"OK","CHECK"))</f>
        <v>OK</v>
      </c>
      <c r="M1027" s="1" t="str">
        <f aca="false">IF(A1027="","",IF(AND(K1027="OK",L1027="OK"),"OK","CHECK"))</f>
        <v>OK</v>
      </c>
    </row>
    <row r="1028" customFormat="false" ht="18" hidden="false" customHeight="true" outlineLevel="0" collapsed="false">
      <c r="A1028" s="9" t="s">
        <v>26</v>
      </c>
      <c r="B1028" s="9" t="n">
        <v>22</v>
      </c>
      <c r="C1028" s="11" t="n">
        <v>46015</v>
      </c>
      <c r="D1028" s="9" t="s">
        <v>105</v>
      </c>
      <c r="E1028" s="12" t="n">
        <v>12</v>
      </c>
      <c r="F1028" s="9" t="s">
        <v>28</v>
      </c>
      <c r="G1028" s="13" t="n">
        <v>150</v>
      </c>
      <c r="H1028" s="9" t="s">
        <v>33</v>
      </c>
      <c r="I1028" s="13" t="n">
        <v>5</v>
      </c>
      <c r="J1028" s="1" t="str">
        <f aca="false">IF(A1028="","", "SAMP-"&amp;A1028&amp;"-L"&amp;TEXT(B1028,"00")&amp;"-"&amp;TEXT(C1028,"yyyymmdd")&amp;"-"&amp;D1028&amp;"-H"&amp;TEXT(E1028,"00")&amp;"-"&amp;H1028)</f>
        <v>SAMP-KG01-L22-20251224-ORD-2025-00216-H12-Distortion</v>
      </c>
      <c r="K1028" s="1" t="str">
        <f aca="false">IF(A1028="","",IF(AND(G1028&gt;=0,I1028&gt;=0,I1028&lt;=G1028),"OK","CHECK"))</f>
        <v>OK</v>
      </c>
      <c r="L1028" s="1" t="str">
        <f aca="false">IF(A1028="","",IF(AND(E1028&gt;=0,E1028&lt;=23),"OK","CHECK"))</f>
        <v>OK</v>
      </c>
      <c r="M1028" s="1" t="str">
        <f aca="false">IF(A1028="","",IF(AND(K1028="OK",L1028="OK"),"OK","CHECK"))</f>
        <v>OK</v>
      </c>
    </row>
    <row r="1029" customFormat="false" ht="18" hidden="false" customHeight="true" outlineLevel="0" collapsed="false">
      <c r="A1029" s="9" t="s">
        <v>26</v>
      </c>
      <c r="B1029" s="9" t="n">
        <v>22</v>
      </c>
      <c r="C1029" s="11" t="n">
        <v>46015</v>
      </c>
      <c r="D1029" s="9" t="s">
        <v>106</v>
      </c>
      <c r="E1029" s="12" t="n">
        <v>23</v>
      </c>
      <c r="F1029" s="9" t="s">
        <v>31</v>
      </c>
      <c r="G1029" s="13" t="n">
        <v>200</v>
      </c>
      <c r="H1029" s="9" t="s">
        <v>36</v>
      </c>
      <c r="I1029" s="13" t="n">
        <v>1</v>
      </c>
      <c r="J1029" s="1" t="str">
        <f aca="false">IF(A1029="","", "SAMP-"&amp;A1029&amp;"-L"&amp;TEXT(B1029,"00")&amp;"-"&amp;TEXT(C1029,"yyyymmdd")&amp;"-"&amp;D1029&amp;"-H"&amp;TEXT(E1029,"00")&amp;"-"&amp;H1029)</f>
        <v>SAMP-KG01-L22-20251224-ORD-2025-00217-H23-Blister</v>
      </c>
      <c r="K1029" s="1" t="str">
        <f aca="false">IF(A1029="","",IF(AND(G1029&gt;=0,I1029&gt;=0,I1029&lt;=G1029),"OK","CHECK"))</f>
        <v>OK</v>
      </c>
      <c r="L1029" s="1" t="str">
        <f aca="false">IF(A1029="","",IF(AND(E1029&gt;=0,E1029&lt;=23),"OK","CHECK"))</f>
        <v>OK</v>
      </c>
      <c r="M1029" s="1" t="str">
        <f aca="false">IF(A1029="","",IF(AND(K1029="OK",L1029="OK"),"OK","CHECK"))</f>
        <v>OK</v>
      </c>
    </row>
    <row r="1030" customFormat="false" ht="18" hidden="false" customHeight="true" outlineLevel="0" collapsed="false">
      <c r="A1030" s="9" t="s">
        <v>26</v>
      </c>
      <c r="B1030" s="9" t="n">
        <v>22</v>
      </c>
      <c r="C1030" s="11" t="n">
        <v>46015</v>
      </c>
      <c r="D1030" s="9" t="s">
        <v>106</v>
      </c>
      <c r="E1030" s="12" t="n">
        <v>20</v>
      </c>
      <c r="F1030" s="9" t="s">
        <v>31</v>
      </c>
      <c r="G1030" s="13" t="n">
        <v>100</v>
      </c>
      <c r="H1030" s="9" t="s">
        <v>36</v>
      </c>
      <c r="I1030" s="13" t="n">
        <v>3</v>
      </c>
      <c r="J1030" s="1" t="str">
        <f aca="false">IF(A1030="","", "SAMP-"&amp;A1030&amp;"-L"&amp;TEXT(B1030,"00")&amp;"-"&amp;TEXT(C1030,"yyyymmdd")&amp;"-"&amp;D1030&amp;"-H"&amp;TEXT(E1030,"00")&amp;"-"&amp;H1030)</f>
        <v>SAMP-KG01-L22-20251224-ORD-2025-00217-H20-Blister</v>
      </c>
      <c r="K1030" s="1" t="str">
        <f aca="false">IF(A1030="","",IF(AND(G1030&gt;=0,I1030&gt;=0,I1030&lt;=G1030),"OK","CHECK"))</f>
        <v>OK</v>
      </c>
      <c r="L1030" s="1" t="str">
        <f aca="false">IF(A1030="","",IF(AND(E1030&gt;=0,E1030&lt;=23),"OK","CHECK"))</f>
        <v>OK</v>
      </c>
      <c r="M1030" s="1" t="str">
        <f aca="false">IF(A1030="","",IF(AND(K1030="OK",L1030="OK"),"OK","CHECK"))</f>
        <v>OK</v>
      </c>
    </row>
    <row r="1031" customFormat="false" ht="18" hidden="false" customHeight="true" outlineLevel="0" collapsed="false">
      <c r="A1031" s="9" t="s">
        <v>26</v>
      </c>
      <c r="B1031" s="9" t="n">
        <v>22</v>
      </c>
      <c r="C1031" s="11" t="n">
        <v>46015</v>
      </c>
      <c r="D1031" s="9" t="s">
        <v>106</v>
      </c>
      <c r="E1031" s="12" t="n">
        <v>16</v>
      </c>
      <c r="F1031" s="9" t="s">
        <v>31</v>
      </c>
      <c r="G1031" s="13" t="n">
        <v>50</v>
      </c>
      <c r="H1031" s="9" t="s">
        <v>29</v>
      </c>
      <c r="I1031" s="13" t="n">
        <v>2</v>
      </c>
      <c r="J1031" s="1" t="str">
        <f aca="false">IF(A1031="","", "SAMP-"&amp;A1031&amp;"-L"&amp;TEXT(B1031,"00")&amp;"-"&amp;TEXT(C1031,"yyyymmdd")&amp;"-"&amp;D1031&amp;"-H"&amp;TEXT(E1031,"00")&amp;"-"&amp;H1031)</f>
        <v>SAMP-KG01-L22-20251224-ORD-2025-00217-H16-Choke Neck</v>
      </c>
      <c r="K1031" s="1" t="str">
        <f aca="false">IF(A1031="","",IF(AND(G1031&gt;=0,I1031&gt;=0,I1031&lt;=G1031),"OK","CHECK"))</f>
        <v>OK</v>
      </c>
      <c r="L1031" s="1" t="str">
        <f aca="false">IF(A1031="","",IF(AND(E1031&gt;=0,E1031&lt;=23),"OK","CHECK"))</f>
        <v>OK</v>
      </c>
      <c r="M1031" s="1" t="str">
        <f aca="false">IF(A1031="","",IF(AND(K1031="OK",L1031="OK"),"OK","CHECK"))</f>
        <v>OK</v>
      </c>
    </row>
    <row r="1032" customFormat="false" ht="18" hidden="false" customHeight="true" outlineLevel="0" collapsed="false">
      <c r="A1032" s="9" t="s">
        <v>26</v>
      </c>
      <c r="B1032" s="9" t="n">
        <v>22</v>
      </c>
      <c r="C1032" s="11" t="n">
        <v>46016</v>
      </c>
      <c r="D1032" s="9" t="s">
        <v>106</v>
      </c>
      <c r="E1032" s="12" t="n">
        <v>9</v>
      </c>
      <c r="F1032" s="9" t="s">
        <v>28</v>
      </c>
      <c r="G1032" s="13" t="n">
        <v>150</v>
      </c>
      <c r="H1032" s="9" t="s">
        <v>34</v>
      </c>
      <c r="I1032" s="13" t="n">
        <v>4</v>
      </c>
      <c r="J1032" s="1" t="str">
        <f aca="false">IF(A1032="","", "SAMP-"&amp;A1032&amp;"-L"&amp;TEXT(B1032,"00")&amp;"-"&amp;TEXT(C1032,"yyyymmdd")&amp;"-"&amp;D1032&amp;"-H"&amp;TEXT(E1032,"00")&amp;"-"&amp;H1032)</f>
        <v>SAMP-KG01-L22-20251225-ORD-2025-00217-H09-Thin Wall</v>
      </c>
      <c r="K1032" s="1" t="str">
        <f aca="false">IF(A1032="","",IF(AND(G1032&gt;=0,I1032&gt;=0,I1032&lt;=G1032),"OK","CHECK"))</f>
        <v>OK</v>
      </c>
      <c r="L1032" s="1" t="str">
        <f aca="false">IF(A1032="","",IF(AND(E1032&gt;=0,E1032&lt;=23),"OK","CHECK"))</f>
        <v>OK</v>
      </c>
      <c r="M1032" s="1" t="str">
        <f aca="false">IF(A1032="","",IF(AND(K1032="OK",L1032="OK"),"OK","CHECK"))</f>
        <v>OK</v>
      </c>
    </row>
    <row r="1033" customFormat="false" ht="18" hidden="false" customHeight="true" outlineLevel="0" collapsed="false">
      <c r="A1033" s="9" t="s">
        <v>26</v>
      </c>
      <c r="B1033" s="9" t="n">
        <v>22</v>
      </c>
      <c r="C1033" s="11" t="n">
        <v>46016</v>
      </c>
      <c r="D1033" s="9" t="s">
        <v>106</v>
      </c>
      <c r="E1033" s="12" t="n">
        <v>12</v>
      </c>
      <c r="F1033" s="9" t="s">
        <v>28</v>
      </c>
      <c r="G1033" s="13" t="n">
        <v>150</v>
      </c>
      <c r="H1033" s="9" t="s">
        <v>36</v>
      </c>
      <c r="I1033" s="13" t="n">
        <v>5</v>
      </c>
      <c r="J1033" s="1" t="str">
        <f aca="false">IF(A1033="","", "SAMP-"&amp;A1033&amp;"-L"&amp;TEXT(B1033,"00")&amp;"-"&amp;TEXT(C1033,"yyyymmdd")&amp;"-"&amp;D1033&amp;"-H"&amp;TEXT(E1033,"00")&amp;"-"&amp;H1033)</f>
        <v>SAMP-KG01-L22-20251225-ORD-2025-00217-H12-Blister</v>
      </c>
      <c r="K1033" s="1" t="str">
        <f aca="false">IF(A1033="","",IF(AND(G1033&gt;=0,I1033&gt;=0,I1033&lt;=G1033),"OK","CHECK"))</f>
        <v>OK</v>
      </c>
      <c r="L1033" s="1" t="str">
        <f aca="false">IF(A1033="","",IF(AND(E1033&gt;=0,E1033&lt;=23),"OK","CHECK"))</f>
        <v>OK</v>
      </c>
      <c r="M1033" s="1" t="str">
        <f aca="false">IF(A1033="","",IF(AND(K1033="OK",L1033="OK"),"OK","CHECK"))</f>
        <v>OK</v>
      </c>
    </row>
    <row r="1034" customFormat="false" ht="18" hidden="false" customHeight="true" outlineLevel="0" collapsed="false">
      <c r="A1034" s="9" t="s">
        <v>26</v>
      </c>
      <c r="B1034" s="9" t="n">
        <v>22</v>
      </c>
      <c r="C1034" s="11" t="n">
        <v>46016</v>
      </c>
      <c r="D1034" s="9" t="s">
        <v>106</v>
      </c>
      <c r="E1034" s="12" t="n">
        <v>7</v>
      </c>
      <c r="F1034" s="9" t="s">
        <v>28</v>
      </c>
      <c r="G1034" s="13" t="n">
        <v>50</v>
      </c>
      <c r="H1034" s="9" t="s">
        <v>41</v>
      </c>
      <c r="I1034" s="13" t="n">
        <v>1</v>
      </c>
      <c r="J1034" s="1" t="str">
        <f aca="false">IF(A1034="","", "SAMP-"&amp;A1034&amp;"-L"&amp;TEXT(B1034,"00")&amp;"-"&amp;TEXT(C1034,"yyyymmdd")&amp;"-"&amp;D1034&amp;"-H"&amp;TEXT(E1034,"00")&amp;"-"&amp;H1034)</f>
        <v>SAMP-KG01-L22-20251225-ORD-2025-00217-H07-Chip</v>
      </c>
      <c r="K1034" s="1" t="str">
        <f aca="false">IF(A1034="","",IF(AND(G1034&gt;=0,I1034&gt;=0,I1034&lt;=G1034),"OK","CHECK"))</f>
        <v>OK</v>
      </c>
      <c r="L1034" s="1" t="str">
        <f aca="false">IF(A1034="","",IF(AND(E1034&gt;=0,E1034&lt;=23),"OK","CHECK"))</f>
        <v>OK</v>
      </c>
      <c r="M1034" s="1" t="str">
        <f aca="false">IF(A1034="","",IF(AND(K1034="OK",L1034="OK"),"OK","CHECK"))</f>
        <v>OK</v>
      </c>
    </row>
    <row r="1035" customFormat="false" ht="18" hidden="false" customHeight="true" outlineLevel="0" collapsed="false">
      <c r="A1035" s="9" t="s">
        <v>26</v>
      </c>
      <c r="B1035" s="9" t="n">
        <v>22</v>
      </c>
      <c r="C1035" s="11" t="n">
        <v>46016</v>
      </c>
      <c r="D1035" s="9" t="s">
        <v>106</v>
      </c>
      <c r="E1035" s="12" t="n">
        <v>16</v>
      </c>
      <c r="F1035" s="9" t="s">
        <v>31</v>
      </c>
      <c r="G1035" s="13" t="n">
        <v>150</v>
      </c>
      <c r="H1035" s="9" t="s">
        <v>36</v>
      </c>
      <c r="I1035" s="13" t="n">
        <v>2</v>
      </c>
      <c r="J1035" s="1" t="str">
        <f aca="false">IF(A1035="","", "SAMP-"&amp;A1035&amp;"-L"&amp;TEXT(B1035,"00")&amp;"-"&amp;TEXT(C1035,"yyyymmdd")&amp;"-"&amp;D1035&amp;"-H"&amp;TEXT(E1035,"00")&amp;"-"&amp;H1035)</f>
        <v>SAMP-KG01-L22-20251225-ORD-2025-00217-H16-Blister</v>
      </c>
      <c r="K1035" s="1" t="str">
        <f aca="false">IF(A1035="","",IF(AND(G1035&gt;=0,I1035&gt;=0,I1035&lt;=G1035),"OK","CHECK"))</f>
        <v>OK</v>
      </c>
      <c r="L1035" s="1" t="str">
        <f aca="false">IF(A1035="","",IF(AND(E1035&gt;=0,E1035&lt;=23),"OK","CHECK"))</f>
        <v>OK</v>
      </c>
      <c r="M1035" s="1" t="str">
        <f aca="false">IF(A1035="","",IF(AND(K1035="OK",L1035="OK"),"OK","CHECK"))</f>
        <v>OK</v>
      </c>
    </row>
    <row r="1036" customFormat="false" ht="18" hidden="false" customHeight="true" outlineLevel="0" collapsed="false">
      <c r="A1036" s="9" t="s">
        <v>26</v>
      </c>
      <c r="B1036" s="9" t="n">
        <v>22</v>
      </c>
      <c r="C1036" s="11" t="n">
        <v>46016</v>
      </c>
      <c r="D1036" s="9" t="s">
        <v>106</v>
      </c>
      <c r="E1036" s="12" t="n">
        <v>20</v>
      </c>
      <c r="F1036" s="9" t="s">
        <v>31</v>
      </c>
      <c r="G1036" s="13" t="n">
        <v>50</v>
      </c>
      <c r="H1036" s="9" t="s">
        <v>38</v>
      </c>
      <c r="I1036" s="13" t="n">
        <v>0</v>
      </c>
      <c r="J1036" s="1" t="str">
        <f aca="false">IF(A1036="","", "SAMP-"&amp;A1036&amp;"-L"&amp;TEXT(B1036,"00")&amp;"-"&amp;TEXT(C1036,"yyyymmdd")&amp;"-"&amp;D1036&amp;"-H"&amp;TEXT(E1036,"00")&amp;"-"&amp;H1036)</f>
        <v>SAMP-KG01-L22-20251225-ORD-2025-00217-H20-Crack</v>
      </c>
      <c r="K1036" s="1" t="str">
        <f aca="false">IF(A1036="","",IF(AND(G1036&gt;=0,I1036&gt;=0,I1036&lt;=G1036),"OK","CHECK"))</f>
        <v>OK</v>
      </c>
      <c r="L1036" s="1" t="str">
        <f aca="false">IF(A1036="","",IF(AND(E1036&gt;=0,E1036&lt;=23),"OK","CHECK"))</f>
        <v>OK</v>
      </c>
      <c r="M1036" s="1" t="str">
        <f aca="false">IF(A1036="","",IF(AND(K1036="OK",L1036="OK"),"OK","CHECK"))</f>
        <v>OK</v>
      </c>
    </row>
    <row r="1037" customFormat="false" ht="18" hidden="false" customHeight="true" outlineLevel="0" collapsed="false">
      <c r="A1037" s="9" t="s">
        <v>26</v>
      </c>
      <c r="B1037" s="9" t="n">
        <v>22</v>
      </c>
      <c r="C1037" s="11" t="n">
        <v>46016</v>
      </c>
      <c r="D1037" s="9" t="s">
        <v>106</v>
      </c>
      <c r="E1037" s="12" t="n">
        <v>23</v>
      </c>
      <c r="F1037" s="9" t="s">
        <v>31</v>
      </c>
      <c r="G1037" s="13" t="n">
        <v>200</v>
      </c>
      <c r="H1037" s="9" t="s">
        <v>36</v>
      </c>
      <c r="I1037" s="13" t="n">
        <v>1</v>
      </c>
      <c r="J1037" s="1" t="str">
        <f aca="false">IF(A1037="","", "SAMP-"&amp;A1037&amp;"-L"&amp;TEXT(B1037,"00")&amp;"-"&amp;TEXT(C1037,"yyyymmdd")&amp;"-"&amp;D1037&amp;"-H"&amp;TEXT(E1037,"00")&amp;"-"&amp;H1037)</f>
        <v>SAMP-KG01-L22-20251225-ORD-2025-00217-H23-Blister</v>
      </c>
      <c r="K1037" s="1" t="str">
        <f aca="false">IF(A1037="","",IF(AND(G1037&gt;=0,I1037&gt;=0,I1037&lt;=G1037),"OK","CHECK"))</f>
        <v>OK</v>
      </c>
      <c r="L1037" s="1" t="str">
        <f aca="false">IF(A1037="","",IF(AND(E1037&gt;=0,E1037&lt;=23),"OK","CHECK"))</f>
        <v>OK</v>
      </c>
      <c r="M1037" s="1" t="str">
        <f aca="false">IF(A1037="","",IF(AND(K1037="OK",L1037="OK"),"OK","CHECK"))</f>
        <v>OK</v>
      </c>
    </row>
    <row r="1038" customFormat="false" ht="18" hidden="false" customHeight="true" outlineLevel="0" collapsed="false">
      <c r="A1038" s="9" t="s">
        <v>26</v>
      </c>
      <c r="B1038" s="9" t="n">
        <v>22</v>
      </c>
      <c r="C1038" s="11" t="n">
        <v>46017</v>
      </c>
      <c r="D1038" s="9" t="s">
        <v>106</v>
      </c>
      <c r="E1038" s="12" t="n">
        <v>7</v>
      </c>
      <c r="F1038" s="9" t="s">
        <v>28</v>
      </c>
      <c r="G1038" s="13" t="n">
        <v>200</v>
      </c>
      <c r="H1038" s="9" t="s">
        <v>38</v>
      </c>
      <c r="I1038" s="13" t="n">
        <v>4</v>
      </c>
      <c r="J1038" s="1" t="str">
        <f aca="false">IF(A1038="","", "SAMP-"&amp;A1038&amp;"-L"&amp;TEXT(B1038,"00")&amp;"-"&amp;TEXT(C1038,"yyyymmdd")&amp;"-"&amp;D1038&amp;"-H"&amp;TEXT(E1038,"00")&amp;"-"&amp;H1038)</f>
        <v>SAMP-KG01-L22-20251226-ORD-2025-00217-H07-Crack</v>
      </c>
      <c r="K1038" s="1" t="str">
        <f aca="false">IF(A1038="","",IF(AND(G1038&gt;=0,I1038&gt;=0,I1038&lt;=G1038),"OK","CHECK"))</f>
        <v>OK</v>
      </c>
      <c r="L1038" s="1" t="str">
        <f aca="false">IF(A1038="","",IF(AND(E1038&gt;=0,E1038&lt;=23),"OK","CHECK"))</f>
        <v>OK</v>
      </c>
      <c r="M1038" s="1" t="str">
        <f aca="false">IF(A1038="","",IF(AND(K1038="OK",L1038="OK"),"OK","CHECK"))</f>
        <v>OK</v>
      </c>
    </row>
    <row r="1039" customFormat="false" ht="18" hidden="false" customHeight="true" outlineLevel="0" collapsed="false">
      <c r="A1039" s="9" t="s">
        <v>26</v>
      </c>
      <c r="B1039" s="9" t="n">
        <v>22</v>
      </c>
      <c r="C1039" s="11" t="n">
        <v>46017</v>
      </c>
      <c r="D1039" s="9" t="s">
        <v>106</v>
      </c>
      <c r="E1039" s="12" t="n">
        <v>12</v>
      </c>
      <c r="F1039" s="9" t="s">
        <v>28</v>
      </c>
      <c r="G1039" s="13" t="n">
        <v>150</v>
      </c>
      <c r="H1039" s="9" t="s">
        <v>38</v>
      </c>
      <c r="I1039" s="13" t="n">
        <v>7</v>
      </c>
      <c r="J1039" s="1" t="str">
        <f aca="false">IF(A1039="","", "SAMP-"&amp;A1039&amp;"-L"&amp;TEXT(B1039,"00")&amp;"-"&amp;TEXT(C1039,"yyyymmdd")&amp;"-"&amp;D1039&amp;"-H"&amp;TEXT(E1039,"00")&amp;"-"&amp;H1039)</f>
        <v>SAMP-KG01-L22-20251226-ORD-2025-00217-H12-Crack</v>
      </c>
      <c r="K1039" s="1" t="str">
        <f aca="false">IF(A1039="","",IF(AND(G1039&gt;=0,I1039&gt;=0,I1039&lt;=G1039),"OK","CHECK"))</f>
        <v>OK</v>
      </c>
      <c r="L1039" s="1" t="str">
        <f aca="false">IF(A1039="","",IF(AND(E1039&gt;=0,E1039&lt;=23),"OK","CHECK"))</f>
        <v>OK</v>
      </c>
      <c r="M1039" s="1" t="str">
        <f aca="false">IF(A1039="","",IF(AND(K1039="OK",L1039="OK"),"OK","CHECK"))</f>
        <v>OK</v>
      </c>
    </row>
    <row r="1040" customFormat="false" ht="18" hidden="false" customHeight="true" outlineLevel="0" collapsed="false">
      <c r="A1040" s="9" t="s">
        <v>26</v>
      </c>
      <c r="B1040" s="9" t="n">
        <v>22</v>
      </c>
      <c r="C1040" s="11" t="n">
        <v>46017</v>
      </c>
      <c r="D1040" s="9" t="s">
        <v>106</v>
      </c>
      <c r="E1040" s="12" t="n">
        <v>9</v>
      </c>
      <c r="F1040" s="9" t="s">
        <v>28</v>
      </c>
      <c r="G1040" s="13" t="n">
        <v>150</v>
      </c>
      <c r="H1040" s="9" t="s">
        <v>30</v>
      </c>
      <c r="I1040" s="13" t="n">
        <v>3</v>
      </c>
      <c r="J1040" s="1" t="str">
        <f aca="false">IF(A1040="","", "SAMP-"&amp;A1040&amp;"-L"&amp;TEXT(B1040,"00")&amp;"-"&amp;TEXT(C1040,"yyyymmdd")&amp;"-"&amp;D1040&amp;"-H"&amp;TEXT(E1040,"00")&amp;"-"&amp;H1040)</f>
        <v>SAMP-KG01-L22-20251226-ORD-2025-00217-H09-Overpress</v>
      </c>
      <c r="K1040" s="1" t="str">
        <f aca="false">IF(A1040="","",IF(AND(G1040&gt;=0,I1040&gt;=0,I1040&lt;=G1040),"OK","CHECK"))</f>
        <v>OK</v>
      </c>
      <c r="L1040" s="1" t="str">
        <f aca="false">IF(A1040="","",IF(AND(E1040&gt;=0,E1040&lt;=23),"OK","CHECK"))</f>
        <v>OK</v>
      </c>
      <c r="M1040" s="1" t="str">
        <f aca="false">IF(A1040="","",IF(AND(K1040="OK",L1040="OK"),"OK","CHECK"))</f>
        <v>OK</v>
      </c>
    </row>
    <row r="1041" customFormat="false" ht="18" hidden="false" customHeight="true" outlineLevel="0" collapsed="false">
      <c r="A1041" s="9" t="s">
        <v>26</v>
      </c>
      <c r="B1041" s="9" t="n">
        <v>22</v>
      </c>
      <c r="C1041" s="11" t="n">
        <v>46017</v>
      </c>
      <c r="D1041" s="9" t="s">
        <v>106</v>
      </c>
      <c r="E1041" s="12" t="n">
        <v>23</v>
      </c>
      <c r="F1041" s="9" t="s">
        <v>31</v>
      </c>
      <c r="G1041" s="13" t="n">
        <v>100</v>
      </c>
      <c r="H1041" s="9" t="s">
        <v>41</v>
      </c>
      <c r="I1041" s="13" t="n">
        <v>3</v>
      </c>
      <c r="J1041" s="1" t="str">
        <f aca="false">IF(A1041="","", "SAMP-"&amp;A1041&amp;"-L"&amp;TEXT(B1041,"00")&amp;"-"&amp;TEXT(C1041,"yyyymmdd")&amp;"-"&amp;D1041&amp;"-H"&amp;TEXT(E1041,"00")&amp;"-"&amp;H1041)</f>
        <v>SAMP-KG01-L22-20251226-ORD-2025-00217-H23-Chip</v>
      </c>
      <c r="K1041" s="1" t="str">
        <f aca="false">IF(A1041="","",IF(AND(G1041&gt;=0,I1041&gt;=0,I1041&lt;=G1041),"OK","CHECK"))</f>
        <v>OK</v>
      </c>
      <c r="L1041" s="1" t="str">
        <f aca="false">IF(A1041="","",IF(AND(E1041&gt;=0,E1041&lt;=23),"OK","CHECK"))</f>
        <v>OK</v>
      </c>
      <c r="M1041" s="1" t="str">
        <f aca="false">IF(A1041="","",IF(AND(K1041="OK",L1041="OK"),"OK","CHECK"))</f>
        <v>OK</v>
      </c>
    </row>
    <row r="1042" customFormat="false" ht="18" hidden="false" customHeight="true" outlineLevel="0" collapsed="false">
      <c r="A1042" s="9" t="s">
        <v>26</v>
      </c>
      <c r="B1042" s="9" t="n">
        <v>22</v>
      </c>
      <c r="C1042" s="11" t="n">
        <v>46017</v>
      </c>
      <c r="D1042" s="9" t="s">
        <v>106</v>
      </c>
      <c r="E1042" s="12" t="n">
        <v>16</v>
      </c>
      <c r="F1042" s="9" t="s">
        <v>31</v>
      </c>
      <c r="G1042" s="13" t="n">
        <v>50</v>
      </c>
      <c r="H1042" s="9" t="s">
        <v>41</v>
      </c>
      <c r="I1042" s="13" t="n">
        <v>0</v>
      </c>
      <c r="J1042" s="1" t="str">
        <f aca="false">IF(A1042="","", "SAMP-"&amp;A1042&amp;"-L"&amp;TEXT(B1042,"00")&amp;"-"&amp;TEXT(C1042,"yyyymmdd")&amp;"-"&amp;D1042&amp;"-H"&amp;TEXT(E1042,"00")&amp;"-"&amp;H1042)</f>
        <v>SAMP-KG01-L22-20251226-ORD-2025-00217-H16-Chip</v>
      </c>
      <c r="K1042" s="1" t="str">
        <f aca="false">IF(A1042="","",IF(AND(G1042&gt;=0,I1042&gt;=0,I1042&lt;=G1042),"OK","CHECK"))</f>
        <v>OK</v>
      </c>
      <c r="L1042" s="1" t="str">
        <f aca="false">IF(A1042="","",IF(AND(E1042&gt;=0,E1042&lt;=23),"OK","CHECK"))</f>
        <v>OK</v>
      </c>
      <c r="M1042" s="1" t="str">
        <f aca="false">IF(A1042="","",IF(AND(K1042="OK",L1042="OK"),"OK","CHECK"))</f>
        <v>OK</v>
      </c>
    </row>
    <row r="1043" customFormat="false" ht="18" hidden="false" customHeight="true" outlineLevel="0" collapsed="false">
      <c r="A1043" s="9" t="s">
        <v>26</v>
      </c>
      <c r="B1043" s="9" t="n">
        <v>22</v>
      </c>
      <c r="C1043" s="11" t="n">
        <v>46017</v>
      </c>
      <c r="D1043" s="9" t="s">
        <v>106</v>
      </c>
      <c r="E1043" s="12" t="n">
        <v>20</v>
      </c>
      <c r="F1043" s="9" t="s">
        <v>31</v>
      </c>
      <c r="G1043" s="13" t="n">
        <v>100</v>
      </c>
      <c r="H1043" s="9" t="s">
        <v>29</v>
      </c>
      <c r="I1043" s="13" t="n">
        <v>1</v>
      </c>
      <c r="J1043" s="1" t="str">
        <f aca="false">IF(A1043="","", "SAMP-"&amp;A1043&amp;"-L"&amp;TEXT(B1043,"00")&amp;"-"&amp;TEXT(C1043,"yyyymmdd")&amp;"-"&amp;D1043&amp;"-H"&amp;TEXT(E1043,"00")&amp;"-"&amp;H1043)</f>
        <v>SAMP-KG01-L22-20251226-ORD-2025-00217-H20-Choke Neck</v>
      </c>
      <c r="K1043" s="1" t="str">
        <f aca="false">IF(A1043="","",IF(AND(G1043&gt;=0,I1043&gt;=0,I1043&lt;=G1043),"OK","CHECK"))</f>
        <v>OK</v>
      </c>
      <c r="L1043" s="1" t="str">
        <f aca="false">IF(A1043="","",IF(AND(E1043&gt;=0,E1043&lt;=23),"OK","CHECK"))</f>
        <v>OK</v>
      </c>
      <c r="M1043" s="1" t="str">
        <f aca="false">IF(A1043="","",IF(AND(K1043="OK",L1043="OK"),"OK","CHECK"))</f>
        <v>OK</v>
      </c>
    </row>
    <row r="1044" customFormat="false" ht="18" hidden="false" customHeight="true" outlineLevel="0" collapsed="false">
      <c r="A1044" s="9" t="s">
        <v>26</v>
      </c>
      <c r="B1044" s="9" t="n">
        <v>22</v>
      </c>
      <c r="C1044" s="11" t="n">
        <v>46018</v>
      </c>
      <c r="D1044" s="9" t="s">
        <v>106</v>
      </c>
      <c r="E1044" s="12" t="n">
        <v>7</v>
      </c>
      <c r="F1044" s="9" t="s">
        <v>28</v>
      </c>
      <c r="G1044" s="13" t="n">
        <v>200</v>
      </c>
      <c r="H1044" s="9" t="s">
        <v>41</v>
      </c>
      <c r="I1044" s="13" t="n">
        <v>7</v>
      </c>
      <c r="J1044" s="1" t="str">
        <f aca="false">IF(A1044="","", "SAMP-"&amp;A1044&amp;"-L"&amp;TEXT(B1044,"00")&amp;"-"&amp;TEXT(C1044,"yyyymmdd")&amp;"-"&amp;D1044&amp;"-H"&amp;TEXT(E1044,"00")&amp;"-"&amp;H1044)</f>
        <v>SAMP-KG01-L22-20251227-ORD-2025-00217-H07-Chip</v>
      </c>
      <c r="K1044" s="1" t="str">
        <f aca="false">IF(A1044="","",IF(AND(G1044&gt;=0,I1044&gt;=0,I1044&lt;=G1044),"OK","CHECK"))</f>
        <v>OK</v>
      </c>
      <c r="L1044" s="1" t="str">
        <f aca="false">IF(A1044="","",IF(AND(E1044&gt;=0,E1044&lt;=23),"OK","CHECK"))</f>
        <v>OK</v>
      </c>
      <c r="M1044" s="1" t="str">
        <f aca="false">IF(A1044="","",IF(AND(K1044="OK",L1044="OK"),"OK","CHECK"))</f>
        <v>OK</v>
      </c>
    </row>
    <row r="1045" customFormat="false" ht="18" hidden="false" customHeight="true" outlineLevel="0" collapsed="false">
      <c r="A1045" s="9" t="s">
        <v>26</v>
      </c>
      <c r="B1045" s="9" t="n">
        <v>22</v>
      </c>
      <c r="C1045" s="11" t="n">
        <v>46018</v>
      </c>
      <c r="D1045" s="9" t="s">
        <v>106</v>
      </c>
      <c r="E1045" s="12" t="n">
        <v>12</v>
      </c>
      <c r="F1045" s="9" t="s">
        <v>28</v>
      </c>
      <c r="G1045" s="13" t="n">
        <v>200</v>
      </c>
      <c r="H1045" s="9" t="s">
        <v>38</v>
      </c>
      <c r="I1045" s="13" t="n">
        <v>6</v>
      </c>
      <c r="J1045" s="1" t="str">
        <f aca="false">IF(A1045="","", "SAMP-"&amp;A1045&amp;"-L"&amp;TEXT(B1045,"00")&amp;"-"&amp;TEXT(C1045,"yyyymmdd")&amp;"-"&amp;D1045&amp;"-H"&amp;TEXT(E1045,"00")&amp;"-"&amp;H1045)</f>
        <v>SAMP-KG01-L22-20251227-ORD-2025-00217-H12-Crack</v>
      </c>
      <c r="K1045" s="1" t="str">
        <f aca="false">IF(A1045="","",IF(AND(G1045&gt;=0,I1045&gt;=0,I1045&lt;=G1045),"OK","CHECK"))</f>
        <v>OK</v>
      </c>
      <c r="L1045" s="1" t="str">
        <f aca="false">IF(A1045="","",IF(AND(E1045&gt;=0,E1045&lt;=23),"OK","CHECK"))</f>
        <v>OK</v>
      </c>
      <c r="M1045" s="1" t="str">
        <f aca="false">IF(A1045="","",IF(AND(K1045="OK",L1045="OK"),"OK","CHECK"))</f>
        <v>OK</v>
      </c>
    </row>
    <row r="1046" customFormat="false" ht="18" hidden="false" customHeight="true" outlineLevel="0" collapsed="false">
      <c r="A1046" s="9" t="s">
        <v>26</v>
      </c>
      <c r="B1046" s="9" t="n">
        <v>22</v>
      </c>
      <c r="C1046" s="11" t="n">
        <v>46018</v>
      </c>
      <c r="D1046" s="9" t="s">
        <v>106</v>
      </c>
      <c r="E1046" s="12" t="n">
        <v>9</v>
      </c>
      <c r="F1046" s="9" t="s">
        <v>28</v>
      </c>
      <c r="G1046" s="13" t="n">
        <v>50</v>
      </c>
      <c r="H1046" s="9" t="s">
        <v>30</v>
      </c>
      <c r="I1046" s="13" t="n">
        <v>3</v>
      </c>
      <c r="J1046" s="1" t="str">
        <f aca="false">IF(A1046="","", "SAMP-"&amp;A1046&amp;"-L"&amp;TEXT(B1046,"00")&amp;"-"&amp;TEXT(C1046,"yyyymmdd")&amp;"-"&amp;D1046&amp;"-H"&amp;TEXT(E1046,"00")&amp;"-"&amp;H1046)</f>
        <v>SAMP-KG01-L22-20251227-ORD-2025-00217-H09-Overpress</v>
      </c>
      <c r="K1046" s="1" t="str">
        <f aca="false">IF(A1046="","",IF(AND(G1046&gt;=0,I1046&gt;=0,I1046&lt;=G1046),"OK","CHECK"))</f>
        <v>OK</v>
      </c>
      <c r="L1046" s="1" t="str">
        <f aca="false">IF(A1046="","",IF(AND(E1046&gt;=0,E1046&lt;=23),"OK","CHECK"))</f>
        <v>OK</v>
      </c>
      <c r="M1046" s="1" t="str">
        <f aca="false">IF(A1046="","",IF(AND(K1046="OK",L1046="OK"),"OK","CHECK"))</f>
        <v>OK</v>
      </c>
    </row>
    <row r="1047" customFormat="false" ht="18" hidden="false" customHeight="true" outlineLevel="0" collapsed="false">
      <c r="A1047" s="9" t="s">
        <v>26</v>
      </c>
      <c r="B1047" s="9" t="n">
        <v>22</v>
      </c>
      <c r="C1047" s="11" t="n">
        <v>46018</v>
      </c>
      <c r="D1047" s="9" t="s">
        <v>106</v>
      </c>
      <c r="E1047" s="12" t="n">
        <v>20</v>
      </c>
      <c r="F1047" s="9" t="s">
        <v>31</v>
      </c>
      <c r="G1047" s="13" t="n">
        <v>150</v>
      </c>
      <c r="H1047" s="9" t="s">
        <v>30</v>
      </c>
      <c r="I1047" s="13" t="n">
        <v>2</v>
      </c>
      <c r="J1047" s="1" t="str">
        <f aca="false">IF(A1047="","", "SAMP-"&amp;A1047&amp;"-L"&amp;TEXT(B1047,"00")&amp;"-"&amp;TEXT(C1047,"yyyymmdd")&amp;"-"&amp;D1047&amp;"-H"&amp;TEXT(E1047,"00")&amp;"-"&amp;H1047)</f>
        <v>SAMP-KG01-L22-20251227-ORD-2025-00217-H20-Overpress</v>
      </c>
      <c r="K1047" s="1" t="str">
        <f aca="false">IF(A1047="","",IF(AND(G1047&gt;=0,I1047&gt;=0,I1047&lt;=G1047),"OK","CHECK"))</f>
        <v>OK</v>
      </c>
      <c r="L1047" s="1" t="str">
        <f aca="false">IF(A1047="","",IF(AND(E1047&gt;=0,E1047&lt;=23),"OK","CHECK"))</f>
        <v>OK</v>
      </c>
      <c r="M1047" s="1" t="str">
        <f aca="false">IF(A1047="","",IF(AND(K1047="OK",L1047="OK"),"OK","CHECK"))</f>
        <v>OK</v>
      </c>
    </row>
    <row r="1048" customFormat="false" ht="18" hidden="false" customHeight="true" outlineLevel="0" collapsed="false">
      <c r="A1048" s="9" t="s">
        <v>26</v>
      </c>
      <c r="B1048" s="9" t="n">
        <v>22</v>
      </c>
      <c r="C1048" s="11" t="n">
        <v>46018</v>
      </c>
      <c r="D1048" s="9" t="s">
        <v>106</v>
      </c>
      <c r="E1048" s="12" t="n">
        <v>23</v>
      </c>
      <c r="F1048" s="9" t="s">
        <v>31</v>
      </c>
      <c r="G1048" s="13" t="n">
        <v>150</v>
      </c>
      <c r="H1048" s="9" t="s">
        <v>30</v>
      </c>
      <c r="I1048" s="13" t="n">
        <v>6</v>
      </c>
      <c r="J1048" s="1" t="str">
        <f aca="false">IF(A1048="","", "SAMP-"&amp;A1048&amp;"-L"&amp;TEXT(B1048,"00")&amp;"-"&amp;TEXT(C1048,"yyyymmdd")&amp;"-"&amp;D1048&amp;"-H"&amp;TEXT(E1048,"00")&amp;"-"&amp;H1048)</f>
        <v>SAMP-KG01-L22-20251227-ORD-2025-00217-H23-Overpress</v>
      </c>
      <c r="K1048" s="1" t="str">
        <f aca="false">IF(A1048="","",IF(AND(G1048&gt;=0,I1048&gt;=0,I1048&lt;=G1048),"OK","CHECK"))</f>
        <v>OK</v>
      </c>
      <c r="L1048" s="1" t="str">
        <f aca="false">IF(A1048="","",IF(AND(E1048&gt;=0,E1048&lt;=23),"OK","CHECK"))</f>
        <v>OK</v>
      </c>
      <c r="M1048" s="1" t="str">
        <f aca="false">IF(A1048="","",IF(AND(K1048="OK",L1048="OK"),"OK","CHECK"))</f>
        <v>OK</v>
      </c>
    </row>
    <row r="1049" customFormat="false" ht="18" hidden="false" customHeight="true" outlineLevel="0" collapsed="false">
      <c r="A1049" s="9" t="s">
        <v>26</v>
      </c>
      <c r="B1049" s="9" t="n">
        <v>22</v>
      </c>
      <c r="C1049" s="11" t="n">
        <v>46018</v>
      </c>
      <c r="D1049" s="9" t="s">
        <v>106</v>
      </c>
      <c r="E1049" s="12" t="n">
        <v>16</v>
      </c>
      <c r="F1049" s="9" t="s">
        <v>31</v>
      </c>
      <c r="G1049" s="13" t="n">
        <v>200</v>
      </c>
      <c r="H1049" s="9" t="s">
        <v>38</v>
      </c>
      <c r="I1049" s="13" t="n">
        <v>7</v>
      </c>
      <c r="J1049" s="1" t="str">
        <f aca="false">IF(A1049="","", "SAMP-"&amp;A1049&amp;"-L"&amp;TEXT(B1049,"00")&amp;"-"&amp;TEXT(C1049,"yyyymmdd")&amp;"-"&amp;D1049&amp;"-H"&amp;TEXT(E1049,"00")&amp;"-"&amp;H1049)</f>
        <v>SAMP-KG01-L22-20251227-ORD-2025-00217-H16-Crack</v>
      </c>
      <c r="K1049" s="1" t="str">
        <f aca="false">IF(A1049="","",IF(AND(G1049&gt;=0,I1049&gt;=0,I1049&lt;=G1049),"OK","CHECK"))</f>
        <v>OK</v>
      </c>
      <c r="L1049" s="1" t="str">
        <f aca="false">IF(A1049="","",IF(AND(E1049&gt;=0,E1049&lt;=23),"OK","CHECK"))</f>
        <v>OK</v>
      </c>
      <c r="M1049" s="1" t="str">
        <f aca="false">IF(A1049="","",IF(AND(K1049="OK",L1049="OK"),"OK","CHECK"))</f>
        <v>OK</v>
      </c>
    </row>
    <row r="1050" customFormat="false" ht="18" hidden="false" customHeight="true" outlineLevel="0" collapsed="false">
      <c r="A1050" s="9" t="s">
        <v>26</v>
      </c>
      <c r="B1050" s="9" t="n">
        <v>22</v>
      </c>
      <c r="C1050" s="11" t="n">
        <v>46019</v>
      </c>
      <c r="D1050" s="9" t="s">
        <v>107</v>
      </c>
      <c r="E1050" s="12" t="n">
        <v>9</v>
      </c>
      <c r="F1050" s="9" t="s">
        <v>28</v>
      </c>
      <c r="G1050" s="13" t="n">
        <v>150</v>
      </c>
      <c r="H1050" s="9" t="s">
        <v>33</v>
      </c>
      <c r="I1050" s="13" t="n">
        <v>2</v>
      </c>
      <c r="J1050" s="1" t="str">
        <f aca="false">IF(A1050="","", "SAMP-"&amp;A1050&amp;"-L"&amp;TEXT(B1050,"00")&amp;"-"&amp;TEXT(C1050,"yyyymmdd")&amp;"-"&amp;D1050&amp;"-H"&amp;TEXT(E1050,"00")&amp;"-"&amp;H1050)</f>
        <v>SAMP-KG01-L22-20251228-ORD-2025-00218-H09-Distortion</v>
      </c>
      <c r="K1050" s="1" t="str">
        <f aca="false">IF(A1050="","",IF(AND(G1050&gt;=0,I1050&gt;=0,I1050&lt;=G1050),"OK","CHECK"))</f>
        <v>OK</v>
      </c>
      <c r="L1050" s="1" t="str">
        <f aca="false">IF(A1050="","",IF(AND(E1050&gt;=0,E1050&lt;=23),"OK","CHECK"))</f>
        <v>OK</v>
      </c>
      <c r="M1050" s="1" t="str">
        <f aca="false">IF(A1050="","",IF(AND(K1050="OK",L1050="OK"),"OK","CHECK"))</f>
        <v>OK</v>
      </c>
    </row>
    <row r="1051" customFormat="false" ht="18" hidden="false" customHeight="true" outlineLevel="0" collapsed="false">
      <c r="A1051" s="9" t="s">
        <v>26</v>
      </c>
      <c r="B1051" s="9" t="n">
        <v>22</v>
      </c>
      <c r="C1051" s="11" t="n">
        <v>46019</v>
      </c>
      <c r="D1051" s="9" t="s">
        <v>107</v>
      </c>
      <c r="E1051" s="12" t="n">
        <v>7</v>
      </c>
      <c r="F1051" s="9" t="s">
        <v>28</v>
      </c>
      <c r="G1051" s="13" t="n">
        <v>150</v>
      </c>
      <c r="H1051" s="9" t="s">
        <v>38</v>
      </c>
      <c r="I1051" s="13" t="n">
        <v>0</v>
      </c>
      <c r="J1051" s="1" t="str">
        <f aca="false">IF(A1051="","", "SAMP-"&amp;A1051&amp;"-L"&amp;TEXT(B1051,"00")&amp;"-"&amp;TEXT(C1051,"yyyymmdd")&amp;"-"&amp;D1051&amp;"-H"&amp;TEXT(E1051,"00")&amp;"-"&amp;H1051)</f>
        <v>SAMP-KG01-L22-20251228-ORD-2025-00218-H07-Crack</v>
      </c>
      <c r="K1051" s="1" t="str">
        <f aca="false">IF(A1051="","",IF(AND(G1051&gt;=0,I1051&gt;=0,I1051&lt;=G1051),"OK","CHECK"))</f>
        <v>OK</v>
      </c>
      <c r="L1051" s="1" t="str">
        <f aca="false">IF(A1051="","",IF(AND(E1051&gt;=0,E1051&lt;=23),"OK","CHECK"))</f>
        <v>OK</v>
      </c>
      <c r="M1051" s="1" t="str">
        <f aca="false">IF(A1051="","",IF(AND(K1051="OK",L1051="OK"),"OK","CHECK"))</f>
        <v>OK</v>
      </c>
    </row>
    <row r="1052" customFormat="false" ht="18" hidden="false" customHeight="true" outlineLevel="0" collapsed="false">
      <c r="A1052" s="9" t="s">
        <v>26</v>
      </c>
      <c r="B1052" s="9" t="n">
        <v>22</v>
      </c>
      <c r="C1052" s="11" t="n">
        <v>46019</v>
      </c>
      <c r="D1052" s="9" t="s">
        <v>107</v>
      </c>
      <c r="E1052" s="12" t="n">
        <v>12</v>
      </c>
      <c r="F1052" s="9" t="s">
        <v>28</v>
      </c>
      <c r="G1052" s="13" t="n">
        <v>50</v>
      </c>
      <c r="H1052" s="9" t="s">
        <v>37</v>
      </c>
      <c r="I1052" s="13" t="n">
        <v>1</v>
      </c>
      <c r="J1052" s="1" t="str">
        <f aca="false">IF(A1052="","", "SAMP-"&amp;A1052&amp;"-L"&amp;TEXT(B1052,"00")&amp;"-"&amp;TEXT(C1052,"yyyymmdd")&amp;"-"&amp;D1052&amp;"-H"&amp;TEXT(E1052,"00")&amp;"-"&amp;H1052)</f>
        <v>SAMP-KG01-L22-20251228-ORD-2025-00218-H12-Bird Swing</v>
      </c>
      <c r="K1052" s="1" t="str">
        <f aca="false">IF(A1052="","",IF(AND(G1052&gt;=0,I1052&gt;=0,I1052&lt;=G1052),"OK","CHECK"))</f>
        <v>OK</v>
      </c>
      <c r="L1052" s="1" t="str">
        <f aca="false">IF(A1052="","",IF(AND(E1052&gt;=0,E1052&lt;=23),"OK","CHECK"))</f>
        <v>OK</v>
      </c>
      <c r="M1052" s="1" t="str">
        <f aca="false">IF(A1052="","",IF(AND(K1052="OK",L1052="OK"),"OK","CHECK"))</f>
        <v>OK</v>
      </c>
    </row>
    <row r="1053" customFormat="false" ht="18" hidden="false" customHeight="true" outlineLevel="0" collapsed="false">
      <c r="A1053" s="9" t="s">
        <v>26</v>
      </c>
      <c r="B1053" s="9" t="n">
        <v>22</v>
      </c>
      <c r="C1053" s="11" t="n">
        <v>46019</v>
      </c>
      <c r="D1053" s="9" t="s">
        <v>107</v>
      </c>
      <c r="E1053" s="12" t="n">
        <v>20</v>
      </c>
      <c r="F1053" s="9" t="s">
        <v>31</v>
      </c>
      <c r="G1053" s="13" t="n">
        <v>200</v>
      </c>
      <c r="H1053" s="9" t="s">
        <v>36</v>
      </c>
      <c r="I1053" s="13" t="n">
        <v>6</v>
      </c>
      <c r="J1053" s="1" t="str">
        <f aca="false">IF(A1053="","", "SAMP-"&amp;A1053&amp;"-L"&amp;TEXT(B1053,"00")&amp;"-"&amp;TEXT(C1053,"yyyymmdd")&amp;"-"&amp;D1053&amp;"-H"&amp;TEXT(E1053,"00")&amp;"-"&amp;H1053)</f>
        <v>SAMP-KG01-L22-20251228-ORD-2025-00218-H20-Blister</v>
      </c>
      <c r="K1053" s="1" t="str">
        <f aca="false">IF(A1053="","",IF(AND(G1053&gt;=0,I1053&gt;=0,I1053&lt;=G1053),"OK","CHECK"))</f>
        <v>OK</v>
      </c>
      <c r="L1053" s="1" t="str">
        <f aca="false">IF(A1053="","",IF(AND(E1053&gt;=0,E1053&lt;=23),"OK","CHECK"))</f>
        <v>OK</v>
      </c>
      <c r="M1053" s="1" t="str">
        <f aca="false">IF(A1053="","",IF(AND(K1053="OK",L1053="OK"),"OK","CHECK"))</f>
        <v>OK</v>
      </c>
    </row>
    <row r="1054" customFormat="false" ht="18" hidden="false" customHeight="true" outlineLevel="0" collapsed="false">
      <c r="A1054" s="9" t="s">
        <v>26</v>
      </c>
      <c r="B1054" s="9" t="n">
        <v>22</v>
      </c>
      <c r="C1054" s="11" t="n">
        <v>46019</v>
      </c>
      <c r="D1054" s="9" t="s">
        <v>107</v>
      </c>
      <c r="E1054" s="12" t="n">
        <v>16</v>
      </c>
      <c r="F1054" s="9" t="s">
        <v>31</v>
      </c>
      <c r="G1054" s="13" t="n">
        <v>100</v>
      </c>
      <c r="H1054" s="9" t="s">
        <v>41</v>
      </c>
      <c r="I1054" s="13" t="n">
        <v>3</v>
      </c>
      <c r="J1054" s="1" t="str">
        <f aca="false">IF(A1054="","", "SAMP-"&amp;A1054&amp;"-L"&amp;TEXT(B1054,"00")&amp;"-"&amp;TEXT(C1054,"yyyymmdd")&amp;"-"&amp;D1054&amp;"-H"&amp;TEXT(E1054,"00")&amp;"-"&amp;H1054)</f>
        <v>SAMP-KG01-L22-20251228-ORD-2025-00218-H16-Chip</v>
      </c>
      <c r="K1054" s="1" t="str">
        <f aca="false">IF(A1054="","",IF(AND(G1054&gt;=0,I1054&gt;=0,I1054&lt;=G1054),"OK","CHECK"))</f>
        <v>OK</v>
      </c>
      <c r="L1054" s="1" t="str">
        <f aca="false">IF(A1054="","",IF(AND(E1054&gt;=0,E1054&lt;=23),"OK","CHECK"))</f>
        <v>OK</v>
      </c>
      <c r="M1054" s="1" t="str">
        <f aca="false">IF(A1054="","",IF(AND(K1054="OK",L1054="OK"),"OK","CHECK"))</f>
        <v>OK</v>
      </c>
    </row>
    <row r="1055" customFormat="false" ht="18" hidden="false" customHeight="true" outlineLevel="0" collapsed="false">
      <c r="A1055" s="9" t="s">
        <v>26</v>
      </c>
      <c r="B1055" s="9" t="n">
        <v>22</v>
      </c>
      <c r="C1055" s="11" t="n">
        <v>46019</v>
      </c>
      <c r="D1055" s="9" t="s">
        <v>107</v>
      </c>
      <c r="E1055" s="12" t="n">
        <v>23</v>
      </c>
      <c r="F1055" s="9" t="s">
        <v>31</v>
      </c>
      <c r="G1055" s="13" t="n">
        <v>100</v>
      </c>
      <c r="H1055" s="9" t="s">
        <v>30</v>
      </c>
      <c r="I1055" s="13" t="n">
        <v>5</v>
      </c>
      <c r="J1055" s="1" t="str">
        <f aca="false">IF(A1055="","", "SAMP-"&amp;A1055&amp;"-L"&amp;TEXT(B1055,"00")&amp;"-"&amp;TEXT(C1055,"yyyymmdd")&amp;"-"&amp;D1055&amp;"-H"&amp;TEXT(E1055,"00")&amp;"-"&amp;H1055)</f>
        <v>SAMP-KG01-L22-20251228-ORD-2025-00218-H23-Overpress</v>
      </c>
      <c r="K1055" s="1" t="str">
        <f aca="false">IF(A1055="","",IF(AND(G1055&gt;=0,I1055&gt;=0,I1055&lt;=G1055),"OK","CHECK"))</f>
        <v>OK</v>
      </c>
      <c r="L1055" s="1" t="str">
        <f aca="false">IF(A1055="","",IF(AND(E1055&gt;=0,E1055&lt;=23),"OK","CHECK"))</f>
        <v>OK</v>
      </c>
      <c r="M1055" s="1" t="str">
        <f aca="false">IF(A1055="","",IF(AND(K1055="OK",L1055="OK"),"OK","CHECK"))</f>
        <v>OK</v>
      </c>
    </row>
    <row r="1056" customFormat="false" ht="18" hidden="false" customHeight="true" outlineLevel="0" collapsed="false">
      <c r="A1056" s="9" t="s">
        <v>26</v>
      </c>
      <c r="B1056" s="9" t="n">
        <v>22</v>
      </c>
      <c r="C1056" s="11" t="n">
        <v>46020</v>
      </c>
      <c r="D1056" s="9" t="s">
        <v>107</v>
      </c>
      <c r="E1056" s="12" t="n">
        <v>7</v>
      </c>
      <c r="F1056" s="9" t="s">
        <v>28</v>
      </c>
      <c r="G1056" s="13" t="n">
        <v>150</v>
      </c>
      <c r="H1056" s="9" t="s">
        <v>41</v>
      </c>
      <c r="I1056" s="13" t="n">
        <v>5</v>
      </c>
      <c r="J1056" s="1" t="str">
        <f aca="false">IF(A1056="","", "SAMP-"&amp;A1056&amp;"-L"&amp;TEXT(B1056,"00")&amp;"-"&amp;TEXT(C1056,"yyyymmdd")&amp;"-"&amp;D1056&amp;"-H"&amp;TEXT(E1056,"00")&amp;"-"&amp;H1056)</f>
        <v>SAMP-KG01-L22-20251229-ORD-2025-00218-H07-Chip</v>
      </c>
      <c r="K1056" s="1" t="str">
        <f aca="false">IF(A1056="","",IF(AND(G1056&gt;=0,I1056&gt;=0,I1056&lt;=G1056),"OK","CHECK"))</f>
        <v>OK</v>
      </c>
      <c r="L1056" s="1" t="str">
        <f aca="false">IF(A1056="","",IF(AND(E1056&gt;=0,E1056&lt;=23),"OK","CHECK"))</f>
        <v>OK</v>
      </c>
      <c r="M1056" s="1" t="str">
        <f aca="false">IF(A1056="","",IF(AND(K1056="OK",L1056="OK"),"OK","CHECK"))</f>
        <v>OK</v>
      </c>
    </row>
    <row r="1057" customFormat="false" ht="18" hidden="false" customHeight="true" outlineLevel="0" collapsed="false">
      <c r="A1057" s="9" t="s">
        <v>26</v>
      </c>
      <c r="B1057" s="9" t="n">
        <v>22</v>
      </c>
      <c r="C1057" s="11" t="n">
        <v>46020</v>
      </c>
      <c r="D1057" s="9" t="s">
        <v>107</v>
      </c>
      <c r="E1057" s="12" t="n">
        <v>9</v>
      </c>
      <c r="F1057" s="9" t="s">
        <v>28</v>
      </c>
      <c r="G1057" s="13" t="n">
        <v>100</v>
      </c>
      <c r="H1057" s="9" t="s">
        <v>41</v>
      </c>
      <c r="I1057" s="13" t="n">
        <v>2</v>
      </c>
      <c r="J1057" s="1" t="str">
        <f aca="false">IF(A1057="","", "SAMP-"&amp;A1057&amp;"-L"&amp;TEXT(B1057,"00")&amp;"-"&amp;TEXT(C1057,"yyyymmdd")&amp;"-"&amp;D1057&amp;"-H"&amp;TEXT(E1057,"00")&amp;"-"&amp;H1057)</f>
        <v>SAMP-KG01-L22-20251229-ORD-2025-00218-H09-Chip</v>
      </c>
      <c r="K1057" s="1" t="str">
        <f aca="false">IF(A1057="","",IF(AND(G1057&gt;=0,I1057&gt;=0,I1057&lt;=G1057),"OK","CHECK"))</f>
        <v>OK</v>
      </c>
      <c r="L1057" s="1" t="str">
        <f aca="false">IF(A1057="","",IF(AND(E1057&gt;=0,E1057&lt;=23),"OK","CHECK"))</f>
        <v>OK</v>
      </c>
      <c r="M1057" s="1" t="str">
        <f aca="false">IF(A1057="","",IF(AND(K1057="OK",L1057="OK"),"OK","CHECK"))</f>
        <v>OK</v>
      </c>
    </row>
    <row r="1058" customFormat="false" ht="18" hidden="false" customHeight="true" outlineLevel="0" collapsed="false">
      <c r="A1058" s="9" t="s">
        <v>26</v>
      </c>
      <c r="B1058" s="9" t="n">
        <v>22</v>
      </c>
      <c r="C1058" s="11" t="n">
        <v>46020</v>
      </c>
      <c r="D1058" s="9" t="s">
        <v>107</v>
      </c>
      <c r="E1058" s="12" t="n">
        <v>20</v>
      </c>
      <c r="F1058" s="9" t="s">
        <v>31</v>
      </c>
      <c r="G1058" s="13" t="n">
        <v>50</v>
      </c>
      <c r="H1058" s="9" t="s">
        <v>33</v>
      </c>
      <c r="I1058" s="13" t="n">
        <v>0</v>
      </c>
      <c r="J1058" s="1" t="str">
        <f aca="false">IF(A1058="","", "SAMP-"&amp;A1058&amp;"-L"&amp;TEXT(B1058,"00")&amp;"-"&amp;TEXT(C1058,"yyyymmdd")&amp;"-"&amp;D1058&amp;"-H"&amp;TEXT(E1058,"00")&amp;"-"&amp;H1058)</f>
        <v>SAMP-KG01-L22-20251229-ORD-2025-00218-H20-Distortion</v>
      </c>
      <c r="K1058" s="1" t="str">
        <f aca="false">IF(A1058="","",IF(AND(G1058&gt;=0,I1058&gt;=0,I1058&lt;=G1058),"OK","CHECK"))</f>
        <v>OK</v>
      </c>
      <c r="L1058" s="1" t="str">
        <f aca="false">IF(A1058="","",IF(AND(E1058&gt;=0,E1058&lt;=23),"OK","CHECK"))</f>
        <v>OK</v>
      </c>
      <c r="M1058" s="1" t="str">
        <f aca="false">IF(A1058="","",IF(AND(K1058="OK",L1058="OK"),"OK","CHECK"))</f>
        <v>OK</v>
      </c>
    </row>
    <row r="1059" customFormat="false" ht="18" hidden="false" customHeight="true" outlineLevel="0" collapsed="false">
      <c r="A1059" s="9" t="s">
        <v>26</v>
      </c>
      <c r="B1059" s="9" t="n">
        <v>22</v>
      </c>
      <c r="C1059" s="11" t="n">
        <v>46020</v>
      </c>
      <c r="D1059" s="9" t="s">
        <v>107</v>
      </c>
      <c r="E1059" s="12" t="n">
        <v>23</v>
      </c>
      <c r="F1059" s="9" t="s">
        <v>31</v>
      </c>
      <c r="G1059" s="13" t="n">
        <v>200</v>
      </c>
      <c r="H1059" s="9" t="s">
        <v>29</v>
      </c>
      <c r="I1059" s="13" t="n">
        <v>5</v>
      </c>
      <c r="J1059" s="1" t="str">
        <f aca="false">IF(A1059="","", "SAMP-"&amp;A1059&amp;"-L"&amp;TEXT(B1059,"00")&amp;"-"&amp;TEXT(C1059,"yyyymmdd")&amp;"-"&amp;D1059&amp;"-H"&amp;TEXT(E1059,"00")&amp;"-"&amp;H1059)</f>
        <v>SAMP-KG01-L22-20251229-ORD-2025-00218-H23-Choke Neck</v>
      </c>
      <c r="K1059" s="1" t="str">
        <f aca="false">IF(A1059="","",IF(AND(G1059&gt;=0,I1059&gt;=0,I1059&lt;=G1059),"OK","CHECK"))</f>
        <v>OK</v>
      </c>
      <c r="L1059" s="1" t="str">
        <f aca="false">IF(A1059="","",IF(AND(E1059&gt;=0,E1059&lt;=23),"OK","CHECK"))</f>
        <v>OK</v>
      </c>
      <c r="M1059" s="1" t="str">
        <f aca="false">IF(A1059="","",IF(AND(K1059="OK",L1059="OK"),"OK","CHECK"))</f>
        <v>OK</v>
      </c>
    </row>
    <row r="1060" customFormat="false" ht="18" hidden="false" customHeight="true" outlineLevel="0" collapsed="false">
      <c r="A1060" s="9" t="s">
        <v>26</v>
      </c>
      <c r="B1060" s="9" t="n">
        <v>22</v>
      </c>
      <c r="C1060" s="11" t="n">
        <v>46020</v>
      </c>
      <c r="D1060" s="9" t="s">
        <v>107</v>
      </c>
      <c r="E1060" s="12" t="n">
        <v>16</v>
      </c>
      <c r="F1060" s="9" t="s">
        <v>31</v>
      </c>
      <c r="G1060" s="13" t="n">
        <v>150</v>
      </c>
      <c r="H1060" s="9" t="s">
        <v>34</v>
      </c>
      <c r="I1060" s="13" t="n">
        <v>8</v>
      </c>
      <c r="J1060" s="1" t="str">
        <f aca="false">IF(A1060="","", "SAMP-"&amp;A1060&amp;"-L"&amp;TEXT(B1060,"00")&amp;"-"&amp;TEXT(C1060,"yyyymmdd")&amp;"-"&amp;D1060&amp;"-H"&amp;TEXT(E1060,"00")&amp;"-"&amp;H1060)</f>
        <v>SAMP-KG01-L22-20251229-ORD-2025-00218-H16-Thin Wall</v>
      </c>
      <c r="K1060" s="1" t="str">
        <f aca="false">IF(A1060="","",IF(AND(G1060&gt;=0,I1060&gt;=0,I1060&lt;=G1060),"OK","CHECK"))</f>
        <v>OK</v>
      </c>
      <c r="L1060" s="1" t="str">
        <f aca="false">IF(A1060="","",IF(AND(E1060&gt;=0,E1060&lt;=23),"OK","CHECK"))</f>
        <v>OK</v>
      </c>
      <c r="M1060" s="1" t="str">
        <f aca="false">IF(A1060="","",IF(AND(K1060="OK",L1060="OK"),"OK","CHECK"))</f>
        <v>OK</v>
      </c>
    </row>
    <row r="1061" customFormat="false" ht="18" hidden="false" customHeight="true" outlineLevel="0" collapsed="false">
      <c r="A1061" s="9" t="s">
        <v>26</v>
      </c>
      <c r="B1061" s="9" t="n">
        <v>22</v>
      </c>
      <c r="C1061" s="11" t="n">
        <v>46021</v>
      </c>
      <c r="D1061" s="9" t="s">
        <v>107</v>
      </c>
      <c r="E1061" s="12" t="n">
        <v>9</v>
      </c>
      <c r="F1061" s="9" t="s">
        <v>28</v>
      </c>
      <c r="G1061" s="13" t="n">
        <v>150</v>
      </c>
      <c r="H1061" s="9" t="s">
        <v>35</v>
      </c>
      <c r="I1061" s="13" t="n">
        <v>2</v>
      </c>
      <c r="J1061" s="1" t="str">
        <f aca="false">IF(A1061="","", "SAMP-"&amp;A1061&amp;"-L"&amp;TEXT(B1061,"00")&amp;"-"&amp;TEXT(C1061,"yyyymmdd")&amp;"-"&amp;D1061&amp;"-H"&amp;TEXT(E1061,"00")&amp;"-"&amp;H1061)</f>
        <v>SAMP-KG01-L22-20251230-ORD-2025-00218-H09-Stone</v>
      </c>
      <c r="K1061" s="1" t="str">
        <f aca="false">IF(A1061="","",IF(AND(G1061&gt;=0,I1061&gt;=0,I1061&lt;=G1061),"OK","CHECK"))</f>
        <v>OK</v>
      </c>
      <c r="L1061" s="1" t="str">
        <f aca="false">IF(A1061="","",IF(AND(E1061&gt;=0,E1061&lt;=23),"OK","CHECK"))</f>
        <v>OK</v>
      </c>
      <c r="M1061" s="1" t="str">
        <f aca="false">IF(A1061="","",IF(AND(K1061="OK",L1061="OK"),"OK","CHECK"))</f>
        <v>OK</v>
      </c>
    </row>
    <row r="1062" customFormat="false" ht="18" hidden="false" customHeight="true" outlineLevel="0" collapsed="false">
      <c r="A1062" s="9" t="s">
        <v>26</v>
      </c>
      <c r="B1062" s="9" t="n">
        <v>22</v>
      </c>
      <c r="C1062" s="11" t="n">
        <v>46021</v>
      </c>
      <c r="D1062" s="9" t="s">
        <v>107</v>
      </c>
      <c r="E1062" s="12" t="n">
        <v>7</v>
      </c>
      <c r="F1062" s="9" t="s">
        <v>28</v>
      </c>
      <c r="G1062" s="13" t="n">
        <v>100</v>
      </c>
      <c r="H1062" s="9" t="s">
        <v>38</v>
      </c>
      <c r="I1062" s="13" t="n">
        <v>3</v>
      </c>
      <c r="J1062" s="1" t="str">
        <f aca="false">IF(A1062="","", "SAMP-"&amp;A1062&amp;"-L"&amp;TEXT(B1062,"00")&amp;"-"&amp;TEXT(C1062,"yyyymmdd")&amp;"-"&amp;D1062&amp;"-H"&amp;TEXT(E1062,"00")&amp;"-"&amp;H1062)</f>
        <v>SAMP-KG01-L22-20251230-ORD-2025-00218-H07-Crack</v>
      </c>
      <c r="K1062" s="1" t="str">
        <f aca="false">IF(A1062="","",IF(AND(G1062&gt;=0,I1062&gt;=0,I1062&lt;=G1062),"OK","CHECK"))</f>
        <v>OK</v>
      </c>
      <c r="L1062" s="1" t="str">
        <f aca="false">IF(A1062="","",IF(AND(E1062&gt;=0,E1062&lt;=23),"OK","CHECK"))</f>
        <v>OK</v>
      </c>
      <c r="M1062" s="1" t="str">
        <f aca="false">IF(A1062="","",IF(AND(K1062="OK",L1062="OK"),"OK","CHECK"))</f>
        <v>OK</v>
      </c>
    </row>
    <row r="1063" customFormat="false" ht="18" hidden="false" customHeight="true" outlineLevel="0" collapsed="false">
      <c r="A1063" s="9" t="s">
        <v>26</v>
      </c>
      <c r="B1063" s="9" t="n">
        <v>22</v>
      </c>
      <c r="C1063" s="11" t="n">
        <v>46021</v>
      </c>
      <c r="D1063" s="9" t="s">
        <v>107</v>
      </c>
      <c r="E1063" s="12" t="n">
        <v>20</v>
      </c>
      <c r="F1063" s="9" t="s">
        <v>31</v>
      </c>
      <c r="G1063" s="13" t="n">
        <v>150</v>
      </c>
      <c r="H1063" s="9" t="s">
        <v>41</v>
      </c>
      <c r="I1063" s="13" t="n">
        <v>0</v>
      </c>
      <c r="J1063" s="1" t="str">
        <f aca="false">IF(A1063="","", "SAMP-"&amp;A1063&amp;"-L"&amp;TEXT(B1063,"00")&amp;"-"&amp;TEXT(C1063,"yyyymmdd")&amp;"-"&amp;D1063&amp;"-H"&amp;TEXT(E1063,"00")&amp;"-"&amp;H1063)</f>
        <v>SAMP-KG01-L22-20251230-ORD-2025-00218-H20-Chip</v>
      </c>
      <c r="K1063" s="1" t="str">
        <f aca="false">IF(A1063="","",IF(AND(G1063&gt;=0,I1063&gt;=0,I1063&lt;=G1063),"OK","CHECK"))</f>
        <v>OK</v>
      </c>
      <c r="L1063" s="1" t="str">
        <f aca="false">IF(A1063="","",IF(AND(E1063&gt;=0,E1063&lt;=23),"OK","CHECK"))</f>
        <v>OK</v>
      </c>
      <c r="M1063" s="1" t="str">
        <f aca="false">IF(A1063="","",IF(AND(K1063="OK",L1063="OK"),"OK","CHECK"))</f>
        <v>OK</v>
      </c>
    </row>
    <row r="1064" customFormat="false" ht="18" hidden="false" customHeight="true" outlineLevel="0" collapsed="false">
      <c r="A1064" s="9" t="s">
        <v>26</v>
      </c>
      <c r="B1064" s="9" t="n">
        <v>22</v>
      </c>
      <c r="C1064" s="11" t="n">
        <v>46021</v>
      </c>
      <c r="D1064" s="9" t="s">
        <v>107</v>
      </c>
      <c r="E1064" s="12" t="n">
        <v>23</v>
      </c>
      <c r="F1064" s="9" t="s">
        <v>31</v>
      </c>
      <c r="G1064" s="13" t="n">
        <v>200</v>
      </c>
      <c r="H1064" s="9" t="s">
        <v>38</v>
      </c>
      <c r="I1064" s="13" t="n">
        <v>10</v>
      </c>
      <c r="J1064" s="1" t="str">
        <f aca="false">IF(A1064="","", "SAMP-"&amp;A1064&amp;"-L"&amp;TEXT(B1064,"00")&amp;"-"&amp;TEXT(C1064,"yyyymmdd")&amp;"-"&amp;D1064&amp;"-H"&amp;TEXT(E1064,"00")&amp;"-"&amp;H1064)</f>
        <v>SAMP-KG01-L22-20251230-ORD-2025-00218-H23-Crack</v>
      </c>
      <c r="K1064" s="1" t="str">
        <f aca="false">IF(A1064="","",IF(AND(G1064&gt;=0,I1064&gt;=0,I1064&lt;=G1064),"OK","CHECK"))</f>
        <v>OK</v>
      </c>
      <c r="L1064" s="1" t="str">
        <f aca="false">IF(A1064="","",IF(AND(E1064&gt;=0,E1064&lt;=23),"OK","CHECK"))</f>
        <v>OK</v>
      </c>
      <c r="M1064" s="1" t="str">
        <f aca="false">IF(A1064="","",IF(AND(K1064="OK",L1064="OK"),"OK","CHECK"))</f>
        <v>OK</v>
      </c>
    </row>
    <row r="1065" customFormat="false" ht="18" hidden="false" customHeight="true" outlineLevel="0" collapsed="false">
      <c r="A1065" s="9" t="s">
        <v>26</v>
      </c>
      <c r="B1065" s="9" t="n">
        <v>22</v>
      </c>
      <c r="C1065" s="11" t="n">
        <v>46022</v>
      </c>
      <c r="D1065" s="9" t="s">
        <v>107</v>
      </c>
      <c r="E1065" s="12" t="n">
        <v>12</v>
      </c>
      <c r="F1065" s="9" t="s">
        <v>28</v>
      </c>
      <c r="G1065" s="13" t="n">
        <v>150</v>
      </c>
      <c r="H1065" s="9" t="s">
        <v>36</v>
      </c>
      <c r="I1065" s="13" t="n">
        <v>3</v>
      </c>
      <c r="J1065" s="1" t="str">
        <f aca="false">IF(A1065="","", "SAMP-"&amp;A1065&amp;"-L"&amp;TEXT(B1065,"00")&amp;"-"&amp;TEXT(C1065,"yyyymmdd")&amp;"-"&amp;D1065&amp;"-H"&amp;TEXT(E1065,"00")&amp;"-"&amp;H1065)</f>
        <v>SAMP-KG01-L22-20251231-ORD-2025-00218-H12-Blister</v>
      </c>
      <c r="K1065" s="1" t="str">
        <f aca="false">IF(A1065="","",IF(AND(G1065&gt;=0,I1065&gt;=0,I1065&lt;=G1065),"OK","CHECK"))</f>
        <v>OK</v>
      </c>
      <c r="L1065" s="1" t="str">
        <f aca="false">IF(A1065="","",IF(AND(E1065&gt;=0,E1065&lt;=23),"OK","CHECK"))</f>
        <v>OK</v>
      </c>
      <c r="M1065" s="1" t="str">
        <f aca="false">IF(A1065="","",IF(AND(K1065="OK",L1065="OK"),"OK","CHECK"))</f>
        <v>OK</v>
      </c>
    </row>
    <row r="1066" customFormat="false" ht="18" hidden="false" customHeight="true" outlineLevel="0" collapsed="false">
      <c r="A1066" s="9" t="s">
        <v>26</v>
      </c>
      <c r="B1066" s="9" t="n">
        <v>22</v>
      </c>
      <c r="C1066" s="11" t="n">
        <v>46022</v>
      </c>
      <c r="D1066" s="9" t="s">
        <v>107</v>
      </c>
      <c r="E1066" s="12" t="n">
        <v>7</v>
      </c>
      <c r="F1066" s="9" t="s">
        <v>28</v>
      </c>
      <c r="G1066" s="13" t="n">
        <v>50</v>
      </c>
      <c r="H1066" s="9" t="s">
        <v>36</v>
      </c>
      <c r="I1066" s="13" t="n">
        <v>1</v>
      </c>
      <c r="J1066" s="1" t="str">
        <f aca="false">IF(A1066="","", "SAMP-"&amp;A1066&amp;"-L"&amp;TEXT(B1066,"00")&amp;"-"&amp;TEXT(C1066,"yyyymmdd")&amp;"-"&amp;D1066&amp;"-H"&amp;TEXT(E1066,"00")&amp;"-"&amp;H1066)</f>
        <v>SAMP-KG01-L22-20251231-ORD-2025-00218-H07-Blister</v>
      </c>
      <c r="K1066" s="1" t="str">
        <f aca="false">IF(A1066="","",IF(AND(G1066&gt;=0,I1066&gt;=0,I1066&lt;=G1066),"OK","CHECK"))</f>
        <v>OK</v>
      </c>
      <c r="L1066" s="1" t="str">
        <f aca="false">IF(A1066="","",IF(AND(E1066&gt;=0,E1066&lt;=23),"OK","CHECK"))</f>
        <v>OK</v>
      </c>
      <c r="M1066" s="1" t="str">
        <f aca="false">IF(A1066="","",IF(AND(K1066="OK",L1066="OK"),"OK","CHECK"))</f>
        <v>OK</v>
      </c>
    </row>
    <row r="1067" customFormat="false" ht="18" hidden="false" customHeight="true" outlineLevel="0" collapsed="false">
      <c r="A1067" s="9" t="s">
        <v>26</v>
      </c>
      <c r="B1067" s="9" t="n">
        <v>22</v>
      </c>
      <c r="C1067" s="11" t="n">
        <v>46022</v>
      </c>
      <c r="D1067" s="9" t="s">
        <v>107</v>
      </c>
      <c r="E1067" s="12" t="n">
        <v>9</v>
      </c>
      <c r="F1067" s="9" t="s">
        <v>28</v>
      </c>
      <c r="G1067" s="13" t="n">
        <v>150</v>
      </c>
      <c r="H1067" s="9" t="s">
        <v>35</v>
      </c>
      <c r="I1067" s="13" t="n">
        <v>5</v>
      </c>
      <c r="J1067" s="1" t="str">
        <f aca="false">IF(A1067="","", "SAMP-"&amp;A1067&amp;"-L"&amp;TEXT(B1067,"00")&amp;"-"&amp;TEXT(C1067,"yyyymmdd")&amp;"-"&amp;D1067&amp;"-H"&amp;TEXT(E1067,"00")&amp;"-"&amp;H1067)</f>
        <v>SAMP-KG01-L22-20251231-ORD-2025-00218-H09-Stone</v>
      </c>
      <c r="K1067" s="1" t="str">
        <f aca="false">IF(A1067="","",IF(AND(G1067&gt;=0,I1067&gt;=0,I1067&lt;=G1067),"OK","CHECK"))</f>
        <v>OK</v>
      </c>
      <c r="L1067" s="1" t="str">
        <f aca="false">IF(A1067="","",IF(AND(E1067&gt;=0,E1067&lt;=23),"OK","CHECK"))</f>
        <v>OK</v>
      </c>
      <c r="M1067" s="1" t="str">
        <f aca="false">IF(A1067="","",IF(AND(K1067="OK",L1067="OK"),"OK","CHECK"))</f>
        <v>OK</v>
      </c>
    </row>
    <row r="1068" customFormat="false" ht="18" hidden="false" customHeight="true" outlineLevel="0" collapsed="false">
      <c r="A1068" s="9" t="s">
        <v>26</v>
      </c>
      <c r="B1068" s="9" t="n">
        <v>22</v>
      </c>
      <c r="C1068" s="11" t="n">
        <v>46022</v>
      </c>
      <c r="D1068" s="9" t="s">
        <v>107</v>
      </c>
      <c r="E1068" s="12" t="n">
        <v>16</v>
      </c>
      <c r="F1068" s="9" t="s">
        <v>31</v>
      </c>
      <c r="G1068" s="13" t="n">
        <v>100</v>
      </c>
      <c r="H1068" s="9" t="s">
        <v>35</v>
      </c>
      <c r="I1068" s="13" t="n">
        <v>1</v>
      </c>
      <c r="J1068" s="1" t="str">
        <f aca="false">IF(A1068="","", "SAMP-"&amp;A1068&amp;"-L"&amp;TEXT(B1068,"00")&amp;"-"&amp;TEXT(C1068,"yyyymmdd")&amp;"-"&amp;D1068&amp;"-H"&amp;TEXT(E1068,"00")&amp;"-"&amp;H1068)</f>
        <v>SAMP-KG01-L22-20251231-ORD-2025-00218-H16-Stone</v>
      </c>
      <c r="K1068" s="1" t="str">
        <f aca="false">IF(A1068="","",IF(AND(G1068&gt;=0,I1068&gt;=0,I1068&lt;=G1068),"OK","CHECK"))</f>
        <v>OK</v>
      </c>
      <c r="L1068" s="1" t="str">
        <f aca="false">IF(A1068="","",IF(AND(E1068&gt;=0,E1068&lt;=23),"OK","CHECK"))</f>
        <v>OK</v>
      </c>
      <c r="M1068" s="1" t="str">
        <f aca="false">IF(A1068="","",IF(AND(K1068="OK",L1068="OK"),"OK","CHECK"))</f>
        <v>OK</v>
      </c>
    </row>
    <row r="1069" customFormat="false" ht="18" hidden="false" customHeight="true" outlineLevel="0" collapsed="false">
      <c r="A1069" s="9" t="s">
        <v>26</v>
      </c>
      <c r="B1069" s="9" t="n">
        <v>22</v>
      </c>
      <c r="C1069" s="11" t="n">
        <v>46022</v>
      </c>
      <c r="D1069" s="9" t="s">
        <v>107</v>
      </c>
      <c r="E1069" s="12" t="n">
        <v>20</v>
      </c>
      <c r="F1069" s="9" t="s">
        <v>31</v>
      </c>
      <c r="G1069" s="13" t="n">
        <v>100</v>
      </c>
      <c r="H1069" s="9" t="s">
        <v>29</v>
      </c>
      <c r="I1069" s="13" t="n">
        <v>4</v>
      </c>
      <c r="J1069" s="1" t="str">
        <f aca="false">IF(A1069="","", "SAMP-"&amp;A1069&amp;"-L"&amp;TEXT(B1069,"00")&amp;"-"&amp;TEXT(C1069,"yyyymmdd")&amp;"-"&amp;D1069&amp;"-H"&amp;TEXT(E1069,"00")&amp;"-"&amp;H1069)</f>
        <v>SAMP-KG01-L22-20251231-ORD-2025-00218-H20-Choke Neck</v>
      </c>
      <c r="K1069" s="1" t="str">
        <f aca="false">IF(A1069="","",IF(AND(G1069&gt;=0,I1069&gt;=0,I1069&lt;=G1069),"OK","CHECK"))</f>
        <v>OK</v>
      </c>
      <c r="L1069" s="1" t="str">
        <f aca="false">IF(A1069="","",IF(AND(E1069&gt;=0,E1069&lt;=23),"OK","CHECK"))</f>
        <v>OK</v>
      </c>
      <c r="M1069" s="1" t="str">
        <f aca="false">IF(A1069="","",IF(AND(K1069="OK",L1069="OK"),"OK","CHECK"))</f>
        <v>OK</v>
      </c>
    </row>
    <row r="1070" customFormat="false" ht="18" hidden="false" customHeight="true" outlineLevel="0" collapsed="false">
      <c r="A1070" s="9" t="s">
        <v>26</v>
      </c>
      <c r="B1070" s="9" t="n">
        <v>22</v>
      </c>
      <c r="C1070" s="11" t="n">
        <v>46022</v>
      </c>
      <c r="D1070" s="9" t="s">
        <v>107</v>
      </c>
      <c r="E1070" s="12" t="n">
        <v>23</v>
      </c>
      <c r="F1070" s="9" t="s">
        <v>31</v>
      </c>
      <c r="G1070" s="13" t="n">
        <v>200</v>
      </c>
      <c r="H1070" s="9" t="s">
        <v>35</v>
      </c>
      <c r="I1070" s="13" t="n">
        <v>0</v>
      </c>
      <c r="J1070" s="1" t="str">
        <f aca="false">IF(A1070="","", "SAMP-"&amp;A1070&amp;"-L"&amp;TEXT(B1070,"00")&amp;"-"&amp;TEXT(C1070,"yyyymmdd")&amp;"-"&amp;D1070&amp;"-H"&amp;TEXT(E1070,"00")&amp;"-"&amp;H1070)</f>
        <v>SAMP-KG01-L22-20251231-ORD-2025-00218-H23-Stone</v>
      </c>
      <c r="K1070" s="1" t="str">
        <f aca="false">IF(A1070="","",IF(AND(G1070&gt;=0,I1070&gt;=0,I1070&lt;=G1070),"OK","CHECK"))</f>
        <v>OK</v>
      </c>
      <c r="L1070" s="1" t="str">
        <f aca="false">IF(A1070="","",IF(AND(E1070&gt;=0,E1070&lt;=23),"OK","CHECK"))</f>
        <v>OK</v>
      </c>
      <c r="M1070" s="1" t="str">
        <f aca="false">IF(A1070="","",IF(AND(K1070="OK",L1070="OK"),"OK","CHECK"))</f>
        <v>OK</v>
      </c>
    </row>
    <row r="1071" customFormat="false" ht="18" hidden="false" customHeight="true" outlineLevel="0" collapsed="false">
      <c r="A1071" s="9" t="s">
        <v>26</v>
      </c>
      <c r="B1071" s="9" t="n">
        <v>23</v>
      </c>
      <c r="C1071" s="11" t="n">
        <v>45931</v>
      </c>
      <c r="D1071" s="9" t="s">
        <v>108</v>
      </c>
      <c r="E1071" s="12" t="n">
        <v>7</v>
      </c>
      <c r="F1071" s="9" t="s">
        <v>28</v>
      </c>
      <c r="G1071" s="13" t="n">
        <v>150</v>
      </c>
      <c r="H1071" s="9" t="s">
        <v>29</v>
      </c>
      <c r="I1071" s="13" t="n">
        <v>4</v>
      </c>
      <c r="J1071" s="1" t="str">
        <f aca="false">IF(A1071="","", "SAMP-"&amp;A1071&amp;"-L"&amp;TEXT(B1071,"00")&amp;"-"&amp;TEXT(C1071,"yyyymmdd")&amp;"-"&amp;D1071&amp;"-H"&amp;TEXT(E1071,"00")&amp;"-"&amp;H1071)</f>
        <v>SAMP-KG01-L23-20251001-ORD-2025-00219-H07-Choke Neck</v>
      </c>
      <c r="K1071" s="1" t="str">
        <f aca="false">IF(A1071="","",IF(AND(G1071&gt;=0,I1071&gt;=0,I1071&lt;=G1071),"OK","CHECK"))</f>
        <v>OK</v>
      </c>
      <c r="L1071" s="1" t="str">
        <f aca="false">IF(A1071="","",IF(AND(E1071&gt;=0,E1071&lt;=23),"OK","CHECK"))</f>
        <v>OK</v>
      </c>
      <c r="M1071" s="1" t="str">
        <f aca="false">IF(A1071="","",IF(AND(K1071="OK",L1071="OK"),"OK","CHECK"))</f>
        <v>OK</v>
      </c>
    </row>
    <row r="1072" customFormat="false" ht="18" hidden="false" customHeight="true" outlineLevel="0" collapsed="false">
      <c r="A1072" s="9" t="s">
        <v>26</v>
      </c>
      <c r="B1072" s="9" t="n">
        <v>23</v>
      </c>
      <c r="C1072" s="11" t="n">
        <v>45931</v>
      </c>
      <c r="D1072" s="9" t="s">
        <v>108</v>
      </c>
      <c r="E1072" s="12" t="n">
        <v>9</v>
      </c>
      <c r="F1072" s="9" t="s">
        <v>28</v>
      </c>
      <c r="G1072" s="13" t="n">
        <v>150</v>
      </c>
      <c r="H1072" s="9" t="s">
        <v>33</v>
      </c>
      <c r="I1072" s="13" t="n">
        <v>0</v>
      </c>
      <c r="J1072" s="1" t="str">
        <f aca="false">IF(A1072="","", "SAMP-"&amp;A1072&amp;"-L"&amp;TEXT(B1072,"00")&amp;"-"&amp;TEXT(C1072,"yyyymmdd")&amp;"-"&amp;D1072&amp;"-H"&amp;TEXT(E1072,"00")&amp;"-"&amp;H1072)</f>
        <v>SAMP-KG01-L23-20251001-ORD-2025-00219-H09-Distortion</v>
      </c>
      <c r="K1072" s="1" t="str">
        <f aca="false">IF(A1072="","",IF(AND(G1072&gt;=0,I1072&gt;=0,I1072&lt;=G1072),"OK","CHECK"))</f>
        <v>OK</v>
      </c>
      <c r="L1072" s="1" t="str">
        <f aca="false">IF(A1072="","",IF(AND(E1072&gt;=0,E1072&lt;=23),"OK","CHECK"))</f>
        <v>OK</v>
      </c>
      <c r="M1072" s="1" t="str">
        <f aca="false">IF(A1072="","",IF(AND(K1072="OK",L1072="OK"),"OK","CHECK"))</f>
        <v>OK</v>
      </c>
    </row>
    <row r="1073" customFormat="false" ht="18" hidden="false" customHeight="true" outlineLevel="0" collapsed="false">
      <c r="A1073" s="9" t="s">
        <v>26</v>
      </c>
      <c r="B1073" s="9" t="n">
        <v>23</v>
      </c>
      <c r="C1073" s="11" t="n">
        <v>45931</v>
      </c>
      <c r="D1073" s="9" t="s">
        <v>108</v>
      </c>
      <c r="E1073" s="12" t="n">
        <v>23</v>
      </c>
      <c r="F1073" s="9" t="s">
        <v>31</v>
      </c>
      <c r="G1073" s="13" t="n">
        <v>200</v>
      </c>
      <c r="H1073" s="9" t="s">
        <v>36</v>
      </c>
      <c r="I1073" s="13" t="n">
        <v>8</v>
      </c>
      <c r="J1073" s="1" t="str">
        <f aca="false">IF(A1073="","", "SAMP-"&amp;A1073&amp;"-L"&amp;TEXT(B1073,"00")&amp;"-"&amp;TEXT(C1073,"yyyymmdd")&amp;"-"&amp;D1073&amp;"-H"&amp;TEXT(E1073,"00")&amp;"-"&amp;H1073)</f>
        <v>SAMP-KG01-L23-20251001-ORD-2025-00219-H23-Blister</v>
      </c>
      <c r="K1073" s="1" t="str">
        <f aca="false">IF(A1073="","",IF(AND(G1073&gt;=0,I1073&gt;=0,I1073&lt;=G1073),"OK","CHECK"))</f>
        <v>OK</v>
      </c>
      <c r="L1073" s="1" t="str">
        <f aca="false">IF(A1073="","",IF(AND(E1073&gt;=0,E1073&lt;=23),"OK","CHECK"))</f>
        <v>OK</v>
      </c>
      <c r="M1073" s="1" t="str">
        <f aca="false">IF(A1073="","",IF(AND(K1073="OK",L1073="OK"),"OK","CHECK"))</f>
        <v>OK</v>
      </c>
    </row>
    <row r="1074" customFormat="false" ht="18" hidden="false" customHeight="true" outlineLevel="0" collapsed="false">
      <c r="A1074" s="9" t="s">
        <v>26</v>
      </c>
      <c r="B1074" s="9" t="n">
        <v>23</v>
      </c>
      <c r="C1074" s="11" t="n">
        <v>45931</v>
      </c>
      <c r="D1074" s="9" t="s">
        <v>108</v>
      </c>
      <c r="E1074" s="12" t="n">
        <v>16</v>
      </c>
      <c r="F1074" s="9" t="s">
        <v>31</v>
      </c>
      <c r="G1074" s="13" t="n">
        <v>100</v>
      </c>
      <c r="H1074" s="9" t="s">
        <v>29</v>
      </c>
      <c r="I1074" s="13" t="n">
        <v>0</v>
      </c>
      <c r="J1074" s="1" t="str">
        <f aca="false">IF(A1074="","", "SAMP-"&amp;A1074&amp;"-L"&amp;TEXT(B1074,"00")&amp;"-"&amp;TEXT(C1074,"yyyymmdd")&amp;"-"&amp;D1074&amp;"-H"&amp;TEXT(E1074,"00")&amp;"-"&amp;H1074)</f>
        <v>SAMP-KG01-L23-20251001-ORD-2025-00219-H16-Choke Neck</v>
      </c>
      <c r="K1074" s="1" t="str">
        <f aca="false">IF(A1074="","",IF(AND(G1074&gt;=0,I1074&gt;=0,I1074&lt;=G1074),"OK","CHECK"))</f>
        <v>OK</v>
      </c>
      <c r="L1074" s="1" t="str">
        <f aca="false">IF(A1074="","",IF(AND(E1074&gt;=0,E1074&lt;=23),"OK","CHECK"))</f>
        <v>OK</v>
      </c>
      <c r="M1074" s="1" t="str">
        <f aca="false">IF(A1074="","",IF(AND(K1074="OK",L1074="OK"),"OK","CHECK"))</f>
        <v>OK</v>
      </c>
    </row>
    <row r="1075" customFormat="false" ht="18" hidden="false" customHeight="true" outlineLevel="0" collapsed="false">
      <c r="A1075" s="9" t="s">
        <v>26</v>
      </c>
      <c r="B1075" s="9" t="n">
        <v>23</v>
      </c>
      <c r="C1075" s="11" t="n">
        <v>45931</v>
      </c>
      <c r="D1075" s="9" t="s">
        <v>108</v>
      </c>
      <c r="E1075" s="12" t="n">
        <v>20</v>
      </c>
      <c r="F1075" s="9" t="s">
        <v>31</v>
      </c>
      <c r="G1075" s="13" t="n">
        <v>50</v>
      </c>
      <c r="H1075" s="9" t="s">
        <v>38</v>
      </c>
      <c r="I1075" s="13" t="n">
        <v>1</v>
      </c>
      <c r="J1075" s="1" t="str">
        <f aca="false">IF(A1075="","", "SAMP-"&amp;A1075&amp;"-L"&amp;TEXT(B1075,"00")&amp;"-"&amp;TEXT(C1075,"yyyymmdd")&amp;"-"&amp;D1075&amp;"-H"&amp;TEXT(E1075,"00")&amp;"-"&amp;H1075)</f>
        <v>SAMP-KG01-L23-20251001-ORD-2025-00219-H20-Crack</v>
      </c>
      <c r="K1075" s="1" t="str">
        <f aca="false">IF(A1075="","",IF(AND(G1075&gt;=0,I1075&gt;=0,I1075&lt;=G1075),"OK","CHECK"))</f>
        <v>OK</v>
      </c>
      <c r="L1075" s="1" t="str">
        <f aca="false">IF(A1075="","",IF(AND(E1075&gt;=0,E1075&lt;=23),"OK","CHECK"))</f>
        <v>OK</v>
      </c>
      <c r="M1075" s="1" t="str">
        <f aca="false">IF(A1075="","",IF(AND(K1075="OK",L1075="OK"),"OK","CHECK"))</f>
        <v>OK</v>
      </c>
    </row>
    <row r="1076" customFormat="false" ht="18" hidden="false" customHeight="true" outlineLevel="0" collapsed="false">
      <c r="A1076" s="9" t="s">
        <v>26</v>
      </c>
      <c r="B1076" s="9" t="n">
        <v>23</v>
      </c>
      <c r="C1076" s="11" t="n">
        <v>45932</v>
      </c>
      <c r="D1076" s="9" t="s">
        <v>108</v>
      </c>
      <c r="E1076" s="12" t="n">
        <v>12</v>
      </c>
      <c r="F1076" s="9" t="s">
        <v>28</v>
      </c>
      <c r="G1076" s="13" t="n">
        <v>100</v>
      </c>
      <c r="H1076" s="9" t="s">
        <v>29</v>
      </c>
      <c r="I1076" s="13" t="n">
        <v>3</v>
      </c>
      <c r="J1076" s="1" t="str">
        <f aca="false">IF(A1076="","", "SAMP-"&amp;A1076&amp;"-L"&amp;TEXT(B1076,"00")&amp;"-"&amp;TEXT(C1076,"yyyymmdd")&amp;"-"&amp;D1076&amp;"-H"&amp;TEXT(E1076,"00")&amp;"-"&amp;H1076)</f>
        <v>SAMP-KG01-L23-20251002-ORD-2025-00219-H12-Choke Neck</v>
      </c>
      <c r="K1076" s="1" t="str">
        <f aca="false">IF(A1076="","",IF(AND(G1076&gt;=0,I1076&gt;=0,I1076&lt;=G1076),"OK","CHECK"))</f>
        <v>OK</v>
      </c>
      <c r="L1076" s="1" t="str">
        <f aca="false">IF(A1076="","",IF(AND(E1076&gt;=0,E1076&lt;=23),"OK","CHECK"))</f>
        <v>OK</v>
      </c>
      <c r="M1076" s="1" t="str">
        <f aca="false">IF(A1076="","",IF(AND(K1076="OK",L1076="OK"),"OK","CHECK"))</f>
        <v>OK</v>
      </c>
    </row>
    <row r="1077" customFormat="false" ht="18" hidden="false" customHeight="true" outlineLevel="0" collapsed="false">
      <c r="A1077" s="9" t="s">
        <v>26</v>
      </c>
      <c r="B1077" s="9" t="n">
        <v>23</v>
      </c>
      <c r="C1077" s="11" t="n">
        <v>45932</v>
      </c>
      <c r="D1077" s="9" t="s">
        <v>108</v>
      </c>
      <c r="E1077" s="12" t="n">
        <v>9</v>
      </c>
      <c r="F1077" s="9" t="s">
        <v>28</v>
      </c>
      <c r="G1077" s="13" t="n">
        <v>150</v>
      </c>
      <c r="H1077" s="9" t="s">
        <v>34</v>
      </c>
      <c r="I1077" s="13" t="n">
        <v>1</v>
      </c>
      <c r="J1077" s="1" t="str">
        <f aca="false">IF(A1077="","", "SAMP-"&amp;A1077&amp;"-L"&amp;TEXT(B1077,"00")&amp;"-"&amp;TEXT(C1077,"yyyymmdd")&amp;"-"&amp;D1077&amp;"-H"&amp;TEXT(E1077,"00")&amp;"-"&amp;H1077)</f>
        <v>SAMP-KG01-L23-20251002-ORD-2025-00219-H09-Thin Wall</v>
      </c>
      <c r="K1077" s="1" t="str">
        <f aca="false">IF(A1077="","",IF(AND(G1077&gt;=0,I1077&gt;=0,I1077&lt;=G1077),"OK","CHECK"))</f>
        <v>OK</v>
      </c>
      <c r="L1077" s="1" t="str">
        <f aca="false">IF(A1077="","",IF(AND(E1077&gt;=0,E1077&lt;=23),"OK","CHECK"))</f>
        <v>OK</v>
      </c>
      <c r="M1077" s="1" t="str">
        <f aca="false">IF(A1077="","",IF(AND(K1077="OK",L1077="OK"),"OK","CHECK"))</f>
        <v>OK</v>
      </c>
    </row>
    <row r="1078" customFormat="false" ht="18" hidden="false" customHeight="true" outlineLevel="0" collapsed="false">
      <c r="A1078" s="9" t="s">
        <v>26</v>
      </c>
      <c r="B1078" s="9" t="n">
        <v>23</v>
      </c>
      <c r="C1078" s="11" t="n">
        <v>45932</v>
      </c>
      <c r="D1078" s="9" t="s">
        <v>108</v>
      </c>
      <c r="E1078" s="12" t="n">
        <v>16</v>
      </c>
      <c r="F1078" s="9" t="s">
        <v>31</v>
      </c>
      <c r="G1078" s="13" t="n">
        <v>150</v>
      </c>
      <c r="H1078" s="9" t="s">
        <v>33</v>
      </c>
      <c r="I1078" s="13" t="n">
        <v>2</v>
      </c>
      <c r="J1078" s="1" t="str">
        <f aca="false">IF(A1078="","", "SAMP-"&amp;A1078&amp;"-L"&amp;TEXT(B1078,"00")&amp;"-"&amp;TEXT(C1078,"yyyymmdd")&amp;"-"&amp;D1078&amp;"-H"&amp;TEXT(E1078,"00")&amp;"-"&amp;H1078)</f>
        <v>SAMP-KG01-L23-20251002-ORD-2025-00219-H16-Distortion</v>
      </c>
      <c r="K1078" s="1" t="str">
        <f aca="false">IF(A1078="","",IF(AND(G1078&gt;=0,I1078&gt;=0,I1078&lt;=G1078),"OK","CHECK"))</f>
        <v>OK</v>
      </c>
      <c r="L1078" s="1" t="str">
        <f aca="false">IF(A1078="","",IF(AND(E1078&gt;=0,E1078&lt;=23),"OK","CHECK"))</f>
        <v>OK</v>
      </c>
      <c r="M1078" s="1" t="str">
        <f aca="false">IF(A1078="","",IF(AND(K1078="OK",L1078="OK"),"OK","CHECK"))</f>
        <v>OK</v>
      </c>
    </row>
    <row r="1079" customFormat="false" ht="18" hidden="false" customHeight="true" outlineLevel="0" collapsed="false">
      <c r="A1079" s="9" t="s">
        <v>26</v>
      </c>
      <c r="B1079" s="9" t="n">
        <v>23</v>
      </c>
      <c r="C1079" s="11" t="n">
        <v>45932</v>
      </c>
      <c r="D1079" s="9" t="s">
        <v>108</v>
      </c>
      <c r="E1079" s="12" t="n">
        <v>23</v>
      </c>
      <c r="F1079" s="9" t="s">
        <v>31</v>
      </c>
      <c r="G1079" s="13" t="n">
        <v>50</v>
      </c>
      <c r="H1079" s="9" t="s">
        <v>38</v>
      </c>
      <c r="I1079" s="13" t="n">
        <v>2</v>
      </c>
      <c r="J1079" s="1" t="str">
        <f aca="false">IF(A1079="","", "SAMP-"&amp;A1079&amp;"-L"&amp;TEXT(B1079,"00")&amp;"-"&amp;TEXT(C1079,"yyyymmdd")&amp;"-"&amp;D1079&amp;"-H"&amp;TEXT(E1079,"00")&amp;"-"&amp;H1079)</f>
        <v>SAMP-KG01-L23-20251002-ORD-2025-00219-H23-Crack</v>
      </c>
      <c r="K1079" s="1" t="str">
        <f aca="false">IF(A1079="","",IF(AND(G1079&gt;=0,I1079&gt;=0,I1079&lt;=G1079),"OK","CHECK"))</f>
        <v>OK</v>
      </c>
      <c r="L1079" s="1" t="str">
        <f aca="false">IF(A1079="","",IF(AND(E1079&gt;=0,E1079&lt;=23),"OK","CHECK"))</f>
        <v>OK</v>
      </c>
      <c r="M1079" s="1" t="str">
        <f aca="false">IF(A1079="","",IF(AND(K1079="OK",L1079="OK"),"OK","CHECK"))</f>
        <v>OK</v>
      </c>
    </row>
    <row r="1080" customFormat="false" ht="18" hidden="false" customHeight="true" outlineLevel="0" collapsed="false">
      <c r="A1080" s="9" t="s">
        <v>26</v>
      </c>
      <c r="B1080" s="9" t="n">
        <v>23</v>
      </c>
      <c r="C1080" s="11" t="n">
        <v>45932</v>
      </c>
      <c r="D1080" s="9" t="s">
        <v>108</v>
      </c>
      <c r="E1080" s="12" t="n">
        <v>20</v>
      </c>
      <c r="F1080" s="9" t="s">
        <v>31</v>
      </c>
      <c r="G1080" s="13" t="n">
        <v>100</v>
      </c>
      <c r="H1080" s="9" t="s">
        <v>34</v>
      </c>
      <c r="I1080" s="13" t="n">
        <v>1</v>
      </c>
      <c r="J1080" s="1" t="str">
        <f aca="false">IF(A1080="","", "SAMP-"&amp;A1080&amp;"-L"&amp;TEXT(B1080,"00")&amp;"-"&amp;TEXT(C1080,"yyyymmdd")&amp;"-"&amp;D1080&amp;"-H"&amp;TEXT(E1080,"00")&amp;"-"&amp;H1080)</f>
        <v>SAMP-KG01-L23-20251002-ORD-2025-00219-H20-Thin Wall</v>
      </c>
      <c r="K1080" s="1" t="str">
        <f aca="false">IF(A1080="","",IF(AND(G1080&gt;=0,I1080&gt;=0,I1080&lt;=G1080),"OK","CHECK"))</f>
        <v>OK</v>
      </c>
      <c r="L1080" s="1" t="str">
        <f aca="false">IF(A1080="","",IF(AND(E1080&gt;=0,E1080&lt;=23),"OK","CHECK"))</f>
        <v>OK</v>
      </c>
      <c r="M1080" s="1" t="str">
        <f aca="false">IF(A1080="","",IF(AND(K1080="OK",L1080="OK"),"OK","CHECK"))</f>
        <v>OK</v>
      </c>
    </row>
    <row r="1081" customFormat="false" ht="18" hidden="false" customHeight="true" outlineLevel="0" collapsed="false">
      <c r="A1081" s="9" t="s">
        <v>26</v>
      </c>
      <c r="B1081" s="9" t="n">
        <v>23</v>
      </c>
      <c r="C1081" s="11" t="n">
        <v>45933</v>
      </c>
      <c r="D1081" s="9" t="s">
        <v>108</v>
      </c>
      <c r="E1081" s="12" t="n">
        <v>7</v>
      </c>
      <c r="F1081" s="9" t="s">
        <v>28</v>
      </c>
      <c r="G1081" s="13" t="n">
        <v>200</v>
      </c>
      <c r="H1081" s="9" t="s">
        <v>41</v>
      </c>
      <c r="I1081" s="13" t="n">
        <v>4</v>
      </c>
      <c r="J1081" s="1" t="str">
        <f aca="false">IF(A1081="","", "SAMP-"&amp;A1081&amp;"-L"&amp;TEXT(B1081,"00")&amp;"-"&amp;TEXT(C1081,"yyyymmdd")&amp;"-"&amp;D1081&amp;"-H"&amp;TEXT(E1081,"00")&amp;"-"&amp;H1081)</f>
        <v>SAMP-KG01-L23-20251003-ORD-2025-00219-H07-Chip</v>
      </c>
      <c r="K1081" s="1" t="str">
        <f aca="false">IF(A1081="","",IF(AND(G1081&gt;=0,I1081&gt;=0,I1081&lt;=G1081),"OK","CHECK"))</f>
        <v>OK</v>
      </c>
      <c r="L1081" s="1" t="str">
        <f aca="false">IF(A1081="","",IF(AND(E1081&gt;=0,E1081&lt;=23),"OK","CHECK"))</f>
        <v>OK</v>
      </c>
      <c r="M1081" s="1" t="str">
        <f aca="false">IF(A1081="","",IF(AND(K1081="OK",L1081="OK"),"OK","CHECK"))</f>
        <v>OK</v>
      </c>
    </row>
    <row r="1082" customFormat="false" ht="18" hidden="false" customHeight="true" outlineLevel="0" collapsed="false">
      <c r="A1082" s="9" t="s">
        <v>26</v>
      </c>
      <c r="B1082" s="9" t="n">
        <v>23</v>
      </c>
      <c r="C1082" s="11" t="n">
        <v>45933</v>
      </c>
      <c r="D1082" s="9" t="s">
        <v>108</v>
      </c>
      <c r="E1082" s="12" t="n">
        <v>9</v>
      </c>
      <c r="F1082" s="9" t="s">
        <v>28</v>
      </c>
      <c r="G1082" s="13" t="n">
        <v>150</v>
      </c>
      <c r="H1082" s="9" t="s">
        <v>33</v>
      </c>
      <c r="I1082" s="13" t="n">
        <v>0</v>
      </c>
      <c r="J1082" s="1" t="str">
        <f aca="false">IF(A1082="","", "SAMP-"&amp;A1082&amp;"-L"&amp;TEXT(B1082,"00")&amp;"-"&amp;TEXT(C1082,"yyyymmdd")&amp;"-"&amp;D1082&amp;"-H"&amp;TEXT(E1082,"00")&amp;"-"&amp;H1082)</f>
        <v>SAMP-KG01-L23-20251003-ORD-2025-00219-H09-Distortion</v>
      </c>
      <c r="K1082" s="1" t="str">
        <f aca="false">IF(A1082="","",IF(AND(G1082&gt;=0,I1082&gt;=0,I1082&lt;=G1082),"OK","CHECK"))</f>
        <v>OK</v>
      </c>
      <c r="L1082" s="1" t="str">
        <f aca="false">IF(A1082="","",IF(AND(E1082&gt;=0,E1082&lt;=23),"OK","CHECK"))</f>
        <v>OK</v>
      </c>
      <c r="M1082" s="1" t="str">
        <f aca="false">IF(A1082="","",IF(AND(K1082="OK",L1082="OK"),"OK","CHECK"))</f>
        <v>OK</v>
      </c>
    </row>
    <row r="1083" customFormat="false" ht="18" hidden="false" customHeight="true" outlineLevel="0" collapsed="false">
      <c r="A1083" s="9" t="s">
        <v>26</v>
      </c>
      <c r="B1083" s="9" t="n">
        <v>23</v>
      </c>
      <c r="C1083" s="11" t="n">
        <v>45933</v>
      </c>
      <c r="D1083" s="9" t="s">
        <v>108</v>
      </c>
      <c r="E1083" s="12" t="n">
        <v>12</v>
      </c>
      <c r="F1083" s="9" t="s">
        <v>28</v>
      </c>
      <c r="G1083" s="13" t="n">
        <v>150</v>
      </c>
      <c r="H1083" s="9" t="s">
        <v>35</v>
      </c>
      <c r="I1083" s="13" t="n">
        <v>5</v>
      </c>
      <c r="J1083" s="1" t="str">
        <f aca="false">IF(A1083="","", "SAMP-"&amp;A1083&amp;"-L"&amp;TEXT(B1083,"00")&amp;"-"&amp;TEXT(C1083,"yyyymmdd")&amp;"-"&amp;D1083&amp;"-H"&amp;TEXT(E1083,"00")&amp;"-"&amp;H1083)</f>
        <v>SAMP-KG01-L23-20251003-ORD-2025-00219-H12-Stone</v>
      </c>
      <c r="K1083" s="1" t="str">
        <f aca="false">IF(A1083="","",IF(AND(G1083&gt;=0,I1083&gt;=0,I1083&lt;=G1083),"OK","CHECK"))</f>
        <v>OK</v>
      </c>
      <c r="L1083" s="1" t="str">
        <f aca="false">IF(A1083="","",IF(AND(E1083&gt;=0,E1083&lt;=23),"OK","CHECK"))</f>
        <v>OK</v>
      </c>
      <c r="M1083" s="1" t="str">
        <f aca="false">IF(A1083="","",IF(AND(K1083="OK",L1083="OK"),"OK","CHECK"))</f>
        <v>OK</v>
      </c>
    </row>
    <row r="1084" customFormat="false" ht="18" hidden="false" customHeight="true" outlineLevel="0" collapsed="false">
      <c r="A1084" s="9" t="s">
        <v>26</v>
      </c>
      <c r="B1084" s="9" t="n">
        <v>23</v>
      </c>
      <c r="C1084" s="11" t="n">
        <v>45933</v>
      </c>
      <c r="D1084" s="9" t="s">
        <v>108</v>
      </c>
      <c r="E1084" s="12" t="n">
        <v>20</v>
      </c>
      <c r="F1084" s="9" t="s">
        <v>31</v>
      </c>
      <c r="G1084" s="13" t="n">
        <v>200</v>
      </c>
      <c r="H1084" s="9" t="s">
        <v>41</v>
      </c>
      <c r="I1084" s="13" t="n">
        <v>1</v>
      </c>
      <c r="J1084" s="1" t="str">
        <f aca="false">IF(A1084="","", "SAMP-"&amp;A1084&amp;"-L"&amp;TEXT(B1084,"00")&amp;"-"&amp;TEXT(C1084,"yyyymmdd")&amp;"-"&amp;D1084&amp;"-H"&amp;TEXT(E1084,"00")&amp;"-"&amp;H1084)</f>
        <v>SAMP-KG01-L23-20251003-ORD-2025-00219-H20-Chip</v>
      </c>
      <c r="K1084" s="1" t="str">
        <f aca="false">IF(A1084="","",IF(AND(G1084&gt;=0,I1084&gt;=0,I1084&lt;=G1084),"OK","CHECK"))</f>
        <v>OK</v>
      </c>
      <c r="L1084" s="1" t="str">
        <f aca="false">IF(A1084="","",IF(AND(E1084&gt;=0,E1084&lt;=23),"OK","CHECK"))</f>
        <v>OK</v>
      </c>
      <c r="M1084" s="1" t="str">
        <f aca="false">IF(A1084="","",IF(AND(K1084="OK",L1084="OK"),"OK","CHECK"))</f>
        <v>OK</v>
      </c>
    </row>
    <row r="1085" customFormat="false" ht="18" hidden="false" customHeight="true" outlineLevel="0" collapsed="false">
      <c r="A1085" s="9" t="s">
        <v>26</v>
      </c>
      <c r="B1085" s="9" t="n">
        <v>23</v>
      </c>
      <c r="C1085" s="11" t="n">
        <v>45933</v>
      </c>
      <c r="D1085" s="9" t="s">
        <v>108</v>
      </c>
      <c r="E1085" s="12" t="n">
        <v>16</v>
      </c>
      <c r="F1085" s="9" t="s">
        <v>31</v>
      </c>
      <c r="G1085" s="13" t="n">
        <v>150</v>
      </c>
      <c r="H1085" s="9" t="s">
        <v>30</v>
      </c>
      <c r="I1085" s="13" t="n">
        <v>2</v>
      </c>
      <c r="J1085" s="1" t="str">
        <f aca="false">IF(A1085="","", "SAMP-"&amp;A1085&amp;"-L"&amp;TEXT(B1085,"00")&amp;"-"&amp;TEXT(C1085,"yyyymmdd")&amp;"-"&amp;D1085&amp;"-H"&amp;TEXT(E1085,"00")&amp;"-"&amp;H1085)</f>
        <v>SAMP-KG01-L23-20251003-ORD-2025-00219-H16-Overpress</v>
      </c>
      <c r="K1085" s="1" t="str">
        <f aca="false">IF(A1085="","",IF(AND(G1085&gt;=0,I1085&gt;=0,I1085&lt;=G1085),"OK","CHECK"))</f>
        <v>OK</v>
      </c>
      <c r="L1085" s="1" t="str">
        <f aca="false">IF(A1085="","",IF(AND(E1085&gt;=0,E1085&lt;=23),"OK","CHECK"))</f>
        <v>OK</v>
      </c>
      <c r="M1085" s="1" t="str">
        <f aca="false">IF(A1085="","",IF(AND(K1085="OK",L1085="OK"),"OK","CHECK"))</f>
        <v>OK</v>
      </c>
    </row>
    <row r="1086" customFormat="false" ht="18" hidden="false" customHeight="true" outlineLevel="0" collapsed="false">
      <c r="A1086" s="9" t="s">
        <v>26</v>
      </c>
      <c r="B1086" s="9" t="n">
        <v>23</v>
      </c>
      <c r="C1086" s="11" t="n">
        <v>45933</v>
      </c>
      <c r="D1086" s="9" t="s">
        <v>108</v>
      </c>
      <c r="E1086" s="12" t="n">
        <v>23</v>
      </c>
      <c r="F1086" s="9" t="s">
        <v>31</v>
      </c>
      <c r="G1086" s="13" t="n">
        <v>150</v>
      </c>
      <c r="H1086" s="9" t="s">
        <v>30</v>
      </c>
      <c r="I1086" s="13" t="n">
        <v>4</v>
      </c>
      <c r="J1086" s="1" t="str">
        <f aca="false">IF(A1086="","", "SAMP-"&amp;A1086&amp;"-L"&amp;TEXT(B1086,"00")&amp;"-"&amp;TEXT(C1086,"yyyymmdd")&amp;"-"&amp;D1086&amp;"-H"&amp;TEXT(E1086,"00")&amp;"-"&amp;H1086)</f>
        <v>SAMP-KG01-L23-20251003-ORD-2025-00219-H23-Overpress</v>
      </c>
      <c r="K1086" s="1" t="str">
        <f aca="false">IF(A1086="","",IF(AND(G1086&gt;=0,I1086&gt;=0,I1086&lt;=G1086),"OK","CHECK"))</f>
        <v>OK</v>
      </c>
      <c r="L1086" s="1" t="str">
        <f aca="false">IF(A1086="","",IF(AND(E1086&gt;=0,E1086&lt;=23),"OK","CHECK"))</f>
        <v>OK</v>
      </c>
      <c r="M1086" s="1" t="str">
        <f aca="false">IF(A1086="","",IF(AND(K1086="OK",L1086="OK"),"OK","CHECK"))</f>
        <v>OK</v>
      </c>
    </row>
    <row r="1087" customFormat="false" ht="18" hidden="false" customHeight="true" outlineLevel="0" collapsed="false">
      <c r="A1087" s="9" t="s">
        <v>26</v>
      </c>
      <c r="B1087" s="9" t="n">
        <v>23</v>
      </c>
      <c r="C1087" s="11" t="n">
        <v>45934</v>
      </c>
      <c r="D1087" s="9" t="s">
        <v>108</v>
      </c>
      <c r="E1087" s="12" t="n">
        <v>7</v>
      </c>
      <c r="F1087" s="9" t="s">
        <v>28</v>
      </c>
      <c r="G1087" s="13" t="n">
        <v>150</v>
      </c>
      <c r="H1087" s="9" t="s">
        <v>35</v>
      </c>
      <c r="I1087" s="13" t="n">
        <v>2</v>
      </c>
      <c r="J1087" s="1" t="str">
        <f aca="false">IF(A1087="","", "SAMP-"&amp;A1087&amp;"-L"&amp;TEXT(B1087,"00")&amp;"-"&amp;TEXT(C1087,"yyyymmdd")&amp;"-"&amp;D1087&amp;"-H"&amp;TEXT(E1087,"00")&amp;"-"&amp;H1087)</f>
        <v>SAMP-KG01-L23-20251004-ORD-2025-00219-H07-Stone</v>
      </c>
      <c r="K1087" s="1" t="str">
        <f aca="false">IF(A1087="","",IF(AND(G1087&gt;=0,I1087&gt;=0,I1087&lt;=G1087),"OK","CHECK"))</f>
        <v>OK</v>
      </c>
      <c r="L1087" s="1" t="str">
        <f aca="false">IF(A1087="","",IF(AND(E1087&gt;=0,E1087&lt;=23),"OK","CHECK"))</f>
        <v>OK</v>
      </c>
      <c r="M1087" s="1" t="str">
        <f aca="false">IF(A1087="","",IF(AND(K1087="OK",L1087="OK"),"OK","CHECK"))</f>
        <v>OK</v>
      </c>
    </row>
    <row r="1088" customFormat="false" ht="18" hidden="false" customHeight="true" outlineLevel="0" collapsed="false">
      <c r="A1088" s="9" t="s">
        <v>26</v>
      </c>
      <c r="B1088" s="9" t="n">
        <v>23</v>
      </c>
      <c r="C1088" s="11" t="n">
        <v>45934</v>
      </c>
      <c r="D1088" s="9" t="s">
        <v>108</v>
      </c>
      <c r="E1088" s="12" t="n">
        <v>9</v>
      </c>
      <c r="F1088" s="9" t="s">
        <v>28</v>
      </c>
      <c r="G1088" s="13" t="n">
        <v>50</v>
      </c>
      <c r="H1088" s="9" t="s">
        <v>29</v>
      </c>
      <c r="I1088" s="13" t="n">
        <v>0</v>
      </c>
      <c r="J1088" s="1" t="str">
        <f aca="false">IF(A1088="","", "SAMP-"&amp;A1088&amp;"-L"&amp;TEXT(B1088,"00")&amp;"-"&amp;TEXT(C1088,"yyyymmdd")&amp;"-"&amp;D1088&amp;"-H"&amp;TEXT(E1088,"00")&amp;"-"&amp;H1088)</f>
        <v>SAMP-KG01-L23-20251004-ORD-2025-00219-H09-Choke Neck</v>
      </c>
      <c r="K1088" s="1" t="str">
        <f aca="false">IF(A1088="","",IF(AND(G1088&gt;=0,I1088&gt;=0,I1088&lt;=G1088),"OK","CHECK"))</f>
        <v>OK</v>
      </c>
      <c r="L1088" s="1" t="str">
        <f aca="false">IF(A1088="","",IF(AND(E1088&gt;=0,E1088&lt;=23),"OK","CHECK"))</f>
        <v>OK</v>
      </c>
      <c r="M1088" s="1" t="str">
        <f aca="false">IF(A1088="","",IF(AND(K1088="OK",L1088="OK"),"OK","CHECK"))</f>
        <v>OK</v>
      </c>
    </row>
    <row r="1089" customFormat="false" ht="18" hidden="false" customHeight="true" outlineLevel="0" collapsed="false">
      <c r="A1089" s="9" t="s">
        <v>26</v>
      </c>
      <c r="B1089" s="9" t="n">
        <v>23</v>
      </c>
      <c r="C1089" s="11" t="n">
        <v>45934</v>
      </c>
      <c r="D1089" s="9" t="s">
        <v>108</v>
      </c>
      <c r="E1089" s="12" t="n">
        <v>12</v>
      </c>
      <c r="F1089" s="9" t="s">
        <v>28</v>
      </c>
      <c r="G1089" s="13" t="n">
        <v>50</v>
      </c>
      <c r="H1089" s="9" t="s">
        <v>38</v>
      </c>
      <c r="I1089" s="13" t="n">
        <v>2</v>
      </c>
      <c r="J1089" s="1" t="str">
        <f aca="false">IF(A1089="","", "SAMP-"&amp;A1089&amp;"-L"&amp;TEXT(B1089,"00")&amp;"-"&amp;TEXT(C1089,"yyyymmdd")&amp;"-"&amp;D1089&amp;"-H"&amp;TEXT(E1089,"00")&amp;"-"&amp;H1089)</f>
        <v>SAMP-KG01-L23-20251004-ORD-2025-00219-H12-Crack</v>
      </c>
      <c r="K1089" s="1" t="str">
        <f aca="false">IF(A1089="","",IF(AND(G1089&gt;=0,I1089&gt;=0,I1089&lt;=G1089),"OK","CHECK"))</f>
        <v>OK</v>
      </c>
      <c r="L1089" s="1" t="str">
        <f aca="false">IF(A1089="","",IF(AND(E1089&gt;=0,E1089&lt;=23),"OK","CHECK"))</f>
        <v>OK</v>
      </c>
      <c r="M1089" s="1" t="str">
        <f aca="false">IF(A1089="","",IF(AND(K1089="OK",L1089="OK"),"OK","CHECK"))</f>
        <v>OK</v>
      </c>
    </row>
    <row r="1090" customFormat="false" ht="18" hidden="false" customHeight="true" outlineLevel="0" collapsed="false">
      <c r="A1090" s="9" t="s">
        <v>26</v>
      </c>
      <c r="B1090" s="9" t="n">
        <v>23</v>
      </c>
      <c r="C1090" s="11" t="n">
        <v>45934</v>
      </c>
      <c r="D1090" s="9" t="s">
        <v>108</v>
      </c>
      <c r="E1090" s="12" t="n">
        <v>20</v>
      </c>
      <c r="F1090" s="9" t="s">
        <v>31</v>
      </c>
      <c r="G1090" s="13" t="n">
        <v>50</v>
      </c>
      <c r="H1090" s="9" t="s">
        <v>38</v>
      </c>
      <c r="I1090" s="13" t="n">
        <v>1</v>
      </c>
      <c r="J1090" s="1" t="str">
        <f aca="false">IF(A1090="","", "SAMP-"&amp;A1090&amp;"-L"&amp;TEXT(B1090,"00")&amp;"-"&amp;TEXT(C1090,"yyyymmdd")&amp;"-"&amp;D1090&amp;"-H"&amp;TEXT(E1090,"00")&amp;"-"&amp;H1090)</f>
        <v>SAMP-KG01-L23-20251004-ORD-2025-00219-H20-Crack</v>
      </c>
      <c r="K1090" s="1" t="str">
        <f aca="false">IF(A1090="","",IF(AND(G1090&gt;=0,I1090&gt;=0,I1090&lt;=G1090),"OK","CHECK"))</f>
        <v>OK</v>
      </c>
      <c r="L1090" s="1" t="str">
        <f aca="false">IF(A1090="","",IF(AND(E1090&gt;=0,E1090&lt;=23),"OK","CHECK"))</f>
        <v>OK</v>
      </c>
      <c r="M1090" s="1" t="str">
        <f aca="false">IF(A1090="","",IF(AND(K1090="OK",L1090="OK"),"OK","CHECK"))</f>
        <v>OK</v>
      </c>
    </row>
    <row r="1091" customFormat="false" ht="18" hidden="false" customHeight="true" outlineLevel="0" collapsed="false">
      <c r="A1091" s="9" t="s">
        <v>26</v>
      </c>
      <c r="B1091" s="9" t="n">
        <v>23</v>
      </c>
      <c r="C1091" s="11" t="n">
        <v>45934</v>
      </c>
      <c r="D1091" s="9" t="s">
        <v>108</v>
      </c>
      <c r="E1091" s="12" t="n">
        <v>23</v>
      </c>
      <c r="F1091" s="9" t="s">
        <v>31</v>
      </c>
      <c r="G1091" s="13" t="n">
        <v>50</v>
      </c>
      <c r="H1091" s="9" t="s">
        <v>34</v>
      </c>
      <c r="I1091" s="13" t="n">
        <v>0</v>
      </c>
      <c r="J1091" s="1" t="str">
        <f aca="false">IF(A1091="","", "SAMP-"&amp;A1091&amp;"-L"&amp;TEXT(B1091,"00")&amp;"-"&amp;TEXT(C1091,"yyyymmdd")&amp;"-"&amp;D1091&amp;"-H"&amp;TEXT(E1091,"00")&amp;"-"&amp;H1091)</f>
        <v>SAMP-KG01-L23-20251004-ORD-2025-00219-H23-Thin Wall</v>
      </c>
      <c r="K1091" s="1" t="str">
        <f aca="false">IF(A1091="","",IF(AND(G1091&gt;=0,I1091&gt;=0,I1091&lt;=G1091),"OK","CHECK"))</f>
        <v>OK</v>
      </c>
      <c r="L1091" s="1" t="str">
        <f aca="false">IF(A1091="","",IF(AND(E1091&gt;=0,E1091&lt;=23),"OK","CHECK"))</f>
        <v>OK</v>
      </c>
      <c r="M1091" s="1" t="str">
        <f aca="false">IF(A1091="","",IF(AND(K1091="OK",L1091="OK"),"OK","CHECK"))</f>
        <v>OK</v>
      </c>
    </row>
    <row r="1092" customFormat="false" ht="18" hidden="false" customHeight="true" outlineLevel="0" collapsed="false">
      <c r="A1092" s="9" t="s">
        <v>26</v>
      </c>
      <c r="B1092" s="9" t="n">
        <v>23</v>
      </c>
      <c r="C1092" s="11" t="n">
        <v>45934</v>
      </c>
      <c r="D1092" s="9" t="s">
        <v>108</v>
      </c>
      <c r="E1092" s="12" t="n">
        <v>16</v>
      </c>
      <c r="F1092" s="9" t="s">
        <v>31</v>
      </c>
      <c r="G1092" s="13" t="n">
        <v>200</v>
      </c>
      <c r="H1092" s="9" t="s">
        <v>38</v>
      </c>
      <c r="I1092" s="13" t="n">
        <v>3</v>
      </c>
      <c r="J1092" s="1" t="str">
        <f aca="false">IF(A1092="","", "SAMP-"&amp;A1092&amp;"-L"&amp;TEXT(B1092,"00")&amp;"-"&amp;TEXT(C1092,"yyyymmdd")&amp;"-"&amp;D1092&amp;"-H"&amp;TEXT(E1092,"00")&amp;"-"&amp;H1092)</f>
        <v>SAMP-KG01-L23-20251004-ORD-2025-00219-H16-Crack</v>
      </c>
      <c r="K1092" s="1" t="str">
        <f aca="false">IF(A1092="","",IF(AND(G1092&gt;=0,I1092&gt;=0,I1092&lt;=G1092),"OK","CHECK"))</f>
        <v>OK</v>
      </c>
      <c r="L1092" s="1" t="str">
        <f aca="false">IF(A1092="","",IF(AND(E1092&gt;=0,E1092&lt;=23),"OK","CHECK"))</f>
        <v>OK</v>
      </c>
      <c r="M1092" s="1" t="str">
        <f aca="false">IF(A1092="","",IF(AND(K1092="OK",L1092="OK"),"OK","CHECK"))</f>
        <v>OK</v>
      </c>
    </row>
    <row r="1093" customFormat="false" ht="18" hidden="false" customHeight="true" outlineLevel="0" collapsed="false">
      <c r="A1093" s="9" t="s">
        <v>26</v>
      </c>
      <c r="B1093" s="9" t="n">
        <v>23</v>
      </c>
      <c r="C1093" s="11" t="n">
        <v>45935</v>
      </c>
      <c r="D1093" s="9" t="s">
        <v>108</v>
      </c>
      <c r="E1093" s="12" t="n">
        <v>9</v>
      </c>
      <c r="F1093" s="9" t="s">
        <v>28</v>
      </c>
      <c r="G1093" s="13" t="n">
        <v>50</v>
      </c>
      <c r="H1093" s="9" t="s">
        <v>33</v>
      </c>
      <c r="I1093" s="13" t="n">
        <v>2</v>
      </c>
      <c r="J1093" s="1" t="str">
        <f aca="false">IF(A1093="","", "SAMP-"&amp;A1093&amp;"-L"&amp;TEXT(B1093,"00")&amp;"-"&amp;TEXT(C1093,"yyyymmdd")&amp;"-"&amp;D1093&amp;"-H"&amp;TEXT(E1093,"00")&amp;"-"&amp;H1093)</f>
        <v>SAMP-KG01-L23-20251005-ORD-2025-00219-H09-Distortion</v>
      </c>
      <c r="K1093" s="1" t="str">
        <f aca="false">IF(A1093="","",IF(AND(G1093&gt;=0,I1093&gt;=0,I1093&lt;=G1093),"OK","CHECK"))</f>
        <v>OK</v>
      </c>
      <c r="L1093" s="1" t="str">
        <f aca="false">IF(A1093="","",IF(AND(E1093&gt;=0,E1093&lt;=23),"OK","CHECK"))</f>
        <v>OK</v>
      </c>
      <c r="M1093" s="1" t="str">
        <f aca="false">IF(A1093="","",IF(AND(K1093="OK",L1093="OK"),"OK","CHECK"))</f>
        <v>OK</v>
      </c>
    </row>
    <row r="1094" customFormat="false" ht="18" hidden="false" customHeight="true" outlineLevel="0" collapsed="false">
      <c r="A1094" s="9" t="s">
        <v>26</v>
      </c>
      <c r="B1094" s="9" t="n">
        <v>23</v>
      </c>
      <c r="C1094" s="11" t="n">
        <v>45935</v>
      </c>
      <c r="D1094" s="9" t="s">
        <v>108</v>
      </c>
      <c r="E1094" s="12" t="n">
        <v>7</v>
      </c>
      <c r="F1094" s="9" t="s">
        <v>28</v>
      </c>
      <c r="G1094" s="13" t="n">
        <v>100</v>
      </c>
      <c r="H1094" s="9" t="s">
        <v>34</v>
      </c>
      <c r="I1094" s="13" t="n">
        <v>2</v>
      </c>
      <c r="J1094" s="1" t="str">
        <f aca="false">IF(A1094="","", "SAMP-"&amp;A1094&amp;"-L"&amp;TEXT(B1094,"00")&amp;"-"&amp;TEXT(C1094,"yyyymmdd")&amp;"-"&amp;D1094&amp;"-H"&amp;TEXT(E1094,"00")&amp;"-"&amp;H1094)</f>
        <v>SAMP-KG01-L23-20251005-ORD-2025-00219-H07-Thin Wall</v>
      </c>
      <c r="K1094" s="1" t="str">
        <f aca="false">IF(A1094="","",IF(AND(G1094&gt;=0,I1094&gt;=0,I1094&lt;=G1094),"OK","CHECK"))</f>
        <v>OK</v>
      </c>
      <c r="L1094" s="1" t="str">
        <f aca="false">IF(A1094="","",IF(AND(E1094&gt;=0,E1094&lt;=23),"OK","CHECK"))</f>
        <v>OK</v>
      </c>
      <c r="M1094" s="1" t="str">
        <f aca="false">IF(A1094="","",IF(AND(K1094="OK",L1094="OK"),"OK","CHECK"))</f>
        <v>OK</v>
      </c>
    </row>
    <row r="1095" customFormat="false" ht="18" hidden="false" customHeight="true" outlineLevel="0" collapsed="false">
      <c r="A1095" s="9" t="s">
        <v>26</v>
      </c>
      <c r="B1095" s="9" t="n">
        <v>23</v>
      </c>
      <c r="C1095" s="11" t="n">
        <v>45935</v>
      </c>
      <c r="D1095" s="9" t="s">
        <v>108</v>
      </c>
      <c r="E1095" s="12" t="n">
        <v>12</v>
      </c>
      <c r="F1095" s="9" t="s">
        <v>28</v>
      </c>
      <c r="G1095" s="13" t="n">
        <v>100</v>
      </c>
      <c r="H1095" s="9" t="s">
        <v>33</v>
      </c>
      <c r="I1095" s="13" t="n">
        <v>4</v>
      </c>
      <c r="J1095" s="1" t="str">
        <f aca="false">IF(A1095="","", "SAMP-"&amp;A1095&amp;"-L"&amp;TEXT(B1095,"00")&amp;"-"&amp;TEXT(C1095,"yyyymmdd")&amp;"-"&amp;D1095&amp;"-H"&amp;TEXT(E1095,"00")&amp;"-"&amp;H1095)</f>
        <v>SAMP-KG01-L23-20251005-ORD-2025-00219-H12-Distortion</v>
      </c>
      <c r="K1095" s="1" t="str">
        <f aca="false">IF(A1095="","",IF(AND(G1095&gt;=0,I1095&gt;=0,I1095&lt;=G1095),"OK","CHECK"))</f>
        <v>OK</v>
      </c>
      <c r="L1095" s="1" t="str">
        <f aca="false">IF(A1095="","",IF(AND(E1095&gt;=0,E1095&lt;=23),"OK","CHECK"))</f>
        <v>OK</v>
      </c>
      <c r="M1095" s="1" t="str">
        <f aca="false">IF(A1095="","",IF(AND(K1095="OK",L1095="OK"),"OK","CHECK"))</f>
        <v>OK</v>
      </c>
    </row>
    <row r="1096" customFormat="false" ht="18" hidden="false" customHeight="true" outlineLevel="0" collapsed="false">
      <c r="A1096" s="9" t="s">
        <v>26</v>
      </c>
      <c r="B1096" s="9" t="n">
        <v>23</v>
      </c>
      <c r="C1096" s="11" t="n">
        <v>45935</v>
      </c>
      <c r="D1096" s="9" t="s">
        <v>109</v>
      </c>
      <c r="E1096" s="12" t="n">
        <v>20</v>
      </c>
      <c r="F1096" s="9" t="s">
        <v>31</v>
      </c>
      <c r="G1096" s="13" t="n">
        <v>200</v>
      </c>
      <c r="H1096" s="9" t="s">
        <v>33</v>
      </c>
      <c r="I1096" s="13" t="n">
        <v>7</v>
      </c>
      <c r="J1096" s="1" t="str">
        <f aca="false">IF(A1096="","", "SAMP-"&amp;A1096&amp;"-L"&amp;TEXT(B1096,"00")&amp;"-"&amp;TEXT(C1096,"yyyymmdd")&amp;"-"&amp;D1096&amp;"-H"&amp;TEXT(E1096,"00")&amp;"-"&amp;H1096)</f>
        <v>SAMP-KG01-L23-20251005-ORD-2025-00220-H20-Distortion</v>
      </c>
      <c r="K1096" s="1" t="str">
        <f aca="false">IF(A1096="","",IF(AND(G1096&gt;=0,I1096&gt;=0,I1096&lt;=G1096),"OK","CHECK"))</f>
        <v>OK</v>
      </c>
      <c r="L1096" s="1" t="str">
        <f aca="false">IF(A1096="","",IF(AND(E1096&gt;=0,E1096&lt;=23),"OK","CHECK"))</f>
        <v>OK</v>
      </c>
      <c r="M1096" s="1" t="str">
        <f aca="false">IF(A1096="","",IF(AND(K1096="OK",L1096="OK"),"OK","CHECK"))</f>
        <v>OK</v>
      </c>
    </row>
    <row r="1097" customFormat="false" ht="18" hidden="false" customHeight="true" outlineLevel="0" collapsed="false">
      <c r="A1097" s="9" t="s">
        <v>26</v>
      </c>
      <c r="B1097" s="9" t="n">
        <v>23</v>
      </c>
      <c r="C1097" s="11" t="n">
        <v>45935</v>
      </c>
      <c r="D1097" s="9" t="s">
        <v>109</v>
      </c>
      <c r="E1097" s="12" t="n">
        <v>23</v>
      </c>
      <c r="F1097" s="9" t="s">
        <v>31</v>
      </c>
      <c r="G1097" s="13" t="n">
        <v>50</v>
      </c>
      <c r="H1097" s="9" t="s">
        <v>29</v>
      </c>
      <c r="I1097" s="13" t="n">
        <v>1</v>
      </c>
      <c r="J1097" s="1" t="str">
        <f aca="false">IF(A1097="","", "SAMP-"&amp;A1097&amp;"-L"&amp;TEXT(B1097,"00")&amp;"-"&amp;TEXT(C1097,"yyyymmdd")&amp;"-"&amp;D1097&amp;"-H"&amp;TEXT(E1097,"00")&amp;"-"&amp;H1097)</f>
        <v>SAMP-KG01-L23-20251005-ORD-2025-00220-H23-Choke Neck</v>
      </c>
      <c r="K1097" s="1" t="str">
        <f aca="false">IF(A1097="","",IF(AND(G1097&gt;=0,I1097&gt;=0,I1097&lt;=G1097),"OK","CHECK"))</f>
        <v>OK</v>
      </c>
      <c r="L1097" s="1" t="str">
        <f aca="false">IF(A1097="","",IF(AND(E1097&gt;=0,E1097&lt;=23),"OK","CHECK"))</f>
        <v>OK</v>
      </c>
      <c r="M1097" s="1" t="str">
        <f aca="false">IF(A1097="","",IF(AND(K1097="OK",L1097="OK"),"OK","CHECK"))</f>
        <v>OK</v>
      </c>
    </row>
    <row r="1098" customFormat="false" ht="18" hidden="false" customHeight="true" outlineLevel="0" collapsed="false">
      <c r="A1098" s="9" t="s">
        <v>26</v>
      </c>
      <c r="B1098" s="9" t="n">
        <v>23</v>
      </c>
      <c r="C1098" s="11" t="n">
        <v>45936</v>
      </c>
      <c r="D1098" s="9" t="s">
        <v>109</v>
      </c>
      <c r="E1098" s="12" t="n">
        <v>7</v>
      </c>
      <c r="F1098" s="9" t="s">
        <v>28</v>
      </c>
      <c r="G1098" s="13" t="n">
        <v>200</v>
      </c>
      <c r="H1098" s="9" t="s">
        <v>34</v>
      </c>
      <c r="I1098" s="13" t="n">
        <v>8</v>
      </c>
      <c r="J1098" s="1" t="str">
        <f aca="false">IF(A1098="","", "SAMP-"&amp;A1098&amp;"-L"&amp;TEXT(B1098,"00")&amp;"-"&amp;TEXT(C1098,"yyyymmdd")&amp;"-"&amp;D1098&amp;"-H"&amp;TEXT(E1098,"00")&amp;"-"&amp;H1098)</f>
        <v>SAMP-KG01-L23-20251006-ORD-2025-00220-H07-Thin Wall</v>
      </c>
      <c r="K1098" s="1" t="str">
        <f aca="false">IF(A1098="","",IF(AND(G1098&gt;=0,I1098&gt;=0,I1098&lt;=G1098),"OK","CHECK"))</f>
        <v>OK</v>
      </c>
      <c r="L1098" s="1" t="str">
        <f aca="false">IF(A1098="","",IF(AND(E1098&gt;=0,E1098&lt;=23),"OK","CHECK"))</f>
        <v>OK</v>
      </c>
      <c r="M1098" s="1" t="str">
        <f aca="false">IF(A1098="","",IF(AND(K1098="OK",L1098="OK"),"OK","CHECK"))</f>
        <v>OK</v>
      </c>
    </row>
    <row r="1099" customFormat="false" ht="18" hidden="false" customHeight="true" outlineLevel="0" collapsed="false">
      <c r="A1099" s="9" t="s">
        <v>26</v>
      </c>
      <c r="B1099" s="9" t="n">
        <v>23</v>
      </c>
      <c r="C1099" s="11" t="n">
        <v>45936</v>
      </c>
      <c r="D1099" s="9" t="s">
        <v>109</v>
      </c>
      <c r="E1099" s="12" t="n">
        <v>12</v>
      </c>
      <c r="F1099" s="9" t="s">
        <v>28</v>
      </c>
      <c r="G1099" s="13" t="n">
        <v>50</v>
      </c>
      <c r="H1099" s="9" t="s">
        <v>38</v>
      </c>
      <c r="I1099" s="13" t="n">
        <v>0</v>
      </c>
      <c r="J1099" s="1" t="str">
        <f aca="false">IF(A1099="","", "SAMP-"&amp;A1099&amp;"-L"&amp;TEXT(B1099,"00")&amp;"-"&amp;TEXT(C1099,"yyyymmdd")&amp;"-"&amp;D1099&amp;"-H"&amp;TEXT(E1099,"00")&amp;"-"&amp;H1099)</f>
        <v>SAMP-KG01-L23-20251006-ORD-2025-00220-H12-Crack</v>
      </c>
      <c r="K1099" s="1" t="str">
        <f aca="false">IF(A1099="","",IF(AND(G1099&gt;=0,I1099&gt;=0,I1099&lt;=G1099),"OK","CHECK"))</f>
        <v>OK</v>
      </c>
      <c r="L1099" s="1" t="str">
        <f aca="false">IF(A1099="","",IF(AND(E1099&gt;=0,E1099&lt;=23),"OK","CHECK"))</f>
        <v>OK</v>
      </c>
      <c r="M1099" s="1" t="str">
        <f aca="false">IF(A1099="","",IF(AND(K1099="OK",L1099="OK"),"OK","CHECK"))</f>
        <v>OK</v>
      </c>
    </row>
    <row r="1100" customFormat="false" ht="18" hidden="false" customHeight="true" outlineLevel="0" collapsed="false">
      <c r="A1100" s="9" t="s">
        <v>26</v>
      </c>
      <c r="B1100" s="9" t="n">
        <v>23</v>
      </c>
      <c r="C1100" s="11" t="n">
        <v>45936</v>
      </c>
      <c r="D1100" s="9" t="s">
        <v>109</v>
      </c>
      <c r="E1100" s="12" t="n">
        <v>9</v>
      </c>
      <c r="F1100" s="9" t="s">
        <v>28</v>
      </c>
      <c r="G1100" s="13" t="n">
        <v>200</v>
      </c>
      <c r="H1100" s="9" t="s">
        <v>29</v>
      </c>
      <c r="I1100" s="13" t="n">
        <v>2</v>
      </c>
      <c r="J1100" s="1" t="str">
        <f aca="false">IF(A1100="","", "SAMP-"&amp;A1100&amp;"-L"&amp;TEXT(B1100,"00")&amp;"-"&amp;TEXT(C1100,"yyyymmdd")&amp;"-"&amp;D1100&amp;"-H"&amp;TEXT(E1100,"00")&amp;"-"&amp;H1100)</f>
        <v>SAMP-KG01-L23-20251006-ORD-2025-00220-H09-Choke Neck</v>
      </c>
      <c r="K1100" s="1" t="str">
        <f aca="false">IF(A1100="","",IF(AND(G1100&gt;=0,I1100&gt;=0,I1100&lt;=G1100),"OK","CHECK"))</f>
        <v>OK</v>
      </c>
      <c r="L1100" s="1" t="str">
        <f aca="false">IF(A1100="","",IF(AND(E1100&gt;=0,E1100&lt;=23),"OK","CHECK"))</f>
        <v>OK</v>
      </c>
      <c r="M1100" s="1" t="str">
        <f aca="false">IF(A1100="","",IF(AND(K1100="OK",L1100="OK"),"OK","CHECK"))</f>
        <v>OK</v>
      </c>
    </row>
    <row r="1101" customFormat="false" ht="18" hidden="false" customHeight="true" outlineLevel="0" collapsed="false">
      <c r="A1101" s="9" t="s">
        <v>26</v>
      </c>
      <c r="B1101" s="9" t="n">
        <v>23</v>
      </c>
      <c r="C1101" s="11" t="n">
        <v>45936</v>
      </c>
      <c r="D1101" s="9" t="s">
        <v>109</v>
      </c>
      <c r="E1101" s="12" t="n">
        <v>23</v>
      </c>
      <c r="F1101" s="9" t="s">
        <v>31</v>
      </c>
      <c r="G1101" s="13" t="n">
        <v>200</v>
      </c>
      <c r="H1101" s="9" t="s">
        <v>34</v>
      </c>
      <c r="I1101" s="13" t="n">
        <v>1</v>
      </c>
      <c r="J1101" s="1" t="str">
        <f aca="false">IF(A1101="","", "SAMP-"&amp;A1101&amp;"-L"&amp;TEXT(B1101,"00")&amp;"-"&amp;TEXT(C1101,"yyyymmdd")&amp;"-"&amp;D1101&amp;"-H"&amp;TEXT(E1101,"00")&amp;"-"&amp;H1101)</f>
        <v>SAMP-KG01-L23-20251006-ORD-2025-00220-H23-Thin Wall</v>
      </c>
      <c r="K1101" s="1" t="str">
        <f aca="false">IF(A1101="","",IF(AND(G1101&gt;=0,I1101&gt;=0,I1101&lt;=G1101),"OK","CHECK"))</f>
        <v>OK</v>
      </c>
      <c r="L1101" s="1" t="str">
        <f aca="false">IF(A1101="","",IF(AND(E1101&gt;=0,E1101&lt;=23),"OK","CHECK"))</f>
        <v>OK</v>
      </c>
      <c r="M1101" s="1" t="str">
        <f aca="false">IF(A1101="","",IF(AND(K1101="OK",L1101="OK"),"OK","CHECK"))</f>
        <v>OK</v>
      </c>
    </row>
    <row r="1102" customFormat="false" ht="18" hidden="false" customHeight="true" outlineLevel="0" collapsed="false">
      <c r="A1102" s="9" t="s">
        <v>26</v>
      </c>
      <c r="B1102" s="9" t="n">
        <v>23</v>
      </c>
      <c r="C1102" s="11" t="n">
        <v>45936</v>
      </c>
      <c r="D1102" s="9" t="s">
        <v>109</v>
      </c>
      <c r="E1102" s="12" t="n">
        <v>20</v>
      </c>
      <c r="F1102" s="9" t="s">
        <v>31</v>
      </c>
      <c r="G1102" s="13" t="n">
        <v>100</v>
      </c>
      <c r="H1102" s="9" t="s">
        <v>30</v>
      </c>
      <c r="I1102" s="13" t="n">
        <v>3</v>
      </c>
      <c r="J1102" s="1" t="str">
        <f aca="false">IF(A1102="","", "SAMP-"&amp;A1102&amp;"-L"&amp;TEXT(B1102,"00")&amp;"-"&amp;TEXT(C1102,"yyyymmdd")&amp;"-"&amp;D1102&amp;"-H"&amp;TEXT(E1102,"00")&amp;"-"&amp;H1102)</f>
        <v>SAMP-KG01-L23-20251006-ORD-2025-00220-H20-Overpress</v>
      </c>
      <c r="K1102" s="1" t="str">
        <f aca="false">IF(A1102="","",IF(AND(G1102&gt;=0,I1102&gt;=0,I1102&lt;=G1102),"OK","CHECK"))</f>
        <v>OK</v>
      </c>
      <c r="L1102" s="1" t="str">
        <f aca="false">IF(A1102="","",IF(AND(E1102&gt;=0,E1102&lt;=23),"OK","CHECK"))</f>
        <v>OK</v>
      </c>
      <c r="M1102" s="1" t="str">
        <f aca="false">IF(A1102="","",IF(AND(K1102="OK",L1102="OK"),"OK","CHECK"))</f>
        <v>OK</v>
      </c>
    </row>
    <row r="1103" customFormat="false" ht="18" hidden="false" customHeight="true" outlineLevel="0" collapsed="false">
      <c r="A1103" s="9" t="s">
        <v>26</v>
      </c>
      <c r="B1103" s="9" t="n">
        <v>23</v>
      </c>
      <c r="C1103" s="11" t="n">
        <v>45936</v>
      </c>
      <c r="D1103" s="9" t="s">
        <v>109</v>
      </c>
      <c r="E1103" s="12" t="n">
        <v>16</v>
      </c>
      <c r="F1103" s="9" t="s">
        <v>31</v>
      </c>
      <c r="G1103" s="13" t="n">
        <v>100</v>
      </c>
      <c r="H1103" s="9" t="s">
        <v>29</v>
      </c>
      <c r="I1103" s="13" t="n">
        <v>4</v>
      </c>
      <c r="J1103" s="1" t="str">
        <f aca="false">IF(A1103="","", "SAMP-"&amp;A1103&amp;"-L"&amp;TEXT(B1103,"00")&amp;"-"&amp;TEXT(C1103,"yyyymmdd")&amp;"-"&amp;D1103&amp;"-H"&amp;TEXT(E1103,"00")&amp;"-"&amp;H1103)</f>
        <v>SAMP-KG01-L23-20251006-ORD-2025-00220-H16-Choke Neck</v>
      </c>
      <c r="K1103" s="1" t="str">
        <f aca="false">IF(A1103="","",IF(AND(G1103&gt;=0,I1103&gt;=0,I1103&lt;=G1103),"OK","CHECK"))</f>
        <v>OK</v>
      </c>
      <c r="L1103" s="1" t="str">
        <f aca="false">IF(A1103="","",IF(AND(E1103&gt;=0,E1103&lt;=23),"OK","CHECK"))</f>
        <v>OK</v>
      </c>
      <c r="M1103" s="1" t="str">
        <f aca="false">IF(A1103="","",IF(AND(K1103="OK",L1103="OK"),"OK","CHECK"))</f>
        <v>OK</v>
      </c>
    </row>
    <row r="1104" customFormat="false" ht="18" hidden="false" customHeight="true" outlineLevel="0" collapsed="false">
      <c r="A1104" s="9" t="s">
        <v>26</v>
      </c>
      <c r="B1104" s="9" t="n">
        <v>23</v>
      </c>
      <c r="C1104" s="11" t="n">
        <v>45937</v>
      </c>
      <c r="D1104" s="9" t="s">
        <v>110</v>
      </c>
      <c r="E1104" s="12" t="n">
        <v>9</v>
      </c>
      <c r="F1104" s="9" t="s">
        <v>28</v>
      </c>
      <c r="G1104" s="13" t="n">
        <v>150</v>
      </c>
      <c r="H1104" s="9" t="s">
        <v>38</v>
      </c>
      <c r="I1104" s="13" t="n">
        <v>5</v>
      </c>
      <c r="J1104" s="1" t="str">
        <f aca="false">IF(A1104="","", "SAMP-"&amp;A1104&amp;"-L"&amp;TEXT(B1104,"00")&amp;"-"&amp;TEXT(C1104,"yyyymmdd")&amp;"-"&amp;D1104&amp;"-H"&amp;TEXT(E1104,"00")&amp;"-"&amp;H1104)</f>
        <v>SAMP-KG01-L23-20251007-ORD-2025-00221-H09-Crack</v>
      </c>
      <c r="K1104" s="1" t="str">
        <f aca="false">IF(A1104="","",IF(AND(G1104&gt;=0,I1104&gt;=0,I1104&lt;=G1104),"OK","CHECK"))</f>
        <v>OK</v>
      </c>
      <c r="L1104" s="1" t="str">
        <f aca="false">IF(A1104="","",IF(AND(E1104&gt;=0,E1104&lt;=23),"OK","CHECK"))</f>
        <v>OK</v>
      </c>
      <c r="M1104" s="1" t="str">
        <f aca="false">IF(A1104="","",IF(AND(K1104="OK",L1104="OK"),"OK","CHECK"))</f>
        <v>OK</v>
      </c>
    </row>
    <row r="1105" customFormat="false" ht="18" hidden="false" customHeight="true" outlineLevel="0" collapsed="false">
      <c r="A1105" s="9" t="s">
        <v>26</v>
      </c>
      <c r="B1105" s="9" t="n">
        <v>23</v>
      </c>
      <c r="C1105" s="11" t="n">
        <v>45937</v>
      </c>
      <c r="D1105" s="9" t="s">
        <v>110</v>
      </c>
      <c r="E1105" s="12" t="n">
        <v>7</v>
      </c>
      <c r="F1105" s="9" t="s">
        <v>28</v>
      </c>
      <c r="G1105" s="13" t="n">
        <v>100</v>
      </c>
      <c r="H1105" s="9" t="s">
        <v>36</v>
      </c>
      <c r="I1105" s="13" t="n">
        <v>0</v>
      </c>
      <c r="J1105" s="1" t="str">
        <f aca="false">IF(A1105="","", "SAMP-"&amp;A1105&amp;"-L"&amp;TEXT(B1105,"00")&amp;"-"&amp;TEXT(C1105,"yyyymmdd")&amp;"-"&amp;D1105&amp;"-H"&amp;TEXT(E1105,"00")&amp;"-"&amp;H1105)</f>
        <v>SAMP-KG01-L23-20251007-ORD-2025-00221-H07-Blister</v>
      </c>
      <c r="K1105" s="1" t="str">
        <f aca="false">IF(A1105="","",IF(AND(G1105&gt;=0,I1105&gt;=0,I1105&lt;=G1105),"OK","CHECK"))</f>
        <v>OK</v>
      </c>
      <c r="L1105" s="1" t="str">
        <f aca="false">IF(A1105="","",IF(AND(E1105&gt;=0,E1105&lt;=23),"OK","CHECK"))</f>
        <v>OK</v>
      </c>
      <c r="M1105" s="1" t="str">
        <f aca="false">IF(A1105="","",IF(AND(K1105="OK",L1105="OK"),"OK","CHECK"))</f>
        <v>OK</v>
      </c>
    </row>
    <row r="1106" customFormat="false" ht="18" hidden="false" customHeight="true" outlineLevel="0" collapsed="false">
      <c r="A1106" s="9" t="s">
        <v>26</v>
      </c>
      <c r="B1106" s="9" t="n">
        <v>23</v>
      </c>
      <c r="C1106" s="11" t="n">
        <v>45937</v>
      </c>
      <c r="D1106" s="9" t="s">
        <v>110</v>
      </c>
      <c r="E1106" s="12" t="n">
        <v>12</v>
      </c>
      <c r="F1106" s="9" t="s">
        <v>28</v>
      </c>
      <c r="G1106" s="13" t="n">
        <v>50</v>
      </c>
      <c r="H1106" s="9" t="s">
        <v>34</v>
      </c>
      <c r="I1106" s="13" t="n">
        <v>2</v>
      </c>
      <c r="J1106" s="1" t="str">
        <f aca="false">IF(A1106="","", "SAMP-"&amp;A1106&amp;"-L"&amp;TEXT(B1106,"00")&amp;"-"&amp;TEXT(C1106,"yyyymmdd")&amp;"-"&amp;D1106&amp;"-H"&amp;TEXT(E1106,"00")&amp;"-"&amp;H1106)</f>
        <v>SAMP-KG01-L23-20251007-ORD-2025-00221-H12-Thin Wall</v>
      </c>
      <c r="K1106" s="1" t="str">
        <f aca="false">IF(A1106="","",IF(AND(G1106&gt;=0,I1106&gt;=0,I1106&lt;=G1106),"OK","CHECK"))</f>
        <v>OK</v>
      </c>
      <c r="L1106" s="1" t="str">
        <f aca="false">IF(A1106="","",IF(AND(E1106&gt;=0,E1106&lt;=23),"OK","CHECK"))</f>
        <v>OK</v>
      </c>
      <c r="M1106" s="1" t="str">
        <f aca="false">IF(A1106="","",IF(AND(K1106="OK",L1106="OK"),"OK","CHECK"))</f>
        <v>OK</v>
      </c>
    </row>
    <row r="1107" customFormat="false" ht="18" hidden="false" customHeight="true" outlineLevel="0" collapsed="false">
      <c r="A1107" s="9" t="s">
        <v>26</v>
      </c>
      <c r="B1107" s="9" t="n">
        <v>23</v>
      </c>
      <c r="C1107" s="11" t="n">
        <v>45937</v>
      </c>
      <c r="D1107" s="9" t="s">
        <v>110</v>
      </c>
      <c r="E1107" s="12" t="n">
        <v>23</v>
      </c>
      <c r="F1107" s="9" t="s">
        <v>31</v>
      </c>
      <c r="G1107" s="13" t="n">
        <v>200</v>
      </c>
      <c r="H1107" s="9" t="s">
        <v>38</v>
      </c>
      <c r="I1107" s="13" t="n">
        <v>6</v>
      </c>
      <c r="J1107" s="1" t="str">
        <f aca="false">IF(A1107="","", "SAMP-"&amp;A1107&amp;"-L"&amp;TEXT(B1107,"00")&amp;"-"&amp;TEXT(C1107,"yyyymmdd")&amp;"-"&amp;D1107&amp;"-H"&amp;TEXT(E1107,"00")&amp;"-"&amp;H1107)</f>
        <v>SAMP-KG01-L23-20251007-ORD-2025-00221-H23-Crack</v>
      </c>
      <c r="K1107" s="1" t="str">
        <f aca="false">IF(A1107="","",IF(AND(G1107&gt;=0,I1107&gt;=0,I1107&lt;=G1107),"OK","CHECK"))</f>
        <v>OK</v>
      </c>
      <c r="L1107" s="1" t="str">
        <f aca="false">IF(A1107="","",IF(AND(E1107&gt;=0,E1107&lt;=23),"OK","CHECK"))</f>
        <v>OK</v>
      </c>
      <c r="M1107" s="1" t="str">
        <f aca="false">IF(A1107="","",IF(AND(K1107="OK",L1107="OK"),"OK","CHECK"))</f>
        <v>OK</v>
      </c>
    </row>
    <row r="1108" customFormat="false" ht="18" hidden="false" customHeight="true" outlineLevel="0" collapsed="false">
      <c r="A1108" s="9" t="s">
        <v>26</v>
      </c>
      <c r="B1108" s="9" t="n">
        <v>23</v>
      </c>
      <c r="C1108" s="11" t="n">
        <v>45937</v>
      </c>
      <c r="D1108" s="9" t="s">
        <v>110</v>
      </c>
      <c r="E1108" s="12" t="n">
        <v>16</v>
      </c>
      <c r="F1108" s="9" t="s">
        <v>31</v>
      </c>
      <c r="G1108" s="13" t="n">
        <v>200</v>
      </c>
      <c r="H1108" s="9" t="s">
        <v>30</v>
      </c>
      <c r="I1108" s="13" t="n">
        <v>6</v>
      </c>
      <c r="J1108" s="1" t="str">
        <f aca="false">IF(A1108="","", "SAMP-"&amp;A1108&amp;"-L"&amp;TEXT(B1108,"00")&amp;"-"&amp;TEXT(C1108,"yyyymmdd")&amp;"-"&amp;D1108&amp;"-H"&amp;TEXT(E1108,"00")&amp;"-"&amp;H1108)</f>
        <v>SAMP-KG01-L23-20251007-ORD-2025-00221-H16-Overpress</v>
      </c>
      <c r="K1108" s="1" t="str">
        <f aca="false">IF(A1108="","",IF(AND(G1108&gt;=0,I1108&gt;=0,I1108&lt;=G1108),"OK","CHECK"))</f>
        <v>OK</v>
      </c>
      <c r="L1108" s="1" t="str">
        <f aca="false">IF(A1108="","",IF(AND(E1108&gt;=0,E1108&lt;=23),"OK","CHECK"))</f>
        <v>OK</v>
      </c>
      <c r="M1108" s="1" t="str">
        <f aca="false">IF(A1108="","",IF(AND(K1108="OK",L1108="OK"),"OK","CHECK"))</f>
        <v>OK</v>
      </c>
    </row>
    <row r="1109" customFormat="false" ht="18" hidden="false" customHeight="true" outlineLevel="0" collapsed="false">
      <c r="A1109" s="9" t="s">
        <v>26</v>
      </c>
      <c r="B1109" s="9" t="n">
        <v>23</v>
      </c>
      <c r="C1109" s="11" t="n">
        <v>45937</v>
      </c>
      <c r="D1109" s="9" t="s">
        <v>110</v>
      </c>
      <c r="E1109" s="12" t="n">
        <v>20</v>
      </c>
      <c r="F1109" s="9" t="s">
        <v>31</v>
      </c>
      <c r="G1109" s="13" t="n">
        <v>50</v>
      </c>
      <c r="H1109" s="9" t="s">
        <v>30</v>
      </c>
      <c r="I1109" s="13" t="n">
        <v>2</v>
      </c>
      <c r="J1109" s="1" t="str">
        <f aca="false">IF(A1109="","", "SAMP-"&amp;A1109&amp;"-L"&amp;TEXT(B1109,"00")&amp;"-"&amp;TEXT(C1109,"yyyymmdd")&amp;"-"&amp;D1109&amp;"-H"&amp;TEXT(E1109,"00")&amp;"-"&amp;H1109)</f>
        <v>SAMP-KG01-L23-20251007-ORD-2025-00221-H20-Overpress</v>
      </c>
      <c r="K1109" s="1" t="str">
        <f aca="false">IF(A1109="","",IF(AND(G1109&gt;=0,I1109&gt;=0,I1109&lt;=G1109),"OK","CHECK"))</f>
        <v>OK</v>
      </c>
      <c r="L1109" s="1" t="str">
        <f aca="false">IF(A1109="","",IF(AND(E1109&gt;=0,E1109&lt;=23),"OK","CHECK"))</f>
        <v>OK</v>
      </c>
      <c r="M1109" s="1" t="str">
        <f aca="false">IF(A1109="","",IF(AND(K1109="OK",L1109="OK"),"OK","CHECK"))</f>
        <v>OK</v>
      </c>
    </row>
    <row r="1110" customFormat="false" ht="18" hidden="false" customHeight="true" outlineLevel="0" collapsed="false">
      <c r="A1110" s="9" t="s">
        <v>26</v>
      </c>
      <c r="B1110" s="9" t="n">
        <v>23</v>
      </c>
      <c r="C1110" s="11" t="n">
        <v>45938</v>
      </c>
      <c r="D1110" s="9" t="s">
        <v>110</v>
      </c>
      <c r="E1110" s="12" t="n">
        <v>12</v>
      </c>
      <c r="F1110" s="9" t="s">
        <v>28</v>
      </c>
      <c r="G1110" s="13" t="n">
        <v>100</v>
      </c>
      <c r="H1110" s="9" t="s">
        <v>36</v>
      </c>
      <c r="I1110" s="13" t="n">
        <v>2</v>
      </c>
      <c r="J1110" s="1" t="str">
        <f aca="false">IF(A1110="","", "SAMP-"&amp;A1110&amp;"-L"&amp;TEXT(B1110,"00")&amp;"-"&amp;TEXT(C1110,"yyyymmdd")&amp;"-"&amp;D1110&amp;"-H"&amp;TEXT(E1110,"00")&amp;"-"&amp;H1110)</f>
        <v>SAMP-KG01-L23-20251008-ORD-2025-00221-H12-Blister</v>
      </c>
      <c r="K1110" s="1" t="str">
        <f aca="false">IF(A1110="","",IF(AND(G1110&gt;=0,I1110&gt;=0,I1110&lt;=G1110),"OK","CHECK"))</f>
        <v>OK</v>
      </c>
      <c r="L1110" s="1" t="str">
        <f aca="false">IF(A1110="","",IF(AND(E1110&gt;=0,E1110&lt;=23),"OK","CHECK"))</f>
        <v>OK</v>
      </c>
      <c r="M1110" s="1" t="str">
        <f aca="false">IF(A1110="","",IF(AND(K1110="OK",L1110="OK"),"OK","CHECK"))</f>
        <v>OK</v>
      </c>
    </row>
    <row r="1111" customFormat="false" ht="18" hidden="false" customHeight="true" outlineLevel="0" collapsed="false">
      <c r="A1111" s="9" t="s">
        <v>26</v>
      </c>
      <c r="B1111" s="9" t="n">
        <v>23</v>
      </c>
      <c r="C1111" s="11" t="n">
        <v>45938</v>
      </c>
      <c r="D1111" s="9" t="s">
        <v>110</v>
      </c>
      <c r="E1111" s="12" t="n">
        <v>7</v>
      </c>
      <c r="F1111" s="9" t="s">
        <v>28</v>
      </c>
      <c r="G1111" s="13" t="n">
        <v>50</v>
      </c>
      <c r="H1111" s="9" t="s">
        <v>29</v>
      </c>
      <c r="I1111" s="13" t="n">
        <v>0</v>
      </c>
      <c r="J1111" s="1" t="str">
        <f aca="false">IF(A1111="","", "SAMP-"&amp;A1111&amp;"-L"&amp;TEXT(B1111,"00")&amp;"-"&amp;TEXT(C1111,"yyyymmdd")&amp;"-"&amp;D1111&amp;"-H"&amp;TEXT(E1111,"00")&amp;"-"&amp;H1111)</f>
        <v>SAMP-KG01-L23-20251008-ORD-2025-00221-H07-Choke Neck</v>
      </c>
      <c r="K1111" s="1" t="str">
        <f aca="false">IF(A1111="","",IF(AND(G1111&gt;=0,I1111&gt;=0,I1111&lt;=G1111),"OK","CHECK"))</f>
        <v>OK</v>
      </c>
      <c r="L1111" s="1" t="str">
        <f aca="false">IF(A1111="","",IF(AND(E1111&gt;=0,E1111&lt;=23),"OK","CHECK"))</f>
        <v>OK</v>
      </c>
      <c r="M1111" s="1" t="str">
        <f aca="false">IF(A1111="","",IF(AND(K1111="OK",L1111="OK"),"OK","CHECK"))</f>
        <v>OK</v>
      </c>
    </row>
    <row r="1112" customFormat="false" ht="18" hidden="false" customHeight="true" outlineLevel="0" collapsed="false">
      <c r="A1112" s="9" t="s">
        <v>26</v>
      </c>
      <c r="B1112" s="9" t="n">
        <v>23</v>
      </c>
      <c r="C1112" s="11" t="n">
        <v>45938</v>
      </c>
      <c r="D1112" s="9" t="s">
        <v>110</v>
      </c>
      <c r="E1112" s="12" t="n">
        <v>9</v>
      </c>
      <c r="F1112" s="9" t="s">
        <v>28</v>
      </c>
      <c r="G1112" s="13" t="n">
        <v>100</v>
      </c>
      <c r="H1112" s="9" t="s">
        <v>34</v>
      </c>
      <c r="I1112" s="13" t="n">
        <v>3</v>
      </c>
      <c r="J1112" s="1" t="str">
        <f aca="false">IF(A1112="","", "SAMP-"&amp;A1112&amp;"-L"&amp;TEXT(B1112,"00")&amp;"-"&amp;TEXT(C1112,"yyyymmdd")&amp;"-"&amp;D1112&amp;"-H"&amp;TEXT(E1112,"00")&amp;"-"&amp;H1112)</f>
        <v>SAMP-KG01-L23-20251008-ORD-2025-00221-H09-Thin Wall</v>
      </c>
      <c r="K1112" s="1" t="str">
        <f aca="false">IF(A1112="","",IF(AND(G1112&gt;=0,I1112&gt;=0,I1112&lt;=G1112),"OK","CHECK"))</f>
        <v>OK</v>
      </c>
      <c r="L1112" s="1" t="str">
        <f aca="false">IF(A1112="","",IF(AND(E1112&gt;=0,E1112&lt;=23),"OK","CHECK"))</f>
        <v>OK</v>
      </c>
      <c r="M1112" s="1" t="str">
        <f aca="false">IF(A1112="","",IF(AND(K1112="OK",L1112="OK"),"OK","CHECK"))</f>
        <v>OK</v>
      </c>
    </row>
    <row r="1113" customFormat="false" ht="18" hidden="false" customHeight="true" outlineLevel="0" collapsed="false">
      <c r="A1113" s="9" t="s">
        <v>26</v>
      </c>
      <c r="B1113" s="9" t="n">
        <v>23</v>
      </c>
      <c r="C1113" s="11" t="n">
        <v>45938</v>
      </c>
      <c r="D1113" s="9" t="s">
        <v>110</v>
      </c>
      <c r="E1113" s="12" t="n">
        <v>16</v>
      </c>
      <c r="F1113" s="9" t="s">
        <v>31</v>
      </c>
      <c r="G1113" s="13" t="n">
        <v>50</v>
      </c>
      <c r="H1113" s="9" t="s">
        <v>34</v>
      </c>
      <c r="I1113" s="13" t="n">
        <v>1</v>
      </c>
      <c r="J1113" s="1" t="str">
        <f aca="false">IF(A1113="","", "SAMP-"&amp;A1113&amp;"-L"&amp;TEXT(B1113,"00")&amp;"-"&amp;TEXT(C1113,"yyyymmdd")&amp;"-"&amp;D1113&amp;"-H"&amp;TEXT(E1113,"00")&amp;"-"&amp;H1113)</f>
        <v>SAMP-KG01-L23-20251008-ORD-2025-00221-H16-Thin Wall</v>
      </c>
      <c r="K1113" s="1" t="str">
        <f aca="false">IF(A1113="","",IF(AND(G1113&gt;=0,I1113&gt;=0,I1113&lt;=G1113),"OK","CHECK"))</f>
        <v>OK</v>
      </c>
      <c r="L1113" s="1" t="str">
        <f aca="false">IF(A1113="","",IF(AND(E1113&gt;=0,E1113&lt;=23),"OK","CHECK"))</f>
        <v>OK</v>
      </c>
      <c r="M1113" s="1" t="str">
        <f aca="false">IF(A1113="","",IF(AND(K1113="OK",L1113="OK"),"OK","CHECK"))</f>
        <v>OK</v>
      </c>
    </row>
    <row r="1114" customFormat="false" ht="18" hidden="false" customHeight="true" outlineLevel="0" collapsed="false">
      <c r="A1114" s="9" t="s">
        <v>26</v>
      </c>
      <c r="B1114" s="9" t="n">
        <v>23</v>
      </c>
      <c r="C1114" s="11" t="n">
        <v>45938</v>
      </c>
      <c r="D1114" s="9" t="s">
        <v>110</v>
      </c>
      <c r="E1114" s="12" t="n">
        <v>23</v>
      </c>
      <c r="F1114" s="9" t="s">
        <v>31</v>
      </c>
      <c r="G1114" s="13" t="n">
        <v>50</v>
      </c>
      <c r="H1114" s="9" t="s">
        <v>29</v>
      </c>
      <c r="I1114" s="13" t="n">
        <v>0</v>
      </c>
      <c r="J1114" s="1" t="str">
        <f aca="false">IF(A1114="","", "SAMP-"&amp;A1114&amp;"-L"&amp;TEXT(B1114,"00")&amp;"-"&amp;TEXT(C1114,"yyyymmdd")&amp;"-"&amp;D1114&amp;"-H"&amp;TEXT(E1114,"00")&amp;"-"&amp;H1114)</f>
        <v>SAMP-KG01-L23-20251008-ORD-2025-00221-H23-Choke Neck</v>
      </c>
      <c r="K1114" s="1" t="str">
        <f aca="false">IF(A1114="","",IF(AND(G1114&gt;=0,I1114&gt;=0,I1114&lt;=G1114),"OK","CHECK"))</f>
        <v>OK</v>
      </c>
      <c r="L1114" s="1" t="str">
        <f aca="false">IF(A1114="","",IF(AND(E1114&gt;=0,E1114&lt;=23),"OK","CHECK"))</f>
        <v>OK</v>
      </c>
      <c r="M1114" s="1" t="str">
        <f aca="false">IF(A1114="","",IF(AND(K1114="OK",L1114="OK"),"OK","CHECK"))</f>
        <v>OK</v>
      </c>
    </row>
    <row r="1115" customFormat="false" ht="18" hidden="false" customHeight="true" outlineLevel="0" collapsed="false">
      <c r="A1115" s="9" t="s">
        <v>26</v>
      </c>
      <c r="B1115" s="9" t="n">
        <v>23</v>
      </c>
      <c r="C1115" s="11" t="n">
        <v>45938</v>
      </c>
      <c r="D1115" s="9" t="s">
        <v>110</v>
      </c>
      <c r="E1115" s="12" t="n">
        <v>20</v>
      </c>
      <c r="F1115" s="9" t="s">
        <v>31</v>
      </c>
      <c r="G1115" s="13" t="n">
        <v>150</v>
      </c>
      <c r="H1115" s="9" t="s">
        <v>36</v>
      </c>
      <c r="I1115" s="13" t="n">
        <v>5</v>
      </c>
      <c r="J1115" s="1" t="str">
        <f aca="false">IF(A1115="","", "SAMP-"&amp;A1115&amp;"-L"&amp;TEXT(B1115,"00")&amp;"-"&amp;TEXT(C1115,"yyyymmdd")&amp;"-"&amp;D1115&amp;"-H"&amp;TEXT(E1115,"00")&amp;"-"&amp;H1115)</f>
        <v>SAMP-KG01-L23-20251008-ORD-2025-00221-H20-Blister</v>
      </c>
      <c r="K1115" s="1" t="str">
        <f aca="false">IF(A1115="","",IF(AND(G1115&gt;=0,I1115&gt;=0,I1115&lt;=G1115),"OK","CHECK"))</f>
        <v>OK</v>
      </c>
      <c r="L1115" s="1" t="str">
        <f aca="false">IF(A1115="","",IF(AND(E1115&gt;=0,E1115&lt;=23),"OK","CHECK"))</f>
        <v>OK</v>
      </c>
      <c r="M1115" s="1" t="str">
        <f aca="false">IF(A1115="","",IF(AND(K1115="OK",L1115="OK"),"OK","CHECK"))</f>
        <v>OK</v>
      </c>
    </row>
    <row r="1116" customFormat="false" ht="18" hidden="false" customHeight="true" outlineLevel="0" collapsed="false">
      <c r="A1116" s="9" t="s">
        <v>26</v>
      </c>
      <c r="B1116" s="9" t="n">
        <v>23</v>
      </c>
      <c r="C1116" s="11" t="n">
        <v>45939</v>
      </c>
      <c r="D1116" s="9" t="s">
        <v>110</v>
      </c>
      <c r="E1116" s="12" t="n">
        <v>12</v>
      </c>
      <c r="F1116" s="9" t="s">
        <v>28</v>
      </c>
      <c r="G1116" s="13" t="n">
        <v>50</v>
      </c>
      <c r="H1116" s="9" t="s">
        <v>33</v>
      </c>
      <c r="I1116" s="13" t="n">
        <v>1</v>
      </c>
      <c r="J1116" s="1" t="str">
        <f aca="false">IF(A1116="","", "SAMP-"&amp;A1116&amp;"-L"&amp;TEXT(B1116,"00")&amp;"-"&amp;TEXT(C1116,"yyyymmdd")&amp;"-"&amp;D1116&amp;"-H"&amp;TEXT(E1116,"00")&amp;"-"&amp;H1116)</f>
        <v>SAMP-KG01-L23-20251009-ORD-2025-00221-H12-Distortion</v>
      </c>
      <c r="K1116" s="1" t="str">
        <f aca="false">IF(A1116="","",IF(AND(G1116&gt;=0,I1116&gt;=0,I1116&lt;=G1116),"OK","CHECK"))</f>
        <v>OK</v>
      </c>
      <c r="L1116" s="1" t="str">
        <f aca="false">IF(A1116="","",IF(AND(E1116&gt;=0,E1116&lt;=23),"OK","CHECK"))</f>
        <v>OK</v>
      </c>
      <c r="M1116" s="1" t="str">
        <f aca="false">IF(A1116="","",IF(AND(K1116="OK",L1116="OK"),"OK","CHECK"))</f>
        <v>OK</v>
      </c>
    </row>
    <row r="1117" customFormat="false" ht="18" hidden="false" customHeight="true" outlineLevel="0" collapsed="false">
      <c r="A1117" s="9" t="s">
        <v>26</v>
      </c>
      <c r="B1117" s="9" t="n">
        <v>23</v>
      </c>
      <c r="C1117" s="11" t="n">
        <v>45939</v>
      </c>
      <c r="D1117" s="9" t="s">
        <v>110</v>
      </c>
      <c r="E1117" s="12" t="n">
        <v>9</v>
      </c>
      <c r="F1117" s="9" t="s">
        <v>28</v>
      </c>
      <c r="G1117" s="13" t="n">
        <v>100</v>
      </c>
      <c r="H1117" s="9" t="s">
        <v>41</v>
      </c>
      <c r="I1117" s="13" t="n">
        <v>0</v>
      </c>
      <c r="J1117" s="1" t="str">
        <f aca="false">IF(A1117="","", "SAMP-"&amp;A1117&amp;"-L"&amp;TEXT(B1117,"00")&amp;"-"&amp;TEXT(C1117,"yyyymmdd")&amp;"-"&amp;D1117&amp;"-H"&amp;TEXT(E1117,"00")&amp;"-"&amp;H1117)</f>
        <v>SAMP-KG01-L23-20251009-ORD-2025-00221-H09-Chip</v>
      </c>
      <c r="K1117" s="1" t="str">
        <f aca="false">IF(A1117="","",IF(AND(G1117&gt;=0,I1117&gt;=0,I1117&lt;=G1117),"OK","CHECK"))</f>
        <v>OK</v>
      </c>
      <c r="L1117" s="1" t="str">
        <f aca="false">IF(A1117="","",IF(AND(E1117&gt;=0,E1117&lt;=23),"OK","CHECK"))</f>
        <v>OK</v>
      </c>
      <c r="M1117" s="1" t="str">
        <f aca="false">IF(A1117="","",IF(AND(K1117="OK",L1117="OK"),"OK","CHECK"))</f>
        <v>OK</v>
      </c>
    </row>
    <row r="1118" customFormat="false" ht="18" hidden="false" customHeight="true" outlineLevel="0" collapsed="false">
      <c r="A1118" s="9" t="s">
        <v>26</v>
      </c>
      <c r="B1118" s="9" t="n">
        <v>23</v>
      </c>
      <c r="C1118" s="11" t="n">
        <v>45939</v>
      </c>
      <c r="D1118" s="9" t="s">
        <v>110</v>
      </c>
      <c r="E1118" s="12" t="n">
        <v>7</v>
      </c>
      <c r="F1118" s="9" t="s">
        <v>28</v>
      </c>
      <c r="G1118" s="13" t="n">
        <v>100</v>
      </c>
      <c r="H1118" s="9" t="s">
        <v>37</v>
      </c>
      <c r="I1118" s="13" t="n">
        <v>1</v>
      </c>
      <c r="J1118" s="1" t="str">
        <f aca="false">IF(A1118="","", "SAMP-"&amp;A1118&amp;"-L"&amp;TEXT(B1118,"00")&amp;"-"&amp;TEXT(C1118,"yyyymmdd")&amp;"-"&amp;D1118&amp;"-H"&amp;TEXT(E1118,"00")&amp;"-"&amp;H1118)</f>
        <v>SAMP-KG01-L23-20251009-ORD-2025-00221-H07-Bird Swing</v>
      </c>
      <c r="K1118" s="1" t="str">
        <f aca="false">IF(A1118="","",IF(AND(G1118&gt;=0,I1118&gt;=0,I1118&lt;=G1118),"OK","CHECK"))</f>
        <v>OK</v>
      </c>
      <c r="L1118" s="1" t="str">
        <f aca="false">IF(A1118="","",IF(AND(E1118&gt;=0,E1118&lt;=23),"OK","CHECK"))</f>
        <v>OK</v>
      </c>
      <c r="M1118" s="1" t="str">
        <f aca="false">IF(A1118="","",IF(AND(K1118="OK",L1118="OK"),"OK","CHECK"))</f>
        <v>OK</v>
      </c>
    </row>
    <row r="1119" customFormat="false" ht="18" hidden="false" customHeight="true" outlineLevel="0" collapsed="false">
      <c r="A1119" s="9" t="s">
        <v>26</v>
      </c>
      <c r="B1119" s="9" t="n">
        <v>23</v>
      </c>
      <c r="C1119" s="11" t="n">
        <v>45939</v>
      </c>
      <c r="D1119" s="9" t="s">
        <v>110</v>
      </c>
      <c r="E1119" s="12" t="n">
        <v>16</v>
      </c>
      <c r="F1119" s="9" t="s">
        <v>31</v>
      </c>
      <c r="G1119" s="13" t="n">
        <v>150</v>
      </c>
      <c r="H1119" s="9" t="s">
        <v>30</v>
      </c>
      <c r="I1119" s="13" t="n">
        <v>9</v>
      </c>
      <c r="J1119" s="1" t="str">
        <f aca="false">IF(A1119="","", "SAMP-"&amp;A1119&amp;"-L"&amp;TEXT(B1119,"00")&amp;"-"&amp;TEXT(C1119,"yyyymmdd")&amp;"-"&amp;D1119&amp;"-H"&amp;TEXT(E1119,"00")&amp;"-"&amp;H1119)</f>
        <v>SAMP-KG01-L23-20251009-ORD-2025-00221-H16-Overpress</v>
      </c>
      <c r="K1119" s="1" t="str">
        <f aca="false">IF(A1119="","",IF(AND(G1119&gt;=0,I1119&gt;=0,I1119&lt;=G1119),"OK","CHECK"))</f>
        <v>OK</v>
      </c>
      <c r="L1119" s="1" t="str">
        <f aca="false">IF(A1119="","",IF(AND(E1119&gt;=0,E1119&lt;=23),"OK","CHECK"))</f>
        <v>OK</v>
      </c>
      <c r="M1119" s="1" t="str">
        <f aca="false">IF(A1119="","",IF(AND(K1119="OK",L1119="OK"),"OK","CHECK"))</f>
        <v>OK</v>
      </c>
    </row>
    <row r="1120" customFormat="false" ht="18" hidden="false" customHeight="true" outlineLevel="0" collapsed="false">
      <c r="A1120" s="9" t="s">
        <v>26</v>
      </c>
      <c r="B1120" s="9" t="n">
        <v>23</v>
      </c>
      <c r="C1120" s="11" t="n">
        <v>45939</v>
      </c>
      <c r="D1120" s="9" t="s">
        <v>110</v>
      </c>
      <c r="E1120" s="12" t="n">
        <v>20</v>
      </c>
      <c r="F1120" s="9" t="s">
        <v>31</v>
      </c>
      <c r="G1120" s="13" t="n">
        <v>200</v>
      </c>
      <c r="H1120" s="9" t="s">
        <v>38</v>
      </c>
      <c r="I1120" s="13" t="n">
        <v>8</v>
      </c>
      <c r="J1120" s="1" t="str">
        <f aca="false">IF(A1120="","", "SAMP-"&amp;A1120&amp;"-L"&amp;TEXT(B1120,"00")&amp;"-"&amp;TEXT(C1120,"yyyymmdd")&amp;"-"&amp;D1120&amp;"-H"&amp;TEXT(E1120,"00")&amp;"-"&amp;H1120)</f>
        <v>SAMP-KG01-L23-20251009-ORD-2025-00221-H20-Crack</v>
      </c>
      <c r="K1120" s="1" t="str">
        <f aca="false">IF(A1120="","",IF(AND(G1120&gt;=0,I1120&gt;=0,I1120&lt;=G1120),"OK","CHECK"))</f>
        <v>OK</v>
      </c>
      <c r="L1120" s="1" t="str">
        <f aca="false">IF(A1120="","",IF(AND(E1120&gt;=0,E1120&lt;=23),"OK","CHECK"))</f>
        <v>OK</v>
      </c>
      <c r="M1120" s="1" t="str">
        <f aca="false">IF(A1120="","",IF(AND(K1120="OK",L1120="OK"),"OK","CHECK"))</f>
        <v>OK</v>
      </c>
    </row>
    <row r="1121" customFormat="false" ht="18" hidden="false" customHeight="true" outlineLevel="0" collapsed="false">
      <c r="A1121" s="9" t="s">
        <v>26</v>
      </c>
      <c r="B1121" s="9" t="n">
        <v>23</v>
      </c>
      <c r="C1121" s="11" t="n">
        <v>45940</v>
      </c>
      <c r="D1121" s="9" t="s">
        <v>110</v>
      </c>
      <c r="E1121" s="12" t="n">
        <v>12</v>
      </c>
      <c r="F1121" s="9" t="s">
        <v>28</v>
      </c>
      <c r="G1121" s="13" t="n">
        <v>200</v>
      </c>
      <c r="H1121" s="9" t="s">
        <v>33</v>
      </c>
      <c r="I1121" s="13" t="n">
        <v>4</v>
      </c>
      <c r="J1121" s="1" t="str">
        <f aca="false">IF(A1121="","", "SAMP-"&amp;A1121&amp;"-L"&amp;TEXT(B1121,"00")&amp;"-"&amp;TEXT(C1121,"yyyymmdd")&amp;"-"&amp;D1121&amp;"-H"&amp;TEXT(E1121,"00")&amp;"-"&amp;H1121)</f>
        <v>SAMP-KG01-L23-20251010-ORD-2025-00221-H12-Distortion</v>
      </c>
      <c r="K1121" s="1" t="str">
        <f aca="false">IF(A1121="","",IF(AND(G1121&gt;=0,I1121&gt;=0,I1121&lt;=G1121),"OK","CHECK"))</f>
        <v>OK</v>
      </c>
      <c r="L1121" s="1" t="str">
        <f aca="false">IF(A1121="","",IF(AND(E1121&gt;=0,E1121&lt;=23),"OK","CHECK"))</f>
        <v>OK</v>
      </c>
      <c r="M1121" s="1" t="str">
        <f aca="false">IF(A1121="","",IF(AND(K1121="OK",L1121="OK"),"OK","CHECK"))</f>
        <v>OK</v>
      </c>
    </row>
    <row r="1122" customFormat="false" ht="18" hidden="false" customHeight="true" outlineLevel="0" collapsed="false">
      <c r="A1122" s="9" t="s">
        <v>26</v>
      </c>
      <c r="B1122" s="9" t="n">
        <v>23</v>
      </c>
      <c r="C1122" s="11" t="n">
        <v>45940</v>
      </c>
      <c r="D1122" s="9" t="s">
        <v>110</v>
      </c>
      <c r="E1122" s="12" t="n">
        <v>9</v>
      </c>
      <c r="F1122" s="9" t="s">
        <v>28</v>
      </c>
      <c r="G1122" s="13" t="n">
        <v>50</v>
      </c>
      <c r="H1122" s="9" t="s">
        <v>37</v>
      </c>
      <c r="I1122" s="13" t="n">
        <v>1</v>
      </c>
      <c r="J1122" s="1" t="str">
        <f aca="false">IF(A1122="","", "SAMP-"&amp;A1122&amp;"-L"&amp;TEXT(B1122,"00")&amp;"-"&amp;TEXT(C1122,"yyyymmdd")&amp;"-"&amp;D1122&amp;"-H"&amp;TEXT(E1122,"00")&amp;"-"&amp;H1122)</f>
        <v>SAMP-KG01-L23-20251010-ORD-2025-00221-H09-Bird Swing</v>
      </c>
      <c r="K1122" s="1" t="str">
        <f aca="false">IF(A1122="","",IF(AND(G1122&gt;=0,I1122&gt;=0,I1122&lt;=G1122),"OK","CHECK"))</f>
        <v>OK</v>
      </c>
      <c r="L1122" s="1" t="str">
        <f aca="false">IF(A1122="","",IF(AND(E1122&gt;=0,E1122&lt;=23),"OK","CHECK"))</f>
        <v>OK</v>
      </c>
      <c r="M1122" s="1" t="str">
        <f aca="false">IF(A1122="","",IF(AND(K1122="OK",L1122="OK"),"OK","CHECK"))</f>
        <v>OK</v>
      </c>
    </row>
    <row r="1123" customFormat="false" ht="18" hidden="false" customHeight="true" outlineLevel="0" collapsed="false">
      <c r="A1123" s="9" t="s">
        <v>26</v>
      </c>
      <c r="B1123" s="9" t="n">
        <v>23</v>
      </c>
      <c r="C1123" s="11" t="n">
        <v>45940</v>
      </c>
      <c r="D1123" s="9" t="s">
        <v>111</v>
      </c>
      <c r="E1123" s="12" t="n">
        <v>20</v>
      </c>
      <c r="F1123" s="9" t="s">
        <v>31</v>
      </c>
      <c r="G1123" s="13" t="n">
        <v>100</v>
      </c>
      <c r="H1123" s="9" t="s">
        <v>38</v>
      </c>
      <c r="I1123" s="13" t="n">
        <v>4</v>
      </c>
      <c r="J1123" s="1" t="str">
        <f aca="false">IF(A1123="","", "SAMP-"&amp;A1123&amp;"-L"&amp;TEXT(B1123,"00")&amp;"-"&amp;TEXT(C1123,"yyyymmdd")&amp;"-"&amp;D1123&amp;"-H"&amp;TEXT(E1123,"00")&amp;"-"&amp;H1123)</f>
        <v>SAMP-KG01-L23-20251010-ORD-2025-00222-H20-Crack</v>
      </c>
      <c r="K1123" s="1" t="str">
        <f aca="false">IF(A1123="","",IF(AND(G1123&gt;=0,I1123&gt;=0,I1123&lt;=G1123),"OK","CHECK"))</f>
        <v>OK</v>
      </c>
      <c r="L1123" s="1" t="str">
        <f aca="false">IF(A1123="","",IF(AND(E1123&gt;=0,E1123&lt;=23),"OK","CHECK"))</f>
        <v>OK</v>
      </c>
      <c r="M1123" s="1" t="str">
        <f aca="false">IF(A1123="","",IF(AND(K1123="OK",L1123="OK"),"OK","CHECK"))</f>
        <v>OK</v>
      </c>
    </row>
    <row r="1124" customFormat="false" ht="18" hidden="false" customHeight="true" outlineLevel="0" collapsed="false">
      <c r="A1124" s="9" t="s">
        <v>26</v>
      </c>
      <c r="B1124" s="9" t="n">
        <v>23</v>
      </c>
      <c r="C1124" s="11" t="n">
        <v>45940</v>
      </c>
      <c r="D1124" s="9" t="s">
        <v>111</v>
      </c>
      <c r="E1124" s="12" t="n">
        <v>16</v>
      </c>
      <c r="F1124" s="9" t="s">
        <v>31</v>
      </c>
      <c r="G1124" s="13" t="n">
        <v>100</v>
      </c>
      <c r="H1124" s="9" t="s">
        <v>41</v>
      </c>
      <c r="I1124" s="13" t="n">
        <v>0</v>
      </c>
      <c r="J1124" s="1" t="str">
        <f aca="false">IF(A1124="","", "SAMP-"&amp;A1124&amp;"-L"&amp;TEXT(B1124,"00")&amp;"-"&amp;TEXT(C1124,"yyyymmdd")&amp;"-"&amp;D1124&amp;"-H"&amp;TEXT(E1124,"00")&amp;"-"&amp;H1124)</f>
        <v>SAMP-KG01-L23-20251010-ORD-2025-00222-H16-Chip</v>
      </c>
      <c r="K1124" s="1" t="str">
        <f aca="false">IF(A1124="","",IF(AND(G1124&gt;=0,I1124&gt;=0,I1124&lt;=G1124),"OK","CHECK"))</f>
        <v>OK</v>
      </c>
      <c r="L1124" s="1" t="str">
        <f aca="false">IF(A1124="","",IF(AND(E1124&gt;=0,E1124&lt;=23),"OK","CHECK"))</f>
        <v>OK</v>
      </c>
      <c r="M1124" s="1" t="str">
        <f aca="false">IF(A1124="","",IF(AND(K1124="OK",L1124="OK"),"OK","CHECK"))</f>
        <v>OK</v>
      </c>
    </row>
    <row r="1125" customFormat="false" ht="18" hidden="false" customHeight="true" outlineLevel="0" collapsed="false">
      <c r="A1125" s="9" t="s">
        <v>26</v>
      </c>
      <c r="B1125" s="9" t="n">
        <v>23</v>
      </c>
      <c r="C1125" s="11" t="n">
        <v>45940</v>
      </c>
      <c r="D1125" s="9" t="s">
        <v>111</v>
      </c>
      <c r="E1125" s="12" t="n">
        <v>23</v>
      </c>
      <c r="F1125" s="9" t="s">
        <v>31</v>
      </c>
      <c r="G1125" s="13" t="n">
        <v>200</v>
      </c>
      <c r="H1125" s="9" t="s">
        <v>34</v>
      </c>
      <c r="I1125" s="13" t="n">
        <v>5</v>
      </c>
      <c r="J1125" s="1" t="str">
        <f aca="false">IF(A1125="","", "SAMP-"&amp;A1125&amp;"-L"&amp;TEXT(B1125,"00")&amp;"-"&amp;TEXT(C1125,"yyyymmdd")&amp;"-"&amp;D1125&amp;"-H"&amp;TEXT(E1125,"00")&amp;"-"&amp;H1125)</f>
        <v>SAMP-KG01-L23-20251010-ORD-2025-00222-H23-Thin Wall</v>
      </c>
      <c r="K1125" s="1" t="str">
        <f aca="false">IF(A1125="","",IF(AND(G1125&gt;=0,I1125&gt;=0,I1125&lt;=G1125),"OK","CHECK"))</f>
        <v>OK</v>
      </c>
      <c r="L1125" s="1" t="str">
        <f aca="false">IF(A1125="","",IF(AND(E1125&gt;=0,E1125&lt;=23),"OK","CHECK"))</f>
        <v>OK</v>
      </c>
      <c r="M1125" s="1" t="str">
        <f aca="false">IF(A1125="","",IF(AND(K1125="OK",L1125="OK"),"OK","CHECK"))</f>
        <v>OK</v>
      </c>
    </row>
    <row r="1126" customFormat="false" ht="18" hidden="false" customHeight="true" outlineLevel="0" collapsed="false">
      <c r="A1126" s="9" t="s">
        <v>26</v>
      </c>
      <c r="B1126" s="9" t="n">
        <v>23</v>
      </c>
      <c r="C1126" s="11" t="n">
        <v>45941</v>
      </c>
      <c r="D1126" s="9" t="s">
        <v>111</v>
      </c>
      <c r="E1126" s="12" t="n">
        <v>9</v>
      </c>
      <c r="F1126" s="9" t="s">
        <v>28</v>
      </c>
      <c r="G1126" s="13" t="n">
        <v>150</v>
      </c>
      <c r="H1126" s="9" t="s">
        <v>33</v>
      </c>
      <c r="I1126" s="13" t="n">
        <v>2</v>
      </c>
      <c r="J1126" s="1" t="str">
        <f aca="false">IF(A1126="","", "SAMP-"&amp;A1126&amp;"-L"&amp;TEXT(B1126,"00")&amp;"-"&amp;TEXT(C1126,"yyyymmdd")&amp;"-"&amp;D1126&amp;"-H"&amp;TEXT(E1126,"00")&amp;"-"&amp;H1126)</f>
        <v>SAMP-KG01-L23-20251011-ORD-2025-00222-H09-Distortion</v>
      </c>
      <c r="K1126" s="1" t="str">
        <f aca="false">IF(A1126="","",IF(AND(G1126&gt;=0,I1126&gt;=0,I1126&lt;=G1126),"OK","CHECK"))</f>
        <v>OK</v>
      </c>
      <c r="L1126" s="1" t="str">
        <f aca="false">IF(A1126="","",IF(AND(E1126&gt;=0,E1126&lt;=23),"OK","CHECK"))</f>
        <v>OK</v>
      </c>
      <c r="M1126" s="1" t="str">
        <f aca="false">IF(A1126="","",IF(AND(K1126="OK",L1126="OK"),"OK","CHECK"))</f>
        <v>OK</v>
      </c>
    </row>
    <row r="1127" customFormat="false" ht="18" hidden="false" customHeight="true" outlineLevel="0" collapsed="false">
      <c r="A1127" s="9" t="s">
        <v>26</v>
      </c>
      <c r="B1127" s="9" t="n">
        <v>23</v>
      </c>
      <c r="C1127" s="11" t="n">
        <v>45941</v>
      </c>
      <c r="D1127" s="9" t="s">
        <v>111</v>
      </c>
      <c r="E1127" s="12" t="n">
        <v>12</v>
      </c>
      <c r="F1127" s="9" t="s">
        <v>28</v>
      </c>
      <c r="G1127" s="13" t="n">
        <v>50</v>
      </c>
      <c r="H1127" s="9" t="s">
        <v>41</v>
      </c>
      <c r="I1127" s="13" t="n">
        <v>0</v>
      </c>
      <c r="J1127" s="1" t="str">
        <f aca="false">IF(A1127="","", "SAMP-"&amp;A1127&amp;"-L"&amp;TEXT(B1127,"00")&amp;"-"&amp;TEXT(C1127,"yyyymmdd")&amp;"-"&amp;D1127&amp;"-H"&amp;TEXT(E1127,"00")&amp;"-"&amp;H1127)</f>
        <v>SAMP-KG01-L23-20251011-ORD-2025-00222-H12-Chip</v>
      </c>
      <c r="K1127" s="1" t="str">
        <f aca="false">IF(A1127="","",IF(AND(G1127&gt;=0,I1127&gt;=0,I1127&lt;=G1127),"OK","CHECK"))</f>
        <v>OK</v>
      </c>
      <c r="L1127" s="1" t="str">
        <f aca="false">IF(A1127="","",IF(AND(E1127&gt;=0,E1127&lt;=23),"OK","CHECK"))</f>
        <v>OK</v>
      </c>
      <c r="M1127" s="1" t="str">
        <f aca="false">IF(A1127="","",IF(AND(K1127="OK",L1127="OK"),"OK","CHECK"))</f>
        <v>OK</v>
      </c>
    </row>
    <row r="1128" customFormat="false" ht="18" hidden="false" customHeight="true" outlineLevel="0" collapsed="false">
      <c r="A1128" s="9" t="s">
        <v>26</v>
      </c>
      <c r="B1128" s="9" t="n">
        <v>23</v>
      </c>
      <c r="C1128" s="11" t="n">
        <v>45941</v>
      </c>
      <c r="D1128" s="9" t="s">
        <v>111</v>
      </c>
      <c r="E1128" s="12" t="n">
        <v>23</v>
      </c>
      <c r="F1128" s="9" t="s">
        <v>31</v>
      </c>
      <c r="G1128" s="13" t="n">
        <v>50</v>
      </c>
      <c r="H1128" s="9" t="s">
        <v>37</v>
      </c>
      <c r="I1128" s="13" t="n">
        <v>3</v>
      </c>
      <c r="J1128" s="1" t="str">
        <f aca="false">IF(A1128="","", "SAMP-"&amp;A1128&amp;"-L"&amp;TEXT(B1128,"00")&amp;"-"&amp;TEXT(C1128,"yyyymmdd")&amp;"-"&amp;D1128&amp;"-H"&amp;TEXT(E1128,"00")&amp;"-"&amp;H1128)</f>
        <v>SAMP-KG01-L23-20251011-ORD-2025-00222-H23-Bird Swing</v>
      </c>
      <c r="K1128" s="1" t="str">
        <f aca="false">IF(A1128="","",IF(AND(G1128&gt;=0,I1128&gt;=0,I1128&lt;=G1128),"OK","CHECK"))</f>
        <v>OK</v>
      </c>
      <c r="L1128" s="1" t="str">
        <f aca="false">IF(A1128="","",IF(AND(E1128&gt;=0,E1128&lt;=23),"OK","CHECK"))</f>
        <v>OK</v>
      </c>
      <c r="M1128" s="1" t="str">
        <f aca="false">IF(A1128="","",IF(AND(K1128="OK",L1128="OK"),"OK","CHECK"))</f>
        <v>OK</v>
      </c>
    </row>
    <row r="1129" customFormat="false" ht="18" hidden="false" customHeight="true" outlineLevel="0" collapsed="false">
      <c r="A1129" s="9" t="s">
        <v>26</v>
      </c>
      <c r="B1129" s="9" t="n">
        <v>23</v>
      </c>
      <c r="C1129" s="11" t="n">
        <v>45941</v>
      </c>
      <c r="D1129" s="9" t="s">
        <v>111</v>
      </c>
      <c r="E1129" s="12" t="n">
        <v>20</v>
      </c>
      <c r="F1129" s="9" t="s">
        <v>31</v>
      </c>
      <c r="G1129" s="13" t="n">
        <v>50</v>
      </c>
      <c r="H1129" s="9" t="s">
        <v>41</v>
      </c>
      <c r="I1129" s="13" t="n">
        <v>1</v>
      </c>
      <c r="J1129" s="1" t="str">
        <f aca="false">IF(A1129="","", "SAMP-"&amp;A1129&amp;"-L"&amp;TEXT(B1129,"00")&amp;"-"&amp;TEXT(C1129,"yyyymmdd")&amp;"-"&amp;D1129&amp;"-H"&amp;TEXT(E1129,"00")&amp;"-"&amp;H1129)</f>
        <v>SAMP-KG01-L23-20251011-ORD-2025-00222-H20-Chip</v>
      </c>
      <c r="K1129" s="1" t="str">
        <f aca="false">IF(A1129="","",IF(AND(G1129&gt;=0,I1129&gt;=0,I1129&lt;=G1129),"OK","CHECK"))</f>
        <v>OK</v>
      </c>
      <c r="L1129" s="1" t="str">
        <f aca="false">IF(A1129="","",IF(AND(E1129&gt;=0,E1129&lt;=23),"OK","CHECK"))</f>
        <v>OK</v>
      </c>
      <c r="M1129" s="1" t="str">
        <f aca="false">IF(A1129="","",IF(AND(K1129="OK",L1129="OK"),"OK","CHECK"))</f>
        <v>OK</v>
      </c>
    </row>
    <row r="1130" customFormat="false" ht="18" hidden="false" customHeight="true" outlineLevel="0" collapsed="false">
      <c r="A1130" s="9" t="s">
        <v>26</v>
      </c>
      <c r="B1130" s="9" t="n">
        <v>23</v>
      </c>
      <c r="C1130" s="11" t="n">
        <v>45941</v>
      </c>
      <c r="D1130" s="9" t="s">
        <v>111</v>
      </c>
      <c r="E1130" s="12" t="n">
        <v>16</v>
      </c>
      <c r="F1130" s="9" t="s">
        <v>31</v>
      </c>
      <c r="G1130" s="13" t="n">
        <v>200</v>
      </c>
      <c r="H1130" s="9" t="s">
        <v>38</v>
      </c>
      <c r="I1130" s="13" t="n">
        <v>12</v>
      </c>
      <c r="J1130" s="1" t="str">
        <f aca="false">IF(A1130="","", "SAMP-"&amp;A1130&amp;"-L"&amp;TEXT(B1130,"00")&amp;"-"&amp;TEXT(C1130,"yyyymmdd")&amp;"-"&amp;D1130&amp;"-H"&amp;TEXT(E1130,"00")&amp;"-"&amp;H1130)</f>
        <v>SAMP-KG01-L23-20251011-ORD-2025-00222-H16-Crack</v>
      </c>
      <c r="K1130" s="1" t="str">
        <f aca="false">IF(A1130="","",IF(AND(G1130&gt;=0,I1130&gt;=0,I1130&lt;=G1130),"OK","CHECK"))</f>
        <v>OK</v>
      </c>
      <c r="L1130" s="1" t="str">
        <f aca="false">IF(A1130="","",IF(AND(E1130&gt;=0,E1130&lt;=23),"OK","CHECK"))</f>
        <v>OK</v>
      </c>
      <c r="M1130" s="1" t="str">
        <f aca="false">IF(A1130="","",IF(AND(K1130="OK",L1130="OK"),"OK","CHECK"))</f>
        <v>OK</v>
      </c>
    </row>
    <row r="1131" customFormat="false" ht="18" hidden="false" customHeight="true" outlineLevel="0" collapsed="false">
      <c r="A1131" s="9" t="s">
        <v>26</v>
      </c>
      <c r="B1131" s="9" t="n">
        <v>23</v>
      </c>
      <c r="C1131" s="11" t="n">
        <v>45942</v>
      </c>
      <c r="D1131" s="9" t="s">
        <v>111</v>
      </c>
      <c r="E1131" s="12" t="n">
        <v>12</v>
      </c>
      <c r="F1131" s="9" t="s">
        <v>28</v>
      </c>
      <c r="G1131" s="13" t="n">
        <v>200</v>
      </c>
      <c r="H1131" s="9" t="s">
        <v>38</v>
      </c>
      <c r="I1131" s="13" t="n">
        <v>1</v>
      </c>
      <c r="J1131" s="1" t="str">
        <f aca="false">IF(A1131="","", "SAMP-"&amp;A1131&amp;"-L"&amp;TEXT(B1131,"00")&amp;"-"&amp;TEXT(C1131,"yyyymmdd")&amp;"-"&amp;D1131&amp;"-H"&amp;TEXT(E1131,"00")&amp;"-"&amp;H1131)</f>
        <v>SAMP-KG01-L23-20251012-ORD-2025-00222-H12-Crack</v>
      </c>
      <c r="K1131" s="1" t="str">
        <f aca="false">IF(A1131="","",IF(AND(G1131&gt;=0,I1131&gt;=0,I1131&lt;=G1131),"OK","CHECK"))</f>
        <v>OK</v>
      </c>
      <c r="L1131" s="1" t="str">
        <f aca="false">IF(A1131="","",IF(AND(E1131&gt;=0,E1131&lt;=23),"OK","CHECK"))</f>
        <v>OK</v>
      </c>
      <c r="M1131" s="1" t="str">
        <f aca="false">IF(A1131="","",IF(AND(K1131="OK",L1131="OK"),"OK","CHECK"))</f>
        <v>OK</v>
      </c>
    </row>
    <row r="1132" customFormat="false" ht="18" hidden="false" customHeight="true" outlineLevel="0" collapsed="false">
      <c r="A1132" s="9" t="s">
        <v>26</v>
      </c>
      <c r="B1132" s="9" t="n">
        <v>23</v>
      </c>
      <c r="C1132" s="11" t="n">
        <v>45942</v>
      </c>
      <c r="D1132" s="9" t="s">
        <v>111</v>
      </c>
      <c r="E1132" s="12" t="n">
        <v>9</v>
      </c>
      <c r="F1132" s="9" t="s">
        <v>28</v>
      </c>
      <c r="G1132" s="13" t="n">
        <v>100</v>
      </c>
      <c r="H1132" s="9" t="s">
        <v>38</v>
      </c>
      <c r="I1132" s="13" t="n">
        <v>0</v>
      </c>
      <c r="J1132" s="1" t="str">
        <f aca="false">IF(A1132="","", "SAMP-"&amp;A1132&amp;"-L"&amp;TEXT(B1132,"00")&amp;"-"&amp;TEXT(C1132,"yyyymmdd")&amp;"-"&amp;D1132&amp;"-H"&amp;TEXT(E1132,"00")&amp;"-"&amp;H1132)</f>
        <v>SAMP-KG01-L23-20251012-ORD-2025-00222-H09-Crack</v>
      </c>
      <c r="K1132" s="1" t="str">
        <f aca="false">IF(A1132="","",IF(AND(G1132&gt;=0,I1132&gt;=0,I1132&lt;=G1132),"OK","CHECK"))</f>
        <v>OK</v>
      </c>
      <c r="L1132" s="1" t="str">
        <f aca="false">IF(A1132="","",IF(AND(E1132&gt;=0,E1132&lt;=23),"OK","CHECK"))</f>
        <v>OK</v>
      </c>
      <c r="M1132" s="1" t="str">
        <f aca="false">IF(A1132="","",IF(AND(K1132="OK",L1132="OK"),"OK","CHECK"))</f>
        <v>OK</v>
      </c>
    </row>
    <row r="1133" customFormat="false" ht="18" hidden="false" customHeight="true" outlineLevel="0" collapsed="false">
      <c r="A1133" s="9" t="s">
        <v>26</v>
      </c>
      <c r="B1133" s="9" t="n">
        <v>23</v>
      </c>
      <c r="C1133" s="11" t="n">
        <v>45942</v>
      </c>
      <c r="D1133" s="9" t="s">
        <v>111</v>
      </c>
      <c r="E1133" s="12" t="n">
        <v>7</v>
      </c>
      <c r="F1133" s="9" t="s">
        <v>28</v>
      </c>
      <c r="G1133" s="13" t="n">
        <v>50</v>
      </c>
      <c r="H1133" s="9" t="s">
        <v>34</v>
      </c>
      <c r="I1133" s="13" t="n">
        <v>1</v>
      </c>
      <c r="J1133" s="1" t="str">
        <f aca="false">IF(A1133="","", "SAMP-"&amp;A1133&amp;"-L"&amp;TEXT(B1133,"00")&amp;"-"&amp;TEXT(C1133,"yyyymmdd")&amp;"-"&amp;D1133&amp;"-H"&amp;TEXT(E1133,"00")&amp;"-"&amp;H1133)</f>
        <v>SAMP-KG01-L23-20251012-ORD-2025-00222-H07-Thin Wall</v>
      </c>
      <c r="K1133" s="1" t="str">
        <f aca="false">IF(A1133="","",IF(AND(G1133&gt;=0,I1133&gt;=0,I1133&lt;=G1133),"OK","CHECK"))</f>
        <v>OK</v>
      </c>
      <c r="L1133" s="1" t="str">
        <f aca="false">IF(A1133="","",IF(AND(E1133&gt;=0,E1133&lt;=23),"OK","CHECK"))</f>
        <v>OK</v>
      </c>
      <c r="M1133" s="1" t="str">
        <f aca="false">IF(A1133="","",IF(AND(K1133="OK",L1133="OK"),"OK","CHECK"))</f>
        <v>OK</v>
      </c>
    </row>
    <row r="1134" customFormat="false" ht="18" hidden="false" customHeight="true" outlineLevel="0" collapsed="false">
      <c r="A1134" s="9" t="s">
        <v>26</v>
      </c>
      <c r="B1134" s="9" t="n">
        <v>23</v>
      </c>
      <c r="C1134" s="11" t="n">
        <v>45942</v>
      </c>
      <c r="D1134" s="9" t="s">
        <v>111</v>
      </c>
      <c r="E1134" s="12" t="n">
        <v>20</v>
      </c>
      <c r="F1134" s="9" t="s">
        <v>31</v>
      </c>
      <c r="G1134" s="13" t="n">
        <v>200</v>
      </c>
      <c r="H1134" s="9" t="s">
        <v>29</v>
      </c>
      <c r="I1134" s="13" t="n">
        <v>7</v>
      </c>
      <c r="J1134" s="1" t="str">
        <f aca="false">IF(A1134="","", "SAMP-"&amp;A1134&amp;"-L"&amp;TEXT(B1134,"00")&amp;"-"&amp;TEXT(C1134,"yyyymmdd")&amp;"-"&amp;D1134&amp;"-H"&amp;TEXT(E1134,"00")&amp;"-"&amp;H1134)</f>
        <v>SAMP-KG01-L23-20251012-ORD-2025-00222-H20-Choke Neck</v>
      </c>
      <c r="K1134" s="1" t="str">
        <f aca="false">IF(A1134="","",IF(AND(G1134&gt;=0,I1134&gt;=0,I1134&lt;=G1134),"OK","CHECK"))</f>
        <v>OK</v>
      </c>
      <c r="L1134" s="1" t="str">
        <f aca="false">IF(A1134="","",IF(AND(E1134&gt;=0,E1134&lt;=23),"OK","CHECK"))</f>
        <v>OK</v>
      </c>
      <c r="M1134" s="1" t="str">
        <f aca="false">IF(A1134="","",IF(AND(K1134="OK",L1134="OK"),"OK","CHECK"))</f>
        <v>OK</v>
      </c>
    </row>
    <row r="1135" customFormat="false" ht="18" hidden="false" customHeight="true" outlineLevel="0" collapsed="false">
      <c r="A1135" s="9" t="s">
        <v>26</v>
      </c>
      <c r="B1135" s="9" t="n">
        <v>23</v>
      </c>
      <c r="C1135" s="11" t="n">
        <v>45942</v>
      </c>
      <c r="D1135" s="9" t="s">
        <v>111</v>
      </c>
      <c r="E1135" s="12" t="n">
        <v>16</v>
      </c>
      <c r="F1135" s="9" t="s">
        <v>31</v>
      </c>
      <c r="G1135" s="13" t="n">
        <v>150</v>
      </c>
      <c r="H1135" s="9" t="s">
        <v>35</v>
      </c>
      <c r="I1135" s="13" t="n">
        <v>7</v>
      </c>
      <c r="J1135" s="1" t="str">
        <f aca="false">IF(A1135="","", "SAMP-"&amp;A1135&amp;"-L"&amp;TEXT(B1135,"00")&amp;"-"&amp;TEXT(C1135,"yyyymmdd")&amp;"-"&amp;D1135&amp;"-H"&amp;TEXT(E1135,"00")&amp;"-"&amp;H1135)</f>
        <v>SAMP-KG01-L23-20251012-ORD-2025-00222-H16-Stone</v>
      </c>
      <c r="K1135" s="1" t="str">
        <f aca="false">IF(A1135="","",IF(AND(G1135&gt;=0,I1135&gt;=0,I1135&lt;=G1135),"OK","CHECK"))</f>
        <v>OK</v>
      </c>
      <c r="L1135" s="1" t="str">
        <f aca="false">IF(A1135="","",IF(AND(E1135&gt;=0,E1135&lt;=23),"OK","CHECK"))</f>
        <v>OK</v>
      </c>
      <c r="M1135" s="1" t="str">
        <f aca="false">IF(A1135="","",IF(AND(K1135="OK",L1135="OK"),"OK","CHECK"))</f>
        <v>OK</v>
      </c>
    </row>
    <row r="1136" customFormat="false" ht="18" hidden="false" customHeight="true" outlineLevel="0" collapsed="false">
      <c r="A1136" s="9" t="s">
        <v>26</v>
      </c>
      <c r="B1136" s="9" t="n">
        <v>23</v>
      </c>
      <c r="C1136" s="11" t="n">
        <v>45942</v>
      </c>
      <c r="D1136" s="9" t="s">
        <v>111</v>
      </c>
      <c r="E1136" s="12" t="n">
        <v>23</v>
      </c>
      <c r="F1136" s="9" t="s">
        <v>31</v>
      </c>
      <c r="G1136" s="13" t="n">
        <v>150</v>
      </c>
      <c r="H1136" s="9" t="s">
        <v>38</v>
      </c>
      <c r="I1136" s="13" t="n">
        <v>3</v>
      </c>
      <c r="J1136" s="1" t="str">
        <f aca="false">IF(A1136="","", "SAMP-"&amp;A1136&amp;"-L"&amp;TEXT(B1136,"00")&amp;"-"&amp;TEXT(C1136,"yyyymmdd")&amp;"-"&amp;D1136&amp;"-H"&amp;TEXT(E1136,"00")&amp;"-"&amp;H1136)</f>
        <v>SAMP-KG01-L23-20251012-ORD-2025-00222-H23-Crack</v>
      </c>
      <c r="K1136" s="1" t="str">
        <f aca="false">IF(A1136="","",IF(AND(G1136&gt;=0,I1136&gt;=0,I1136&lt;=G1136),"OK","CHECK"))</f>
        <v>OK</v>
      </c>
      <c r="L1136" s="1" t="str">
        <f aca="false">IF(A1136="","",IF(AND(E1136&gt;=0,E1136&lt;=23),"OK","CHECK"))</f>
        <v>OK</v>
      </c>
      <c r="M1136" s="1" t="str">
        <f aca="false">IF(A1136="","",IF(AND(K1136="OK",L1136="OK"),"OK","CHECK"))</f>
        <v>OK</v>
      </c>
    </row>
    <row r="1137" customFormat="false" ht="18" hidden="false" customHeight="true" outlineLevel="0" collapsed="false">
      <c r="A1137" s="9" t="s">
        <v>26</v>
      </c>
      <c r="B1137" s="9" t="n">
        <v>23</v>
      </c>
      <c r="C1137" s="11" t="n">
        <v>45943</v>
      </c>
      <c r="D1137" s="9" t="s">
        <v>112</v>
      </c>
      <c r="E1137" s="12" t="n">
        <v>12</v>
      </c>
      <c r="F1137" s="9" t="s">
        <v>28</v>
      </c>
      <c r="G1137" s="13" t="n">
        <v>200</v>
      </c>
      <c r="H1137" s="9" t="s">
        <v>35</v>
      </c>
      <c r="I1137" s="13" t="n">
        <v>3</v>
      </c>
      <c r="J1137" s="1" t="str">
        <f aca="false">IF(A1137="","", "SAMP-"&amp;A1137&amp;"-L"&amp;TEXT(B1137,"00")&amp;"-"&amp;TEXT(C1137,"yyyymmdd")&amp;"-"&amp;D1137&amp;"-H"&amp;TEXT(E1137,"00")&amp;"-"&amp;H1137)</f>
        <v>SAMP-KG01-L23-20251013-ORD-2025-00223-H12-Stone</v>
      </c>
      <c r="K1137" s="1" t="str">
        <f aca="false">IF(A1137="","",IF(AND(G1137&gt;=0,I1137&gt;=0,I1137&lt;=G1137),"OK","CHECK"))</f>
        <v>OK</v>
      </c>
      <c r="L1137" s="1" t="str">
        <f aca="false">IF(A1137="","",IF(AND(E1137&gt;=0,E1137&lt;=23),"OK","CHECK"))</f>
        <v>OK</v>
      </c>
      <c r="M1137" s="1" t="str">
        <f aca="false">IF(A1137="","",IF(AND(K1137="OK",L1137="OK"),"OK","CHECK"))</f>
        <v>OK</v>
      </c>
    </row>
    <row r="1138" customFormat="false" ht="18" hidden="false" customHeight="true" outlineLevel="0" collapsed="false">
      <c r="A1138" s="9" t="s">
        <v>26</v>
      </c>
      <c r="B1138" s="9" t="n">
        <v>23</v>
      </c>
      <c r="C1138" s="11" t="n">
        <v>45943</v>
      </c>
      <c r="D1138" s="9" t="s">
        <v>112</v>
      </c>
      <c r="E1138" s="12" t="n">
        <v>9</v>
      </c>
      <c r="F1138" s="9" t="s">
        <v>28</v>
      </c>
      <c r="G1138" s="13" t="n">
        <v>50</v>
      </c>
      <c r="H1138" s="9" t="s">
        <v>41</v>
      </c>
      <c r="I1138" s="13" t="n">
        <v>1</v>
      </c>
      <c r="J1138" s="1" t="str">
        <f aca="false">IF(A1138="","", "SAMP-"&amp;A1138&amp;"-L"&amp;TEXT(B1138,"00")&amp;"-"&amp;TEXT(C1138,"yyyymmdd")&amp;"-"&amp;D1138&amp;"-H"&amp;TEXT(E1138,"00")&amp;"-"&amp;H1138)</f>
        <v>SAMP-KG01-L23-20251013-ORD-2025-00223-H09-Chip</v>
      </c>
      <c r="K1138" s="1" t="str">
        <f aca="false">IF(A1138="","",IF(AND(G1138&gt;=0,I1138&gt;=0,I1138&lt;=G1138),"OK","CHECK"))</f>
        <v>OK</v>
      </c>
      <c r="L1138" s="1" t="str">
        <f aca="false">IF(A1138="","",IF(AND(E1138&gt;=0,E1138&lt;=23),"OK","CHECK"))</f>
        <v>OK</v>
      </c>
      <c r="M1138" s="1" t="str">
        <f aca="false">IF(A1138="","",IF(AND(K1138="OK",L1138="OK"),"OK","CHECK"))</f>
        <v>OK</v>
      </c>
    </row>
    <row r="1139" customFormat="false" ht="18" hidden="false" customHeight="true" outlineLevel="0" collapsed="false">
      <c r="A1139" s="9" t="s">
        <v>26</v>
      </c>
      <c r="B1139" s="9" t="n">
        <v>23</v>
      </c>
      <c r="C1139" s="11" t="n">
        <v>45943</v>
      </c>
      <c r="D1139" s="9" t="s">
        <v>112</v>
      </c>
      <c r="E1139" s="12" t="n">
        <v>7</v>
      </c>
      <c r="F1139" s="9" t="s">
        <v>28</v>
      </c>
      <c r="G1139" s="13" t="n">
        <v>50</v>
      </c>
      <c r="H1139" s="9" t="s">
        <v>30</v>
      </c>
      <c r="I1139" s="13" t="n">
        <v>1</v>
      </c>
      <c r="J1139" s="1" t="str">
        <f aca="false">IF(A1139="","", "SAMP-"&amp;A1139&amp;"-L"&amp;TEXT(B1139,"00")&amp;"-"&amp;TEXT(C1139,"yyyymmdd")&amp;"-"&amp;D1139&amp;"-H"&amp;TEXT(E1139,"00")&amp;"-"&amp;H1139)</f>
        <v>SAMP-KG01-L23-20251013-ORD-2025-00223-H07-Overpress</v>
      </c>
      <c r="K1139" s="1" t="str">
        <f aca="false">IF(A1139="","",IF(AND(G1139&gt;=0,I1139&gt;=0,I1139&lt;=G1139),"OK","CHECK"))</f>
        <v>OK</v>
      </c>
      <c r="L1139" s="1" t="str">
        <f aca="false">IF(A1139="","",IF(AND(E1139&gt;=0,E1139&lt;=23),"OK","CHECK"))</f>
        <v>OK</v>
      </c>
      <c r="M1139" s="1" t="str">
        <f aca="false">IF(A1139="","",IF(AND(K1139="OK",L1139="OK"),"OK","CHECK"))</f>
        <v>OK</v>
      </c>
    </row>
    <row r="1140" customFormat="false" ht="18" hidden="false" customHeight="true" outlineLevel="0" collapsed="false">
      <c r="A1140" s="9" t="s">
        <v>26</v>
      </c>
      <c r="B1140" s="9" t="n">
        <v>23</v>
      </c>
      <c r="C1140" s="11" t="n">
        <v>45943</v>
      </c>
      <c r="D1140" s="9" t="s">
        <v>112</v>
      </c>
      <c r="E1140" s="12" t="n">
        <v>16</v>
      </c>
      <c r="F1140" s="9" t="s">
        <v>31</v>
      </c>
      <c r="G1140" s="13" t="n">
        <v>200</v>
      </c>
      <c r="H1140" s="9" t="s">
        <v>30</v>
      </c>
      <c r="I1140" s="13" t="n">
        <v>7</v>
      </c>
      <c r="J1140" s="1" t="str">
        <f aca="false">IF(A1140="","", "SAMP-"&amp;A1140&amp;"-L"&amp;TEXT(B1140,"00")&amp;"-"&amp;TEXT(C1140,"yyyymmdd")&amp;"-"&amp;D1140&amp;"-H"&amp;TEXT(E1140,"00")&amp;"-"&amp;H1140)</f>
        <v>SAMP-KG01-L23-20251013-ORD-2025-00223-H16-Overpress</v>
      </c>
      <c r="K1140" s="1" t="str">
        <f aca="false">IF(A1140="","",IF(AND(G1140&gt;=0,I1140&gt;=0,I1140&lt;=G1140),"OK","CHECK"))</f>
        <v>OK</v>
      </c>
      <c r="L1140" s="1" t="str">
        <f aca="false">IF(A1140="","",IF(AND(E1140&gt;=0,E1140&lt;=23),"OK","CHECK"))</f>
        <v>OK</v>
      </c>
      <c r="M1140" s="1" t="str">
        <f aca="false">IF(A1140="","",IF(AND(K1140="OK",L1140="OK"),"OK","CHECK"))</f>
        <v>OK</v>
      </c>
    </row>
    <row r="1141" customFormat="false" ht="18" hidden="false" customHeight="true" outlineLevel="0" collapsed="false">
      <c r="A1141" s="9" t="s">
        <v>26</v>
      </c>
      <c r="B1141" s="9" t="n">
        <v>23</v>
      </c>
      <c r="C1141" s="11" t="n">
        <v>45943</v>
      </c>
      <c r="D1141" s="9" t="s">
        <v>112</v>
      </c>
      <c r="E1141" s="12" t="n">
        <v>20</v>
      </c>
      <c r="F1141" s="9" t="s">
        <v>31</v>
      </c>
      <c r="G1141" s="13" t="n">
        <v>100</v>
      </c>
      <c r="H1141" s="9" t="s">
        <v>38</v>
      </c>
      <c r="I1141" s="13" t="n">
        <v>3</v>
      </c>
      <c r="J1141" s="1" t="str">
        <f aca="false">IF(A1141="","", "SAMP-"&amp;A1141&amp;"-L"&amp;TEXT(B1141,"00")&amp;"-"&amp;TEXT(C1141,"yyyymmdd")&amp;"-"&amp;D1141&amp;"-H"&amp;TEXT(E1141,"00")&amp;"-"&amp;H1141)</f>
        <v>SAMP-KG01-L23-20251013-ORD-2025-00223-H20-Crack</v>
      </c>
      <c r="K1141" s="1" t="str">
        <f aca="false">IF(A1141="","",IF(AND(G1141&gt;=0,I1141&gt;=0,I1141&lt;=G1141),"OK","CHECK"))</f>
        <v>OK</v>
      </c>
      <c r="L1141" s="1" t="str">
        <f aca="false">IF(A1141="","",IF(AND(E1141&gt;=0,E1141&lt;=23),"OK","CHECK"))</f>
        <v>OK</v>
      </c>
      <c r="M1141" s="1" t="str">
        <f aca="false">IF(A1141="","",IF(AND(K1141="OK",L1141="OK"),"OK","CHECK"))</f>
        <v>OK</v>
      </c>
    </row>
    <row r="1142" customFormat="false" ht="18" hidden="false" customHeight="true" outlineLevel="0" collapsed="false">
      <c r="A1142" s="9" t="s">
        <v>26</v>
      </c>
      <c r="B1142" s="9" t="n">
        <v>23</v>
      </c>
      <c r="C1142" s="11" t="n">
        <v>45944</v>
      </c>
      <c r="D1142" s="9" t="s">
        <v>112</v>
      </c>
      <c r="E1142" s="12" t="n">
        <v>12</v>
      </c>
      <c r="F1142" s="9" t="s">
        <v>28</v>
      </c>
      <c r="G1142" s="13" t="n">
        <v>50</v>
      </c>
      <c r="H1142" s="9" t="s">
        <v>36</v>
      </c>
      <c r="I1142" s="13" t="n">
        <v>2</v>
      </c>
      <c r="J1142" s="1" t="str">
        <f aca="false">IF(A1142="","", "SAMP-"&amp;A1142&amp;"-L"&amp;TEXT(B1142,"00")&amp;"-"&amp;TEXT(C1142,"yyyymmdd")&amp;"-"&amp;D1142&amp;"-H"&amp;TEXT(E1142,"00")&amp;"-"&amp;H1142)</f>
        <v>SAMP-KG01-L23-20251014-ORD-2025-00223-H12-Blister</v>
      </c>
      <c r="K1142" s="1" t="str">
        <f aca="false">IF(A1142="","",IF(AND(G1142&gt;=0,I1142&gt;=0,I1142&lt;=G1142),"OK","CHECK"))</f>
        <v>OK</v>
      </c>
      <c r="L1142" s="1" t="str">
        <f aca="false">IF(A1142="","",IF(AND(E1142&gt;=0,E1142&lt;=23),"OK","CHECK"))</f>
        <v>OK</v>
      </c>
      <c r="M1142" s="1" t="str">
        <f aca="false">IF(A1142="","",IF(AND(K1142="OK",L1142="OK"),"OK","CHECK"))</f>
        <v>OK</v>
      </c>
    </row>
    <row r="1143" customFormat="false" ht="18" hidden="false" customHeight="true" outlineLevel="0" collapsed="false">
      <c r="A1143" s="9" t="s">
        <v>26</v>
      </c>
      <c r="B1143" s="9" t="n">
        <v>23</v>
      </c>
      <c r="C1143" s="11" t="n">
        <v>45944</v>
      </c>
      <c r="D1143" s="9" t="s">
        <v>112</v>
      </c>
      <c r="E1143" s="12" t="n">
        <v>7</v>
      </c>
      <c r="F1143" s="9" t="s">
        <v>28</v>
      </c>
      <c r="G1143" s="13" t="n">
        <v>150</v>
      </c>
      <c r="H1143" s="9" t="s">
        <v>35</v>
      </c>
      <c r="I1143" s="13" t="n">
        <v>3</v>
      </c>
      <c r="J1143" s="1" t="str">
        <f aca="false">IF(A1143="","", "SAMP-"&amp;A1143&amp;"-L"&amp;TEXT(B1143,"00")&amp;"-"&amp;TEXT(C1143,"yyyymmdd")&amp;"-"&amp;D1143&amp;"-H"&amp;TEXT(E1143,"00")&amp;"-"&amp;H1143)</f>
        <v>SAMP-KG01-L23-20251014-ORD-2025-00223-H07-Stone</v>
      </c>
      <c r="K1143" s="1" t="str">
        <f aca="false">IF(A1143="","",IF(AND(G1143&gt;=0,I1143&gt;=0,I1143&lt;=G1143),"OK","CHECK"))</f>
        <v>OK</v>
      </c>
      <c r="L1143" s="1" t="str">
        <f aca="false">IF(A1143="","",IF(AND(E1143&gt;=0,E1143&lt;=23),"OK","CHECK"))</f>
        <v>OK</v>
      </c>
      <c r="M1143" s="1" t="str">
        <f aca="false">IF(A1143="","",IF(AND(K1143="OK",L1143="OK"),"OK","CHECK"))</f>
        <v>OK</v>
      </c>
    </row>
    <row r="1144" customFormat="false" ht="18" hidden="false" customHeight="true" outlineLevel="0" collapsed="false">
      <c r="A1144" s="9" t="s">
        <v>26</v>
      </c>
      <c r="B1144" s="9" t="n">
        <v>23</v>
      </c>
      <c r="C1144" s="11" t="n">
        <v>45944</v>
      </c>
      <c r="D1144" s="9" t="s">
        <v>112</v>
      </c>
      <c r="E1144" s="12" t="n">
        <v>9</v>
      </c>
      <c r="F1144" s="9" t="s">
        <v>28</v>
      </c>
      <c r="G1144" s="13" t="n">
        <v>150</v>
      </c>
      <c r="H1144" s="9" t="s">
        <v>33</v>
      </c>
      <c r="I1144" s="13" t="n">
        <v>2</v>
      </c>
      <c r="J1144" s="1" t="str">
        <f aca="false">IF(A1144="","", "SAMP-"&amp;A1144&amp;"-L"&amp;TEXT(B1144,"00")&amp;"-"&amp;TEXT(C1144,"yyyymmdd")&amp;"-"&amp;D1144&amp;"-H"&amp;TEXT(E1144,"00")&amp;"-"&amp;H1144)</f>
        <v>SAMP-KG01-L23-20251014-ORD-2025-00223-H09-Distortion</v>
      </c>
      <c r="K1144" s="1" t="str">
        <f aca="false">IF(A1144="","",IF(AND(G1144&gt;=0,I1144&gt;=0,I1144&lt;=G1144),"OK","CHECK"))</f>
        <v>OK</v>
      </c>
      <c r="L1144" s="1" t="str">
        <f aca="false">IF(A1144="","",IF(AND(E1144&gt;=0,E1144&lt;=23),"OK","CHECK"))</f>
        <v>OK</v>
      </c>
      <c r="M1144" s="1" t="str">
        <f aca="false">IF(A1144="","",IF(AND(K1144="OK",L1144="OK"),"OK","CHECK"))</f>
        <v>OK</v>
      </c>
    </row>
    <row r="1145" customFormat="false" ht="18" hidden="false" customHeight="true" outlineLevel="0" collapsed="false">
      <c r="A1145" s="9" t="s">
        <v>26</v>
      </c>
      <c r="B1145" s="9" t="n">
        <v>23</v>
      </c>
      <c r="C1145" s="11" t="n">
        <v>45944</v>
      </c>
      <c r="D1145" s="9" t="s">
        <v>112</v>
      </c>
      <c r="E1145" s="12" t="n">
        <v>23</v>
      </c>
      <c r="F1145" s="9" t="s">
        <v>31</v>
      </c>
      <c r="G1145" s="13" t="n">
        <v>200</v>
      </c>
      <c r="H1145" s="9" t="s">
        <v>38</v>
      </c>
      <c r="I1145" s="13" t="n">
        <v>8</v>
      </c>
      <c r="J1145" s="1" t="str">
        <f aca="false">IF(A1145="","", "SAMP-"&amp;A1145&amp;"-L"&amp;TEXT(B1145,"00")&amp;"-"&amp;TEXT(C1145,"yyyymmdd")&amp;"-"&amp;D1145&amp;"-H"&amp;TEXT(E1145,"00")&amp;"-"&amp;H1145)</f>
        <v>SAMP-KG01-L23-20251014-ORD-2025-00223-H23-Crack</v>
      </c>
      <c r="K1145" s="1" t="str">
        <f aca="false">IF(A1145="","",IF(AND(G1145&gt;=0,I1145&gt;=0,I1145&lt;=G1145),"OK","CHECK"))</f>
        <v>OK</v>
      </c>
      <c r="L1145" s="1" t="str">
        <f aca="false">IF(A1145="","",IF(AND(E1145&gt;=0,E1145&lt;=23),"OK","CHECK"))</f>
        <v>OK</v>
      </c>
      <c r="M1145" s="1" t="str">
        <f aca="false">IF(A1145="","",IF(AND(K1145="OK",L1145="OK"),"OK","CHECK"))</f>
        <v>OK</v>
      </c>
    </row>
    <row r="1146" customFormat="false" ht="18" hidden="false" customHeight="true" outlineLevel="0" collapsed="false">
      <c r="A1146" s="9" t="s">
        <v>26</v>
      </c>
      <c r="B1146" s="9" t="n">
        <v>23</v>
      </c>
      <c r="C1146" s="11" t="n">
        <v>45944</v>
      </c>
      <c r="D1146" s="9" t="s">
        <v>112</v>
      </c>
      <c r="E1146" s="12" t="n">
        <v>20</v>
      </c>
      <c r="F1146" s="9" t="s">
        <v>31</v>
      </c>
      <c r="G1146" s="13" t="n">
        <v>50</v>
      </c>
      <c r="H1146" s="9" t="s">
        <v>36</v>
      </c>
      <c r="I1146" s="13" t="n">
        <v>2</v>
      </c>
      <c r="J1146" s="1" t="str">
        <f aca="false">IF(A1146="","", "SAMP-"&amp;A1146&amp;"-L"&amp;TEXT(B1146,"00")&amp;"-"&amp;TEXT(C1146,"yyyymmdd")&amp;"-"&amp;D1146&amp;"-H"&amp;TEXT(E1146,"00")&amp;"-"&amp;H1146)</f>
        <v>SAMP-KG01-L23-20251014-ORD-2025-00223-H20-Blister</v>
      </c>
      <c r="K1146" s="1" t="str">
        <f aca="false">IF(A1146="","",IF(AND(G1146&gt;=0,I1146&gt;=0,I1146&lt;=G1146),"OK","CHECK"))</f>
        <v>OK</v>
      </c>
      <c r="L1146" s="1" t="str">
        <f aca="false">IF(A1146="","",IF(AND(E1146&gt;=0,E1146&lt;=23),"OK","CHECK"))</f>
        <v>OK</v>
      </c>
      <c r="M1146" s="1" t="str">
        <f aca="false">IF(A1146="","",IF(AND(K1146="OK",L1146="OK"),"OK","CHECK"))</f>
        <v>OK</v>
      </c>
    </row>
    <row r="1147" customFormat="false" ht="18" hidden="false" customHeight="true" outlineLevel="0" collapsed="false">
      <c r="A1147" s="9" t="s">
        <v>26</v>
      </c>
      <c r="B1147" s="9" t="n">
        <v>23</v>
      </c>
      <c r="C1147" s="11" t="n">
        <v>45944</v>
      </c>
      <c r="D1147" s="9" t="s">
        <v>112</v>
      </c>
      <c r="E1147" s="12" t="n">
        <v>16</v>
      </c>
      <c r="F1147" s="9" t="s">
        <v>31</v>
      </c>
      <c r="G1147" s="13" t="n">
        <v>100</v>
      </c>
      <c r="H1147" s="9" t="s">
        <v>35</v>
      </c>
      <c r="I1147" s="13" t="n">
        <v>2</v>
      </c>
      <c r="J1147" s="1" t="str">
        <f aca="false">IF(A1147="","", "SAMP-"&amp;A1147&amp;"-L"&amp;TEXT(B1147,"00")&amp;"-"&amp;TEXT(C1147,"yyyymmdd")&amp;"-"&amp;D1147&amp;"-H"&amp;TEXT(E1147,"00")&amp;"-"&amp;H1147)</f>
        <v>SAMP-KG01-L23-20251014-ORD-2025-00223-H16-Stone</v>
      </c>
      <c r="K1147" s="1" t="str">
        <f aca="false">IF(A1147="","",IF(AND(G1147&gt;=0,I1147&gt;=0,I1147&lt;=G1147),"OK","CHECK"))</f>
        <v>OK</v>
      </c>
      <c r="L1147" s="1" t="str">
        <f aca="false">IF(A1147="","",IF(AND(E1147&gt;=0,E1147&lt;=23),"OK","CHECK"))</f>
        <v>OK</v>
      </c>
      <c r="M1147" s="1" t="str">
        <f aca="false">IF(A1147="","",IF(AND(K1147="OK",L1147="OK"),"OK","CHECK"))</f>
        <v>OK</v>
      </c>
    </row>
    <row r="1148" customFormat="false" ht="18" hidden="false" customHeight="true" outlineLevel="0" collapsed="false">
      <c r="A1148" s="9" t="s">
        <v>26</v>
      </c>
      <c r="B1148" s="9" t="n">
        <v>23</v>
      </c>
      <c r="C1148" s="11" t="n">
        <v>45945</v>
      </c>
      <c r="D1148" s="9" t="s">
        <v>113</v>
      </c>
      <c r="E1148" s="12" t="n">
        <v>12</v>
      </c>
      <c r="F1148" s="9" t="s">
        <v>28</v>
      </c>
      <c r="G1148" s="13" t="n">
        <v>200</v>
      </c>
      <c r="H1148" s="9" t="s">
        <v>38</v>
      </c>
      <c r="I1148" s="13" t="n">
        <v>0</v>
      </c>
      <c r="J1148" s="1" t="str">
        <f aca="false">IF(A1148="","", "SAMP-"&amp;A1148&amp;"-L"&amp;TEXT(B1148,"00")&amp;"-"&amp;TEXT(C1148,"yyyymmdd")&amp;"-"&amp;D1148&amp;"-H"&amp;TEXT(E1148,"00")&amp;"-"&amp;H1148)</f>
        <v>SAMP-KG01-L23-20251015-ORD-2025-00224-H12-Crack</v>
      </c>
      <c r="K1148" s="1" t="str">
        <f aca="false">IF(A1148="","",IF(AND(G1148&gt;=0,I1148&gt;=0,I1148&lt;=G1148),"OK","CHECK"))</f>
        <v>OK</v>
      </c>
      <c r="L1148" s="1" t="str">
        <f aca="false">IF(A1148="","",IF(AND(E1148&gt;=0,E1148&lt;=23),"OK","CHECK"))</f>
        <v>OK</v>
      </c>
      <c r="M1148" s="1" t="str">
        <f aca="false">IF(A1148="","",IF(AND(K1148="OK",L1148="OK"),"OK","CHECK"))</f>
        <v>OK</v>
      </c>
    </row>
    <row r="1149" customFormat="false" ht="18" hidden="false" customHeight="true" outlineLevel="0" collapsed="false">
      <c r="A1149" s="9" t="s">
        <v>26</v>
      </c>
      <c r="B1149" s="9" t="n">
        <v>23</v>
      </c>
      <c r="C1149" s="11" t="n">
        <v>45945</v>
      </c>
      <c r="D1149" s="9" t="s">
        <v>113</v>
      </c>
      <c r="E1149" s="12" t="n">
        <v>9</v>
      </c>
      <c r="F1149" s="9" t="s">
        <v>28</v>
      </c>
      <c r="G1149" s="13" t="n">
        <v>100</v>
      </c>
      <c r="H1149" s="9" t="s">
        <v>33</v>
      </c>
      <c r="I1149" s="13" t="n">
        <v>0</v>
      </c>
      <c r="J1149" s="1" t="str">
        <f aca="false">IF(A1149="","", "SAMP-"&amp;A1149&amp;"-L"&amp;TEXT(B1149,"00")&amp;"-"&amp;TEXT(C1149,"yyyymmdd")&amp;"-"&amp;D1149&amp;"-H"&amp;TEXT(E1149,"00")&amp;"-"&amp;H1149)</f>
        <v>SAMP-KG01-L23-20251015-ORD-2025-00224-H09-Distortion</v>
      </c>
      <c r="K1149" s="1" t="str">
        <f aca="false">IF(A1149="","",IF(AND(G1149&gt;=0,I1149&gt;=0,I1149&lt;=G1149),"OK","CHECK"))</f>
        <v>OK</v>
      </c>
      <c r="L1149" s="1" t="str">
        <f aca="false">IF(A1149="","",IF(AND(E1149&gt;=0,E1149&lt;=23),"OK","CHECK"))</f>
        <v>OK</v>
      </c>
      <c r="M1149" s="1" t="str">
        <f aca="false">IF(A1149="","",IF(AND(K1149="OK",L1149="OK"),"OK","CHECK"))</f>
        <v>OK</v>
      </c>
    </row>
    <row r="1150" customFormat="false" ht="18" hidden="false" customHeight="true" outlineLevel="0" collapsed="false">
      <c r="A1150" s="9" t="s">
        <v>26</v>
      </c>
      <c r="B1150" s="9" t="n">
        <v>23</v>
      </c>
      <c r="C1150" s="11" t="n">
        <v>45945</v>
      </c>
      <c r="D1150" s="9" t="s">
        <v>113</v>
      </c>
      <c r="E1150" s="12" t="n">
        <v>7</v>
      </c>
      <c r="F1150" s="9" t="s">
        <v>28</v>
      </c>
      <c r="G1150" s="13" t="n">
        <v>200</v>
      </c>
      <c r="H1150" s="9" t="s">
        <v>37</v>
      </c>
      <c r="I1150" s="13" t="n">
        <v>4</v>
      </c>
      <c r="J1150" s="1" t="str">
        <f aca="false">IF(A1150="","", "SAMP-"&amp;A1150&amp;"-L"&amp;TEXT(B1150,"00")&amp;"-"&amp;TEXT(C1150,"yyyymmdd")&amp;"-"&amp;D1150&amp;"-H"&amp;TEXT(E1150,"00")&amp;"-"&amp;H1150)</f>
        <v>SAMP-KG01-L23-20251015-ORD-2025-00224-H07-Bird Swing</v>
      </c>
      <c r="K1150" s="1" t="str">
        <f aca="false">IF(A1150="","",IF(AND(G1150&gt;=0,I1150&gt;=0,I1150&lt;=G1150),"OK","CHECK"))</f>
        <v>OK</v>
      </c>
      <c r="L1150" s="1" t="str">
        <f aca="false">IF(A1150="","",IF(AND(E1150&gt;=0,E1150&lt;=23),"OK","CHECK"))</f>
        <v>OK</v>
      </c>
      <c r="M1150" s="1" t="str">
        <f aca="false">IF(A1150="","",IF(AND(K1150="OK",L1150="OK"),"OK","CHECK"))</f>
        <v>OK</v>
      </c>
    </row>
    <row r="1151" customFormat="false" ht="18" hidden="false" customHeight="true" outlineLevel="0" collapsed="false">
      <c r="A1151" s="9" t="s">
        <v>26</v>
      </c>
      <c r="B1151" s="9" t="n">
        <v>23</v>
      </c>
      <c r="C1151" s="11" t="n">
        <v>45945</v>
      </c>
      <c r="D1151" s="9" t="s">
        <v>113</v>
      </c>
      <c r="E1151" s="12" t="n">
        <v>23</v>
      </c>
      <c r="F1151" s="9" t="s">
        <v>31</v>
      </c>
      <c r="G1151" s="13" t="n">
        <v>50</v>
      </c>
      <c r="H1151" s="9" t="s">
        <v>33</v>
      </c>
      <c r="I1151" s="13" t="n">
        <v>1</v>
      </c>
      <c r="J1151" s="1" t="str">
        <f aca="false">IF(A1151="","", "SAMP-"&amp;A1151&amp;"-L"&amp;TEXT(B1151,"00")&amp;"-"&amp;TEXT(C1151,"yyyymmdd")&amp;"-"&amp;D1151&amp;"-H"&amp;TEXT(E1151,"00")&amp;"-"&amp;H1151)</f>
        <v>SAMP-KG01-L23-20251015-ORD-2025-00224-H23-Distortion</v>
      </c>
      <c r="K1151" s="1" t="str">
        <f aca="false">IF(A1151="","",IF(AND(G1151&gt;=0,I1151&gt;=0,I1151&lt;=G1151),"OK","CHECK"))</f>
        <v>OK</v>
      </c>
      <c r="L1151" s="1" t="str">
        <f aca="false">IF(A1151="","",IF(AND(E1151&gt;=0,E1151&lt;=23),"OK","CHECK"))</f>
        <v>OK</v>
      </c>
      <c r="M1151" s="1" t="str">
        <f aca="false">IF(A1151="","",IF(AND(K1151="OK",L1151="OK"),"OK","CHECK"))</f>
        <v>OK</v>
      </c>
    </row>
    <row r="1152" customFormat="false" ht="18" hidden="false" customHeight="true" outlineLevel="0" collapsed="false">
      <c r="A1152" s="9" t="s">
        <v>26</v>
      </c>
      <c r="B1152" s="9" t="n">
        <v>23</v>
      </c>
      <c r="C1152" s="11" t="n">
        <v>45945</v>
      </c>
      <c r="D1152" s="9" t="s">
        <v>113</v>
      </c>
      <c r="E1152" s="12" t="n">
        <v>20</v>
      </c>
      <c r="F1152" s="9" t="s">
        <v>31</v>
      </c>
      <c r="G1152" s="13" t="n">
        <v>200</v>
      </c>
      <c r="H1152" s="9" t="s">
        <v>34</v>
      </c>
      <c r="I1152" s="13" t="n">
        <v>11</v>
      </c>
      <c r="J1152" s="1" t="str">
        <f aca="false">IF(A1152="","", "SAMP-"&amp;A1152&amp;"-L"&amp;TEXT(B1152,"00")&amp;"-"&amp;TEXT(C1152,"yyyymmdd")&amp;"-"&amp;D1152&amp;"-H"&amp;TEXT(E1152,"00")&amp;"-"&amp;H1152)</f>
        <v>SAMP-KG01-L23-20251015-ORD-2025-00224-H20-Thin Wall</v>
      </c>
      <c r="K1152" s="1" t="str">
        <f aca="false">IF(A1152="","",IF(AND(G1152&gt;=0,I1152&gt;=0,I1152&lt;=G1152),"OK","CHECK"))</f>
        <v>OK</v>
      </c>
      <c r="L1152" s="1" t="str">
        <f aca="false">IF(A1152="","",IF(AND(E1152&gt;=0,E1152&lt;=23),"OK","CHECK"))</f>
        <v>OK</v>
      </c>
      <c r="M1152" s="1" t="str">
        <f aca="false">IF(A1152="","",IF(AND(K1152="OK",L1152="OK"),"OK","CHECK"))</f>
        <v>OK</v>
      </c>
    </row>
    <row r="1153" customFormat="false" ht="18" hidden="false" customHeight="true" outlineLevel="0" collapsed="false">
      <c r="A1153" s="9" t="s">
        <v>26</v>
      </c>
      <c r="B1153" s="9" t="n">
        <v>23</v>
      </c>
      <c r="C1153" s="11" t="n">
        <v>45945</v>
      </c>
      <c r="D1153" s="9" t="s">
        <v>113</v>
      </c>
      <c r="E1153" s="12" t="n">
        <v>16</v>
      </c>
      <c r="F1153" s="9" t="s">
        <v>31</v>
      </c>
      <c r="G1153" s="13" t="n">
        <v>150</v>
      </c>
      <c r="H1153" s="9" t="s">
        <v>33</v>
      </c>
      <c r="I1153" s="13" t="n">
        <v>3</v>
      </c>
      <c r="J1153" s="1" t="str">
        <f aca="false">IF(A1153="","", "SAMP-"&amp;A1153&amp;"-L"&amp;TEXT(B1153,"00")&amp;"-"&amp;TEXT(C1153,"yyyymmdd")&amp;"-"&amp;D1153&amp;"-H"&amp;TEXT(E1153,"00")&amp;"-"&amp;H1153)</f>
        <v>SAMP-KG01-L23-20251015-ORD-2025-00224-H16-Distortion</v>
      </c>
      <c r="K1153" s="1" t="str">
        <f aca="false">IF(A1153="","",IF(AND(G1153&gt;=0,I1153&gt;=0,I1153&lt;=G1153),"OK","CHECK"))</f>
        <v>OK</v>
      </c>
      <c r="L1153" s="1" t="str">
        <f aca="false">IF(A1153="","",IF(AND(E1153&gt;=0,E1153&lt;=23),"OK","CHECK"))</f>
        <v>OK</v>
      </c>
      <c r="M1153" s="1" t="str">
        <f aca="false">IF(A1153="","",IF(AND(K1153="OK",L1153="OK"),"OK","CHECK"))</f>
        <v>OK</v>
      </c>
    </row>
    <row r="1154" customFormat="false" ht="18" hidden="false" customHeight="true" outlineLevel="0" collapsed="false">
      <c r="A1154" s="9" t="s">
        <v>26</v>
      </c>
      <c r="B1154" s="9" t="n">
        <v>23</v>
      </c>
      <c r="C1154" s="11" t="n">
        <v>45946</v>
      </c>
      <c r="D1154" s="9" t="s">
        <v>113</v>
      </c>
      <c r="E1154" s="12" t="n">
        <v>9</v>
      </c>
      <c r="F1154" s="9" t="s">
        <v>28</v>
      </c>
      <c r="G1154" s="13" t="n">
        <v>50</v>
      </c>
      <c r="H1154" s="9" t="s">
        <v>37</v>
      </c>
      <c r="I1154" s="13" t="n">
        <v>0</v>
      </c>
      <c r="J1154" s="1" t="str">
        <f aca="false">IF(A1154="","", "SAMP-"&amp;A1154&amp;"-L"&amp;TEXT(B1154,"00")&amp;"-"&amp;TEXT(C1154,"yyyymmdd")&amp;"-"&amp;D1154&amp;"-H"&amp;TEXT(E1154,"00")&amp;"-"&amp;H1154)</f>
        <v>SAMP-KG01-L23-20251016-ORD-2025-00224-H09-Bird Swing</v>
      </c>
      <c r="K1154" s="1" t="str">
        <f aca="false">IF(A1154="","",IF(AND(G1154&gt;=0,I1154&gt;=0,I1154&lt;=G1154),"OK","CHECK"))</f>
        <v>OK</v>
      </c>
      <c r="L1154" s="1" t="str">
        <f aca="false">IF(A1154="","",IF(AND(E1154&gt;=0,E1154&lt;=23),"OK","CHECK"))</f>
        <v>OK</v>
      </c>
      <c r="M1154" s="1" t="str">
        <f aca="false">IF(A1154="","",IF(AND(K1154="OK",L1154="OK"),"OK","CHECK"))</f>
        <v>OK</v>
      </c>
    </row>
    <row r="1155" customFormat="false" ht="18" hidden="false" customHeight="true" outlineLevel="0" collapsed="false">
      <c r="A1155" s="9" t="s">
        <v>26</v>
      </c>
      <c r="B1155" s="9" t="n">
        <v>23</v>
      </c>
      <c r="C1155" s="11" t="n">
        <v>45946</v>
      </c>
      <c r="D1155" s="9" t="s">
        <v>113</v>
      </c>
      <c r="E1155" s="12" t="n">
        <v>7</v>
      </c>
      <c r="F1155" s="9" t="s">
        <v>28</v>
      </c>
      <c r="G1155" s="13" t="n">
        <v>200</v>
      </c>
      <c r="H1155" s="9" t="s">
        <v>35</v>
      </c>
      <c r="I1155" s="13" t="n">
        <v>8</v>
      </c>
      <c r="J1155" s="1" t="str">
        <f aca="false">IF(A1155="","", "SAMP-"&amp;A1155&amp;"-L"&amp;TEXT(B1155,"00")&amp;"-"&amp;TEXT(C1155,"yyyymmdd")&amp;"-"&amp;D1155&amp;"-H"&amp;TEXT(E1155,"00")&amp;"-"&amp;H1155)</f>
        <v>SAMP-KG01-L23-20251016-ORD-2025-00224-H07-Stone</v>
      </c>
      <c r="K1155" s="1" t="str">
        <f aca="false">IF(A1155="","",IF(AND(G1155&gt;=0,I1155&gt;=0,I1155&lt;=G1155),"OK","CHECK"))</f>
        <v>OK</v>
      </c>
      <c r="L1155" s="1" t="str">
        <f aca="false">IF(A1155="","",IF(AND(E1155&gt;=0,E1155&lt;=23),"OK","CHECK"))</f>
        <v>OK</v>
      </c>
      <c r="M1155" s="1" t="str">
        <f aca="false">IF(A1155="","",IF(AND(K1155="OK",L1155="OK"),"OK","CHECK"))</f>
        <v>OK</v>
      </c>
    </row>
    <row r="1156" customFormat="false" ht="18" hidden="false" customHeight="true" outlineLevel="0" collapsed="false">
      <c r="A1156" s="9" t="s">
        <v>26</v>
      </c>
      <c r="B1156" s="9" t="n">
        <v>23</v>
      </c>
      <c r="C1156" s="11" t="n">
        <v>45946</v>
      </c>
      <c r="D1156" s="9" t="s">
        <v>113</v>
      </c>
      <c r="E1156" s="12" t="n">
        <v>12</v>
      </c>
      <c r="F1156" s="9" t="s">
        <v>28</v>
      </c>
      <c r="G1156" s="13" t="n">
        <v>50</v>
      </c>
      <c r="H1156" s="9" t="s">
        <v>29</v>
      </c>
      <c r="I1156" s="13" t="n">
        <v>2</v>
      </c>
      <c r="J1156" s="1" t="str">
        <f aca="false">IF(A1156="","", "SAMP-"&amp;A1156&amp;"-L"&amp;TEXT(B1156,"00")&amp;"-"&amp;TEXT(C1156,"yyyymmdd")&amp;"-"&amp;D1156&amp;"-H"&amp;TEXT(E1156,"00")&amp;"-"&amp;H1156)</f>
        <v>SAMP-KG01-L23-20251016-ORD-2025-00224-H12-Choke Neck</v>
      </c>
      <c r="K1156" s="1" t="str">
        <f aca="false">IF(A1156="","",IF(AND(G1156&gt;=0,I1156&gt;=0,I1156&lt;=G1156),"OK","CHECK"))</f>
        <v>OK</v>
      </c>
      <c r="L1156" s="1" t="str">
        <f aca="false">IF(A1156="","",IF(AND(E1156&gt;=0,E1156&lt;=23),"OK","CHECK"))</f>
        <v>OK</v>
      </c>
      <c r="M1156" s="1" t="str">
        <f aca="false">IF(A1156="","",IF(AND(K1156="OK",L1156="OK"),"OK","CHECK"))</f>
        <v>OK</v>
      </c>
    </row>
    <row r="1157" customFormat="false" ht="18" hidden="false" customHeight="true" outlineLevel="0" collapsed="false">
      <c r="A1157" s="9" t="s">
        <v>26</v>
      </c>
      <c r="B1157" s="9" t="n">
        <v>23</v>
      </c>
      <c r="C1157" s="11" t="n">
        <v>45946</v>
      </c>
      <c r="D1157" s="9" t="s">
        <v>113</v>
      </c>
      <c r="E1157" s="12" t="n">
        <v>23</v>
      </c>
      <c r="F1157" s="9" t="s">
        <v>31</v>
      </c>
      <c r="G1157" s="13" t="n">
        <v>200</v>
      </c>
      <c r="H1157" s="9" t="s">
        <v>35</v>
      </c>
      <c r="I1157" s="13" t="n">
        <v>0</v>
      </c>
      <c r="J1157" s="1" t="str">
        <f aca="false">IF(A1157="","", "SAMP-"&amp;A1157&amp;"-L"&amp;TEXT(B1157,"00")&amp;"-"&amp;TEXT(C1157,"yyyymmdd")&amp;"-"&amp;D1157&amp;"-H"&amp;TEXT(E1157,"00")&amp;"-"&amp;H1157)</f>
        <v>SAMP-KG01-L23-20251016-ORD-2025-00224-H23-Stone</v>
      </c>
      <c r="K1157" s="1" t="str">
        <f aca="false">IF(A1157="","",IF(AND(G1157&gt;=0,I1157&gt;=0,I1157&lt;=G1157),"OK","CHECK"))</f>
        <v>OK</v>
      </c>
      <c r="L1157" s="1" t="str">
        <f aca="false">IF(A1157="","",IF(AND(E1157&gt;=0,E1157&lt;=23),"OK","CHECK"))</f>
        <v>OK</v>
      </c>
      <c r="M1157" s="1" t="str">
        <f aca="false">IF(A1157="","",IF(AND(K1157="OK",L1157="OK"),"OK","CHECK"))</f>
        <v>OK</v>
      </c>
    </row>
    <row r="1158" customFormat="false" ht="18" hidden="false" customHeight="true" outlineLevel="0" collapsed="false">
      <c r="A1158" s="9" t="s">
        <v>26</v>
      </c>
      <c r="B1158" s="9" t="n">
        <v>23</v>
      </c>
      <c r="C1158" s="11" t="n">
        <v>45946</v>
      </c>
      <c r="D1158" s="9" t="s">
        <v>113</v>
      </c>
      <c r="E1158" s="12" t="n">
        <v>16</v>
      </c>
      <c r="F1158" s="9" t="s">
        <v>31</v>
      </c>
      <c r="G1158" s="13" t="n">
        <v>100</v>
      </c>
      <c r="H1158" s="9" t="s">
        <v>41</v>
      </c>
      <c r="I1158" s="13" t="n">
        <v>1</v>
      </c>
      <c r="J1158" s="1" t="str">
        <f aca="false">IF(A1158="","", "SAMP-"&amp;A1158&amp;"-L"&amp;TEXT(B1158,"00")&amp;"-"&amp;TEXT(C1158,"yyyymmdd")&amp;"-"&amp;D1158&amp;"-H"&amp;TEXT(E1158,"00")&amp;"-"&amp;H1158)</f>
        <v>SAMP-KG01-L23-20251016-ORD-2025-00224-H16-Chip</v>
      </c>
      <c r="K1158" s="1" t="str">
        <f aca="false">IF(A1158="","",IF(AND(G1158&gt;=0,I1158&gt;=0,I1158&lt;=G1158),"OK","CHECK"))</f>
        <v>OK</v>
      </c>
      <c r="L1158" s="1" t="str">
        <f aca="false">IF(A1158="","",IF(AND(E1158&gt;=0,E1158&lt;=23),"OK","CHECK"))</f>
        <v>OK</v>
      </c>
      <c r="M1158" s="1" t="str">
        <f aca="false">IF(A1158="","",IF(AND(K1158="OK",L1158="OK"),"OK","CHECK"))</f>
        <v>OK</v>
      </c>
    </row>
    <row r="1159" customFormat="false" ht="18" hidden="false" customHeight="true" outlineLevel="0" collapsed="false">
      <c r="A1159" s="9" t="s">
        <v>26</v>
      </c>
      <c r="B1159" s="9" t="n">
        <v>23</v>
      </c>
      <c r="C1159" s="11" t="n">
        <v>45946</v>
      </c>
      <c r="D1159" s="9" t="s">
        <v>113</v>
      </c>
      <c r="E1159" s="12" t="n">
        <v>20</v>
      </c>
      <c r="F1159" s="9" t="s">
        <v>31</v>
      </c>
      <c r="G1159" s="13" t="n">
        <v>200</v>
      </c>
      <c r="H1159" s="9" t="s">
        <v>34</v>
      </c>
      <c r="I1159" s="13" t="n">
        <v>8</v>
      </c>
      <c r="J1159" s="1" t="str">
        <f aca="false">IF(A1159="","", "SAMP-"&amp;A1159&amp;"-L"&amp;TEXT(B1159,"00")&amp;"-"&amp;TEXT(C1159,"yyyymmdd")&amp;"-"&amp;D1159&amp;"-H"&amp;TEXT(E1159,"00")&amp;"-"&amp;H1159)</f>
        <v>SAMP-KG01-L23-20251016-ORD-2025-00224-H20-Thin Wall</v>
      </c>
      <c r="K1159" s="1" t="str">
        <f aca="false">IF(A1159="","",IF(AND(G1159&gt;=0,I1159&gt;=0,I1159&lt;=G1159),"OK","CHECK"))</f>
        <v>OK</v>
      </c>
      <c r="L1159" s="1" t="str">
        <f aca="false">IF(A1159="","",IF(AND(E1159&gt;=0,E1159&lt;=23),"OK","CHECK"))</f>
        <v>OK</v>
      </c>
      <c r="M1159" s="1" t="str">
        <f aca="false">IF(A1159="","",IF(AND(K1159="OK",L1159="OK"),"OK","CHECK"))</f>
        <v>OK</v>
      </c>
    </row>
    <row r="1160" customFormat="false" ht="18" hidden="false" customHeight="true" outlineLevel="0" collapsed="false">
      <c r="A1160" s="9" t="s">
        <v>26</v>
      </c>
      <c r="B1160" s="9" t="n">
        <v>23</v>
      </c>
      <c r="C1160" s="11" t="n">
        <v>45947</v>
      </c>
      <c r="D1160" s="9" t="s">
        <v>113</v>
      </c>
      <c r="E1160" s="12" t="n">
        <v>12</v>
      </c>
      <c r="F1160" s="9" t="s">
        <v>28</v>
      </c>
      <c r="G1160" s="13" t="n">
        <v>200</v>
      </c>
      <c r="H1160" s="9" t="s">
        <v>30</v>
      </c>
      <c r="I1160" s="13" t="n">
        <v>5</v>
      </c>
      <c r="J1160" s="1" t="str">
        <f aca="false">IF(A1160="","", "SAMP-"&amp;A1160&amp;"-L"&amp;TEXT(B1160,"00")&amp;"-"&amp;TEXT(C1160,"yyyymmdd")&amp;"-"&amp;D1160&amp;"-H"&amp;TEXT(E1160,"00")&amp;"-"&amp;H1160)</f>
        <v>SAMP-KG01-L23-20251017-ORD-2025-00224-H12-Overpress</v>
      </c>
      <c r="K1160" s="1" t="str">
        <f aca="false">IF(A1160="","",IF(AND(G1160&gt;=0,I1160&gt;=0,I1160&lt;=G1160),"OK","CHECK"))</f>
        <v>OK</v>
      </c>
      <c r="L1160" s="1" t="str">
        <f aca="false">IF(A1160="","",IF(AND(E1160&gt;=0,E1160&lt;=23),"OK","CHECK"))</f>
        <v>OK</v>
      </c>
      <c r="M1160" s="1" t="str">
        <f aca="false">IF(A1160="","",IF(AND(K1160="OK",L1160="OK"),"OK","CHECK"))</f>
        <v>OK</v>
      </c>
    </row>
    <row r="1161" customFormat="false" ht="18" hidden="false" customHeight="true" outlineLevel="0" collapsed="false">
      <c r="A1161" s="9" t="s">
        <v>26</v>
      </c>
      <c r="B1161" s="9" t="n">
        <v>23</v>
      </c>
      <c r="C1161" s="11" t="n">
        <v>45947</v>
      </c>
      <c r="D1161" s="9" t="s">
        <v>113</v>
      </c>
      <c r="E1161" s="12" t="n">
        <v>9</v>
      </c>
      <c r="F1161" s="9" t="s">
        <v>28</v>
      </c>
      <c r="G1161" s="13" t="n">
        <v>100</v>
      </c>
      <c r="H1161" s="9" t="s">
        <v>33</v>
      </c>
      <c r="I1161" s="13" t="n">
        <v>3</v>
      </c>
      <c r="J1161" s="1" t="str">
        <f aca="false">IF(A1161="","", "SAMP-"&amp;A1161&amp;"-L"&amp;TEXT(B1161,"00")&amp;"-"&amp;TEXT(C1161,"yyyymmdd")&amp;"-"&amp;D1161&amp;"-H"&amp;TEXT(E1161,"00")&amp;"-"&amp;H1161)</f>
        <v>SAMP-KG01-L23-20251017-ORD-2025-00224-H09-Distortion</v>
      </c>
      <c r="K1161" s="1" t="str">
        <f aca="false">IF(A1161="","",IF(AND(G1161&gt;=0,I1161&gt;=0,I1161&lt;=G1161),"OK","CHECK"))</f>
        <v>OK</v>
      </c>
      <c r="L1161" s="1" t="str">
        <f aca="false">IF(A1161="","",IF(AND(E1161&gt;=0,E1161&lt;=23),"OK","CHECK"))</f>
        <v>OK</v>
      </c>
      <c r="M1161" s="1" t="str">
        <f aca="false">IF(A1161="","",IF(AND(K1161="OK",L1161="OK"),"OK","CHECK"))</f>
        <v>OK</v>
      </c>
    </row>
    <row r="1162" customFormat="false" ht="18" hidden="false" customHeight="true" outlineLevel="0" collapsed="false">
      <c r="A1162" s="9" t="s">
        <v>26</v>
      </c>
      <c r="B1162" s="9" t="n">
        <v>23</v>
      </c>
      <c r="C1162" s="11" t="n">
        <v>45947</v>
      </c>
      <c r="D1162" s="9" t="s">
        <v>113</v>
      </c>
      <c r="E1162" s="12" t="n">
        <v>7</v>
      </c>
      <c r="F1162" s="9" t="s">
        <v>28</v>
      </c>
      <c r="G1162" s="13" t="n">
        <v>200</v>
      </c>
      <c r="H1162" s="9" t="s">
        <v>38</v>
      </c>
      <c r="I1162" s="13" t="n">
        <v>0</v>
      </c>
      <c r="J1162" s="1" t="str">
        <f aca="false">IF(A1162="","", "SAMP-"&amp;A1162&amp;"-L"&amp;TEXT(B1162,"00")&amp;"-"&amp;TEXT(C1162,"yyyymmdd")&amp;"-"&amp;D1162&amp;"-H"&amp;TEXT(E1162,"00")&amp;"-"&amp;H1162)</f>
        <v>SAMP-KG01-L23-20251017-ORD-2025-00224-H07-Crack</v>
      </c>
      <c r="K1162" s="1" t="str">
        <f aca="false">IF(A1162="","",IF(AND(G1162&gt;=0,I1162&gt;=0,I1162&lt;=G1162),"OK","CHECK"))</f>
        <v>OK</v>
      </c>
      <c r="L1162" s="1" t="str">
        <f aca="false">IF(A1162="","",IF(AND(E1162&gt;=0,E1162&lt;=23),"OK","CHECK"))</f>
        <v>OK</v>
      </c>
      <c r="M1162" s="1" t="str">
        <f aca="false">IF(A1162="","",IF(AND(K1162="OK",L1162="OK"),"OK","CHECK"))</f>
        <v>OK</v>
      </c>
    </row>
    <row r="1163" customFormat="false" ht="18" hidden="false" customHeight="true" outlineLevel="0" collapsed="false">
      <c r="A1163" s="9" t="s">
        <v>26</v>
      </c>
      <c r="B1163" s="9" t="n">
        <v>23</v>
      </c>
      <c r="C1163" s="11" t="n">
        <v>45947</v>
      </c>
      <c r="D1163" s="9" t="s">
        <v>113</v>
      </c>
      <c r="E1163" s="12" t="n">
        <v>20</v>
      </c>
      <c r="F1163" s="9" t="s">
        <v>31</v>
      </c>
      <c r="G1163" s="13" t="n">
        <v>150</v>
      </c>
      <c r="H1163" s="9" t="s">
        <v>35</v>
      </c>
      <c r="I1163" s="13" t="n">
        <v>6</v>
      </c>
      <c r="J1163" s="1" t="str">
        <f aca="false">IF(A1163="","", "SAMP-"&amp;A1163&amp;"-L"&amp;TEXT(B1163,"00")&amp;"-"&amp;TEXT(C1163,"yyyymmdd")&amp;"-"&amp;D1163&amp;"-H"&amp;TEXT(E1163,"00")&amp;"-"&amp;H1163)</f>
        <v>SAMP-KG01-L23-20251017-ORD-2025-00224-H20-Stone</v>
      </c>
      <c r="K1163" s="1" t="str">
        <f aca="false">IF(A1163="","",IF(AND(G1163&gt;=0,I1163&gt;=0,I1163&lt;=G1163),"OK","CHECK"))</f>
        <v>OK</v>
      </c>
      <c r="L1163" s="1" t="str">
        <f aca="false">IF(A1163="","",IF(AND(E1163&gt;=0,E1163&lt;=23),"OK","CHECK"))</f>
        <v>OK</v>
      </c>
      <c r="M1163" s="1" t="str">
        <f aca="false">IF(A1163="","",IF(AND(K1163="OK",L1163="OK"),"OK","CHECK"))</f>
        <v>OK</v>
      </c>
    </row>
    <row r="1164" customFormat="false" ht="18" hidden="false" customHeight="true" outlineLevel="0" collapsed="false">
      <c r="A1164" s="9" t="s">
        <v>26</v>
      </c>
      <c r="B1164" s="9" t="n">
        <v>23</v>
      </c>
      <c r="C1164" s="11" t="n">
        <v>45947</v>
      </c>
      <c r="D1164" s="9" t="s">
        <v>113</v>
      </c>
      <c r="E1164" s="12" t="n">
        <v>16</v>
      </c>
      <c r="F1164" s="9" t="s">
        <v>31</v>
      </c>
      <c r="G1164" s="13" t="n">
        <v>200</v>
      </c>
      <c r="H1164" s="9" t="s">
        <v>36</v>
      </c>
      <c r="I1164" s="13" t="n">
        <v>5</v>
      </c>
      <c r="J1164" s="1" t="str">
        <f aca="false">IF(A1164="","", "SAMP-"&amp;A1164&amp;"-L"&amp;TEXT(B1164,"00")&amp;"-"&amp;TEXT(C1164,"yyyymmdd")&amp;"-"&amp;D1164&amp;"-H"&amp;TEXT(E1164,"00")&amp;"-"&amp;H1164)</f>
        <v>SAMP-KG01-L23-20251017-ORD-2025-00224-H16-Blister</v>
      </c>
      <c r="K1164" s="1" t="str">
        <f aca="false">IF(A1164="","",IF(AND(G1164&gt;=0,I1164&gt;=0,I1164&lt;=G1164),"OK","CHECK"))</f>
        <v>OK</v>
      </c>
      <c r="L1164" s="1" t="str">
        <f aca="false">IF(A1164="","",IF(AND(E1164&gt;=0,E1164&lt;=23),"OK","CHECK"))</f>
        <v>OK</v>
      </c>
      <c r="M1164" s="1" t="str">
        <f aca="false">IF(A1164="","",IF(AND(K1164="OK",L1164="OK"),"OK","CHECK"))</f>
        <v>OK</v>
      </c>
    </row>
    <row r="1165" customFormat="false" ht="18" hidden="false" customHeight="true" outlineLevel="0" collapsed="false">
      <c r="A1165" s="9" t="s">
        <v>26</v>
      </c>
      <c r="B1165" s="9" t="n">
        <v>23</v>
      </c>
      <c r="C1165" s="11" t="n">
        <v>45947</v>
      </c>
      <c r="D1165" s="9" t="s">
        <v>113</v>
      </c>
      <c r="E1165" s="12" t="n">
        <v>23</v>
      </c>
      <c r="F1165" s="9" t="s">
        <v>31</v>
      </c>
      <c r="G1165" s="13" t="n">
        <v>150</v>
      </c>
      <c r="H1165" s="9" t="s">
        <v>36</v>
      </c>
      <c r="I1165" s="13" t="n">
        <v>4</v>
      </c>
      <c r="J1165" s="1" t="str">
        <f aca="false">IF(A1165="","", "SAMP-"&amp;A1165&amp;"-L"&amp;TEXT(B1165,"00")&amp;"-"&amp;TEXT(C1165,"yyyymmdd")&amp;"-"&amp;D1165&amp;"-H"&amp;TEXT(E1165,"00")&amp;"-"&amp;H1165)</f>
        <v>SAMP-KG01-L23-20251017-ORD-2025-00224-H23-Blister</v>
      </c>
      <c r="K1165" s="1" t="str">
        <f aca="false">IF(A1165="","",IF(AND(G1165&gt;=0,I1165&gt;=0,I1165&lt;=G1165),"OK","CHECK"))</f>
        <v>OK</v>
      </c>
      <c r="L1165" s="1" t="str">
        <f aca="false">IF(A1165="","",IF(AND(E1165&gt;=0,E1165&lt;=23),"OK","CHECK"))</f>
        <v>OK</v>
      </c>
      <c r="M1165" s="1" t="str">
        <f aca="false">IF(A1165="","",IF(AND(K1165="OK",L1165="OK"),"OK","CHECK"))</f>
        <v>OK</v>
      </c>
    </row>
    <row r="1166" customFormat="false" ht="18" hidden="false" customHeight="true" outlineLevel="0" collapsed="false">
      <c r="A1166" s="9" t="s">
        <v>26</v>
      </c>
      <c r="B1166" s="9" t="n">
        <v>23</v>
      </c>
      <c r="C1166" s="11" t="n">
        <v>45948</v>
      </c>
      <c r="D1166" s="9" t="s">
        <v>113</v>
      </c>
      <c r="E1166" s="12" t="n">
        <v>7</v>
      </c>
      <c r="F1166" s="9" t="s">
        <v>28</v>
      </c>
      <c r="G1166" s="13" t="n">
        <v>100</v>
      </c>
      <c r="H1166" s="9" t="s">
        <v>38</v>
      </c>
      <c r="I1166" s="13" t="n">
        <v>1</v>
      </c>
      <c r="J1166" s="1" t="str">
        <f aca="false">IF(A1166="","", "SAMP-"&amp;A1166&amp;"-L"&amp;TEXT(B1166,"00")&amp;"-"&amp;TEXT(C1166,"yyyymmdd")&amp;"-"&amp;D1166&amp;"-H"&amp;TEXT(E1166,"00")&amp;"-"&amp;H1166)</f>
        <v>SAMP-KG01-L23-20251018-ORD-2025-00224-H07-Crack</v>
      </c>
      <c r="K1166" s="1" t="str">
        <f aca="false">IF(A1166="","",IF(AND(G1166&gt;=0,I1166&gt;=0,I1166&lt;=G1166),"OK","CHECK"))</f>
        <v>OK</v>
      </c>
      <c r="L1166" s="1" t="str">
        <f aca="false">IF(A1166="","",IF(AND(E1166&gt;=0,E1166&lt;=23),"OK","CHECK"))</f>
        <v>OK</v>
      </c>
      <c r="M1166" s="1" t="str">
        <f aca="false">IF(A1166="","",IF(AND(K1166="OK",L1166="OK"),"OK","CHECK"))</f>
        <v>OK</v>
      </c>
    </row>
    <row r="1167" customFormat="false" ht="18" hidden="false" customHeight="true" outlineLevel="0" collapsed="false">
      <c r="A1167" s="9" t="s">
        <v>26</v>
      </c>
      <c r="B1167" s="9" t="n">
        <v>23</v>
      </c>
      <c r="C1167" s="11" t="n">
        <v>45948</v>
      </c>
      <c r="D1167" s="9" t="s">
        <v>113</v>
      </c>
      <c r="E1167" s="12" t="n">
        <v>12</v>
      </c>
      <c r="F1167" s="9" t="s">
        <v>28</v>
      </c>
      <c r="G1167" s="13" t="n">
        <v>200</v>
      </c>
      <c r="H1167" s="9" t="s">
        <v>30</v>
      </c>
      <c r="I1167" s="13" t="n">
        <v>6</v>
      </c>
      <c r="J1167" s="1" t="str">
        <f aca="false">IF(A1167="","", "SAMP-"&amp;A1167&amp;"-L"&amp;TEXT(B1167,"00")&amp;"-"&amp;TEXT(C1167,"yyyymmdd")&amp;"-"&amp;D1167&amp;"-H"&amp;TEXT(E1167,"00")&amp;"-"&amp;H1167)</f>
        <v>SAMP-KG01-L23-20251018-ORD-2025-00224-H12-Overpress</v>
      </c>
      <c r="K1167" s="1" t="str">
        <f aca="false">IF(A1167="","",IF(AND(G1167&gt;=0,I1167&gt;=0,I1167&lt;=G1167),"OK","CHECK"))</f>
        <v>OK</v>
      </c>
      <c r="L1167" s="1" t="str">
        <f aca="false">IF(A1167="","",IF(AND(E1167&gt;=0,E1167&lt;=23),"OK","CHECK"))</f>
        <v>OK</v>
      </c>
      <c r="M1167" s="1" t="str">
        <f aca="false">IF(A1167="","",IF(AND(K1167="OK",L1167="OK"),"OK","CHECK"))</f>
        <v>OK</v>
      </c>
    </row>
    <row r="1168" customFormat="false" ht="18" hidden="false" customHeight="true" outlineLevel="0" collapsed="false">
      <c r="A1168" s="9" t="s">
        <v>26</v>
      </c>
      <c r="B1168" s="9" t="n">
        <v>23</v>
      </c>
      <c r="C1168" s="11" t="n">
        <v>45948</v>
      </c>
      <c r="D1168" s="9" t="s">
        <v>113</v>
      </c>
      <c r="E1168" s="12" t="n">
        <v>9</v>
      </c>
      <c r="F1168" s="9" t="s">
        <v>28</v>
      </c>
      <c r="G1168" s="13" t="n">
        <v>100</v>
      </c>
      <c r="H1168" s="9" t="s">
        <v>33</v>
      </c>
      <c r="I1168" s="13" t="n">
        <v>3</v>
      </c>
      <c r="J1168" s="1" t="str">
        <f aca="false">IF(A1168="","", "SAMP-"&amp;A1168&amp;"-L"&amp;TEXT(B1168,"00")&amp;"-"&amp;TEXT(C1168,"yyyymmdd")&amp;"-"&amp;D1168&amp;"-H"&amp;TEXT(E1168,"00")&amp;"-"&amp;H1168)</f>
        <v>SAMP-KG01-L23-20251018-ORD-2025-00224-H09-Distortion</v>
      </c>
      <c r="K1168" s="1" t="str">
        <f aca="false">IF(A1168="","",IF(AND(G1168&gt;=0,I1168&gt;=0,I1168&lt;=G1168),"OK","CHECK"))</f>
        <v>OK</v>
      </c>
      <c r="L1168" s="1" t="str">
        <f aca="false">IF(A1168="","",IF(AND(E1168&gt;=0,E1168&lt;=23),"OK","CHECK"))</f>
        <v>OK</v>
      </c>
      <c r="M1168" s="1" t="str">
        <f aca="false">IF(A1168="","",IF(AND(K1168="OK",L1168="OK"),"OK","CHECK"))</f>
        <v>OK</v>
      </c>
    </row>
    <row r="1169" customFormat="false" ht="18" hidden="false" customHeight="true" outlineLevel="0" collapsed="false">
      <c r="A1169" s="9" t="s">
        <v>26</v>
      </c>
      <c r="B1169" s="9" t="n">
        <v>23</v>
      </c>
      <c r="C1169" s="11" t="n">
        <v>45948</v>
      </c>
      <c r="D1169" s="9" t="s">
        <v>114</v>
      </c>
      <c r="E1169" s="12" t="n">
        <v>23</v>
      </c>
      <c r="F1169" s="9" t="s">
        <v>31</v>
      </c>
      <c r="G1169" s="13" t="n">
        <v>150</v>
      </c>
      <c r="H1169" s="9" t="s">
        <v>29</v>
      </c>
      <c r="I1169" s="13" t="n">
        <v>2</v>
      </c>
      <c r="J1169" s="1" t="str">
        <f aca="false">IF(A1169="","", "SAMP-"&amp;A1169&amp;"-L"&amp;TEXT(B1169,"00")&amp;"-"&amp;TEXT(C1169,"yyyymmdd")&amp;"-"&amp;D1169&amp;"-H"&amp;TEXT(E1169,"00")&amp;"-"&amp;H1169)</f>
        <v>SAMP-KG01-L23-20251018-ORD-2025-00225-H23-Choke Neck</v>
      </c>
      <c r="K1169" s="1" t="str">
        <f aca="false">IF(A1169="","",IF(AND(G1169&gt;=0,I1169&gt;=0,I1169&lt;=G1169),"OK","CHECK"))</f>
        <v>OK</v>
      </c>
      <c r="L1169" s="1" t="str">
        <f aca="false">IF(A1169="","",IF(AND(E1169&gt;=0,E1169&lt;=23),"OK","CHECK"))</f>
        <v>OK</v>
      </c>
      <c r="M1169" s="1" t="str">
        <f aca="false">IF(A1169="","",IF(AND(K1169="OK",L1169="OK"),"OK","CHECK"))</f>
        <v>OK</v>
      </c>
    </row>
    <row r="1170" customFormat="false" ht="18" hidden="false" customHeight="true" outlineLevel="0" collapsed="false">
      <c r="A1170" s="9" t="s">
        <v>26</v>
      </c>
      <c r="B1170" s="9" t="n">
        <v>23</v>
      </c>
      <c r="C1170" s="11" t="n">
        <v>45948</v>
      </c>
      <c r="D1170" s="9" t="s">
        <v>114</v>
      </c>
      <c r="E1170" s="12" t="n">
        <v>16</v>
      </c>
      <c r="F1170" s="9" t="s">
        <v>31</v>
      </c>
      <c r="G1170" s="13" t="n">
        <v>200</v>
      </c>
      <c r="H1170" s="9" t="s">
        <v>30</v>
      </c>
      <c r="I1170" s="13" t="n">
        <v>1</v>
      </c>
      <c r="J1170" s="1" t="str">
        <f aca="false">IF(A1170="","", "SAMP-"&amp;A1170&amp;"-L"&amp;TEXT(B1170,"00")&amp;"-"&amp;TEXT(C1170,"yyyymmdd")&amp;"-"&amp;D1170&amp;"-H"&amp;TEXT(E1170,"00")&amp;"-"&amp;H1170)</f>
        <v>SAMP-KG01-L23-20251018-ORD-2025-00225-H16-Overpress</v>
      </c>
      <c r="K1170" s="1" t="str">
        <f aca="false">IF(A1170="","",IF(AND(G1170&gt;=0,I1170&gt;=0,I1170&lt;=G1170),"OK","CHECK"))</f>
        <v>OK</v>
      </c>
      <c r="L1170" s="1" t="str">
        <f aca="false">IF(A1170="","",IF(AND(E1170&gt;=0,E1170&lt;=23),"OK","CHECK"))</f>
        <v>OK</v>
      </c>
      <c r="M1170" s="1" t="str">
        <f aca="false">IF(A1170="","",IF(AND(K1170="OK",L1170="OK"),"OK","CHECK"))</f>
        <v>OK</v>
      </c>
    </row>
    <row r="1171" customFormat="false" ht="18" hidden="false" customHeight="true" outlineLevel="0" collapsed="false">
      <c r="A1171" s="9" t="s">
        <v>26</v>
      </c>
      <c r="B1171" s="9" t="n">
        <v>23</v>
      </c>
      <c r="C1171" s="11" t="n">
        <v>45948</v>
      </c>
      <c r="D1171" s="9" t="s">
        <v>114</v>
      </c>
      <c r="E1171" s="12" t="n">
        <v>20</v>
      </c>
      <c r="F1171" s="9" t="s">
        <v>31</v>
      </c>
      <c r="G1171" s="13" t="n">
        <v>200</v>
      </c>
      <c r="H1171" s="9" t="s">
        <v>34</v>
      </c>
      <c r="I1171" s="13" t="n">
        <v>3</v>
      </c>
      <c r="J1171" s="1" t="str">
        <f aca="false">IF(A1171="","", "SAMP-"&amp;A1171&amp;"-L"&amp;TEXT(B1171,"00")&amp;"-"&amp;TEXT(C1171,"yyyymmdd")&amp;"-"&amp;D1171&amp;"-H"&amp;TEXT(E1171,"00")&amp;"-"&amp;H1171)</f>
        <v>SAMP-KG01-L23-20251018-ORD-2025-00225-H20-Thin Wall</v>
      </c>
      <c r="K1171" s="1" t="str">
        <f aca="false">IF(A1171="","",IF(AND(G1171&gt;=0,I1171&gt;=0,I1171&lt;=G1171),"OK","CHECK"))</f>
        <v>OK</v>
      </c>
      <c r="L1171" s="1" t="str">
        <f aca="false">IF(A1171="","",IF(AND(E1171&gt;=0,E1171&lt;=23),"OK","CHECK"))</f>
        <v>OK</v>
      </c>
      <c r="M1171" s="1" t="str">
        <f aca="false">IF(A1171="","",IF(AND(K1171="OK",L1171="OK"),"OK","CHECK"))</f>
        <v>OK</v>
      </c>
    </row>
    <row r="1172" customFormat="false" ht="18" hidden="false" customHeight="true" outlineLevel="0" collapsed="false">
      <c r="A1172" s="9" t="s">
        <v>26</v>
      </c>
      <c r="B1172" s="9" t="n">
        <v>23</v>
      </c>
      <c r="C1172" s="11" t="n">
        <v>45949</v>
      </c>
      <c r="D1172" s="9" t="s">
        <v>114</v>
      </c>
      <c r="E1172" s="12" t="n">
        <v>9</v>
      </c>
      <c r="F1172" s="9" t="s">
        <v>28</v>
      </c>
      <c r="G1172" s="13" t="n">
        <v>150</v>
      </c>
      <c r="H1172" s="9" t="s">
        <v>41</v>
      </c>
      <c r="I1172" s="13" t="n">
        <v>3</v>
      </c>
      <c r="J1172" s="1" t="str">
        <f aca="false">IF(A1172="","", "SAMP-"&amp;A1172&amp;"-L"&amp;TEXT(B1172,"00")&amp;"-"&amp;TEXT(C1172,"yyyymmdd")&amp;"-"&amp;D1172&amp;"-H"&amp;TEXT(E1172,"00")&amp;"-"&amp;H1172)</f>
        <v>SAMP-KG01-L23-20251019-ORD-2025-00225-H09-Chip</v>
      </c>
      <c r="K1172" s="1" t="str">
        <f aca="false">IF(A1172="","",IF(AND(G1172&gt;=0,I1172&gt;=0,I1172&lt;=G1172),"OK","CHECK"))</f>
        <v>OK</v>
      </c>
      <c r="L1172" s="1" t="str">
        <f aca="false">IF(A1172="","",IF(AND(E1172&gt;=0,E1172&lt;=23),"OK","CHECK"))</f>
        <v>OK</v>
      </c>
      <c r="M1172" s="1" t="str">
        <f aca="false">IF(A1172="","",IF(AND(K1172="OK",L1172="OK"),"OK","CHECK"))</f>
        <v>OK</v>
      </c>
    </row>
    <row r="1173" customFormat="false" ht="18" hidden="false" customHeight="true" outlineLevel="0" collapsed="false">
      <c r="A1173" s="9" t="s">
        <v>26</v>
      </c>
      <c r="B1173" s="9" t="n">
        <v>23</v>
      </c>
      <c r="C1173" s="11" t="n">
        <v>45949</v>
      </c>
      <c r="D1173" s="9" t="s">
        <v>114</v>
      </c>
      <c r="E1173" s="12" t="n">
        <v>12</v>
      </c>
      <c r="F1173" s="9" t="s">
        <v>28</v>
      </c>
      <c r="G1173" s="13" t="n">
        <v>50</v>
      </c>
      <c r="H1173" s="9" t="s">
        <v>29</v>
      </c>
      <c r="I1173" s="13" t="n">
        <v>2</v>
      </c>
      <c r="J1173" s="1" t="str">
        <f aca="false">IF(A1173="","", "SAMP-"&amp;A1173&amp;"-L"&amp;TEXT(B1173,"00")&amp;"-"&amp;TEXT(C1173,"yyyymmdd")&amp;"-"&amp;D1173&amp;"-H"&amp;TEXT(E1173,"00")&amp;"-"&amp;H1173)</f>
        <v>SAMP-KG01-L23-20251019-ORD-2025-00225-H12-Choke Neck</v>
      </c>
      <c r="K1173" s="1" t="str">
        <f aca="false">IF(A1173="","",IF(AND(G1173&gt;=0,I1173&gt;=0,I1173&lt;=G1173),"OK","CHECK"))</f>
        <v>OK</v>
      </c>
      <c r="L1173" s="1" t="str">
        <f aca="false">IF(A1173="","",IF(AND(E1173&gt;=0,E1173&lt;=23),"OK","CHECK"))</f>
        <v>OK</v>
      </c>
      <c r="M1173" s="1" t="str">
        <f aca="false">IF(A1173="","",IF(AND(K1173="OK",L1173="OK"),"OK","CHECK"))</f>
        <v>OK</v>
      </c>
    </row>
    <row r="1174" customFormat="false" ht="18" hidden="false" customHeight="true" outlineLevel="0" collapsed="false">
      <c r="A1174" s="9" t="s">
        <v>26</v>
      </c>
      <c r="B1174" s="9" t="n">
        <v>23</v>
      </c>
      <c r="C1174" s="11" t="n">
        <v>45949</v>
      </c>
      <c r="D1174" s="9" t="s">
        <v>114</v>
      </c>
      <c r="E1174" s="12" t="n">
        <v>7</v>
      </c>
      <c r="F1174" s="9" t="s">
        <v>28</v>
      </c>
      <c r="G1174" s="13" t="n">
        <v>150</v>
      </c>
      <c r="H1174" s="9" t="s">
        <v>33</v>
      </c>
      <c r="I1174" s="13" t="n">
        <v>4</v>
      </c>
      <c r="J1174" s="1" t="str">
        <f aca="false">IF(A1174="","", "SAMP-"&amp;A1174&amp;"-L"&amp;TEXT(B1174,"00")&amp;"-"&amp;TEXT(C1174,"yyyymmdd")&amp;"-"&amp;D1174&amp;"-H"&amp;TEXT(E1174,"00")&amp;"-"&amp;H1174)</f>
        <v>SAMP-KG01-L23-20251019-ORD-2025-00225-H07-Distortion</v>
      </c>
      <c r="K1174" s="1" t="str">
        <f aca="false">IF(A1174="","",IF(AND(G1174&gt;=0,I1174&gt;=0,I1174&lt;=G1174),"OK","CHECK"))</f>
        <v>OK</v>
      </c>
      <c r="L1174" s="1" t="str">
        <f aca="false">IF(A1174="","",IF(AND(E1174&gt;=0,E1174&lt;=23),"OK","CHECK"))</f>
        <v>OK</v>
      </c>
      <c r="M1174" s="1" t="str">
        <f aca="false">IF(A1174="","",IF(AND(K1174="OK",L1174="OK"),"OK","CHECK"))</f>
        <v>OK</v>
      </c>
    </row>
    <row r="1175" customFormat="false" ht="18" hidden="false" customHeight="true" outlineLevel="0" collapsed="false">
      <c r="A1175" s="9" t="s">
        <v>26</v>
      </c>
      <c r="B1175" s="9" t="n">
        <v>23</v>
      </c>
      <c r="C1175" s="11" t="n">
        <v>45949</v>
      </c>
      <c r="D1175" s="9" t="s">
        <v>114</v>
      </c>
      <c r="E1175" s="12" t="n">
        <v>23</v>
      </c>
      <c r="F1175" s="9" t="s">
        <v>31</v>
      </c>
      <c r="G1175" s="13" t="n">
        <v>100</v>
      </c>
      <c r="H1175" s="9" t="s">
        <v>30</v>
      </c>
      <c r="I1175" s="13" t="n">
        <v>3</v>
      </c>
      <c r="J1175" s="1" t="str">
        <f aca="false">IF(A1175="","", "SAMP-"&amp;A1175&amp;"-L"&amp;TEXT(B1175,"00")&amp;"-"&amp;TEXT(C1175,"yyyymmdd")&amp;"-"&amp;D1175&amp;"-H"&amp;TEXT(E1175,"00")&amp;"-"&amp;H1175)</f>
        <v>SAMP-KG01-L23-20251019-ORD-2025-00225-H23-Overpress</v>
      </c>
      <c r="K1175" s="1" t="str">
        <f aca="false">IF(A1175="","",IF(AND(G1175&gt;=0,I1175&gt;=0,I1175&lt;=G1175),"OK","CHECK"))</f>
        <v>OK</v>
      </c>
      <c r="L1175" s="1" t="str">
        <f aca="false">IF(A1175="","",IF(AND(E1175&gt;=0,E1175&lt;=23),"OK","CHECK"))</f>
        <v>OK</v>
      </c>
      <c r="M1175" s="1" t="str">
        <f aca="false">IF(A1175="","",IF(AND(K1175="OK",L1175="OK"),"OK","CHECK"))</f>
        <v>OK</v>
      </c>
    </row>
    <row r="1176" customFormat="false" ht="18" hidden="false" customHeight="true" outlineLevel="0" collapsed="false">
      <c r="A1176" s="9" t="s">
        <v>26</v>
      </c>
      <c r="B1176" s="9" t="n">
        <v>23</v>
      </c>
      <c r="C1176" s="11" t="n">
        <v>45949</v>
      </c>
      <c r="D1176" s="9" t="s">
        <v>114</v>
      </c>
      <c r="E1176" s="12" t="n">
        <v>16</v>
      </c>
      <c r="F1176" s="9" t="s">
        <v>31</v>
      </c>
      <c r="G1176" s="13" t="n">
        <v>50</v>
      </c>
      <c r="H1176" s="9" t="s">
        <v>38</v>
      </c>
      <c r="I1176" s="13" t="n">
        <v>1</v>
      </c>
      <c r="J1176" s="1" t="str">
        <f aca="false">IF(A1176="","", "SAMP-"&amp;A1176&amp;"-L"&amp;TEXT(B1176,"00")&amp;"-"&amp;TEXT(C1176,"yyyymmdd")&amp;"-"&amp;D1176&amp;"-H"&amp;TEXT(E1176,"00")&amp;"-"&amp;H1176)</f>
        <v>SAMP-KG01-L23-20251019-ORD-2025-00225-H16-Crack</v>
      </c>
      <c r="K1176" s="1" t="str">
        <f aca="false">IF(A1176="","",IF(AND(G1176&gt;=0,I1176&gt;=0,I1176&lt;=G1176),"OK","CHECK"))</f>
        <v>OK</v>
      </c>
      <c r="L1176" s="1" t="str">
        <f aca="false">IF(A1176="","",IF(AND(E1176&gt;=0,E1176&lt;=23),"OK","CHECK"))</f>
        <v>OK</v>
      </c>
      <c r="M1176" s="1" t="str">
        <f aca="false">IF(A1176="","",IF(AND(K1176="OK",L1176="OK"),"OK","CHECK"))</f>
        <v>OK</v>
      </c>
    </row>
    <row r="1177" customFormat="false" ht="18" hidden="false" customHeight="true" outlineLevel="0" collapsed="false">
      <c r="A1177" s="9" t="s">
        <v>26</v>
      </c>
      <c r="B1177" s="9" t="n">
        <v>23</v>
      </c>
      <c r="C1177" s="11" t="n">
        <v>45949</v>
      </c>
      <c r="D1177" s="9" t="s">
        <v>114</v>
      </c>
      <c r="E1177" s="12" t="n">
        <v>20</v>
      </c>
      <c r="F1177" s="9" t="s">
        <v>31</v>
      </c>
      <c r="G1177" s="13" t="n">
        <v>150</v>
      </c>
      <c r="H1177" s="9" t="s">
        <v>38</v>
      </c>
      <c r="I1177" s="13" t="n">
        <v>3</v>
      </c>
      <c r="J1177" s="1" t="str">
        <f aca="false">IF(A1177="","", "SAMP-"&amp;A1177&amp;"-L"&amp;TEXT(B1177,"00")&amp;"-"&amp;TEXT(C1177,"yyyymmdd")&amp;"-"&amp;D1177&amp;"-H"&amp;TEXT(E1177,"00")&amp;"-"&amp;H1177)</f>
        <v>SAMP-KG01-L23-20251019-ORD-2025-00225-H20-Crack</v>
      </c>
      <c r="K1177" s="1" t="str">
        <f aca="false">IF(A1177="","",IF(AND(G1177&gt;=0,I1177&gt;=0,I1177&lt;=G1177),"OK","CHECK"))</f>
        <v>OK</v>
      </c>
      <c r="L1177" s="1" t="str">
        <f aca="false">IF(A1177="","",IF(AND(E1177&gt;=0,E1177&lt;=23),"OK","CHECK"))</f>
        <v>OK</v>
      </c>
      <c r="M1177" s="1" t="str">
        <f aca="false">IF(A1177="","",IF(AND(K1177="OK",L1177="OK"),"OK","CHECK"))</f>
        <v>OK</v>
      </c>
    </row>
    <row r="1178" customFormat="false" ht="18" hidden="false" customHeight="true" outlineLevel="0" collapsed="false">
      <c r="A1178" s="9" t="s">
        <v>26</v>
      </c>
      <c r="B1178" s="9" t="n">
        <v>23</v>
      </c>
      <c r="C1178" s="11" t="n">
        <v>45957</v>
      </c>
      <c r="D1178" s="9" t="s">
        <v>115</v>
      </c>
      <c r="E1178" s="12" t="n">
        <v>9</v>
      </c>
      <c r="F1178" s="9" t="s">
        <v>28</v>
      </c>
      <c r="G1178" s="13" t="n">
        <v>150</v>
      </c>
      <c r="H1178" s="9" t="s">
        <v>33</v>
      </c>
      <c r="I1178" s="13" t="n">
        <v>6</v>
      </c>
      <c r="J1178" s="1" t="str">
        <f aca="false">IF(A1178="","", "SAMP-"&amp;A1178&amp;"-L"&amp;TEXT(B1178,"00")&amp;"-"&amp;TEXT(C1178,"yyyymmdd")&amp;"-"&amp;D1178&amp;"-H"&amp;TEXT(E1178,"00")&amp;"-"&amp;H1178)</f>
        <v>SAMP-KG01-L23-20251027-ORD-2025-00226-H09-Distortion</v>
      </c>
      <c r="K1178" s="1" t="str">
        <f aca="false">IF(A1178="","",IF(AND(G1178&gt;=0,I1178&gt;=0,I1178&lt;=G1178),"OK","CHECK"))</f>
        <v>OK</v>
      </c>
      <c r="L1178" s="1" t="str">
        <f aca="false">IF(A1178="","",IF(AND(E1178&gt;=0,E1178&lt;=23),"OK","CHECK"))</f>
        <v>OK</v>
      </c>
      <c r="M1178" s="1" t="str">
        <f aca="false">IF(A1178="","",IF(AND(K1178="OK",L1178="OK"),"OK","CHECK"))</f>
        <v>OK</v>
      </c>
    </row>
    <row r="1179" customFormat="false" ht="18" hidden="false" customHeight="true" outlineLevel="0" collapsed="false">
      <c r="A1179" s="9" t="s">
        <v>26</v>
      </c>
      <c r="B1179" s="9" t="n">
        <v>23</v>
      </c>
      <c r="C1179" s="11" t="n">
        <v>45957</v>
      </c>
      <c r="D1179" s="9" t="s">
        <v>115</v>
      </c>
      <c r="E1179" s="12" t="n">
        <v>7</v>
      </c>
      <c r="F1179" s="9" t="s">
        <v>28</v>
      </c>
      <c r="G1179" s="13" t="n">
        <v>50</v>
      </c>
      <c r="H1179" s="9" t="s">
        <v>33</v>
      </c>
      <c r="I1179" s="13" t="n">
        <v>0</v>
      </c>
      <c r="J1179" s="1" t="str">
        <f aca="false">IF(A1179="","", "SAMP-"&amp;A1179&amp;"-L"&amp;TEXT(B1179,"00")&amp;"-"&amp;TEXT(C1179,"yyyymmdd")&amp;"-"&amp;D1179&amp;"-H"&amp;TEXT(E1179,"00")&amp;"-"&amp;H1179)</f>
        <v>SAMP-KG01-L23-20251027-ORD-2025-00226-H07-Distortion</v>
      </c>
      <c r="K1179" s="1" t="str">
        <f aca="false">IF(A1179="","",IF(AND(G1179&gt;=0,I1179&gt;=0,I1179&lt;=G1179),"OK","CHECK"))</f>
        <v>OK</v>
      </c>
      <c r="L1179" s="1" t="str">
        <f aca="false">IF(A1179="","",IF(AND(E1179&gt;=0,E1179&lt;=23),"OK","CHECK"))</f>
        <v>OK</v>
      </c>
      <c r="M1179" s="1" t="str">
        <f aca="false">IF(A1179="","",IF(AND(K1179="OK",L1179="OK"),"OK","CHECK"))</f>
        <v>OK</v>
      </c>
    </row>
    <row r="1180" customFormat="false" ht="18" hidden="false" customHeight="true" outlineLevel="0" collapsed="false">
      <c r="A1180" s="9" t="s">
        <v>26</v>
      </c>
      <c r="B1180" s="9" t="n">
        <v>23</v>
      </c>
      <c r="C1180" s="11" t="n">
        <v>45957</v>
      </c>
      <c r="D1180" s="9" t="s">
        <v>115</v>
      </c>
      <c r="E1180" s="12" t="n">
        <v>12</v>
      </c>
      <c r="F1180" s="9" t="s">
        <v>28</v>
      </c>
      <c r="G1180" s="13" t="n">
        <v>150</v>
      </c>
      <c r="H1180" s="9" t="s">
        <v>41</v>
      </c>
      <c r="I1180" s="13" t="n">
        <v>6</v>
      </c>
      <c r="J1180" s="1" t="str">
        <f aca="false">IF(A1180="","", "SAMP-"&amp;A1180&amp;"-L"&amp;TEXT(B1180,"00")&amp;"-"&amp;TEXT(C1180,"yyyymmdd")&amp;"-"&amp;D1180&amp;"-H"&amp;TEXT(E1180,"00")&amp;"-"&amp;H1180)</f>
        <v>SAMP-KG01-L23-20251027-ORD-2025-00226-H12-Chip</v>
      </c>
      <c r="K1180" s="1" t="str">
        <f aca="false">IF(A1180="","",IF(AND(G1180&gt;=0,I1180&gt;=0,I1180&lt;=G1180),"OK","CHECK"))</f>
        <v>OK</v>
      </c>
      <c r="L1180" s="1" t="str">
        <f aca="false">IF(A1180="","",IF(AND(E1180&gt;=0,E1180&lt;=23),"OK","CHECK"))</f>
        <v>OK</v>
      </c>
      <c r="M1180" s="1" t="str">
        <f aca="false">IF(A1180="","",IF(AND(K1180="OK",L1180="OK"),"OK","CHECK"))</f>
        <v>OK</v>
      </c>
    </row>
    <row r="1181" customFormat="false" ht="18" hidden="false" customHeight="true" outlineLevel="0" collapsed="false">
      <c r="A1181" s="9" t="s">
        <v>26</v>
      </c>
      <c r="B1181" s="9" t="n">
        <v>23</v>
      </c>
      <c r="C1181" s="11" t="n">
        <v>45957</v>
      </c>
      <c r="D1181" s="9" t="s">
        <v>115</v>
      </c>
      <c r="E1181" s="12" t="n">
        <v>20</v>
      </c>
      <c r="F1181" s="9" t="s">
        <v>31</v>
      </c>
      <c r="G1181" s="13" t="n">
        <v>100</v>
      </c>
      <c r="H1181" s="9" t="s">
        <v>38</v>
      </c>
      <c r="I1181" s="13" t="n">
        <v>2</v>
      </c>
      <c r="J1181" s="1" t="str">
        <f aca="false">IF(A1181="","", "SAMP-"&amp;A1181&amp;"-L"&amp;TEXT(B1181,"00")&amp;"-"&amp;TEXT(C1181,"yyyymmdd")&amp;"-"&amp;D1181&amp;"-H"&amp;TEXT(E1181,"00")&amp;"-"&amp;H1181)</f>
        <v>SAMP-KG01-L23-20251027-ORD-2025-00226-H20-Crack</v>
      </c>
      <c r="K1181" s="1" t="str">
        <f aca="false">IF(A1181="","",IF(AND(G1181&gt;=0,I1181&gt;=0,I1181&lt;=G1181),"OK","CHECK"))</f>
        <v>OK</v>
      </c>
      <c r="L1181" s="1" t="str">
        <f aca="false">IF(A1181="","",IF(AND(E1181&gt;=0,E1181&lt;=23),"OK","CHECK"))</f>
        <v>OK</v>
      </c>
      <c r="M1181" s="1" t="str">
        <f aca="false">IF(A1181="","",IF(AND(K1181="OK",L1181="OK"),"OK","CHECK"))</f>
        <v>OK</v>
      </c>
    </row>
    <row r="1182" customFormat="false" ht="18" hidden="false" customHeight="true" outlineLevel="0" collapsed="false">
      <c r="A1182" s="9" t="s">
        <v>26</v>
      </c>
      <c r="B1182" s="9" t="n">
        <v>23</v>
      </c>
      <c r="C1182" s="11" t="n">
        <v>45957</v>
      </c>
      <c r="D1182" s="9" t="s">
        <v>115</v>
      </c>
      <c r="E1182" s="12" t="n">
        <v>16</v>
      </c>
      <c r="F1182" s="9" t="s">
        <v>31</v>
      </c>
      <c r="G1182" s="13" t="n">
        <v>200</v>
      </c>
      <c r="H1182" s="9" t="s">
        <v>37</v>
      </c>
      <c r="I1182" s="13" t="n">
        <v>5</v>
      </c>
      <c r="J1182" s="1" t="str">
        <f aca="false">IF(A1182="","", "SAMP-"&amp;A1182&amp;"-L"&amp;TEXT(B1182,"00")&amp;"-"&amp;TEXT(C1182,"yyyymmdd")&amp;"-"&amp;D1182&amp;"-H"&amp;TEXT(E1182,"00")&amp;"-"&amp;H1182)</f>
        <v>SAMP-KG01-L23-20251027-ORD-2025-00226-H16-Bird Swing</v>
      </c>
      <c r="K1182" s="1" t="str">
        <f aca="false">IF(A1182="","",IF(AND(G1182&gt;=0,I1182&gt;=0,I1182&lt;=G1182),"OK","CHECK"))</f>
        <v>OK</v>
      </c>
      <c r="L1182" s="1" t="str">
        <f aca="false">IF(A1182="","",IF(AND(E1182&gt;=0,E1182&lt;=23),"OK","CHECK"))</f>
        <v>OK</v>
      </c>
      <c r="M1182" s="1" t="str">
        <f aca="false">IF(A1182="","",IF(AND(K1182="OK",L1182="OK"),"OK","CHECK"))</f>
        <v>OK</v>
      </c>
    </row>
    <row r="1183" customFormat="false" ht="18" hidden="false" customHeight="true" outlineLevel="0" collapsed="false">
      <c r="A1183" s="9" t="s">
        <v>26</v>
      </c>
      <c r="B1183" s="9" t="n">
        <v>23</v>
      </c>
      <c r="C1183" s="11" t="n">
        <v>45957</v>
      </c>
      <c r="D1183" s="9" t="s">
        <v>115</v>
      </c>
      <c r="E1183" s="12" t="n">
        <v>23</v>
      </c>
      <c r="F1183" s="9" t="s">
        <v>31</v>
      </c>
      <c r="G1183" s="13" t="n">
        <v>100</v>
      </c>
      <c r="H1183" s="9" t="s">
        <v>36</v>
      </c>
      <c r="I1183" s="13" t="n">
        <v>1</v>
      </c>
      <c r="J1183" s="1" t="str">
        <f aca="false">IF(A1183="","", "SAMP-"&amp;A1183&amp;"-L"&amp;TEXT(B1183,"00")&amp;"-"&amp;TEXT(C1183,"yyyymmdd")&amp;"-"&amp;D1183&amp;"-H"&amp;TEXT(E1183,"00")&amp;"-"&amp;H1183)</f>
        <v>SAMP-KG01-L23-20251027-ORD-2025-00226-H23-Blister</v>
      </c>
      <c r="K1183" s="1" t="str">
        <f aca="false">IF(A1183="","",IF(AND(G1183&gt;=0,I1183&gt;=0,I1183&lt;=G1183),"OK","CHECK"))</f>
        <v>OK</v>
      </c>
      <c r="L1183" s="1" t="str">
        <f aca="false">IF(A1183="","",IF(AND(E1183&gt;=0,E1183&lt;=23),"OK","CHECK"))</f>
        <v>OK</v>
      </c>
      <c r="M1183" s="1" t="str">
        <f aca="false">IF(A1183="","",IF(AND(K1183="OK",L1183="OK"),"OK","CHECK"))</f>
        <v>OK</v>
      </c>
    </row>
    <row r="1184" customFormat="false" ht="18" hidden="false" customHeight="true" outlineLevel="0" collapsed="false">
      <c r="A1184" s="9" t="s">
        <v>26</v>
      </c>
      <c r="B1184" s="9" t="n">
        <v>23</v>
      </c>
      <c r="C1184" s="11" t="n">
        <v>45958</v>
      </c>
      <c r="D1184" s="9" t="s">
        <v>115</v>
      </c>
      <c r="E1184" s="12" t="n">
        <v>7</v>
      </c>
      <c r="F1184" s="9" t="s">
        <v>28</v>
      </c>
      <c r="G1184" s="13" t="n">
        <v>50</v>
      </c>
      <c r="H1184" s="9" t="s">
        <v>29</v>
      </c>
      <c r="I1184" s="13" t="n">
        <v>1</v>
      </c>
      <c r="J1184" s="1" t="str">
        <f aca="false">IF(A1184="","", "SAMP-"&amp;A1184&amp;"-L"&amp;TEXT(B1184,"00")&amp;"-"&amp;TEXT(C1184,"yyyymmdd")&amp;"-"&amp;D1184&amp;"-H"&amp;TEXT(E1184,"00")&amp;"-"&amp;H1184)</f>
        <v>SAMP-KG01-L23-20251028-ORD-2025-00226-H07-Choke Neck</v>
      </c>
      <c r="K1184" s="1" t="str">
        <f aca="false">IF(A1184="","",IF(AND(G1184&gt;=0,I1184&gt;=0,I1184&lt;=G1184),"OK","CHECK"))</f>
        <v>OK</v>
      </c>
      <c r="L1184" s="1" t="str">
        <f aca="false">IF(A1184="","",IF(AND(E1184&gt;=0,E1184&lt;=23),"OK","CHECK"))</f>
        <v>OK</v>
      </c>
      <c r="M1184" s="1" t="str">
        <f aca="false">IF(A1184="","",IF(AND(K1184="OK",L1184="OK"),"OK","CHECK"))</f>
        <v>OK</v>
      </c>
    </row>
    <row r="1185" customFormat="false" ht="18" hidden="false" customHeight="true" outlineLevel="0" collapsed="false">
      <c r="A1185" s="9" t="s">
        <v>26</v>
      </c>
      <c r="B1185" s="9" t="n">
        <v>23</v>
      </c>
      <c r="C1185" s="11" t="n">
        <v>45958</v>
      </c>
      <c r="D1185" s="9" t="s">
        <v>115</v>
      </c>
      <c r="E1185" s="12" t="n">
        <v>9</v>
      </c>
      <c r="F1185" s="9" t="s">
        <v>28</v>
      </c>
      <c r="G1185" s="13" t="n">
        <v>100</v>
      </c>
      <c r="H1185" s="9" t="s">
        <v>38</v>
      </c>
      <c r="I1185" s="13" t="n">
        <v>3</v>
      </c>
      <c r="J1185" s="1" t="str">
        <f aca="false">IF(A1185="","", "SAMP-"&amp;A1185&amp;"-L"&amp;TEXT(B1185,"00")&amp;"-"&amp;TEXT(C1185,"yyyymmdd")&amp;"-"&amp;D1185&amp;"-H"&amp;TEXT(E1185,"00")&amp;"-"&amp;H1185)</f>
        <v>SAMP-KG01-L23-20251028-ORD-2025-00226-H09-Crack</v>
      </c>
      <c r="K1185" s="1" t="str">
        <f aca="false">IF(A1185="","",IF(AND(G1185&gt;=0,I1185&gt;=0,I1185&lt;=G1185),"OK","CHECK"))</f>
        <v>OK</v>
      </c>
      <c r="L1185" s="1" t="str">
        <f aca="false">IF(A1185="","",IF(AND(E1185&gt;=0,E1185&lt;=23),"OK","CHECK"))</f>
        <v>OK</v>
      </c>
      <c r="M1185" s="1" t="str">
        <f aca="false">IF(A1185="","",IF(AND(K1185="OK",L1185="OK"),"OK","CHECK"))</f>
        <v>OK</v>
      </c>
    </row>
    <row r="1186" customFormat="false" ht="18" hidden="false" customHeight="true" outlineLevel="0" collapsed="false">
      <c r="A1186" s="9" t="s">
        <v>26</v>
      </c>
      <c r="B1186" s="9" t="n">
        <v>23</v>
      </c>
      <c r="C1186" s="11" t="n">
        <v>45958</v>
      </c>
      <c r="D1186" s="9" t="s">
        <v>115</v>
      </c>
      <c r="E1186" s="12" t="n">
        <v>12</v>
      </c>
      <c r="F1186" s="9" t="s">
        <v>28</v>
      </c>
      <c r="G1186" s="13" t="n">
        <v>200</v>
      </c>
      <c r="H1186" s="9" t="s">
        <v>30</v>
      </c>
      <c r="I1186" s="13" t="n">
        <v>0</v>
      </c>
      <c r="J1186" s="1" t="str">
        <f aca="false">IF(A1186="","", "SAMP-"&amp;A1186&amp;"-L"&amp;TEXT(B1186,"00")&amp;"-"&amp;TEXT(C1186,"yyyymmdd")&amp;"-"&amp;D1186&amp;"-H"&amp;TEXT(E1186,"00")&amp;"-"&amp;H1186)</f>
        <v>SAMP-KG01-L23-20251028-ORD-2025-00226-H12-Overpress</v>
      </c>
      <c r="K1186" s="1" t="str">
        <f aca="false">IF(A1186="","",IF(AND(G1186&gt;=0,I1186&gt;=0,I1186&lt;=G1186),"OK","CHECK"))</f>
        <v>OK</v>
      </c>
      <c r="L1186" s="1" t="str">
        <f aca="false">IF(A1186="","",IF(AND(E1186&gt;=0,E1186&lt;=23),"OK","CHECK"))</f>
        <v>OK</v>
      </c>
      <c r="M1186" s="1" t="str">
        <f aca="false">IF(A1186="","",IF(AND(K1186="OK",L1186="OK"),"OK","CHECK"))</f>
        <v>OK</v>
      </c>
    </row>
    <row r="1187" customFormat="false" ht="18" hidden="false" customHeight="true" outlineLevel="0" collapsed="false">
      <c r="A1187" s="9" t="s">
        <v>26</v>
      </c>
      <c r="B1187" s="9" t="n">
        <v>23</v>
      </c>
      <c r="C1187" s="11" t="n">
        <v>45958</v>
      </c>
      <c r="D1187" s="9" t="s">
        <v>115</v>
      </c>
      <c r="E1187" s="12" t="n">
        <v>23</v>
      </c>
      <c r="F1187" s="9" t="s">
        <v>31</v>
      </c>
      <c r="G1187" s="13" t="n">
        <v>200</v>
      </c>
      <c r="H1187" s="9" t="s">
        <v>36</v>
      </c>
      <c r="I1187" s="13" t="n">
        <v>7</v>
      </c>
      <c r="J1187" s="1" t="str">
        <f aca="false">IF(A1187="","", "SAMP-"&amp;A1187&amp;"-L"&amp;TEXT(B1187,"00")&amp;"-"&amp;TEXT(C1187,"yyyymmdd")&amp;"-"&amp;D1187&amp;"-H"&amp;TEXT(E1187,"00")&amp;"-"&amp;H1187)</f>
        <v>SAMP-KG01-L23-20251028-ORD-2025-00226-H23-Blister</v>
      </c>
      <c r="K1187" s="1" t="str">
        <f aca="false">IF(A1187="","",IF(AND(G1187&gt;=0,I1187&gt;=0,I1187&lt;=G1187),"OK","CHECK"))</f>
        <v>OK</v>
      </c>
      <c r="L1187" s="1" t="str">
        <f aca="false">IF(A1187="","",IF(AND(E1187&gt;=0,E1187&lt;=23),"OK","CHECK"))</f>
        <v>OK</v>
      </c>
      <c r="M1187" s="1" t="str">
        <f aca="false">IF(A1187="","",IF(AND(K1187="OK",L1187="OK"),"OK","CHECK"))</f>
        <v>OK</v>
      </c>
    </row>
    <row r="1188" customFormat="false" ht="18" hidden="false" customHeight="true" outlineLevel="0" collapsed="false">
      <c r="A1188" s="9" t="s">
        <v>26</v>
      </c>
      <c r="B1188" s="9" t="n">
        <v>23</v>
      </c>
      <c r="C1188" s="11" t="n">
        <v>45958</v>
      </c>
      <c r="D1188" s="9" t="s">
        <v>115</v>
      </c>
      <c r="E1188" s="12" t="n">
        <v>20</v>
      </c>
      <c r="F1188" s="9" t="s">
        <v>31</v>
      </c>
      <c r="G1188" s="13" t="n">
        <v>50</v>
      </c>
      <c r="H1188" s="9" t="s">
        <v>37</v>
      </c>
      <c r="I1188" s="13" t="n">
        <v>1</v>
      </c>
      <c r="J1188" s="1" t="str">
        <f aca="false">IF(A1188="","", "SAMP-"&amp;A1188&amp;"-L"&amp;TEXT(B1188,"00")&amp;"-"&amp;TEXT(C1188,"yyyymmdd")&amp;"-"&amp;D1188&amp;"-H"&amp;TEXT(E1188,"00")&amp;"-"&amp;H1188)</f>
        <v>SAMP-KG01-L23-20251028-ORD-2025-00226-H20-Bird Swing</v>
      </c>
      <c r="K1188" s="1" t="str">
        <f aca="false">IF(A1188="","",IF(AND(G1188&gt;=0,I1188&gt;=0,I1188&lt;=G1188),"OK","CHECK"))</f>
        <v>OK</v>
      </c>
      <c r="L1188" s="1" t="str">
        <f aca="false">IF(A1188="","",IF(AND(E1188&gt;=0,E1188&lt;=23),"OK","CHECK"))</f>
        <v>OK</v>
      </c>
      <c r="M1188" s="1" t="str">
        <f aca="false">IF(A1188="","",IF(AND(K1188="OK",L1188="OK"),"OK","CHECK"))</f>
        <v>OK</v>
      </c>
    </row>
    <row r="1189" customFormat="false" ht="18" hidden="false" customHeight="true" outlineLevel="0" collapsed="false">
      <c r="A1189" s="9" t="s">
        <v>26</v>
      </c>
      <c r="B1189" s="9" t="n">
        <v>23</v>
      </c>
      <c r="C1189" s="11" t="n">
        <v>45959</v>
      </c>
      <c r="D1189" s="9" t="s">
        <v>115</v>
      </c>
      <c r="E1189" s="12" t="n">
        <v>7</v>
      </c>
      <c r="F1189" s="9" t="s">
        <v>28</v>
      </c>
      <c r="G1189" s="13" t="n">
        <v>150</v>
      </c>
      <c r="H1189" s="9" t="s">
        <v>33</v>
      </c>
      <c r="I1189" s="13" t="n">
        <v>4</v>
      </c>
      <c r="J1189" s="1" t="str">
        <f aca="false">IF(A1189="","", "SAMP-"&amp;A1189&amp;"-L"&amp;TEXT(B1189,"00")&amp;"-"&amp;TEXT(C1189,"yyyymmdd")&amp;"-"&amp;D1189&amp;"-H"&amp;TEXT(E1189,"00")&amp;"-"&amp;H1189)</f>
        <v>SAMP-KG01-L23-20251029-ORD-2025-00226-H07-Distortion</v>
      </c>
      <c r="K1189" s="1" t="str">
        <f aca="false">IF(A1189="","",IF(AND(G1189&gt;=0,I1189&gt;=0,I1189&lt;=G1189),"OK","CHECK"))</f>
        <v>OK</v>
      </c>
      <c r="L1189" s="1" t="str">
        <f aca="false">IF(A1189="","",IF(AND(E1189&gt;=0,E1189&lt;=23),"OK","CHECK"))</f>
        <v>OK</v>
      </c>
      <c r="M1189" s="1" t="str">
        <f aca="false">IF(A1189="","",IF(AND(K1189="OK",L1189="OK"),"OK","CHECK"))</f>
        <v>OK</v>
      </c>
    </row>
    <row r="1190" customFormat="false" ht="18" hidden="false" customHeight="true" outlineLevel="0" collapsed="false">
      <c r="A1190" s="9" t="s">
        <v>26</v>
      </c>
      <c r="B1190" s="9" t="n">
        <v>23</v>
      </c>
      <c r="C1190" s="11" t="n">
        <v>45959</v>
      </c>
      <c r="D1190" s="9" t="s">
        <v>115</v>
      </c>
      <c r="E1190" s="12" t="n">
        <v>9</v>
      </c>
      <c r="F1190" s="9" t="s">
        <v>28</v>
      </c>
      <c r="G1190" s="13" t="n">
        <v>50</v>
      </c>
      <c r="H1190" s="9" t="s">
        <v>34</v>
      </c>
      <c r="I1190" s="13" t="n">
        <v>0</v>
      </c>
      <c r="J1190" s="1" t="str">
        <f aca="false">IF(A1190="","", "SAMP-"&amp;A1190&amp;"-L"&amp;TEXT(B1190,"00")&amp;"-"&amp;TEXT(C1190,"yyyymmdd")&amp;"-"&amp;D1190&amp;"-H"&amp;TEXT(E1190,"00")&amp;"-"&amp;H1190)</f>
        <v>SAMP-KG01-L23-20251029-ORD-2025-00226-H09-Thin Wall</v>
      </c>
      <c r="K1190" s="1" t="str">
        <f aca="false">IF(A1190="","",IF(AND(G1190&gt;=0,I1190&gt;=0,I1190&lt;=G1190),"OK","CHECK"))</f>
        <v>OK</v>
      </c>
      <c r="L1190" s="1" t="str">
        <f aca="false">IF(A1190="","",IF(AND(E1190&gt;=0,E1190&lt;=23),"OK","CHECK"))</f>
        <v>OK</v>
      </c>
      <c r="M1190" s="1" t="str">
        <f aca="false">IF(A1190="","",IF(AND(K1190="OK",L1190="OK"),"OK","CHECK"))</f>
        <v>OK</v>
      </c>
    </row>
    <row r="1191" customFormat="false" ht="18" hidden="false" customHeight="true" outlineLevel="0" collapsed="false">
      <c r="A1191" s="9" t="s">
        <v>26</v>
      </c>
      <c r="B1191" s="9" t="n">
        <v>23</v>
      </c>
      <c r="C1191" s="11" t="n">
        <v>45959</v>
      </c>
      <c r="D1191" s="9" t="s">
        <v>116</v>
      </c>
      <c r="E1191" s="12" t="n">
        <v>23</v>
      </c>
      <c r="F1191" s="9" t="s">
        <v>31</v>
      </c>
      <c r="G1191" s="13" t="n">
        <v>100</v>
      </c>
      <c r="H1191" s="9" t="s">
        <v>35</v>
      </c>
      <c r="I1191" s="13" t="n">
        <v>1</v>
      </c>
      <c r="J1191" s="1" t="str">
        <f aca="false">IF(A1191="","", "SAMP-"&amp;A1191&amp;"-L"&amp;TEXT(B1191,"00")&amp;"-"&amp;TEXT(C1191,"yyyymmdd")&amp;"-"&amp;D1191&amp;"-H"&amp;TEXT(E1191,"00")&amp;"-"&amp;H1191)</f>
        <v>SAMP-KG01-L23-20251029-ORD-2025-00227-H23-Stone</v>
      </c>
      <c r="K1191" s="1" t="str">
        <f aca="false">IF(A1191="","",IF(AND(G1191&gt;=0,I1191&gt;=0,I1191&lt;=G1191),"OK","CHECK"))</f>
        <v>OK</v>
      </c>
      <c r="L1191" s="1" t="str">
        <f aca="false">IF(A1191="","",IF(AND(E1191&gt;=0,E1191&lt;=23),"OK","CHECK"))</f>
        <v>OK</v>
      </c>
      <c r="M1191" s="1" t="str">
        <f aca="false">IF(A1191="","",IF(AND(K1191="OK",L1191="OK"),"OK","CHECK"))</f>
        <v>OK</v>
      </c>
    </row>
    <row r="1192" customFormat="false" ht="18" hidden="false" customHeight="true" outlineLevel="0" collapsed="false">
      <c r="A1192" s="9" t="s">
        <v>26</v>
      </c>
      <c r="B1192" s="9" t="n">
        <v>23</v>
      </c>
      <c r="C1192" s="11" t="n">
        <v>45959</v>
      </c>
      <c r="D1192" s="9" t="s">
        <v>116</v>
      </c>
      <c r="E1192" s="12" t="n">
        <v>20</v>
      </c>
      <c r="F1192" s="9" t="s">
        <v>31</v>
      </c>
      <c r="G1192" s="13" t="n">
        <v>50</v>
      </c>
      <c r="H1192" s="9" t="s">
        <v>35</v>
      </c>
      <c r="I1192" s="13" t="n">
        <v>1</v>
      </c>
      <c r="J1192" s="1" t="str">
        <f aca="false">IF(A1192="","", "SAMP-"&amp;A1192&amp;"-L"&amp;TEXT(B1192,"00")&amp;"-"&amp;TEXT(C1192,"yyyymmdd")&amp;"-"&amp;D1192&amp;"-H"&amp;TEXT(E1192,"00")&amp;"-"&amp;H1192)</f>
        <v>SAMP-KG01-L23-20251029-ORD-2025-00227-H20-Stone</v>
      </c>
      <c r="K1192" s="1" t="str">
        <f aca="false">IF(A1192="","",IF(AND(G1192&gt;=0,I1192&gt;=0,I1192&lt;=G1192),"OK","CHECK"))</f>
        <v>OK</v>
      </c>
      <c r="L1192" s="1" t="str">
        <f aca="false">IF(A1192="","",IF(AND(E1192&gt;=0,E1192&lt;=23),"OK","CHECK"))</f>
        <v>OK</v>
      </c>
      <c r="M1192" s="1" t="str">
        <f aca="false">IF(A1192="","",IF(AND(K1192="OK",L1192="OK"),"OK","CHECK"))</f>
        <v>OK</v>
      </c>
    </row>
    <row r="1193" customFormat="false" ht="18" hidden="false" customHeight="true" outlineLevel="0" collapsed="false">
      <c r="A1193" s="9" t="s">
        <v>26</v>
      </c>
      <c r="B1193" s="9" t="n">
        <v>23</v>
      </c>
      <c r="C1193" s="11" t="n">
        <v>45959</v>
      </c>
      <c r="D1193" s="9" t="s">
        <v>116</v>
      </c>
      <c r="E1193" s="12" t="n">
        <v>16</v>
      </c>
      <c r="F1193" s="9" t="s">
        <v>31</v>
      </c>
      <c r="G1193" s="13" t="n">
        <v>200</v>
      </c>
      <c r="H1193" s="9" t="s">
        <v>35</v>
      </c>
      <c r="I1193" s="13" t="n">
        <v>11</v>
      </c>
      <c r="J1193" s="1" t="str">
        <f aca="false">IF(A1193="","", "SAMP-"&amp;A1193&amp;"-L"&amp;TEXT(B1193,"00")&amp;"-"&amp;TEXT(C1193,"yyyymmdd")&amp;"-"&amp;D1193&amp;"-H"&amp;TEXT(E1193,"00")&amp;"-"&amp;H1193)</f>
        <v>SAMP-KG01-L23-20251029-ORD-2025-00227-H16-Stone</v>
      </c>
      <c r="K1193" s="1" t="str">
        <f aca="false">IF(A1193="","",IF(AND(G1193&gt;=0,I1193&gt;=0,I1193&lt;=G1193),"OK","CHECK"))</f>
        <v>OK</v>
      </c>
      <c r="L1193" s="1" t="str">
        <f aca="false">IF(A1193="","",IF(AND(E1193&gt;=0,E1193&lt;=23),"OK","CHECK"))</f>
        <v>OK</v>
      </c>
      <c r="M1193" s="1" t="str">
        <f aca="false">IF(A1193="","",IF(AND(K1193="OK",L1193="OK"),"OK","CHECK"))</f>
        <v>OK</v>
      </c>
    </row>
    <row r="1194" customFormat="false" ht="18" hidden="false" customHeight="true" outlineLevel="0" collapsed="false">
      <c r="A1194" s="9" t="s">
        <v>26</v>
      </c>
      <c r="B1194" s="9" t="n">
        <v>23</v>
      </c>
      <c r="C1194" s="11" t="n">
        <v>45960</v>
      </c>
      <c r="D1194" s="9" t="s">
        <v>116</v>
      </c>
      <c r="E1194" s="12" t="n">
        <v>12</v>
      </c>
      <c r="F1194" s="9" t="s">
        <v>28</v>
      </c>
      <c r="G1194" s="13" t="n">
        <v>150</v>
      </c>
      <c r="H1194" s="9" t="s">
        <v>33</v>
      </c>
      <c r="I1194" s="13" t="n">
        <v>6</v>
      </c>
      <c r="J1194" s="1" t="str">
        <f aca="false">IF(A1194="","", "SAMP-"&amp;A1194&amp;"-L"&amp;TEXT(B1194,"00")&amp;"-"&amp;TEXT(C1194,"yyyymmdd")&amp;"-"&amp;D1194&amp;"-H"&amp;TEXT(E1194,"00")&amp;"-"&amp;H1194)</f>
        <v>SAMP-KG01-L23-20251030-ORD-2025-00227-H12-Distortion</v>
      </c>
      <c r="K1194" s="1" t="str">
        <f aca="false">IF(A1194="","",IF(AND(G1194&gt;=0,I1194&gt;=0,I1194&lt;=G1194),"OK","CHECK"))</f>
        <v>OK</v>
      </c>
      <c r="L1194" s="1" t="str">
        <f aca="false">IF(A1194="","",IF(AND(E1194&gt;=0,E1194&lt;=23),"OK","CHECK"))</f>
        <v>OK</v>
      </c>
      <c r="M1194" s="1" t="str">
        <f aca="false">IF(A1194="","",IF(AND(K1194="OK",L1194="OK"),"OK","CHECK"))</f>
        <v>OK</v>
      </c>
    </row>
    <row r="1195" customFormat="false" ht="18" hidden="false" customHeight="true" outlineLevel="0" collapsed="false">
      <c r="A1195" s="9" t="s">
        <v>26</v>
      </c>
      <c r="B1195" s="9" t="n">
        <v>23</v>
      </c>
      <c r="C1195" s="11" t="n">
        <v>45960</v>
      </c>
      <c r="D1195" s="9" t="s">
        <v>116</v>
      </c>
      <c r="E1195" s="12" t="n">
        <v>7</v>
      </c>
      <c r="F1195" s="9" t="s">
        <v>28</v>
      </c>
      <c r="G1195" s="13" t="n">
        <v>200</v>
      </c>
      <c r="H1195" s="9" t="s">
        <v>37</v>
      </c>
      <c r="I1195" s="13" t="n">
        <v>3</v>
      </c>
      <c r="J1195" s="1" t="str">
        <f aca="false">IF(A1195="","", "SAMP-"&amp;A1195&amp;"-L"&amp;TEXT(B1195,"00")&amp;"-"&amp;TEXT(C1195,"yyyymmdd")&amp;"-"&amp;D1195&amp;"-H"&amp;TEXT(E1195,"00")&amp;"-"&amp;H1195)</f>
        <v>SAMP-KG01-L23-20251030-ORD-2025-00227-H07-Bird Swing</v>
      </c>
      <c r="K1195" s="1" t="str">
        <f aca="false">IF(A1195="","",IF(AND(G1195&gt;=0,I1195&gt;=0,I1195&lt;=G1195),"OK","CHECK"))</f>
        <v>OK</v>
      </c>
      <c r="L1195" s="1" t="str">
        <f aca="false">IF(A1195="","",IF(AND(E1195&gt;=0,E1195&lt;=23),"OK","CHECK"))</f>
        <v>OK</v>
      </c>
      <c r="M1195" s="1" t="str">
        <f aca="false">IF(A1195="","",IF(AND(K1195="OK",L1195="OK"),"OK","CHECK"))</f>
        <v>OK</v>
      </c>
    </row>
    <row r="1196" customFormat="false" ht="18" hidden="false" customHeight="true" outlineLevel="0" collapsed="false">
      <c r="A1196" s="9" t="s">
        <v>26</v>
      </c>
      <c r="B1196" s="9" t="n">
        <v>23</v>
      </c>
      <c r="C1196" s="11" t="n">
        <v>45960</v>
      </c>
      <c r="D1196" s="9" t="s">
        <v>116</v>
      </c>
      <c r="E1196" s="12" t="n">
        <v>16</v>
      </c>
      <c r="F1196" s="9" t="s">
        <v>31</v>
      </c>
      <c r="G1196" s="13" t="n">
        <v>200</v>
      </c>
      <c r="H1196" s="9" t="s">
        <v>34</v>
      </c>
      <c r="I1196" s="13" t="n">
        <v>0</v>
      </c>
      <c r="J1196" s="1" t="str">
        <f aca="false">IF(A1196="","", "SAMP-"&amp;A1196&amp;"-L"&amp;TEXT(B1196,"00")&amp;"-"&amp;TEXT(C1196,"yyyymmdd")&amp;"-"&amp;D1196&amp;"-H"&amp;TEXT(E1196,"00")&amp;"-"&amp;H1196)</f>
        <v>SAMP-KG01-L23-20251030-ORD-2025-00227-H16-Thin Wall</v>
      </c>
      <c r="K1196" s="1" t="str">
        <f aca="false">IF(A1196="","",IF(AND(G1196&gt;=0,I1196&gt;=0,I1196&lt;=G1196),"OK","CHECK"))</f>
        <v>OK</v>
      </c>
      <c r="L1196" s="1" t="str">
        <f aca="false">IF(A1196="","",IF(AND(E1196&gt;=0,E1196&lt;=23),"OK","CHECK"))</f>
        <v>OK</v>
      </c>
      <c r="M1196" s="1" t="str">
        <f aca="false">IF(A1196="","",IF(AND(K1196="OK",L1196="OK"),"OK","CHECK"))</f>
        <v>OK</v>
      </c>
    </row>
    <row r="1197" customFormat="false" ht="18" hidden="false" customHeight="true" outlineLevel="0" collapsed="false">
      <c r="A1197" s="9" t="s">
        <v>26</v>
      </c>
      <c r="B1197" s="9" t="n">
        <v>23</v>
      </c>
      <c r="C1197" s="11" t="n">
        <v>45960</v>
      </c>
      <c r="D1197" s="9" t="s">
        <v>116</v>
      </c>
      <c r="E1197" s="12" t="n">
        <v>23</v>
      </c>
      <c r="F1197" s="9" t="s">
        <v>31</v>
      </c>
      <c r="G1197" s="13" t="n">
        <v>50</v>
      </c>
      <c r="H1197" s="9" t="s">
        <v>34</v>
      </c>
      <c r="I1197" s="13" t="n">
        <v>1</v>
      </c>
      <c r="J1197" s="1" t="str">
        <f aca="false">IF(A1197="","", "SAMP-"&amp;A1197&amp;"-L"&amp;TEXT(B1197,"00")&amp;"-"&amp;TEXT(C1197,"yyyymmdd")&amp;"-"&amp;D1197&amp;"-H"&amp;TEXT(E1197,"00")&amp;"-"&amp;H1197)</f>
        <v>SAMP-KG01-L23-20251030-ORD-2025-00227-H23-Thin Wall</v>
      </c>
      <c r="K1197" s="1" t="str">
        <f aca="false">IF(A1197="","",IF(AND(G1197&gt;=0,I1197&gt;=0,I1197&lt;=G1197),"OK","CHECK"))</f>
        <v>OK</v>
      </c>
      <c r="L1197" s="1" t="str">
        <f aca="false">IF(A1197="","",IF(AND(E1197&gt;=0,E1197&lt;=23),"OK","CHECK"))</f>
        <v>OK</v>
      </c>
      <c r="M1197" s="1" t="str">
        <f aca="false">IF(A1197="","",IF(AND(K1197="OK",L1197="OK"),"OK","CHECK"))</f>
        <v>OK</v>
      </c>
    </row>
    <row r="1198" customFormat="false" ht="18" hidden="false" customHeight="true" outlineLevel="0" collapsed="false">
      <c r="A1198" s="9" t="s">
        <v>26</v>
      </c>
      <c r="B1198" s="9" t="n">
        <v>23</v>
      </c>
      <c r="C1198" s="11" t="n">
        <v>45960</v>
      </c>
      <c r="D1198" s="9" t="s">
        <v>116</v>
      </c>
      <c r="E1198" s="12" t="n">
        <v>20</v>
      </c>
      <c r="F1198" s="9" t="s">
        <v>31</v>
      </c>
      <c r="G1198" s="13" t="n">
        <v>150</v>
      </c>
      <c r="H1198" s="9" t="s">
        <v>38</v>
      </c>
      <c r="I1198" s="13" t="n">
        <v>3</v>
      </c>
      <c r="J1198" s="1" t="str">
        <f aca="false">IF(A1198="","", "SAMP-"&amp;A1198&amp;"-L"&amp;TEXT(B1198,"00")&amp;"-"&amp;TEXT(C1198,"yyyymmdd")&amp;"-"&amp;D1198&amp;"-H"&amp;TEXT(E1198,"00")&amp;"-"&amp;H1198)</f>
        <v>SAMP-KG01-L23-20251030-ORD-2025-00227-H20-Crack</v>
      </c>
      <c r="K1198" s="1" t="str">
        <f aca="false">IF(A1198="","",IF(AND(G1198&gt;=0,I1198&gt;=0,I1198&lt;=G1198),"OK","CHECK"))</f>
        <v>OK</v>
      </c>
      <c r="L1198" s="1" t="str">
        <f aca="false">IF(A1198="","",IF(AND(E1198&gt;=0,E1198&lt;=23),"OK","CHECK"))</f>
        <v>OK</v>
      </c>
      <c r="M1198" s="1" t="str">
        <f aca="false">IF(A1198="","",IF(AND(K1198="OK",L1198="OK"),"OK","CHECK"))</f>
        <v>OK</v>
      </c>
    </row>
    <row r="1199" customFormat="false" ht="18" hidden="false" customHeight="true" outlineLevel="0" collapsed="false">
      <c r="A1199" s="9" t="s">
        <v>26</v>
      </c>
      <c r="B1199" s="9" t="n">
        <v>23</v>
      </c>
      <c r="C1199" s="11" t="n">
        <v>45961</v>
      </c>
      <c r="D1199" s="9" t="s">
        <v>117</v>
      </c>
      <c r="E1199" s="12" t="n">
        <v>7</v>
      </c>
      <c r="F1199" s="9" t="s">
        <v>28</v>
      </c>
      <c r="G1199" s="13" t="n">
        <v>50</v>
      </c>
      <c r="H1199" s="9" t="s">
        <v>33</v>
      </c>
      <c r="I1199" s="13" t="n">
        <v>1</v>
      </c>
      <c r="J1199" s="1" t="str">
        <f aca="false">IF(A1199="","", "SAMP-"&amp;A1199&amp;"-L"&amp;TEXT(B1199,"00")&amp;"-"&amp;TEXT(C1199,"yyyymmdd")&amp;"-"&amp;D1199&amp;"-H"&amp;TEXT(E1199,"00")&amp;"-"&amp;H1199)</f>
        <v>SAMP-KG01-L23-20251031-ORD-2025-00228-H07-Distortion</v>
      </c>
      <c r="K1199" s="1" t="str">
        <f aca="false">IF(A1199="","",IF(AND(G1199&gt;=0,I1199&gt;=0,I1199&lt;=G1199),"OK","CHECK"))</f>
        <v>OK</v>
      </c>
      <c r="L1199" s="1" t="str">
        <f aca="false">IF(A1199="","",IF(AND(E1199&gt;=0,E1199&lt;=23),"OK","CHECK"))</f>
        <v>OK</v>
      </c>
      <c r="M1199" s="1" t="str">
        <f aca="false">IF(A1199="","",IF(AND(K1199="OK",L1199="OK"),"OK","CHECK"))</f>
        <v>OK</v>
      </c>
    </row>
    <row r="1200" customFormat="false" ht="18" hidden="false" customHeight="true" outlineLevel="0" collapsed="false">
      <c r="A1200" s="9" t="s">
        <v>26</v>
      </c>
      <c r="B1200" s="9" t="n">
        <v>23</v>
      </c>
      <c r="C1200" s="11" t="n">
        <v>45961</v>
      </c>
      <c r="D1200" s="9" t="s">
        <v>117</v>
      </c>
      <c r="E1200" s="12" t="n">
        <v>12</v>
      </c>
      <c r="F1200" s="9" t="s">
        <v>28</v>
      </c>
      <c r="G1200" s="13" t="n">
        <v>200</v>
      </c>
      <c r="H1200" s="9" t="s">
        <v>33</v>
      </c>
      <c r="I1200" s="13" t="n">
        <v>4</v>
      </c>
      <c r="J1200" s="1" t="str">
        <f aca="false">IF(A1200="","", "SAMP-"&amp;A1200&amp;"-L"&amp;TEXT(B1200,"00")&amp;"-"&amp;TEXT(C1200,"yyyymmdd")&amp;"-"&amp;D1200&amp;"-H"&amp;TEXT(E1200,"00")&amp;"-"&amp;H1200)</f>
        <v>SAMP-KG01-L23-20251031-ORD-2025-00228-H12-Distortion</v>
      </c>
      <c r="K1200" s="1" t="str">
        <f aca="false">IF(A1200="","",IF(AND(G1200&gt;=0,I1200&gt;=0,I1200&lt;=G1200),"OK","CHECK"))</f>
        <v>OK</v>
      </c>
      <c r="L1200" s="1" t="str">
        <f aca="false">IF(A1200="","",IF(AND(E1200&gt;=0,E1200&lt;=23),"OK","CHECK"))</f>
        <v>OK</v>
      </c>
      <c r="M1200" s="1" t="str">
        <f aca="false">IF(A1200="","",IF(AND(K1200="OK",L1200="OK"),"OK","CHECK"))</f>
        <v>OK</v>
      </c>
    </row>
    <row r="1201" customFormat="false" ht="18" hidden="false" customHeight="true" outlineLevel="0" collapsed="false">
      <c r="A1201" s="9" t="s">
        <v>26</v>
      </c>
      <c r="B1201" s="9" t="n">
        <v>23</v>
      </c>
      <c r="C1201" s="11" t="n">
        <v>45961</v>
      </c>
      <c r="D1201" s="9" t="s">
        <v>117</v>
      </c>
      <c r="E1201" s="12" t="n">
        <v>9</v>
      </c>
      <c r="F1201" s="9" t="s">
        <v>28</v>
      </c>
      <c r="G1201" s="13" t="n">
        <v>150</v>
      </c>
      <c r="H1201" s="9" t="s">
        <v>36</v>
      </c>
      <c r="I1201" s="13" t="n">
        <v>4</v>
      </c>
      <c r="J1201" s="1" t="str">
        <f aca="false">IF(A1201="","", "SAMP-"&amp;A1201&amp;"-L"&amp;TEXT(B1201,"00")&amp;"-"&amp;TEXT(C1201,"yyyymmdd")&amp;"-"&amp;D1201&amp;"-H"&amp;TEXT(E1201,"00")&amp;"-"&amp;H1201)</f>
        <v>SAMP-KG01-L23-20251031-ORD-2025-00228-H09-Blister</v>
      </c>
      <c r="K1201" s="1" t="str">
        <f aca="false">IF(A1201="","",IF(AND(G1201&gt;=0,I1201&gt;=0,I1201&lt;=G1201),"OK","CHECK"))</f>
        <v>OK</v>
      </c>
      <c r="L1201" s="1" t="str">
        <f aca="false">IF(A1201="","",IF(AND(E1201&gt;=0,E1201&lt;=23),"OK","CHECK"))</f>
        <v>OK</v>
      </c>
      <c r="M1201" s="1" t="str">
        <f aca="false">IF(A1201="","",IF(AND(K1201="OK",L1201="OK"),"OK","CHECK"))</f>
        <v>OK</v>
      </c>
    </row>
    <row r="1202" customFormat="false" ht="18" hidden="false" customHeight="true" outlineLevel="0" collapsed="false">
      <c r="A1202" s="9" t="s">
        <v>26</v>
      </c>
      <c r="B1202" s="9" t="n">
        <v>23</v>
      </c>
      <c r="C1202" s="11" t="n">
        <v>45961</v>
      </c>
      <c r="D1202" s="9" t="s">
        <v>117</v>
      </c>
      <c r="E1202" s="12" t="n">
        <v>20</v>
      </c>
      <c r="F1202" s="9" t="s">
        <v>31</v>
      </c>
      <c r="G1202" s="13" t="n">
        <v>150</v>
      </c>
      <c r="H1202" s="9" t="s">
        <v>29</v>
      </c>
      <c r="I1202" s="13" t="n">
        <v>0</v>
      </c>
      <c r="J1202" s="1" t="str">
        <f aca="false">IF(A1202="","", "SAMP-"&amp;A1202&amp;"-L"&amp;TEXT(B1202,"00")&amp;"-"&amp;TEXT(C1202,"yyyymmdd")&amp;"-"&amp;D1202&amp;"-H"&amp;TEXT(E1202,"00")&amp;"-"&amp;H1202)</f>
        <v>SAMP-KG01-L23-20251031-ORD-2025-00228-H20-Choke Neck</v>
      </c>
      <c r="K1202" s="1" t="str">
        <f aca="false">IF(A1202="","",IF(AND(G1202&gt;=0,I1202&gt;=0,I1202&lt;=G1202),"OK","CHECK"))</f>
        <v>OK</v>
      </c>
      <c r="L1202" s="1" t="str">
        <f aca="false">IF(A1202="","",IF(AND(E1202&gt;=0,E1202&lt;=23),"OK","CHECK"))</f>
        <v>OK</v>
      </c>
      <c r="M1202" s="1" t="str">
        <f aca="false">IF(A1202="","",IF(AND(K1202="OK",L1202="OK"),"OK","CHECK"))</f>
        <v>OK</v>
      </c>
    </row>
    <row r="1203" customFormat="false" ht="18" hidden="false" customHeight="true" outlineLevel="0" collapsed="false">
      <c r="A1203" s="9" t="s">
        <v>26</v>
      </c>
      <c r="B1203" s="9" t="n">
        <v>23</v>
      </c>
      <c r="C1203" s="11" t="n">
        <v>45961</v>
      </c>
      <c r="D1203" s="9" t="s">
        <v>117</v>
      </c>
      <c r="E1203" s="12" t="n">
        <v>23</v>
      </c>
      <c r="F1203" s="9" t="s">
        <v>31</v>
      </c>
      <c r="G1203" s="13" t="n">
        <v>200</v>
      </c>
      <c r="H1203" s="9" t="s">
        <v>30</v>
      </c>
      <c r="I1203" s="13" t="n">
        <v>1</v>
      </c>
      <c r="J1203" s="1" t="str">
        <f aca="false">IF(A1203="","", "SAMP-"&amp;A1203&amp;"-L"&amp;TEXT(B1203,"00")&amp;"-"&amp;TEXT(C1203,"yyyymmdd")&amp;"-"&amp;D1203&amp;"-H"&amp;TEXT(E1203,"00")&amp;"-"&amp;H1203)</f>
        <v>SAMP-KG01-L23-20251031-ORD-2025-00228-H23-Overpress</v>
      </c>
      <c r="K1203" s="1" t="str">
        <f aca="false">IF(A1203="","",IF(AND(G1203&gt;=0,I1203&gt;=0,I1203&lt;=G1203),"OK","CHECK"))</f>
        <v>OK</v>
      </c>
      <c r="L1203" s="1" t="str">
        <f aca="false">IF(A1203="","",IF(AND(E1203&gt;=0,E1203&lt;=23),"OK","CHECK"))</f>
        <v>OK</v>
      </c>
      <c r="M1203" s="1" t="str">
        <f aca="false">IF(A1203="","",IF(AND(K1203="OK",L1203="OK"),"OK","CHECK"))</f>
        <v>OK</v>
      </c>
    </row>
    <row r="1204" customFormat="false" ht="18" hidden="false" customHeight="true" outlineLevel="0" collapsed="false">
      <c r="A1204" s="9" t="s">
        <v>26</v>
      </c>
      <c r="B1204" s="9" t="n">
        <v>23</v>
      </c>
      <c r="C1204" s="11" t="n">
        <v>45961</v>
      </c>
      <c r="D1204" s="9" t="s">
        <v>117</v>
      </c>
      <c r="E1204" s="12" t="n">
        <v>16</v>
      </c>
      <c r="F1204" s="9" t="s">
        <v>31</v>
      </c>
      <c r="G1204" s="13" t="n">
        <v>50</v>
      </c>
      <c r="H1204" s="9" t="s">
        <v>34</v>
      </c>
      <c r="I1204" s="13" t="n">
        <v>1</v>
      </c>
      <c r="J1204" s="1" t="str">
        <f aca="false">IF(A1204="","", "SAMP-"&amp;A1204&amp;"-L"&amp;TEXT(B1204,"00")&amp;"-"&amp;TEXT(C1204,"yyyymmdd")&amp;"-"&amp;D1204&amp;"-H"&amp;TEXT(E1204,"00")&amp;"-"&amp;H1204)</f>
        <v>SAMP-KG01-L23-20251031-ORD-2025-00228-H16-Thin Wall</v>
      </c>
      <c r="K1204" s="1" t="str">
        <f aca="false">IF(A1204="","",IF(AND(G1204&gt;=0,I1204&gt;=0,I1204&lt;=G1204),"OK","CHECK"))</f>
        <v>OK</v>
      </c>
      <c r="L1204" s="1" t="str">
        <f aca="false">IF(A1204="","",IF(AND(E1204&gt;=0,E1204&lt;=23),"OK","CHECK"))</f>
        <v>OK</v>
      </c>
      <c r="M1204" s="1" t="str">
        <f aca="false">IF(A1204="","",IF(AND(K1204="OK",L1204="OK"),"OK","CHECK"))</f>
        <v>OK</v>
      </c>
    </row>
    <row r="1205" customFormat="false" ht="18" hidden="false" customHeight="true" outlineLevel="0" collapsed="false">
      <c r="A1205" s="9" t="s">
        <v>26</v>
      </c>
      <c r="B1205" s="9" t="n">
        <v>23</v>
      </c>
      <c r="C1205" s="11" t="n">
        <v>45962</v>
      </c>
      <c r="D1205" s="9" t="s">
        <v>117</v>
      </c>
      <c r="E1205" s="12" t="n">
        <v>7</v>
      </c>
      <c r="F1205" s="9" t="s">
        <v>28</v>
      </c>
      <c r="G1205" s="13" t="n">
        <v>50</v>
      </c>
      <c r="H1205" s="9" t="s">
        <v>34</v>
      </c>
      <c r="I1205" s="13" t="n">
        <v>0</v>
      </c>
      <c r="J1205" s="1" t="str">
        <f aca="false">IF(A1205="","", "SAMP-"&amp;A1205&amp;"-L"&amp;TEXT(B1205,"00")&amp;"-"&amp;TEXT(C1205,"yyyymmdd")&amp;"-"&amp;D1205&amp;"-H"&amp;TEXT(E1205,"00")&amp;"-"&amp;H1205)</f>
        <v>SAMP-KG01-L23-20251101-ORD-2025-00228-H07-Thin Wall</v>
      </c>
      <c r="K1205" s="1" t="str">
        <f aca="false">IF(A1205="","",IF(AND(G1205&gt;=0,I1205&gt;=0,I1205&lt;=G1205),"OK","CHECK"))</f>
        <v>OK</v>
      </c>
      <c r="L1205" s="1" t="str">
        <f aca="false">IF(A1205="","",IF(AND(E1205&gt;=0,E1205&lt;=23),"OK","CHECK"))</f>
        <v>OK</v>
      </c>
      <c r="M1205" s="1" t="str">
        <f aca="false">IF(A1205="","",IF(AND(K1205="OK",L1205="OK"),"OK","CHECK"))</f>
        <v>OK</v>
      </c>
    </row>
    <row r="1206" customFormat="false" ht="18" hidden="false" customHeight="true" outlineLevel="0" collapsed="false">
      <c r="A1206" s="9" t="s">
        <v>26</v>
      </c>
      <c r="B1206" s="9" t="n">
        <v>23</v>
      </c>
      <c r="C1206" s="11" t="n">
        <v>45962</v>
      </c>
      <c r="D1206" s="9" t="s">
        <v>117</v>
      </c>
      <c r="E1206" s="12" t="n">
        <v>9</v>
      </c>
      <c r="F1206" s="9" t="s">
        <v>28</v>
      </c>
      <c r="G1206" s="13" t="n">
        <v>200</v>
      </c>
      <c r="H1206" s="9" t="s">
        <v>37</v>
      </c>
      <c r="I1206" s="13" t="n">
        <v>8</v>
      </c>
      <c r="J1206" s="1" t="str">
        <f aca="false">IF(A1206="","", "SAMP-"&amp;A1206&amp;"-L"&amp;TEXT(B1206,"00")&amp;"-"&amp;TEXT(C1206,"yyyymmdd")&amp;"-"&amp;D1206&amp;"-H"&amp;TEXT(E1206,"00")&amp;"-"&amp;H1206)</f>
        <v>SAMP-KG01-L23-20251101-ORD-2025-00228-H09-Bird Swing</v>
      </c>
      <c r="K1206" s="1" t="str">
        <f aca="false">IF(A1206="","",IF(AND(G1206&gt;=0,I1206&gt;=0,I1206&lt;=G1206),"OK","CHECK"))</f>
        <v>OK</v>
      </c>
      <c r="L1206" s="1" t="str">
        <f aca="false">IF(A1206="","",IF(AND(E1206&gt;=0,E1206&lt;=23),"OK","CHECK"))</f>
        <v>OK</v>
      </c>
      <c r="M1206" s="1" t="str">
        <f aca="false">IF(A1206="","",IF(AND(K1206="OK",L1206="OK"),"OK","CHECK"))</f>
        <v>OK</v>
      </c>
    </row>
    <row r="1207" customFormat="false" ht="18" hidden="false" customHeight="true" outlineLevel="0" collapsed="false">
      <c r="A1207" s="9" t="s">
        <v>26</v>
      </c>
      <c r="B1207" s="9" t="n">
        <v>23</v>
      </c>
      <c r="C1207" s="11" t="n">
        <v>45962</v>
      </c>
      <c r="D1207" s="9" t="s">
        <v>117</v>
      </c>
      <c r="E1207" s="12" t="n">
        <v>12</v>
      </c>
      <c r="F1207" s="9" t="s">
        <v>28</v>
      </c>
      <c r="G1207" s="13" t="n">
        <v>50</v>
      </c>
      <c r="H1207" s="9" t="s">
        <v>34</v>
      </c>
      <c r="I1207" s="13" t="n">
        <v>2</v>
      </c>
      <c r="J1207" s="1" t="str">
        <f aca="false">IF(A1207="","", "SAMP-"&amp;A1207&amp;"-L"&amp;TEXT(B1207,"00")&amp;"-"&amp;TEXT(C1207,"yyyymmdd")&amp;"-"&amp;D1207&amp;"-H"&amp;TEXT(E1207,"00")&amp;"-"&amp;H1207)</f>
        <v>SAMP-KG01-L23-20251101-ORD-2025-00228-H12-Thin Wall</v>
      </c>
      <c r="K1207" s="1" t="str">
        <f aca="false">IF(A1207="","",IF(AND(G1207&gt;=0,I1207&gt;=0,I1207&lt;=G1207),"OK","CHECK"))</f>
        <v>OK</v>
      </c>
      <c r="L1207" s="1" t="str">
        <f aca="false">IF(A1207="","",IF(AND(E1207&gt;=0,E1207&lt;=23),"OK","CHECK"))</f>
        <v>OK</v>
      </c>
      <c r="M1207" s="1" t="str">
        <f aca="false">IF(A1207="","",IF(AND(K1207="OK",L1207="OK"),"OK","CHECK"))</f>
        <v>OK</v>
      </c>
    </row>
    <row r="1208" customFormat="false" ht="18" hidden="false" customHeight="true" outlineLevel="0" collapsed="false">
      <c r="A1208" s="9" t="s">
        <v>26</v>
      </c>
      <c r="B1208" s="9" t="n">
        <v>23</v>
      </c>
      <c r="C1208" s="11" t="n">
        <v>45962</v>
      </c>
      <c r="D1208" s="9" t="s">
        <v>117</v>
      </c>
      <c r="E1208" s="12" t="n">
        <v>23</v>
      </c>
      <c r="F1208" s="9" t="s">
        <v>31</v>
      </c>
      <c r="G1208" s="13" t="n">
        <v>50</v>
      </c>
      <c r="H1208" s="9" t="s">
        <v>34</v>
      </c>
      <c r="I1208" s="13" t="n">
        <v>0</v>
      </c>
      <c r="J1208" s="1" t="str">
        <f aca="false">IF(A1208="","", "SAMP-"&amp;A1208&amp;"-L"&amp;TEXT(B1208,"00")&amp;"-"&amp;TEXT(C1208,"yyyymmdd")&amp;"-"&amp;D1208&amp;"-H"&amp;TEXT(E1208,"00")&amp;"-"&amp;H1208)</f>
        <v>SAMP-KG01-L23-20251101-ORD-2025-00228-H23-Thin Wall</v>
      </c>
      <c r="K1208" s="1" t="str">
        <f aca="false">IF(A1208="","",IF(AND(G1208&gt;=0,I1208&gt;=0,I1208&lt;=G1208),"OK","CHECK"))</f>
        <v>OK</v>
      </c>
      <c r="L1208" s="1" t="str">
        <f aca="false">IF(A1208="","",IF(AND(E1208&gt;=0,E1208&lt;=23),"OK","CHECK"))</f>
        <v>OK</v>
      </c>
      <c r="M1208" s="1" t="str">
        <f aca="false">IF(A1208="","",IF(AND(K1208="OK",L1208="OK"),"OK","CHECK"))</f>
        <v>OK</v>
      </c>
    </row>
    <row r="1209" customFormat="false" ht="18" hidden="false" customHeight="true" outlineLevel="0" collapsed="false">
      <c r="A1209" s="9" t="s">
        <v>26</v>
      </c>
      <c r="B1209" s="9" t="n">
        <v>23</v>
      </c>
      <c r="C1209" s="11" t="n">
        <v>45962</v>
      </c>
      <c r="D1209" s="9" t="s">
        <v>117</v>
      </c>
      <c r="E1209" s="12" t="n">
        <v>20</v>
      </c>
      <c r="F1209" s="9" t="s">
        <v>31</v>
      </c>
      <c r="G1209" s="13" t="n">
        <v>100</v>
      </c>
      <c r="H1209" s="9" t="s">
        <v>29</v>
      </c>
      <c r="I1209" s="13" t="n">
        <v>0</v>
      </c>
      <c r="J1209" s="1" t="str">
        <f aca="false">IF(A1209="","", "SAMP-"&amp;A1209&amp;"-L"&amp;TEXT(B1209,"00")&amp;"-"&amp;TEXT(C1209,"yyyymmdd")&amp;"-"&amp;D1209&amp;"-H"&amp;TEXT(E1209,"00")&amp;"-"&amp;H1209)</f>
        <v>SAMP-KG01-L23-20251101-ORD-2025-00228-H20-Choke Neck</v>
      </c>
      <c r="K1209" s="1" t="str">
        <f aca="false">IF(A1209="","",IF(AND(G1209&gt;=0,I1209&gt;=0,I1209&lt;=G1209),"OK","CHECK"))</f>
        <v>OK</v>
      </c>
      <c r="L1209" s="1" t="str">
        <f aca="false">IF(A1209="","",IF(AND(E1209&gt;=0,E1209&lt;=23),"OK","CHECK"))</f>
        <v>OK</v>
      </c>
      <c r="M1209" s="1" t="str">
        <f aca="false">IF(A1209="","",IF(AND(K1209="OK",L1209="OK"),"OK","CHECK"))</f>
        <v>OK</v>
      </c>
    </row>
    <row r="1210" customFormat="false" ht="18" hidden="false" customHeight="true" outlineLevel="0" collapsed="false">
      <c r="A1210" s="9" t="s">
        <v>26</v>
      </c>
      <c r="B1210" s="9" t="n">
        <v>23</v>
      </c>
      <c r="C1210" s="11" t="n">
        <v>45963</v>
      </c>
      <c r="D1210" s="9" t="s">
        <v>117</v>
      </c>
      <c r="E1210" s="12" t="n">
        <v>7</v>
      </c>
      <c r="F1210" s="9" t="s">
        <v>28</v>
      </c>
      <c r="G1210" s="13" t="n">
        <v>200</v>
      </c>
      <c r="H1210" s="9" t="s">
        <v>33</v>
      </c>
      <c r="I1210" s="13" t="n">
        <v>5</v>
      </c>
      <c r="J1210" s="1" t="str">
        <f aca="false">IF(A1210="","", "SAMP-"&amp;A1210&amp;"-L"&amp;TEXT(B1210,"00")&amp;"-"&amp;TEXT(C1210,"yyyymmdd")&amp;"-"&amp;D1210&amp;"-H"&amp;TEXT(E1210,"00")&amp;"-"&amp;H1210)</f>
        <v>SAMP-KG01-L23-20251102-ORD-2025-00228-H07-Distortion</v>
      </c>
      <c r="K1210" s="1" t="str">
        <f aca="false">IF(A1210="","",IF(AND(G1210&gt;=0,I1210&gt;=0,I1210&lt;=G1210),"OK","CHECK"))</f>
        <v>OK</v>
      </c>
      <c r="L1210" s="1" t="str">
        <f aca="false">IF(A1210="","",IF(AND(E1210&gt;=0,E1210&lt;=23),"OK","CHECK"))</f>
        <v>OK</v>
      </c>
      <c r="M1210" s="1" t="str">
        <f aca="false">IF(A1210="","",IF(AND(K1210="OK",L1210="OK"),"OK","CHECK"))</f>
        <v>OK</v>
      </c>
    </row>
    <row r="1211" customFormat="false" ht="18" hidden="false" customHeight="true" outlineLevel="0" collapsed="false">
      <c r="A1211" s="9" t="s">
        <v>26</v>
      </c>
      <c r="B1211" s="9" t="n">
        <v>23</v>
      </c>
      <c r="C1211" s="11" t="n">
        <v>45963</v>
      </c>
      <c r="D1211" s="9" t="s">
        <v>117</v>
      </c>
      <c r="E1211" s="12" t="n">
        <v>9</v>
      </c>
      <c r="F1211" s="9" t="s">
        <v>28</v>
      </c>
      <c r="G1211" s="13" t="n">
        <v>50</v>
      </c>
      <c r="H1211" s="9" t="s">
        <v>29</v>
      </c>
      <c r="I1211" s="13" t="n">
        <v>1</v>
      </c>
      <c r="J1211" s="1" t="str">
        <f aca="false">IF(A1211="","", "SAMP-"&amp;A1211&amp;"-L"&amp;TEXT(B1211,"00")&amp;"-"&amp;TEXT(C1211,"yyyymmdd")&amp;"-"&amp;D1211&amp;"-H"&amp;TEXT(E1211,"00")&amp;"-"&amp;H1211)</f>
        <v>SAMP-KG01-L23-20251102-ORD-2025-00228-H09-Choke Neck</v>
      </c>
      <c r="K1211" s="1" t="str">
        <f aca="false">IF(A1211="","",IF(AND(G1211&gt;=0,I1211&gt;=0,I1211&lt;=G1211),"OK","CHECK"))</f>
        <v>OK</v>
      </c>
      <c r="L1211" s="1" t="str">
        <f aca="false">IF(A1211="","",IF(AND(E1211&gt;=0,E1211&lt;=23),"OK","CHECK"))</f>
        <v>OK</v>
      </c>
      <c r="M1211" s="1" t="str">
        <f aca="false">IF(A1211="","",IF(AND(K1211="OK",L1211="OK"),"OK","CHECK"))</f>
        <v>OK</v>
      </c>
    </row>
    <row r="1212" customFormat="false" ht="18" hidden="false" customHeight="true" outlineLevel="0" collapsed="false">
      <c r="A1212" s="9" t="s">
        <v>26</v>
      </c>
      <c r="B1212" s="9" t="n">
        <v>23</v>
      </c>
      <c r="C1212" s="11" t="n">
        <v>45963</v>
      </c>
      <c r="D1212" s="9" t="s">
        <v>117</v>
      </c>
      <c r="E1212" s="12" t="n">
        <v>12</v>
      </c>
      <c r="F1212" s="9" t="s">
        <v>28</v>
      </c>
      <c r="G1212" s="13" t="n">
        <v>150</v>
      </c>
      <c r="H1212" s="9" t="s">
        <v>29</v>
      </c>
      <c r="I1212" s="13" t="n">
        <v>5</v>
      </c>
      <c r="J1212" s="1" t="str">
        <f aca="false">IF(A1212="","", "SAMP-"&amp;A1212&amp;"-L"&amp;TEXT(B1212,"00")&amp;"-"&amp;TEXT(C1212,"yyyymmdd")&amp;"-"&amp;D1212&amp;"-H"&amp;TEXT(E1212,"00")&amp;"-"&amp;H1212)</f>
        <v>SAMP-KG01-L23-20251102-ORD-2025-00228-H12-Choke Neck</v>
      </c>
      <c r="K1212" s="1" t="str">
        <f aca="false">IF(A1212="","",IF(AND(G1212&gt;=0,I1212&gt;=0,I1212&lt;=G1212),"OK","CHECK"))</f>
        <v>OK</v>
      </c>
      <c r="L1212" s="1" t="str">
        <f aca="false">IF(A1212="","",IF(AND(E1212&gt;=0,E1212&lt;=23),"OK","CHECK"))</f>
        <v>OK</v>
      </c>
      <c r="M1212" s="1" t="str">
        <f aca="false">IF(A1212="","",IF(AND(K1212="OK",L1212="OK"),"OK","CHECK"))</f>
        <v>OK</v>
      </c>
    </row>
    <row r="1213" customFormat="false" ht="18" hidden="false" customHeight="true" outlineLevel="0" collapsed="false">
      <c r="A1213" s="9" t="s">
        <v>26</v>
      </c>
      <c r="B1213" s="9" t="n">
        <v>23</v>
      </c>
      <c r="C1213" s="11" t="n">
        <v>45963</v>
      </c>
      <c r="D1213" s="9" t="s">
        <v>117</v>
      </c>
      <c r="E1213" s="12" t="n">
        <v>23</v>
      </c>
      <c r="F1213" s="9" t="s">
        <v>31</v>
      </c>
      <c r="G1213" s="13" t="n">
        <v>150</v>
      </c>
      <c r="H1213" s="9" t="s">
        <v>34</v>
      </c>
      <c r="I1213" s="13" t="n">
        <v>3</v>
      </c>
      <c r="J1213" s="1" t="str">
        <f aca="false">IF(A1213="","", "SAMP-"&amp;A1213&amp;"-L"&amp;TEXT(B1213,"00")&amp;"-"&amp;TEXT(C1213,"yyyymmdd")&amp;"-"&amp;D1213&amp;"-H"&amp;TEXT(E1213,"00")&amp;"-"&amp;H1213)</f>
        <v>SAMP-KG01-L23-20251102-ORD-2025-00228-H23-Thin Wall</v>
      </c>
      <c r="K1213" s="1" t="str">
        <f aca="false">IF(A1213="","",IF(AND(G1213&gt;=0,I1213&gt;=0,I1213&lt;=G1213),"OK","CHECK"))</f>
        <v>OK</v>
      </c>
      <c r="L1213" s="1" t="str">
        <f aca="false">IF(A1213="","",IF(AND(E1213&gt;=0,E1213&lt;=23),"OK","CHECK"))</f>
        <v>OK</v>
      </c>
      <c r="M1213" s="1" t="str">
        <f aca="false">IF(A1213="","",IF(AND(K1213="OK",L1213="OK"),"OK","CHECK"))</f>
        <v>OK</v>
      </c>
    </row>
    <row r="1214" customFormat="false" ht="18" hidden="false" customHeight="true" outlineLevel="0" collapsed="false">
      <c r="A1214" s="9" t="s">
        <v>26</v>
      </c>
      <c r="B1214" s="9" t="n">
        <v>23</v>
      </c>
      <c r="C1214" s="11" t="n">
        <v>45963</v>
      </c>
      <c r="D1214" s="9" t="s">
        <v>117</v>
      </c>
      <c r="E1214" s="12" t="n">
        <v>16</v>
      </c>
      <c r="F1214" s="9" t="s">
        <v>31</v>
      </c>
      <c r="G1214" s="13" t="n">
        <v>150</v>
      </c>
      <c r="H1214" s="9" t="s">
        <v>35</v>
      </c>
      <c r="I1214" s="13" t="n">
        <v>2</v>
      </c>
      <c r="J1214" s="1" t="str">
        <f aca="false">IF(A1214="","", "SAMP-"&amp;A1214&amp;"-L"&amp;TEXT(B1214,"00")&amp;"-"&amp;TEXT(C1214,"yyyymmdd")&amp;"-"&amp;D1214&amp;"-H"&amp;TEXT(E1214,"00")&amp;"-"&amp;H1214)</f>
        <v>SAMP-KG01-L23-20251102-ORD-2025-00228-H16-Stone</v>
      </c>
      <c r="K1214" s="1" t="str">
        <f aca="false">IF(A1214="","",IF(AND(G1214&gt;=0,I1214&gt;=0,I1214&lt;=G1214),"OK","CHECK"))</f>
        <v>OK</v>
      </c>
      <c r="L1214" s="1" t="str">
        <f aca="false">IF(A1214="","",IF(AND(E1214&gt;=0,E1214&lt;=23),"OK","CHECK"))</f>
        <v>OK</v>
      </c>
      <c r="M1214" s="1" t="str">
        <f aca="false">IF(A1214="","",IF(AND(K1214="OK",L1214="OK"),"OK","CHECK"))</f>
        <v>OK</v>
      </c>
    </row>
    <row r="1215" customFormat="false" ht="18" hidden="false" customHeight="true" outlineLevel="0" collapsed="false">
      <c r="A1215" s="9" t="s">
        <v>26</v>
      </c>
      <c r="B1215" s="9" t="n">
        <v>23</v>
      </c>
      <c r="C1215" s="11" t="n">
        <v>45964</v>
      </c>
      <c r="D1215" s="9" t="s">
        <v>117</v>
      </c>
      <c r="E1215" s="12" t="n">
        <v>7</v>
      </c>
      <c r="F1215" s="9" t="s">
        <v>28</v>
      </c>
      <c r="G1215" s="13" t="n">
        <v>50</v>
      </c>
      <c r="H1215" s="9" t="s">
        <v>34</v>
      </c>
      <c r="I1215" s="13" t="n">
        <v>0</v>
      </c>
      <c r="J1215" s="1" t="str">
        <f aca="false">IF(A1215="","", "SAMP-"&amp;A1215&amp;"-L"&amp;TEXT(B1215,"00")&amp;"-"&amp;TEXT(C1215,"yyyymmdd")&amp;"-"&amp;D1215&amp;"-H"&amp;TEXT(E1215,"00")&amp;"-"&amp;H1215)</f>
        <v>SAMP-KG01-L23-20251103-ORD-2025-00228-H07-Thin Wall</v>
      </c>
      <c r="K1215" s="1" t="str">
        <f aca="false">IF(A1215="","",IF(AND(G1215&gt;=0,I1215&gt;=0,I1215&lt;=G1215),"OK","CHECK"))</f>
        <v>OK</v>
      </c>
      <c r="L1215" s="1" t="str">
        <f aca="false">IF(A1215="","",IF(AND(E1215&gt;=0,E1215&lt;=23),"OK","CHECK"))</f>
        <v>OK</v>
      </c>
      <c r="M1215" s="1" t="str">
        <f aca="false">IF(A1215="","",IF(AND(K1215="OK",L1215="OK"),"OK","CHECK"))</f>
        <v>OK</v>
      </c>
    </row>
    <row r="1216" customFormat="false" ht="18" hidden="false" customHeight="true" outlineLevel="0" collapsed="false">
      <c r="A1216" s="9" t="s">
        <v>26</v>
      </c>
      <c r="B1216" s="9" t="n">
        <v>23</v>
      </c>
      <c r="C1216" s="11" t="n">
        <v>45964</v>
      </c>
      <c r="D1216" s="9" t="s">
        <v>117</v>
      </c>
      <c r="E1216" s="12" t="n">
        <v>12</v>
      </c>
      <c r="F1216" s="9" t="s">
        <v>28</v>
      </c>
      <c r="G1216" s="13" t="n">
        <v>200</v>
      </c>
      <c r="H1216" s="9" t="s">
        <v>38</v>
      </c>
      <c r="I1216" s="13" t="n">
        <v>4</v>
      </c>
      <c r="J1216" s="1" t="str">
        <f aca="false">IF(A1216="","", "SAMP-"&amp;A1216&amp;"-L"&amp;TEXT(B1216,"00")&amp;"-"&amp;TEXT(C1216,"yyyymmdd")&amp;"-"&amp;D1216&amp;"-H"&amp;TEXT(E1216,"00")&amp;"-"&amp;H1216)</f>
        <v>SAMP-KG01-L23-20251103-ORD-2025-00228-H12-Crack</v>
      </c>
      <c r="K1216" s="1" t="str">
        <f aca="false">IF(A1216="","",IF(AND(G1216&gt;=0,I1216&gt;=0,I1216&lt;=G1216),"OK","CHECK"))</f>
        <v>OK</v>
      </c>
      <c r="L1216" s="1" t="str">
        <f aca="false">IF(A1216="","",IF(AND(E1216&gt;=0,E1216&lt;=23),"OK","CHECK"))</f>
        <v>OK</v>
      </c>
      <c r="M1216" s="1" t="str">
        <f aca="false">IF(A1216="","",IF(AND(K1216="OK",L1216="OK"),"OK","CHECK"))</f>
        <v>OK</v>
      </c>
    </row>
    <row r="1217" customFormat="false" ht="18" hidden="false" customHeight="true" outlineLevel="0" collapsed="false">
      <c r="A1217" s="9" t="s">
        <v>26</v>
      </c>
      <c r="B1217" s="9" t="n">
        <v>23</v>
      </c>
      <c r="C1217" s="11" t="n">
        <v>45964</v>
      </c>
      <c r="D1217" s="9" t="s">
        <v>117</v>
      </c>
      <c r="E1217" s="12" t="n">
        <v>9</v>
      </c>
      <c r="F1217" s="9" t="s">
        <v>28</v>
      </c>
      <c r="G1217" s="13" t="n">
        <v>100</v>
      </c>
      <c r="H1217" s="9" t="s">
        <v>38</v>
      </c>
      <c r="I1217" s="13" t="n">
        <v>2</v>
      </c>
      <c r="J1217" s="1" t="str">
        <f aca="false">IF(A1217="","", "SAMP-"&amp;A1217&amp;"-L"&amp;TEXT(B1217,"00")&amp;"-"&amp;TEXT(C1217,"yyyymmdd")&amp;"-"&amp;D1217&amp;"-H"&amp;TEXT(E1217,"00")&amp;"-"&amp;H1217)</f>
        <v>SAMP-KG01-L23-20251103-ORD-2025-00228-H09-Crack</v>
      </c>
      <c r="K1217" s="1" t="str">
        <f aca="false">IF(A1217="","",IF(AND(G1217&gt;=0,I1217&gt;=0,I1217&lt;=G1217),"OK","CHECK"))</f>
        <v>OK</v>
      </c>
      <c r="L1217" s="1" t="str">
        <f aca="false">IF(A1217="","",IF(AND(E1217&gt;=0,E1217&lt;=23),"OK","CHECK"))</f>
        <v>OK</v>
      </c>
      <c r="M1217" s="1" t="str">
        <f aca="false">IF(A1217="","",IF(AND(K1217="OK",L1217="OK"),"OK","CHECK"))</f>
        <v>OK</v>
      </c>
    </row>
    <row r="1218" customFormat="false" ht="18" hidden="false" customHeight="true" outlineLevel="0" collapsed="false">
      <c r="A1218" s="9" t="s">
        <v>26</v>
      </c>
      <c r="B1218" s="9" t="n">
        <v>23</v>
      </c>
      <c r="C1218" s="11" t="n">
        <v>45964</v>
      </c>
      <c r="D1218" s="9" t="s">
        <v>117</v>
      </c>
      <c r="E1218" s="12" t="n">
        <v>20</v>
      </c>
      <c r="F1218" s="9" t="s">
        <v>31</v>
      </c>
      <c r="G1218" s="13" t="n">
        <v>150</v>
      </c>
      <c r="H1218" s="9" t="s">
        <v>38</v>
      </c>
      <c r="I1218" s="13" t="n">
        <v>5</v>
      </c>
      <c r="J1218" s="1" t="str">
        <f aca="false">IF(A1218="","", "SAMP-"&amp;A1218&amp;"-L"&amp;TEXT(B1218,"00")&amp;"-"&amp;TEXT(C1218,"yyyymmdd")&amp;"-"&amp;D1218&amp;"-H"&amp;TEXT(E1218,"00")&amp;"-"&amp;H1218)</f>
        <v>SAMP-KG01-L23-20251103-ORD-2025-00228-H20-Crack</v>
      </c>
      <c r="K1218" s="1" t="str">
        <f aca="false">IF(A1218="","",IF(AND(G1218&gt;=0,I1218&gt;=0,I1218&lt;=G1218),"OK","CHECK"))</f>
        <v>OK</v>
      </c>
      <c r="L1218" s="1" t="str">
        <f aca="false">IF(A1218="","",IF(AND(E1218&gt;=0,E1218&lt;=23),"OK","CHECK"))</f>
        <v>OK</v>
      </c>
      <c r="M1218" s="1" t="str">
        <f aca="false">IF(A1218="","",IF(AND(K1218="OK",L1218="OK"),"OK","CHECK"))</f>
        <v>OK</v>
      </c>
    </row>
    <row r="1219" customFormat="false" ht="18" hidden="false" customHeight="true" outlineLevel="0" collapsed="false">
      <c r="A1219" s="9" t="s">
        <v>26</v>
      </c>
      <c r="B1219" s="9" t="n">
        <v>23</v>
      </c>
      <c r="C1219" s="11" t="n">
        <v>45964</v>
      </c>
      <c r="D1219" s="9" t="s">
        <v>117</v>
      </c>
      <c r="E1219" s="12" t="n">
        <v>23</v>
      </c>
      <c r="F1219" s="9" t="s">
        <v>31</v>
      </c>
      <c r="G1219" s="13" t="n">
        <v>100</v>
      </c>
      <c r="H1219" s="9" t="s">
        <v>36</v>
      </c>
      <c r="I1219" s="13" t="n">
        <v>2</v>
      </c>
      <c r="J1219" s="1" t="str">
        <f aca="false">IF(A1219="","", "SAMP-"&amp;A1219&amp;"-L"&amp;TEXT(B1219,"00")&amp;"-"&amp;TEXT(C1219,"yyyymmdd")&amp;"-"&amp;D1219&amp;"-H"&amp;TEXT(E1219,"00")&amp;"-"&amp;H1219)</f>
        <v>SAMP-KG01-L23-20251103-ORD-2025-00228-H23-Blister</v>
      </c>
      <c r="K1219" s="1" t="str">
        <f aca="false">IF(A1219="","",IF(AND(G1219&gt;=0,I1219&gt;=0,I1219&lt;=G1219),"OK","CHECK"))</f>
        <v>OK</v>
      </c>
      <c r="L1219" s="1" t="str">
        <f aca="false">IF(A1219="","",IF(AND(E1219&gt;=0,E1219&lt;=23),"OK","CHECK"))</f>
        <v>OK</v>
      </c>
      <c r="M1219" s="1" t="str">
        <f aca="false">IF(A1219="","",IF(AND(K1219="OK",L1219="OK"),"OK","CHECK"))</f>
        <v>OK</v>
      </c>
    </row>
    <row r="1220" customFormat="false" ht="18" hidden="false" customHeight="true" outlineLevel="0" collapsed="false">
      <c r="A1220" s="9" t="s">
        <v>26</v>
      </c>
      <c r="B1220" s="9" t="n">
        <v>23</v>
      </c>
      <c r="C1220" s="11" t="n">
        <v>45964</v>
      </c>
      <c r="D1220" s="9" t="s">
        <v>117</v>
      </c>
      <c r="E1220" s="12" t="n">
        <v>16</v>
      </c>
      <c r="F1220" s="9" t="s">
        <v>31</v>
      </c>
      <c r="G1220" s="13" t="n">
        <v>50</v>
      </c>
      <c r="H1220" s="9" t="s">
        <v>29</v>
      </c>
      <c r="I1220" s="13" t="n">
        <v>2</v>
      </c>
      <c r="J1220" s="1" t="str">
        <f aca="false">IF(A1220="","", "SAMP-"&amp;A1220&amp;"-L"&amp;TEXT(B1220,"00")&amp;"-"&amp;TEXT(C1220,"yyyymmdd")&amp;"-"&amp;D1220&amp;"-H"&amp;TEXT(E1220,"00")&amp;"-"&amp;H1220)</f>
        <v>SAMP-KG01-L23-20251103-ORD-2025-00228-H16-Choke Neck</v>
      </c>
      <c r="K1220" s="1" t="str">
        <f aca="false">IF(A1220="","",IF(AND(G1220&gt;=0,I1220&gt;=0,I1220&lt;=G1220),"OK","CHECK"))</f>
        <v>OK</v>
      </c>
      <c r="L1220" s="1" t="str">
        <f aca="false">IF(A1220="","",IF(AND(E1220&gt;=0,E1220&lt;=23),"OK","CHECK"))</f>
        <v>OK</v>
      </c>
      <c r="M1220" s="1" t="str">
        <f aca="false">IF(A1220="","",IF(AND(K1220="OK",L1220="OK"),"OK","CHECK"))</f>
        <v>OK</v>
      </c>
    </row>
    <row r="1221" customFormat="false" ht="18" hidden="false" customHeight="true" outlineLevel="0" collapsed="false">
      <c r="A1221" s="9" t="s">
        <v>26</v>
      </c>
      <c r="B1221" s="9" t="n">
        <v>23</v>
      </c>
      <c r="C1221" s="11" t="n">
        <v>45965</v>
      </c>
      <c r="D1221" s="9" t="s">
        <v>117</v>
      </c>
      <c r="E1221" s="12" t="n">
        <v>9</v>
      </c>
      <c r="F1221" s="9" t="s">
        <v>28</v>
      </c>
      <c r="G1221" s="13" t="n">
        <v>100</v>
      </c>
      <c r="H1221" s="9" t="s">
        <v>29</v>
      </c>
      <c r="I1221" s="13" t="n">
        <v>2</v>
      </c>
      <c r="J1221" s="1" t="str">
        <f aca="false">IF(A1221="","", "SAMP-"&amp;A1221&amp;"-L"&amp;TEXT(B1221,"00")&amp;"-"&amp;TEXT(C1221,"yyyymmdd")&amp;"-"&amp;D1221&amp;"-H"&amp;TEXT(E1221,"00")&amp;"-"&amp;H1221)</f>
        <v>SAMP-KG01-L23-20251104-ORD-2025-00228-H09-Choke Neck</v>
      </c>
      <c r="K1221" s="1" t="str">
        <f aca="false">IF(A1221="","",IF(AND(G1221&gt;=0,I1221&gt;=0,I1221&lt;=G1221),"OK","CHECK"))</f>
        <v>OK</v>
      </c>
      <c r="L1221" s="1" t="str">
        <f aca="false">IF(A1221="","",IF(AND(E1221&gt;=0,E1221&lt;=23),"OK","CHECK"))</f>
        <v>OK</v>
      </c>
      <c r="M1221" s="1" t="str">
        <f aca="false">IF(A1221="","",IF(AND(K1221="OK",L1221="OK"),"OK","CHECK"))</f>
        <v>OK</v>
      </c>
    </row>
    <row r="1222" customFormat="false" ht="18" hidden="false" customHeight="true" outlineLevel="0" collapsed="false">
      <c r="A1222" s="9" t="s">
        <v>26</v>
      </c>
      <c r="B1222" s="9" t="n">
        <v>23</v>
      </c>
      <c r="C1222" s="11" t="n">
        <v>45965</v>
      </c>
      <c r="D1222" s="9" t="s">
        <v>117</v>
      </c>
      <c r="E1222" s="12" t="n">
        <v>7</v>
      </c>
      <c r="F1222" s="9" t="s">
        <v>28</v>
      </c>
      <c r="G1222" s="13" t="n">
        <v>150</v>
      </c>
      <c r="H1222" s="9" t="s">
        <v>29</v>
      </c>
      <c r="I1222" s="13" t="n">
        <v>0</v>
      </c>
      <c r="J1222" s="1" t="str">
        <f aca="false">IF(A1222="","", "SAMP-"&amp;A1222&amp;"-L"&amp;TEXT(B1222,"00")&amp;"-"&amp;TEXT(C1222,"yyyymmdd")&amp;"-"&amp;D1222&amp;"-H"&amp;TEXT(E1222,"00")&amp;"-"&amp;H1222)</f>
        <v>SAMP-KG01-L23-20251104-ORD-2025-00228-H07-Choke Neck</v>
      </c>
      <c r="K1222" s="1" t="str">
        <f aca="false">IF(A1222="","",IF(AND(G1222&gt;=0,I1222&gt;=0,I1222&lt;=G1222),"OK","CHECK"))</f>
        <v>OK</v>
      </c>
      <c r="L1222" s="1" t="str">
        <f aca="false">IF(A1222="","",IF(AND(E1222&gt;=0,E1222&lt;=23),"OK","CHECK"))</f>
        <v>OK</v>
      </c>
      <c r="M1222" s="1" t="str">
        <f aca="false">IF(A1222="","",IF(AND(K1222="OK",L1222="OK"),"OK","CHECK"))</f>
        <v>OK</v>
      </c>
    </row>
    <row r="1223" customFormat="false" ht="18" hidden="false" customHeight="true" outlineLevel="0" collapsed="false">
      <c r="A1223" s="9" t="s">
        <v>26</v>
      </c>
      <c r="B1223" s="9" t="n">
        <v>23</v>
      </c>
      <c r="C1223" s="11" t="n">
        <v>45965</v>
      </c>
      <c r="D1223" s="9" t="s">
        <v>117</v>
      </c>
      <c r="E1223" s="12" t="n">
        <v>12</v>
      </c>
      <c r="F1223" s="9" t="s">
        <v>28</v>
      </c>
      <c r="G1223" s="13" t="n">
        <v>150</v>
      </c>
      <c r="H1223" s="9" t="s">
        <v>38</v>
      </c>
      <c r="I1223" s="13" t="n">
        <v>2</v>
      </c>
      <c r="J1223" s="1" t="str">
        <f aca="false">IF(A1223="","", "SAMP-"&amp;A1223&amp;"-L"&amp;TEXT(B1223,"00")&amp;"-"&amp;TEXT(C1223,"yyyymmdd")&amp;"-"&amp;D1223&amp;"-H"&amp;TEXT(E1223,"00")&amp;"-"&amp;H1223)</f>
        <v>SAMP-KG01-L23-20251104-ORD-2025-00228-H12-Crack</v>
      </c>
      <c r="K1223" s="1" t="str">
        <f aca="false">IF(A1223="","",IF(AND(G1223&gt;=0,I1223&gt;=0,I1223&lt;=G1223),"OK","CHECK"))</f>
        <v>OK</v>
      </c>
      <c r="L1223" s="1" t="str">
        <f aca="false">IF(A1223="","",IF(AND(E1223&gt;=0,E1223&lt;=23),"OK","CHECK"))</f>
        <v>OK</v>
      </c>
      <c r="M1223" s="1" t="str">
        <f aca="false">IF(A1223="","",IF(AND(K1223="OK",L1223="OK"),"OK","CHECK"))</f>
        <v>OK</v>
      </c>
    </row>
    <row r="1224" customFormat="false" ht="18" hidden="false" customHeight="true" outlineLevel="0" collapsed="false">
      <c r="A1224" s="9" t="s">
        <v>26</v>
      </c>
      <c r="B1224" s="9" t="n">
        <v>23</v>
      </c>
      <c r="C1224" s="11" t="n">
        <v>45965</v>
      </c>
      <c r="D1224" s="9" t="s">
        <v>117</v>
      </c>
      <c r="E1224" s="12" t="n">
        <v>23</v>
      </c>
      <c r="F1224" s="9" t="s">
        <v>31</v>
      </c>
      <c r="G1224" s="13" t="n">
        <v>200</v>
      </c>
      <c r="H1224" s="9" t="s">
        <v>37</v>
      </c>
      <c r="I1224" s="13" t="n">
        <v>7</v>
      </c>
      <c r="J1224" s="1" t="str">
        <f aca="false">IF(A1224="","", "SAMP-"&amp;A1224&amp;"-L"&amp;TEXT(B1224,"00")&amp;"-"&amp;TEXT(C1224,"yyyymmdd")&amp;"-"&amp;D1224&amp;"-H"&amp;TEXT(E1224,"00")&amp;"-"&amp;H1224)</f>
        <v>SAMP-KG01-L23-20251104-ORD-2025-00228-H23-Bird Swing</v>
      </c>
      <c r="K1224" s="1" t="str">
        <f aca="false">IF(A1224="","",IF(AND(G1224&gt;=0,I1224&gt;=0,I1224&lt;=G1224),"OK","CHECK"))</f>
        <v>OK</v>
      </c>
      <c r="L1224" s="1" t="str">
        <f aca="false">IF(A1224="","",IF(AND(E1224&gt;=0,E1224&lt;=23),"OK","CHECK"))</f>
        <v>OK</v>
      </c>
      <c r="M1224" s="1" t="str">
        <f aca="false">IF(A1224="","",IF(AND(K1224="OK",L1224="OK"),"OK","CHECK"))</f>
        <v>OK</v>
      </c>
    </row>
    <row r="1225" customFormat="false" ht="18" hidden="false" customHeight="true" outlineLevel="0" collapsed="false">
      <c r="A1225" s="9" t="s">
        <v>26</v>
      </c>
      <c r="B1225" s="9" t="n">
        <v>23</v>
      </c>
      <c r="C1225" s="11" t="n">
        <v>45965</v>
      </c>
      <c r="D1225" s="9" t="s">
        <v>117</v>
      </c>
      <c r="E1225" s="12" t="n">
        <v>16</v>
      </c>
      <c r="F1225" s="9" t="s">
        <v>31</v>
      </c>
      <c r="G1225" s="13" t="n">
        <v>50</v>
      </c>
      <c r="H1225" s="9" t="s">
        <v>30</v>
      </c>
      <c r="I1225" s="13" t="n">
        <v>2</v>
      </c>
      <c r="J1225" s="1" t="str">
        <f aca="false">IF(A1225="","", "SAMP-"&amp;A1225&amp;"-L"&amp;TEXT(B1225,"00")&amp;"-"&amp;TEXT(C1225,"yyyymmdd")&amp;"-"&amp;D1225&amp;"-H"&amp;TEXT(E1225,"00")&amp;"-"&amp;H1225)</f>
        <v>SAMP-KG01-L23-20251104-ORD-2025-00228-H16-Overpress</v>
      </c>
      <c r="K1225" s="1" t="str">
        <f aca="false">IF(A1225="","",IF(AND(G1225&gt;=0,I1225&gt;=0,I1225&lt;=G1225),"OK","CHECK"))</f>
        <v>OK</v>
      </c>
      <c r="L1225" s="1" t="str">
        <f aca="false">IF(A1225="","",IF(AND(E1225&gt;=0,E1225&lt;=23),"OK","CHECK"))</f>
        <v>OK</v>
      </c>
      <c r="M1225" s="1" t="str">
        <f aca="false">IF(A1225="","",IF(AND(K1225="OK",L1225="OK"),"OK","CHECK"))</f>
        <v>OK</v>
      </c>
    </row>
    <row r="1226" customFormat="false" ht="18" hidden="false" customHeight="true" outlineLevel="0" collapsed="false">
      <c r="A1226" s="9" t="s">
        <v>26</v>
      </c>
      <c r="B1226" s="9" t="n">
        <v>23</v>
      </c>
      <c r="C1226" s="11" t="n">
        <v>45965</v>
      </c>
      <c r="D1226" s="9" t="s">
        <v>117</v>
      </c>
      <c r="E1226" s="12" t="n">
        <v>20</v>
      </c>
      <c r="F1226" s="9" t="s">
        <v>31</v>
      </c>
      <c r="G1226" s="13" t="n">
        <v>150</v>
      </c>
      <c r="H1226" s="9" t="s">
        <v>30</v>
      </c>
      <c r="I1226" s="13" t="n">
        <v>3</v>
      </c>
      <c r="J1226" s="1" t="str">
        <f aca="false">IF(A1226="","", "SAMP-"&amp;A1226&amp;"-L"&amp;TEXT(B1226,"00")&amp;"-"&amp;TEXT(C1226,"yyyymmdd")&amp;"-"&amp;D1226&amp;"-H"&amp;TEXT(E1226,"00")&amp;"-"&amp;H1226)</f>
        <v>SAMP-KG01-L23-20251104-ORD-2025-00228-H20-Overpress</v>
      </c>
      <c r="K1226" s="1" t="str">
        <f aca="false">IF(A1226="","",IF(AND(G1226&gt;=0,I1226&gt;=0,I1226&lt;=G1226),"OK","CHECK"))</f>
        <v>OK</v>
      </c>
      <c r="L1226" s="1" t="str">
        <f aca="false">IF(A1226="","",IF(AND(E1226&gt;=0,E1226&lt;=23),"OK","CHECK"))</f>
        <v>OK</v>
      </c>
      <c r="M1226" s="1" t="str">
        <f aca="false">IF(A1226="","",IF(AND(K1226="OK",L1226="OK"),"OK","CHECK"))</f>
        <v>OK</v>
      </c>
    </row>
    <row r="1227" customFormat="false" ht="18" hidden="false" customHeight="true" outlineLevel="0" collapsed="false">
      <c r="A1227" s="9" t="s">
        <v>26</v>
      </c>
      <c r="B1227" s="9" t="n">
        <v>23</v>
      </c>
      <c r="C1227" s="11" t="n">
        <v>45966</v>
      </c>
      <c r="D1227" s="9" t="s">
        <v>118</v>
      </c>
      <c r="E1227" s="12" t="n">
        <v>12</v>
      </c>
      <c r="F1227" s="9" t="s">
        <v>28</v>
      </c>
      <c r="G1227" s="13" t="n">
        <v>200</v>
      </c>
      <c r="H1227" s="9" t="s">
        <v>36</v>
      </c>
      <c r="I1227" s="13" t="n">
        <v>2</v>
      </c>
      <c r="J1227" s="1" t="str">
        <f aca="false">IF(A1227="","", "SAMP-"&amp;A1227&amp;"-L"&amp;TEXT(B1227,"00")&amp;"-"&amp;TEXT(C1227,"yyyymmdd")&amp;"-"&amp;D1227&amp;"-H"&amp;TEXT(E1227,"00")&amp;"-"&amp;H1227)</f>
        <v>SAMP-KG01-L23-20251105-ORD-2025-00229-H12-Blister</v>
      </c>
      <c r="K1227" s="1" t="str">
        <f aca="false">IF(A1227="","",IF(AND(G1227&gt;=0,I1227&gt;=0,I1227&lt;=G1227),"OK","CHECK"))</f>
        <v>OK</v>
      </c>
      <c r="L1227" s="1" t="str">
        <f aca="false">IF(A1227="","",IF(AND(E1227&gt;=0,E1227&lt;=23),"OK","CHECK"))</f>
        <v>OK</v>
      </c>
      <c r="M1227" s="1" t="str">
        <f aca="false">IF(A1227="","",IF(AND(K1227="OK",L1227="OK"),"OK","CHECK"))</f>
        <v>OK</v>
      </c>
    </row>
    <row r="1228" customFormat="false" ht="18" hidden="false" customHeight="true" outlineLevel="0" collapsed="false">
      <c r="A1228" s="9" t="s">
        <v>26</v>
      </c>
      <c r="B1228" s="9" t="n">
        <v>23</v>
      </c>
      <c r="C1228" s="11" t="n">
        <v>45966</v>
      </c>
      <c r="D1228" s="9" t="s">
        <v>118</v>
      </c>
      <c r="E1228" s="12" t="n">
        <v>7</v>
      </c>
      <c r="F1228" s="9" t="s">
        <v>28</v>
      </c>
      <c r="G1228" s="13" t="n">
        <v>100</v>
      </c>
      <c r="H1228" s="9" t="s">
        <v>38</v>
      </c>
      <c r="I1228" s="13" t="n">
        <v>4</v>
      </c>
      <c r="J1228" s="1" t="str">
        <f aca="false">IF(A1228="","", "SAMP-"&amp;A1228&amp;"-L"&amp;TEXT(B1228,"00")&amp;"-"&amp;TEXT(C1228,"yyyymmdd")&amp;"-"&amp;D1228&amp;"-H"&amp;TEXT(E1228,"00")&amp;"-"&amp;H1228)</f>
        <v>SAMP-KG01-L23-20251105-ORD-2025-00229-H07-Crack</v>
      </c>
      <c r="K1228" s="1" t="str">
        <f aca="false">IF(A1228="","",IF(AND(G1228&gt;=0,I1228&gt;=0,I1228&lt;=G1228),"OK","CHECK"))</f>
        <v>OK</v>
      </c>
      <c r="L1228" s="1" t="str">
        <f aca="false">IF(A1228="","",IF(AND(E1228&gt;=0,E1228&lt;=23),"OK","CHECK"))</f>
        <v>OK</v>
      </c>
      <c r="M1228" s="1" t="str">
        <f aca="false">IF(A1228="","",IF(AND(K1228="OK",L1228="OK"),"OK","CHECK"))</f>
        <v>OK</v>
      </c>
    </row>
    <row r="1229" customFormat="false" ht="18" hidden="false" customHeight="true" outlineLevel="0" collapsed="false">
      <c r="A1229" s="9" t="s">
        <v>26</v>
      </c>
      <c r="B1229" s="9" t="n">
        <v>23</v>
      </c>
      <c r="C1229" s="11" t="n">
        <v>45966</v>
      </c>
      <c r="D1229" s="9" t="s">
        <v>118</v>
      </c>
      <c r="E1229" s="12" t="n">
        <v>9</v>
      </c>
      <c r="F1229" s="9" t="s">
        <v>28</v>
      </c>
      <c r="G1229" s="13" t="n">
        <v>200</v>
      </c>
      <c r="H1229" s="9" t="s">
        <v>35</v>
      </c>
      <c r="I1229" s="13" t="n">
        <v>2</v>
      </c>
      <c r="J1229" s="1" t="str">
        <f aca="false">IF(A1229="","", "SAMP-"&amp;A1229&amp;"-L"&amp;TEXT(B1229,"00")&amp;"-"&amp;TEXT(C1229,"yyyymmdd")&amp;"-"&amp;D1229&amp;"-H"&amp;TEXT(E1229,"00")&amp;"-"&amp;H1229)</f>
        <v>SAMP-KG01-L23-20251105-ORD-2025-00229-H09-Stone</v>
      </c>
      <c r="K1229" s="1" t="str">
        <f aca="false">IF(A1229="","",IF(AND(G1229&gt;=0,I1229&gt;=0,I1229&lt;=G1229),"OK","CHECK"))</f>
        <v>OK</v>
      </c>
      <c r="L1229" s="1" t="str">
        <f aca="false">IF(A1229="","",IF(AND(E1229&gt;=0,E1229&lt;=23),"OK","CHECK"))</f>
        <v>OK</v>
      </c>
      <c r="M1229" s="1" t="str">
        <f aca="false">IF(A1229="","",IF(AND(K1229="OK",L1229="OK"),"OK","CHECK"))</f>
        <v>OK</v>
      </c>
    </row>
    <row r="1230" customFormat="false" ht="18" hidden="false" customHeight="true" outlineLevel="0" collapsed="false">
      <c r="A1230" s="9" t="s">
        <v>26</v>
      </c>
      <c r="B1230" s="9" t="n">
        <v>23</v>
      </c>
      <c r="C1230" s="11" t="n">
        <v>45966</v>
      </c>
      <c r="D1230" s="9" t="s">
        <v>118</v>
      </c>
      <c r="E1230" s="12" t="n">
        <v>16</v>
      </c>
      <c r="F1230" s="9" t="s">
        <v>31</v>
      </c>
      <c r="G1230" s="13" t="n">
        <v>200</v>
      </c>
      <c r="H1230" s="9" t="s">
        <v>38</v>
      </c>
      <c r="I1230" s="13" t="n">
        <v>0</v>
      </c>
      <c r="J1230" s="1" t="str">
        <f aca="false">IF(A1230="","", "SAMP-"&amp;A1230&amp;"-L"&amp;TEXT(B1230,"00")&amp;"-"&amp;TEXT(C1230,"yyyymmdd")&amp;"-"&amp;D1230&amp;"-H"&amp;TEXT(E1230,"00")&amp;"-"&amp;H1230)</f>
        <v>SAMP-KG01-L23-20251105-ORD-2025-00229-H16-Crack</v>
      </c>
      <c r="K1230" s="1" t="str">
        <f aca="false">IF(A1230="","",IF(AND(G1230&gt;=0,I1230&gt;=0,I1230&lt;=G1230),"OK","CHECK"))</f>
        <v>OK</v>
      </c>
      <c r="L1230" s="1" t="str">
        <f aca="false">IF(A1230="","",IF(AND(E1230&gt;=0,E1230&lt;=23),"OK","CHECK"))</f>
        <v>OK</v>
      </c>
      <c r="M1230" s="1" t="str">
        <f aca="false">IF(A1230="","",IF(AND(K1230="OK",L1230="OK"),"OK","CHECK"))</f>
        <v>OK</v>
      </c>
    </row>
    <row r="1231" customFormat="false" ht="18" hidden="false" customHeight="true" outlineLevel="0" collapsed="false">
      <c r="A1231" s="9" t="s">
        <v>26</v>
      </c>
      <c r="B1231" s="9" t="n">
        <v>23</v>
      </c>
      <c r="C1231" s="11" t="n">
        <v>45966</v>
      </c>
      <c r="D1231" s="9" t="s">
        <v>118</v>
      </c>
      <c r="E1231" s="12" t="n">
        <v>23</v>
      </c>
      <c r="F1231" s="9" t="s">
        <v>31</v>
      </c>
      <c r="G1231" s="13" t="n">
        <v>200</v>
      </c>
      <c r="H1231" s="9" t="s">
        <v>38</v>
      </c>
      <c r="I1231" s="13" t="n">
        <v>4</v>
      </c>
      <c r="J1231" s="1" t="str">
        <f aca="false">IF(A1231="","", "SAMP-"&amp;A1231&amp;"-L"&amp;TEXT(B1231,"00")&amp;"-"&amp;TEXT(C1231,"yyyymmdd")&amp;"-"&amp;D1231&amp;"-H"&amp;TEXT(E1231,"00")&amp;"-"&amp;H1231)</f>
        <v>SAMP-KG01-L23-20251105-ORD-2025-00229-H23-Crack</v>
      </c>
      <c r="K1231" s="1" t="str">
        <f aca="false">IF(A1231="","",IF(AND(G1231&gt;=0,I1231&gt;=0,I1231&lt;=G1231),"OK","CHECK"))</f>
        <v>OK</v>
      </c>
      <c r="L1231" s="1" t="str">
        <f aca="false">IF(A1231="","",IF(AND(E1231&gt;=0,E1231&lt;=23),"OK","CHECK"))</f>
        <v>OK</v>
      </c>
      <c r="M1231" s="1" t="str">
        <f aca="false">IF(A1231="","",IF(AND(K1231="OK",L1231="OK"),"OK","CHECK"))</f>
        <v>OK</v>
      </c>
    </row>
    <row r="1232" customFormat="false" ht="18" hidden="false" customHeight="true" outlineLevel="0" collapsed="false">
      <c r="A1232" s="9" t="s">
        <v>26</v>
      </c>
      <c r="B1232" s="9" t="n">
        <v>23</v>
      </c>
      <c r="C1232" s="11" t="n">
        <v>45966</v>
      </c>
      <c r="D1232" s="9" t="s">
        <v>118</v>
      </c>
      <c r="E1232" s="12" t="n">
        <v>20</v>
      </c>
      <c r="F1232" s="9" t="s">
        <v>31</v>
      </c>
      <c r="G1232" s="13" t="n">
        <v>100</v>
      </c>
      <c r="H1232" s="9" t="s">
        <v>38</v>
      </c>
      <c r="I1232" s="13" t="n">
        <v>4</v>
      </c>
      <c r="J1232" s="1" t="str">
        <f aca="false">IF(A1232="","", "SAMP-"&amp;A1232&amp;"-L"&amp;TEXT(B1232,"00")&amp;"-"&amp;TEXT(C1232,"yyyymmdd")&amp;"-"&amp;D1232&amp;"-H"&amp;TEXT(E1232,"00")&amp;"-"&amp;H1232)</f>
        <v>SAMP-KG01-L23-20251105-ORD-2025-00229-H20-Crack</v>
      </c>
      <c r="K1232" s="1" t="str">
        <f aca="false">IF(A1232="","",IF(AND(G1232&gt;=0,I1232&gt;=0,I1232&lt;=G1232),"OK","CHECK"))</f>
        <v>OK</v>
      </c>
      <c r="L1232" s="1" t="str">
        <f aca="false">IF(A1232="","",IF(AND(E1232&gt;=0,E1232&lt;=23),"OK","CHECK"))</f>
        <v>OK</v>
      </c>
      <c r="M1232" s="1" t="str">
        <f aca="false">IF(A1232="","",IF(AND(K1232="OK",L1232="OK"),"OK","CHECK"))</f>
        <v>OK</v>
      </c>
    </row>
    <row r="1233" customFormat="false" ht="18" hidden="false" customHeight="true" outlineLevel="0" collapsed="false">
      <c r="A1233" s="9" t="s">
        <v>26</v>
      </c>
      <c r="B1233" s="9" t="n">
        <v>23</v>
      </c>
      <c r="C1233" s="11" t="n">
        <v>45967</v>
      </c>
      <c r="D1233" s="9" t="s">
        <v>118</v>
      </c>
      <c r="E1233" s="12" t="n">
        <v>12</v>
      </c>
      <c r="F1233" s="9" t="s">
        <v>28</v>
      </c>
      <c r="G1233" s="13" t="n">
        <v>100</v>
      </c>
      <c r="H1233" s="9" t="s">
        <v>41</v>
      </c>
      <c r="I1233" s="13" t="n">
        <v>2</v>
      </c>
      <c r="J1233" s="1" t="str">
        <f aca="false">IF(A1233="","", "SAMP-"&amp;A1233&amp;"-L"&amp;TEXT(B1233,"00")&amp;"-"&amp;TEXT(C1233,"yyyymmdd")&amp;"-"&amp;D1233&amp;"-H"&amp;TEXT(E1233,"00")&amp;"-"&amp;H1233)</f>
        <v>SAMP-KG01-L23-20251106-ORD-2025-00229-H12-Chip</v>
      </c>
      <c r="K1233" s="1" t="str">
        <f aca="false">IF(A1233="","",IF(AND(G1233&gt;=0,I1233&gt;=0,I1233&lt;=G1233),"OK","CHECK"))</f>
        <v>OK</v>
      </c>
      <c r="L1233" s="1" t="str">
        <f aca="false">IF(A1233="","",IF(AND(E1233&gt;=0,E1233&lt;=23),"OK","CHECK"))</f>
        <v>OK</v>
      </c>
      <c r="M1233" s="1" t="str">
        <f aca="false">IF(A1233="","",IF(AND(K1233="OK",L1233="OK"),"OK","CHECK"))</f>
        <v>OK</v>
      </c>
    </row>
    <row r="1234" customFormat="false" ht="18" hidden="false" customHeight="true" outlineLevel="0" collapsed="false">
      <c r="A1234" s="9" t="s">
        <v>26</v>
      </c>
      <c r="B1234" s="9" t="n">
        <v>23</v>
      </c>
      <c r="C1234" s="11" t="n">
        <v>45967</v>
      </c>
      <c r="D1234" s="9" t="s">
        <v>118</v>
      </c>
      <c r="E1234" s="12" t="n">
        <v>9</v>
      </c>
      <c r="F1234" s="9" t="s">
        <v>28</v>
      </c>
      <c r="G1234" s="13" t="n">
        <v>50</v>
      </c>
      <c r="H1234" s="9" t="s">
        <v>33</v>
      </c>
      <c r="I1234" s="13" t="n">
        <v>0</v>
      </c>
      <c r="J1234" s="1" t="str">
        <f aca="false">IF(A1234="","", "SAMP-"&amp;A1234&amp;"-L"&amp;TEXT(B1234,"00")&amp;"-"&amp;TEXT(C1234,"yyyymmdd")&amp;"-"&amp;D1234&amp;"-H"&amp;TEXT(E1234,"00")&amp;"-"&amp;H1234)</f>
        <v>SAMP-KG01-L23-20251106-ORD-2025-00229-H09-Distortion</v>
      </c>
      <c r="K1234" s="1" t="str">
        <f aca="false">IF(A1234="","",IF(AND(G1234&gt;=0,I1234&gt;=0,I1234&lt;=G1234),"OK","CHECK"))</f>
        <v>OK</v>
      </c>
      <c r="L1234" s="1" t="str">
        <f aca="false">IF(A1234="","",IF(AND(E1234&gt;=0,E1234&lt;=23),"OK","CHECK"))</f>
        <v>OK</v>
      </c>
      <c r="M1234" s="1" t="str">
        <f aca="false">IF(A1234="","",IF(AND(K1234="OK",L1234="OK"),"OK","CHECK"))</f>
        <v>OK</v>
      </c>
    </row>
    <row r="1235" customFormat="false" ht="18" hidden="false" customHeight="true" outlineLevel="0" collapsed="false">
      <c r="A1235" s="9" t="s">
        <v>26</v>
      </c>
      <c r="B1235" s="9" t="n">
        <v>23</v>
      </c>
      <c r="C1235" s="11" t="n">
        <v>45967</v>
      </c>
      <c r="D1235" s="9" t="s">
        <v>118</v>
      </c>
      <c r="E1235" s="12" t="n">
        <v>20</v>
      </c>
      <c r="F1235" s="9" t="s">
        <v>31</v>
      </c>
      <c r="G1235" s="13" t="n">
        <v>150</v>
      </c>
      <c r="H1235" s="9" t="s">
        <v>29</v>
      </c>
      <c r="I1235" s="13" t="n">
        <v>0</v>
      </c>
      <c r="J1235" s="1" t="str">
        <f aca="false">IF(A1235="","", "SAMP-"&amp;A1235&amp;"-L"&amp;TEXT(B1235,"00")&amp;"-"&amp;TEXT(C1235,"yyyymmdd")&amp;"-"&amp;D1235&amp;"-H"&amp;TEXT(E1235,"00")&amp;"-"&amp;H1235)</f>
        <v>SAMP-KG01-L23-20251106-ORD-2025-00229-H20-Choke Neck</v>
      </c>
      <c r="K1235" s="1" t="str">
        <f aca="false">IF(A1235="","",IF(AND(G1235&gt;=0,I1235&gt;=0,I1235&lt;=G1235),"OK","CHECK"))</f>
        <v>OK</v>
      </c>
      <c r="L1235" s="1" t="str">
        <f aca="false">IF(A1235="","",IF(AND(E1235&gt;=0,E1235&lt;=23),"OK","CHECK"))</f>
        <v>OK</v>
      </c>
      <c r="M1235" s="1" t="str">
        <f aca="false">IF(A1235="","",IF(AND(K1235="OK",L1235="OK"),"OK","CHECK"))</f>
        <v>OK</v>
      </c>
    </row>
    <row r="1236" customFormat="false" ht="18" hidden="false" customHeight="true" outlineLevel="0" collapsed="false">
      <c r="A1236" s="9" t="s">
        <v>26</v>
      </c>
      <c r="B1236" s="9" t="n">
        <v>23</v>
      </c>
      <c r="C1236" s="11" t="n">
        <v>45967</v>
      </c>
      <c r="D1236" s="9" t="s">
        <v>118</v>
      </c>
      <c r="E1236" s="12" t="n">
        <v>16</v>
      </c>
      <c r="F1236" s="9" t="s">
        <v>31</v>
      </c>
      <c r="G1236" s="13" t="n">
        <v>150</v>
      </c>
      <c r="H1236" s="9" t="s">
        <v>29</v>
      </c>
      <c r="I1236" s="13" t="n">
        <v>3</v>
      </c>
      <c r="J1236" s="1" t="str">
        <f aca="false">IF(A1236="","", "SAMP-"&amp;A1236&amp;"-L"&amp;TEXT(B1236,"00")&amp;"-"&amp;TEXT(C1236,"yyyymmdd")&amp;"-"&amp;D1236&amp;"-H"&amp;TEXT(E1236,"00")&amp;"-"&amp;H1236)</f>
        <v>SAMP-KG01-L23-20251106-ORD-2025-00229-H16-Choke Neck</v>
      </c>
      <c r="K1236" s="1" t="str">
        <f aca="false">IF(A1236="","",IF(AND(G1236&gt;=0,I1236&gt;=0,I1236&lt;=G1236),"OK","CHECK"))</f>
        <v>OK</v>
      </c>
      <c r="L1236" s="1" t="str">
        <f aca="false">IF(A1236="","",IF(AND(E1236&gt;=0,E1236&lt;=23),"OK","CHECK"))</f>
        <v>OK</v>
      </c>
      <c r="M1236" s="1" t="str">
        <f aca="false">IF(A1236="","",IF(AND(K1236="OK",L1236="OK"),"OK","CHECK"))</f>
        <v>OK</v>
      </c>
    </row>
    <row r="1237" customFormat="false" ht="18" hidden="false" customHeight="true" outlineLevel="0" collapsed="false">
      <c r="A1237" s="9" t="s">
        <v>26</v>
      </c>
      <c r="B1237" s="9" t="n">
        <v>23</v>
      </c>
      <c r="C1237" s="11" t="n">
        <v>45967</v>
      </c>
      <c r="D1237" s="9" t="s">
        <v>118</v>
      </c>
      <c r="E1237" s="12" t="n">
        <v>23</v>
      </c>
      <c r="F1237" s="9" t="s">
        <v>31</v>
      </c>
      <c r="G1237" s="13" t="n">
        <v>100</v>
      </c>
      <c r="H1237" s="9" t="s">
        <v>30</v>
      </c>
      <c r="I1237" s="13" t="n">
        <v>2</v>
      </c>
      <c r="J1237" s="1" t="str">
        <f aca="false">IF(A1237="","", "SAMP-"&amp;A1237&amp;"-L"&amp;TEXT(B1237,"00")&amp;"-"&amp;TEXT(C1237,"yyyymmdd")&amp;"-"&amp;D1237&amp;"-H"&amp;TEXT(E1237,"00")&amp;"-"&amp;H1237)</f>
        <v>SAMP-KG01-L23-20251106-ORD-2025-00229-H23-Overpress</v>
      </c>
      <c r="K1237" s="1" t="str">
        <f aca="false">IF(A1237="","",IF(AND(G1237&gt;=0,I1237&gt;=0,I1237&lt;=G1237),"OK","CHECK"))</f>
        <v>OK</v>
      </c>
      <c r="L1237" s="1" t="str">
        <f aca="false">IF(A1237="","",IF(AND(E1237&gt;=0,E1237&lt;=23),"OK","CHECK"))</f>
        <v>OK</v>
      </c>
      <c r="M1237" s="1" t="str">
        <f aca="false">IF(A1237="","",IF(AND(K1237="OK",L1237="OK"),"OK","CHECK"))</f>
        <v>OK</v>
      </c>
    </row>
    <row r="1238" customFormat="false" ht="18" hidden="false" customHeight="true" outlineLevel="0" collapsed="false">
      <c r="A1238" s="9" t="s">
        <v>26</v>
      </c>
      <c r="B1238" s="9" t="n">
        <v>23</v>
      </c>
      <c r="C1238" s="11" t="n">
        <v>45968</v>
      </c>
      <c r="D1238" s="9" t="s">
        <v>118</v>
      </c>
      <c r="E1238" s="12" t="n">
        <v>7</v>
      </c>
      <c r="F1238" s="9" t="s">
        <v>28</v>
      </c>
      <c r="G1238" s="13" t="n">
        <v>200</v>
      </c>
      <c r="H1238" s="9" t="s">
        <v>38</v>
      </c>
      <c r="I1238" s="13" t="n">
        <v>3</v>
      </c>
      <c r="J1238" s="1" t="str">
        <f aca="false">IF(A1238="","", "SAMP-"&amp;A1238&amp;"-L"&amp;TEXT(B1238,"00")&amp;"-"&amp;TEXT(C1238,"yyyymmdd")&amp;"-"&amp;D1238&amp;"-H"&amp;TEXT(E1238,"00")&amp;"-"&amp;H1238)</f>
        <v>SAMP-KG01-L23-20251107-ORD-2025-00229-H07-Crack</v>
      </c>
      <c r="K1238" s="1" t="str">
        <f aca="false">IF(A1238="","",IF(AND(G1238&gt;=0,I1238&gt;=0,I1238&lt;=G1238),"OK","CHECK"))</f>
        <v>OK</v>
      </c>
      <c r="L1238" s="1" t="str">
        <f aca="false">IF(A1238="","",IF(AND(E1238&gt;=0,E1238&lt;=23),"OK","CHECK"))</f>
        <v>OK</v>
      </c>
      <c r="M1238" s="1" t="str">
        <f aca="false">IF(A1238="","",IF(AND(K1238="OK",L1238="OK"),"OK","CHECK"))</f>
        <v>OK</v>
      </c>
    </row>
    <row r="1239" customFormat="false" ht="18" hidden="false" customHeight="true" outlineLevel="0" collapsed="false">
      <c r="A1239" s="9" t="s">
        <v>26</v>
      </c>
      <c r="B1239" s="9" t="n">
        <v>23</v>
      </c>
      <c r="C1239" s="11" t="n">
        <v>45968</v>
      </c>
      <c r="D1239" s="9" t="s">
        <v>118</v>
      </c>
      <c r="E1239" s="12" t="n">
        <v>12</v>
      </c>
      <c r="F1239" s="9" t="s">
        <v>28</v>
      </c>
      <c r="G1239" s="13" t="n">
        <v>100</v>
      </c>
      <c r="H1239" s="9" t="s">
        <v>36</v>
      </c>
      <c r="I1239" s="13" t="n">
        <v>4</v>
      </c>
      <c r="J1239" s="1" t="str">
        <f aca="false">IF(A1239="","", "SAMP-"&amp;A1239&amp;"-L"&amp;TEXT(B1239,"00")&amp;"-"&amp;TEXT(C1239,"yyyymmdd")&amp;"-"&amp;D1239&amp;"-H"&amp;TEXT(E1239,"00")&amp;"-"&amp;H1239)</f>
        <v>SAMP-KG01-L23-20251107-ORD-2025-00229-H12-Blister</v>
      </c>
      <c r="K1239" s="1" t="str">
        <f aca="false">IF(A1239="","",IF(AND(G1239&gt;=0,I1239&gt;=0,I1239&lt;=G1239),"OK","CHECK"))</f>
        <v>OK</v>
      </c>
      <c r="L1239" s="1" t="str">
        <f aca="false">IF(A1239="","",IF(AND(E1239&gt;=0,E1239&lt;=23),"OK","CHECK"))</f>
        <v>OK</v>
      </c>
      <c r="M1239" s="1" t="str">
        <f aca="false">IF(A1239="","",IF(AND(K1239="OK",L1239="OK"),"OK","CHECK"))</f>
        <v>OK</v>
      </c>
    </row>
    <row r="1240" customFormat="false" ht="18" hidden="false" customHeight="true" outlineLevel="0" collapsed="false">
      <c r="A1240" s="9" t="s">
        <v>26</v>
      </c>
      <c r="B1240" s="9" t="n">
        <v>23</v>
      </c>
      <c r="C1240" s="11" t="n">
        <v>45968</v>
      </c>
      <c r="D1240" s="9" t="s">
        <v>118</v>
      </c>
      <c r="E1240" s="12" t="n">
        <v>9</v>
      </c>
      <c r="F1240" s="9" t="s">
        <v>28</v>
      </c>
      <c r="G1240" s="13" t="n">
        <v>50</v>
      </c>
      <c r="H1240" s="9" t="s">
        <v>37</v>
      </c>
      <c r="I1240" s="13" t="n">
        <v>1</v>
      </c>
      <c r="J1240" s="1" t="str">
        <f aca="false">IF(A1240="","", "SAMP-"&amp;A1240&amp;"-L"&amp;TEXT(B1240,"00")&amp;"-"&amp;TEXT(C1240,"yyyymmdd")&amp;"-"&amp;D1240&amp;"-H"&amp;TEXT(E1240,"00")&amp;"-"&amp;H1240)</f>
        <v>SAMP-KG01-L23-20251107-ORD-2025-00229-H09-Bird Swing</v>
      </c>
      <c r="K1240" s="1" t="str">
        <f aca="false">IF(A1240="","",IF(AND(G1240&gt;=0,I1240&gt;=0,I1240&lt;=G1240),"OK","CHECK"))</f>
        <v>OK</v>
      </c>
      <c r="L1240" s="1" t="str">
        <f aca="false">IF(A1240="","",IF(AND(E1240&gt;=0,E1240&lt;=23),"OK","CHECK"))</f>
        <v>OK</v>
      </c>
      <c r="M1240" s="1" t="str">
        <f aca="false">IF(A1240="","",IF(AND(K1240="OK",L1240="OK"),"OK","CHECK"))</f>
        <v>OK</v>
      </c>
    </row>
    <row r="1241" customFormat="false" ht="18" hidden="false" customHeight="true" outlineLevel="0" collapsed="false">
      <c r="A1241" s="9" t="s">
        <v>26</v>
      </c>
      <c r="B1241" s="9" t="n">
        <v>23</v>
      </c>
      <c r="C1241" s="11" t="n">
        <v>45968</v>
      </c>
      <c r="D1241" s="9" t="s">
        <v>118</v>
      </c>
      <c r="E1241" s="12" t="n">
        <v>20</v>
      </c>
      <c r="F1241" s="9" t="s">
        <v>31</v>
      </c>
      <c r="G1241" s="13" t="n">
        <v>150</v>
      </c>
      <c r="H1241" s="9" t="s">
        <v>37</v>
      </c>
      <c r="I1241" s="13" t="n">
        <v>8</v>
      </c>
      <c r="J1241" s="1" t="str">
        <f aca="false">IF(A1241="","", "SAMP-"&amp;A1241&amp;"-L"&amp;TEXT(B1241,"00")&amp;"-"&amp;TEXT(C1241,"yyyymmdd")&amp;"-"&amp;D1241&amp;"-H"&amp;TEXT(E1241,"00")&amp;"-"&amp;H1241)</f>
        <v>SAMP-KG01-L23-20251107-ORD-2025-00229-H20-Bird Swing</v>
      </c>
      <c r="K1241" s="1" t="str">
        <f aca="false">IF(A1241="","",IF(AND(G1241&gt;=0,I1241&gt;=0,I1241&lt;=G1241),"OK","CHECK"))</f>
        <v>OK</v>
      </c>
      <c r="L1241" s="1" t="str">
        <f aca="false">IF(A1241="","",IF(AND(E1241&gt;=0,E1241&lt;=23),"OK","CHECK"))</f>
        <v>OK</v>
      </c>
      <c r="M1241" s="1" t="str">
        <f aca="false">IF(A1241="","",IF(AND(K1241="OK",L1241="OK"),"OK","CHECK"))</f>
        <v>OK</v>
      </c>
    </row>
    <row r="1242" customFormat="false" ht="18" hidden="false" customHeight="true" outlineLevel="0" collapsed="false">
      <c r="A1242" s="9" t="s">
        <v>26</v>
      </c>
      <c r="B1242" s="9" t="n">
        <v>23</v>
      </c>
      <c r="C1242" s="11" t="n">
        <v>45968</v>
      </c>
      <c r="D1242" s="9" t="s">
        <v>118</v>
      </c>
      <c r="E1242" s="12" t="n">
        <v>23</v>
      </c>
      <c r="F1242" s="9" t="s">
        <v>31</v>
      </c>
      <c r="G1242" s="13" t="n">
        <v>150</v>
      </c>
      <c r="H1242" s="9" t="s">
        <v>35</v>
      </c>
      <c r="I1242" s="13" t="n">
        <v>0</v>
      </c>
      <c r="J1242" s="1" t="str">
        <f aca="false">IF(A1242="","", "SAMP-"&amp;A1242&amp;"-L"&amp;TEXT(B1242,"00")&amp;"-"&amp;TEXT(C1242,"yyyymmdd")&amp;"-"&amp;D1242&amp;"-H"&amp;TEXT(E1242,"00")&amp;"-"&amp;H1242)</f>
        <v>SAMP-KG01-L23-20251107-ORD-2025-00229-H23-Stone</v>
      </c>
      <c r="K1242" s="1" t="str">
        <f aca="false">IF(A1242="","",IF(AND(G1242&gt;=0,I1242&gt;=0,I1242&lt;=G1242),"OK","CHECK"))</f>
        <v>OK</v>
      </c>
      <c r="L1242" s="1" t="str">
        <f aca="false">IF(A1242="","",IF(AND(E1242&gt;=0,E1242&lt;=23),"OK","CHECK"))</f>
        <v>OK</v>
      </c>
      <c r="M1242" s="1" t="str">
        <f aca="false">IF(A1242="","",IF(AND(K1242="OK",L1242="OK"),"OK","CHECK"))</f>
        <v>OK</v>
      </c>
    </row>
    <row r="1243" customFormat="false" ht="18" hidden="false" customHeight="true" outlineLevel="0" collapsed="false">
      <c r="A1243" s="9" t="s">
        <v>26</v>
      </c>
      <c r="B1243" s="9" t="n">
        <v>23</v>
      </c>
      <c r="C1243" s="11" t="n">
        <v>45969</v>
      </c>
      <c r="D1243" s="9" t="s">
        <v>118</v>
      </c>
      <c r="E1243" s="12" t="n">
        <v>12</v>
      </c>
      <c r="F1243" s="9" t="s">
        <v>28</v>
      </c>
      <c r="G1243" s="13" t="n">
        <v>100</v>
      </c>
      <c r="H1243" s="9" t="s">
        <v>41</v>
      </c>
      <c r="I1243" s="13" t="n">
        <v>2</v>
      </c>
      <c r="J1243" s="1" t="str">
        <f aca="false">IF(A1243="","", "SAMP-"&amp;A1243&amp;"-L"&amp;TEXT(B1243,"00")&amp;"-"&amp;TEXT(C1243,"yyyymmdd")&amp;"-"&amp;D1243&amp;"-H"&amp;TEXT(E1243,"00")&amp;"-"&amp;H1243)</f>
        <v>SAMP-KG01-L23-20251108-ORD-2025-00229-H12-Chip</v>
      </c>
      <c r="K1243" s="1" t="str">
        <f aca="false">IF(A1243="","",IF(AND(G1243&gt;=0,I1243&gt;=0,I1243&lt;=G1243),"OK","CHECK"))</f>
        <v>OK</v>
      </c>
      <c r="L1243" s="1" t="str">
        <f aca="false">IF(A1243="","",IF(AND(E1243&gt;=0,E1243&lt;=23),"OK","CHECK"))</f>
        <v>OK</v>
      </c>
      <c r="M1243" s="1" t="str">
        <f aca="false">IF(A1243="","",IF(AND(K1243="OK",L1243="OK"),"OK","CHECK"))</f>
        <v>OK</v>
      </c>
    </row>
    <row r="1244" customFormat="false" ht="18" hidden="false" customHeight="true" outlineLevel="0" collapsed="false">
      <c r="A1244" s="9" t="s">
        <v>26</v>
      </c>
      <c r="B1244" s="9" t="n">
        <v>23</v>
      </c>
      <c r="C1244" s="11" t="n">
        <v>45969</v>
      </c>
      <c r="D1244" s="9" t="s">
        <v>118</v>
      </c>
      <c r="E1244" s="12" t="n">
        <v>7</v>
      </c>
      <c r="F1244" s="9" t="s">
        <v>28</v>
      </c>
      <c r="G1244" s="13" t="n">
        <v>200</v>
      </c>
      <c r="H1244" s="9" t="s">
        <v>41</v>
      </c>
      <c r="I1244" s="13" t="n">
        <v>3</v>
      </c>
      <c r="J1244" s="1" t="str">
        <f aca="false">IF(A1244="","", "SAMP-"&amp;A1244&amp;"-L"&amp;TEXT(B1244,"00")&amp;"-"&amp;TEXT(C1244,"yyyymmdd")&amp;"-"&amp;D1244&amp;"-H"&amp;TEXT(E1244,"00")&amp;"-"&amp;H1244)</f>
        <v>SAMP-KG01-L23-20251108-ORD-2025-00229-H07-Chip</v>
      </c>
      <c r="K1244" s="1" t="str">
        <f aca="false">IF(A1244="","",IF(AND(G1244&gt;=0,I1244&gt;=0,I1244&lt;=G1244),"OK","CHECK"))</f>
        <v>OK</v>
      </c>
      <c r="L1244" s="1" t="str">
        <f aca="false">IF(A1244="","",IF(AND(E1244&gt;=0,E1244&lt;=23),"OK","CHECK"))</f>
        <v>OK</v>
      </c>
      <c r="M1244" s="1" t="str">
        <f aca="false">IF(A1244="","",IF(AND(K1244="OK",L1244="OK"),"OK","CHECK"))</f>
        <v>OK</v>
      </c>
    </row>
    <row r="1245" customFormat="false" ht="18" hidden="false" customHeight="true" outlineLevel="0" collapsed="false">
      <c r="A1245" s="9" t="s">
        <v>26</v>
      </c>
      <c r="B1245" s="9" t="n">
        <v>23</v>
      </c>
      <c r="C1245" s="11" t="n">
        <v>45969</v>
      </c>
      <c r="D1245" s="9" t="s">
        <v>118</v>
      </c>
      <c r="E1245" s="12" t="n">
        <v>23</v>
      </c>
      <c r="F1245" s="9" t="s">
        <v>31</v>
      </c>
      <c r="G1245" s="13" t="n">
        <v>200</v>
      </c>
      <c r="H1245" s="9" t="s">
        <v>34</v>
      </c>
      <c r="I1245" s="13" t="n">
        <v>9</v>
      </c>
      <c r="J1245" s="1" t="str">
        <f aca="false">IF(A1245="","", "SAMP-"&amp;A1245&amp;"-L"&amp;TEXT(B1245,"00")&amp;"-"&amp;TEXT(C1245,"yyyymmdd")&amp;"-"&amp;D1245&amp;"-H"&amp;TEXT(E1245,"00")&amp;"-"&amp;H1245)</f>
        <v>SAMP-KG01-L23-20251108-ORD-2025-00229-H23-Thin Wall</v>
      </c>
      <c r="K1245" s="1" t="str">
        <f aca="false">IF(A1245="","",IF(AND(G1245&gt;=0,I1245&gt;=0,I1245&lt;=G1245),"OK","CHECK"))</f>
        <v>OK</v>
      </c>
      <c r="L1245" s="1" t="str">
        <f aca="false">IF(A1245="","",IF(AND(E1245&gt;=0,E1245&lt;=23),"OK","CHECK"))</f>
        <v>OK</v>
      </c>
      <c r="M1245" s="1" t="str">
        <f aca="false">IF(A1245="","",IF(AND(K1245="OK",L1245="OK"),"OK","CHECK"))</f>
        <v>OK</v>
      </c>
    </row>
    <row r="1246" customFormat="false" ht="18" hidden="false" customHeight="true" outlineLevel="0" collapsed="false">
      <c r="A1246" s="9" t="s">
        <v>26</v>
      </c>
      <c r="B1246" s="9" t="n">
        <v>23</v>
      </c>
      <c r="C1246" s="11" t="n">
        <v>45969</v>
      </c>
      <c r="D1246" s="9" t="s">
        <v>118</v>
      </c>
      <c r="E1246" s="12" t="n">
        <v>16</v>
      </c>
      <c r="F1246" s="9" t="s">
        <v>31</v>
      </c>
      <c r="G1246" s="13" t="n">
        <v>200</v>
      </c>
      <c r="H1246" s="9" t="s">
        <v>30</v>
      </c>
      <c r="I1246" s="13" t="n">
        <v>6</v>
      </c>
      <c r="J1246" s="1" t="str">
        <f aca="false">IF(A1246="","", "SAMP-"&amp;A1246&amp;"-L"&amp;TEXT(B1246,"00")&amp;"-"&amp;TEXT(C1246,"yyyymmdd")&amp;"-"&amp;D1246&amp;"-H"&amp;TEXT(E1246,"00")&amp;"-"&amp;H1246)</f>
        <v>SAMP-KG01-L23-20251108-ORD-2025-00229-H16-Overpress</v>
      </c>
      <c r="K1246" s="1" t="str">
        <f aca="false">IF(A1246="","",IF(AND(G1246&gt;=0,I1246&gt;=0,I1246&lt;=G1246),"OK","CHECK"))</f>
        <v>OK</v>
      </c>
      <c r="L1246" s="1" t="str">
        <f aca="false">IF(A1246="","",IF(AND(E1246&gt;=0,E1246&lt;=23),"OK","CHECK"))</f>
        <v>OK</v>
      </c>
      <c r="M1246" s="1" t="str">
        <f aca="false">IF(A1246="","",IF(AND(K1246="OK",L1246="OK"),"OK","CHECK"))</f>
        <v>OK</v>
      </c>
    </row>
    <row r="1247" customFormat="false" ht="18" hidden="false" customHeight="true" outlineLevel="0" collapsed="false">
      <c r="A1247" s="9" t="s">
        <v>26</v>
      </c>
      <c r="B1247" s="9" t="n">
        <v>23</v>
      </c>
      <c r="C1247" s="11" t="n">
        <v>45969</v>
      </c>
      <c r="D1247" s="9" t="s">
        <v>118</v>
      </c>
      <c r="E1247" s="12" t="n">
        <v>20</v>
      </c>
      <c r="F1247" s="9" t="s">
        <v>31</v>
      </c>
      <c r="G1247" s="13" t="n">
        <v>100</v>
      </c>
      <c r="H1247" s="9" t="s">
        <v>37</v>
      </c>
      <c r="I1247" s="13" t="n">
        <v>3</v>
      </c>
      <c r="J1247" s="1" t="str">
        <f aca="false">IF(A1247="","", "SAMP-"&amp;A1247&amp;"-L"&amp;TEXT(B1247,"00")&amp;"-"&amp;TEXT(C1247,"yyyymmdd")&amp;"-"&amp;D1247&amp;"-H"&amp;TEXT(E1247,"00")&amp;"-"&amp;H1247)</f>
        <v>SAMP-KG01-L23-20251108-ORD-2025-00229-H20-Bird Swing</v>
      </c>
      <c r="K1247" s="1" t="str">
        <f aca="false">IF(A1247="","",IF(AND(G1247&gt;=0,I1247&gt;=0,I1247&lt;=G1247),"OK","CHECK"))</f>
        <v>OK</v>
      </c>
      <c r="L1247" s="1" t="str">
        <f aca="false">IF(A1247="","",IF(AND(E1247&gt;=0,E1247&lt;=23),"OK","CHECK"))</f>
        <v>OK</v>
      </c>
      <c r="M1247" s="1" t="str">
        <f aca="false">IF(A1247="","",IF(AND(K1247="OK",L1247="OK"),"OK","CHECK"))</f>
        <v>OK</v>
      </c>
    </row>
    <row r="1248" customFormat="false" ht="18" hidden="false" customHeight="true" outlineLevel="0" collapsed="false">
      <c r="A1248" s="9" t="s">
        <v>26</v>
      </c>
      <c r="B1248" s="9" t="n">
        <v>23</v>
      </c>
      <c r="C1248" s="11" t="n">
        <v>45970</v>
      </c>
      <c r="D1248" s="9" t="s">
        <v>119</v>
      </c>
      <c r="E1248" s="12" t="n">
        <v>7</v>
      </c>
      <c r="F1248" s="9" t="s">
        <v>28</v>
      </c>
      <c r="G1248" s="13" t="n">
        <v>50</v>
      </c>
      <c r="H1248" s="9" t="s">
        <v>36</v>
      </c>
      <c r="I1248" s="13" t="n">
        <v>1</v>
      </c>
      <c r="J1248" s="1" t="str">
        <f aca="false">IF(A1248="","", "SAMP-"&amp;A1248&amp;"-L"&amp;TEXT(B1248,"00")&amp;"-"&amp;TEXT(C1248,"yyyymmdd")&amp;"-"&amp;D1248&amp;"-H"&amp;TEXT(E1248,"00")&amp;"-"&amp;H1248)</f>
        <v>SAMP-KG01-L23-20251109-ORD-2025-00230-H07-Blister</v>
      </c>
      <c r="K1248" s="1" t="str">
        <f aca="false">IF(A1248="","",IF(AND(G1248&gt;=0,I1248&gt;=0,I1248&lt;=G1248),"OK","CHECK"))</f>
        <v>OK</v>
      </c>
      <c r="L1248" s="1" t="str">
        <f aca="false">IF(A1248="","",IF(AND(E1248&gt;=0,E1248&lt;=23),"OK","CHECK"))</f>
        <v>OK</v>
      </c>
      <c r="M1248" s="1" t="str">
        <f aca="false">IF(A1248="","",IF(AND(K1248="OK",L1248="OK"),"OK","CHECK"))</f>
        <v>OK</v>
      </c>
    </row>
    <row r="1249" customFormat="false" ht="18" hidden="false" customHeight="true" outlineLevel="0" collapsed="false">
      <c r="A1249" s="9" t="s">
        <v>26</v>
      </c>
      <c r="B1249" s="9" t="n">
        <v>23</v>
      </c>
      <c r="C1249" s="11" t="n">
        <v>45970</v>
      </c>
      <c r="D1249" s="9" t="s">
        <v>119</v>
      </c>
      <c r="E1249" s="12" t="n">
        <v>9</v>
      </c>
      <c r="F1249" s="9" t="s">
        <v>28</v>
      </c>
      <c r="G1249" s="13" t="n">
        <v>150</v>
      </c>
      <c r="H1249" s="9" t="s">
        <v>38</v>
      </c>
      <c r="I1249" s="13" t="n">
        <v>2</v>
      </c>
      <c r="J1249" s="1" t="str">
        <f aca="false">IF(A1249="","", "SAMP-"&amp;A1249&amp;"-L"&amp;TEXT(B1249,"00")&amp;"-"&amp;TEXT(C1249,"yyyymmdd")&amp;"-"&amp;D1249&amp;"-H"&amp;TEXT(E1249,"00")&amp;"-"&amp;H1249)</f>
        <v>SAMP-KG01-L23-20251109-ORD-2025-00230-H09-Crack</v>
      </c>
      <c r="K1249" s="1" t="str">
        <f aca="false">IF(A1249="","",IF(AND(G1249&gt;=0,I1249&gt;=0,I1249&lt;=G1249),"OK","CHECK"))</f>
        <v>OK</v>
      </c>
      <c r="L1249" s="1" t="str">
        <f aca="false">IF(A1249="","",IF(AND(E1249&gt;=0,E1249&lt;=23),"OK","CHECK"))</f>
        <v>OK</v>
      </c>
      <c r="M1249" s="1" t="str">
        <f aca="false">IF(A1249="","",IF(AND(K1249="OK",L1249="OK"),"OK","CHECK"))</f>
        <v>OK</v>
      </c>
    </row>
    <row r="1250" customFormat="false" ht="18" hidden="false" customHeight="true" outlineLevel="0" collapsed="false">
      <c r="A1250" s="9" t="s">
        <v>26</v>
      </c>
      <c r="B1250" s="9" t="n">
        <v>23</v>
      </c>
      <c r="C1250" s="11" t="n">
        <v>45970</v>
      </c>
      <c r="D1250" s="9" t="s">
        <v>119</v>
      </c>
      <c r="E1250" s="12" t="n">
        <v>12</v>
      </c>
      <c r="F1250" s="9" t="s">
        <v>28</v>
      </c>
      <c r="G1250" s="13" t="n">
        <v>100</v>
      </c>
      <c r="H1250" s="9" t="s">
        <v>37</v>
      </c>
      <c r="I1250" s="13" t="n">
        <v>0</v>
      </c>
      <c r="J1250" s="1" t="str">
        <f aca="false">IF(A1250="","", "SAMP-"&amp;A1250&amp;"-L"&amp;TEXT(B1250,"00")&amp;"-"&amp;TEXT(C1250,"yyyymmdd")&amp;"-"&amp;D1250&amp;"-H"&amp;TEXT(E1250,"00")&amp;"-"&amp;H1250)</f>
        <v>SAMP-KG01-L23-20251109-ORD-2025-00230-H12-Bird Swing</v>
      </c>
      <c r="K1250" s="1" t="str">
        <f aca="false">IF(A1250="","",IF(AND(G1250&gt;=0,I1250&gt;=0,I1250&lt;=G1250),"OK","CHECK"))</f>
        <v>OK</v>
      </c>
      <c r="L1250" s="1" t="str">
        <f aca="false">IF(A1250="","",IF(AND(E1250&gt;=0,E1250&lt;=23),"OK","CHECK"))</f>
        <v>OK</v>
      </c>
      <c r="M1250" s="1" t="str">
        <f aca="false">IF(A1250="","",IF(AND(K1250="OK",L1250="OK"),"OK","CHECK"))</f>
        <v>OK</v>
      </c>
    </row>
    <row r="1251" customFormat="false" ht="18" hidden="false" customHeight="true" outlineLevel="0" collapsed="false">
      <c r="A1251" s="9" t="s">
        <v>26</v>
      </c>
      <c r="B1251" s="9" t="n">
        <v>23</v>
      </c>
      <c r="C1251" s="11" t="n">
        <v>45970</v>
      </c>
      <c r="D1251" s="9" t="s">
        <v>119</v>
      </c>
      <c r="E1251" s="12" t="n">
        <v>16</v>
      </c>
      <c r="F1251" s="9" t="s">
        <v>31</v>
      </c>
      <c r="G1251" s="13" t="n">
        <v>200</v>
      </c>
      <c r="H1251" s="9" t="s">
        <v>38</v>
      </c>
      <c r="I1251" s="13" t="n">
        <v>4</v>
      </c>
      <c r="J1251" s="1" t="str">
        <f aca="false">IF(A1251="","", "SAMP-"&amp;A1251&amp;"-L"&amp;TEXT(B1251,"00")&amp;"-"&amp;TEXT(C1251,"yyyymmdd")&amp;"-"&amp;D1251&amp;"-H"&amp;TEXT(E1251,"00")&amp;"-"&amp;H1251)</f>
        <v>SAMP-KG01-L23-20251109-ORD-2025-00230-H16-Crack</v>
      </c>
      <c r="K1251" s="1" t="str">
        <f aca="false">IF(A1251="","",IF(AND(G1251&gt;=0,I1251&gt;=0,I1251&lt;=G1251),"OK","CHECK"))</f>
        <v>OK</v>
      </c>
      <c r="L1251" s="1" t="str">
        <f aca="false">IF(A1251="","",IF(AND(E1251&gt;=0,E1251&lt;=23),"OK","CHECK"))</f>
        <v>OK</v>
      </c>
      <c r="M1251" s="1" t="str">
        <f aca="false">IF(A1251="","",IF(AND(K1251="OK",L1251="OK"),"OK","CHECK"))</f>
        <v>OK</v>
      </c>
    </row>
    <row r="1252" customFormat="false" ht="18" hidden="false" customHeight="true" outlineLevel="0" collapsed="false">
      <c r="A1252" s="9" t="s">
        <v>26</v>
      </c>
      <c r="B1252" s="9" t="n">
        <v>23</v>
      </c>
      <c r="C1252" s="11" t="n">
        <v>45970</v>
      </c>
      <c r="D1252" s="9" t="s">
        <v>119</v>
      </c>
      <c r="E1252" s="12" t="n">
        <v>23</v>
      </c>
      <c r="F1252" s="9" t="s">
        <v>31</v>
      </c>
      <c r="G1252" s="13" t="n">
        <v>150</v>
      </c>
      <c r="H1252" s="9" t="s">
        <v>38</v>
      </c>
      <c r="I1252" s="13" t="n">
        <v>2</v>
      </c>
      <c r="J1252" s="1" t="str">
        <f aca="false">IF(A1252="","", "SAMP-"&amp;A1252&amp;"-L"&amp;TEXT(B1252,"00")&amp;"-"&amp;TEXT(C1252,"yyyymmdd")&amp;"-"&amp;D1252&amp;"-H"&amp;TEXT(E1252,"00")&amp;"-"&amp;H1252)</f>
        <v>SAMP-KG01-L23-20251109-ORD-2025-00230-H23-Crack</v>
      </c>
      <c r="K1252" s="1" t="str">
        <f aca="false">IF(A1252="","",IF(AND(G1252&gt;=0,I1252&gt;=0,I1252&lt;=G1252),"OK","CHECK"))</f>
        <v>OK</v>
      </c>
      <c r="L1252" s="1" t="str">
        <f aca="false">IF(A1252="","",IF(AND(E1252&gt;=0,E1252&lt;=23),"OK","CHECK"))</f>
        <v>OK</v>
      </c>
      <c r="M1252" s="1" t="str">
        <f aca="false">IF(A1252="","",IF(AND(K1252="OK",L1252="OK"),"OK","CHECK"))</f>
        <v>OK</v>
      </c>
    </row>
    <row r="1253" customFormat="false" ht="18" hidden="false" customHeight="true" outlineLevel="0" collapsed="false">
      <c r="A1253" s="9" t="s">
        <v>26</v>
      </c>
      <c r="B1253" s="9" t="n">
        <v>23</v>
      </c>
      <c r="C1253" s="11" t="n">
        <v>45970</v>
      </c>
      <c r="D1253" s="9" t="s">
        <v>119</v>
      </c>
      <c r="E1253" s="12" t="n">
        <v>20</v>
      </c>
      <c r="F1253" s="9" t="s">
        <v>31</v>
      </c>
      <c r="G1253" s="13" t="n">
        <v>200</v>
      </c>
      <c r="H1253" s="9" t="s">
        <v>33</v>
      </c>
      <c r="I1253" s="13" t="n">
        <v>5</v>
      </c>
      <c r="J1253" s="1" t="str">
        <f aca="false">IF(A1253="","", "SAMP-"&amp;A1253&amp;"-L"&amp;TEXT(B1253,"00")&amp;"-"&amp;TEXT(C1253,"yyyymmdd")&amp;"-"&amp;D1253&amp;"-H"&amp;TEXT(E1253,"00")&amp;"-"&amp;H1253)</f>
        <v>SAMP-KG01-L23-20251109-ORD-2025-00230-H20-Distortion</v>
      </c>
      <c r="K1253" s="1" t="str">
        <f aca="false">IF(A1253="","",IF(AND(G1253&gt;=0,I1253&gt;=0,I1253&lt;=G1253),"OK","CHECK"))</f>
        <v>OK</v>
      </c>
      <c r="L1253" s="1" t="str">
        <f aca="false">IF(A1253="","",IF(AND(E1253&gt;=0,E1253&lt;=23),"OK","CHECK"))</f>
        <v>OK</v>
      </c>
      <c r="M1253" s="1" t="str">
        <f aca="false">IF(A1253="","",IF(AND(K1253="OK",L1253="OK"),"OK","CHECK"))</f>
        <v>OK</v>
      </c>
    </row>
    <row r="1254" customFormat="false" ht="18" hidden="false" customHeight="true" outlineLevel="0" collapsed="false">
      <c r="A1254" s="9" t="s">
        <v>26</v>
      </c>
      <c r="B1254" s="9" t="n">
        <v>23</v>
      </c>
      <c r="C1254" s="11" t="n">
        <v>45971</v>
      </c>
      <c r="D1254" s="9" t="s">
        <v>119</v>
      </c>
      <c r="E1254" s="12" t="n">
        <v>7</v>
      </c>
      <c r="F1254" s="9" t="s">
        <v>28</v>
      </c>
      <c r="G1254" s="13" t="n">
        <v>100</v>
      </c>
      <c r="H1254" s="9" t="s">
        <v>29</v>
      </c>
      <c r="I1254" s="13" t="n">
        <v>2</v>
      </c>
      <c r="J1254" s="1" t="str">
        <f aca="false">IF(A1254="","", "SAMP-"&amp;A1254&amp;"-L"&amp;TEXT(B1254,"00")&amp;"-"&amp;TEXT(C1254,"yyyymmdd")&amp;"-"&amp;D1254&amp;"-H"&amp;TEXT(E1254,"00")&amp;"-"&amp;H1254)</f>
        <v>SAMP-KG01-L23-20251110-ORD-2025-00230-H07-Choke Neck</v>
      </c>
      <c r="K1254" s="1" t="str">
        <f aca="false">IF(A1254="","",IF(AND(G1254&gt;=0,I1254&gt;=0,I1254&lt;=G1254),"OK","CHECK"))</f>
        <v>OK</v>
      </c>
      <c r="L1254" s="1" t="str">
        <f aca="false">IF(A1254="","",IF(AND(E1254&gt;=0,E1254&lt;=23),"OK","CHECK"))</f>
        <v>OK</v>
      </c>
      <c r="M1254" s="1" t="str">
        <f aca="false">IF(A1254="","",IF(AND(K1254="OK",L1254="OK"),"OK","CHECK"))</f>
        <v>OK</v>
      </c>
    </row>
    <row r="1255" customFormat="false" ht="18" hidden="false" customHeight="true" outlineLevel="0" collapsed="false">
      <c r="A1255" s="9" t="s">
        <v>26</v>
      </c>
      <c r="B1255" s="9" t="n">
        <v>23</v>
      </c>
      <c r="C1255" s="11" t="n">
        <v>45971</v>
      </c>
      <c r="D1255" s="9" t="s">
        <v>119</v>
      </c>
      <c r="E1255" s="12" t="n">
        <v>9</v>
      </c>
      <c r="F1255" s="9" t="s">
        <v>28</v>
      </c>
      <c r="G1255" s="13" t="n">
        <v>200</v>
      </c>
      <c r="H1255" s="9" t="s">
        <v>35</v>
      </c>
      <c r="I1255" s="13" t="n">
        <v>3</v>
      </c>
      <c r="J1255" s="1" t="str">
        <f aca="false">IF(A1255="","", "SAMP-"&amp;A1255&amp;"-L"&amp;TEXT(B1255,"00")&amp;"-"&amp;TEXT(C1255,"yyyymmdd")&amp;"-"&amp;D1255&amp;"-H"&amp;TEXT(E1255,"00")&amp;"-"&amp;H1255)</f>
        <v>SAMP-KG01-L23-20251110-ORD-2025-00230-H09-Stone</v>
      </c>
      <c r="K1255" s="1" t="str">
        <f aca="false">IF(A1255="","",IF(AND(G1255&gt;=0,I1255&gt;=0,I1255&lt;=G1255),"OK","CHECK"))</f>
        <v>OK</v>
      </c>
      <c r="L1255" s="1" t="str">
        <f aca="false">IF(A1255="","",IF(AND(E1255&gt;=0,E1255&lt;=23),"OK","CHECK"))</f>
        <v>OK</v>
      </c>
      <c r="M1255" s="1" t="str">
        <f aca="false">IF(A1255="","",IF(AND(K1255="OK",L1255="OK"),"OK","CHECK"))</f>
        <v>OK</v>
      </c>
    </row>
    <row r="1256" customFormat="false" ht="18" hidden="false" customHeight="true" outlineLevel="0" collapsed="false">
      <c r="A1256" s="9" t="s">
        <v>26</v>
      </c>
      <c r="B1256" s="9" t="n">
        <v>23</v>
      </c>
      <c r="C1256" s="11" t="n">
        <v>45971</v>
      </c>
      <c r="D1256" s="9" t="s">
        <v>119</v>
      </c>
      <c r="E1256" s="12" t="n">
        <v>12</v>
      </c>
      <c r="F1256" s="9" t="s">
        <v>28</v>
      </c>
      <c r="G1256" s="13" t="n">
        <v>50</v>
      </c>
      <c r="H1256" s="9" t="s">
        <v>29</v>
      </c>
      <c r="I1256" s="13" t="n">
        <v>1</v>
      </c>
      <c r="J1256" s="1" t="str">
        <f aca="false">IF(A1256="","", "SAMP-"&amp;A1256&amp;"-L"&amp;TEXT(B1256,"00")&amp;"-"&amp;TEXT(C1256,"yyyymmdd")&amp;"-"&amp;D1256&amp;"-H"&amp;TEXT(E1256,"00")&amp;"-"&amp;H1256)</f>
        <v>SAMP-KG01-L23-20251110-ORD-2025-00230-H12-Choke Neck</v>
      </c>
      <c r="K1256" s="1" t="str">
        <f aca="false">IF(A1256="","",IF(AND(G1256&gt;=0,I1256&gt;=0,I1256&lt;=G1256),"OK","CHECK"))</f>
        <v>OK</v>
      </c>
      <c r="L1256" s="1" t="str">
        <f aca="false">IF(A1256="","",IF(AND(E1256&gt;=0,E1256&lt;=23),"OK","CHECK"))</f>
        <v>OK</v>
      </c>
      <c r="M1256" s="1" t="str">
        <f aca="false">IF(A1256="","",IF(AND(K1256="OK",L1256="OK"),"OK","CHECK"))</f>
        <v>OK</v>
      </c>
    </row>
    <row r="1257" customFormat="false" ht="18" hidden="false" customHeight="true" outlineLevel="0" collapsed="false">
      <c r="A1257" s="9" t="s">
        <v>26</v>
      </c>
      <c r="B1257" s="9" t="n">
        <v>23</v>
      </c>
      <c r="C1257" s="11" t="n">
        <v>45971</v>
      </c>
      <c r="D1257" s="9" t="s">
        <v>119</v>
      </c>
      <c r="E1257" s="12" t="n">
        <v>23</v>
      </c>
      <c r="F1257" s="9" t="s">
        <v>31</v>
      </c>
      <c r="G1257" s="13" t="n">
        <v>100</v>
      </c>
      <c r="H1257" s="9" t="s">
        <v>38</v>
      </c>
      <c r="I1257" s="13" t="n">
        <v>2</v>
      </c>
      <c r="J1257" s="1" t="str">
        <f aca="false">IF(A1257="","", "SAMP-"&amp;A1257&amp;"-L"&amp;TEXT(B1257,"00")&amp;"-"&amp;TEXT(C1257,"yyyymmdd")&amp;"-"&amp;D1257&amp;"-H"&amp;TEXT(E1257,"00")&amp;"-"&amp;H1257)</f>
        <v>SAMP-KG01-L23-20251110-ORD-2025-00230-H23-Crack</v>
      </c>
      <c r="K1257" s="1" t="str">
        <f aca="false">IF(A1257="","",IF(AND(G1257&gt;=0,I1257&gt;=0,I1257&lt;=G1257),"OK","CHECK"))</f>
        <v>OK</v>
      </c>
      <c r="L1257" s="1" t="str">
        <f aca="false">IF(A1257="","",IF(AND(E1257&gt;=0,E1257&lt;=23),"OK","CHECK"))</f>
        <v>OK</v>
      </c>
      <c r="M1257" s="1" t="str">
        <f aca="false">IF(A1257="","",IF(AND(K1257="OK",L1257="OK"),"OK","CHECK"))</f>
        <v>OK</v>
      </c>
    </row>
    <row r="1258" customFormat="false" ht="18" hidden="false" customHeight="true" outlineLevel="0" collapsed="false">
      <c r="A1258" s="9" t="s">
        <v>26</v>
      </c>
      <c r="B1258" s="9" t="n">
        <v>23</v>
      </c>
      <c r="C1258" s="11" t="n">
        <v>45971</v>
      </c>
      <c r="D1258" s="9" t="s">
        <v>119</v>
      </c>
      <c r="E1258" s="12" t="n">
        <v>16</v>
      </c>
      <c r="F1258" s="9" t="s">
        <v>31</v>
      </c>
      <c r="G1258" s="13" t="n">
        <v>100</v>
      </c>
      <c r="H1258" s="9" t="s">
        <v>38</v>
      </c>
      <c r="I1258" s="13" t="n">
        <v>3</v>
      </c>
      <c r="J1258" s="1" t="str">
        <f aca="false">IF(A1258="","", "SAMP-"&amp;A1258&amp;"-L"&amp;TEXT(B1258,"00")&amp;"-"&amp;TEXT(C1258,"yyyymmdd")&amp;"-"&amp;D1258&amp;"-H"&amp;TEXT(E1258,"00")&amp;"-"&amp;H1258)</f>
        <v>SAMP-KG01-L23-20251110-ORD-2025-00230-H16-Crack</v>
      </c>
      <c r="K1258" s="1" t="str">
        <f aca="false">IF(A1258="","",IF(AND(G1258&gt;=0,I1258&gt;=0,I1258&lt;=G1258),"OK","CHECK"))</f>
        <v>OK</v>
      </c>
      <c r="L1258" s="1" t="str">
        <f aca="false">IF(A1258="","",IF(AND(E1258&gt;=0,E1258&lt;=23),"OK","CHECK"))</f>
        <v>OK</v>
      </c>
      <c r="M1258" s="1" t="str">
        <f aca="false">IF(A1258="","",IF(AND(K1258="OK",L1258="OK"),"OK","CHECK"))</f>
        <v>OK</v>
      </c>
    </row>
    <row r="1259" customFormat="false" ht="18" hidden="false" customHeight="true" outlineLevel="0" collapsed="false">
      <c r="A1259" s="9" t="s">
        <v>26</v>
      </c>
      <c r="B1259" s="9" t="n">
        <v>23</v>
      </c>
      <c r="C1259" s="11" t="n">
        <v>45971</v>
      </c>
      <c r="D1259" s="9" t="s">
        <v>119</v>
      </c>
      <c r="E1259" s="12" t="n">
        <v>20</v>
      </c>
      <c r="F1259" s="9" t="s">
        <v>31</v>
      </c>
      <c r="G1259" s="13" t="n">
        <v>150</v>
      </c>
      <c r="H1259" s="9" t="s">
        <v>37</v>
      </c>
      <c r="I1259" s="13" t="n">
        <v>4</v>
      </c>
      <c r="J1259" s="1" t="str">
        <f aca="false">IF(A1259="","", "SAMP-"&amp;A1259&amp;"-L"&amp;TEXT(B1259,"00")&amp;"-"&amp;TEXT(C1259,"yyyymmdd")&amp;"-"&amp;D1259&amp;"-H"&amp;TEXT(E1259,"00")&amp;"-"&amp;H1259)</f>
        <v>SAMP-KG01-L23-20251110-ORD-2025-00230-H20-Bird Swing</v>
      </c>
      <c r="K1259" s="1" t="str">
        <f aca="false">IF(A1259="","",IF(AND(G1259&gt;=0,I1259&gt;=0,I1259&lt;=G1259),"OK","CHECK"))</f>
        <v>OK</v>
      </c>
      <c r="L1259" s="1" t="str">
        <f aca="false">IF(A1259="","",IF(AND(E1259&gt;=0,E1259&lt;=23),"OK","CHECK"))</f>
        <v>OK</v>
      </c>
      <c r="M1259" s="1" t="str">
        <f aca="false">IF(A1259="","",IF(AND(K1259="OK",L1259="OK"),"OK","CHECK"))</f>
        <v>OK</v>
      </c>
    </row>
    <row r="1260" customFormat="false" ht="18" hidden="false" customHeight="true" outlineLevel="0" collapsed="false">
      <c r="A1260" s="9" t="s">
        <v>26</v>
      </c>
      <c r="B1260" s="9" t="n">
        <v>23</v>
      </c>
      <c r="C1260" s="11" t="n">
        <v>45972</v>
      </c>
      <c r="D1260" s="9" t="s">
        <v>119</v>
      </c>
      <c r="E1260" s="12" t="n">
        <v>12</v>
      </c>
      <c r="F1260" s="9" t="s">
        <v>28</v>
      </c>
      <c r="G1260" s="13" t="n">
        <v>150</v>
      </c>
      <c r="H1260" s="9" t="s">
        <v>34</v>
      </c>
      <c r="I1260" s="13" t="n">
        <v>2</v>
      </c>
      <c r="J1260" s="1" t="str">
        <f aca="false">IF(A1260="","", "SAMP-"&amp;A1260&amp;"-L"&amp;TEXT(B1260,"00")&amp;"-"&amp;TEXT(C1260,"yyyymmdd")&amp;"-"&amp;D1260&amp;"-H"&amp;TEXT(E1260,"00")&amp;"-"&amp;H1260)</f>
        <v>SAMP-KG01-L23-20251111-ORD-2025-00230-H12-Thin Wall</v>
      </c>
      <c r="K1260" s="1" t="str">
        <f aca="false">IF(A1260="","",IF(AND(G1260&gt;=0,I1260&gt;=0,I1260&lt;=G1260),"OK","CHECK"))</f>
        <v>OK</v>
      </c>
      <c r="L1260" s="1" t="str">
        <f aca="false">IF(A1260="","",IF(AND(E1260&gt;=0,E1260&lt;=23),"OK","CHECK"))</f>
        <v>OK</v>
      </c>
      <c r="M1260" s="1" t="str">
        <f aca="false">IF(A1260="","",IF(AND(K1260="OK",L1260="OK"),"OK","CHECK"))</f>
        <v>OK</v>
      </c>
    </row>
    <row r="1261" customFormat="false" ht="18" hidden="false" customHeight="true" outlineLevel="0" collapsed="false">
      <c r="A1261" s="9" t="s">
        <v>26</v>
      </c>
      <c r="B1261" s="9" t="n">
        <v>23</v>
      </c>
      <c r="C1261" s="11" t="n">
        <v>45972</v>
      </c>
      <c r="D1261" s="9" t="s">
        <v>119</v>
      </c>
      <c r="E1261" s="12" t="n">
        <v>7</v>
      </c>
      <c r="F1261" s="9" t="s">
        <v>28</v>
      </c>
      <c r="G1261" s="13" t="n">
        <v>50</v>
      </c>
      <c r="H1261" s="9" t="s">
        <v>36</v>
      </c>
      <c r="I1261" s="13" t="n">
        <v>0</v>
      </c>
      <c r="J1261" s="1" t="str">
        <f aca="false">IF(A1261="","", "SAMP-"&amp;A1261&amp;"-L"&amp;TEXT(B1261,"00")&amp;"-"&amp;TEXT(C1261,"yyyymmdd")&amp;"-"&amp;D1261&amp;"-H"&amp;TEXT(E1261,"00")&amp;"-"&amp;H1261)</f>
        <v>SAMP-KG01-L23-20251111-ORD-2025-00230-H07-Blister</v>
      </c>
      <c r="K1261" s="1" t="str">
        <f aca="false">IF(A1261="","",IF(AND(G1261&gt;=0,I1261&gt;=0,I1261&lt;=G1261),"OK","CHECK"))</f>
        <v>OK</v>
      </c>
      <c r="L1261" s="1" t="str">
        <f aca="false">IF(A1261="","",IF(AND(E1261&gt;=0,E1261&lt;=23),"OK","CHECK"))</f>
        <v>OK</v>
      </c>
      <c r="M1261" s="1" t="str">
        <f aca="false">IF(A1261="","",IF(AND(K1261="OK",L1261="OK"),"OK","CHECK"))</f>
        <v>OK</v>
      </c>
    </row>
    <row r="1262" customFormat="false" ht="18" hidden="false" customHeight="true" outlineLevel="0" collapsed="false">
      <c r="A1262" s="9" t="s">
        <v>26</v>
      </c>
      <c r="B1262" s="9" t="n">
        <v>23</v>
      </c>
      <c r="C1262" s="11" t="n">
        <v>45972</v>
      </c>
      <c r="D1262" s="9" t="s">
        <v>119</v>
      </c>
      <c r="E1262" s="12" t="n">
        <v>9</v>
      </c>
      <c r="F1262" s="9" t="s">
        <v>28</v>
      </c>
      <c r="G1262" s="13" t="n">
        <v>200</v>
      </c>
      <c r="H1262" s="9" t="s">
        <v>38</v>
      </c>
      <c r="I1262" s="13" t="n">
        <v>9</v>
      </c>
      <c r="J1262" s="1" t="str">
        <f aca="false">IF(A1262="","", "SAMP-"&amp;A1262&amp;"-L"&amp;TEXT(B1262,"00")&amp;"-"&amp;TEXT(C1262,"yyyymmdd")&amp;"-"&amp;D1262&amp;"-H"&amp;TEXT(E1262,"00")&amp;"-"&amp;H1262)</f>
        <v>SAMP-KG01-L23-20251111-ORD-2025-00230-H09-Crack</v>
      </c>
      <c r="K1262" s="1" t="str">
        <f aca="false">IF(A1262="","",IF(AND(G1262&gt;=0,I1262&gt;=0,I1262&lt;=G1262),"OK","CHECK"))</f>
        <v>OK</v>
      </c>
      <c r="L1262" s="1" t="str">
        <f aca="false">IF(A1262="","",IF(AND(E1262&gt;=0,E1262&lt;=23),"OK","CHECK"))</f>
        <v>OK</v>
      </c>
      <c r="M1262" s="1" t="str">
        <f aca="false">IF(A1262="","",IF(AND(K1262="OK",L1262="OK"),"OK","CHECK"))</f>
        <v>OK</v>
      </c>
    </row>
    <row r="1263" customFormat="false" ht="18" hidden="false" customHeight="true" outlineLevel="0" collapsed="false">
      <c r="A1263" s="9" t="s">
        <v>26</v>
      </c>
      <c r="B1263" s="9" t="n">
        <v>23</v>
      </c>
      <c r="C1263" s="11" t="n">
        <v>45972</v>
      </c>
      <c r="D1263" s="9" t="s">
        <v>119</v>
      </c>
      <c r="E1263" s="12" t="n">
        <v>16</v>
      </c>
      <c r="F1263" s="9" t="s">
        <v>31</v>
      </c>
      <c r="G1263" s="13" t="n">
        <v>150</v>
      </c>
      <c r="H1263" s="9" t="s">
        <v>34</v>
      </c>
      <c r="I1263" s="13" t="n">
        <v>4</v>
      </c>
      <c r="J1263" s="1" t="str">
        <f aca="false">IF(A1263="","", "SAMP-"&amp;A1263&amp;"-L"&amp;TEXT(B1263,"00")&amp;"-"&amp;TEXT(C1263,"yyyymmdd")&amp;"-"&amp;D1263&amp;"-H"&amp;TEXT(E1263,"00")&amp;"-"&amp;H1263)</f>
        <v>SAMP-KG01-L23-20251111-ORD-2025-00230-H16-Thin Wall</v>
      </c>
      <c r="K1263" s="1" t="str">
        <f aca="false">IF(A1263="","",IF(AND(G1263&gt;=0,I1263&gt;=0,I1263&lt;=G1263),"OK","CHECK"))</f>
        <v>OK</v>
      </c>
      <c r="L1263" s="1" t="str">
        <f aca="false">IF(A1263="","",IF(AND(E1263&gt;=0,E1263&lt;=23),"OK","CHECK"))</f>
        <v>OK</v>
      </c>
      <c r="M1263" s="1" t="str">
        <f aca="false">IF(A1263="","",IF(AND(K1263="OK",L1263="OK"),"OK","CHECK"))</f>
        <v>OK</v>
      </c>
    </row>
    <row r="1264" customFormat="false" ht="18" hidden="false" customHeight="true" outlineLevel="0" collapsed="false">
      <c r="A1264" s="9" t="s">
        <v>26</v>
      </c>
      <c r="B1264" s="9" t="n">
        <v>23</v>
      </c>
      <c r="C1264" s="11" t="n">
        <v>45972</v>
      </c>
      <c r="D1264" s="9" t="s">
        <v>119</v>
      </c>
      <c r="E1264" s="12" t="n">
        <v>23</v>
      </c>
      <c r="F1264" s="9" t="s">
        <v>31</v>
      </c>
      <c r="G1264" s="13" t="n">
        <v>150</v>
      </c>
      <c r="H1264" s="9" t="s">
        <v>37</v>
      </c>
      <c r="I1264" s="13" t="n">
        <v>3</v>
      </c>
      <c r="J1264" s="1" t="str">
        <f aca="false">IF(A1264="","", "SAMP-"&amp;A1264&amp;"-L"&amp;TEXT(B1264,"00")&amp;"-"&amp;TEXT(C1264,"yyyymmdd")&amp;"-"&amp;D1264&amp;"-H"&amp;TEXT(E1264,"00")&amp;"-"&amp;H1264)</f>
        <v>SAMP-KG01-L23-20251111-ORD-2025-00230-H23-Bird Swing</v>
      </c>
      <c r="K1264" s="1" t="str">
        <f aca="false">IF(A1264="","",IF(AND(G1264&gt;=0,I1264&gt;=0,I1264&lt;=G1264),"OK","CHECK"))</f>
        <v>OK</v>
      </c>
      <c r="L1264" s="1" t="str">
        <f aca="false">IF(A1264="","",IF(AND(E1264&gt;=0,E1264&lt;=23),"OK","CHECK"))</f>
        <v>OK</v>
      </c>
      <c r="M1264" s="1" t="str">
        <f aca="false">IF(A1264="","",IF(AND(K1264="OK",L1264="OK"),"OK","CHECK"))</f>
        <v>OK</v>
      </c>
    </row>
    <row r="1265" customFormat="false" ht="18" hidden="false" customHeight="true" outlineLevel="0" collapsed="false">
      <c r="A1265" s="9" t="s">
        <v>26</v>
      </c>
      <c r="B1265" s="9" t="n">
        <v>23</v>
      </c>
      <c r="C1265" s="11" t="n">
        <v>45972</v>
      </c>
      <c r="D1265" s="9" t="s">
        <v>119</v>
      </c>
      <c r="E1265" s="12" t="n">
        <v>20</v>
      </c>
      <c r="F1265" s="9" t="s">
        <v>31</v>
      </c>
      <c r="G1265" s="13" t="n">
        <v>100</v>
      </c>
      <c r="H1265" s="9" t="s">
        <v>38</v>
      </c>
      <c r="I1265" s="13" t="n">
        <v>3</v>
      </c>
      <c r="J1265" s="1" t="str">
        <f aca="false">IF(A1265="","", "SAMP-"&amp;A1265&amp;"-L"&amp;TEXT(B1265,"00")&amp;"-"&amp;TEXT(C1265,"yyyymmdd")&amp;"-"&amp;D1265&amp;"-H"&amp;TEXT(E1265,"00")&amp;"-"&amp;H1265)</f>
        <v>SAMP-KG01-L23-20251111-ORD-2025-00230-H20-Crack</v>
      </c>
      <c r="K1265" s="1" t="str">
        <f aca="false">IF(A1265="","",IF(AND(G1265&gt;=0,I1265&gt;=0,I1265&lt;=G1265),"OK","CHECK"))</f>
        <v>OK</v>
      </c>
      <c r="L1265" s="1" t="str">
        <f aca="false">IF(A1265="","",IF(AND(E1265&gt;=0,E1265&lt;=23),"OK","CHECK"))</f>
        <v>OK</v>
      </c>
      <c r="M1265" s="1" t="str">
        <f aca="false">IF(A1265="","",IF(AND(K1265="OK",L1265="OK"),"OK","CHECK"))</f>
        <v>OK</v>
      </c>
    </row>
    <row r="1266" customFormat="false" ht="18" hidden="false" customHeight="true" outlineLevel="0" collapsed="false">
      <c r="A1266" s="9" t="s">
        <v>26</v>
      </c>
      <c r="B1266" s="9" t="n">
        <v>23</v>
      </c>
      <c r="C1266" s="11" t="n">
        <v>45973</v>
      </c>
      <c r="D1266" s="9" t="s">
        <v>119</v>
      </c>
      <c r="E1266" s="12" t="n">
        <v>9</v>
      </c>
      <c r="F1266" s="9" t="s">
        <v>28</v>
      </c>
      <c r="G1266" s="13" t="n">
        <v>150</v>
      </c>
      <c r="H1266" s="9" t="s">
        <v>33</v>
      </c>
      <c r="I1266" s="13" t="n">
        <v>2</v>
      </c>
      <c r="J1266" s="1" t="str">
        <f aca="false">IF(A1266="","", "SAMP-"&amp;A1266&amp;"-L"&amp;TEXT(B1266,"00")&amp;"-"&amp;TEXT(C1266,"yyyymmdd")&amp;"-"&amp;D1266&amp;"-H"&amp;TEXT(E1266,"00")&amp;"-"&amp;H1266)</f>
        <v>SAMP-KG01-L23-20251112-ORD-2025-00230-H09-Distortion</v>
      </c>
      <c r="K1266" s="1" t="str">
        <f aca="false">IF(A1266="","",IF(AND(G1266&gt;=0,I1266&gt;=0,I1266&lt;=G1266),"OK","CHECK"))</f>
        <v>OK</v>
      </c>
      <c r="L1266" s="1" t="str">
        <f aca="false">IF(A1266="","",IF(AND(E1266&gt;=0,E1266&lt;=23),"OK","CHECK"))</f>
        <v>OK</v>
      </c>
      <c r="M1266" s="1" t="str">
        <f aca="false">IF(A1266="","",IF(AND(K1266="OK",L1266="OK"),"OK","CHECK"))</f>
        <v>OK</v>
      </c>
    </row>
    <row r="1267" customFormat="false" ht="18" hidden="false" customHeight="true" outlineLevel="0" collapsed="false">
      <c r="A1267" s="9" t="s">
        <v>26</v>
      </c>
      <c r="B1267" s="9" t="n">
        <v>23</v>
      </c>
      <c r="C1267" s="11" t="n">
        <v>45973</v>
      </c>
      <c r="D1267" s="9" t="s">
        <v>119</v>
      </c>
      <c r="E1267" s="12" t="n">
        <v>12</v>
      </c>
      <c r="F1267" s="9" t="s">
        <v>28</v>
      </c>
      <c r="G1267" s="13" t="n">
        <v>50</v>
      </c>
      <c r="H1267" s="9" t="s">
        <v>29</v>
      </c>
      <c r="I1267" s="13" t="n">
        <v>1</v>
      </c>
      <c r="J1267" s="1" t="str">
        <f aca="false">IF(A1267="","", "SAMP-"&amp;A1267&amp;"-L"&amp;TEXT(B1267,"00")&amp;"-"&amp;TEXT(C1267,"yyyymmdd")&amp;"-"&amp;D1267&amp;"-H"&amp;TEXT(E1267,"00")&amp;"-"&amp;H1267)</f>
        <v>SAMP-KG01-L23-20251112-ORD-2025-00230-H12-Choke Neck</v>
      </c>
      <c r="K1267" s="1" t="str">
        <f aca="false">IF(A1267="","",IF(AND(G1267&gt;=0,I1267&gt;=0,I1267&lt;=G1267),"OK","CHECK"))</f>
        <v>OK</v>
      </c>
      <c r="L1267" s="1" t="str">
        <f aca="false">IF(A1267="","",IF(AND(E1267&gt;=0,E1267&lt;=23),"OK","CHECK"))</f>
        <v>OK</v>
      </c>
      <c r="M1267" s="1" t="str">
        <f aca="false">IF(A1267="","",IF(AND(K1267="OK",L1267="OK"),"OK","CHECK"))</f>
        <v>OK</v>
      </c>
    </row>
    <row r="1268" customFormat="false" ht="18" hidden="false" customHeight="true" outlineLevel="0" collapsed="false">
      <c r="A1268" s="9" t="s">
        <v>26</v>
      </c>
      <c r="B1268" s="9" t="n">
        <v>23</v>
      </c>
      <c r="C1268" s="11" t="n">
        <v>45973</v>
      </c>
      <c r="D1268" s="9" t="s">
        <v>119</v>
      </c>
      <c r="E1268" s="12" t="n">
        <v>7</v>
      </c>
      <c r="F1268" s="9" t="s">
        <v>28</v>
      </c>
      <c r="G1268" s="13" t="n">
        <v>50</v>
      </c>
      <c r="H1268" s="9" t="s">
        <v>29</v>
      </c>
      <c r="I1268" s="13" t="n">
        <v>0</v>
      </c>
      <c r="J1268" s="1" t="str">
        <f aca="false">IF(A1268="","", "SAMP-"&amp;A1268&amp;"-L"&amp;TEXT(B1268,"00")&amp;"-"&amp;TEXT(C1268,"yyyymmdd")&amp;"-"&amp;D1268&amp;"-H"&amp;TEXT(E1268,"00")&amp;"-"&amp;H1268)</f>
        <v>SAMP-KG01-L23-20251112-ORD-2025-00230-H07-Choke Neck</v>
      </c>
      <c r="K1268" s="1" t="str">
        <f aca="false">IF(A1268="","",IF(AND(G1268&gt;=0,I1268&gt;=0,I1268&lt;=G1268),"OK","CHECK"))</f>
        <v>OK</v>
      </c>
      <c r="L1268" s="1" t="str">
        <f aca="false">IF(A1268="","",IF(AND(E1268&gt;=0,E1268&lt;=23),"OK","CHECK"))</f>
        <v>OK</v>
      </c>
      <c r="M1268" s="1" t="str">
        <f aca="false">IF(A1268="","",IF(AND(K1268="OK",L1268="OK"),"OK","CHECK"))</f>
        <v>OK</v>
      </c>
    </row>
    <row r="1269" customFormat="false" ht="18" hidden="false" customHeight="true" outlineLevel="0" collapsed="false">
      <c r="A1269" s="9" t="s">
        <v>26</v>
      </c>
      <c r="B1269" s="9" t="n">
        <v>23</v>
      </c>
      <c r="C1269" s="11" t="n">
        <v>45973</v>
      </c>
      <c r="D1269" s="9" t="s">
        <v>120</v>
      </c>
      <c r="E1269" s="12" t="n">
        <v>23</v>
      </c>
      <c r="F1269" s="9" t="s">
        <v>31</v>
      </c>
      <c r="G1269" s="13" t="n">
        <v>150</v>
      </c>
      <c r="H1269" s="9" t="s">
        <v>37</v>
      </c>
      <c r="I1269" s="13" t="n">
        <v>2</v>
      </c>
      <c r="J1269" s="1" t="str">
        <f aca="false">IF(A1269="","", "SAMP-"&amp;A1269&amp;"-L"&amp;TEXT(B1269,"00")&amp;"-"&amp;TEXT(C1269,"yyyymmdd")&amp;"-"&amp;D1269&amp;"-H"&amp;TEXT(E1269,"00")&amp;"-"&amp;H1269)</f>
        <v>SAMP-KG01-L23-20251112-ORD-2025-00231-H23-Bird Swing</v>
      </c>
      <c r="K1269" s="1" t="str">
        <f aca="false">IF(A1269="","",IF(AND(G1269&gt;=0,I1269&gt;=0,I1269&lt;=G1269),"OK","CHECK"))</f>
        <v>OK</v>
      </c>
      <c r="L1269" s="1" t="str">
        <f aca="false">IF(A1269="","",IF(AND(E1269&gt;=0,E1269&lt;=23),"OK","CHECK"))</f>
        <v>OK</v>
      </c>
      <c r="M1269" s="1" t="str">
        <f aca="false">IF(A1269="","",IF(AND(K1269="OK",L1269="OK"),"OK","CHECK"))</f>
        <v>OK</v>
      </c>
    </row>
    <row r="1270" customFormat="false" ht="18" hidden="false" customHeight="true" outlineLevel="0" collapsed="false">
      <c r="A1270" s="9" t="s">
        <v>26</v>
      </c>
      <c r="B1270" s="9" t="n">
        <v>23</v>
      </c>
      <c r="C1270" s="11" t="n">
        <v>45973</v>
      </c>
      <c r="D1270" s="9" t="s">
        <v>120</v>
      </c>
      <c r="E1270" s="12" t="n">
        <v>16</v>
      </c>
      <c r="F1270" s="9" t="s">
        <v>31</v>
      </c>
      <c r="G1270" s="13" t="n">
        <v>200</v>
      </c>
      <c r="H1270" s="9" t="s">
        <v>30</v>
      </c>
      <c r="I1270" s="13" t="n">
        <v>5</v>
      </c>
      <c r="J1270" s="1" t="str">
        <f aca="false">IF(A1270="","", "SAMP-"&amp;A1270&amp;"-L"&amp;TEXT(B1270,"00")&amp;"-"&amp;TEXT(C1270,"yyyymmdd")&amp;"-"&amp;D1270&amp;"-H"&amp;TEXT(E1270,"00")&amp;"-"&amp;H1270)</f>
        <v>SAMP-KG01-L23-20251112-ORD-2025-00231-H16-Overpress</v>
      </c>
      <c r="K1270" s="1" t="str">
        <f aca="false">IF(A1270="","",IF(AND(G1270&gt;=0,I1270&gt;=0,I1270&lt;=G1270),"OK","CHECK"))</f>
        <v>OK</v>
      </c>
      <c r="L1270" s="1" t="str">
        <f aca="false">IF(A1270="","",IF(AND(E1270&gt;=0,E1270&lt;=23),"OK","CHECK"))</f>
        <v>OK</v>
      </c>
      <c r="M1270" s="1" t="str">
        <f aca="false">IF(A1270="","",IF(AND(K1270="OK",L1270="OK"),"OK","CHECK"))</f>
        <v>OK</v>
      </c>
    </row>
    <row r="1271" customFormat="false" ht="18" hidden="false" customHeight="true" outlineLevel="0" collapsed="false">
      <c r="A1271" s="9" t="s">
        <v>26</v>
      </c>
      <c r="B1271" s="9" t="n">
        <v>23</v>
      </c>
      <c r="C1271" s="11" t="n">
        <v>45973</v>
      </c>
      <c r="D1271" s="9" t="s">
        <v>120</v>
      </c>
      <c r="E1271" s="12" t="n">
        <v>20</v>
      </c>
      <c r="F1271" s="9" t="s">
        <v>31</v>
      </c>
      <c r="G1271" s="13" t="n">
        <v>150</v>
      </c>
      <c r="H1271" s="9" t="s">
        <v>36</v>
      </c>
      <c r="I1271" s="13" t="n">
        <v>4</v>
      </c>
      <c r="J1271" s="1" t="str">
        <f aca="false">IF(A1271="","", "SAMP-"&amp;A1271&amp;"-L"&amp;TEXT(B1271,"00")&amp;"-"&amp;TEXT(C1271,"yyyymmdd")&amp;"-"&amp;D1271&amp;"-H"&amp;TEXT(E1271,"00")&amp;"-"&amp;H1271)</f>
        <v>SAMP-KG01-L23-20251112-ORD-2025-00231-H20-Blister</v>
      </c>
      <c r="K1271" s="1" t="str">
        <f aca="false">IF(A1271="","",IF(AND(G1271&gt;=0,I1271&gt;=0,I1271&lt;=G1271),"OK","CHECK"))</f>
        <v>OK</v>
      </c>
      <c r="L1271" s="1" t="str">
        <f aca="false">IF(A1271="","",IF(AND(E1271&gt;=0,E1271&lt;=23),"OK","CHECK"))</f>
        <v>OK</v>
      </c>
      <c r="M1271" s="1" t="str">
        <f aca="false">IF(A1271="","",IF(AND(K1271="OK",L1271="OK"),"OK","CHECK"))</f>
        <v>OK</v>
      </c>
    </row>
    <row r="1272" customFormat="false" ht="18" hidden="false" customHeight="true" outlineLevel="0" collapsed="false">
      <c r="A1272" s="9" t="s">
        <v>26</v>
      </c>
      <c r="B1272" s="9" t="n">
        <v>23</v>
      </c>
      <c r="C1272" s="11" t="n">
        <v>45974</v>
      </c>
      <c r="D1272" s="9" t="s">
        <v>120</v>
      </c>
      <c r="E1272" s="12" t="n">
        <v>9</v>
      </c>
      <c r="F1272" s="9" t="s">
        <v>28</v>
      </c>
      <c r="G1272" s="13" t="n">
        <v>50</v>
      </c>
      <c r="H1272" s="9" t="s">
        <v>37</v>
      </c>
      <c r="I1272" s="13" t="n">
        <v>1</v>
      </c>
      <c r="J1272" s="1" t="str">
        <f aca="false">IF(A1272="","", "SAMP-"&amp;A1272&amp;"-L"&amp;TEXT(B1272,"00")&amp;"-"&amp;TEXT(C1272,"yyyymmdd")&amp;"-"&amp;D1272&amp;"-H"&amp;TEXT(E1272,"00")&amp;"-"&amp;H1272)</f>
        <v>SAMP-KG01-L23-20251113-ORD-2025-00231-H09-Bird Swing</v>
      </c>
      <c r="K1272" s="1" t="str">
        <f aca="false">IF(A1272="","",IF(AND(G1272&gt;=0,I1272&gt;=0,I1272&lt;=G1272),"OK","CHECK"))</f>
        <v>OK</v>
      </c>
      <c r="L1272" s="1" t="str">
        <f aca="false">IF(A1272="","",IF(AND(E1272&gt;=0,E1272&lt;=23),"OK","CHECK"))</f>
        <v>OK</v>
      </c>
      <c r="M1272" s="1" t="str">
        <f aca="false">IF(A1272="","",IF(AND(K1272="OK",L1272="OK"),"OK","CHECK"))</f>
        <v>OK</v>
      </c>
    </row>
    <row r="1273" customFormat="false" ht="18" hidden="false" customHeight="true" outlineLevel="0" collapsed="false">
      <c r="A1273" s="9" t="s">
        <v>26</v>
      </c>
      <c r="B1273" s="9" t="n">
        <v>23</v>
      </c>
      <c r="C1273" s="11" t="n">
        <v>45974</v>
      </c>
      <c r="D1273" s="9" t="s">
        <v>120</v>
      </c>
      <c r="E1273" s="12" t="n">
        <v>12</v>
      </c>
      <c r="F1273" s="9" t="s">
        <v>28</v>
      </c>
      <c r="G1273" s="13" t="n">
        <v>100</v>
      </c>
      <c r="H1273" s="9" t="s">
        <v>30</v>
      </c>
      <c r="I1273" s="13" t="n">
        <v>1</v>
      </c>
      <c r="J1273" s="1" t="str">
        <f aca="false">IF(A1273="","", "SAMP-"&amp;A1273&amp;"-L"&amp;TEXT(B1273,"00")&amp;"-"&amp;TEXT(C1273,"yyyymmdd")&amp;"-"&amp;D1273&amp;"-H"&amp;TEXT(E1273,"00")&amp;"-"&amp;H1273)</f>
        <v>SAMP-KG01-L23-20251113-ORD-2025-00231-H12-Overpress</v>
      </c>
      <c r="K1273" s="1" t="str">
        <f aca="false">IF(A1273="","",IF(AND(G1273&gt;=0,I1273&gt;=0,I1273&lt;=G1273),"OK","CHECK"))</f>
        <v>OK</v>
      </c>
      <c r="L1273" s="1" t="str">
        <f aca="false">IF(A1273="","",IF(AND(E1273&gt;=0,E1273&lt;=23),"OK","CHECK"))</f>
        <v>OK</v>
      </c>
      <c r="M1273" s="1" t="str">
        <f aca="false">IF(A1273="","",IF(AND(K1273="OK",L1273="OK"),"OK","CHECK"))</f>
        <v>OK</v>
      </c>
    </row>
    <row r="1274" customFormat="false" ht="18" hidden="false" customHeight="true" outlineLevel="0" collapsed="false">
      <c r="A1274" s="9" t="s">
        <v>26</v>
      </c>
      <c r="B1274" s="9" t="n">
        <v>23</v>
      </c>
      <c r="C1274" s="11" t="n">
        <v>45974</v>
      </c>
      <c r="D1274" s="9" t="s">
        <v>120</v>
      </c>
      <c r="E1274" s="12" t="n">
        <v>20</v>
      </c>
      <c r="F1274" s="9" t="s">
        <v>31</v>
      </c>
      <c r="G1274" s="13" t="n">
        <v>150</v>
      </c>
      <c r="H1274" s="9" t="s">
        <v>29</v>
      </c>
      <c r="I1274" s="13" t="n">
        <v>1</v>
      </c>
      <c r="J1274" s="1" t="str">
        <f aca="false">IF(A1274="","", "SAMP-"&amp;A1274&amp;"-L"&amp;TEXT(B1274,"00")&amp;"-"&amp;TEXT(C1274,"yyyymmdd")&amp;"-"&amp;D1274&amp;"-H"&amp;TEXT(E1274,"00")&amp;"-"&amp;H1274)</f>
        <v>SAMP-KG01-L23-20251113-ORD-2025-00231-H20-Choke Neck</v>
      </c>
      <c r="K1274" s="1" t="str">
        <f aca="false">IF(A1274="","",IF(AND(G1274&gt;=0,I1274&gt;=0,I1274&lt;=G1274),"OK","CHECK"))</f>
        <v>OK</v>
      </c>
      <c r="L1274" s="1" t="str">
        <f aca="false">IF(A1274="","",IF(AND(E1274&gt;=0,E1274&lt;=23),"OK","CHECK"))</f>
        <v>OK</v>
      </c>
      <c r="M1274" s="1" t="str">
        <f aca="false">IF(A1274="","",IF(AND(K1274="OK",L1274="OK"),"OK","CHECK"))</f>
        <v>OK</v>
      </c>
    </row>
    <row r="1275" customFormat="false" ht="18" hidden="false" customHeight="true" outlineLevel="0" collapsed="false">
      <c r="A1275" s="9" t="s">
        <v>26</v>
      </c>
      <c r="B1275" s="9" t="n">
        <v>23</v>
      </c>
      <c r="C1275" s="11" t="n">
        <v>45974</v>
      </c>
      <c r="D1275" s="9" t="s">
        <v>120</v>
      </c>
      <c r="E1275" s="12" t="n">
        <v>16</v>
      </c>
      <c r="F1275" s="9" t="s">
        <v>31</v>
      </c>
      <c r="G1275" s="13" t="n">
        <v>150</v>
      </c>
      <c r="H1275" s="9" t="s">
        <v>34</v>
      </c>
      <c r="I1275" s="13" t="n">
        <v>4</v>
      </c>
      <c r="J1275" s="1" t="str">
        <f aca="false">IF(A1275="","", "SAMP-"&amp;A1275&amp;"-L"&amp;TEXT(B1275,"00")&amp;"-"&amp;TEXT(C1275,"yyyymmdd")&amp;"-"&amp;D1275&amp;"-H"&amp;TEXT(E1275,"00")&amp;"-"&amp;H1275)</f>
        <v>SAMP-KG01-L23-20251113-ORD-2025-00231-H16-Thin Wall</v>
      </c>
      <c r="K1275" s="1" t="str">
        <f aca="false">IF(A1275="","",IF(AND(G1275&gt;=0,I1275&gt;=0,I1275&lt;=G1275),"OK","CHECK"))</f>
        <v>OK</v>
      </c>
      <c r="L1275" s="1" t="str">
        <f aca="false">IF(A1275="","",IF(AND(E1275&gt;=0,E1275&lt;=23),"OK","CHECK"))</f>
        <v>OK</v>
      </c>
      <c r="M1275" s="1" t="str">
        <f aca="false">IF(A1275="","",IF(AND(K1275="OK",L1275="OK"),"OK","CHECK"))</f>
        <v>OK</v>
      </c>
    </row>
    <row r="1276" customFormat="false" ht="18" hidden="false" customHeight="true" outlineLevel="0" collapsed="false">
      <c r="A1276" s="9" t="s">
        <v>26</v>
      </c>
      <c r="B1276" s="9" t="n">
        <v>23</v>
      </c>
      <c r="C1276" s="11" t="n">
        <v>45975</v>
      </c>
      <c r="D1276" s="9" t="s">
        <v>120</v>
      </c>
      <c r="E1276" s="12" t="n">
        <v>9</v>
      </c>
      <c r="F1276" s="9" t="s">
        <v>28</v>
      </c>
      <c r="G1276" s="13" t="n">
        <v>100</v>
      </c>
      <c r="H1276" s="9" t="s">
        <v>33</v>
      </c>
      <c r="I1276" s="13" t="n">
        <v>0</v>
      </c>
      <c r="J1276" s="1" t="str">
        <f aca="false">IF(A1276="","", "SAMP-"&amp;A1276&amp;"-L"&amp;TEXT(B1276,"00")&amp;"-"&amp;TEXT(C1276,"yyyymmdd")&amp;"-"&amp;D1276&amp;"-H"&amp;TEXT(E1276,"00")&amp;"-"&amp;H1276)</f>
        <v>SAMP-KG01-L23-20251114-ORD-2025-00231-H09-Distortion</v>
      </c>
      <c r="K1276" s="1" t="str">
        <f aca="false">IF(A1276="","",IF(AND(G1276&gt;=0,I1276&gt;=0,I1276&lt;=G1276),"OK","CHECK"))</f>
        <v>OK</v>
      </c>
      <c r="L1276" s="1" t="str">
        <f aca="false">IF(A1276="","",IF(AND(E1276&gt;=0,E1276&lt;=23),"OK","CHECK"))</f>
        <v>OK</v>
      </c>
      <c r="M1276" s="1" t="str">
        <f aca="false">IF(A1276="","",IF(AND(K1276="OK",L1276="OK"),"OK","CHECK"))</f>
        <v>OK</v>
      </c>
    </row>
    <row r="1277" customFormat="false" ht="18" hidden="false" customHeight="true" outlineLevel="0" collapsed="false">
      <c r="A1277" s="9" t="s">
        <v>26</v>
      </c>
      <c r="B1277" s="9" t="n">
        <v>23</v>
      </c>
      <c r="C1277" s="11" t="n">
        <v>45975</v>
      </c>
      <c r="D1277" s="9" t="s">
        <v>120</v>
      </c>
      <c r="E1277" s="12" t="n">
        <v>12</v>
      </c>
      <c r="F1277" s="9" t="s">
        <v>28</v>
      </c>
      <c r="G1277" s="13" t="n">
        <v>150</v>
      </c>
      <c r="H1277" s="9" t="s">
        <v>29</v>
      </c>
      <c r="I1277" s="13" t="n">
        <v>9</v>
      </c>
      <c r="J1277" s="1" t="str">
        <f aca="false">IF(A1277="","", "SAMP-"&amp;A1277&amp;"-L"&amp;TEXT(B1277,"00")&amp;"-"&amp;TEXT(C1277,"yyyymmdd")&amp;"-"&amp;D1277&amp;"-H"&amp;TEXT(E1277,"00")&amp;"-"&amp;H1277)</f>
        <v>SAMP-KG01-L23-20251114-ORD-2025-00231-H12-Choke Neck</v>
      </c>
      <c r="K1277" s="1" t="str">
        <f aca="false">IF(A1277="","",IF(AND(G1277&gt;=0,I1277&gt;=0,I1277&lt;=G1277),"OK","CHECK"))</f>
        <v>OK</v>
      </c>
      <c r="L1277" s="1" t="str">
        <f aca="false">IF(A1277="","",IF(AND(E1277&gt;=0,E1277&lt;=23),"OK","CHECK"))</f>
        <v>OK</v>
      </c>
      <c r="M1277" s="1" t="str">
        <f aca="false">IF(A1277="","",IF(AND(K1277="OK",L1277="OK"),"OK","CHECK"))</f>
        <v>OK</v>
      </c>
    </row>
    <row r="1278" customFormat="false" ht="18" hidden="false" customHeight="true" outlineLevel="0" collapsed="false">
      <c r="A1278" s="9" t="s">
        <v>26</v>
      </c>
      <c r="B1278" s="9" t="n">
        <v>23</v>
      </c>
      <c r="C1278" s="11" t="n">
        <v>45975</v>
      </c>
      <c r="D1278" s="9" t="s">
        <v>120</v>
      </c>
      <c r="E1278" s="12" t="n">
        <v>7</v>
      </c>
      <c r="F1278" s="9" t="s">
        <v>28</v>
      </c>
      <c r="G1278" s="13" t="n">
        <v>150</v>
      </c>
      <c r="H1278" s="9" t="s">
        <v>38</v>
      </c>
      <c r="I1278" s="13" t="n">
        <v>8</v>
      </c>
      <c r="J1278" s="1" t="str">
        <f aca="false">IF(A1278="","", "SAMP-"&amp;A1278&amp;"-L"&amp;TEXT(B1278,"00")&amp;"-"&amp;TEXT(C1278,"yyyymmdd")&amp;"-"&amp;D1278&amp;"-H"&amp;TEXT(E1278,"00")&amp;"-"&amp;H1278)</f>
        <v>SAMP-KG01-L23-20251114-ORD-2025-00231-H07-Crack</v>
      </c>
      <c r="K1278" s="1" t="str">
        <f aca="false">IF(A1278="","",IF(AND(G1278&gt;=0,I1278&gt;=0,I1278&lt;=G1278),"OK","CHECK"))</f>
        <v>OK</v>
      </c>
      <c r="L1278" s="1" t="str">
        <f aca="false">IF(A1278="","",IF(AND(E1278&gt;=0,E1278&lt;=23),"OK","CHECK"))</f>
        <v>OK</v>
      </c>
      <c r="M1278" s="1" t="str">
        <f aca="false">IF(A1278="","",IF(AND(K1278="OK",L1278="OK"),"OK","CHECK"))</f>
        <v>OK</v>
      </c>
    </row>
    <row r="1279" customFormat="false" ht="18" hidden="false" customHeight="true" outlineLevel="0" collapsed="false">
      <c r="A1279" s="9" t="s">
        <v>26</v>
      </c>
      <c r="B1279" s="9" t="n">
        <v>23</v>
      </c>
      <c r="C1279" s="11" t="n">
        <v>45975</v>
      </c>
      <c r="D1279" s="9" t="s">
        <v>120</v>
      </c>
      <c r="E1279" s="12" t="n">
        <v>16</v>
      </c>
      <c r="F1279" s="9" t="s">
        <v>31</v>
      </c>
      <c r="G1279" s="13" t="n">
        <v>100</v>
      </c>
      <c r="H1279" s="9" t="s">
        <v>41</v>
      </c>
      <c r="I1279" s="13" t="n">
        <v>4</v>
      </c>
      <c r="J1279" s="1" t="str">
        <f aca="false">IF(A1279="","", "SAMP-"&amp;A1279&amp;"-L"&amp;TEXT(B1279,"00")&amp;"-"&amp;TEXT(C1279,"yyyymmdd")&amp;"-"&amp;D1279&amp;"-H"&amp;TEXT(E1279,"00")&amp;"-"&amp;H1279)</f>
        <v>SAMP-KG01-L23-20251114-ORD-2025-00231-H16-Chip</v>
      </c>
      <c r="K1279" s="1" t="str">
        <f aca="false">IF(A1279="","",IF(AND(G1279&gt;=0,I1279&gt;=0,I1279&lt;=G1279),"OK","CHECK"))</f>
        <v>OK</v>
      </c>
      <c r="L1279" s="1" t="str">
        <f aca="false">IF(A1279="","",IF(AND(E1279&gt;=0,E1279&lt;=23),"OK","CHECK"))</f>
        <v>OK</v>
      </c>
      <c r="M1279" s="1" t="str">
        <f aca="false">IF(A1279="","",IF(AND(K1279="OK",L1279="OK"),"OK","CHECK"))</f>
        <v>OK</v>
      </c>
    </row>
    <row r="1280" customFormat="false" ht="18" hidden="false" customHeight="true" outlineLevel="0" collapsed="false">
      <c r="A1280" s="9" t="s">
        <v>26</v>
      </c>
      <c r="B1280" s="9" t="n">
        <v>23</v>
      </c>
      <c r="C1280" s="11" t="n">
        <v>45975</v>
      </c>
      <c r="D1280" s="9" t="s">
        <v>120</v>
      </c>
      <c r="E1280" s="12" t="n">
        <v>20</v>
      </c>
      <c r="F1280" s="9" t="s">
        <v>31</v>
      </c>
      <c r="G1280" s="13" t="n">
        <v>200</v>
      </c>
      <c r="H1280" s="9" t="s">
        <v>34</v>
      </c>
      <c r="I1280" s="13" t="n">
        <v>5</v>
      </c>
      <c r="J1280" s="1" t="str">
        <f aca="false">IF(A1280="","", "SAMP-"&amp;A1280&amp;"-L"&amp;TEXT(B1280,"00")&amp;"-"&amp;TEXT(C1280,"yyyymmdd")&amp;"-"&amp;D1280&amp;"-H"&amp;TEXT(E1280,"00")&amp;"-"&amp;H1280)</f>
        <v>SAMP-KG01-L23-20251114-ORD-2025-00231-H20-Thin Wall</v>
      </c>
      <c r="K1280" s="1" t="str">
        <f aca="false">IF(A1280="","",IF(AND(G1280&gt;=0,I1280&gt;=0,I1280&lt;=G1280),"OK","CHECK"))</f>
        <v>OK</v>
      </c>
      <c r="L1280" s="1" t="str">
        <f aca="false">IF(A1280="","",IF(AND(E1280&gt;=0,E1280&lt;=23),"OK","CHECK"))</f>
        <v>OK</v>
      </c>
      <c r="M1280" s="1" t="str">
        <f aca="false">IF(A1280="","",IF(AND(K1280="OK",L1280="OK"),"OK","CHECK"))</f>
        <v>OK</v>
      </c>
    </row>
    <row r="1281" customFormat="false" ht="18" hidden="false" customHeight="true" outlineLevel="0" collapsed="false">
      <c r="A1281" s="9" t="s">
        <v>26</v>
      </c>
      <c r="B1281" s="9" t="n">
        <v>23</v>
      </c>
      <c r="C1281" s="11" t="n">
        <v>45976</v>
      </c>
      <c r="D1281" s="9" t="s">
        <v>120</v>
      </c>
      <c r="E1281" s="12" t="n">
        <v>9</v>
      </c>
      <c r="F1281" s="9" t="s">
        <v>28</v>
      </c>
      <c r="G1281" s="13" t="n">
        <v>50</v>
      </c>
      <c r="H1281" s="9" t="s">
        <v>37</v>
      </c>
      <c r="I1281" s="13" t="n">
        <v>0</v>
      </c>
      <c r="J1281" s="1" t="str">
        <f aca="false">IF(A1281="","", "SAMP-"&amp;A1281&amp;"-L"&amp;TEXT(B1281,"00")&amp;"-"&amp;TEXT(C1281,"yyyymmdd")&amp;"-"&amp;D1281&amp;"-H"&amp;TEXT(E1281,"00")&amp;"-"&amp;H1281)</f>
        <v>SAMP-KG01-L23-20251115-ORD-2025-00231-H09-Bird Swing</v>
      </c>
      <c r="K1281" s="1" t="str">
        <f aca="false">IF(A1281="","",IF(AND(G1281&gt;=0,I1281&gt;=0,I1281&lt;=G1281),"OK","CHECK"))</f>
        <v>OK</v>
      </c>
      <c r="L1281" s="1" t="str">
        <f aca="false">IF(A1281="","",IF(AND(E1281&gt;=0,E1281&lt;=23),"OK","CHECK"))</f>
        <v>OK</v>
      </c>
      <c r="M1281" s="1" t="str">
        <f aca="false">IF(A1281="","",IF(AND(K1281="OK",L1281="OK"),"OK","CHECK"))</f>
        <v>OK</v>
      </c>
    </row>
    <row r="1282" customFormat="false" ht="18" hidden="false" customHeight="true" outlineLevel="0" collapsed="false">
      <c r="A1282" s="9" t="s">
        <v>26</v>
      </c>
      <c r="B1282" s="9" t="n">
        <v>23</v>
      </c>
      <c r="C1282" s="11" t="n">
        <v>45976</v>
      </c>
      <c r="D1282" s="9" t="s">
        <v>120</v>
      </c>
      <c r="E1282" s="12" t="n">
        <v>12</v>
      </c>
      <c r="F1282" s="9" t="s">
        <v>28</v>
      </c>
      <c r="G1282" s="13" t="n">
        <v>100</v>
      </c>
      <c r="H1282" s="9" t="s">
        <v>36</v>
      </c>
      <c r="I1282" s="13" t="n">
        <v>2</v>
      </c>
      <c r="J1282" s="1" t="str">
        <f aca="false">IF(A1282="","", "SAMP-"&amp;A1282&amp;"-L"&amp;TEXT(B1282,"00")&amp;"-"&amp;TEXT(C1282,"yyyymmdd")&amp;"-"&amp;D1282&amp;"-H"&amp;TEXT(E1282,"00")&amp;"-"&amp;H1282)</f>
        <v>SAMP-KG01-L23-20251115-ORD-2025-00231-H12-Blister</v>
      </c>
      <c r="K1282" s="1" t="str">
        <f aca="false">IF(A1282="","",IF(AND(G1282&gt;=0,I1282&gt;=0,I1282&lt;=G1282),"OK","CHECK"))</f>
        <v>OK</v>
      </c>
      <c r="L1282" s="1" t="str">
        <f aca="false">IF(A1282="","",IF(AND(E1282&gt;=0,E1282&lt;=23),"OK","CHECK"))</f>
        <v>OK</v>
      </c>
      <c r="M1282" s="1" t="str">
        <f aca="false">IF(A1282="","",IF(AND(K1282="OK",L1282="OK"),"OK","CHECK"))</f>
        <v>OK</v>
      </c>
    </row>
    <row r="1283" customFormat="false" ht="18" hidden="false" customHeight="true" outlineLevel="0" collapsed="false">
      <c r="A1283" s="9" t="s">
        <v>26</v>
      </c>
      <c r="B1283" s="9" t="n">
        <v>23</v>
      </c>
      <c r="C1283" s="11" t="n">
        <v>45976</v>
      </c>
      <c r="D1283" s="9" t="s">
        <v>121</v>
      </c>
      <c r="E1283" s="12" t="n">
        <v>23</v>
      </c>
      <c r="F1283" s="9" t="s">
        <v>31</v>
      </c>
      <c r="G1283" s="13" t="n">
        <v>200</v>
      </c>
      <c r="H1283" s="9" t="s">
        <v>35</v>
      </c>
      <c r="I1283" s="13" t="n">
        <v>5</v>
      </c>
      <c r="J1283" s="1" t="str">
        <f aca="false">IF(A1283="","", "SAMP-"&amp;A1283&amp;"-L"&amp;TEXT(B1283,"00")&amp;"-"&amp;TEXT(C1283,"yyyymmdd")&amp;"-"&amp;D1283&amp;"-H"&amp;TEXT(E1283,"00")&amp;"-"&amp;H1283)</f>
        <v>SAMP-KG01-L23-20251115-ORD-2025-00232-H23-Stone</v>
      </c>
      <c r="K1283" s="1" t="str">
        <f aca="false">IF(A1283="","",IF(AND(G1283&gt;=0,I1283&gt;=0,I1283&lt;=G1283),"OK","CHECK"))</f>
        <v>OK</v>
      </c>
      <c r="L1283" s="1" t="str">
        <f aca="false">IF(A1283="","",IF(AND(E1283&gt;=0,E1283&lt;=23),"OK","CHECK"))</f>
        <v>OK</v>
      </c>
      <c r="M1283" s="1" t="str">
        <f aca="false">IF(A1283="","",IF(AND(K1283="OK",L1283="OK"),"OK","CHECK"))</f>
        <v>OK</v>
      </c>
    </row>
    <row r="1284" customFormat="false" ht="18" hidden="false" customHeight="true" outlineLevel="0" collapsed="false">
      <c r="A1284" s="9" t="s">
        <v>26</v>
      </c>
      <c r="B1284" s="9" t="n">
        <v>23</v>
      </c>
      <c r="C1284" s="11" t="n">
        <v>45976</v>
      </c>
      <c r="D1284" s="9" t="s">
        <v>121</v>
      </c>
      <c r="E1284" s="12" t="n">
        <v>20</v>
      </c>
      <c r="F1284" s="9" t="s">
        <v>31</v>
      </c>
      <c r="G1284" s="13" t="n">
        <v>50</v>
      </c>
      <c r="H1284" s="9" t="s">
        <v>30</v>
      </c>
      <c r="I1284" s="13" t="n">
        <v>2</v>
      </c>
      <c r="J1284" s="1" t="str">
        <f aca="false">IF(A1284="","", "SAMP-"&amp;A1284&amp;"-L"&amp;TEXT(B1284,"00")&amp;"-"&amp;TEXT(C1284,"yyyymmdd")&amp;"-"&amp;D1284&amp;"-H"&amp;TEXT(E1284,"00")&amp;"-"&amp;H1284)</f>
        <v>SAMP-KG01-L23-20251115-ORD-2025-00232-H20-Overpress</v>
      </c>
      <c r="K1284" s="1" t="str">
        <f aca="false">IF(A1284="","",IF(AND(G1284&gt;=0,I1284&gt;=0,I1284&lt;=G1284),"OK","CHECK"))</f>
        <v>OK</v>
      </c>
      <c r="L1284" s="1" t="str">
        <f aca="false">IF(A1284="","",IF(AND(E1284&gt;=0,E1284&lt;=23),"OK","CHECK"))</f>
        <v>OK</v>
      </c>
      <c r="M1284" s="1" t="str">
        <f aca="false">IF(A1284="","",IF(AND(K1284="OK",L1284="OK"),"OK","CHECK"))</f>
        <v>OK</v>
      </c>
    </row>
    <row r="1285" customFormat="false" ht="18" hidden="false" customHeight="true" outlineLevel="0" collapsed="false">
      <c r="A1285" s="9" t="s">
        <v>26</v>
      </c>
      <c r="B1285" s="9" t="n">
        <v>23</v>
      </c>
      <c r="C1285" s="11" t="n">
        <v>45976</v>
      </c>
      <c r="D1285" s="9" t="s">
        <v>121</v>
      </c>
      <c r="E1285" s="12" t="n">
        <v>16</v>
      </c>
      <c r="F1285" s="9" t="s">
        <v>31</v>
      </c>
      <c r="G1285" s="13" t="n">
        <v>150</v>
      </c>
      <c r="H1285" s="9" t="s">
        <v>33</v>
      </c>
      <c r="I1285" s="13" t="n">
        <v>2</v>
      </c>
      <c r="J1285" s="1" t="str">
        <f aca="false">IF(A1285="","", "SAMP-"&amp;A1285&amp;"-L"&amp;TEXT(B1285,"00")&amp;"-"&amp;TEXT(C1285,"yyyymmdd")&amp;"-"&amp;D1285&amp;"-H"&amp;TEXT(E1285,"00")&amp;"-"&amp;H1285)</f>
        <v>SAMP-KG01-L23-20251115-ORD-2025-00232-H16-Distortion</v>
      </c>
      <c r="K1285" s="1" t="str">
        <f aca="false">IF(A1285="","",IF(AND(G1285&gt;=0,I1285&gt;=0,I1285&lt;=G1285),"OK","CHECK"))</f>
        <v>OK</v>
      </c>
      <c r="L1285" s="1" t="str">
        <f aca="false">IF(A1285="","",IF(AND(E1285&gt;=0,E1285&lt;=23),"OK","CHECK"))</f>
        <v>OK</v>
      </c>
      <c r="M1285" s="1" t="str">
        <f aca="false">IF(A1285="","",IF(AND(K1285="OK",L1285="OK"),"OK","CHECK"))</f>
        <v>OK</v>
      </c>
    </row>
    <row r="1286" customFormat="false" ht="18" hidden="false" customHeight="true" outlineLevel="0" collapsed="false">
      <c r="A1286" s="9" t="s">
        <v>26</v>
      </c>
      <c r="B1286" s="9" t="n">
        <v>23</v>
      </c>
      <c r="C1286" s="11" t="n">
        <v>45977</v>
      </c>
      <c r="D1286" s="9" t="s">
        <v>121</v>
      </c>
      <c r="E1286" s="12" t="n">
        <v>12</v>
      </c>
      <c r="F1286" s="9" t="s">
        <v>28</v>
      </c>
      <c r="G1286" s="13" t="n">
        <v>200</v>
      </c>
      <c r="H1286" s="9" t="s">
        <v>38</v>
      </c>
      <c r="I1286" s="13" t="n">
        <v>3</v>
      </c>
      <c r="J1286" s="1" t="str">
        <f aca="false">IF(A1286="","", "SAMP-"&amp;A1286&amp;"-L"&amp;TEXT(B1286,"00")&amp;"-"&amp;TEXT(C1286,"yyyymmdd")&amp;"-"&amp;D1286&amp;"-H"&amp;TEXT(E1286,"00")&amp;"-"&amp;H1286)</f>
        <v>SAMP-KG01-L23-20251116-ORD-2025-00232-H12-Crack</v>
      </c>
      <c r="K1286" s="1" t="str">
        <f aca="false">IF(A1286="","",IF(AND(G1286&gt;=0,I1286&gt;=0,I1286&lt;=G1286),"OK","CHECK"))</f>
        <v>OK</v>
      </c>
      <c r="L1286" s="1" t="str">
        <f aca="false">IF(A1286="","",IF(AND(E1286&gt;=0,E1286&lt;=23),"OK","CHECK"))</f>
        <v>OK</v>
      </c>
      <c r="M1286" s="1" t="str">
        <f aca="false">IF(A1286="","",IF(AND(K1286="OK",L1286="OK"),"OK","CHECK"))</f>
        <v>OK</v>
      </c>
    </row>
    <row r="1287" customFormat="false" ht="18" hidden="false" customHeight="true" outlineLevel="0" collapsed="false">
      <c r="A1287" s="9" t="s">
        <v>26</v>
      </c>
      <c r="B1287" s="9" t="n">
        <v>23</v>
      </c>
      <c r="C1287" s="11" t="n">
        <v>45977</v>
      </c>
      <c r="D1287" s="9" t="s">
        <v>121</v>
      </c>
      <c r="E1287" s="12" t="n">
        <v>9</v>
      </c>
      <c r="F1287" s="9" t="s">
        <v>28</v>
      </c>
      <c r="G1287" s="13" t="n">
        <v>50</v>
      </c>
      <c r="H1287" s="9" t="s">
        <v>29</v>
      </c>
      <c r="I1287" s="13" t="n">
        <v>2</v>
      </c>
      <c r="J1287" s="1" t="str">
        <f aca="false">IF(A1287="","", "SAMP-"&amp;A1287&amp;"-L"&amp;TEXT(B1287,"00")&amp;"-"&amp;TEXT(C1287,"yyyymmdd")&amp;"-"&amp;D1287&amp;"-H"&amp;TEXT(E1287,"00")&amp;"-"&amp;H1287)</f>
        <v>SAMP-KG01-L23-20251116-ORD-2025-00232-H09-Choke Neck</v>
      </c>
      <c r="K1287" s="1" t="str">
        <f aca="false">IF(A1287="","",IF(AND(G1287&gt;=0,I1287&gt;=0,I1287&lt;=G1287),"OK","CHECK"))</f>
        <v>OK</v>
      </c>
      <c r="L1287" s="1" t="str">
        <f aca="false">IF(A1287="","",IF(AND(E1287&gt;=0,E1287&lt;=23),"OK","CHECK"))</f>
        <v>OK</v>
      </c>
      <c r="M1287" s="1" t="str">
        <f aca="false">IF(A1287="","",IF(AND(K1287="OK",L1287="OK"),"OK","CHECK"))</f>
        <v>OK</v>
      </c>
    </row>
    <row r="1288" customFormat="false" ht="18" hidden="false" customHeight="true" outlineLevel="0" collapsed="false">
      <c r="A1288" s="9" t="s">
        <v>26</v>
      </c>
      <c r="B1288" s="9" t="n">
        <v>23</v>
      </c>
      <c r="C1288" s="11" t="n">
        <v>45977</v>
      </c>
      <c r="D1288" s="9" t="s">
        <v>121</v>
      </c>
      <c r="E1288" s="12" t="n">
        <v>20</v>
      </c>
      <c r="F1288" s="9" t="s">
        <v>31</v>
      </c>
      <c r="G1288" s="13" t="n">
        <v>100</v>
      </c>
      <c r="H1288" s="9" t="s">
        <v>30</v>
      </c>
      <c r="I1288" s="13" t="n">
        <v>0</v>
      </c>
      <c r="J1288" s="1" t="str">
        <f aca="false">IF(A1288="","", "SAMP-"&amp;A1288&amp;"-L"&amp;TEXT(B1288,"00")&amp;"-"&amp;TEXT(C1288,"yyyymmdd")&amp;"-"&amp;D1288&amp;"-H"&amp;TEXT(E1288,"00")&amp;"-"&amp;H1288)</f>
        <v>SAMP-KG01-L23-20251116-ORD-2025-00232-H20-Overpress</v>
      </c>
      <c r="K1288" s="1" t="str">
        <f aca="false">IF(A1288="","",IF(AND(G1288&gt;=0,I1288&gt;=0,I1288&lt;=G1288),"OK","CHECK"))</f>
        <v>OK</v>
      </c>
      <c r="L1288" s="1" t="str">
        <f aca="false">IF(A1288="","",IF(AND(E1288&gt;=0,E1288&lt;=23),"OK","CHECK"))</f>
        <v>OK</v>
      </c>
      <c r="M1288" s="1" t="str">
        <f aca="false">IF(A1288="","",IF(AND(K1288="OK",L1288="OK"),"OK","CHECK"))</f>
        <v>OK</v>
      </c>
    </row>
    <row r="1289" customFormat="false" ht="18" hidden="false" customHeight="true" outlineLevel="0" collapsed="false">
      <c r="A1289" s="9" t="s">
        <v>26</v>
      </c>
      <c r="B1289" s="9" t="n">
        <v>23</v>
      </c>
      <c r="C1289" s="11" t="n">
        <v>45977</v>
      </c>
      <c r="D1289" s="9" t="s">
        <v>121</v>
      </c>
      <c r="E1289" s="12" t="n">
        <v>23</v>
      </c>
      <c r="F1289" s="9" t="s">
        <v>31</v>
      </c>
      <c r="G1289" s="13" t="n">
        <v>100</v>
      </c>
      <c r="H1289" s="9" t="s">
        <v>33</v>
      </c>
      <c r="I1289" s="13" t="n">
        <v>5</v>
      </c>
      <c r="J1289" s="1" t="str">
        <f aca="false">IF(A1289="","", "SAMP-"&amp;A1289&amp;"-L"&amp;TEXT(B1289,"00")&amp;"-"&amp;TEXT(C1289,"yyyymmdd")&amp;"-"&amp;D1289&amp;"-H"&amp;TEXT(E1289,"00")&amp;"-"&amp;H1289)</f>
        <v>SAMP-KG01-L23-20251116-ORD-2025-00232-H23-Distortion</v>
      </c>
      <c r="K1289" s="1" t="str">
        <f aca="false">IF(A1289="","",IF(AND(G1289&gt;=0,I1289&gt;=0,I1289&lt;=G1289),"OK","CHECK"))</f>
        <v>OK</v>
      </c>
      <c r="L1289" s="1" t="str">
        <f aca="false">IF(A1289="","",IF(AND(E1289&gt;=0,E1289&lt;=23),"OK","CHECK"))</f>
        <v>OK</v>
      </c>
      <c r="M1289" s="1" t="str">
        <f aca="false">IF(A1289="","",IF(AND(K1289="OK",L1289="OK"),"OK","CHECK"))</f>
        <v>OK</v>
      </c>
    </row>
    <row r="1290" customFormat="false" ht="18" hidden="false" customHeight="true" outlineLevel="0" collapsed="false">
      <c r="A1290" s="9" t="s">
        <v>26</v>
      </c>
      <c r="B1290" s="9" t="n">
        <v>23</v>
      </c>
      <c r="C1290" s="11" t="n">
        <v>45977</v>
      </c>
      <c r="D1290" s="9" t="s">
        <v>121</v>
      </c>
      <c r="E1290" s="12" t="n">
        <v>16</v>
      </c>
      <c r="F1290" s="9" t="s">
        <v>31</v>
      </c>
      <c r="G1290" s="13" t="n">
        <v>150</v>
      </c>
      <c r="H1290" s="9" t="s">
        <v>34</v>
      </c>
      <c r="I1290" s="13" t="n">
        <v>3</v>
      </c>
      <c r="J1290" s="1" t="str">
        <f aca="false">IF(A1290="","", "SAMP-"&amp;A1290&amp;"-L"&amp;TEXT(B1290,"00")&amp;"-"&amp;TEXT(C1290,"yyyymmdd")&amp;"-"&amp;D1290&amp;"-H"&amp;TEXT(E1290,"00")&amp;"-"&amp;H1290)</f>
        <v>SAMP-KG01-L23-20251116-ORD-2025-00232-H16-Thin Wall</v>
      </c>
      <c r="K1290" s="1" t="str">
        <f aca="false">IF(A1290="","",IF(AND(G1290&gt;=0,I1290&gt;=0,I1290&lt;=G1290),"OK","CHECK"))</f>
        <v>OK</v>
      </c>
      <c r="L1290" s="1" t="str">
        <f aca="false">IF(A1290="","",IF(AND(E1290&gt;=0,E1290&lt;=23),"OK","CHECK"))</f>
        <v>OK</v>
      </c>
      <c r="M1290" s="1" t="str">
        <f aca="false">IF(A1290="","",IF(AND(K1290="OK",L1290="OK"),"OK","CHECK"))</f>
        <v>OK</v>
      </c>
    </row>
    <row r="1291" customFormat="false" ht="18" hidden="false" customHeight="true" outlineLevel="0" collapsed="false">
      <c r="A1291" s="9" t="s">
        <v>26</v>
      </c>
      <c r="B1291" s="9" t="n">
        <v>23</v>
      </c>
      <c r="C1291" s="11" t="n">
        <v>45978</v>
      </c>
      <c r="D1291" s="9" t="s">
        <v>121</v>
      </c>
      <c r="E1291" s="12" t="n">
        <v>9</v>
      </c>
      <c r="F1291" s="9" t="s">
        <v>28</v>
      </c>
      <c r="G1291" s="13" t="n">
        <v>200</v>
      </c>
      <c r="H1291" s="9" t="s">
        <v>38</v>
      </c>
      <c r="I1291" s="13" t="n">
        <v>8</v>
      </c>
      <c r="J1291" s="1" t="str">
        <f aca="false">IF(A1291="","", "SAMP-"&amp;A1291&amp;"-L"&amp;TEXT(B1291,"00")&amp;"-"&amp;TEXT(C1291,"yyyymmdd")&amp;"-"&amp;D1291&amp;"-H"&amp;TEXT(E1291,"00")&amp;"-"&amp;H1291)</f>
        <v>SAMP-KG01-L23-20251117-ORD-2025-00232-H09-Crack</v>
      </c>
      <c r="K1291" s="1" t="str">
        <f aca="false">IF(A1291="","",IF(AND(G1291&gt;=0,I1291&gt;=0,I1291&lt;=G1291),"OK","CHECK"))</f>
        <v>OK</v>
      </c>
      <c r="L1291" s="1" t="str">
        <f aca="false">IF(A1291="","",IF(AND(E1291&gt;=0,E1291&lt;=23),"OK","CHECK"))</f>
        <v>OK</v>
      </c>
      <c r="M1291" s="1" t="str">
        <f aca="false">IF(A1291="","",IF(AND(K1291="OK",L1291="OK"),"OK","CHECK"))</f>
        <v>OK</v>
      </c>
    </row>
    <row r="1292" customFormat="false" ht="18" hidden="false" customHeight="true" outlineLevel="0" collapsed="false">
      <c r="A1292" s="9" t="s">
        <v>26</v>
      </c>
      <c r="B1292" s="9" t="n">
        <v>23</v>
      </c>
      <c r="C1292" s="11" t="n">
        <v>45978</v>
      </c>
      <c r="D1292" s="9" t="s">
        <v>121</v>
      </c>
      <c r="E1292" s="12" t="n">
        <v>7</v>
      </c>
      <c r="F1292" s="9" t="s">
        <v>28</v>
      </c>
      <c r="G1292" s="13" t="n">
        <v>100</v>
      </c>
      <c r="H1292" s="9" t="s">
        <v>33</v>
      </c>
      <c r="I1292" s="13" t="n">
        <v>4</v>
      </c>
      <c r="J1292" s="1" t="str">
        <f aca="false">IF(A1292="","", "SAMP-"&amp;A1292&amp;"-L"&amp;TEXT(B1292,"00")&amp;"-"&amp;TEXT(C1292,"yyyymmdd")&amp;"-"&amp;D1292&amp;"-H"&amp;TEXT(E1292,"00")&amp;"-"&amp;H1292)</f>
        <v>SAMP-KG01-L23-20251117-ORD-2025-00232-H07-Distortion</v>
      </c>
      <c r="K1292" s="1" t="str">
        <f aca="false">IF(A1292="","",IF(AND(G1292&gt;=0,I1292&gt;=0,I1292&lt;=G1292),"OK","CHECK"))</f>
        <v>OK</v>
      </c>
      <c r="L1292" s="1" t="str">
        <f aca="false">IF(A1292="","",IF(AND(E1292&gt;=0,E1292&lt;=23),"OK","CHECK"))</f>
        <v>OK</v>
      </c>
      <c r="M1292" s="1" t="str">
        <f aca="false">IF(A1292="","",IF(AND(K1292="OK",L1292="OK"),"OK","CHECK"))</f>
        <v>OK</v>
      </c>
    </row>
    <row r="1293" customFormat="false" ht="18" hidden="false" customHeight="true" outlineLevel="0" collapsed="false">
      <c r="A1293" s="9" t="s">
        <v>26</v>
      </c>
      <c r="B1293" s="9" t="n">
        <v>23</v>
      </c>
      <c r="C1293" s="11" t="n">
        <v>45978</v>
      </c>
      <c r="D1293" s="9" t="s">
        <v>121</v>
      </c>
      <c r="E1293" s="12" t="n">
        <v>12</v>
      </c>
      <c r="F1293" s="9" t="s">
        <v>28</v>
      </c>
      <c r="G1293" s="13" t="n">
        <v>200</v>
      </c>
      <c r="H1293" s="9" t="s">
        <v>41</v>
      </c>
      <c r="I1293" s="13" t="n">
        <v>4</v>
      </c>
      <c r="J1293" s="1" t="str">
        <f aca="false">IF(A1293="","", "SAMP-"&amp;A1293&amp;"-L"&amp;TEXT(B1293,"00")&amp;"-"&amp;TEXT(C1293,"yyyymmdd")&amp;"-"&amp;D1293&amp;"-H"&amp;TEXT(E1293,"00")&amp;"-"&amp;H1293)</f>
        <v>SAMP-KG01-L23-20251117-ORD-2025-00232-H12-Chip</v>
      </c>
      <c r="K1293" s="1" t="str">
        <f aca="false">IF(A1293="","",IF(AND(G1293&gt;=0,I1293&gt;=0,I1293&lt;=G1293),"OK","CHECK"))</f>
        <v>OK</v>
      </c>
      <c r="L1293" s="1" t="str">
        <f aca="false">IF(A1293="","",IF(AND(E1293&gt;=0,E1293&lt;=23),"OK","CHECK"))</f>
        <v>OK</v>
      </c>
      <c r="M1293" s="1" t="str">
        <f aca="false">IF(A1293="","",IF(AND(K1293="OK",L1293="OK"),"OK","CHECK"))</f>
        <v>OK</v>
      </c>
    </row>
    <row r="1294" customFormat="false" ht="18" hidden="false" customHeight="true" outlineLevel="0" collapsed="false">
      <c r="A1294" s="9" t="s">
        <v>26</v>
      </c>
      <c r="B1294" s="9" t="n">
        <v>23</v>
      </c>
      <c r="C1294" s="11" t="n">
        <v>45978</v>
      </c>
      <c r="D1294" s="9" t="s">
        <v>122</v>
      </c>
      <c r="E1294" s="12" t="n">
        <v>16</v>
      </c>
      <c r="F1294" s="9" t="s">
        <v>31</v>
      </c>
      <c r="G1294" s="13" t="n">
        <v>100</v>
      </c>
      <c r="H1294" s="9" t="s">
        <v>36</v>
      </c>
      <c r="I1294" s="13" t="n">
        <v>3</v>
      </c>
      <c r="J1294" s="1" t="str">
        <f aca="false">IF(A1294="","", "SAMP-"&amp;A1294&amp;"-L"&amp;TEXT(B1294,"00")&amp;"-"&amp;TEXT(C1294,"yyyymmdd")&amp;"-"&amp;D1294&amp;"-H"&amp;TEXT(E1294,"00")&amp;"-"&amp;H1294)</f>
        <v>SAMP-KG01-L23-20251117-ORD-2025-00233-H16-Blister</v>
      </c>
      <c r="K1294" s="1" t="str">
        <f aca="false">IF(A1294="","",IF(AND(G1294&gt;=0,I1294&gt;=0,I1294&lt;=G1294),"OK","CHECK"))</f>
        <v>OK</v>
      </c>
      <c r="L1294" s="1" t="str">
        <f aca="false">IF(A1294="","",IF(AND(E1294&gt;=0,E1294&lt;=23),"OK","CHECK"))</f>
        <v>OK</v>
      </c>
      <c r="M1294" s="1" t="str">
        <f aca="false">IF(A1294="","",IF(AND(K1294="OK",L1294="OK"),"OK","CHECK"))</f>
        <v>OK</v>
      </c>
    </row>
    <row r="1295" customFormat="false" ht="18" hidden="false" customHeight="true" outlineLevel="0" collapsed="false">
      <c r="A1295" s="9" t="s">
        <v>26</v>
      </c>
      <c r="B1295" s="9" t="n">
        <v>23</v>
      </c>
      <c r="C1295" s="11" t="n">
        <v>45978</v>
      </c>
      <c r="D1295" s="9" t="s">
        <v>122</v>
      </c>
      <c r="E1295" s="12" t="n">
        <v>23</v>
      </c>
      <c r="F1295" s="9" t="s">
        <v>31</v>
      </c>
      <c r="G1295" s="13" t="n">
        <v>200</v>
      </c>
      <c r="H1295" s="9" t="s">
        <v>33</v>
      </c>
      <c r="I1295" s="13" t="n">
        <v>4</v>
      </c>
      <c r="J1295" s="1" t="str">
        <f aca="false">IF(A1295="","", "SAMP-"&amp;A1295&amp;"-L"&amp;TEXT(B1295,"00")&amp;"-"&amp;TEXT(C1295,"yyyymmdd")&amp;"-"&amp;D1295&amp;"-H"&amp;TEXT(E1295,"00")&amp;"-"&amp;H1295)</f>
        <v>SAMP-KG01-L23-20251117-ORD-2025-00233-H23-Distortion</v>
      </c>
      <c r="K1295" s="1" t="str">
        <f aca="false">IF(A1295="","",IF(AND(G1295&gt;=0,I1295&gt;=0,I1295&lt;=G1295),"OK","CHECK"))</f>
        <v>OK</v>
      </c>
      <c r="L1295" s="1" t="str">
        <f aca="false">IF(A1295="","",IF(AND(E1295&gt;=0,E1295&lt;=23),"OK","CHECK"))</f>
        <v>OK</v>
      </c>
      <c r="M1295" s="1" t="str">
        <f aca="false">IF(A1295="","",IF(AND(K1295="OK",L1295="OK"),"OK","CHECK"))</f>
        <v>OK</v>
      </c>
    </row>
    <row r="1296" customFormat="false" ht="18" hidden="false" customHeight="true" outlineLevel="0" collapsed="false">
      <c r="A1296" s="9" t="s">
        <v>26</v>
      </c>
      <c r="B1296" s="9" t="n">
        <v>23</v>
      </c>
      <c r="C1296" s="11" t="n">
        <v>45978</v>
      </c>
      <c r="D1296" s="9" t="s">
        <v>122</v>
      </c>
      <c r="E1296" s="12" t="n">
        <v>20</v>
      </c>
      <c r="F1296" s="9" t="s">
        <v>31</v>
      </c>
      <c r="G1296" s="13" t="n">
        <v>100</v>
      </c>
      <c r="H1296" s="9" t="s">
        <v>33</v>
      </c>
      <c r="I1296" s="13" t="n">
        <v>2</v>
      </c>
      <c r="J1296" s="1" t="str">
        <f aca="false">IF(A1296="","", "SAMP-"&amp;A1296&amp;"-L"&amp;TEXT(B1296,"00")&amp;"-"&amp;TEXT(C1296,"yyyymmdd")&amp;"-"&amp;D1296&amp;"-H"&amp;TEXT(E1296,"00")&amp;"-"&amp;H1296)</f>
        <v>SAMP-KG01-L23-20251117-ORD-2025-00233-H20-Distortion</v>
      </c>
      <c r="K1296" s="1" t="str">
        <f aca="false">IF(A1296="","",IF(AND(G1296&gt;=0,I1296&gt;=0,I1296&lt;=G1296),"OK","CHECK"))</f>
        <v>OK</v>
      </c>
      <c r="L1296" s="1" t="str">
        <f aca="false">IF(A1296="","",IF(AND(E1296&gt;=0,E1296&lt;=23),"OK","CHECK"))</f>
        <v>OK</v>
      </c>
      <c r="M1296" s="1" t="str">
        <f aca="false">IF(A1296="","",IF(AND(K1296="OK",L1296="OK"),"OK","CHECK"))</f>
        <v>OK</v>
      </c>
    </row>
    <row r="1297" customFormat="false" ht="18" hidden="false" customHeight="true" outlineLevel="0" collapsed="false">
      <c r="A1297" s="9" t="s">
        <v>26</v>
      </c>
      <c r="B1297" s="9" t="n">
        <v>23</v>
      </c>
      <c r="C1297" s="11" t="n">
        <v>45979</v>
      </c>
      <c r="D1297" s="9" t="s">
        <v>122</v>
      </c>
      <c r="E1297" s="12" t="n">
        <v>7</v>
      </c>
      <c r="F1297" s="9" t="s">
        <v>28</v>
      </c>
      <c r="G1297" s="13" t="n">
        <v>200</v>
      </c>
      <c r="H1297" s="9" t="s">
        <v>35</v>
      </c>
      <c r="I1297" s="13" t="n">
        <v>3</v>
      </c>
      <c r="J1297" s="1" t="str">
        <f aca="false">IF(A1297="","", "SAMP-"&amp;A1297&amp;"-L"&amp;TEXT(B1297,"00")&amp;"-"&amp;TEXT(C1297,"yyyymmdd")&amp;"-"&amp;D1297&amp;"-H"&amp;TEXT(E1297,"00")&amp;"-"&amp;H1297)</f>
        <v>SAMP-KG01-L23-20251118-ORD-2025-00233-H07-Stone</v>
      </c>
      <c r="K1297" s="1" t="str">
        <f aca="false">IF(A1297="","",IF(AND(G1297&gt;=0,I1297&gt;=0,I1297&lt;=G1297),"OK","CHECK"))</f>
        <v>OK</v>
      </c>
      <c r="L1297" s="1" t="str">
        <f aca="false">IF(A1297="","",IF(AND(E1297&gt;=0,E1297&lt;=23),"OK","CHECK"))</f>
        <v>OK</v>
      </c>
      <c r="M1297" s="1" t="str">
        <f aca="false">IF(A1297="","",IF(AND(K1297="OK",L1297="OK"),"OK","CHECK"))</f>
        <v>OK</v>
      </c>
    </row>
    <row r="1298" customFormat="false" ht="18" hidden="false" customHeight="true" outlineLevel="0" collapsed="false">
      <c r="A1298" s="9" t="s">
        <v>26</v>
      </c>
      <c r="B1298" s="9" t="n">
        <v>23</v>
      </c>
      <c r="C1298" s="11" t="n">
        <v>45979</v>
      </c>
      <c r="D1298" s="9" t="s">
        <v>122</v>
      </c>
      <c r="E1298" s="12" t="n">
        <v>12</v>
      </c>
      <c r="F1298" s="9" t="s">
        <v>28</v>
      </c>
      <c r="G1298" s="13" t="n">
        <v>150</v>
      </c>
      <c r="H1298" s="9" t="s">
        <v>38</v>
      </c>
      <c r="I1298" s="13" t="n">
        <v>4</v>
      </c>
      <c r="J1298" s="1" t="str">
        <f aca="false">IF(A1298="","", "SAMP-"&amp;A1298&amp;"-L"&amp;TEXT(B1298,"00")&amp;"-"&amp;TEXT(C1298,"yyyymmdd")&amp;"-"&amp;D1298&amp;"-H"&amp;TEXT(E1298,"00")&amp;"-"&amp;H1298)</f>
        <v>SAMP-KG01-L23-20251118-ORD-2025-00233-H12-Crack</v>
      </c>
      <c r="K1298" s="1" t="str">
        <f aca="false">IF(A1298="","",IF(AND(G1298&gt;=0,I1298&gt;=0,I1298&lt;=G1298),"OK","CHECK"))</f>
        <v>OK</v>
      </c>
      <c r="L1298" s="1" t="str">
        <f aca="false">IF(A1298="","",IF(AND(E1298&gt;=0,E1298&lt;=23),"OK","CHECK"))</f>
        <v>OK</v>
      </c>
      <c r="M1298" s="1" t="str">
        <f aca="false">IF(A1298="","",IF(AND(K1298="OK",L1298="OK"),"OK","CHECK"))</f>
        <v>OK</v>
      </c>
    </row>
    <row r="1299" customFormat="false" ht="18" hidden="false" customHeight="true" outlineLevel="0" collapsed="false">
      <c r="A1299" s="9" t="s">
        <v>26</v>
      </c>
      <c r="B1299" s="9" t="n">
        <v>23</v>
      </c>
      <c r="C1299" s="11" t="n">
        <v>45979</v>
      </c>
      <c r="D1299" s="9" t="s">
        <v>122</v>
      </c>
      <c r="E1299" s="12" t="n">
        <v>9</v>
      </c>
      <c r="F1299" s="9" t="s">
        <v>28</v>
      </c>
      <c r="G1299" s="13" t="n">
        <v>100</v>
      </c>
      <c r="H1299" s="9" t="s">
        <v>37</v>
      </c>
      <c r="I1299" s="13" t="n">
        <v>4</v>
      </c>
      <c r="J1299" s="1" t="str">
        <f aca="false">IF(A1299="","", "SAMP-"&amp;A1299&amp;"-L"&amp;TEXT(B1299,"00")&amp;"-"&amp;TEXT(C1299,"yyyymmdd")&amp;"-"&amp;D1299&amp;"-H"&amp;TEXT(E1299,"00")&amp;"-"&amp;H1299)</f>
        <v>SAMP-KG01-L23-20251118-ORD-2025-00233-H09-Bird Swing</v>
      </c>
      <c r="K1299" s="1" t="str">
        <f aca="false">IF(A1299="","",IF(AND(G1299&gt;=0,I1299&gt;=0,I1299&lt;=G1299),"OK","CHECK"))</f>
        <v>OK</v>
      </c>
      <c r="L1299" s="1" t="str">
        <f aca="false">IF(A1299="","",IF(AND(E1299&gt;=0,E1299&lt;=23),"OK","CHECK"))</f>
        <v>OK</v>
      </c>
      <c r="M1299" s="1" t="str">
        <f aca="false">IF(A1299="","",IF(AND(K1299="OK",L1299="OK"),"OK","CHECK"))</f>
        <v>OK</v>
      </c>
    </row>
    <row r="1300" customFormat="false" ht="18" hidden="false" customHeight="true" outlineLevel="0" collapsed="false">
      <c r="A1300" s="9" t="s">
        <v>26</v>
      </c>
      <c r="B1300" s="9" t="n">
        <v>23</v>
      </c>
      <c r="C1300" s="11" t="n">
        <v>45979</v>
      </c>
      <c r="D1300" s="9" t="s">
        <v>122</v>
      </c>
      <c r="E1300" s="12" t="n">
        <v>16</v>
      </c>
      <c r="F1300" s="9" t="s">
        <v>31</v>
      </c>
      <c r="G1300" s="13" t="n">
        <v>200</v>
      </c>
      <c r="H1300" s="9" t="s">
        <v>36</v>
      </c>
      <c r="I1300" s="13" t="n">
        <v>4</v>
      </c>
      <c r="J1300" s="1" t="str">
        <f aca="false">IF(A1300="","", "SAMP-"&amp;A1300&amp;"-L"&amp;TEXT(B1300,"00")&amp;"-"&amp;TEXT(C1300,"yyyymmdd")&amp;"-"&amp;D1300&amp;"-H"&amp;TEXT(E1300,"00")&amp;"-"&amp;H1300)</f>
        <v>SAMP-KG01-L23-20251118-ORD-2025-00233-H16-Blister</v>
      </c>
      <c r="K1300" s="1" t="str">
        <f aca="false">IF(A1300="","",IF(AND(G1300&gt;=0,I1300&gt;=0,I1300&lt;=G1300),"OK","CHECK"))</f>
        <v>OK</v>
      </c>
      <c r="L1300" s="1" t="str">
        <f aca="false">IF(A1300="","",IF(AND(E1300&gt;=0,E1300&lt;=23),"OK","CHECK"))</f>
        <v>OK</v>
      </c>
      <c r="M1300" s="1" t="str">
        <f aca="false">IF(A1300="","",IF(AND(K1300="OK",L1300="OK"),"OK","CHECK"))</f>
        <v>OK</v>
      </c>
    </row>
    <row r="1301" customFormat="false" ht="18" hidden="false" customHeight="true" outlineLevel="0" collapsed="false">
      <c r="A1301" s="9" t="s">
        <v>26</v>
      </c>
      <c r="B1301" s="9" t="n">
        <v>23</v>
      </c>
      <c r="C1301" s="11" t="n">
        <v>45979</v>
      </c>
      <c r="D1301" s="9" t="s">
        <v>122</v>
      </c>
      <c r="E1301" s="12" t="n">
        <v>20</v>
      </c>
      <c r="F1301" s="9" t="s">
        <v>31</v>
      </c>
      <c r="G1301" s="13" t="n">
        <v>100</v>
      </c>
      <c r="H1301" s="9" t="s">
        <v>36</v>
      </c>
      <c r="I1301" s="13" t="n">
        <v>4</v>
      </c>
      <c r="J1301" s="1" t="str">
        <f aca="false">IF(A1301="","", "SAMP-"&amp;A1301&amp;"-L"&amp;TEXT(B1301,"00")&amp;"-"&amp;TEXT(C1301,"yyyymmdd")&amp;"-"&amp;D1301&amp;"-H"&amp;TEXT(E1301,"00")&amp;"-"&amp;H1301)</f>
        <v>SAMP-KG01-L23-20251118-ORD-2025-00233-H20-Blister</v>
      </c>
      <c r="K1301" s="1" t="str">
        <f aca="false">IF(A1301="","",IF(AND(G1301&gt;=0,I1301&gt;=0,I1301&lt;=G1301),"OK","CHECK"))</f>
        <v>OK</v>
      </c>
      <c r="L1301" s="1" t="str">
        <f aca="false">IF(A1301="","",IF(AND(E1301&gt;=0,E1301&lt;=23),"OK","CHECK"))</f>
        <v>OK</v>
      </c>
      <c r="M1301" s="1" t="str">
        <f aca="false">IF(A1301="","",IF(AND(K1301="OK",L1301="OK"),"OK","CHECK"))</f>
        <v>OK</v>
      </c>
    </row>
    <row r="1302" customFormat="false" ht="18" hidden="false" customHeight="true" outlineLevel="0" collapsed="false">
      <c r="A1302" s="9" t="s">
        <v>26</v>
      </c>
      <c r="B1302" s="9" t="n">
        <v>23</v>
      </c>
      <c r="C1302" s="11" t="n">
        <v>45979</v>
      </c>
      <c r="D1302" s="9" t="s">
        <v>122</v>
      </c>
      <c r="E1302" s="12" t="n">
        <v>23</v>
      </c>
      <c r="F1302" s="9" t="s">
        <v>31</v>
      </c>
      <c r="G1302" s="13" t="n">
        <v>100</v>
      </c>
      <c r="H1302" s="9" t="s">
        <v>29</v>
      </c>
      <c r="I1302" s="13" t="n">
        <v>3</v>
      </c>
      <c r="J1302" s="1" t="str">
        <f aca="false">IF(A1302="","", "SAMP-"&amp;A1302&amp;"-L"&amp;TEXT(B1302,"00")&amp;"-"&amp;TEXT(C1302,"yyyymmdd")&amp;"-"&amp;D1302&amp;"-H"&amp;TEXT(E1302,"00")&amp;"-"&amp;H1302)</f>
        <v>SAMP-KG01-L23-20251118-ORD-2025-00233-H23-Choke Neck</v>
      </c>
      <c r="K1302" s="1" t="str">
        <f aca="false">IF(A1302="","",IF(AND(G1302&gt;=0,I1302&gt;=0,I1302&lt;=G1302),"OK","CHECK"))</f>
        <v>OK</v>
      </c>
      <c r="L1302" s="1" t="str">
        <f aca="false">IF(A1302="","",IF(AND(E1302&gt;=0,E1302&lt;=23),"OK","CHECK"))</f>
        <v>OK</v>
      </c>
      <c r="M1302" s="1" t="str">
        <f aca="false">IF(A1302="","",IF(AND(K1302="OK",L1302="OK"),"OK","CHECK"))</f>
        <v>OK</v>
      </c>
    </row>
    <row r="1303" customFormat="false" ht="18" hidden="false" customHeight="true" outlineLevel="0" collapsed="false">
      <c r="A1303" s="9" t="s">
        <v>26</v>
      </c>
      <c r="B1303" s="9" t="n">
        <v>23</v>
      </c>
      <c r="C1303" s="11" t="n">
        <v>45980</v>
      </c>
      <c r="D1303" s="9" t="s">
        <v>122</v>
      </c>
      <c r="E1303" s="12" t="n">
        <v>7</v>
      </c>
      <c r="F1303" s="9" t="s">
        <v>28</v>
      </c>
      <c r="G1303" s="13" t="n">
        <v>100</v>
      </c>
      <c r="H1303" s="9" t="s">
        <v>38</v>
      </c>
      <c r="I1303" s="13" t="n">
        <v>0</v>
      </c>
      <c r="J1303" s="1" t="str">
        <f aca="false">IF(A1303="","", "SAMP-"&amp;A1303&amp;"-L"&amp;TEXT(B1303,"00")&amp;"-"&amp;TEXT(C1303,"yyyymmdd")&amp;"-"&amp;D1303&amp;"-H"&amp;TEXT(E1303,"00")&amp;"-"&amp;H1303)</f>
        <v>SAMP-KG01-L23-20251119-ORD-2025-00233-H07-Crack</v>
      </c>
      <c r="K1303" s="1" t="str">
        <f aca="false">IF(A1303="","",IF(AND(G1303&gt;=0,I1303&gt;=0,I1303&lt;=G1303),"OK","CHECK"))</f>
        <v>OK</v>
      </c>
      <c r="L1303" s="1" t="str">
        <f aca="false">IF(A1303="","",IF(AND(E1303&gt;=0,E1303&lt;=23),"OK","CHECK"))</f>
        <v>OK</v>
      </c>
      <c r="M1303" s="1" t="str">
        <f aca="false">IF(A1303="","",IF(AND(K1303="OK",L1303="OK"),"OK","CHECK"))</f>
        <v>OK</v>
      </c>
    </row>
    <row r="1304" customFormat="false" ht="18" hidden="false" customHeight="true" outlineLevel="0" collapsed="false">
      <c r="A1304" s="9" t="s">
        <v>26</v>
      </c>
      <c r="B1304" s="9" t="n">
        <v>23</v>
      </c>
      <c r="C1304" s="11" t="n">
        <v>45980</v>
      </c>
      <c r="D1304" s="9" t="s">
        <v>122</v>
      </c>
      <c r="E1304" s="12" t="n">
        <v>12</v>
      </c>
      <c r="F1304" s="9" t="s">
        <v>28</v>
      </c>
      <c r="G1304" s="13" t="n">
        <v>50</v>
      </c>
      <c r="H1304" s="9" t="s">
        <v>35</v>
      </c>
      <c r="I1304" s="13" t="n">
        <v>1</v>
      </c>
      <c r="J1304" s="1" t="str">
        <f aca="false">IF(A1304="","", "SAMP-"&amp;A1304&amp;"-L"&amp;TEXT(B1304,"00")&amp;"-"&amp;TEXT(C1304,"yyyymmdd")&amp;"-"&amp;D1304&amp;"-H"&amp;TEXT(E1304,"00")&amp;"-"&amp;H1304)</f>
        <v>SAMP-KG01-L23-20251119-ORD-2025-00233-H12-Stone</v>
      </c>
      <c r="K1304" s="1" t="str">
        <f aca="false">IF(A1304="","",IF(AND(G1304&gt;=0,I1304&gt;=0,I1304&lt;=G1304),"OK","CHECK"))</f>
        <v>OK</v>
      </c>
      <c r="L1304" s="1" t="str">
        <f aca="false">IF(A1304="","",IF(AND(E1304&gt;=0,E1304&lt;=23),"OK","CHECK"))</f>
        <v>OK</v>
      </c>
      <c r="M1304" s="1" t="str">
        <f aca="false">IF(A1304="","",IF(AND(K1304="OK",L1304="OK"),"OK","CHECK"))</f>
        <v>OK</v>
      </c>
    </row>
    <row r="1305" customFormat="false" ht="18" hidden="false" customHeight="true" outlineLevel="0" collapsed="false">
      <c r="A1305" s="9" t="s">
        <v>26</v>
      </c>
      <c r="B1305" s="9" t="n">
        <v>23</v>
      </c>
      <c r="C1305" s="11" t="n">
        <v>45980</v>
      </c>
      <c r="D1305" s="9" t="s">
        <v>122</v>
      </c>
      <c r="E1305" s="12" t="n">
        <v>23</v>
      </c>
      <c r="F1305" s="9" t="s">
        <v>31</v>
      </c>
      <c r="G1305" s="13" t="n">
        <v>100</v>
      </c>
      <c r="H1305" s="9" t="s">
        <v>29</v>
      </c>
      <c r="I1305" s="13" t="n">
        <v>2</v>
      </c>
      <c r="J1305" s="1" t="str">
        <f aca="false">IF(A1305="","", "SAMP-"&amp;A1305&amp;"-L"&amp;TEXT(B1305,"00")&amp;"-"&amp;TEXT(C1305,"yyyymmdd")&amp;"-"&amp;D1305&amp;"-H"&amp;TEXT(E1305,"00")&amp;"-"&amp;H1305)</f>
        <v>SAMP-KG01-L23-20251119-ORD-2025-00233-H23-Choke Neck</v>
      </c>
      <c r="K1305" s="1" t="str">
        <f aca="false">IF(A1305="","",IF(AND(G1305&gt;=0,I1305&gt;=0,I1305&lt;=G1305),"OK","CHECK"))</f>
        <v>OK</v>
      </c>
      <c r="L1305" s="1" t="str">
        <f aca="false">IF(A1305="","",IF(AND(E1305&gt;=0,E1305&lt;=23),"OK","CHECK"))</f>
        <v>OK</v>
      </c>
      <c r="M1305" s="1" t="str">
        <f aca="false">IF(A1305="","",IF(AND(K1305="OK",L1305="OK"),"OK","CHECK"))</f>
        <v>OK</v>
      </c>
    </row>
    <row r="1306" customFormat="false" ht="18" hidden="false" customHeight="true" outlineLevel="0" collapsed="false">
      <c r="A1306" s="9" t="s">
        <v>26</v>
      </c>
      <c r="B1306" s="9" t="n">
        <v>23</v>
      </c>
      <c r="C1306" s="11" t="n">
        <v>45980</v>
      </c>
      <c r="D1306" s="9" t="s">
        <v>122</v>
      </c>
      <c r="E1306" s="12" t="n">
        <v>16</v>
      </c>
      <c r="F1306" s="9" t="s">
        <v>31</v>
      </c>
      <c r="G1306" s="13" t="n">
        <v>150</v>
      </c>
      <c r="H1306" s="9" t="s">
        <v>35</v>
      </c>
      <c r="I1306" s="13" t="n">
        <v>7</v>
      </c>
      <c r="J1306" s="1" t="str">
        <f aca="false">IF(A1306="","", "SAMP-"&amp;A1306&amp;"-L"&amp;TEXT(B1306,"00")&amp;"-"&amp;TEXT(C1306,"yyyymmdd")&amp;"-"&amp;D1306&amp;"-H"&amp;TEXT(E1306,"00")&amp;"-"&amp;H1306)</f>
        <v>SAMP-KG01-L23-20251119-ORD-2025-00233-H16-Stone</v>
      </c>
      <c r="K1306" s="1" t="str">
        <f aca="false">IF(A1306="","",IF(AND(G1306&gt;=0,I1306&gt;=0,I1306&lt;=G1306),"OK","CHECK"))</f>
        <v>OK</v>
      </c>
      <c r="L1306" s="1" t="str">
        <f aca="false">IF(A1306="","",IF(AND(E1306&gt;=0,E1306&lt;=23),"OK","CHECK"))</f>
        <v>OK</v>
      </c>
      <c r="M1306" s="1" t="str">
        <f aca="false">IF(A1306="","",IF(AND(K1306="OK",L1306="OK"),"OK","CHECK"))</f>
        <v>OK</v>
      </c>
    </row>
    <row r="1307" customFormat="false" ht="18" hidden="false" customHeight="true" outlineLevel="0" collapsed="false">
      <c r="A1307" s="9" t="s">
        <v>26</v>
      </c>
      <c r="B1307" s="9" t="n">
        <v>23</v>
      </c>
      <c r="C1307" s="11" t="n">
        <v>45980</v>
      </c>
      <c r="D1307" s="9" t="s">
        <v>122</v>
      </c>
      <c r="E1307" s="12" t="n">
        <v>20</v>
      </c>
      <c r="F1307" s="9" t="s">
        <v>31</v>
      </c>
      <c r="G1307" s="13" t="n">
        <v>200</v>
      </c>
      <c r="H1307" s="9" t="s">
        <v>41</v>
      </c>
      <c r="I1307" s="13" t="n">
        <v>10</v>
      </c>
      <c r="J1307" s="1" t="str">
        <f aca="false">IF(A1307="","", "SAMP-"&amp;A1307&amp;"-L"&amp;TEXT(B1307,"00")&amp;"-"&amp;TEXT(C1307,"yyyymmdd")&amp;"-"&amp;D1307&amp;"-H"&amp;TEXT(E1307,"00")&amp;"-"&amp;H1307)</f>
        <v>SAMP-KG01-L23-20251119-ORD-2025-00233-H20-Chip</v>
      </c>
      <c r="K1307" s="1" t="str">
        <f aca="false">IF(A1307="","",IF(AND(G1307&gt;=0,I1307&gt;=0,I1307&lt;=G1307),"OK","CHECK"))</f>
        <v>OK</v>
      </c>
      <c r="L1307" s="1" t="str">
        <f aca="false">IF(A1307="","",IF(AND(E1307&gt;=0,E1307&lt;=23),"OK","CHECK"))</f>
        <v>OK</v>
      </c>
      <c r="M1307" s="1" t="str">
        <f aca="false">IF(A1307="","",IF(AND(K1307="OK",L1307="OK"),"OK","CHECK"))</f>
        <v>OK</v>
      </c>
    </row>
    <row r="1308" customFormat="false" ht="18" hidden="false" customHeight="true" outlineLevel="0" collapsed="false">
      <c r="A1308" s="9" t="s">
        <v>26</v>
      </c>
      <c r="B1308" s="9" t="n">
        <v>23</v>
      </c>
      <c r="C1308" s="11" t="n">
        <v>45981</v>
      </c>
      <c r="D1308" s="9" t="s">
        <v>122</v>
      </c>
      <c r="E1308" s="12" t="n">
        <v>12</v>
      </c>
      <c r="F1308" s="9" t="s">
        <v>28</v>
      </c>
      <c r="G1308" s="13" t="n">
        <v>150</v>
      </c>
      <c r="H1308" s="9" t="s">
        <v>37</v>
      </c>
      <c r="I1308" s="13" t="n">
        <v>4</v>
      </c>
      <c r="J1308" s="1" t="str">
        <f aca="false">IF(A1308="","", "SAMP-"&amp;A1308&amp;"-L"&amp;TEXT(B1308,"00")&amp;"-"&amp;TEXT(C1308,"yyyymmdd")&amp;"-"&amp;D1308&amp;"-H"&amp;TEXT(E1308,"00")&amp;"-"&amp;H1308)</f>
        <v>SAMP-KG01-L23-20251120-ORD-2025-00233-H12-Bird Swing</v>
      </c>
      <c r="K1308" s="1" t="str">
        <f aca="false">IF(A1308="","",IF(AND(G1308&gt;=0,I1308&gt;=0,I1308&lt;=G1308),"OK","CHECK"))</f>
        <v>OK</v>
      </c>
      <c r="L1308" s="1" t="str">
        <f aca="false">IF(A1308="","",IF(AND(E1308&gt;=0,E1308&lt;=23),"OK","CHECK"))</f>
        <v>OK</v>
      </c>
      <c r="M1308" s="1" t="str">
        <f aca="false">IF(A1308="","",IF(AND(K1308="OK",L1308="OK"),"OK","CHECK"))</f>
        <v>OK</v>
      </c>
    </row>
    <row r="1309" customFormat="false" ht="18" hidden="false" customHeight="true" outlineLevel="0" collapsed="false">
      <c r="A1309" s="9" t="s">
        <v>26</v>
      </c>
      <c r="B1309" s="9" t="n">
        <v>23</v>
      </c>
      <c r="C1309" s="11" t="n">
        <v>45981</v>
      </c>
      <c r="D1309" s="9" t="s">
        <v>122</v>
      </c>
      <c r="E1309" s="12" t="n">
        <v>7</v>
      </c>
      <c r="F1309" s="9" t="s">
        <v>28</v>
      </c>
      <c r="G1309" s="13" t="n">
        <v>150</v>
      </c>
      <c r="H1309" s="9" t="s">
        <v>37</v>
      </c>
      <c r="I1309" s="13" t="n">
        <v>1</v>
      </c>
      <c r="J1309" s="1" t="str">
        <f aca="false">IF(A1309="","", "SAMP-"&amp;A1309&amp;"-L"&amp;TEXT(B1309,"00")&amp;"-"&amp;TEXT(C1309,"yyyymmdd")&amp;"-"&amp;D1309&amp;"-H"&amp;TEXT(E1309,"00")&amp;"-"&amp;H1309)</f>
        <v>SAMP-KG01-L23-20251120-ORD-2025-00233-H07-Bird Swing</v>
      </c>
      <c r="K1309" s="1" t="str">
        <f aca="false">IF(A1309="","",IF(AND(G1309&gt;=0,I1309&gt;=0,I1309&lt;=G1309),"OK","CHECK"))</f>
        <v>OK</v>
      </c>
      <c r="L1309" s="1" t="str">
        <f aca="false">IF(A1309="","",IF(AND(E1309&gt;=0,E1309&lt;=23),"OK","CHECK"))</f>
        <v>OK</v>
      </c>
      <c r="M1309" s="1" t="str">
        <f aca="false">IF(A1309="","",IF(AND(K1309="OK",L1309="OK"),"OK","CHECK"))</f>
        <v>OK</v>
      </c>
    </row>
    <row r="1310" customFormat="false" ht="18" hidden="false" customHeight="true" outlineLevel="0" collapsed="false">
      <c r="A1310" s="9" t="s">
        <v>26</v>
      </c>
      <c r="B1310" s="9" t="n">
        <v>23</v>
      </c>
      <c r="C1310" s="11" t="n">
        <v>45981</v>
      </c>
      <c r="D1310" s="9" t="s">
        <v>122</v>
      </c>
      <c r="E1310" s="12" t="n">
        <v>9</v>
      </c>
      <c r="F1310" s="9" t="s">
        <v>28</v>
      </c>
      <c r="G1310" s="13" t="n">
        <v>100</v>
      </c>
      <c r="H1310" s="9" t="s">
        <v>30</v>
      </c>
      <c r="I1310" s="13" t="n">
        <v>5</v>
      </c>
      <c r="J1310" s="1" t="str">
        <f aca="false">IF(A1310="","", "SAMP-"&amp;A1310&amp;"-L"&amp;TEXT(B1310,"00")&amp;"-"&amp;TEXT(C1310,"yyyymmdd")&amp;"-"&amp;D1310&amp;"-H"&amp;TEXT(E1310,"00")&amp;"-"&amp;H1310)</f>
        <v>SAMP-KG01-L23-20251120-ORD-2025-00233-H09-Overpress</v>
      </c>
      <c r="K1310" s="1" t="str">
        <f aca="false">IF(A1310="","",IF(AND(G1310&gt;=0,I1310&gt;=0,I1310&lt;=G1310),"OK","CHECK"))</f>
        <v>OK</v>
      </c>
      <c r="L1310" s="1" t="str">
        <f aca="false">IF(A1310="","",IF(AND(E1310&gt;=0,E1310&lt;=23),"OK","CHECK"))</f>
        <v>OK</v>
      </c>
      <c r="M1310" s="1" t="str">
        <f aca="false">IF(A1310="","",IF(AND(K1310="OK",L1310="OK"),"OK","CHECK"))</f>
        <v>OK</v>
      </c>
    </row>
    <row r="1311" customFormat="false" ht="18" hidden="false" customHeight="true" outlineLevel="0" collapsed="false">
      <c r="A1311" s="9" t="s">
        <v>26</v>
      </c>
      <c r="B1311" s="9" t="n">
        <v>23</v>
      </c>
      <c r="C1311" s="11" t="n">
        <v>45981</v>
      </c>
      <c r="D1311" s="9" t="s">
        <v>122</v>
      </c>
      <c r="E1311" s="12" t="n">
        <v>20</v>
      </c>
      <c r="F1311" s="9" t="s">
        <v>31</v>
      </c>
      <c r="G1311" s="13" t="n">
        <v>100</v>
      </c>
      <c r="H1311" s="9" t="s">
        <v>41</v>
      </c>
      <c r="I1311" s="13" t="n">
        <v>3</v>
      </c>
      <c r="J1311" s="1" t="str">
        <f aca="false">IF(A1311="","", "SAMP-"&amp;A1311&amp;"-L"&amp;TEXT(B1311,"00")&amp;"-"&amp;TEXT(C1311,"yyyymmdd")&amp;"-"&amp;D1311&amp;"-H"&amp;TEXT(E1311,"00")&amp;"-"&amp;H1311)</f>
        <v>SAMP-KG01-L23-20251120-ORD-2025-00233-H20-Chip</v>
      </c>
      <c r="K1311" s="1" t="str">
        <f aca="false">IF(A1311="","",IF(AND(G1311&gt;=0,I1311&gt;=0,I1311&lt;=G1311),"OK","CHECK"))</f>
        <v>OK</v>
      </c>
      <c r="L1311" s="1" t="str">
        <f aca="false">IF(A1311="","",IF(AND(E1311&gt;=0,E1311&lt;=23),"OK","CHECK"))</f>
        <v>OK</v>
      </c>
      <c r="M1311" s="1" t="str">
        <f aca="false">IF(A1311="","",IF(AND(K1311="OK",L1311="OK"),"OK","CHECK"))</f>
        <v>OK</v>
      </c>
    </row>
    <row r="1312" customFormat="false" ht="18" hidden="false" customHeight="true" outlineLevel="0" collapsed="false">
      <c r="A1312" s="9" t="s">
        <v>26</v>
      </c>
      <c r="B1312" s="9" t="n">
        <v>23</v>
      </c>
      <c r="C1312" s="11" t="n">
        <v>45981</v>
      </c>
      <c r="D1312" s="9" t="s">
        <v>122</v>
      </c>
      <c r="E1312" s="12" t="n">
        <v>16</v>
      </c>
      <c r="F1312" s="9" t="s">
        <v>31</v>
      </c>
      <c r="G1312" s="13" t="n">
        <v>50</v>
      </c>
      <c r="H1312" s="9" t="s">
        <v>38</v>
      </c>
      <c r="I1312" s="13" t="n">
        <v>1</v>
      </c>
      <c r="J1312" s="1" t="str">
        <f aca="false">IF(A1312="","", "SAMP-"&amp;A1312&amp;"-L"&amp;TEXT(B1312,"00")&amp;"-"&amp;TEXT(C1312,"yyyymmdd")&amp;"-"&amp;D1312&amp;"-H"&amp;TEXT(E1312,"00")&amp;"-"&amp;H1312)</f>
        <v>SAMP-KG01-L23-20251120-ORD-2025-00233-H16-Crack</v>
      </c>
      <c r="K1312" s="1" t="str">
        <f aca="false">IF(A1312="","",IF(AND(G1312&gt;=0,I1312&gt;=0,I1312&lt;=G1312),"OK","CHECK"))</f>
        <v>OK</v>
      </c>
      <c r="L1312" s="1" t="str">
        <f aca="false">IF(A1312="","",IF(AND(E1312&gt;=0,E1312&lt;=23),"OK","CHECK"))</f>
        <v>OK</v>
      </c>
      <c r="M1312" s="1" t="str">
        <f aca="false">IF(A1312="","",IF(AND(K1312="OK",L1312="OK"),"OK","CHECK"))</f>
        <v>OK</v>
      </c>
    </row>
    <row r="1313" customFormat="false" ht="18" hidden="false" customHeight="true" outlineLevel="0" collapsed="false">
      <c r="A1313" s="9" t="s">
        <v>26</v>
      </c>
      <c r="B1313" s="9" t="n">
        <v>23</v>
      </c>
      <c r="C1313" s="11" t="n">
        <v>45981</v>
      </c>
      <c r="D1313" s="9" t="s">
        <v>122</v>
      </c>
      <c r="E1313" s="12" t="n">
        <v>23</v>
      </c>
      <c r="F1313" s="9" t="s">
        <v>31</v>
      </c>
      <c r="G1313" s="13" t="n">
        <v>150</v>
      </c>
      <c r="H1313" s="9" t="s">
        <v>33</v>
      </c>
      <c r="I1313" s="13" t="n">
        <v>1</v>
      </c>
      <c r="J1313" s="1" t="str">
        <f aca="false">IF(A1313="","", "SAMP-"&amp;A1313&amp;"-L"&amp;TEXT(B1313,"00")&amp;"-"&amp;TEXT(C1313,"yyyymmdd")&amp;"-"&amp;D1313&amp;"-H"&amp;TEXT(E1313,"00")&amp;"-"&amp;H1313)</f>
        <v>SAMP-KG01-L23-20251120-ORD-2025-00233-H23-Distortion</v>
      </c>
      <c r="K1313" s="1" t="str">
        <f aca="false">IF(A1313="","",IF(AND(G1313&gt;=0,I1313&gt;=0,I1313&lt;=G1313),"OK","CHECK"))</f>
        <v>OK</v>
      </c>
      <c r="L1313" s="1" t="str">
        <f aca="false">IF(A1313="","",IF(AND(E1313&gt;=0,E1313&lt;=23),"OK","CHECK"))</f>
        <v>OK</v>
      </c>
      <c r="M1313" s="1" t="str">
        <f aca="false">IF(A1313="","",IF(AND(K1313="OK",L1313="OK"),"OK","CHECK"))</f>
        <v>OK</v>
      </c>
    </row>
    <row r="1314" customFormat="false" ht="18" hidden="false" customHeight="true" outlineLevel="0" collapsed="false">
      <c r="A1314" s="9" t="s">
        <v>26</v>
      </c>
      <c r="B1314" s="9" t="n">
        <v>23</v>
      </c>
      <c r="C1314" s="11" t="n">
        <v>45982</v>
      </c>
      <c r="D1314" s="9" t="s">
        <v>122</v>
      </c>
      <c r="E1314" s="12" t="n">
        <v>12</v>
      </c>
      <c r="F1314" s="9" t="s">
        <v>28</v>
      </c>
      <c r="G1314" s="13" t="n">
        <v>200</v>
      </c>
      <c r="H1314" s="9" t="s">
        <v>36</v>
      </c>
      <c r="I1314" s="13" t="n">
        <v>7</v>
      </c>
      <c r="J1314" s="1" t="str">
        <f aca="false">IF(A1314="","", "SAMP-"&amp;A1314&amp;"-L"&amp;TEXT(B1314,"00")&amp;"-"&amp;TEXT(C1314,"yyyymmdd")&amp;"-"&amp;D1314&amp;"-H"&amp;TEXT(E1314,"00")&amp;"-"&amp;H1314)</f>
        <v>SAMP-KG01-L23-20251121-ORD-2025-00233-H12-Blister</v>
      </c>
      <c r="K1314" s="1" t="str">
        <f aca="false">IF(A1314="","",IF(AND(G1314&gt;=0,I1314&gt;=0,I1314&lt;=G1314),"OK","CHECK"))</f>
        <v>OK</v>
      </c>
      <c r="L1314" s="1" t="str">
        <f aca="false">IF(A1314="","",IF(AND(E1314&gt;=0,E1314&lt;=23),"OK","CHECK"))</f>
        <v>OK</v>
      </c>
      <c r="M1314" s="1" t="str">
        <f aca="false">IF(A1314="","",IF(AND(K1314="OK",L1314="OK"),"OK","CHECK"))</f>
        <v>OK</v>
      </c>
    </row>
    <row r="1315" customFormat="false" ht="18" hidden="false" customHeight="true" outlineLevel="0" collapsed="false">
      <c r="A1315" s="9" t="s">
        <v>26</v>
      </c>
      <c r="B1315" s="9" t="n">
        <v>23</v>
      </c>
      <c r="C1315" s="11" t="n">
        <v>45982</v>
      </c>
      <c r="D1315" s="9" t="s">
        <v>122</v>
      </c>
      <c r="E1315" s="12" t="n">
        <v>7</v>
      </c>
      <c r="F1315" s="9" t="s">
        <v>28</v>
      </c>
      <c r="G1315" s="13" t="n">
        <v>200</v>
      </c>
      <c r="H1315" s="9" t="s">
        <v>34</v>
      </c>
      <c r="I1315" s="13" t="n">
        <v>2</v>
      </c>
      <c r="J1315" s="1" t="str">
        <f aca="false">IF(A1315="","", "SAMP-"&amp;A1315&amp;"-L"&amp;TEXT(B1315,"00")&amp;"-"&amp;TEXT(C1315,"yyyymmdd")&amp;"-"&amp;D1315&amp;"-H"&amp;TEXT(E1315,"00")&amp;"-"&amp;H1315)</f>
        <v>SAMP-KG01-L23-20251121-ORD-2025-00233-H07-Thin Wall</v>
      </c>
      <c r="K1315" s="1" t="str">
        <f aca="false">IF(A1315="","",IF(AND(G1315&gt;=0,I1315&gt;=0,I1315&lt;=G1315),"OK","CHECK"))</f>
        <v>OK</v>
      </c>
      <c r="L1315" s="1" t="str">
        <f aca="false">IF(A1315="","",IF(AND(E1315&gt;=0,E1315&lt;=23),"OK","CHECK"))</f>
        <v>OK</v>
      </c>
      <c r="M1315" s="1" t="str">
        <f aca="false">IF(A1315="","",IF(AND(K1315="OK",L1315="OK"),"OK","CHECK"))</f>
        <v>OK</v>
      </c>
    </row>
    <row r="1316" customFormat="false" ht="18" hidden="false" customHeight="true" outlineLevel="0" collapsed="false">
      <c r="A1316" s="9" t="s">
        <v>26</v>
      </c>
      <c r="B1316" s="9" t="n">
        <v>23</v>
      </c>
      <c r="C1316" s="11" t="n">
        <v>45982</v>
      </c>
      <c r="D1316" s="9" t="s">
        <v>122</v>
      </c>
      <c r="E1316" s="12" t="n">
        <v>9</v>
      </c>
      <c r="F1316" s="9" t="s">
        <v>28</v>
      </c>
      <c r="G1316" s="13" t="n">
        <v>100</v>
      </c>
      <c r="H1316" s="9" t="s">
        <v>33</v>
      </c>
      <c r="I1316" s="13" t="n">
        <v>3</v>
      </c>
      <c r="J1316" s="1" t="str">
        <f aca="false">IF(A1316="","", "SAMP-"&amp;A1316&amp;"-L"&amp;TEXT(B1316,"00")&amp;"-"&amp;TEXT(C1316,"yyyymmdd")&amp;"-"&amp;D1316&amp;"-H"&amp;TEXT(E1316,"00")&amp;"-"&amp;H1316)</f>
        <v>SAMP-KG01-L23-20251121-ORD-2025-00233-H09-Distortion</v>
      </c>
      <c r="K1316" s="1" t="str">
        <f aca="false">IF(A1316="","",IF(AND(G1316&gt;=0,I1316&gt;=0,I1316&lt;=G1316),"OK","CHECK"))</f>
        <v>OK</v>
      </c>
      <c r="L1316" s="1" t="str">
        <f aca="false">IF(A1316="","",IF(AND(E1316&gt;=0,E1316&lt;=23),"OK","CHECK"))</f>
        <v>OK</v>
      </c>
      <c r="M1316" s="1" t="str">
        <f aca="false">IF(A1316="","",IF(AND(K1316="OK",L1316="OK"),"OK","CHECK"))</f>
        <v>OK</v>
      </c>
    </row>
    <row r="1317" customFormat="false" ht="18" hidden="false" customHeight="true" outlineLevel="0" collapsed="false">
      <c r="A1317" s="9" t="s">
        <v>26</v>
      </c>
      <c r="B1317" s="9" t="n">
        <v>23</v>
      </c>
      <c r="C1317" s="11" t="n">
        <v>45982</v>
      </c>
      <c r="D1317" s="9" t="s">
        <v>122</v>
      </c>
      <c r="E1317" s="12" t="n">
        <v>20</v>
      </c>
      <c r="F1317" s="9" t="s">
        <v>31</v>
      </c>
      <c r="G1317" s="13" t="n">
        <v>150</v>
      </c>
      <c r="H1317" s="9" t="s">
        <v>34</v>
      </c>
      <c r="I1317" s="13" t="n">
        <v>2</v>
      </c>
      <c r="J1317" s="1" t="str">
        <f aca="false">IF(A1317="","", "SAMP-"&amp;A1317&amp;"-L"&amp;TEXT(B1317,"00")&amp;"-"&amp;TEXT(C1317,"yyyymmdd")&amp;"-"&amp;D1317&amp;"-H"&amp;TEXT(E1317,"00")&amp;"-"&amp;H1317)</f>
        <v>SAMP-KG01-L23-20251121-ORD-2025-00233-H20-Thin Wall</v>
      </c>
      <c r="K1317" s="1" t="str">
        <f aca="false">IF(A1317="","",IF(AND(G1317&gt;=0,I1317&gt;=0,I1317&lt;=G1317),"OK","CHECK"))</f>
        <v>OK</v>
      </c>
      <c r="L1317" s="1" t="str">
        <f aca="false">IF(A1317="","",IF(AND(E1317&gt;=0,E1317&lt;=23),"OK","CHECK"))</f>
        <v>OK</v>
      </c>
      <c r="M1317" s="1" t="str">
        <f aca="false">IF(A1317="","",IF(AND(K1317="OK",L1317="OK"),"OK","CHECK"))</f>
        <v>OK</v>
      </c>
    </row>
    <row r="1318" customFormat="false" ht="18" hidden="false" customHeight="true" outlineLevel="0" collapsed="false">
      <c r="A1318" s="9" t="s">
        <v>26</v>
      </c>
      <c r="B1318" s="9" t="n">
        <v>23</v>
      </c>
      <c r="C1318" s="11" t="n">
        <v>45982</v>
      </c>
      <c r="D1318" s="9" t="s">
        <v>122</v>
      </c>
      <c r="E1318" s="12" t="n">
        <v>23</v>
      </c>
      <c r="F1318" s="9" t="s">
        <v>31</v>
      </c>
      <c r="G1318" s="13" t="n">
        <v>50</v>
      </c>
      <c r="H1318" s="9" t="s">
        <v>34</v>
      </c>
      <c r="I1318" s="13" t="n">
        <v>2</v>
      </c>
      <c r="J1318" s="1" t="str">
        <f aca="false">IF(A1318="","", "SAMP-"&amp;A1318&amp;"-L"&amp;TEXT(B1318,"00")&amp;"-"&amp;TEXT(C1318,"yyyymmdd")&amp;"-"&amp;D1318&amp;"-H"&amp;TEXT(E1318,"00")&amp;"-"&amp;H1318)</f>
        <v>SAMP-KG01-L23-20251121-ORD-2025-00233-H23-Thin Wall</v>
      </c>
      <c r="K1318" s="1" t="str">
        <f aca="false">IF(A1318="","",IF(AND(G1318&gt;=0,I1318&gt;=0,I1318&lt;=G1318),"OK","CHECK"))</f>
        <v>OK</v>
      </c>
      <c r="L1318" s="1" t="str">
        <f aca="false">IF(A1318="","",IF(AND(E1318&gt;=0,E1318&lt;=23),"OK","CHECK"))</f>
        <v>OK</v>
      </c>
      <c r="M1318" s="1" t="str">
        <f aca="false">IF(A1318="","",IF(AND(K1318="OK",L1318="OK"),"OK","CHECK"))</f>
        <v>OK</v>
      </c>
    </row>
    <row r="1319" customFormat="false" ht="18" hidden="false" customHeight="true" outlineLevel="0" collapsed="false">
      <c r="A1319" s="9" t="s">
        <v>26</v>
      </c>
      <c r="B1319" s="9" t="n">
        <v>23</v>
      </c>
      <c r="C1319" s="11" t="n">
        <v>45983</v>
      </c>
      <c r="D1319" s="9" t="s">
        <v>122</v>
      </c>
      <c r="E1319" s="12" t="n">
        <v>7</v>
      </c>
      <c r="F1319" s="9" t="s">
        <v>28</v>
      </c>
      <c r="G1319" s="13" t="n">
        <v>50</v>
      </c>
      <c r="H1319" s="9" t="s">
        <v>37</v>
      </c>
      <c r="I1319" s="13" t="n">
        <v>1</v>
      </c>
      <c r="J1319" s="1" t="str">
        <f aca="false">IF(A1319="","", "SAMP-"&amp;A1319&amp;"-L"&amp;TEXT(B1319,"00")&amp;"-"&amp;TEXT(C1319,"yyyymmdd")&amp;"-"&amp;D1319&amp;"-H"&amp;TEXT(E1319,"00")&amp;"-"&amp;H1319)</f>
        <v>SAMP-KG01-L23-20251122-ORD-2025-00233-H07-Bird Swing</v>
      </c>
      <c r="K1319" s="1" t="str">
        <f aca="false">IF(A1319="","",IF(AND(G1319&gt;=0,I1319&gt;=0,I1319&lt;=G1319),"OK","CHECK"))</f>
        <v>OK</v>
      </c>
      <c r="L1319" s="1" t="str">
        <f aca="false">IF(A1319="","",IF(AND(E1319&gt;=0,E1319&lt;=23),"OK","CHECK"))</f>
        <v>OK</v>
      </c>
      <c r="M1319" s="1" t="str">
        <f aca="false">IF(A1319="","",IF(AND(K1319="OK",L1319="OK"),"OK","CHECK"))</f>
        <v>OK</v>
      </c>
    </row>
    <row r="1320" customFormat="false" ht="18" hidden="false" customHeight="true" outlineLevel="0" collapsed="false">
      <c r="A1320" s="9" t="s">
        <v>26</v>
      </c>
      <c r="B1320" s="9" t="n">
        <v>23</v>
      </c>
      <c r="C1320" s="11" t="n">
        <v>45983</v>
      </c>
      <c r="D1320" s="9" t="s">
        <v>122</v>
      </c>
      <c r="E1320" s="12" t="n">
        <v>9</v>
      </c>
      <c r="F1320" s="9" t="s">
        <v>28</v>
      </c>
      <c r="G1320" s="13" t="n">
        <v>150</v>
      </c>
      <c r="H1320" s="9" t="s">
        <v>36</v>
      </c>
      <c r="I1320" s="13" t="n">
        <v>0</v>
      </c>
      <c r="J1320" s="1" t="str">
        <f aca="false">IF(A1320="","", "SAMP-"&amp;A1320&amp;"-L"&amp;TEXT(B1320,"00")&amp;"-"&amp;TEXT(C1320,"yyyymmdd")&amp;"-"&amp;D1320&amp;"-H"&amp;TEXT(E1320,"00")&amp;"-"&amp;H1320)</f>
        <v>SAMP-KG01-L23-20251122-ORD-2025-00233-H09-Blister</v>
      </c>
      <c r="K1320" s="1" t="str">
        <f aca="false">IF(A1320="","",IF(AND(G1320&gt;=0,I1320&gt;=0,I1320&lt;=G1320),"OK","CHECK"))</f>
        <v>OK</v>
      </c>
      <c r="L1320" s="1" t="str">
        <f aca="false">IF(A1320="","",IF(AND(E1320&gt;=0,E1320&lt;=23),"OK","CHECK"))</f>
        <v>OK</v>
      </c>
      <c r="M1320" s="1" t="str">
        <f aca="false">IF(A1320="","",IF(AND(K1320="OK",L1320="OK"),"OK","CHECK"))</f>
        <v>OK</v>
      </c>
    </row>
    <row r="1321" customFormat="false" ht="18" hidden="false" customHeight="true" outlineLevel="0" collapsed="false">
      <c r="A1321" s="9" t="s">
        <v>26</v>
      </c>
      <c r="B1321" s="9" t="n">
        <v>23</v>
      </c>
      <c r="C1321" s="11" t="n">
        <v>45983</v>
      </c>
      <c r="D1321" s="9" t="s">
        <v>123</v>
      </c>
      <c r="E1321" s="12" t="n">
        <v>23</v>
      </c>
      <c r="F1321" s="9" t="s">
        <v>31</v>
      </c>
      <c r="G1321" s="13" t="n">
        <v>50</v>
      </c>
      <c r="H1321" s="9" t="s">
        <v>34</v>
      </c>
      <c r="I1321" s="13" t="n">
        <v>0</v>
      </c>
      <c r="J1321" s="1" t="str">
        <f aca="false">IF(A1321="","", "SAMP-"&amp;A1321&amp;"-L"&amp;TEXT(B1321,"00")&amp;"-"&amp;TEXT(C1321,"yyyymmdd")&amp;"-"&amp;D1321&amp;"-H"&amp;TEXT(E1321,"00")&amp;"-"&amp;H1321)</f>
        <v>SAMP-KG01-L23-20251122-ORD-2025-00234-H23-Thin Wall</v>
      </c>
      <c r="K1321" s="1" t="str">
        <f aca="false">IF(A1321="","",IF(AND(G1321&gt;=0,I1321&gt;=0,I1321&lt;=G1321),"OK","CHECK"))</f>
        <v>OK</v>
      </c>
      <c r="L1321" s="1" t="str">
        <f aca="false">IF(A1321="","",IF(AND(E1321&gt;=0,E1321&lt;=23),"OK","CHECK"))</f>
        <v>OK</v>
      </c>
      <c r="M1321" s="1" t="str">
        <f aca="false">IF(A1321="","",IF(AND(K1321="OK",L1321="OK"),"OK","CHECK"))</f>
        <v>OK</v>
      </c>
    </row>
    <row r="1322" customFormat="false" ht="18" hidden="false" customHeight="true" outlineLevel="0" collapsed="false">
      <c r="A1322" s="9" t="s">
        <v>26</v>
      </c>
      <c r="B1322" s="9" t="n">
        <v>23</v>
      </c>
      <c r="C1322" s="11" t="n">
        <v>45983</v>
      </c>
      <c r="D1322" s="9" t="s">
        <v>123</v>
      </c>
      <c r="E1322" s="12" t="n">
        <v>20</v>
      </c>
      <c r="F1322" s="9" t="s">
        <v>31</v>
      </c>
      <c r="G1322" s="13" t="n">
        <v>150</v>
      </c>
      <c r="H1322" s="9" t="s">
        <v>38</v>
      </c>
      <c r="I1322" s="13" t="n">
        <v>5</v>
      </c>
      <c r="J1322" s="1" t="str">
        <f aca="false">IF(A1322="","", "SAMP-"&amp;A1322&amp;"-L"&amp;TEXT(B1322,"00")&amp;"-"&amp;TEXT(C1322,"yyyymmdd")&amp;"-"&amp;D1322&amp;"-H"&amp;TEXT(E1322,"00")&amp;"-"&amp;H1322)</f>
        <v>SAMP-KG01-L23-20251122-ORD-2025-00234-H20-Crack</v>
      </c>
      <c r="K1322" s="1" t="str">
        <f aca="false">IF(A1322="","",IF(AND(G1322&gt;=0,I1322&gt;=0,I1322&lt;=G1322),"OK","CHECK"))</f>
        <v>OK</v>
      </c>
      <c r="L1322" s="1" t="str">
        <f aca="false">IF(A1322="","",IF(AND(E1322&gt;=0,E1322&lt;=23),"OK","CHECK"))</f>
        <v>OK</v>
      </c>
      <c r="M1322" s="1" t="str">
        <f aca="false">IF(A1322="","",IF(AND(K1322="OK",L1322="OK"),"OK","CHECK"))</f>
        <v>OK</v>
      </c>
    </row>
    <row r="1323" customFormat="false" ht="18" hidden="false" customHeight="true" outlineLevel="0" collapsed="false">
      <c r="A1323" s="9" t="s">
        <v>26</v>
      </c>
      <c r="B1323" s="9" t="n">
        <v>23</v>
      </c>
      <c r="C1323" s="11" t="n">
        <v>45983</v>
      </c>
      <c r="D1323" s="9" t="s">
        <v>123</v>
      </c>
      <c r="E1323" s="12" t="n">
        <v>16</v>
      </c>
      <c r="F1323" s="9" t="s">
        <v>31</v>
      </c>
      <c r="G1323" s="13" t="n">
        <v>50</v>
      </c>
      <c r="H1323" s="9" t="s">
        <v>30</v>
      </c>
      <c r="I1323" s="13" t="n">
        <v>2</v>
      </c>
      <c r="J1323" s="1" t="str">
        <f aca="false">IF(A1323="","", "SAMP-"&amp;A1323&amp;"-L"&amp;TEXT(B1323,"00")&amp;"-"&amp;TEXT(C1323,"yyyymmdd")&amp;"-"&amp;D1323&amp;"-H"&amp;TEXT(E1323,"00")&amp;"-"&amp;H1323)</f>
        <v>SAMP-KG01-L23-20251122-ORD-2025-00234-H16-Overpress</v>
      </c>
      <c r="K1323" s="1" t="str">
        <f aca="false">IF(A1323="","",IF(AND(G1323&gt;=0,I1323&gt;=0,I1323&lt;=G1323),"OK","CHECK"))</f>
        <v>OK</v>
      </c>
      <c r="L1323" s="1" t="str">
        <f aca="false">IF(A1323="","",IF(AND(E1323&gt;=0,E1323&lt;=23),"OK","CHECK"))</f>
        <v>OK</v>
      </c>
      <c r="M1323" s="1" t="str">
        <f aca="false">IF(A1323="","",IF(AND(K1323="OK",L1323="OK"),"OK","CHECK"))</f>
        <v>OK</v>
      </c>
    </row>
    <row r="1324" customFormat="false" ht="18" hidden="false" customHeight="true" outlineLevel="0" collapsed="false">
      <c r="A1324" s="9" t="s">
        <v>26</v>
      </c>
      <c r="B1324" s="9" t="n">
        <v>23</v>
      </c>
      <c r="C1324" s="11" t="n">
        <v>45984</v>
      </c>
      <c r="D1324" s="9" t="s">
        <v>123</v>
      </c>
      <c r="E1324" s="12" t="n">
        <v>9</v>
      </c>
      <c r="F1324" s="9" t="s">
        <v>28</v>
      </c>
      <c r="G1324" s="13" t="n">
        <v>200</v>
      </c>
      <c r="H1324" s="9" t="s">
        <v>30</v>
      </c>
      <c r="I1324" s="13" t="n">
        <v>7</v>
      </c>
      <c r="J1324" s="1" t="str">
        <f aca="false">IF(A1324="","", "SAMP-"&amp;A1324&amp;"-L"&amp;TEXT(B1324,"00")&amp;"-"&amp;TEXT(C1324,"yyyymmdd")&amp;"-"&amp;D1324&amp;"-H"&amp;TEXT(E1324,"00")&amp;"-"&amp;H1324)</f>
        <v>SAMP-KG01-L23-20251123-ORD-2025-00234-H09-Overpress</v>
      </c>
      <c r="K1324" s="1" t="str">
        <f aca="false">IF(A1324="","",IF(AND(G1324&gt;=0,I1324&gt;=0,I1324&lt;=G1324),"OK","CHECK"))</f>
        <v>OK</v>
      </c>
      <c r="L1324" s="1" t="str">
        <f aca="false">IF(A1324="","",IF(AND(E1324&gt;=0,E1324&lt;=23),"OK","CHECK"))</f>
        <v>OK</v>
      </c>
      <c r="M1324" s="1" t="str">
        <f aca="false">IF(A1324="","",IF(AND(K1324="OK",L1324="OK"),"OK","CHECK"))</f>
        <v>OK</v>
      </c>
    </row>
    <row r="1325" customFormat="false" ht="18" hidden="false" customHeight="true" outlineLevel="0" collapsed="false">
      <c r="A1325" s="9" t="s">
        <v>26</v>
      </c>
      <c r="B1325" s="9" t="n">
        <v>23</v>
      </c>
      <c r="C1325" s="11" t="n">
        <v>45984</v>
      </c>
      <c r="D1325" s="9" t="s">
        <v>123</v>
      </c>
      <c r="E1325" s="12" t="n">
        <v>7</v>
      </c>
      <c r="F1325" s="9" t="s">
        <v>28</v>
      </c>
      <c r="G1325" s="13" t="n">
        <v>50</v>
      </c>
      <c r="H1325" s="9" t="s">
        <v>30</v>
      </c>
      <c r="I1325" s="13" t="n">
        <v>2</v>
      </c>
      <c r="J1325" s="1" t="str">
        <f aca="false">IF(A1325="","", "SAMP-"&amp;A1325&amp;"-L"&amp;TEXT(B1325,"00")&amp;"-"&amp;TEXT(C1325,"yyyymmdd")&amp;"-"&amp;D1325&amp;"-H"&amp;TEXT(E1325,"00")&amp;"-"&amp;H1325)</f>
        <v>SAMP-KG01-L23-20251123-ORD-2025-00234-H07-Overpress</v>
      </c>
      <c r="K1325" s="1" t="str">
        <f aca="false">IF(A1325="","",IF(AND(G1325&gt;=0,I1325&gt;=0,I1325&lt;=G1325),"OK","CHECK"))</f>
        <v>OK</v>
      </c>
      <c r="L1325" s="1" t="str">
        <f aca="false">IF(A1325="","",IF(AND(E1325&gt;=0,E1325&lt;=23),"OK","CHECK"))</f>
        <v>OK</v>
      </c>
      <c r="M1325" s="1" t="str">
        <f aca="false">IF(A1325="","",IF(AND(K1325="OK",L1325="OK"),"OK","CHECK"))</f>
        <v>OK</v>
      </c>
    </row>
    <row r="1326" customFormat="false" ht="18" hidden="false" customHeight="true" outlineLevel="0" collapsed="false">
      <c r="A1326" s="9" t="s">
        <v>26</v>
      </c>
      <c r="B1326" s="9" t="n">
        <v>23</v>
      </c>
      <c r="C1326" s="11" t="n">
        <v>45984</v>
      </c>
      <c r="D1326" s="9" t="s">
        <v>123</v>
      </c>
      <c r="E1326" s="12" t="n">
        <v>12</v>
      </c>
      <c r="F1326" s="9" t="s">
        <v>28</v>
      </c>
      <c r="G1326" s="13" t="n">
        <v>100</v>
      </c>
      <c r="H1326" s="9" t="s">
        <v>38</v>
      </c>
      <c r="I1326" s="13" t="n">
        <v>3</v>
      </c>
      <c r="J1326" s="1" t="str">
        <f aca="false">IF(A1326="","", "SAMP-"&amp;A1326&amp;"-L"&amp;TEXT(B1326,"00")&amp;"-"&amp;TEXT(C1326,"yyyymmdd")&amp;"-"&amp;D1326&amp;"-H"&amp;TEXT(E1326,"00")&amp;"-"&amp;H1326)</f>
        <v>SAMP-KG01-L23-20251123-ORD-2025-00234-H12-Crack</v>
      </c>
      <c r="K1326" s="1" t="str">
        <f aca="false">IF(A1326="","",IF(AND(G1326&gt;=0,I1326&gt;=0,I1326&lt;=G1326),"OK","CHECK"))</f>
        <v>OK</v>
      </c>
      <c r="L1326" s="1" t="str">
        <f aca="false">IF(A1326="","",IF(AND(E1326&gt;=0,E1326&lt;=23),"OK","CHECK"))</f>
        <v>OK</v>
      </c>
      <c r="M1326" s="1" t="str">
        <f aca="false">IF(A1326="","",IF(AND(K1326="OK",L1326="OK"),"OK","CHECK"))</f>
        <v>OK</v>
      </c>
    </row>
    <row r="1327" customFormat="false" ht="18" hidden="false" customHeight="true" outlineLevel="0" collapsed="false">
      <c r="A1327" s="9" t="s">
        <v>26</v>
      </c>
      <c r="B1327" s="9" t="n">
        <v>23</v>
      </c>
      <c r="C1327" s="11" t="n">
        <v>45984</v>
      </c>
      <c r="D1327" s="9" t="s">
        <v>123</v>
      </c>
      <c r="E1327" s="12" t="n">
        <v>16</v>
      </c>
      <c r="F1327" s="9" t="s">
        <v>31</v>
      </c>
      <c r="G1327" s="13" t="n">
        <v>150</v>
      </c>
      <c r="H1327" s="9" t="s">
        <v>30</v>
      </c>
      <c r="I1327" s="13" t="n">
        <v>2</v>
      </c>
      <c r="J1327" s="1" t="str">
        <f aca="false">IF(A1327="","", "SAMP-"&amp;A1327&amp;"-L"&amp;TEXT(B1327,"00")&amp;"-"&amp;TEXT(C1327,"yyyymmdd")&amp;"-"&amp;D1327&amp;"-H"&amp;TEXT(E1327,"00")&amp;"-"&amp;H1327)</f>
        <v>SAMP-KG01-L23-20251123-ORD-2025-00234-H16-Overpress</v>
      </c>
      <c r="K1327" s="1" t="str">
        <f aca="false">IF(A1327="","",IF(AND(G1327&gt;=0,I1327&gt;=0,I1327&lt;=G1327),"OK","CHECK"))</f>
        <v>OK</v>
      </c>
      <c r="L1327" s="1" t="str">
        <f aca="false">IF(A1327="","",IF(AND(E1327&gt;=0,E1327&lt;=23),"OK","CHECK"))</f>
        <v>OK</v>
      </c>
      <c r="M1327" s="1" t="str">
        <f aca="false">IF(A1327="","",IF(AND(K1327="OK",L1327="OK"),"OK","CHECK"))</f>
        <v>OK</v>
      </c>
    </row>
    <row r="1328" customFormat="false" ht="18" hidden="false" customHeight="true" outlineLevel="0" collapsed="false">
      <c r="A1328" s="9" t="s">
        <v>26</v>
      </c>
      <c r="B1328" s="9" t="n">
        <v>23</v>
      </c>
      <c r="C1328" s="11" t="n">
        <v>45984</v>
      </c>
      <c r="D1328" s="9" t="s">
        <v>123</v>
      </c>
      <c r="E1328" s="12" t="n">
        <v>20</v>
      </c>
      <c r="F1328" s="9" t="s">
        <v>31</v>
      </c>
      <c r="G1328" s="13" t="n">
        <v>50</v>
      </c>
      <c r="H1328" s="9" t="s">
        <v>35</v>
      </c>
      <c r="I1328" s="13" t="n">
        <v>0</v>
      </c>
      <c r="J1328" s="1" t="str">
        <f aca="false">IF(A1328="","", "SAMP-"&amp;A1328&amp;"-L"&amp;TEXT(B1328,"00")&amp;"-"&amp;TEXT(C1328,"yyyymmdd")&amp;"-"&amp;D1328&amp;"-H"&amp;TEXT(E1328,"00")&amp;"-"&amp;H1328)</f>
        <v>SAMP-KG01-L23-20251123-ORD-2025-00234-H20-Stone</v>
      </c>
      <c r="K1328" s="1" t="str">
        <f aca="false">IF(A1328="","",IF(AND(G1328&gt;=0,I1328&gt;=0,I1328&lt;=G1328),"OK","CHECK"))</f>
        <v>OK</v>
      </c>
      <c r="L1328" s="1" t="str">
        <f aca="false">IF(A1328="","",IF(AND(E1328&gt;=0,E1328&lt;=23),"OK","CHECK"))</f>
        <v>OK</v>
      </c>
      <c r="M1328" s="1" t="str">
        <f aca="false">IF(A1328="","",IF(AND(K1328="OK",L1328="OK"),"OK","CHECK"))</f>
        <v>OK</v>
      </c>
    </row>
    <row r="1329" customFormat="false" ht="18" hidden="false" customHeight="true" outlineLevel="0" collapsed="false">
      <c r="A1329" s="9" t="s">
        <v>26</v>
      </c>
      <c r="B1329" s="9" t="n">
        <v>23</v>
      </c>
      <c r="C1329" s="11" t="n">
        <v>45984</v>
      </c>
      <c r="D1329" s="9" t="s">
        <v>123</v>
      </c>
      <c r="E1329" s="12" t="n">
        <v>23</v>
      </c>
      <c r="F1329" s="9" t="s">
        <v>31</v>
      </c>
      <c r="G1329" s="13" t="n">
        <v>200</v>
      </c>
      <c r="H1329" s="9" t="s">
        <v>33</v>
      </c>
      <c r="I1329" s="13" t="n">
        <v>3</v>
      </c>
      <c r="J1329" s="1" t="str">
        <f aca="false">IF(A1329="","", "SAMP-"&amp;A1329&amp;"-L"&amp;TEXT(B1329,"00")&amp;"-"&amp;TEXT(C1329,"yyyymmdd")&amp;"-"&amp;D1329&amp;"-H"&amp;TEXT(E1329,"00")&amp;"-"&amp;H1329)</f>
        <v>SAMP-KG01-L23-20251123-ORD-2025-00234-H23-Distortion</v>
      </c>
      <c r="K1329" s="1" t="str">
        <f aca="false">IF(A1329="","",IF(AND(G1329&gt;=0,I1329&gt;=0,I1329&lt;=G1329),"OK","CHECK"))</f>
        <v>OK</v>
      </c>
      <c r="L1329" s="1" t="str">
        <f aca="false">IF(A1329="","",IF(AND(E1329&gt;=0,E1329&lt;=23),"OK","CHECK"))</f>
        <v>OK</v>
      </c>
      <c r="M1329" s="1" t="str">
        <f aca="false">IF(A1329="","",IF(AND(K1329="OK",L1329="OK"),"OK","CHECK"))</f>
        <v>OK</v>
      </c>
    </row>
    <row r="1330" customFormat="false" ht="18" hidden="false" customHeight="true" outlineLevel="0" collapsed="false">
      <c r="A1330" s="9" t="s">
        <v>26</v>
      </c>
      <c r="B1330" s="9" t="n">
        <v>23</v>
      </c>
      <c r="C1330" s="11" t="n">
        <v>45985</v>
      </c>
      <c r="D1330" s="9" t="s">
        <v>123</v>
      </c>
      <c r="E1330" s="12" t="n">
        <v>12</v>
      </c>
      <c r="F1330" s="9" t="s">
        <v>28</v>
      </c>
      <c r="G1330" s="13" t="n">
        <v>200</v>
      </c>
      <c r="H1330" s="9" t="s">
        <v>29</v>
      </c>
      <c r="I1330" s="13" t="n">
        <v>2</v>
      </c>
      <c r="J1330" s="1" t="str">
        <f aca="false">IF(A1330="","", "SAMP-"&amp;A1330&amp;"-L"&amp;TEXT(B1330,"00")&amp;"-"&amp;TEXT(C1330,"yyyymmdd")&amp;"-"&amp;D1330&amp;"-H"&amp;TEXT(E1330,"00")&amp;"-"&amp;H1330)</f>
        <v>SAMP-KG01-L23-20251124-ORD-2025-00234-H12-Choke Neck</v>
      </c>
      <c r="K1330" s="1" t="str">
        <f aca="false">IF(A1330="","",IF(AND(G1330&gt;=0,I1330&gt;=0,I1330&lt;=G1330),"OK","CHECK"))</f>
        <v>OK</v>
      </c>
      <c r="L1330" s="1" t="str">
        <f aca="false">IF(A1330="","",IF(AND(E1330&gt;=0,E1330&lt;=23),"OK","CHECK"))</f>
        <v>OK</v>
      </c>
      <c r="M1330" s="1" t="str">
        <f aca="false">IF(A1330="","",IF(AND(K1330="OK",L1330="OK"),"OK","CHECK"))</f>
        <v>OK</v>
      </c>
    </row>
    <row r="1331" customFormat="false" ht="18" hidden="false" customHeight="true" outlineLevel="0" collapsed="false">
      <c r="A1331" s="9" t="s">
        <v>26</v>
      </c>
      <c r="B1331" s="9" t="n">
        <v>23</v>
      </c>
      <c r="C1331" s="11" t="n">
        <v>45985</v>
      </c>
      <c r="D1331" s="9" t="s">
        <v>123</v>
      </c>
      <c r="E1331" s="12" t="n">
        <v>7</v>
      </c>
      <c r="F1331" s="9" t="s">
        <v>28</v>
      </c>
      <c r="G1331" s="13" t="n">
        <v>50</v>
      </c>
      <c r="H1331" s="9" t="s">
        <v>35</v>
      </c>
      <c r="I1331" s="13" t="n">
        <v>0</v>
      </c>
      <c r="J1331" s="1" t="str">
        <f aca="false">IF(A1331="","", "SAMP-"&amp;A1331&amp;"-L"&amp;TEXT(B1331,"00")&amp;"-"&amp;TEXT(C1331,"yyyymmdd")&amp;"-"&amp;D1331&amp;"-H"&amp;TEXT(E1331,"00")&amp;"-"&amp;H1331)</f>
        <v>SAMP-KG01-L23-20251124-ORD-2025-00234-H07-Stone</v>
      </c>
      <c r="K1331" s="1" t="str">
        <f aca="false">IF(A1331="","",IF(AND(G1331&gt;=0,I1331&gt;=0,I1331&lt;=G1331),"OK","CHECK"))</f>
        <v>OK</v>
      </c>
      <c r="L1331" s="1" t="str">
        <f aca="false">IF(A1331="","",IF(AND(E1331&gt;=0,E1331&lt;=23),"OK","CHECK"))</f>
        <v>OK</v>
      </c>
      <c r="M1331" s="1" t="str">
        <f aca="false">IF(A1331="","",IF(AND(K1331="OK",L1331="OK"),"OK","CHECK"))</f>
        <v>OK</v>
      </c>
    </row>
    <row r="1332" customFormat="false" ht="18" hidden="false" customHeight="true" outlineLevel="0" collapsed="false">
      <c r="A1332" s="9" t="s">
        <v>26</v>
      </c>
      <c r="B1332" s="9" t="n">
        <v>23</v>
      </c>
      <c r="C1332" s="11" t="n">
        <v>45985</v>
      </c>
      <c r="D1332" s="9" t="s">
        <v>123</v>
      </c>
      <c r="E1332" s="12" t="n">
        <v>16</v>
      </c>
      <c r="F1332" s="9" t="s">
        <v>31</v>
      </c>
      <c r="G1332" s="13" t="n">
        <v>50</v>
      </c>
      <c r="H1332" s="9" t="s">
        <v>35</v>
      </c>
      <c r="I1332" s="13" t="n">
        <v>0</v>
      </c>
      <c r="J1332" s="1" t="str">
        <f aca="false">IF(A1332="","", "SAMP-"&amp;A1332&amp;"-L"&amp;TEXT(B1332,"00")&amp;"-"&amp;TEXT(C1332,"yyyymmdd")&amp;"-"&amp;D1332&amp;"-H"&amp;TEXT(E1332,"00")&amp;"-"&amp;H1332)</f>
        <v>SAMP-KG01-L23-20251124-ORD-2025-00234-H16-Stone</v>
      </c>
      <c r="K1332" s="1" t="str">
        <f aca="false">IF(A1332="","",IF(AND(G1332&gt;=0,I1332&gt;=0,I1332&lt;=G1332),"OK","CHECK"))</f>
        <v>OK</v>
      </c>
      <c r="L1332" s="1" t="str">
        <f aca="false">IF(A1332="","",IF(AND(E1332&gt;=0,E1332&lt;=23),"OK","CHECK"))</f>
        <v>OK</v>
      </c>
      <c r="M1332" s="1" t="str">
        <f aca="false">IF(A1332="","",IF(AND(K1332="OK",L1332="OK"),"OK","CHECK"))</f>
        <v>OK</v>
      </c>
    </row>
    <row r="1333" customFormat="false" ht="18" hidden="false" customHeight="true" outlineLevel="0" collapsed="false">
      <c r="A1333" s="9" t="s">
        <v>26</v>
      </c>
      <c r="B1333" s="9" t="n">
        <v>23</v>
      </c>
      <c r="C1333" s="11" t="n">
        <v>45985</v>
      </c>
      <c r="D1333" s="9" t="s">
        <v>123</v>
      </c>
      <c r="E1333" s="12" t="n">
        <v>20</v>
      </c>
      <c r="F1333" s="9" t="s">
        <v>31</v>
      </c>
      <c r="G1333" s="13" t="n">
        <v>100</v>
      </c>
      <c r="H1333" s="9" t="s">
        <v>36</v>
      </c>
      <c r="I1333" s="13" t="n">
        <v>0</v>
      </c>
      <c r="J1333" s="1" t="str">
        <f aca="false">IF(A1333="","", "SAMP-"&amp;A1333&amp;"-L"&amp;TEXT(B1333,"00")&amp;"-"&amp;TEXT(C1333,"yyyymmdd")&amp;"-"&amp;D1333&amp;"-H"&amp;TEXT(E1333,"00")&amp;"-"&amp;H1333)</f>
        <v>SAMP-KG01-L23-20251124-ORD-2025-00234-H20-Blister</v>
      </c>
      <c r="K1333" s="1" t="str">
        <f aca="false">IF(A1333="","",IF(AND(G1333&gt;=0,I1333&gt;=0,I1333&lt;=G1333),"OK","CHECK"))</f>
        <v>OK</v>
      </c>
      <c r="L1333" s="1" t="str">
        <f aca="false">IF(A1333="","",IF(AND(E1333&gt;=0,E1333&lt;=23),"OK","CHECK"))</f>
        <v>OK</v>
      </c>
      <c r="M1333" s="1" t="str">
        <f aca="false">IF(A1333="","",IF(AND(K1333="OK",L1333="OK"),"OK","CHECK"))</f>
        <v>OK</v>
      </c>
    </row>
    <row r="1334" customFormat="false" ht="18" hidden="false" customHeight="true" outlineLevel="0" collapsed="false">
      <c r="A1334" s="9" t="s">
        <v>26</v>
      </c>
      <c r="B1334" s="9" t="n">
        <v>23</v>
      </c>
      <c r="C1334" s="11" t="n">
        <v>45985</v>
      </c>
      <c r="D1334" s="9" t="s">
        <v>123</v>
      </c>
      <c r="E1334" s="12" t="n">
        <v>23</v>
      </c>
      <c r="F1334" s="9" t="s">
        <v>31</v>
      </c>
      <c r="G1334" s="13" t="n">
        <v>200</v>
      </c>
      <c r="H1334" s="9" t="s">
        <v>30</v>
      </c>
      <c r="I1334" s="13" t="n">
        <v>4</v>
      </c>
      <c r="J1334" s="1" t="str">
        <f aca="false">IF(A1334="","", "SAMP-"&amp;A1334&amp;"-L"&amp;TEXT(B1334,"00")&amp;"-"&amp;TEXT(C1334,"yyyymmdd")&amp;"-"&amp;D1334&amp;"-H"&amp;TEXT(E1334,"00")&amp;"-"&amp;H1334)</f>
        <v>SAMP-KG01-L23-20251124-ORD-2025-00234-H23-Overpress</v>
      </c>
      <c r="K1334" s="1" t="str">
        <f aca="false">IF(A1334="","",IF(AND(G1334&gt;=0,I1334&gt;=0,I1334&lt;=G1334),"OK","CHECK"))</f>
        <v>OK</v>
      </c>
      <c r="L1334" s="1" t="str">
        <f aca="false">IF(A1334="","",IF(AND(E1334&gt;=0,E1334&lt;=23),"OK","CHECK"))</f>
        <v>OK</v>
      </c>
      <c r="M1334" s="1" t="str">
        <f aca="false">IF(A1334="","",IF(AND(K1334="OK",L1334="OK"),"OK","CHECK"))</f>
        <v>OK</v>
      </c>
    </row>
    <row r="1335" customFormat="false" ht="18" hidden="false" customHeight="true" outlineLevel="0" collapsed="false">
      <c r="A1335" s="9" t="s">
        <v>26</v>
      </c>
      <c r="B1335" s="9" t="n">
        <v>23</v>
      </c>
      <c r="C1335" s="11" t="n">
        <v>45986</v>
      </c>
      <c r="D1335" s="9" t="s">
        <v>124</v>
      </c>
      <c r="E1335" s="12" t="n">
        <v>12</v>
      </c>
      <c r="F1335" s="9" t="s">
        <v>28</v>
      </c>
      <c r="G1335" s="13" t="n">
        <v>50</v>
      </c>
      <c r="H1335" s="9" t="s">
        <v>36</v>
      </c>
      <c r="I1335" s="13" t="n">
        <v>1</v>
      </c>
      <c r="J1335" s="1" t="str">
        <f aca="false">IF(A1335="","", "SAMP-"&amp;A1335&amp;"-L"&amp;TEXT(B1335,"00")&amp;"-"&amp;TEXT(C1335,"yyyymmdd")&amp;"-"&amp;D1335&amp;"-H"&amp;TEXT(E1335,"00")&amp;"-"&amp;H1335)</f>
        <v>SAMP-KG01-L23-20251125-ORD-2025-00235-H12-Blister</v>
      </c>
      <c r="K1335" s="1" t="str">
        <f aca="false">IF(A1335="","",IF(AND(G1335&gt;=0,I1335&gt;=0,I1335&lt;=G1335),"OK","CHECK"))</f>
        <v>OK</v>
      </c>
      <c r="L1335" s="1" t="str">
        <f aca="false">IF(A1335="","",IF(AND(E1335&gt;=0,E1335&lt;=23),"OK","CHECK"))</f>
        <v>OK</v>
      </c>
      <c r="M1335" s="1" t="str">
        <f aca="false">IF(A1335="","",IF(AND(K1335="OK",L1335="OK"),"OK","CHECK"))</f>
        <v>OK</v>
      </c>
    </row>
    <row r="1336" customFormat="false" ht="18" hidden="false" customHeight="true" outlineLevel="0" collapsed="false">
      <c r="A1336" s="9" t="s">
        <v>26</v>
      </c>
      <c r="B1336" s="9" t="n">
        <v>23</v>
      </c>
      <c r="C1336" s="11" t="n">
        <v>45986</v>
      </c>
      <c r="D1336" s="9" t="s">
        <v>124</v>
      </c>
      <c r="E1336" s="12" t="n">
        <v>9</v>
      </c>
      <c r="F1336" s="9" t="s">
        <v>28</v>
      </c>
      <c r="G1336" s="13" t="n">
        <v>50</v>
      </c>
      <c r="H1336" s="9" t="s">
        <v>36</v>
      </c>
      <c r="I1336" s="13" t="n">
        <v>1</v>
      </c>
      <c r="J1336" s="1" t="str">
        <f aca="false">IF(A1336="","", "SAMP-"&amp;A1336&amp;"-L"&amp;TEXT(B1336,"00")&amp;"-"&amp;TEXT(C1336,"yyyymmdd")&amp;"-"&amp;D1336&amp;"-H"&amp;TEXT(E1336,"00")&amp;"-"&amp;H1336)</f>
        <v>SAMP-KG01-L23-20251125-ORD-2025-00235-H09-Blister</v>
      </c>
      <c r="K1336" s="1" t="str">
        <f aca="false">IF(A1336="","",IF(AND(G1336&gt;=0,I1336&gt;=0,I1336&lt;=G1336),"OK","CHECK"))</f>
        <v>OK</v>
      </c>
      <c r="L1336" s="1" t="str">
        <f aca="false">IF(A1336="","",IF(AND(E1336&gt;=0,E1336&lt;=23),"OK","CHECK"))</f>
        <v>OK</v>
      </c>
      <c r="M1336" s="1" t="str">
        <f aca="false">IF(A1336="","",IF(AND(K1336="OK",L1336="OK"),"OK","CHECK"))</f>
        <v>OK</v>
      </c>
    </row>
    <row r="1337" customFormat="false" ht="18" hidden="false" customHeight="true" outlineLevel="0" collapsed="false">
      <c r="A1337" s="9" t="s">
        <v>26</v>
      </c>
      <c r="B1337" s="9" t="n">
        <v>23</v>
      </c>
      <c r="C1337" s="11" t="n">
        <v>45986</v>
      </c>
      <c r="D1337" s="9" t="s">
        <v>124</v>
      </c>
      <c r="E1337" s="12" t="n">
        <v>7</v>
      </c>
      <c r="F1337" s="9" t="s">
        <v>28</v>
      </c>
      <c r="G1337" s="13" t="n">
        <v>50</v>
      </c>
      <c r="H1337" s="9" t="s">
        <v>41</v>
      </c>
      <c r="I1337" s="13" t="n">
        <v>0</v>
      </c>
      <c r="J1337" s="1" t="str">
        <f aca="false">IF(A1337="","", "SAMP-"&amp;A1337&amp;"-L"&amp;TEXT(B1337,"00")&amp;"-"&amp;TEXT(C1337,"yyyymmdd")&amp;"-"&amp;D1337&amp;"-H"&amp;TEXT(E1337,"00")&amp;"-"&amp;H1337)</f>
        <v>SAMP-KG01-L23-20251125-ORD-2025-00235-H07-Chip</v>
      </c>
      <c r="K1337" s="1" t="str">
        <f aca="false">IF(A1337="","",IF(AND(G1337&gt;=0,I1337&gt;=0,I1337&lt;=G1337),"OK","CHECK"))</f>
        <v>OK</v>
      </c>
      <c r="L1337" s="1" t="str">
        <f aca="false">IF(A1337="","",IF(AND(E1337&gt;=0,E1337&lt;=23),"OK","CHECK"))</f>
        <v>OK</v>
      </c>
      <c r="M1337" s="1" t="str">
        <f aca="false">IF(A1337="","",IF(AND(K1337="OK",L1337="OK"),"OK","CHECK"))</f>
        <v>OK</v>
      </c>
    </row>
    <row r="1338" customFormat="false" ht="18" hidden="false" customHeight="true" outlineLevel="0" collapsed="false">
      <c r="A1338" s="9" t="s">
        <v>26</v>
      </c>
      <c r="B1338" s="9" t="n">
        <v>23</v>
      </c>
      <c r="C1338" s="11" t="n">
        <v>45986</v>
      </c>
      <c r="D1338" s="9" t="s">
        <v>124</v>
      </c>
      <c r="E1338" s="12" t="n">
        <v>23</v>
      </c>
      <c r="F1338" s="9" t="s">
        <v>31</v>
      </c>
      <c r="G1338" s="13" t="n">
        <v>100</v>
      </c>
      <c r="H1338" s="9" t="s">
        <v>35</v>
      </c>
      <c r="I1338" s="13" t="n">
        <v>4</v>
      </c>
      <c r="J1338" s="1" t="str">
        <f aca="false">IF(A1338="","", "SAMP-"&amp;A1338&amp;"-L"&amp;TEXT(B1338,"00")&amp;"-"&amp;TEXT(C1338,"yyyymmdd")&amp;"-"&amp;D1338&amp;"-H"&amp;TEXT(E1338,"00")&amp;"-"&amp;H1338)</f>
        <v>SAMP-KG01-L23-20251125-ORD-2025-00235-H23-Stone</v>
      </c>
      <c r="K1338" s="1" t="str">
        <f aca="false">IF(A1338="","",IF(AND(G1338&gt;=0,I1338&gt;=0,I1338&lt;=G1338),"OK","CHECK"))</f>
        <v>OK</v>
      </c>
      <c r="L1338" s="1" t="str">
        <f aca="false">IF(A1338="","",IF(AND(E1338&gt;=0,E1338&lt;=23),"OK","CHECK"))</f>
        <v>OK</v>
      </c>
      <c r="M1338" s="1" t="str">
        <f aca="false">IF(A1338="","",IF(AND(K1338="OK",L1338="OK"),"OK","CHECK"))</f>
        <v>OK</v>
      </c>
    </row>
    <row r="1339" customFormat="false" ht="18" hidden="false" customHeight="true" outlineLevel="0" collapsed="false">
      <c r="A1339" s="9" t="s">
        <v>26</v>
      </c>
      <c r="B1339" s="9" t="n">
        <v>23</v>
      </c>
      <c r="C1339" s="11" t="n">
        <v>45986</v>
      </c>
      <c r="D1339" s="9" t="s">
        <v>124</v>
      </c>
      <c r="E1339" s="12" t="n">
        <v>20</v>
      </c>
      <c r="F1339" s="9" t="s">
        <v>31</v>
      </c>
      <c r="G1339" s="13" t="n">
        <v>100</v>
      </c>
      <c r="H1339" s="9" t="s">
        <v>34</v>
      </c>
      <c r="I1339" s="13" t="n">
        <v>2</v>
      </c>
      <c r="J1339" s="1" t="str">
        <f aca="false">IF(A1339="","", "SAMP-"&amp;A1339&amp;"-L"&amp;TEXT(B1339,"00")&amp;"-"&amp;TEXT(C1339,"yyyymmdd")&amp;"-"&amp;D1339&amp;"-H"&amp;TEXT(E1339,"00")&amp;"-"&amp;H1339)</f>
        <v>SAMP-KG01-L23-20251125-ORD-2025-00235-H20-Thin Wall</v>
      </c>
      <c r="K1339" s="1" t="str">
        <f aca="false">IF(A1339="","",IF(AND(G1339&gt;=0,I1339&gt;=0,I1339&lt;=G1339),"OK","CHECK"))</f>
        <v>OK</v>
      </c>
      <c r="L1339" s="1" t="str">
        <f aca="false">IF(A1339="","",IF(AND(E1339&gt;=0,E1339&lt;=23),"OK","CHECK"))</f>
        <v>OK</v>
      </c>
      <c r="M1339" s="1" t="str">
        <f aca="false">IF(A1339="","",IF(AND(K1339="OK",L1339="OK"),"OK","CHECK"))</f>
        <v>OK</v>
      </c>
    </row>
    <row r="1340" customFormat="false" ht="18" hidden="false" customHeight="true" outlineLevel="0" collapsed="false">
      <c r="A1340" s="9" t="s">
        <v>26</v>
      </c>
      <c r="B1340" s="9" t="n">
        <v>23</v>
      </c>
      <c r="C1340" s="11" t="n">
        <v>45986</v>
      </c>
      <c r="D1340" s="9" t="s">
        <v>124</v>
      </c>
      <c r="E1340" s="12" t="n">
        <v>16</v>
      </c>
      <c r="F1340" s="9" t="s">
        <v>31</v>
      </c>
      <c r="G1340" s="13" t="n">
        <v>200</v>
      </c>
      <c r="H1340" s="9" t="s">
        <v>36</v>
      </c>
      <c r="I1340" s="13" t="n">
        <v>5</v>
      </c>
      <c r="J1340" s="1" t="str">
        <f aca="false">IF(A1340="","", "SAMP-"&amp;A1340&amp;"-L"&amp;TEXT(B1340,"00")&amp;"-"&amp;TEXT(C1340,"yyyymmdd")&amp;"-"&amp;D1340&amp;"-H"&amp;TEXT(E1340,"00")&amp;"-"&amp;H1340)</f>
        <v>SAMP-KG01-L23-20251125-ORD-2025-00235-H16-Blister</v>
      </c>
      <c r="K1340" s="1" t="str">
        <f aca="false">IF(A1340="","",IF(AND(G1340&gt;=0,I1340&gt;=0,I1340&lt;=G1340),"OK","CHECK"))</f>
        <v>OK</v>
      </c>
      <c r="L1340" s="1" t="str">
        <f aca="false">IF(A1340="","",IF(AND(E1340&gt;=0,E1340&lt;=23),"OK","CHECK"))</f>
        <v>OK</v>
      </c>
      <c r="M1340" s="1" t="str">
        <f aca="false">IF(A1340="","",IF(AND(K1340="OK",L1340="OK"),"OK","CHECK"))</f>
        <v>OK</v>
      </c>
    </row>
    <row r="1341" customFormat="false" ht="18" hidden="false" customHeight="true" outlineLevel="0" collapsed="false">
      <c r="A1341" s="9" t="s">
        <v>26</v>
      </c>
      <c r="B1341" s="9" t="n">
        <v>23</v>
      </c>
      <c r="C1341" s="11" t="n">
        <v>45987</v>
      </c>
      <c r="D1341" s="9" t="s">
        <v>124</v>
      </c>
      <c r="E1341" s="12" t="n">
        <v>9</v>
      </c>
      <c r="F1341" s="9" t="s">
        <v>28</v>
      </c>
      <c r="G1341" s="13" t="n">
        <v>100</v>
      </c>
      <c r="H1341" s="9" t="s">
        <v>37</v>
      </c>
      <c r="I1341" s="13" t="n">
        <v>3</v>
      </c>
      <c r="J1341" s="1" t="str">
        <f aca="false">IF(A1341="","", "SAMP-"&amp;A1341&amp;"-L"&amp;TEXT(B1341,"00")&amp;"-"&amp;TEXT(C1341,"yyyymmdd")&amp;"-"&amp;D1341&amp;"-H"&amp;TEXT(E1341,"00")&amp;"-"&amp;H1341)</f>
        <v>SAMP-KG01-L23-20251126-ORD-2025-00235-H09-Bird Swing</v>
      </c>
      <c r="K1341" s="1" t="str">
        <f aca="false">IF(A1341="","",IF(AND(G1341&gt;=0,I1341&gt;=0,I1341&lt;=G1341),"OK","CHECK"))</f>
        <v>OK</v>
      </c>
      <c r="L1341" s="1" t="str">
        <f aca="false">IF(A1341="","",IF(AND(E1341&gt;=0,E1341&lt;=23),"OK","CHECK"))</f>
        <v>OK</v>
      </c>
      <c r="M1341" s="1" t="str">
        <f aca="false">IF(A1341="","",IF(AND(K1341="OK",L1341="OK"),"OK","CHECK"))</f>
        <v>OK</v>
      </c>
    </row>
    <row r="1342" customFormat="false" ht="18" hidden="false" customHeight="true" outlineLevel="0" collapsed="false">
      <c r="A1342" s="9" t="s">
        <v>26</v>
      </c>
      <c r="B1342" s="9" t="n">
        <v>23</v>
      </c>
      <c r="C1342" s="11" t="n">
        <v>45987</v>
      </c>
      <c r="D1342" s="9" t="s">
        <v>124</v>
      </c>
      <c r="E1342" s="12" t="n">
        <v>12</v>
      </c>
      <c r="F1342" s="9" t="s">
        <v>28</v>
      </c>
      <c r="G1342" s="13" t="n">
        <v>200</v>
      </c>
      <c r="H1342" s="9" t="s">
        <v>34</v>
      </c>
      <c r="I1342" s="13" t="n">
        <v>4</v>
      </c>
      <c r="J1342" s="1" t="str">
        <f aca="false">IF(A1342="","", "SAMP-"&amp;A1342&amp;"-L"&amp;TEXT(B1342,"00")&amp;"-"&amp;TEXT(C1342,"yyyymmdd")&amp;"-"&amp;D1342&amp;"-H"&amp;TEXT(E1342,"00")&amp;"-"&amp;H1342)</f>
        <v>SAMP-KG01-L23-20251126-ORD-2025-00235-H12-Thin Wall</v>
      </c>
      <c r="K1342" s="1" t="str">
        <f aca="false">IF(A1342="","",IF(AND(G1342&gt;=0,I1342&gt;=0,I1342&lt;=G1342),"OK","CHECK"))</f>
        <v>OK</v>
      </c>
      <c r="L1342" s="1" t="str">
        <f aca="false">IF(A1342="","",IF(AND(E1342&gt;=0,E1342&lt;=23),"OK","CHECK"))</f>
        <v>OK</v>
      </c>
      <c r="M1342" s="1" t="str">
        <f aca="false">IF(A1342="","",IF(AND(K1342="OK",L1342="OK"),"OK","CHECK"))</f>
        <v>OK</v>
      </c>
    </row>
    <row r="1343" customFormat="false" ht="18" hidden="false" customHeight="true" outlineLevel="0" collapsed="false">
      <c r="A1343" s="9" t="s">
        <v>26</v>
      </c>
      <c r="B1343" s="9" t="n">
        <v>23</v>
      </c>
      <c r="C1343" s="11" t="n">
        <v>45987</v>
      </c>
      <c r="D1343" s="9" t="s">
        <v>124</v>
      </c>
      <c r="E1343" s="12" t="n">
        <v>7</v>
      </c>
      <c r="F1343" s="9" t="s">
        <v>28</v>
      </c>
      <c r="G1343" s="13" t="n">
        <v>50</v>
      </c>
      <c r="H1343" s="9" t="s">
        <v>29</v>
      </c>
      <c r="I1343" s="13" t="n">
        <v>0</v>
      </c>
      <c r="J1343" s="1" t="str">
        <f aca="false">IF(A1343="","", "SAMP-"&amp;A1343&amp;"-L"&amp;TEXT(B1343,"00")&amp;"-"&amp;TEXT(C1343,"yyyymmdd")&amp;"-"&amp;D1343&amp;"-H"&amp;TEXT(E1343,"00")&amp;"-"&amp;H1343)</f>
        <v>SAMP-KG01-L23-20251126-ORD-2025-00235-H07-Choke Neck</v>
      </c>
      <c r="K1343" s="1" t="str">
        <f aca="false">IF(A1343="","",IF(AND(G1343&gt;=0,I1343&gt;=0,I1343&lt;=G1343),"OK","CHECK"))</f>
        <v>OK</v>
      </c>
      <c r="L1343" s="1" t="str">
        <f aca="false">IF(A1343="","",IF(AND(E1343&gt;=0,E1343&lt;=23),"OK","CHECK"))</f>
        <v>OK</v>
      </c>
      <c r="M1343" s="1" t="str">
        <f aca="false">IF(A1343="","",IF(AND(K1343="OK",L1343="OK"),"OK","CHECK"))</f>
        <v>OK</v>
      </c>
    </row>
    <row r="1344" customFormat="false" ht="18" hidden="false" customHeight="true" outlineLevel="0" collapsed="false">
      <c r="A1344" s="9" t="s">
        <v>26</v>
      </c>
      <c r="B1344" s="9" t="n">
        <v>23</v>
      </c>
      <c r="C1344" s="11" t="n">
        <v>45987</v>
      </c>
      <c r="D1344" s="9" t="s">
        <v>124</v>
      </c>
      <c r="E1344" s="12" t="n">
        <v>16</v>
      </c>
      <c r="F1344" s="9" t="s">
        <v>31</v>
      </c>
      <c r="G1344" s="13" t="n">
        <v>200</v>
      </c>
      <c r="H1344" s="9" t="s">
        <v>38</v>
      </c>
      <c r="I1344" s="13" t="n">
        <v>2</v>
      </c>
      <c r="J1344" s="1" t="str">
        <f aca="false">IF(A1344="","", "SAMP-"&amp;A1344&amp;"-L"&amp;TEXT(B1344,"00")&amp;"-"&amp;TEXT(C1344,"yyyymmdd")&amp;"-"&amp;D1344&amp;"-H"&amp;TEXT(E1344,"00")&amp;"-"&amp;H1344)</f>
        <v>SAMP-KG01-L23-20251126-ORD-2025-00235-H16-Crack</v>
      </c>
      <c r="K1344" s="1" t="str">
        <f aca="false">IF(A1344="","",IF(AND(G1344&gt;=0,I1344&gt;=0,I1344&lt;=G1344),"OK","CHECK"))</f>
        <v>OK</v>
      </c>
      <c r="L1344" s="1" t="str">
        <f aca="false">IF(A1344="","",IF(AND(E1344&gt;=0,E1344&lt;=23),"OK","CHECK"))</f>
        <v>OK</v>
      </c>
      <c r="M1344" s="1" t="str">
        <f aca="false">IF(A1344="","",IF(AND(K1344="OK",L1344="OK"),"OK","CHECK"))</f>
        <v>OK</v>
      </c>
    </row>
    <row r="1345" customFormat="false" ht="18" hidden="false" customHeight="true" outlineLevel="0" collapsed="false">
      <c r="A1345" s="9" t="s">
        <v>26</v>
      </c>
      <c r="B1345" s="9" t="n">
        <v>23</v>
      </c>
      <c r="C1345" s="11" t="n">
        <v>45987</v>
      </c>
      <c r="D1345" s="9" t="s">
        <v>124</v>
      </c>
      <c r="E1345" s="12" t="n">
        <v>23</v>
      </c>
      <c r="F1345" s="9" t="s">
        <v>31</v>
      </c>
      <c r="G1345" s="13" t="n">
        <v>150</v>
      </c>
      <c r="H1345" s="9" t="s">
        <v>41</v>
      </c>
      <c r="I1345" s="13" t="n">
        <v>5</v>
      </c>
      <c r="J1345" s="1" t="str">
        <f aca="false">IF(A1345="","", "SAMP-"&amp;A1345&amp;"-L"&amp;TEXT(B1345,"00")&amp;"-"&amp;TEXT(C1345,"yyyymmdd")&amp;"-"&amp;D1345&amp;"-H"&amp;TEXT(E1345,"00")&amp;"-"&amp;H1345)</f>
        <v>SAMP-KG01-L23-20251126-ORD-2025-00235-H23-Chip</v>
      </c>
      <c r="K1345" s="1" t="str">
        <f aca="false">IF(A1345="","",IF(AND(G1345&gt;=0,I1345&gt;=0,I1345&lt;=G1345),"OK","CHECK"))</f>
        <v>OK</v>
      </c>
      <c r="L1345" s="1" t="str">
        <f aca="false">IF(A1345="","",IF(AND(E1345&gt;=0,E1345&lt;=23),"OK","CHECK"))</f>
        <v>OK</v>
      </c>
      <c r="M1345" s="1" t="str">
        <f aca="false">IF(A1345="","",IF(AND(K1345="OK",L1345="OK"),"OK","CHECK"))</f>
        <v>OK</v>
      </c>
    </row>
    <row r="1346" customFormat="false" ht="18" hidden="false" customHeight="true" outlineLevel="0" collapsed="false">
      <c r="A1346" s="9" t="s">
        <v>26</v>
      </c>
      <c r="B1346" s="9" t="n">
        <v>23</v>
      </c>
      <c r="C1346" s="11" t="n">
        <v>45987</v>
      </c>
      <c r="D1346" s="9" t="s">
        <v>124</v>
      </c>
      <c r="E1346" s="12" t="n">
        <v>20</v>
      </c>
      <c r="F1346" s="9" t="s">
        <v>31</v>
      </c>
      <c r="G1346" s="13" t="n">
        <v>200</v>
      </c>
      <c r="H1346" s="9" t="s">
        <v>29</v>
      </c>
      <c r="I1346" s="13" t="n">
        <v>8</v>
      </c>
      <c r="J1346" s="1" t="str">
        <f aca="false">IF(A1346="","", "SAMP-"&amp;A1346&amp;"-L"&amp;TEXT(B1346,"00")&amp;"-"&amp;TEXT(C1346,"yyyymmdd")&amp;"-"&amp;D1346&amp;"-H"&amp;TEXT(E1346,"00")&amp;"-"&amp;H1346)</f>
        <v>SAMP-KG01-L23-20251126-ORD-2025-00235-H20-Choke Neck</v>
      </c>
      <c r="K1346" s="1" t="str">
        <f aca="false">IF(A1346="","",IF(AND(G1346&gt;=0,I1346&gt;=0,I1346&lt;=G1346),"OK","CHECK"))</f>
        <v>OK</v>
      </c>
      <c r="L1346" s="1" t="str">
        <f aca="false">IF(A1346="","",IF(AND(E1346&gt;=0,E1346&lt;=23),"OK","CHECK"))</f>
        <v>OK</v>
      </c>
      <c r="M1346" s="1" t="str">
        <f aca="false">IF(A1346="","",IF(AND(K1346="OK",L1346="OK"),"OK","CHECK"))</f>
        <v>OK</v>
      </c>
    </row>
    <row r="1347" customFormat="false" ht="18" hidden="false" customHeight="true" outlineLevel="0" collapsed="false">
      <c r="A1347" s="9" t="s">
        <v>26</v>
      </c>
      <c r="B1347" s="9" t="n">
        <v>23</v>
      </c>
      <c r="C1347" s="11" t="n">
        <v>45988</v>
      </c>
      <c r="D1347" s="9" t="s">
        <v>124</v>
      </c>
      <c r="E1347" s="12" t="n">
        <v>12</v>
      </c>
      <c r="F1347" s="9" t="s">
        <v>28</v>
      </c>
      <c r="G1347" s="13" t="n">
        <v>200</v>
      </c>
      <c r="H1347" s="9" t="s">
        <v>35</v>
      </c>
      <c r="I1347" s="13" t="n">
        <v>5</v>
      </c>
      <c r="J1347" s="1" t="str">
        <f aca="false">IF(A1347="","", "SAMP-"&amp;A1347&amp;"-L"&amp;TEXT(B1347,"00")&amp;"-"&amp;TEXT(C1347,"yyyymmdd")&amp;"-"&amp;D1347&amp;"-H"&amp;TEXT(E1347,"00")&amp;"-"&amp;H1347)</f>
        <v>SAMP-KG01-L23-20251127-ORD-2025-00235-H12-Stone</v>
      </c>
      <c r="K1347" s="1" t="str">
        <f aca="false">IF(A1347="","",IF(AND(G1347&gt;=0,I1347&gt;=0,I1347&lt;=G1347),"OK","CHECK"))</f>
        <v>OK</v>
      </c>
      <c r="L1347" s="1" t="str">
        <f aca="false">IF(A1347="","",IF(AND(E1347&gt;=0,E1347&lt;=23),"OK","CHECK"))</f>
        <v>OK</v>
      </c>
      <c r="M1347" s="1" t="str">
        <f aca="false">IF(A1347="","",IF(AND(K1347="OK",L1347="OK"),"OK","CHECK"))</f>
        <v>OK</v>
      </c>
    </row>
    <row r="1348" customFormat="false" ht="18" hidden="false" customHeight="true" outlineLevel="0" collapsed="false">
      <c r="A1348" s="9" t="s">
        <v>26</v>
      </c>
      <c r="B1348" s="9" t="n">
        <v>23</v>
      </c>
      <c r="C1348" s="11" t="n">
        <v>45988</v>
      </c>
      <c r="D1348" s="9" t="s">
        <v>124</v>
      </c>
      <c r="E1348" s="12" t="n">
        <v>9</v>
      </c>
      <c r="F1348" s="9" t="s">
        <v>28</v>
      </c>
      <c r="G1348" s="13" t="n">
        <v>200</v>
      </c>
      <c r="H1348" s="9" t="s">
        <v>29</v>
      </c>
      <c r="I1348" s="13" t="n">
        <v>12</v>
      </c>
      <c r="J1348" s="1" t="str">
        <f aca="false">IF(A1348="","", "SAMP-"&amp;A1348&amp;"-L"&amp;TEXT(B1348,"00")&amp;"-"&amp;TEXT(C1348,"yyyymmdd")&amp;"-"&amp;D1348&amp;"-H"&amp;TEXT(E1348,"00")&amp;"-"&amp;H1348)</f>
        <v>SAMP-KG01-L23-20251127-ORD-2025-00235-H09-Choke Neck</v>
      </c>
      <c r="K1348" s="1" t="str">
        <f aca="false">IF(A1348="","",IF(AND(G1348&gt;=0,I1348&gt;=0,I1348&lt;=G1348),"OK","CHECK"))</f>
        <v>OK</v>
      </c>
      <c r="L1348" s="1" t="str">
        <f aca="false">IF(A1348="","",IF(AND(E1348&gt;=0,E1348&lt;=23),"OK","CHECK"))</f>
        <v>OK</v>
      </c>
      <c r="M1348" s="1" t="str">
        <f aca="false">IF(A1348="","",IF(AND(K1348="OK",L1348="OK"),"OK","CHECK"))</f>
        <v>OK</v>
      </c>
    </row>
    <row r="1349" customFormat="false" ht="18" hidden="false" customHeight="true" outlineLevel="0" collapsed="false">
      <c r="A1349" s="9" t="s">
        <v>26</v>
      </c>
      <c r="B1349" s="9" t="n">
        <v>23</v>
      </c>
      <c r="C1349" s="11" t="n">
        <v>45988</v>
      </c>
      <c r="D1349" s="9" t="s">
        <v>124</v>
      </c>
      <c r="E1349" s="12" t="n">
        <v>7</v>
      </c>
      <c r="F1349" s="9" t="s">
        <v>28</v>
      </c>
      <c r="G1349" s="13" t="n">
        <v>200</v>
      </c>
      <c r="H1349" s="9" t="s">
        <v>38</v>
      </c>
      <c r="I1349" s="13" t="n">
        <v>3</v>
      </c>
      <c r="J1349" s="1" t="str">
        <f aca="false">IF(A1349="","", "SAMP-"&amp;A1349&amp;"-L"&amp;TEXT(B1349,"00")&amp;"-"&amp;TEXT(C1349,"yyyymmdd")&amp;"-"&amp;D1349&amp;"-H"&amp;TEXT(E1349,"00")&amp;"-"&amp;H1349)</f>
        <v>SAMP-KG01-L23-20251127-ORD-2025-00235-H07-Crack</v>
      </c>
      <c r="K1349" s="1" t="str">
        <f aca="false">IF(A1349="","",IF(AND(G1349&gt;=0,I1349&gt;=0,I1349&lt;=G1349),"OK","CHECK"))</f>
        <v>OK</v>
      </c>
      <c r="L1349" s="1" t="str">
        <f aca="false">IF(A1349="","",IF(AND(E1349&gt;=0,E1349&lt;=23),"OK","CHECK"))</f>
        <v>OK</v>
      </c>
      <c r="M1349" s="1" t="str">
        <f aca="false">IF(A1349="","",IF(AND(K1349="OK",L1349="OK"),"OK","CHECK"))</f>
        <v>OK</v>
      </c>
    </row>
    <row r="1350" customFormat="false" ht="18" hidden="false" customHeight="true" outlineLevel="0" collapsed="false">
      <c r="A1350" s="9" t="s">
        <v>26</v>
      </c>
      <c r="B1350" s="9" t="n">
        <v>23</v>
      </c>
      <c r="C1350" s="11" t="n">
        <v>45988</v>
      </c>
      <c r="D1350" s="9" t="s">
        <v>124</v>
      </c>
      <c r="E1350" s="12" t="n">
        <v>23</v>
      </c>
      <c r="F1350" s="9" t="s">
        <v>31</v>
      </c>
      <c r="G1350" s="13" t="n">
        <v>150</v>
      </c>
      <c r="H1350" s="9" t="s">
        <v>30</v>
      </c>
      <c r="I1350" s="13" t="n">
        <v>4</v>
      </c>
      <c r="J1350" s="1" t="str">
        <f aca="false">IF(A1350="","", "SAMP-"&amp;A1350&amp;"-L"&amp;TEXT(B1350,"00")&amp;"-"&amp;TEXT(C1350,"yyyymmdd")&amp;"-"&amp;D1350&amp;"-H"&amp;TEXT(E1350,"00")&amp;"-"&amp;H1350)</f>
        <v>SAMP-KG01-L23-20251127-ORD-2025-00235-H23-Overpress</v>
      </c>
      <c r="K1350" s="1" t="str">
        <f aca="false">IF(A1350="","",IF(AND(G1350&gt;=0,I1350&gt;=0,I1350&lt;=G1350),"OK","CHECK"))</f>
        <v>OK</v>
      </c>
      <c r="L1350" s="1" t="str">
        <f aca="false">IF(A1350="","",IF(AND(E1350&gt;=0,E1350&lt;=23),"OK","CHECK"))</f>
        <v>OK</v>
      </c>
      <c r="M1350" s="1" t="str">
        <f aca="false">IF(A1350="","",IF(AND(K1350="OK",L1350="OK"),"OK","CHECK"))</f>
        <v>OK</v>
      </c>
    </row>
    <row r="1351" customFormat="false" ht="18" hidden="false" customHeight="true" outlineLevel="0" collapsed="false">
      <c r="A1351" s="9" t="s">
        <v>26</v>
      </c>
      <c r="B1351" s="9" t="n">
        <v>23</v>
      </c>
      <c r="C1351" s="11" t="n">
        <v>45988</v>
      </c>
      <c r="D1351" s="9" t="s">
        <v>124</v>
      </c>
      <c r="E1351" s="12" t="n">
        <v>20</v>
      </c>
      <c r="F1351" s="9" t="s">
        <v>31</v>
      </c>
      <c r="G1351" s="13" t="n">
        <v>100</v>
      </c>
      <c r="H1351" s="9" t="s">
        <v>38</v>
      </c>
      <c r="I1351" s="13" t="n">
        <v>4</v>
      </c>
      <c r="J1351" s="1" t="str">
        <f aca="false">IF(A1351="","", "SAMP-"&amp;A1351&amp;"-L"&amp;TEXT(B1351,"00")&amp;"-"&amp;TEXT(C1351,"yyyymmdd")&amp;"-"&amp;D1351&amp;"-H"&amp;TEXT(E1351,"00")&amp;"-"&amp;H1351)</f>
        <v>SAMP-KG01-L23-20251127-ORD-2025-00235-H20-Crack</v>
      </c>
      <c r="K1351" s="1" t="str">
        <f aca="false">IF(A1351="","",IF(AND(G1351&gt;=0,I1351&gt;=0,I1351&lt;=G1351),"OK","CHECK"))</f>
        <v>OK</v>
      </c>
      <c r="L1351" s="1" t="str">
        <f aca="false">IF(A1351="","",IF(AND(E1351&gt;=0,E1351&lt;=23),"OK","CHECK"))</f>
        <v>OK</v>
      </c>
      <c r="M1351" s="1" t="str">
        <f aca="false">IF(A1351="","",IF(AND(K1351="OK",L1351="OK"),"OK","CHECK"))</f>
        <v>OK</v>
      </c>
    </row>
    <row r="1352" customFormat="false" ht="18" hidden="false" customHeight="true" outlineLevel="0" collapsed="false">
      <c r="A1352" s="9" t="s">
        <v>26</v>
      </c>
      <c r="B1352" s="9" t="n">
        <v>23</v>
      </c>
      <c r="C1352" s="11" t="n">
        <v>45988</v>
      </c>
      <c r="D1352" s="9" t="s">
        <v>124</v>
      </c>
      <c r="E1352" s="12" t="n">
        <v>16</v>
      </c>
      <c r="F1352" s="9" t="s">
        <v>31</v>
      </c>
      <c r="G1352" s="13" t="n">
        <v>200</v>
      </c>
      <c r="H1352" s="9" t="s">
        <v>36</v>
      </c>
      <c r="I1352" s="13" t="n">
        <v>6</v>
      </c>
      <c r="J1352" s="1" t="str">
        <f aca="false">IF(A1352="","", "SAMP-"&amp;A1352&amp;"-L"&amp;TEXT(B1352,"00")&amp;"-"&amp;TEXT(C1352,"yyyymmdd")&amp;"-"&amp;D1352&amp;"-H"&amp;TEXT(E1352,"00")&amp;"-"&amp;H1352)</f>
        <v>SAMP-KG01-L23-20251127-ORD-2025-00235-H16-Blister</v>
      </c>
      <c r="K1352" s="1" t="str">
        <f aca="false">IF(A1352="","",IF(AND(G1352&gt;=0,I1352&gt;=0,I1352&lt;=G1352),"OK","CHECK"))</f>
        <v>OK</v>
      </c>
      <c r="L1352" s="1" t="str">
        <f aca="false">IF(A1352="","",IF(AND(E1352&gt;=0,E1352&lt;=23),"OK","CHECK"))</f>
        <v>OK</v>
      </c>
      <c r="M1352" s="1" t="str">
        <f aca="false">IF(A1352="","",IF(AND(K1352="OK",L1352="OK"),"OK","CHECK"))</f>
        <v>OK</v>
      </c>
    </row>
    <row r="1353" customFormat="false" ht="18" hidden="false" customHeight="true" outlineLevel="0" collapsed="false">
      <c r="A1353" s="9" t="s">
        <v>26</v>
      </c>
      <c r="B1353" s="9" t="n">
        <v>23</v>
      </c>
      <c r="C1353" s="11" t="n">
        <v>45989</v>
      </c>
      <c r="D1353" s="9" t="s">
        <v>124</v>
      </c>
      <c r="E1353" s="12" t="n">
        <v>12</v>
      </c>
      <c r="F1353" s="9" t="s">
        <v>28</v>
      </c>
      <c r="G1353" s="13" t="n">
        <v>100</v>
      </c>
      <c r="H1353" s="9" t="s">
        <v>30</v>
      </c>
      <c r="I1353" s="13" t="n">
        <v>5</v>
      </c>
      <c r="J1353" s="1" t="str">
        <f aca="false">IF(A1353="","", "SAMP-"&amp;A1353&amp;"-L"&amp;TEXT(B1353,"00")&amp;"-"&amp;TEXT(C1353,"yyyymmdd")&amp;"-"&amp;D1353&amp;"-H"&amp;TEXT(E1353,"00")&amp;"-"&amp;H1353)</f>
        <v>SAMP-KG01-L23-20251128-ORD-2025-00235-H12-Overpress</v>
      </c>
      <c r="K1353" s="1" t="str">
        <f aca="false">IF(A1353="","",IF(AND(G1353&gt;=0,I1353&gt;=0,I1353&lt;=G1353),"OK","CHECK"))</f>
        <v>OK</v>
      </c>
      <c r="L1353" s="1" t="str">
        <f aca="false">IF(A1353="","",IF(AND(E1353&gt;=0,E1353&lt;=23),"OK","CHECK"))</f>
        <v>OK</v>
      </c>
      <c r="M1353" s="1" t="str">
        <f aca="false">IF(A1353="","",IF(AND(K1353="OK",L1353="OK"),"OK","CHECK"))</f>
        <v>OK</v>
      </c>
    </row>
    <row r="1354" customFormat="false" ht="18" hidden="false" customHeight="true" outlineLevel="0" collapsed="false">
      <c r="A1354" s="9" t="s">
        <v>26</v>
      </c>
      <c r="B1354" s="9" t="n">
        <v>23</v>
      </c>
      <c r="C1354" s="11" t="n">
        <v>45989</v>
      </c>
      <c r="D1354" s="9" t="s">
        <v>124</v>
      </c>
      <c r="E1354" s="12" t="n">
        <v>7</v>
      </c>
      <c r="F1354" s="9" t="s">
        <v>28</v>
      </c>
      <c r="G1354" s="13" t="n">
        <v>50</v>
      </c>
      <c r="H1354" s="9" t="s">
        <v>30</v>
      </c>
      <c r="I1354" s="13" t="n">
        <v>1</v>
      </c>
      <c r="J1354" s="1" t="str">
        <f aca="false">IF(A1354="","", "SAMP-"&amp;A1354&amp;"-L"&amp;TEXT(B1354,"00")&amp;"-"&amp;TEXT(C1354,"yyyymmdd")&amp;"-"&amp;D1354&amp;"-H"&amp;TEXT(E1354,"00")&amp;"-"&amp;H1354)</f>
        <v>SAMP-KG01-L23-20251128-ORD-2025-00235-H07-Overpress</v>
      </c>
      <c r="K1354" s="1" t="str">
        <f aca="false">IF(A1354="","",IF(AND(G1354&gt;=0,I1354&gt;=0,I1354&lt;=G1354),"OK","CHECK"))</f>
        <v>OK</v>
      </c>
      <c r="L1354" s="1" t="str">
        <f aca="false">IF(A1354="","",IF(AND(E1354&gt;=0,E1354&lt;=23),"OK","CHECK"))</f>
        <v>OK</v>
      </c>
      <c r="M1354" s="1" t="str">
        <f aca="false">IF(A1354="","",IF(AND(K1354="OK",L1354="OK"),"OK","CHECK"))</f>
        <v>OK</v>
      </c>
    </row>
    <row r="1355" customFormat="false" ht="18" hidden="false" customHeight="true" outlineLevel="0" collapsed="false">
      <c r="A1355" s="9" t="s">
        <v>26</v>
      </c>
      <c r="B1355" s="9" t="n">
        <v>23</v>
      </c>
      <c r="C1355" s="11" t="n">
        <v>45989</v>
      </c>
      <c r="D1355" s="9" t="s">
        <v>124</v>
      </c>
      <c r="E1355" s="12" t="n">
        <v>20</v>
      </c>
      <c r="F1355" s="9" t="s">
        <v>31</v>
      </c>
      <c r="G1355" s="13" t="n">
        <v>200</v>
      </c>
      <c r="H1355" s="9" t="s">
        <v>29</v>
      </c>
      <c r="I1355" s="13" t="n">
        <v>4</v>
      </c>
      <c r="J1355" s="1" t="str">
        <f aca="false">IF(A1355="","", "SAMP-"&amp;A1355&amp;"-L"&amp;TEXT(B1355,"00")&amp;"-"&amp;TEXT(C1355,"yyyymmdd")&amp;"-"&amp;D1355&amp;"-H"&amp;TEXT(E1355,"00")&amp;"-"&amp;H1355)</f>
        <v>SAMP-KG01-L23-20251128-ORD-2025-00235-H20-Choke Neck</v>
      </c>
      <c r="K1355" s="1" t="str">
        <f aca="false">IF(A1355="","",IF(AND(G1355&gt;=0,I1355&gt;=0,I1355&lt;=G1355),"OK","CHECK"))</f>
        <v>OK</v>
      </c>
      <c r="L1355" s="1" t="str">
        <f aca="false">IF(A1355="","",IF(AND(E1355&gt;=0,E1355&lt;=23),"OK","CHECK"))</f>
        <v>OK</v>
      </c>
      <c r="M1355" s="1" t="str">
        <f aca="false">IF(A1355="","",IF(AND(K1355="OK",L1355="OK"),"OK","CHECK"))</f>
        <v>OK</v>
      </c>
    </row>
    <row r="1356" customFormat="false" ht="18" hidden="false" customHeight="true" outlineLevel="0" collapsed="false">
      <c r="A1356" s="9" t="s">
        <v>26</v>
      </c>
      <c r="B1356" s="9" t="n">
        <v>23</v>
      </c>
      <c r="C1356" s="11" t="n">
        <v>45989</v>
      </c>
      <c r="D1356" s="9" t="s">
        <v>124</v>
      </c>
      <c r="E1356" s="12" t="n">
        <v>23</v>
      </c>
      <c r="F1356" s="9" t="s">
        <v>31</v>
      </c>
      <c r="G1356" s="13" t="n">
        <v>200</v>
      </c>
      <c r="H1356" s="9" t="s">
        <v>35</v>
      </c>
      <c r="I1356" s="13" t="n">
        <v>2</v>
      </c>
      <c r="J1356" s="1" t="str">
        <f aca="false">IF(A1356="","", "SAMP-"&amp;A1356&amp;"-L"&amp;TEXT(B1356,"00")&amp;"-"&amp;TEXT(C1356,"yyyymmdd")&amp;"-"&amp;D1356&amp;"-H"&amp;TEXT(E1356,"00")&amp;"-"&amp;H1356)</f>
        <v>SAMP-KG01-L23-20251128-ORD-2025-00235-H23-Stone</v>
      </c>
      <c r="K1356" s="1" t="str">
        <f aca="false">IF(A1356="","",IF(AND(G1356&gt;=0,I1356&gt;=0,I1356&lt;=G1356),"OK","CHECK"))</f>
        <v>OK</v>
      </c>
      <c r="L1356" s="1" t="str">
        <f aca="false">IF(A1356="","",IF(AND(E1356&gt;=0,E1356&lt;=23),"OK","CHECK"))</f>
        <v>OK</v>
      </c>
      <c r="M1356" s="1" t="str">
        <f aca="false">IF(A1356="","",IF(AND(K1356="OK",L1356="OK"),"OK","CHECK"))</f>
        <v>OK</v>
      </c>
    </row>
    <row r="1357" customFormat="false" ht="18" hidden="false" customHeight="true" outlineLevel="0" collapsed="false">
      <c r="A1357" s="9" t="s">
        <v>26</v>
      </c>
      <c r="B1357" s="9" t="n">
        <v>23</v>
      </c>
      <c r="C1357" s="11" t="n">
        <v>45989</v>
      </c>
      <c r="D1357" s="9" t="s">
        <v>124</v>
      </c>
      <c r="E1357" s="12" t="n">
        <v>16</v>
      </c>
      <c r="F1357" s="9" t="s">
        <v>31</v>
      </c>
      <c r="G1357" s="13" t="n">
        <v>200</v>
      </c>
      <c r="H1357" s="9" t="s">
        <v>37</v>
      </c>
      <c r="I1357" s="13" t="n">
        <v>8</v>
      </c>
      <c r="J1357" s="1" t="str">
        <f aca="false">IF(A1357="","", "SAMP-"&amp;A1357&amp;"-L"&amp;TEXT(B1357,"00")&amp;"-"&amp;TEXT(C1357,"yyyymmdd")&amp;"-"&amp;D1357&amp;"-H"&amp;TEXT(E1357,"00")&amp;"-"&amp;H1357)</f>
        <v>SAMP-KG01-L23-20251128-ORD-2025-00235-H16-Bird Swing</v>
      </c>
      <c r="K1357" s="1" t="str">
        <f aca="false">IF(A1357="","",IF(AND(G1357&gt;=0,I1357&gt;=0,I1357&lt;=G1357),"OK","CHECK"))</f>
        <v>OK</v>
      </c>
      <c r="L1357" s="1" t="str">
        <f aca="false">IF(A1357="","",IF(AND(E1357&gt;=0,E1357&lt;=23),"OK","CHECK"))</f>
        <v>OK</v>
      </c>
      <c r="M1357" s="1" t="str">
        <f aca="false">IF(A1357="","",IF(AND(K1357="OK",L1357="OK"),"OK","CHECK"))</f>
        <v>OK</v>
      </c>
    </row>
    <row r="1358" customFormat="false" ht="18" hidden="false" customHeight="true" outlineLevel="0" collapsed="false">
      <c r="A1358" s="9" t="s">
        <v>26</v>
      </c>
      <c r="B1358" s="9" t="n">
        <v>23</v>
      </c>
      <c r="C1358" s="11" t="n">
        <v>45990</v>
      </c>
      <c r="D1358" s="9" t="s">
        <v>124</v>
      </c>
      <c r="E1358" s="12" t="n">
        <v>9</v>
      </c>
      <c r="F1358" s="9" t="s">
        <v>28</v>
      </c>
      <c r="G1358" s="13" t="n">
        <v>50</v>
      </c>
      <c r="H1358" s="9" t="s">
        <v>36</v>
      </c>
      <c r="I1358" s="13" t="n">
        <v>1</v>
      </c>
      <c r="J1358" s="1" t="str">
        <f aca="false">IF(A1358="","", "SAMP-"&amp;A1358&amp;"-L"&amp;TEXT(B1358,"00")&amp;"-"&amp;TEXT(C1358,"yyyymmdd")&amp;"-"&amp;D1358&amp;"-H"&amp;TEXT(E1358,"00")&amp;"-"&amp;H1358)</f>
        <v>SAMP-KG01-L23-20251129-ORD-2025-00235-H09-Blister</v>
      </c>
      <c r="K1358" s="1" t="str">
        <f aca="false">IF(A1358="","",IF(AND(G1358&gt;=0,I1358&gt;=0,I1358&lt;=G1358),"OK","CHECK"))</f>
        <v>OK</v>
      </c>
      <c r="L1358" s="1" t="str">
        <f aca="false">IF(A1358="","",IF(AND(E1358&gt;=0,E1358&lt;=23),"OK","CHECK"))</f>
        <v>OK</v>
      </c>
      <c r="M1358" s="1" t="str">
        <f aca="false">IF(A1358="","",IF(AND(K1358="OK",L1358="OK"),"OK","CHECK"))</f>
        <v>OK</v>
      </c>
    </row>
    <row r="1359" customFormat="false" ht="18" hidden="false" customHeight="true" outlineLevel="0" collapsed="false">
      <c r="A1359" s="9" t="s">
        <v>26</v>
      </c>
      <c r="B1359" s="9" t="n">
        <v>23</v>
      </c>
      <c r="C1359" s="11" t="n">
        <v>45990</v>
      </c>
      <c r="D1359" s="9" t="s">
        <v>124</v>
      </c>
      <c r="E1359" s="12" t="n">
        <v>12</v>
      </c>
      <c r="F1359" s="9" t="s">
        <v>28</v>
      </c>
      <c r="G1359" s="13" t="n">
        <v>50</v>
      </c>
      <c r="H1359" s="9" t="s">
        <v>38</v>
      </c>
      <c r="I1359" s="13" t="n">
        <v>2</v>
      </c>
      <c r="J1359" s="1" t="str">
        <f aca="false">IF(A1359="","", "SAMP-"&amp;A1359&amp;"-L"&amp;TEXT(B1359,"00")&amp;"-"&amp;TEXT(C1359,"yyyymmdd")&amp;"-"&amp;D1359&amp;"-H"&amp;TEXT(E1359,"00")&amp;"-"&amp;H1359)</f>
        <v>SAMP-KG01-L23-20251129-ORD-2025-00235-H12-Crack</v>
      </c>
      <c r="K1359" s="1" t="str">
        <f aca="false">IF(A1359="","",IF(AND(G1359&gt;=0,I1359&gt;=0,I1359&lt;=G1359),"OK","CHECK"))</f>
        <v>OK</v>
      </c>
      <c r="L1359" s="1" t="str">
        <f aca="false">IF(A1359="","",IF(AND(E1359&gt;=0,E1359&lt;=23),"OK","CHECK"))</f>
        <v>OK</v>
      </c>
      <c r="M1359" s="1" t="str">
        <f aca="false">IF(A1359="","",IF(AND(K1359="OK",L1359="OK"),"OK","CHECK"))</f>
        <v>OK</v>
      </c>
    </row>
    <row r="1360" customFormat="false" ht="18" hidden="false" customHeight="true" outlineLevel="0" collapsed="false">
      <c r="A1360" s="9" t="s">
        <v>26</v>
      </c>
      <c r="B1360" s="9" t="n">
        <v>23</v>
      </c>
      <c r="C1360" s="11" t="n">
        <v>45990</v>
      </c>
      <c r="D1360" s="9" t="s">
        <v>124</v>
      </c>
      <c r="E1360" s="12" t="n">
        <v>7</v>
      </c>
      <c r="F1360" s="9" t="s">
        <v>28</v>
      </c>
      <c r="G1360" s="13" t="n">
        <v>50</v>
      </c>
      <c r="H1360" s="9" t="s">
        <v>30</v>
      </c>
      <c r="I1360" s="13" t="n">
        <v>0</v>
      </c>
      <c r="J1360" s="1" t="str">
        <f aca="false">IF(A1360="","", "SAMP-"&amp;A1360&amp;"-L"&amp;TEXT(B1360,"00")&amp;"-"&amp;TEXT(C1360,"yyyymmdd")&amp;"-"&amp;D1360&amp;"-H"&amp;TEXT(E1360,"00")&amp;"-"&amp;H1360)</f>
        <v>SAMP-KG01-L23-20251129-ORD-2025-00235-H07-Overpress</v>
      </c>
      <c r="K1360" s="1" t="str">
        <f aca="false">IF(A1360="","",IF(AND(G1360&gt;=0,I1360&gt;=0,I1360&lt;=G1360),"OK","CHECK"))</f>
        <v>OK</v>
      </c>
      <c r="L1360" s="1" t="str">
        <f aca="false">IF(A1360="","",IF(AND(E1360&gt;=0,E1360&lt;=23),"OK","CHECK"))</f>
        <v>OK</v>
      </c>
      <c r="M1360" s="1" t="str">
        <f aca="false">IF(A1360="","",IF(AND(K1360="OK",L1360="OK"),"OK","CHECK"))</f>
        <v>OK</v>
      </c>
    </row>
    <row r="1361" customFormat="false" ht="18" hidden="false" customHeight="true" outlineLevel="0" collapsed="false">
      <c r="A1361" s="9" t="s">
        <v>26</v>
      </c>
      <c r="B1361" s="9" t="n">
        <v>23</v>
      </c>
      <c r="C1361" s="11" t="n">
        <v>45990</v>
      </c>
      <c r="D1361" s="9" t="s">
        <v>124</v>
      </c>
      <c r="E1361" s="12" t="n">
        <v>23</v>
      </c>
      <c r="F1361" s="9" t="s">
        <v>31</v>
      </c>
      <c r="G1361" s="13" t="n">
        <v>50</v>
      </c>
      <c r="H1361" s="9" t="s">
        <v>37</v>
      </c>
      <c r="I1361" s="13" t="n">
        <v>1</v>
      </c>
      <c r="J1361" s="1" t="str">
        <f aca="false">IF(A1361="","", "SAMP-"&amp;A1361&amp;"-L"&amp;TEXT(B1361,"00")&amp;"-"&amp;TEXT(C1361,"yyyymmdd")&amp;"-"&amp;D1361&amp;"-H"&amp;TEXT(E1361,"00")&amp;"-"&amp;H1361)</f>
        <v>SAMP-KG01-L23-20251129-ORD-2025-00235-H23-Bird Swing</v>
      </c>
      <c r="K1361" s="1" t="str">
        <f aca="false">IF(A1361="","",IF(AND(G1361&gt;=0,I1361&gt;=0,I1361&lt;=G1361),"OK","CHECK"))</f>
        <v>OK</v>
      </c>
      <c r="L1361" s="1" t="str">
        <f aca="false">IF(A1361="","",IF(AND(E1361&gt;=0,E1361&lt;=23),"OK","CHECK"))</f>
        <v>OK</v>
      </c>
      <c r="M1361" s="1" t="str">
        <f aca="false">IF(A1361="","",IF(AND(K1361="OK",L1361="OK"),"OK","CHECK"))</f>
        <v>OK</v>
      </c>
    </row>
    <row r="1362" customFormat="false" ht="18" hidden="false" customHeight="true" outlineLevel="0" collapsed="false">
      <c r="A1362" s="9" t="s">
        <v>26</v>
      </c>
      <c r="B1362" s="9" t="n">
        <v>23</v>
      </c>
      <c r="C1362" s="11" t="n">
        <v>45990</v>
      </c>
      <c r="D1362" s="9" t="s">
        <v>124</v>
      </c>
      <c r="E1362" s="12" t="n">
        <v>16</v>
      </c>
      <c r="F1362" s="9" t="s">
        <v>31</v>
      </c>
      <c r="G1362" s="13" t="n">
        <v>50</v>
      </c>
      <c r="H1362" s="9" t="s">
        <v>30</v>
      </c>
      <c r="I1362" s="13" t="n">
        <v>1</v>
      </c>
      <c r="J1362" s="1" t="str">
        <f aca="false">IF(A1362="","", "SAMP-"&amp;A1362&amp;"-L"&amp;TEXT(B1362,"00")&amp;"-"&amp;TEXT(C1362,"yyyymmdd")&amp;"-"&amp;D1362&amp;"-H"&amp;TEXT(E1362,"00")&amp;"-"&amp;H1362)</f>
        <v>SAMP-KG01-L23-20251129-ORD-2025-00235-H16-Overpress</v>
      </c>
      <c r="K1362" s="1" t="str">
        <f aca="false">IF(A1362="","",IF(AND(G1362&gt;=0,I1362&gt;=0,I1362&lt;=G1362),"OK","CHECK"))</f>
        <v>OK</v>
      </c>
      <c r="L1362" s="1" t="str">
        <f aca="false">IF(A1362="","",IF(AND(E1362&gt;=0,E1362&lt;=23),"OK","CHECK"))</f>
        <v>OK</v>
      </c>
      <c r="M1362" s="1" t="str">
        <f aca="false">IF(A1362="","",IF(AND(K1362="OK",L1362="OK"),"OK","CHECK"))</f>
        <v>OK</v>
      </c>
    </row>
    <row r="1363" customFormat="false" ht="18" hidden="false" customHeight="true" outlineLevel="0" collapsed="false">
      <c r="A1363" s="9" t="s">
        <v>26</v>
      </c>
      <c r="B1363" s="9" t="n">
        <v>23</v>
      </c>
      <c r="C1363" s="11" t="n">
        <v>45990</v>
      </c>
      <c r="D1363" s="9" t="s">
        <v>124</v>
      </c>
      <c r="E1363" s="12" t="n">
        <v>20</v>
      </c>
      <c r="F1363" s="9" t="s">
        <v>31</v>
      </c>
      <c r="G1363" s="13" t="n">
        <v>50</v>
      </c>
      <c r="H1363" s="9" t="s">
        <v>36</v>
      </c>
      <c r="I1363" s="13" t="n">
        <v>1</v>
      </c>
      <c r="J1363" s="1" t="str">
        <f aca="false">IF(A1363="","", "SAMP-"&amp;A1363&amp;"-L"&amp;TEXT(B1363,"00")&amp;"-"&amp;TEXT(C1363,"yyyymmdd")&amp;"-"&amp;D1363&amp;"-H"&amp;TEXT(E1363,"00")&amp;"-"&amp;H1363)</f>
        <v>SAMP-KG01-L23-20251129-ORD-2025-00235-H20-Blister</v>
      </c>
      <c r="K1363" s="1" t="str">
        <f aca="false">IF(A1363="","",IF(AND(G1363&gt;=0,I1363&gt;=0,I1363&lt;=G1363),"OK","CHECK"))</f>
        <v>OK</v>
      </c>
      <c r="L1363" s="1" t="str">
        <f aca="false">IF(A1363="","",IF(AND(E1363&gt;=0,E1363&lt;=23),"OK","CHECK"))</f>
        <v>OK</v>
      </c>
      <c r="M1363" s="1" t="str">
        <f aca="false">IF(A1363="","",IF(AND(K1363="OK",L1363="OK"),"OK","CHECK"))</f>
        <v>OK</v>
      </c>
    </row>
    <row r="1364" customFormat="false" ht="18" hidden="false" customHeight="true" outlineLevel="0" collapsed="false">
      <c r="A1364" s="9" t="s">
        <v>26</v>
      </c>
      <c r="B1364" s="9" t="n">
        <v>23</v>
      </c>
      <c r="C1364" s="11" t="n">
        <v>45991</v>
      </c>
      <c r="D1364" s="9" t="s">
        <v>125</v>
      </c>
      <c r="E1364" s="12" t="n">
        <v>9</v>
      </c>
      <c r="F1364" s="9" t="s">
        <v>28</v>
      </c>
      <c r="G1364" s="13" t="n">
        <v>50</v>
      </c>
      <c r="H1364" s="9" t="s">
        <v>29</v>
      </c>
      <c r="I1364" s="13" t="n">
        <v>0</v>
      </c>
      <c r="J1364" s="1" t="str">
        <f aca="false">IF(A1364="","", "SAMP-"&amp;A1364&amp;"-L"&amp;TEXT(B1364,"00")&amp;"-"&amp;TEXT(C1364,"yyyymmdd")&amp;"-"&amp;D1364&amp;"-H"&amp;TEXT(E1364,"00")&amp;"-"&amp;H1364)</f>
        <v>SAMP-KG01-L23-20251130-ORD-2025-00236-H09-Choke Neck</v>
      </c>
      <c r="K1364" s="1" t="str">
        <f aca="false">IF(A1364="","",IF(AND(G1364&gt;=0,I1364&gt;=0,I1364&lt;=G1364),"OK","CHECK"))</f>
        <v>OK</v>
      </c>
      <c r="L1364" s="1" t="str">
        <f aca="false">IF(A1364="","",IF(AND(E1364&gt;=0,E1364&lt;=23),"OK","CHECK"))</f>
        <v>OK</v>
      </c>
      <c r="M1364" s="1" t="str">
        <f aca="false">IF(A1364="","",IF(AND(K1364="OK",L1364="OK"),"OK","CHECK"))</f>
        <v>OK</v>
      </c>
    </row>
    <row r="1365" customFormat="false" ht="18" hidden="false" customHeight="true" outlineLevel="0" collapsed="false">
      <c r="A1365" s="9" t="s">
        <v>26</v>
      </c>
      <c r="B1365" s="9" t="n">
        <v>23</v>
      </c>
      <c r="C1365" s="11" t="n">
        <v>45991</v>
      </c>
      <c r="D1365" s="9" t="s">
        <v>125</v>
      </c>
      <c r="E1365" s="12" t="n">
        <v>12</v>
      </c>
      <c r="F1365" s="9" t="s">
        <v>28</v>
      </c>
      <c r="G1365" s="13" t="n">
        <v>150</v>
      </c>
      <c r="H1365" s="9" t="s">
        <v>38</v>
      </c>
      <c r="I1365" s="13" t="n">
        <v>2</v>
      </c>
      <c r="J1365" s="1" t="str">
        <f aca="false">IF(A1365="","", "SAMP-"&amp;A1365&amp;"-L"&amp;TEXT(B1365,"00")&amp;"-"&amp;TEXT(C1365,"yyyymmdd")&amp;"-"&amp;D1365&amp;"-H"&amp;TEXT(E1365,"00")&amp;"-"&amp;H1365)</f>
        <v>SAMP-KG01-L23-20251130-ORD-2025-00236-H12-Crack</v>
      </c>
      <c r="K1365" s="1" t="str">
        <f aca="false">IF(A1365="","",IF(AND(G1365&gt;=0,I1365&gt;=0,I1365&lt;=G1365),"OK","CHECK"))</f>
        <v>OK</v>
      </c>
      <c r="L1365" s="1" t="str">
        <f aca="false">IF(A1365="","",IF(AND(E1365&gt;=0,E1365&lt;=23),"OK","CHECK"))</f>
        <v>OK</v>
      </c>
      <c r="M1365" s="1" t="str">
        <f aca="false">IF(A1365="","",IF(AND(K1365="OK",L1365="OK"),"OK","CHECK"))</f>
        <v>OK</v>
      </c>
    </row>
    <row r="1366" customFormat="false" ht="18" hidden="false" customHeight="true" outlineLevel="0" collapsed="false">
      <c r="A1366" s="9" t="s">
        <v>26</v>
      </c>
      <c r="B1366" s="9" t="n">
        <v>23</v>
      </c>
      <c r="C1366" s="11" t="n">
        <v>45991</v>
      </c>
      <c r="D1366" s="9" t="s">
        <v>125</v>
      </c>
      <c r="E1366" s="12" t="n">
        <v>7</v>
      </c>
      <c r="F1366" s="9" t="s">
        <v>28</v>
      </c>
      <c r="G1366" s="13" t="n">
        <v>100</v>
      </c>
      <c r="H1366" s="9" t="s">
        <v>33</v>
      </c>
      <c r="I1366" s="13" t="n">
        <v>2</v>
      </c>
      <c r="J1366" s="1" t="str">
        <f aca="false">IF(A1366="","", "SAMP-"&amp;A1366&amp;"-L"&amp;TEXT(B1366,"00")&amp;"-"&amp;TEXT(C1366,"yyyymmdd")&amp;"-"&amp;D1366&amp;"-H"&amp;TEXT(E1366,"00")&amp;"-"&amp;H1366)</f>
        <v>SAMP-KG01-L23-20251130-ORD-2025-00236-H07-Distortion</v>
      </c>
      <c r="K1366" s="1" t="str">
        <f aca="false">IF(A1366="","",IF(AND(G1366&gt;=0,I1366&gt;=0,I1366&lt;=G1366),"OK","CHECK"))</f>
        <v>OK</v>
      </c>
      <c r="L1366" s="1" t="str">
        <f aca="false">IF(A1366="","",IF(AND(E1366&gt;=0,E1366&lt;=23),"OK","CHECK"))</f>
        <v>OK</v>
      </c>
      <c r="M1366" s="1" t="str">
        <f aca="false">IF(A1366="","",IF(AND(K1366="OK",L1366="OK"),"OK","CHECK"))</f>
        <v>OK</v>
      </c>
    </row>
    <row r="1367" customFormat="false" ht="18" hidden="false" customHeight="true" outlineLevel="0" collapsed="false">
      <c r="A1367" s="9" t="s">
        <v>26</v>
      </c>
      <c r="B1367" s="9" t="n">
        <v>23</v>
      </c>
      <c r="C1367" s="11" t="n">
        <v>45991</v>
      </c>
      <c r="D1367" s="9" t="s">
        <v>125</v>
      </c>
      <c r="E1367" s="12" t="n">
        <v>16</v>
      </c>
      <c r="F1367" s="9" t="s">
        <v>31</v>
      </c>
      <c r="G1367" s="13" t="n">
        <v>200</v>
      </c>
      <c r="H1367" s="9" t="s">
        <v>38</v>
      </c>
      <c r="I1367" s="13" t="n">
        <v>7</v>
      </c>
      <c r="J1367" s="1" t="str">
        <f aca="false">IF(A1367="","", "SAMP-"&amp;A1367&amp;"-L"&amp;TEXT(B1367,"00")&amp;"-"&amp;TEXT(C1367,"yyyymmdd")&amp;"-"&amp;D1367&amp;"-H"&amp;TEXT(E1367,"00")&amp;"-"&amp;H1367)</f>
        <v>SAMP-KG01-L23-20251130-ORD-2025-00236-H16-Crack</v>
      </c>
      <c r="K1367" s="1" t="str">
        <f aca="false">IF(A1367="","",IF(AND(G1367&gt;=0,I1367&gt;=0,I1367&lt;=G1367),"OK","CHECK"))</f>
        <v>OK</v>
      </c>
      <c r="L1367" s="1" t="str">
        <f aca="false">IF(A1367="","",IF(AND(E1367&gt;=0,E1367&lt;=23),"OK","CHECK"))</f>
        <v>OK</v>
      </c>
      <c r="M1367" s="1" t="str">
        <f aca="false">IF(A1367="","",IF(AND(K1367="OK",L1367="OK"),"OK","CHECK"))</f>
        <v>OK</v>
      </c>
    </row>
    <row r="1368" customFormat="false" ht="18" hidden="false" customHeight="true" outlineLevel="0" collapsed="false">
      <c r="A1368" s="9" t="s">
        <v>26</v>
      </c>
      <c r="B1368" s="9" t="n">
        <v>23</v>
      </c>
      <c r="C1368" s="11" t="n">
        <v>45991</v>
      </c>
      <c r="D1368" s="9" t="s">
        <v>125</v>
      </c>
      <c r="E1368" s="12" t="n">
        <v>23</v>
      </c>
      <c r="F1368" s="9" t="s">
        <v>31</v>
      </c>
      <c r="G1368" s="13" t="n">
        <v>50</v>
      </c>
      <c r="H1368" s="9" t="s">
        <v>34</v>
      </c>
      <c r="I1368" s="13" t="n">
        <v>2</v>
      </c>
      <c r="J1368" s="1" t="str">
        <f aca="false">IF(A1368="","", "SAMP-"&amp;A1368&amp;"-L"&amp;TEXT(B1368,"00")&amp;"-"&amp;TEXT(C1368,"yyyymmdd")&amp;"-"&amp;D1368&amp;"-H"&amp;TEXT(E1368,"00")&amp;"-"&amp;H1368)</f>
        <v>SAMP-KG01-L23-20251130-ORD-2025-00236-H23-Thin Wall</v>
      </c>
      <c r="K1368" s="1" t="str">
        <f aca="false">IF(A1368="","",IF(AND(G1368&gt;=0,I1368&gt;=0,I1368&lt;=G1368),"OK","CHECK"))</f>
        <v>OK</v>
      </c>
      <c r="L1368" s="1" t="str">
        <f aca="false">IF(A1368="","",IF(AND(E1368&gt;=0,E1368&lt;=23),"OK","CHECK"))</f>
        <v>OK</v>
      </c>
      <c r="M1368" s="1" t="str">
        <f aca="false">IF(A1368="","",IF(AND(K1368="OK",L1368="OK"),"OK","CHECK"))</f>
        <v>OK</v>
      </c>
    </row>
    <row r="1369" customFormat="false" ht="18" hidden="false" customHeight="true" outlineLevel="0" collapsed="false">
      <c r="A1369" s="9" t="s">
        <v>26</v>
      </c>
      <c r="B1369" s="9" t="n">
        <v>23</v>
      </c>
      <c r="C1369" s="11" t="n">
        <v>45991</v>
      </c>
      <c r="D1369" s="9" t="s">
        <v>125</v>
      </c>
      <c r="E1369" s="12" t="n">
        <v>20</v>
      </c>
      <c r="F1369" s="9" t="s">
        <v>31</v>
      </c>
      <c r="G1369" s="13" t="n">
        <v>100</v>
      </c>
      <c r="H1369" s="9" t="s">
        <v>38</v>
      </c>
      <c r="I1369" s="13" t="n">
        <v>2</v>
      </c>
      <c r="J1369" s="1" t="str">
        <f aca="false">IF(A1369="","", "SAMP-"&amp;A1369&amp;"-L"&amp;TEXT(B1369,"00")&amp;"-"&amp;TEXT(C1369,"yyyymmdd")&amp;"-"&amp;D1369&amp;"-H"&amp;TEXT(E1369,"00")&amp;"-"&amp;H1369)</f>
        <v>SAMP-KG01-L23-20251130-ORD-2025-00236-H20-Crack</v>
      </c>
      <c r="K1369" s="1" t="str">
        <f aca="false">IF(A1369="","",IF(AND(G1369&gt;=0,I1369&gt;=0,I1369&lt;=G1369),"OK","CHECK"))</f>
        <v>OK</v>
      </c>
      <c r="L1369" s="1" t="str">
        <f aca="false">IF(A1369="","",IF(AND(E1369&gt;=0,E1369&lt;=23),"OK","CHECK"))</f>
        <v>OK</v>
      </c>
      <c r="M1369" s="1" t="str">
        <f aca="false">IF(A1369="","",IF(AND(K1369="OK",L1369="OK"),"OK","CHECK"))</f>
        <v>OK</v>
      </c>
    </row>
    <row r="1370" customFormat="false" ht="18" hidden="false" customHeight="true" outlineLevel="0" collapsed="false">
      <c r="A1370" s="9" t="s">
        <v>26</v>
      </c>
      <c r="B1370" s="9" t="n">
        <v>23</v>
      </c>
      <c r="C1370" s="11" t="n">
        <v>45992</v>
      </c>
      <c r="D1370" s="9" t="s">
        <v>125</v>
      </c>
      <c r="E1370" s="12" t="n">
        <v>9</v>
      </c>
      <c r="F1370" s="9" t="s">
        <v>28</v>
      </c>
      <c r="G1370" s="13" t="n">
        <v>200</v>
      </c>
      <c r="H1370" s="9" t="s">
        <v>38</v>
      </c>
      <c r="I1370" s="13" t="n">
        <v>6</v>
      </c>
      <c r="J1370" s="1" t="str">
        <f aca="false">IF(A1370="","", "SAMP-"&amp;A1370&amp;"-L"&amp;TEXT(B1370,"00")&amp;"-"&amp;TEXT(C1370,"yyyymmdd")&amp;"-"&amp;D1370&amp;"-H"&amp;TEXT(E1370,"00")&amp;"-"&amp;H1370)</f>
        <v>SAMP-KG01-L23-20251201-ORD-2025-00236-H09-Crack</v>
      </c>
      <c r="K1370" s="1" t="str">
        <f aca="false">IF(A1370="","",IF(AND(G1370&gt;=0,I1370&gt;=0,I1370&lt;=G1370),"OK","CHECK"))</f>
        <v>OK</v>
      </c>
      <c r="L1370" s="1" t="str">
        <f aca="false">IF(A1370="","",IF(AND(E1370&gt;=0,E1370&lt;=23),"OK","CHECK"))</f>
        <v>OK</v>
      </c>
      <c r="M1370" s="1" t="str">
        <f aca="false">IF(A1370="","",IF(AND(K1370="OK",L1370="OK"),"OK","CHECK"))</f>
        <v>OK</v>
      </c>
    </row>
    <row r="1371" customFormat="false" ht="18" hidden="false" customHeight="true" outlineLevel="0" collapsed="false">
      <c r="A1371" s="9" t="s">
        <v>26</v>
      </c>
      <c r="B1371" s="9" t="n">
        <v>23</v>
      </c>
      <c r="C1371" s="11" t="n">
        <v>45992</v>
      </c>
      <c r="D1371" s="9" t="s">
        <v>125</v>
      </c>
      <c r="E1371" s="12" t="n">
        <v>7</v>
      </c>
      <c r="F1371" s="9" t="s">
        <v>28</v>
      </c>
      <c r="G1371" s="13" t="n">
        <v>150</v>
      </c>
      <c r="H1371" s="9" t="s">
        <v>38</v>
      </c>
      <c r="I1371" s="13" t="n">
        <v>7</v>
      </c>
      <c r="J1371" s="1" t="str">
        <f aca="false">IF(A1371="","", "SAMP-"&amp;A1371&amp;"-L"&amp;TEXT(B1371,"00")&amp;"-"&amp;TEXT(C1371,"yyyymmdd")&amp;"-"&amp;D1371&amp;"-H"&amp;TEXT(E1371,"00")&amp;"-"&amp;H1371)</f>
        <v>SAMP-KG01-L23-20251201-ORD-2025-00236-H07-Crack</v>
      </c>
      <c r="K1371" s="1" t="str">
        <f aca="false">IF(A1371="","",IF(AND(G1371&gt;=0,I1371&gt;=0,I1371&lt;=G1371),"OK","CHECK"))</f>
        <v>OK</v>
      </c>
      <c r="L1371" s="1" t="str">
        <f aca="false">IF(A1371="","",IF(AND(E1371&gt;=0,E1371&lt;=23),"OK","CHECK"))</f>
        <v>OK</v>
      </c>
      <c r="M1371" s="1" t="str">
        <f aca="false">IF(A1371="","",IF(AND(K1371="OK",L1371="OK"),"OK","CHECK"))</f>
        <v>OK</v>
      </c>
    </row>
    <row r="1372" customFormat="false" ht="18" hidden="false" customHeight="true" outlineLevel="0" collapsed="false">
      <c r="A1372" s="9" t="s">
        <v>26</v>
      </c>
      <c r="B1372" s="9" t="n">
        <v>23</v>
      </c>
      <c r="C1372" s="11" t="n">
        <v>45992</v>
      </c>
      <c r="D1372" s="9" t="s">
        <v>125</v>
      </c>
      <c r="E1372" s="12" t="n">
        <v>12</v>
      </c>
      <c r="F1372" s="9" t="s">
        <v>28</v>
      </c>
      <c r="G1372" s="13" t="n">
        <v>100</v>
      </c>
      <c r="H1372" s="9" t="s">
        <v>38</v>
      </c>
      <c r="I1372" s="13" t="n">
        <v>5</v>
      </c>
      <c r="J1372" s="1" t="str">
        <f aca="false">IF(A1372="","", "SAMP-"&amp;A1372&amp;"-L"&amp;TEXT(B1372,"00")&amp;"-"&amp;TEXT(C1372,"yyyymmdd")&amp;"-"&amp;D1372&amp;"-H"&amp;TEXT(E1372,"00")&amp;"-"&amp;H1372)</f>
        <v>SAMP-KG01-L23-20251201-ORD-2025-00236-H12-Crack</v>
      </c>
      <c r="K1372" s="1" t="str">
        <f aca="false">IF(A1372="","",IF(AND(G1372&gt;=0,I1372&gt;=0,I1372&lt;=G1372),"OK","CHECK"))</f>
        <v>OK</v>
      </c>
      <c r="L1372" s="1" t="str">
        <f aca="false">IF(A1372="","",IF(AND(E1372&gt;=0,E1372&lt;=23),"OK","CHECK"))</f>
        <v>OK</v>
      </c>
      <c r="M1372" s="1" t="str">
        <f aca="false">IF(A1372="","",IF(AND(K1372="OK",L1372="OK"),"OK","CHECK"))</f>
        <v>OK</v>
      </c>
    </row>
    <row r="1373" customFormat="false" ht="18" hidden="false" customHeight="true" outlineLevel="0" collapsed="false">
      <c r="A1373" s="9" t="s">
        <v>26</v>
      </c>
      <c r="B1373" s="9" t="n">
        <v>23</v>
      </c>
      <c r="C1373" s="11" t="n">
        <v>45992</v>
      </c>
      <c r="D1373" s="9" t="s">
        <v>125</v>
      </c>
      <c r="E1373" s="12" t="n">
        <v>23</v>
      </c>
      <c r="F1373" s="9" t="s">
        <v>31</v>
      </c>
      <c r="G1373" s="13" t="n">
        <v>150</v>
      </c>
      <c r="H1373" s="9" t="s">
        <v>38</v>
      </c>
      <c r="I1373" s="13" t="n">
        <v>3</v>
      </c>
      <c r="J1373" s="1" t="str">
        <f aca="false">IF(A1373="","", "SAMP-"&amp;A1373&amp;"-L"&amp;TEXT(B1373,"00")&amp;"-"&amp;TEXT(C1373,"yyyymmdd")&amp;"-"&amp;D1373&amp;"-H"&amp;TEXT(E1373,"00")&amp;"-"&amp;H1373)</f>
        <v>SAMP-KG01-L23-20251201-ORD-2025-00236-H23-Crack</v>
      </c>
      <c r="K1373" s="1" t="str">
        <f aca="false">IF(A1373="","",IF(AND(G1373&gt;=0,I1373&gt;=0,I1373&lt;=G1373),"OK","CHECK"))</f>
        <v>OK</v>
      </c>
      <c r="L1373" s="1" t="str">
        <f aca="false">IF(A1373="","",IF(AND(E1373&gt;=0,E1373&lt;=23),"OK","CHECK"))</f>
        <v>OK</v>
      </c>
      <c r="M1373" s="1" t="str">
        <f aca="false">IF(A1373="","",IF(AND(K1373="OK",L1373="OK"),"OK","CHECK"))</f>
        <v>OK</v>
      </c>
    </row>
    <row r="1374" customFormat="false" ht="18" hidden="false" customHeight="true" outlineLevel="0" collapsed="false">
      <c r="A1374" s="9" t="s">
        <v>26</v>
      </c>
      <c r="B1374" s="9" t="n">
        <v>23</v>
      </c>
      <c r="C1374" s="11" t="n">
        <v>45992</v>
      </c>
      <c r="D1374" s="9" t="s">
        <v>125</v>
      </c>
      <c r="E1374" s="12" t="n">
        <v>16</v>
      </c>
      <c r="F1374" s="9" t="s">
        <v>31</v>
      </c>
      <c r="G1374" s="13" t="n">
        <v>200</v>
      </c>
      <c r="H1374" s="9" t="s">
        <v>41</v>
      </c>
      <c r="I1374" s="13" t="n">
        <v>6</v>
      </c>
      <c r="J1374" s="1" t="str">
        <f aca="false">IF(A1374="","", "SAMP-"&amp;A1374&amp;"-L"&amp;TEXT(B1374,"00")&amp;"-"&amp;TEXT(C1374,"yyyymmdd")&amp;"-"&amp;D1374&amp;"-H"&amp;TEXT(E1374,"00")&amp;"-"&amp;H1374)</f>
        <v>SAMP-KG01-L23-20251201-ORD-2025-00236-H16-Chip</v>
      </c>
      <c r="K1374" s="1" t="str">
        <f aca="false">IF(A1374="","",IF(AND(G1374&gt;=0,I1374&gt;=0,I1374&lt;=G1374),"OK","CHECK"))</f>
        <v>OK</v>
      </c>
      <c r="L1374" s="1" t="str">
        <f aca="false">IF(A1374="","",IF(AND(E1374&gt;=0,E1374&lt;=23),"OK","CHECK"))</f>
        <v>OK</v>
      </c>
      <c r="M1374" s="1" t="str">
        <f aca="false">IF(A1374="","",IF(AND(K1374="OK",L1374="OK"),"OK","CHECK"))</f>
        <v>OK</v>
      </c>
    </row>
    <row r="1375" customFormat="false" ht="18" hidden="false" customHeight="true" outlineLevel="0" collapsed="false">
      <c r="A1375" s="9" t="s">
        <v>26</v>
      </c>
      <c r="B1375" s="9" t="n">
        <v>23</v>
      </c>
      <c r="C1375" s="11" t="n">
        <v>45992</v>
      </c>
      <c r="D1375" s="9" t="s">
        <v>125</v>
      </c>
      <c r="E1375" s="12" t="n">
        <v>20</v>
      </c>
      <c r="F1375" s="9" t="s">
        <v>31</v>
      </c>
      <c r="G1375" s="13" t="n">
        <v>200</v>
      </c>
      <c r="H1375" s="9" t="s">
        <v>34</v>
      </c>
      <c r="I1375" s="13" t="n">
        <v>1</v>
      </c>
      <c r="J1375" s="1" t="str">
        <f aca="false">IF(A1375="","", "SAMP-"&amp;A1375&amp;"-L"&amp;TEXT(B1375,"00")&amp;"-"&amp;TEXT(C1375,"yyyymmdd")&amp;"-"&amp;D1375&amp;"-H"&amp;TEXT(E1375,"00")&amp;"-"&amp;H1375)</f>
        <v>SAMP-KG01-L23-20251201-ORD-2025-00236-H20-Thin Wall</v>
      </c>
      <c r="K1375" s="1" t="str">
        <f aca="false">IF(A1375="","",IF(AND(G1375&gt;=0,I1375&gt;=0,I1375&lt;=G1375),"OK","CHECK"))</f>
        <v>OK</v>
      </c>
      <c r="L1375" s="1" t="str">
        <f aca="false">IF(A1375="","",IF(AND(E1375&gt;=0,E1375&lt;=23),"OK","CHECK"))</f>
        <v>OK</v>
      </c>
      <c r="M1375" s="1" t="str">
        <f aca="false">IF(A1375="","",IF(AND(K1375="OK",L1375="OK"),"OK","CHECK"))</f>
        <v>OK</v>
      </c>
    </row>
    <row r="1376" customFormat="false" ht="18" hidden="false" customHeight="true" outlineLevel="0" collapsed="false">
      <c r="A1376" s="9" t="s">
        <v>26</v>
      </c>
      <c r="B1376" s="9" t="n">
        <v>23</v>
      </c>
      <c r="C1376" s="11" t="n">
        <v>45993</v>
      </c>
      <c r="D1376" s="9" t="s">
        <v>125</v>
      </c>
      <c r="E1376" s="12" t="n">
        <v>9</v>
      </c>
      <c r="F1376" s="9" t="s">
        <v>28</v>
      </c>
      <c r="G1376" s="13" t="n">
        <v>150</v>
      </c>
      <c r="H1376" s="9" t="s">
        <v>41</v>
      </c>
      <c r="I1376" s="13" t="n">
        <v>4</v>
      </c>
      <c r="J1376" s="1" t="str">
        <f aca="false">IF(A1376="","", "SAMP-"&amp;A1376&amp;"-L"&amp;TEXT(B1376,"00")&amp;"-"&amp;TEXT(C1376,"yyyymmdd")&amp;"-"&amp;D1376&amp;"-H"&amp;TEXT(E1376,"00")&amp;"-"&amp;H1376)</f>
        <v>SAMP-KG01-L23-20251202-ORD-2025-00236-H09-Chip</v>
      </c>
      <c r="K1376" s="1" t="str">
        <f aca="false">IF(A1376="","",IF(AND(G1376&gt;=0,I1376&gt;=0,I1376&lt;=G1376),"OK","CHECK"))</f>
        <v>OK</v>
      </c>
      <c r="L1376" s="1" t="str">
        <f aca="false">IF(A1376="","",IF(AND(E1376&gt;=0,E1376&lt;=23),"OK","CHECK"))</f>
        <v>OK</v>
      </c>
      <c r="M1376" s="1" t="str">
        <f aca="false">IF(A1376="","",IF(AND(K1376="OK",L1376="OK"),"OK","CHECK"))</f>
        <v>OK</v>
      </c>
    </row>
    <row r="1377" customFormat="false" ht="18" hidden="false" customHeight="true" outlineLevel="0" collapsed="false">
      <c r="A1377" s="9" t="s">
        <v>26</v>
      </c>
      <c r="B1377" s="9" t="n">
        <v>23</v>
      </c>
      <c r="C1377" s="11" t="n">
        <v>45993</v>
      </c>
      <c r="D1377" s="9" t="s">
        <v>125</v>
      </c>
      <c r="E1377" s="12" t="n">
        <v>12</v>
      </c>
      <c r="F1377" s="9" t="s">
        <v>28</v>
      </c>
      <c r="G1377" s="13" t="n">
        <v>150</v>
      </c>
      <c r="H1377" s="9" t="s">
        <v>29</v>
      </c>
      <c r="I1377" s="13" t="n">
        <v>5</v>
      </c>
      <c r="J1377" s="1" t="str">
        <f aca="false">IF(A1377="","", "SAMP-"&amp;A1377&amp;"-L"&amp;TEXT(B1377,"00")&amp;"-"&amp;TEXT(C1377,"yyyymmdd")&amp;"-"&amp;D1377&amp;"-H"&amp;TEXT(E1377,"00")&amp;"-"&amp;H1377)</f>
        <v>SAMP-KG01-L23-20251202-ORD-2025-00236-H12-Choke Neck</v>
      </c>
      <c r="K1377" s="1" t="str">
        <f aca="false">IF(A1377="","",IF(AND(G1377&gt;=0,I1377&gt;=0,I1377&lt;=G1377),"OK","CHECK"))</f>
        <v>OK</v>
      </c>
      <c r="L1377" s="1" t="str">
        <f aca="false">IF(A1377="","",IF(AND(E1377&gt;=0,E1377&lt;=23),"OK","CHECK"))</f>
        <v>OK</v>
      </c>
      <c r="M1377" s="1" t="str">
        <f aca="false">IF(A1377="","",IF(AND(K1377="OK",L1377="OK"),"OK","CHECK"))</f>
        <v>OK</v>
      </c>
    </row>
    <row r="1378" customFormat="false" ht="18" hidden="false" customHeight="true" outlineLevel="0" collapsed="false">
      <c r="A1378" s="9" t="s">
        <v>26</v>
      </c>
      <c r="B1378" s="9" t="n">
        <v>23</v>
      </c>
      <c r="C1378" s="11" t="n">
        <v>45993</v>
      </c>
      <c r="D1378" s="9" t="s">
        <v>125</v>
      </c>
      <c r="E1378" s="12" t="n">
        <v>7</v>
      </c>
      <c r="F1378" s="9" t="s">
        <v>28</v>
      </c>
      <c r="G1378" s="13" t="n">
        <v>50</v>
      </c>
      <c r="H1378" s="9" t="s">
        <v>35</v>
      </c>
      <c r="I1378" s="13" t="n">
        <v>1</v>
      </c>
      <c r="J1378" s="1" t="str">
        <f aca="false">IF(A1378="","", "SAMP-"&amp;A1378&amp;"-L"&amp;TEXT(B1378,"00")&amp;"-"&amp;TEXT(C1378,"yyyymmdd")&amp;"-"&amp;D1378&amp;"-H"&amp;TEXT(E1378,"00")&amp;"-"&amp;H1378)</f>
        <v>SAMP-KG01-L23-20251202-ORD-2025-00236-H07-Stone</v>
      </c>
      <c r="K1378" s="1" t="str">
        <f aca="false">IF(A1378="","",IF(AND(G1378&gt;=0,I1378&gt;=0,I1378&lt;=G1378),"OK","CHECK"))</f>
        <v>OK</v>
      </c>
      <c r="L1378" s="1" t="str">
        <f aca="false">IF(A1378="","",IF(AND(E1378&gt;=0,E1378&lt;=23),"OK","CHECK"))</f>
        <v>OK</v>
      </c>
      <c r="M1378" s="1" t="str">
        <f aca="false">IF(A1378="","",IF(AND(K1378="OK",L1378="OK"),"OK","CHECK"))</f>
        <v>OK</v>
      </c>
    </row>
    <row r="1379" customFormat="false" ht="18" hidden="false" customHeight="true" outlineLevel="0" collapsed="false">
      <c r="A1379" s="9" t="s">
        <v>26</v>
      </c>
      <c r="B1379" s="9" t="n">
        <v>23</v>
      </c>
      <c r="C1379" s="11" t="n">
        <v>45993</v>
      </c>
      <c r="D1379" s="9" t="s">
        <v>126</v>
      </c>
      <c r="E1379" s="12" t="n">
        <v>20</v>
      </c>
      <c r="F1379" s="9" t="s">
        <v>31</v>
      </c>
      <c r="G1379" s="13" t="n">
        <v>150</v>
      </c>
      <c r="H1379" s="9" t="s">
        <v>29</v>
      </c>
      <c r="I1379" s="13" t="n">
        <v>4</v>
      </c>
      <c r="J1379" s="1" t="str">
        <f aca="false">IF(A1379="","", "SAMP-"&amp;A1379&amp;"-L"&amp;TEXT(B1379,"00")&amp;"-"&amp;TEXT(C1379,"yyyymmdd")&amp;"-"&amp;D1379&amp;"-H"&amp;TEXT(E1379,"00")&amp;"-"&amp;H1379)</f>
        <v>SAMP-KG01-L23-20251202-ORD-2025-00237-H20-Choke Neck</v>
      </c>
      <c r="K1379" s="1" t="str">
        <f aca="false">IF(A1379="","",IF(AND(G1379&gt;=0,I1379&gt;=0,I1379&lt;=G1379),"OK","CHECK"))</f>
        <v>OK</v>
      </c>
      <c r="L1379" s="1" t="str">
        <f aca="false">IF(A1379="","",IF(AND(E1379&gt;=0,E1379&lt;=23),"OK","CHECK"))</f>
        <v>OK</v>
      </c>
      <c r="M1379" s="1" t="str">
        <f aca="false">IF(A1379="","",IF(AND(K1379="OK",L1379="OK"),"OK","CHECK"))</f>
        <v>OK</v>
      </c>
    </row>
    <row r="1380" customFormat="false" ht="18" hidden="false" customHeight="true" outlineLevel="0" collapsed="false">
      <c r="A1380" s="9" t="s">
        <v>26</v>
      </c>
      <c r="B1380" s="9" t="n">
        <v>23</v>
      </c>
      <c r="C1380" s="11" t="n">
        <v>45993</v>
      </c>
      <c r="D1380" s="9" t="s">
        <v>126</v>
      </c>
      <c r="E1380" s="12" t="n">
        <v>23</v>
      </c>
      <c r="F1380" s="9" t="s">
        <v>31</v>
      </c>
      <c r="G1380" s="13" t="n">
        <v>50</v>
      </c>
      <c r="H1380" s="9" t="s">
        <v>37</v>
      </c>
      <c r="I1380" s="13" t="n">
        <v>0</v>
      </c>
      <c r="J1380" s="1" t="str">
        <f aca="false">IF(A1380="","", "SAMP-"&amp;A1380&amp;"-L"&amp;TEXT(B1380,"00")&amp;"-"&amp;TEXT(C1380,"yyyymmdd")&amp;"-"&amp;D1380&amp;"-H"&amp;TEXT(E1380,"00")&amp;"-"&amp;H1380)</f>
        <v>SAMP-KG01-L23-20251202-ORD-2025-00237-H23-Bird Swing</v>
      </c>
      <c r="K1380" s="1" t="str">
        <f aca="false">IF(A1380="","",IF(AND(G1380&gt;=0,I1380&gt;=0,I1380&lt;=G1380),"OK","CHECK"))</f>
        <v>OK</v>
      </c>
      <c r="L1380" s="1" t="str">
        <f aca="false">IF(A1380="","",IF(AND(E1380&gt;=0,E1380&lt;=23),"OK","CHECK"))</f>
        <v>OK</v>
      </c>
      <c r="M1380" s="1" t="str">
        <f aca="false">IF(A1380="","",IF(AND(K1380="OK",L1380="OK"),"OK","CHECK"))</f>
        <v>OK</v>
      </c>
    </row>
    <row r="1381" customFormat="false" ht="18" hidden="false" customHeight="true" outlineLevel="0" collapsed="false">
      <c r="A1381" s="9" t="s">
        <v>26</v>
      </c>
      <c r="B1381" s="9" t="n">
        <v>23</v>
      </c>
      <c r="C1381" s="11" t="n">
        <v>45993</v>
      </c>
      <c r="D1381" s="9" t="s">
        <v>126</v>
      </c>
      <c r="E1381" s="12" t="n">
        <v>16</v>
      </c>
      <c r="F1381" s="9" t="s">
        <v>31</v>
      </c>
      <c r="G1381" s="13" t="n">
        <v>100</v>
      </c>
      <c r="H1381" s="9" t="s">
        <v>35</v>
      </c>
      <c r="I1381" s="13" t="n">
        <v>2</v>
      </c>
      <c r="J1381" s="1" t="str">
        <f aca="false">IF(A1381="","", "SAMP-"&amp;A1381&amp;"-L"&amp;TEXT(B1381,"00")&amp;"-"&amp;TEXT(C1381,"yyyymmdd")&amp;"-"&amp;D1381&amp;"-H"&amp;TEXT(E1381,"00")&amp;"-"&amp;H1381)</f>
        <v>SAMP-KG01-L23-20251202-ORD-2025-00237-H16-Stone</v>
      </c>
      <c r="K1381" s="1" t="str">
        <f aca="false">IF(A1381="","",IF(AND(G1381&gt;=0,I1381&gt;=0,I1381&lt;=G1381),"OK","CHECK"))</f>
        <v>OK</v>
      </c>
      <c r="L1381" s="1" t="str">
        <f aca="false">IF(A1381="","",IF(AND(E1381&gt;=0,E1381&lt;=23),"OK","CHECK"))</f>
        <v>OK</v>
      </c>
      <c r="M1381" s="1" t="str">
        <f aca="false">IF(A1381="","",IF(AND(K1381="OK",L1381="OK"),"OK","CHECK"))</f>
        <v>OK</v>
      </c>
    </row>
    <row r="1382" customFormat="false" ht="18" hidden="false" customHeight="true" outlineLevel="0" collapsed="false">
      <c r="A1382" s="9" t="s">
        <v>26</v>
      </c>
      <c r="B1382" s="9" t="n">
        <v>23</v>
      </c>
      <c r="C1382" s="11" t="n">
        <v>45994</v>
      </c>
      <c r="D1382" s="9" t="s">
        <v>126</v>
      </c>
      <c r="E1382" s="12" t="n">
        <v>9</v>
      </c>
      <c r="F1382" s="9" t="s">
        <v>28</v>
      </c>
      <c r="G1382" s="13" t="n">
        <v>100</v>
      </c>
      <c r="H1382" s="9" t="s">
        <v>30</v>
      </c>
      <c r="I1382" s="13" t="n">
        <v>4</v>
      </c>
      <c r="J1382" s="1" t="str">
        <f aca="false">IF(A1382="","", "SAMP-"&amp;A1382&amp;"-L"&amp;TEXT(B1382,"00")&amp;"-"&amp;TEXT(C1382,"yyyymmdd")&amp;"-"&amp;D1382&amp;"-H"&amp;TEXT(E1382,"00")&amp;"-"&amp;H1382)</f>
        <v>SAMP-KG01-L23-20251203-ORD-2025-00237-H09-Overpress</v>
      </c>
      <c r="K1382" s="1" t="str">
        <f aca="false">IF(A1382="","",IF(AND(G1382&gt;=0,I1382&gt;=0,I1382&lt;=G1382),"OK","CHECK"))</f>
        <v>OK</v>
      </c>
      <c r="L1382" s="1" t="str">
        <f aca="false">IF(A1382="","",IF(AND(E1382&gt;=0,E1382&lt;=23),"OK","CHECK"))</f>
        <v>OK</v>
      </c>
      <c r="M1382" s="1" t="str">
        <f aca="false">IF(A1382="","",IF(AND(K1382="OK",L1382="OK"),"OK","CHECK"))</f>
        <v>OK</v>
      </c>
    </row>
    <row r="1383" customFormat="false" ht="18" hidden="false" customHeight="true" outlineLevel="0" collapsed="false">
      <c r="A1383" s="9" t="s">
        <v>26</v>
      </c>
      <c r="B1383" s="9" t="n">
        <v>23</v>
      </c>
      <c r="C1383" s="11" t="n">
        <v>45994</v>
      </c>
      <c r="D1383" s="9" t="s">
        <v>126</v>
      </c>
      <c r="E1383" s="12" t="n">
        <v>7</v>
      </c>
      <c r="F1383" s="9" t="s">
        <v>28</v>
      </c>
      <c r="G1383" s="13" t="n">
        <v>150</v>
      </c>
      <c r="H1383" s="9" t="s">
        <v>35</v>
      </c>
      <c r="I1383" s="13" t="n">
        <v>3</v>
      </c>
      <c r="J1383" s="1" t="str">
        <f aca="false">IF(A1383="","", "SAMP-"&amp;A1383&amp;"-L"&amp;TEXT(B1383,"00")&amp;"-"&amp;TEXT(C1383,"yyyymmdd")&amp;"-"&amp;D1383&amp;"-H"&amp;TEXT(E1383,"00")&amp;"-"&amp;H1383)</f>
        <v>SAMP-KG01-L23-20251203-ORD-2025-00237-H07-Stone</v>
      </c>
      <c r="K1383" s="1" t="str">
        <f aca="false">IF(A1383="","",IF(AND(G1383&gt;=0,I1383&gt;=0,I1383&lt;=G1383),"OK","CHECK"))</f>
        <v>OK</v>
      </c>
      <c r="L1383" s="1" t="str">
        <f aca="false">IF(A1383="","",IF(AND(E1383&gt;=0,E1383&lt;=23),"OK","CHECK"))</f>
        <v>OK</v>
      </c>
      <c r="M1383" s="1" t="str">
        <f aca="false">IF(A1383="","",IF(AND(K1383="OK",L1383="OK"),"OK","CHECK"))</f>
        <v>OK</v>
      </c>
    </row>
    <row r="1384" customFormat="false" ht="18" hidden="false" customHeight="true" outlineLevel="0" collapsed="false">
      <c r="A1384" s="9" t="s">
        <v>26</v>
      </c>
      <c r="B1384" s="9" t="n">
        <v>23</v>
      </c>
      <c r="C1384" s="11" t="n">
        <v>45994</v>
      </c>
      <c r="D1384" s="9" t="s">
        <v>126</v>
      </c>
      <c r="E1384" s="12" t="n">
        <v>23</v>
      </c>
      <c r="F1384" s="9" t="s">
        <v>31</v>
      </c>
      <c r="G1384" s="13" t="n">
        <v>50</v>
      </c>
      <c r="H1384" s="9" t="s">
        <v>37</v>
      </c>
      <c r="I1384" s="13" t="n">
        <v>2</v>
      </c>
      <c r="J1384" s="1" t="str">
        <f aca="false">IF(A1384="","", "SAMP-"&amp;A1384&amp;"-L"&amp;TEXT(B1384,"00")&amp;"-"&amp;TEXT(C1384,"yyyymmdd")&amp;"-"&amp;D1384&amp;"-H"&amp;TEXT(E1384,"00")&amp;"-"&amp;H1384)</f>
        <v>SAMP-KG01-L23-20251203-ORD-2025-00237-H23-Bird Swing</v>
      </c>
      <c r="K1384" s="1" t="str">
        <f aca="false">IF(A1384="","",IF(AND(G1384&gt;=0,I1384&gt;=0,I1384&lt;=G1384),"OK","CHECK"))</f>
        <v>OK</v>
      </c>
      <c r="L1384" s="1" t="str">
        <f aca="false">IF(A1384="","",IF(AND(E1384&gt;=0,E1384&lt;=23),"OK","CHECK"))</f>
        <v>OK</v>
      </c>
      <c r="M1384" s="1" t="str">
        <f aca="false">IF(A1384="","",IF(AND(K1384="OK",L1384="OK"),"OK","CHECK"))</f>
        <v>OK</v>
      </c>
    </row>
    <row r="1385" customFormat="false" ht="18" hidden="false" customHeight="true" outlineLevel="0" collapsed="false">
      <c r="A1385" s="9" t="s">
        <v>26</v>
      </c>
      <c r="B1385" s="9" t="n">
        <v>23</v>
      </c>
      <c r="C1385" s="11" t="n">
        <v>45994</v>
      </c>
      <c r="D1385" s="9" t="s">
        <v>126</v>
      </c>
      <c r="E1385" s="12" t="n">
        <v>16</v>
      </c>
      <c r="F1385" s="9" t="s">
        <v>31</v>
      </c>
      <c r="G1385" s="13" t="n">
        <v>100</v>
      </c>
      <c r="H1385" s="9" t="s">
        <v>37</v>
      </c>
      <c r="I1385" s="13" t="n">
        <v>1</v>
      </c>
      <c r="J1385" s="1" t="str">
        <f aca="false">IF(A1385="","", "SAMP-"&amp;A1385&amp;"-L"&amp;TEXT(B1385,"00")&amp;"-"&amp;TEXT(C1385,"yyyymmdd")&amp;"-"&amp;D1385&amp;"-H"&amp;TEXT(E1385,"00")&amp;"-"&amp;H1385)</f>
        <v>SAMP-KG01-L23-20251203-ORD-2025-00237-H16-Bird Swing</v>
      </c>
      <c r="K1385" s="1" t="str">
        <f aca="false">IF(A1385="","",IF(AND(G1385&gt;=0,I1385&gt;=0,I1385&lt;=G1385),"OK","CHECK"))</f>
        <v>OK</v>
      </c>
      <c r="L1385" s="1" t="str">
        <f aca="false">IF(A1385="","",IF(AND(E1385&gt;=0,E1385&lt;=23),"OK","CHECK"))</f>
        <v>OK</v>
      </c>
      <c r="M1385" s="1" t="str">
        <f aca="false">IF(A1385="","",IF(AND(K1385="OK",L1385="OK"),"OK","CHECK"))</f>
        <v>OK</v>
      </c>
    </row>
    <row r="1386" customFormat="false" ht="18" hidden="false" customHeight="true" outlineLevel="0" collapsed="false">
      <c r="A1386" s="9" t="s">
        <v>26</v>
      </c>
      <c r="B1386" s="9" t="n">
        <v>23</v>
      </c>
      <c r="C1386" s="11" t="n">
        <v>45994</v>
      </c>
      <c r="D1386" s="9" t="s">
        <v>126</v>
      </c>
      <c r="E1386" s="12" t="n">
        <v>20</v>
      </c>
      <c r="F1386" s="9" t="s">
        <v>31</v>
      </c>
      <c r="G1386" s="13" t="n">
        <v>150</v>
      </c>
      <c r="H1386" s="9" t="s">
        <v>38</v>
      </c>
      <c r="I1386" s="13" t="n">
        <v>0</v>
      </c>
      <c r="J1386" s="1" t="str">
        <f aca="false">IF(A1386="","", "SAMP-"&amp;A1386&amp;"-L"&amp;TEXT(B1386,"00")&amp;"-"&amp;TEXT(C1386,"yyyymmdd")&amp;"-"&amp;D1386&amp;"-H"&amp;TEXT(E1386,"00")&amp;"-"&amp;H1386)</f>
        <v>SAMP-KG01-L23-20251203-ORD-2025-00237-H20-Crack</v>
      </c>
      <c r="K1386" s="1" t="str">
        <f aca="false">IF(A1386="","",IF(AND(G1386&gt;=0,I1386&gt;=0,I1386&lt;=G1386),"OK","CHECK"))</f>
        <v>OK</v>
      </c>
      <c r="L1386" s="1" t="str">
        <f aca="false">IF(A1386="","",IF(AND(E1386&gt;=0,E1386&lt;=23),"OK","CHECK"))</f>
        <v>OK</v>
      </c>
      <c r="M1386" s="1" t="str">
        <f aca="false">IF(A1386="","",IF(AND(K1386="OK",L1386="OK"),"OK","CHECK"))</f>
        <v>OK</v>
      </c>
    </row>
    <row r="1387" customFormat="false" ht="18" hidden="false" customHeight="true" outlineLevel="0" collapsed="false">
      <c r="A1387" s="9" t="s">
        <v>26</v>
      </c>
      <c r="B1387" s="9" t="n">
        <v>23</v>
      </c>
      <c r="C1387" s="11" t="n">
        <v>45995</v>
      </c>
      <c r="D1387" s="9" t="s">
        <v>126</v>
      </c>
      <c r="E1387" s="12" t="n">
        <v>7</v>
      </c>
      <c r="F1387" s="9" t="s">
        <v>28</v>
      </c>
      <c r="G1387" s="13" t="n">
        <v>200</v>
      </c>
      <c r="H1387" s="9" t="s">
        <v>34</v>
      </c>
      <c r="I1387" s="13" t="n">
        <v>5</v>
      </c>
      <c r="J1387" s="1" t="str">
        <f aca="false">IF(A1387="","", "SAMP-"&amp;A1387&amp;"-L"&amp;TEXT(B1387,"00")&amp;"-"&amp;TEXT(C1387,"yyyymmdd")&amp;"-"&amp;D1387&amp;"-H"&amp;TEXT(E1387,"00")&amp;"-"&amp;H1387)</f>
        <v>SAMP-KG01-L23-20251204-ORD-2025-00237-H07-Thin Wall</v>
      </c>
      <c r="K1387" s="1" t="str">
        <f aca="false">IF(A1387="","",IF(AND(G1387&gt;=0,I1387&gt;=0,I1387&lt;=G1387),"OK","CHECK"))</f>
        <v>OK</v>
      </c>
      <c r="L1387" s="1" t="str">
        <f aca="false">IF(A1387="","",IF(AND(E1387&gt;=0,E1387&lt;=23),"OK","CHECK"))</f>
        <v>OK</v>
      </c>
      <c r="M1387" s="1" t="str">
        <f aca="false">IF(A1387="","",IF(AND(K1387="OK",L1387="OK"),"OK","CHECK"))</f>
        <v>OK</v>
      </c>
    </row>
    <row r="1388" customFormat="false" ht="18" hidden="false" customHeight="true" outlineLevel="0" collapsed="false">
      <c r="A1388" s="9" t="s">
        <v>26</v>
      </c>
      <c r="B1388" s="9" t="n">
        <v>23</v>
      </c>
      <c r="C1388" s="11" t="n">
        <v>45995</v>
      </c>
      <c r="D1388" s="9" t="s">
        <v>126</v>
      </c>
      <c r="E1388" s="12" t="n">
        <v>12</v>
      </c>
      <c r="F1388" s="9" t="s">
        <v>28</v>
      </c>
      <c r="G1388" s="13" t="n">
        <v>200</v>
      </c>
      <c r="H1388" s="9" t="s">
        <v>35</v>
      </c>
      <c r="I1388" s="13" t="n">
        <v>1</v>
      </c>
      <c r="J1388" s="1" t="str">
        <f aca="false">IF(A1388="","", "SAMP-"&amp;A1388&amp;"-L"&amp;TEXT(B1388,"00")&amp;"-"&amp;TEXT(C1388,"yyyymmdd")&amp;"-"&amp;D1388&amp;"-H"&amp;TEXT(E1388,"00")&amp;"-"&amp;H1388)</f>
        <v>SAMP-KG01-L23-20251204-ORD-2025-00237-H12-Stone</v>
      </c>
      <c r="K1388" s="1" t="str">
        <f aca="false">IF(A1388="","",IF(AND(G1388&gt;=0,I1388&gt;=0,I1388&lt;=G1388),"OK","CHECK"))</f>
        <v>OK</v>
      </c>
      <c r="L1388" s="1" t="str">
        <f aca="false">IF(A1388="","",IF(AND(E1388&gt;=0,E1388&lt;=23),"OK","CHECK"))</f>
        <v>OK</v>
      </c>
      <c r="M1388" s="1" t="str">
        <f aca="false">IF(A1388="","",IF(AND(K1388="OK",L1388="OK"),"OK","CHECK"))</f>
        <v>OK</v>
      </c>
    </row>
    <row r="1389" customFormat="false" ht="18" hidden="false" customHeight="true" outlineLevel="0" collapsed="false">
      <c r="A1389" s="9" t="s">
        <v>26</v>
      </c>
      <c r="B1389" s="9" t="n">
        <v>23</v>
      </c>
      <c r="C1389" s="11" t="n">
        <v>45995</v>
      </c>
      <c r="D1389" s="9" t="s">
        <v>126</v>
      </c>
      <c r="E1389" s="12" t="n">
        <v>9</v>
      </c>
      <c r="F1389" s="9" t="s">
        <v>28</v>
      </c>
      <c r="G1389" s="13" t="n">
        <v>150</v>
      </c>
      <c r="H1389" s="9" t="s">
        <v>41</v>
      </c>
      <c r="I1389" s="13" t="n">
        <v>2</v>
      </c>
      <c r="J1389" s="1" t="str">
        <f aca="false">IF(A1389="","", "SAMP-"&amp;A1389&amp;"-L"&amp;TEXT(B1389,"00")&amp;"-"&amp;TEXT(C1389,"yyyymmdd")&amp;"-"&amp;D1389&amp;"-H"&amp;TEXT(E1389,"00")&amp;"-"&amp;H1389)</f>
        <v>SAMP-KG01-L23-20251204-ORD-2025-00237-H09-Chip</v>
      </c>
      <c r="K1389" s="1" t="str">
        <f aca="false">IF(A1389="","",IF(AND(G1389&gt;=0,I1389&gt;=0,I1389&lt;=G1389),"OK","CHECK"))</f>
        <v>OK</v>
      </c>
      <c r="L1389" s="1" t="str">
        <f aca="false">IF(A1389="","",IF(AND(E1389&gt;=0,E1389&lt;=23),"OK","CHECK"))</f>
        <v>OK</v>
      </c>
      <c r="M1389" s="1" t="str">
        <f aca="false">IF(A1389="","",IF(AND(K1389="OK",L1389="OK"),"OK","CHECK"))</f>
        <v>OK</v>
      </c>
    </row>
    <row r="1390" customFormat="false" ht="18" hidden="false" customHeight="true" outlineLevel="0" collapsed="false">
      <c r="A1390" s="9" t="s">
        <v>26</v>
      </c>
      <c r="B1390" s="9" t="n">
        <v>23</v>
      </c>
      <c r="C1390" s="11" t="n">
        <v>45995</v>
      </c>
      <c r="D1390" s="9" t="s">
        <v>126</v>
      </c>
      <c r="E1390" s="12" t="n">
        <v>16</v>
      </c>
      <c r="F1390" s="9" t="s">
        <v>31</v>
      </c>
      <c r="G1390" s="13" t="n">
        <v>100</v>
      </c>
      <c r="H1390" s="9" t="s">
        <v>33</v>
      </c>
      <c r="I1390" s="13" t="n">
        <v>4</v>
      </c>
      <c r="J1390" s="1" t="str">
        <f aca="false">IF(A1390="","", "SAMP-"&amp;A1390&amp;"-L"&amp;TEXT(B1390,"00")&amp;"-"&amp;TEXT(C1390,"yyyymmdd")&amp;"-"&amp;D1390&amp;"-H"&amp;TEXT(E1390,"00")&amp;"-"&amp;H1390)</f>
        <v>SAMP-KG01-L23-20251204-ORD-2025-00237-H16-Distortion</v>
      </c>
      <c r="K1390" s="1" t="str">
        <f aca="false">IF(A1390="","",IF(AND(G1390&gt;=0,I1390&gt;=0,I1390&lt;=G1390),"OK","CHECK"))</f>
        <v>OK</v>
      </c>
      <c r="L1390" s="1" t="str">
        <f aca="false">IF(A1390="","",IF(AND(E1390&gt;=0,E1390&lt;=23),"OK","CHECK"))</f>
        <v>OK</v>
      </c>
      <c r="M1390" s="1" t="str">
        <f aca="false">IF(A1390="","",IF(AND(K1390="OK",L1390="OK"),"OK","CHECK"))</f>
        <v>OK</v>
      </c>
    </row>
    <row r="1391" customFormat="false" ht="18" hidden="false" customHeight="true" outlineLevel="0" collapsed="false">
      <c r="A1391" s="9" t="s">
        <v>26</v>
      </c>
      <c r="B1391" s="9" t="n">
        <v>23</v>
      </c>
      <c r="C1391" s="11" t="n">
        <v>45995</v>
      </c>
      <c r="D1391" s="9" t="s">
        <v>126</v>
      </c>
      <c r="E1391" s="12" t="n">
        <v>20</v>
      </c>
      <c r="F1391" s="9" t="s">
        <v>31</v>
      </c>
      <c r="G1391" s="13" t="n">
        <v>100</v>
      </c>
      <c r="H1391" s="9" t="s">
        <v>37</v>
      </c>
      <c r="I1391" s="13" t="n">
        <v>2</v>
      </c>
      <c r="J1391" s="1" t="str">
        <f aca="false">IF(A1391="","", "SAMP-"&amp;A1391&amp;"-L"&amp;TEXT(B1391,"00")&amp;"-"&amp;TEXT(C1391,"yyyymmdd")&amp;"-"&amp;D1391&amp;"-H"&amp;TEXT(E1391,"00")&amp;"-"&amp;H1391)</f>
        <v>SAMP-KG01-L23-20251204-ORD-2025-00237-H20-Bird Swing</v>
      </c>
      <c r="K1391" s="1" t="str">
        <f aca="false">IF(A1391="","",IF(AND(G1391&gt;=0,I1391&gt;=0,I1391&lt;=G1391),"OK","CHECK"))</f>
        <v>OK</v>
      </c>
      <c r="L1391" s="1" t="str">
        <f aca="false">IF(A1391="","",IF(AND(E1391&gt;=0,E1391&lt;=23),"OK","CHECK"))</f>
        <v>OK</v>
      </c>
      <c r="M1391" s="1" t="str">
        <f aca="false">IF(A1391="","",IF(AND(K1391="OK",L1391="OK"),"OK","CHECK"))</f>
        <v>OK</v>
      </c>
    </row>
    <row r="1392" customFormat="false" ht="18" hidden="false" customHeight="true" outlineLevel="0" collapsed="false">
      <c r="A1392" s="9" t="s">
        <v>26</v>
      </c>
      <c r="B1392" s="9" t="n">
        <v>23</v>
      </c>
      <c r="C1392" s="11" t="n">
        <v>45995</v>
      </c>
      <c r="D1392" s="9" t="s">
        <v>126</v>
      </c>
      <c r="E1392" s="12" t="n">
        <v>23</v>
      </c>
      <c r="F1392" s="9" t="s">
        <v>31</v>
      </c>
      <c r="G1392" s="13" t="n">
        <v>200</v>
      </c>
      <c r="H1392" s="9" t="s">
        <v>29</v>
      </c>
      <c r="I1392" s="13" t="n">
        <v>5</v>
      </c>
      <c r="J1392" s="1" t="str">
        <f aca="false">IF(A1392="","", "SAMP-"&amp;A1392&amp;"-L"&amp;TEXT(B1392,"00")&amp;"-"&amp;TEXT(C1392,"yyyymmdd")&amp;"-"&amp;D1392&amp;"-H"&amp;TEXT(E1392,"00")&amp;"-"&amp;H1392)</f>
        <v>SAMP-KG01-L23-20251204-ORD-2025-00237-H23-Choke Neck</v>
      </c>
      <c r="K1392" s="1" t="str">
        <f aca="false">IF(A1392="","",IF(AND(G1392&gt;=0,I1392&gt;=0,I1392&lt;=G1392),"OK","CHECK"))</f>
        <v>OK</v>
      </c>
      <c r="L1392" s="1" t="str">
        <f aca="false">IF(A1392="","",IF(AND(E1392&gt;=0,E1392&lt;=23),"OK","CHECK"))</f>
        <v>OK</v>
      </c>
      <c r="M1392" s="1" t="str">
        <f aca="false">IF(A1392="","",IF(AND(K1392="OK",L1392="OK"),"OK","CHECK"))</f>
        <v>OK</v>
      </c>
    </row>
    <row r="1393" customFormat="false" ht="18" hidden="false" customHeight="true" outlineLevel="0" collapsed="false">
      <c r="A1393" s="9" t="s">
        <v>26</v>
      </c>
      <c r="B1393" s="9" t="n">
        <v>23</v>
      </c>
      <c r="C1393" s="11" t="n">
        <v>45996</v>
      </c>
      <c r="D1393" s="9" t="s">
        <v>126</v>
      </c>
      <c r="E1393" s="12" t="n">
        <v>7</v>
      </c>
      <c r="F1393" s="9" t="s">
        <v>28</v>
      </c>
      <c r="G1393" s="13" t="n">
        <v>100</v>
      </c>
      <c r="H1393" s="9" t="s">
        <v>30</v>
      </c>
      <c r="I1393" s="13" t="n">
        <v>1</v>
      </c>
      <c r="J1393" s="1" t="str">
        <f aca="false">IF(A1393="","", "SAMP-"&amp;A1393&amp;"-L"&amp;TEXT(B1393,"00")&amp;"-"&amp;TEXT(C1393,"yyyymmdd")&amp;"-"&amp;D1393&amp;"-H"&amp;TEXT(E1393,"00")&amp;"-"&amp;H1393)</f>
        <v>SAMP-KG01-L23-20251205-ORD-2025-00237-H07-Overpress</v>
      </c>
      <c r="K1393" s="1" t="str">
        <f aca="false">IF(A1393="","",IF(AND(G1393&gt;=0,I1393&gt;=0,I1393&lt;=G1393),"OK","CHECK"))</f>
        <v>OK</v>
      </c>
      <c r="L1393" s="1" t="str">
        <f aca="false">IF(A1393="","",IF(AND(E1393&gt;=0,E1393&lt;=23),"OK","CHECK"))</f>
        <v>OK</v>
      </c>
      <c r="M1393" s="1" t="str">
        <f aca="false">IF(A1393="","",IF(AND(K1393="OK",L1393="OK"),"OK","CHECK"))</f>
        <v>OK</v>
      </c>
    </row>
    <row r="1394" customFormat="false" ht="18" hidden="false" customHeight="true" outlineLevel="0" collapsed="false">
      <c r="A1394" s="9" t="s">
        <v>26</v>
      </c>
      <c r="B1394" s="9" t="n">
        <v>23</v>
      </c>
      <c r="C1394" s="11" t="n">
        <v>45996</v>
      </c>
      <c r="D1394" s="9" t="s">
        <v>126</v>
      </c>
      <c r="E1394" s="12" t="n">
        <v>12</v>
      </c>
      <c r="F1394" s="9" t="s">
        <v>28</v>
      </c>
      <c r="G1394" s="13" t="n">
        <v>50</v>
      </c>
      <c r="H1394" s="9" t="s">
        <v>37</v>
      </c>
      <c r="I1394" s="13" t="n">
        <v>1</v>
      </c>
      <c r="J1394" s="1" t="str">
        <f aca="false">IF(A1394="","", "SAMP-"&amp;A1394&amp;"-L"&amp;TEXT(B1394,"00")&amp;"-"&amp;TEXT(C1394,"yyyymmdd")&amp;"-"&amp;D1394&amp;"-H"&amp;TEXT(E1394,"00")&amp;"-"&amp;H1394)</f>
        <v>SAMP-KG01-L23-20251205-ORD-2025-00237-H12-Bird Swing</v>
      </c>
      <c r="K1394" s="1" t="str">
        <f aca="false">IF(A1394="","",IF(AND(G1394&gt;=0,I1394&gt;=0,I1394&lt;=G1394),"OK","CHECK"))</f>
        <v>OK</v>
      </c>
      <c r="L1394" s="1" t="str">
        <f aca="false">IF(A1394="","",IF(AND(E1394&gt;=0,E1394&lt;=23),"OK","CHECK"))</f>
        <v>OK</v>
      </c>
      <c r="M1394" s="1" t="str">
        <f aca="false">IF(A1394="","",IF(AND(K1394="OK",L1394="OK"),"OK","CHECK"))</f>
        <v>OK</v>
      </c>
    </row>
    <row r="1395" customFormat="false" ht="18" hidden="false" customHeight="true" outlineLevel="0" collapsed="false">
      <c r="A1395" s="9" t="s">
        <v>26</v>
      </c>
      <c r="B1395" s="9" t="n">
        <v>23</v>
      </c>
      <c r="C1395" s="11" t="n">
        <v>45996</v>
      </c>
      <c r="D1395" s="9" t="s">
        <v>126</v>
      </c>
      <c r="E1395" s="12" t="n">
        <v>9</v>
      </c>
      <c r="F1395" s="9" t="s">
        <v>28</v>
      </c>
      <c r="G1395" s="13" t="n">
        <v>150</v>
      </c>
      <c r="H1395" s="9" t="s">
        <v>36</v>
      </c>
      <c r="I1395" s="13" t="n">
        <v>1</v>
      </c>
      <c r="J1395" s="1" t="str">
        <f aca="false">IF(A1395="","", "SAMP-"&amp;A1395&amp;"-L"&amp;TEXT(B1395,"00")&amp;"-"&amp;TEXT(C1395,"yyyymmdd")&amp;"-"&amp;D1395&amp;"-H"&amp;TEXT(E1395,"00")&amp;"-"&amp;H1395)</f>
        <v>SAMP-KG01-L23-20251205-ORD-2025-00237-H09-Blister</v>
      </c>
      <c r="K1395" s="1" t="str">
        <f aca="false">IF(A1395="","",IF(AND(G1395&gt;=0,I1395&gt;=0,I1395&lt;=G1395),"OK","CHECK"))</f>
        <v>OK</v>
      </c>
      <c r="L1395" s="1" t="str">
        <f aca="false">IF(A1395="","",IF(AND(E1395&gt;=0,E1395&lt;=23),"OK","CHECK"))</f>
        <v>OK</v>
      </c>
      <c r="M1395" s="1" t="str">
        <f aca="false">IF(A1395="","",IF(AND(K1395="OK",L1395="OK"),"OK","CHECK"))</f>
        <v>OK</v>
      </c>
    </row>
    <row r="1396" customFormat="false" ht="18" hidden="false" customHeight="true" outlineLevel="0" collapsed="false">
      <c r="A1396" s="9" t="s">
        <v>26</v>
      </c>
      <c r="B1396" s="9" t="n">
        <v>23</v>
      </c>
      <c r="C1396" s="11" t="n">
        <v>45996</v>
      </c>
      <c r="D1396" s="9" t="s">
        <v>126</v>
      </c>
      <c r="E1396" s="12" t="n">
        <v>20</v>
      </c>
      <c r="F1396" s="9" t="s">
        <v>31</v>
      </c>
      <c r="G1396" s="13" t="n">
        <v>100</v>
      </c>
      <c r="H1396" s="9" t="s">
        <v>41</v>
      </c>
      <c r="I1396" s="13" t="n">
        <v>3</v>
      </c>
      <c r="J1396" s="1" t="str">
        <f aca="false">IF(A1396="","", "SAMP-"&amp;A1396&amp;"-L"&amp;TEXT(B1396,"00")&amp;"-"&amp;TEXT(C1396,"yyyymmdd")&amp;"-"&amp;D1396&amp;"-H"&amp;TEXT(E1396,"00")&amp;"-"&amp;H1396)</f>
        <v>SAMP-KG01-L23-20251205-ORD-2025-00237-H20-Chip</v>
      </c>
      <c r="K1396" s="1" t="str">
        <f aca="false">IF(A1396="","",IF(AND(G1396&gt;=0,I1396&gt;=0,I1396&lt;=G1396),"OK","CHECK"))</f>
        <v>OK</v>
      </c>
      <c r="L1396" s="1" t="str">
        <f aca="false">IF(A1396="","",IF(AND(E1396&gt;=0,E1396&lt;=23),"OK","CHECK"))</f>
        <v>OK</v>
      </c>
      <c r="M1396" s="1" t="str">
        <f aca="false">IF(A1396="","",IF(AND(K1396="OK",L1396="OK"),"OK","CHECK"))</f>
        <v>OK</v>
      </c>
    </row>
    <row r="1397" customFormat="false" ht="18" hidden="false" customHeight="true" outlineLevel="0" collapsed="false">
      <c r="A1397" s="9" t="s">
        <v>26</v>
      </c>
      <c r="B1397" s="9" t="n">
        <v>23</v>
      </c>
      <c r="C1397" s="11" t="n">
        <v>45996</v>
      </c>
      <c r="D1397" s="9" t="s">
        <v>126</v>
      </c>
      <c r="E1397" s="12" t="n">
        <v>23</v>
      </c>
      <c r="F1397" s="9" t="s">
        <v>31</v>
      </c>
      <c r="G1397" s="13" t="n">
        <v>50</v>
      </c>
      <c r="H1397" s="9" t="s">
        <v>30</v>
      </c>
      <c r="I1397" s="13" t="n">
        <v>0</v>
      </c>
      <c r="J1397" s="1" t="str">
        <f aca="false">IF(A1397="","", "SAMP-"&amp;A1397&amp;"-L"&amp;TEXT(B1397,"00")&amp;"-"&amp;TEXT(C1397,"yyyymmdd")&amp;"-"&amp;D1397&amp;"-H"&amp;TEXT(E1397,"00")&amp;"-"&amp;H1397)</f>
        <v>SAMP-KG01-L23-20251205-ORD-2025-00237-H23-Overpress</v>
      </c>
      <c r="K1397" s="1" t="str">
        <f aca="false">IF(A1397="","",IF(AND(G1397&gt;=0,I1397&gt;=0,I1397&lt;=G1397),"OK","CHECK"))</f>
        <v>OK</v>
      </c>
      <c r="L1397" s="1" t="str">
        <f aca="false">IF(A1397="","",IF(AND(E1397&gt;=0,E1397&lt;=23),"OK","CHECK"))</f>
        <v>OK</v>
      </c>
      <c r="M1397" s="1" t="str">
        <f aca="false">IF(A1397="","",IF(AND(K1397="OK",L1397="OK"),"OK","CHECK"))</f>
        <v>OK</v>
      </c>
    </row>
    <row r="1398" customFormat="false" ht="18" hidden="false" customHeight="true" outlineLevel="0" collapsed="false">
      <c r="A1398" s="9" t="s">
        <v>26</v>
      </c>
      <c r="B1398" s="9" t="n">
        <v>23</v>
      </c>
      <c r="C1398" s="11" t="n">
        <v>45996</v>
      </c>
      <c r="D1398" s="9" t="s">
        <v>126</v>
      </c>
      <c r="E1398" s="12" t="n">
        <v>16</v>
      </c>
      <c r="F1398" s="9" t="s">
        <v>31</v>
      </c>
      <c r="G1398" s="13" t="n">
        <v>200</v>
      </c>
      <c r="H1398" s="9" t="s">
        <v>36</v>
      </c>
      <c r="I1398" s="13" t="n">
        <v>5</v>
      </c>
      <c r="J1398" s="1" t="str">
        <f aca="false">IF(A1398="","", "SAMP-"&amp;A1398&amp;"-L"&amp;TEXT(B1398,"00")&amp;"-"&amp;TEXT(C1398,"yyyymmdd")&amp;"-"&amp;D1398&amp;"-H"&amp;TEXT(E1398,"00")&amp;"-"&amp;H1398)</f>
        <v>SAMP-KG01-L23-20251205-ORD-2025-00237-H16-Blister</v>
      </c>
      <c r="K1398" s="1" t="str">
        <f aca="false">IF(A1398="","",IF(AND(G1398&gt;=0,I1398&gt;=0,I1398&lt;=G1398),"OK","CHECK"))</f>
        <v>OK</v>
      </c>
      <c r="L1398" s="1" t="str">
        <f aca="false">IF(A1398="","",IF(AND(E1398&gt;=0,E1398&lt;=23),"OK","CHECK"))</f>
        <v>OK</v>
      </c>
      <c r="M1398" s="1" t="str">
        <f aca="false">IF(A1398="","",IF(AND(K1398="OK",L1398="OK"),"OK","CHECK"))</f>
        <v>OK</v>
      </c>
    </row>
    <row r="1399" customFormat="false" ht="18" hidden="false" customHeight="true" outlineLevel="0" collapsed="false">
      <c r="A1399" s="9" t="s">
        <v>26</v>
      </c>
      <c r="B1399" s="9" t="n">
        <v>23</v>
      </c>
      <c r="C1399" s="11" t="n">
        <v>45997</v>
      </c>
      <c r="D1399" s="9" t="s">
        <v>126</v>
      </c>
      <c r="E1399" s="12" t="n">
        <v>9</v>
      </c>
      <c r="F1399" s="9" t="s">
        <v>28</v>
      </c>
      <c r="G1399" s="13" t="n">
        <v>50</v>
      </c>
      <c r="H1399" s="9" t="s">
        <v>34</v>
      </c>
      <c r="I1399" s="13" t="n">
        <v>1</v>
      </c>
      <c r="J1399" s="1" t="str">
        <f aca="false">IF(A1399="","", "SAMP-"&amp;A1399&amp;"-L"&amp;TEXT(B1399,"00")&amp;"-"&amp;TEXT(C1399,"yyyymmdd")&amp;"-"&amp;D1399&amp;"-H"&amp;TEXT(E1399,"00")&amp;"-"&amp;H1399)</f>
        <v>SAMP-KG01-L23-20251206-ORD-2025-00237-H09-Thin Wall</v>
      </c>
      <c r="K1399" s="1" t="str">
        <f aca="false">IF(A1399="","",IF(AND(G1399&gt;=0,I1399&gt;=0,I1399&lt;=G1399),"OK","CHECK"))</f>
        <v>OK</v>
      </c>
      <c r="L1399" s="1" t="str">
        <f aca="false">IF(A1399="","",IF(AND(E1399&gt;=0,E1399&lt;=23),"OK","CHECK"))</f>
        <v>OK</v>
      </c>
      <c r="M1399" s="1" t="str">
        <f aca="false">IF(A1399="","",IF(AND(K1399="OK",L1399="OK"),"OK","CHECK"))</f>
        <v>OK</v>
      </c>
    </row>
    <row r="1400" customFormat="false" ht="18" hidden="false" customHeight="true" outlineLevel="0" collapsed="false">
      <c r="A1400" s="9" t="s">
        <v>26</v>
      </c>
      <c r="B1400" s="9" t="n">
        <v>23</v>
      </c>
      <c r="C1400" s="11" t="n">
        <v>45997</v>
      </c>
      <c r="D1400" s="9" t="s">
        <v>126</v>
      </c>
      <c r="E1400" s="12" t="n">
        <v>7</v>
      </c>
      <c r="F1400" s="9" t="s">
        <v>28</v>
      </c>
      <c r="G1400" s="13" t="n">
        <v>100</v>
      </c>
      <c r="H1400" s="9" t="s">
        <v>35</v>
      </c>
      <c r="I1400" s="13" t="n">
        <v>3</v>
      </c>
      <c r="J1400" s="1" t="str">
        <f aca="false">IF(A1400="","", "SAMP-"&amp;A1400&amp;"-L"&amp;TEXT(B1400,"00")&amp;"-"&amp;TEXT(C1400,"yyyymmdd")&amp;"-"&amp;D1400&amp;"-H"&amp;TEXT(E1400,"00")&amp;"-"&amp;H1400)</f>
        <v>SAMP-KG01-L23-20251206-ORD-2025-00237-H07-Stone</v>
      </c>
      <c r="K1400" s="1" t="str">
        <f aca="false">IF(A1400="","",IF(AND(G1400&gt;=0,I1400&gt;=0,I1400&lt;=G1400),"OK","CHECK"))</f>
        <v>OK</v>
      </c>
      <c r="L1400" s="1" t="str">
        <f aca="false">IF(A1400="","",IF(AND(E1400&gt;=0,E1400&lt;=23),"OK","CHECK"))</f>
        <v>OK</v>
      </c>
      <c r="M1400" s="1" t="str">
        <f aca="false">IF(A1400="","",IF(AND(K1400="OK",L1400="OK"),"OK","CHECK"))</f>
        <v>OK</v>
      </c>
    </row>
    <row r="1401" customFormat="false" ht="18" hidden="false" customHeight="true" outlineLevel="0" collapsed="false">
      <c r="A1401" s="9" t="s">
        <v>26</v>
      </c>
      <c r="B1401" s="9" t="n">
        <v>23</v>
      </c>
      <c r="C1401" s="11" t="n">
        <v>45997</v>
      </c>
      <c r="D1401" s="9" t="s">
        <v>126</v>
      </c>
      <c r="E1401" s="12" t="n">
        <v>20</v>
      </c>
      <c r="F1401" s="9" t="s">
        <v>31</v>
      </c>
      <c r="G1401" s="13" t="n">
        <v>50</v>
      </c>
      <c r="H1401" s="9" t="s">
        <v>30</v>
      </c>
      <c r="I1401" s="13" t="n">
        <v>0</v>
      </c>
      <c r="J1401" s="1" t="str">
        <f aca="false">IF(A1401="","", "SAMP-"&amp;A1401&amp;"-L"&amp;TEXT(B1401,"00")&amp;"-"&amp;TEXT(C1401,"yyyymmdd")&amp;"-"&amp;D1401&amp;"-H"&amp;TEXT(E1401,"00")&amp;"-"&amp;H1401)</f>
        <v>SAMP-KG01-L23-20251206-ORD-2025-00237-H20-Overpress</v>
      </c>
      <c r="K1401" s="1" t="str">
        <f aca="false">IF(A1401="","",IF(AND(G1401&gt;=0,I1401&gt;=0,I1401&lt;=G1401),"OK","CHECK"))</f>
        <v>OK</v>
      </c>
      <c r="L1401" s="1" t="str">
        <f aca="false">IF(A1401="","",IF(AND(E1401&gt;=0,E1401&lt;=23),"OK","CHECK"))</f>
        <v>OK</v>
      </c>
      <c r="M1401" s="1" t="str">
        <f aca="false">IF(A1401="","",IF(AND(K1401="OK",L1401="OK"),"OK","CHECK"))</f>
        <v>OK</v>
      </c>
    </row>
    <row r="1402" customFormat="false" ht="18" hidden="false" customHeight="true" outlineLevel="0" collapsed="false">
      <c r="A1402" s="9" t="s">
        <v>26</v>
      </c>
      <c r="B1402" s="9" t="n">
        <v>23</v>
      </c>
      <c r="C1402" s="11" t="n">
        <v>45997</v>
      </c>
      <c r="D1402" s="9" t="s">
        <v>126</v>
      </c>
      <c r="E1402" s="12" t="n">
        <v>23</v>
      </c>
      <c r="F1402" s="9" t="s">
        <v>31</v>
      </c>
      <c r="G1402" s="13" t="n">
        <v>100</v>
      </c>
      <c r="H1402" s="9" t="s">
        <v>33</v>
      </c>
      <c r="I1402" s="13" t="n">
        <v>4</v>
      </c>
      <c r="J1402" s="1" t="str">
        <f aca="false">IF(A1402="","", "SAMP-"&amp;A1402&amp;"-L"&amp;TEXT(B1402,"00")&amp;"-"&amp;TEXT(C1402,"yyyymmdd")&amp;"-"&amp;D1402&amp;"-H"&amp;TEXT(E1402,"00")&amp;"-"&amp;H1402)</f>
        <v>SAMP-KG01-L23-20251206-ORD-2025-00237-H23-Distortion</v>
      </c>
      <c r="K1402" s="1" t="str">
        <f aca="false">IF(A1402="","",IF(AND(G1402&gt;=0,I1402&gt;=0,I1402&lt;=G1402),"OK","CHECK"))</f>
        <v>OK</v>
      </c>
      <c r="L1402" s="1" t="str">
        <f aca="false">IF(A1402="","",IF(AND(E1402&gt;=0,E1402&lt;=23),"OK","CHECK"))</f>
        <v>OK</v>
      </c>
      <c r="M1402" s="1" t="str">
        <f aca="false">IF(A1402="","",IF(AND(K1402="OK",L1402="OK"),"OK","CHECK"))</f>
        <v>OK</v>
      </c>
    </row>
    <row r="1403" customFormat="false" ht="18" hidden="false" customHeight="true" outlineLevel="0" collapsed="false">
      <c r="A1403" s="9" t="s">
        <v>26</v>
      </c>
      <c r="B1403" s="9" t="n">
        <v>23</v>
      </c>
      <c r="C1403" s="11" t="n">
        <v>45997</v>
      </c>
      <c r="D1403" s="9" t="s">
        <v>126</v>
      </c>
      <c r="E1403" s="12" t="n">
        <v>16</v>
      </c>
      <c r="F1403" s="9" t="s">
        <v>31</v>
      </c>
      <c r="G1403" s="13" t="n">
        <v>100</v>
      </c>
      <c r="H1403" s="9" t="s">
        <v>34</v>
      </c>
      <c r="I1403" s="13" t="n">
        <v>4</v>
      </c>
      <c r="J1403" s="1" t="str">
        <f aca="false">IF(A1403="","", "SAMP-"&amp;A1403&amp;"-L"&amp;TEXT(B1403,"00")&amp;"-"&amp;TEXT(C1403,"yyyymmdd")&amp;"-"&amp;D1403&amp;"-H"&amp;TEXT(E1403,"00")&amp;"-"&amp;H1403)</f>
        <v>SAMP-KG01-L23-20251206-ORD-2025-00237-H16-Thin Wall</v>
      </c>
      <c r="K1403" s="1" t="str">
        <f aca="false">IF(A1403="","",IF(AND(G1403&gt;=0,I1403&gt;=0,I1403&lt;=G1403),"OK","CHECK"))</f>
        <v>OK</v>
      </c>
      <c r="L1403" s="1" t="str">
        <f aca="false">IF(A1403="","",IF(AND(E1403&gt;=0,E1403&lt;=23),"OK","CHECK"))</f>
        <v>OK</v>
      </c>
      <c r="M1403" s="1" t="str">
        <f aca="false">IF(A1403="","",IF(AND(K1403="OK",L1403="OK"),"OK","CHECK"))</f>
        <v>OK</v>
      </c>
    </row>
    <row r="1404" customFormat="false" ht="18" hidden="false" customHeight="true" outlineLevel="0" collapsed="false">
      <c r="A1404" s="9" t="s">
        <v>26</v>
      </c>
      <c r="B1404" s="9" t="n">
        <v>23</v>
      </c>
      <c r="C1404" s="11" t="n">
        <v>45998</v>
      </c>
      <c r="D1404" s="9" t="s">
        <v>127</v>
      </c>
      <c r="E1404" s="12" t="n">
        <v>9</v>
      </c>
      <c r="F1404" s="9" t="s">
        <v>28</v>
      </c>
      <c r="G1404" s="13" t="n">
        <v>100</v>
      </c>
      <c r="H1404" s="9" t="s">
        <v>36</v>
      </c>
      <c r="I1404" s="13" t="n">
        <v>2</v>
      </c>
      <c r="J1404" s="1" t="str">
        <f aca="false">IF(A1404="","", "SAMP-"&amp;A1404&amp;"-L"&amp;TEXT(B1404,"00")&amp;"-"&amp;TEXT(C1404,"yyyymmdd")&amp;"-"&amp;D1404&amp;"-H"&amp;TEXT(E1404,"00")&amp;"-"&amp;H1404)</f>
        <v>SAMP-KG01-L23-20251207-ORD-2025-00238-H09-Blister</v>
      </c>
      <c r="K1404" s="1" t="str">
        <f aca="false">IF(A1404="","",IF(AND(G1404&gt;=0,I1404&gt;=0,I1404&lt;=G1404),"OK","CHECK"))</f>
        <v>OK</v>
      </c>
      <c r="L1404" s="1" t="str">
        <f aca="false">IF(A1404="","",IF(AND(E1404&gt;=0,E1404&lt;=23),"OK","CHECK"))</f>
        <v>OK</v>
      </c>
      <c r="M1404" s="1" t="str">
        <f aca="false">IF(A1404="","",IF(AND(K1404="OK",L1404="OK"),"OK","CHECK"))</f>
        <v>OK</v>
      </c>
    </row>
    <row r="1405" customFormat="false" ht="18" hidden="false" customHeight="true" outlineLevel="0" collapsed="false">
      <c r="A1405" s="9" t="s">
        <v>26</v>
      </c>
      <c r="B1405" s="9" t="n">
        <v>23</v>
      </c>
      <c r="C1405" s="11" t="n">
        <v>45998</v>
      </c>
      <c r="D1405" s="9" t="s">
        <v>127</v>
      </c>
      <c r="E1405" s="12" t="n">
        <v>7</v>
      </c>
      <c r="F1405" s="9" t="s">
        <v>28</v>
      </c>
      <c r="G1405" s="13" t="n">
        <v>50</v>
      </c>
      <c r="H1405" s="9" t="s">
        <v>38</v>
      </c>
      <c r="I1405" s="13" t="n">
        <v>2</v>
      </c>
      <c r="J1405" s="1" t="str">
        <f aca="false">IF(A1405="","", "SAMP-"&amp;A1405&amp;"-L"&amp;TEXT(B1405,"00")&amp;"-"&amp;TEXT(C1405,"yyyymmdd")&amp;"-"&amp;D1405&amp;"-H"&amp;TEXT(E1405,"00")&amp;"-"&amp;H1405)</f>
        <v>SAMP-KG01-L23-20251207-ORD-2025-00238-H07-Crack</v>
      </c>
      <c r="K1405" s="1" t="str">
        <f aca="false">IF(A1405="","",IF(AND(G1405&gt;=0,I1405&gt;=0,I1405&lt;=G1405),"OK","CHECK"))</f>
        <v>OK</v>
      </c>
      <c r="L1405" s="1" t="str">
        <f aca="false">IF(A1405="","",IF(AND(E1405&gt;=0,E1405&lt;=23),"OK","CHECK"))</f>
        <v>OK</v>
      </c>
      <c r="M1405" s="1" t="str">
        <f aca="false">IF(A1405="","",IF(AND(K1405="OK",L1405="OK"),"OK","CHECK"))</f>
        <v>OK</v>
      </c>
    </row>
    <row r="1406" customFormat="false" ht="18" hidden="false" customHeight="true" outlineLevel="0" collapsed="false">
      <c r="A1406" s="9" t="s">
        <v>26</v>
      </c>
      <c r="B1406" s="9" t="n">
        <v>23</v>
      </c>
      <c r="C1406" s="11" t="n">
        <v>45998</v>
      </c>
      <c r="D1406" s="9" t="s">
        <v>127</v>
      </c>
      <c r="E1406" s="12" t="n">
        <v>20</v>
      </c>
      <c r="F1406" s="9" t="s">
        <v>31</v>
      </c>
      <c r="G1406" s="13" t="n">
        <v>50</v>
      </c>
      <c r="H1406" s="9" t="s">
        <v>29</v>
      </c>
      <c r="I1406" s="13" t="n">
        <v>1</v>
      </c>
      <c r="J1406" s="1" t="str">
        <f aca="false">IF(A1406="","", "SAMP-"&amp;A1406&amp;"-L"&amp;TEXT(B1406,"00")&amp;"-"&amp;TEXT(C1406,"yyyymmdd")&amp;"-"&amp;D1406&amp;"-H"&amp;TEXT(E1406,"00")&amp;"-"&amp;H1406)</f>
        <v>SAMP-KG01-L23-20251207-ORD-2025-00238-H20-Choke Neck</v>
      </c>
      <c r="K1406" s="1" t="str">
        <f aca="false">IF(A1406="","",IF(AND(G1406&gt;=0,I1406&gt;=0,I1406&lt;=G1406),"OK","CHECK"))</f>
        <v>OK</v>
      </c>
      <c r="L1406" s="1" t="str">
        <f aca="false">IF(A1406="","",IF(AND(E1406&gt;=0,E1406&lt;=23),"OK","CHECK"))</f>
        <v>OK</v>
      </c>
      <c r="M1406" s="1" t="str">
        <f aca="false">IF(A1406="","",IF(AND(K1406="OK",L1406="OK"),"OK","CHECK"))</f>
        <v>OK</v>
      </c>
    </row>
    <row r="1407" customFormat="false" ht="18" hidden="false" customHeight="true" outlineLevel="0" collapsed="false">
      <c r="A1407" s="9" t="s">
        <v>26</v>
      </c>
      <c r="B1407" s="9" t="n">
        <v>23</v>
      </c>
      <c r="C1407" s="11" t="n">
        <v>45998</v>
      </c>
      <c r="D1407" s="9" t="s">
        <v>127</v>
      </c>
      <c r="E1407" s="12" t="n">
        <v>23</v>
      </c>
      <c r="F1407" s="9" t="s">
        <v>31</v>
      </c>
      <c r="G1407" s="13" t="n">
        <v>200</v>
      </c>
      <c r="H1407" s="9" t="s">
        <v>37</v>
      </c>
      <c r="I1407" s="13" t="n">
        <v>7</v>
      </c>
      <c r="J1407" s="1" t="str">
        <f aca="false">IF(A1407="","", "SAMP-"&amp;A1407&amp;"-L"&amp;TEXT(B1407,"00")&amp;"-"&amp;TEXT(C1407,"yyyymmdd")&amp;"-"&amp;D1407&amp;"-H"&amp;TEXT(E1407,"00")&amp;"-"&amp;H1407)</f>
        <v>SAMP-KG01-L23-20251207-ORD-2025-00238-H23-Bird Swing</v>
      </c>
      <c r="K1407" s="1" t="str">
        <f aca="false">IF(A1407="","",IF(AND(G1407&gt;=0,I1407&gt;=0,I1407&lt;=G1407),"OK","CHECK"))</f>
        <v>OK</v>
      </c>
      <c r="L1407" s="1" t="str">
        <f aca="false">IF(A1407="","",IF(AND(E1407&gt;=0,E1407&lt;=23),"OK","CHECK"))</f>
        <v>OK</v>
      </c>
      <c r="M1407" s="1" t="str">
        <f aca="false">IF(A1407="","",IF(AND(K1407="OK",L1407="OK"),"OK","CHECK"))</f>
        <v>OK</v>
      </c>
    </row>
    <row r="1408" customFormat="false" ht="18" hidden="false" customHeight="true" outlineLevel="0" collapsed="false">
      <c r="A1408" s="9" t="s">
        <v>26</v>
      </c>
      <c r="B1408" s="9" t="n">
        <v>23</v>
      </c>
      <c r="C1408" s="11" t="n">
        <v>45998</v>
      </c>
      <c r="D1408" s="9" t="s">
        <v>127</v>
      </c>
      <c r="E1408" s="12" t="n">
        <v>16</v>
      </c>
      <c r="F1408" s="9" t="s">
        <v>31</v>
      </c>
      <c r="G1408" s="13" t="n">
        <v>150</v>
      </c>
      <c r="H1408" s="9" t="s">
        <v>41</v>
      </c>
      <c r="I1408" s="13" t="n">
        <v>1</v>
      </c>
      <c r="J1408" s="1" t="str">
        <f aca="false">IF(A1408="","", "SAMP-"&amp;A1408&amp;"-L"&amp;TEXT(B1408,"00")&amp;"-"&amp;TEXT(C1408,"yyyymmdd")&amp;"-"&amp;D1408&amp;"-H"&amp;TEXT(E1408,"00")&amp;"-"&amp;H1408)</f>
        <v>SAMP-KG01-L23-20251207-ORD-2025-00238-H16-Chip</v>
      </c>
      <c r="K1408" s="1" t="str">
        <f aca="false">IF(A1408="","",IF(AND(G1408&gt;=0,I1408&gt;=0,I1408&lt;=G1408),"OK","CHECK"))</f>
        <v>OK</v>
      </c>
      <c r="L1408" s="1" t="str">
        <f aca="false">IF(A1408="","",IF(AND(E1408&gt;=0,E1408&lt;=23),"OK","CHECK"))</f>
        <v>OK</v>
      </c>
      <c r="M1408" s="1" t="str">
        <f aca="false">IF(A1408="","",IF(AND(K1408="OK",L1408="OK"),"OK","CHECK"))</f>
        <v>OK</v>
      </c>
    </row>
    <row r="1409" customFormat="false" ht="18" hidden="false" customHeight="true" outlineLevel="0" collapsed="false">
      <c r="A1409" s="9" t="s">
        <v>26</v>
      </c>
      <c r="B1409" s="9" t="n">
        <v>23</v>
      </c>
      <c r="C1409" s="11" t="n">
        <v>45999</v>
      </c>
      <c r="D1409" s="9" t="s">
        <v>127</v>
      </c>
      <c r="E1409" s="12" t="n">
        <v>9</v>
      </c>
      <c r="F1409" s="9" t="s">
        <v>28</v>
      </c>
      <c r="G1409" s="13" t="n">
        <v>50</v>
      </c>
      <c r="H1409" s="9" t="s">
        <v>29</v>
      </c>
      <c r="I1409" s="13" t="n">
        <v>0</v>
      </c>
      <c r="J1409" s="1" t="str">
        <f aca="false">IF(A1409="","", "SAMP-"&amp;A1409&amp;"-L"&amp;TEXT(B1409,"00")&amp;"-"&amp;TEXT(C1409,"yyyymmdd")&amp;"-"&amp;D1409&amp;"-H"&amp;TEXT(E1409,"00")&amp;"-"&amp;H1409)</f>
        <v>SAMP-KG01-L23-20251208-ORD-2025-00238-H09-Choke Neck</v>
      </c>
      <c r="K1409" s="1" t="str">
        <f aca="false">IF(A1409="","",IF(AND(G1409&gt;=0,I1409&gt;=0,I1409&lt;=G1409),"OK","CHECK"))</f>
        <v>OK</v>
      </c>
      <c r="L1409" s="1" t="str">
        <f aca="false">IF(A1409="","",IF(AND(E1409&gt;=0,E1409&lt;=23),"OK","CHECK"))</f>
        <v>OK</v>
      </c>
      <c r="M1409" s="1" t="str">
        <f aca="false">IF(A1409="","",IF(AND(K1409="OK",L1409="OK"),"OK","CHECK"))</f>
        <v>OK</v>
      </c>
    </row>
    <row r="1410" customFormat="false" ht="18" hidden="false" customHeight="true" outlineLevel="0" collapsed="false">
      <c r="A1410" s="9" t="s">
        <v>26</v>
      </c>
      <c r="B1410" s="9" t="n">
        <v>23</v>
      </c>
      <c r="C1410" s="11" t="n">
        <v>45999</v>
      </c>
      <c r="D1410" s="9" t="s">
        <v>127</v>
      </c>
      <c r="E1410" s="12" t="n">
        <v>12</v>
      </c>
      <c r="F1410" s="9" t="s">
        <v>28</v>
      </c>
      <c r="G1410" s="13" t="n">
        <v>50</v>
      </c>
      <c r="H1410" s="9" t="s">
        <v>34</v>
      </c>
      <c r="I1410" s="13" t="n">
        <v>1</v>
      </c>
      <c r="J1410" s="1" t="str">
        <f aca="false">IF(A1410="","", "SAMP-"&amp;A1410&amp;"-L"&amp;TEXT(B1410,"00")&amp;"-"&amp;TEXT(C1410,"yyyymmdd")&amp;"-"&amp;D1410&amp;"-H"&amp;TEXT(E1410,"00")&amp;"-"&amp;H1410)</f>
        <v>SAMP-KG01-L23-20251208-ORD-2025-00238-H12-Thin Wall</v>
      </c>
      <c r="K1410" s="1" t="str">
        <f aca="false">IF(A1410="","",IF(AND(G1410&gt;=0,I1410&gt;=0,I1410&lt;=G1410),"OK","CHECK"))</f>
        <v>OK</v>
      </c>
      <c r="L1410" s="1" t="str">
        <f aca="false">IF(A1410="","",IF(AND(E1410&gt;=0,E1410&lt;=23),"OK","CHECK"))</f>
        <v>OK</v>
      </c>
      <c r="M1410" s="1" t="str">
        <f aca="false">IF(A1410="","",IF(AND(K1410="OK",L1410="OK"),"OK","CHECK"))</f>
        <v>OK</v>
      </c>
    </row>
    <row r="1411" customFormat="false" ht="18" hidden="false" customHeight="true" outlineLevel="0" collapsed="false">
      <c r="A1411" s="9" t="s">
        <v>26</v>
      </c>
      <c r="B1411" s="9" t="n">
        <v>23</v>
      </c>
      <c r="C1411" s="11" t="n">
        <v>45999</v>
      </c>
      <c r="D1411" s="9" t="s">
        <v>127</v>
      </c>
      <c r="E1411" s="12" t="n">
        <v>7</v>
      </c>
      <c r="F1411" s="9" t="s">
        <v>28</v>
      </c>
      <c r="G1411" s="13" t="n">
        <v>50</v>
      </c>
      <c r="H1411" s="9" t="s">
        <v>37</v>
      </c>
      <c r="I1411" s="13" t="n">
        <v>0</v>
      </c>
      <c r="J1411" s="1" t="str">
        <f aca="false">IF(A1411="","", "SAMP-"&amp;A1411&amp;"-L"&amp;TEXT(B1411,"00")&amp;"-"&amp;TEXT(C1411,"yyyymmdd")&amp;"-"&amp;D1411&amp;"-H"&amp;TEXT(E1411,"00")&amp;"-"&amp;H1411)</f>
        <v>SAMP-KG01-L23-20251208-ORD-2025-00238-H07-Bird Swing</v>
      </c>
      <c r="K1411" s="1" t="str">
        <f aca="false">IF(A1411="","",IF(AND(G1411&gt;=0,I1411&gt;=0,I1411&lt;=G1411),"OK","CHECK"))</f>
        <v>OK</v>
      </c>
      <c r="L1411" s="1" t="str">
        <f aca="false">IF(A1411="","",IF(AND(E1411&gt;=0,E1411&lt;=23),"OK","CHECK"))</f>
        <v>OK</v>
      </c>
      <c r="M1411" s="1" t="str">
        <f aca="false">IF(A1411="","",IF(AND(K1411="OK",L1411="OK"),"OK","CHECK"))</f>
        <v>OK</v>
      </c>
    </row>
    <row r="1412" customFormat="false" ht="18" hidden="false" customHeight="true" outlineLevel="0" collapsed="false">
      <c r="A1412" s="9" t="s">
        <v>26</v>
      </c>
      <c r="B1412" s="9" t="n">
        <v>23</v>
      </c>
      <c r="C1412" s="11" t="n">
        <v>45999</v>
      </c>
      <c r="D1412" s="9" t="s">
        <v>127</v>
      </c>
      <c r="E1412" s="12" t="n">
        <v>20</v>
      </c>
      <c r="F1412" s="9" t="s">
        <v>31</v>
      </c>
      <c r="G1412" s="13" t="n">
        <v>50</v>
      </c>
      <c r="H1412" s="9" t="s">
        <v>29</v>
      </c>
      <c r="I1412" s="13" t="n">
        <v>0</v>
      </c>
      <c r="J1412" s="1" t="str">
        <f aca="false">IF(A1412="","", "SAMP-"&amp;A1412&amp;"-L"&amp;TEXT(B1412,"00")&amp;"-"&amp;TEXT(C1412,"yyyymmdd")&amp;"-"&amp;D1412&amp;"-H"&amp;TEXT(E1412,"00")&amp;"-"&amp;H1412)</f>
        <v>SAMP-KG01-L23-20251208-ORD-2025-00238-H20-Choke Neck</v>
      </c>
      <c r="K1412" s="1" t="str">
        <f aca="false">IF(A1412="","",IF(AND(G1412&gt;=0,I1412&gt;=0,I1412&lt;=G1412),"OK","CHECK"))</f>
        <v>OK</v>
      </c>
      <c r="L1412" s="1" t="str">
        <f aca="false">IF(A1412="","",IF(AND(E1412&gt;=0,E1412&lt;=23),"OK","CHECK"))</f>
        <v>OK</v>
      </c>
      <c r="M1412" s="1" t="str">
        <f aca="false">IF(A1412="","",IF(AND(K1412="OK",L1412="OK"),"OK","CHECK"))</f>
        <v>OK</v>
      </c>
    </row>
    <row r="1413" customFormat="false" ht="18" hidden="false" customHeight="true" outlineLevel="0" collapsed="false">
      <c r="A1413" s="9" t="s">
        <v>26</v>
      </c>
      <c r="B1413" s="9" t="n">
        <v>23</v>
      </c>
      <c r="C1413" s="11" t="n">
        <v>45999</v>
      </c>
      <c r="D1413" s="9" t="s">
        <v>127</v>
      </c>
      <c r="E1413" s="12" t="n">
        <v>23</v>
      </c>
      <c r="F1413" s="9" t="s">
        <v>31</v>
      </c>
      <c r="G1413" s="13" t="n">
        <v>200</v>
      </c>
      <c r="H1413" s="9" t="s">
        <v>36</v>
      </c>
      <c r="I1413" s="13" t="n">
        <v>3</v>
      </c>
      <c r="J1413" s="1" t="str">
        <f aca="false">IF(A1413="","", "SAMP-"&amp;A1413&amp;"-L"&amp;TEXT(B1413,"00")&amp;"-"&amp;TEXT(C1413,"yyyymmdd")&amp;"-"&amp;D1413&amp;"-H"&amp;TEXT(E1413,"00")&amp;"-"&amp;H1413)</f>
        <v>SAMP-KG01-L23-20251208-ORD-2025-00238-H23-Blister</v>
      </c>
      <c r="K1413" s="1" t="str">
        <f aca="false">IF(A1413="","",IF(AND(G1413&gt;=0,I1413&gt;=0,I1413&lt;=G1413),"OK","CHECK"))</f>
        <v>OK</v>
      </c>
      <c r="L1413" s="1" t="str">
        <f aca="false">IF(A1413="","",IF(AND(E1413&gt;=0,E1413&lt;=23),"OK","CHECK"))</f>
        <v>OK</v>
      </c>
      <c r="M1413" s="1" t="str">
        <f aca="false">IF(A1413="","",IF(AND(K1413="OK",L1413="OK"),"OK","CHECK"))</f>
        <v>OK</v>
      </c>
    </row>
    <row r="1414" customFormat="false" ht="18" hidden="false" customHeight="true" outlineLevel="0" collapsed="false">
      <c r="A1414" s="9" t="s">
        <v>26</v>
      </c>
      <c r="B1414" s="9" t="n">
        <v>23</v>
      </c>
      <c r="C1414" s="11" t="n">
        <v>46000</v>
      </c>
      <c r="D1414" s="9" t="s">
        <v>127</v>
      </c>
      <c r="E1414" s="12" t="n">
        <v>12</v>
      </c>
      <c r="F1414" s="9" t="s">
        <v>28</v>
      </c>
      <c r="G1414" s="13" t="n">
        <v>200</v>
      </c>
      <c r="H1414" s="9" t="s">
        <v>30</v>
      </c>
      <c r="I1414" s="13" t="n">
        <v>4</v>
      </c>
      <c r="J1414" s="1" t="str">
        <f aca="false">IF(A1414="","", "SAMP-"&amp;A1414&amp;"-L"&amp;TEXT(B1414,"00")&amp;"-"&amp;TEXT(C1414,"yyyymmdd")&amp;"-"&amp;D1414&amp;"-H"&amp;TEXT(E1414,"00")&amp;"-"&amp;H1414)</f>
        <v>SAMP-KG01-L23-20251209-ORD-2025-00238-H12-Overpress</v>
      </c>
      <c r="K1414" s="1" t="str">
        <f aca="false">IF(A1414="","",IF(AND(G1414&gt;=0,I1414&gt;=0,I1414&lt;=G1414),"OK","CHECK"))</f>
        <v>OK</v>
      </c>
      <c r="L1414" s="1" t="str">
        <f aca="false">IF(A1414="","",IF(AND(E1414&gt;=0,E1414&lt;=23),"OK","CHECK"))</f>
        <v>OK</v>
      </c>
      <c r="M1414" s="1" t="str">
        <f aca="false">IF(A1414="","",IF(AND(K1414="OK",L1414="OK"),"OK","CHECK"))</f>
        <v>OK</v>
      </c>
    </row>
    <row r="1415" customFormat="false" ht="18" hidden="false" customHeight="true" outlineLevel="0" collapsed="false">
      <c r="A1415" s="9" t="s">
        <v>26</v>
      </c>
      <c r="B1415" s="9" t="n">
        <v>23</v>
      </c>
      <c r="C1415" s="11" t="n">
        <v>46000</v>
      </c>
      <c r="D1415" s="9" t="s">
        <v>127</v>
      </c>
      <c r="E1415" s="12" t="n">
        <v>7</v>
      </c>
      <c r="F1415" s="9" t="s">
        <v>28</v>
      </c>
      <c r="G1415" s="13" t="n">
        <v>100</v>
      </c>
      <c r="H1415" s="9" t="s">
        <v>38</v>
      </c>
      <c r="I1415" s="13" t="n">
        <v>2</v>
      </c>
      <c r="J1415" s="1" t="str">
        <f aca="false">IF(A1415="","", "SAMP-"&amp;A1415&amp;"-L"&amp;TEXT(B1415,"00")&amp;"-"&amp;TEXT(C1415,"yyyymmdd")&amp;"-"&amp;D1415&amp;"-H"&amp;TEXT(E1415,"00")&amp;"-"&amp;H1415)</f>
        <v>SAMP-KG01-L23-20251209-ORD-2025-00238-H07-Crack</v>
      </c>
      <c r="K1415" s="1" t="str">
        <f aca="false">IF(A1415="","",IF(AND(G1415&gt;=0,I1415&gt;=0,I1415&lt;=G1415),"OK","CHECK"))</f>
        <v>OK</v>
      </c>
      <c r="L1415" s="1" t="str">
        <f aca="false">IF(A1415="","",IF(AND(E1415&gt;=0,E1415&lt;=23),"OK","CHECK"))</f>
        <v>OK</v>
      </c>
      <c r="M1415" s="1" t="str">
        <f aca="false">IF(A1415="","",IF(AND(K1415="OK",L1415="OK"),"OK","CHECK"))</f>
        <v>OK</v>
      </c>
    </row>
    <row r="1416" customFormat="false" ht="18" hidden="false" customHeight="true" outlineLevel="0" collapsed="false">
      <c r="A1416" s="9" t="s">
        <v>26</v>
      </c>
      <c r="B1416" s="9" t="n">
        <v>23</v>
      </c>
      <c r="C1416" s="11" t="n">
        <v>46000</v>
      </c>
      <c r="D1416" s="9" t="s">
        <v>127</v>
      </c>
      <c r="E1416" s="12" t="n">
        <v>9</v>
      </c>
      <c r="F1416" s="9" t="s">
        <v>28</v>
      </c>
      <c r="G1416" s="13" t="n">
        <v>200</v>
      </c>
      <c r="H1416" s="9" t="s">
        <v>30</v>
      </c>
      <c r="I1416" s="13" t="n">
        <v>6</v>
      </c>
      <c r="J1416" s="1" t="str">
        <f aca="false">IF(A1416="","", "SAMP-"&amp;A1416&amp;"-L"&amp;TEXT(B1416,"00")&amp;"-"&amp;TEXT(C1416,"yyyymmdd")&amp;"-"&amp;D1416&amp;"-H"&amp;TEXT(E1416,"00")&amp;"-"&amp;H1416)</f>
        <v>SAMP-KG01-L23-20251209-ORD-2025-00238-H09-Overpress</v>
      </c>
      <c r="K1416" s="1" t="str">
        <f aca="false">IF(A1416="","",IF(AND(G1416&gt;=0,I1416&gt;=0,I1416&lt;=G1416),"OK","CHECK"))</f>
        <v>OK</v>
      </c>
      <c r="L1416" s="1" t="str">
        <f aca="false">IF(A1416="","",IF(AND(E1416&gt;=0,E1416&lt;=23),"OK","CHECK"))</f>
        <v>OK</v>
      </c>
      <c r="M1416" s="1" t="str">
        <f aca="false">IF(A1416="","",IF(AND(K1416="OK",L1416="OK"),"OK","CHECK"))</f>
        <v>OK</v>
      </c>
    </row>
    <row r="1417" customFormat="false" ht="18" hidden="false" customHeight="true" outlineLevel="0" collapsed="false">
      <c r="A1417" s="9" t="s">
        <v>26</v>
      </c>
      <c r="B1417" s="9" t="n">
        <v>23</v>
      </c>
      <c r="C1417" s="11" t="n">
        <v>46000</v>
      </c>
      <c r="D1417" s="9" t="s">
        <v>127</v>
      </c>
      <c r="E1417" s="12" t="n">
        <v>23</v>
      </c>
      <c r="F1417" s="9" t="s">
        <v>31</v>
      </c>
      <c r="G1417" s="13" t="n">
        <v>50</v>
      </c>
      <c r="H1417" s="9" t="s">
        <v>38</v>
      </c>
      <c r="I1417" s="13" t="n">
        <v>1</v>
      </c>
      <c r="J1417" s="1" t="str">
        <f aca="false">IF(A1417="","", "SAMP-"&amp;A1417&amp;"-L"&amp;TEXT(B1417,"00")&amp;"-"&amp;TEXT(C1417,"yyyymmdd")&amp;"-"&amp;D1417&amp;"-H"&amp;TEXT(E1417,"00")&amp;"-"&amp;H1417)</f>
        <v>SAMP-KG01-L23-20251209-ORD-2025-00238-H23-Crack</v>
      </c>
      <c r="K1417" s="1" t="str">
        <f aca="false">IF(A1417="","",IF(AND(G1417&gt;=0,I1417&gt;=0,I1417&lt;=G1417),"OK","CHECK"))</f>
        <v>OK</v>
      </c>
      <c r="L1417" s="1" t="str">
        <f aca="false">IF(A1417="","",IF(AND(E1417&gt;=0,E1417&lt;=23),"OK","CHECK"))</f>
        <v>OK</v>
      </c>
      <c r="M1417" s="1" t="str">
        <f aca="false">IF(A1417="","",IF(AND(K1417="OK",L1417="OK"),"OK","CHECK"))</f>
        <v>OK</v>
      </c>
    </row>
    <row r="1418" customFormat="false" ht="18" hidden="false" customHeight="true" outlineLevel="0" collapsed="false">
      <c r="A1418" s="9" t="s">
        <v>26</v>
      </c>
      <c r="B1418" s="9" t="n">
        <v>23</v>
      </c>
      <c r="C1418" s="11" t="n">
        <v>46000</v>
      </c>
      <c r="D1418" s="9" t="s">
        <v>127</v>
      </c>
      <c r="E1418" s="12" t="n">
        <v>16</v>
      </c>
      <c r="F1418" s="9" t="s">
        <v>31</v>
      </c>
      <c r="G1418" s="13" t="n">
        <v>150</v>
      </c>
      <c r="H1418" s="9" t="s">
        <v>41</v>
      </c>
      <c r="I1418" s="13" t="n">
        <v>0</v>
      </c>
      <c r="J1418" s="1" t="str">
        <f aca="false">IF(A1418="","", "SAMP-"&amp;A1418&amp;"-L"&amp;TEXT(B1418,"00")&amp;"-"&amp;TEXT(C1418,"yyyymmdd")&amp;"-"&amp;D1418&amp;"-H"&amp;TEXT(E1418,"00")&amp;"-"&amp;H1418)</f>
        <v>SAMP-KG01-L23-20251209-ORD-2025-00238-H16-Chip</v>
      </c>
      <c r="K1418" s="1" t="str">
        <f aca="false">IF(A1418="","",IF(AND(G1418&gt;=0,I1418&gt;=0,I1418&lt;=G1418),"OK","CHECK"))</f>
        <v>OK</v>
      </c>
      <c r="L1418" s="1" t="str">
        <f aca="false">IF(A1418="","",IF(AND(E1418&gt;=0,E1418&lt;=23),"OK","CHECK"))</f>
        <v>OK</v>
      </c>
      <c r="M1418" s="1" t="str">
        <f aca="false">IF(A1418="","",IF(AND(K1418="OK",L1418="OK"),"OK","CHECK"))</f>
        <v>OK</v>
      </c>
    </row>
    <row r="1419" customFormat="false" ht="18" hidden="false" customHeight="true" outlineLevel="0" collapsed="false">
      <c r="A1419" s="9" t="s">
        <v>26</v>
      </c>
      <c r="B1419" s="9" t="n">
        <v>23</v>
      </c>
      <c r="C1419" s="11" t="n">
        <v>46000</v>
      </c>
      <c r="D1419" s="9" t="s">
        <v>127</v>
      </c>
      <c r="E1419" s="12" t="n">
        <v>20</v>
      </c>
      <c r="F1419" s="9" t="s">
        <v>31</v>
      </c>
      <c r="G1419" s="13" t="n">
        <v>50</v>
      </c>
      <c r="H1419" s="9" t="s">
        <v>36</v>
      </c>
      <c r="I1419" s="13" t="n">
        <v>1</v>
      </c>
      <c r="J1419" s="1" t="str">
        <f aca="false">IF(A1419="","", "SAMP-"&amp;A1419&amp;"-L"&amp;TEXT(B1419,"00")&amp;"-"&amp;TEXT(C1419,"yyyymmdd")&amp;"-"&amp;D1419&amp;"-H"&amp;TEXT(E1419,"00")&amp;"-"&amp;H1419)</f>
        <v>SAMP-KG01-L23-20251209-ORD-2025-00238-H20-Blister</v>
      </c>
      <c r="K1419" s="1" t="str">
        <f aca="false">IF(A1419="","",IF(AND(G1419&gt;=0,I1419&gt;=0,I1419&lt;=G1419),"OK","CHECK"))</f>
        <v>OK</v>
      </c>
      <c r="L1419" s="1" t="str">
        <f aca="false">IF(A1419="","",IF(AND(E1419&gt;=0,E1419&lt;=23),"OK","CHECK"))</f>
        <v>OK</v>
      </c>
      <c r="M1419" s="1" t="str">
        <f aca="false">IF(A1419="","",IF(AND(K1419="OK",L1419="OK"),"OK","CHECK"))</f>
        <v>OK</v>
      </c>
    </row>
    <row r="1420" customFormat="false" ht="18" hidden="false" customHeight="true" outlineLevel="0" collapsed="false">
      <c r="A1420" s="9" t="s">
        <v>26</v>
      </c>
      <c r="B1420" s="9" t="n">
        <v>23</v>
      </c>
      <c r="C1420" s="11" t="n">
        <v>46001</v>
      </c>
      <c r="D1420" s="9" t="s">
        <v>128</v>
      </c>
      <c r="E1420" s="12" t="n">
        <v>12</v>
      </c>
      <c r="F1420" s="9" t="s">
        <v>28</v>
      </c>
      <c r="G1420" s="13" t="n">
        <v>50</v>
      </c>
      <c r="H1420" s="9" t="s">
        <v>34</v>
      </c>
      <c r="I1420" s="13" t="n">
        <v>2</v>
      </c>
      <c r="J1420" s="1" t="str">
        <f aca="false">IF(A1420="","", "SAMP-"&amp;A1420&amp;"-L"&amp;TEXT(B1420,"00")&amp;"-"&amp;TEXT(C1420,"yyyymmdd")&amp;"-"&amp;D1420&amp;"-H"&amp;TEXT(E1420,"00")&amp;"-"&amp;H1420)</f>
        <v>SAMP-KG01-L23-20251210-ORD-2025-00239-H12-Thin Wall</v>
      </c>
      <c r="K1420" s="1" t="str">
        <f aca="false">IF(A1420="","",IF(AND(G1420&gt;=0,I1420&gt;=0,I1420&lt;=G1420),"OK","CHECK"))</f>
        <v>OK</v>
      </c>
      <c r="L1420" s="1" t="str">
        <f aca="false">IF(A1420="","",IF(AND(E1420&gt;=0,E1420&lt;=23),"OK","CHECK"))</f>
        <v>OK</v>
      </c>
      <c r="M1420" s="1" t="str">
        <f aca="false">IF(A1420="","",IF(AND(K1420="OK",L1420="OK"),"OK","CHECK"))</f>
        <v>OK</v>
      </c>
    </row>
    <row r="1421" customFormat="false" ht="18" hidden="false" customHeight="true" outlineLevel="0" collapsed="false">
      <c r="A1421" s="9" t="s">
        <v>26</v>
      </c>
      <c r="B1421" s="9" t="n">
        <v>23</v>
      </c>
      <c r="C1421" s="11" t="n">
        <v>46001</v>
      </c>
      <c r="D1421" s="9" t="s">
        <v>128</v>
      </c>
      <c r="E1421" s="12" t="n">
        <v>7</v>
      </c>
      <c r="F1421" s="9" t="s">
        <v>28</v>
      </c>
      <c r="G1421" s="13" t="n">
        <v>50</v>
      </c>
      <c r="H1421" s="9" t="s">
        <v>41</v>
      </c>
      <c r="I1421" s="13" t="n">
        <v>1</v>
      </c>
      <c r="J1421" s="1" t="str">
        <f aca="false">IF(A1421="","", "SAMP-"&amp;A1421&amp;"-L"&amp;TEXT(B1421,"00")&amp;"-"&amp;TEXT(C1421,"yyyymmdd")&amp;"-"&amp;D1421&amp;"-H"&amp;TEXT(E1421,"00")&amp;"-"&amp;H1421)</f>
        <v>SAMP-KG01-L23-20251210-ORD-2025-00239-H07-Chip</v>
      </c>
      <c r="K1421" s="1" t="str">
        <f aca="false">IF(A1421="","",IF(AND(G1421&gt;=0,I1421&gt;=0,I1421&lt;=G1421),"OK","CHECK"))</f>
        <v>OK</v>
      </c>
      <c r="L1421" s="1" t="str">
        <f aca="false">IF(A1421="","",IF(AND(E1421&gt;=0,E1421&lt;=23),"OK","CHECK"))</f>
        <v>OK</v>
      </c>
      <c r="M1421" s="1" t="str">
        <f aca="false">IF(A1421="","",IF(AND(K1421="OK",L1421="OK"),"OK","CHECK"))</f>
        <v>OK</v>
      </c>
    </row>
    <row r="1422" customFormat="false" ht="18" hidden="false" customHeight="true" outlineLevel="0" collapsed="false">
      <c r="A1422" s="9" t="s">
        <v>26</v>
      </c>
      <c r="B1422" s="9" t="n">
        <v>23</v>
      </c>
      <c r="C1422" s="11" t="n">
        <v>46001</v>
      </c>
      <c r="D1422" s="9" t="s">
        <v>128</v>
      </c>
      <c r="E1422" s="12" t="n">
        <v>9</v>
      </c>
      <c r="F1422" s="9" t="s">
        <v>28</v>
      </c>
      <c r="G1422" s="13" t="n">
        <v>50</v>
      </c>
      <c r="H1422" s="9" t="s">
        <v>34</v>
      </c>
      <c r="I1422" s="13" t="n">
        <v>1</v>
      </c>
      <c r="J1422" s="1" t="str">
        <f aca="false">IF(A1422="","", "SAMP-"&amp;A1422&amp;"-L"&amp;TEXT(B1422,"00")&amp;"-"&amp;TEXT(C1422,"yyyymmdd")&amp;"-"&amp;D1422&amp;"-H"&amp;TEXT(E1422,"00")&amp;"-"&amp;H1422)</f>
        <v>SAMP-KG01-L23-20251210-ORD-2025-00239-H09-Thin Wall</v>
      </c>
      <c r="K1422" s="1" t="str">
        <f aca="false">IF(A1422="","",IF(AND(G1422&gt;=0,I1422&gt;=0,I1422&lt;=G1422),"OK","CHECK"))</f>
        <v>OK</v>
      </c>
      <c r="L1422" s="1" t="str">
        <f aca="false">IF(A1422="","",IF(AND(E1422&gt;=0,E1422&lt;=23),"OK","CHECK"))</f>
        <v>OK</v>
      </c>
      <c r="M1422" s="1" t="str">
        <f aca="false">IF(A1422="","",IF(AND(K1422="OK",L1422="OK"),"OK","CHECK"))</f>
        <v>OK</v>
      </c>
    </row>
    <row r="1423" customFormat="false" ht="18" hidden="false" customHeight="true" outlineLevel="0" collapsed="false">
      <c r="A1423" s="9" t="s">
        <v>26</v>
      </c>
      <c r="B1423" s="9" t="n">
        <v>23</v>
      </c>
      <c r="C1423" s="11" t="n">
        <v>46001</v>
      </c>
      <c r="D1423" s="9" t="s">
        <v>128</v>
      </c>
      <c r="E1423" s="12" t="n">
        <v>23</v>
      </c>
      <c r="F1423" s="9" t="s">
        <v>31</v>
      </c>
      <c r="G1423" s="13" t="n">
        <v>100</v>
      </c>
      <c r="H1423" s="9" t="s">
        <v>33</v>
      </c>
      <c r="I1423" s="13" t="n">
        <v>1</v>
      </c>
      <c r="J1423" s="1" t="str">
        <f aca="false">IF(A1423="","", "SAMP-"&amp;A1423&amp;"-L"&amp;TEXT(B1423,"00")&amp;"-"&amp;TEXT(C1423,"yyyymmdd")&amp;"-"&amp;D1423&amp;"-H"&amp;TEXT(E1423,"00")&amp;"-"&amp;H1423)</f>
        <v>SAMP-KG01-L23-20251210-ORD-2025-00239-H23-Distortion</v>
      </c>
      <c r="K1423" s="1" t="str">
        <f aca="false">IF(A1423="","",IF(AND(G1423&gt;=0,I1423&gt;=0,I1423&lt;=G1423),"OK","CHECK"))</f>
        <v>OK</v>
      </c>
      <c r="L1423" s="1" t="str">
        <f aca="false">IF(A1423="","",IF(AND(E1423&gt;=0,E1423&lt;=23),"OK","CHECK"))</f>
        <v>OK</v>
      </c>
      <c r="M1423" s="1" t="str">
        <f aca="false">IF(A1423="","",IF(AND(K1423="OK",L1423="OK"),"OK","CHECK"))</f>
        <v>OK</v>
      </c>
    </row>
    <row r="1424" customFormat="false" ht="18" hidden="false" customHeight="true" outlineLevel="0" collapsed="false">
      <c r="A1424" s="9" t="s">
        <v>26</v>
      </c>
      <c r="B1424" s="9" t="n">
        <v>23</v>
      </c>
      <c r="C1424" s="11" t="n">
        <v>46001</v>
      </c>
      <c r="D1424" s="9" t="s">
        <v>128</v>
      </c>
      <c r="E1424" s="12" t="n">
        <v>16</v>
      </c>
      <c r="F1424" s="9" t="s">
        <v>31</v>
      </c>
      <c r="G1424" s="13" t="n">
        <v>150</v>
      </c>
      <c r="H1424" s="9" t="s">
        <v>29</v>
      </c>
      <c r="I1424" s="13" t="n">
        <v>1</v>
      </c>
      <c r="J1424" s="1" t="str">
        <f aca="false">IF(A1424="","", "SAMP-"&amp;A1424&amp;"-L"&amp;TEXT(B1424,"00")&amp;"-"&amp;TEXT(C1424,"yyyymmdd")&amp;"-"&amp;D1424&amp;"-H"&amp;TEXT(E1424,"00")&amp;"-"&amp;H1424)</f>
        <v>SAMP-KG01-L23-20251210-ORD-2025-00239-H16-Choke Neck</v>
      </c>
      <c r="K1424" s="1" t="str">
        <f aca="false">IF(A1424="","",IF(AND(G1424&gt;=0,I1424&gt;=0,I1424&lt;=G1424),"OK","CHECK"))</f>
        <v>OK</v>
      </c>
      <c r="L1424" s="1" t="str">
        <f aca="false">IF(A1424="","",IF(AND(E1424&gt;=0,E1424&lt;=23),"OK","CHECK"))</f>
        <v>OK</v>
      </c>
      <c r="M1424" s="1" t="str">
        <f aca="false">IF(A1424="","",IF(AND(K1424="OK",L1424="OK"),"OK","CHECK"))</f>
        <v>OK</v>
      </c>
    </row>
    <row r="1425" customFormat="false" ht="18" hidden="false" customHeight="true" outlineLevel="0" collapsed="false">
      <c r="A1425" s="9" t="s">
        <v>26</v>
      </c>
      <c r="B1425" s="9" t="n">
        <v>23</v>
      </c>
      <c r="C1425" s="11" t="n">
        <v>46001</v>
      </c>
      <c r="D1425" s="9" t="s">
        <v>128</v>
      </c>
      <c r="E1425" s="12" t="n">
        <v>20</v>
      </c>
      <c r="F1425" s="9" t="s">
        <v>31</v>
      </c>
      <c r="G1425" s="13" t="n">
        <v>150</v>
      </c>
      <c r="H1425" s="9" t="s">
        <v>34</v>
      </c>
      <c r="I1425" s="13" t="n">
        <v>0</v>
      </c>
      <c r="J1425" s="1" t="str">
        <f aca="false">IF(A1425="","", "SAMP-"&amp;A1425&amp;"-L"&amp;TEXT(B1425,"00")&amp;"-"&amp;TEXT(C1425,"yyyymmdd")&amp;"-"&amp;D1425&amp;"-H"&amp;TEXT(E1425,"00")&amp;"-"&amp;H1425)</f>
        <v>SAMP-KG01-L23-20251210-ORD-2025-00239-H20-Thin Wall</v>
      </c>
      <c r="K1425" s="1" t="str">
        <f aca="false">IF(A1425="","",IF(AND(G1425&gt;=0,I1425&gt;=0,I1425&lt;=G1425),"OK","CHECK"))</f>
        <v>OK</v>
      </c>
      <c r="L1425" s="1" t="str">
        <f aca="false">IF(A1425="","",IF(AND(E1425&gt;=0,E1425&lt;=23),"OK","CHECK"))</f>
        <v>OK</v>
      </c>
      <c r="M1425" s="1" t="str">
        <f aca="false">IF(A1425="","",IF(AND(K1425="OK",L1425="OK"),"OK","CHECK"))</f>
        <v>OK</v>
      </c>
    </row>
    <row r="1426" customFormat="false" ht="18" hidden="false" customHeight="true" outlineLevel="0" collapsed="false">
      <c r="A1426" s="9" t="s">
        <v>26</v>
      </c>
      <c r="B1426" s="9" t="n">
        <v>23</v>
      </c>
      <c r="C1426" s="11" t="n">
        <v>46002</v>
      </c>
      <c r="D1426" s="9" t="s">
        <v>128</v>
      </c>
      <c r="E1426" s="12" t="n">
        <v>7</v>
      </c>
      <c r="F1426" s="9" t="s">
        <v>28</v>
      </c>
      <c r="G1426" s="13" t="n">
        <v>50</v>
      </c>
      <c r="H1426" s="9" t="s">
        <v>30</v>
      </c>
      <c r="I1426" s="13" t="n">
        <v>0</v>
      </c>
      <c r="J1426" s="1" t="str">
        <f aca="false">IF(A1426="","", "SAMP-"&amp;A1426&amp;"-L"&amp;TEXT(B1426,"00")&amp;"-"&amp;TEXT(C1426,"yyyymmdd")&amp;"-"&amp;D1426&amp;"-H"&amp;TEXT(E1426,"00")&amp;"-"&amp;H1426)</f>
        <v>SAMP-KG01-L23-20251211-ORD-2025-00239-H07-Overpress</v>
      </c>
      <c r="K1426" s="1" t="str">
        <f aca="false">IF(A1426="","",IF(AND(G1426&gt;=0,I1426&gt;=0,I1426&lt;=G1426),"OK","CHECK"))</f>
        <v>OK</v>
      </c>
      <c r="L1426" s="1" t="str">
        <f aca="false">IF(A1426="","",IF(AND(E1426&gt;=0,E1426&lt;=23),"OK","CHECK"))</f>
        <v>OK</v>
      </c>
      <c r="M1426" s="1" t="str">
        <f aca="false">IF(A1426="","",IF(AND(K1426="OK",L1426="OK"),"OK","CHECK"))</f>
        <v>OK</v>
      </c>
    </row>
    <row r="1427" customFormat="false" ht="18" hidden="false" customHeight="true" outlineLevel="0" collapsed="false">
      <c r="A1427" s="9" t="s">
        <v>26</v>
      </c>
      <c r="B1427" s="9" t="n">
        <v>23</v>
      </c>
      <c r="C1427" s="11" t="n">
        <v>46002</v>
      </c>
      <c r="D1427" s="9" t="s">
        <v>128</v>
      </c>
      <c r="E1427" s="12" t="n">
        <v>9</v>
      </c>
      <c r="F1427" s="9" t="s">
        <v>28</v>
      </c>
      <c r="G1427" s="13" t="n">
        <v>200</v>
      </c>
      <c r="H1427" s="9" t="s">
        <v>29</v>
      </c>
      <c r="I1427" s="13" t="n">
        <v>4</v>
      </c>
      <c r="J1427" s="1" t="str">
        <f aca="false">IF(A1427="","", "SAMP-"&amp;A1427&amp;"-L"&amp;TEXT(B1427,"00")&amp;"-"&amp;TEXT(C1427,"yyyymmdd")&amp;"-"&amp;D1427&amp;"-H"&amp;TEXT(E1427,"00")&amp;"-"&amp;H1427)</f>
        <v>SAMP-KG01-L23-20251211-ORD-2025-00239-H09-Choke Neck</v>
      </c>
      <c r="K1427" s="1" t="str">
        <f aca="false">IF(A1427="","",IF(AND(G1427&gt;=0,I1427&gt;=0,I1427&lt;=G1427),"OK","CHECK"))</f>
        <v>OK</v>
      </c>
      <c r="L1427" s="1" t="str">
        <f aca="false">IF(A1427="","",IF(AND(E1427&gt;=0,E1427&lt;=23),"OK","CHECK"))</f>
        <v>OK</v>
      </c>
      <c r="M1427" s="1" t="str">
        <f aca="false">IF(A1427="","",IF(AND(K1427="OK",L1427="OK"),"OK","CHECK"))</f>
        <v>OK</v>
      </c>
    </row>
    <row r="1428" customFormat="false" ht="18" hidden="false" customHeight="true" outlineLevel="0" collapsed="false">
      <c r="A1428" s="9" t="s">
        <v>26</v>
      </c>
      <c r="B1428" s="9" t="n">
        <v>23</v>
      </c>
      <c r="C1428" s="11" t="n">
        <v>46002</v>
      </c>
      <c r="D1428" s="9" t="s">
        <v>128</v>
      </c>
      <c r="E1428" s="12" t="n">
        <v>16</v>
      </c>
      <c r="F1428" s="9" t="s">
        <v>31</v>
      </c>
      <c r="G1428" s="13" t="n">
        <v>200</v>
      </c>
      <c r="H1428" s="9" t="s">
        <v>38</v>
      </c>
      <c r="I1428" s="13" t="n">
        <v>5</v>
      </c>
      <c r="J1428" s="1" t="str">
        <f aca="false">IF(A1428="","", "SAMP-"&amp;A1428&amp;"-L"&amp;TEXT(B1428,"00")&amp;"-"&amp;TEXT(C1428,"yyyymmdd")&amp;"-"&amp;D1428&amp;"-H"&amp;TEXT(E1428,"00")&amp;"-"&amp;H1428)</f>
        <v>SAMP-KG01-L23-20251211-ORD-2025-00239-H16-Crack</v>
      </c>
      <c r="K1428" s="1" t="str">
        <f aca="false">IF(A1428="","",IF(AND(G1428&gt;=0,I1428&gt;=0,I1428&lt;=G1428),"OK","CHECK"))</f>
        <v>OK</v>
      </c>
      <c r="L1428" s="1" t="str">
        <f aca="false">IF(A1428="","",IF(AND(E1428&gt;=0,E1428&lt;=23),"OK","CHECK"))</f>
        <v>OK</v>
      </c>
      <c r="M1428" s="1" t="str">
        <f aca="false">IF(A1428="","",IF(AND(K1428="OK",L1428="OK"),"OK","CHECK"))</f>
        <v>OK</v>
      </c>
    </row>
    <row r="1429" customFormat="false" ht="18" hidden="false" customHeight="true" outlineLevel="0" collapsed="false">
      <c r="A1429" s="9" t="s">
        <v>26</v>
      </c>
      <c r="B1429" s="9" t="n">
        <v>23</v>
      </c>
      <c r="C1429" s="11" t="n">
        <v>46002</v>
      </c>
      <c r="D1429" s="9" t="s">
        <v>128</v>
      </c>
      <c r="E1429" s="12" t="n">
        <v>20</v>
      </c>
      <c r="F1429" s="9" t="s">
        <v>31</v>
      </c>
      <c r="G1429" s="13" t="n">
        <v>50</v>
      </c>
      <c r="H1429" s="9" t="s">
        <v>36</v>
      </c>
      <c r="I1429" s="13" t="n">
        <v>0</v>
      </c>
      <c r="J1429" s="1" t="str">
        <f aca="false">IF(A1429="","", "SAMP-"&amp;A1429&amp;"-L"&amp;TEXT(B1429,"00")&amp;"-"&amp;TEXT(C1429,"yyyymmdd")&amp;"-"&amp;D1429&amp;"-H"&amp;TEXT(E1429,"00")&amp;"-"&amp;H1429)</f>
        <v>SAMP-KG01-L23-20251211-ORD-2025-00239-H20-Blister</v>
      </c>
      <c r="K1429" s="1" t="str">
        <f aca="false">IF(A1429="","",IF(AND(G1429&gt;=0,I1429&gt;=0,I1429&lt;=G1429),"OK","CHECK"))</f>
        <v>OK</v>
      </c>
      <c r="L1429" s="1" t="str">
        <f aca="false">IF(A1429="","",IF(AND(E1429&gt;=0,E1429&lt;=23),"OK","CHECK"))</f>
        <v>OK</v>
      </c>
      <c r="M1429" s="1" t="str">
        <f aca="false">IF(A1429="","",IF(AND(K1429="OK",L1429="OK"),"OK","CHECK"))</f>
        <v>OK</v>
      </c>
    </row>
    <row r="1430" customFormat="false" ht="18" hidden="false" customHeight="true" outlineLevel="0" collapsed="false">
      <c r="A1430" s="9" t="s">
        <v>26</v>
      </c>
      <c r="B1430" s="9" t="n">
        <v>23</v>
      </c>
      <c r="C1430" s="11" t="n">
        <v>46002</v>
      </c>
      <c r="D1430" s="9" t="s">
        <v>128</v>
      </c>
      <c r="E1430" s="12" t="n">
        <v>23</v>
      </c>
      <c r="F1430" s="9" t="s">
        <v>31</v>
      </c>
      <c r="G1430" s="13" t="n">
        <v>100</v>
      </c>
      <c r="H1430" s="9" t="s">
        <v>41</v>
      </c>
      <c r="I1430" s="13" t="n">
        <v>1</v>
      </c>
      <c r="J1430" s="1" t="str">
        <f aca="false">IF(A1430="","", "SAMP-"&amp;A1430&amp;"-L"&amp;TEXT(B1430,"00")&amp;"-"&amp;TEXT(C1430,"yyyymmdd")&amp;"-"&amp;D1430&amp;"-H"&amp;TEXT(E1430,"00")&amp;"-"&amp;H1430)</f>
        <v>SAMP-KG01-L23-20251211-ORD-2025-00239-H23-Chip</v>
      </c>
      <c r="K1430" s="1" t="str">
        <f aca="false">IF(A1430="","",IF(AND(G1430&gt;=0,I1430&gt;=0,I1430&lt;=G1430),"OK","CHECK"))</f>
        <v>OK</v>
      </c>
      <c r="L1430" s="1" t="str">
        <f aca="false">IF(A1430="","",IF(AND(E1430&gt;=0,E1430&lt;=23),"OK","CHECK"))</f>
        <v>OK</v>
      </c>
      <c r="M1430" s="1" t="str">
        <f aca="false">IF(A1430="","",IF(AND(K1430="OK",L1430="OK"),"OK","CHECK"))</f>
        <v>OK</v>
      </c>
    </row>
    <row r="1431" customFormat="false" ht="18" hidden="false" customHeight="true" outlineLevel="0" collapsed="false">
      <c r="A1431" s="9" t="s">
        <v>26</v>
      </c>
      <c r="B1431" s="9" t="n">
        <v>23</v>
      </c>
      <c r="C1431" s="11" t="n">
        <v>46003</v>
      </c>
      <c r="D1431" s="9" t="s">
        <v>128</v>
      </c>
      <c r="E1431" s="12" t="n">
        <v>12</v>
      </c>
      <c r="F1431" s="9" t="s">
        <v>28</v>
      </c>
      <c r="G1431" s="13" t="n">
        <v>200</v>
      </c>
      <c r="H1431" s="9" t="s">
        <v>38</v>
      </c>
      <c r="I1431" s="13" t="n">
        <v>6</v>
      </c>
      <c r="J1431" s="1" t="str">
        <f aca="false">IF(A1431="","", "SAMP-"&amp;A1431&amp;"-L"&amp;TEXT(B1431,"00")&amp;"-"&amp;TEXT(C1431,"yyyymmdd")&amp;"-"&amp;D1431&amp;"-H"&amp;TEXT(E1431,"00")&amp;"-"&amp;H1431)</f>
        <v>SAMP-KG01-L23-20251212-ORD-2025-00239-H12-Crack</v>
      </c>
      <c r="K1431" s="1" t="str">
        <f aca="false">IF(A1431="","",IF(AND(G1431&gt;=0,I1431&gt;=0,I1431&lt;=G1431),"OK","CHECK"))</f>
        <v>OK</v>
      </c>
      <c r="L1431" s="1" t="str">
        <f aca="false">IF(A1431="","",IF(AND(E1431&gt;=0,E1431&lt;=23),"OK","CHECK"))</f>
        <v>OK</v>
      </c>
      <c r="M1431" s="1" t="str">
        <f aca="false">IF(A1431="","",IF(AND(K1431="OK",L1431="OK"),"OK","CHECK"))</f>
        <v>OK</v>
      </c>
    </row>
    <row r="1432" customFormat="false" ht="18" hidden="false" customHeight="true" outlineLevel="0" collapsed="false">
      <c r="A1432" s="9" t="s">
        <v>26</v>
      </c>
      <c r="B1432" s="9" t="n">
        <v>23</v>
      </c>
      <c r="C1432" s="11" t="n">
        <v>46003</v>
      </c>
      <c r="D1432" s="9" t="s">
        <v>128</v>
      </c>
      <c r="E1432" s="12" t="n">
        <v>9</v>
      </c>
      <c r="F1432" s="9" t="s">
        <v>28</v>
      </c>
      <c r="G1432" s="13" t="n">
        <v>150</v>
      </c>
      <c r="H1432" s="9" t="s">
        <v>36</v>
      </c>
      <c r="I1432" s="13" t="n">
        <v>1</v>
      </c>
      <c r="J1432" s="1" t="str">
        <f aca="false">IF(A1432="","", "SAMP-"&amp;A1432&amp;"-L"&amp;TEXT(B1432,"00")&amp;"-"&amp;TEXT(C1432,"yyyymmdd")&amp;"-"&amp;D1432&amp;"-H"&amp;TEXT(E1432,"00")&amp;"-"&amp;H1432)</f>
        <v>SAMP-KG01-L23-20251212-ORD-2025-00239-H09-Blister</v>
      </c>
      <c r="K1432" s="1" t="str">
        <f aca="false">IF(A1432="","",IF(AND(G1432&gt;=0,I1432&gt;=0,I1432&lt;=G1432),"OK","CHECK"))</f>
        <v>OK</v>
      </c>
      <c r="L1432" s="1" t="str">
        <f aca="false">IF(A1432="","",IF(AND(E1432&gt;=0,E1432&lt;=23),"OK","CHECK"))</f>
        <v>OK</v>
      </c>
      <c r="M1432" s="1" t="str">
        <f aca="false">IF(A1432="","",IF(AND(K1432="OK",L1432="OK"),"OK","CHECK"))</f>
        <v>OK</v>
      </c>
    </row>
    <row r="1433" customFormat="false" ht="18" hidden="false" customHeight="true" outlineLevel="0" collapsed="false">
      <c r="A1433" s="9" t="s">
        <v>26</v>
      </c>
      <c r="B1433" s="9" t="n">
        <v>23</v>
      </c>
      <c r="C1433" s="11" t="n">
        <v>46003</v>
      </c>
      <c r="D1433" s="9" t="s">
        <v>128</v>
      </c>
      <c r="E1433" s="12" t="n">
        <v>23</v>
      </c>
      <c r="F1433" s="9" t="s">
        <v>31</v>
      </c>
      <c r="G1433" s="13" t="n">
        <v>150</v>
      </c>
      <c r="H1433" s="9" t="s">
        <v>38</v>
      </c>
      <c r="I1433" s="13" t="n">
        <v>1</v>
      </c>
      <c r="J1433" s="1" t="str">
        <f aca="false">IF(A1433="","", "SAMP-"&amp;A1433&amp;"-L"&amp;TEXT(B1433,"00")&amp;"-"&amp;TEXT(C1433,"yyyymmdd")&amp;"-"&amp;D1433&amp;"-H"&amp;TEXT(E1433,"00")&amp;"-"&amp;H1433)</f>
        <v>SAMP-KG01-L23-20251212-ORD-2025-00239-H23-Crack</v>
      </c>
      <c r="K1433" s="1" t="str">
        <f aca="false">IF(A1433="","",IF(AND(G1433&gt;=0,I1433&gt;=0,I1433&lt;=G1433),"OK","CHECK"))</f>
        <v>OK</v>
      </c>
      <c r="L1433" s="1" t="str">
        <f aca="false">IF(A1433="","",IF(AND(E1433&gt;=0,E1433&lt;=23),"OK","CHECK"))</f>
        <v>OK</v>
      </c>
      <c r="M1433" s="1" t="str">
        <f aca="false">IF(A1433="","",IF(AND(K1433="OK",L1433="OK"),"OK","CHECK"))</f>
        <v>OK</v>
      </c>
    </row>
    <row r="1434" customFormat="false" ht="18" hidden="false" customHeight="true" outlineLevel="0" collapsed="false">
      <c r="A1434" s="9" t="s">
        <v>26</v>
      </c>
      <c r="B1434" s="9" t="n">
        <v>23</v>
      </c>
      <c r="C1434" s="11" t="n">
        <v>46003</v>
      </c>
      <c r="D1434" s="9" t="s">
        <v>128</v>
      </c>
      <c r="E1434" s="12" t="n">
        <v>20</v>
      </c>
      <c r="F1434" s="9" t="s">
        <v>31</v>
      </c>
      <c r="G1434" s="13" t="n">
        <v>150</v>
      </c>
      <c r="H1434" s="9" t="s">
        <v>37</v>
      </c>
      <c r="I1434" s="13" t="n">
        <v>6</v>
      </c>
      <c r="J1434" s="1" t="str">
        <f aca="false">IF(A1434="","", "SAMP-"&amp;A1434&amp;"-L"&amp;TEXT(B1434,"00")&amp;"-"&amp;TEXT(C1434,"yyyymmdd")&amp;"-"&amp;D1434&amp;"-H"&amp;TEXT(E1434,"00")&amp;"-"&amp;H1434)</f>
        <v>SAMP-KG01-L23-20251212-ORD-2025-00239-H20-Bird Swing</v>
      </c>
      <c r="K1434" s="1" t="str">
        <f aca="false">IF(A1434="","",IF(AND(G1434&gt;=0,I1434&gt;=0,I1434&lt;=G1434),"OK","CHECK"))</f>
        <v>OK</v>
      </c>
      <c r="L1434" s="1" t="str">
        <f aca="false">IF(A1434="","",IF(AND(E1434&gt;=0,E1434&lt;=23),"OK","CHECK"))</f>
        <v>OK</v>
      </c>
      <c r="M1434" s="1" t="str">
        <f aca="false">IF(A1434="","",IF(AND(K1434="OK",L1434="OK"),"OK","CHECK"))</f>
        <v>OK</v>
      </c>
    </row>
    <row r="1435" customFormat="false" ht="18" hidden="false" customHeight="true" outlineLevel="0" collapsed="false">
      <c r="A1435" s="9" t="s">
        <v>26</v>
      </c>
      <c r="B1435" s="9" t="n">
        <v>23</v>
      </c>
      <c r="C1435" s="11" t="n">
        <v>46003</v>
      </c>
      <c r="D1435" s="9" t="s">
        <v>128</v>
      </c>
      <c r="E1435" s="12" t="n">
        <v>16</v>
      </c>
      <c r="F1435" s="9" t="s">
        <v>31</v>
      </c>
      <c r="G1435" s="13" t="n">
        <v>50</v>
      </c>
      <c r="H1435" s="9" t="s">
        <v>41</v>
      </c>
      <c r="I1435" s="13" t="n">
        <v>1</v>
      </c>
      <c r="J1435" s="1" t="str">
        <f aca="false">IF(A1435="","", "SAMP-"&amp;A1435&amp;"-L"&amp;TEXT(B1435,"00")&amp;"-"&amp;TEXT(C1435,"yyyymmdd")&amp;"-"&amp;D1435&amp;"-H"&amp;TEXT(E1435,"00")&amp;"-"&amp;H1435)</f>
        <v>SAMP-KG01-L23-20251212-ORD-2025-00239-H16-Chip</v>
      </c>
      <c r="K1435" s="1" t="str">
        <f aca="false">IF(A1435="","",IF(AND(G1435&gt;=0,I1435&gt;=0,I1435&lt;=G1435),"OK","CHECK"))</f>
        <v>OK</v>
      </c>
      <c r="L1435" s="1" t="str">
        <f aca="false">IF(A1435="","",IF(AND(E1435&gt;=0,E1435&lt;=23),"OK","CHECK"))</f>
        <v>OK</v>
      </c>
      <c r="M1435" s="1" t="str">
        <f aca="false">IF(A1435="","",IF(AND(K1435="OK",L1435="OK"),"OK","CHECK"))</f>
        <v>OK</v>
      </c>
    </row>
    <row r="1436" customFormat="false" ht="18" hidden="false" customHeight="true" outlineLevel="0" collapsed="false">
      <c r="A1436" s="9" t="s">
        <v>26</v>
      </c>
      <c r="B1436" s="9" t="n">
        <v>23</v>
      </c>
      <c r="C1436" s="11" t="n">
        <v>46004</v>
      </c>
      <c r="D1436" s="9" t="s">
        <v>128</v>
      </c>
      <c r="E1436" s="12" t="n">
        <v>7</v>
      </c>
      <c r="F1436" s="9" t="s">
        <v>28</v>
      </c>
      <c r="G1436" s="13" t="n">
        <v>50</v>
      </c>
      <c r="H1436" s="9" t="s">
        <v>41</v>
      </c>
      <c r="I1436" s="13" t="n">
        <v>1</v>
      </c>
      <c r="J1436" s="1" t="str">
        <f aca="false">IF(A1436="","", "SAMP-"&amp;A1436&amp;"-L"&amp;TEXT(B1436,"00")&amp;"-"&amp;TEXT(C1436,"yyyymmdd")&amp;"-"&amp;D1436&amp;"-H"&amp;TEXT(E1436,"00")&amp;"-"&amp;H1436)</f>
        <v>SAMP-KG01-L23-20251213-ORD-2025-00239-H07-Chip</v>
      </c>
      <c r="K1436" s="1" t="str">
        <f aca="false">IF(A1436="","",IF(AND(G1436&gt;=0,I1436&gt;=0,I1436&lt;=G1436),"OK","CHECK"))</f>
        <v>OK</v>
      </c>
      <c r="L1436" s="1" t="str">
        <f aca="false">IF(A1436="","",IF(AND(E1436&gt;=0,E1436&lt;=23),"OK","CHECK"))</f>
        <v>OK</v>
      </c>
      <c r="M1436" s="1" t="str">
        <f aca="false">IF(A1436="","",IF(AND(K1436="OK",L1436="OK"),"OK","CHECK"))</f>
        <v>OK</v>
      </c>
    </row>
    <row r="1437" customFormat="false" ht="18" hidden="false" customHeight="true" outlineLevel="0" collapsed="false">
      <c r="A1437" s="9" t="s">
        <v>26</v>
      </c>
      <c r="B1437" s="9" t="n">
        <v>23</v>
      </c>
      <c r="C1437" s="11" t="n">
        <v>46004</v>
      </c>
      <c r="D1437" s="9" t="s">
        <v>128</v>
      </c>
      <c r="E1437" s="12" t="n">
        <v>9</v>
      </c>
      <c r="F1437" s="9" t="s">
        <v>28</v>
      </c>
      <c r="G1437" s="13" t="n">
        <v>150</v>
      </c>
      <c r="H1437" s="9" t="s">
        <v>38</v>
      </c>
      <c r="I1437" s="13" t="n">
        <v>0</v>
      </c>
      <c r="J1437" s="1" t="str">
        <f aca="false">IF(A1437="","", "SAMP-"&amp;A1437&amp;"-L"&amp;TEXT(B1437,"00")&amp;"-"&amp;TEXT(C1437,"yyyymmdd")&amp;"-"&amp;D1437&amp;"-H"&amp;TEXT(E1437,"00")&amp;"-"&amp;H1437)</f>
        <v>SAMP-KG01-L23-20251213-ORD-2025-00239-H09-Crack</v>
      </c>
      <c r="K1437" s="1" t="str">
        <f aca="false">IF(A1437="","",IF(AND(G1437&gt;=0,I1437&gt;=0,I1437&lt;=G1437),"OK","CHECK"))</f>
        <v>OK</v>
      </c>
      <c r="L1437" s="1" t="str">
        <f aca="false">IF(A1437="","",IF(AND(E1437&gt;=0,E1437&lt;=23),"OK","CHECK"))</f>
        <v>OK</v>
      </c>
      <c r="M1437" s="1" t="str">
        <f aca="false">IF(A1437="","",IF(AND(K1437="OK",L1437="OK"),"OK","CHECK"))</f>
        <v>OK</v>
      </c>
    </row>
    <row r="1438" customFormat="false" ht="18" hidden="false" customHeight="true" outlineLevel="0" collapsed="false">
      <c r="A1438" s="9" t="s">
        <v>26</v>
      </c>
      <c r="B1438" s="9" t="n">
        <v>23</v>
      </c>
      <c r="C1438" s="11" t="n">
        <v>46004</v>
      </c>
      <c r="D1438" s="9" t="s">
        <v>128</v>
      </c>
      <c r="E1438" s="12" t="n">
        <v>12</v>
      </c>
      <c r="F1438" s="9" t="s">
        <v>28</v>
      </c>
      <c r="G1438" s="13" t="n">
        <v>100</v>
      </c>
      <c r="H1438" s="9" t="s">
        <v>30</v>
      </c>
      <c r="I1438" s="13" t="n">
        <v>0</v>
      </c>
      <c r="J1438" s="1" t="str">
        <f aca="false">IF(A1438="","", "SAMP-"&amp;A1438&amp;"-L"&amp;TEXT(B1438,"00")&amp;"-"&amp;TEXT(C1438,"yyyymmdd")&amp;"-"&amp;D1438&amp;"-H"&amp;TEXT(E1438,"00")&amp;"-"&amp;H1438)</f>
        <v>SAMP-KG01-L23-20251213-ORD-2025-00239-H12-Overpress</v>
      </c>
      <c r="K1438" s="1" t="str">
        <f aca="false">IF(A1438="","",IF(AND(G1438&gt;=0,I1438&gt;=0,I1438&lt;=G1438),"OK","CHECK"))</f>
        <v>OK</v>
      </c>
      <c r="L1438" s="1" t="str">
        <f aca="false">IF(A1438="","",IF(AND(E1438&gt;=0,E1438&lt;=23),"OK","CHECK"))</f>
        <v>OK</v>
      </c>
      <c r="M1438" s="1" t="str">
        <f aca="false">IF(A1438="","",IF(AND(K1438="OK",L1438="OK"),"OK","CHECK"))</f>
        <v>OK</v>
      </c>
    </row>
    <row r="1439" customFormat="false" ht="18" hidden="false" customHeight="true" outlineLevel="0" collapsed="false">
      <c r="A1439" s="9" t="s">
        <v>26</v>
      </c>
      <c r="B1439" s="9" t="n">
        <v>23</v>
      </c>
      <c r="C1439" s="11" t="n">
        <v>46004</v>
      </c>
      <c r="D1439" s="9" t="s">
        <v>128</v>
      </c>
      <c r="E1439" s="12" t="n">
        <v>23</v>
      </c>
      <c r="F1439" s="9" t="s">
        <v>31</v>
      </c>
      <c r="G1439" s="13" t="n">
        <v>50</v>
      </c>
      <c r="H1439" s="9" t="s">
        <v>34</v>
      </c>
      <c r="I1439" s="13" t="n">
        <v>1</v>
      </c>
      <c r="J1439" s="1" t="str">
        <f aca="false">IF(A1439="","", "SAMP-"&amp;A1439&amp;"-L"&amp;TEXT(B1439,"00")&amp;"-"&amp;TEXT(C1439,"yyyymmdd")&amp;"-"&amp;D1439&amp;"-H"&amp;TEXT(E1439,"00")&amp;"-"&amp;H1439)</f>
        <v>SAMP-KG01-L23-20251213-ORD-2025-00239-H23-Thin Wall</v>
      </c>
      <c r="K1439" s="1" t="str">
        <f aca="false">IF(A1439="","",IF(AND(G1439&gt;=0,I1439&gt;=0,I1439&lt;=G1439),"OK","CHECK"))</f>
        <v>OK</v>
      </c>
      <c r="L1439" s="1" t="str">
        <f aca="false">IF(A1439="","",IF(AND(E1439&gt;=0,E1439&lt;=23),"OK","CHECK"))</f>
        <v>OK</v>
      </c>
      <c r="M1439" s="1" t="str">
        <f aca="false">IF(A1439="","",IF(AND(K1439="OK",L1439="OK"),"OK","CHECK"))</f>
        <v>OK</v>
      </c>
    </row>
    <row r="1440" customFormat="false" ht="18" hidden="false" customHeight="true" outlineLevel="0" collapsed="false">
      <c r="A1440" s="9" t="s">
        <v>26</v>
      </c>
      <c r="B1440" s="9" t="n">
        <v>23</v>
      </c>
      <c r="C1440" s="11" t="n">
        <v>46004</v>
      </c>
      <c r="D1440" s="9" t="s">
        <v>128</v>
      </c>
      <c r="E1440" s="12" t="n">
        <v>20</v>
      </c>
      <c r="F1440" s="9" t="s">
        <v>31</v>
      </c>
      <c r="G1440" s="13" t="n">
        <v>200</v>
      </c>
      <c r="H1440" s="9" t="s">
        <v>34</v>
      </c>
      <c r="I1440" s="13" t="n">
        <v>0</v>
      </c>
      <c r="J1440" s="1" t="str">
        <f aca="false">IF(A1440="","", "SAMP-"&amp;A1440&amp;"-L"&amp;TEXT(B1440,"00")&amp;"-"&amp;TEXT(C1440,"yyyymmdd")&amp;"-"&amp;D1440&amp;"-H"&amp;TEXT(E1440,"00")&amp;"-"&amp;H1440)</f>
        <v>SAMP-KG01-L23-20251213-ORD-2025-00239-H20-Thin Wall</v>
      </c>
      <c r="K1440" s="1" t="str">
        <f aca="false">IF(A1440="","",IF(AND(G1440&gt;=0,I1440&gt;=0,I1440&lt;=G1440),"OK","CHECK"))</f>
        <v>OK</v>
      </c>
      <c r="L1440" s="1" t="str">
        <f aca="false">IF(A1440="","",IF(AND(E1440&gt;=0,E1440&lt;=23),"OK","CHECK"))</f>
        <v>OK</v>
      </c>
      <c r="M1440" s="1" t="str">
        <f aca="false">IF(A1440="","",IF(AND(K1440="OK",L1440="OK"),"OK","CHECK"))</f>
        <v>OK</v>
      </c>
    </row>
    <row r="1441" customFormat="false" ht="18" hidden="false" customHeight="true" outlineLevel="0" collapsed="false">
      <c r="A1441" s="9" t="s">
        <v>26</v>
      </c>
      <c r="B1441" s="9" t="n">
        <v>23</v>
      </c>
      <c r="C1441" s="11" t="n">
        <v>46004</v>
      </c>
      <c r="D1441" s="9" t="s">
        <v>128</v>
      </c>
      <c r="E1441" s="12" t="n">
        <v>16</v>
      </c>
      <c r="F1441" s="9" t="s">
        <v>31</v>
      </c>
      <c r="G1441" s="13" t="n">
        <v>100</v>
      </c>
      <c r="H1441" s="9" t="s">
        <v>33</v>
      </c>
      <c r="I1441" s="13" t="n">
        <v>1</v>
      </c>
      <c r="J1441" s="1" t="str">
        <f aca="false">IF(A1441="","", "SAMP-"&amp;A1441&amp;"-L"&amp;TEXT(B1441,"00")&amp;"-"&amp;TEXT(C1441,"yyyymmdd")&amp;"-"&amp;D1441&amp;"-H"&amp;TEXT(E1441,"00")&amp;"-"&amp;H1441)</f>
        <v>SAMP-KG01-L23-20251213-ORD-2025-00239-H16-Distortion</v>
      </c>
      <c r="K1441" s="1" t="str">
        <f aca="false">IF(A1441="","",IF(AND(G1441&gt;=0,I1441&gt;=0,I1441&lt;=G1441),"OK","CHECK"))</f>
        <v>OK</v>
      </c>
      <c r="L1441" s="1" t="str">
        <f aca="false">IF(A1441="","",IF(AND(E1441&gt;=0,E1441&lt;=23),"OK","CHECK"))</f>
        <v>OK</v>
      </c>
      <c r="M1441" s="1" t="str">
        <f aca="false">IF(A1441="","",IF(AND(K1441="OK",L1441="OK"),"OK","CHECK"))</f>
        <v>OK</v>
      </c>
    </row>
    <row r="1442" customFormat="false" ht="18" hidden="false" customHeight="true" outlineLevel="0" collapsed="false">
      <c r="A1442" s="9" t="s">
        <v>26</v>
      </c>
      <c r="B1442" s="9" t="n">
        <v>23</v>
      </c>
      <c r="C1442" s="11" t="n">
        <v>46005</v>
      </c>
      <c r="D1442" s="9" t="s">
        <v>128</v>
      </c>
      <c r="E1442" s="12" t="n">
        <v>12</v>
      </c>
      <c r="F1442" s="9" t="s">
        <v>28</v>
      </c>
      <c r="G1442" s="13" t="n">
        <v>200</v>
      </c>
      <c r="H1442" s="9" t="s">
        <v>29</v>
      </c>
      <c r="I1442" s="13" t="n">
        <v>3</v>
      </c>
      <c r="J1442" s="1" t="str">
        <f aca="false">IF(A1442="","", "SAMP-"&amp;A1442&amp;"-L"&amp;TEXT(B1442,"00")&amp;"-"&amp;TEXT(C1442,"yyyymmdd")&amp;"-"&amp;D1442&amp;"-H"&amp;TEXT(E1442,"00")&amp;"-"&amp;H1442)</f>
        <v>SAMP-KG01-L23-20251214-ORD-2025-00239-H12-Choke Neck</v>
      </c>
      <c r="K1442" s="1" t="str">
        <f aca="false">IF(A1442="","",IF(AND(G1442&gt;=0,I1442&gt;=0,I1442&lt;=G1442),"OK","CHECK"))</f>
        <v>OK</v>
      </c>
      <c r="L1442" s="1" t="str">
        <f aca="false">IF(A1442="","",IF(AND(E1442&gt;=0,E1442&lt;=23),"OK","CHECK"))</f>
        <v>OK</v>
      </c>
      <c r="M1442" s="1" t="str">
        <f aca="false">IF(A1442="","",IF(AND(K1442="OK",L1442="OK"),"OK","CHECK"))</f>
        <v>OK</v>
      </c>
    </row>
    <row r="1443" customFormat="false" ht="18" hidden="false" customHeight="true" outlineLevel="0" collapsed="false">
      <c r="A1443" s="9" t="s">
        <v>26</v>
      </c>
      <c r="B1443" s="9" t="n">
        <v>23</v>
      </c>
      <c r="C1443" s="11" t="n">
        <v>46005</v>
      </c>
      <c r="D1443" s="9" t="s">
        <v>128</v>
      </c>
      <c r="E1443" s="12" t="n">
        <v>9</v>
      </c>
      <c r="F1443" s="9" t="s">
        <v>28</v>
      </c>
      <c r="G1443" s="13" t="n">
        <v>200</v>
      </c>
      <c r="H1443" s="9" t="s">
        <v>35</v>
      </c>
      <c r="I1443" s="13" t="n">
        <v>7</v>
      </c>
      <c r="J1443" s="1" t="str">
        <f aca="false">IF(A1443="","", "SAMP-"&amp;A1443&amp;"-L"&amp;TEXT(B1443,"00")&amp;"-"&amp;TEXT(C1443,"yyyymmdd")&amp;"-"&amp;D1443&amp;"-H"&amp;TEXT(E1443,"00")&amp;"-"&amp;H1443)</f>
        <v>SAMP-KG01-L23-20251214-ORD-2025-00239-H09-Stone</v>
      </c>
      <c r="K1443" s="1" t="str">
        <f aca="false">IF(A1443="","",IF(AND(G1443&gt;=0,I1443&gt;=0,I1443&lt;=G1443),"OK","CHECK"))</f>
        <v>OK</v>
      </c>
      <c r="L1443" s="1" t="str">
        <f aca="false">IF(A1443="","",IF(AND(E1443&gt;=0,E1443&lt;=23),"OK","CHECK"))</f>
        <v>OK</v>
      </c>
      <c r="M1443" s="1" t="str">
        <f aca="false">IF(A1443="","",IF(AND(K1443="OK",L1443="OK"),"OK","CHECK"))</f>
        <v>OK</v>
      </c>
    </row>
    <row r="1444" customFormat="false" ht="18" hidden="false" customHeight="true" outlineLevel="0" collapsed="false">
      <c r="A1444" s="9" t="s">
        <v>26</v>
      </c>
      <c r="B1444" s="9" t="n">
        <v>23</v>
      </c>
      <c r="C1444" s="11" t="n">
        <v>46005</v>
      </c>
      <c r="D1444" s="9" t="s">
        <v>128</v>
      </c>
      <c r="E1444" s="12" t="n">
        <v>7</v>
      </c>
      <c r="F1444" s="9" t="s">
        <v>28</v>
      </c>
      <c r="G1444" s="13" t="n">
        <v>50</v>
      </c>
      <c r="H1444" s="9" t="s">
        <v>33</v>
      </c>
      <c r="I1444" s="13" t="n">
        <v>1</v>
      </c>
      <c r="J1444" s="1" t="str">
        <f aca="false">IF(A1444="","", "SAMP-"&amp;A1444&amp;"-L"&amp;TEXT(B1444,"00")&amp;"-"&amp;TEXT(C1444,"yyyymmdd")&amp;"-"&amp;D1444&amp;"-H"&amp;TEXT(E1444,"00")&amp;"-"&amp;H1444)</f>
        <v>SAMP-KG01-L23-20251214-ORD-2025-00239-H07-Distortion</v>
      </c>
      <c r="K1444" s="1" t="str">
        <f aca="false">IF(A1444="","",IF(AND(G1444&gt;=0,I1444&gt;=0,I1444&lt;=G1444),"OK","CHECK"))</f>
        <v>OK</v>
      </c>
      <c r="L1444" s="1" t="str">
        <f aca="false">IF(A1444="","",IF(AND(E1444&gt;=0,E1444&lt;=23),"OK","CHECK"))</f>
        <v>OK</v>
      </c>
      <c r="M1444" s="1" t="str">
        <f aca="false">IF(A1444="","",IF(AND(K1444="OK",L1444="OK"),"OK","CHECK"))</f>
        <v>OK</v>
      </c>
    </row>
    <row r="1445" customFormat="false" ht="18" hidden="false" customHeight="true" outlineLevel="0" collapsed="false">
      <c r="A1445" s="9" t="s">
        <v>26</v>
      </c>
      <c r="B1445" s="9" t="n">
        <v>23</v>
      </c>
      <c r="C1445" s="11" t="n">
        <v>46005</v>
      </c>
      <c r="D1445" s="9" t="s">
        <v>129</v>
      </c>
      <c r="E1445" s="12" t="n">
        <v>20</v>
      </c>
      <c r="F1445" s="9" t="s">
        <v>31</v>
      </c>
      <c r="G1445" s="13" t="n">
        <v>200</v>
      </c>
      <c r="H1445" s="9" t="s">
        <v>33</v>
      </c>
      <c r="I1445" s="13" t="n">
        <v>1</v>
      </c>
      <c r="J1445" s="1" t="str">
        <f aca="false">IF(A1445="","", "SAMP-"&amp;A1445&amp;"-L"&amp;TEXT(B1445,"00")&amp;"-"&amp;TEXT(C1445,"yyyymmdd")&amp;"-"&amp;D1445&amp;"-H"&amp;TEXT(E1445,"00")&amp;"-"&amp;H1445)</f>
        <v>SAMP-KG01-L23-20251214-ORD-2025-00240-H20-Distortion</v>
      </c>
      <c r="K1445" s="1" t="str">
        <f aca="false">IF(A1445="","",IF(AND(G1445&gt;=0,I1445&gt;=0,I1445&lt;=G1445),"OK","CHECK"))</f>
        <v>OK</v>
      </c>
      <c r="L1445" s="1" t="str">
        <f aca="false">IF(A1445="","",IF(AND(E1445&gt;=0,E1445&lt;=23),"OK","CHECK"))</f>
        <v>OK</v>
      </c>
      <c r="M1445" s="1" t="str">
        <f aca="false">IF(A1445="","",IF(AND(K1445="OK",L1445="OK"),"OK","CHECK"))</f>
        <v>OK</v>
      </c>
    </row>
    <row r="1446" customFormat="false" ht="18" hidden="false" customHeight="true" outlineLevel="0" collapsed="false">
      <c r="A1446" s="9" t="s">
        <v>26</v>
      </c>
      <c r="B1446" s="9" t="n">
        <v>23</v>
      </c>
      <c r="C1446" s="11" t="n">
        <v>46005</v>
      </c>
      <c r="D1446" s="9" t="s">
        <v>129</v>
      </c>
      <c r="E1446" s="12" t="n">
        <v>16</v>
      </c>
      <c r="F1446" s="9" t="s">
        <v>31</v>
      </c>
      <c r="G1446" s="13" t="n">
        <v>100</v>
      </c>
      <c r="H1446" s="9" t="s">
        <v>37</v>
      </c>
      <c r="I1446" s="13" t="n">
        <v>0</v>
      </c>
      <c r="J1446" s="1" t="str">
        <f aca="false">IF(A1446="","", "SAMP-"&amp;A1446&amp;"-L"&amp;TEXT(B1446,"00")&amp;"-"&amp;TEXT(C1446,"yyyymmdd")&amp;"-"&amp;D1446&amp;"-H"&amp;TEXT(E1446,"00")&amp;"-"&amp;H1446)</f>
        <v>SAMP-KG01-L23-20251214-ORD-2025-00240-H16-Bird Swing</v>
      </c>
      <c r="K1446" s="1" t="str">
        <f aca="false">IF(A1446="","",IF(AND(G1446&gt;=0,I1446&gt;=0,I1446&lt;=G1446),"OK","CHECK"))</f>
        <v>OK</v>
      </c>
      <c r="L1446" s="1" t="str">
        <f aca="false">IF(A1446="","",IF(AND(E1446&gt;=0,E1446&lt;=23),"OK","CHECK"))</f>
        <v>OK</v>
      </c>
      <c r="M1446" s="1" t="str">
        <f aca="false">IF(A1446="","",IF(AND(K1446="OK",L1446="OK"),"OK","CHECK"))</f>
        <v>OK</v>
      </c>
    </row>
    <row r="1447" customFormat="false" ht="18" hidden="false" customHeight="true" outlineLevel="0" collapsed="false">
      <c r="A1447" s="9" t="s">
        <v>26</v>
      </c>
      <c r="B1447" s="9" t="n">
        <v>23</v>
      </c>
      <c r="C1447" s="11" t="n">
        <v>46005</v>
      </c>
      <c r="D1447" s="9" t="s">
        <v>129</v>
      </c>
      <c r="E1447" s="12" t="n">
        <v>23</v>
      </c>
      <c r="F1447" s="9" t="s">
        <v>31</v>
      </c>
      <c r="G1447" s="13" t="n">
        <v>100</v>
      </c>
      <c r="H1447" s="9" t="s">
        <v>41</v>
      </c>
      <c r="I1447" s="13" t="n">
        <v>2</v>
      </c>
      <c r="J1447" s="1" t="str">
        <f aca="false">IF(A1447="","", "SAMP-"&amp;A1447&amp;"-L"&amp;TEXT(B1447,"00")&amp;"-"&amp;TEXT(C1447,"yyyymmdd")&amp;"-"&amp;D1447&amp;"-H"&amp;TEXT(E1447,"00")&amp;"-"&amp;H1447)</f>
        <v>SAMP-KG01-L23-20251214-ORD-2025-00240-H23-Chip</v>
      </c>
      <c r="K1447" s="1" t="str">
        <f aca="false">IF(A1447="","",IF(AND(G1447&gt;=0,I1447&gt;=0,I1447&lt;=G1447),"OK","CHECK"))</f>
        <v>OK</v>
      </c>
      <c r="L1447" s="1" t="str">
        <f aca="false">IF(A1447="","",IF(AND(E1447&gt;=0,E1447&lt;=23),"OK","CHECK"))</f>
        <v>OK</v>
      </c>
      <c r="M1447" s="1" t="str">
        <f aca="false">IF(A1447="","",IF(AND(K1447="OK",L1447="OK"),"OK","CHECK"))</f>
        <v>OK</v>
      </c>
    </row>
    <row r="1448" customFormat="false" ht="18" hidden="false" customHeight="true" outlineLevel="0" collapsed="false">
      <c r="A1448" s="9" t="s">
        <v>26</v>
      </c>
      <c r="B1448" s="9" t="n">
        <v>23</v>
      </c>
      <c r="C1448" s="11" t="n">
        <v>46006</v>
      </c>
      <c r="D1448" s="9" t="s">
        <v>129</v>
      </c>
      <c r="E1448" s="12" t="n">
        <v>12</v>
      </c>
      <c r="F1448" s="9" t="s">
        <v>28</v>
      </c>
      <c r="G1448" s="13" t="n">
        <v>200</v>
      </c>
      <c r="H1448" s="9" t="s">
        <v>36</v>
      </c>
      <c r="I1448" s="13" t="n">
        <v>0</v>
      </c>
      <c r="J1448" s="1" t="str">
        <f aca="false">IF(A1448="","", "SAMP-"&amp;A1448&amp;"-L"&amp;TEXT(B1448,"00")&amp;"-"&amp;TEXT(C1448,"yyyymmdd")&amp;"-"&amp;D1448&amp;"-H"&amp;TEXT(E1448,"00")&amp;"-"&amp;H1448)</f>
        <v>SAMP-KG01-L23-20251215-ORD-2025-00240-H12-Blister</v>
      </c>
      <c r="K1448" s="1" t="str">
        <f aca="false">IF(A1448="","",IF(AND(G1448&gt;=0,I1448&gt;=0,I1448&lt;=G1448),"OK","CHECK"))</f>
        <v>OK</v>
      </c>
      <c r="L1448" s="1" t="str">
        <f aca="false">IF(A1448="","",IF(AND(E1448&gt;=0,E1448&lt;=23),"OK","CHECK"))</f>
        <v>OK</v>
      </c>
      <c r="M1448" s="1" t="str">
        <f aca="false">IF(A1448="","",IF(AND(K1448="OK",L1448="OK"),"OK","CHECK"))</f>
        <v>OK</v>
      </c>
    </row>
    <row r="1449" customFormat="false" ht="18" hidden="false" customHeight="true" outlineLevel="0" collapsed="false">
      <c r="A1449" s="9" t="s">
        <v>26</v>
      </c>
      <c r="B1449" s="9" t="n">
        <v>23</v>
      </c>
      <c r="C1449" s="11" t="n">
        <v>46006</v>
      </c>
      <c r="D1449" s="9" t="s">
        <v>129</v>
      </c>
      <c r="E1449" s="12" t="n">
        <v>9</v>
      </c>
      <c r="F1449" s="9" t="s">
        <v>28</v>
      </c>
      <c r="G1449" s="13" t="n">
        <v>100</v>
      </c>
      <c r="H1449" s="9" t="s">
        <v>34</v>
      </c>
      <c r="I1449" s="13" t="n">
        <v>1</v>
      </c>
      <c r="J1449" s="1" t="str">
        <f aca="false">IF(A1449="","", "SAMP-"&amp;A1449&amp;"-L"&amp;TEXT(B1449,"00")&amp;"-"&amp;TEXT(C1449,"yyyymmdd")&amp;"-"&amp;D1449&amp;"-H"&amp;TEXT(E1449,"00")&amp;"-"&amp;H1449)</f>
        <v>SAMP-KG01-L23-20251215-ORD-2025-00240-H09-Thin Wall</v>
      </c>
      <c r="K1449" s="1" t="str">
        <f aca="false">IF(A1449="","",IF(AND(G1449&gt;=0,I1449&gt;=0,I1449&lt;=G1449),"OK","CHECK"))</f>
        <v>OK</v>
      </c>
      <c r="L1449" s="1" t="str">
        <f aca="false">IF(A1449="","",IF(AND(E1449&gt;=0,E1449&lt;=23),"OK","CHECK"))</f>
        <v>OK</v>
      </c>
      <c r="M1449" s="1" t="str">
        <f aca="false">IF(A1449="","",IF(AND(K1449="OK",L1449="OK"),"OK","CHECK"))</f>
        <v>OK</v>
      </c>
    </row>
    <row r="1450" customFormat="false" ht="18" hidden="false" customHeight="true" outlineLevel="0" collapsed="false">
      <c r="A1450" s="9" t="s">
        <v>26</v>
      </c>
      <c r="B1450" s="9" t="n">
        <v>23</v>
      </c>
      <c r="C1450" s="11" t="n">
        <v>46006</v>
      </c>
      <c r="D1450" s="9" t="s">
        <v>129</v>
      </c>
      <c r="E1450" s="12" t="n">
        <v>7</v>
      </c>
      <c r="F1450" s="9" t="s">
        <v>28</v>
      </c>
      <c r="G1450" s="13" t="n">
        <v>100</v>
      </c>
      <c r="H1450" s="9" t="s">
        <v>41</v>
      </c>
      <c r="I1450" s="13" t="n">
        <v>0</v>
      </c>
      <c r="J1450" s="1" t="str">
        <f aca="false">IF(A1450="","", "SAMP-"&amp;A1450&amp;"-L"&amp;TEXT(B1450,"00")&amp;"-"&amp;TEXT(C1450,"yyyymmdd")&amp;"-"&amp;D1450&amp;"-H"&amp;TEXT(E1450,"00")&amp;"-"&amp;H1450)</f>
        <v>SAMP-KG01-L23-20251215-ORD-2025-00240-H07-Chip</v>
      </c>
      <c r="K1450" s="1" t="str">
        <f aca="false">IF(A1450="","",IF(AND(G1450&gt;=0,I1450&gt;=0,I1450&lt;=G1450),"OK","CHECK"))</f>
        <v>OK</v>
      </c>
      <c r="L1450" s="1" t="str">
        <f aca="false">IF(A1450="","",IF(AND(E1450&gt;=0,E1450&lt;=23),"OK","CHECK"))</f>
        <v>OK</v>
      </c>
      <c r="M1450" s="1" t="str">
        <f aca="false">IF(A1450="","",IF(AND(K1450="OK",L1450="OK"),"OK","CHECK"))</f>
        <v>OK</v>
      </c>
    </row>
    <row r="1451" customFormat="false" ht="18" hidden="false" customHeight="true" outlineLevel="0" collapsed="false">
      <c r="A1451" s="9" t="s">
        <v>26</v>
      </c>
      <c r="B1451" s="9" t="n">
        <v>23</v>
      </c>
      <c r="C1451" s="11" t="n">
        <v>46006</v>
      </c>
      <c r="D1451" s="9" t="s">
        <v>129</v>
      </c>
      <c r="E1451" s="12" t="n">
        <v>23</v>
      </c>
      <c r="F1451" s="9" t="s">
        <v>31</v>
      </c>
      <c r="G1451" s="13" t="n">
        <v>50</v>
      </c>
      <c r="H1451" s="9" t="s">
        <v>37</v>
      </c>
      <c r="I1451" s="13" t="n">
        <v>1</v>
      </c>
      <c r="J1451" s="1" t="str">
        <f aca="false">IF(A1451="","", "SAMP-"&amp;A1451&amp;"-L"&amp;TEXT(B1451,"00")&amp;"-"&amp;TEXT(C1451,"yyyymmdd")&amp;"-"&amp;D1451&amp;"-H"&amp;TEXT(E1451,"00")&amp;"-"&amp;H1451)</f>
        <v>SAMP-KG01-L23-20251215-ORD-2025-00240-H23-Bird Swing</v>
      </c>
      <c r="K1451" s="1" t="str">
        <f aca="false">IF(A1451="","",IF(AND(G1451&gt;=0,I1451&gt;=0,I1451&lt;=G1451),"OK","CHECK"))</f>
        <v>OK</v>
      </c>
      <c r="L1451" s="1" t="str">
        <f aca="false">IF(A1451="","",IF(AND(E1451&gt;=0,E1451&lt;=23),"OK","CHECK"))</f>
        <v>OK</v>
      </c>
      <c r="M1451" s="1" t="str">
        <f aca="false">IF(A1451="","",IF(AND(K1451="OK",L1451="OK"),"OK","CHECK"))</f>
        <v>OK</v>
      </c>
    </row>
    <row r="1452" customFormat="false" ht="18" hidden="false" customHeight="true" outlineLevel="0" collapsed="false">
      <c r="A1452" s="9" t="s">
        <v>26</v>
      </c>
      <c r="B1452" s="9" t="n">
        <v>23</v>
      </c>
      <c r="C1452" s="11" t="n">
        <v>46006</v>
      </c>
      <c r="D1452" s="9" t="s">
        <v>129</v>
      </c>
      <c r="E1452" s="12" t="n">
        <v>16</v>
      </c>
      <c r="F1452" s="9" t="s">
        <v>31</v>
      </c>
      <c r="G1452" s="13" t="n">
        <v>150</v>
      </c>
      <c r="H1452" s="9" t="s">
        <v>35</v>
      </c>
      <c r="I1452" s="13" t="n">
        <v>0</v>
      </c>
      <c r="J1452" s="1" t="str">
        <f aca="false">IF(A1452="","", "SAMP-"&amp;A1452&amp;"-L"&amp;TEXT(B1452,"00")&amp;"-"&amp;TEXT(C1452,"yyyymmdd")&amp;"-"&amp;D1452&amp;"-H"&amp;TEXT(E1452,"00")&amp;"-"&amp;H1452)</f>
        <v>SAMP-KG01-L23-20251215-ORD-2025-00240-H16-Stone</v>
      </c>
      <c r="K1452" s="1" t="str">
        <f aca="false">IF(A1452="","",IF(AND(G1452&gt;=0,I1452&gt;=0,I1452&lt;=G1452),"OK","CHECK"))</f>
        <v>OK</v>
      </c>
      <c r="L1452" s="1" t="str">
        <f aca="false">IF(A1452="","",IF(AND(E1452&gt;=0,E1452&lt;=23),"OK","CHECK"))</f>
        <v>OK</v>
      </c>
      <c r="M1452" s="1" t="str">
        <f aca="false">IF(A1452="","",IF(AND(K1452="OK",L1452="OK"),"OK","CHECK"))</f>
        <v>OK</v>
      </c>
    </row>
    <row r="1453" customFormat="false" ht="18" hidden="false" customHeight="true" outlineLevel="0" collapsed="false">
      <c r="A1453" s="9" t="s">
        <v>26</v>
      </c>
      <c r="B1453" s="9" t="n">
        <v>23</v>
      </c>
      <c r="C1453" s="11" t="n">
        <v>46006</v>
      </c>
      <c r="D1453" s="9" t="s">
        <v>129</v>
      </c>
      <c r="E1453" s="12" t="n">
        <v>20</v>
      </c>
      <c r="F1453" s="9" t="s">
        <v>31</v>
      </c>
      <c r="G1453" s="13" t="n">
        <v>100</v>
      </c>
      <c r="H1453" s="9" t="s">
        <v>33</v>
      </c>
      <c r="I1453" s="13" t="n">
        <v>0</v>
      </c>
      <c r="J1453" s="1" t="str">
        <f aca="false">IF(A1453="","", "SAMP-"&amp;A1453&amp;"-L"&amp;TEXT(B1453,"00")&amp;"-"&amp;TEXT(C1453,"yyyymmdd")&amp;"-"&amp;D1453&amp;"-H"&amp;TEXT(E1453,"00")&amp;"-"&amp;H1453)</f>
        <v>SAMP-KG01-L23-20251215-ORD-2025-00240-H20-Distortion</v>
      </c>
      <c r="K1453" s="1" t="str">
        <f aca="false">IF(A1453="","",IF(AND(G1453&gt;=0,I1453&gt;=0,I1453&lt;=G1453),"OK","CHECK"))</f>
        <v>OK</v>
      </c>
      <c r="L1453" s="1" t="str">
        <f aca="false">IF(A1453="","",IF(AND(E1453&gt;=0,E1453&lt;=23),"OK","CHECK"))</f>
        <v>OK</v>
      </c>
      <c r="M1453" s="1" t="str">
        <f aca="false">IF(A1453="","",IF(AND(K1453="OK",L1453="OK"),"OK","CHECK"))</f>
        <v>OK</v>
      </c>
    </row>
    <row r="1454" customFormat="false" ht="18" hidden="false" customHeight="true" outlineLevel="0" collapsed="false">
      <c r="A1454" s="9" t="s">
        <v>26</v>
      </c>
      <c r="B1454" s="9" t="n">
        <v>23</v>
      </c>
      <c r="C1454" s="11" t="n">
        <v>46007</v>
      </c>
      <c r="D1454" s="9" t="s">
        <v>129</v>
      </c>
      <c r="E1454" s="12" t="n">
        <v>9</v>
      </c>
      <c r="F1454" s="9" t="s">
        <v>28</v>
      </c>
      <c r="G1454" s="13" t="n">
        <v>150</v>
      </c>
      <c r="H1454" s="9" t="s">
        <v>41</v>
      </c>
      <c r="I1454" s="13" t="n">
        <v>0</v>
      </c>
      <c r="J1454" s="1" t="str">
        <f aca="false">IF(A1454="","", "SAMP-"&amp;A1454&amp;"-L"&amp;TEXT(B1454,"00")&amp;"-"&amp;TEXT(C1454,"yyyymmdd")&amp;"-"&amp;D1454&amp;"-H"&amp;TEXT(E1454,"00")&amp;"-"&amp;H1454)</f>
        <v>SAMP-KG01-L23-20251216-ORD-2025-00240-H09-Chip</v>
      </c>
      <c r="K1454" s="1" t="str">
        <f aca="false">IF(A1454="","",IF(AND(G1454&gt;=0,I1454&gt;=0,I1454&lt;=G1454),"OK","CHECK"))</f>
        <v>OK</v>
      </c>
      <c r="L1454" s="1" t="str">
        <f aca="false">IF(A1454="","",IF(AND(E1454&gt;=0,E1454&lt;=23),"OK","CHECK"))</f>
        <v>OK</v>
      </c>
      <c r="M1454" s="1" t="str">
        <f aca="false">IF(A1454="","",IF(AND(K1454="OK",L1454="OK"),"OK","CHECK"))</f>
        <v>OK</v>
      </c>
    </row>
    <row r="1455" customFormat="false" ht="18" hidden="false" customHeight="true" outlineLevel="0" collapsed="false">
      <c r="A1455" s="9" t="s">
        <v>26</v>
      </c>
      <c r="B1455" s="9" t="n">
        <v>23</v>
      </c>
      <c r="C1455" s="11" t="n">
        <v>46007</v>
      </c>
      <c r="D1455" s="9" t="s">
        <v>129</v>
      </c>
      <c r="E1455" s="12" t="n">
        <v>7</v>
      </c>
      <c r="F1455" s="9" t="s">
        <v>28</v>
      </c>
      <c r="G1455" s="13" t="n">
        <v>150</v>
      </c>
      <c r="H1455" s="9" t="s">
        <v>29</v>
      </c>
      <c r="I1455" s="13" t="n">
        <v>2</v>
      </c>
      <c r="J1455" s="1" t="str">
        <f aca="false">IF(A1455="","", "SAMP-"&amp;A1455&amp;"-L"&amp;TEXT(B1455,"00")&amp;"-"&amp;TEXT(C1455,"yyyymmdd")&amp;"-"&amp;D1455&amp;"-H"&amp;TEXT(E1455,"00")&amp;"-"&amp;H1455)</f>
        <v>SAMP-KG01-L23-20251216-ORD-2025-00240-H07-Choke Neck</v>
      </c>
      <c r="K1455" s="1" t="str">
        <f aca="false">IF(A1455="","",IF(AND(G1455&gt;=0,I1455&gt;=0,I1455&lt;=G1455),"OK","CHECK"))</f>
        <v>OK</v>
      </c>
      <c r="L1455" s="1" t="str">
        <f aca="false">IF(A1455="","",IF(AND(E1455&gt;=0,E1455&lt;=23),"OK","CHECK"))</f>
        <v>OK</v>
      </c>
      <c r="M1455" s="1" t="str">
        <f aca="false">IF(A1455="","",IF(AND(K1455="OK",L1455="OK"),"OK","CHECK"))</f>
        <v>OK</v>
      </c>
    </row>
    <row r="1456" customFormat="false" ht="18" hidden="false" customHeight="true" outlineLevel="0" collapsed="false">
      <c r="A1456" s="9" t="s">
        <v>26</v>
      </c>
      <c r="B1456" s="9" t="n">
        <v>23</v>
      </c>
      <c r="C1456" s="11" t="n">
        <v>46007</v>
      </c>
      <c r="D1456" s="9" t="s">
        <v>129</v>
      </c>
      <c r="E1456" s="12" t="n">
        <v>12</v>
      </c>
      <c r="F1456" s="9" t="s">
        <v>28</v>
      </c>
      <c r="G1456" s="13" t="n">
        <v>100</v>
      </c>
      <c r="H1456" s="9" t="s">
        <v>30</v>
      </c>
      <c r="I1456" s="13" t="n">
        <v>2</v>
      </c>
      <c r="J1456" s="1" t="str">
        <f aca="false">IF(A1456="","", "SAMP-"&amp;A1456&amp;"-L"&amp;TEXT(B1456,"00")&amp;"-"&amp;TEXT(C1456,"yyyymmdd")&amp;"-"&amp;D1456&amp;"-H"&amp;TEXT(E1456,"00")&amp;"-"&amp;H1456)</f>
        <v>SAMP-KG01-L23-20251216-ORD-2025-00240-H12-Overpress</v>
      </c>
      <c r="K1456" s="1" t="str">
        <f aca="false">IF(A1456="","",IF(AND(G1456&gt;=0,I1456&gt;=0,I1456&lt;=G1456),"OK","CHECK"))</f>
        <v>OK</v>
      </c>
      <c r="L1456" s="1" t="str">
        <f aca="false">IF(A1456="","",IF(AND(E1456&gt;=0,E1456&lt;=23),"OK","CHECK"))</f>
        <v>OK</v>
      </c>
      <c r="M1456" s="1" t="str">
        <f aca="false">IF(A1456="","",IF(AND(K1456="OK",L1456="OK"),"OK","CHECK"))</f>
        <v>OK</v>
      </c>
    </row>
    <row r="1457" customFormat="false" ht="18" hidden="false" customHeight="true" outlineLevel="0" collapsed="false">
      <c r="A1457" s="9" t="s">
        <v>26</v>
      </c>
      <c r="B1457" s="9" t="n">
        <v>23</v>
      </c>
      <c r="C1457" s="11" t="n">
        <v>46007</v>
      </c>
      <c r="D1457" s="9" t="s">
        <v>129</v>
      </c>
      <c r="E1457" s="12" t="n">
        <v>16</v>
      </c>
      <c r="F1457" s="9" t="s">
        <v>31</v>
      </c>
      <c r="G1457" s="13" t="n">
        <v>200</v>
      </c>
      <c r="H1457" s="9" t="s">
        <v>34</v>
      </c>
      <c r="I1457" s="13" t="n">
        <v>3</v>
      </c>
      <c r="J1457" s="1" t="str">
        <f aca="false">IF(A1457="","", "SAMP-"&amp;A1457&amp;"-L"&amp;TEXT(B1457,"00")&amp;"-"&amp;TEXT(C1457,"yyyymmdd")&amp;"-"&amp;D1457&amp;"-H"&amp;TEXT(E1457,"00")&amp;"-"&amp;H1457)</f>
        <v>SAMP-KG01-L23-20251216-ORD-2025-00240-H16-Thin Wall</v>
      </c>
      <c r="K1457" s="1" t="str">
        <f aca="false">IF(A1457="","",IF(AND(G1457&gt;=0,I1457&gt;=0,I1457&lt;=G1457),"OK","CHECK"))</f>
        <v>OK</v>
      </c>
      <c r="L1457" s="1" t="str">
        <f aca="false">IF(A1457="","",IF(AND(E1457&gt;=0,E1457&lt;=23),"OK","CHECK"))</f>
        <v>OK</v>
      </c>
      <c r="M1457" s="1" t="str">
        <f aca="false">IF(A1457="","",IF(AND(K1457="OK",L1457="OK"),"OK","CHECK"))</f>
        <v>OK</v>
      </c>
    </row>
    <row r="1458" customFormat="false" ht="18" hidden="false" customHeight="true" outlineLevel="0" collapsed="false">
      <c r="A1458" s="9" t="s">
        <v>26</v>
      </c>
      <c r="B1458" s="9" t="n">
        <v>23</v>
      </c>
      <c r="C1458" s="11" t="n">
        <v>46007</v>
      </c>
      <c r="D1458" s="9" t="s">
        <v>129</v>
      </c>
      <c r="E1458" s="12" t="n">
        <v>20</v>
      </c>
      <c r="F1458" s="9" t="s">
        <v>31</v>
      </c>
      <c r="G1458" s="13" t="n">
        <v>150</v>
      </c>
      <c r="H1458" s="9" t="s">
        <v>30</v>
      </c>
      <c r="I1458" s="13" t="n">
        <v>4</v>
      </c>
      <c r="J1458" s="1" t="str">
        <f aca="false">IF(A1458="","", "SAMP-"&amp;A1458&amp;"-L"&amp;TEXT(B1458,"00")&amp;"-"&amp;TEXT(C1458,"yyyymmdd")&amp;"-"&amp;D1458&amp;"-H"&amp;TEXT(E1458,"00")&amp;"-"&amp;H1458)</f>
        <v>SAMP-KG01-L23-20251216-ORD-2025-00240-H20-Overpress</v>
      </c>
      <c r="K1458" s="1" t="str">
        <f aca="false">IF(A1458="","",IF(AND(G1458&gt;=0,I1458&gt;=0,I1458&lt;=G1458),"OK","CHECK"))</f>
        <v>OK</v>
      </c>
      <c r="L1458" s="1" t="str">
        <f aca="false">IF(A1458="","",IF(AND(E1458&gt;=0,E1458&lt;=23),"OK","CHECK"))</f>
        <v>OK</v>
      </c>
      <c r="M1458" s="1" t="str">
        <f aca="false">IF(A1458="","",IF(AND(K1458="OK",L1458="OK"),"OK","CHECK"))</f>
        <v>OK</v>
      </c>
    </row>
    <row r="1459" customFormat="false" ht="18" hidden="false" customHeight="true" outlineLevel="0" collapsed="false">
      <c r="A1459" s="9" t="s">
        <v>26</v>
      </c>
      <c r="B1459" s="9" t="n">
        <v>23</v>
      </c>
      <c r="C1459" s="11" t="n">
        <v>46007</v>
      </c>
      <c r="D1459" s="9" t="s">
        <v>129</v>
      </c>
      <c r="E1459" s="12" t="n">
        <v>23</v>
      </c>
      <c r="F1459" s="9" t="s">
        <v>31</v>
      </c>
      <c r="G1459" s="13" t="n">
        <v>150</v>
      </c>
      <c r="H1459" s="9" t="s">
        <v>29</v>
      </c>
      <c r="I1459" s="13" t="n">
        <v>4</v>
      </c>
      <c r="J1459" s="1" t="str">
        <f aca="false">IF(A1459="","", "SAMP-"&amp;A1459&amp;"-L"&amp;TEXT(B1459,"00")&amp;"-"&amp;TEXT(C1459,"yyyymmdd")&amp;"-"&amp;D1459&amp;"-H"&amp;TEXT(E1459,"00")&amp;"-"&amp;H1459)</f>
        <v>SAMP-KG01-L23-20251216-ORD-2025-00240-H23-Choke Neck</v>
      </c>
      <c r="K1459" s="1" t="str">
        <f aca="false">IF(A1459="","",IF(AND(G1459&gt;=0,I1459&gt;=0,I1459&lt;=G1459),"OK","CHECK"))</f>
        <v>OK</v>
      </c>
      <c r="L1459" s="1" t="str">
        <f aca="false">IF(A1459="","",IF(AND(E1459&gt;=0,E1459&lt;=23),"OK","CHECK"))</f>
        <v>OK</v>
      </c>
      <c r="M1459" s="1" t="str">
        <f aca="false">IF(A1459="","",IF(AND(K1459="OK",L1459="OK"),"OK","CHECK"))</f>
        <v>OK</v>
      </c>
    </row>
    <row r="1460" customFormat="false" ht="18" hidden="false" customHeight="true" outlineLevel="0" collapsed="false">
      <c r="A1460" s="9" t="s">
        <v>26</v>
      </c>
      <c r="B1460" s="9" t="n">
        <v>23</v>
      </c>
      <c r="C1460" s="11" t="n">
        <v>46008</v>
      </c>
      <c r="D1460" s="9" t="s">
        <v>129</v>
      </c>
      <c r="E1460" s="12" t="n">
        <v>12</v>
      </c>
      <c r="F1460" s="9" t="s">
        <v>28</v>
      </c>
      <c r="G1460" s="13" t="n">
        <v>150</v>
      </c>
      <c r="H1460" s="9" t="s">
        <v>41</v>
      </c>
      <c r="I1460" s="13" t="n">
        <v>1</v>
      </c>
      <c r="J1460" s="1" t="str">
        <f aca="false">IF(A1460="","", "SAMP-"&amp;A1460&amp;"-L"&amp;TEXT(B1460,"00")&amp;"-"&amp;TEXT(C1460,"yyyymmdd")&amp;"-"&amp;D1460&amp;"-H"&amp;TEXT(E1460,"00")&amp;"-"&amp;H1460)</f>
        <v>SAMP-KG01-L23-20251217-ORD-2025-00240-H12-Chip</v>
      </c>
      <c r="K1460" s="1" t="str">
        <f aca="false">IF(A1460="","",IF(AND(G1460&gt;=0,I1460&gt;=0,I1460&lt;=G1460),"OK","CHECK"))</f>
        <v>OK</v>
      </c>
      <c r="L1460" s="1" t="str">
        <f aca="false">IF(A1460="","",IF(AND(E1460&gt;=0,E1460&lt;=23),"OK","CHECK"))</f>
        <v>OK</v>
      </c>
      <c r="M1460" s="1" t="str">
        <f aca="false">IF(A1460="","",IF(AND(K1460="OK",L1460="OK"),"OK","CHECK"))</f>
        <v>OK</v>
      </c>
    </row>
    <row r="1461" customFormat="false" ht="18" hidden="false" customHeight="true" outlineLevel="0" collapsed="false">
      <c r="A1461" s="9" t="s">
        <v>26</v>
      </c>
      <c r="B1461" s="9" t="n">
        <v>23</v>
      </c>
      <c r="C1461" s="11" t="n">
        <v>46008</v>
      </c>
      <c r="D1461" s="9" t="s">
        <v>129</v>
      </c>
      <c r="E1461" s="12" t="n">
        <v>7</v>
      </c>
      <c r="F1461" s="9" t="s">
        <v>28</v>
      </c>
      <c r="G1461" s="13" t="n">
        <v>150</v>
      </c>
      <c r="H1461" s="9" t="s">
        <v>38</v>
      </c>
      <c r="I1461" s="13" t="n">
        <v>4</v>
      </c>
      <c r="J1461" s="1" t="str">
        <f aca="false">IF(A1461="","", "SAMP-"&amp;A1461&amp;"-L"&amp;TEXT(B1461,"00")&amp;"-"&amp;TEXT(C1461,"yyyymmdd")&amp;"-"&amp;D1461&amp;"-H"&amp;TEXT(E1461,"00")&amp;"-"&amp;H1461)</f>
        <v>SAMP-KG01-L23-20251217-ORD-2025-00240-H07-Crack</v>
      </c>
      <c r="K1461" s="1" t="str">
        <f aca="false">IF(A1461="","",IF(AND(G1461&gt;=0,I1461&gt;=0,I1461&lt;=G1461),"OK","CHECK"))</f>
        <v>OK</v>
      </c>
      <c r="L1461" s="1" t="str">
        <f aca="false">IF(A1461="","",IF(AND(E1461&gt;=0,E1461&lt;=23),"OK","CHECK"))</f>
        <v>OK</v>
      </c>
      <c r="M1461" s="1" t="str">
        <f aca="false">IF(A1461="","",IF(AND(K1461="OK",L1461="OK"),"OK","CHECK"))</f>
        <v>OK</v>
      </c>
    </row>
    <row r="1462" customFormat="false" ht="18" hidden="false" customHeight="true" outlineLevel="0" collapsed="false">
      <c r="A1462" s="9" t="s">
        <v>26</v>
      </c>
      <c r="B1462" s="9" t="n">
        <v>23</v>
      </c>
      <c r="C1462" s="11" t="n">
        <v>46008</v>
      </c>
      <c r="D1462" s="9" t="s">
        <v>129</v>
      </c>
      <c r="E1462" s="12" t="n">
        <v>9</v>
      </c>
      <c r="F1462" s="9" t="s">
        <v>28</v>
      </c>
      <c r="G1462" s="13" t="n">
        <v>100</v>
      </c>
      <c r="H1462" s="9" t="s">
        <v>36</v>
      </c>
      <c r="I1462" s="13" t="n">
        <v>4</v>
      </c>
      <c r="J1462" s="1" t="str">
        <f aca="false">IF(A1462="","", "SAMP-"&amp;A1462&amp;"-L"&amp;TEXT(B1462,"00")&amp;"-"&amp;TEXT(C1462,"yyyymmdd")&amp;"-"&amp;D1462&amp;"-H"&amp;TEXT(E1462,"00")&amp;"-"&amp;H1462)</f>
        <v>SAMP-KG01-L23-20251217-ORD-2025-00240-H09-Blister</v>
      </c>
      <c r="K1462" s="1" t="str">
        <f aca="false">IF(A1462="","",IF(AND(G1462&gt;=0,I1462&gt;=0,I1462&lt;=G1462),"OK","CHECK"))</f>
        <v>OK</v>
      </c>
      <c r="L1462" s="1" t="str">
        <f aca="false">IF(A1462="","",IF(AND(E1462&gt;=0,E1462&lt;=23),"OK","CHECK"))</f>
        <v>OK</v>
      </c>
      <c r="M1462" s="1" t="str">
        <f aca="false">IF(A1462="","",IF(AND(K1462="OK",L1462="OK"),"OK","CHECK"))</f>
        <v>OK</v>
      </c>
    </row>
    <row r="1463" customFormat="false" ht="18" hidden="false" customHeight="true" outlineLevel="0" collapsed="false">
      <c r="A1463" s="9" t="s">
        <v>26</v>
      </c>
      <c r="B1463" s="9" t="n">
        <v>23</v>
      </c>
      <c r="C1463" s="11" t="n">
        <v>46008</v>
      </c>
      <c r="D1463" s="9" t="s">
        <v>129</v>
      </c>
      <c r="E1463" s="12" t="n">
        <v>23</v>
      </c>
      <c r="F1463" s="9" t="s">
        <v>31</v>
      </c>
      <c r="G1463" s="13" t="n">
        <v>50</v>
      </c>
      <c r="H1463" s="9" t="s">
        <v>33</v>
      </c>
      <c r="I1463" s="13" t="n">
        <v>2</v>
      </c>
      <c r="J1463" s="1" t="str">
        <f aca="false">IF(A1463="","", "SAMP-"&amp;A1463&amp;"-L"&amp;TEXT(B1463,"00")&amp;"-"&amp;TEXT(C1463,"yyyymmdd")&amp;"-"&amp;D1463&amp;"-H"&amp;TEXT(E1463,"00")&amp;"-"&amp;H1463)</f>
        <v>SAMP-KG01-L23-20251217-ORD-2025-00240-H23-Distortion</v>
      </c>
      <c r="K1463" s="1" t="str">
        <f aca="false">IF(A1463="","",IF(AND(G1463&gt;=0,I1463&gt;=0,I1463&lt;=G1463),"OK","CHECK"))</f>
        <v>OK</v>
      </c>
      <c r="L1463" s="1" t="str">
        <f aca="false">IF(A1463="","",IF(AND(E1463&gt;=0,E1463&lt;=23),"OK","CHECK"))</f>
        <v>OK</v>
      </c>
      <c r="M1463" s="1" t="str">
        <f aca="false">IF(A1463="","",IF(AND(K1463="OK",L1463="OK"),"OK","CHECK"))</f>
        <v>OK</v>
      </c>
    </row>
    <row r="1464" customFormat="false" ht="18" hidden="false" customHeight="true" outlineLevel="0" collapsed="false">
      <c r="A1464" s="9" t="s">
        <v>26</v>
      </c>
      <c r="B1464" s="9" t="n">
        <v>23</v>
      </c>
      <c r="C1464" s="11" t="n">
        <v>46008</v>
      </c>
      <c r="D1464" s="9" t="s">
        <v>129</v>
      </c>
      <c r="E1464" s="12" t="n">
        <v>16</v>
      </c>
      <c r="F1464" s="9" t="s">
        <v>31</v>
      </c>
      <c r="G1464" s="13" t="n">
        <v>150</v>
      </c>
      <c r="H1464" s="9" t="s">
        <v>35</v>
      </c>
      <c r="I1464" s="13" t="n">
        <v>2</v>
      </c>
      <c r="J1464" s="1" t="str">
        <f aca="false">IF(A1464="","", "SAMP-"&amp;A1464&amp;"-L"&amp;TEXT(B1464,"00")&amp;"-"&amp;TEXT(C1464,"yyyymmdd")&amp;"-"&amp;D1464&amp;"-H"&amp;TEXT(E1464,"00")&amp;"-"&amp;H1464)</f>
        <v>SAMP-KG01-L23-20251217-ORD-2025-00240-H16-Stone</v>
      </c>
      <c r="K1464" s="1" t="str">
        <f aca="false">IF(A1464="","",IF(AND(G1464&gt;=0,I1464&gt;=0,I1464&lt;=G1464),"OK","CHECK"))</f>
        <v>OK</v>
      </c>
      <c r="L1464" s="1" t="str">
        <f aca="false">IF(A1464="","",IF(AND(E1464&gt;=0,E1464&lt;=23),"OK","CHECK"))</f>
        <v>OK</v>
      </c>
      <c r="M1464" s="1" t="str">
        <f aca="false">IF(A1464="","",IF(AND(K1464="OK",L1464="OK"),"OK","CHECK"))</f>
        <v>OK</v>
      </c>
    </row>
    <row r="1465" customFormat="false" ht="18" hidden="false" customHeight="true" outlineLevel="0" collapsed="false">
      <c r="A1465" s="9" t="s">
        <v>26</v>
      </c>
      <c r="B1465" s="9" t="n">
        <v>23</v>
      </c>
      <c r="C1465" s="11" t="n">
        <v>46008</v>
      </c>
      <c r="D1465" s="9" t="s">
        <v>129</v>
      </c>
      <c r="E1465" s="12" t="n">
        <v>20</v>
      </c>
      <c r="F1465" s="9" t="s">
        <v>31</v>
      </c>
      <c r="G1465" s="13" t="n">
        <v>50</v>
      </c>
      <c r="H1465" s="9" t="s">
        <v>35</v>
      </c>
      <c r="I1465" s="13" t="n">
        <v>0</v>
      </c>
      <c r="J1465" s="1" t="str">
        <f aca="false">IF(A1465="","", "SAMP-"&amp;A1465&amp;"-L"&amp;TEXT(B1465,"00")&amp;"-"&amp;TEXT(C1465,"yyyymmdd")&amp;"-"&amp;D1465&amp;"-H"&amp;TEXT(E1465,"00")&amp;"-"&amp;H1465)</f>
        <v>SAMP-KG01-L23-20251217-ORD-2025-00240-H20-Stone</v>
      </c>
      <c r="K1465" s="1" t="str">
        <f aca="false">IF(A1465="","",IF(AND(G1465&gt;=0,I1465&gt;=0,I1465&lt;=G1465),"OK","CHECK"))</f>
        <v>OK</v>
      </c>
      <c r="L1465" s="1" t="str">
        <f aca="false">IF(A1465="","",IF(AND(E1465&gt;=0,E1465&lt;=23),"OK","CHECK"))</f>
        <v>OK</v>
      </c>
      <c r="M1465" s="1" t="str">
        <f aca="false">IF(A1465="","",IF(AND(K1465="OK",L1465="OK"),"OK","CHECK"))</f>
        <v>OK</v>
      </c>
    </row>
    <row r="1466" customFormat="false" ht="18" hidden="false" customHeight="true" outlineLevel="0" collapsed="false">
      <c r="A1466" s="9" t="s">
        <v>26</v>
      </c>
      <c r="B1466" s="9" t="n">
        <v>23</v>
      </c>
      <c r="C1466" s="11" t="n">
        <v>46009</v>
      </c>
      <c r="D1466" s="9" t="s">
        <v>129</v>
      </c>
      <c r="E1466" s="12" t="n">
        <v>12</v>
      </c>
      <c r="F1466" s="9" t="s">
        <v>28</v>
      </c>
      <c r="G1466" s="13" t="n">
        <v>150</v>
      </c>
      <c r="H1466" s="9" t="s">
        <v>38</v>
      </c>
      <c r="I1466" s="13" t="n">
        <v>3</v>
      </c>
      <c r="J1466" s="1" t="str">
        <f aca="false">IF(A1466="","", "SAMP-"&amp;A1466&amp;"-L"&amp;TEXT(B1466,"00")&amp;"-"&amp;TEXT(C1466,"yyyymmdd")&amp;"-"&amp;D1466&amp;"-H"&amp;TEXT(E1466,"00")&amp;"-"&amp;H1466)</f>
        <v>SAMP-KG01-L23-20251218-ORD-2025-00240-H12-Crack</v>
      </c>
      <c r="K1466" s="1" t="str">
        <f aca="false">IF(A1466="","",IF(AND(G1466&gt;=0,I1466&gt;=0,I1466&lt;=G1466),"OK","CHECK"))</f>
        <v>OK</v>
      </c>
      <c r="L1466" s="1" t="str">
        <f aca="false">IF(A1466="","",IF(AND(E1466&gt;=0,E1466&lt;=23),"OK","CHECK"))</f>
        <v>OK</v>
      </c>
      <c r="M1466" s="1" t="str">
        <f aca="false">IF(A1466="","",IF(AND(K1466="OK",L1466="OK"),"OK","CHECK"))</f>
        <v>OK</v>
      </c>
    </row>
    <row r="1467" customFormat="false" ht="18" hidden="false" customHeight="true" outlineLevel="0" collapsed="false">
      <c r="A1467" s="9" t="s">
        <v>26</v>
      </c>
      <c r="B1467" s="9" t="n">
        <v>23</v>
      </c>
      <c r="C1467" s="11" t="n">
        <v>46009</v>
      </c>
      <c r="D1467" s="9" t="s">
        <v>129</v>
      </c>
      <c r="E1467" s="12" t="n">
        <v>9</v>
      </c>
      <c r="F1467" s="9" t="s">
        <v>28</v>
      </c>
      <c r="G1467" s="13" t="n">
        <v>100</v>
      </c>
      <c r="H1467" s="9" t="s">
        <v>29</v>
      </c>
      <c r="I1467" s="13" t="n">
        <v>1</v>
      </c>
      <c r="J1467" s="1" t="str">
        <f aca="false">IF(A1467="","", "SAMP-"&amp;A1467&amp;"-L"&amp;TEXT(B1467,"00")&amp;"-"&amp;TEXT(C1467,"yyyymmdd")&amp;"-"&amp;D1467&amp;"-H"&amp;TEXT(E1467,"00")&amp;"-"&amp;H1467)</f>
        <v>SAMP-KG01-L23-20251218-ORD-2025-00240-H09-Choke Neck</v>
      </c>
      <c r="K1467" s="1" t="str">
        <f aca="false">IF(A1467="","",IF(AND(G1467&gt;=0,I1467&gt;=0,I1467&lt;=G1467),"OK","CHECK"))</f>
        <v>OK</v>
      </c>
      <c r="L1467" s="1" t="str">
        <f aca="false">IF(A1467="","",IF(AND(E1467&gt;=0,E1467&lt;=23),"OK","CHECK"))</f>
        <v>OK</v>
      </c>
      <c r="M1467" s="1" t="str">
        <f aca="false">IF(A1467="","",IF(AND(K1467="OK",L1467="OK"),"OK","CHECK"))</f>
        <v>OK</v>
      </c>
    </row>
    <row r="1468" customFormat="false" ht="18" hidden="false" customHeight="true" outlineLevel="0" collapsed="false">
      <c r="A1468" s="9" t="s">
        <v>26</v>
      </c>
      <c r="B1468" s="9" t="n">
        <v>23</v>
      </c>
      <c r="C1468" s="11" t="n">
        <v>46009</v>
      </c>
      <c r="D1468" s="9" t="s">
        <v>129</v>
      </c>
      <c r="E1468" s="12" t="n">
        <v>7</v>
      </c>
      <c r="F1468" s="9" t="s">
        <v>28</v>
      </c>
      <c r="G1468" s="13" t="n">
        <v>200</v>
      </c>
      <c r="H1468" s="9" t="s">
        <v>35</v>
      </c>
      <c r="I1468" s="13" t="n">
        <v>0</v>
      </c>
      <c r="J1468" s="1" t="str">
        <f aca="false">IF(A1468="","", "SAMP-"&amp;A1468&amp;"-L"&amp;TEXT(B1468,"00")&amp;"-"&amp;TEXT(C1468,"yyyymmdd")&amp;"-"&amp;D1468&amp;"-H"&amp;TEXT(E1468,"00")&amp;"-"&amp;H1468)</f>
        <v>SAMP-KG01-L23-20251218-ORD-2025-00240-H07-Stone</v>
      </c>
      <c r="K1468" s="1" t="str">
        <f aca="false">IF(A1468="","",IF(AND(G1468&gt;=0,I1468&gt;=0,I1468&lt;=G1468),"OK","CHECK"))</f>
        <v>OK</v>
      </c>
      <c r="L1468" s="1" t="str">
        <f aca="false">IF(A1468="","",IF(AND(E1468&gt;=0,E1468&lt;=23),"OK","CHECK"))</f>
        <v>OK</v>
      </c>
      <c r="M1468" s="1" t="str">
        <f aca="false">IF(A1468="","",IF(AND(K1468="OK",L1468="OK"),"OK","CHECK"))</f>
        <v>OK</v>
      </c>
    </row>
    <row r="1469" customFormat="false" ht="18" hidden="false" customHeight="true" outlineLevel="0" collapsed="false">
      <c r="A1469" s="9" t="s">
        <v>26</v>
      </c>
      <c r="B1469" s="9" t="n">
        <v>23</v>
      </c>
      <c r="C1469" s="11" t="n">
        <v>46009</v>
      </c>
      <c r="D1469" s="9" t="s">
        <v>130</v>
      </c>
      <c r="E1469" s="12" t="n">
        <v>16</v>
      </c>
      <c r="F1469" s="9" t="s">
        <v>31</v>
      </c>
      <c r="G1469" s="13" t="n">
        <v>150</v>
      </c>
      <c r="H1469" s="9" t="s">
        <v>38</v>
      </c>
      <c r="I1469" s="13" t="n">
        <v>0</v>
      </c>
      <c r="J1469" s="1" t="str">
        <f aca="false">IF(A1469="","", "SAMP-"&amp;A1469&amp;"-L"&amp;TEXT(B1469,"00")&amp;"-"&amp;TEXT(C1469,"yyyymmdd")&amp;"-"&amp;D1469&amp;"-H"&amp;TEXT(E1469,"00")&amp;"-"&amp;H1469)</f>
        <v>SAMP-KG01-L23-20251218-ORD-2025-00241-H16-Crack</v>
      </c>
      <c r="K1469" s="1" t="str">
        <f aca="false">IF(A1469="","",IF(AND(G1469&gt;=0,I1469&gt;=0,I1469&lt;=G1469),"OK","CHECK"))</f>
        <v>OK</v>
      </c>
      <c r="L1469" s="1" t="str">
        <f aca="false">IF(A1469="","",IF(AND(E1469&gt;=0,E1469&lt;=23),"OK","CHECK"))</f>
        <v>OK</v>
      </c>
      <c r="M1469" s="1" t="str">
        <f aca="false">IF(A1469="","",IF(AND(K1469="OK",L1469="OK"),"OK","CHECK"))</f>
        <v>OK</v>
      </c>
    </row>
    <row r="1470" customFormat="false" ht="18" hidden="false" customHeight="true" outlineLevel="0" collapsed="false">
      <c r="A1470" s="9" t="s">
        <v>26</v>
      </c>
      <c r="B1470" s="9" t="n">
        <v>23</v>
      </c>
      <c r="C1470" s="11" t="n">
        <v>46009</v>
      </c>
      <c r="D1470" s="9" t="s">
        <v>130</v>
      </c>
      <c r="E1470" s="12" t="n">
        <v>23</v>
      </c>
      <c r="F1470" s="9" t="s">
        <v>31</v>
      </c>
      <c r="G1470" s="13" t="n">
        <v>200</v>
      </c>
      <c r="H1470" s="9" t="s">
        <v>36</v>
      </c>
      <c r="I1470" s="13" t="n">
        <v>9</v>
      </c>
      <c r="J1470" s="1" t="str">
        <f aca="false">IF(A1470="","", "SAMP-"&amp;A1470&amp;"-L"&amp;TEXT(B1470,"00")&amp;"-"&amp;TEXT(C1470,"yyyymmdd")&amp;"-"&amp;D1470&amp;"-H"&amp;TEXT(E1470,"00")&amp;"-"&amp;H1470)</f>
        <v>SAMP-KG01-L23-20251218-ORD-2025-00241-H23-Blister</v>
      </c>
      <c r="K1470" s="1" t="str">
        <f aca="false">IF(A1470="","",IF(AND(G1470&gt;=0,I1470&gt;=0,I1470&lt;=G1470),"OK","CHECK"))</f>
        <v>OK</v>
      </c>
      <c r="L1470" s="1" t="str">
        <f aca="false">IF(A1470="","",IF(AND(E1470&gt;=0,E1470&lt;=23),"OK","CHECK"))</f>
        <v>OK</v>
      </c>
      <c r="M1470" s="1" t="str">
        <f aca="false">IF(A1470="","",IF(AND(K1470="OK",L1470="OK"),"OK","CHECK"))</f>
        <v>OK</v>
      </c>
    </row>
    <row r="1471" customFormat="false" ht="18" hidden="false" customHeight="true" outlineLevel="0" collapsed="false">
      <c r="A1471" s="9" t="s">
        <v>26</v>
      </c>
      <c r="B1471" s="9" t="n">
        <v>23</v>
      </c>
      <c r="C1471" s="11" t="n">
        <v>46009</v>
      </c>
      <c r="D1471" s="9" t="s">
        <v>130</v>
      </c>
      <c r="E1471" s="12" t="n">
        <v>20</v>
      </c>
      <c r="F1471" s="9" t="s">
        <v>31</v>
      </c>
      <c r="G1471" s="13" t="n">
        <v>200</v>
      </c>
      <c r="H1471" s="9" t="s">
        <v>30</v>
      </c>
      <c r="I1471" s="13" t="n">
        <v>8</v>
      </c>
      <c r="J1471" s="1" t="str">
        <f aca="false">IF(A1471="","", "SAMP-"&amp;A1471&amp;"-L"&amp;TEXT(B1471,"00")&amp;"-"&amp;TEXT(C1471,"yyyymmdd")&amp;"-"&amp;D1471&amp;"-H"&amp;TEXT(E1471,"00")&amp;"-"&amp;H1471)</f>
        <v>SAMP-KG01-L23-20251218-ORD-2025-00241-H20-Overpress</v>
      </c>
      <c r="K1471" s="1" t="str">
        <f aca="false">IF(A1471="","",IF(AND(G1471&gt;=0,I1471&gt;=0,I1471&lt;=G1471),"OK","CHECK"))</f>
        <v>OK</v>
      </c>
      <c r="L1471" s="1" t="str">
        <f aca="false">IF(A1471="","",IF(AND(E1471&gt;=0,E1471&lt;=23),"OK","CHECK"))</f>
        <v>OK</v>
      </c>
      <c r="M1471" s="1" t="str">
        <f aca="false">IF(A1471="","",IF(AND(K1471="OK",L1471="OK"),"OK","CHECK"))</f>
        <v>OK</v>
      </c>
    </row>
    <row r="1472" customFormat="false" ht="18" hidden="false" customHeight="true" outlineLevel="0" collapsed="false">
      <c r="A1472" s="9" t="s">
        <v>26</v>
      </c>
      <c r="B1472" s="9" t="n">
        <v>23</v>
      </c>
      <c r="C1472" s="11" t="n">
        <v>46010</v>
      </c>
      <c r="D1472" s="9" t="s">
        <v>130</v>
      </c>
      <c r="E1472" s="12" t="n">
        <v>9</v>
      </c>
      <c r="F1472" s="9" t="s">
        <v>28</v>
      </c>
      <c r="G1472" s="13" t="n">
        <v>200</v>
      </c>
      <c r="H1472" s="9" t="s">
        <v>30</v>
      </c>
      <c r="I1472" s="13" t="n">
        <v>3</v>
      </c>
      <c r="J1472" s="1" t="str">
        <f aca="false">IF(A1472="","", "SAMP-"&amp;A1472&amp;"-L"&amp;TEXT(B1472,"00")&amp;"-"&amp;TEXT(C1472,"yyyymmdd")&amp;"-"&amp;D1472&amp;"-H"&amp;TEXT(E1472,"00")&amp;"-"&amp;H1472)</f>
        <v>SAMP-KG01-L23-20251219-ORD-2025-00241-H09-Overpress</v>
      </c>
      <c r="K1472" s="1" t="str">
        <f aca="false">IF(A1472="","",IF(AND(G1472&gt;=0,I1472&gt;=0,I1472&lt;=G1472),"OK","CHECK"))</f>
        <v>OK</v>
      </c>
      <c r="L1472" s="1" t="str">
        <f aca="false">IF(A1472="","",IF(AND(E1472&gt;=0,E1472&lt;=23),"OK","CHECK"))</f>
        <v>OK</v>
      </c>
      <c r="M1472" s="1" t="str">
        <f aca="false">IF(A1472="","",IF(AND(K1472="OK",L1472="OK"),"OK","CHECK"))</f>
        <v>OK</v>
      </c>
    </row>
    <row r="1473" customFormat="false" ht="18" hidden="false" customHeight="true" outlineLevel="0" collapsed="false">
      <c r="A1473" s="9" t="s">
        <v>26</v>
      </c>
      <c r="B1473" s="9" t="n">
        <v>23</v>
      </c>
      <c r="C1473" s="11" t="n">
        <v>46010</v>
      </c>
      <c r="D1473" s="9" t="s">
        <v>130</v>
      </c>
      <c r="E1473" s="12" t="n">
        <v>7</v>
      </c>
      <c r="F1473" s="9" t="s">
        <v>28</v>
      </c>
      <c r="G1473" s="13" t="n">
        <v>100</v>
      </c>
      <c r="H1473" s="9" t="s">
        <v>37</v>
      </c>
      <c r="I1473" s="13" t="n">
        <v>2</v>
      </c>
      <c r="J1473" s="1" t="str">
        <f aca="false">IF(A1473="","", "SAMP-"&amp;A1473&amp;"-L"&amp;TEXT(B1473,"00")&amp;"-"&amp;TEXT(C1473,"yyyymmdd")&amp;"-"&amp;D1473&amp;"-H"&amp;TEXT(E1473,"00")&amp;"-"&amp;H1473)</f>
        <v>SAMP-KG01-L23-20251219-ORD-2025-00241-H07-Bird Swing</v>
      </c>
      <c r="K1473" s="1" t="str">
        <f aca="false">IF(A1473="","",IF(AND(G1473&gt;=0,I1473&gt;=0,I1473&lt;=G1473),"OK","CHECK"))</f>
        <v>OK</v>
      </c>
      <c r="L1473" s="1" t="str">
        <f aca="false">IF(A1473="","",IF(AND(E1473&gt;=0,E1473&lt;=23),"OK","CHECK"))</f>
        <v>OK</v>
      </c>
      <c r="M1473" s="1" t="str">
        <f aca="false">IF(A1473="","",IF(AND(K1473="OK",L1473="OK"),"OK","CHECK"))</f>
        <v>OK</v>
      </c>
    </row>
    <row r="1474" customFormat="false" ht="18" hidden="false" customHeight="true" outlineLevel="0" collapsed="false">
      <c r="A1474" s="9" t="s">
        <v>26</v>
      </c>
      <c r="B1474" s="9" t="n">
        <v>23</v>
      </c>
      <c r="C1474" s="11" t="n">
        <v>46010</v>
      </c>
      <c r="D1474" s="9" t="s">
        <v>130</v>
      </c>
      <c r="E1474" s="12" t="n">
        <v>12</v>
      </c>
      <c r="F1474" s="9" t="s">
        <v>28</v>
      </c>
      <c r="G1474" s="13" t="n">
        <v>200</v>
      </c>
      <c r="H1474" s="9" t="s">
        <v>33</v>
      </c>
      <c r="I1474" s="13" t="n">
        <v>3</v>
      </c>
      <c r="J1474" s="1" t="str">
        <f aca="false">IF(A1474="","", "SAMP-"&amp;A1474&amp;"-L"&amp;TEXT(B1474,"00")&amp;"-"&amp;TEXT(C1474,"yyyymmdd")&amp;"-"&amp;D1474&amp;"-H"&amp;TEXT(E1474,"00")&amp;"-"&amp;H1474)</f>
        <v>SAMP-KG01-L23-20251219-ORD-2025-00241-H12-Distortion</v>
      </c>
      <c r="K1474" s="1" t="str">
        <f aca="false">IF(A1474="","",IF(AND(G1474&gt;=0,I1474&gt;=0,I1474&lt;=G1474),"OK","CHECK"))</f>
        <v>OK</v>
      </c>
      <c r="L1474" s="1" t="str">
        <f aca="false">IF(A1474="","",IF(AND(E1474&gt;=0,E1474&lt;=23),"OK","CHECK"))</f>
        <v>OK</v>
      </c>
      <c r="M1474" s="1" t="str">
        <f aca="false">IF(A1474="","",IF(AND(K1474="OK",L1474="OK"),"OK","CHECK"))</f>
        <v>OK</v>
      </c>
    </row>
    <row r="1475" customFormat="false" ht="18" hidden="false" customHeight="true" outlineLevel="0" collapsed="false">
      <c r="A1475" s="9" t="s">
        <v>26</v>
      </c>
      <c r="B1475" s="9" t="n">
        <v>23</v>
      </c>
      <c r="C1475" s="11" t="n">
        <v>46010</v>
      </c>
      <c r="D1475" s="9" t="s">
        <v>130</v>
      </c>
      <c r="E1475" s="12" t="n">
        <v>16</v>
      </c>
      <c r="F1475" s="9" t="s">
        <v>31</v>
      </c>
      <c r="G1475" s="13" t="n">
        <v>100</v>
      </c>
      <c r="H1475" s="9" t="s">
        <v>33</v>
      </c>
      <c r="I1475" s="13" t="n">
        <v>5</v>
      </c>
      <c r="J1475" s="1" t="str">
        <f aca="false">IF(A1475="","", "SAMP-"&amp;A1475&amp;"-L"&amp;TEXT(B1475,"00")&amp;"-"&amp;TEXT(C1475,"yyyymmdd")&amp;"-"&amp;D1475&amp;"-H"&amp;TEXT(E1475,"00")&amp;"-"&amp;H1475)</f>
        <v>SAMP-KG01-L23-20251219-ORD-2025-00241-H16-Distortion</v>
      </c>
      <c r="K1475" s="1" t="str">
        <f aca="false">IF(A1475="","",IF(AND(G1475&gt;=0,I1475&gt;=0,I1475&lt;=G1475),"OK","CHECK"))</f>
        <v>OK</v>
      </c>
      <c r="L1475" s="1" t="str">
        <f aca="false">IF(A1475="","",IF(AND(E1475&gt;=0,E1475&lt;=23),"OK","CHECK"))</f>
        <v>OK</v>
      </c>
      <c r="M1475" s="1" t="str">
        <f aca="false">IF(A1475="","",IF(AND(K1475="OK",L1475="OK"),"OK","CHECK"))</f>
        <v>OK</v>
      </c>
    </row>
    <row r="1476" customFormat="false" ht="18" hidden="false" customHeight="true" outlineLevel="0" collapsed="false">
      <c r="A1476" s="9" t="s">
        <v>26</v>
      </c>
      <c r="B1476" s="9" t="n">
        <v>23</v>
      </c>
      <c r="C1476" s="11" t="n">
        <v>46010</v>
      </c>
      <c r="D1476" s="9" t="s">
        <v>130</v>
      </c>
      <c r="E1476" s="12" t="n">
        <v>23</v>
      </c>
      <c r="F1476" s="9" t="s">
        <v>31</v>
      </c>
      <c r="G1476" s="13" t="n">
        <v>150</v>
      </c>
      <c r="H1476" s="9" t="s">
        <v>29</v>
      </c>
      <c r="I1476" s="13" t="n">
        <v>8</v>
      </c>
      <c r="J1476" s="1" t="str">
        <f aca="false">IF(A1476="","", "SAMP-"&amp;A1476&amp;"-L"&amp;TEXT(B1476,"00")&amp;"-"&amp;TEXT(C1476,"yyyymmdd")&amp;"-"&amp;D1476&amp;"-H"&amp;TEXT(E1476,"00")&amp;"-"&amp;H1476)</f>
        <v>SAMP-KG01-L23-20251219-ORD-2025-00241-H23-Choke Neck</v>
      </c>
      <c r="K1476" s="1" t="str">
        <f aca="false">IF(A1476="","",IF(AND(G1476&gt;=0,I1476&gt;=0,I1476&lt;=G1476),"OK","CHECK"))</f>
        <v>OK</v>
      </c>
      <c r="L1476" s="1" t="str">
        <f aca="false">IF(A1476="","",IF(AND(E1476&gt;=0,E1476&lt;=23),"OK","CHECK"))</f>
        <v>OK</v>
      </c>
      <c r="M1476" s="1" t="str">
        <f aca="false">IF(A1476="","",IF(AND(K1476="OK",L1476="OK"),"OK","CHECK"))</f>
        <v>OK</v>
      </c>
    </row>
    <row r="1477" customFormat="false" ht="18" hidden="false" customHeight="true" outlineLevel="0" collapsed="false">
      <c r="A1477" s="9" t="s">
        <v>26</v>
      </c>
      <c r="B1477" s="9" t="n">
        <v>23</v>
      </c>
      <c r="C1477" s="11" t="n">
        <v>46011</v>
      </c>
      <c r="D1477" s="9" t="s">
        <v>130</v>
      </c>
      <c r="E1477" s="12" t="n">
        <v>12</v>
      </c>
      <c r="F1477" s="9" t="s">
        <v>28</v>
      </c>
      <c r="G1477" s="13" t="n">
        <v>100</v>
      </c>
      <c r="H1477" s="9" t="s">
        <v>30</v>
      </c>
      <c r="I1477" s="13" t="n">
        <v>3</v>
      </c>
      <c r="J1477" s="1" t="str">
        <f aca="false">IF(A1477="","", "SAMP-"&amp;A1477&amp;"-L"&amp;TEXT(B1477,"00")&amp;"-"&amp;TEXT(C1477,"yyyymmdd")&amp;"-"&amp;D1477&amp;"-H"&amp;TEXT(E1477,"00")&amp;"-"&amp;H1477)</f>
        <v>SAMP-KG01-L23-20251220-ORD-2025-00241-H12-Overpress</v>
      </c>
      <c r="K1477" s="1" t="str">
        <f aca="false">IF(A1477="","",IF(AND(G1477&gt;=0,I1477&gt;=0,I1477&lt;=G1477),"OK","CHECK"))</f>
        <v>OK</v>
      </c>
      <c r="L1477" s="1" t="str">
        <f aca="false">IF(A1477="","",IF(AND(E1477&gt;=0,E1477&lt;=23),"OK","CHECK"))</f>
        <v>OK</v>
      </c>
      <c r="M1477" s="1" t="str">
        <f aca="false">IF(A1477="","",IF(AND(K1477="OK",L1477="OK"),"OK","CHECK"))</f>
        <v>OK</v>
      </c>
    </row>
    <row r="1478" customFormat="false" ht="18" hidden="false" customHeight="true" outlineLevel="0" collapsed="false">
      <c r="A1478" s="9" t="s">
        <v>26</v>
      </c>
      <c r="B1478" s="9" t="n">
        <v>23</v>
      </c>
      <c r="C1478" s="11" t="n">
        <v>46011</v>
      </c>
      <c r="D1478" s="9" t="s">
        <v>130</v>
      </c>
      <c r="E1478" s="12" t="n">
        <v>9</v>
      </c>
      <c r="F1478" s="9" t="s">
        <v>28</v>
      </c>
      <c r="G1478" s="13" t="n">
        <v>200</v>
      </c>
      <c r="H1478" s="9" t="s">
        <v>37</v>
      </c>
      <c r="I1478" s="13" t="n">
        <v>4</v>
      </c>
      <c r="J1478" s="1" t="str">
        <f aca="false">IF(A1478="","", "SAMP-"&amp;A1478&amp;"-L"&amp;TEXT(B1478,"00")&amp;"-"&amp;TEXT(C1478,"yyyymmdd")&amp;"-"&amp;D1478&amp;"-H"&amp;TEXT(E1478,"00")&amp;"-"&amp;H1478)</f>
        <v>SAMP-KG01-L23-20251220-ORD-2025-00241-H09-Bird Swing</v>
      </c>
      <c r="K1478" s="1" t="str">
        <f aca="false">IF(A1478="","",IF(AND(G1478&gt;=0,I1478&gt;=0,I1478&lt;=G1478),"OK","CHECK"))</f>
        <v>OK</v>
      </c>
      <c r="L1478" s="1" t="str">
        <f aca="false">IF(A1478="","",IF(AND(E1478&gt;=0,E1478&lt;=23),"OK","CHECK"))</f>
        <v>OK</v>
      </c>
      <c r="M1478" s="1" t="str">
        <f aca="false">IF(A1478="","",IF(AND(K1478="OK",L1478="OK"),"OK","CHECK"))</f>
        <v>OK</v>
      </c>
    </row>
    <row r="1479" customFormat="false" ht="18" hidden="false" customHeight="true" outlineLevel="0" collapsed="false">
      <c r="A1479" s="9" t="s">
        <v>26</v>
      </c>
      <c r="B1479" s="9" t="n">
        <v>23</v>
      </c>
      <c r="C1479" s="11" t="n">
        <v>46011</v>
      </c>
      <c r="D1479" s="9" t="s">
        <v>130</v>
      </c>
      <c r="E1479" s="12" t="n">
        <v>7</v>
      </c>
      <c r="F1479" s="9" t="s">
        <v>28</v>
      </c>
      <c r="G1479" s="13" t="n">
        <v>200</v>
      </c>
      <c r="H1479" s="9" t="s">
        <v>34</v>
      </c>
      <c r="I1479" s="13" t="n">
        <v>4</v>
      </c>
      <c r="J1479" s="1" t="str">
        <f aca="false">IF(A1479="","", "SAMP-"&amp;A1479&amp;"-L"&amp;TEXT(B1479,"00")&amp;"-"&amp;TEXT(C1479,"yyyymmdd")&amp;"-"&amp;D1479&amp;"-H"&amp;TEXT(E1479,"00")&amp;"-"&amp;H1479)</f>
        <v>SAMP-KG01-L23-20251220-ORD-2025-00241-H07-Thin Wall</v>
      </c>
      <c r="K1479" s="1" t="str">
        <f aca="false">IF(A1479="","",IF(AND(G1479&gt;=0,I1479&gt;=0,I1479&lt;=G1479),"OK","CHECK"))</f>
        <v>OK</v>
      </c>
      <c r="L1479" s="1" t="str">
        <f aca="false">IF(A1479="","",IF(AND(E1479&gt;=0,E1479&lt;=23),"OK","CHECK"))</f>
        <v>OK</v>
      </c>
      <c r="M1479" s="1" t="str">
        <f aca="false">IF(A1479="","",IF(AND(K1479="OK",L1479="OK"),"OK","CHECK"))</f>
        <v>OK</v>
      </c>
    </row>
    <row r="1480" customFormat="false" ht="18" hidden="false" customHeight="true" outlineLevel="0" collapsed="false">
      <c r="A1480" s="9" t="s">
        <v>26</v>
      </c>
      <c r="B1480" s="9" t="n">
        <v>23</v>
      </c>
      <c r="C1480" s="11" t="n">
        <v>46011</v>
      </c>
      <c r="D1480" s="9" t="s">
        <v>130</v>
      </c>
      <c r="E1480" s="12" t="n">
        <v>20</v>
      </c>
      <c r="F1480" s="9" t="s">
        <v>31</v>
      </c>
      <c r="G1480" s="13" t="n">
        <v>150</v>
      </c>
      <c r="H1480" s="9" t="s">
        <v>35</v>
      </c>
      <c r="I1480" s="13" t="n">
        <v>3</v>
      </c>
      <c r="J1480" s="1" t="str">
        <f aca="false">IF(A1480="","", "SAMP-"&amp;A1480&amp;"-L"&amp;TEXT(B1480,"00")&amp;"-"&amp;TEXT(C1480,"yyyymmdd")&amp;"-"&amp;D1480&amp;"-H"&amp;TEXT(E1480,"00")&amp;"-"&amp;H1480)</f>
        <v>SAMP-KG01-L23-20251220-ORD-2025-00241-H20-Stone</v>
      </c>
      <c r="K1480" s="1" t="str">
        <f aca="false">IF(A1480="","",IF(AND(G1480&gt;=0,I1480&gt;=0,I1480&lt;=G1480),"OK","CHECK"))</f>
        <v>OK</v>
      </c>
      <c r="L1480" s="1" t="str">
        <f aca="false">IF(A1480="","",IF(AND(E1480&gt;=0,E1480&lt;=23),"OK","CHECK"))</f>
        <v>OK</v>
      </c>
      <c r="M1480" s="1" t="str">
        <f aca="false">IF(A1480="","",IF(AND(K1480="OK",L1480="OK"),"OK","CHECK"))</f>
        <v>OK</v>
      </c>
    </row>
    <row r="1481" customFormat="false" ht="18" hidden="false" customHeight="true" outlineLevel="0" collapsed="false">
      <c r="A1481" s="9" t="s">
        <v>26</v>
      </c>
      <c r="B1481" s="9" t="n">
        <v>23</v>
      </c>
      <c r="C1481" s="11" t="n">
        <v>46011</v>
      </c>
      <c r="D1481" s="9" t="s">
        <v>130</v>
      </c>
      <c r="E1481" s="12" t="n">
        <v>16</v>
      </c>
      <c r="F1481" s="9" t="s">
        <v>31</v>
      </c>
      <c r="G1481" s="13" t="n">
        <v>150</v>
      </c>
      <c r="H1481" s="9" t="s">
        <v>38</v>
      </c>
      <c r="I1481" s="13" t="n">
        <v>2</v>
      </c>
      <c r="J1481" s="1" t="str">
        <f aca="false">IF(A1481="","", "SAMP-"&amp;A1481&amp;"-L"&amp;TEXT(B1481,"00")&amp;"-"&amp;TEXT(C1481,"yyyymmdd")&amp;"-"&amp;D1481&amp;"-H"&amp;TEXT(E1481,"00")&amp;"-"&amp;H1481)</f>
        <v>SAMP-KG01-L23-20251220-ORD-2025-00241-H16-Crack</v>
      </c>
      <c r="K1481" s="1" t="str">
        <f aca="false">IF(A1481="","",IF(AND(G1481&gt;=0,I1481&gt;=0,I1481&lt;=G1481),"OK","CHECK"))</f>
        <v>OK</v>
      </c>
      <c r="L1481" s="1" t="str">
        <f aca="false">IF(A1481="","",IF(AND(E1481&gt;=0,E1481&lt;=23),"OK","CHECK"))</f>
        <v>OK</v>
      </c>
      <c r="M1481" s="1" t="str">
        <f aca="false">IF(A1481="","",IF(AND(K1481="OK",L1481="OK"),"OK","CHECK"))</f>
        <v>OK</v>
      </c>
    </row>
    <row r="1482" customFormat="false" ht="18" hidden="false" customHeight="true" outlineLevel="0" collapsed="false">
      <c r="A1482" s="9" t="s">
        <v>26</v>
      </c>
      <c r="B1482" s="9" t="n">
        <v>23</v>
      </c>
      <c r="C1482" s="11" t="n">
        <v>46012</v>
      </c>
      <c r="D1482" s="9" t="s">
        <v>130</v>
      </c>
      <c r="E1482" s="12" t="n">
        <v>7</v>
      </c>
      <c r="F1482" s="9" t="s">
        <v>28</v>
      </c>
      <c r="G1482" s="13" t="n">
        <v>50</v>
      </c>
      <c r="H1482" s="9" t="s">
        <v>34</v>
      </c>
      <c r="I1482" s="13" t="n">
        <v>1</v>
      </c>
      <c r="J1482" s="1" t="str">
        <f aca="false">IF(A1482="","", "SAMP-"&amp;A1482&amp;"-L"&amp;TEXT(B1482,"00")&amp;"-"&amp;TEXT(C1482,"yyyymmdd")&amp;"-"&amp;D1482&amp;"-H"&amp;TEXT(E1482,"00")&amp;"-"&amp;H1482)</f>
        <v>SAMP-KG01-L23-20251221-ORD-2025-00241-H07-Thin Wall</v>
      </c>
      <c r="K1482" s="1" t="str">
        <f aca="false">IF(A1482="","",IF(AND(G1482&gt;=0,I1482&gt;=0,I1482&lt;=G1482),"OK","CHECK"))</f>
        <v>OK</v>
      </c>
      <c r="L1482" s="1" t="str">
        <f aca="false">IF(A1482="","",IF(AND(E1482&gt;=0,E1482&lt;=23),"OK","CHECK"))</f>
        <v>OK</v>
      </c>
      <c r="M1482" s="1" t="str">
        <f aca="false">IF(A1482="","",IF(AND(K1482="OK",L1482="OK"),"OK","CHECK"))</f>
        <v>OK</v>
      </c>
    </row>
    <row r="1483" customFormat="false" ht="18" hidden="false" customHeight="true" outlineLevel="0" collapsed="false">
      <c r="A1483" s="9" t="s">
        <v>26</v>
      </c>
      <c r="B1483" s="9" t="n">
        <v>23</v>
      </c>
      <c r="C1483" s="11" t="n">
        <v>46012</v>
      </c>
      <c r="D1483" s="9" t="s">
        <v>130</v>
      </c>
      <c r="E1483" s="12" t="n">
        <v>12</v>
      </c>
      <c r="F1483" s="9" t="s">
        <v>28</v>
      </c>
      <c r="G1483" s="13" t="n">
        <v>150</v>
      </c>
      <c r="H1483" s="9" t="s">
        <v>30</v>
      </c>
      <c r="I1483" s="13" t="n">
        <v>5</v>
      </c>
      <c r="J1483" s="1" t="str">
        <f aca="false">IF(A1483="","", "SAMP-"&amp;A1483&amp;"-L"&amp;TEXT(B1483,"00")&amp;"-"&amp;TEXT(C1483,"yyyymmdd")&amp;"-"&amp;D1483&amp;"-H"&amp;TEXT(E1483,"00")&amp;"-"&amp;H1483)</f>
        <v>SAMP-KG01-L23-20251221-ORD-2025-00241-H12-Overpress</v>
      </c>
      <c r="K1483" s="1" t="str">
        <f aca="false">IF(A1483="","",IF(AND(G1483&gt;=0,I1483&gt;=0,I1483&lt;=G1483),"OK","CHECK"))</f>
        <v>OK</v>
      </c>
      <c r="L1483" s="1" t="str">
        <f aca="false">IF(A1483="","",IF(AND(E1483&gt;=0,E1483&lt;=23),"OK","CHECK"))</f>
        <v>OK</v>
      </c>
      <c r="M1483" s="1" t="str">
        <f aca="false">IF(A1483="","",IF(AND(K1483="OK",L1483="OK"),"OK","CHECK"))</f>
        <v>OK</v>
      </c>
    </row>
    <row r="1484" customFormat="false" ht="18" hidden="false" customHeight="true" outlineLevel="0" collapsed="false">
      <c r="A1484" s="9" t="s">
        <v>26</v>
      </c>
      <c r="B1484" s="9" t="n">
        <v>23</v>
      </c>
      <c r="C1484" s="11" t="n">
        <v>46012</v>
      </c>
      <c r="D1484" s="9" t="s">
        <v>130</v>
      </c>
      <c r="E1484" s="12" t="n">
        <v>9</v>
      </c>
      <c r="F1484" s="9" t="s">
        <v>28</v>
      </c>
      <c r="G1484" s="13" t="n">
        <v>150</v>
      </c>
      <c r="H1484" s="9" t="s">
        <v>36</v>
      </c>
      <c r="I1484" s="13" t="n">
        <v>4</v>
      </c>
      <c r="J1484" s="1" t="str">
        <f aca="false">IF(A1484="","", "SAMP-"&amp;A1484&amp;"-L"&amp;TEXT(B1484,"00")&amp;"-"&amp;TEXT(C1484,"yyyymmdd")&amp;"-"&amp;D1484&amp;"-H"&amp;TEXT(E1484,"00")&amp;"-"&amp;H1484)</f>
        <v>SAMP-KG01-L23-20251221-ORD-2025-00241-H09-Blister</v>
      </c>
      <c r="K1484" s="1" t="str">
        <f aca="false">IF(A1484="","",IF(AND(G1484&gt;=0,I1484&gt;=0,I1484&lt;=G1484),"OK","CHECK"))</f>
        <v>OK</v>
      </c>
      <c r="L1484" s="1" t="str">
        <f aca="false">IF(A1484="","",IF(AND(E1484&gt;=0,E1484&lt;=23),"OK","CHECK"))</f>
        <v>OK</v>
      </c>
      <c r="M1484" s="1" t="str">
        <f aca="false">IF(A1484="","",IF(AND(K1484="OK",L1484="OK"),"OK","CHECK"))</f>
        <v>OK</v>
      </c>
    </row>
    <row r="1485" customFormat="false" ht="18" hidden="false" customHeight="true" outlineLevel="0" collapsed="false">
      <c r="A1485" s="9" t="s">
        <v>26</v>
      </c>
      <c r="B1485" s="9" t="n">
        <v>23</v>
      </c>
      <c r="C1485" s="11" t="n">
        <v>46012</v>
      </c>
      <c r="D1485" s="9" t="s">
        <v>130</v>
      </c>
      <c r="E1485" s="12" t="n">
        <v>16</v>
      </c>
      <c r="F1485" s="9" t="s">
        <v>31</v>
      </c>
      <c r="G1485" s="13" t="n">
        <v>100</v>
      </c>
      <c r="H1485" s="9" t="s">
        <v>34</v>
      </c>
      <c r="I1485" s="13" t="n">
        <v>1</v>
      </c>
      <c r="J1485" s="1" t="str">
        <f aca="false">IF(A1485="","", "SAMP-"&amp;A1485&amp;"-L"&amp;TEXT(B1485,"00")&amp;"-"&amp;TEXT(C1485,"yyyymmdd")&amp;"-"&amp;D1485&amp;"-H"&amp;TEXT(E1485,"00")&amp;"-"&amp;H1485)</f>
        <v>SAMP-KG01-L23-20251221-ORD-2025-00241-H16-Thin Wall</v>
      </c>
      <c r="K1485" s="1" t="str">
        <f aca="false">IF(A1485="","",IF(AND(G1485&gt;=0,I1485&gt;=0,I1485&lt;=G1485),"OK","CHECK"))</f>
        <v>OK</v>
      </c>
      <c r="L1485" s="1" t="str">
        <f aca="false">IF(A1485="","",IF(AND(E1485&gt;=0,E1485&lt;=23),"OK","CHECK"))</f>
        <v>OK</v>
      </c>
      <c r="M1485" s="1" t="str">
        <f aca="false">IF(A1485="","",IF(AND(K1485="OK",L1485="OK"),"OK","CHECK"))</f>
        <v>OK</v>
      </c>
    </row>
    <row r="1486" customFormat="false" ht="18" hidden="false" customHeight="true" outlineLevel="0" collapsed="false">
      <c r="A1486" s="9" t="s">
        <v>26</v>
      </c>
      <c r="B1486" s="9" t="n">
        <v>23</v>
      </c>
      <c r="C1486" s="11" t="n">
        <v>46012</v>
      </c>
      <c r="D1486" s="9" t="s">
        <v>130</v>
      </c>
      <c r="E1486" s="12" t="n">
        <v>20</v>
      </c>
      <c r="F1486" s="9" t="s">
        <v>31</v>
      </c>
      <c r="G1486" s="13" t="n">
        <v>100</v>
      </c>
      <c r="H1486" s="9" t="s">
        <v>30</v>
      </c>
      <c r="I1486" s="13" t="n">
        <v>2</v>
      </c>
      <c r="J1486" s="1" t="str">
        <f aca="false">IF(A1486="","", "SAMP-"&amp;A1486&amp;"-L"&amp;TEXT(B1486,"00")&amp;"-"&amp;TEXT(C1486,"yyyymmdd")&amp;"-"&amp;D1486&amp;"-H"&amp;TEXT(E1486,"00")&amp;"-"&amp;H1486)</f>
        <v>SAMP-KG01-L23-20251221-ORD-2025-00241-H20-Overpress</v>
      </c>
      <c r="K1486" s="1" t="str">
        <f aca="false">IF(A1486="","",IF(AND(G1486&gt;=0,I1486&gt;=0,I1486&lt;=G1486),"OK","CHECK"))</f>
        <v>OK</v>
      </c>
      <c r="L1486" s="1" t="str">
        <f aca="false">IF(A1486="","",IF(AND(E1486&gt;=0,E1486&lt;=23),"OK","CHECK"))</f>
        <v>OK</v>
      </c>
      <c r="M1486" s="1" t="str">
        <f aca="false">IF(A1486="","",IF(AND(K1486="OK",L1486="OK"),"OK","CHECK"))</f>
        <v>OK</v>
      </c>
    </row>
    <row r="1487" customFormat="false" ht="18" hidden="false" customHeight="true" outlineLevel="0" collapsed="false">
      <c r="A1487" s="9" t="s">
        <v>26</v>
      </c>
      <c r="B1487" s="9" t="n">
        <v>23</v>
      </c>
      <c r="C1487" s="11" t="n">
        <v>46013</v>
      </c>
      <c r="D1487" s="9" t="s">
        <v>130</v>
      </c>
      <c r="E1487" s="12" t="n">
        <v>12</v>
      </c>
      <c r="F1487" s="9" t="s">
        <v>28</v>
      </c>
      <c r="G1487" s="13" t="n">
        <v>150</v>
      </c>
      <c r="H1487" s="9" t="s">
        <v>36</v>
      </c>
      <c r="I1487" s="13" t="n">
        <v>6</v>
      </c>
      <c r="J1487" s="1" t="str">
        <f aca="false">IF(A1487="","", "SAMP-"&amp;A1487&amp;"-L"&amp;TEXT(B1487,"00")&amp;"-"&amp;TEXT(C1487,"yyyymmdd")&amp;"-"&amp;D1487&amp;"-H"&amp;TEXT(E1487,"00")&amp;"-"&amp;H1487)</f>
        <v>SAMP-KG01-L23-20251222-ORD-2025-00241-H12-Blister</v>
      </c>
      <c r="K1487" s="1" t="str">
        <f aca="false">IF(A1487="","",IF(AND(G1487&gt;=0,I1487&gt;=0,I1487&lt;=G1487),"OK","CHECK"))</f>
        <v>OK</v>
      </c>
      <c r="L1487" s="1" t="str">
        <f aca="false">IF(A1487="","",IF(AND(E1487&gt;=0,E1487&lt;=23),"OK","CHECK"))</f>
        <v>OK</v>
      </c>
      <c r="M1487" s="1" t="str">
        <f aca="false">IF(A1487="","",IF(AND(K1487="OK",L1487="OK"),"OK","CHECK"))</f>
        <v>OK</v>
      </c>
    </row>
    <row r="1488" customFormat="false" ht="18" hidden="false" customHeight="true" outlineLevel="0" collapsed="false">
      <c r="A1488" s="9" t="s">
        <v>26</v>
      </c>
      <c r="B1488" s="9" t="n">
        <v>23</v>
      </c>
      <c r="C1488" s="11" t="n">
        <v>46013</v>
      </c>
      <c r="D1488" s="9" t="s">
        <v>130</v>
      </c>
      <c r="E1488" s="12" t="n">
        <v>9</v>
      </c>
      <c r="F1488" s="9" t="s">
        <v>28</v>
      </c>
      <c r="G1488" s="13" t="n">
        <v>100</v>
      </c>
      <c r="H1488" s="9" t="s">
        <v>34</v>
      </c>
      <c r="I1488" s="13" t="n">
        <v>1</v>
      </c>
      <c r="J1488" s="1" t="str">
        <f aca="false">IF(A1488="","", "SAMP-"&amp;A1488&amp;"-L"&amp;TEXT(B1488,"00")&amp;"-"&amp;TEXT(C1488,"yyyymmdd")&amp;"-"&amp;D1488&amp;"-H"&amp;TEXT(E1488,"00")&amp;"-"&amp;H1488)</f>
        <v>SAMP-KG01-L23-20251222-ORD-2025-00241-H09-Thin Wall</v>
      </c>
      <c r="K1488" s="1" t="str">
        <f aca="false">IF(A1488="","",IF(AND(G1488&gt;=0,I1488&gt;=0,I1488&lt;=G1488),"OK","CHECK"))</f>
        <v>OK</v>
      </c>
      <c r="L1488" s="1" t="str">
        <f aca="false">IF(A1488="","",IF(AND(E1488&gt;=0,E1488&lt;=23),"OK","CHECK"))</f>
        <v>OK</v>
      </c>
      <c r="M1488" s="1" t="str">
        <f aca="false">IF(A1488="","",IF(AND(K1488="OK",L1488="OK"),"OK","CHECK"))</f>
        <v>OK</v>
      </c>
    </row>
    <row r="1489" customFormat="false" ht="18" hidden="false" customHeight="true" outlineLevel="0" collapsed="false">
      <c r="A1489" s="9" t="s">
        <v>26</v>
      </c>
      <c r="B1489" s="9" t="n">
        <v>23</v>
      </c>
      <c r="C1489" s="11" t="n">
        <v>46013</v>
      </c>
      <c r="D1489" s="9" t="s">
        <v>130</v>
      </c>
      <c r="E1489" s="12" t="n">
        <v>7</v>
      </c>
      <c r="F1489" s="9" t="s">
        <v>28</v>
      </c>
      <c r="G1489" s="13" t="n">
        <v>150</v>
      </c>
      <c r="H1489" s="9" t="s">
        <v>41</v>
      </c>
      <c r="I1489" s="13" t="n">
        <v>1</v>
      </c>
      <c r="J1489" s="1" t="str">
        <f aca="false">IF(A1489="","", "SAMP-"&amp;A1489&amp;"-L"&amp;TEXT(B1489,"00")&amp;"-"&amp;TEXT(C1489,"yyyymmdd")&amp;"-"&amp;D1489&amp;"-H"&amp;TEXT(E1489,"00")&amp;"-"&amp;H1489)</f>
        <v>SAMP-KG01-L23-20251222-ORD-2025-00241-H07-Chip</v>
      </c>
      <c r="K1489" s="1" t="str">
        <f aca="false">IF(A1489="","",IF(AND(G1489&gt;=0,I1489&gt;=0,I1489&lt;=G1489),"OK","CHECK"))</f>
        <v>OK</v>
      </c>
      <c r="L1489" s="1" t="str">
        <f aca="false">IF(A1489="","",IF(AND(E1489&gt;=0,E1489&lt;=23),"OK","CHECK"))</f>
        <v>OK</v>
      </c>
      <c r="M1489" s="1" t="str">
        <f aca="false">IF(A1489="","",IF(AND(K1489="OK",L1489="OK"),"OK","CHECK"))</f>
        <v>OK</v>
      </c>
    </row>
    <row r="1490" customFormat="false" ht="18" hidden="false" customHeight="true" outlineLevel="0" collapsed="false">
      <c r="A1490" s="9" t="s">
        <v>26</v>
      </c>
      <c r="B1490" s="9" t="n">
        <v>23</v>
      </c>
      <c r="C1490" s="11" t="n">
        <v>46013</v>
      </c>
      <c r="D1490" s="9" t="s">
        <v>130</v>
      </c>
      <c r="E1490" s="12" t="n">
        <v>23</v>
      </c>
      <c r="F1490" s="9" t="s">
        <v>31</v>
      </c>
      <c r="G1490" s="13" t="n">
        <v>100</v>
      </c>
      <c r="H1490" s="9" t="s">
        <v>29</v>
      </c>
      <c r="I1490" s="13" t="n">
        <v>0</v>
      </c>
      <c r="J1490" s="1" t="str">
        <f aca="false">IF(A1490="","", "SAMP-"&amp;A1490&amp;"-L"&amp;TEXT(B1490,"00")&amp;"-"&amp;TEXT(C1490,"yyyymmdd")&amp;"-"&amp;D1490&amp;"-H"&amp;TEXT(E1490,"00")&amp;"-"&amp;H1490)</f>
        <v>SAMP-KG01-L23-20251222-ORD-2025-00241-H23-Choke Neck</v>
      </c>
      <c r="K1490" s="1" t="str">
        <f aca="false">IF(A1490="","",IF(AND(G1490&gt;=0,I1490&gt;=0,I1490&lt;=G1490),"OK","CHECK"))</f>
        <v>OK</v>
      </c>
      <c r="L1490" s="1" t="str">
        <f aca="false">IF(A1490="","",IF(AND(E1490&gt;=0,E1490&lt;=23),"OK","CHECK"))</f>
        <v>OK</v>
      </c>
      <c r="M1490" s="1" t="str">
        <f aca="false">IF(A1490="","",IF(AND(K1490="OK",L1490="OK"),"OK","CHECK"))</f>
        <v>OK</v>
      </c>
    </row>
    <row r="1491" customFormat="false" ht="18" hidden="false" customHeight="true" outlineLevel="0" collapsed="false">
      <c r="A1491" s="9" t="s">
        <v>26</v>
      </c>
      <c r="B1491" s="9" t="n">
        <v>23</v>
      </c>
      <c r="C1491" s="11" t="n">
        <v>46013</v>
      </c>
      <c r="D1491" s="9" t="s">
        <v>130</v>
      </c>
      <c r="E1491" s="12" t="n">
        <v>16</v>
      </c>
      <c r="F1491" s="9" t="s">
        <v>31</v>
      </c>
      <c r="G1491" s="13" t="n">
        <v>150</v>
      </c>
      <c r="H1491" s="9" t="s">
        <v>37</v>
      </c>
      <c r="I1491" s="13" t="n">
        <v>8</v>
      </c>
      <c r="J1491" s="1" t="str">
        <f aca="false">IF(A1491="","", "SAMP-"&amp;A1491&amp;"-L"&amp;TEXT(B1491,"00")&amp;"-"&amp;TEXT(C1491,"yyyymmdd")&amp;"-"&amp;D1491&amp;"-H"&amp;TEXT(E1491,"00")&amp;"-"&amp;H1491)</f>
        <v>SAMP-KG01-L23-20251222-ORD-2025-00241-H16-Bird Swing</v>
      </c>
      <c r="K1491" s="1" t="str">
        <f aca="false">IF(A1491="","",IF(AND(G1491&gt;=0,I1491&gt;=0,I1491&lt;=G1491),"OK","CHECK"))</f>
        <v>OK</v>
      </c>
      <c r="L1491" s="1" t="str">
        <f aca="false">IF(A1491="","",IF(AND(E1491&gt;=0,E1491&lt;=23),"OK","CHECK"))</f>
        <v>OK</v>
      </c>
      <c r="M1491" s="1" t="str">
        <f aca="false">IF(A1491="","",IF(AND(K1491="OK",L1491="OK"),"OK","CHECK"))</f>
        <v>OK</v>
      </c>
    </row>
    <row r="1492" customFormat="false" ht="18" hidden="false" customHeight="true" outlineLevel="0" collapsed="false">
      <c r="A1492" s="9" t="s">
        <v>26</v>
      </c>
      <c r="B1492" s="9" t="n">
        <v>23</v>
      </c>
      <c r="C1492" s="11" t="n">
        <v>46013</v>
      </c>
      <c r="D1492" s="9" t="s">
        <v>130</v>
      </c>
      <c r="E1492" s="12" t="n">
        <v>20</v>
      </c>
      <c r="F1492" s="9" t="s">
        <v>31</v>
      </c>
      <c r="G1492" s="13" t="n">
        <v>50</v>
      </c>
      <c r="H1492" s="9" t="s">
        <v>33</v>
      </c>
      <c r="I1492" s="13" t="n">
        <v>2</v>
      </c>
      <c r="J1492" s="1" t="str">
        <f aca="false">IF(A1492="","", "SAMP-"&amp;A1492&amp;"-L"&amp;TEXT(B1492,"00")&amp;"-"&amp;TEXT(C1492,"yyyymmdd")&amp;"-"&amp;D1492&amp;"-H"&amp;TEXT(E1492,"00")&amp;"-"&amp;H1492)</f>
        <v>SAMP-KG01-L23-20251222-ORD-2025-00241-H20-Distortion</v>
      </c>
      <c r="K1492" s="1" t="str">
        <f aca="false">IF(A1492="","",IF(AND(G1492&gt;=0,I1492&gt;=0,I1492&lt;=G1492),"OK","CHECK"))</f>
        <v>OK</v>
      </c>
      <c r="L1492" s="1" t="str">
        <f aca="false">IF(A1492="","",IF(AND(E1492&gt;=0,E1492&lt;=23),"OK","CHECK"))</f>
        <v>OK</v>
      </c>
      <c r="M1492" s="1" t="str">
        <f aca="false">IF(A1492="","",IF(AND(K1492="OK",L1492="OK"),"OK","CHECK"))</f>
        <v>OK</v>
      </c>
    </row>
    <row r="1493" customFormat="false" ht="18" hidden="false" customHeight="true" outlineLevel="0" collapsed="false">
      <c r="A1493" s="9" t="s">
        <v>26</v>
      </c>
      <c r="B1493" s="9" t="n">
        <v>23</v>
      </c>
      <c r="C1493" s="11" t="n">
        <v>46014</v>
      </c>
      <c r="D1493" s="9" t="s">
        <v>130</v>
      </c>
      <c r="E1493" s="12" t="n">
        <v>9</v>
      </c>
      <c r="F1493" s="9" t="s">
        <v>28</v>
      </c>
      <c r="G1493" s="13" t="n">
        <v>200</v>
      </c>
      <c r="H1493" s="9" t="s">
        <v>36</v>
      </c>
      <c r="I1493" s="13" t="n">
        <v>0</v>
      </c>
      <c r="J1493" s="1" t="str">
        <f aca="false">IF(A1493="","", "SAMP-"&amp;A1493&amp;"-L"&amp;TEXT(B1493,"00")&amp;"-"&amp;TEXT(C1493,"yyyymmdd")&amp;"-"&amp;D1493&amp;"-H"&amp;TEXT(E1493,"00")&amp;"-"&amp;H1493)</f>
        <v>SAMP-KG01-L23-20251223-ORD-2025-00241-H09-Blister</v>
      </c>
      <c r="K1493" s="1" t="str">
        <f aca="false">IF(A1493="","",IF(AND(G1493&gt;=0,I1493&gt;=0,I1493&lt;=G1493),"OK","CHECK"))</f>
        <v>OK</v>
      </c>
      <c r="L1493" s="1" t="str">
        <f aca="false">IF(A1493="","",IF(AND(E1493&gt;=0,E1493&lt;=23),"OK","CHECK"))</f>
        <v>OK</v>
      </c>
      <c r="M1493" s="1" t="str">
        <f aca="false">IF(A1493="","",IF(AND(K1493="OK",L1493="OK"),"OK","CHECK"))</f>
        <v>OK</v>
      </c>
    </row>
    <row r="1494" customFormat="false" ht="18" hidden="false" customHeight="true" outlineLevel="0" collapsed="false">
      <c r="A1494" s="9" t="s">
        <v>26</v>
      </c>
      <c r="B1494" s="9" t="n">
        <v>23</v>
      </c>
      <c r="C1494" s="11" t="n">
        <v>46014</v>
      </c>
      <c r="D1494" s="9" t="s">
        <v>130</v>
      </c>
      <c r="E1494" s="12" t="n">
        <v>12</v>
      </c>
      <c r="F1494" s="9" t="s">
        <v>28</v>
      </c>
      <c r="G1494" s="13" t="n">
        <v>100</v>
      </c>
      <c r="H1494" s="9" t="s">
        <v>29</v>
      </c>
      <c r="I1494" s="13" t="n">
        <v>3</v>
      </c>
      <c r="J1494" s="1" t="str">
        <f aca="false">IF(A1494="","", "SAMP-"&amp;A1494&amp;"-L"&amp;TEXT(B1494,"00")&amp;"-"&amp;TEXT(C1494,"yyyymmdd")&amp;"-"&amp;D1494&amp;"-H"&amp;TEXT(E1494,"00")&amp;"-"&amp;H1494)</f>
        <v>SAMP-KG01-L23-20251223-ORD-2025-00241-H12-Choke Neck</v>
      </c>
      <c r="K1494" s="1" t="str">
        <f aca="false">IF(A1494="","",IF(AND(G1494&gt;=0,I1494&gt;=0,I1494&lt;=G1494),"OK","CHECK"))</f>
        <v>OK</v>
      </c>
      <c r="L1494" s="1" t="str">
        <f aca="false">IF(A1494="","",IF(AND(E1494&gt;=0,E1494&lt;=23),"OK","CHECK"))</f>
        <v>OK</v>
      </c>
      <c r="M1494" s="1" t="str">
        <f aca="false">IF(A1494="","",IF(AND(K1494="OK",L1494="OK"),"OK","CHECK"))</f>
        <v>OK</v>
      </c>
    </row>
    <row r="1495" customFormat="false" ht="18" hidden="false" customHeight="true" outlineLevel="0" collapsed="false">
      <c r="A1495" s="9" t="s">
        <v>26</v>
      </c>
      <c r="B1495" s="9" t="n">
        <v>23</v>
      </c>
      <c r="C1495" s="11" t="n">
        <v>46014</v>
      </c>
      <c r="D1495" s="9" t="s">
        <v>130</v>
      </c>
      <c r="E1495" s="12" t="n">
        <v>7</v>
      </c>
      <c r="F1495" s="9" t="s">
        <v>28</v>
      </c>
      <c r="G1495" s="13" t="n">
        <v>50</v>
      </c>
      <c r="H1495" s="9" t="s">
        <v>35</v>
      </c>
      <c r="I1495" s="13" t="n">
        <v>1</v>
      </c>
      <c r="J1495" s="1" t="str">
        <f aca="false">IF(A1495="","", "SAMP-"&amp;A1495&amp;"-L"&amp;TEXT(B1495,"00")&amp;"-"&amp;TEXT(C1495,"yyyymmdd")&amp;"-"&amp;D1495&amp;"-H"&amp;TEXT(E1495,"00")&amp;"-"&amp;H1495)</f>
        <v>SAMP-KG01-L23-20251223-ORD-2025-00241-H07-Stone</v>
      </c>
      <c r="K1495" s="1" t="str">
        <f aca="false">IF(A1495="","",IF(AND(G1495&gt;=0,I1495&gt;=0,I1495&lt;=G1495),"OK","CHECK"))</f>
        <v>OK</v>
      </c>
      <c r="L1495" s="1" t="str">
        <f aca="false">IF(A1495="","",IF(AND(E1495&gt;=0,E1495&lt;=23),"OK","CHECK"))</f>
        <v>OK</v>
      </c>
      <c r="M1495" s="1" t="str">
        <f aca="false">IF(A1495="","",IF(AND(K1495="OK",L1495="OK"),"OK","CHECK"))</f>
        <v>OK</v>
      </c>
    </row>
    <row r="1496" customFormat="false" ht="18" hidden="false" customHeight="true" outlineLevel="0" collapsed="false">
      <c r="A1496" s="9" t="s">
        <v>26</v>
      </c>
      <c r="B1496" s="9" t="n">
        <v>23</v>
      </c>
      <c r="C1496" s="11" t="n">
        <v>46014</v>
      </c>
      <c r="D1496" s="9" t="s">
        <v>131</v>
      </c>
      <c r="E1496" s="12" t="n">
        <v>16</v>
      </c>
      <c r="F1496" s="9" t="s">
        <v>31</v>
      </c>
      <c r="G1496" s="13" t="n">
        <v>150</v>
      </c>
      <c r="H1496" s="9" t="s">
        <v>37</v>
      </c>
      <c r="I1496" s="13" t="n">
        <v>2</v>
      </c>
      <c r="J1496" s="1" t="str">
        <f aca="false">IF(A1496="","", "SAMP-"&amp;A1496&amp;"-L"&amp;TEXT(B1496,"00")&amp;"-"&amp;TEXT(C1496,"yyyymmdd")&amp;"-"&amp;D1496&amp;"-H"&amp;TEXT(E1496,"00")&amp;"-"&amp;H1496)</f>
        <v>SAMP-KG01-L23-20251223-ORD-2025-00242-H16-Bird Swing</v>
      </c>
      <c r="K1496" s="1" t="str">
        <f aca="false">IF(A1496="","",IF(AND(G1496&gt;=0,I1496&gt;=0,I1496&lt;=G1496),"OK","CHECK"))</f>
        <v>OK</v>
      </c>
      <c r="L1496" s="1" t="str">
        <f aca="false">IF(A1496="","",IF(AND(E1496&gt;=0,E1496&lt;=23),"OK","CHECK"))</f>
        <v>OK</v>
      </c>
      <c r="M1496" s="1" t="str">
        <f aca="false">IF(A1496="","",IF(AND(K1496="OK",L1496="OK"),"OK","CHECK"))</f>
        <v>OK</v>
      </c>
    </row>
    <row r="1497" customFormat="false" ht="18" hidden="false" customHeight="true" outlineLevel="0" collapsed="false">
      <c r="A1497" s="9" t="s">
        <v>26</v>
      </c>
      <c r="B1497" s="9" t="n">
        <v>23</v>
      </c>
      <c r="C1497" s="11" t="n">
        <v>46014</v>
      </c>
      <c r="D1497" s="9" t="s">
        <v>131</v>
      </c>
      <c r="E1497" s="12" t="n">
        <v>23</v>
      </c>
      <c r="F1497" s="9" t="s">
        <v>31</v>
      </c>
      <c r="G1497" s="13" t="n">
        <v>50</v>
      </c>
      <c r="H1497" s="9" t="s">
        <v>37</v>
      </c>
      <c r="I1497" s="13" t="n">
        <v>2</v>
      </c>
      <c r="J1497" s="1" t="str">
        <f aca="false">IF(A1497="","", "SAMP-"&amp;A1497&amp;"-L"&amp;TEXT(B1497,"00")&amp;"-"&amp;TEXT(C1497,"yyyymmdd")&amp;"-"&amp;D1497&amp;"-H"&amp;TEXT(E1497,"00")&amp;"-"&amp;H1497)</f>
        <v>SAMP-KG01-L23-20251223-ORD-2025-00242-H23-Bird Swing</v>
      </c>
      <c r="K1497" s="1" t="str">
        <f aca="false">IF(A1497="","",IF(AND(G1497&gt;=0,I1497&gt;=0,I1497&lt;=G1497),"OK","CHECK"))</f>
        <v>OK</v>
      </c>
      <c r="L1497" s="1" t="str">
        <f aca="false">IF(A1497="","",IF(AND(E1497&gt;=0,E1497&lt;=23),"OK","CHECK"))</f>
        <v>OK</v>
      </c>
      <c r="M1497" s="1" t="str">
        <f aca="false">IF(A1497="","",IF(AND(K1497="OK",L1497="OK"),"OK","CHECK"))</f>
        <v>OK</v>
      </c>
    </row>
    <row r="1498" customFormat="false" ht="18" hidden="false" customHeight="true" outlineLevel="0" collapsed="false">
      <c r="A1498" s="9" t="s">
        <v>26</v>
      </c>
      <c r="B1498" s="9" t="n">
        <v>23</v>
      </c>
      <c r="C1498" s="11" t="n">
        <v>46014</v>
      </c>
      <c r="D1498" s="9" t="s">
        <v>131</v>
      </c>
      <c r="E1498" s="12" t="n">
        <v>20</v>
      </c>
      <c r="F1498" s="9" t="s">
        <v>31</v>
      </c>
      <c r="G1498" s="13" t="n">
        <v>200</v>
      </c>
      <c r="H1498" s="9" t="s">
        <v>35</v>
      </c>
      <c r="I1498" s="13" t="n">
        <v>2</v>
      </c>
      <c r="J1498" s="1" t="str">
        <f aca="false">IF(A1498="","", "SAMP-"&amp;A1498&amp;"-L"&amp;TEXT(B1498,"00")&amp;"-"&amp;TEXT(C1498,"yyyymmdd")&amp;"-"&amp;D1498&amp;"-H"&amp;TEXT(E1498,"00")&amp;"-"&amp;H1498)</f>
        <v>SAMP-KG01-L23-20251223-ORD-2025-00242-H20-Stone</v>
      </c>
      <c r="K1498" s="1" t="str">
        <f aca="false">IF(A1498="","",IF(AND(G1498&gt;=0,I1498&gt;=0,I1498&lt;=G1498),"OK","CHECK"))</f>
        <v>OK</v>
      </c>
      <c r="L1498" s="1" t="str">
        <f aca="false">IF(A1498="","",IF(AND(E1498&gt;=0,E1498&lt;=23),"OK","CHECK"))</f>
        <v>OK</v>
      </c>
      <c r="M1498" s="1" t="str">
        <f aca="false">IF(A1498="","",IF(AND(K1498="OK",L1498="OK"),"OK","CHECK"))</f>
        <v>OK</v>
      </c>
    </row>
    <row r="1499" customFormat="false" ht="18" hidden="false" customHeight="true" outlineLevel="0" collapsed="false">
      <c r="A1499" s="9" t="s">
        <v>26</v>
      </c>
      <c r="B1499" s="9" t="n">
        <v>23</v>
      </c>
      <c r="C1499" s="11" t="n">
        <v>46015</v>
      </c>
      <c r="D1499" s="9" t="s">
        <v>131</v>
      </c>
      <c r="E1499" s="12" t="n">
        <v>7</v>
      </c>
      <c r="F1499" s="9" t="s">
        <v>28</v>
      </c>
      <c r="G1499" s="13" t="n">
        <v>200</v>
      </c>
      <c r="H1499" s="9" t="s">
        <v>29</v>
      </c>
      <c r="I1499" s="13" t="n">
        <v>3</v>
      </c>
      <c r="J1499" s="1" t="str">
        <f aca="false">IF(A1499="","", "SAMP-"&amp;A1499&amp;"-L"&amp;TEXT(B1499,"00")&amp;"-"&amp;TEXT(C1499,"yyyymmdd")&amp;"-"&amp;D1499&amp;"-H"&amp;TEXT(E1499,"00")&amp;"-"&amp;H1499)</f>
        <v>SAMP-KG01-L23-20251224-ORD-2025-00242-H07-Choke Neck</v>
      </c>
      <c r="K1499" s="1" t="str">
        <f aca="false">IF(A1499="","",IF(AND(G1499&gt;=0,I1499&gt;=0,I1499&lt;=G1499),"OK","CHECK"))</f>
        <v>OK</v>
      </c>
      <c r="L1499" s="1" t="str">
        <f aca="false">IF(A1499="","",IF(AND(E1499&gt;=0,E1499&lt;=23),"OK","CHECK"))</f>
        <v>OK</v>
      </c>
      <c r="M1499" s="1" t="str">
        <f aca="false">IF(A1499="","",IF(AND(K1499="OK",L1499="OK"),"OK","CHECK"))</f>
        <v>OK</v>
      </c>
    </row>
    <row r="1500" customFormat="false" ht="18" hidden="false" customHeight="true" outlineLevel="0" collapsed="false">
      <c r="A1500" s="9" t="s">
        <v>26</v>
      </c>
      <c r="B1500" s="9" t="n">
        <v>23</v>
      </c>
      <c r="C1500" s="11" t="n">
        <v>46015</v>
      </c>
      <c r="D1500" s="9" t="s">
        <v>131</v>
      </c>
      <c r="E1500" s="12" t="n">
        <v>12</v>
      </c>
      <c r="F1500" s="9" t="s">
        <v>28</v>
      </c>
      <c r="G1500" s="13" t="n">
        <v>200</v>
      </c>
      <c r="H1500" s="9" t="s">
        <v>37</v>
      </c>
      <c r="I1500" s="13" t="n">
        <v>4</v>
      </c>
      <c r="J1500" s="1" t="str">
        <f aca="false">IF(A1500="","", "SAMP-"&amp;A1500&amp;"-L"&amp;TEXT(B1500,"00")&amp;"-"&amp;TEXT(C1500,"yyyymmdd")&amp;"-"&amp;D1500&amp;"-H"&amp;TEXT(E1500,"00")&amp;"-"&amp;H1500)</f>
        <v>SAMP-KG01-L23-20251224-ORD-2025-00242-H12-Bird Swing</v>
      </c>
      <c r="K1500" s="1" t="str">
        <f aca="false">IF(A1500="","",IF(AND(G1500&gt;=0,I1500&gt;=0,I1500&lt;=G1500),"OK","CHECK"))</f>
        <v>OK</v>
      </c>
      <c r="L1500" s="1" t="str">
        <f aca="false">IF(A1500="","",IF(AND(E1500&gt;=0,E1500&lt;=23),"OK","CHECK"))</f>
        <v>OK</v>
      </c>
      <c r="M1500" s="1" t="str">
        <f aca="false">IF(A1500="","",IF(AND(K1500="OK",L1500="OK"),"OK","CHECK"))</f>
        <v>OK</v>
      </c>
    </row>
    <row r="1501" customFormat="false" ht="18" hidden="false" customHeight="true" outlineLevel="0" collapsed="false">
      <c r="A1501" s="9" t="s">
        <v>26</v>
      </c>
      <c r="B1501" s="9" t="n">
        <v>23</v>
      </c>
      <c r="C1501" s="11" t="n">
        <v>46015</v>
      </c>
      <c r="D1501" s="9" t="s">
        <v>131</v>
      </c>
      <c r="E1501" s="12" t="n">
        <v>9</v>
      </c>
      <c r="F1501" s="9" t="s">
        <v>28</v>
      </c>
      <c r="G1501" s="13" t="n">
        <v>50</v>
      </c>
      <c r="H1501" s="9" t="s">
        <v>35</v>
      </c>
      <c r="I1501" s="13" t="n">
        <v>1</v>
      </c>
      <c r="J1501" s="1" t="str">
        <f aca="false">IF(A1501="","", "SAMP-"&amp;A1501&amp;"-L"&amp;TEXT(B1501,"00")&amp;"-"&amp;TEXT(C1501,"yyyymmdd")&amp;"-"&amp;D1501&amp;"-H"&amp;TEXT(E1501,"00")&amp;"-"&amp;H1501)</f>
        <v>SAMP-KG01-L23-20251224-ORD-2025-00242-H09-Stone</v>
      </c>
      <c r="K1501" s="1" t="str">
        <f aca="false">IF(A1501="","",IF(AND(G1501&gt;=0,I1501&gt;=0,I1501&lt;=G1501),"OK","CHECK"))</f>
        <v>OK</v>
      </c>
      <c r="L1501" s="1" t="str">
        <f aca="false">IF(A1501="","",IF(AND(E1501&gt;=0,E1501&lt;=23),"OK","CHECK"))</f>
        <v>OK</v>
      </c>
      <c r="M1501" s="1" t="str">
        <f aca="false">IF(A1501="","",IF(AND(K1501="OK",L1501="OK"),"OK","CHECK"))</f>
        <v>OK</v>
      </c>
    </row>
    <row r="1502" customFormat="false" ht="18" hidden="false" customHeight="true" outlineLevel="0" collapsed="false">
      <c r="A1502" s="9" t="s">
        <v>26</v>
      </c>
      <c r="B1502" s="9" t="n">
        <v>23</v>
      </c>
      <c r="C1502" s="11" t="n">
        <v>46015</v>
      </c>
      <c r="D1502" s="9" t="s">
        <v>131</v>
      </c>
      <c r="E1502" s="12" t="n">
        <v>23</v>
      </c>
      <c r="F1502" s="9" t="s">
        <v>31</v>
      </c>
      <c r="G1502" s="13" t="n">
        <v>150</v>
      </c>
      <c r="H1502" s="9" t="s">
        <v>33</v>
      </c>
      <c r="I1502" s="13" t="n">
        <v>0</v>
      </c>
      <c r="J1502" s="1" t="str">
        <f aca="false">IF(A1502="","", "SAMP-"&amp;A1502&amp;"-L"&amp;TEXT(B1502,"00")&amp;"-"&amp;TEXT(C1502,"yyyymmdd")&amp;"-"&amp;D1502&amp;"-H"&amp;TEXT(E1502,"00")&amp;"-"&amp;H1502)</f>
        <v>SAMP-KG01-L23-20251224-ORD-2025-00242-H23-Distortion</v>
      </c>
      <c r="K1502" s="1" t="str">
        <f aca="false">IF(A1502="","",IF(AND(G1502&gt;=0,I1502&gt;=0,I1502&lt;=G1502),"OK","CHECK"))</f>
        <v>OK</v>
      </c>
      <c r="L1502" s="1" t="str">
        <f aca="false">IF(A1502="","",IF(AND(E1502&gt;=0,E1502&lt;=23),"OK","CHECK"))</f>
        <v>OK</v>
      </c>
      <c r="M1502" s="1" t="str">
        <f aca="false">IF(A1502="","",IF(AND(K1502="OK",L1502="OK"),"OK","CHECK"))</f>
        <v>OK</v>
      </c>
    </row>
    <row r="1503" customFormat="false" ht="18" hidden="false" customHeight="true" outlineLevel="0" collapsed="false">
      <c r="A1503" s="9" t="s">
        <v>26</v>
      </c>
      <c r="B1503" s="9" t="n">
        <v>23</v>
      </c>
      <c r="C1503" s="11" t="n">
        <v>46015</v>
      </c>
      <c r="D1503" s="9" t="s">
        <v>131</v>
      </c>
      <c r="E1503" s="12" t="n">
        <v>20</v>
      </c>
      <c r="F1503" s="9" t="s">
        <v>31</v>
      </c>
      <c r="G1503" s="13" t="n">
        <v>200</v>
      </c>
      <c r="H1503" s="9" t="s">
        <v>41</v>
      </c>
      <c r="I1503" s="13" t="n">
        <v>6</v>
      </c>
      <c r="J1503" s="1" t="str">
        <f aca="false">IF(A1503="","", "SAMP-"&amp;A1503&amp;"-L"&amp;TEXT(B1503,"00")&amp;"-"&amp;TEXT(C1503,"yyyymmdd")&amp;"-"&amp;D1503&amp;"-H"&amp;TEXT(E1503,"00")&amp;"-"&amp;H1503)</f>
        <v>SAMP-KG01-L23-20251224-ORD-2025-00242-H20-Chip</v>
      </c>
      <c r="K1503" s="1" t="str">
        <f aca="false">IF(A1503="","",IF(AND(G1503&gt;=0,I1503&gt;=0,I1503&lt;=G1503),"OK","CHECK"))</f>
        <v>OK</v>
      </c>
      <c r="L1503" s="1" t="str">
        <f aca="false">IF(A1503="","",IF(AND(E1503&gt;=0,E1503&lt;=23),"OK","CHECK"))</f>
        <v>OK</v>
      </c>
      <c r="M1503" s="1" t="str">
        <f aca="false">IF(A1503="","",IF(AND(K1503="OK",L1503="OK"),"OK","CHECK"))</f>
        <v>OK</v>
      </c>
    </row>
    <row r="1504" customFormat="false" ht="18" hidden="false" customHeight="true" outlineLevel="0" collapsed="false">
      <c r="A1504" s="9" t="s">
        <v>26</v>
      </c>
      <c r="B1504" s="9" t="n">
        <v>23</v>
      </c>
      <c r="C1504" s="11" t="n">
        <v>46016</v>
      </c>
      <c r="D1504" s="9" t="s">
        <v>131</v>
      </c>
      <c r="E1504" s="12" t="n">
        <v>7</v>
      </c>
      <c r="F1504" s="9" t="s">
        <v>28</v>
      </c>
      <c r="G1504" s="13" t="n">
        <v>50</v>
      </c>
      <c r="H1504" s="9" t="s">
        <v>41</v>
      </c>
      <c r="I1504" s="13" t="n">
        <v>1</v>
      </c>
      <c r="J1504" s="1" t="str">
        <f aca="false">IF(A1504="","", "SAMP-"&amp;A1504&amp;"-L"&amp;TEXT(B1504,"00")&amp;"-"&amp;TEXT(C1504,"yyyymmdd")&amp;"-"&amp;D1504&amp;"-H"&amp;TEXT(E1504,"00")&amp;"-"&amp;H1504)</f>
        <v>SAMP-KG01-L23-20251225-ORD-2025-00242-H07-Chip</v>
      </c>
      <c r="K1504" s="1" t="str">
        <f aca="false">IF(A1504="","",IF(AND(G1504&gt;=0,I1504&gt;=0,I1504&lt;=G1504),"OK","CHECK"))</f>
        <v>OK</v>
      </c>
      <c r="L1504" s="1" t="str">
        <f aca="false">IF(A1504="","",IF(AND(E1504&gt;=0,E1504&lt;=23),"OK","CHECK"))</f>
        <v>OK</v>
      </c>
      <c r="M1504" s="1" t="str">
        <f aca="false">IF(A1504="","",IF(AND(K1504="OK",L1504="OK"),"OK","CHECK"))</f>
        <v>OK</v>
      </c>
    </row>
    <row r="1505" customFormat="false" ht="18" hidden="false" customHeight="true" outlineLevel="0" collapsed="false">
      <c r="A1505" s="9" t="s">
        <v>26</v>
      </c>
      <c r="B1505" s="9" t="n">
        <v>23</v>
      </c>
      <c r="C1505" s="11" t="n">
        <v>46016</v>
      </c>
      <c r="D1505" s="9" t="s">
        <v>131</v>
      </c>
      <c r="E1505" s="12" t="n">
        <v>9</v>
      </c>
      <c r="F1505" s="9" t="s">
        <v>28</v>
      </c>
      <c r="G1505" s="13" t="n">
        <v>100</v>
      </c>
      <c r="H1505" s="9" t="s">
        <v>41</v>
      </c>
      <c r="I1505" s="13" t="n">
        <v>0</v>
      </c>
      <c r="J1505" s="1" t="str">
        <f aca="false">IF(A1505="","", "SAMP-"&amp;A1505&amp;"-L"&amp;TEXT(B1505,"00")&amp;"-"&amp;TEXT(C1505,"yyyymmdd")&amp;"-"&amp;D1505&amp;"-H"&amp;TEXT(E1505,"00")&amp;"-"&amp;H1505)</f>
        <v>SAMP-KG01-L23-20251225-ORD-2025-00242-H09-Chip</v>
      </c>
      <c r="K1505" s="1" t="str">
        <f aca="false">IF(A1505="","",IF(AND(G1505&gt;=0,I1505&gt;=0,I1505&lt;=G1505),"OK","CHECK"))</f>
        <v>OK</v>
      </c>
      <c r="L1505" s="1" t="str">
        <f aca="false">IF(A1505="","",IF(AND(E1505&gt;=0,E1505&lt;=23),"OK","CHECK"))</f>
        <v>OK</v>
      </c>
      <c r="M1505" s="1" t="str">
        <f aca="false">IF(A1505="","",IF(AND(K1505="OK",L1505="OK"),"OK","CHECK"))</f>
        <v>OK</v>
      </c>
    </row>
    <row r="1506" customFormat="false" ht="18" hidden="false" customHeight="true" outlineLevel="0" collapsed="false">
      <c r="A1506" s="9" t="s">
        <v>26</v>
      </c>
      <c r="B1506" s="9" t="n">
        <v>23</v>
      </c>
      <c r="C1506" s="11" t="n">
        <v>46016</v>
      </c>
      <c r="D1506" s="9" t="s">
        <v>131</v>
      </c>
      <c r="E1506" s="12" t="n">
        <v>12</v>
      </c>
      <c r="F1506" s="9" t="s">
        <v>28</v>
      </c>
      <c r="G1506" s="13" t="n">
        <v>150</v>
      </c>
      <c r="H1506" s="9" t="s">
        <v>33</v>
      </c>
      <c r="I1506" s="13" t="n">
        <v>1</v>
      </c>
      <c r="J1506" s="1" t="str">
        <f aca="false">IF(A1506="","", "SAMP-"&amp;A1506&amp;"-L"&amp;TEXT(B1506,"00")&amp;"-"&amp;TEXT(C1506,"yyyymmdd")&amp;"-"&amp;D1506&amp;"-H"&amp;TEXT(E1506,"00")&amp;"-"&amp;H1506)</f>
        <v>SAMP-KG01-L23-20251225-ORD-2025-00242-H12-Distortion</v>
      </c>
      <c r="K1506" s="1" t="str">
        <f aca="false">IF(A1506="","",IF(AND(G1506&gt;=0,I1506&gt;=0,I1506&lt;=G1506),"OK","CHECK"))</f>
        <v>OK</v>
      </c>
      <c r="L1506" s="1" t="str">
        <f aca="false">IF(A1506="","",IF(AND(E1506&gt;=0,E1506&lt;=23),"OK","CHECK"))</f>
        <v>OK</v>
      </c>
      <c r="M1506" s="1" t="str">
        <f aca="false">IF(A1506="","",IF(AND(K1506="OK",L1506="OK"),"OK","CHECK"))</f>
        <v>OK</v>
      </c>
    </row>
    <row r="1507" customFormat="false" ht="18" hidden="false" customHeight="true" outlineLevel="0" collapsed="false">
      <c r="A1507" s="9" t="s">
        <v>26</v>
      </c>
      <c r="B1507" s="9" t="n">
        <v>23</v>
      </c>
      <c r="C1507" s="11" t="n">
        <v>46016</v>
      </c>
      <c r="D1507" s="9" t="s">
        <v>131</v>
      </c>
      <c r="E1507" s="12" t="n">
        <v>20</v>
      </c>
      <c r="F1507" s="9" t="s">
        <v>31</v>
      </c>
      <c r="G1507" s="13" t="n">
        <v>200</v>
      </c>
      <c r="H1507" s="9" t="s">
        <v>34</v>
      </c>
      <c r="I1507" s="13" t="n">
        <v>3</v>
      </c>
      <c r="J1507" s="1" t="str">
        <f aca="false">IF(A1507="","", "SAMP-"&amp;A1507&amp;"-L"&amp;TEXT(B1507,"00")&amp;"-"&amp;TEXT(C1507,"yyyymmdd")&amp;"-"&amp;D1507&amp;"-H"&amp;TEXT(E1507,"00")&amp;"-"&amp;H1507)</f>
        <v>SAMP-KG01-L23-20251225-ORD-2025-00242-H20-Thin Wall</v>
      </c>
      <c r="K1507" s="1" t="str">
        <f aca="false">IF(A1507="","",IF(AND(G1507&gt;=0,I1507&gt;=0,I1507&lt;=G1507),"OK","CHECK"))</f>
        <v>OK</v>
      </c>
      <c r="L1507" s="1" t="str">
        <f aca="false">IF(A1507="","",IF(AND(E1507&gt;=0,E1507&lt;=23),"OK","CHECK"))</f>
        <v>OK</v>
      </c>
      <c r="M1507" s="1" t="str">
        <f aca="false">IF(A1507="","",IF(AND(K1507="OK",L1507="OK"),"OK","CHECK"))</f>
        <v>OK</v>
      </c>
    </row>
    <row r="1508" customFormat="false" ht="18" hidden="false" customHeight="true" outlineLevel="0" collapsed="false">
      <c r="A1508" s="9" t="s">
        <v>26</v>
      </c>
      <c r="B1508" s="9" t="n">
        <v>23</v>
      </c>
      <c r="C1508" s="11" t="n">
        <v>46016</v>
      </c>
      <c r="D1508" s="9" t="s">
        <v>131</v>
      </c>
      <c r="E1508" s="12" t="n">
        <v>16</v>
      </c>
      <c r="F1508" s="9" t="s">
        <v>31</v>
      </c>
      <c r="G1508" s="13" t="n">
        <v>200</v>
      </c>
      <c r="H1508" s="9" t="s">
        <v>36</v>
      </c>
      <c r="I1508" s="13" t="n">
        <v>0</v>
      </c>
      <c r="J1508" s="1" t="str">
        <f aca="false">IF(A1508="","", "SAMP-"&amp;A1508&amp;"-L"&amp;TEXT(B1508,"00")&amp;"-"&amp;TEXT(C1508,"yyyymmdd")&amp;"-"&amp;D1508&amp;"-H"&amp;TEXT(E1508,"00")&amp;"-"&amp;H1508)</f>
        <v>SAMP-KG01-L23-20251225-ORD-2025-00242-H16-Blister</v>
      </c>
      <c r="K1508" s="1" t="str">
        <f aca="false">IF(A1508="","",IF(AND(G1508&gt;=0,I1508&gt;=0,I1508&lt;=G1508),"OK","CHECK"))</f>
        <v>OK</v>
      </c>
      <c r="L1508" s="1" t="str">
        <f aca="false">IF(A1508="","",IF(AND(E1508&gt;=0,E1508&lt;=23),"OK","CHECK"))</f>
        <v>OK</v>
      </c>
      <c r="M1508" s="1" t="str">
        <f aca="false">IF(A1508="","",IF(AND(K1508="OK",L1508="OK"),"OK","CHECK"))</f>
        <v>OK</v>
      </c>
    </row>
    <row r="1509" customFormat="false" ht="18" hidden="false" customHeight="true" outlineLevel="0" collapsed="false">
      <c r="A1509" s="9" t="s">
        <v>26</v>
      </c>
      <c r="B1509" s="9" t="n">
        <v>23</v>
      </c>
      <c r="C1509" s="11" t="n">
        <v>46017</v>
      </c>
      <c r="D1509" s="9" t="s">
        <v>131</v>
      </c>
      <c r="E1509" s="12" t="n">
        <v>9</v>
      </c>
      <c r="F1509" s="9" t="s">
        <v>28</v>
      </c>
      <c r="G1509" s="13" t="n">
        <v>200</v>
      </c>
      <c r="H1509" s="9" t="s">
        <v>41</v>
      </c>
      <c r="I1509" s="13" t="n">
        <v>0</v>
      </c>
      <c r="J1509" s="1" t="str">
        <f aca="false">IF(A1509="","", "SAMP-"&amp;A1509&amp;"-L"&amp;TEXT(B1509,"00")&amp;"-"&amp;TEXT(C1509,"yyyymmdd")&amp;"-"&amp;D1509&amp;"-H"&amp;TEXT(E1509,"00")&amp;"-"&amp;H1509)</f>
        <v>SAMP-KG01-L23-20251226-ORD-2025-00242-H09-Chip</v>
      </c>
      <c r="K1509" s="1" t="str">
        <f aca="false">IF(A1509="","",IF(AND(G1509&gt;=0,I1509&gt;=0,I1509&lt;=G1509),"OK","CHECK"))</f>
        <v>OK</v>
      </c>
      <c r="L1509" s="1" t="str">
        <f aca="false">IF(A1509="","",IF(AND(E1509&gt;=0,E1509&lt;=23),"OK","CHECK"))</f>
        <v>OK</v>
      </c>
      <c r="M1509" s="1" t="str">
        <f aca="false">IF(A1509="","",IF(AND(K1509="OK",L1509="OK"),"OK","CHECK"))</f>
        <v>OK</v>
      </c>
    </row>
    <row r="1510" customFormat="false" ht="18" hidden="false" customHeight="true" outlineLevel="0" collapsed="false">
      <c r="A1510" s="9" t="s">
        <v>26</v>
      </c>
      <c r="B1510" s="9" t="n">
        <v>23</v>
      </c>
      <c r="C1510" s="11" t="n">
        <v>46017</v>
      </c>
      <c r="D1510" s="9" t="s">
        <v>131</v>
      </c>
      <c r="E1510" s="12" t="n">
        <v>7</v>
      </c>
      <c r="F1510" s="9" t="s">
        <v>28</v>
      </c>
      <c r="G1510" s="13" t="n">
        <v>50</v>
      </c>
      <c r="H1510" s="9" t="s">
        <v>30</v>
      </c>
      <c r="I1510" s="13" t="n">
        <v>1</v>
      </c>
      <c r="J1510" s="1" t="str">
        <f aca="false">IF(A1510="","", "SAMP-"&amp;A1510&amp;"-L"&amp;TEXT(B1510,"00")&amp;"-"&amp;TEXT(C1510,"yyyymmdd")&amp;"-"&amp;D1510&amp;"-H"&amp;TEXT(E1510,"00")&amp;"-"&amp;H1510)</f>
        <v>SAMP-KG01-L23-20251226-ORD-2025-00242-H07-Overpress</v>
      </c>
      <c r="K1510" s="1" t="str">
        <f aca="false">IF(A1510="","",IF(AND(G1510&gt;=0,I1510&gt;=0,I1510&lt;=G1510),"OK","CHECK"))</f>
        <v>OK</v>
      </c>
      <c r="L1510" s="1" t="str">
        <f aca="false">IF(A1510="","",IF(AND(E1510&gt;=0,E1510&lt;=23),"OK","CHECK"))</f>
        <v>OK</v>
      </c>
      <c r="M1510" s="1" t="str">
        <f aca="false">IF(A1510="","",IF(AND(K1510="OK",L1510="OK"),"OK","CHECK"))</f>
        <v>OK</v>
      </c>
    </row>
    <row r="1511" customFormat="false" ht="18" hidden="false" customHeight="true" outlineLevel="0" collapsed="false">
      <c r="A1511" s="9" t="s">
        <v>26</v>
      </c>
      <c r="B1511" s="9" t="n">
        <v>23</v>
      </c>
      <c r="C1511" s="11" t="n">
        <v>46017</v>
      </c>
      <c r="D1511" s="9" t="s">
        <v>132</v>
      </c>
      <c r="E1511" s="12" t="n">
        <v>16</v>
      </c>
      <c r="F1511" s="9" t="s">
        <v>31</v>
      </c>
      <c r="G1511" s="13" t="n">
        <v>50</v>
      </c>
      <c r="H1511" s="9" t="s">
        <v>30</v>
      </c>
      <c r="I1511" s="13" t="n">
        <v>1</v>
      </c>
      <c r="J1511" s="1" t="str">
        <f aca="false">IF(A1511="","", "SAMP-"&amp;A1511&amp;"-L"&amp;TEXT(B1511,"00")&amp;"-"&amp;TEXT(C1511,"yyyymmdd")&amp;"-"&amp;D1511&amp;"-H"&amp;TEXT(E1511,"00")&amp;"-"&amp;H1511)</f>
        <v>SAMP-KG01-L23-20251226-ORD-2025-00243-H16-Overpress</v>
      </c>
      <c r="K1511" s="1" t="str">
        <f aca="false">IF(A1511="","",IF(AND(G1511&gt;=0,I1511&gt;=0,I1511&lt;=G1511),"OK","CHECK"))</f>
        <v>OK</v>
      </c>
      <c r="L1511" s="1" t="str">
        <f aca="false">IF(A1511="","",IF(AND(E1511&gt;=0,E1511&lt;=23),"OK","CHECK"))</f>
        <v>OK</v>
      </c>
      <c r="M1511" s="1" t="str">
        <f aca="false">IF(A1511="","",IF(AND(K1511="OK",L1511="OK"),"OK","CHECK"))</f>
        <v>OK</v>
      </c>
    </row>
    <row r="1512" customFormat="false" ht="18" hidden="false" customHeight="true" outlineLevel="0" collapsed="false">
      <c r="A1512" s="9" t="s">
        <v>26</v>
      </c>
      <c r="B1512" s="9" t="n">
        <v>23</v>
      </c>
      <c r="C1512" s="11" t="n">
        <v>46017</v>
      </c>
      <c r="D1512" s="9" t="s">
        <v>132</v>
      </c>
      <c r="E1512" s="12" t="n">
        <v>20</v>
      </c>
      <c r="F1512" s="9" t="s">
        <v>31</v>
      </c>
      <c r="G1512" s="13" t="n">
        <v>50</v>
      </c>
      <c r="H1512" s="9" t="s">
        <v>36</v>
      </c>
      <c r="I1512" s="13" t="n">
        <v>2</v>
      </c>
      <c r="J1512" s="1" t="str">
        <f aca="false">IF(A1512="","", "SAMP-"&amp;A1512&amp;"-L"&amp;TEXT(B1512,"00")&amp;"-"&amp;TEXT(C1512,"yyyymmdd")&amp;"-"&amp;D1512&amp;"-H"&amp;TEXT(E1512,"00")&amp;"-"&amp;H1512)</f>
        <v>SAMP-KG01-L23-20251226-ORD-2025-00243-H20-Blister</v>
      </c>
      <c r="K1512" s="1" t="str">
        <f aca="false">IF(A1512="","",IF(AND(G1512&gt;=0,I1512&gt;=0,I1512&lt;=G1512),"OK","CHECK"))</f>
        <v>OK</v>
      </c>
      <c r="L1512" s="1" t="str">
        <f aca="false">IF(A1512="","",IF(AND(E1512&gt;=0,E1512&lt;=23),"OK","CHECK"))</f>
        <v>OK</v>
      </c>
      <c r="M1512" s="1" t="str">
        <f aca="false">IF(A1512="","",IF(AND(K1512="OK",L1512="OK"),"OK","CHECK"))</f>
        <v>OK</v>
      </c>
    </row>
    <row r="1513" customFormat="false" ht="18" hidden="false" customHeight="true" outlineLevel="0" collapsed="false">
      <c r="A1513" s="9" t="s">
        <v>26</v>
      </c>
      <c r="B1513" s="9" t="n">
        <v>23</v>
      </c>
      <c r="C1513" s="11" t="n">
        <v>46017</v>
      </c>
      <c r="D1513" s="9" t="s">
        <v>132</v>
      </c>
      <c r="E1513" s="12" t="n">
        <v>23</v>
      </c>
      <c r="F1513" s="9" t="s">
        <v>31</v>
      </c>
      <c r="G1513" s="13" t="n">
        <v>100</v>
      </c>
      <c r="H1513" s="9" t="s">
        <v>33</v>
      </c>
      <c r="I1513" s="13" t="n">
        <v>0</v>
      </c>
      <c r="J1513" s="1" t="str">
        <f aca="false">IF(A1513="","", "SAMP-"&amp;A1513&amp;"-L"&amp;TEXT(B1513,"00")&amp;"-"&amp;TEXT(C1513,"yyyymmdd")&amp;"-"&amp;D1513&amp;"-H"&amp;TEXT(E1513,"00")&amp;"-"&amp;H1513)</f>
        <v>SAMP-KG01-L23-20251226-ORD-2025-00243-H23-Distortion</v>
      </c>
      <c r="K1513" s="1" t="str">
        <f aca="false">IF(A1513="","",IF(AND(G1513&gt;=0,I1513&gt;=0,I1513&lt;=G1513),"OK","CHECK"))</f>
        <v>OK</v>
      </c>
      <c r="L1513" s="1" t="str">
        <f aca="false">IF(A1513="","",IF(AND(E1513&gt;=0,E1513&lt;=23),"OK","CHECK"))</f>
        <v>OK</v>
      </c>
      <c r="M1513" s="1" t="str">
        <f aca="false">IF(A1513="","",IF(AND(K1513="OK",L1513="OK"),"OK","CHECK"))</f>
        <v>OK</v>
      </c>
    </row>
    <row r="1514" customFormat="false" ht="18" hidden="false" customHeight="true" outlineLevel="0" collapsed="false">
      <c r="A1514" s="9" t="s">
        <v>26</v>
      </c>
      <c r="B1514" s="9" t="n">
        <v>23</v>
      </c>
      <c r="C1514" s="11" t="n">
        <v>46018</v>
      </c>
      <c r="D1514" s="9" t="s">
        <v>132</v>
      </c>
      <c r="E1514" s="12" t="n">
        <v>9</v>
      </c>
      <c r="F1514" s="9" t="s">
        <v>28</v>
      </c>
      <c r="G1514" s="13" t="n">
        <v>100</v>
      </c>
      <c r="H1514" s="9" t="s">
        <v>33</v>
      </c>
      <c r="I1514" s="13" t="n">
        <v>2</v>
      </c>
      <c r="J1514" s="1" t="str">
        <f aca="false">IF(A1514="","", "SAMP-"&amp;A1514&amp;"-L"&amp;TEXT(B1514,"00")&amp;"-"&amp;TEXT(C1514,"yyyymmdd")&amp;"-"&amp;D1514&amp;"-H"&amp;TEXT(E1514,"00")&amp;"-"&amp;H1514)</f>
        <v>SAMP-KG01-L23-20251227-ORD-2025-00243-H09-Distortion</v>
      </c>
      <c r="K1514" s="1" t="str">
        <f aca="false">IF(A1514="","",IF(AND(G1514&gt;=0,I1514&gt;=0,I1514&lt;=G1514),"OK","CHECK"))</f>
        <v>OK</v>
      </c>
      <c r="L1514" s="1" t="str">
        <f aca="false">IF(A1514="","",IF(AND(E1514&gt;=0,E1514&lt;=23),"OK","CHECK"))</f>
        <v>OK</v>
      </c>
      <c r="M1514" s="1" t="str">
        <f aca="false">IF(A1514="","",IF(AND(K1514="OK",L1514="OK"),"OK","CHECK"))</f>
        <v>OK</v>
      </c>
    </row>
    <row r="1515" customFormat="false" ht="18" hidden="false" customHeight="true" outlineLevel="0" collapsed="false">
      <c r="A1515" s="9" t="s">
        <v>26</v>
      </c>
      <c r="B1515" s="9" t="n">
        <v>23</v>
      </c>
      <c r="C1515" s="11" t="n">
        <v>46018</v>
      </c>
      <c r="D1515" s="9" t="s">
        <v>132</v>
      </c>
      <c r="E1515" s="12" t="n">
        <v>12</v>
      </c>
      <c r="F1515" s="9" t="s">
        <v>28</v>
      </c>
      <c r="G1515" s="13" t="n">
        <v>100</v>
      </c>
      <c r="H1515" s="9" t="s">
        <v>33</v>
      </c>
      <c r="I1515" s="13" t="n">
        <v>2</v>
      </c>
      <c r="J1515" s="1" t="str">
        <f aca="false">IF(A1515="","", "SAMP-"&amp;A1515&amp;"-L"&amp;TEXT(B1515,"00")&amp;"-"&amp;TEXT(C1515,"yyyymmdd")&amp;"-"&amp;D1515&amp;"-H"&amp;TEXT(E1515,"00")&amp;"-"&amp;H1515)</f>
        <v>SAMP-KG01-L23-20251227-ORD-2025-00243-H12-Distortion</v>
      </c>
      <c r="K1515" s="1" t="str">
        <f aca="false">IF(A1515="","",IF(AND(G1515&gt;=0,I1515&gt;=0,I1515&lt;=G1515),"OK","CHECK"))</f>
        <v>OK</v>
      </c>
      <c r="L1515" s="1" t="str">
        <f aca="false">IF(A1515="","",IF(AND(E1515&gt;=0,E1515&lt;=23),"OK","CHECK"))</f>
        <v>OK</v>
      </c>
      <c r="M1515" s="1" t="str">
        <f aca="false">IF(A1515="","",IF(AND(K1515="OK",L1515="OK"),"OK","CHECK"))</f>
        <v>OK</v>
      </c>
    </row>
    <row r="1516" customFormat="false" ht="18" hidden="false" customHeight="true" outlineLevel="0" collapsed="false">
      <c r="A1516" s="9" t="s">
        <v>26</v>
      </c>
      <c r="B1516" s="9" t="n">
        <v>23</v>
      </c>
      <c r="C1516" s="11" t="n">
        <v>46018</v>
      </c>
      <c r="D1516" s="9" t="s">
        <v>132</v>
      </c>
      <c r="E1516" s="12" t="n">
        <v>16</v>
      </c>
      <c r="F1516" s="9" t="s">
        <v>31</v>
      </c>
      <c r="G1516" s="13" t="n">
        <v>150</v>
      </c>
      <c r="H1516" s="9" t="s">
        <v>37</v>
      </c>
      <c r="I1516" s="13" t="n">
        <v>3</v>
      </c>
      <c r="J1516" s="1" t="str">
        <f aca="false">IF(A1516="","", "SAMP-"&amp;A1516&amp;"-L"&amp;TEXT(B1516,"00")&amp;"-"&amp;TEXT(C1516,"yyyymmdd")&amp;"-"&amp;D1516&amp;"-H"&amp;TEXT(E1516,"00")&amp;"-"&amp;H1516)</f>
        <v>SAMP-KG01-L23-20251227-ORD-2025-00243-H16-Bird Swing</v>
      </c>
      <c r="K1516" s="1" t="str">
        <f aca="false">IF(A1516="","",IF(AND(G1516&gt;=0,I1516&gt;=0,I1516&lt;=G1516),"OK","CHECK"))</f>
        <v>OK</v>
      </c>
      <c r="L1516" s="1" t="str">
        <f aca="false">IF(A1516="","",IF(AND(E1516&gt;=0,E1516&lt;=23),"OK","CHECK"))</f>
        <v>OK</v>
      </c>
      <c r="M1516" s="1" t="str">
        <f aca="false">IF(A1516="","",IF(AND(K1516="OK",L1516="OK"),"OK","CHECK"))</f>
        <v>OK</v>
      </c>
    </row>
    <row r="1517" customFormat="false" ht="18" hidden="false" customHeight="true" outlineLevel="0" collapsed="false">
      <c r="A1517" s="9" t="s">
        <v>26</v>
      </c>
      <c r="B1517" s="9" t="n">
        <v>23</v>
      </c>
      <c r="C1517" s="11" t="n">
        <v>46018</v>
      </c>
      <c r="D1517" s="9" t="s">
        <v>132</v>
      </c>
      <c r="E1517" s="12" t="n">
        <v>20</v>
      </c>
      <c r="F1517" s="9" t="s">
        <v>31</v>
      </c>
      <c r="G1517" s="13" t="n">
        <v>150</v>
      </c>
      <c r="H1517" s="9" t="s">
        <v>36</v>
      </c>
      <c r="I1517" s="13" t="n">
        <v>3</v>
      </c>
      <c r="J1517" s="1" t="str">
        <f aca="false">IF(A1517="","", "SAMP-"&amp;A1517&amp;"-L"&amp;TEXT(B1517,"00")&amp;"-"&amp;TEXT(C1517,"yyyymmdd")&amp;"-"&amp;D1517&amp;"-H"&amp;TEXT(E1517,"00")&amp;"-"&amp;H1517)</f>
        <v>SAMP-KG01-L23-20251227-ORD-2025-00243-H20-Blister</v>
      </c>
      <c r="K1517" s="1" t="str">
        <f aca="false">IF(A1517="","",IF(AND(G1517&gt;=0,I1517&gt;=0,I1517&lt;=G1517),"OK","CHECK"))</f>
        <v>OK</v>
      </c>
      <c r="L1517" s="1" t="str">
        <f aca="false">IF(A1517="","",IF(AND(E1517&gt;=0,E1517&lt;=23),"OK","CHECK"))</f>
        <v>OK</v>
      </c>
      <c r="M1517" s="1" t="str">
        <f aca="false">IF(A1517="","",IF(AND(K1517="OK",L1517="OK"),"OK","CHECK"))</f>
        <v>OK</v>
      </c>
    </row>
    <row r="1518" customFormat="false" ht="18" hidden="false" customHeight="true" outlineLevel="0" collapsed="false">
      <c r="A1518" s="9" t="s">
        <v>26</v>
      </c>
      <c r="B1518" s="9" t="n">
        <v>23</v>
      </c>
      <c r="C1518" s="11" t="n">
        <v>46019</v>
      </c>
      <c r="D1518" s="9" t="s">
        <v>133</v>
      </c>
      <c r="E1518" s="12" t="n">
        <v>9</v>
      </c>
      <c r="F1518" s="9" t="s">
        <v>28</v>
      </c>
      <c r="G1518" s="13" t="n">
        <v>150</v>
      </c>
      <c r="H1518" s="9" t="s">
        <v>36</v>
      </c>
      <c r="I1518" s="13" t="n">
        <v>5</v>
      </c>
      <c r="J1518" s="1" t="str">
        <f aca="false">IF(A1518="","", "SAMP-"&amp;A1518&amp;"-L"&amp;TEXT(B1518,"00")&amp;"-"&amp;TEXT(C1518,"yyyymmdd")&amp;"-"&amp;D1518&amp;"-H"&amp;TEXT(E1518,"00")&amp;"-"&amp;H1518)</f>
        <v>SAMP-KG01-L23-20251228-ORD-2025-00244-H09-Blister</v>
      </c>
      <c r="K1518" s="1" t="str">
        <f aca="false">IF(A1518="","",IF(AND(G1518&gt;=0,I1518&gt;=0,I1518&lt;=G1518),"OK","CHECK"))</f>
        <v>OK</v>
      </c>
      <c r="L1518" s="1" t="str">
        <f aca="false">IF(A1518="","",IF(AND(E1518&gt;=0,E1518&lt;=23),"OK","CHECK"))</f>
        <v>OK</v>
      </c>
      <c r="M1518" s="1" t="str">
        <f aca="false">IF(A1518="","",IF(AND(K1518="OK",L1518="OK"),"OK","CHECK"))</f>
        <v>OK</v>
      </c>
    </row>
    <row r="1519" customFormat="false" ht="18" hidden="false" customHeight="true" outlineLevel="0" collapsed="false">
      <c r="A1519" s="9" t="s">
        <v>26</v>
      </c>
      <c r="B1519" s="9" t="n">
        <v>23</v>
      </c>
      <c r="C1519" s="11" t="n">
        <v>46019</v>
      </c>
      <c r="D1519" s="9" t="s">
        <v>133</v>
      </c>
      <c r="E1519" s="12" t="n">
        <v>7</v>
      </c>
      <c r="F1519" s="9" t="s">
        <v>28</v>
      </c>
      <c r="G1519" s="13" t="n">
        <v>50</v>
      </c>
      <c r="H1519" s="9" t="s">
        <v>41</v>
      </c>
      <c r="I1519" s="13" t="n">
        <v>1</v>
      </c>
      <c r="J1519" s="1" t="str">
        <f aca="false">IF(A1519="","", "SAMP-"&amp;A1519&amp;"-L"&amp;TEXT(B1519,"00")&amp;"-"&amp;TEXT(C1519,"yyyymmdd")&amp;"-"&amp;D1519&amp;"-H"&amp;TEXT(E1519,"00")&amp;"-"&amp;H1519)</f>
        <v>SAMP-KG01-L23-20251228-ORD-2025-00244-H07-Chip</v>
      </c>
      <c r="K1519" s="1" t="str">
        <f aca="false">IF(A1519="","",IF(AND(G1519&gt;=0,I1519&gt;=0,I1519&lt;=G1519),"OK","CHECK"))</f>
        <v>OK</v>
      </c>
      <c r="L1519" s="1" t="str">
        <f aca="false">IF(A1519="","",IF(AND(E1519&gt;=0,E1519&lt;=23),"OK","CHECK"))</f>
        <v>OK</v>
      </c>
      <c r="M1519" s="1" t="str">
        <f aca="false">IF(A1519="","",IF(AND(K1519="OK",L1519="OK"),"OK","CHECK"))</f>
        <v>OK</v>
      </c>
    </row>
    <row r="1520" customFormat="false" ht="18" hidden="false" customHeight="true" outlineLevel="0" collapsed="false">
      <c r="A1520" s="9" t="s">
        <v>26</v>
      </c>
      <c r="B1520" s="9" t="n">
        <v>23</v>
      </c>
      <c r="C1520" s="11" t="n">
        <v>46019</v>
      </c>
      <c r="D1520" s="9" t="s">
        <v>133</v>
      </c>
      <c r="E1520" s="12" t="n">
        <v>12</v>
      </c>
      <c r="F1520" s="9" t="s">
        <v>28</v>
      </c>
      <c r="G1520" s="13" t="n">
        <v>150</v>
      </c>
      <c r="H1520" s="9" t="s">
        <v>41</v>
      </c>
      <c r="I1520" s="13" t="n">
        <v>3</v>
      </c>
      <c r="J1520" s="1" t="str">
        <f aca="false">IF(A1520="","", "SAMP-"&amp;A1520&amp;"-L"&amp;TEXT(B1520,"00")&amp;"-"&amp;TEXT(C1520,"yyyymmdd")&amp;"-"&amp;D1520&amp;"-H"&amp;TEXT(E1520,"00")&amp;"-"&amp;H1520)</f>
        <v>SAMP-KG01-L23-20251228-ORD-2025-00244-H12-Chip</v>
      </c>
      <c r="K1520" s="1" t="str">
        <f aca="false">IF(A1520="","",IF(AND(G1520&gt;=0,I1520&gt;=0,I1520&lt;=G1520),"OK","CHECK"))</f>
        <v>OK</v>
      </c>
      <c r="L1520" s="1" t="str">
        <f aca="false">IF(A1520="","",IF(AND(E1520&gt;=0,E1520&lt;=23),"OK","CHECK"))</f>
        <v>OK</v>
      </c>
      <c r="M1520" s="1" t="str">
        <f aca="false">IF(A1520="","",IF(AND(K1520="OK",L1520="OK"),"OK","CHECK"))</f>
        <v>OK</v>
      </c>
    </row>
    <row r="1521" customFormat="false" ht="18" hidden="false" customHeight="true" outlineLevel="0" collapsed="false">
      <c r="A1521" s="9" t="s">
        <v>26</v>
      </c>
      <c r="B1521" s="9" t="n">
        <v>23</v>
      </c>
      <c r="C1521" s="11" t="n">
        <v>46019</v>
      </c>
      <c r="D1521" s="9" t="s">
        <v>133</v>
      </c>
      <c r="E1521" s="12" t="n">
        <v>16</v>
      </c>
      <c r="F1521" s="9" t="s">
        <v>31</v>
      </c>
      <c r="G1521" s="13" t="n">
        <v>200</v>
      </c>
      <c r="H1521" s="9" t="s">
        <v>33</v>
      </c>
      <c r="I1521" s="13" t="n">
        <v>9</v>
      </c>
      <c r="J1521" s="1" t="str">
        <f aca="false">IF(A1521="","", "SAMP-"&amp;A1521&amp;"-L"&amp;TEXT(B1521,"00")&amp;"-"&amp;TEXT(C1521,"yyyymmdd")&amp;"-"&amp;D1521&amp;"-H"&amp;TEXT(E1521,"00")&amp;"-"&amp;H1521)</f>
        <v>SAMP-KG01-L23-20251228-ORD-2025-00244-H16-Distortion</v>
      </c>
      <c r="K1521" s="1" t="str">
        <f aca="false">IF(A1521="","",IF(AND(G1521&gt;=0,I1521&gt;=0,I1521&lt;=G1521),"OK","CHECK"))</f>
        <v>OK</v>
      </c>
      <c r="L1521" s="1" t="str">
        <f aca="false">IF(A1521="","",IF(AND(E1521&gt;=0,E1521&lt;=23),"OK","CHECK"))</f>
        <v>OK</v>
      </c>
      <c r="M1521" s="1" t="str">
        <f aca="false">IF(A1521="","",IF(AND(K1521="OK",L1521="OK"),"OK","CHECK"))</f>
        <v>OK</v>
      </c>
    </row>
    <row r="1522" customFormat="false" ht="18" hidden="false" customHeight="true" outlineLevel="0" collapsed="false">
      <c r="A1522" s="9" t="s">
        <v>26</v>
      </c>
      <c r="B1522" s="9" t="n">
        <v>23</v>
      </c>
      <c r="C1522" s="11" t="n">
        <v>46019</v>
      </c>
      <c r="D1522" s="9" t="s">
        <v>133</v>
      </c>
      <c r="E1522" s="12" t="n">
        <v>23</v>
      </c>
      <c r="F1522" s="9" t="s">
        <v>31</v>
      </c>
      <c r="G1522" s="13" t="n">
        <v>100</v>
      </c>
      <c r="H1522" s="9" t="s">
        <v>29</v>
      </c>
      <c r="I1522" s="13" t="n">
        <v>3</v>
      </c>
      <c r="J1522" s="1" t="str">
        <f aca="false">IF(A1522="","", "SAMP-"&amp;A1522&amp;"-L"&amp;TEXT(B1522,"00")&amp;"-"&amp;TEXT(C1522,"yyyymmdd")&amp;"-"&amp;D1522&amp;"-H"&amp;TEXT(E1522,"00")&amp;"-"&amp;H1522)</f>
        <v>SAMP-KG01-L23-20251228-ORD-2025-00244-H23-Choke Neck</v>
      </c>
      <c r="K1522" s="1" t="str">
        <f aca="false">IF(A1522="","",IF(AND(G1522&gt;=0,I1522&gt;=0,I1522&lt;=G1522),"OK","CHECK"))</f>
        <v>OK</v>
      </c>
      <c r="L1522" s="1" t="str">
        <f aca="false">IF(A1522="","",IF(AND(E1522&gt;=0,E1522&lt;=23),"OK","CHECK"))</f>
        <v>OK</v>
      </c>
      <c r="M1522" s="1" t="str">
        <f aca="false">IF(A1522="","",IF(AND(K1522="OK",L1522="OK"),"OK","CHECK"))</f>
        <v>OK</v>
      </c>
    </row>
    <row r="1523" customFormat="false" ht="18" hidden="false" customHeight="true" outlineLevel="0" collapsed="false">
      <c r="A1523" s="9" t="s">
        <v>26</v>
      </c>
      <c r="B1523" s="9" t="n">
        <v>23</v>
      </c>
      <c r="C1523" s="11" t="n">
        <v>46019</v>
      </c>
      <c r="D1523" s="9" t="s">
        <v>133</v>
      </c>
      <c r="E1523" s="12" t="n">
        <v>20</v>
      </c>
      <c r="F1523" s="9" t="s">
        <v>31</v>
      </c>
      <c r="G1523" s="13" t="n">
        <v>100</v>
      </c>
      <c r="H1523" s="9" t="s">
        <v>35</v>
      </c>
      <c r="I1523" s="13" t="n">
        <v>3</v>
      </c>
      <c r="J1523" s="1" t="str">
        <f aca="false">IF(A1523="","", "SAMP-"&amp;A1523&amp;"-L"&amp;TEXT(B1523,"00")&amp;"-"&amp;TEXT(C1523,"yyyymmdd")&amp;"-"&amp;D1523&amp;"-H"&amp;TEXT(E1523,"00")&amp;"-"&amp;H1523)</f>
        <v>SAMP-KG01-L23-20251228-ORD-2025-00244-H20-Stone</v>
      </c>
      <c r="K1523" s="1" t="str">
        <f aca="false">IF(A1523="","",IF(AND(G1523&gt;=0,I1523&gt;=0,I1523&lt;=G1523),"OK","CHECK"))</f>
        <v>OK</v>
      </c>
      <c r="L1523" s="1" t="str">
        <f aca="false">IF(A1523="","",IF(AND(E1523&gt;=0,E1523&lt;=23),"OK","CHECK"))</f>
        <v>OK</v>
      </c>
      <c r="M1523" s="1" t="str">
        <f aca="false">IF(A1523="","",IF(AND(K1523="OK",L1523="OK"),"OK","CHECK"))</f>
        <v>OK</v>
      </c>
    </row>
    <row r="1524" customFormat="false" ht="18" hidden="false" customHeight="true" outlineLevel="0" collapsed="false">
      <c r="A1524" s="9" t="s">
        <v>26</v>
      </c>
      <c r="B1524" s="9" t="n">
        <v>23</v>
      </c>
      <c r="C1524" s="11" t="n">
        <v>46020</v>
      </c>
      <c r="D1524" s="9" t="s">
        <v>133</v>
      </c>
      <c r="E1524" s="12" t="n">
        <v>7</v>
      </c>
      <c r="F1524" s="9" t="s">
        <v>28</v>
      </c>
      <c r="G1524" s="13" t="n">
        <v>100</v>
      </c>
      <c r="H1524" s="9" t="s">
        <v>36</v>
      </c>
      <c r="I1524" s="13" t="n">
        <v>2</v>
      </c>
      <c r="J1524" s="1" t="str">
        <f aca="false">IF(A1524="","", "SAMP-"&amp;A1524&amp;"-L"&amp;TEXT(B1524,"00")&amp;"-"&amp;TEXT(C1524,"yyyymmdd")&amp;"-"&amp;D1524&amp;"-H"&amp;TEXT(E1524,"00")&amp;"-"&amp;H1524)</f>
        <v>SAMP-KG01-L23-20251229-ORD-2025-00244-H07-Blister</v>
      </c>
      <c r="K1524" s="1" t="str">
        <f aca="false">IF(A1524="","",IF(AND(G1524&gt;=0,I1524&gt;=0,I1524&lt;=G1524),"OK","CHECK"))</f>
        <v>OK</v>
      </c>
      <c r="L1524" s="1" t="str">
        <f aca="false">IF(A1524="","",IF(AND(E1524&gt;=0,E1524&lt;=23),"OK","CHECK"))</f>
        <v>OK</v>
      </c>
      <c r="M1524" s="1" t="str">
        <f aca="false">IF(A1524="","",IF(AND(K1524="OK",L1524="OK"),"OK","CHECK"))</f>
        <v>OK</v>
      </c>
    </row>
    <row r="1525" customFormat="false" ht="18" hidden="false" customHeight="true" outlineLevel="0" collapsed="false">
      <c r="A1525" s="9" t="s">
        <v>26</v>
      </c>
      <c r="B1525" s="9" t="n">
        <v>23</v>
      </c>
      <c r="C1525" s="11" t="n">
        <v>46020</v>
      </c>
      <c r="D1525" s="9" t="s">
        <v>133</v>
      </c>
      <c r="E1525" s="12" t="n">
        <v>9</v>
      </c>
      <c r="F1525" s="9" t="s">
        <v>28</v>
      </c>
      <c r="G1525" s="13" t="n">
        <v>150</v>
      </c>
      <c r="H1525" s="9" t="s">
        <v>30</v>
      </c>
      <c r="I1525" s="13" t="n">
        <v>4</v>
      </c>
      <c r="J1525" s="1" t="str">
        <f aca="false">IF(A1525="","", "SAMP-"&amp;A1525&amp;"-L"&amp;TEXT(B1525,"00")&amp;"-"&amp;TEXT(C1525,"yyyymmdd")&amp;"-"&amp;D1525&amp;"-H"&amp;TEXT(E1525,"00")&amp;"-"&amp;H1525)</f>
        <v>SAMP-KG01-L23-20251229-ORD-2025-00244-H09-Overpress</v>
      </c>
      <c r="K1525" s="1" t="str">
        <f aca="false">IF(A1525="","",IF(AND(G1525&gt;=0,I1525&gt;=0,I1525&lt;=G1525),"OK","CHECK"))</f>
        <v>OK</v>
      </c>
      <c r="L1525" s="1" t="str">
        <f aca="false">IF(A1525="","",IF(AND(E1525&gt;=0,E1525&lt;=23),"OK","CHECK"))</f>
        <v>OK</v>
      </c>
      <c r="M1525" s="1" t="str">
        <f aca="false">IF(A1525="","",IF(AND(K1525="OK",L1525="OK"),"OK","CHECK"))</f>
        <v>OK</v>
      </c>
    </row>
    <row r="1526" customFormat="false" ht="18" hidden="false" customHeight="true" outlineLevel="0" collapsed="false">
      <c r="A1526" s="9" t="s">
        <v>26</v>
      </c>
      <c r="B1526" s="9" t="n">
        <v>23</v>
      </c>
      <c r="C1526" s="11" t="n">
        <v>46020</v>
      </c>
      <c r="D1526" s="9" t="s">
        <v>133</v>
      </c>
      <c r="E1526" s="12" t="n">
        <v>23</v>
      </c>
      <c r="F1526" s="9" t="s">
        <v>31</v>
      </c>
      <c r="G1526" s="13" t="n">
        <v>50</v>
      </c>
      <c r="H1526" s="9" t="s">
        <v>41</v>
      </c>
      <c r="I1526" s="13" t="n">
        <v>1</v>
      </c>
      <c r="J1526" s="1" t="str">
        <f aca="false">IF(A1526="","", "SAMP-"&amp;A1526&amp;"-L"&amp;TEXT(B1526,"00")&amp;"-"&amp;TEXT(C1526,"yyyymmdd")&amp;"-"&amp;D1526&amp;"-H"&amp;TEXT(E1526,"00")&amp;"-"&amp;H1526)</f>
        <v>SAMP-KG01-L23-20251229-ORD-2025-00244-H23-Chip</v>
      </c>
      <c r="K1526" s="1" t="str">
        <f aca="false">IF(A1526="","",IF(AND(G1526&gt;=0,I1526&gt;=0,I1526&lt;=G1526),"OK","CHECK"))</f>
        <v>OK</v>
      </c>
      <c r="L1526" s="1" t="str">
        <f aca="false">IF(A1526="","",IF(AND(E1526&gt;=0,E1526&lt;=23),"OK","CHECK"))</f>
        <v>OK</v>
      </c>
      <c r="M1526" s="1" t="str">
        <f aca="false">IF(A1526="","",IF(AND(K1526="OK",L1526="OK"),"OK","CHECK"))</f>
        <v>OK</v>
      </c>
    </row>
    <row r="1527" customFormat="false" ht="18" hidden="false" customHeight="true" outlineLevel="0" collapsed="false">
      <c r="A1527" s="9" t="s">
        <v>26</v>
      </c>
      <c r="B1527" s="9" t="n">
        <v>23</v>
      </c>
      <c r="C1527" s="11" t="n">
        <v>46020</v>
      </c>
      <c r="D1527" s="9" t="s">
        <v>133</v>
      </c>
      <c r="E1527" s="12" t="n">
        <v>16</v>
      </c>
      <c r="F1527" s="9" t="s">
        <v>31</v>
      </c>
      <c r="G1527" s="13" t="n">
        <v>150</v>
      </c>
      <c r="H1527" s="9" t="s">
        <v>33</v>
      </c>
      <c r="I1527" s="13" t="n">
        <v>4</v>
      </c>
      <c r="J1527" s="1" t="str">
        <f aca="false">IF(A1527="","", "SAMP-"&amp;A1527&amp;"-L"&amp;TEXT(B1527,"00")&amp;"-"&amp;TEXT(C1527,"yyyymmdd")&amp;"-"&amp;D1527&amp;"-H"&amp;TEXT(E1527,"00")&amp;"-"&amp;H1527)</f>
        <v>SAMP-KG01-L23-20251229-ORD-2025-00244-H16-Distortion</v>
      </c>
      <c r="K1527" s="1" t="str">
        <f aca="false">IF(A1527="","",IF(AND(G1527&gt;=0,I1527&gt;=0,I1527&lt;=G1527),"OK","CHECK"))</f>
        <v>OK</v>
      </c>
      <c r="L1527" s="1" t="str">
        <f aca="false">IF(A1527="","",IF(AND(E1527&gt;=0,E1527&lt;=23),"OK","CHECK"))</f>
        <v>OK</v>
      </c>
      <c r="M1527" s="1" t="str">
        <f aca="false">IF(A1527="","",IF(AND(K1527="OK",L1527="OK"),"OK","CHECK"))</f>
        <v>OK</v>
      </c>
    </row>
    <row r="1528" customFormat="false" ht="18" hidden="false" customHeight="true" outlineLevel="0" collapsed="false">
      <c r="A1528" s="9" t="s">
        <v>26</v>
      </c>
      <c r="B1528" s="9" t="n">
        <v>23</v>
      </c>
      <c r="C1528" s="11" t="n">
        <v>46020</v>
      </c>
      <c r="D1528" s="9" t="s">
        <v>133</v>
      </c>
      <c r="E1528" s="12" t="n">
        <v>20</v>
      </c>
      <c r="F1528" s="9" t="s">
        <v>31</v>
      </c>
      <c r="G1528" s="13" t="n">
        <v>100</v>
      </c>
      <c r="H1528" s="9" t="s">
        <v>41</v>
      </c>
      <c r="I1528" s="13" t="n">
        <v>3</v>
      </c>
      <c r="J1528" s="1" t="str">
        <f aca="false">IF(A1528="","", "SAMP-"&amp;A1528&amp;"-L"&amp;TEXT(B1528,"00")&amp;"-"&amp;TEXT(C1528,"yyyymmdd")&amp;"-"&amp;D1528&amp;"-H"&amp;TEXT(E1528,"00")&amp;"-"&amp;H1528)</f>
        <v>SAMP-KG01-L23-20251229-ORD-2025-00244-H20-Chip</v>
      </c>
      <c r="K1528" s="1" t="str">
        <f aca="false">IF(A1528="","",IF(AND(G1528&gt;=0,I1528&gt;=0,I1528&lt;=G1528),"OK","CHECK"))</f>
        <v>OK</v>
      </c>
      <c r="L1528" s="1" t="str">
        <f aca="false">IF(A1528="","",IF(AND(E1528&gt;=0,E1528&lt;=23),"OK","CHECK"))</f>
        <v>OK</v>
      </c>
      <c r="M1528" s="1" t="str">
        <f aca="false">IF(A1528="","",IF(AND(K1528="OK",L1528="OK"),"OK","CHECK"))</f>
        <v>OK</v>
      </c>
    </row>
    <row r="1529" customFormat="false" ht="18" hidden="false" customHeight="true" outlineLevel="0" collapsed="false">
      <c r="A1529" s="9" t="s">
        <v>26</v>
      </c>
      <c r="B1529" s="9" t="n">
        <v>23</v>
      </c>
      <c r="C1529" s="11" t="n">
        <v>46021</v>
      </c>
      <c r="D1529" s="9" t="s">
        <v>133</v>
      </c>
      <c r="E1529" s="12" t="n">
        <v>7</v>
      </c>
      <c r="F1529" s="9" t="s">
        <v>28</v>
      </c>
      <c r="G1529" s="13" t="n">
        <v>100</v>
      </c>
      <c r="H1529" s="9" t="s">
        <v>36</v>
      </c>
      <c r="I1529" s="13" t="n">
        <v>4</v>
      </c>
      <c r="J1529" s="1" t="str">
        <f aca="false">IF(A1529="","", "SAMP-"&amp;A1529&amp;"-L"&amp;TEXT(B1529,"00")&amp;"-"&amp;TEXT(C1529,"yyyymmdd")&amp;"-"&amp;D1529&amp;"-H"&amp;TEXT(E1529,"00")&amp;"-"&amp;H1529)</f>
        <v>SAMP-KG01-L23-20251230-ORD-2025-00244-H07-Blister</v>
      </c>
      <c r="K1529" s="1" t="str">
        <f aca="false">IF(A1529="","",IF(AND(G1529&gt;=0,I1529&gt;=0,I1529&lt;=G1529),"OK","CHECK"))</f>
        <v>OK</v>
      </c>
      <c r="L1529" s="1" t="str">
        <f aca="false">IF(A1529="","",IF(AND(E1529&gt;=0,E1529&lt;=23),"OK","CHECK"))</f>
        <v>OK</v>
      </c>
      <c r="M1529" s="1" t="str">
        <f aca="false">IF(A1529="","",IF(AND(K1529="OK",L1529="OK"),"OK","CHECK"))</f>
        <v>OK</v>
      </c>
    </row>
    <row r="1530" customFormat="false" ht="18" hidden="false" customHeight="true" outlineLevel="0" collapsed="false">
      <c r="A1530" s="9" t="s">
        <v>26</v>
      </c>
      <c r="B1530" s="9" t="n">
        <v>23</v>
      </c>
      <c r="C1530" s="11" t="n">
        <v>46021</v>
      </c>
      <c r="D1530" s="9" t="s">
        <v>133</v>
      </c>
      <c r="E1530" s="12" t="n">
        <v>9</v>
      </c>
      <c r="F1530" s="9" t="s">
        <v>28</v>
      </c>
      <c r="G1530" s="13" t="n">
        <v>100</v>
      </c>
      <c r="H1530" s="9" t="s">
        <v>35</v>
      </c>
      <c r="I1530" s="13" t="n">
        <v>0</v>
      </c>
      <c r="J1530" s="1" t="str">
        <f aca="false">IF(A1530="","", "SAMP-"&amp;A1530&amp;"-L"&amp;TEXT(B1530,"00")&amp;"-"&amp;TEXT(C1530,"yyyymmdd")&amp;"-"&amp;D1530&amp;"-H"&amp;TEXT(E1530,"00")&amp;"-"&amp;H1530)</f>
        <v>SAMP-KG01-L23-20251230-ORD-2025-00244-H09-Stone</v>
      </c>
      <c r="K1530" s="1" t="str">
        <f aca="false">IF(A1530="","",IF(AND(G1530&gt;=0,I1530&gt;=0,I1530&lt;=G1530),"OK","CHECK"))</f>
        <v>OK</v>
      </c>
      <c r="L1530" s="1" t="str">
        <f aca="false">IF(A1530="","",IF(AND(E1530&gt;=0,E1530&lt;=23),"OK","CHECK"))</f>
        <v>OK</v>
      </c>
      <c r="M1530" s="1" t="str">
        <f aca="false">IF(A1530="","",IF(AND(K1530="OK",L1530="OK"),"OK","CHECK"))</f>
        <v>OK</v>
      </c>
    </row>
    <row r="1531" customFormat="false" ht="18" hidden="false" customHeight="true" outlineLevel="0" collapsed="false">
      <c r="A1531" s="9" t="s">
        <v>26</v>
      </c>
      <c r="B1531" s="9" t="n">
        <v>23</v>
      </c>
      <c r="C1531" s="11" t="n">
        <v>46021</v>
      </c>
      <c r="D1531" s="9" t="s">
        <v>133</v>
      </c>
      <c r="E1531" s="12" t="n">
        <v>12</v>
      </c>
      <c r="F1531" s="9" t="s">
        <v>28</v>
      </c>
      <c r="G1531" s="13" t="n">
        <v>150</v>
      </c>
      <c r="H1531" s="9" t="s">
        <v>37</v>
      </c>
      <c r="I1531" s="13" t="n">
        <v>7</v>
      </c>
      <c r="J1531" s="1" t="str">
        <f aca="false">IF(A1531="","", "SAMP-"&amp;A1531&amp;"-L"&amp;TEXT(B1531,"00")&amp;"-"&amp;TEXT(C1531,"yyyymmdd")&amp;"-"&amp;D1531&amp;"-H"&amp;TEXT(E1531,"00")&amp;"-"&amp;H1531)</f>
        <v>SAMP-KG01-L23-20251230-ORD-2025-00244-H12-Bird Swing</v>
      </c>
      <c r="K1531" s="1" t="str">
        <f aca="false">IF(A1531="","",IF(AND(G1531&gt;=0,I1531&gt;=0,I1531&lt;=G1531),"OK","CHECK"))</f>
        <v>OK</v>
      </c>
      <c r="L1531" s="1" t="str">
        <f aca="false">IF(A1531="","",IF(AND(E1531&gt;=0,E1531&lt;=23),"OK","CHECK"))</f>
        <v>OK</v>
      </c>
      <c r="M1531" s="1" t="str">
        <f aca="false">IF(A1531="","",IF(AND(K1531="OK",L1531="OK"),"OK","CHECK"))</f>
        <v>OK</v>
      </c>
    </row>
    <row r="1532" customFormat="false" ht="18" hidden="false" customHeight="true" outlineLevel="0" collapsed="false">
      <c r="A1532" s="9" t="s">
        <v>26</v>
      </c>
      <c r="B1532" s="9" t="n">
        <v>23</v>
      </c>
      <c r="C1532" s="11" t="n">
        <v>46021</v>
      </c>
      <c r="D1532" s="9" t="s">
        <v>133</v>
      </c>
      <c r="E1532" s="12" t="n">
        <v>16</v>
      </c>
      <c r="F1532" s="9" t="s">
        <v>31</v>
      </c>
      <c r="G1532" s="13" t="n">
        <v>200</v>
      </c>
      <c r="H1532" s="9" t="s">
        <v>35</v>
      </c>
      <c r="I1532" s="13" t="n">
        <v>4</v>
      </c>
      <c r="J1532" s="1" t="str">
        <f aca="false">IF(A1532="","", "SAMP-"&amp;A1532&amp;"-L"&amp;TEXT(B1532,"00")&amp;"-"&amp;TEXT(C1532,"yyyymmdd")&amp;"-"&amp;D1532&amp;"-H"&amp;TEXT(E1532,"00")&amp;"-"&amp;H1532)</f>
        <v>SAMP-KG01-L23-20251230-ORD-2025-00244-H16-Stone</v>
      </c>
      <c r="K1532" s="1" t="str">
        <f aca="false">IF(A1532="","",IF(AND(G1532&gt;=0,I1532&gt;=0,I1532&lt;=G1532),"OK","CHECK"))</f>
        <v>OK</v>
      </c>
      <c r="L1532" s="1" t="str">
        <f aca="false">IF(A1532="","",IF(AND(E1532&gt;=0,E1532&lt;=23),"OK","CHECK"))</f>
        <v>OK</v>
      </c>
      <c r="M1532" s="1" t="str">
        <f aca="false">IF(A1532="","",IF(AND(K1532="OK",L1532="OK"),"OK","CHECK"))</f>
        <v>OK</v>
      </c>
    </row>
    <row r="1533" customFormat="false" ht="18" hidden="false" customHeight="true" outlineLevel="0" collapsed="false">
      <c r="A1533" s="9" t="s">
        <v>26</v>
      </c>
      <c r="B1533" s="9" t="n">
        <v>23</v>
      </c>
      <c r="C1533" s="11" t="n">
        <v>46021</v>
      </c>
      <c r="D1533" s="9" t="s">
        <v>133</v>
      </c>
      <c r="E1533" s="12" t="n">
        <v>20</v>
      </c>
      <c r="F1533" s="9" t="s">
        <v>31</v>
      </c>
      <c r="G1533" s="13" t="n">
        <v>200</v>
      </c>
      <c r="H1533" s="9" t="s">
        <v>30</v>
      </c>
      <c r="I1533" s="13" t="n">
        <v>2</v>
      </c>
      <c r="J1533" s="1" t="str">
        <f aca="false">IF(A1533="","", "SAMP-"&amp;A1533&amp;"-L"&amp;TEXT(B1533,"00")&amp;"-"&amp;TEXT(C1533,"yyyymmdd")&amp;"-"&amp;D1533&amp;"-H"&amp;TEXT(E1533,"00")&amp;"-"&amp;H1533)</f>
        <v>SAMP-KG01-L23-20251230-ORD-2025-00244-H20-Overpress</v>
      </c>
      <c r="K1533" s="1" t="str">
        <f aca="false">IF(A1533="","",IF(AND(G1533&gt;=0,I1533&gt;=0,I1533&lt;=G1533),"OK","CHECK"))</f>
        <v>OK</v>
      </c>
      <c r="L1533" s="1" t="str">
        <f aca="false">IF(A1533="","",IF(AND(E1533&gt;=0,E1533&lt;=23),"OK","CHECK"))</f>
        <v>OK</v>
      </c>
      <c r="M1533" s="1" t="str">
        <f aca="false">IF(A1533="","",IF(AND(K1533="OK",L1533="OK"),"OK","CHECK"))</f>
        <v>OK</v>
      </c>
    </row>
    <row r="1534" customFormat="false" ht="18" hidden="false" customHeight="true" outlineLevel="0" collapsed="false">
      <c r="A1534" s="9" t="s">
        <v>26</v>
      </c>
      <c r="B1534" s="9" t="n">
        <v>23</v>
      </c>
      <c r="C1534" s="11" t="n">
        <v>46021</v>
      </c>
      <c r="D1534" s="9" t="s">
        <v>133</v>
      </c>
      <c r="E1534" s="12" t="n">
        <v>23</v>
      </c>
      <c r="F1534" s="9" t="s">
        <v>31</v>
      </c>
      <c r="G1534" s="13" t="n">
        <v>50</v>
      </c>
      <c r="H1534" s="9" t="s">
        <v>36</v>
      </c>
      <c r="I1534" s="13" t="n">
        <v>1</v>
      </c>
      <c r="J1534" s="1" t="str">
        <f aca="false">IF(A1534="","", "SAMP-"&amp;A1534&amp;"-L"&amp;TEXT(B1534,"00")&amp;"-"&amp;TEXT(C1534,"yyyymmdd")&amp;"-"&amp;D1534&amp;"-H"&amp;TEXT(E1534,"00")&amp;"-"&amp;H1534)</f>
        <v>SAMP-KG01-L23-20251230-ORD-2025-00244-H23-Blister</v>
      </c>
      <c r="K1534" s="1" t="str">
        <f aca="false">IF(A1534="","",IF(AND(G1534&gt;=0,I1534&gt;=0,I1534&lt;=G1534),"OK","CHECK"))</f>
        <v>OK</v>
      </c>
      <c r="L1534" s="1" t="str">
        <f aca="false">IF(A1534="","",IF(AND(E1534&gt;=0,E1534&lt;=23),"OK","CHECK"))</f>
        <v>OK</v>
      </c>
      <c r="M1534" s="1" t="str">
        <f aca="false">IF(A1534="","",IF(AND(K1534="OK",L1534="OK"),"OK","CHECK"))</f>
        <v>OK</v>
      </c>
    </row>
    <row r="1535" customFormat="false" ht="18" hidden="false" customHeight="true" outlineLevel="0" collapsed="false">
      <c r="A1535" s="9" t="s">
        <v>26</v>
      </c>
      <c r="B1535" s="9" t="n">
        <v>23</v>
      </c>
      <c r="C1535" s="11" t="n">
        <v>46022</v>
      </c>
      <c r="D1535" s="9" t="s">
        <v>134</v>
      </c>
      <c r="E1535" s="12" t="n">
        <v>7</v>
      </c>
      <c r="F1535" s="9" t="s">
        <v>28</v>
      </c>
      <c r="G1535" s="13" t="n">
        <v>50</v>
      </c>
      <c r="H1535" s="9" t="s">
        <v>37</v>
      </c>
      <c r="I1535" s="13" t="n">
        <v>2</v>
      </c>
      <c r="J1535" s="1" t="str">
        <f aca="false">IF(A1535="","", "SAMP-"&amp;A1535&amp;"-L"&amp;TEXT(B1535,"00")&amp;"-"&amp;TEXT(C1535,"yyyymmdd")&amp;"-"&amp;D1535&amp;"-H"&amp;TEXT(E1535,"00")&amp;"-"&amp;H1535)</f>
        <v>SAMP-KG01-L23-20251231-ORD-2025-00245-H07-Bird Swing</v>
      </c>
      <c r="K1535" s="1" t="str">
        <f aca="false">IF(A1535="","",IF(AND(G1535&gt;=0,I1535&gt;=0,I1535&lt;=G1535),"OK","CHECK"))</f>
        <v>OK</v>
      </c>
      <c r="L1535" s="1" t="str">
        <f aca="false">IF(A1535="","",IF(AND(E1535&gt;=0,E1535&lt;=23),"OK","CHECK"))</f>
        <v>OK</v>
      </c>
      <c r="M1535" s="1" t="str">
        <f aca="false">IF(A1535="","",IF(AND(K1535="OK",L1535="OK"),"OK","CHECK"))</f>
        <v>OK</v>
      </c>
    </row>
    <row r="1536" customFormat="false" ht="18" hidden="false" customHeight="true" outlineLevel="0" collapsed="false">
      <c r="A1536" s="9" t="s">
        <v>26</v>
      </c>
      <c r="B1536" s="9" t="n">
        <v>23</v>
      </c>
      <c r="C1536" s="11" t="n">
        <v>46022</v>
      </c>
      <c r="D1536" s="9" t="s">
        <v>134</v>
      </c>
      <c r="E1536" s="12" t="n">
        <v>9</v>
      </c>
      <c r="F1536" s="9" t="s">
        <v>28</v>
      </c>
      <c r="G1536" s="13" t="n">
        <v>100</v>
      </c>
      <c r="H1536" s="9" t="s">
        <v>30</v>
      </c>
      <c r="I1536" s="13" t="n">
        <v>2</v>
      </c>
      <c r="J1536" s="1" t="str">
        <f aca="false">IF(A1536="","", "SAMP-"&amp;A1536&amp;"-L"&amp;TEXT(B1536,"00")&amp;"-"&amp;TEXT(C1536,"yyyymmdd")&amp;"-"&amp;D1536&amp;"-H"&amp;TEXT(E1536,"00")&amp;"-"&amp;H1536)</f>
        <v>SAMP-KG01-L23-20251231-ORD-2025-00245-H09-Overpress</v>
      </c>
      <c r="K1536" s="1" t="str">
        <f aca="false">IF(A1536="","",IF(AND(G1536&gt;=0,I1536&gt;=0,I1536&lt;=G1536),"OK","CHECK"))</f>
        <v>OK</v>
      </c>
      <c r="L1536" s="1" t="str">
        <f aca="false">IF(A1536="","",IF(AND(E1536&gt;=0,E1536&lt;=23),"OK","CHECK"))</f>
        <v>OK</v>
      </c>
      <c r="M1536" s="1" t="str">
        <f aca="false">IF(A1536="","",IF(AND(K1536="OK",L1536="OK"),"OK","CHECK"))</f>
        <v>OK</v>
      </c>
    </row>
    <row r="1537" customFormat="false" ht="18" hidden="false" customHeight="true" outlineLevel="0" collapsed="false">
      <c r="A1537" s="9" t="s">
        <v>26</v>
      </c>
      <c r="B1537" s="9" t="n">
        <v>23</v>
      </c>
      <c r="C1537" s="11" t="n">
        <v>46022</v>
      </c>
      <c r="D1537" s="9" t="s">
        <v>134</v>
      </c>
      <c r="E1537" s="12" t="n">
        <v>12</v>
      </c>
      <c r="F1537" s="9" t="s">
        <v>28</v>
      </c>
      <c r="G1537" s="13" t="n">
        <v>200</v>
      </c>
      <c r="H1537" s="9" t="s">
        <v>33</v>
      </c>
      <c r="I1537" s="13" t="n">
        <v>0</v>
      </c>
      <c r="J1537" s="1" t="str">
        <f aca="false">IF(A1537="","", "SAMP-"&amp;A1537&amp;"-L"&amp;TEXT(B1537,"00")&amp;"-"&amp;TEXT(C1537,"yyyymmdd")&amp;"-"&amp;D1537&amp;"-H"&amp;TEXT(E1537,"00")&amp;"-"&amp;H1537)</f>
        <v>SAMP-KG01-L23-20251231-ORD-2025-00245-H12-Distortion</v>
      </c>
      <c r="K1537" s="1" t="str">
        <f aca="false">IF(A1537="","",IF(AND(G1537&gt;=0,I1537&gt;=0,I1537&lt;=G1537),"OK","CHECK"))</f>
        <v>OK</v>
      </c>
      <c r="L1537" s="1" t="str">
        <f aca="false">IF(A1537="","",IF(AND(E1537&gt;=0,E1537&lt;=23),"OK","CHECK"))</f>
        <v>OK</v>
      </c>
      <c r="M1537" s="1" t="str">
        <f aca="false">IF(A1537="","",IF(AND(K1537="OK",L1537="OK"),"OK","CHECK"))</f>
        <v>OK</v>
      </c>
    </row>
    <row r="1538" customFormat="false" ht="18" hidden="false" customHeight="true" outlineLevel="0" collapsed="false">
      <c r="A1538" s="9" t="s">
        <v>26</v>
      </c>
      <c r="B1538" s="9" t="n">
        <v>23</v>
      </c>
      <c r="C1538" s="11" t="n">
        <v>46022</v>
      </c>
      <c r="D1538" s="9" t="s">
        <v>134</v>
      </c>
      <c r="E1538" s="12" t="n">
        <v>23</v>
      </c>
      <c r="F1538" s="9" t="s">
        <v>31</v>
      </c>
      <c r="G1538" s="13" t="n">
        <v>200</v>
      </c>
      <c r="H1538" s="9" t="s">
        <v>33</v>
      </c>
      <c r="I1538" s="13" t="n">
        <v>0</v>
      </c>
      <c r="J1538" s="1" t="str">
        <f aca="false">IF(A1538="","", "SAMP-"&amp;A1538&amp;"-L"&amp;TEXT(B1538,"00")&amp;"-"&amp;TEXT(C1538,"yyyymmdd")&amp;"-"&amp;D1538&amp;"-H"&amp;TEXT(E1538,"00")&amp;"-"&amp;H1538)</f>
        <v>SAMP-KG01-L23-20251231-ORD-2025-00245-H23-Distortion</v>
      </c>
      <c r="K1538" s="1" t="str">
        <f aca="false">IF(A1538="","",IF(AND(G1538&gt;=0,I1538&gt;=0,I1538&lt;=G1538),"OK","CHECK"))</f>
        <v>OK</v>
      </c>
      <c r="L1538" s="1" t="str">
        <f aca="false">IF(A1538="","",IF(AND(E1538&gt;=0,E1538&lt;=23),"OK","CHECK"))</f>
        <v>OK</v>
      </c>
      <c r="M1538" s="1" t="str">
        <f aca="false">IF(A1538="","",IF(AND(K1538="OK",L1538="OK"),"OK","CHECK"))</f>
        <v>OK</v>
      </c>
    </row>
    <row r="1539" customFormat="false" ht="18" hidden="false" customHeight="true" outlineLevel="0" collapsed="false">
      <c r="A1539" s="9" t="s">
        <v>26</v>
      </c>
      <c r="B1539" s="9" t="n">
        <v>23</v>
      </c>
      <c r="C1539" s="11" t="n">
        <v>46022</v>
      </c>
      <c r="D1539" s="9" t="s">
        <v>134</v>
      </c>
      <c r="E1539" s="12" t="n">
        <v>20</v>
      </c>
      <c r="F1539" s="9" t="s">
        <v>31</v>
      </c>
      <c r="G1539" s="13" t="n">
        <v>50</v>
      </c>
      <c r="H1539" s="9" t="s">
        <v>37</v>
      </c>
      <c r="I1539" s="13" t="n">
        <v>2</v>
      </c>
      <c r="J1539" s="1" t="str">
        <f aca="false">IF(A1539="","", "SAMP-"&amp;A1539&amp;"-L"&amp;TEXT(B1539,"00")&amp;"-"&amp;TEXT(C1539,"yyyymmdd")&amp;"-"&amp;D1539&amp;"-H"&amp;TEXT(E1539,"00")&amp;"-"&amp;H1539)</f>
        <v>SAMP-KG01-L23-20251231-ORD-2025-00245-H20-Bird Swing</v>
      </c>
      <c r="K1539" s="1" t="str">
        <f aca="false">IF(A1539="","",IF(AND(G1539&gt;=0,I1539&gt;=0,I1539&lt;=G1539),"OK","CHECK"))</f>
        <v>OK</v>
      </c>
      <c r="L1539" s="1" t="str">
        <f aca="false">IF(A1539="","",IF(AND(E1539&gt;=0,E1539&lt;=23),"OK","CHECK"))</f>
        <v>OK</v>
      </c>
      <c r="M1539" s="1" t="str">
        <f aca="false">IF(A1539="","",IF(AND(K1539="OK",L1539="OK"),"OK","CHECK"))</f>
        <v>OK</v>
      </c>
    </row>
    <row r="1540" customFormat="false" ht="18" hidden="false" customHeight="true" outlineLevel="0" collapsed="false">
      <c r="A1540" s="9" t="s">
        <v>26</v>
      </c>
      <c r="B1540" s="9" t="n">
        <v>23</v>
      </c>
      <c r="C1540" s="11" t="n">
        <v>46022</v>
      </c>
      <c r="D1540" s="9" t="s">
        <v>134</v>
      </c>
      <c r="E1540" s="12" t="n">
        <v>16</v>
      </c>
      <c r="F1540" s="9" t="s">
        <v>31</v>
      </c>
      <c r="G1540" s="13" t="n">
        <v>100</v>
      </c>
      <c r="H1540" s="9" t="s">
        <v>30</v>
      </c>
      <c r="I1540" s="13" t="n">
        <v>4</v>
      </c>
      <c r="J1540" s="1" t="str">
        <f aca="false">IF(A1540="","", "SAMP-"&amp;A1540&amp;"-L"&amp;TEXT(B1540,"00")&amp;"-"&amp;TEXT(C1540,"yyyymmdd")&amp;"-"&amp;D1540&amp;"-H"&amp;TEXT(E1540,"00")&amp;"-"&amp;H1540)</f>
        <v>SAMP-KG01-L23-20251231-ORD-2025-00245-H16-Overpress</v>
      </c>
      <c r="K1540" s="1" t="str">
        <f aca="false">IF(A1540="","",IF(AND(G1540&gt;=0,I1540&gt;=0,I1540&lt;=G1540),"OK","CHECK"))</f>
        <v>OK</v>
      </c>
      <c r="L1540" s="1" t="str">
        <f aca="false">IF(A1540="","",IF(AND(E1540&gt;=0,E1540&lt;=23),"OK","CHECK"))</f>
        <v>OK</v>
      </c>
      <c r="M1540" s="1" t="str">
        <f aca="false">IF(A1540="","",IF(AND(K1540="OK",L1540="OK"),"OK","CHECK"))</f>
        <v>OK</v>
      </c>
    </row>
    <row r="1541" customFormat="false" ht="18" hidden="false" customHeight="true" outlineLevel="0" collapsed="false">
      <c r="A1541" s="9" t="s">
        <v>26</v>
      </c>
      <c r="B1541" s="9" t="n">
        <v>24</v>
      </c>
      <c r="C1541" s="11" t="n">
        <v>45931</v>
      </c>
      <c r="D1541" s="9" t="s">
        <v>135</v>
      </c>
      <c r="E1541" s="12" t="n">
        <v>12</v>
      </c>
      <c r="F1541" s="9" t="s">
        <v>28</v>
      </c>
      <c r="G1541" s="13" t="n">
        <v>200</v>
      </c>
      <c r="H1541" s="9" t="s">
        <v>30</v>
      </c>
      <c r="I1541" s="13" t="n">
        <v>4</v>
      </c>
      <c r="J1541" s="1" t="str">
        <f aca="false">IF(A1541="","", "SAMP-"&amp;A1541&amp;"-L"&amp;TEXT(B1541,"00")&amp;"-"&amp;TEXT(C1541,"yyyymmdd")&amp;"-"&amp;D1541&amp;"-H"&amp;TEXT(E1541,"00")&amp;"-"&amp;H1541)</f>
        <v>SAMP-KG01-L24-20251001-ORD-2025-00246-H12-Overpress</v>
      </c>
      <c r="K1541" s="1" t="str">
        <f aca="false">IF(A1541="","",IF(AND(G1541&gt;=0,I1541&gt;=0,I1541&lt;=G1541),"OK","CHECK"))</f>
        <v>OK</v>
      </c>
      <c r="L1541" s="1" t="str">
        <f aca="false">IF(A1541="","",IF(AND(E1541&gt;=0,E1541&lt;=23),"OK","CHECK"))</f>
        <v>OK</v>
      </c>
      <c r="M1541" s="1" t="str">
        <f aca="false">IF(A1541="","",IF(AND(K1541="OK",L1541="OK"),"OK","CHECK"))</f>
        <v>OK</v>
      </c>
    </row>
    <row r="1542" customFormat="false" ht="18" hidden="false" customHeight="true" outlineLevel="0" collapsed="false">
      <c r="A1542" s="9" t="s">
        <v>26</v>
      </c>
      <c r="B1542" s="9" t="n">
        <v>24</v>
      </c>
      <c r="C1542" s="11" t="n">
        <v>45931</v>
      </c>
      <c r="D1542" s="9" t="s">
        <v>135</v>
      </c>
      <c r="E1542" s="12" t="n">
        <v>7</v>
      </c>
      <c r="F1542" s="9" t="s">
        <v>28</v>
      </c>
      <c r="G1542" s="13" t="n">
        <v>100</v>
      </c>
      <c r="H1542" s="9" t="s">
        <v>37</v>
      </c>
      <c r="I1542" s="13" t="n">
        <v>3</v>
      </c>
      <c r="J1542" s="1" t="str">
        <f aca="false">IF(A1542="","", "SAMP-"&amp;A1542&amp;"-L"&amp;TEXT(B1542,"00")&amp;"-"&amp;TEXT(C1542,"yyyymmdd")&amp;"-"&amp;D1542&amp;"-H"&amp;TEXT(E1542,"00")&amp;"-"&amp;H1542)</f>
        <v>SAMP-KG01-L24-20251001-ORD-2025-00246-H07-Bird Swing</v>
      </c>
      <c r="K1542" s="1" t="str">
        <f aca="false">IF(A1542="","",IF(AND(G1542&gt;=0,I1542&gt;=0,I1542&lt;=G1542),"OK","CHECK"))</f>
        <v>OK</v>
      </c>
      <c r="L1542" s="1" t="str">
        <f aca="false">IF(A1542="","",IF(AND(E1542&gt;=0,E1542&lt;=23),"OK","CHECK"))</f>
        <v>OK</v>
      </c>
      <c r="M1542" s="1" t="str">
        <f aca="false">IF(A1542="","",IF(AND(K1542="OK",L1542="OK"),"OK","CHECK"))</f>
        <v>OK</v>
      </c>
    </row>
    <row r="1543" customFormat="false" ht="18" hidden="false" customHeight="true" outlineLevel="0" collapsed="false">
      <c r="A1543" s="9" t="s">
        <v>26</v>
      </c>
      <c r="B1543" s="9" t="n">
        <v>24</v>
      </c>
      <c r="C1543" s="11" t="n">
        <v>45931</v>
      </c>
      <c r="D1543" s="9" t="s">
        <v>135</v>
      </c>
      <c r="E1543" s="12" t="n">
        <v>9</v>
      </c>
      <c r="F1543" s="9" t="s">
        <v>28</v>
      </c>
      <c r="G1543" s="13" t="n">
        <v>50</v>
      </c>
      <c r="H1543" s="9" t="s">
        <v>30</v>
      </c>
      <c r="I1543" s="13" t="n">
        <v>0</v>
      </c>
      <c r="J1543" s="1" t="str">
        <f aca="false">IF(A1543="","", "SAMP-"&amp;A1543&amp;"-L"&amp;TEXT(B1543,"00")&amp;"-"&amp;TEXT(C1543,"yyyymmdd")&amp;"-"&amp;D1543&amp;"-H"&amp;TEXT(E1543,"00")&amp;"-"&amp;H1543)</f>
        <v>SAMP-KG01-L24-20251001-ORD-2025-00246-H09-Overpress</v>
      </c>
      <c r="K1543" s="1" t="str">
        <f aca="false">IF(A1543="","",IF(AND(G1543&gt;=0,I1543&gt;=0,I1543&lt;=G1543),"OK","CHECK"))</f>
        <v>OK</v>
      </c>
      <c r="L1543" s="1" t="str">
        <f aca="false">IF(A1543="","",IF(AND(E1543&gt;=0,E1543&lt;=23),"OK","CHECK"))</f>
        <v>OK</v>
      </c>
      <c r="M1543" s="1" t="str">
        <f aca="false">IF(A1543="","",IF(AND(K1543="OK",L1543="OK"),"OK","CHECK"))</f>
        <v>OK</v>
      </c>
    </row>
    <row r="1544" customFormat="false" ht="18" hidden="false" customHeight="true" outlineLevel="0" collapsed="false">
      <c r="A1544" s="9" t="s">
        <v>26</v>
      </c>
      <c r="B1544" s="9" t="n">
        <v>24</v>
      </c>
      <c r="C1544" s="11" t="n">
        <v>45931</v>
      </c>
      <c r="D1544" s="9" t="s">
        <v>135</v>
      </c>
      <c r="E1544" s="12" t="n">
        <v>20</v>
      </c>
      <c r="F1544" s="9" t="s">
        <v>31</v>
      </c>
      <c r="G1544" s="13" t="n">
        <v>200</v>
      </c>
      <c r="H1544" s="9" t="s">
        <v>37</v>
      </c>
      <c r="I1544" s="13" t="n">
        <v>5</v>
      </c>
      <c r="J1544" s="1" t="str">
        <f aca="false">IF(A1544="","", "SAMP-"&amp;A1544&amp;"-L"&amp;TEXT(B1544,"00")&amp;"-"&amp;TEXT(C1544,"yyyymmdd")&amp;"-"&amp;D1544&amp;"-H"&amp;TEXT(E1544,"00")&amp;"-"&amp;H1544)</f>
        <v>SAMP-KG01-L24-20251001-ORD-2025-00246-H20-Bird Swing</v>
      </c>
      <c r="K1544" s="1" t="str">
        <f aca="false">IF(A1544="","",IF(AND(G1544&gt;=0,I1544&gt;=0,I1544&lt;=G1544),"OK","CHECK"))</f>
        <v>OK</v>
      </c>
      <c r="L1544" s="1" t="str">
        <f aca="false">IF(A1544="","",IF(AND(E1544&gt;=0,E1544&lt;=23),"OK","CHECK"))</f>
        <v>OK</v>
      </c>
      <c r="M1544" s="1" t="str">
        <f aca="false">IF(A1544="","",IF(AND(K1544="OK",L1544="OK"),"OK","CHECK"))</f>
        <v>OK</v>
      </c>
    </row>
    <row r="1545" customFormat="false" ht="18" hidden="false" customHeight="true" outlineLevel="0" collapsed="false">
      <c r="A1545" s="9" t="s">
        <v>26</v>
      </c>
      <c r="B1545" s="9" t="n">
        <v>24</v>
      </c>
      <c r="C1545" s="11" t="n">
        <v>45931</v>
      </c>
      <c r="D1545" s="9" t="s">
        <v>135</v>
      </c>
      <c r="E1545" s="12" t="n">
        <v>16</v>
      </c>
      <c r="F1545" s="9" t="s">
        <v>31</v>
      </c>
      <c r="G1545" s="13" t="n">
        <v>150</v>
      </c>
      <c r="H1545" s="9" t="s">
        <v>36</v>
      </c>
      <c r="I1545" s="13" t="n">
        <v>5</v>
      </c>
      <c r="J1545" s="1" t="str">
        <f aca="false">IF(A1545="","", "SAMP-"&amp;A1545&amp;"-L"&amp;TEXT(B1545,"00")&amp;"-"&amp;TEXT(C1545,"yyyymmdd")&amp;"-"&amp;D1545&amp;"-H"&amp;TEXT(E1545,"00")&amp;"-"&amp;H1545)</f>
        <v>SAMP-KG01-L24-20251001-ORD-2025-00246-H16-Blister</v>
      </c>
      <c r="K1545" s="1" t="str">
        <f aca="false">IF(A1545="","",IF(AND(G1545&gt;=0,I1545&gt;=0,I1545&lt;=G1545),"OK","CHECK"))</f>
        <v>OK</v>
      </c>
      <c r="L1545" s="1" t="str">
        <f aca="false">IF(A1545="","",IF(AND(E1545&gt;=0,E1545&lt;=23),"OK","CHECK"))</f>
        <v>OK</v>
      </c>
      <c r="M1545" s="1" t="str">
        <f aca="false">IF(A1545="","",IF(AND(K1545="OK",L1545="OK"),"OK","CHECK"))</f>
        <v>OK</v>
      </c>
    </row>
    <row r="1546" customFormat="false" ht="18" hidden="false" customHeight="true" outlineLevel="0" collapsed="false">
      <c r="A1546" s="9" t="s">
        <v>26</v>
      </c>
      <c r="B1546" s="9" t="n">
        <v>24</v>
      </c>
      <c r="C1546" s="11" t="n">
        <v>45931</v>
      </c>
      <c r="D1546" s="9" t="s">
        <v>135</v>
      </c>
      <c r="E1546" s="12" t="n">
        <v>23</v>
      </c>
      <c r="F1546" s="9" t="s">
        <v>31</v>
      </c>
      <c r="G1546" s="13" t="n">
        <v>150</v>
      </c>
      <c r="H1546" s="9" t="s">
        <v>34</v>
      </c>
      <c r="I1546" s="13" t="n">
        <v>4</v>
      </c>
      <c r="J1546" s="1" t="str">
        <f aca="false">IF(A1546="","", "SAMP-"&amp;A1546&amp;"-L"&amp;TEXT(B1546,"00")&amp;"-"&amp;TEXT(C1546,"yyyymmdd")&amp;"-"&amp;D1546&amp;"-H"&amp;TEXT(E1546,"00")&amp;"-"&amp;H1546)</f>
        <v>SAMP-KG01-L24-20251001-ORD-2025-00246-H23-Thin Wall</v>
      </c>
      <c r="K1546" s="1" t="str">
        <f aca="false">IF(A1546="","",IF(AND(G1546&gt;=0,I1546&gt;=0,I1546&lt;=G1546),"OK","CHECK"))</f>
        <v>OK</v>
      </c>
      <c r="L1546" s="1" t="str">
        <f aca="false">IF(A1546="","",IF(AND(E1546&gt;=0,E1546&lt;=23),"OK","CHECK"))</f>
        <v>OK</v>
      </c>
      <c r="M1546" s="1" t="str">
        <f aca="false">IF(A1546="","",IF(AND(K1546="OK",L1546="OK"),"OK","CHECK"))</f>
        <v>OK</v>
      </c>
    </row>
    <row r="1547" customFormat="false" ht="18" hidden="false" customHeight="true" outlineLevel="0" collapsed="false">
      <c r="A1547" s="9" t="s">
        <v>26</v>
      </c>
      <c r="B1547" s="9" t="n">
        <v>24</v>
      </c>
      <c r="C1547" s="11" t="n">
        <v>45932</v>
      </c>
      <c r="D1547" s="9" t="s">
        <v>135</v>
      </c>
      <c r="E1547" s="12" t="n">
        <v>9</v>
      </c>
      <c r="F1547" s="9" t="s">
        <v>28</v>
      </c>
      <c r="G1547" s="13" t="n">
        <v>150</v>
      </c>
      <c r="H1547" s="9" t="s">
        <v>33</v>
      </c>
      <c r="I1547" s="13" t="n">
        <v>0</v>
      </c>
      <c r="J1547" s="1" t="str">
        <f aca="false">IF(A1547="","", "SAMP-"&amp;A1547&amp;"-L"&amp;TEXT(B1547,"00")&amp;"-"&amp;TEXT(C1547,"yyyymmdd")&amp;"-"&amp;D1547&amp;"-H"&amp;TEXT(E1547,"00")&amp;"-"&amp;H1547)</f>
        <v>SAMP-KG01-L24-20251002-ORD-2025-00246-H09-Distortion</v>
      </c>
      <c r="K1547" s="1" t="str">
        <f aca="false">IF(A1547="","",IF(AND(G1547&gt;=0,I1547&gt;=0,I1547&lt;=G1547),"OK","CHECK"))</f>
        <v>OK</v>
      </c>
      <c r="L1547" s="1" t="str">
        <f aca="false">IF(A1547="","",IF(AND(E1547&gt;=0,E1547&lt;=23),"OK","CHECK"))</f>
        <v>OK</v>
      </c>
      <c r="M1547" s="1" t="str">
        <f aca="false">IF(A1547="","",IF(AND(K1547="OK",L1547="OK"),"OK","CHECK"))</f>
        <v>OK</v>
      </c>
    </row>
    <row r="1548" customFormat="false" ht="18" hidden="false" customHeight="true" outlineLevel="0" collapsed="false">
      <c r="A1548" s="9" t="s">
        <v>26</v>
      </c>
      <c r="B1548" s="9" t="n">
        <v>24</v>
      </c>
      <c r="C1548" s="11" t="n">
        <v>45932</v>
      </c>
      <c r="D1548" s="9" t="s">
        <v>135</v>
      </c>
      <c r="E1548" s="12" t="n">
        <v>12</v>
      </c>
      <c r="F1548" s="9" t="s">
        <v>28</v>
      </c>
      <c r="G1548" s="13" t="n">
        <v>200</v>
      </c>
      <c r="H1548" s="9" t="s">
        <v>36</v>
      </c>
      <c r="I1548" s="13" t="n">
        <v>4</v>
      </c>
      <c r="J1548" s="1" t="str">
        <f aca="false">IF(A1548="","", "SAMP-"&amp;A1548&amp;"-L"&amp;TEXT(B1548,"00")&amp;"-"&amp;TEXT(C1548,"yyyymmdd")&amp;"-"&amp;D1548&amp;"-H"&amp;TEXT(E1548,"00")&amp;"-"&amp;H1548)</f>
        <v>SAMP-KG01-L24-20251002-ORD-2025-00246-H12-Blister</v>
      </c>
      <c r="K1548" s="1" t="str">
        <f aca="false">IF(A1548="","",IF(AND(G1548&gt;=0,I1548&gt;=0,I1548&lt;=G1548),"OK","CHECK"))</f>
        <v>OK</v>
      </c>
      <c r="L1548" s="1" t="str">
        <f aca="false">IF(A1548="","",IF(AND(E1548&gt;=0,E1548&lt;=23),"OK","CHECK"))</f>
        <v>OK</v>
      </c>
      <c r="M1548" s="1" t="str">
        <f aca="false">IF(A1548="","",IF(AND(K1548="OK",L1548="OK"),"OK","CHECK"))</f>
        <v>OK</v>
      </c>
    </row>
    <row r="1549" customFormat="false" ht="18" hidden="false" customHeight="true" outlineLevel="0" collapsed="false">
      <c r="A1549" s="9" t="s">
        <v>26</v>
      </c>
      <c r="B1549" s="9" t="n">
        <v>24</v>
      </c>
      <c r="C1549" s="11" t="n">
        <v>45932</v>
      </c>
      <c r="D1549" s="9" t="s">
        <v>135</v>
      </c>
      <c r="E1549" s="12" t="n">
        <v>7</v>
      </c>
      <c r="F1549" s="9" t="s">
        <v>28</v>
      </c>
      <c r="G1549" s="13" t="n">
        <v>150</v>
      </c>
      <c r="H1549" s="9" t="s">
        <v>33</v>
      </c>
      <c r="I1549" s="13" t="n">
        <v>0</v>
      </c>
      <c r="J1549" s="1" t="str">
        <f aca="false">IF(A1549="","", "SAMP-"&amp;A1549&amp;"-L"&amp;TEXT(B1549,"00")&amp;"-"&amp;TEXT(C1549,"yyyymmdd")&amp;"-"&amp;D1549&amp;"-H"&amp;TEXT(E1549,"00")&amp;"-"&amp;H1549)</f>
        <v>SAMP-KG01-L24-20251002-ORD-2025-00246-H07-Distortion</v>
      </c>
      <c r="K1549" s="1" t="str">
        <f aca="false">IF(A1549="","",IF(AND(G1549&gt;=0,I1549&gt;=0,I1549&lt;=G1549),"OK","CHECK"))</f>
        <v>OK</v>
      </c>
      <c r="L1549" s="1" t="str">
        <f aca="false">IF(A1549="","",IF(AND(E1549&gt;=0,E1549&lt;=23),"OK","CHECK"))</f>
        <v>OK</v>
      </c>
      <c r="M1549" s="1" t="str">
        <f aca="false">IF(A1549="","",IF(AND(K1549="OK",L1549="OK"),"OK","CHECK"))</f>
        <v>OK</v>
      </c>
    </row>
    <row r="1550" customFormat="false" ht="18" hidden="false" customHeight="true" outlineLevel="0" collapsed="false">
      <c r="A1550" s="9" t="s">
        <v>26</v>
      </c>
      <c r="B1550" s="9" t="n">
        <v>24</v>
      </c>
      <c r="C1550" s="11" t="n">
        <v>45932</v>
      </c>
      <c r="D1550" s="9" t="s">
        <v>136</v>
      </c>
      <c r="E1550" s="12" t="n">
        <v>20</v>
      </c>
      <c r="F1550" s="9" t="s">
        <v>31</v>
      </c>
      <c r="G1550" s="13" t="n">
        <v>200</v>
      </c>
      <c r="H1550" s="9" t="s">
        <v>36</v>
      </c>
      <c r="I1550" s="13" t="n">
        <v>3</v>
      </c>
      <c r="J1550" s="1" t="str">
        <f aca="false">IF(A1550="","", "SAMP-"&amp;A1550&amp;"-L"&amp;TEXT(B1550,"00")&amp;"-"&amp;TEXT(C1550,"yyyymmdd")&amp;"-"&amp;D1550&amp;"-H"&amp;TEXT(E1550,"00")&amp;"-"&amp;H1550)</f>
        <v>SAMP-KG01-L24-20251002-ORD-2025-00247-H20-Blister</v>
      </c>
      <c r="K1550" s="1" t="str">
        <f aca="false">IF(A1550="","",IF(AND(G1550&gt;=0,I1550&gt;=0,I1550&lt;=G1550),"OK","CHECK"))</f>
        <v>OK</v>
      </c>
      <c r="L1550" s="1" t="str">
        <f aca="false">IF(A1550="","",IF(AND(E1550&gt;=0,E1550&lt;=23),"OK","CHECK"))</f>
        <v>OK</v>
      </c>
      <c r="M1550" s="1" t="str">
        <f aca="false">IF(A1550="","",IF(AND(K1550="OK",L1550="OK"),"OK","CHECK"))</f>
        <v>OK</v>
      </c>
    </row>
    <row r="1551" customFormat="false" ht="18" hidden="false" customHeight="true" outlineLevel="0" collapsed="false">
      <c r="A1551" s="9" t="s">
        <v>26</v>
      </c>
      <c r="B1551" s="9" t="n">
        <v>24</v>
      </c>
      <c r="C1551" s="11" t="n">
        <v>45932</v>
      </c>
      <c r="D1551" s="9" t="s">
        <v>136</v>
      </c>
      <c r="E1551" s="12" t="n">
        <v>16</v>
      </c>
      <c r="F1551" s="9" t="s">
        <v>31</v>
      </c>
      <c r="G1551" s="13" t="n">
        <v>50</v>
      </c>
      <c r="H1551" s="9" t="s">
        <v>36</v>
      </c>
      <c r="I1551" s="13" t="n">
        <v>2</v>
      </c>
      <c r="J1551" s="1" t="str">
        <f aca="false">IF(A1551="","", "SAMP-"&amp;A1551&amp;"-L"&amp;TEXT(B1551,"00")&amp;"-"&amp;TEXT(C1551,"yyyymmdd")&amp;"-"&amp;D1551&amp;"-H"&amp;TEXT(E1551,"00")&amp;"-"&amp;H1551)</f>
        <v>SAMP-KG01-L24-20251002-ORD-2025-00247-H16-Blister</v>
      </c>
      <c r="K1551" s="1" t="str">
        <f aca="false">IF(A1551="","",IF(AND(G1551&gt;=0,I1551&gt;=0,I1551&lt;=G1551),"OK","CHECK"))</f>
        <v>OK</v>
      </c>
      <c r="L1551" s="1" t="str">
        <f aca="false">IF(A1551="","",IF(AND(E1551&gt;=0,E1551&lt;=23),"OK","CHECK"))</f>
        <v>OK</v>
      </c>
      <c r="M1551" s="1" t="str">
        <f aca="false">IF(A1551="","",IF(AND(K1551="OK",L1551="OK"),"OK","CHECK"))</f>
        <v>OK</v>
      </c>
    </row>
    <row r="1552" customFormat="false" ht="18" hidden="false" customHeight="true" outlineLevel="0" collapsed="false">
      <c r="A1552" s="9" t="s">
        <v>26</v>
      </c>
      <c r="B1552" s="9" t="n">
        <v>24</v>
      </c>
      <c r="C1552" s="11" t="n">
        <v>45932</v>
      </c>
      <c r="D1552" s="9" t="s">
        <v>136</v>
      </c>
      <c r="E1552" s="12" t="n">
        <v>23</v>
      </c>
      <c r="F1552" s="9" t="s">
        <v>31</v>
      </c>
      <c r="G1552" s="13" t="n">
        <v>200</v>
      </c>
      <c r="H1552" s="9" t="s">
        <v>30</v>
      </c>
      <c r="I1552" s="13" t="n">
        <v>9</v>
      </c>
      <c r="J1552" s="1" t="str">
        <f aca="false">IF(A1552="","", "SAMP-"&amp;A1552&amp;"-L"&amp;TEXT(B1552,"00")&amp;"-"&amp;TEXT(C1552,"yyyymmdd")&amp;"-"&amp;D1552&amp;"-H"&amp;TEXT(E1552,"00")&amp;"-"&amp;H1552)</f>
        <v>SAMP-KG01-L24-20251002-ORD-2025-00247-H23-Overpress</v>
      </c>
      <c r="K1552" s="1" t="str">
        <f aca="false">IF(A1552="","",IF(AND(G1552&gt;=0,I1552&gt;=0,I1552&lt;=G1552),"OK","CHECK"))</f>
        <v>OK</v>
      </c>
      <c r="L1552" s="1" t="str">
        <f aca="false">IF(A1552="","",IF(AND(E1552&gt;=0,E1552&lt;=23),"OK","CHECK"))</f>
        <v>OK</v>
      </c>
      <c r="M1552" s="1" t="str">
        <f aca="false">IF(A1552="","",IF(AND(K1552="OK",L1552="OK"),"OK","CHECK"))</f>
        <v>OK</v>
      </c>
    </row>
    <row r="1553" customFormat="false" ht="18" hidden="false" customHeight="true" outlineLevel="0" collapsed="false">
      <c r="A1553" s="9" t="s">
        <v>26</v>
      </c>
      <c r="B1553" s="9" t="n">
        <v>24</v>
      </c>
      <c r="C1553" s="11" t="n">
        <v>45933</v>
      </c>
      <c r="D1553" s="9" t="s">
        <v>136</v>
      </c>
      <c r="E1553" s="12" t="n">
        <v>9</v>
      </c>
      <c r="F1553" s="9" t="s">
        <v>28</v>
      </c>
      <c r="G1553" s="13" t="n">
        <v>150</v>
      </c>
      <c r="H1553" s="9" t="s">
        <v>30</v>
      </c>
      <c r="I1553" s="13" t="n">
        <v>2</v>
      </c>
      <c r="J1553" s="1" t="str">
        <f aca="false">IF(A1553="","", "SAMP-"&amp;A1553&amp;"-L"&amp;TEXT(B1553,"00")&amp;"-"&amp;TEXT(C1553,"yyyymmdd")&amp;"-"&amp;D1553&amp;"-H"&amp;TEXT(E1553,"00")&amp;"-"&amp;H1553)</f>
        <v>SAMP-KG01-L24-20251003-ORD-2025-00247-H09-Overpress</v>
      </c>
      <c r="K1553" s="1" t="str">
        <f aca="false">IF(A1553="","",IF(AND(G1553&gt;=0,I1553&gt;=0,I1553&lt;=G1553),"OK","CHECK"))</f>
        <v>OK</v>
      </c>
      <c r="L1553" s="1" t="str">
        <f aca="false">IF(A1553="","",IF(AND(E1553&gt;=0,E1553&lt;=23),"OK","CHECK"))</f>
        <v>OK</v>
      </c>
      <c r="M1553" s="1" t="str">
        <f aca="false">IF(A1553="","",IF(AND(K1553="OK",L1553="OK"),"OK","CHECK"))</f>
        <v>OK</v>
      </c>
    </row>
    <row r="1554" customFormat="false" ht="18" hidden="false" customHeight="true" outlineLevel="0" collapsed="false">
      <c r="A1554" s="9" t="s">
        <v>26</v>
      </c>
      <c r="B1554" s="9" t="n">
        <v>24</v>
      </c>
      <c r="C1554" s="11" t="n">
        <v>45933</v>
      </c>
      <c r="D1554" s="9" t="s">
        <v>136</v>
      </c>
      <c r="E1554" s="12" t="n">
        <v>12</v>
      </c>
      <c r="F1554" s="9" t="s">
        <v>28</v>
      </c>
      <c r="G1554" s="13" t="n">
        <v>150</v>
      </c>
      <c r="H1554" s="9" t="s">
        <v>29</v>
      </c>
      <c r="I1554" s="13" t="n">
        <v>3</v>
      </c>
      <c r="J1554" s="1" t="str">
        <f aca="false">IF(A1554="","", "SAMP-"&amp;A1554&amp;"-L"&amp;TEXT(B1554,"00")&amp;"-"&amp;TEXT(C1554,"yyyymmdd")&amp;"-"&amp;D1554&amp;"-H"&amp;TEXT(E1554,"00")&amp;"-"&amp;H1554)</f>
        <v>SAMP-KG01-L24-20251003-ORD-2025-00247-H12-Choke Neck</v>
      </c>
      <c r="K1554" s="1" t="str">
        <f aca="false">IF(A1554="","",IF(AND(G1554&gt;=0,I1554&gt;=0,I1554&lt;=G1554),"OK","CHECK"))</f>
        <v>OK</v>
      </c>
      <c r="L1554" s="1" t="str">
        <f aca="false">IF(A1554="","",IF(AND(E1554&gt;=0,E1554&lt;=23),"OK","CHECK"))</f>
        <v>OK</v>
      </c>
      <c r="M1554" s="1" t="str">
        <f aca="false">IF(A1554="","",IF(AND(K1554="OK",L1554="OK"),"OK","CHECK"))</f>
        <v>OK</v>
      </c>
    </row>
    <row r="1555" customFormat="false" ht="18" hidden="false" customHeight="true" outlineLevel="0" collapsed="false">
      <c r="A1555" s="9" t="s">
        <v>26</v>
      </c>
      <c r="B1555" s="9" t="n">
        <v>24</v>
      </c>
      <c r="C1555" s="11" t="n">
        <v>45933</v>
      </c>
      <c r="D1555" s="9" t="s">
        <v>136</v>
      </c>
      <c r="E1555" s="12" t="n">
        <v>7</v>
      </c>
      <c r="F1555" s="9" t="s">
        <v>28</v>
      </c>
      <c r="G1555" s="13" t="n">
        <v>50</v>
      </c>
      <c r="H1555" s="9" t="s">
        <v>30</v>
      </c>
      <c r="I1555" s="13" t="n">
        <v>0</v>
      </c>
      <c r="J1555" s="1" t="str">
        <f aca="false">IF(A1555="","", "SAMP-"&amp;A1555&amp;"-L"&amp;TEXT(B1555,"00")&amp;"-"&amp;TEXT(C1555,"yyyymmdd")&amp;"-"&amp;D1555&amp;"-H"&amp;TEXT(E1555,"00")&amp;"-"&amp;H1555)</f>
        <v>SAMP-KG01-L24-20251003-ORD-2025-00247-H07-Overpress</v>
      </c>
      <c r="K1555" s="1" t="str">
        <f aca="false">IF(A1555="","",IF(AND(G1555&gt;=0,I1555&gt;=0,I1555&lt;=G1555),"OK","CHECK"))</f>
        <v>OK</v>
      </c>
      <c r="L1555" s="1" t="str">
        <f aca="false">IF(A1555="","",IF(AND(E1555&gt;=0,E1555&lt;=23),"OK","CHECK"))</f>
        <v>OK</v>
      </c>
      <c r="M1555" s="1" t="str">
        <f aca="false">IF(A1555="","",IF(AND(K1555="OK",L1555="OK"),"OK","CHECK"))</f>
        <v>OK</v>
      </c>
    </row>
    <row r="1556" customFormat="false" ht="18" hidden="false" customHeight="true" outlineLevel="0" collapsed="false">
      <c r="A1556" s="9" t="s">
        <v>26</v>
      </c>
      <c r="B1556" s="9" t="n">
        <v>24</v>
      </c>
      <c r="C1556" s="11" t="n">
        <v>45933</v>
      </c>
      <c r="D1556" s="9" t="s">
        <v>136</v>
      </c>
      <c r="E1556" s="12" t="n">
        <v>20</v>
      </c>
      <c r="F1556" s="9" t="s">
        <v>31</v>
      </c>
      <c r="G1556" s="13" t="n">
        <v>150</v>
      </c>
      <c r="H1556" s="9" t="s">
        <v>34</v>
      </c>
      <c r="I1556" s="13" t="n">
        <v>2</v>
      </c>
      <c r="J1556" s="1" t="str">
        <f aca="false">IF(A1556="","", "SAMP-"&amp;A1556&amp;"-L"&amp;TEXT(B1556,"00")&amp;"-"&amp;TEXT(C1556,"yyyymmdd")&amp;"-"&amp;D1556&amp;"-H"&amp;TEXT(E1556,"00")&amp;"-"&amp;H1556)</f>
        <v>SAMP-KG01-L24-20251003-ORD-2025-00247-H20-Thin Wall</v>
      </c>
      <c r="K1556" s="1" t="str">
        <f aca="false">IF(A1556="","",IF(AND(G1556&gt;=0,I1556&gt;=0,I1556&lt;=G1556),"OK","CHECK"))</f>
        <v>OK</v>
      </c>
      <c r="L1556" s="1" t="str">
        <f aca="false">IF(A1556="","",IF(AND(E1556&gt;=0,E1556&lt;=23),"OK","CHECK"))</f>
        <v>OK</v>
      </c>
      <c r="M1556" s="1" t="str">
        <f aca="false">IF(A1556="","",IF(AND(K1556="OK",L1556="OK"),"OK","CHECK"))</f>
        <v>OK</v>
      </c>
    </row>
    <row r="1557" customFormat="false" ht="18" hidden="false" customHeight="true" outlineLevel="0" collapsed="false">
      <c r="A1557" s="9" t="s">
        <v>26</v>
      </c>
      <c r="B1557" s="9" t="n">
        <v>24</v>
      </c>
      <c r="C1557" s="11" t="n">
        <v>45933</v>
      </c>
      <c r="D1557" s="9" t="s">
        <v>136</v>
      </c>
      <c r="E1557" s="12" t="n">
        <v>16</v>
      </c>
      <c r="F1557" s="9" t="s">
        <v>31</v>
      </c>
      <c r="G1557" s="13" t="n">
        <v>50</v>
      </c>
      <c r="H1557" s="9" t="s">
        <v>30</v>
      </c>
      <c r="I1557" s="13" t="n">
        <v>1</v>
      </c>
      <c r="J1557" s="1" t="str">
        <f aca="false">IF(A1557="","", "SAMP-"&amp;A1557&amp;"-L"&amp;TEXT(B1557,"00")&amp;"-"&amp;TEXT(C1557,"yyyymmdd")&amp;"-"&amp;D1557&amp;"-H"&amp;TEXT(E1557,"00")&amp;"-"&amp;H1557)</f>
        <v>SAMP-KG01-L24-20251003-ORD-2025-00247-H16-Overpress</v>
      </c>
      <c r="K1557" s="1" t="str">
        <f aca="false">IF(A1557="","",IF(AND(G1557&gt;=0,I1557&gt;=0,I1557&lt;=G1557),"OK","CHECK"))</f>
        <v>OK</v>
      </c>
      <c r="L1557" s="1" t="str">
        <f aca="false">IF(A1557="","",IF(AND(E1557&gt;=0,E1557&lt;=23),"OK","CHECK"))</f>
        <v>OK</v>
      </c>
      <c r="M1557" s="1" t="str">
        <f aca="false">IF(A1557="","",IF(AND(K1557="OK",L1557="OK"),"OK","CHECK"))</f>
        <v>OK</v>
      </c>
    </row>
    <row r="1558" customFormat="false" ht="18" hidden="false" customHeight="true" outlineLevel="0" collapsed="false">
      <c r="A1558" s="9" t="s">
        <v>26</v>
      </c>
      <c r="B1558" s="9" t="n">
        <v>24</v>
      </c>
      <c r="C1558" s="11" t="n">
        <v>45934</v>
      </c>
      <c r="D1558" s="9" t="s">
        <v>137</v>
      </c>
      <c r="E1558" s="12" t="n">
        <v>9</v>
      </c>
      <c r="F1558" s="9" t="s">
        <v>28</v>
      </c>
      <c r="G1558" s="13" t="n">
        <v>50</v>
      </c>
      <c r="H1558" s="9" t="s">
        <v>41</v>
      </c>
      <c r="I1558" s="13" t="n">
        <v>0</v>
      </c>
      <c r="J1558" s="1" t="str">
        <f aca="false">IF(A1558="","", "SAMP-"&amp;A1558&amp;"-L"&amp;TEXT(B1558,"00")&amp;"-"&amp;TEXT(C1558,"yyyymmdd")&amp;"-"&amp;D1558&amp;"-H"&amp;TEXT(E1558,"00")&amp;"-"&amp;H1558)</f>
        <v>SAMP-KG01-L24-20251004-ORD-2025-00248-H09-Chip</v>
      </c>
      <c r="K1558" s="1" t="str">
        <f aca="false">IF(A1558="","",IF(AND(G1558&gt;=0,I1558&gt;=0,I1558&lt;=G1558),"OK","CHECK"))</f>
        <v>OK</v>
      </c>
      <c r="L1558" s="1" t="str">
        <f aca="false">IF(A1558="","",IF(AND(E1558&gt;=0,E1558&lt;=23),"OK","CHECK"))</f>
        <v>OK</v>
      </c>
      <c r="M1558" s="1" t="str">
        <f aca="false">IF(A1558="","",IF(AND(K1558="OK",L1558="OK"),"OK","CHECK"))</f>
        <v>OK</v>
      </c>
    </row>
    <row r="1559" customFormat="false" ht="18" hidden="false" customHeight="true" outlineLevel="0" collapsed="false">
      <c r="A1559" s="9" t="s">
        <v>26</v>
      </c>
      <c r="B1559" s="9" t="n">
        <v>24</v>
      </c>
      <c r="C1559" s="11" t="n">
        <v>45934</v>
      </c>
      <c r="D1559" s="9" t="s">
        <v>137</v>
      </c>
      <c r="E1559" s="12" t="n">
        <v>7</v>
      </c>
      <c r="F1559" s="9" t="s">
        <v>28</v>
      </c>
      <c r="G1559" s="13" t="n">
        <v>100</v>
      </c>
      <c r="H1559" s="9" t="s">
        <v>34</v>
      </c>
      <c r="I1559" s="13" t="n">
        <v>4</v>
      </c>
      <c r="J1559" s="1" t="str">
        <f aca="false">IF(A1559="","", "SAMP-"&amp;A1559&amp;"-L"&amp;TEXT(B1559,"00")&amp;"-"&amp;TEXT(C1559,"yyyymmdd")&amp;"-"&amp;D1559&amp;"-H"&amp;TEXT(E1559,"00")&amp;"-"&amp;H1559)</f>
        <v>SAMP-KG01-L24-20251004-ORD-2025-00248-H07-Thin Wall</v>
      </c>
      <c r="K1559" s="1" t="str">
        <f aca="false">IF(A1559="","",IF(AND(G1559&gt;=0,I1559&gt;=0,I1559&lt;=G1559),"OK","CHECK"))</f>
        <v>OK</v>
      </c>
      <c r="L1559" s="1" t="str">
        <f aca="false">IF(A1559="","",IF(AND(E1559&gt;=0,E1559&lt;=23),"OK","CHECK"))</f>
        <v>OK</v>
      </c>
      <c r="M1559" s="1" t="str">
        <f aca="false">IF(A1559="","",IF(AND(K1559="OK",L1559="OK"),"OK","CHECK"))</f>
        <v>OK</v>
      </c>
    </row>
    <row r="1560" customFormat="false" ht="18" hidden="false" customHeight="true" outlineLevel="0" collapsed="false">
      <c r="A1560" s="9" t="s">
        <v>26</v>
      </c>
      <c r="B1560" s="9" t="n">
        <v>24</v>
      </c>
      <c r="C1560" s="11" t="n">
        <v>45934</v>
      </c>
      <c r="D1560" s="9" t="s">
        <v>137</v>
      </c>
      <c r="E1560" s="12" t="n">
        <v>16</v>
      </c>
      <c r="F1560" s="9" t="s">
        <v>31</v>
      </c>
      <c r="G1560" s="13" t="n">
        <v>50</v>
      </c>
      <c r="H1560" s="9" t="s">
        <v>34</v>
      </c>
      <c r="I1560" s="13" t="n">
        <v>1</v>
      </c>
      <c r="J1560" s="1" t="str">
        <f aca="false">IF(A1560="","", "SAMP-"&amp;A1560&amp;"-L"&amp;TEXT(B1560,"00")&amp;"-"&amp;TEXT(C1560,"yyyymmdd")&amp;"-"&amp;D1560&amp;"-H"&amp;TEXT(E1560,"00")&amp;"-"&amp;H1560)</f>
        <v>SAMP-KG01-L24-20251004-ORD-2025-00248-H16-Thin Wall</v>
      </c>
      <c r="K1560" s="1" t="str">
        <f aca="false">IF(A1560="","",IF(AND(G1560&gt;=0,I1560&gt;=0,I1560&lt;=G1560),"OK","CHECK"))</f>
        <v>OK</v>
      </c>
      <c r="L1560" s="1" t="str">
        <f aca="false">IF(A1560="","",IF(AND(E1560&gt;=0,E1560&lt;=23),"OK","CHECK"))</f>
        <v>OK</v>
      </c>
      <c r="M1560" s="1" t="str">
        <f aca="false">IF(A1560="","",IF(AND(K1560="OK",L1560="OK"),"OK","CHECK"))</f>
        <v>OK</v>
      </c>
    </row>
    <row r="1561" customFormat="false" ht="18" hidden="false" customHeight="true" outlineLevel="0" collapsed="false">
      <c r="A1561" s="9" t="s">
        <v>26</v>
      </c>
      <c r="B1561" s="9" t="n">
        <v>24</v>
      </c>
      <c r="C1561" s="11" t="n">
        <v>45934</v>
      </c>
      <c r="D1561" s="9" t="s">
        <v>137</v>
      </c>
      <c r="E1561" s="12" t="n">
        <v>23</v>
      </c>
      <c r="F1561" s="9" t="s">
        <v>31</v>
      </c>
      <c r="G1561" s="13" t="n">
        <v>200</v>
      </c>
      <c r="H1561" s="9" t="s">
        <v>38</v>
      </c>
      <c r="I1561" s="13" t="n">
        <v>1</v>
      </c>
      <c r="J1561" s="1" t="str">
        <f aca="false">IF(A1561="","", "SAMP-"&amp;A1561&amp;"-L"&amp;TEXT(B1561,"00")&amp;"-"&amp;TEXT(C1561,"yyyymmdd")&amp;"-"&amp;D1561&amp;"-H"&amp;TEXT(E1561,"00")&amp;"-"&amp;H1561)</f>
        <v>SAMP-KG01-L24-20251004-ORD-2025-00248-H23-Crack</v>
      </c>
      <c r="K1561" s="1" t="str">
        <f aca="false">IF(A1561="","",IF(AND(G1561&gt;=0,I1561&gt;=0,I1561&lt;=G1561),"OK","CHECK"))</f>
        <v>OK</v>
      </c>
      <c r="L1561" s="1" t="str">
        <f aca="false">IF(A1561="","",IF(AND(E1561&gt;=0,E1561&lt;=23),"OK","CHECK"))</f>
        <v>OK</v>
      </c>
      <c r="M1561" s="1" t="str">
        <f aca="false">IF(A1561="","",IF(AND(K1561="OK",L1561="OK"),"OK","CHECK"))</f>
        <v>OK</v>
      </c>
    </row>
    <row r="1562" customFormat="false" ht="18" hidden="false" customHeight="true" outlineLevel="0" collapsed="false">
      <c r="A1562" s="9" t="s">
        <v>26</v>
      </c>
      <c r="B1562" s="9" t="n">
        <v>24</v>
      </c>
      <c r="C1562" s="11" t="n">
        <v>45935</v>
      </c>
      <c r="D1562" s="9" t="s">
        <v>137</v>
      </c>
      <c r="E1562" s="12" t="n">
        <v>12</v>
      </c>
      <c r="F1562" s="9" t="s">
        <v>28</v>
      </c>
      <c r="G1562" s="13" t="n">
        <v>50</v>
      </c>
      <c r="H1562" s="9" t="s">
        <v>35</v>
      </c>
      <c r="I1562" s="13" t="n">
        <v>0</v>
      </c>
      <c r="J1562" s="1" t="str">
        <f aca="false">IF(A1562="","", "SAMP-"&amp;A1562&amp;"-L"&amp;TEXT(B1562,"00")&amp;"-"&amp;TEXT(C1562,"yyyymmdd")&amp;"-"&amp;D1562&amp;"-H"&amp;TEXT(E1562,"00")&amp;"-"&amp;H1562)</f>
        <v>SAMP-KG01-L24-20251005-ORD-2025-00248-H12-Stone</v>
      </c>
      <c r="K1562" s="1" t="str">
        <f aca="false">IF(A1562="","",IF(AND(G1562&gt;=0,I1562&gt;=0,I1562&lt;=G1562),"OK","CHECK"))</f>
        <v>OK</v>
      </c>
      <c r="L1562" s="1" t="str">
        <f aca="false">IF(A1562="","",IF(AND(E1562&gt;=0,E1562&lt;=23),"OK","CHECK"))</f>
        <v>OK</v>
      </c>
      <c r="M1562" s="1" t="str">
        <f aca="false">IF(A1562="","",IF(AND(K1562="OK",L1562="OK"),"OK","CHECK"))</f>
        <v>OK</v>
      </c>
    </row>
    <row r="1563" customFormat="false" ht="18" hidden="false" customHeight="true" outlineLevel="0" collapsed="false">
      <c r="A1563" s="9" t="s">
        <v>26</v>
      </c>
      <c r="B1563" s="9" t="n">
        <v>24</v>
      </c>
      <c r="C1563" s="11" t="n">
        <v>45935</v>
      </c>
      <c r="D1563" s="9" t="s">
        <v>137</v>
      </c>
      <c r="E1563" s="12" t="n">
        <v>7</v>
      </c>
      <c r="F1563" s="9" t="s">
        <v>28</v>
      </c>
      <c r="G1563" s="13" t="n">
        <v>200</v>
      </c>
      <c r="H1563" s="9" t="s">
        <v>29</v>
      </c>
      <c r="I1563" s="13" t="n">
        <v>3</v>
      </c>
      <c r="J1563" s="1" t="str">
        <f aca="false">IF(A1563="","", "SAMP-"&amp;A1563&amp;"-L"&amp;TEXT(B1563,"00")&amp;"-"&amp;TEXT(C1563,"yyyymmdd")&amp;"-"&amp;D1563&amp;"-H"&amp;TEXT(E1563,"00")&amp;"-"&amp;H1563)</f>
        <v>SAMP-KG01-L24-20251005-ORD-2025-00248-H07-Choke Neck</v>
      </c>
      <c r="K1563" s="1" t="str">
        <f aca="false">IF(A1563="","",IF(AND(G1563&gt;=0,I1563&gt;=0,I1563&lt;=G1563),"OK","CHECK"))</f>
        <v>OK</v>
      </c>
      <c r="L1563" s="1" t="str">
        <f aca="false">IF(A1563="","",IF(AND(E1563&gt;=0,E1563&lt;=23),"OK","CHECK"))</f>
        <v>OK</v>
      </c>
      <c r="M1563" s="1" t="str">
        <f aca="false">IF(A1563="","",IF(AND(K1563="OK",L1563="OK"),"OK","CHECK"))</f>
        <v>OK</v>
      </c>
    </row>
    <row r="1564" customFormat="false" ht="18" hidden="false" customHeight="true" outlineLevel="0" collapsed="false">
      <c r="A1564" s="9" t="s">
        <v>26</v>
      </c>
      <c r="B1564" s="9" t="n">
        <v>24</v>
      </c>
      <c r="C1564" s="11" t="n">
        <v>45935</v>
      </c>
      <c r="D1564" s="9" t="s">
        <v>137</v>
      </c>
      <c r="E1564" s="12" t="n">
        <v>9</v>
      </c>
      <c r="F1564" s="9" t="s">
        <v>28</v>
      </c>
      <c r="G1564" s="13" t="n">
        <v>50</v>
      </c>
      <c r="H1564" s="9" t="s">
        <v>29</v>
      </c>
      <c r="I1564" s="13" t="n">
        <v>2</v>
      </c>
      <c r="J1564" s="1" t="str">
        <f aca="false">IF(A1564="","", "SAMP-"&amp;A1564&amp;"-L"&amp;TEXT(B1564,"00")&amp;"-"&amp;TEXT(C1564,"yyyymmdd")&amp;"-"&amp;D1564&amp;"-H"&amp;TEXT(E1564,"00")&amp;"-"&amp;H1564)</f>
        <v>SAMP-KG01-L24-20251005-ORD-2025-00248-H09-Choke Neck</v>
      </c>
      <c r="K1564" s="1" t="str">
        <f aca="false">IF(A1564="","",IF(AND(G1564&gt;=0,I1564&gt;=0,I1564&lt;=G1564),"OK","CHECK"))</f>
        <v>OK</v>
      </c>
      <c r="L1564" s="1" t="str">
        <f aca="false">IF(A1564="","",IF(AND(E1564&gt;=0,E1564&lt;=23),"OK","CHECK"))</f>
        <v>OK</v>
      </c>
      <c r="M1564" s="1" t="str">
        <f aca="false">IF(A1564="","",IF(AND(K1564="OK",L1564="OK"),"OK","CHECK"))</f>
        <v>OK</v>
      </c>
    </row>
    <row r="1565" customFormat="false" ht="18" hidden="false" customHeight="true" outlineLevel="0" collapsed="false">
      <c r="A1565" s="9" t="s">
        <v>26</v>
      </c>
      <c r="B1565" s="9" t="n">
        <v>24</v>
      </c>
      <c r="C1565" s="11" t="n">
        <v>45935</v>
      </c>
      <c r="D1565" s="9" t="s">
        <v>137</v>
      </c>
      <c r="E1565" s="12" t="n">
        <v>23</v>
      </c>
      <c r="F1565" s="9" t="s">
        <v>31</v>
      </c>
      <c r="G1565" s="13" t="n">
        <v>100</v>
      </c>
      <c r="H1565" s="9" t="s">
        <v>41</v>
      </c>
      <c r="I1565" s="13" t="n">
        <v>1</v>
      </c>
      <c r="J1565" s="1" t="str">
        <f aca="false">IF(A1565="","", "SAMP-"&amp;A1565&amp;"-L"&amp;TEXT(B1565,"00")&amp;"-"&amp;TEXT(C1565,"yyyymmdd")&amp;"-"&amp;D1565&amp;"-H"&amp;TEXT(E1565,"00")&amp;"-"&amp;H1565)</f>
        <v>SAMP-KG01-L24-20251005-ORD-2025-00248-H23-Chip</v>
      </c>
      <c r="K1565" s="1" t="str">
        <f aca="false">IF(A1565="","",IF(AND(G1565&gt;=0,I1565&gt;=0,I1565&lt;=G1565),"OK","CHECK"))</f>
        <v>OK</v>
      </c>
      <c r="L1565" s="1" t="str">
        <f aca="false">IF(A1565="","",IF(AND(E1565&gt;=0,E1565&lt;=23),"OK","CHECK"))</f>
        <v>OK</v>
      </c>
      <c r="M1565" s="1" t="str">
        <f aca="false">IF(A1565="","",IF(AND(K1565="OK",L1565="OK"),"OK","CHECK"))</f>
        <v>OK</v>
      </c>
    </row>
    <row r="1566" customFormat="false" ht="18" hidden="false" customHeight="true" outlineLevel="0" collapsed="false">
      <c r="A1566" s="9" t="s">
        <v>26</v>
      </c>
      <c r="B1566" s="9" t="n">
        <v>24</v>
      </c>
      <c r="C1566" s="11" t="n">
        <v>45935</v>
      </c>
      <c r="D1566" s="9" t="s">
        <v>137</v>
      </c>
      <c r="E1566" s="12" t="n">
        <v>16</v>
      </c>
      <c r="F1566" s="9" t="s">
        <v>31</v>
      </c>
      <c r="G1566" s="13" t="n">
        <v>150</v>
      </c>
      <c r="H1566" s="9" t="s">
        <v>30</v>
      </c>
      <c r="I1566" s="13" t="n">
        <v>4</v>
      </c>
      <c r="J1566" s="1" t="str">
        <f aca="false">IF(A1566="","", "SAMP-"&amp;A1566&amp;"-L"&amp;TEXT(B1566,"00")&amp;"-"&amp;TEXT(C1566,"yyyymmdd")&amp;"-"&amp;D1566&amp;"-H"&amp;TEXT(E1566,"00")&amp;"-"&amp;H1566)</f>
        <v>SAMP-KG01-L24-20251005-ORD-2025-00248-H16-Overpress</v>
      </c>
      <c r="K1566" s="1" t="str">
        <f aca="false">IF(A1566="","",IF(AND(G1566&gt;=0,I1566&gt;=0,I1566&lt;=G1566),"OK","CHECK"))</f>
        <v>OK</v>
      </c>
      <c r="L1566" s="1" t="str">
        <f aca="false">IF(A1566="","",IF(AND(E1566&gt;=0,E1566&lt;=23),"OK","CHECK"))</f>
        <v>OK</v>
      </c>
      <c r="M1566" s="1" t="str">
        <f aca="false">IF(A1566="","",IF(AND(K1566="OK",L1566="OK"),"OK","CHECK"))</f>
        <v>OK</v>
      </c>
    </row>
    <row r="1567" customFormat="false" ht="18" hidden="false" customHeight="true" outlineLevel="0" collapsed="false">
      <c r="A1567" s="9" t="s">
        <v>26</v>
      </c>
      <c r="B1567" s="9" t="n">
        <v>24</v>
      </c>
      <c r="C1567" s="11" t="n">
        <v>45935</v>
      </c>
      <c r="D1567" s="9" t="s">
        <v>137</v>
      </c>
      <c r="E1567" s="12" t="n">
        <v>20</v>
      </c>
      <c r="F1567" s="9" t="s">
        <v>31</v>
      </c>
      <c r="G1567" s="13" t="n">
        <v>150</v>
      </c>
      <c r="H1567" s="9" t="s">
        <v>34</v>
      </c>
      <c r="I1567" s="13" t="n">
        <v>0</v>
      </c>
      <c r="J1567" s="1" t="str">
        <f aca="false">IF(A1567="","", "SAMP-"&amp;A1567&amp;"-L"&amp;TEXT(B1567,"00")&amp;"-"&amp;TEXT(C1567,"yyyymmdd")&amp;"-"&amp;D1567&amp;"-H"&amp;TEXT(E1567,"00")&amp;"-"&amp;H1567)</f>
        <v>SAMP-KG01-L24-20251005-ORD-2025-00248-H20-Thin Wall</v>
      </c>
      <c r="K1567" s="1" t="str">
        <f aca="false">IF(A1567="","",IF(AND(G1567&gt;=0,I1567&gt;=0,I1567&lt;=G1567),"OK","CHECK"))</f>
        <v>OK</v>
      </c>
      <c r="L1567" s="1" t="str">
        <f aca="false">IF(A1567="","",IF(AND(E1567&gt;=0,E1567&lt;=23),"OK","CHECK"))</f>
        <v>OK</v>
      </c>
      <c r="M1567" s="1" t="str">
        <f aca="false">IF(A1567="","",IF(AND(K1567="OK",L1567="OK"),"OK","CHECK"))</f>
        <v>OK</v>
      </c>
    </row>
    <row r="1568" customFormat="false" ht="18" hidden="false" customHeight="true" outlineLevel="0" collapsed="false">
      <c r="A1568" s="9" t="s">
        <v>26</v>
      </c>
      <c r="B1568" s="9" t="n">
        <v>24</v>
      </c>
      <c r="C1568" s="11" t="n">
        <v>45936</v>
      </c>
      <c r="D1568" s="9" t="s">
        <v>138</v>
      </c>
      <c r="E1568" s="12" t="n">
        <v>7</v>
      </c>
      <c r="F1568" s="9" t="s">
        <v>28</v>
      </c>
      <c r="G1568" s="13" t="n">
        <v>100</v>
      </c>
      <c r="H1568" s="9" t="s">
        <v>36</v>
      </c>
      <c r="I1568" s="13" t="n">
        <v>0</v>
      </c>
      <c r="J1568" s="1" t="str">
        <f aca="false">IF(A1568="","", "SAMP-"&amp;A1568&amp;"-L"&amp;TEXT(B1568,"00")&amp;"-"&amp;TEXT(C1568,"yyyymmdd")&amp;"-"&amp;D1568&amp;"-H"&amp;TEXT(E1568,"00")&amp;"-"&amp;H1568)</f>
        <v>SAMP-KG01-L24-20251006-ORD-2025-00249-H07-Blister</v>
      </c>
      <c r="K1568" s="1" t="str">
        <f aca="false">IF(A1568="","",IF(AND(G1568&gt;=0,I1568&gt;=0,I1568&lt;=G1568),"OK","CHECK"))</f>
        <v>OK</v>
      </c>
      <c r="L1568" s="1" t="str">
        <f aca="false">IF(A1568="","",IF(AND(E1568&gt;=0,E1568&lt;=23),"OK","CHECK"))</f>
        <v>OK</v>
      </c>
      <c r="M1568" s="1" t="str">
        <f aca="false">IF(A1568="","",IF(AND(K1568="OK",L1568="OK"),"OK","CHECK"))</f>
        <v>OK</v>
      </c>
    </row>
    <row r="1569" customFormat="false" ht="18" hidden="false" customHeight="true" outlineLevel="0" collapsed="false">
      <c r="A1569" s="9" t="s">
        <v>26</v>
      </c>
      <c r="B1569" s="9" t="n">
        <v>24</v>
      </c>
      <c r="C1569" s="11" t="n">
        <v>45936</v>
      </c>
      <c r="D1569" s="9" t="s">
        <v>138</v>
      </c>
      <c r="E1569" s="12" t="n">
        <v>9</v>
      </c>
      <c r="F1569" s="9" t="s">
        <v>28</v>
      </c>
      <c r="G1569" s="13" t="n">
        <v>150</v>
      </c>
      <c r="H1569" s="9" t="s">
        <v>30</v>
      </c>
      <c r="I1569" s="13" t="n">
        <v>5</v>
      </c>
      <c r="J1569" s="1" t="str">
        <f aca="false">IF(A1569="","", "SAMP-"&amp;A1569&amp;"-L"&amp;TEXT(B1569,"00")&amp;"-"&amp;TEXT(C1569,"yyyymmdd")&amp;"-"&amp;D1569&amp;"-H"&amp;TEXT(E1569,"00")&amp;"-"&amp;H1569)</f>
        <v>SAMP-KG01-L24-20251006-ORD-2025-00249-H09-Overpress</v>
      </c>
      <c r="K1569" s="1" t="str">
        <f aca="false">IF(A1569="","",IF(AND(G1569&gt;=0,I1569&gt;=0,I1569&lt;=G1569),"OK","CHECK"))</f>
        <v>OK</v>
      </c>
      <c r="L1569" s="1" t="str">
        <f aca="false">IF(A1569="","",IF(AND(E1569&gt;=0,E1569&lt;=23),"OK","CHECK"))</f>
        <v>OK</v>
      </c>
      <c r="M1569" s="1" t="str">
        <f aca="false">IF(A1569="","",IF(AND(K1569="OK",L1569="OK"),"OK","CHECK"))</f>
        <v>OK</v>
      </c>
    </row>
    <row r="1570" customFormat="false" ht="18" hidden="false" customHeight="true" outlineLevel="0" collapsed="false">
      <c r="A1570" s="9" t="s">
        <v>26</v>
      </c>
      <c r="B1570" s="9" t="n">
        <v>24</v>
      </c>
      <c r="C1570" s="11" t="n">
        <v>45936</v>
      </c>
      <c r="D1570" s="9" t="s">
        <v>138</v>
      </c>
      <c r="E1570" s="12" t="n">
        <v>12</v>
      </c>
      <c r="F1570" s="9" t="s">
        <v>28</v>
      </c>
      <c r="G1570" s="13" t="n">
        <v>100</v>
      </c>
      <c r="H1570" s="9" t="s">
        <v>33</v>
      </c>
      <c r="I1570" s="13" t="n">
        <v>1</v>
      </c>
      <c r="J1570" s="1" t="str">
        <f aca="false">IF(A1570="","", "SAMP-"&amp;A1570&amp;"-L"&amp;TEXT(B1570,"00")&amp;"-"&amp;TEXT(C1570,"yyyymmdd")&amp;"-"&amp;D1570&amp;"-H"&amp;TEXT(E1570,"00")&amp;"-"&amp;H1570)</f>
        <v>SAMP-KG01-L24-20251006-ORD-2025-00249-H12-Distortion</v>
      </c>
      <c r="K1570" s="1" t="str">
        <f aca="false">IF(A1570="","",IF(AND(G1570&gt;=0,I1570&gt;=0,I1570&lt;=G1570),"OK","CHECK"))</f>
        <v>OK</v>
      </c>
      <c r="L1570" s="1" t="str">
        <f aca="false">IF(A1570="","",IF(AND(E1570&gt;=0,E1570&lt;=23),"OK","CHECK"))</f>
        <v>OK</v>
      </c>
      <c r="M1570" s="1" t="str">
        <f aca="false">IF(A1570="","",IF(AND(K1570="OK",L1570="OK"),"OK","CHECK"))</f>
        <v>OK</v>
      </c>
    </row>
    <row r="1571" customFormat="false" ht="18" hidden="false" customHeight="true" outlineLevel="0" collapsed="false">
      <c r="A1571" s="9" t="s">
        <v>26</v>
      </c>
      <c r="B1571" s="9" t="n">
        <v>24</v>
      </c>
      <c r="C1571" s="11" t="n">
        <v>45936</v>
      </c>
      <c r="D1571" s="9" t="s">
        <v>138</v>
      </c>
      <c r="E1571" s="12" t="n">
        <v>16</v>
      </c>
      <c r="F1571" s="9" t="s">
        <v>31</v>
      </c>
      <c r="G1571" s="13" t="n">
        <v>150</v>
      </c>
      <c r="H1571" s="9" t="s">
        <v>29</v>
      </c>
      <c r="I1571" s="13" t="n">
        <v>2</v>
      </c>
      <c r="J1571" s="1" t="str">
        <f aca="false">IF(A1571="","", "SAMP-"&amp;A1571&amp;"-L"&amp;TEXT(B1571,"00")&amp;"-"&amp;TEXT(C1571,"yyyymmdd")&amp;"-"&amp;D1571&amp;"-H"&amp;TEXT(E1571,"00")&amp;"-"&amp;H1571)</f>
        <v>SAMP-KG01-L24-20251006-ORD-2025-00249-H16-Choke Neck</v>
      </c>
      <c r="K1571" s="1" t="str">
        <f aca="false">IF(A1571="","",IF(AND(G1571&gt;=0,I1571&gt;=0,I1571&lt;=G1571),"OK","CHECK"))</f>
        <v>OK</v>
      </c>
      <c r="L1571" s="1" t="str">
        <f aca="false">IF(A1571="","",IF(AND(E1571&gt;=0,E1571&lt;=23),"OK","CHECK"))</f>
        <v>OK</v>
      </c>
      <c r="M1571" s="1" t="str">
        <f aca="false">IF(A1571="","",IF(AND(K1571="OK",L1571="OK"),"OK","CHECK"))</f>
        <v>OK</v>
      </c>
    </row>
    <row r="1572" customFormat="false" ht="18" hidden="false" customHeight="true" outlineLevel="0" collapsed="false">
      <c r="A1572" s="9" t="s">
        <v>26</v>
      </c>
      <c r="B1572" s="9" t="n">
        <v>24</v>
      </c>
      <c r="C1572" s="11" t="n">
        <v>45936</v>
      </c>
      <c r="D1572" s="9" t="s">
        <v>138</v>
      </c>
      <c r="E1572" s="12" t="n">
        <v>23</v>
      </c>
      <c r="F1572" s="9" t="s">
        <v>31</v>
      </c>
      <c r="G1572" s="13" t="n">
        <v>50</v>
      </c>
      <c r="H1572" s="9" t="s">
        <v>41</v>
      </c>
      <c r="I1572" s="13" t="n">
        <v>1</v>
      </c>
      <c r="J1572" s="1" t="str">
        <f aca="false">IF(A1572="","", "SAMP-"&amp;A1572&amp;"-L"&amp;TEXT(B1572,"00")&amp;"-"&amp;TEXT(C1572,"yyyymmdd")&amp;"-"&amp;D1572&amp;"-H"&amp;TEXT(E1572,"00")&amp;"-"&amp;H1572)</f>
        <v>SAMP-KG01-L24-20251006-ORD-2025-00249-H23-Chip</v>
      </c>
      <c r="K1572" s="1" t="str">
        <f aca="false">IF(A1572="","",IF(AND(G1572&gt;=0,I1572&gt;=0,I1572&lt;=G1572),"OK","CHECK"))</f>
        <v>OK</v>
      </c>
      <c r="L1572" s="1" t="str">
        <f aca="false">IF(A1572="","",IF(AND(E1572&gt;=0,E1572&lt;=23),"OK","CHECK"))</f>
        <v>OK</v>
      </c>
      <c r="M1572" s="1" t="str">
        <f aca="false">IF(A1572="","",IF(AND(K1572="OK",L1572="OK"),"OK","CHECK"))</f>
        <v>OK</v>
      </c>
    </row>
    <row r="1573" customFormat="false" ht="18" hidden="false" customHeight="true" outlineLevel="0" collapsed="false">
      <c r="A1573" s="9" t="s">
        <v>26</v>
      </c>
      <c r="B1573" s="9" t="n">
        <v>24</v>
      </c>
      <c r="C1573" s="11" t="n">
        <v>45936</v>
      </c>
      <c r="D1573" s="9" t="s">
        <v>138</v>
      </c>
      <c r="E1573" s="12" t="n">
        <v>20</v>
      </c>
      <c r="F1573" s="9" t="s">
        <v>31</v>
      </c>
      <c r="G1573" s="13" t="n">
        <v>200</v>
      </c>
      <c r="H1573" s="9" t="s">
        <v>35</v>
      </c>
      <c r="I1573" s="13" t="n">
        <v>7</v>
      </c>
      <c r="J1573" s="1" t="str">
        <f aca="false">IF(A1573="","", "SAMP-"&amp;A1573&amp;"-L"&amp;TEXT(B1573,"00")&amp;"-"&amp;TEXT(C1573,"yyyymmdd")&amp;"-"&amp;D1573&amp;"-H"&amp;TEXT(E1573,"00")&amp;"-"&amp;H1573)</f>
        <v>SAMP-KG01-L24-20251006-ORD-2025-00249-H20-Stone</v>
      </c>
      <c r="K1573" s="1" t="str">
        <f aca="false">IF(A1573="","",IF(AND(G1573&gt;=0,I1573&gt;=0,I1573&lt;=G1573),"OK","CHECK"))</f>
        <v>OK</v>
      </c>
      <c r="L1573" s="1" t="str">
        <f aca="false">IF(A1573="","",IF(AND(E1573&gt;=0,E1573&lt;=23),"OK","CHECK"))</f>
        <v>OK</v>
      </c>
      <c r="M1573" s="1" t="str">
        <f aca="false">IF(A1573="","",IF(AND(K1573="OK",L1573="OK"),"OK","CHECK"))</f>
        <v>OK</v>
      </c>
    </row>
    <row r="1574" customFormat="false" ht="18" hidden="false" customHeight="true" outlineLevel="0" collapsed="false">
      <c r="A1574" s="9" t="s">
        <v>26</v>
      </c>
      <c r="B1574" s="9" t="n">
        <v>24</v>
      </c>
      <c r="C1574" s="11" t="n">
        <v>45937</v>
      </c>
      <c r="D1574" s="9" t="s">
        <v>138</v>
      </c>
      <c r="E1574" s="12" t="n">
        <v>7</v>
      </c>
      <c r="F1574" s="9" t="s">
        <v>28</v>
      </c>
      <c r="G1574" s="13" t="n">
        <v>50</v>
      </c>
      <c r="H1574" s="9" t="s">
        <v>30</v>
      </c>
      <c r="I1574" s="13" t="n">
        <v>1</v>
      </c>
      <c r="J1574" s="1" t="str">
        <f aca="false">IF(A1574="","", "SAMP-"&amp;A1574&amp;"-L"&amp;TEXT(B1574,"00")&amp;"-"&amp;TEXT(C1574,"yyyymmdd")&amp;"-"&amp;D1574&amp;"-H"&amp;TEXT(E1574,"00")&amp;"-"&amp;H1574)</f>
        <v>SAMP-KG01-L24-20251007-ORD-2025-00249-H07-Overpress</v>
      </c>
      <c r="K1574" s="1" t="str">
        <f aca="false">IF(A1574="","",IF(AND(G1574&gt;=0,I1574&gt;=0,I1574&lt;=G1574),"OK","CHECK"))</f>
        <v>OK</v>
      </c>
      <c r="L1574" s="1" t="str">
        <f aca="false">IF(A1574="","",IF(AND(E1574&gt;=0,E1574&lt;=23),"OK","CHECK"))</f>
        <v>OK</v>
      </c>
      <c r="M1574" s="1" t="str">
        <f aca="false">IF(A1574="","",IF(AND(K1574="OK",L1574="OK"),"OK","CHECK"))</f>
        <v>OK</v>
      </c>
    </row>
    <row r="1575" customFormat="false" ht="18" hidden="false" customHeight="true" outlineLevel="0" collapsed="false">
      <c r="A1575" s="9" t="s">
        <v>26</v>
      </c>
      <c r="B1575" s="9" t="n">
        <v>24</v>
      </c>
      <c r="C1575" s="11" t="n">
        <v>45937</v>
      </c>
      <c r="D1575" s="9" t="s">
        <v>138</v>
      </c>
      <c r="E1575" s="12" t="n">
        <v>9</v>
      </c>
      <c r="F1575" s="9" t="s">
        <v>28</v>
      </c>
      <c r="G1575" s="13" t="n">
        <v>100</v>
      </c>
      <c r="H1575" s="9" t="s">
        <v>37</v>
      </c>
      <c r="I1575" s="13" t="n">
        <v>0</v>
      </c>
      <c r="J1575" s="1" t="str">
        <f aca="false">IF(A1575="","", "SAMP-"&amp;A1575&amp;"-L"&amp;TEXT(B1575,"00")&amp;"-"&amp;TEXT(C1575,"yyyymmdd")&amp;"-"&amp;D1575&amp;"-H"&amp;TEXT(E1575,"00")&amp;"-"&amp;H1575)</f>
        <v>SAMP-KG01-L24-20251007-ORD-2025-00249-H09-Bird Swing</v>
      </c>
      <c r="K1575" s="1" t="str">
        <f aca="false">IF(A1575="","",IF(AND(G1575&gt;=0,I1575&gt;=0,I1575&lt;=G1575),"OK","CHECK"))</f>
        <v>OK</v>
      </c>
      <c r="L1575" s="1" t="str">
        <f aca="false">IF(A1575="","",IF(AND(E1575&gt;=0,E1575&lt;=23),"OK","CHECK"))</f>
        <v>OK</v>
      </c>
      <c r="M1575" s="1" t="str">
        <f aca="false">IF(A1575="","",IF(AND(K1575="OK",L1575="OK"),"OK","CHECK"))</f>
        <v>OK</v>
      </c>
    </row>
    <row r="1576" customFormat="false" ht="18" hidden="false" customHeight="true" outlineLevel="0" collapsed="false">
      <c r="A1576" s="9" t="s">
        <v>26</v>
      </c>
      <c r="B1576" s="9" t="n">
        <v>24</v>
      </c>
      <c r="C1576" s="11" t="n">
        <v>45937</v>
      </c>
      <c r="D1576" s="9" t="s">
        <v>138</v>
      </c>
      <c r="E1576" s="12" t="n">
        <v>12</v>
      </c>
      <c r="F1576" s="9" t="s">
        <v>28</v>
      </c>
      <c r="G1576" s="13" t="n">
        <v>100</v>
      </c>
      <c r="H1576" s="9" t="s">
        <v>41</v>
      </c>
      <c r="I1576" s="13" t="n">
        <v>6</v>
      </c>
      <c r="J1576" s="1" t="str">
        <f aca="false">IF(A1576="","", "SAMP-"&amp;A1576&amp;"-L"&amp;TEXT(B1576,"00")&amp;"-"&amp;TEXT(C1576,"yyyymmdd")&amp;"-"&amp;D1576&amp;"-H"&amp;TEXT(E1576,"00")&amp;"-"&amp;H1576)</f>
        <v>SAMP-KG01-L24-20251007-ORD-2025-00249-H12-Chip</v>
      </c>
      <c r="K1576" s="1" t="str">
        <f aca="false">IF(A1576="","",IF(AND(G1576&gt;=0,I1576&gt;=0,I1576&lt;=G1576),"OK","CHECK"))</f>
        <v>OK</v>
      </c>
      <c r="L1576" s="1" t="str">
        <f aca="false">IF(A1576="","",IF(AND(E1576&gt;=0,E1576&lt;=23),"OK","CHECK"))</f>
        <v>OK</v>
      </c>
      <c r="M1576" s="1" t="str">
        <f aca="false">IF(A1576="","",IF(AND(K1576="OK",L1576="OK"),"OK","CHECK"))</f>
        <v>OK</v>
      </c>
    </row>
    <row r="1577" customFormat="false" ht="18" hidden="false" customHeight="true" outlineLevel="0" collapsed="false">
      <c r="A1577" s="9" t="s">
        <v>26</v>
      </c>
      <c r="B1577" s="9" t="n">
        <v>24</v>
      </c>
      <c r="C1577" s="11" t="n">
        <v>45937</v>
      </c>
      <c r="D1577" s="9" t="s">
        <v>138</v>
      </c>
      <c r="E1577" s="12" t="n">
        <v>16</v>
      </c>
      <c r="F1577" s="9" t="s">
        <v>31</v>
      </c>
      <c r="G1577" s="13" t="n">
        <v>50</v>
      </c>
      <c r="H1577" s="9" t="s">
        <v>41</v>
      </c>
      <c r="I1577" s="13" t="n">
        <v>1</v>
      </c>
      <c r="J1577" s="1" t="str">
        <f aca="false">IF(A1577="","", "SAMP-"&amp;A1577&amp;"-L"&amp;TEXT(B1577,"00")&amp;"-"&amp;TEXT(C1577,"yyyymmdd")&amp;"-"&amp;D1577&amp;"-H"&amp;TEXT(E1577,"00")&amp;"-"&amp;H1577)</f>
        <v>SAMP-KG01-L24-20251007-ORD-2025-00249-H16-Chip</v>
      </c>
      <c r="K1577" s="1" t="str">
        <f aca="false">IF(A1577="","",IF(AND(G1577&gt;=0,I1577&gt;=0,I1577&lt;=G1577),"OK","CHECK"))</f>
        <v>OK</v>
      </c>
      <c r="L1577" s="1" t="str">
        <f aca="false">IF(A1577="","",IF(AND(E1577&gt;=0,E1577&lt;=23),"OK","CHECK"))</f>
        <v>OK</v>
      </c>
      <c r="M1577" s="1" t="str">
        <f aca="false">IF(A1577="","",IF(AND(K1577="OK",L1577="OK"),"OK","CHECK"))</f>
        <v>OK</v>
      </c>
    </row>
    <row r="1578" customFormat="false" ht="18" hidden="false" customHeight="true" outlineLevel="0" collapsed="false">
      <c r="A1578" s="9" t="s">
        <v>26</v>
      </c>
      <c r="B1578" s="9" t="n">
        <v>24</v>
      </c>
      <c r="C1578" s="11" t="n">
        <v>45937</v>
      </c>
      <c r="D1578" s="9" t="s">
        <v>138</v>
      </c>
      <c r="E1578" s="12" t="n">
        <v>20</v>
      </c>
      <c r="F1578" s="9" t="s">
        <v>31</v>
      </c>
      <c r="G1578" s="13" t="n">
        <v>200</v>
      </c>
      <c r="H1578" s="9" t="s">
        <v>33</v>
      </c>
      <c r="I1578" s="13" t="n">
        <v>2</v>
      </c>
      <c r="J1578" s="1" t="str">
        <f aca="false">IF(A1578="","", "SAMP-"&amp;A1578&amp;"-L"&amp;TEXT(B1578,"00")&amp;"-"&amp;TEXT(C1578,"yyyymmdd")&amp;"-"&amp;D1578&amp;"-H"&amp;TEXT(E1578,"00")&amp;"-"&amp;H1578)</f>
        <v>SAMP-KG01-L24-20251007-ORD-2025-00249-H20-Distortion</v>
      </c>
      <c r="K1578" s="1" t="str">
        <f aca="false">IF(A1578="","",IF(AND(G1578&gt;=0,I1578&gt;=0,I1578&lt;=G1578),"OK","CHECK"))</f>
        <v>OK</v>
      </c>
      <c r="L1578" s="1" t="str">
        <f aca="false">IF(A1578="","",IF(AND(E1578&gt;=0,E1578&lt;=23),"OK","CHECK"))</f>
        <v>OK</v>
      </c>
      <c r="M1578" s="1" t="str">
        <f aca="false">IF(A1578="","",IF(AND(K1578="OK",L1578="OK"),"OK","CHECK"))</f>
        <v>OK</v>
      </c>
    </row>
    <row r="1579" customFormat="false" ht="18" hidden="false" customHeight="true" outlineLevel="0" collapsed="false">
      <c r="A1579" s="9" t="s">
        <v>26</v>
      </c>
      <c r="B1579" s="9" t="n">
        <v>24</v>
      </c>
      <c r="C1579" s="11" t="n">
        <v>45938</v>
      </c>
      <c r="D1579" s="9" t="s">
        <v>138</v>
      </c>
      <c r="E1579" s="12" t="n">
        <v>7</v>
      </c>
      <c r="F1579" s="9" t="s">
        <v>28</v>
      </c>
      <c r="G1579" s="13" t="n">
        <v>100</v>
      </c>
      <c r="H1579" s="9" t="s">
        <v>33</v>
      </c>
      <c r="I1579" s="13" t="n">
        <v>2</v>
      </c>
      <c r="J1579" s="1" t="str">
        <f aca="false">IF(A1579="","", "SAMP-"&amp;A1579&amp;"-L"&amp;TEXT(B1579,"00")&amp;"-"&amp;TEXT(C1579,"yyyymmdd")&amp;"-"&amp;D1579&amp;"-H"&amp;TEXT(E1579,"00")&amp;"-"&amp;H1579)</f>
        <v>SAMP-KG01-L24-20251008-ORD-2025-00249-H07-Distortion</v>
      </c>
      <c r="K1579" s="1" t="str">
        <f aca="false">IF(A1579="","",IF(AND(G1579&gt;=0,I1579&gt;=0,I1579&lt;=G1579),"OK","CHECK"))</f>
        <v>OK</v>
      </c>
      <c r="L1579" s="1" t="str">
        <f aca="false">IF(A1579="","",IF(AND(E1579&gt;=0,E1579&lt;=23),"OK","CHECK"))</f>
        <v>OK</v>
      </c>
      <c r="M1579" s="1" t="str">
        <f aca="false">IF(A1579="","",IF(AND(K1579="OK",L1579="OK"),"OK","CHECK"))</f>
        <v>OK</v>
      </c>
    </row>
    <row r="1580" customFormat="false" ht="18" hidden="false" customHeight="true" outlineLevel="0" collapsed="false">
      <c r="A1580" s="9" t="s">
        <v>26</v>
      </c>
      <c r="B1580" s="9" t="n">
        <v>24</v>
      </c>
      <c r="C1580" s="11" t="n">
        <v>45938</v>
      </c>
      <c r="D1580" s="9" t="s">
        <v>138</v>
      </c>
      <c r="E1580" s="12" t="n">
        <v>12</v>
      </c>
      <c r="F1580" s="9" t="s">
        <v>28</v>
      </c>
      <c r="G1580" s="13" t="n">
        <v>150</v>
      </c>
      <c r="H1580" s="9" t="s">
        <v>35</v>
      </c>
      <c r="I1580" s="13" t="n">
        <v>4</v>
      </c>
      <c r="J1580" s="1" t="str">
        <f aca="false">IF(A1580="","", "SAMP-"&amp;A1580&amp;"-L"&amp;TEXT(B1580,"00")&amp;"-"&amp;TEXT(C1580,"yyyymmdd")&amp;"-"&amp;D1580&amp;"-H"&amp;TEXT(E1580,"00")&amp;"-"&amp;H1580)</f>
        <v>SAMP-KG01-L24-20251008-ORD-2025-00249-H12-Stone</v>
      </c>
      <c r="K1580" s="1" t="str">
        <f aca="false">IF(A1580="","",IF(AND(G1580&gt;=0,I1580&gt;=0,I1580&lt;=G1580),"OK","CHECK"))</f>
        <v>OK</v>
      </c>
      <c r="L1580" s="1" t="str">
        <f aca="false">IF(A1580="","",IF(AND(E1580&gt;=0,E1580&lt;=23),"OK","CHECK"))</f>
        <v>OK</v>
      </c>
      <c r="M1580" s="1" t="str">
        <f aca="false">IF(A1580="","",IF(AND(K1580="OK",L1580="OK"),"OK","CHECK"))</f>
        <v>OK</v>
      </c>
    </row>
    <row r="1581" customFormat="false" ht="18" hidden="false" customHeight="true" outlineLevel="0" collapsed="false">
      <c r="A1581" s="9" t="s">
        <v>26</v>
      </c>
      <c r="B1581" s="9" t="n">
        <v>24</v>
      </c>
      <c r="C1581" s="11" t="n">
        <v>45938</v>
      </c>
      <c r="D1581" s="9" t="s">
        <v>138</v>
      </c>
      <c r="E1581" s="12" t="n">
        <v>20</v>
      </c>
      <c r="F1581" s="9" t="s">
        <v>31</v>
      </c>
      <c r="G1581" s="13" t="n">
        <v>50</v>
      </c>
      <c r="H1581" s="9" t="s">
        <v>35</v>
      </c>
      <c r="I1581" s="13" t="n">
        <v>3</v>
      </c>
      <c r="J1581" s="1" t="str">
        <f aca="false">IF(A1581="","", "SAMP-"&amp;A1581&amp;"-L"&amp;TEXT(B1581,"00")&amp;"-"&amp;TEXT(C1581,"yyyymmdd")&amp;"-"&amp;D1581&amp;"-H"&amp;TEXT(E1581,"00")&amp;"-"&amp;H1581)</f>
        <v>SAMP-KG01-L24-20251008-ORD-2025-00249-H20-Stone</v>
      </c>
      <c r="K1581" s="1" t="str">
        <f aca="false">IF(A1581="","",IF(AND(G1581&gt;=0,I1581&gt;=0,I1581&lt;=G1581),"OK","CHECK"))</f>
        <v>OK</v>
      </c>
      <c r="L1581" s="1" t="str">
        <f aca="false">IF(A1581="","",IF(AND(E1581&gt;=0,E1581&lt;=23),"OK","CHECK"))</f>
        <v>OK</v>
      </c>
      <c r="M1581" s="1" t="str">
        <f aca="false">IF(A1581="","",IF(AND(K1581="OK",L1581="OK"),"OK","CHECK"))</f>
        <v>OK</v>
      </c>
    </row>
    <row r="1582" customFormat="false" ht="18" hidden="false" customHeight="true" outlineLevel="0" collapsed="false">
      <c r="A1582" s="9" t="s">
        <v>26</v>
      </c>
      <c r="B1582" s="9" t="n">
        <v>24</v>
      </c>
      <c r="C1582" s="11" t="n">
        <v>45938</v>
      </c>
      <c r="D1582" s="9" t="s">
        <v>138</v>
      </c>
      <c r="E1582" s="12" t="n">
        <v>16</v>
      </c>
      <c r="F1582" s="9" t="s">
        <v>31</v>
      </c>
      <c r="G1582" s="13" t="n">
        <v>50</v>
      </c>
      <c r="H1582" s="9" t="s">
        <v>29</v>
      </c>
      <c r="I1582" s="13" t="n">
        <v>1</v>
      </c>
      <c r="J1582" s="1" t="str">
        <f aca="false">IF(A1582="","", "SAMP-"&amp;A1582&amp;"-L"&amp;TEXT(B1582,"00")&amp;"-"&amp;TEXT(C1582,"yyyymmdd")&amp;"-"&amp;D1582&amp;"-H"&amp;TEXT(E1582,"00")&amp;"-"&amp;H1582)</f>
        <v>SAMP-KG01-L24-20251008-ORD-2025-00249-H16-Choke Neck</v>
      </c>
      <c r="K1582" s="1" t="str">
        <f aca="false">IF(A1582="","",IF(AND(G1582&gt;=0,I1582&gt;=0,I1582&lt;=G1582),"OK","CHECK"))</f>
        <v>OK</v>
      </c>
      <c r="L1582" s="1" t="str">
        <f aca="false">IF(A1582="","",IF(AND(E1582&gt;=0,E1582&lt;=23),"OK","CHECK"))</f>
        <v>OK</v>
      </c>
      <c r="M1582" s="1" t="str">
        <f aca="false">IF(A1582="","",IF(AND(K1582="OK",L1582="OK"),"OK","CHECK"))</f>
        <v>OK</v>
      </c>
    </row>
    <row r="1583" customFormat="false" ht="18" hidden="false" customHeight="true" outlineLevel="0" collapsed="false">
      <c r="A1583" s="9" t="s">
        <v>26</v>
      </c>
      <c r="B1583" s="9" t="n">
        <v>24</v>
      </c>
      <c r="C1583" s="11" t="n">
        <v>45938</v>
      </c>
      <c r="D1583" s="9" t="s">
        <v>138</v>
      </c>
      <c r="E1583" s="12" t="n">
        <v>23</v>
      </c>
      <c r="F1583" s="9" t="s">
        <v>31</v>
      </c>
      <c r="G1583" s="13" t="n">
        <v>50</v>
      </c>
      <c r="H1583" s="9" t="s">
        <v>41</v>
      </c>
      <c r="I1583" s="13" t="n">
        <v>0</v>
      </c>
      <c r="J1583" s="1" t="str">
        <f aca="false">IF(A1583="","", "SAMP-"&amp;A1583&amp;"-L"&amp;TEXT(B1583,"00")&amp;"-"&amp;TEXT(C1583,"yyyymmdd")&amp;"-"&amp;D1583&amp;"-H"&amp;TEXT(E1583,"00")&amp;"-"&amp;H1583)</f>
        <v>SAMP-KG01-L24-20251008-ORD-2025-00249-H23-Chip</v>
      </c>
      <c r="K1583" s="1" t="str">
        <f aca="false">IF(A1583="","",IF(AND(G1583&gt;=0,I1583&gt;=0,I1583&lt;=G1583),"OK","CHECK"))</f>
        <v>OK</v>
      </c>
      <c r="L1583" s="1" t="str">
        <f aca="false">IF(A1583="","",IF(AND(E1583&gt;=0,E1583&lt;=23),"OK","CHECK"))</f>
        <v>OK</v>
      </c>
      <c r="M1583" s="1" t="str">
        <f aca="false">IF(A1583="","",IF(AND(K1583="OK",L1583="OK"),"OK","CHECK"))</f>
        <v>OK</v>
      </c>
    </row>
    <row r="1584" customFormat="false" ht="18" hidden="false" customHeight="true" outlineLevel="0" collapsed="false">
      <c r="A1584" s="9" t="s">
        <v>26</v>
      </c>
      <c r="B1584" s="9" t="n">
        <v>24</v>
      </c>
      <c r="C1584" s="11" t="n">
        <v>45939</v>
      </c>
      <c r="D1584" s="9" t="s">
        <v>138</v>
      </c>
      <c r="E1584" s="12" t="n">
        <v>9</v>
      </c>
      <c r="F1584" s="9" t="s">
        <v>28</v>
      </c>
      <c r="G1584" s="13" t="n">
        <v>50</v>
      </c>
      <c r="H1584" s="9" t="s">
        <v>35</v>
      </c>
      <c r="I1584" s="13" t="n">
        <v>1</v>
      </c>
      <c r="J1584" s="1" t="str">
        <f aca="false">IF(A1584="","", "SAMP-"&amp;A1584&amp;"-L"&amp;TEXT(B1584,"00")&amp;"-"&amp;TEXT(C1584,"yyyymmdd")&amp;"-"&amp;D1584&amp;"-H"&amp;TEXT(E1584,"00")&amp;"-"&amp;H1584)</f>
        <v>SAMP-KG01-L24-20251009-ORD-2025-00249-H09-Stone</v>
      </c>
      <c r="K1584" s="1" t="str">
        <f aca="false">IF(A1584="","",IF(AND(G1584&gt;=0,I1584&gt;=0,I1584&lt;=G1584),"OK","CHECK"))</f>
        <v>OK</v>
      </c>
      <c r="L1584" s="1" t="str">
        <f aca="false">IF(A1584="","",IF(AND(E1584&gt;=0,E1584&lt;=23),"OK","CHECK"))</f>
        <v>OK</v>
      </c>
      <c r="M1584" s="1" t="str">
        <f aca="false">IF(A1584="","",IF(AND(K1584="OK",L1584="OK"),"OK","CHECK"))</f>
        <v>OK</v>
      </c>
    </row>
    <row r="1585" customFormat="false" ht="18" hidden="false" customHeight="true" outlineLevel="0" collapsed="false">
      <c r="A1585" s="9" t="s">
        <v>26</v>
      </c>
      <c r="B1585" s="9" t="n">
        <v>24</v>
      </c>
      <c r="C1585" s="11" t="n">
        <v>45939</v>
      </c>
      <c r="D1585" s="9" t="s">
        <v>138</v>
      </c>
      <c r="E1585" s="12" t="n">
        <v>7</v>
      </c>
      <c r="F1585" s="9" t="s">
        <v>28</v>
      </c>
      <c r="G1585" s="13" t="n">
        <v>200</v>
      </c>
      <c r="H1585" s="9" t="s">
        <v>38</v>
      </c>
      <c r="I1585" s="13" t="n">
        <v>3</v>
      </c>
      <c r="J1585" s="1" t="str">
        <f aca="false">IF(A1585="","", "SAMP-"&amp;A1585&amp;"-L"&amp;TEXT(B1585,"00")&amp;"-"&amp;TEXT(C1585,"yyyymmdd")&amp;"-"&amp;D1585&amp;"-H"&amp;TEXT(E1585,"00")&amp;"-"&amp;H1585)</f>
        <v>SAMP-KG01-L24-20251009-ORD-2025-00249-H07-Crack</v>
      </c>
      <c r="K1585" s="1" t="str">
        <f aca="false">IF(A1585="","",IF(AND(G1585&gt;=0,I1585&gt;=0,I1585&lt;=G1585),"OK","CHECK"))</f>
        <v>OK</v>
      </c>
      <c r="L1585" s="1" t="str">
        <f aca="false">IF(A1585="","",IF(AND(E1585&gt;=0,E1585&lt;=23),"OK","CHECK"))</f>
        <v>OK</v>
      </c>
      <c r="M1585" s="1" t="str">
        <f aca="false">IF(A1585="","",IF(AND(K1585="OK",L1585="OK"),"OK","CHECK"))</f>
        <v>OK</v>
      </c>
    </row>
    <row r="1586" customFormat="false" ht="18" hidden="false" customHeight="true" outlineLevel="0" collapsed="false">
      <c r="A1586" s="9" t="s">
        <v>26</v>
      </c>
      <c r="B1586" s="9" t="n">
        <v>24</v>
      </c>
      <c r="C1586" s="11" t="n">
        <v>45939</v>
      </c>
      <c r="D1586" s="9" t="s">
        <v>138</v>
      </c>
      <c r="E1586" s="12" t="n">
        <v>12</v>
      </c>
      <c r="F1586" s="9" t="s">
        <v>28</v>
      </c>
      <c r="G1586" s="13" t="n">
        <v>150</v>
      </c>
      <c r="H1586" s="9" t="s">
        <v>41</v>
      </c>
      <c r="I1586" s="13" t="n">
        <v>3</v>
      </c>
      <c r="J1586" s="1" t="str">
        <f aca="false">IF(A1586="","", "SAMP-"&amp;A1586&amp;"-L"&amp;TEXT(B1586,"00")&amp;"-"&amp;TEXT(C1586,"yyyymmdd")&amp;"-"&amp;D1586&amp;"-H"&amp;TEXT(E1586,"00")&amp;"-"&amp;H1586)</f>
        <v>SAMP-KG01-L24-20251009-ORD-2025-00249-H12-Chip</v>
      </c>
      <c r="K1586" s="1" t="str">
        <f aca="false">IF(A1586="","",IF(AND(G1586&gt;=0,I1586&gt;=0,I1586&lt;=G1586),"OK","CHECK"))</f>
        <v>OK</v>
      </c>
      <c r="L1586" s="1" t="str">
        <f aca="false">IF(A1586="","",IF(AND(E1586&gt;=0,E1586&lt;=23),"OK","CHECK"))</f>
        <v>OK</v>
      </c>
      <c r="M1586" s="1" t="str">
        <f aca="false">IF(A1586="","",IF(AND(K1586="OK",L1586="OK"),"OK","CHECK"))</f>
        <v>OK</v>
      </c>
    </row>
    <row r="1587" customFormat="false" ht="18" hidden="false" customHeight="true" outlineLevel="0" collapsed="false">
      <c r="A1587" s="9" t="s">
        <v>26</v>
      </c>
      <c r="B1587" s="9" t="n">
        <v>24</v>
      </c>
      <c r="C1587" s="11" t="n">
        <v>45939</v>
      </c>
      <c r="D1587" s="9" t="s">
        <v>139</v>
      </c>
      <c r="E1587" s="12" t="n">
        <v>23</v>
      </c>
      <c r="F1587" s="9" t="s">
        <v>31</v>
      </c>
      <c r="G1587" s="13" t="n">
        <v>100</v>
      </c>
      <c r="H1587" s="9" t="s">
        <v>29</v>
      </c>
      <c r="I1587" s="13" t="n">
        <v>2</v>
      </c>
      <c r="J1587" s="1" t="str">
        <f aca="false">IF(A1587="","", "SAMP-"&amp;A1587&amp;"-L"&amp;TEXT(B1587,"00")&amp;"-"&amp;TEXT(C1587,"yyyymmdd")&amp;"-"&amp;D1587&amp;"-H"&amp;TEXT(E1587,"00")&amp;"-"&amp;H1587)</f>
        <v>SAMP-KG01-L24-20251009-ORD-2025-00250-H23-Choke Neck</v>
      </c>
      <c r="K1587" s="1" t="str">
        <f aca="false">IF(A1587="","",IF(AND(G1587&gt;=0,I1587&gt;=0,I1587&lt;=G1587),"OK","CHECK"))</f>
        <v>OK</v>
      </c>
      <c r="L1587" s="1" t="str">
        <f aca="false">IF(A1587="","",IF(AND(E1587&gt;=0,E1587&lt;=23),"OK","CHECK"))</f>
        <v>OK</v>
      </c>
      <c r="M1587" s="1" t="str">
        <f aca="false">IF(A1587="","",IF(AND(K1587="OK",L1587="OK"),"OK","CHECK"))</f>
        <v>OK</v>
      </c>
    </row>
    <row r="1588" customFormat="false" ht="18" hidden="false" customHeight="true" outlineLevel="0" collapsed="false">
      <c r="A1588" s="9" t="s">
        <v>26</v>
      </c>
      <c r="B1588" s="9" t="n">
        <v>24</v>
      </c>
      <c r="C1588" s="11" t="n">
        <v>45939</v>
      </c>
      <c r="D1588" s="9" t="s">
        <v>139</v>
      </c>
      <c r="E1588" s="12" t="n">
        <v>16</v>
      </c>
      <c r="F1588" s="9" t="s">
        <v>31</v>
      </c>
      <c r="G1588" s="13" t="n">
        <v>200</v>
      </c>
      <c r="H1588" s="9" t="s">
        <v>30</v>
      </c>
      <c r="I1588" s="13" t="n">
        <v>7</v>
      </c>
      <c r="J1588" s="1" t="str">
        <f aca="false">IF(A1588="","", "SAMP-"&amp;A1588&amp;"-L"&amp;TEXT(B1588,"00")&amp;"-"&amp;TEXT(C1588,"yyyymmdd")&amp;"-"&amp;D1588&amp;"-H"&amp;TEXT(E1588,"00")&amp;"-"&amp;H1588)</f>
        <v>SAMP-KG01-L24-20251009-ORD-2025-00250-H16-Overpress</v>
      </c>
      <c r="K1588" s="1" t="str">
        <f aca="false">IF(A1588="","",IF(AND(G1588&gt;=0,I1588&gt;=0,I1588&lt;=G1588),"OK","CHECK"))</f>
        <v>OK</v>
      </c>
      <c r="L1588" s="1" t="str">
        <f aca="false">IF(A1588="","",IF(AND(E1588&gt;=0,E1588&lt;=23),"OK","CHECK"))</f>
        <v>OK</v>
      </c>
      <c r="M1588" s="1" t="str">
        <f aca="false">IF(A1588="","",IF(AND(K1588="OK",L1588="OK"),"OK","CHECK"))</f>
        <v>OK</v>
      </c>
    </row>
    <row r="1589" customFormat="false" ht="18" hidden="false" customHeight="true" outlineLevel="0" collapsed="false">
      <c r="A1589" s="9" t="s">
        <v>26</v>
      </c>
      <c r="B1589" s="9" t="n">
        <v>24</v>
      </c>
      <c r="C1589" s="11" t="n">
        <v>45939</v>
      </c>
      <c r="D1589" s="9" t="s">
        <v>139</v>
      </c>
      <c r="E1589" s="12" t="n">
        <v>20</v>
      </c>
      <c r="F1589" s="9" t="s">
        <v>31</v>
      </c>
      <c r="G1589" s="13" t="n">
        <v>50</v>
      </c>
      <c r="H1589" s="9" t="s">
        <v>41</v>
      </c>
      <c r="I1589" s="13" t="n">
        <v>1</v>
      </c>
      <c r="J1589" s="1" t="str">
        <f aca="false">IF(A1589="","", "SAMP-"&amp;A1589&amp;"-L"&amp;TEXT(B1589,"00")&amp;"-"&amp;TEXT(C1589,"yyyymmdd")&amp;"-"&amp;D1589&amp;"-H"&amp;TEXT(E1589,"00")&amp;"-"&amp;H1589)</f>
        <v>SAMP-KG01-L24-20251009-ORD-2025-00250-H20-Chip</v>
      </c>
      <c r="K1589" s="1" t="str">
        <f aca="false">IF(A1589="","",IF(AND(G1589&gt;=0,I1589&gt;=0,I1589&lt;=G1589),"OK","CHECK"))</f>
        <v>OK</v>
      </c>
      <c r="L1589" s="1" t="str">
        <f aca="false">IF(A1589="","",IF(AND(E1589&gt;=0,E1589&lt;=23),"OK","CHECK"))</f>
        <v>OK</v>
      </c>
      <c r="M1589" s="1" t="str">
        <f aca="false">IF(A1589="","",IF(AND(K1589="OK",L1589="OK"),"OK","CHECK"))</f>
        <v>OK</v>
      </c>
    </row>
    <row r="1590" customFormat="false" ht="18" hidden="false" customHeight="true" outlineLevel="0" collapsed="false">
      <c r="A1590" s="9" t="s">
        <v>26</v>
      </c>
      <c r="B1590" s="9" t="n">
        <v>24</v>
      </c>
      <c r="C1590" s="11" t="n">
        <v>45940</v>
      </c>
      <c r="D1590" s="9" t="s">
        <v>139</v>
      </c>
      <c r="E1590" s="12" t="n">
        <v>7</v>
      </c>
      <c r="F1590" s="9" t="s">
        <v>28</v>
      </c>
      <c r="G1590" s="13" t="n">
        <v>100</v>
      </c>
      <c r="H1590" s="9" t="s">
        <v>41</v>
      </c>
      <c r="I1590" s="13" t="n">
        <v>4</v>
      </c>
      <c r="J1590" s="1" t="str">
        <f aca="false">IF(A1590="","", "SAMP-"&amp;A1590&amp;"-L"&amp;TEXT(B1590,"00")&amp;"-"&amp;TEXT(C1590,"yyyymmdd")&amp;"-"&amp;D1590&amp;"-H"&amp;TEXT(E1590,"00")&amp;"-"&amp;H1590)</f>
        <v>SAMP-KG01-L24-20251010-ORD-2025-00250-H07-Chip</v>
      </c>
      <c r="K1590" s="1" t="str">
        <f aca="false">IF(A1590="","",IF(AND(G1590&gt;=0,I1590&gt;=0,I1590&lt;=G1590),"OK","CHECK"))</f>
        <v>OK</v>
      </c>
      <c r="L1590" s="1" t="str">
        <f aca="false">IF(A1590="","",IF(AND(E1590&gt;=0,E1590&lt;=23),"OK","CHECK"))</f>
        <v>OK</v>
      </c>
      <c r="M1590" s="1" t="str">
        <f aca="false">IF(A1590="","",IF(AND(K1590="OK",L1590="OK"),"OK","CHECK"))</f>
        <v>OK</v>
      </c>
    </row>
    <row r="1591" customFormat="false" ht="18" hidden="false" customHeight="true" outlineLevel="0" collapsed="false">
      <c r="A1591" s="9" t="s">
        <v>26</v>
      </c>
      <c r="B1591" s="9" t="n">
        <v>24</v>
      </c>
      <c r="C1591" s="11" t="n">
        <v>45940</v>
      </c>
      <c r="D1591" s="9" t="s">
        <v>139</v>
      </c>
      <c r="E1591" s="12" t="n">
        <v>9</v>
      </c>
      <c r="F1591" s="9" t="s">
        <v>28</v>
      </c>
      <c r="G1591" s="13" t="n">
        <v>150</v>
      </c>
      <c r="H1591" s="9" t="s">
        <v>29</v>
      </c>
      <c r="I1591" s="13" t="n">
        <v>2</v>
      </c>
      <c r="J1591" s="1" t="str">
        <f aca="false">IF(A1591="","", "SAMP-"&amp;A1591&amp;"-L"&amp;TEXT(B1591,"00")&amp;"-"&amp;TEXT(C1591,"yyyymmdd")&amp;"-"&amp;D1591&amp;"-H"&amp;TEXT(E1591,"00")&amp;"-"&amp;H1591)</f>
        <v>SAMP-KG01-L24-20251010-ORD-2025-00250-H09-Choke Neck</v>
      </c>
      <c r="K1591" s="1" t="str">
        <f aca="false">IF(A1591="","",IF(AND(G1591&gt;=0,I1591&gt;=0,I1591&lt;=G1591),"OK","CHECK"))</f>
        <v>OK</v>
      </c>
      <c r="L1591" s="1" t="str">
        <f aca="false">IF(A1591="","",IF(AND(E1591&gt;=0,E1591&lt;=23),"OK","CHECK"))</f>
        <v>OK</v>
      </c>
      <c r="M1591" s="1" t="str">
        <f aca="false">IF(A1591="","",IF(AND(K1591="OK",L1591="OK"),"OK","CHECK"))</f>
        <v>OK</v>
      </c>
    </row>
    <row r="1592" customFormat="false" ht="18" hidden="false" customHeight="true" outlineLevel="0" collapsed="false">
      <c r="A1592" s="9" t="s">
        <v>26</v>
      </c>
      <c r="B1592" s="9" t="n">
        <v>24</v>
      </c>
      <c r="C1592" s="11" t="n">
        <v>45940</v>
      </c>
      <c r="D1592" s="9" t="s">
        <v>139</v>
      </c>
      <c r="E1592" s="12" t="n">
        <v>20</v>
      </c>
      <c r="F1592" s="9" t="s">
        <v>31</v>
      </c>
      <c r="G1592" s="13" t="n">
        <v>50</v>
      </c>
      <c r="H1592" s="9" t="s">
        <v>33</v>
      </c>
      <c r="I1592" s="13" t="n">
        <v>1</v>
      </c>
      <c r="J1592" s="1" t="str">
        <f aca="false">IF(A1592="","", "SAMP-"&amp;A1592&amp;"-L"&amp;TEXT(B1592,"00")&amp;"-"&amp;TEXT(C1592,"yyyymmdd")&amp;"-"&amp;D1592&amp;"-H"&amp;TEXT(E1592,"00")&amp;"-"&amp;H1592)</f>
        <v>SAMP-KG01-L24-20251010-ORD-2025-00250-H20-Distortion</v>
      </c>
      <c r="K1592" s="1" t="str">
        <f aca="false">IF(A1592="","",IF(AND(G1592&gt;=0,I1592&gt;=0,I1592&lt;=G1592),"OK","CHECK"))</f>
        <v>OK</v>
      </c>
      <c r="L1592" s="1" t="str">
        <f aca="false">IF(A1592="","",IF(AND(E1592&gt;=0,E1592&lt;=23),"OK","CHECK"))</f>
        <v>OK</v>
      </c>
      <c r="M1592" s="1" t="str">
        <f aca="false">IF(A1592="","",IF(AND(K1592="OK",L1592="OK"),"OK","CHECK"))</f>
        <v>OK</v>
      </c>
    </row>
    <row r="1593" customFormat="false" ht="18" hidden="false" customHeight="true" outlineLevel="0" collapsed="false">
      <c r="A1593" s="9" t="s">
        <v>26</v>
      </c>
      <c r="B1593" s="9" t="n">
        <v>24</v>
      </c>
      <c r="C1593" s="11" t="n">
        <v>45940</v>
      </c>
      <c r="D1593" s="9" t="s">
        <v>139</v>
      </c>
      <c r="E1593" s="12" t="n">
        <v>23</v>
      </c>
      <c r="F1593" s="9" t="s">
        <v>31</v>
      </c>
      <c r="G1593" s="13" t="n">
        <v>50</v>
      </c>
      <c r="H1593" s="9" t="s">
        <v>34</v>
      </c>
      <c r="I1593" s="13" t="n">
        <v>1</v>
      </c>
      <c r="J1593" s="1" t="str">
        <f aca="false">IF(A1593="","", "SAMP-"&amp;A1593&amp;"-L"&amp;TEXT(B1593,"00")&amp;"-"&amp;TEXT(C1593,"yyyymmdd")&amp;"-"&amp;D1593&amp;"-H"&amp;TEXT(E1593,"00")&amp;"-"&amp;H1593)</f>
        <v>SAMP-KG01-L24-20251010-ORD-2025-00250-H23-Thin Wall</v>
      </c>
      <c r="K1593" s="1" t="str">
        <f aca="false">IF(A1593="","",IF(AND(G1593&gt;=0,I1593&gt;=0,I1593&lt;=G1593),"OK","CHECK"))</f>
        <v>OK</v>
      </c>
      <c r="L1593" s="1" t="str">
        <f aca="false">IF(A1593="","",IF(AND(E1593&gt;=0,E1593&lt;=23),"OK","CHECK"))</f>
        <v>OK</v>
      </c>
      <c r="M1593" s="1" t="str">
        <f aca="false">IF(A1593="","",IF(AND(K1593="OK",L1593="OK"),"OK","CHECK"))</f>
        <v>OK</v>
      </c>
    </row>
    <row r="1594" customFormat="false" ht="18" hidden="false" customHeight="true" outlineLevel="0" collapsed="false">
      <c r="A1594" s="9" t="s">
        <v>26</v>
      </c>
      <c r="B1594" s="9" t="n">
        <v>24</v>
      </c>
      <c r="C1594" s="11" t="n">
        <v>45940</v>
      </c>
      <c r="D1594" s="9" t="s">
        <v>139</v>
      </c>
      <c r="E1594" s="12" t="n">
        <v>16</v>
      </c>
      <c r="F1594" s="9" t="s">
        <v>31</v>
      </c>
      <c r="G1594" s="13" t="n">
        <v>50</v>
      </c>
      <c r="H1594" s="9" t="s">
        <v>34</v>
      </c>
      <c r="I1594" s="13" t="n">
        <v>2</v>
      </c>
      <c r="J1594" s="1" t="str">
        <f aca="false">IF(A1594="","", "SAMP-"&amp;A1594&amp;"-L"&amp;TEXT(B1594,"00")&amp;"-"&amp;TEXT(C1594,"yyyymmdd")&amp;"-"&amp;D1594&amp;"-H"&amp;TEXT(E1594,"00")&amp;"-"&amp;H1594)</f>
        <v>SAMP-KG01-L24-20251010-ORD-2025-00250-H16-Thin Wall</v>
      </c>
      <c r="K1594" s="1" t="str">
        <f aca="false">IF(A1594="","",IF(AND(G1594&gt;=0,I1594&gt;=0,I1594&lt;=G1594),"OK","CHECK"))</f>
        <v>OK</v>
      </c>
      <c r="L1594" s="1" t="str">
        <f aca="false">IF(A1594="","",IF(AND(E1594&gt;=0,E1594&lt;=23),"OK","CHECK"))</f>
        <v>OK</v>
      </c>
      <c r="M1594" s="1" t="str">
        <f aca="false">IF(A1594="","",IF(AND(K1594="OK",L1594="OK"),"OK","CHECK"))</f>
        <v>OK</v>
      </c>
    </row>
    <row r="1595" customFormat="false" ht="18" hidden="false" customHeight="true" outlineLevel="0" collapsed="false">
      <c r="A1595" s="9" t="s">
        <v>26</v>
      </c>
      <c r="B1595" s="9" t="n">
        <v>24</v>
      </c>
      <c r="C1595" s="11" t="n">
        <v>45941</v>
      </c>
      <c r="D1595" s="9" t="s">
        <v>139</v>
      </c>
      <c r="E1595" s="12" t="n">
        <v>7</v>
      </c>
      <c r="F1595" s="9" t="s">
        <v>28</v>
      </c>
      <c r="G1595" s="13" t="n">
        <v>50</v>
      </c>
      <c r="H1595" s="9" t="s">
        <v>41</v>
      </c>
      <c r="I1595" s="13" t="n">
        <v>0</v>
      </c>
      <c r="J1595" s="1" t="str">
        <f aca="false">IF(A1595="","", "SAMP-"&amp;A1595&amp;"-L"&amp;TEXT(B1595,"00")&amp;"-"&amp;TEXT(C1595,"yyyymmdd")&amp;"-"&amp;D1595&amp;"-H"&amp;TEXT(E1595,"00")&amp;"-"&amp;H1595)</f>
        <v>SAMP-KG01-L24-20251011-ORD-2025-00250-H07-Chip</v>
      </c>
      <c r="K1595" s="1" t="str">
        <f aca="false">IF(A1595="","",IF(AND(G1595&gt;=0,I1595&gt;=0,I1595&lt;=G1595),"OK","CHECK"))</f>
        <v>OK</v>
      </c>
      <c r="L1595" s="1" t="str">
        <f aca="false">IF(A1595="","",IF(AND(E1595&gt;=0,E1595&lt;=23),"OK","CHECK"))</f>
        <v>OK</v>
      </c>
      <c r="M1595" s="1" t="str">
        <f aca="false">IF(A1595="","",IF(AND(K1595="OK",L1595="OK"),"OK","CHECK"))</f>
        <v>OK</v>
      </c>
    </row>
    <row r="1596" customFormat="false" ht="18" hidden="false" customHeight="true" outlineLevel="0" collapsed="false">
      <c r="A1596" s="9" t="s">
        <v>26</v>
      </c>
      <c r="B1596" s="9" t="n">
        <v>24</v>
      </c>
      <c r="C1596" s="11" t="n">
        <v>45941</v>
      </c>
      <c r="D1596" s="9" t="s">
        <v>139</v>
      </c>
      <c r="E1596" s="12" t="n">
        <v>9</v>
      </c>
      <c r="F1596" s="9" t="s">
        <v>28</v>
      </c>
      <c r="G1596" s="13" t="n">
        <v>150</v>
      </c>
      <c r="H1596" s="9" t="s">
        <v>34</v>
      </c>
      <c r="I1596" s="13" t="n">
        <v>6</v>
      </c>
      <c r="J1596" s="1" t="str">
        <f aca="false">IF(A1596="","", "SAMP-"&amp;A1596&amp;"-L"&amp;TEXT(B1596,"00")&amp;"-"&amp;TEXT(C1596,"yyyymmdd")&amp;"-"&amp;D1596&amp;"-H"&amp;TEXT(E1596,"00")&amp;"-"&amp;H1596)</f>
        <v>SAMP-KG01-L24-20251011-ORD-2025-00250-H09-Thin Wall</v>
      </c>
      <c r="K1596" s="1" t="str">
        <f aca="false">IF(A1596="","",IF(AND(G1596&gt;=0,I1596&gt;=0,I1596&lt;=G1596),"OK","CHECK"))</f>
        <v>OK</v>
      </c>
      <c r="L1596" s="1" t="str">
        <f aca="false">IF(A1596="","",IF(AND(E1596&gt;=0,E1596&lt;=23),"OK","CHECK"))</f>
        <v>OK</v>
      </c>
      <c r="M1596" s="1" t="str">
        <f aca="false">IF(A1596="","",IF(AND(K1596="OK",L1596="OK"),"OK","CHECK"))</f>
        <v>OK</v>
      </c>
    </row>
    <row r="1597" customFormat="false" ht="18" hidden="false" customHeight="true" outlineLevel="0" collapsed="false">
      <c r="A1597" s="9" t="s">
        <v>26</v>
      </c>
      <c r="B1597" s="9" t="n">
        <v>24</v>
      </c>
      <c r="C1597" s="11" t="n">
        <v>45941</v>
      </c>
      <c r="D1597" s="9" t="s">
        <v>139</v>
      </c>
      <c r="E1597" s="12" t="n">
        <v>20</v>
      </c>
      <c r="F1597" s="9" t="s">
        <v>31</v>
      </c>
      <c r="G1597" s="13" t="n">
        <v>100</v>
      </c>
      <c r="H1597" s="9" t="s">
        <v>36</v>
      </c>
      <c r="I1597" s="13" t="n">
        <v>3</v>
      </c>
      <c r="J1597" s="1" t="str">
        <f aca="false">IF(A1597="","", "SAMP-"&amp;A1597&amp;"-L"&amp;TEXT(B1597,"00")&amp;"-"&amp;TEXT(C1597,"yyyymmdd")&amp;"-"&amp;D1597&amp;"-H"&amp;TEXT(E1597,"00")&amp;"-"&amp;H1597)</f>
        <v>SAMP-KG01-L24-20251011-ORD-2025-00250-H20-Blister</v>
      </c>
      <c r="K1597" s="1" t="str">
        <f aca="false">IF(A1597="","",IF(AND(G1597&gt;=0,I1597&gt;=0,I1597&lt;=G1597),"OK","CHECK"))</f>
        <v>OK</v>
      </c>
      <c r="L1597" s="1" t="str">
        <f aca="false">IF(A1597="","",IF(AND(E1597&gt;=0,E1597&lt;=23),"OK","CHECK"))</f>
        <v>OK</v>
      </c>
      <c r="M1597" s="1" t="str">
        <f aca="false">IF(A1597="","",IF(AND(K1597="OK",L1597="OK"),"OK","CHECK"))</f>
        <v>OK</v>
      </c>
    </row>
    <row r="1598" customFormat="false" ht="18" hidden="false" customHeight="true" outlineLevel="0" collapsed="false">
      <c r="A1598" s="9" t="s">
        <v>26</v>
      </c>
      <c r="B1598" s="9" t="n">
        <v>24</v>
      </c>
      <c r="C1598" s="11" t="n">
        <v>45941</v>
      </c>
      <c r="D1598" s="9" t="s">
        <v>139</v>
      </c>
      <c r="E1598" s="12" t="n">
        <v>16</v>
      </c>
      <c r="F1598" s="9" t="s">
        <v>31</v>
      </c>
      <c r="G1598" s="13" t="n">
        <v>50</v>
      </c>
      <c r="H1598" s="9" t="s">
        <v>35</v>
      </c>
      <c r="I1598" s="13" t="n">
        <v>2</v>
      </c>
      <c r="J1598" s="1" t="str">
        <f aca="false">IF(A1598="","", "SAMP-"&amp;A1598&amp;"-L"&amp;TEXT(B1598,"00")&amp;"-"&amp;TEXT(C1598,"yyyymmdd")&amp;"-"&amp;D1598&amp;"-H"&amp;TEXT(E1598,"00")&amp;"-"&amp;H1598)</f>
        <v>SAMP-KG01-L24-20251011-ORD-2025-00250-H16-Stone</v>
      </c>
      <c r="K1598" s="1" t="str">
        <f aca="false">IF(A1598="","",IF(AND(G1598&gt;=0,I1598&gt;=0,I1598&lt;=G1598),"OK","CHECK"))</f>
        <v>OK</v>
      </c>
      <c r="L1598" s="1" t="str">
        <f aca="false">IF(A1598="","",IF(AND(E1598&gt;=0,E1598&lt;=23),"OK","CHECK"))</f>
        <v>OK</v>
      </c>
      <c r="M1598" s="1" t="str">
        <f aca="false">IF(A1598="","",IF(AND(K1598="OK",L1598="OK"),"OK","CHECK"))</f>
        <v>OK</v>
      </c>
    </row>
    <row r="1599" customFormat="false" ht="18" hidden="false" customHeight="true" outlineLevel="0" collapsed="false">
      <c r="A1599" s="9" t="s">
        <v>26</v>
      </c>
      <c r="B1599" s="9" t="n">
        <v>24</v>
      </c>
      <c r="C1599" s="11" t="n">
        <v>45942</v>
      </c>
      <c r="D1599" s="9" t="s">
        <v>139</v>
      </c>
      <c r="E1599" s="12" t="n">
        <v>9</v>
      </c>
      <c r="F1599" s="9" t="s">
        <v>28</v>
      </c>
      <c r="G1599" s="13" t="n">
        <v>100</v>
      </c>
      <c r="H1599" s="9" t="s">
        <v>29</v>
      </c>
      <c r="I1599" s="13" t="n">
        <v>1</v>
      </c>
      <c r="J1599" s="1" t="str">
        <f aca="false">IF(A1599="","", "SAMP-"&amp;A1599&amp;"-L"&amp;TEXT(B1599,"00")&amp;"-"&amp;TEXT(C1599,"yyyymmdd")&amp;"-"&amp;D1599&amp;"-H"&amp;TEXT(E1599,"00")&amp;"-"&amp;H1599)</f>
        <v>SAMP-KG01-L24-20251012-ORD-2025-00250-H09-Choke Neck</v>
      </c>
      <c r="K1599" s="1" t="str">
        <f aca="false">IF(A1599="","",IF(AND(G1599&gt;=0,I1599&gt;=0,I1599&lt;=G1599),"OK","CHECK"))</f>
        <v>OK</v>
      </c>
      <c r="L1599" s="1" t="str">
        <f aca="false">IF(A1599="","",IF(AND(E1599&gt;=0,E1599&lt;=23),"OK","CHECK"))</f>
        <v>OK</v>
      </c>
      <c r="M1599" s="1" t="str">
        <f aca="false">IF(A1599="","",IF(AND(K1599="OK",L1599="OK"),"OK","CHECK"))</f>
        <v>OK</v>
      </c>
    </row>
    <row r="1600" customFormat="false" ht="18" hidden="false" customHeight="true" outlineLevel="0" collapsed="false">
      <c r="A1600" s="9" t="s">
        <v>26</v>
      </c>
      <c r="B1600" s="9" t="n">
        <v>24</v>
      </c>
      <c r="C1600" s="11" t="n">
        <v>45942</v>
      </c>
      <c r="D1600" s="9" t="s">
        <v>139</v>
      </c>
      <c r="E1600" s="12" t="n">
        <v>12</v>
      </c>
      <c r="F1600" s="9" t="s">
        <v>28</v>
      </c>
      <c r="G1600" s="13" t="n">
        <v>50</v>
      </c>
      <c r="H1600" s="9" t="s">
        <v>35</v>
      </c>
      <c r="I1600" s="13" t="n">
        <v>1</v>
      </c>
      <c r="J1600" s="1" t="str">
        <f aca="false">IF(A1600="","", "SAMP-"&amp;A1600&amp;"-L"&amp;TEXT(B1600,"00")&amp;"-"&amp;TEXT(C1600,"yyyymmdd")&amp;"-"&amp;D1600&amp;"-H"&amp;TEXT(E1600,"00")&amp;"-"&amp;H1600)</f>
        <v>SAMP-KG01-L24-20251012-ORD-2025-00250-H12-Stone</v>
      </c>
      <c r="K1600" s="1" t="str">
        <f aca="false">IF(A1600="","",IF(AND(G1600&gt;=0,I1600&gt;=0,I1600&lt;=G1600),"OK","CHECK"))</f>
        <v>OK</v>
      </c>
      <c r="L1600" s="1" t="str">
        <f aca="false">IF(A1600="","",IF(AND(E1600&gt;=0,E1600&lt;=23),"OK","CHECK"))</f>
        <v>OK</v>
      </c>
      <c r="M1600" s="1" t="str">
        <f aca="false">IF(A1600="","",IF(AND(K1600="OK",L1600="OK"),"OK","CHECK"))</f>
        <v>OK</v>
      </c>
    </row>
    <row r="1601" customFormat="false" ht="18" hidden="false" customHeight="true" outlineLevel="0" collapsed="false">
      <c r="A1601" s="9" t="s">
        <v>26</v>
      </c>
      <c r="B1601" s="9" t="n">
        <v>24</v>
      </c>
      <c r="C1601" s="11" t="n">
        <v>45942</v>
      </c>
      <c r="D1601" s="9" t="s">
        <v>139</v>
      </c>
      <c r="E1601" s="12" t="n">
        <v>7</v>
      </c>
      <c r="F1601" s="9" t="s">
        <v>28</v>
      </c>
      <c r="G1601" s="13" t="n">
        <v>200</v>
      </c>
      <c r="H1601" s="9" t="s">
        <v>35</v>
      </c>
      <c r="I1601" s="13" t="n">
        <v>5</v>
      </c>
      <c r="J1601" s="1" t="str">
        <f aca="false">IF(A1601="","", "SAMP-"&amp;A1601&amp;"-L"&amp;TEXT(B1601,"00")&amp;"-"&amp;TEXT(C1601,"yyyymmdd")&amp;"-"&amp;D1601&amp;"-H"&amp;TEXT(E1601,"00")&amp;"-"&amp;H1601)</f>
        <v>SAMP-KG01-L24-20251012-ORD-2025-00250-H07-Stone</v>
      </c>
      <c r="K1601" s="1" t="str">
        <f aca="false">IF(A1601="","",IF(AND(G1601&gt;=0,I1601&gt;=0,I1601&lt;=G1601),"OK","CHECK"))</f>
        <v>OK</v>
      </c>
      <c r="L1601" s="1" t="str">
        <f aca="false">IF(A1601="","",IF(AND(E1601&gt;=0,E1601&lt;=23),"OK","CHECK"))</f>
        <v>OK</v>
      </c>
      <c r="M1601" s="1" t="str">
        <f aca="false">IF(A1601="","",IF(AND(K1601="OK",L1601="OK"),"OK","CHECK"))</f>
        <v>OK</v>
      </c>
    </row>
    <row r="1602" customFormat="false" ht="18" hidden="false" customHeight="true" outlineLevel="0" collapsed="false">
      <c r="A1602" s="9" t="s">
        <v>26</v>
      </c>
      <c r="B1602" s="9" t="n">
        <v>24</v>
      </c>
      <c r="C1602" s="11" t="n">
        <v>45942</v>
      </c>
      <c r="D1602" s="9" t="s">
        <v>140</v>
      </c>
      <c r="E1602" s="12" t="n">
        <v>16</v>
      </c>
      <c r="F1602" s="9" t="s">
        <v>31</v>
      </c>
      <c r="G1602" s="13" t="n">
        <v>100</v>
      </c>
      <c r="H1602" s="9" t="s">
        <v>30</v>
      </c>
      <c r="I1602" s="13" t="n">
        <v>0</v>
      </c>
      <c r="J1602" s="1" t="str">
        <f aca="false">IF(A1602="","", "SAMP-"&amp;A1602&amp;"-L"&amp;TEXT(B1602,"00")&amp;"-"&amp;TEXT(C1602,"yyyymmdd")&amp;"-"&amp;D1602&amp;"-H"&amp;TEXT(E1602,"00")&amp;"-"&amp;H1602)</f>
        <v>SAMP-KG01-L24-20251012-ORD-2025-00251-H16-Overpress</v>
      </c>
      <c r="K1602" s="1" t="str">
        <f aca="false">IF(A1602="","",IF(AND(G1602&gt;=0,I1602&gt;=0,I1602&lt;=G1602),"OK","CHECK"))</f>
        <v>OK</v>
      </c>
      <c r="L1602" s="1" t="str">
        <f aca="false">IF(A1602="","",IF(AND(E1602&gt;=0,E1602&lt;=23),"OK","CHECK"))</f>
        <v>OK</v>
      </c>
      <c r="M1602" s="1" t="str">
        <f aca="false">IF(A1602="","",IF(AND(K1602="OK",L1602="OK"),"OK","CHECK"))</f>
        <v>OK</v>
      </c>
    </row>
    <row r="1603" customFormat="false" ht="18" hidden="false" customHeight="true" outlineLevel="0" collapsed="false">
      <c r="A1603" s="9" t="s">
        <v>26</v>
      </c>
      <c r="B1603" s="9" t="n">
        <v>24</v>
      </c>
      <c r="C1603" s="11" t="n">
        <v>45942</v>
      </c>
      <c r="D1603" s="9" t="s">
        <v>140</v>
      </c>
      <c r="E1603" s="12" t="n">
        <v>20</v>
      </c>
      <c r="F1603" s="9" t="s">
        <v>31</v>
      </c>
      <c r="G1603" s="13" t="n">
        <v>200</v>
      </c>
      <c r="H1603" s="9" t="s">
        <v>30</v>
      </c>
      <c r="I1603" s="13" t="n">
        <v>5</v>
      </c>
      <c r="J1603" s="1" t="str">
        <f aca="false">IF(A1603="","", "SAMP-"&amp;A1603&amp;"-L"&amp;TEXT(B1603,"00")&amp;"-"&amp;TEXT(C1603,"yyyymmdd")&amp;"-"&amp;D1603&amp;"-H"&amp;TEXT(E1603,"00")&amp;"-"&amp;H1603)</f>
        <v>SAMP-KG01-L24-20251012-ORD-2025-00251-H20-Overpress</v>
      </c>
      <c r="K1603" s="1" t="str">
        <f aca="false">IF(A1603="","",IF(AND(G1603&gt;=0,I1603&gt;=0,I1603&lt;=G1603),"OK","CHECK"))</f>
        <v>OK</v>
      </c>
      <c r="L1603" s="1" t="str">
        <f aca="false">IF(A1603="","",IF(AND(E1603&gt;=0,E1603&lt;=23),"OK","CHECK"))</f>
        <v>OK</v>
      </c>
      <c r="M1603" s="1" t="str">
        <f aca="false">IF(A1603="","",IF(AND(K1603="OK",L1603="OK"),"OK","CHECK"))</f>
        <v>OK</v>
      </c>
    </row>
    <row r="1604" customFormat="false" ht="18" hidden="false" customHeight="true" outlineLevel="0" collapsed="false">
      <c r="A1604" s="9" t="s">
        <v>26</v>
      </c>
      <c r="B1604" s="9" t="n">
        <v>24</v>
      </c>
      <c r="C1604" s="11" t="n">
        <v>45942</v>
      </c>
      <c r="D1604" s="9" t="s">
        <v>140</v>
      </c>
      <c r="E1604" s="12" t="n">
        <v>23</v>
      </c>
      <c r="F1604" s="9" t="s">
        <v>31</v>
      </c>
      <c r="G1604" s="13" t="n">
        <v>150</v>
      </c>
      <c r="H1604" s="9" t="s">
        <v>30</v>
      </c>
      <c r="I1604" s="13" t="n">
        <v>3</v>
      </c>
      <c r="J1604" s="1" t="str">
        <f aca="false">IF(A1604="","", "SAMP-"&amp;A1604&amp;"-L"&amp;TEXT(B1604,"00")&amp;"-"&amp;TEXT(C1604,"yyyymmdd")&amp;"-"&amp;D1604&amp;"-H"&amp;TEXT(E1604,"00")&amp;"-"&amp;H1604)</f>
        <v>SAMP-KG01-L24-20251012-ORD-2025-00251-H23-Overpress</v>
      </c>
      <c r="K1604" s="1" t="str">
        <f aca="false">IF(A1604="","",IF(AND(G1604&gt;=0,I1604&gt;=0,I1604&lt;=G1604),"OK","CHECK"))</f>
        <v>OK</v>
      </c>
      <c r="L1604" s="1" t="str">
        <f aca="false">IF(A1604="","",IF(AND(E1604&gt;=0,E1604&lt;=23),"OK","CHECK"))</f>
        <v>OK</v>
      </c>
      <c r="M1604" s="1" t="str">
        <f aca="false">IF(A1604="","",IF(AND(K1604="OK",L1604="OK"),"OK","CHECK"))</f>
        <v>OK</v>
      </c>
    </row>
    <row r="1605" customFormat="false" ht="18" hidden="false" customHeight="true" outlineLevel="0" collapsed="false">
      <c r="A1605" s="9" t="s">
        <v>26</v>
      </c>
      <c r="B1605" s="9" t="n">
        <v>24</v>
      </c>
      <c r="C1605" s="11" t="n">
        <v>45943</v>
      </c>
      <c r="D1605" s="9" t="s">
        <v>140</v>
      </c>
      <c r="E1605" s="12" t="n">
        <v>7</v>
      </c>
      <c r="F1605" s="9" t="s">
        <v>28</v>
      </c>
      <c r="G1605" s="13" t="n">
        <v>150</v>
      </c>
      <c r="H1605" s="9" t="s">
        <v>41</v>
      </c>
      <c r="I1605" s="13" t="n">
        <v>4</v>
      </c>
      <c r="J1605" s="1" t="str">
        <f aca="false">IF(A1605="","", "SAMP-"&amp;A1605&amp;"-L"&amp;TEXT(B1605,"00")&amp;"-"&amp;TEXT(C1605,"yyyymmdd")&amp;"-"&amp;D1605&amp;"-H"&amp;TEXT(E1605,"00")&amp;"-"&amp;H1605)</f>
        <v>SAMP-KG01-L24-20251013-ORD-2025-00251-H07-Chip</v>
      </c>
      <c r="K1605" s="1" t="str">
        <f aca="false">IF(A1605="","",IF(AND(G1605&gt;=0,I1605&gt;=0,I1605&lt;=G1605),"OK","CHECK"))</f>
        <v>OK</v>
      </c>
      <c r="L1605" s="1" t="str">
        <f aca="false">IF(A1605="","",IF(AND(E1605&gt;=0,E1605&lt;=23),"OK","CHECK"))</f>
        <v>OK</v>
      </c>
      <c r="M1605" s="1" t="str">
        <f aca="false">IF(A1605="","",IF(AND(K1605="OK",L1605="OK"),"OK","CHECK"))</f>
        <v>OK</v>
      </c>
    </row>
    <row r="1606" customFormat="false" ht="18" hidden="false" customHeight="true" outlineLevel="0" collapsed="false">
      <c r="A1606" s="9" t="s">
        <v>26</v>
      </c>
      <c r="B1606" s="9" t="n">
        <v>24</v>
      </c>
      <c r="C1606" s="11" t="n">
        <v>45943</v>
      </c>
      <c r="D1606" s="9" t="s">
        <v>140</v>
      </c>
      <c r="E1606" s="12" t="n">
        <v>9</v>
      </c>
      <c r="F1606" s="9" t="s">
        <v>28</v>
      </c>
      <c r="G1606" s="13" t="n">
        <v>200</v>
      </c>
      <c r="H1606" s="9" t="s">
        <v>41</v>
      </c>
      <c r="I1606" s="13" t="n">
        <v>6</v>
      </c>
      <c r="J1606" s="1" t="str">
        <f aca="false">IF(A1606="","", "SAMP-"&amp;A1606&amp;"-L"&amp;TEXT(B1606,"00")&amp;"-"&amp;TEXT(C1606,"yyyymmdd")&amp;"-"&amp;D1606&amp;"-H"&amp;TEXT(E1606,"00")&amp;"-"&amp;H1606)</f>
        <v>SAMP-KG01-L24-20251013-ORD-2025-00251-H09-Chip</v>
      </c>
      <c r="K1606" s="1" t="str">
        <f aca="false">IF(A1606="","",IF(AND(G1606&gt;=0,I1606&gt;=0,I1606&lt;=G1606),"OK","CHECK"))</f>
        <v>OK</v>
      </c>
      <c r="L1606" s="1" t="str">
        <f aca="false">IF(A1606="","",IF(AND(E1606&gt;=0,E1606&lt;=23),"OK","CHECK"))</f>
        <v>OK</v>
      </c>
      <c r="M1606" s="1" t="str">
        <f aca="false">IF(A1606="","",IF(AND(K1606="OK",L1606="OK"),"OK","CHECK"))</f>
        <v>OK</v>
      </c>
    </row>
    <row r="1607" customFormat="false" ht="18" hidden="false" customHeight="true" outlineLevel="0" collapsed="false">
      <c r="A1607" s="9" t="s">
        <v>26</v>
      </c>
      <c r="B1607" s="9" t="n">
        <v>24</v>
      </c>
      <c r="C1607" s="11" t="n">
        <v>45943</v>
      </c>
      <c r="D1607" s="9" t="s">
        <v>140</v>
      </c>
      <c r="E1607" s="12" t="n">
        <v>16</v>
      </c>
      <c r="F1607" s="9" t="s">
        <v>31</v>
      </c>
      <c r="G1607" s="13" t="n">
        <v>150</v>
      </c>
      <c r="H1607" s="9" t="s">
        <v>35</v>
      </c>
      <c r="I1607" s="13" t="n">
        <v>0</v>
      </c>
      <c r="J1607" s="1" t="str">
        <f aca="false">IF(A1607="","", "SAMP-"&amp;A1607&amp;"-L"&amp;TEXT(B1607,"00")&amp;"-"&amp;TEXT(C1607,"yyyymmdd")&amp;"-"&amp;D1607&amp;"-H"&amp;TEXT(E1607,"00")&amp;"-"&amp;H1607)</f>
        <v>SAMP-KG01-L24-20251013-ORD-2025-00251-H16-Stone</v>
      </c>
      <c r="K1607" s="1" t="str">
        <f aca="false">IF(A1607="","",IF(AND(G1607&gt;=0,I1607&gt;=0,I1607&lt;=G1607),"OK","CHECK"))</f>
        <v>OK</v>
      </c>
      <c r="L1607" s="1" t="str">
        <f aca="false">IF(A1607="","",IF(AND(E1607&gt;=0,E1607&lt;=23),"OK","CHECK"))</f>
        <v>OK</v>
      </c>
      <c r="M1607" s="1" t="str">
        <f aca="false">IF(A1607="","",IF(AND(K1607="OK",L1607="OK"),"OK","CHECK"))</f>
        <v>OK</v>
      </c>
    </row>
    <row r="1608" customFormat="false" ht="18" hidden="false" customHeight="true" outlineLevel="0" collapsed="false">
      <c r="A1608" s="9" t="s">
        <v>26</v>
      </c>
      <c r="B1608" s="9" t="n">
        <v>24</v>
      </c>
      <c r="C1608" s="11" t="n">
        <v>45943</v>
      </c>
      <c r="D1608" s="9" t="s">
        <v>140</v>
      </c>
      <c r="E1608" s="12" t="n">
        <v>23</v>
      </c>
      <c r="F1608" s="9" t="s">
        <v>31</v>
      </c>
      <c r="G1608" s="13" t="n">
        <v>50</v>
      </c>
      <c r="H1608" s="9" t="s">
        <v>41</v>
      </c>
      <c r="I1608" s="13" t="n">
        <v>1</v>
      </c>
      <c r="J1608" s="1" t="str">
        <f aca="false">IF(A1608="","", "SAMP-"&amp;A1608&amp;"-L"&amp;TEXT(B1608,"00")&amp;"-"&amp;TEXT(C1608,"yyyymmdd")&amp;"-"&amp;D1608&amp;"-H"&amp;TEXT(E1608,"00")&amp;"-"&amp;H1608)</f>
        <v>SAMP-KG01-L24-20251013-ORD-2025-00251-H23-Chip</v>
      </c>
      <c r="K1608" s="1" t="str">
        <f aca="false">IF(A1608="","",IF(AND(G1608&gt;=0,I1608&gt;=0,I1608&lt;=G1608),"OK","CHECK"))</f>
        <v>OK</v>
      </c>
      <c r="L1608" s="1" t="str">
        <f aca="false">IF(A1608="","",IF(AND(E1608&gt;=0,E1608&lt;=23),"OK","CHECK"))</f>
        <v>OK</v>
      </c>
      <c r="M1608" s="1" t="str">
        <f aca="false">IF(A1608="","",IF(AND(K1608="OK",L1608="OK"),"OK","CHECK"))</f>
        <v>OK</v>
      </c>
    </row>
    <row r="1609" customFormat="false" ht="18" hidden="false" customHeight="true" outlineLevel="0" collapsed="false">
      <c r="A1609" s="9" t="s">
        <v>26</v>
      </c>
      <c r="B1609" s="9" t="n">
        <v>24</v>
      </c>
      <c r="C1609" s="11" t="n">
        <v>45943</v>
      </c>
      <c r="D1609" s="9" t="s">
        <v>140</v>
      </c>
      <c r="E1609" s="12" t="n">
        <v>20</v>
      </c>
      <c r="F1609" s="9" t="s">
        <v>31</v>
      </c>
      <c r="G1609" s="13" t="n">
        <v>150</v>
      </c>
      <c r="H1609" s="9" t="s">
        <v>33</v>
      </c>
      <c r="I1609" s="13" t="n">
        <v>2</v>
      </c>
      <c r="J1609" s="1" t="str">
        <f aca="false">IF(A1609="","", "SAMP-"&amp;A1609&amp;"-L"&amp;TEXT(B1609,"00")&amp;"-"&amp;TEXT(C1609,"yyyymmdd")&amp;"-"&amp;D1609&amp;"-H"&amp;TEXT(E1609,"00")&amp;"-"&amp;H1609)</f>
        <v>SAMP-KG01-L24-20251013-ORD-2025-00251-H20-Distortion</v>
      </c>
      <c r="K1609" s="1" t="str">
        <f aca="false">IF(A1609="","",IF(AND(G1609&gt;=0,I1609&gt;=0,I1609&lt;=G1609),"OK","CHECK"))</f>
        <v>OK</v>
      </c>
      <c r="L1609" s="1" t="str">
        <f aca="false">IF(A1609="","",IF(AND(E1609&gt;=0,E1609&lt;=23),"OK","CHECK"))</f>
        <v>OK</v>
      </c>
      <c r="M1609" s="1" t="str">
        <f aca="false">IF(A1609="","",IF(AND(K1609="OK",L1609="OK"),"OK","CHECK"))</f>
        <v>OK</v>
      </c>
    </row>
    <row r="1610" customFormat="false" ht="18" hidden="false" customHeight="true" outlineLevel="0" collapsed="false">
      <c r="A1610" s="9" t="s">
        <v>26</v>
      </c>
      <c r="B1610" s="9" t="n">
        <v>24</v>
      </c>
      <c r="C1610" s="11" t="n">
        <v>45944</v>
      </c>
      <c r="D1610" s="9" t="s">
        <v>140</v>
      </c>
      <c r="E1610" s="12" t="n">
        <v>7</v>
      </c>
      <c r="F1610" s="9" t="s">
        <v>28</v>
      </c>
      <c r="G1610" s="13" t="n">
        <v>100</v>
      </c>
      <c r="H1610" s="9" t="s">
        <v>30</v>
      </c>
      <c r="I1610" s="13" t="n">
        <v>4</v>
      </c>
      <c r="J1610" s="1" t="str">
        <f aca="false">IF(A1610="","", "SAMP-"&amp;A1610&amp;"-L"&amp;TEXT(B1610,"00")&amp;"-"&amp;TEXT(C1610,"yyyymmdd")&amp;"-"&amp;D1610&amp;"-H"&amp;TEXT(E1610,"00")&amp;"-"&amp;H1610)</f>
        <v>SAMP-KG01-L24-20251014-ORD-2025-00251-H07-Overpress</v>
      </c>
      <c r="K1610" s="1" t="str">
        <f aca="false">IF(A1610="","",IF(AND(G1610&gt;=0,I1610&gt;=0,I1610&lt;=G1610),"OK","CHECK"))</f>
        <v>OK</v>
      </c>
      <c r="L1610" s="1" t="str">
        <f aca="false">IF(A1610="","",IF(AND(E1610&gt;=0,E1610&lt;=23),"OK","CHECK"))</f>
        <v>OK</v>
      </c>
      <c r="M1610" s="1" t="str">
        <f aca="false">IF(A1610="","",IF(AND(K1610="OK",L1610="OK"),"OK","CHECK"))</f>
        <v>OK</v>
      </c>
    </row>
    <row r="1611" customFormat="false" ht="18" hidden="false" customHeight="true" outlineLevel="0" collapsed="false">
      <c r="A1611" s="9" t="s">
        <v>26</v>
      </c>
      <c r="B1611" s="9" t="n">
        <v>24</v>
      </c>
      <c r="C1611" s="11" t="n">
        <v>45944</v>
      </c>
      <c r="D1611" s="9" t="s">
        <v>140</v>
      </c>
      <c r="E1611" s="12" t="n">
        <v>9</v>
      </c>
      <c r="F1611" s="9" t="s">
        <v>28</v>
      </c>
      <c r="G1611" s="13" t="n">
        <v>150</v>
      </c>
      <c r="H1611" s="9" t="s">
        <v>37</v>
      </c>
      <c r="I1611" s="13" t="n">
        <v>4</v>
      </c>
      <c r="J1611" s="1" t="str">
        <f aca="false">IF(A1611="","", "SAMP-"&amp;A1611&amp;"-L"&amp;TEXT(B1611,"00")&amp;"-"&amp;TEXT(C1611,"yyyymmdd")&amp;"-"&amp;D1611&amp;"-H"&amp;TEXT(E1611,"00")&amp;"-"&amp;H1611)</f>
        <v>SAMP-KG01-L24-20251014-ORD-2025-00251-H09-Bird Swing</v>
      </c>
      <c r="K1611" s="1" t="str">
        <f aca="false">IF(A1611="","",IF(AND(G1611&gt;=0,I1611&gt;=0,I1611&lt;=G1611),"OK","CHECK"))</f>
        <v>OK</v>
      </c>
      <c r="L1611" s="1" t="str">
        <f aca="false">IF(A1611="","",IF(AND(E1611&gt;=0,E1611&lt;=23),"OK","CHECK"))</f>
        <v>OK</v>
      </c>
      <c r="M1611" s="1" t="str">
        <f aca="false">IF(A1611="","",IF(AND(K1611="OK",L1611="OK"),"OK","CHECK"))</f>
        <v>OK</v>
      </c>
    </row>
    <row r="1612" customFormat="false" ht="18" hidden="false" customHeight="true" outlineLevel="0" collapsed="false">
      <c r="A1612" s="9" t="s">
        <v>26</v>
      </c>
      <c r="B1612" s="9" t="n">
        <v>24</v>
      </c>
      <c r="C1612" s="11" t="n">
        <v>45944</v>
      </c>
      <c r="D1612" s="9" t="s">
        <v>140</v>
      </c>
      <c r="E1612" s="12" t="n">
        <v>12</v>
      </c>
      <c r="F1612" s="9" t="s">
        <v>28</v>
      </c>
      <c r="G1612" s="13" t="n">
        <v>100</v>
      </c>
      <c r="H1612" s="9" t="s">
        <v>37</v>
      </c>
      <c r="I1612" s="13" t="n">
        <v>3</v>
      </c>
      <c r="J1612" s="1" t="str">
        <f aca="false">IF(A1612="","", "SAMP-"&amp;A1612&amp;"-L"&amp;TEXT(B1612,"00")&amp;"-"&amp;TEXT(C1612,"yyyymmdd")&amp;"-"&amp;D1612&amp;"-H"&amp;TEXT(E1612,"00")&amp;"-"&amp;H1612)</f>
        <v>SAMP-KG01-L24-20251014-ORD-2025-00251-H12-Bird Swing</v>
      </c>
      <c r="K1612" s="1" t="str">
        <f aca="false">IF(A1612="","",IF(AND(G1612&gt;=0,I1612&gt;=0,I1612&lt;=G1612),"OK","CHECK"))</f>
        <v>OK</v>
      </c>
      <c r="L1612" s="1" t="str">
        <f aca="false">IF(A1612="","",IF(AND(E1612&gt;=0,E1612&lt;=23),"OK","CHECK"))</f>
        <v>OK</v>
      </c>
      <c r="M1612" s="1" t="str">
        <f aca="false">IF(A1612="","",IF(AND(K1612="OK",L1612="OK"),"OK","CHECK"))</f>
        <v>OK</v>
      </c>
    </row>
    <row r="1613" customFormat="false" ht="18" hidden="false" customHeight="true" outlineLevel="0" collapsed="false">
      <c r="A1613" s="9" t="s">
        <v>26</v>
      </c>
      <c r="B1613" s="9" t="n">
        <v>24</v>
      </c>
      <c r="C1613" s="11" t="n">
        <v>45944</v>
      </c>
      <c r="D1613" s="9" t="s">
        <v>140</v>
      </c>
      <c r="E1613" s="12" t="n">
        <v>16</v>
      </c>
      <c r="F1613" s="9" t="s">
        <v>31</v>
      </c>
      <c r="G1613" s="13" t="n">
        <v>150</v>
      </c>
      <c r="H1613" s="9" t="s">
        <v>35</v>
      </c>
      <c r="I1613" s="13" t="n">
        <v>6</v>
      </c>
      <c r="J1613" s="1" t="str">
        <f aca="false">IF(A1613="","", "SAMP-"&amp;A1613&amp;"-L"&amp;TEXT(B1613,"00")&amp;"-"&amp;TEXT(C1613,"yyyymmdd")&amp;"-"&amp;D1613&amp;"-H"&amp;TEXT(E1613,"00")&amp;"-"&amp;H1613)</f>
        <v>SAMP-KG01-L24-20251014-ORD-2025-00251-H16-Stone</v>
      </c>
      <c r="K1613" s="1" t="str">
        <f aca="false">IF(A1613="","",IF(AND(G1613&gt;=0,I1613&gt;=0,I1613&lt;=G1613),"OK","CHECK"))</f>
        <v>OK</v>
      </c>
      <c r="L1613" s="1" t="str">
        <f aca="false">IF(A1613="","",IF(AND(E1613&gt;=0,E1613&lt;=23),"OK","CHECK"))</f>
        <v>OK</v>
      </c>
      <c r="M1613" s="1" t="str">
        <f aca="false">IF(A1613="","",IF(AND(K1613="OK",L1613="OK"),"OK","CHECK"))</f>
        <v>OK</v>
      </c>
    </row>
    <row r="1614" customFormat="false" ht="18" hidden="false" customHeight="true" outlineLevel="0" collapsed="false">
      <c r="A1614" s="9" t="s">
        <v>26</v>
      </c>
      <c r="B1614" s="9" t="n">
        <v>24</v>
      </c>
      <c r="C1614" s="11" t="n">
        <v>45944</v>
      </c>
      <c r="D1614" s="9" t="s">
        <v>140</v>
      </c>
      <c r="E1614" s="12" t="n">
        <v>23</v>
      </c>
      <c r="F1614" s="9" t="s">
        <v>31</v>
      </c>
      <c r="G1614" s="13" t="n">
        <v>200</v>
      </c>
      <c r="H1614" s="9" t="s">
        <v>41</v>
      </c>
      <c r="I1614" s="13" t="n">
        <v>7</v>
      </c>
      <c r="J1614" s="1" t="str">
        <f aca="false">IF(A1614="","", "SAMP-"&amp;A1614&amp;"-L"&amp;TEXT(B1614,"00")&amp;"-"&amp;TEXT(C1614,"yyyymmdd")&amp;"-"&amp;D1614&amp;"-H"&amp;TEXT(E1614,"00")&amp;"-"&amp;H1614)</f>
        <v>SAMP-KG01-L24-20251014-ORD-2025-00251-H23-Chip</v>
      </c>
      <c r="K1614" s="1" t="str">
        <f aca="false">IF(A1614="","",IF(AND(G1614&gt;=0,I1614&gt;=0,I1614&lt;=G1614),"OK","CHECK"))</f>
        <v>OK</v>
      </c>
      <c r="L1614" s="1" t="str">
        <f aca="false">IF(A1614="","",IF(AND(E1614&gt;=0,E1614&lt;=23),"OK","CHECK"))</f>
        <v>OK</v>
      </c>
      <c r="M1614" s="1" t="str">
        <f aca="false">IF(A1614="","",IF(AND(K1614="OK",L1614="OK"),"OK","CHECK"))</f>
        <v>OK</v>
      </c>
    </row>
    <row r="1615" customFormat="false" ht="18" hidden="false" customHeight="true" outlineLevel="0" collapsed="false">
      <c r="A1615" s="9" t="s">
        <v>26</v>
      </c>
      <c r="B1615" s="9" t="n">
        <v>24</v>
      </c>
      <c r="C1615" s="11" t="n">
        <v>45944</v>
      </c>
      <c r="D1615" s="9" t="s">
        <v>140</v>
      </c>
      <c r="E1615" s="12" t="n">
        <v>20</v>
      </c>
      <c r="F1615" s="9" t="s">
        <v>31</v>
      </c>
      <c r="G1615" s="13" t="n">
        <v>150</v>
      </c>
      <c r="H1615" s="9" t="s">
        <v>29</v>
      </c>
      <c r="I1615" s="13" t="n">
        <v>2</v>
      </c>
      <c r="J1615" s="1" t="str">
        <f aca="false">IF(A1615="","", "SAMP-"&amp;A1615&amp;"-L"&amp;TEXT(B1615,"00")&amp;"-"&amp;TEXT(C1615,"yyyymmdd")&amp;"-"&amp;D1615&amp;"-H"&amp;TEXT(E1615,"00")&amp;"-"&amp;H1615)</f>
        <v>SAMP-KG01-L24-20251014-ORD-2025-00251-H20-Choke Neck</v>
      </c>
      <c r="K1615" s="1" t="str">
        <f aca="false">IF(A1615="","",IF(AND(G1615&gt;=0,I1615&gt;=0,I1615&lt;=G1615),"OK","CHECK"))</f>
        <v>OK</v>
      </c>
      <c r="L1615" s="1" t="str">
        <f aca="false">IF(A1615="","",IF(AND(E1615&gt;=0,E1615&lt;=23),"OK","CHECK"))</f>
        <v>OK</v>
      </c>
      <c r="M1615" s="1" t="str">
        <f aca="false">IF(A1615="","",IF(AND(K1615="OK",L1615="OK"),"OK","CHECK"))</f>
        <v>OK</v>
      </c>
    </row>
    <row r="1616" customFormat="false" ht="18" hidden="false" customHeight="true" outlineLevel="0" collapsed="false">
      <c r="A1616" s="9" t="s">
        <v>26</v>
      </c>
      <c r="B1616" s="9" t="n">
        <v>24</v>
      </c>
      <c r="C1616" s="11" t="n">
        <v>45945</v>
      </c>
      <c r="D1616" s="9" t="s">
        <v>140</v>
      </c>
      <c r="E1616" s="12" t="n">
        <v>9</v>
      </c>
      <c r="F1616" s="9" t="s">
        <v>28</v>
      </c>
      <c r="G1616" s="13" t="n">
        <v>100</v>
      </c>
      <c r="H1616" s="9" t="s">
        <v>38</v>
      </c>
      <c r="I1616" s="13" t="n">
        <v>3</v>
      </c>
      <c r="J1616" s="1" t="str">
        <f aca="false">IF(A1616="","", "SAMP-"&amp;A1616&amp;"-L"&amp;TEXT(B1616,"00")&amp;"-"&amp;TEXT(C1616,"yyyymmdd")&amp;"-"&amp;D1616&amp;"-H"&amp;TEXT(E1616,"00")&amp;"-"&amp;H1616)</f>
        <v>SAMP-KG01-L24-20251015-ORD-2025-00251-H09-Crack</v>
      </c>
      <c r="K1616" s="1" t="str">
        <f aca="false">IF(A1616="","",IF(AND(G1616&gt;=0,I1616&gt;=0,I1616&lt;=G1616),"OK","CHECK"))</f>
        <v>OK</v>
      </c>
      <c r="L1616" s="1" t="str">
        <f aca="false">IF(A1616="","",IF(AND(E1616&gt;=0,E1616&lt;=23),"OK","CHECK"))</f>
        <v>OK</v>
      </c>
      <c r="M1616" s="1" t="str">
        <f aca="false">IF(A1616="","",IF(AND(K1616="OK",L1616="OK"),"OK","CHECK"))</f>
        <v>OK</v>
      </c>
    </row>
    <row r="1617" customFormat="false" ht="18" hidden="false" customHeight="true" outlineLevel="0" collapsed="false">
      <c r="A1617" s="9" t="s">
        <v>26</v>
      </c>
      <c r="B1617" s="9" t="n">
        <v>24</v>
      </c>
      <c r="C1617" s="11" t="n">
        <v>45945</v>
      </c>
      <c r="D1617" s="9" t="s">
        <v>140</v>
      </c>
      <c r="E1617" s="12" t="n">
        <v>12</v>
      </c>
      <c r="F1617" s="9" t="s">
        <v>28</v>
      </c>
      <c r="G1617" s="13" t="n">
        <v>150</v>
      </c>
      <c r="H1617" s="9" t="s">
        <v>30</v>
      </c>
      <c r="I1617" s="13" t="n">
        <v>3</v>
      </c>
      <c r="J1617" s="1" t="str">
        <f aca="false">IF(A1617="","", "SAMP-"&amp;A1617&amp;"-L"&amp;TEXT(B1617,"00")&amp;"-"&amp;TEXT(C1617,"yyyymmdd")&amp;"-"&amp;D1617&amp;"-H"&amp;TEXT(E1617,"00")&amp;"-"&amp;H1617)</f>
        <v>SAMP-KG01-L24-20251015-ORD-2025-00251-H12-Overpress</v>
      </c>
      <c r="K1617" s="1" t="str">
        <f aca="false">IF(A1617="","",IF(AND(G1617&gt;=0,I1617&gt;=0,I1617&lt;=G1617),"OK","CHECK"))</f>
        <v>OK</v>
      </c>
      <c r="L1617" s="1" t="str">
        <f aca="false">IF(A1617="","",IF(AND(E1617&gt;=0,E1617&lt;=23),"OK","CHECK"))</f>
        <v>OK</v>
      </c>
      <c r="M1617" s="1" t="str">
        <f aca="false">IF(A1617="","",IF(AND(K1617="OK",L1617="OK"),"OK","CHECK"))</f>
        <v>OK</v>
      </c>
    </row>
    <row r="1618" customFormat="false" ht="18" hidden="false" customHeight="true" outlineLevel="0" collapsed="false">
      <c r="A1618" s="9" t="s">
        <v>26</v>
      </c>
      <c r="B1618" s="9" t="n">
        <v>24</v>
      </c>
      <c r="C1618" s="11" t="n">
        <v>45945</v>
      </c>
      <c r="D1618" s="9" t="s">
        <v>140</v>
      </c>
      <c r="E1618" s="12" t="n">
        <v>7</v>
      </c>
      <c r="F1618" s="9" t="s">
        <v>28</v>
      </c>
      <c r="G1618" s="13" t="n">
        <v>200</v>
      </c>
      <c r="H1618" s="9" t="s">
        <v>37</v>
      </c>
      <c r="I1618" s="13" t="n">
        <v>10</v>
      </c>
      <c r="J1618" s="1" t="str">
        <f aca="false">IF(A1618="","", "SAMP-"&amp;A1618&amp;"-L"&amp;TEXT(B1618,"00")&amp;"-"&amp;TEXT(C1618,"yyyymmdd")&amp;"-"&amp;D1618&amp;"-H"&amp;TEXT(E1618,"00")&amp;"-"&amp;H1618)</f>
        <v>SAMP-KG01-L24-20251015-ORD-2025-00251-H07-Bird Swing</v>
      </c>
      <c r="K1618" s="1" t="str">
        <f aca="false">IF(A1618="","",IF(AND(G1618&gt;=0,I1618&gt;=0,I1618&lt;=G1618),"OK","CHECK"))</f>
        <v>OK</v>
      </c>
      <c r="L1618" s="1" t="str">
        <f aca="false">IF(A1618="","",IF(AND(E1618&gt;=0,E1618&lt;=23),"OK","CHECK"))</f>
        <v>OK</v>
      </c>
      <c r="M1618" s="1" t="str">
        <f aca="false">IF(A1618="","",IF(AND(K1618="OK",L1618="OK"),"OK","CHECK"))</f>
        <v>OK</v>
      </c>
    </row>
    <row r="1619" customFormat="false" ht="18" hidden="false" customHeight="true" outlineLevel="0" collapsed="false">
      <c r="A1619" s="9" t="s">
        <v>26</v>
      </c>
      <c r="B1619" s="9" t="n">
        <v>24</v>
      </c>
      <c r="C1619" s="11" t="n">
        <v>45945</v>
      </c>
      <c r="D1619" s="9" t="s">
        <v>140</v>
      </c>
      <c r="E1619" s="12" t="n">
        <v>20</v>
      </c>
      <c r="F1619" s="9" t="s">
        <v>31</v>
      </c>
      <c r="G1619" s="13" t="n">
        <v>100</v>
      </c>
      <c r="H1619" s="9" t="s">
        <v>36</v>
      </c>
      <c r="I1619" s="13" t="n">
        <v>1</v>
      </c>
      <c r="J1619" s="1" t="str">
        <f aca="false">IF(A1619="","", "SAMP-"&amp;A1619&amp;"-L"&amp;TEXT(B1619,"00")&amp;"-"&amp;TEXT(C1619,"yyyymmdd")&amp;"-"&amp;D1619&amp;"-H"&amp;TEXT(E1619,"00")&amp;"-"&amp;H1619)</f>
        <v>SAMP-KG01-L24-20251015-ORD-2025-00251-H20-Blister</v>
      </c>
      <c r="K1619" s="1" t="str">
        <f aca="false">IF(A1619="","",IF(AND(G1619&gt;=0,I1619&gt;=0,I1619&lt;=G1619),"OK","CHECK"))</f>
        <v>OK</v>
      </c>
      <c r="L1619" s="1" t="str">
        <f aca="false">IF(A1619="","",IF(AND(E1619&gt;=0,E1619&lt;=23),"OK","CHECK"))</f>
        <v>OK</v>
      </c>
      <c r="M1619" s="1" t="str">
        <f aca="false">IF(A1619="","",IF(AND(K1619="OK",L1619="OK"),"OK","CHECK"))</f>
        <v>OK</v>
      </c>
    </row>
    <row r="1620" customFormat="false" ht="18" hidden="false" customHeight="true" outlineLevel="0" collapsed="false">
      <c r="A1620" s="9" t="s">
        <v>26</v>
      </c>
      <c r="B1620" s="9" t="n">
        <v>24</v>
      </c>
      <c r="C1620" s="11" t="n">
        <v>45945</v>
      </c>
      <c r="D1620" s="9" t="s">
        <v>140</v>
      </c>
      <c r="E1620" s="12" t="n">
        <v>23</v>
      </c>
      <c r="F1620" s="9" t="s">
        <v>31</v>
      </c>
      <c r="G1620" s="13" t="n">
        <v>200</v>
      </c>
      <c r="H1620" s="9" t="s">
        <v>41</v>
      </c>
      <c r="I1620" s="13" t="n">
        <v>1</v>
      </c>
      <c r="J1620" s="1" t="str">
        <f aca="false">IF(A1620="","", "SAMP-"&amp;A1620&amp;"-L"&amp;TEXT(B1620,"00")&amp;"-"&amp;TEXT(C1620,"yyyymmdd")&amp;"-"&amp;D1620&amp;"-H"&amp;TEXT(E1620,"00")&amp;"-"&amp;H1620)</f>
        <v>SAMP-KG01-L24-20251015-ORD-2025-00251-H23-Chip</v>
      </c>
      <c r="K1620" s="1" t="str">
        <f aca="false">IF(A1620="","",IF(AND(G1620&gt;=0,I1620&gt;=0,I1620&lt;=G1620),"OK","CHECK"))</f>
        <v>OK</v>
      </c>
      <c r="L1620" s="1" t="str">
        <f aca="false">IF(A1620="","",IF(AND(E1620&gt;=0,E1620&lt;=23),"OK","CHECK"))</f>
        <v>OK</v>
      </c>
      <c r="M1620" s="1" t="str">
        <f aca="false">IF(A1620="","",IF(AND(K1620="OK",L1620="OK"),"OK","CHECK"))</f>
        <v>OK</v>
      </c>
    </row>
    <row r="1621" customFormat="false" ht="18" hidden="false" customHeight="true" outlineLevel="0" collapsed="false">
      <c r="A1621" s="9" t="s">
        <v>26</v>
      </c>
      <c r="B1621" s="9" t="n">
        <v>24</v>
      </c>
      <c r="C1621" s="11" t="n">
        <v>45945</v>
      </c>
      <c r="D1621" s="9" t="s">
        <v>140</v>
      </c>
      <c r="E1621" s="12" t="n">
        <v>16</v>
      </c>
      <c r="F1621" s="9" t="s">
        <v>31</v>
      </c>
      <c r="G1621" s="13" t="n">
        <v>100</v>
      </c>
      <c r="H1621" s="9" t="s">
        <v>37</v>
      </c>
      <c r="I1621" s="13" t="n">
        <v>2</v>
      </c>
      <c r="J1621" s="1" t="str">
        <f aca="false">IF(A1621="","", "SAMP-"&amp;A1621&amp;"-L"&amp;TEXT(B1621,"00")&amp;"-"&amp;TEXT(C1621,"yyyymmdd")&amp;"-"&amp;D1621&amp;"-H"&amp;TEXT(E1621,"00")&amp;"-"&amp;H1621)</f>
        <v>SAMP-KG01-L24-20251015-ORD-2025-00251-H16-Bird Swing</v>
      </c>
      <c r="K1621" s="1" t="str">
        <f aca="false">IF(A1621="","",IF(AND(G1621&gt;=0,I1621&gt;=0,I1621&lt;=G1621),"OK","CHECK"))</f>
        <v>OK</v>
      </c>
      <c r="L1621" s="1" t="str">
        <f aca="false">IF(A1621="","",IF(AND(E1621&gt;=0,E1621&lt;=23),"OK","CHECK"))</f>
        <v>OK</v>
      </c>
      <c r="M1621" s="1" t="str">
        <f aca="false">IF(A1621="","",IF(AND(K1621="OK",L1621="OK"),"OK","CHECK"))</f>
        <v>OK</v>
      </c>
    </row>
    <row r="1622" customFormat="false" ht="18" hidden="false" customHeight="true" outlineLevel="0" collapsed="false">
      <c r="A1622" s="9" t="s">
        <v>26</v>
      </c>
      <c r="B1622" s="9" t="n">
        <v>24</v>
      </c>
      <c r="C1622" s="11" t="n">
        <v>45946</v>
      </c>
      <c r="D1622" s="9" t="s">
        <v>140</v>
      </c>
      <c r="E1622" s="12" t="n">
        <v>9</v>
      </c>
      <c r="F1622" s="9" t="s">
        <v>28</v>
      </c>
      <c r="G1622" s="13" t="n">
        <v>200</v>
      </c>
      <c r="H1622" s="9" t="s">
        <v>38</v>
      </c>
      <c r="I1622" s="13" t="n">
        <v>0</v>
      </c>
      <c r="J1622" s="1" t="str">
        <f aca="false">IF(A1622="","", "SAMP-"&amp;A1622&amp;"-L"&amp;TEXT(B1622,"00")&amp;"-"&amp;TEXT(C1622,"yyyymmdd")&amp;"-"&amp;D1622&amp;"-H"&amp;TEXT(E1622,"00")&amp;"-"&amp;H1622)</f>
        <v>SAMP-KG01-L24-20251016-ORD-2025-00251-H09-Crack</v>
      </c>
      <c r="K1622" s="1" t="str">
        <f aca="false">IF(A1622="","",IF(AND(G1622&gt;=0,I1622&gt;=0,I1622&lt;=G1622),"OK","CHECK"))</f>
        <v>OK</v>
      </c>
      <c r="L1622" s="1" t="str">
        <f aca="false">IF(A1622="","",IF(AND(E1622&gt;=0,E1622&lt;=23),"OK","CHECK"))</f>
        <v>OK</v>
      </c>
      <c r="M1622" s="1" t="str">
        <f aca="false">IF(A1622="","",IF(AND(K1622="OK",L1622="OK"),"OK","CHECK"))</f>
        <v>OK</v>
      </c>
    </row>
    <row r="1623" customFormat="false" ht="18" hidden="false" customHeight="true" outlineLevel="0" collapsed="false">
      <c r="A1623" s="9" t="s">
        <v>26</v>
      </c>
      <c r="B1623" s="9" t="n">
        <v>24</v>
      </c>
      <c r="C1623" s="11" t="n">
        <v>45946</v>
      </c>
      <c r="D1623" s="9" t="s">
        <v>140</v>
      </c>
      <c r="E1623" s="12" t="n">
        <v>7</v>
      </c>
      <c r="F1623" s="9" t="s">
        <v>28</v>
      </c>
      <c r="G1623" s="13" t="n">
        <v>50</v>
      </c>
      <c r="H1623" s="9" t="s">
        <v>35</v>
      </c>
      <c r="I1623" s="13" t="n">
        <v>1</v>
      </c>
      <c r="J1623" s="1" t="str">
        <f aca="false">IF(A1623="","", "SAMP-"&amp;A1623&amp;"-L"&amp;TEXT(B1623,"00")&amp;"-"&amp;TEXT(C1623,"yyyymmdd")&amp;"-"&amp;D1623&amp;"-H"&amp;TEXT(E1623,"00")&amp;"-"&amp;H1623)</f>
        <v>SAMP-KG01-L24-20251016-ORD-2025-00251-H07-Stone</v>
      </c>
      <c r="K1623" s="1" t="str">
        <f aca="false">IF(A1623="","",IF(AND(G1623&gt;=0,I1623&gt;=0,I1623&lt;=G1623),"OK","CHECK"))</f>
        <v>OK</v>
      </c>
      <c r="L1623" s="1" t="str">
        <f aca="false">IF(A1623="","",IF(AND(E1623&gt;=0,E1623&lt;=23),"OK","CHECK"))</f>
        <v>OK</v>
      </c>
      <c r="M1623" s="1" t="str">
        <f aca="false">IF(A1623="","",IF(AND(K1623="OK",L1623="OK"),"OK","CHECK"))</f>
        <v>OK</v>
      </c>
    </row>
    <row r="1624" customFormat="false" ht="18" hidden="false" customHeight="true" outlineLevel="0" collapsed="false">
      <c r="A1624" s="9" t="s">
        <v>26</v>
      </c>
      <c r="B1624" s="9" t="n">
        <v>24</v>
      </c>
      <c r="C1624" s="11" t="n">
        <v>45946</v>
      </c>
      <c r="D1624" s="9" t="s">
        <v>140</v>
      </c>
      <c r="E1624" s="12" t="n">
        <v>12</v>
      </c>
      <c r="F1624" s="9" t="s">
        <v>28</v>
      </c>
      <c r="G1624" s="13" t="n">
        <v>150</v>
      </c>
      <c r="H1624" s="9" t="s">
        <v>41</v>
      </c>
      <c r="I1624" s="13" t="n">
        <v>3</v>
      </c>
      <c r="J1624" s="1" t="str">
        <f aca="false">IF(A1624="","", "SAMP-"&amp;A1624&amp;"-L"&amp;TEXT(B1624,"00")&amp;"-"&amp;TEXT(C1624,"yyyymmdd")&amp;"-"&amp;D1624&amp;"-H"&amp;TEXT(E1624,"00")&amp;"-"&amp;H1624)</f>
        <v>SAMP-KG01-L24-20251016-ORD-2025-00251-H12-Chip</v>
      </c>
      <c r="K1624" s="1" t="str">
        <f aca="false">IF(A1624="","",IF(AND(G1624&gt;=0,I1624&gt;=0,I1624&lt;=G1624),"OK","CHECK"))</f>
        <v>OK</v>
      </c>
      <c r="L1624" s="1" t="str">
        <f aca="false">IF(A1624="","",IF(AND(E1624&gt;=0,E1624&lt;=23),"OK","CHECK"))</f>
        <v>OK</v>
      </c>
      <c r="M1624" s="1" t="str">
        <f aca="false">IF(A1624="","",IF(AND(K1624="OK",L1624="OK"),"OK","CHECK"))</f>
        <v>OK</v>
      </c>
    </row>
    <row r="1625" customFormat="false" ht="18" hidden="false" customHeight="true" outlineLevel="0" collapsed="false">
      <c r="A1625" s="9" t="s">
        <v>26</v>
      </c>
      <c r="B1625" s="9" t="n">
        <v>24</v>
      </c>
      <c r="C1625" s="11" t="n">
        <v>45946</v>
      </c>
      <c r="D1625" s="9" t="s">
        <v>140</v>
      </c>
      <c r="E1625" s="12" t="n">
        <v>23</v>
      </c>
      <c r="F1625" s="9" t="s">
        <v>31</v>
      </c>
      <c r="G1625" s="13" t="n">
        <v>150</v>
      </c>
      <c r="H1625" s="9" t="s">
        <v>38</v>
      </c>
      <c r="I1625" s="13" t="n">
        <v>3</v>
      </c>
      <c r="J1625" s="1" t="str">
        <f aca="false">IF(A1625="","", "SAMP-"&amp;A1625&amp;"-L"&amp;TEXT(B1625,"00")&amp;"-"&amp;TEXT(C1625,"yyyymmdd")&amp;"-"&amp;D1625&amp;"-H"&amp;TEXT(E1625,"00")&amp;"-"&amp;H1625)</f>
        <v>SAMP-KG01-L24-20251016-ORD-2025-00251-H23-Crack</v>
      </c>
      <c r="K1625" s="1" t="str">
        <f aca="false">IF(A1625="","",IF(AND(G1625&gt;=0,I1625&gt;=0,I1625&lt;=G1625),"OK","CHECK"))</f>
        <v>OK</v>
      </c>
      <c r="L1625" s="1" t="str">
        <f aca="false">IF(A1625="","",IF(AND(E1625&gt;=0,E1625&lt;=23),"OK","CHECK"))</f>
        <v>OK</v>
      </c>
      <c r="M1625" s="1" t="str">
        <f aca="false">IF(A1625="","",IF(AND(K1625="OK",L1625="OK"),"OK","CHECK"))</f>
        <v>OK</v>
      </c>
    </row>
    <row r="1626" customFormat="false" ht="18" hidden="false" customHeight="true" outlineLevel="0" collapsed="false">
      <c r="A1626" s="9" t="s">
        <v>26</v>
      </c>
      <c r="B1626" s="9" t="n">
        <v>24</v>
      </c>
      <c r="C1626" s="11" t="n">
        <v>45946</v>
      </c>
      <c r="D1626" s="9" t="s">
        <v>140</v>
      </c>
      <c r="E1626" s="12" t="n">
        <v>20</v>
      </c>
      <c r="F1626" s="9" t="s">
        <v>31</v>
      </c>
      <c r="G1626" s="13" t="n">
        <v>200</v>
      </c>
      <c r="H1626" s="9" t="s">
        <v>41</v>
      </c>
      <c r="I1626" s="13" t="n">
        <v>4</v>
      </c>
      <c r="J1626" s="1" t="str">
        <f aca="false">IF(A1626="","", "SAMP-"&amp;A1626&amp;"-L"&amp;TEXT(B1626,"00")&amp;"-"&amp;TEXT(C1626,"yyyymmdd")&amp;"-"&amp;D1626&amp;"-H"&amp;TEXT(E1626,"00")&amp;"-"&amp;H1626)</f>
        <v>SAMP-KG01-L24-20251016-ORD-2025-00251-H20-Chip</v>
      </c>
      <c r="K1626" s="1" t="str">
        <f aca="false">IF(A1626="","",IF(AND(G1626&gt;=0,I1626&gt;=0,I1626&lt;=G1626),"OK","CHECK"))</f>
        <v>OK</v>
      </c>
      <c r="L1626" s="1" t="str">
        <f aca="false">IF(A1626="","",IF(AND(E1626&gt;=0,E1626&lt;=23),"OK","CHECK"))</f>
        <v>OK</v>
      </c>
      <c r="M1626" s="1" t="str">
        <f aca="false">IF(A1626="","",IF(AND(K1626="OK",L1626="OK"),"OK","CHECK"))</f>
        <v>OK</v>
      </c>
    </row>
    <row r="1627" customFormat="false" ht="18" hidden="false" customHeight="true" outlineLevel="0" collapsed="false">
      <c r="A1627" s="9" t="s">
        <v>26</v>
      </c>
      <c r="B1627" s="9" t="n">
        <v>24</v>
      </c>
      <c r="C1627" s="11" t="n">
        <v>45946</v>
      </c>
      <c r="D1627" s="9" t="s">
        <v>140</v>
      </c>
      <c r="E1627" s="12" t="n">
        <v>16</v>
      </c>
      <c r="F1627" s="9" t="s">
        <v>31</v>
      </c>
      <c r="G1627" s="13" t="n">
        <v>200</v>
      </c>
      <c r="H1627" s="9" t="s">
        <v>30</v>
      </c>
      <c r="I1627" s="13" t="n">
        <v>4</v>
      </c>
      <c r="J1627" s="1" t="str">
        <f aca="false">IF(A1627="","", "SAMP-"&amp;A1627&amp;"-L"&amp;TEXT(B1627,"00")&amp;"-"&amp;TEXT(C1627,"yyyymmdd")&amp;"-"&amp;D1627&amp;"-H"&amp;TEXT(E1627,"00")&amp;"-"&amp;H1627)</f>
        <v>SAMP-KG01-L24-20251016-ORD-2025-00251-H16-Overpress</v>
      </c>
      <c r="K1627" s="1" t="str">
        <f aca="false">IF(A1627="","",IF(AND(G1627&gt;=0,I1627&gt;=0,I1627&lt;=G1627),"OK","CHECK"))</f>
        <v>OK</v>
      </c>
      <c r="L1627" s="1" t="str">
        <f aca="false">IF(A1627="","",IF(AND(E1627&gt;=0,E1627&lt;=23),"OK","CHECK"))</f>
        <v>OK</v>
      </c>
      <c r="M1627" s="1" t="str">
        <f aca="false">IF(A1627="","",IF(AND(K1627="OK",L1627="OK"),"OK","CHECK"))</f>
        <v>OK</v>
      </c>
    </row>
    <row r="1628" customFormat="false" ht="18" hidden="false" customHeight="true" outlineLevel="0" collapsed="false">
      <c r="A1628" s="9" t="s">
        <v>26</v>
      </c>
      <c r="B1628" s="9" t="n">
        <v>24</v>
      </c>
      <c r="C1628" s="11" t="n">
        <v>45947</v>
      </c>
      <c r="D1628" s="9" t="s">
        <v>140</v>
      </c>
      <c r="E1628" s="12" t="n">
        <v>12</v>
      </c>
      <c r="F1628" s="9" t="s">
        <v>28</v>
      </c>
      <c r="G1628" s="13" t="n">
        <v>50</v>
      </c>
      <c r="H1628" s="9" t="s">
        <v>34</v>
      </c>
      <c r="I1628" s="13" t="n">
        <v>1</v>
      </c>
      <c r="J1628" s="1" t="str">
        <f aca="false">IF(A1628="","", "SAMP-"&amp;A1628&amp;"-L"&amp;TEXT(B1628,"00")&amp;"-"&amp;TEXT(C1628,"yyyymmdd")&amp;"-"&amp;D1628&amp;"-H"&amp;TEXT(E1628,"00")&amp;"-"&amp;H1628)</f>
        <v>SAMP-KG01-L24-20251017-ORD-2025-00251-H12-Thin Wall</v>
      </c>
      <c r="K1628" s="1" t="str">
        <f aca="false">IF(A1628="","",IF(AND(G1628&gt;=0,I1628&gt;=0,I1628&lt;=G1628),"OK","CHECK"))</f>
        <v>OK</v>
      </c>
      <c r="L1628" s="1" t="str">
        <f aca="false">IF(A1628="","",IF(AND(E1628&gt;=0,E1628&lt;=23),"OK","CHECK"))</f>
        <v>OK</v>
      </c>
      <c r="M1628" s="1" t="str">
        <f aca="false">IF(A1628="","",IF(AND(K1628="OK",L1628="OK"),"OK","CHECK"))</f>
        <v>OK</v>
      </c>
    </row>
    <row r="1629" customFormat="false" ht="18" hidden="false" customHeight="true" outlineLevel="0" collapsed="false">
      <c r="A1629" s="9" t="s">
        <v>26</v>
      </c>
      <c r="B1629" s="9" t="n">
        <v>24</v>
      </c>
      <c r="C1629" s="11" t="n">
        <v>45947</v>
      </c>
      <c r="D1629" s="9" t="s">
        <v>140</v>
      </c>
      <c r="E1629" s="12" t="n">
        <v>9</v>
      </c>
      <c r="F1629" s="9" t="s">
        <v>28</v>
      </c>
      <c r="G1629" s="13" t="n">
        <v>200</v>
      </c>
      <c r="H1629" s="9" t="s">
        <v>30</v>
      </c>
      <c r="I1629" s="13" t="n">
        <v>5</v>
      </c>
      <c r="J1629" s="1" t="str">
        <f aca="false">IF(A1629="","", "SAMP-"&amp;A1629&amp;"-L"&amp;TEXT(B1629,"00")&amp;"-"&amp;TEXT(C1629,"yyyymmdd")&amp;"-"&amp;D1629&amp;"-H"&amp;TEXT(E1629,"00")&amp;"-"&amp;H1629)</f>
        <v>SAMP-KG01-L24-20251017-ORD-2025-00251-H09-Overpress</v>
      </c>
      <c r="K1629" s="1" t="str">
        <f aca="false">IF(A1629="","",IF(AND(G1629&gt;=0,I1629&gt;=0,I1629&lt;=G1629),"OK","CHECK"))</f>
        <v>OK</v>
      </c>
      <c r="L1629" s="1" t="str">
        <f aca="false">IF(A1629="","",IF(AND(E1629&gt;=0,E1629&lt;=23),"OK","CHECK"))</f>
        <v>OK</v>
      </c>
      <c r="M1629" s="1" t="str">
        <f aca="false">IF(A1629="","",IF(AND(K1629="OK",L1629="OK"),"OK","CHECK"))</f>
        <v>OK</v>
      </c>
    </row>
    <row r="1630" customFormat="false" ht="18" hidden="false" customHeight="true" outlineLevel="0" collapsed="false">
      <c r="A1630" s="9" t="s">
        <v>26</v>
      </c>
      <c r="B1630" s="9" t="n">
        <v>24</v>
      </c>
      <c r="C1630" s="11" t="n">
        <v>45947</v>
      </c>
      <c r="D1630" s="9" t="s">
        <v>141</v>
      </c>
      <c r="E1630" s="12" t="n">
        <v>16</v>
      </c>
      <c r="F1630" s="9" t="s">
        <v>31</v>
      </c>
      <c r="G1630" s="13" t="n">
        <v>150</v>
      </c>
      <c r="H1630" s="9" t="s">
        <v>36</v>
      </c>
      <c r="I1630" s="13" t="n">
        <v>4</v>
      </c>
      <c r="J1630" s="1" t="str">
        <f aca="false">IF(A1630="","", "SAMP-"&amp;A1630&amp;"-L"&amp;TEXT(B1630,"00")&amp;"-"&amp;TEXT(C1630,"yyyymmdd")&amp;"-"&amp;D1630&amp;"-H"&amp;TEXT(E1630,"00")&amp;"-"&amp;H1630)</f>
        <v>SAMP-KG01-L24-20251017-ORD-2025-00252-H16-Blister</v>
      </c>
      <c r="K1630" s="1" t="str">
        <f aca="false">IF(A1630="","",IF(AND(G1630&gt;=0,I1630&gt;=0,I1630&lt;=G1630),"OK","CHECK"))</f>
        <v>OK</v>
      </c>
      <c r="L1630" s="1" t="str">
        <f aca="false">IF(A1630="","",IF(AND(E1630&gt;=0,E1630&lt;=23),"OK","CHECK"))</f>
        <v>OK</v>
      </c>
      <c r="M1630" s="1" t="str">
        <f aca="false">IF(A1630="","",IF(AND(K1630="OK",L1630="OK"),"OK","CHECK"))</f>
        <v>OK</v>
      </c>
    </row>
    <row r="1631" customFormat="false" ht="18" hidden="false" customHeight="true" outlineLevel="0" collapsed="false">
      <c r="A1631" s="9" t="s">
        <v>26</v>
      </c>
      <c r="B1631" s="9" t="n">
        <v>24</v>
      </c>
      <c r="C1631" s="11" t="n">
        <v>45947</v>
      </c>
      <c r="D1631" s="9" t="s">
        <v>141</v>
      </c>
      <c r="E1631" s="12" t="n">
        <v>23</v>
      </c>
      <c r="F1631" s="9" t="s">
        <v>31</v>
      </c>
      <c r="G1631" s="13" t="n">
        <v>100</v>
      </c>
      <c r="H1631" s="9" t="s">
        <v>36</v>
      </c>
      <c r="I1631" s="13" t="n">
        <v>3</v>
      </c>
      <c r="J1631" s="1" t="str">
        <f aca="false">IF(A1631="","", "SAMP-"&amp;A1631&amp;"-L"&amp;TEXT(B1631,"00")&amp;"-"&amp;TEXT(C1631,"yyyymmdd")&amp;"-"&amp;D1631&amp;"-H"&amp;TEXT(E1631,"00")&amp;"-"&amp;H1631)</f>
        <v>SAMP-KG01-L24-20251017-ORD-2025-00252-H23-Blister</v>
      </c>
      <c r="K1631" s="1" t="str">
        <f aca="false">IF(A1631="","",IF(AND(G1631&gt;=0,I1631&gt;=0,I1631&lt;=G1631),"OK","CHECK"))</f>
        <v>OK</v>
      </c>
      <c r="L1631" s="1" t="str">
        <f aca="false">IF(A1631="","",IF(AND(E1631&gt;=0,E1631&lt;=23),"OK","CHECK"))</f>
        <v>OK</v>
      </c>
      <c r="M1631" s="1" t="str">
        <f aca="false">IF(A1631="","",IF(AND(K1631="OK",L1631="OK"),"OK","CHECK"))</f>
        <v>OK</v>
      </c>
    </row>
    <row r="1632" customFormat="false" ht="18" hidden="false" customHeight="true" outlineLevel="0" collapsed="false">
      <c r="A1632" s="9" t="s">
        <v>26</v>
      </c>
      <c r="B1632" s="9" t="n">
        <v>24</v>
      </c>
      <c r="C1632" s="11" t="n">
        <v>45947</v>
      </c>
      <c r="D1632" s="9" t="s">
        <v>141</v>
      </c>
      <c r="E1632" s="12" t="n">
        <v>20</v>
      </c>
      <c r="F1632" s="9" t="s">
        <v>31</v>
      </c>
      <c r="G1632" s="13" t="n">
        <v>100</v>
      </c>
      <c r="H1632" s="9" t="s">
        <v>29</v>
      </c>
      <c r="I1632" s="13" t="n">
        <v>2</v>
      </c>
      <c r="J1632" s="1" t="str">
        <f aca="false">IF(A1632="","", "SAMP-"&amp;A1632&amp;"-L"&amp;TEXT(B1632,"00")&amp;"-"&amp;TEXT(C1632,"yyyymmdd")&amp;"-"&amp;D1632&amp;"-H"&amp;TEXT(E1632,"00")&amp;"-"&amp;H1632)</f>
        <v>SAMP-KG01-L24-20251017-ORD-2025-00252-H20-Choke Neck</v>
      </c>
      <c r="K1632" s="1" t="str">
        <f aca="false">IF(A1632="","",IF(AND(G1632&gt;=0,I1632&gt;=0,I1632&lt;=G1632),"OK","CHECK"))</f>
        <v>OK</v>
      </c>
      <c r="L1632" s="1" t="str">
        <f aca="false">IF(A1632="","",IF(AND(E1632&gt;=0,E1632&lt;=23),"OK","CHECK"))</f>
        <v>OK</v>
      </c>
      <c r="M1632" s="1" t="str">
        <f aca="false">IF(A1632="","",IF(AND(K1632="OK",L1632="OK"),"OK","CHECK"))</f>
        <v>OK</v>
      </c>
    </row>
    <row r="1633" customFormat="false" ht="18" hidden="false" customHeight="true" outlineLevel="0" collapsed="false">
      <c r="A1633" s="9" t="s">
        <v>26</v>
      </c>
      <c r="B1633" s="9" t="n">
        <v>24</v>
      </c>
      <c r="C1633" s="11" t="n">
        <v>45948</v>
      </c>
      <c r="D1633" s="9" t="s">
        <v>141</v>
      </c>
      <c r="E1633" s="12" t="n">
        <v>9</v>
      </c>
      <c r="F1633" s="9" t="s">
        <v>28</v>
      </c>
      <c r="G1633" s="13" t="n">
        <v>100</v>
      </c>
      <c r="H1633" s="9" t="s">
        <v>37</v>
      </c>
      <c r="I1633" s="13" t="n">
        <v>2</v>
      </c>
      <c r="J1633" s="1" t="str">
        <f aca="false">IF(A1633="","", "SAMP-"&amp;A1633&amp;"-L"&amp;TEXT(B1633,"00")&amp;"-"&amp;TEXT(C1633,"yyyymmdd")&amp;"-"&amp;D1633&amp;"-H"&amp;TEXT(E1633,"00")&amp;"-"&amp;H1633)</f>
        <v>SAMP-KG01-L24-20251018-ORD-2025-00252-H09-Bird Swing</v>
      </c>
      <c r="K1633" s="1" t="str">
        <f aca="false">IF(A1633="","",IF(AND(G1633&gt;=0,I1633&gt;=0,I1633&lt;=G1633),"OK","CHECK"))</f>
        <v>OK</v>
      </c>
      <c r="L1633" s="1" t="str">
        <f aca="false">IF(A1633="","",IF(AND(E1633&gt;=0,E1633&lt;=23),"OK","CHECK"))</f>
        <v>OK</v>
      </c>
      <c r="M1633" s="1" t="str">
        <f aca="false">IF(A1633="","",IF(AND(K1633="OK",L1633="OK"),"OK","CHECK"))</f>
        <v>OK</v>
      </c>
    </row>
    <row r="1634" customFormat="false" ht="18" hidden="false" customHeight="true" outlineLevel="0" collapsed="false">
      <c r="A1634" s="9" t="s">
        <v>26</v>
      </c>
      <c r="B1634" s="9" t="n">
        <v>24</v>
      </c>
      <c r="C1634" s="11" t="n">
        <v>45948</v>
      </c>
      <c r="D1634" s="9" t="s">
        <v>141</v>
      </c>
      <c r="E1634" s="12" t="n">
        <v>12</v>
      </c>
      <c r="F1634" s="9" t="s">
        <v>28</v>
      </c>
      <c r="G1634" s="13" t="n">
        <v>150</v>
      </c>
      <c r="H1634" s="9" t="s">
        <v>38</v>
      </c>
      <c r="I1634" s="13" t="n">
        <v>4</v>
      </c>
      <c r="J1634" s="1" t="str">
        <f aca="false">IF(A1634="","", "SAMP-"&amp;A1634&amp;"-L"&amp;TEXT(B1634,"00")&amp;"-"&amp;TEXT(C1634,"yyyymmdd")&amp;"-"&amp;D1634&amp;"-H"&amp;TEXT(E1634,"00")&amp;"-"&amp;H1634)</f>
        <v>SAMP-KG01-L24-20251018-ORD-2025-00252-H12-Crack</v>
      </c>
      <c r="K1634" s="1" t="str">
        <f aca="false">IF(A1634="","",IF(AND(G1634&gt;=0,I1634&gt;=0,I1634&lt;=G1634),"OK","CHECK"))</f>
        <v>OK</v>
      </c>
      <c r="L1634" s="1" t="str">
        <f aca="false">IF(A1634="","",IF(AND(E1634&gt;=0,E1634&lt;=23),"OK","CHECK"))</f>
        <v>OK</v>
      </c>
      <c r="M1634" s="1" t="str">
        <f aca="false">IF(A1634="","",IF(AND(K1634="OK",L1634="OK"),"OK","CHECK"))</f>
        <v>OK</v>
      </c>
    </row>
    <row r="1635" customFormat="false" ht="18" hidden="false" customHeight="true" outlineLevel="0" collapsed="false">
      <c r="A1635" s="9" t="s">
        <v>26</v>
      </c>
      <c r="B1635" s="9" t="n">
        <v>24</v>
      </c>
      <c r="C1635" s="11" t="n">
        <v>45948</v>
      </c>
      <c r="D1635" s="9" t="s">
        <v>141</v>
      </c>
      <c r="E1635" s="12" t="n">
        <v>7</v>
      </c>
      <c r="F1635" s="9" t="s">
        <v>28</v>
      </c>
      <c r="G1635" s="13" t="n">
        <v>150</v>
      </c>
      <c r="H1635" s="9" t="s">
        <v>34</v>
      </c>
      <c r="I1635" s="13" t="n">
        <v>3</v>
      </c>
      <c r="J1635" s="1" t="str">
        <f aca="false">IF(A1635="","", "SAMP-"&amp;A1635&amp;"-L"&amp;TEXT(B1635,"00")&amp;"-"&amp;TEXT(C1635,"yyyymmdd")&amp;"-"&amp;D1635&amp;"-H"&amp;TEXT(E1635,"00")&amp;"-"&amp;H1635)</f>
        <v>SAMP-KG01-L24-20251018-ORD-2025-00252-H07-Thin Wall</v>
      </c>
      <c r="K1635" s="1" t="str">
        <f aca="false">IF(A1635="","",IF(AND(G1635&gt;=0,I1635&gt;=0,I1635&lt;=G1635),"OK","CHECK"))</f>
        <v>OK</v>
      </c>
      <c r="L1635" s="1" t="str">
        <f aca="false">IF(A1635="","",IF(AND(E1635&gt;=0,E1635&lt;=23),"OK","CHECK"))</f>
        <v>OK</v>
      </c>
      <c r="M1635" s="1" t="str">
        <f aca="false">IF(A1635="","",IF(AND(K1635="OK",L1635="OK"),"OK","CHECK"))</f>
        <v>OK</v>
      </c>
    </row>
    <row r="1636" customFormat="false" ht="18" hidden="false" customHeight="true" outlineLevel="0" collapsed="false">
      <c r="A1636" s="9" t="s">
        <v>26</v>
      </c>
      <c r="B1636" s="9" t="n">
        <v>24</v>
      </c>
      <c r="C1636" s="11" t="n">
        <v>45948</v>
      </c>
      <c r="D1636" s="9" t="s">
        <v>141</v>
      </c>
      <c r="E1636" s="12" t="n">
        <v>16</v>
      </c>
      <c r="F1636" s="9" t="s">
        <v>31</v>
      </c>
      <c r="G1636" s="13" t="n">
        <v>50</v>
      </c>
      <c r="H1636" s="9" t="s">
        <v>41</v>
      </c>
      <c r="I1636" s="13" t="n">
        <v>2</v>
      </c>
      <c r="J1636" s="1" t="str">
        <f aca="false">IF(A1636="","", "SAMP-"&amp;A1636&amp;"-L"&amp;TEXT(B1636,"00")&amp;"-"&amp;TEXT(C1636,"yyyymmdd")&amp;"-"&amp;D1636&amp;"-H"&amp;TEXT(E1636,"00")&amp;"-"&amp;H1636)</f>
        <v>SAMP-KG01-L24-20251018-ORD-2025-00252-H16-Chip</v>
      </c>
      <c r="K1636" s="1" t="str">
        <f aca="false">IF(A1636="","",IF(AND(G1636&gt;=0,I1636&gt;=0,I1636&lt;=G1636),"OK","CHECK"))</f>
        <v>OK</v>
      </c>
      <c r="L1636" s="1" t="str">
        <f aca="false">IF(A1636="","",IF(AND(E1636&gt;=0,E1636&lt;=23),"OK","CHECK"))</f>
        <v>OK</v>
      </c>
      <c r="M1636" s="1" t="str">
        <f aca="false">IF(A1636="","",IF(AND(K1636="OK",L1636="OK"),"OK","CHECK"))</f>
        <v>OK</v>
      </c>
    </row>
    <row r="1637" customFormat="false" ht="18" hidden="false" customHeight="true" outlineLevel="0" collapsed="false">
      <c r="A1637" s="9" t="s">
        <v>26</v>
      </c>
      <c r="B1637" s="9" t="n">
        <v>24</v>
      </c>
      <c r="C1637" s="11" t="n">
        <v>45948</v>
      </c>
      <c r="D1637" s="9" t="s">
        <v>141</v>
      </c>
      <c r="E1637" s="12" t="n">
        <v>20</v>
      </c>
      <c r="F1637" s="9" t="s">
        <v>31</v>
      </c>
      <c r="G1637" s="13" t="n">
        <v>50</v>
      </c>
      <c r="H1637" s="9" t="s">
        <v>37</v>
      </c>
      <c r="I1637" s="13" t="n">
        <v>1</v>
      </c>
      <c r="J1637" s="1" t="str">
        <f aca="false">IF(A1637="","", "SAMP-"&amp;A1637&amp;"-L"&amp;TEXT(B1637,"00")&amp;"-"&amp;TEXT(C1637,"yyyymmdd")&amp;"-"&amp;D1637&amp;"-H"&amp;TEXT(E1637,"00")&amp;"-"&amp;H1637)</f>
        <v>SAMP-KG01-L24-20251018-ORD-2025-00252-H20-Bird Swing</v>
      </c>
      <c r="K1637" s="1" t="str">
        <f aca="false">IF(A1637="","",IF(AND(G1637&gt;=0,I1637&gt;=0,I1637&lt;=G1637),"OK","CHECK"))</f>
        <v>OK</v>
      </c>
      <c r="L1637" s="1" t="str">
        <f aca="false">IF(A1637="","",IF(AND(E1637&gt;=0,E1637&lt;=23),"OK","CHECK"))</f>
        <v>OK</v>
      </c>
      <c r="M1637" s="1" t="str">
        <f aca="false">IF(A1637="","",IF(AND(K1637="OK",L1637="OK"),"OK","CHECK"))</f>
        <v>OK</v>
      </c>
    </row>
    <row r="1638" customFormat="false" ht="18" hidden="false" customHeight="true" outlineLevel="0" collapsed="false">
      <c r="A1638" s="9" t="s">
        <v>26</v>
      </c>
      <c r="B1638" s="9" t="n">
        <v>24</v>
      </c>
      <c r="C1638" s="11" t="n">
        <v>45949</v>
      </c>
      <c r="D1638" s="9" t="s">
        <v>141</v>
      </c>
      <c r="E1638" s="12" t="n">
        <v>9</v>
      </c>
      <c r="F1638" s="9" t="s">
        <v>28</v>
      </c>
      <c r="G1638" s="13" t="n">
        <v>100</v>
      </c>
      <c r="H1638" s="9" t="s">
        <v>29</v>
      </c>
      <c r="I1638" s="13" t="n">
        <v>0</v>
      </c>
      <c r="J1638" s="1" t="str">
        <f aca="false">IF(A1638="","", "SAMP-"&amp;A1638&amp;"-L"&amp;TEXT(B1638,"00")&amp;"-"&amp;TEXT(C1638,"yyyymmdd")&amp;"-"&amp;D1638&amp;"-H"&amp;TEXT(E1638,"00")&amp;"-"&amp;H1638)</f>
        <v>SAMP-KG01-L24-20251019-ORD-2025-00252-H09-Choke Neck</v>
      </c>
      <c r="K1638" s="1" t="str">
        <f aca="false">IF(A1638="","",IF(AND(G1638&gt;=0,I1638&gt;=0,I1638&lt;=G1638),"OK","CHECK"))</f>
        <v>OK</v>
      </c>
      <c r="L1638" s="1" t="str">
        <f aca="false">IF(A1638="","",IF(AND(E1638&gt;=0,E1638&lt;=23),"OK","CHECK"))</f>
        <v>OK</v>
      </c>
      <c r="M1638" s="1" t="str">
        <f aca="false">IF(A1638="","",IF(AND(K1638="OK",L1638="OK"),"OK","CHECK"))</f>
        <v>OK</v>
      </c>
    </row>
    <row r="1639" customFormat="false" ht="18" hidden="false" customHeight="true" outlineLevel="0" collapsed="false">
      <c r="A1639" s="9" t="s">
        <v>26</v>
      </c>
      <c r="B1639" s="9" t="n">
        <v>24</v>
      </c>
      <c r="C1639" s="11" t="n">
        <v>45949</v>
      </c>
      <c r="D1639" s="9" t="s">
        <v>141</v>
      </c>
      <c r="E1639" s="12" t="n">
        <v>12</v>
      </c>
      <c r="F1639" s="9" t="s">
        <v>28</v>
      </c>
      <c r="G1639" s="13" t="n">
        <v>50</v>
      </c>
      <c r="H1639" s="9" t="s">
        <v>30</v>
      </c>
      <c r="I1639" s="13" t="n">
        <v>0</v>
      </c>
      <c r="J1639" s="1" t="str">
        <f aca="false">IF(A1639="","", "SAMP-"&amp;A1639&amp;"-L"&amp;TEXT(B1639,"00")&amp;"-"&amp;TEXT(C1639,"yyyymmdd")&amp;"-"&amp;D1639&amp;"-H"&amp;TEXT(E1639,"00")&amp;"-"&amp;H1639)</f>
        <v>SAMP-KG01-L24-20251019-ORD-2025-00252-H12-Overpress</v>
      </c>
      <c r="K1639" s="1" t="str">
        <f aca="false">IF(A1639="","",IF(AND(G1639&gt;=0,I1639&gt;=0,I1639&lt;=G1639),"OK","CHECK"))</f>
        <v>OK</v>
      </c>
      <c r="L1639" s="1" t="str">
        <f aca="false">IF(A1639="","",IF(AND(E1639&gt;=0,E1639&lt;=23),"OK","CHECK"))</f>
        <v>OK</v>
      </c>
      <c r="M1639" s="1" t="str">
        <f aca="false">IF(A1639="","",IF(AND(K1639="OK",L1639="OK"),"OK","CHECK"))</f>
        <v>OK</v>
      </c>
    </row>
    <row r="1640" customFormat="false" ht="18" hidden="false" customHeight="true" outlineLevel="0" collapsed="false">
      <c r="A1640" s="9" t="s">
        <v>26</v>
      </c>
      <c r="B1640" s="9" t="n">
        <v>24</v>
      </c>
      <c r="C1640" s="11" t="n">
        <v>45949</v>
      </c>
      <c r="D1640" s="9" t="s">
        <v>141</v>
      </c>
      <c r="E1640" s="12" t="n">
        <v>7</v>
      </c>
      <c r="F1640" s="9" t="s">
        <v>28</v>
      </c>
      <c r="G1640" s="13" t="n">
        <v>150</v>
      </c>
      <c r="H1640" s="9" t="s">
        <v>41</v>
      </c>
      <c r="I1640" s="13" t="n">
        <v>0</v>
      </c>
      <c r="J1640" s="1" t="str">
        <f aca="false">IF(A1640="","", "SAMP-"&amp;A1640&amp;"-L"&amp;TEXT(B1640,"00")&amp;"-"&amp;TEXT(C1640,"yyyymmdd")&amp;"-"&amp;D1640&amp;"-H"&amp;TEXT(E1640,"00")&amp;"-"&amp;H1640)</f>
        <v>SAMP-KG01-L24-20251019-ORD-2025-00252-H07-Chip</v>
      </c>
      <c r="K1640" s="1" t="str">
        <f aca="false">IF(A1640="","",IF(AND(G1640&gt;=0,I1640&gt;=0,I1640&lt;=G1640),"OK","CHECK"))</f>
        <v>OK</v>
      </c>
      <c r="L1640" s="1" t="str">
        <f aca="false">IF(A1640="","",IF(AND(E1640&gt;=0,E1640&lt;=23),"OK","CHECK"))</f>
        <v>OK</v>
      </c>
      <c r="M1640" s="1" t="str">
        <f aca="false">IF(A1640="","",IF(AND(K1640="OK",L1640="OK"),"OK","CHECK"))</f>
        <v>OK</v>
      </c>
    </row>
    <row r="1641" customFormat="false" ht="18" hidden="false" customHeight="true" outlineLevel="0" collapsed="false">
      <c r="A1641" s="9" t="s">
        <v>26</v>
      </c>
      <c r="B1641" s="9" t="n">
        <v>24</v>
      </c>
      <c r="C1641" s="11" t="n">
        <v>45949</v>
      </c>
      <c r="D1641" s="9" t="s">
        <v>141</v>
      </c>
      <c r="E1641" s="12" t="n">
        <v>20</v>
      </c>
      <c r="F1641" s="9" t="s">
        <v>31</v>
      </c>
      <c r="G1641" s="13" t="n">
        <v>100</v>
      </c>
      <c r="H1641" s="9" t="s">
        <v>38</v>
      </c>
      <c r="I1641" s="13" t="n">
        <v>0</v>
      </c>
      <c r="J1641" s="1" t="str">
        <f aca="false">IF(A1641="","", "SAMP-"&amp;A1641&amp;"-L"&amp;TEXT(B1641,"00")&amp;"-"&amp;TEXT(C1641,"yyyymmdd")&amp;"-"&amp;D1641&amp;"-H"&amp;TEXT(E1641,"00")&amp;"-"&amp;H1641)</f>
        <v>SAMP-KG01-L24-20251019-ORD-2025-00252-H20-Crack</v>
      </c>
      <c r="K1641" s="1" t="str">
        <f aca="false">IF(A1641="","",IF(AND(G1641&gt;=0,I1641&gt;=0,I1641&lt;=G1641),"OK","CHECK"))</f>
        <v>OK</v>
      </c>
      <c r="L1641" s="1" t="str">
        <f aca="false">IF(A1641="","",IF(AND(E1641&gt;=0,E1641&lt;=23),"OK","CHECK"))</f>
        <v>OK</v>
      </c>
      <c r="M1641" s="1" t="str">
        <f aca="false">IF(A1641="","",IF(AND(K1641="OK",L1641="OK"),"OK","CHECK"))</f>
        <v>OK</v>
      </c>
    </row>
    <row r="1642" customFormat="false" ht="18" hidden="false" customHeight="true" outlineLevel="0" collapsed="false">
      <c r="A1642" s="9" t="s">
        <v>26</v>
      </c>
      <c r="B1642" s="9" t="n">
        <v>24</v>
      </c>
      <c r="C1642" s="11" t="n">
        <v>45949</v>
      </c>
      <c r="D1642" s="9" t="s">
        <v>141</v>
      </c>
      <c r="E1642" s="12" t="n">
        <v>16</v>
      </c>
      <c r="F1642" s="9" t="s">
        <v>31</v>
      </c>
      <c r="G1642" s="13" t="n">
        <v>100</v>
      </c>
      <c r="H1642" s="9" t="s">
        <v>29</v>
      </c>
      <c r="I1642" s="13" t="n">
        <v>3</v>
      </c>
      <c r="J1642" s="1" t="str">
        <f aca="false">IF(A1642="","", "SAMP-"&amp;A1642&amp;"-L"&amp;TEXT(B1642,"00")&amp;"-"&amp;TEXT(C1642,"yyyymmdd")&amp;"-"&amp;D1642&amp;"-H"&amp;TEXT(E1642,"00")&amp;"-"&amp;H1642)</f>
        <v>SAMP-KG01-L24-20251019-ORD-2025-00252-H16-Choke Neck</v>
      </c>
      <c r="K1642" s="1" t="str">
        <f aca="false">IF(A1642="","",IF(AND(G1642&gt;=0,I1642&gt;=0,I1642&lt;=G1642),"OK","CHECK"))</f>
        <v>OK</v>
      </c>
      <c r="L1642" s="1" t="str">
        <f aca="false">IF(A1642="","",IF(AND(E1642&gt;=0,E1642&lt;=23),"OK","CHECK"))</f>
        <v>OK</v>
      </c>
      <c r="M1642" s="1" t="str">
        <f aca="false">IF(A1642="","",IF(AND(K1642="OK",L1642="OK"),"OK","CHECK"))</f>
        <v>OK</v>
      </c>
    </row>
    <row r="1643" customFormat="false" ht="18" hidden="false" customHeight="true" outlineLevel="0" collapsed="false">
      <c r="A1643" s="9" t="s">
        <v>26</v>
      </c>
      <c r="B1643" s="9" t="n">
        <v>24</v>
      </c>
      <c r="C1643" s="11" t="n">
        <v>45949</v>
      </c>
      <c r="D1643" s="9" t="s">
        <v>141</v>
      </c>
      <c r="E1643" s="12" t="n">
        <v>23</v>
      </c>
      <c r="F1643" s="9" t="s">
        <v>31</v>
      </c>
      <c r="G1643" s="13" t="n">
        <v>150</v>
      </c>
      <c r="H1643" s="9" t="s">
        <v>41</v>
      </c>
      <c r="I1643" s="13" t="n">
        <v>3</v>
      </c>
      <c r="J1643" s="1" t="str">
        <f aca="false">IF(A1643="","", "SAMP-"&amp;A1643&amp;"-L"&amp;TEXT(B1643,"00")&amp;"-"&amp;TEXT(C1643,"yyyymmdd")&amp;"-"&amp;D1643&amp;"-H"&amp;TEXT(E1643,"00")&amp;"-"&amp;H1643)</f>
        <v>SAMP-KG01-L24-20251019-ORD-2025-00252-H23-Chip</v>
      </c>
      <c r="K1643" s="1" t="str">
        <f aca="false">IF(A1643="","",IF(AND(G1643&gt;=0,I1643&gt;=0,I1643&lt;=G1643),"OK","CHECK"))</f>
        <v>OK</v>
      </c>
      <c r="L1643" s="1" t="str">
        <f aca="false">IF(A1643="","",IF(AND(E1643&gt;=0,E1643&lt;=23),"OK","CHECK"))</f>
        <v>OK</v>
      </c>
      <c r="M1643" s="1" t="str">
        <f aca="false">IF(A1643="","",IF(AND(K1643="OK",L1643="OK"),"OK","CHECK"))</f>
        <v>OK</v>
      </c>
    </row>
    <row r="1644" customFormat="false" ht="18" hidden="false" customHeight="true" outlineLevel="0" collapsed="false">
      <c r="A1644" s="9" t="s">
        <v>26</v>
      </c>
      <c r="B1644" s="9" t="n">
        <v>24</v>
      </c>
      <c r="C1644" s="11" t="n">
        <v>45957</v>
      </c>
      <c r="D1644" s="9" t="s">
        <v>142</v>
      </c>
      <c r="E1644" s="12" t="n">
        <v>12</v>
      </c>
      <c r="F1644" s="9" t="s">
        <v>28</v>
      </c>
      <c r="G1644" s="13" t="n">
        <v>150</v>
      </c>
      <c r="H1644" s="9" t="s">
        <v>41</v>
      </c>
      <c r="I1644" s="13" t="n">
        <v>0</v>
      </c>
      <c r="J1644" s="1" t="str">
        <f aca="false">IF(A1644="","", "SAMP-"&amp;A1644&amp;"-L"&amp;TEXT(B1644,"00")&amp;"-"&amp;TEXT(C1644,"yyyymmdd")&amp;"-"&amp;D1644&amp;"-H"&amp;TEXT(E1644,"00")&amp;"-"&amp;H1644)</f>
        <v>SAMP-KG01-L24-20251027-ORD-2025-00253-H12-Chip</v>
      </c>
      <c r="K1644" s="1" t="str">
        <f aca="false">IF(A1644="","",IF(AND(G1644&gt;=0,I1644&gt;=0,I1644&lt;=G1644),"OK","CHECK"))</f>
        <v>OK</v>
      </c>
      <c r="L1644" s="1" t="str">
        <f aca="false">IF(A1644="","",IF(AND(E1644&gt;=0,E1644&lt;=23),"OK","CHECK"))</f>
        <v>OK</v>
      </c>
      <c r="M1644" s="1" t="str">
        <f aca="false">IF(A1644="","",IF(AND(K1644="OK",L1644="OK"),"OK","CHECK"))</f>
        <v>OK</v>
      </c>
    </row>
    <row r="1645" customFormat="false" ht="18" hidden="false" customHeight="true" outlineLevel="0" collapsed="false">
      <c r="A1645" s="9" t="s">
        <v>26</v>
      </c>
      <c r="B1645" s="9" t="n">
        <v>24</v>
      </c>
      <c r="C1645" s="11" t="n">
        <v>45957</v>
      </c>
      <c r="D1645" s="9" t="s">
        <v>142</v>
      </c>
      <c r="E1645" s="12" t="n">
        <v>9</v>
      </c>
      <c r="F1645" s="9" t="s">
        <v>28</v>
      </c>
      <c r="G1645" s="13" t="n">
        <v>100</v>
      </c>
      <c r="H1645" s="9" t="s">
        <v>29</v>
      </c>
      <c r="I1645" s="13" t="n">
        <v>0</v>
      </c>
      <c r="J1645" s="1" t="str">
        <f aca="false">IF(A1645="","", "SAMP-"&amp;A1645&amp;"-L"&amp;TEXT(B1645,"00")&amp;"-"&amp;TEXT(C1645,"yyyymmdd")&amp;"-"&amp;D1645&amp;"-H"&amp;TEXT(E1645,"00")&amp;"-"&amp;H1645)</f>
        <v>SAMP-KG01-L24-20251027-ORD-2025-00253-H09-Choke Neck</v>
      </c>
      <c r="K1645" s="1" t="str">
        <f aca="false">IF(A1645="","",IF(AND(G1645&gt;=0,I1645&gt;=0,I1645&lt;=G1645),"OK","CHECK"))</f>
        <v>OK</v>
      </c>
      <c r="L1645" s="1" t="str">
        <f aca="false">IF(A1645="","",IF(AND(E1645&gt;=0,E1645&lt;=23),"OK","CHECK"))</f>
        <v>OK</v>
      </c>
      <c r="M1645" s="1" t="str">
        <f aca="false">IF(A1645="","",IF(AND(K1645="OK",L1645="OK"),"OK","CHECK"))</f>
        <v>OK</v>
      </c>
    </row>
    <row r="1646" customFormat="false" ht="18" hidden="false" customHeight="true" outlineLevel="0" collapsed="false">
      <c r="A1646" s="9" t="s">
        <v>26</v>
      </c>
      <c r="B1646" s="9" t="n">
        <v>24</v>
      </c>
      <c r="C1646" s="11" t="n">
        <v>45957</v>
      </c>
      <c r="D1646" s="9" t="s">
        <v>142</v>
      </c>
      <c r="E1646" s="12" t="n">
        <v>7</v>
      </c>
      <c r="F1646" s="9" t="s">
        <v>28</v>
      </c>
      <c r="G1646" s="13" t="n">
        <v>50</v>
      </c>
      <c r="H1646" s="9" t="s">
        <v>35</v>
      </c>
      <c r="I1646" s="13" t="n">
        <v>1</v>
      </c>
      <c r="J1646" s="1" t="str">
        <f aca="false">IF(A1646="","", "SAMP-"&amp;A1646&amp;"-L"&amp;TEXT(B1646,"00")&amp;"-"&amp;TEXT(C1646,"yyyymmdd")&amp;"-"&amp;D1646&amp;"-H"&amp;TEXT(E1646,"00")&amp;"-"&amp;H1646)</f>
        <v>SAMP-KG01-L24-20251027-ORD-2025-00253-H07-Stone</v>
      </c>
      <c r="K1646" s="1" t="str">
        <f aca="false">IF(A1646="","",IF(AND(G1646&gt;=0,I1646&gt;=0,I1646&lt;=G1646),"OK","CHECK"))</f>
        <v>OK</v>
      </c>
      <c r="L1646" s="1" t="str">
        <f aca="false">IF(A1646="","",IF(AND(E1646&gt;=0,E1646&lt;=23),"OK","CHECK"))</f>
        <v>OK</v>
      </c>
      <c r="M1646" s="1" t="str">
        <f aca="false">IF(A1646="","",IF(AND(K1646="OK",L1646="OK"),"OK","CHECK"))</f>
        <v>OK</v>
      </c>
    </row>
    <row r="1647" customFormat="false" ht="18" hidden="false" customHeight="true" outlineLevel="0" collapsed="false">
      <c r="A1647" s="9" t="s">
        <v>26</v>
      </c>
      <c r="B1647" s="9" t="n">
        <v>24</v>
      </c>
      <c r="C1647" s="11" t="n">
        <v>45957</v>
      </c>
      <c r="D1647" s="9" t="s">
        <v>142</v>
      </c>
      <c r="E1647" s="12" t="n">
        <v>20</v>
      </c>
      <c r="F1647" s="9" t="s">
        <v>31</v>
      </c>
      <c r="G1647" s="13" t="n">
        <v>100</v>
      </c>
      <c r="H1647" s="9" t="s">
        <v>41</v>
      </c>
      <c r="I1647" s="13" t="n">
        <v>4</v>
      </c>
      <c r="J1647" s="1" t="str">
        <f aca="false">IF(A1647="","", "SAMP-"&amp;A1647&amp;"-L"&amp;TEXT(B1647,"00")&amp;"-"&amp;TEXT(C1647,"yyyymmdd")&amp;"-"&amp;D1647&amp;"-H"&amp;TEXT(E1647,"00")&amp;"-"&amp;H1647)</f>
        <v>SAMP-KG01-L24-20251027-ORD-2025-00253-H20-Chip</v>
      </c>
      <c r="K1647" s="1" t="str">
        <f aca="false">IF(A1647="","",IF(AND(G1647&gt;=0,I1647&gt;=0,I1647&lt;=G1647),"OK","CHECK"))</f>
        <v>OK</v>
      </c>
      <c r="L1647" s="1" t="str">
        <f aca="false">IF(A1647="","",IF(AND(E1647&gt;=0,E1647&lt;=23),"OK","CHECK"))</f>
        <v>OK</v>
      </c>
      <c r="M1647" s="1" t="str">
        <f aca="false">IF(A1647="","",IF(AND(K1647="OK",L1647="OK"),"OK","CHECK"))</f>
        <v>OK</v>
      </c>
    </row>
    <row r="1648" customFormat="false" ht="18" hidden="false" customHeight="true" outlineLevel="0" collapsed="false">
      <c r="A1648" s="9" t="s">
        <v>26</v>
      </c>
      <c r="B1648" s="9" t="n">
        <v>24</v>
      </c>
      <c r="C1648" s="11" t="n">
        <v>45957</v>
      </c>
      <c r="D1648" s="9" t="s">
        <v>142</v>
      </c>
      <c r="E1648" s="12" t="n">
        <v>16</v>
      </c>
      <c r="F1648" s="9" t="s">
        <v>31</v>
      </c>
      <c r="G1648" s="13" t="n">
        <v>100</v>
      </c>
      <c r="H1648" s="9" t="s">
        <v>38</v>
      </c>
      <c r="I1648" s="13" t="n">
        <v>0</v>
      </c>
      <c r="J1648" s="1" t="str">
        <f aca="false">IF(A1648="","", "SAMP-"&amp;A1648&amp;"-L"&amp;TEXT(B1648,"00")&amp;"-"&amp;TEXT(C1648,"yyyymmdd")&amp;"-"&amp;D1648&amp;"-H"&amp;TEXT(E1648,"00")&amp;"-"&amp;H1648)</f>
        <v>SAMP-KG01-L24-20251027-ORD-2025-00253-H16-Crack</v>
      </c>
      <c r="K1648" s="1" t="str">
        <f aca="false">IF(A1648="","",IF(AND(G1648&gt;=0,I1648&gt;=0,I1648&lt;=G1648),"OK","CHECK"))</f>
        <v>OK</v>
      </c>
      <c r="L1648" s="1" t="str">
        <f aca="false">IF(A1648="","",IF(AND(E1648&gt;=0,E1648&lt;=23),"OK","CHECK"))</f>
        <v>OK</v>
      </c>
      <c r="M1648" s="1" t="str">
        <f aca="false">IF(A1648="","",IF(AND(K1648="OK",L1648="OK"),"OK","CHECK"))</f>
        <v>OK</v>
      </c>
    </row>
    <row r="1649" customFormat="false" ht="18" hidden="false" customHeight="true" outlineLevel="0" collapsed="false">
      <c r="A1649" s="9" t="s">
        <v>26</v>
      </c>
      <c r="B1649" s="9" t="n">
        <v>24</v>
      </c>
      <c r="C1649" s="11" t="n">
        <v>45957</v>
      </c>
      <c r="D1649" s="9" t="s">
        <v>142</v>
      </c>
      <c r="E1649" s="12" t="n">
        <v>23</v>
      </c>
      <c r="F1649" s="9" t="s">
        <v>31</v>
      </c>
      <c r="G1649" s="13" t="n">
        <v>200</v>
      </c>
      <c r="H1649" s="9" t="s">
        <v>29</v>
      </c>
      <c r="I1649" s="13" t="n">
        <v>7</v>
      </c>
      <c r="J1649" s="1" t="str">
        <f aca="false">IF(A1649="","", "SAMP-"&amp;A1649&amp;"-L"&amp;TEXT(B1649,"00")&amp;"-"&amp;TEXT(C1649,"yyyymmdd")&amp;"-"&amp;D1649&amp;"-H"&amp;TEXT(E1649,"00")&amp;"-"&amp;H1649)</f>
        <v>SAMP-KG01-L24-20251027-ORD-2025-00253-H23-Choke Neck</v>
      </c>
      <c r="K1649" s="1" t="str">
        <f aca="false">IF(A1649="","",IF(AND(G1649&gt;=0,I1649&gt;=0,I1649&lt;=G1649),"OK","CHECK"))</f>
        <v>OK</v>
      </c>
      <c r="L1649" s="1" t="str">
        <f aca="false">IF(A1649="","",IF(AND(E1649&gt;=0,E1649&lt;=23),"OK","CHECK"))</f>
        <v>OK</v>
      </c>
      <c r="M1649" s="1" t="str">
        <f aca="false">IF(A1649="","",IF(AND(K1649="OK",L1649="OK"),"OK","CHECK"))</f>
        <v>OK</v>
      </c>
    </row>
    <row r="1650" customFormat="false" ht="18" hidden="false" customHeight="true" outlineLevel="0" collapsed="false">
      <c r="A1650" s="9" t="s">
        <v>26</v>
      </c>
      <c r="B1650" s="9" t="n">
        <v>24</v>
      </c>
      <c r="C1650" s="11" t="n">
        <v>45958</v>
      </c>
      <c r="D1650" s="9" t="s">
        <v>142</v>
      </c>
      <c r="E1650" s="12" t="n">
        <v>12</v>
      </c>
      <c r="F1650" s="9" t="s">
        <v>28</v>
      </c>
      <c r="G1650" s="13" t="n">
        <v>200</v>
      </c>
      <c r="H1650" s="9" t="s">
        <v>29</v>
      </c>
      <c r="I1650" s="13" t="n">
        <v>3</v>
      </c>
      <c r="J1650" s="1" t="str">
        <f aca="false">IF(A1650="","", "SAMP-"&amp;A1650&amp;"-L"&amp;TEXT(B1650,"00")&amp;"-"&amp;TEXT(C1650,"yyyymmdd")&amp;"-"&amp;D1650&amp;"-H"&amp;TEXT(E1650,"00")&amp;"-"&amp;H1650)</f>
        <v>SAMP-KG01-L24-20251028-ORD-2025-00253-H12-Choke Neck</v>
      </c>
      <c r="K1650" s="1" t="str">
        <f aca="false">IF(A1650="","",IF(AND(G1650&gt;=0,I1650&gt;=0,I1650&lt;=G1650),"OK","CHECK"))</f>
        <v>OK</v>
      </c>
      <c r="L1650" s="1" t="str">
        <f aca="false">IF(A1650="","",IF(AND(E1650&gt;=0,E1650&lt;=23),"OK","CHECK"))</f>
        <v>OK</v>
      </c>
      <c r="M1650" s="1" t="str">
        <f aca="false">IF(A1650="","",IF(AND(K1650="OK",L1650="OK"),"OK","CHECK"))</f>
        <v>OK</v>
      </c>
    </row>
    <row r="1651" customFormat="false" ht="18" hidden="false" customHeight="true" outlineLevel="0" collapsed="false">
      <c r="A1651" s="9" t="s">
        <v>26</v>
      </c>
      <c r="B1651" s="9" t="n">
        <v>24</v>
      </c>
      <c r="C1651" s="11" t="n">
        <v>45958</v>
      </c>
      <c r="D1651" s="9" t="s">
        <v>142</v>
      </c>
      <c r="E1651" s="12" t="n">
        <v>7</v>
      </c>
      <c r="F1651" s="9" t="s">
        <v>28</v>
      </c>
      <c r="G1651" s="13" t="n">
        <v>100</v>
      </c>
      <c r="H1651" s="9" t="s">
        <v>41</v>
      </c>
      <c r="I1651" s="13" t="n">
        <v>2</v>
      </c>
      <c r="J1651" s="1" t="str">
        <f aca="false">IF(A1651="","", "SAMP-"&amp;A1651&amp;"-L"&amp;TEXT(B1651,"00")&amp;"-"&amp;TEXT(C1651,"yyyymmdd")&amp;"-"&amp;D1651&amp;"-H"&amp;TEXT(E1651,"00")&amp;"-"&amp;H1651)</f>
        <v>SAMP-KG01-L24-20251028-ORD-2025-00253-H07-Chip</v>
      </c>
      <c r="K1651" s="1" t="str">
        <f aca="false">IF(A1651="","",IF(AND(G1651&gt;=0,I1651&gt;=0,I1651&lt;=G1651),"OK","CHECK"))</f>
        <v>OK</v>
      </c>
      <c r="L1651" s="1" t="str">
        <f aca="false">IF(A1651="","",IF(AND(E1651&gt;=0,E1651&lt;=23),"OK","CHECK"))</f>
        <v>OK</v>
      </c>
      <c r="M1651" s="1" t="str">
        <f aca="false">IF(A1651="","",IF(AND(K1651="OK",L1651="OK"),"OK","CHECK"))</f>
        <v>OK</v>
      </c>
    </row>
    <row r="1652" customFormat="false" ht="18" hidden="false" customHeight="true" outlineLevel="0" collapsed="false">
      <c r="A1652" s="9" t="s">
        <v>26</v>
      </c>
      <c r="B1652" s="9" t="n">
        <v>24</v>
      </c>
      <c r="C1652" s="11" t="n">
        <v>45958</v>
      </c>
      <c r="D1652" s="9" t="s">
        <v>142</v>
      </c>
      <c r="E1652" s="12" t="n">
        <v>23</v>
      </c>
      <c r="F1652" s="9" t="s">
        <v>31</v>
      </c>
      <c r="G1652" s="13" t="n">
        <v>100</v>
      </c>
      <c r="H1652" s="9" t="s">
        <v>30</v>
      </c>
      <c r="I1652" s="13" t="n">
        <v>2</v>
      </c>
      <c r="J1652" s="1" t="str">
        <f aca="false">IF(A1652="","", "SAMP-"&amp;A1652&amp;"-L"&amp;TEXT(B1652,"00")&amp;"-"&amp;TEXT(C1652,"yyyymmdd")&amp;"-"&amp;D1652&amp;"-H"&amp;TEXT(E1652,"00")&amp;"-"&amp;H1652)</f>
        <v>SAMP-KG01-L24-20251028-ORD-2025-00253-H23-Overpress</v>
      </c>
      <c r="K1652" s="1" t="str">
        <f aca="false">IF(A1652="","",IF(AND(G1652&gt;=0,I1652&gt;=0,I1652&lt;=G1652),"OK","CHECK"))</f>
        <v>OK</v>
      </c>
      <c r="L1652" s="1" t="str">
        <f aca="false">IF(A1652="","",IF(AND(E1652&gt;=0,E1652&lt;=23),"OK","CHECK"))</f>
        <v>OK</v>
      </c>
      <c r="M1652" s="1" t="str">
        <f aca="false">IF(A1652="","",IF(AND(K1652="OK",L1652="OK"),"OK","CHECK"))</f>
        <v>OK</v>
      </c>
    </row>
    <row r="1653" customFormat="false" ht="18" hidden="false" customHeight="true" outlineLevel="0" collapsed="false">
      <c r="A1653" s="9" t="s">
        <v>26</v>
      </c>
      <c r="B1653" s="9" t="n">
        <v>24</v>
      </c>
      <c r="C1653" s="11" t="n">
        <v>45958</v>
      </c>
      <c r="D1653" s="9" t="s">
        <v>142</v>
      </c>
      <c r="E1653" s="12" t="n">
        <v>20</v>
      </c>
      <c r="F1653" s="9" t="s">
        <v>31</v>
      </c>
      <c r="G1653" s="13" t="n">
        <v>150</v>
      </c>
      <c r="H1653" s="9" t="s">
        <v>29</v>
      </c>
      <c r="I1653" s="13" t="n">
        <v>3</v>
      </c>
      <c r="J1653" s="1" t="str">
        <f aca="false">IF(A1653="","", "SAMP-"&amp;A1653&amp;"-L"&amp;TEXT(B1653,"00")&amp;"-"&amp;TEXT(C1653,"yyyymmdd")&amp;"-"&amp;D1653&amp;"-H"&amp;TEXT(E1653,"00")&amp;"-"&amp;H1653)</f>
        <v>SAMP-KG01-L24-20251028-ORD-2025-00253-H20-Choke Neck</v>
      </c>
      <c r="K1653" s="1" t="str">
        <f aca="false">IF(A1653="","",IF(AND(G1653&gt;=0,I1653&gt;=0,I1653&lt;=G1653),"OK","CHECK"))</f>
        <v>OK</v>
      </c>
      <c r="L1653" s="1" t="str">
        <f aca="false">IF(A1653="","",IF(AND(E1653&gt;=0,E1653&lt;=23),"OK","CHECK"))</f>
        <v>OK</v>
      </c>
      <c r="M1653" s="1" t="str">
        <f aca="false">IF(A1653="","",IF(AND(K1653="OK",L1653="OK"),"OK","CHECK"))</f>
        <v>OK</v>
      </c>
    </row>
    <row r="1654" customFormat="false" ht="18" hidden="false" customHeight="true" outlineLevel="0" collapsed="false">
      <c r="A1654" s="9" t="s">
        <v>26</v>
      </c>
      <c r="B1654" s="9" t="n">
        <v>24</v>
      </c>
      <c r="C1654" s="11" t="n">
        <v>45958</v>
      </c>
      <c r="D1654" s="9" t="s">
        <v>142</v>
      </c>
      <c r="E1654" s="12" t="n">
        <v>16</v>
      </c>
      <c r="F1654" s="9" t="s">
        <v>31</v>
      </c>
      <c r="G1654" s="13" t="n">
        <v>150</v>
      </c>
      <c r="H1654" s="9" t="s">
        <v>37</v>
      </c>
      <c r="I1654" s="13" t="n">
        <v>6</v>
      </c>
      <c r="J1654" s="1" t="str">
        <f aca="false">IF(A1654="","", "SAMP-"&amp;A1654&amp;"-L"&amp;TEXT(B1654,"00")&amp;"-"&amp;TEXT(C1654,"yyyymmdd")&amp;"-"&amp;D1654&amp;"-H"&amp;TEXT(E1654,"00")&amp;"-"&amp;H1654)</f>
        <v>SAMP-KG01-L24-20251028-ORD-2025-00253-H16-Bird Swing</v>
      </c>
      <c r="K1654" s="1" t="str">
        <f aca="false">IF(A1654="","",IF(AND(G1654&gt;=0,I1654&gt;=0,I1654&lt;=G1654),"OK","CHECK"))</f>
        <v>OK</v>
      </c>
      <c r="L1654" s="1" t="str">
        <f aca="false">IF(A1654="","",IF(AND(E1654&gt;=0,E1654&lt;=23),"OK","CHECK"))</f>
        <v>OK</v>
      </c>
      <c r="M1654" s="1" t="str">
        <f aca="false">IF(A1654="","",IF(AND(K1654="OK",L1654="OK"),"OK","CHECK"))</f>
        <v>OK</v>
      </c>
    </row>
    <row r="1655" customFormat="false" ht="18" hidden="false" customHeight="true" outlineLevel="0" collapsed="false">
      <c r="A1655" s="9" t="s">
        <v>26</v>
      </c>
      <c r="B1655" s="9" t="n">
        <v>24</v>
      </c>
      <c r="C1655" s="11" t="n">
        <v>45959</v>
      </c>
      <c r="D1655" s="9" t="s">
        <v>142</v>
      </c>
      <c r="E1655" s="12" t="n">
        <v>12</v>
      </c>
      <c r="F1655" s="9" t="s">
        <v>28</v>
      </c>
      <c r="G1655" s="13" t="n">
        <v>100</v>
      </c>
      <c r="H1655" s="9" t="s">
        <v>38</v>
      </c>
      <c r="I1655" s="13" t="n">
        <v>1</v>
      </c>
      <c r="J1655" s="1" t="str">
        <f aca="false">IF(A1655="","", "SAMP-"&amp;A1655&amp;"-L"&amp;TEXT(B1655,"00")&amp;"-"&amp;TEXT(C1655,"yyyymmdd")&amp;"-"&amp;D1655&amp;"-H"&amp;TEXT(E1655,"00")&amp;"-"&amp;H1655)</f>
        <v>SAMP-KG01-L24-20251029-ORD-2025-00253-H12-Crack</v>
      </c>
      <c r="K1655" s="1" t="str">
        <f aca="false">IF(A1655="","",IF(AND(G1655&gt;=0,I1655&gt;=0,I1655&lt;=G1655),"OK","CHECK"))</f>
        <v>OK</v>
      </c>
      <c r="L1655" s="1" t="str">
        <f aca="false">IF(A1655="","",IF(AND(E1655&gt;=0,E1655&lt;=23),"OK","CHECK"))</f>
        <v>OK</v>
      </c>
      <c r="M1655" s="1" t="str">
        <f aca="false">IF(A1655="","",IF(AND(K1655="OK",L1655="OK"),"OK","CHECK"))</f>
        <v>OK</v>
      </c>
    </row>
    <row r="1656" customFormat="false" ht="18" hidden="false" customHeight="true" outlineLevel="0" collapsed="false">
      <c r="A1656" s="9" t="s">
        <v>26</v>
      </c>
      <c r="B1656" s="9" t="n">
        <v>24</v>
      </c>
      <c r="C1656" s="11" t="n">
        <v>45959</v>
      </c>
      <c r="D1656" s="9" t="s">
        <v>142</v>
      </c>
      <c r="E1656" s="12" t="n">
        <v>7</v>
      </c>
      <c r="F1656" s="9" t="s">
        <v>28</v>
      </c>
      <c r="G1656" s="13" t="n">
        <v>200</v>
      </c>
      <c r="H1656" s="9" t="s">
        <v>30</v>
      </c>
      <c r="I1656" s="13" t="n">
        <v>3</v>
      </c>
      <c r="J1656" s="1" t="str">
        <f aca="false">IF(A1656="","", "SAMP-"&amp;A1656&amp;"-L"&amp;TEXT(B1656,"00")&amp;"-"&amp;TEXT(C1656,"yyyymmdd")&amp;"-"&amp;D1656&amp;"-H"&amp;TEXT(E1656,"00")&amp;"-"&amp;H1656)</f>
        <v>SAMP-KG01-L24-20251029-ORD-2025-00253-H07-Overpress</v>
      </c>
      <c r="K1656" s="1" t="str">
        <f aca="false">IF(A1656="","",IF(AND(G1656&gt;=0,I1656&gt;=0,I1656&lt;=G1656),"OK","CHECK"))</f>
        <v>OK</v>
      </c>
      <c r="L1656" s="1" t="str">
        <f aca="false">IF(A1656="","",IF(AND(E1656&gt;=0,E1656&lt;=23),"OK","CHECK"))</f>
        <v>OK</v>
      </c>
      <c r="M1656" s="1" t="str">
        <f aca="false">IF(A1656="","",IF(AND(K1656="OK",L1656="OK"),"OK","CHECK"))</f>
        <v>OK</v>
      </c>
    </row>
    <row r="1657" customFormat="false" ht="18" hidden="false" customHeight="true" outlineLevel="0" collapsed="false">
      <c r="A1657" s="9" t="s">
        <v>26</v>
      </c>
      <c r="B1657" s="9" t="n">
        <v>24</v>
      </c>
      <c r="C1657" s="11" t="n">
        <v>45959</v>
      </c>
      <c r="D1657" s="9" t="s">
        <v>142</v>
      </c>
      <c r="E1657" s="12" t="n">
        <v>9</v>
      </c>
      <c r="F1657" s="9" t="s">
        <v>28</v>
      </c>
      <c r="G1657" s="13" t="n">
        <v>150</v>
      </c>
      <c r="H1657" s="9" t="s">
        <v>37</v>
      </c>
      <c r="I1657" s="13" t="n">
        <v>3</v>
      </c>
      <c r="J1657" s="1" t="str">
        <f aca="false">IF(A1657="","", "SAMP-"&amp;A1657&amp;"-L"&amp;TEXT(B1657,"00")&amp;"-"&amp;TEXT(C1657,"yyyymmdd")&amp;"-"&amp;D1657&amp;"-H"&amp;TEXT(E1657,"00")&amp;"-"&amp;H1657)</f>
        <v>SAMP-KG01-L24-20251029-ORD-2025-00253-H09-Bird Swing</v>
      </c>
      <c r="K1657" s="1" t="str">
        <f aca="false">IF(A1657="","",IF(AND(G1657&gt;=0,I1657&gt;=0,I1657&lt;=G1657),"OK","CHECK"))</f>
        <v>OK</v>
      </c>
      <c r="L1657" s="1" t="str">
        <f aca="false">IF(A1657="","",IF(AND(E1657&gt;=0,E1657&lt;=23),"OK","CHECK"))</f>
        <v>OK</v>
      </c>
      <c r="M1657" s="1" t="str">
        <f aca="false">IF(A1657="","",IF(AND(K1657="OK",L1657="OK"),"OK","CHECK"))</f>
        <v>OK</v>
      </c>
    </row>
    <row r="1658" customFormat="false" ht="18" hidden="false" customHeight="true" outlineLevel="0" collapsed="false">
      <c r="A1658" s="9" t="s">
        <v>26</v>
      </c>
      <c r="B1658" s="9" t="n">
        <v>24</v>
      </c>
      <c r="C1658" s="11" t="n">
        <v>45959</v>
      </c>
      <c r="D1658" s="9" t="s">
        <v>142</v>
      </c>
      <c r="E1658" s="12" t="n">
        <v>23</v>
      </c>
      <c r="F1658" s="9" t="s">
        <v>31</v>
      </c>
      <c r="G1658" s="13" t="n">
        <v>200</v>
      </c>
      <c r="H1658" s="9" t="s">
        <v>41</v>
      </c>
      <c r="I1658" s="13" t="n">
        <v>4</v>
      </c>
      <c r="J1658" s="1" t="str">
        <f aca="false">IF(A1658="","", "SAMP-"&amp;A1658&amp;"-L"&amp;TEXT(B1658,"00")&amp;"-"&amp;TEXT(C1658,"yyyymmdd")&amp;"-"&amp;D1658&amp;"-H"&amp;TEXT(E1658,"00")&amp;"-"&amp;H1658)</f>
        <v>SAMP-KG01-L24-20251029-ORD-2025-00253-H23-Chip</v>
      </c>
      <c r="K1658" s="1" t="str">
        <f aca="false">IF(A1658="","",IF(AND(G1658&gt;=0,I1658&gt;=0,I1658&lt;=G1658),"OK","CHECK"))</f>
        <v>OK</v>
      </c>
      <c r="L1658" s="1" t="str">
        <f aca="false">IF(A1658="","",IF(AND(E1658&gt;=0,E1658&lt;=23),"OK","CHECK"))</f>
        <v>OK</v>
      </c>
      <c r="M1658" s="1" t="str">
        <f aca="false">IF(A1658="","",IF(AND(K1658="OK",L1658="OK"),"OK","CHECK"))</f>
        <v>OK</v>
      </c>
    </row>
    <row r="1659" customFormat="false" ht="18" hidden="false" customHeight="true" outlineLevel="0" collapsed="false">
      <c r="A1659" s="9" t="s">
        <v>26</v>
      </c>
      <c r="B1659" s="9" t="n">
        <v>24</v>
      </c>
      <c r="C1659" s="11" t="n">
        <v>45959</v>
      </c>
      <c r="D1659" s="9" t="s">
        <v>142</v>
      </c>
      <c r="E1659" s="12" t="n">
        <v>20</v>
      </c>
      <c r="F1659" s="9" t="s">
        <v>31</v>
      </c>
      <c r="G1659" s="13" t="n">
        <v>200</v>
      </c>
      <c r="H1659" s="9" t="s">
        <v>34</v>
      </c>
      <c r="I1659" s="13" t="n">
        <v>1</v>
      </c>
      <c r="J1659" s="1" t="str">
        <f aca="false">IF(A1659="","", "SAMP-"&amp;A1659&amp;"-L"&amp;TEXT(B1659,"00")&amp;"-"&amp;TEXT(C1659,"yyyymmdd")&amp;"-"&amp;D1659&amp;"-H"&amp;TEXT(E1659,"00")&amp;"-"&amp;H1659)</f>
        <v>SAMP-KG01-L24-20251029-ORD-2025-00253-H20-Thin Wall</v>
      </c>
      <c r="K1659" s="1" t="str">
        <f aca="false">IF(A1659="","",IF(AND(G1659&gt;=0,I1659&gt;=0,I1659&lt;=G1659),"OK","CHECK"))</f>
        <v>OK</v>
      </c>
      <c r="L1659" s="1" t="str">
        <f aca="false">IF(A1659="","",IF(AND(E1659&gt;=0,E1659&lt;=23),"OK","CHECK"))</f>
        <v>OK</v>
      </c>
      <c r="M1659" s="1" t="str">
        <f aca="false">IF(A1659="","",IF(AND(K1659="OK",L1659="OK"),"OK","CHECK"))</f>
        <v>OK</v>
      </c>
    </row>
    <row r="1660" customFormat="false" ht="18" hidden="false" customHeight="true" outlineLevel="0" collapsed="false">
      <c r="A1660" s="9" t="s">
        <v>26</v>
      </c>
      <c r="B1660" s="9" t="n">
        <v>24</v>
      </c>
      <c r="C1660" s="11" t="n">
        <v>45959</v>
      </c>
      <c r="D1660" s="9" t="s">
        <v>142</v>
      </c>
      <c r="E1660" s="12" t="n">
        <v>16</v>
      </c>
      <c r="F1660" s="9" t="s">
        <v>31</v>
      </c>
      <c r="G1660" s="13" t="n">
        <v>100</v>
      </c>
      <c r="H1660" s="9" t="s">
        <v>33</v>
      </c>
      <c r="I1660" s="13" t="n">
        <v>1</v>
      </c>
      <c r="J1660" s="1" t="str">
        <f aca="false">IF(A1660="","", "SAMP-"&amp;A1660&amp;"-L"&amp;TEXT(B1660,"00")&amp;"-"&amp;TEXT(C1660,"yyyymmdd")&amp;"-"&amp;D1660&amp;"-H"&amp;TEXT(E1660,"00")&amp;"-"&amp;H1660)</f>
        <v>SAMP-KG01-L24-20251029-ORD-2025-00253-H16-Distortion</v>
      </c>
      <c r="K1660" s="1" t="str">
        <f aca="false">IF(A1660="","",IF(AND(G1660&gt;=0,I1660&gt;=0,I1660&lt;=G1660),"OK","CHECK"))</f>
        <v>OK</v>
      </c>
      <c r="L1660" s="1" t="str">
        <f aca="false">IF(A1660="","",IF(AND(E1660&gt;=0,E1660&lt;=23),"OK","CHECK"))</f>
        <v>OK</v>
      </c>
      <c r="M1660" s="1" t="str">
        <f aca="false">IF(A1660="","",IF(AND(K1660="OK",L1660="OK"),"OK","CHECK"))</f>
        <v>OK</v>
      </c>
    </row>
    <row r="1661" customFormat="false" ht="18" hidden="false" customHeight="true" outlineLevel="0" collapsed="false">
      <c r="A1661" s="9" t="s">
        <v>26</v>
      </c>
      <c r="B1661" s="9" t="n">
        <v>24</v>
      </c>
      <c r="C1661" s="11" t="n">
        <v>45960</v>
      </c>
      <c r="D1661" s="9" t="s">
        <v>143</v>
      </c>
      <c r="E1661" s="12" t="n">
        <v>7</v>
      </c>
      <c r="F1661" s="9" t="s">
        <v>28</v>
      </c>
      <c r="G1661" s="13" t="n">
        <v>150</v>
      </c>
      <c r="H1661" s="9" t="s">
        <v>36</v>
      </c>
      <c r="I1661" s="13" t="n">
        <v>4</v>
      </c>
      <c r="J1661" s="1" t="str">
        <f aca="false">IF(A1661="","", "SAMP-"&amp;A1661&amp;"-L"&amp;TEXT(B1661,"00")&amp;"-"&amp;TEXT(C1661,"yyyymmdd")&amp;"-"&amp;D1661&amp;"-H"&amp;TEXT(E1661,"00")&amp;"-"&amp;H1661)</f>
        <v>SAMP-KG01-L24-20251030-ORD-2025-00254-H07-Blister</v>
      </c>
      <c r="K1661" s="1" t="str">
        <f aca="false">IF(A1661="","",IF(AND(G1661&gt;=0,I1661&gt;=0,I1661&lt;=G1661),"OK","CHECK"))</f>
        <v>OK</v>
      </c>
      <c r="L1661" s="1" t="str">
        <f aca="false">IF(A1661="","",IF(AND(E1661&gt;=0,E1661&lt;=23),"OK","CHECK"))</f>
        <v>OK</v>
      </c>
      <c r="M1661" s="1" t="str">
        <f aca="false">IF(A1661="","",IF(AND(K1661="OK",L1661="OK"),"OK","CHECK"))</f>
        <v>OK</v>
      </c>
    </row>
    <row r="1662" customFormat="false" ht="18" hidden="false" customHeight="true" outlineLevel="0" collapsed="false">
      <c r="A1662" s="9" t="s">
        <v>26</v>
      </c>
      <c r="B1662" s="9" t="n">
        <v>24</v>
      </c>
      <c r="C1662" s="11" t="n">
        <v>45960</v>
      </c>
      <c r="D1662" s="9" t="s">
        <v>143</v>
      </c>
      <c r="E1662" s="12" t="n">
        <v>12</v>
      </c>
      <c r="F1662" s="9" t="s">
        <v>28</v>
      </c>
      <c r="G1662" s="13" t="n">
        <v>200</v>
      </c>
      <c r="H1662" s="9" t="s">
        <v>30</v>
      </c>
      <c r="I1662" s="13" t="n">
        <v>6</v>
      </c>
      <c r="J1662" s="1" t="str">
        <f aca="false">IF(A1662="","", "SAMP-"&amp;A1662&amp;"-L"&amp;TEXT(B1662,"00")&amp;"-"&amp;TEXT(C1662,"yyyymmdd")&amp;"-"&amp;D1662&amp;"-H"&amp;TEXT(E1662,"00")&amp;"-"&amp;H1662)</f>
        <v>SAMP-KG01-L24-20251030-ORD-2025-00254-H12-Overpress</v>
      </c>
      <c r="K1662" s="1" t="str">
        <f aca="false">IF(A1662="","",IF(AND(G1662&gt;=0,I1662&gt;=0,I1662&lt;=G1662),"OK","CHECK"))</f>
        <v>OK</v>
      </c>
      <c r="L1662" s="1" t="str">
        <f aca="false">IF(A1662="","",IF(AND(E1662&gt;=0,E1662&lt;=23),"OK","CHECK"))</f>
        <v>OK</v>
      </c>
      <c r="M1662" s="1" t="str">
        <f aca="false">IF(A1662="","",IF(AND(K1662="OK",L1662="OK"),"OK","CHECK"))</f>
        <v>OK</v>
      </c>
    </row>
    <row r="1663" customFormat="false" ht="18" hidden="false" customHeight="true" outlineLevel="0" collapsed="false">
      <c r="A1663" s="9" t="s">
        <v>26</v>
      </c>
      <c r="B1663" s="9" t="n">
        <v>24</v>
      </c>
      <c r="C1663" s="11" t="n">
        <v>45960</v>
      </c>
      <c r="D1663" s="9" t="s">
        <v>143</v>
      </c>
      <c r="E1663" s="12" t="n">
        <v>9</v>
      </c>
      <c r="F1663" s="9" t="s">
        <v>28</v>
      </c>
      <c r="G1663" s="13" t="n">
        <v>50</v>
      </c>
      <c r="H1663" s="9" t="s">
        <v>35</v>
      </c>
      <c r="I1663" s="13" t="n">
        <v>1</v>
      </c>
      <c r="J1663" s="1" t="str">
        <f aca="false">IF(A1663="","", "SAMP-"&amp;A1663&amp;"-L"&amp;TEXT(B1663,"00")&amp;"-"&amp;TEXT(C1663,"yyyymmdd")&amp;"-"&amp;D1663&amp;"-H"&amp;TEXT(E1663,"00")&amp;"-"&amp;H1663)</f>
        <v>SAMP-KG01-L24-20251030-ORD-2025-00254-H09-Stone</v>
      </c>
      <c r="K1663" s="1" t="str">
        <f aca="false">IF(A1663="","",IF(AND(G1663&gt;=0,I1663&gt;=0,I1663&lt;=G1663),"OK","CHECK"))</f>
        <v>OK</v>
      </c>
      <c r="L1663" s="1" t="str">
        <f aca="false">IF(A1663="","",IF(AND(E1663&gt;=0,E1663&lt;=23),"OK","CHECK"))</f>
        <v>OK</v>
      </c>
      <c r="M1663" s="1" t="str">
        <f aca="false">IF(A1663="","",IF(AND(K1663="OK",L1663="OK"),"OK","CHECK"))</f>
        <v>OK</v>
      </c>
    </row>
    <row r="1664" customFormat="false" ht="18" hidden="false" customHeight="true" outlineLevel="0" collapsed="false">
      <c r="A1664" s="9" t="s">
        <v>26</v>
      </c>
      <c r="B1664" s="9" t="n">
        <v>24</v>
      </c>
      <c r="C1664" s="11" t="n">
        <v>45960</v>
      </c>
      <c r="D1664" s="9" t="s">
        <v>143</v>
      </c>
      <c r="E1664" s="12" t="n">
        <v>16</v>
      </c>
      <c r="F1664" s="9" t="s">
        <v>31</v>
      </c>
      <c r="G1664" s="13" t="n">
        <v>100</v>
      </c>
      <c r="H1664" s="9" t="s">
        <v>38</v>
      </c>
      <c r="I1664" s="13" t="n">
        <v>1</v>
      </c>
      <c r="J1664" s="1" t="str">
        <f aca="false">IF(A1664="","", "SAMP-"&amp;A1664&amp;"-L"&amp;TEXT(B1664,"00")&amp;"-"&amp;TEXT(C1664,"yyyymmdd")&amp;"-"&amp;D1664&amp;"-H"&amp;TEXT(E1664,"00")&amp;"-"&amp;H1664)</f>
        <v>SAMP-KG01-L24-20251030-ORD-2025-00254-H16-Crack</v>
      </c>
      <c r="K1664" s="1" t="str">
        <f aca="false">IF(A1664="","",IF(AND(G1664&gt;=0,I1664&gt;=0,I1664&lt;=G1664),"OK","CHECK"))</f>
        <v>OK</v>
      </c>
      <c r="L1664" s="1" t="str">
        <f aca="false">IF(A1664="","",IF(AND(E1664&gt;=0,E1664&lt;=23),"OK","CHECK"))</f>
        <v>OK</v>
      </c>
      <c r="M1664" s="1" t="str">
        <f aca="false">IF(A1664="","",IF(AND(K1664="OK",L1664="OK"),"OK","CHECK"))</f>
        <v>OK</v>
      </c>
    </row>
    <row r="1665" customFormat="false" ht="18" hidden="false" customHeight="true" outlineLevel="0" collapsed="false">
      <c r="A1665" s="9" t="s">
        <v>26</v>
      </c>
      <c r="B1665" s="9" t="n">
        <v>24</v>
      </c>
      <c r="C1665" s="11" t="n">
        <v>45960</v>
      </c>
      <c r="D1665" s="9" t="s">
        <v>143</v>
      </c>
      <c r="E1665" s="12" t="n">
        <v>20</v>
      </c>
      <c r="F1665" s="9" t="s">
        <v>31</v>
      </c>
      <c r="G1665" s="13" t="n">
        <v>200</v>
      </c>
      <c r="H1665" s="9" t="s">
        <v>36</v>
      </c>
      <c r="I1665" s="13" t="n">
        <v>4</v>
      </c>
      <c r="J1665" s="1" t="str">
        <f aca="false">IF(A1665="","", "SAMP-"&amp;A1665&amp;"-L"&amp;TEXT(B1665,"00")&amp;"-"&amp;TEXT(C1665,"yyyymmdd")&amp;"-"&amp;D1665&amp;"-H"&amp;TEXT(E1665,"00")&amp;"-"&amp;H1665)</f>
        <v>SAMP-KG01-L24-20251030-ORD-2025-00254-H20-Blister</v>
      </c>
      <c r="K1665" s="1" t="str">
        <f aca="false">IF(A1665="","",IF(AND(G1665&gt;=0,I1665&gt;=0,I1665&lt;=G1665),"OK","CHECK"))</f>
        <v>OK</v>
      </c>
      <c r="L1665" s="1" t="str">
        <f aca="false">IF(A1665="","",IF(AND(E1665&gt;=0,E1665&lt;=23),"OK","CHECK"))</f>
        <v>OK</v>
      </c>
      <c r="M1665" s="1" t="str">
        <f aca="false">IF(A1665="","",IF(AND(K1665="OK",L1665="OK"),"OK","CHECK"))</f>
        <v>OK</v>
      </c>
    </row>
    <row r="1666" customFormat="false" ht="18" hidden="false" customHeight="true" outlineLevel="0" collapsed="false">
      <c r="A1666" s="9" t="s">
        <v>26</v>
      </c>
      <c r="B1666" s="9" t="n">
        <v>24</v>
      </c>
      <c r="C1666" s="11" t="n">
        <v>45961</v>
      </c>
      <c r="D1666" s="9" t="s">
        <v>143</v>
      </c>
      <c r="E1666" s="12" t="n">
        <v>9</v>
      </c>
      <c r="F1666" s="9" t="s">
        <v>28</v>
      </c>
      <c r="G1666" s="13" t="n">
        <v>200</v>
      </c>
      <c r="H1666" s="9" t="s">
        <v>34</v>
      </c>
      <c r="I1666" s="13" t="n">
        <v>5</v>
      </c>
      <c r="J1666" s="1" t="str">
        <f aca="false">IF(A1666="","", "SAMP-"&amp;A1666&amp;"-L"&amp;TEXT(B1666,"00")&amp;"-"&amp;TEXT(C1666,"yyyymmdd")&amp;"-"&amp;D1666&amp;"-H"&amp;TEXT(E1666,"00")&amp;"-"&amp;H1666)</f>
        <v>SAMP-KG01-L24-20251031-ORD-2025-00254-H09-Thin Wall</v>
      </c>
      <c r="K1666" s="1" t="str">
        <f aca="false">IF(A1666="","",IF(AND(G1666&gt;=0,I1666&gt;=0,I1666&lt;=G1666),"OK","CHECK"))</f>
        <v>OK</v>
      </c>
      <c r="L1666" s="1" t="str">
        <f aca="false">IF(A1666="","",IF(AND(E1666&gt;=0,E1666&lt;=23),"OK","CHECK"))</f>
        <v>OK</v>
      </c>
      <c r="M1666" s="1" t="str">
        <f aca="false">IF(A1666="","",IF(AND(K1666="OK",L1666="OK"),"OK","CHECK"))</f>
        <v>OK</v>
      </c>
    </row>
    <row r="1667" customFormat="false" ht="18" hidden="false" customHeight="true" outlineLevel="0" collapsed="false">
      <c r="A1667" s="9" t="s">
        <v>26</v>
      </c>
      <c r="B1667" s="9" t="n">
        <v>24</v>
      </c>
      <c r="C1667" s="11" t="n">
        <v>45961</v>
      </c>
      <c r="D1667" s="9" t="s">
        <v>143</v>
      </c>
      <c r="E1667" s="12" t="n">
        <v>12</v>
      </c>
      <c r="F1667" s="9" t="s">
        <v>28</v>
      </c>
      <c r="G1667" s="13" t="n">
        <v>50</v>
      </c>
      <c r="H1667" s="9" t="s">
        <v>29</v>
      </c>
      <c r="I1667" s="13" t="n">
        <v>1</v>
      </c>
      <c r="J1667" s="1" t="str">
        <f aca="false">IF(A1667="","", "SAMP-"&amp;A1667&amp;"-L"&amp;TEXT(B1667,"00")&amp;"-"&amp;TEXT(C1667,"yyyymmdd")&amp;"-"&amp;D1667&amp;"-H"&amp;TEXT(E1667,"00")&amp;"-"&amp;H1667)</f>
        <v>SAMP-KG01-L24-20251031-ORD-2025-00254-H12-Choke Neck</v>
      </c>
      <c r="K1667" s="1" t="str">
        <f aca="false">IF(A1667="","",IF(AND(G1667&gt;=0,I1667&gt;=0,I1667&lt;=G1667),"OK","CHECK"))</f>
        <v>OK</v>
      </c>
      <c r="L1667" s="1" t="str">
        <f aca="false">IF(A1667="","",IF(AND(E1667&gt;=0,E1667&lt;=23),"OK","CHECK"))</f>
        <v>OK</v>
      </c>
      <c r="M1667" s="1" t="str">
        <f aca="false">IF(A1667="","",IF(AND(K1667="OK",L1667="OK"),"OK","CHECK"))</f>
        <v>OK</v>
      </c>
    </row>
    <row r="1668" customFormat="false" ht="18" hidden="false" customHeight="true" outlineLevel="0" collapsed="false">
      <c r="A1668" s="9" t="s">
        <v>26</v>
      </c>
      <c r="B1668" s="9" t="n">
        <v>24</v>
      </c>
      <c r="C1668" s="11" t="n">
        <v>45961</v>
      </c>
      <c r="D1668" s="9" t="s">
        <v>143</v>
      </c>
      <c r="E1668" s="12" t="n">
        <v>7</v>
      </c>
      <c r="F1668" s="9" t="s">
        <v>28</v>
      </c>
      <c r="G1668" s="13" t="n">
        <v>150</v>
      </c>
      <c r="H1668" s="9" t="s">
        <v>36</v>
      </c>
      <c r="I1668" s="13" t="n">
        <v>3</v>
      </c>
      <c r="J1668" s="1" t="str">
        <f aca="false">IF(A1668="","", "SAMP-"&amp;A1668&amp;"-L"&amp;TEXT(B1668,"00")&amp;"-"&amp;TEXT(C1668,"yyyymmdd")&amp;"-"&amp;D1668&amp;"-H"&amp;TEXT(E1668,"00")&amp;"-"&amp;H1668)</f>
        <v>SAMP-KG01-L24-20251031-ORD-2025-00254-H07-Blister</v>
      </c>
      <c r="K1668" s="1" t="str">
        <f aca="false">IF(A1668="","",IF(AND(G1668&gt;=0,I1668&gt;=0,I1668&lt;=G1668),"OK","CHECK"))</f>
        <v>OK</v>
      </c>
      <c r="L1668" s="1" t="str">
        <f aca="false">IF(A1668="","",IF(AND(E1668&gt;=0,E1668&lt;=23),"OK","CHECK"))</f>
        <v>OK</v>
      </c>
      <c r="M1668" s="1" t="str">
        <f aca="false">IF(A1668="","",IF(AND(K1668="OK",L1668="OK"),"OK","CHECK"))</f>
        <v>OK</v>
      </c>
    </row>
    <row r="1669" customFormat="false" ht="18" hidden="false" customHeight="true" outlineLevel="0" collapsed="false">
      <c r="A1669" s="9" t="s">
        <v>26</v>
      </c>
      <c r="B1669" s="9" t="n">
        <v>24</v>
      </c>
      <c r="C1669" s="11" t="n">
        <v>45961</v>
      </c>
      <c r="D1669" s="9" t="s">
        <v>143</v>
      </c>
      <c r="E1669" s="12" t="n">
        <v>16</v>
      </c>
      <c r="F1669" s="9" t="s">
        <v>31</v>
      </c>
      <c r="G1669" s="13" t="n">
        <v>50</v>
      </c>
      <c r="H1669" s="9" t="s">
        <v>38</v>
      </c>
      <c r="I1669" s="13" t="n">
        <v>1</v>
      </c>
      <c r="J1669" s="1" t="str">
        <f aca="false">IF(A1669="","", "SAMP-"&amp;A1669&amp;"-L"&amp;TEXT(B1669,"00")&amp;"-"&amp;TEXT(C1669,"yyyymmdd")&amp;"-"&amp;D1669&amp;"-H"&amp;TEXT(E1669,"00")&amp;"-"&amp;H1669)</f>
        <v>SAMP-KG01-L24-20251031-ORD-2025-00254-H16-Crack</v>
      </c>
      <c r="K1669" s="1" t="str">
        <f aca="false">IF(A1669="","",IF(AND(G1669&gt;=0,I1669&gt;=0,I1669&lt;=G1669),"OK","CHECK"))</f>
        <v>OK</v>
      </c>
      <c r="L1669" s="1" t="str">
        <f aca="false">IF(A1669="","",IF(AND(E1669&gt;=0,E1669&lt;=23),"OK","CHECK"))</f>
        <v>OK</v>
      </c>
      <c r="M1669" s="1" t="str">
        <f aca="false">IF(A1669="","",IF(AND(K1669="OK",L1669="OK"),"OK","CHECK"))</f>
        <v>OK</v>
      </c>
    </row>
    <row r="1670" customFormat="false" ht="18" hidden="false" customHeight="true" outlineLevel="0" collapsed="false">
      <c r="A1670" s="9" t="s">
        <v>26</v>
      </c>
      <c r="B1670" s="9" t="n">
        <v>24</v>
      </c>
      <c r="C1670" s="11" t="n">
        <v>45961</v>
      </c>
      <c r="D1670" s="9" t="s">
        <v>143</v>
      </c>
      <c r="E1670" s="12" t="n">
        <v>23</v>
      </c>
      <c r="F1670" s="9" t="s">
        <v>31</v>
      </c>
      <c r="G1670" s="13" t="n">
        <v>150</v>
      </c>
      <c r="H1670" s="9" t="s">
        <v>41</v>
      </c>
      <c r="I1670" s="13" t="n">
        <v>2</v>
      </c>
      <c r="J1670" s="1" t="str">
        <f aca="false">IF(A1670="","", "SAMP-"&amp;A1670&amp;"-L"&amp;TEXT(B1670,"00")&amp;"-"&amp;TEXT(C1670,"yyyymmdd")&amp;"-"&amp;D1670&amp;"-H"&amp;TEXT(E1670,"00")&amp;"-"&amp;H1670)</f>
        <v>SAMP-KG01-L24-20251031-ORD-2025-00254-H23-Chip</v>
      </c>
      <c r="K1670" s="1" t="str">
        <f aca="false">IF(A1670="","",IF(AND(G1670&gt;=0,I1670&gt;=0,I1670&lt;=G1670),"OK","CHECK"))</f>
        <v>OK</v>
      </c>
      <c r="L1670" s="1" t="str">
        <f aca="false">IF(A1670="","",IF(AND(E1670&gt;=0,E1670&lt;=23),"OK","CHECK"))</f>
        <v>OK</v>
      </c>
      <c r="M1670" s="1" t="str">
        <f aca="false">IF(A1670="","",IF(AND(K1670="OK",L1670="OK"),"OK","CHECK"))</f>
        <v>OK</v>
      </c>
    </row>
    <row r="1671" customFormat="false" ht="18" hidden="false" customHeight="true" outlineLevel="0" collapsed="false">
      <c r="A1671" s="9" t="s">
        <v>26</v>
      </c>
      <c r="B1671" s="9" t="n">
        <v>24</v>
      </c>
      <c r="C1671" s="11" t="n">
        <v>45961</v>
      </c>
      <c r="D1671" s="9" t="s">
        <v>143</v>
      </c>
      <c r="E1671" s="12" t="n">
        <v>20</v>
      </c>
      <c r="F1671" s="9" t="s">
        <v>31</v>
      </c>
      <c r="G1671" s="13" t="n">
        <v>50</v>
      </c>
      <c r="H1671" s="9" t="s">
        <v>37</v>
      </c>
      <c r="I1671" s="13" t="n">
        <v>1</v>
      </c>
      <c r="J1671" s="1" t="str">
        <f aca="false">IF(A1671="","", "SAMP-"&amp;A1671&amp;"-L"&amp;TEXT(B1671,"00")&amp;"-"&amp;TEXT(C1671,"yyyymmdd")&amp;"-"&amp;D1671&amp;"-H"&amp;TEXT(E1671,"00")&amp;"-"&amp;H1671)</f>
        <v>SAMP-KG01-L24-20251031-ORD-2025-00254-H20-Bird Swing</v>
      </c>
      <c r="K1671" s="1" t="str">
        <f aca="false">IF(A1671="","",IF(AND(G1671&gt;=0,I1671&gt;=0,I1671&lt;=G1671),"OK","CHECK"))</f>
        <v>OK</v>
      </c>
      <c r="L1671" s="1" t="str">
        <f aca="false">IF(A1671="","",IF(AND(E1671&gt;=0,E1671&lt;=23),"OK","CHECK"))</f>
        <v>OK</v>
      </c>
      <c r="M1671" s="1" t="str">
        <f aca="false">IF(A1671="","",IF(AND(K1671="OK",L1671="OK"),"OK","CHECK"))</f>
        <v>OK</v>
      </c>
    </row>
    <row r="1672" customFormat="false" ht="18" hidden="false" customHeight="true" outlineLevel="0" collapsed="false">
      <c r="A1672" s="9" t="s">
        <v>26</v>
      </c>
      <c r="B1672" s="9" t="n">
        <v>24</v>
      </c>
      <c r="C1672" s="11" t="n">
        <v>45962</v>
      </c>
      <c r="D1672" s="9" t="s">
        <v>143</v>
      </c>
      <c r="E1672" s="12" t="n">
        <v>7</v>
      </c>
      <c r="F1672" s="9" t="s">
        <v>28</v>
      </c>
      <c r="G1672" s="13" t="n">
        <v>150</v>
      </c>
      <c r="H1672" s="9" t="s">
        <v>29</v>
      </c>
      <c r="I1672" s="13" t="n">
        <v>2</v>
      </c>
      <c r="J1672" s="1" t="str">
        <f aca="false">IF(A1672="","", "SAMP-"&amp;A1672&amp;"-L"&amp;TEXT(B1672,"00")&amp;"-"&amp;TEXT(C1672,"yyyymmdd")&amp;"-"&amp;D1672&amp;"-H"&amp;TEXT(E1672,"00")&amp;"-"&amp;H1672)</f>
        <v>SAMP-KG01-L24-20251101-ORD-2025-00254-H07-Choke Neck</v>
      </c>
      <c r="K1672" s="1" t="str">
        <f aca="false">IF(A1672="","",IF(AND(G1672&gt;=0,I1672&gt;=0,I1672&lt;=G1672),"OK","CHECK"))</f>
        <v>OK</v>
      </c>
      <c r="L1672" s="1" t="str">
        <f aca="false">IF(A1672="","",IF(AND(E1672&gt;=0,E1672&lt;=23),"OK","CHECK"))</f>
        <v>OK</v>
      </c>
      <c r="M1672" s="1" t="str">
        <f aca="false">IF(A1672="","",IF(AND(K1672="OK",L1672="OK"),"OK","CHECK"))</f>
        <v>OK</v>
      </c>
    </row>
    <row r="1673" customFormat="false" ht="18" hidden="false" customHeight="true" outlineLevel="0" collapsed="false">
      <c r="A1673" s="9" t="s">
        <v>26</v>
      </c>
      <c r="B1673" s="9" t="n">
        <v>24</v>
      </c>
      <c r="C1673" s="11" t="n">
        <v>45962</v>
      </c>
      <c r="D1673" s="9" t="s">
        <v>143</v>
      </c>
      <c r="E1673" s="12" t="n">
        <v>9</v>
      </c>
      <c r="F1673" s="9" t="s">
        <v>28</v>
      </c>
      <c r="G1673" s="13" t="n">
        <v>50</v>
      </c>
      <c r="H1673" s="9" t="s">
        <v>30</v>
      </c>
      <c r="I1673" s="13" t="n">
        <v>2</v>
      </c>
      <c r="J1673" s="1" t="str">
        <f aca="false">IF(A1673="","", "SAMP-"&amp;A1673&amp;"-L"&amp;TEXT(B1673,"00")&amp;"-"&amp;TEXT(C1673,"yyyymmdd")&amp;"-"&amp;D1673&amp;"-H"&amp;TEXT(E1673,"00")&amp;"-"&amp;H1673)</f>
        <v>SAMP-KG01-L24-20251101-ORD-2025-00254-H09-Overpress</v>
      </c>
      <c r="K1673" s="1" t="str">
        <f aca="false">IF(A1673="","",IF(AND(G1673&gt;=0,I1673&gt;=0,I1673&lt;=G1673),"OK","CHECK"))</f>
        <v>OK</v>
      </c>
      <c r="L1673" s="1" t="str">
        <f aca="false">IF(A1673="","",IF(AND(E1673&gt;=0,E1673&lt;=23),"OK","CHECK"))</f>
        <v>OK</v>
      </c>
      <c r="M1673" s="1" t="str">
        <f aca="false">IF(A1673="","",IF(AND(K1673="OK",L1673="OK"),"OK","CHECK"))</f>
        <v>OK</v>
      </c>
    </row>
    <row r="1674" customFormat="false" ht="18" hidden="false" customHeight="true" outlineLevel="0" collapsed="false">
      <c r="A1674" s="9" t="s">
        <v>26</v>
      </c>
      <c r="B1674" s="9" t="n">
        <v>24</v>
      </c>
      <c r="C1674" s="11" t="n">
        <v>45962</v>
      </c>
      <c r="D1674" s="9" t="s">
        <v>143</v>
      </c>
      <c r="E1674" s="12" t="n">
        <v>12</v>
      </c>
      <c r="F1674" s="9" t="s">
        <v>28</v>
      </c>
      <c r="G1674" s="13" t="n">
        <v>100</v>
      </c>
      <c r="H1674" s="9" t="s">
        <v>34</v>
      </c>
      <c r="I1674" s="13" t="n">
        <v>1</v>
      </c>
      <c r="J1674" s="1" t="str">
        <f aca="false">IF(A1674="","", "SAMP-"&amp;A1674&amp;"-L"&amp;TEXT(B1674,"00")&amp;"-"&amp;TEXT(C1674,"yyyymmdd")&amp;"-"&amp;D1674&amp;"-H"&amp;TEXT(E1674,"00")&amp;"-"&amp;H1674)</f>
        <v>SAMP-KG01-L24-20251101-ORD-2025-00254-H12-Thin Wall</v>
      </c>
      <c r="K1674" s="1" t="str">
        <f aca="false">IF(A1674="","",IF(AND(G1674&gt;=0,I1674&gt;=0,I1674&lt;=G1674),"OK","CHECK"))</f>
        <v>OK</v>
      </c>
      <c r="L1674" s="1" t="str">
        <f aca="false">IF(A1674="","",IF(AND(E1674&gt;=0,E1674&lt;=23),"OK","CHECK"))</f>
        <v>OK</v>
      </c>
      <c r="M1674" s="1" t="str">
        <f aca="false">IF(A1674="","",IF(AND(K1674="OK",L1674="OK"),"OK","CHECK"))</f>
        <v>OK</v>
      </c>
    </row>
    <row r="1675" customFormat="false" ht="18" hidden="false" customHeight="true" outlineLevel="0" collapsed="false">
      <c r="A1675" s="9" t="s">
        <v>26</v>
      </c>
      <c r="B1675" s="9" t="n">
        <v>24</v>
      </c>
      <c r="C1675" s="11" t="n">
        <v>45962</v>
      </c>
      <c r="D1675" s="9" t="s">
        <v>143</v>
      </c>
      <c r="E1675" s="12" t="n">
        <v>20</v>
      </c>
      <c r="F1675" s="9" t="s">
        <v>31</v>
      </c>
      <c r="G1675" s="13" t="n">
        <v>200</v>
      </c>
      <c r="H1675" s="9" t="s">
        <v>38</v>
      </c>
      <c r="I1675" s="13" t="n">
        <v>3</v>
      </c>
      <c r="J1675" s="1" t="str">
        <f aca="false">IF(A1675="","", "SAMP-"&amp;A1675&amp;"-L"&amp;TEXT(B1675,"00")&amp;"-"&amp;TEXT(C1675,"yyyymmdd")&amp;"-"&amp;D1675&amp;"-H"&amp;TEXT(E1675,"00")&amp;"-"&amp;H1675)</f>
        <v>SAMP-KG01-L24-20251101-ORD-2025-00254-H20-Crack</v>
      </c>
      <c r="K1675" s="1" t="str">
        <f aca="false">IF(A1675="","",IF(AND(G1675&gt;=0,I1675&gt;=0,I1675&lt;=G1675),"OK","CHECK"))</f>
        <v>OK</v>
      </c>
      <c r="L1675" s="1" t="str">
        <f aca="false">IF(A1675="","",IF(AND(E1675&gt;=0,E1675&lt;=23),"OK","CHECK"))</f>
        <v>OK</v>
      </c>
      <c r="M1675" s="1" t="str">
        <f aca="false">IF(A1675="","",IF(AND(K1675="OK",L1675="OK"),"OK","CHECK"))</f>
        <v>OK</v>
      </c>
    </row>
    <row r="1676" customFormat="false" ht="18" hidden="false" customHeight="true" outlineLevel="0" collapsed="false">
      <c r="A1676" s="9" t="s">
        <v>26</v>
      </c>
      <c r="B1676" s="9" t="n">
        <v>24</v>
      </c>
      <c r="C1676" s="11" t="n">
        <v>45962</v>
      </c>
      <c r="D1676" s="9" t="s">
        <v>143</v>
      </c>
      <c r="E1676" s="12" t="n">
        <v>16</v>
      </c>
      <c r="F1676" s="9" t="s">
        <v>31</v>
      </c>
      <c r="G1676" s="13" t="n">
        <v>100</v>
      </c>
      <c r="H1676" s="9" t="s">
        <v>33</v>
      </c>
      <c r="I1676" s="13" t="n">
        <v>2</v>
      </c>
      <c r="J1676" s="1" t="str">
        <f aca="false">IF(A1676="","", "SAMP-"&amp;A1676&amp;"-L"&amp;TEXT(B1676,"00")&amp;"-"&amp;TEXT(C1676,"yyyymmdd")&amp;"-"&amp;D1676&amp;"-H"&amp;TEXT(E1676,"00")&amp;"-"&amp;H1676)</f>
        <v>SAMP-KG01-L24-20251101-ORD-2025-00254-H16-Distortion</v>
      </c>
      <c r="K1676" s="1" t="str">
        <f aca="false">IF(A1676="","",IF(AND(G1676&gt;=0,I1676&gt;=0,I1676&lt;=G1676),"OK","CHECK"))</f>
        <v>OK</v>
      </c>
      <c r="L1676" s="1" t="str">
        <f aca="false">IF(A1676="","",IF(AND(E1676&gt;=0,E1676&lt;=23),"OK","CHECK"))</f>
        <v>OK</v>
      </c>
      <c r="M1676" s="1" t="str">
        <f aca="false">IF(A1676="","",IF(AND(K1676="OK",L1676="OK"),"OK","CHECK"))</f>
        <v>OK</v>
      </c>
    </row>
    <row r="1677" customFormat="false" ht="18" hidden="false" customHeight="true" outlineLevel="0" collapsed="false">
      <c r="A1677" s="9" t="s">
        <v>26</v>
      </c>
      <c r="B1677" s="9" t="n">
        <v>24</v>
      </c>
      <c r="C1677" s="11" t="n">
        <v>45962</v>
      </c>
      <c r="D1677" s="9" t="s">
        <v>143</v>
      </c>
      <c r="E1677" s="12" t="n">
        <v>23</v>
      </c>
      <c r="F1677" s="9" t="s">
        <v>31</v>
      </c>
      <c r="G1677" s="13" t="n">
        <v>150</v>
      </c>
      <c r="H1677" s="9" t="s">
        <v>35</v>
      </c>
      <c r="I1677" s="13" t="n">
        <v>4</v>
      </c>
      <c r="J1677" s="1" t="str">
        <f aca="false">IF(A1677="","", "SAMP-"&amp;A1677&amp;"-L"&amp;TEXT(B1677,"00")&amp;"-"&amp;TEXT(C1677,"yyyymmdd")&amp;"-"&amp;D1677&amp;"-H"&amp;TEXT(E1677,"00")&amp;"-"&amp;H1677)</f>
        <v>SAMP-KG01-L24-20251101-ORD-2025-00254-H23-Stone</v>
      </c>
      <c r="K1677" s="1" t="str">
        <f aca="false">IF(A1677="","",IF(AND(G1677&gt;=0,I1677&gt;=0,I1677&lt;=G1677),"OK","CHECK"))</f>
        <v>OK</v>
      </c>
      <c r="L1677" s="1" t="str">
        <f aca="false">IF(A1677="","",IF(AND(E1677&gt;=0,E1677&lt;=23),"OK","CHECK"))</f>
        <v>OK</v>
      </c>
      <c r="M1677" s="1" t="str">
        <f aca="false">IF(A1677="","",IF(AND(K1677="OK",L1677="OK"),"OK","CHECK"))</f>
        <v>OK</v>
      </c>
    </row>
    <row r="1678" customFormat="false" ht="18" hidden="false" customHeight="true" outlineLevel="0" collapsed="false">
      <c r="A1678" s="9" t="s">
        <v>26</v>
      </c>
      <c r="B1678" s="9" t="n">
        <v>24</v>
      </c>
      <c r="C1678" s="11" t="n">
        <v>45963</v>
      </c>
      <c r="D1678" s="9" t="s">
        <v>143</v>
      </c>
      <c r="E1678" s="12" t="n">
        <v>7</v>
      </c>
      <c r="F1678" s="9" t="s">
        <v>28</v>
      </c>
      <c r="G1678" s="13" t="n">
        <v>150</v>
      </c>
      <c r="H1678" s="9" t="s">
        <v>29</v>
      </c>
      <c r="I1678" s="13" t="n">
        <v>4</v>
      </c>
      <c r="J1678" s="1" t="str">
        <f aca="false">IF(A1678="","", "SAMP-"&amp;A1678&amp;"-L"&amp;TEXT(B1678,"00")&amp;"-"&amp;TEXT(C1678,"yyyymmdd")&amp;"-"&amp;D1678&amp;"-H"&amp;TEXT(E1678,"00")&amp;"-"&amp;H1678)</f>
        <v>SAMP-KG01-L24-20251102-ORD-2025-00254-H07-Choke Neck</v>
      </c>
      <c r="K1678" s="1" t="str">
        <f aca="false">IF(A1678="","",IF(AND(G1678&gt;=0,I1678&gt;=0,I1678&lt;=G1678),"OK","CHECK"))</f>
        <v>OK</v>
      </c>
      <c r="L1678" s="1" t="str">
        <f aca="false">IF(A1678="","",IF(AND(E1678&gt;=0,E1678&lt;=23),"OK","CHECK"))</f>
        <v>OK</v>
      </c>
      <c r="M1678" s="1" t="str">
        <f aca="false">IF(A1678="","",IF(AND(K1678="OK",L1678="OK"),"OK","CHECK"))</f>
        <v>OK</v>
      </c>
    </row>
    <row r="1679" customFormat="false" ht="18" hidden="false" customHeight="true" outlineLevel="0" collapsed="false">
      <c r="A1679" s="9" t="s">
        <v>26</v>
      </c>
      <c r="B1679" s="9" t="n">
        <v>24</v>
      </c>
      <c r="C1679" s="11" t="n">
        <v>45963</v>
      </c>
      <c r="D1679" s="9" t="s">
        <v>143</v>
      </c>
      <c r="E1679" s="12" t="n">
        <v>12</v>
      </c>
      <c r="F1679" s="9" t="s">
        <v>28</v>
      </c>
      <c r="G1679" s="13" t="n">
        <v>200</v>
      </c>
      <c r="H1679" s="9" t="s">
        <v>33</v>
      </c>
      <c r="I1679" s="13" t="n">
        <v>3</v>
      </c>
      <c r="J1679" s="1" t="str">
        <f aca="false">IF(A1679="","", "SAMP-"&amp;A1679&amp;"-L"&amp;TEXT(B1679,"00")&amp;"-"&amp;TEXT(C1679,"yyyymmdd")&amp;"-"&amp;D1679&amp;"-H"&amp;TEXT(E1679,"00")&amp;"-"&amp;H1679)</f>
        <v>SAMP-KG01-L24-20251102-ORD-2025-00254-H12-Distortion</v>
      </c>
      <c r="K1679" s="1" t="str">
        <f aca="false">IF(A1679="","",IF(AND(G1679&gt;=0,I1679&gt;=0,I1679&lt;=G1679),"OK","CHECK"))</f>
        <v>OK</v>
      </c>
      <c r="L1679" s="1" t="str">
        <f aca="false">IF(A1679="","",IF(AND(E1679&gt;=0,E1679&lt;=23),"OK","CHECK"))</f>
        <v>OK</v>
      </c>
      <c r="M1679" s="1" t="str">
        <f aca="false">IF(A1679="","",IF(AND(K1679="OK",L1679="OK"),"OK","CHECK"))</f>
        <v>OK</v>
      </c>
    </row>
    <row r="1680" customFormat="false" ht="18" hidden="false" customHeight="true" outlineLevel="0" collapsed="false">
      <c r="A1680" s="9" t="s">
        <v>26</v>
      </c>
      <c r="B1680" s="9" t="n">
        <v>24</v>
      </c>
      <c r="C1680" s="11" t="n">
        <v>45963</v>
      </c>
      <c r="D1680" s="9" t="s">
        <v>143</v>
      </c>
      <c r="E1680" s="12" t="n">
        <v>9</v>
      </c>
      <c r="F1680" s="9" t="s">
        <v>28</v>
      </c>
      <c r="G1680" s="13" t="n">
        <v>50</v>
      </c>
      <c r="H1680" s="9" t="s">
        <v>35</v>
      </c>
      <c r="I1680" s="13" t="n">
        <v>2</v>
      </c>
      <c r="J1680" s="1" t="str">
        <f aca="false">IF(A1680="","", "SAMP-"&amp;A1680&amp;"-L"&amp;TEXT(B1680,"00")&amp;"-"&amp;TEXT(C1680,"yyyymmdd")&amp;"-"&amp;D1680&amp;"-H"&amp;TEXT(E1680,"00")&amp;"-"&amp;H1680)</f>
        <v>SAMP-KG01-L24-20251102-ORD-2025-00254-H09-Stone</v>
      </c>
      <c r="K1680" s="1" t="str">
        <f aca="false">IF(A1680="","",IF(AND(G1680&gt;=0,I1680&gt;=0,I1680&lt;=G1680),"OK","CHECK"))</f>
        <v>OK</v>
      </c>
      <c r="L1680" s="1" t="str">
        <f aca="false">IF(A1680="","",IF(AND(E1680&gt;=0,E1680&lt;=23),"OK","CHECK"))</f>
        <v>OK</v>
      </c>
      <c r="M1680" s="1" t="str">
        <f aca="false">IF(A1680="","",IF(AND(K1680="OK",L1680="OK"),"OK","CHECK"))</f>
        <v>OK</v>
      </c>
    </row>
    <row r="1681" customFormat="false" ht="18" hidden="false" customHeight="true" outlineLevel="0" collapsed="false">
      <c r="A1681" s="9" t="s">
        <v>26</v>
      </c>
      <c r="B1681" s="9" t="n">
        <v>24</v>
      </c>
      <c r="C1681" s="11" t="n">
        <v>45963</v>
      </c>
      <c r="D1681" s="9" t="s">
        <v>143</v>
      </c>
      <c r="E1681" s="12" t="n">
        <v>20</v>
      </c>
      <c r="F1681" s="9" t="s">
        <v>31</v>
      </c>
      <c r="G1681" s="13" t="n">
        <v>200</v>
      </c>
      <c r="H1681" s="9" t="s">
        <v>36</v>
      </c>
      <c r="I1681" s="13" t="n">
        <v>5</v>
      </c>
      <c r="J1681" s="1" t="str">
        <f aca="false">IF(A1681="","", "SAMP-"&amp;A1681&amp;"-L"&amp;TEXT(B1681,"00")&amp;"-"&amp;TEXT(C1681,"yyyymmdd")&amp;"-"&amp;D1681&amp;"-H"&amp;TEXT(E1681,"00")&amp;"-"&amp;H1681)</f>
        <v>SAMP-KG01-L24-20251102-ORD-2025-00254-H20-Blister</v>
      </c>
      <c r="K1681" s="1" t="str">
        <f aca="false">IF(A1681="","",IF(AND(G1681&gt;=0,I1681&gt;=0,I1681&lt;=G1681),"OK","CHECK"))</f>
        <v>OK</v>
      </c>
      <c r="L1681" s="1" t="str">
        <f aca="false">IF(A1681="","",IF(AND(E1681&gt;=0,E1681&lt;=23),"OK","CHECK"))</f>
        <v>OK</v>
      </c>
      <c r="M1681" s="1" t="str">
        <f aca="false">IF(A1681="","",IF(AND(K1681="OK",L1681="OK"),"OK","CHECK"))</f>
        <v>OK</v>
      </c>
    </row>
    <row r="1682" customFormat="false" ht="18" hidden="false" customHeight="true" outlineLevel="0" collapsed="false">
      <c r="A1682" s="9" t="s">
        <v>26</v>
      </c>
      <c r="B1682" s="9" t="n">
        <v>24</v>
      </c>
      <c r="C1682" s="11" t="n">
        <v>45963</v>
      </c>
      <c r="D1682" s="9" t="s">
        <v>143</v>
      </c>
      <c r="E1682" s="12" t="n">
        <v>16</v>
      </c>
      <c r="F1682" s="9" t="s">
        <v>31</v>
      </c>
      <c r="G1682" s="13" t="n">
        <v>50</v>
      </c>
      <c r="H1682" s="9" t="s">
        <v>34</v>
      </c>
      <c r="I1682" s="13" t="n">
        <v>1</v>
      </c>
      <c r="J1682" s="1" t="str">
        <f aca="false">IF(A1682="","", "SAMP-"&amp;A1682&amp;"-L"&amp;TEXT(B1682,"00")&amp;"-"&amp;TEXT(C1682,"yyyymmdd")&amp;"-"&amp;D1682&amp;"-H"&amp;TEXT(E1682,"00")&amp;"-"&amp;H1682)</f>
        <v>SAMP-KG01-L24-20251102-ORD-2025-00254-H16-Thin Wall</v>
      </c>
      <c r="K1682" s="1" t="str">
        <f aca="false">IF(A1682="","",IF(AND(G1682&gt;=0,I1682&gt;=0,I1682&lt;=G1682),"OK","CHECK"))</f>
        <v>OK</v>
      </c>
      <c r="L1682" s="1" t="str">
        <f aca="false">IF(A1682="","",IF(AND(E1682&gt;=0,E1682&lt;=23),"OK","CHECK"))</f>
        <v>OK</v>
      </c>
      <c r="M1682" s="1" t="str">
        <f aca="false">IF(A1682="","",IF(AND(K1682="OK",L1682="OK"),"OK","CHECK"))</f>
        <v>OK</v>
      </c>
    </row>
    <row r="1683" customFormat="false" ht="18" hidden="false" customHeight="true" outlineLevel="0" collapsed="false">
      <c r="A1683" s="9" t="s">
        <v>26</v>
      </c>
      <c r="B1683" s="9" t="n">
        <v>24</v>
      </c>
      <c r="C1683" s="11" t="n">
        <v>45963</v>
      </c>
      <c r="D1683" s="9" t="s">
        <v>143</v>
      </c>
      <c r="E1683" s="12" t="n">
        <v>23</v>
      </c>
      <c r="F1683" s="9" t="s">
        <v>31</v>
      </c>
      <c r="G1683" s="13" t="n">
        <v>100</v>
      </c>
      <c r="H1683" s="9" t="s">
        <v>36</v>
      </c>
      <c r="I1683" s="13" t="n">
        <v>3</v>
      </c>
      <c r="J1683" s="1" t="str">
        <f aca="false">IF(A1683="","", "SAMP-"&amp;A1683&amp;"-L"&amp;TEXT(B1683,"00")&amp;"-"&amp;TEXT(C1683,"yyyymmdd")&amp;"-"&amp;D1683&amp;"-H"&amp;TEXT(E1683,"00")&amp;"-"&amp;H1683)</f>
        <v>SAMP-KG01-L24-20251102-ORD-2025-00254-H23-Blister</v>
      </c>
      <c r="K1683" s="1" t="str">
        <f aca="false">IF(A1683="","",IF(AND(G1683&gt;=0,I1683&gt;=0,I1683&lt;=G1683),"OK","CHECK"))</f>
        <v>OK</v>
      </c>
      <c r="L1683" s="1" t="str">
        <f aca="false">IF(A1683="","",IF(AND(E1683&gt;=0,E1683&lt;=23),"OK","CHECK"))</f>
        <v>OK</v>
      </c>
      <c r="M1683" s="1" t="str">
        <f aca="false">IF(A1683="","",IF(AND(K1683="OK",L1683="OK"),"OK","CHECK"))</f>
        <v>OK</v>
      </c>
    </row>
    <row r="1684" customFormat="false" ht="18" hidden="false" customHeight="true" outlineLevel="0" collapsed="false">
      <c r="A1684" s="9" t="s">
        <v>26</v>
      </c>
      <c r="B1684" s="9" t="n">
        <v>24</v>
      </c>
      <c r="C1684" s="11" t="n">
        <v>45964</v>
      </c>
      <c r="D1684" s="9" t="s">
        <v>143</v>
      </c>
      <c r="E1684" s="12" t="n">
        <v>9</v>
      </c>
      <c r="F1684" s="9" t="s">
        <v>28</v>
      </c>
      <c r="G1684" s="13" t="n">
        <v>200</v>
      </c>
      <c r="H1684" s="9" t="s">
        <v>34</v>
      </c>
      <c r="I1684" s="13" t="n">
        <v>0</v>
      </c>
      <c r="J1684" s="1" t="str">
        <f aca="false">IF(A1684="","", "SAMP-"&amp;A1684&amp;"-L"&amp;TEXT(B1684,"00")&amp;"-"&amp;TEXT(C1684,"yyyymmdd")&amp;"-"&amp;D1684&amp;"-H"&amp;TEXT(E1684,"00")&amp;"-"&amp;H1684)</f>
        <v>SAMP-KG01-L24-20251103-ORD-2025-00254-H09-Thin Wall</v>
      </c>
      <c r="K1684" s="1" t="str">
        <f aca="false">IF(A1684="","",IF(AND(G1684&gt;=0,I1684&gt;=0,I1684&lt;=G1684),"OK","CHECK"))</f>
        <v>OK</v>
      </c>
      <c r="L1684" s="1" t="str">
        <f aca="false">IF(A1684="","",IF(AND(E1684&gt;=0,E1684&lt;=23),"OK","CHECK"))</f>
        <v>OK</v>
      </c>
      <c r="M1684" s="1" t="str">
        <f aca="false">IF(A1684="","",IF(AND(K1684="OK",L1684="OK"),"OK","CHECK"))</f>
        <v>OK</v>
      </c>
    </row>
    <row r="1685" customFormat="false" ht="18" hidden="false" customHeight="true" outlineLevel="0" collapsed="false">
      <c r="A1685" s="9" t="s">
        <v>26</v>
      </c>
      <c r="B1685" s="9" t="n">
        <v>24</v>
      </c>
      <c r="C1685" s="11" t="n">
        <v>45964</v>
      </c>
      <c r="D1685" s="9" t="s">
        <v>143</v>
      </c>
      <c r="E1685" s="12" t="n">
        <v>7</v>
      </c>
      <c r="F1685" s="9" t="s">
        <v>28</v>
      </c>
      <c r="G1685" s="13" t="n">
        <v>50</v>
      </c>
      <c r="H1685" s="9" t="s">
        <v>37</v>
      </c>
      <c r="I1685" s="13" t="n">
        <v>1</v>
      </c>
      <c r="J1685" s="1" t="str">
        <f aca="false">IF(A1685="","", "SAMP-"&amp;A1685&amp;"-L"&amp;TEXT(B1685,"00")&amp;"-"&amp;TEXT(C1685,"yyyymmdd")&amp;"-"&amp;D1685&amp;"-H"&amp;TEXT(E1685,"00")&amp;"-"&amp;H1685)</f>
        <v>SAMP-KG01-L24-20251103-ORD-2025-00254-H07-Bird Swing</v>
      </c>
      <c r="K1685" s="1" t="str">
        <f aca="false">IF(A1685="","",IF(AND(G1685&gt;=0,I1685&gt;=0,I1685&lt;=G1685),"OK","CHECK"))</f>
        <v>OK</v>
      </c>
      <c r="L1685" s="1" t="str">
        <f aca="false">IF(A1685="","",IF(AND(E1685&gt;=0,E1685&lt;=23),"OK","CHECK"))</f>
        <v>OK</v>
      </c>
      <c r="M1685" s="1" t="str">
        <f aca="false">IF(A1685="","",IF(AND(K1685="OK",L1685="OK"),"OK","CHECK"))</f>
        <v>OK</v>
      </c>
    </row>
    <row r="1686" customFormat="false" ht="18" hidden="false" customHeight="true" outlineLevel="0" collapsed="false">
      <c r="A1686" s="9" t="s">
        <v>26</v>
      </c>
      <c r="B1686" s="9" t="n">
        <v>24</v>
      </c>
      <c r="C1686" s="11" t="n">
        <v>45964</v>
      </c>
      <c r="D1686" s="9" t="s">
        <v>144</v>
      </c>
      <c r="E1686" s="12" t="n">
        <v>23</v>
      </c>
      <c r="F1686" s="9" t="s">
        <v>31</v>
      </c>
      <c r="G1686" s="13" t="n">
        <v>200</v>
      </c>
      <c r="H1686" s="9" t="s">
        <v>33</v>
      </c>
      <c r="I1686" s="13" t="n">
        <v>0</v>
      </c>
      <c r="J1686" s="1" t="str">
        <f aca="false">IF(A1686="","", "SAMP-"&amp;A1686&amp;"-L"&amp;TEXT(B1686,"00")&amp;"-"&amp;TEXT(C1686,"yyyymmdd")&amp;"-"&amp;D1686&amp;"-H"&amp;TEXT(E1686,"00")&amp;"-"&amp;H1686)</f>
        <v>SAMP-KG01-L24-20251103-ORD-2025-00255-H23-Distortion</v>
      </c>
      <c r="K1686" s="1" t="str">
        <f aca="false">IF(A1686="","",IF(AND(G1686&gt;=0,I1686&gt;=0,I1686&lt;=G1686),"OK","CHECK"))</f>
        <v>OK</v>
      </c>
      <c r="L1686" s="1" t="str">
        <f aca="false">IF(A1686="","",IF(AND(E1686&gt;=0,E1686&lt;=23),"OK","CHECK"))</f>
        <v>OK</v>
      </c>
      <c r="M1686" s="1" t="str">
        <f aca="false">IF(A1686="","",IF(AND(K1686="OK",L1686="OK"),"OK","CHECK"))</f>
        <v>OK</v>
      </c>
    </row>
    <row r="1687" customFormat="false" ht="18" hidden="false" customHeight="true" outlineLevel="0" collapsed="false">
      <c r="A1687" s="9" t="s">
        <v>26</v>
      </c>
      <c r="B1687" s="9" t="n">
        <v>24</v>
      </c>
      <c r="C1687" s="11" t="n">
        <v>45964</v>
      </c>
      <c r="D1687" s="9" t="s">
        <v>144</v>
      </c>
      <c r="E1687" s="12" t="n">
        <v>16</v>
      </c>
      <c r="F1687" s="9" t="s">
        <v>31</v>
      </c>
      <c r="G1687" s="13" t="n">
        <v>50</v>
      </c>
      <c r="H1687" s="9" t="s">
        <v>30</v>
      </c>
      <c r="I1687" s="13" t="n">
        <v>1</v>
      </c>
      <c r="J1687" s="1" t="str">
        <f aca="false">IF(A1687="","", "SAMP-"&amp;A1687&amp;"-L"&amp;TEXT(B1687,"00")&amp;"-"&amp;TEXT(C1687,"yyyymmdd")&amp;"-"&amp;D1687&amp;"-H"&amp;TEXT(E1687,"00")&amp;"-"&amp;H1687)</f>
        <v>SAMP-KG01-L24-20251103-ORD-2025-00255-H16-Overpress</v>
      </c>
      <c r="K1687" s="1" t="str">
        <f aca="false">IF(A1687="","",IF(AND(G1687&gt;=0,I1687&gt;=0,I1687&lt;=G1687),"OK","CHECK"))</f>
        <v>OK</v>
      </c>
      <c r="L1687" s="1" t="str">
        <f aca="false">IF(A1687="","",IF(AND(E1687&gt;=0,E1687&lt;=23),"OK","CHECK"))</f>
        <v>OK</v>
      </c>
      <c r="M1687" s="1" t="str">
        <f aca="false">IF(A1687="","",IF(AND(K1687="OK",L1687="OK"),"OK","CHECK"))</f>
        <v>OK</v>
      </c>
    </row>
    <row r="1688" customFormat="false" ht="18" hidden="false" customHeight="true" outlineLevel="0" collapsed="false">
      <c r="A1688" s="9" t="s">
        <v>26</v>
      </c>
      <c r="B1688" s="9" t="n">
        <v>24</v>
      </c>
      <c r="C1688" s="11" t="n">
        <v>45964</v>
      </c>
      <c r="D1688" s="9" t="s">
        <v>144</v>
      </c>
      <c r="E1688" s="12" t="n">
        <v>20</v>
      </c>
      <c r="F1688" s="9" t="s">
        <v>31</v>
      </c>
      <c r="G1688" s="13" t="n">
        <v>100</v>
      </c>
      <c r="H1688" s="9" t="s">
        <v>36</v>
      </c>
      <c r="I1688" s="13" t="n">
        <v>3</v>
      </c>
      <c r="J1688" s="1" t="str">
        <f aca="false">IF(A1688="","", "SAMP-"&amp;A1688&amp;"-L"&amp;TEXT(B1688,"00")&amp;"-"&amp;TEXT(C1688,"yyyymmdd")&amp;"-"&amp;D1688&amp;"-H"&amp;TEXT(E1688,"00")&amp;"-"&amp;H1688)</f>
        <v>SAMP-KG01-L24-20251103-ORD-2025-00255-H20-Blister</v>
      </c>
      <c r="K1688" s="1" t="str">
        <f aca="false">IF(A1688="","",IF(AND(G1688&gt;=0,I1688&gt;=0,I1688&lt;=G1688),"OK","CHECK"))</f>
        <v>OK</v>
      </c>
      <c r="L1688" s="1" t="str">
        <f aca="false">IF(A1688="","",IF(AND(E1688&gt;=0,E1688&lt;=23),"OK","CHECK"))</f>
        <v>OK</v>
      </c>
      <c r="M1688" s="1" t="str">
        <f aca="false">IF(A1688="","",IF(AND(K1688="OK",L1688="OK"),"OK","CHECK"))</f>
        <v>OK</v>
      </c>
    </row>
    <row r="1689" customFormat="false" ht="18" hidden="false" customHeight="true" outlineLevel="0" collapsed="false">
      <c r="A1689" s="9" t="s">
        <v>26</v>
      </c>
      <c r="B1689" s="9" t="n">
        <v>24</v>
      </c>
      <c r="C1689" s="11" t="n">
        <v>45965</v>
      </c>
      <c r="D1689" s="9" t="s">
        <v>144</v>
      </c>
      <c r="E1689" s="12" t="n">
        <v>7</v>
      </c>
      <c r="F1689" s="9" t="s">
        <v>28</v>
      </c>
      <c r="G1689" s="13" t="n">
        <v>50</v>
      </c>
      <c r="H1689" s="9" t="s">
        <v>35</v>
      </c>
      <c r="I1689" s="13" t="n">
        <v>0</v>
      </c>
      <c r="J1689" s="1" t="str">
        <f aca="false">IF(A1689="","", "SAMP-"&amp;A1689&amp;"-L"&amp;TEXT(B1689,"00")&amp;"-"&amp;TEXT(C1689,"yyyymmdd")&amp;"-"&amp;D1689&amp;"-H"&amp;TEXT(E1689,"00")&amp;"-"&amp;H1689)</f>
        <v>SAMP-KG01-L24-20251104-ORD-2025-00255-H07-Stone</v>
      </c>
      <c r="K1689" s="1" t="str">
        <f aca="false">IF(A1689="","",IF(AND(G1689&gt;=0,I1689&gt;=0,I1689&lt;=G1689),"OK","CHECK"))</f>
        <v>OK</v>
      </c>
      <c r="L1689" s="1" t="str">
        <f aca="false">IF(A1689="","",IF(AND(E1689&gt;=0,E1689&lt;=23),"OK","CHECK"))</f>
        <v>OK</v>
      </c>
      <c r="M1689" s="1" t="str">
        <f aca="false">IF(A1689="","",IF(AND(K1689="OK",L1689="OK"),"OK","CHECK"))</f>
        <v>OK</v>
      </c>
    </row>
    <row r="1690" customFormat="false" ht="18" hidden="false" customHeight="true" outlineLevel="0" collapsed="false">
      <c r="A1690" s="9" t="s">
        <v>26</v>
      </c>
      <c r="B1690" s="9" t="n">
        <v>24</v>
      </c>
      <c r="C1690" s="11" t="n">
        <v>45965</v>
      </c>
      <c r="D1690" s="9" t="s">
        <v>144</v>
      </c>
      <c r="E1690" s="12" t="n">
        <v>12</v>
      </c>
      <c r="F1690" s="9" t="s">
        <v>28</v>
      </c>
      <c r="G1690" s="13" t="n">
        <v>150</v>
      </c>
      <c r="H1690" s="9" t="s">
        <v>38</v>
      </c>
      <c r="I1690" s="13" t="n">
        <v>3</v>
      </c>
      <c r="J1690" s="1" t="str">
        <f aca="false">IF(A1690="","", "SAMP-"&amp;A1690&amp;"-L"&amp;TEXT(B1690,"00")&amp;"-"&amp;TEXT(C1690,"yyyymmdd")&amp;"-"&amp;D1690&amp;"-H"&amp;TEXT(E1690,"00")&amp;"-"&amp;H1690)</f>
        <v>SAMP-KG01-L24-20251104-ORD-2025-00255-H12-Crack</v>
      </c>
      <c r="K1690" s="1" t="str">
        <f aca="false">IF(A1690="","",IF(AND(G1690&gt;=0,I1690&gt;=0,I1690&lt;=G1690),"OK","CHECK"))</f>
        <v>OK</v>
      </c>
      <c r="L1690" s="1" t="str">
        <f aca="false">IF(A1690="","",IF(AND(E1690&gt;=0,E1690&lt;=23),"OK","CHECK"))</f>
        <v>OK</v>
      </c>
      <c r="M1690" s="1" t="str">
        <f aca="false">IF(A1690="","",IF(AND(K1690="OK",L1690="OK"),"OK","CHECK"))</f>
        <v>OK</v>
      </c>
    </row>
    <row r="1691" customFormat="false" ht="18" hidden="false" customHeight="true" outlineLevel="0" collapsed="false">
      <c r="A1691" s="9" t="s">
        <v>26</v>
      </c>
      <c r="B1691" s="9" t="n">
        <v>24</v>
      </c>
      <c r="C1691" s="11" t="n">
        <v>45965</v>
      </c>
      <c r="D1691" s="9" t="s">
        <v>144</v>
      </c>
      <c r="E1691" s="12" t="n">
        <v>9</v>
      </c>
      <c r="F1691" s="9" t="s">
        <v>28</v>
      </c>
      <c r="G1691" s="13" t="n">
        <v>50</v>
      </c>
      <c r="H1691" s="9" t="s">
        <v>38</v>
      </c>
      <c r="I1691" s="13" t="n">
        <v>1</v>
      </c>
      <c r="J1691" s="1" t="str">
        <f aca="false">IF(A1691="","", "SAMP-"&amp;A1691&amp;"-L"&amp;TEXT(B1691,"00")&amp;"-"&amp;TEXT(C1691,"yyyymmdd")&amp;"-"&amp;D1691&amp;"-H"&amp;TEXT(E1691,"00")&amp;"-"&amp;H1691)</f>
        <v>SAMP-KG01-L24-20251104-ORD-2025-00255-H09-Crack</v>
      </c>
      <c r="K1691" s="1" t="str">
        <f aca="false">IF(A1691="","",IF(AND(G1691&gt;=0,I1691&gt;=0,I1691&lt;=G1691),"OK","CHECK"))</f>
        <v>OK</v>
      </c>
      <c r="L1691" s="1" t="str">
        <f aca="false">IF(A1691="","",IF(AND(E1691&gt;=0,E1691&lt;=23),"OK","CHECK"))</f>
        <v>OK</v>
      </c>
      <c r="M1691" s="1" t="str">
        <f aca="false">IF(A1691="","",IF(AND(K1691="OK",L1691="OK"),"OK","CHECK"))</f>
        <v>OK</v>
      </c>
    </row>
    <row r="1692" customFormat="false" ht="18" hidden="false" customHeight="true" outlineLevel="0" collapsed="false">
      <c r="A1692" s="9" t="s">
        <v>26</v>
      </c>
      <c r="B1692" s="9" t="n">
        <v>24</v>
      </c>
      <c r="C1692" s="11" t="n">
        <v>45965</v>
      </c>
      <c r="D1692" s="9" t="s">
        <v>144</v>
      </c>
      <c r="E1692" s="12" t="n">
        <v>23</v>
      </c>
      <c r="F1692" s="9" t="s">
        <v>31</v>
      </c>
      <c r="G1692" s="13" t="n">
        <v>100</v>
      </c>
      <c r="H1692" s="9" t="s">
        <v>33</v>
      </c>
      <c r="I1692" s="13" t="n">
        <v>1</v>
      </c>
      <c r="J1692" s="1" t="str">
        <f aca="false">IF(A1692="","", "SAMP-"&amp;A1692&amp;"-L"&amp;TEXT(B1692,"00")&amp;"-"&amp;TEXT(C1692,"yyyymmdd")&amp;"-"&amp;D1692&amp;"-H"&amp;TEXT(E1692,"00")&amp;"-"&amp;H1692)</f>
        <v>SAMP-KG01-L24-20251104-ORD-2025-00255-H23-Distortion</v>
      </c>
      <c r="K1692" s="1" t="str">
        <f aca="false">IF(A1692="","",IF(AND(G1692&gt;=0,I1692&gt;=0,I1692&lt;=G1692),"OK","CHECK"))</f>
        <v>OK</v>
      </c>
      <c r="L1692" s="1" t="str">
        <f aca="false">IF(A1692="","",IF(AND(E1692&gt;=0,E1692&lt;=23),"OK","CHECK"))</f>
        <v>OK</v>
      </c>
      <c r="M1692" s="1" t="str">
        <f aca="false">IF(A1692="","",IF(AND(K1692="OK",L1692="OK"),"OK","CHECK"))</f>
        <v>OK</v>
      </c>
    </row>
    <row r="1693" customFormat="false" ht="18" hidden="false" customHeight="true" outlineLevel="0" collapsed="false">
      <c r="A1693" s="9" t="s">
        <v>26</v>
      </c>
      <c r="B1693" s="9" t="n">
        <v>24</v>
      </c>
      <c r="C1693" s="11" t="n">
        <v>45965</v>
      </c>
      <c r="D1693" s="9" t="s">
        <v>144</v>
      </c>
      <c r="E1693" s="12" t="n">
        <v>16</v>
      </c>
      <c r="F1693" s="9" t="s">
        <v>31</v>
      </c>
      <c r="G1693" s="13" t="n">
        <v>200</v>
      </c>
      <c r="H1693" s="9" t="s">
        <v>41</v>
      </c>
      <c r="I1693" s="13" t="n">
        <v>6</v>
      </c>
      <c r="J1693" s="1" t="str">
        <f aca="false">IF(A1693="","", "SAMP-"&amp;A1693&amp;"-L"&amp;TEXT(B1693,"00")&amp;"-"&amp;TEXT(C1693,"yyyymmdd")&amp;"-"&amp;D1693&amp;"-H"&amp;TEXT(E1693,"00")&amp;"-"&amp;H1693)</f>
        <v>SAMP-KG01-L24-20251104-ORD-2025-00255-H16-Chip</v>
      </c>
      <c r="K1693" s="1" t="str">
        <f aca="false">IF(A1693="","",IF(AND(G1693&gt;=0,I1693&gt;=0,I1693&lt;=G1693),"OK","CHECK"))</f>
        <v>OK</v>
      </c>
      <c r="L1693" s="1" t="str">
        <f aca="false">IF(A1693="","",IF(AND(E1693&gt;=0,E1693&lt;=23),"OK","CHECK"))</f>
        <v>OK</v>
      </c>
      <c r="M1693" s="1" t="str">
        <f aca="false">IF(A1693="","",IF(AND(K1693="OK",L1693="OK"),"OK","CHECK"))</f>
        <v>OK</v>
      </c>
    </row>
    <row r="1694" customFormat="false" ht="18" hidden="false" customHeight="true" outlineLevel="0" collapsed="false">
      <c r="A1694" s="9" t="s">
        <v>26</v>
      </c>
      <c r="B1694" s="9" t="n">
        <v>24</v>
      </c>
      <c r="C1694" s="11" t="n">
        <v>45966</v>
      </c>
      <c r="D1694" s="9" t="s">
        <v>144</v>
      </c>
      <c r="E1694" s="12" t="n">
        <v>7</v>
      </c>
      <c r="F1694" s="9" t="s">
        <v>28</v>
      </c>
      <c r="G1694" s="13" t="n">
        <v>50</v>
      </c>
      <c r="H1694" s="9" t="s">
        <v>36</v>
      </c>
      <c r="I1694" s="13" t="n">
        <v>1</v>
      </c>
      <c r="J1694" s="1" t="str">
        <f aca="false">IF(A1694="","", "SAMP-"&amp;A1694&amp;"-L"&amp;TEXT(B1694,"00")&amp;"-"&amp;TEXT(C1694,"yyyymmdd")&amp;"-"&amp;D1694&amp;"-H"&amp;TEXT(E1694,"00")&amp;"-"&amp;H1694)</f>
        <v>SAMP-KG01-L24-20251105-ORD-2025-00255-H07-Blister</v>
      </c>
      <c r="K1694" s="1" t="str">
        <f aca="false">IF(A1694="","",IF(AND(G1694&gt;=0,I1694&gt;=0,I1694&lt;=G1694),"OK","CHECK"))</f>
        <v>OK</v>
      </c>
      <c r="L1694" s="1" t="str">
        <f aca="false">IF(A1694="","",IF(AND(E1694&gt;=0,E1694&lt;=23),"OK","CHECK"))</f>
        <v>OK</v>
      </c>
      <c r="M1694" s="1" t="str">
        <f aca="false">IF(A1694="","",IF(AND(K1694="OK",L1694="OK"),"OK","CHECK"))</f>
        <v>OK</v>
      </c>
    </row>
    <row r="1695" customFormat="false" ht="18" hidden="false" customHeight="true" outlineLevel="0" collapsed="false">
      <c r="A1695" s="9" t="s">
        <v>26</v>
      </c>
      <c r="B1695" s="9" t="n">
        <v>24</v>
      </c>
      <c r="C1695" s="11" t="n">
        <v>45966</v>
      </c>
      <c r="D1695" s="9" t="s">
        <v>144</v>
      </c>
      <c r="E1695" s="12" t="n">
        <v>12</v>
      </c>
      <c r="F1695" s="9" t="s">
        <v>28</v>
      </c>
      <c r="G1695" s="13" t="n">
        <v>200</v>
      </c>
      <c r="H1695" s="9" t="s">
        <v>41</v>
      </c>
      <c r="I1695" s="13" t="n">
        <v>0</v>
      </c>
      <c r="J1695" s="1" t="str">
        <f aca="false">IF(A1695="","", "SAMP-"&amp;A1695&amp;"-L"&amp;TEXT(B1695,"00")&amp;"-"&amp;TEXT(C1695,"yyyymmdd")&amp;"-"&amp;D1695&amp;"-H"&amp;TEXT(E1695,"00")&amp;"-"&amp;H1695)</f>
        <v>SAMP-KG01-L24-20251105-ORD-2025-00255-H12-Chip</v>
      </c>
      <c r="K1695" s="1" t="str">
        <f aca="false">IF(A1695="","",IF(AND(G1695&gt;=0,I1695&gt;=0,I1695&lt;=G1695),"OK","CHECK"))</f>
        <v>OK</v>
      </c>
      <c r="L1695" s="1" t="str">
        <f aca="false">IF(A1695="","",IF(AND(E1695&gt;=0,E1695&lt;=23),"OK","CHECK"))</f>
        <v>OK</v>
      </c>
      <c r="M1695" s="1" t="str">
        <f aca="false">IF(A1695="","",IF(AND(K1695="OK",L1695="OK"),"OK","CHECK"))</f>
        <v>OK</v>
      </c>
    </row>
    <row r="1696" customFormat="false" ht="18" hidden="false" customHeight="true" outlineLevel="0" collapsed="false">
      <c r="A1696" s="9" t="s">
        <v>26</v>
      </c>
      <c r="B1696" s="9" t="n">
        <v>24</v>
      </c>
      <c r="C1696" s="11" t="n">
        <v>45966</v>
      </c>
      <c r="D1696" s="9" t="s">
        <v>144</v>
      </c>
      <c r="E1696" s="12" t="n">
        <v>16</v>
      </c>
      <c r="F1696" s="9" t="s">
        <v>31</v>
      </c>
      <c r="G1696" s="13" t="n">
        <v>200</v>
      </c>
      <c r="H1696" s="9" t="s">
        <v>35</v>
      </c>
      <c r="I1696" s="13" t="n">
        <v>4</v>
      </c>
      <c r="J1696" s="1" t="str">
        <f aca="false">IF(A1696="","", "SAMP-"&amp;A1696&amp;"-L"&amp;TEXT(B1696,"00")&amp;"-"&amp;TEXT(C1696,"yyyymmdd")&amp;"-"&amp;D1696&amp;"-H"&amp;TEXT(E1696,"00")&amp;"-"&amp;H1696)</f>
        <v>SAMP-KG01-L24-20251105-ORD-2025-00255-H16-Stone</v>
      </c>
      <c r="K1696" s="1" t="str">
        <f aca="false">IF(A1696="","",IF(AND(G1696&gt;=0,I1696&gt;=0,I1696&lt;=G1696),"OK","CHECK"))</f>
        <v>OK</v>
      </c>
      <c r="L1696" s="1" t="str">
        <f aca="false">IF(A1696="","",IF(AND(E1696&gt;=0,E1696&lt;=23),"OK","CHECK"))</f>
        <v>OK</v>
      </c>
      <c r="M1696" s="1" t="str">
        <f aca="false">IF(A1696="","",IF(AND(K1696="OK",L1696="OK"),"OK","CHECK"))</f>
        <v>OK</v>
      </c>
    </row>
    <row r="1697" customFormat="false" ht="18" hidden="false" customHeight="true" outlineLevel="0" collapsed="false">
      <c r="A1697" s="9" t="s">
        <v>26</v>
      </c>
      <c r="B1697" s="9" t="n">
        <v>24</v>
      </c>
      <c r="C1697" s="11" t="n">
        <v>45966</v>
      </c>
      <c r="D1697" s="9" t="s">
        <v>144</v>
      </c>
      <c r="E1697" s="12" t="n">
        <v>23</v>
      </c>
      <c r="F1697" s="9" t="s">
        <v>31</v>
      </c>
      <c r="G1697" s="13" t="n">
        <v>150</v>
      </c>
      <c r="H1697" s="9" t="s">
        <v>37</v>
      </c>
      <c r="I1697" s="13" t="n">
        <v>2</v>
      </c>
      <c r="J1697" s="1" t="str">
        <f aca="false">IF(A1697="","", "SAMP-"&amp;A1697&amp;"-L"&amp;TEXT(B1697,"00")&amp;"-"&amp;TEXT(C1697,"yyyymmdd")&amp;"-"&amp;D1697&amp;"-H"&amp;TEXT(E1697,"00")&amp;"-"&amp;H1697)</f>
        <v>SAMP-KG01-L24-20251105-ORD-2025-00255-H23-Bird Swing</v>
      </c>
      <c r="K1697" s="1" t="str">
        <f aca="false">IF(A1697="","",IF(AND(G1697&gt;=0,I1697&gt;=0,I1697&lt;=G1697),"OK","CHECK"))</f>
        <v>OK</v>
      </c>
      <c r="L1697" s="1" t="str">
        <f aca="false">IF(A1697="","",IF(AND(E1697&gt;=0,E1697&lt;=23),"OK","CHECK"))</f>
        <v>OK</v>
      </c>
      <c r="M1697" s="1" t="str">
        <f aca="false">IF(A1697="","",IF(AND(K1697="OK",L1697="OK"),"OK","CHECK"))</f>
        <v>OK</v>
      </c>
    </row>
    <row r="1698" customFormat="false" ht="18" hidden="false" customHeight="true" outlineLevel="0" collapsed="false">
      <c r="A1698" s="9" t="s">
        <v>26</v>
      </c>
      <c r="B1698" s="9" t="n">
        <v>24</v>
      </c>
      <c r="C1698" s="11" t="n">
        <v>45966</v>
      </c>
      <c r="D1698" s="9" t="s">
        <v>144</v>
      </c>
      <c r="E1698" s="12" t="n">
        <v>20</v>
      </c>
      <c r="F1698" s="9" t="s">
        <v>31</v>
      </c>
      <c r="G1698" s="13" t="n">
        <v>150</v>
      </c>
      <c r="H1698" s="9" t="s">
        <v>38</v>
      </c>
      <c r="I1698" s="13" t="n">
        <v>3</v>
      </c>
      <c r="J1698" s="1" t="str">
        <f aca="false">IF(A1698="","", "SAMP-"&amp;A1698&amp;"-L"&amp;TEXT(B1698,"00")&amp;"-"&amp;TEXT(C1698,"yyyymmdd")&amp;"-"&amp;D1698&amp;"-H"&amp;TEXT(E1698,"00")&amp;"-"&amp;H1698)</f>
        <v>SAMP-KG01-L24-20251105-ORD-2025-00255-H20-Crack</v>
      </c>
      <c r="K1698" s="1" t="str">
        <f aca="false">IF(A1698="","",IF(AND(G1698&gt;=0,I1698&gt;=0,I1698&lt;=G1698),"OK","CHECK"))</f>
        <v>OK</v>
      </c>
      <c r="L1698" s="1" t="str">
        <f aca="false">IF(A1698="","",IF(AND(E1698&gt;=0,E1698&lt;=23),"OK","CHECK"))</f>
        <v>OK</v>
      </c>
      <c r="M1698" s="1" t="str">
        <f aca="false">IF(A1698="","",IF(AND(K1698="OK",L1698="OK"),"OK","CHECK"))</f>
        <v>OK</v>
      </c>
    </row>
    <row r="1699" customFormat="false" ht="18" hidden="false" customHeight="true" outlineLevel="0" collapsed="false">
      <c r="A1699" s="9" t="s">
        <v>26</v>
      </c>
      <c r="B1699" s="9" t="n">
        <v>24</v>
      </c>
      <c r="C1699" s="11" t="n">
        <v>45967</v>
      </c>
      <c r="D1699" s="9" t="s">
        <v>144</v>
      </c>
      <c r="E1699" s="12" t="n">
        <v>7</v>
      </c>
      <c r="F1699" s="9" t="s">
        <v>28</v>
      </c>
      <c r="G1699" s="13" t="n">
        <v>150</v>
      </c>
      <c r="H1699" s="9" t="s">
        <v>33</v>
      </c>
      <c r="I1699" s="13" t="n">
        <v>0</v>
      </c>
      <c r="J1699" s="1" t="str">
        <f aca="false">IF(A1699="","", "SAMP-"&amp;A1699&amp;"-L"&amp;TEXT(B1699,"00")&amp;"-"&amp;TEXT(C1699,"yyyymmdd")&amp;"-"&amp;D1699&amp;"-H"&amp;TEXT(E1699,"00")&amp;"-"&amp;H1699)</f>
        <v>SAMP-KG01-L24-20251106-ORD-2025-00255-H07-Distortion</v>
      </c>
      <c r="K1699" s="1" t="str">
        <f aca="false">IF(A1699="","",IF(AND(G1699&gt;=0,I1699&gt;=0,I1699&lt;=G1699),"OK","CHECK"))</f>
        <v>OK</v>
      </c>
      <c r="L1699" s="1" t="str">
        <f aca="false">IF(A1699="","",IF(AND(E1699&gt;=0,E1699&lt;=23),"OK","CHECK"))</f>
        <v>OK</v>
      </c>
      <c r="M1699" s="1" t="str">
        <f aca="false">IF(A1699="","",IF(AND(K1699="OK",L1699="OK"),"OK","CHECK"))</f>
        <v>OK</v>
      </c>
    </row>
    <row r="1700" customFormat="false" ht="18" hidden="false" customHeight="true" outlineLevel="0" collapsed="false">
      <c r="A1700" s="9" t="s">
        <v>26</v>
      </c>
      <c r="B1700" s="9" t="n">
        <v>24</v>
      </c>
      <c r="C1700" s="11" t="n">
        <v>45967</v>
      </c>
      <c r="D1700" s="9" t="s">
        <v>144</v>
      </c>
      <c r="E1700" s="12" t="n">
        <v>12</v>
      </c>
      <c r="F1700" s="9" t="s">
        <v>28</v>
      </c>
      <c r="G1700" s="13" t="n">
        <v>100</v>
      </c>
      <c r="H1700" s="9" t="s">
        <v>33</v>
      </c>
      <c r="I1700" s="13" t="n">
        <v>3</v>
      </c>
      <c r="J1700" s="1" t="str">
        <f aca="false">IF(A1700="","", "SAMP-"&amp;A1700&amp;"-L"&amp;TEXT(B1700,"00")&amp;"-"&amp;TEXT(C1700,"yyyymmdd")&amp;"-"&amp;D1700&amp;"-H"&amp;TEXT(E1700,"00")&amp;"-"&amp;H1700)</f>
        <v>SAMP-KG01-L24-20251106-ORD-2025-00255-H12-Distortion</v>
      </c>
      <c r="K1700" s="1" t="str">
        <f aca="false">IF(A1700="","",IF(AND(G1700&gt;=0,I1700&gt;=0,I1700&lt;=G1700),"OK","CHECK"))</f>
        <v>OK</v>
      </c>
      <c r="L1700" s="1" t="str">
        <f aca="false">IF(A1700="","",IF(AND(E1700&gt;=0,E1700&lt;=23),"OK","CHECK"))</f>
        <v>OK</v>
      </c>
      <c r="M1700" s="1" t="str">
        <f aca="false">IF(A1700="","",IF(AND(K1700="OK",L1700="OK"),"OK","CHECK"))</f>
        <v>OK</v>
      </c>
    </row>
    <row r="1701" customFormat="false" ht="18" hidden="false" customHeight="true" outlineLevel="0" collapsed="false">
      <c r="A1701" s="9" t="s">
        <v>26</v>
      </c>
      <c r="B1701" s="9" t="n">
        <v>24</v>
      </c>
      <c r="C1701" s="11" t="n">
        <v>45967</v>
      </c>
      <c r="D1701" s="9" t="s">
        <v>144</v>
      </c>
      <c r="E1701" s="12" t="n">
        <v>9</v>
      </c>
      <c r="F1701" s="9" t="s">
        <v>28</v>
      </c>
      <c r="G1701" s="13" t="n">
        <v>200</v>
      </c>
      <c r="H1701" s="9" t="s">
        <v>34</v>
      </c>
      <c r="I1701" s="13" t="n">
        <v>5</v>
      </c>
      <c r="J1701" s="1" t="str">
        <f aca="false">IF(A1701="","", "SAMP-"&amp;A1701&amp;"-L"&amp;TEXT(B1701,"00")&amp;"-"&amp;TEXT(C1701,"yyyymmdd")&amp;"-"&amp;D1701&amp;"-H"&amp;TEXT(E1701,"00")&amp;"-"&amp;H1701)</f>
        <v>SAMP-KG01-L24-20251106-ORD-2025-00255-H09-Thin Wall</v>
      </c>
      <c r="K1701" s="1" t="str">
        <f aca="false">IF(A1701="","",IF(AND(G1701&gt;=0,I1701&gt;=0,I1701&lt;=G1701),"OK","CHECK"))</f>
        <v>OK</v>
      </c>
      <c r="L1701" s="1" t="str">
        <f aca="false">IF(A1701="","",IF(AND(E1701&gt;=0,E1701&lt;=23),"OK","CHECK"))</f>
        <v>OK</v>
      </c>
      <c r="M1701" s="1" t="str">
        <f aca="false">IF(A1701="","",IF(AND(K1701="OK",L1701="OK"),"OK","CHECK"))</f>
        <v>OK</v>
      </c>
    </row>
    <row r="1702" customFormat="false" ht="18" hidden="false" customHeight="true" outlineLevel="0" collapsed="false">
      <c r="A1702" s="9" t="s">
        <v>26</v>
      </c>
      <c r="B1702" s="9" t="n">
        <v>24</v>
      </c>
      <c r="C1702" s="11" t="n">
        <v>45967</v>
      </c>
      <c r="D1702" s="9" t="s">
        <v>144</v>
      </c>
      <c r="E1702" s="12" t="n">
        <v>20</v>
      </c>
      <c r="F1702" s="9" t="s">
        <v>31</v>
      </c>
      <c r="G1702" s="13" t="n">
        <v>200</v>
      </c>
      <c r="H1702" s="9" t="s">
        <v>35</v>
      </c>
      <c r="I1702" s="13" t="n">
        <v>2</v>
      </c>
      <c r="J1702" s="1" t="str">
        <f aca="false">IF(A1702="","", "SAMP-"&amp;A1702&amp;"-L"&amp;TEXT(B1702,"00")&amp;"-"&amp;TEXT(C1702,"yyyymmdd")&amp;"-"&amp;D1702&amp;"-H"&amp;TEXT(E1702,"00")&amp;"-"&amp;H1702)</f>
        <v>SAMP-KG01-L24-20251106-ORD-2025-00255-H20-Stone</v>
      </c>
      <c r="K1702" s="1" t="str">
        <f aca="false">IF(A1702="","",IF(AND(G1702&gt;=0,I1702&gt;=0,I1702&lt;=G1702),"OK","CHECK"))</f>
        <v>OK</v>
      </c>
      <c r="L1702" s="1" t="str">
        <f aca="false">IF(A1702="","",IF(AND(E1702&gt;=0,E1702&lt;=23),"OK","CHECK"))</f>
        <v>OK</v>
      </c>
      <c r="M1702" s="1" t="str">
        <f aca="false">IF(A1702="","",IF(AND(K1702="OK",L1702="OK"),"OK","CHECK"))</f>
        <v>OK</v>
      </c>
    </row>
    <row r="1703" customFormat="false" ht="18" hidden="false" customHeight="true" outlineLevel="0" collapsed="false">
      <c r="A1703" s="9" t="s">
        <v>26</v>
      </c>
      <c r="B1703" s="9" t="n">
        <v>24</v>
      </c>
      <c r="C1703" s="11" t="n">
        <v>45967</v>
      </c>
      <c r="D1703" s="9" t="s">
        <v>144</v>
      </c>
      <c r="E1703" s="12" t="n">
        <v>23</v>
      </c>
      <c r="F1703" s="9" t="s">
        <v>31</v>
      </c>
      <c r="G1703" s="13" t="n">
        <v>100</v>
      </c>
      <c r="H1703" s="9" t="s">
        <v>34</v>
      </c>
      <c r="I1703" s="13" t="n">
        <v>2</v>
      </c>
      <c r="J1703" s="1" t="str">
        <f aca="false">IF(A1703="","", "SAMP-"&amp;A1703&amp;"-L"&amp;TEXT(B1703,"00")&amp;"-"&amp;TEXT(C1703,"yyyymmdd")&amp;"-"&amp;D1703&amp;"-H"&amp;TEXT(E1703,"00")&amp;"-"&amp;H1703)</f>
        <v>SAMP-KG01-L24-20251106-ORD-2025-00255-H23-Thin Wall</v>
      </c>
      <c r="K1703" s="1" t="str">
        <f aca="false">IF(A1703="","",IF(AND(G1703&gt;=0,I1703&gt;=0,I1703&lt;=G1703),"OK","CHECK"))</f>
        <v>OK</v>
      </c>
      <c r="L1703" s="1" t="str">
        <f aca="false">IF(A1703="","",IF(AND(E1703&gt;=0,E1703&lt;=23),"OK","CHECK"))</f>
        <v>OK</v>
      </c>
      <c r="M1703" s="1" t="str">
        <f aca="false">IF(A1703="","",IF(AND(K1703="OK",L1703="OK"),"OK","CHECK"))</f>
        <v>OK</v>
      </c>
    </row>
    <row r="1704" customFormat="false" ht="18" hidden="false" customHeight="true" outlineLevel="0" collapsed="false">
      <c r="A1704" s="9" t="s">
        <v>26</v>
      </c>
      <c r="B1704" s="9" t="n">
        <v>24</v>
      </c>
      <c r="C1704" s="11" t="n">
        <v>45968</v>
      </c>
      <c r="D1704" s="9" t="s">
        <v>144</v>
      </c>
      <c r="E1704" s="12" t="n">
        <v>12</v>
      </c>
      <c r="F1704" s="9" t="s">
        <v>28</v>
      </c>
      <c r="G1704" s="13" t="n">
        <v>150</v>
      </c>
      <c r="H1704" s="9" t="s">
        <v>37</v>
      </c>
      <c r="I1704" s="13" t="n">
        <v>4</v>
      </c>
      <c r="J1704" s="1" t="str">
        <f aca="false">IF(A1704="","", "SAMP-"&amp;A1704&amp;"-L"&amp;TEXT(B1704,"00")&amp;"-"&amp;TEXT(C1704,"yyyymmdd")&amp;"-"&amp;D1704&amp;"-H"&amp;TEXT(E1704,"00")&amp;"-"&amp;H1704)</f>
        <v>SAMP-KG01-L24-20251107-ORD-2025-00255-H12-Bird Swing</v>
      </c>
      <c r="K1704" s="1" t="str">
        <f aca="false">IF(A1704="","",IF(AND(G1704&gt;=0,I1704&gt;=0,I1704&lt;=G1704),"OK","CHECK"))</f>
        <v>OK</v>
      </c>
      <c r="L1704" s="1" t="str">
        <f aca="false">IF(A1704="","",IF(AND(E1704&gt;=0,E1704&lt;=23),"OK","CHECK"))</f>
        <v>OK</v>
      </c>
      <c r="M1704" s="1" t="str">
        <f aca="false">IF(A1704="","",IF(AND(K1704="OK",L1704="OK"),"OK","CHECK"))</f>
        <v>OK</v>
      </c>
    </row>
    <row r="1705" customFormat="false" ht="18" hidden="false" customHeight="true" outlineLevel="0" collapsed="false">
      <c r="A1705" s="9" t="s">
        <v>26</v>
      </c>
      <c r="B1705" s="9" t="n">
        <v>24</v>
      </c>
      <c r="C1705" s="11" t="n">
        <v>45968</v>
      </c>
      <c r="D1705" s="9" t="s">
        <v>144</v>
      </c>
      <c r="E1705" s="12" t="n">
        <v>7</v>
      </c>
      <c r="F1705" s="9" t="s">
        <v>28</v>
      </c>
      <c r="G1705" s="13" t="n">
        <v>50</v>
      </c>
      <c r="H1705" s="9" t="s">
        <v>41</v>
      </c>
      <c r="I1705" s="13" t="n">
        <v>2</v>
      </c>
      <c r="J1705" s="1" t="str">
        <f aca="false">IF(A1705="","", "SAMP-"&amp;A1705&amp;"-L"&amp;TEXT(B1705,"00")&amp;"-"&amp;TEXT(C1705,"yyyymmdd")&amp;"-"&amp;D1705&amp;"-H"&amp;TEXT(E1705,"00")&amp;"-"&amp;H1705)</f>
        <v>SAMP-KG01-L24-20251107-ORD-2025-00255-H07-Chip</v>
      </c>
      <c r="K1705" s="1" t="str">
        <f aca="false">IF(A1705="","",IF(AND(G1705&gt;=0,I1705&gt;=0,I1705&lt;=G1705),"OK","CHECK"))</f>
        <v>OK</v>
      </c>
      <c r="L1705" s="1" t="str">
        <f aca="false">IF(A1705="","",IF(AND(E1705&gt;=0,E1705&lt;=23),"OK","CHECK"))</f>
        <v>OK</v>
      </c>
      <c r="M1705" s="1" t="str">
        <f aca="false">IF(A1705="","",IF(AND(K1705="OK",L1705="OK"),"OK","CHECK"))</f>
        <v>OK</v>
      </c>
    </row>
    <row r="1706" customFormat="false" ht="18" hidden="false" customHeight="true" outlineLevel="0" collapsed="false">
      <c r="A1706" s="9" t="s">
        <v>26</v>
      </c>
      <c r="B1706" s="9" t="n">
        <v>24</v>
      </c>
      <c r="C1706" s="11" t="n">
        <v>45968</v>
      </c>
      <c r="D1706" s="9" t="s">
        <v>144</v>
      </c>
      <c r="E1706" s="12" t="n">
        <v>20</v>
      </c>
      <c r="F1706" s="9" t="s">
        <v>31</v>
      </c>
      <c r="G1706" s="13" t="n">
        <v>200</v>
      </c>
      <c r="H1706" s="9" t="s">
        <v>37</v>
      </c>
      <c r="I1706" s="13" t="n">
        <v>6</v>
      </c>
      <c r="J1706" s="1" t="str">
        <f aca="false">IF(A1706="","", "SAMP-"&amp;A1706&amp;"-L"&amp;TEXT(B1706,"00")&amp;"-"&amp;TEXT(C1706,"yyyymmdd")&amp;"-"&amp;D1706&amp;"-H"&amp;TEXT(E1706,"00")&amp;"-"&amp;H1706)</f>
        <v>SAMP-KG01-L24-20251107-ORD-2025-00255-H20-Bird Swing</v>
      </c>
      <c r="K1706" s="1" t="str">
        <f aca="false">IF(A1706="","",IF(AND(G1706&gt;=0,I1706&gt;=0,I1706&lt;=G1706),"OK","CHECK"))</f>
        <v>OK</v>
      </c>
      <c r="L1706" s="1" t="str">
        <f aca="false">IF(A1706="","",IF(AND(E1706&gt;=0,E1706&lt;=23),"OK","CHECK"))</f>
        <v>OK</v>
      </c>
      <c r="M1706" s="1" t="str">
        <f aca="false">IF(A1706="","",IF(AND(K1706="OK",L1706="OK"),"OK","CHECK"))</f>
        <v>OK</v>
      </c>
    </row>
    <row r="1707" customFormat="false" ht="18" hidden="false" customHeight="true" outlineLevel="0" collapsed="false">
      <c r="A1707" s="9" t="s">
        <v>26</v>
      </c>
      <c r="B1707" s="9" t="n">
        <v>24</v>
      </c>
      <c r="C1707" s="11" t="n">
        <v>45968</v>
      </c>
      <c r="D1707" s="9" t="s">
        <v>144</v>
      </c>
      <c r="E1707" s="12" t="n">
        <v>23</v>
      </c>
      <c r="F1707" s="9" t="s">
        <v>31</v>
      </c>
      <c r="G1707" s="13" t="n">
        <v>200</v>
      </c>
      <c r="H1707" s="9" t="s">
        <v>30</v>
      </c>
      <c r="I1707" s="13" t="n">
        <v>5</v>
      </c>
      <c r="J1707" s="1" t="str">
        <f aca="false">IF(A1707="","", "SAMP-"&amp;A1707&amp;"-L"&amp;TEXT(B1707,"00")&amp;"-"&amp;TEXT(C1707,"yyyymmdd")&amp;"-"&amp;D1707&amp;"-H"&amp;TEXT(E1707,"00")&amp;"-"&amp;H1707)</f>
        <v>SAMP-KG01-L24-20251107-ORD-2025-00255-H23-Overpress</v>
      </c>
      <c r="K1707" s="1" t="str">
        <f aca="false">IF(A1707="","",IF(AND(G1707&gt;=0,I1707&gt;=0,I1707&lt;=G1707),"OK","CHECK"))</f>
        <v>OK</v>
      </c>
      <c r="L1707" s="1" t="str">
        <f aca="false">IF(A1707="","",IF(AND(E1707&gt;=0,E1707&lt;=23),"OK","CHECK"))</f>
        <v>OK</v>
      </c>
      <c r="M1707" s="1" t="str">
        <f aca="false">IF(A1707="","",IF(AND(K1707="OK",L1707="OK"),"OK","CHECK"))</f>
        <v>OK</v>
      </c>
    </row>
    <row r="1708" customFormat="false" ht="18" hidden="false" customHeight="true" outlineLevel="0" collapsed="false">
      <c r="A1708" s="9" t="s">
        <v>26</v>
      </c>
      <c r="B1708" s="9" t="n">
        <v>24</v>
      </c>
      <c r="C1708" s="11" t="n">
        <v>45968</v>
      </c>
      <c r="D1708" s="9" t="s">
        <v>144</v>
      </c>
      <c r="E1708" s="12" t="n">
        <v>16</v>
      </c>
      <c r="F1708" s="9" t="s">
        <v>31</v>
      </c>
      <c r="G1708" s="13" t="n">
        <v>50</v>
      </c>
      <c r="H1708" s="9" t="s">
        <v>36</v>
      </c>
      <c r="I1708" s="13" t="n">
        <v>2</v>
      </c>
      <c r="J1708" s="1" t="str">
        <f aca="false">IF(A1708="","", "SAMP-"&amp;A1708&amp;"-L"&amp;TEXT(B1708,"00")&amp;"-"&amp;TEXT(C1708,"yyyymmdd")&amp;"-"&amp;D1708&amp;"-H"&amp;TEXT(E1708,"00")&amp;"-"&amp;H1708)</f>
        <v>SAMP-KG01-L24-20251107-ORD-2025-00255-H16-Blister</v>
      </c>
      <c r="K1708" s="1" t="str">
        <f aca="false">IF(A1708="","",IF(AND(G1708&gt;=0,I1708&gt;=0,I1708&lt;=G1708),"OK","CHECK"))</f>
        <v>OK</v>
      </c>
      <c r="L1708" s="1" t="str">
        <f aca="false">IF(A1708="","",IF(AND(E1708&gt;=0,E1708&lt;=23),"OK","CHECK"))</f>
        <v>OK</v>
      </c>
      <c r="M1708" s="1" t="str">
        <f aca="false">IF(A1708="","",IF(AND(K1708="OK",L1708="OK"),"OK","CHECK"))</f>
        <v>OK</v>
      </c>
    </row>
    <row r="1709" customFormat="false" ht="18" hidden="false" customHeight="true" outlineLevel="0" collapsed="false">
      <c r="A1709" s="9" t="s">
        <v>26</v>
      </c>
      <c r="B1709" s="9" t="n">
        <v>24</v>
      </c>
      <c r="C1709" s="11" t="n">
        <v>45969</v>
      </c>
      <c r="D1709" s="9" t="s">
        <v>145</v>
      </c>
      <c r="E1709" s="12" t="n">
        <v>12</v>
      </c>
      <c r="F1709" s="9" t="s">
        <v>28</v>
      </c>
      <c r="G1709" s="13" t="n">
        <v>200</v>
      </c>
      <c r="H1709" s="9" t="s">
        <v>29</v>
      </c>
      <c r="I1709" s="13" t="n">
        <v>5</v>
      </c>
      <c r="J1709" s="1" t="str">
        <f aca="false">IF(A1709="","", "SAMP-"&amp;A1709&amp;"-L"&amp;TEXT(B1709,"00")&amp;"-"&amp;TEXT(C1709,"yyyymmdd")&amp;"-"&amp;D1709&amp;"-H"&amp;TEXT(E1709,"00")&amp;"-"&amp;H1709)</f>
        <v>SAMP-KG01-L24-20251108-ORD-2025-00256-H12-Choke Neck</v>
      </c>
      <c r="K1709" s="1" t="str">
        <f aca="false">IF(A1709="","",IF(AND(G1709&gt;=0,I1709&gt;=0,I1709&lt;=G1709),"OK","CHECK"))</f>
        <v>OK</v>
      </c>
      <c r="L1709" s="1" t="str">
        <f aca="false">IF(A1709="","",IF(AND(E1709&gt;=0,E1709&lt;=23),"OK","CHECK"))</f>
        <v>OK</v>
      </c>
      <c r="M1709" s="1" t="str">
        <f aca="false">IF(A1709="","",IF(AND(K1709="OK",L1709="OK"),"OK","CHECK"))</f>
        <v>OK</v>
      </c>
    </row>
    <row r="1710" customFormat="false" ht="18" hidden="false" customHeight="true" outlineLevel="0" collapsed="false">
      <c r="A1710" s="9" t="s">
        <v>26</v>
      </c>
      <c r="B1710" s="9" t="n">
        <v>24</v>
      </c>
      <c r="C1710" s="11" t="n">
        <v>45969</v>
      </c>
      <c r="D1710" s="9" t="s">
        <v>145</v>
      </c>
      <c r="E1710" s="12" t="n">
        <v>9</v>
      </c>
      <c r="F1710" s="9" t="s">
        <v>28</v>
      </c>
      <c r="G1710" s="13" t="n">
        <v>50</v>
      </c>
      <c r="H1710" s="9" t="s">
        <v>30</v>
      </c>
      <c r="I1710" s="13" t="n">
        <v>0</v>
      </c>
      <c r="J1710" s="1" t="str">
        <f aca="false">IF(A1710="","", "SAMP-"&amp;A1710&amp;"-L"&amp;TEXT(B1710,"00")&amp;"-"&amp;TEXT(C1710,"yyyymmdd")&amp;"-"&amp;D1710&amp;"-H"&amp;TEXT(E1710,"00")&amp;"-"&amp;H1710)</f>
        <v>SAMP-KG01-L24-20251108-ORD-2025-00256-H09-Overpress</v>
      </c>
      <c r="K1710" s="1" t="str">
        <f aca="false">IF(A1710="","",IF(AND(G1710&gt;=0,I1710&gt;=0,I1710&lt;=G1710),"OK","CHECK"))</f>
        <v>OK</v>
      </c>
      <c r="L1710" s="1" t="str">
        <f aca="false">IF(A1710="","",IF(AND(E1710&gt;=0,E1710&lt;=23),"OK","CHECK"))</f>
        <v>OK</v>
      </c>
      <c r="M1710" s="1" t="str">
        <f aca="false">IF(A1710="","",IF(AND(K1710="OK",L1710="OK"),"OK","CHECK"))</f>
        <v>OK</v>
      </c>
    </row>
    <row r="1711" customFormat="false" ht="18" hidden="false" customHeight="true" outlineLevel="0" collapsed="false">
      <c r="A1711" s="9" t="s">
        <v>26</v>
      </c>
      <c r="B1711" s="9" t="n">
        <v>24</v>
      </c>
      <c r="C1711" s="11" t="n">
        <v>45969</v>
      </c>
      <c r="D1711" s="9" t="s">
        <v>145</v>
      </c>
      <c r="E1711" s="12" t="n">
        <v>16</v>
      </c>
      <c r="F1711" s="9" t="s">
        <v>31</v>
      </c>
      <c r="G1711" s="13" t="n">
        <v>100</v>
      </c>
      <c r="H1711" s="9" t="s">
        <v>41</v>
      </c>
      <c r="I1711" s="13" t="n">
        <v>0</v>
      </c>
      <c r="J1711" s="1" t="str">
        <f aca="false">IF(A1711="","", "SAMP-"&amp;A1711&amp;"-L"&amp;TEXT(B1711,"00")&amp;"-"&amp;TEXT(C1711,"yyyymmdd")&amp;"-"&amp;D1711&amp;"-H"&amp;TEXT(E1711,"00")&amp;"-"&amp;H1711)</f>
        <v>SAMP-KG01-L24-20251108-ORD-2025-00256-H16-Chip</v>
      </c>
      <c r="K1711" s="1" t="str">
        <f aca="false">IF(A1711="","",IF(AND(G1711&gt;=0,I1711&gt;=0,I1711&lt;=G1711),"OK","CHECK"))</f>
        <v>OK</v>
      </c>
      <c r="L1711" s="1" t="str">
        <f aca="false">IF(A1711="","",IF(AND(E1711&gt;=0,E1711&lt;=23),"OK","CHECK"))</f>
        <v>OK</v>
      </c>
      <c r="M1711" s="1" t="str">
        <f aca="false">IF(A1711="","",IF(AND(K1711="OK",L1711="OK"),"OK","CHECK"))</f>
        <v>OK</v>
      </c>
    </row>
    <row r="1712" customFormat="false" ht="18" hidden="false" customHeight="true" outlineLevel="0" collapsed="false">
      <c r="A1712" s="9" t="s">
        <v>26</v>
      </c>
      <c r="B1712" s="9" t="n">
        <v>24</v>
      </c>
      <c r="C1712" s="11" t="n">
        <v>45969</v>
      </c>
      <c r="D1712" s="9" t="s">
        <v>145</v>
      </c>
      <c r="E1712" s="12" t="n">
        <v>23</v>
      </c>
      <c r="F1712" s="9" t="s">
        <v>31</v>
      </c>
      <c r="G1712" s="13" t="n">
        <v>50</v>
      </c>
      <c r="H1712" s="9" t="s">
        <v>30</v>
      </c>
      <c r="I1712" s="13" t="n">
        <v>0</v>
      </c>
      <c r="J1712" s="1" t="str">
        <f aca="false">IF(A1712="","", "SAMP-"&amp;A1712&amp;"-L"&amp;TEXT(B1712,"00")&amp;"-"&amp;TEXT(C1712,"yyyymmdd")&amp;"-"&amp;D1712&amp;"-H"&amp;TEXT(E1712,"00")&amp;"-"&amp;H1712)</f>
        <v>SAMP-KG01-L24-20251108-ORD-2025-00256-H23-Overpress</v>
      </c>
      <c r="K1712" s="1" t="str">
        <f aca="false">IF(A1712="","",IF(AND(G1712&gt;=0,I1712&gt;=0,I1712&lt;=G1712),"OK","CHECK"))</f>
        <v>OK</v>
      </c>
      <c r="L1712" s="1" t="str">
        <f aca="false">IF(A1712="","",IF(AND(E1712&gt;=0,E1712&lt;=23),"OK","CHECK"))</f>
        <v>OK</v>
      </c>
      <c r="M1712" s="1" t="str">
        <f aca="false">IF(A1712="","",IF(AND(K1712="OK",L1712="OK"),"OK","CHECK"))</f>
        <v>OK</v>
      </c>
    </row>
    <row r="1713" customFormat="false" ht="18" hidden="false" customHeight="true" outlineLevel="0" collapsed="false">
      <c r="A1713" s="9" t="s">
        <v>26</v>
      </c>
      <c r="B1713" s="9" t="n">
        <v>24</v>
      </c>
      <c r="C1713" s="11" t="n">
        <v>45970</v>
      </c>
      <c r="D1713" s="9" t="s">
        <v>145</v>
      </c>
      <c r="E1713" s="12" t="n">
        <v>7</v>
      </c>
      <c r="F1713" s="9" t="s">
        <v>28</v>
      </c>
      <c r="G1713" s="13" t="n">
        <v>200</v>
      </c>
      <c r="H1713" s="9" t="s">
        <v>33</v>
      </c>
      <c r="I1713" s="13" t="n">
        <v>5</v>
      </c>
      <c r="J1713" s="1" t="str">
        <f aca="false">IF(A1713="","", "SAMP-"&amp;A1713&amp;"-L"&amp;TEXT(B1713,"00")&amp;"-"&amp;TEXT(C1713,"yyyymmdd")&amp;"-"&amp;D1713&amp;"-H"&amp;TEXT(E1713,"00")&amp;"-"&amp;H1713)</f>
        <v>SAMP-KG01-L24-20251109-ORD-2025-00256-H07-Distortion</v>
      </c>
      <c r="K1713" s="1" t="str">
        <f aca="false">IF(A1713="","",IF(AND(G1713&gt;=0,I1713&gt;=0,I1713&lt;=G1713),"OK","CHECK"))</f>
        <v>OK</v>
      </c>
      <c r="L1713" s="1" t="str">
        <f aca="false">IF(A1713="","",IF(AND(E1713&gt;=0,E1713&lt;=23),"OK","CHECK"))</f>
        <v>OK</v>
      </c>
      <c r="M1713" s="1" t="str">
        <f aca="false">IF(A1713="","",IF(AND(K1713="OK",L1713="OK"),"OK","CHECK"))</f>
        <v>OK</v>
      </c>
    </row>
    <row r="1714" customFormat="false" ht="18" hidden="false" customHeight="true" outlineLevel="0" collapsed="false">
      <c r="A1714" s="9" t="s">
        <v>26</v>
      </c>
      <c r="B1714" s="9" t="n">
        <v>24</v>
      </c>
      <c r="C1714" s="11" t="n">
        <v>45970</v>
      </c>
      <c r="D1714" s="9" t="s">
        <v>145</v>
      </c>
      <c r="E1714" s="12" t="n">
        <v>9</v>
      </c>
      <c r="F1714" s="9" t="s">
        <v>28</v>
      </c>
      <c r="G1714" s="13" t="n">
        <v>150</v>
      </c>
      <c r="H1714" s="9" t="s">
        <v>33</v>
      </c>
      <c r="I1714" s="13" t="n">
        <v>4</v>
      </c>
      <c r="J1714" s="1" t="str">
        <f aca="false">IF(A1714="","", "SAMP-"&amp;A1714&amp;"-L"&amp;TEXT(B1714,"00")&amp;"-"&amp;TEXT(C1714,"yyyymmdd")&amp;"-"&amp;D1714&amp;"-H"&amp;TEXT(E1714,"00")&amp;"-"&amp;H1714)</f>
        <v>SAMP-KG01-L24-20251109-ORD-2025-00256-H09-Distortion</v>
      </c>
      <c r="K1714" s="1" t="str">
        <f aca="false">IF(A1714="","",IF(AND(G1714&gt;=0,I1714&gt;=0,I1714&lt;=G1714),"OK","CHECK"))</f>
        <v>OK</v>
      </c>
      <c r="L1714" s="1" t="str">
        <f aca="false">IF(A1714="","",IF(AND(E1714&gt;=0,E1714&lt;=23),"OK","CHECK"))</f>
        <v>OK</v>
      </c>
      <c r="M1714" s="1" t="str">
        <f aca="false">IF(A1714="","",IF(AND(K1714="OK",L1714="OK"),"OK","CHECK"))</f>
        <v>OK</v>
      </c>
    </row>
    <row r="1715" customFormat="false" ht="18" hidden="false" customHeight="true" outlineLevel="0" collapsed="false">
      <c r="A1715" s="9" t="s">
        <v>26</v>
      </c>
      <c r="B1715" s="9" t="n">
        <v>24</v>
      </c>
      <c r="C1715" s="11" t="n">
        <v>45970</v>
      </c>
      <c r="D1715" s="9" t="s">
        <v>145</v>
      </c>
      <c r="E1715" s="12" t="n">
        <v>12</v>
      </c>
      <c r="F1715" s="9" t="s">
        <v>28</v>
      </c>
      <c r="G1715" s="13" t="n">
        <v>200</v>
      </c>
      <c r="H1715" s="9" t="s">
        <v>41</v>
      </c>
      <c r="I1715" s="13" t="n">
        <v>6</v>
      </c>
      <c r="J1715" s="1" t="str">
        <f aca="false">IF(A1715="","", "SAMP-"&amp;A1715&amp;"-L"&amp;TEXT(B1715,"00")&amp;"-"&amp;TEXT(C1715,"yyyymmdd")&amp;"-"&amp;D1715&amp;"-H"&amp;TEXT(E1715,"00")&amp;"-"&amp;H1715)</f>
        <v>SAMP-KG01-L24-20251109-ORD-2025-00256-H12-Chip</v>
      </c>
      <c r="K1715" s="1" t="str">
        <f aca="false">IF(A1715="","",IF(AND(G1715&gt;=0,I1715&gt;=0,I1715&lt;=G1715),"OK","CHECK"))</f>
        <v>OK</v>
      </c>
      <c r="L1715" s="1" t="str">
        <f aca="false">IF(A1715="","",IF(AND(E1715&gt;=0,E1715&lt;=23),"OK","CHECK"))</f>
        <v>OK</v>
      </c>
      <c r="M1715" s="1" t="str">
        <f aca="false">IF(A1715="","",IF(AND(K1715="OK",L1715="OK"),"OK","CHECK"))</f>
        <v>OK</v>
      </c>
    </row>
    <row r="1716" customFormat="false" ht="18" hidden="false" customHeight="true" outlineLevel="0" collapsed="false">
      <c r="A1716" s="9" t="s">
        <v>26</v>
      </c>
      <c r="B1716" s="9" t="n">
        <v>24</v>
      </c>
      <c r="C1716" s="11" t="n">
        <v>45970</v>
      </c>
      <c r="D1716" s="9" t="s">
        <v>146</v>
      </c>
      <c r="E1716" s="12" t="n">
        <v>23</v>
      </c>
      <c r="F1716" s="9" t="s">
        <v>31</v>
      </c>
      <c r="G1716" s="13" t="n">
        <v>100</v>
      </c>
      <c r="H1716" s="9" t="s">
        <v>30</v>
      </c>
      <c r="I1716" s="13" t="n">
        <v>3</v>
      </c>
      <c r="J1716" s="1" t="str">
        <f aca="false">IF(A1716="","", "SAMP-"&amp;A1716&amp;"-L"&amp;TEXT(B1716,"00")&amp;"-"&amp;TEXT(C1716,"yyyymmdd")&amp;"-"&amp;D1716&amp;"-H"&amp;TEXT(E1716,"00")&amp;"-"&amp;H1716)</f>
        <v>SAMP-KG01-L24-20251109-ORD-2025-00257-H23-Overpress</v>
      </c>
      <c r="K1716" s="1" t="str">
        <f aca="false">IF(A1716="","",IF(AND(G1716&gt;=0,I1716&gt;=0,I1716&lt;=G1716),"OK","CHECK"))</f>
        <v>OK</v>
      </c>
      <c r="L1716" s="1" t="str">
        <f aca="false">IF(A1716="","",IF(AND(E1716&gt;=0,E1716&lt;=23),"OK","CHECK"))</f>
        <v>OK</v>
      </c>
      <c r="M1716" s="1" t="str">
        <f aca="false">IF(A1716="","",IF(AND(K1716="OK",L1716="OK"),"OK","CHECK"))</f>
        <v>OK</v>
      </c>
    </row>
    <row r="1717" customFormat="false" ht="18" hidden="false" customHeight="true" outlineLevel="0" collapsed="false">
      <c r="A1717" s="9" t="s">
        <v>26</v>
      </c>
      <c r="B1717" s="9" t="n">
        <v>24</v>
      </c>
      <c r="C1717" s="11" t="n">
        <v>45970</v>
      </c>
      <c r="D1717" s="9" t="s">
        <v>146</v>
      </c>
      <c r="E1717" s="12" t="n">
        <v>16</v>
      </c>
      <c r="F1717" s="9" t="s">
        <v>31</v>
      </c>
      <c r="G1717" s="13" t="n">
        <v>150</v>
      </c>
      <c r="H1717" s="9" t="s">
        <v>29</v>
      </c>
      <c r="I1717" s="13" t="n">
        <v>1</v>
      </c>
      <c r="J1717" s="1" t="str">
        <f aca="false">IF(A1717="","", "SAMP-"&amp;A1717&amp;"-L"&amp;TEXT(B1717,"00")&amp;"-"&amp;TEXT(C1717,"yyyymmdd")&amp;"-"&amp;D1717&amp;"-H"&amp;TEXT(E1717,"00")&amp;"-"&amp;H1717)</f>
        <v>SAMP-KG01-L24-20251109-ORD-2025-00257-H16-Choke Neck</v>
      </c>
      <c r="K1717" s="1" t="str">
        <f aca="false">IF(A1717="","",IF(AND(G1717&gt;=0,I1717&gt;=0,I1717&lt;=G1717),"OK","CHECK"))</f>
        <v>OK</v>
      </c>
      <c r="L1717" s="1" t="str">
        <f aca="false">IF(A1717="","",IF(AND(E1717&gt;=0,E1717&lt;=23),"OK","CHECK"))</f>
        <v>OK</v>
      </c>
      <c r="M1717" s="1" t="str">
        <f aca="false">IF(A1717="","",IF(AND(K1717="OK",L1717="OK"),"OK","CHECK"))</f>
        <v>OK</v>
      </c>
    </row>
    <row r="1718" customFormat="false" ht="18" hidden="false" customHeight="true" outlineLevel="0" collapsed="false">
      <c r="A1718" s="9" t="s">
        <v>26</v>
      </c>
      <c r="B1718" s="9" t="n">
        <v>24</v>
      </c>
      <c r="C1718" s="11" t="n">
        <v>45970</v>
      </c>
      <c r="D1718" s="9" t="s">
        <v>146</v>
      </c>
      <c r="E1718" s="12" t="n">
        <v>20</v>
      </c>
      <c r="F1718" s="9" t="s">
        <v>31</v>
      </c>
      <c r="G1718" s="13" t="n">
        <v>150</v>
      </c>
      <c r="H1718" s="9" t="s">
        <v>30</v>
      </c>
      <c r="I1718" s="13" t="n">
        <v>3</v>
      </c>
      <c r="J1718" s="1" t="str">
        <f aca="false">IF(A1718="","", "SAMP-"&amp;A1718&amp;"-L"&amp;TEXT(B1718,"00")&amp;"-"&amp;TEXT(C1718,"yyyymmdd")&amp;"-"&amp;D1718&amp;"-H"&amp;TEXT(E1718,"00")&amp;"-"&amp;H1718)</f>
        <v>SAMP-KG01-L24-20251109-ORD-2025-00257-H20-Overpress</v>
      </c>
      <c r="K1718" s="1" t="str">
        <f aca="false">IF(A1718="","",IF(AND(G1718&gt;=0,I1718&gt;=0,I1718&lt;=G1718),"OK","CHECK"))</f>
        <v>OK</v>
      </c>
      <c r="L1718" s="1" t="str">
        <f aca="false">IF(A1718="","",IF(AND(E1718&gt;=0,E1718&lt;=23),"OK","CHECK"))</f>
        <v>OK</v>
      </c>
      <c r="M1718" s="1" t="str">
        <f aca="false">IF(A1718="","",IF(AND(K1718="OK",L1718="OK"),"OK","CHECK"))</f>
        <v>OK</v>
      </c>
    </row>
    <row r="1719" customFormat="false" ht="18" hidden="false" customHeight="true" outlineLevel="0" collapsed="false">
      <c r="A1719" s="9" t="s">
        <v>26</v>
      </c>
      <c r="B1719" s="9" t="n">
        <v>24</v>
      </c>
      <c r="C1719" s="11" t="n">
        <v>45971</v>
      </c>
      <c r="D1719" s="9" t="s">
        <v>146</v>
      </c>
      <c r="E1719" s="12" t="n">
        <v>9</v>
      </c>
      <c r="F1719" s="9" t="s">
        <v>28</v>
      </c>
      <c r="G1719" s="13" t="n">
        <v>150</v>
      </c>
      <c r="H1719" s="9" t="s">
        <v>33</v>
      </c>
      <c r="I1719" s="13" t="n">
        <v>6</v>
      </c>
      <c r="J1719" s="1" t="str">
        <f aca="false">IF(A1719="","", "SAMP-"&amp;A1719&amp;"-L"&amp;TEXT(B1719,"00")&amp;"-"&amp;TEXT(C1719,"yyyymmdd")&amp;"-"&amp;D1719&amp;"-H"&amp;TEXT(E1719,"00")&amp;"-"&amp;H1719)</f>
        <v>SAMP-KG01-L24-20251110-ORD-2025-00257-H09-Distortion</v>
      </c>
      <c r="K1719" s="1" t="str">
        <f aca="false">IF(A1719="","",IF(AND(G1719&gt;=0,I1719&gt;=0,I1719&lt;=G1719),"OK","CHECK"))</f>
        <v>OK</v>
      </c>
      <c r="L1719" s="1" t="str">
        <f aca="false">IF(A1719="","",IF(AND(E1719&gt;=0,E1719&lt;=23),"OK","CHECK"))</f>
        <v>OK</v>
      </c>
      <c r="M1719" s="1" t="str">
        <f aca="false">IF(A1719="","",IF(AND(K1719="OK",L1719="OK"),"OK","CHECK"))</f>
        <v>OK</v>
      </c>
    </row>
    <row r="1720" customFormat="false" ht="18" hidden="false" customHeight="true" outlineLevel="0" collapsed="false">
      <c r="A1720" s="9" t="s">
        <v>26</v>
      </c>
      <c r="B1720" s="9" t="n">
        <v>24</v>
      </c>
      <c r="C1720" s="11" t="n">
        <v>45971</v>
      </c>
      <c r="D1720" s="9" t="s">
        <v>146</v>
      </c>
      <c r="E1720" s="12" t="n">
        <v>7</v>
      </c>
      <c r="F1720" s="9" t="s">
        <v>28</v>
      </c>
      <c r="G1720" s="13" t="n">
        <v>50</v>
      </c>
      <c r="H1720" s="9" t="s">
        <v>38</v>
      </c>
      <c r="I1720" s="13" t="n">
        <v>2</v>
      </c>
      <c r="J1720" s="1" t="str">
        <f aca="false">IF(A1720="","", "SAMP-"&amp;A1720&amp;"-L"&amp;TEXT(B1720,"00")&amp;"-"&amp;TEXT(C1720,"yyyymmdd")&amp;"-"&amp;D1720&amp;"-H"&amp;TEXT(E1720,"00")&amp;"-"&amp;H1720)</f>
        <v>SAMP-KG01-L24-20251110-ORD-2025-00257-H07-Crack</v>
      </c>
      <c r="K1720" s="1" t="str">
        <f aca="false">IF(A1720="","",IF(AND(G1720&gt;=0,I1720&gt;=0,I1720&lt;=G1720),"OK","CHECK"))</f>
        <v>OK</v>
      </c>
      <c r="L1720" s="1" t="str">
        <f aca="false">IF(A1720="","",IF(AND(E1720&gt;=0,E1720&lt;=23),"OK","CHECK"))</f>
        <v>OK</v>
      </c>
      <c r="M1720" s="1" t="str">
        <f aca="false">IF(A1720="","",IF(AND(K1720="OK",L1720="OK"),"OK","CHECK"))</f>
        <v>OK</v>
      </c>
    </row>
    <row r="1721" customFormat="false" ht="18" hidden="false" customHeight="true" outlineLevel="0" collapsed="false">
      <c r="A1721" s="9" t="s">
        <v>26</v>
      </c>
      <c r="B1721" s="9" t="n">
        <v>24</v>
      </c>
      <c r="C1721" s="11" t="n">
        <v>45971</v>
      </c>
      <c r="D1721" s="9" t="s">
        <v>146</v>
      </c>
      <c r="E1721" s="12" t="n">
        <v>20</v>
      </c>
      <c r="F1721" s="9" t="s">
        <v>31</v>
      </c>
      <c r="G1721" s="13" t="n">
        <v>100</v>
      </c>
      <c r="H1721" s="9" t="s">
        <v>41</v>
      </c>
      <c r="I1721" s="13" t="n">
        <v>2</v>
      </c>
      <c r="J1721" s="1" t="str">
        <f aca="false">IF(A1721="","", "SAMP-"&amp;A1721&amp;"-L"&amp;TEXT(B1721,"00")&amp;"-"&amp;TEXT(C1721,"yyyymmdd")&amp;"-"&amp;D1721&amp;"-H"&amp;TEXT(E1721,"00")&amp;"-"&amp;H1721)</f>
        <v>SAMP-KG01-L24-20251110-ORD-2025-00257-H20-Chip</v>
      </c>
      <c r="K1721" s="1" t="str">
        <f aca="false">IF(A1721="","",IF(AND(G1721&gt;=0,I1721&gt;=0,I1721&lt;=G1721),"OK","CHECK"))</f>
        <v>OK</v>
      </c>
      <c r="L1721" s="1" t="str">
        <f aca="false">IF(A1721="","",IF(AND(E1721&gt;=0,E1721&lt;=23),"OK","CHECK"))</f>
        <v>OK</v>
      </c>
      <c r="M1721" s="1" t="str">
        <f aca="false">IF(A1721="","",IF(AND(K1721="OK",L1721="OK"),"OK","CHECK"))</f>
        <v>OK</v>
      </c>
    </row>
    <row r="1722" customFormat="false" ht="18" hidden="false" customHeight="true" outlineLevel="0" collapsed="false">
      <c r="A1722" s="9" t="s">
        <v>26</v>
      </c>
      <c r="B1722" s="9" t="n">
        <v>24</v>
      </c>
      <c r="C1722" s="11" t="n">
        <v>45971</v>
      </c>
      <c r="D1722" s="9" t="s">
        <v>146</v>
      </c>
      <c r="E1722" s="12" t="n">
        <v>16</v>
      </c>
      <c r="F1722" s="9" t="s">
        <v>31</v>
      </c>
      <c r="G1722" s="13" t="n">
        <v>100</v>
      </c>
      <c r="H1722" s="9" t="s">
        <v>36</v>
      </c>
      <c r="I1722" s="13" t="n">
        <v>2</v>
      </c>
      <c r="J1722" s="1" t="str">
        <f aca="false">IF(A1722="","", "SAMP-"&amp;A1722&amp;"-L"&amp;TEXT(B1722,"00")&amp;"-"&amp;TEXT(C1722,"yyyymmdd")&amp;"-"&amp;D1722&amp;"-H"&amp;TEXT(E1722,"00")&amp;"-"&amp;H1722)</f>
        <v>SAMP-KG01-L24-20251110-ORD-2025-00257-H16-Blister</v>
      </c>
      <c r="K1722" s="1" t="str">
        <f aca="false">IF(A1722="","",IF(AND(G1722&gt;=0,I1722&gt;=0,I1722&lt;=G1722),"OK","CHECK"))</f>
        <v>OK</v>
      </c>
      <c r="L1722" s="1" t="str">
        <f aca="false">IF(A1722="","",IF(AND(E1722&gt;=0,E1722&lt;=23),"OK","CHECK"))</f>
        <v>OK</v>
      </c>
      <c r="M1722" s="1" t="str">
        <f aca="false">IF(A1722="","",IF(AND(K1722="OK",L1722="OK"),"OK","CHECK"))</f>
        <v>OK</v>
      </c>
    </row>
    <row r="1723" customFormat="false" ht="18" hidden="false" customHeight="true" outlineLevel="0" collapsed="false">
      <c r="A1723" s="9" t="s">
        <v>26</v>
      </c>
      <c r="B1723" s="9" t="n">
        <v>24</v>
      </c>
      <c r="C1723" s="11" t="n">
        <v>45971</v>
      </c>
      <c r="D1723" s="9" t="s">
        <v>146</v>
      </c>
      <c r="E1723" s="12" t="n">
        <v>23</v>
      </c>
      <c r="F1723" s="9" t="s">
        <v>31</v>
      </c>
      <c r="G1723" s="13" t="n">
        <v>200</v>
      </c>
      <c r="H1723" s="9" t="s">
        <v>30</v>
      </c>
      <c r="I1723" s="13" t="n">
        <v>7</v>
      </c>
      <c r="J1723" s="1" t="str">
        <f aca="false">IF(A1723="","", "SAMP-"&amp;A1723&amp;"-L"&amp;TEXT(B1723,"00")&amp;"-"&amp;TEXT(C1723,"yyyymmdd")&amp;"-"&amp;D1723&amp;"-H"&amp;TEXT(E1723,"00")&amp;"-"&amp;H1723)</f>
        <v>SAMP-KG01-L24-20251110-ORD-2025-00257-H23-Overpress</v>
      </c>
      <c r="K1723" s="1" t="str">
        <f aca="false">IF(A1723="","",IF(AND(G1723&gt;=0,I1723&gt;=0,I1723&lt;=G1723),"OK","CHECK"))</f>
        <v>OK</v>
      </c>
      <c r="L1723" s="1" t="str">
        <f aca="false">IF(A1723="","",IF(AND(E1723&gt;=0,E1723&lt;=23),"OK","CHECK"))</f>
        <v>OK</v>
      </c>
      <c r="M1723" s="1" t="str">
        <f aca="false">IF(A1723="","",IF(AND(K1723="OK",L1723="OK"),"OK","CHECK"))</f>
        <v>OK</v>
      </c>
    </row>
    <row r="1724" customFormat="false" ht="18" hidden="false" customHeight="true" outlineLevel="0" collapsed="false">
      <c r="A1724" s="9" t="s">
        <v>26</v>
      </c>
      <c r="B1724" s="9" t="n">
        <v>24</v>
      </c>
      <c r="C1724" s="11" t="n">
        <v>45972</v>
      </c>
      <c r="D1724" s="9" t="s">
        <v>146</v>
      </c>
      <c r="E1724" s="12" t="n">
        <v>7</v>
      </c>
      <c r="F1724" s="9" t="s">
        <v>28</v>
      </c>
      <c r="G1724" s="13" t="n">
        <v>50</v>
      </c>
      <c r="H1724" s="9" t="s">
        <v>34</v>
      </c>
      <c r="I1724" s="13" t="n">
        <v>1</v>
      </c>
      <c r="J1724" s="1" t="str">
        <f aca="false">IF(A1724="","", "SAMP-"&amp;A1724&amp;"-L"&amp;TEXT(B1724,"00")&amp;"-"&amp;TEXT(C1724,"yyyymmdd")&amp;"-"&amp;D1724&amp;"-H"&amp;TEXT(E1724,"00")&amp;"-"&amp;H1724)</f>
        <v>SAMP-KG01-L24-20251111-ORD-2025-00257-H07-Thin Wall</v>
      </c>
      <c r="K1724" s="1" t="str">
        <f aca="false">IF(A1724="","",IF(AND(G1724&gt;=0,I1724&gt;=0,I1724&lt;=G1724),"OK","CHECK"))</f>
        <v>OK</v>
      </c>
      <c r="L1724" s="1" t="str">
        <f aca="false">IF(A1724="","",IF(AND(E1724&gt;=0,E1724&lt;=23),"OK","CHECK"))</f>
        <v>OK</v>
      </c>
      <c r="M1724" s="1" t="str">
        <f aca="false">IF(A1724="","",IF(AND(K1724="OK",L1724="OK"),"OK","CHECK"))</f>
        <v>OK</v>
      </c>
    </row>
    <row r="1725" customFormat="false" ht="18" hidden="false" customHeight="true" outlineLevel="0" collapsed="false">
      <c r="A1725" s="9" t="s">
        <v>26</v>
      </c>
      <c r="B1725" s="9" t="n">
        <v>24</v>
      </c>
      <c r="C1725" s="11" t="n">
        <v>45972</v>
      </c>
      <c r="D1725" s="9" t="s">
        <v>146</v>
      </c>
      <c r="E1725" s="12" t="n">
        <v>9</v>
      </c>
      <c r="F1725" s="9" t="s">
        <v>28</v>
      </c>
      <c r="G1725" s="13" t="n">
        <v>200</v>
      </c>
      <c r="H1725" s="9" t="s">
        <v>30</v>
      </c>
      <c r="I1725" s="13" t="n">
        <v>2</v>
      </c>
      <c r="J1725" s="1" t="str">
        <f aca="false">IF(A1725="","", "SAMP-"&amp;A1725&amp;"-L"&amp;TEXT(B1725,"00")&amp;"-"&amp;TEXT(C1725,"yyyymmdd")&amp;"-"&amp;D1725&amp;"-H"&amp;TEXT(E1725,"00")&amp;"-"&amp;H1725)</f>
        <v>SAMP-KG01-L24-20251111-ORD-2025-00257-H09-Overpress</v>
      </c>
      <c r="K1725" s="1" t="str">
        <f aca="false">IF(A1725="","",IF(AND(G1725&gt;=0,I1725&gt;=0,I1725&lt;=G1725),"OK","CHECK"))</f>
        <v>OK</v>
      </c>
      <c r="L1725" s="1" t="str">
        <f aca="false">IF(A1725="","",IF(AND(E1725&gt;=0,E1725&lt;=23),"OK","CHECK"))</f>
        <v>OK</v>
      </c>
      <c r="M1725" s="1" t="str">
        <f aca="false">IF(A1725="","",IF(AND(K1725="OK",L1725="OK"),"OK","CHECK"))</f>
        <v>OK</v>
      </c>
    </row>
    <row r="1726" customFormat="false" ht="18" hidden="false" customHeight="true" outlineLevel="0" collapsed="false">
      <c r="A1726" s="9" t="s">
        <v>26</v>
      </c>
      <c r="B1726" s="9" t="n">
        <v>24</v>
      </c>
      <c r="C1726" s="11" t="n">
        <v>45972</v>
      </c>
      <c r="D1726" s="9" t="s">
        <v>146</v>
      </c>
      <c r="E1726" s="12" t="n">
        <v>12</v>
      </c>
      <c r="F1726" s="9" t="s">
        <v>28</v>
      </c>
      <c r="G1726" s="13" t="n">
        <v>150</v>
      </c>
      <c r="H1726" s="9" t="s">
        <v>41</v>
      </c>
      <c r="I1726" s="13" t="n">
        <v>5</v>
      </c>
      <c r="J1726" s="1" t="str">
        <f aca="false">IF(A1726="","", "SAMP-"&amp;A1726&amp;"-L"&amp;TEXT(B1726,"00")&amp;"-"&amp;TEXT(C1726,"yyyymmdd")&amp;"-"&amp;D1726&amp;"-H"&amp;TEXT(E1726,"00")&amp;"-"&amp;H1726)</f>
        <v>SAMP-KG01-L24-20251111-ORD-2025-00257-H12-Chip</v>
      </c>
      <c r="K1726" s="1" t="str">
        <f aca="false">IF(A1726="","",IF(AND(G1726&gt;=0,I1726&gt;=0,I1726&lt;=G1726),"OK","CHECK"))</f>
        <v>OK</v>
      </c>
      <c r="L1726" s="1" t="str">
        <f aca="false">IF(A1726="","",IF(AND(E1726&gt;=0,E1726&lt;=23),"OK","CHECK"))</f>
        <v>OK</v>
      </c>
      <c r="M1726" s="1" t="str">
        <f aca="false">IF(A1726="","",IF(AND(K1726="OK",L1726="OK"),"OK","CHECK"))</f>
        <v>OK</v>
      </c>
    </row>
    <row r="1727" customFormat="false" ht="18" hidden="false" customHeight="true" outlineLevel="0" collapsed="false">
      <c r="A1727" s="9" t="s">
        <v>26</v>
      </c>
      <c r="B1727" s="9" t="n">
        <v>24</v>
      </c>
      <c r="C1727" s="11" t="n">
        <v>45972</v>
      </c>
      <c r="D1727" s="9" t="s">
        <v>147</v>
      </c>
      <c r="E1727" s="12" t="n">
        <v>23</v>
      </c>
      <c r="F1727" s="9" t="s">
        <v>31</v>
      </c>
      <c r="G1727" s="13" t="n">
        <v>50</v>
      </c>
      <c r="H1727" s="9" t="s">
        <v>41</v>
      </c>
      <c r="I1727" s="13" t="n">
        <v>1</v>
      </c>
      <c r="J1727" s="1" t="str">
        <f aca="false">IF(A1727="","", "SAMP-"&amp;A1727&amp;"-L"&amp;TEXT(B1727,"00")&amp;"-"&amp;TEXT(C1727,"yyyymmdd")&amp;"-"&amp;D1727&amp;"-H"&amp;TEXT(E1727,"00")&amp;"-"&amp;H1727)</f>
        <v>SAMP-KG01-L24-20251111-ORD-2025-00258-H23-Chip</v>
      </c>
      <c r="K1727" s="1" t="str">
        <f aca="false">IF(A1727="","",IF(AND(G1727&gt;=0,I1727&gt;=0,I1727&lt;=G1727),"OK","CHECK"))</f>
        <v>OK</v>
      </c>
      <c r="L1727" s="1" t="str">
        <f aca="false">IF(A1727="","",IF(AND(E1727&gt;=0,E1727&lt;=23),"OK","CHECK"))</f>
        <v>OK</v>
      </c>
      <c r="M1727" s="1" t="str">
        <f aca="false">IF(A1727="","",IF(AND(K1727="OK",L1727="OK"),"OK","CHECK"))</f>
        <v>OK</v>
      </c>
    </row>
    <row r="1728" customFormat="false" ht="18" hidden="false" customHeight="true" outlineLevel="0" collapsed="false">
      <c r="A1728" s="9" t="s">
        <v>26</v>
      </c>
      <c r="B1728" s="9" t="n">
        <v>24</v>
      </c>
      <c r="C1728" s="11" t="n">
        <v>45972</v>
      </c>
      <c r="D1728" s="9" t="s">
        <v>147</v>
      </c>
      <c r="E1728" s="12" t="n">
        <v>16</v>
      </c>
      <c r="F1728" s="9" t="s">
        <v>31</v>
      </c>
      <c r="G1728" s="13" t="n">
        <v>150</v>
      </c>
      <c r="H1728" s="9" t="s">
        <v>38</v>
      </c>
      <c r="I1728" s="13" t="n">
        <v>5</v>
      </c>
      <c r="J1728" s="1" t="str">
        <f aca="false">IF(A1728="","", "SAMP-"&amp;A1728&amp;"-L"&amp;TEXT(B1728,"00")&amp;"-"&amp;TEXT(C1728,"yyyymmdd")&amp;"-"&amp;D1728&amp;"-H"&amp;TEXT(E1728,"00")&amp;"-"&amp;H1728)</f>
        <v>SAMP-KG01-L24-20251111-ORD-2025-00258-H16-Crack</v>
      </c>
      <c r="K1728" s="1" t="str">
        <f aca="false">IF(A1728="","",IF(AND(G1728&gt;=0,I1728&gt;=0,I1728&lt;=G1728),"OK","CHECK"))</f>
        <v>OK</v>
      </c>
      <c r="L1728" s="1" t="str">
        <f aca="false">IF(A1728="","",IF(AND(E1728&gt;=0,E1728&lt;=23),"OK","CHECK"))</f>
        <v>OK</v>
      </c>
      <c r="M1728" s="1" t="str">
        <f aca="false">IF(A1728="","",IF(AND(K1728="OK",L1728="OK"),"OK","CHECK"))</f>
        <v>OK</v>
      </c>
    </row>
    <row r="1729" customFormat="false" ht="18" hidden="false" customHeight="true" outlineLevel="0" collapsed="false">
      <c r="A1729" s="9" t="s">
        <v>26</v>
      </c>
      <c r="B1729" s="9" t="n">
        <v>24</v>
      </c>
      <c r="C1729" s="11" t="n">
        <v>45972</v>
      </c>
      <c r="D1729" s="9" t="s">
        <v>147</v>
      </c>
      <c r="E1729" s="12" t="n">
        <v>20</v>
      </c>
      <c r="F1729" s="9" t="s">
        <v>31</v>
      </c>
      <c r="G1729" s="13" t="n">
        <v>100</v>
      </c>
      <c r="H1729" s="9" t="s">
        <v>30</v>
      </c>
      <c r="I1729" s="13" t="n">
        <v>0</v>
      </c>
      <c r="J1729" s="1" t="str">
        <f aca="false">IF(A1729="","", "SAMP-"&amp;A1729&amp;"-L"&amp;TEXT(B1729,"00")&amp;"-"&amp;TEXT(C1729,"yyyymmdd")&amp;"-"&amp;D1729&amp;"-H"&amp;TEXT(E1729,"00")&amp;"-"&amp;H1729)</f>
        <v>SAMP-KG01-L24-20251111-ORD-2025-00258-H20-Overpress</v>
      </c>
      <c r="K1729" s="1" t="str">
        <f aca="false">IF(A1729="","",IF(AND(G1729&gt;=0,I1729&gt;=0,I1729&lt;=G1729),"OK","CHECK"))</f>
        <v>OK</v>
      </c>
      <c r="L1729" s="1" t="str">
        <f aca="false">IF(A1729="","",IF(AND(E1729&gt;=0,E1729&lt;=23),"OK","CHECK"))</f>
        <v>OK</v>
      </c>
      <c r="M1729" s="1" t="str">
        <f aca="false">IF(A1729="","",IF(AND(K1729="OK",L1729="OK"),"OK","CHECK"))</f>
        <v>OK</v>
      </c>
    </row>
    <row r="1730" customFormat="false" ht="18" hidden="false" customHeight="true" outlineLevel="0" collapsed="false">
      <c r="A1730" s="9" t="s">
        <v>26</v>
      </c>
      <c r="B1730" s="9" t="n">
        <v>24</v>
      </c>
      <c r="C1730" s="11" t="n">
        <v>45973</v>
      </c>
      <c r="D1730" s="9" t="s">
        <v>147</v>
      </c>
      <c r="E1730" s="12" t="n">
        <v>9</v>
      </c>
      <c r="F1730" s="9" t="s">
        <v>28</v>
      </c>
      <c r="G1730" s="13" t="n">
        <v>200</v>
      </c>
      <c r="H1730" s="9" t="s">
        <v>33</v>
      </c>
      <c r="I1730" s="13" t="n">
        <v>6</v>
      </c>
      <c r="J1730" s="1" t="str">
        <f aca="false">IF(A1730="","", "SAMP-"&amp;A1730&amp;"-L"&amp;TEXT(B1730,"00")&amp;"-"&amp;TEXT(C1730,"yyyymmdd")&amp;"-"&amp;D1730&amp;"-H"&amp;TEXT(E1730,"00")&amp;"-"&amp;H1730)</f>
        <v>SAMP-KG01-L24-20251112-ORD-2025-00258-H09-Distortion</v>
      </c>
      <c r="K1730" s="1" t="str">
        <f aca="false">IF(A1730="","",IF(AND(G1730&gt;=0,I1730&gt;=0,I1730&lt;=G1730),"OK","CHECK"))</f>
        <v>OK</v>
      </c>
      <c r="L1730" s="1" t="str">
        <f aca="false">IF(A1730="","",IF(AND(E1730&gt;=0,E1730&lt;=23),"OK","CHECK"))</f>
        <v>OK</v>
      </c>
      <c r="M1730" s="1" t="str">
        <f aca="false">IF(A1730="","",IF(AND(K1730="OK",L1730="OK"),"OK","CHECK"))</f>
        <v>OK</v>
      </c>
    </row>
    <row r="1731" customFormat="false" ht="18" hidden="false" customHeight="true" outlineLevel="0" collapsed="false">
      <c r="A1731" s="9" t="s">
        <v>26</v>
      </c>
      <c r="B1731" s="9" t="n">
        <v>24</v>
      </c>
      <c r="C1731" s="11" t="n">
        <v>45973</v>
      </c>
      <c r="D1731" s="9" t="s">
        <v>147</v>
      </c>
      <c r="E1731" s="12" t="n">
        <v>7</v>
      </c>
      <c r="F1731" s="9" t="s">
        <v>28</v>
      </c>
      <c r="G1731" s="13" t="n">
        <v>100</v>
      </c>
      <c r="H1731" s="9" t="s">
        <v>34</v>
      </c>
      <c r="I1731" s="13" t="n">
        <v>1</v>
      </c>
      <c r="J1731" s="1" t="str">
        <f aca="false">IF(A1731="","", "SAMP-"&amp;A1731&amp;"-L"&amp;TEXT(B1731,"00")&amp;"-"&amp;TEXT(C1731,"yyyymmdd")&amp;"-"&amp;D1731&amp;"-H"&amp;TEXT(E1731,"00")&amp;"-"&amp;H1731)</f>
        <v>SAMP-KG01-L24-20251112-ORD-2025-00258-H07-Thin Wall</v>
      </c>
      <c r="K1731" s="1" t="str">
        <f aca="false">IF(A1731="","",IF(AND(G1731&gt;=0,I1731&gt;=0,I1731&lt;=G1731),"OK","CHECK"))</f>
        <v>OK</v>
      </c>
      <c r="L1731" s="1" t="str">
        <f aca="false">IF(A1731="","",IF(AND(E1731&gt;=0,E1731&lt;=23),"OK","CHECK"))</f>
        <v>OK</v>
      </c>
      <c r="M1731" s="1" t="str">
        <f aca="false">IF(A1731="","",IF(AND(K1731="OK",L1731="OK"),"OK","CHECK"))</f>
        <v>OK</v>
      </c>
    </row>
    <row r="1732" customFormat="false" ht="18" hidden="false" customHeight="true" outlineLevel="0" collapsed="false">
      <c r="A1732" s="9" t="s">
        <v>26</v>
      </c>
      <c r="B1732" s="9" t="n">
        <v>24</v>
      </c>
      <c r="C1732" s="11" t="n">
        <v>45973</v>
      </c>
      <c r="D1732" s="9" t="s">
        <v>147</v>
      </c>
      <c r="E1732" s="12" t="n">
        <v>12</v>
      </c>
      <c r="F1732" s="9" t="s">
        <v>28</v>
      </c>
      <c r="G1732" s="13" t="n">
        <v>100</v>
      </c>
      <c r="H1732" s="9" t="s">
        <v>35</v>
      </c>
      <c r="I1732" s="13" t="n">
        <v>1</v>
      </c>
      <c r="J1732" s="1" t="str">
        <f aca="false">IF(A1732="","", "SAMP-"&amp;A1732&amp;"-L"&amp;TEXT(B1732,"00")&amp;"-"&amp;TEXT(C1732,"yyyymmdd")&amp;"-"&amp;D1732&amp;"-H"&amp;TEXT(E1732,"00")&amp;"-"&amp;H1732)</f>
        <v>SAMP-KG01-L24-20251112-ORD-2025-00258-H12-Stone</v>
      </c>
      <c r="K1732" s="1" t="str">
        <f aca="false">IF(A1732="","",IF(AND(G1732&gt;=0,I1732&gt;=0,I1732&lt;=G1732),"OK","CHECK"))</f>
        <v>OK</v>
      </c>
      <c r="L1732" s="1" t="str">
        <f aca="false">IF(A1732="","",IF(AND(E1732&gt;=0,E1732&lt;=23),"OK","CHECK"))</f>
        <v>OK</v>
      </c>
      <c r="M1732" s="1" t="str">
        <f aca="false">IF(A1732="","",IF(AND(K1732="OK",L1732="OK"),"OK","CHECK"))</f>
        <v>OK</v>
      </c>
    </row>
    <row r="1733" customFormat="false" ht="18" hidden="false" customHeight="true" outlineLevel="0" collapsed="false">
      <c r="A1733" s="9" t="s">
        <v>26</v>
      </c>
      <c r="B1733" s="9" t="n">
        <v>24</v>
      </c>
      <c r="C1733" s="11" t="n">
        <v>45973</v>
      </c>
      <c r="D1733" s="9" t="s">
        <v>147</v>
      </c>
      <c r="E1733" s="12" t="n">
        <v>20</v>
      </c>
      <c r="F1733" s="9" t="s">
        <v>31</v>
      </c>
      <c r="G1733" s="13" t="n">
        <v>150</v>
      </c>
      <c r="H1733" s="9" t="s">
        <v>30</v>
      </c>
      <c r="I1733" s="13" t="n">
        <v>5</v>
      </c>
      <c r="J1733" s="1" t="str">
        <f aca="false">IF(A1733="","", "SAMP-"&amp;A1733&amp;"-L"&amp;TEXT(B1733,"00")&amp;"-"&amp;TEXT(C1733,"yyyymmdd")&amp;"-"&amp;D1733&amp;"-H"&amp;TEXT(E1733,"00")&amp;"-"&amp;H1733)</f>
        <v>SAMP-KG01-L24-20251112-ORD-2025-00258-H20-Overpress</v>
      </c>
      <c r="K1733" s="1" t="str">
        <f aca="false">IF(A1733="","",IF(AND(G1733&gt;=0,I1733&gt;=0,I1733&lt;=G1733),"OK","CHECK"))</f>
        <v>OK</v>
      </c>
      <c r="L1733" s="1" t="str">
        <f aca="false">IF(A1733="","",IF(AND(E1733&gt;=0,E1733&lt;=23),"OK","CHECK"))</f>
        <v>OK</v>
      </c>
      <c r="M1733" s="1" t="str">
        <f aca="false">IF(A1733="","",IF(AND(K1733="OK",L1733="OK"),"OK","CHECK"))</f>
        <v>OK</v>
      </c>
    </row>
    <row r="1734" customFormat="false" ht="18" hidden="false" customHeight="true" outlineLevel="0" collapsed="false">
      <c r="A1734" s="9" t="s">
        <v>26</v>
      </c>
      <c r="B1734" s="9" t="n">
        <v>24</v>
      </c>
      <c r="C1734" s="11" t="n">
        <v>45973</v>
      </c>
      <c r="D1734" s="9" t="s">
        <v>147</v>
      </c>
      <c r="E1734" s="12" t="n">
        <v>23</v>
      </c>
      <c r="F1734" s="9" t="s">
        <v>31</v>
      </c>
      <c r="G1734" s="13" t="n">
        <v>200</v>
      </c>
      <c r="H1734" s="9" t="s">
        <v>30</v>
      </c>
      <c r="I1734" s="13" t="n">
        <v>4</v>
      </c>
      <c r="J1734" s="1" t="str">
        <f aca="false">IF(A1734="","", "SAMP-"&amp;A1734&amp;"-L"&amp;TEXT(B1734,"00")&amp;"-"&amp;TEXT(C1734,"yyyymmdd")&amp;"-"&amp;D1734&amp;"-H"&amp;TEXT(E1734,"00")&amp;"-"&amp;H1734)</f>
        <v>SAMP-KG01-L24-20251112-ORD-2025-00258-H23-Overpress</v>
      </c>
      <c r="K1734" s="1" t="str">
        <f aca="false">IF(A1734="","",IF(AND(G1734&gt;=0,I1734&gt;=0,I1734&lt;=G1734),"OK","CHECK"))</f>
        <v>OK</v>
      </c>
      <c r="L1734" s="1" t="str">
        <f aca="false">IF(A1734="","",IF(AND(E1734&gt;=0,E1734&lt;=23),"OK","CHECK"))</f>
        <v>OK</v>
      </c>
      <c r="M1734" s="1" t="str">
        <f aca="false">IF(A1734="","",IF(AND(K1734="OK",L1734="OK"),"OK","CHECK"))</f>
        <v>OK</v>
      </c>
    </row>
    <row r="1735" customFormat="false" ht="18" hidden="false" customHeight="true" outlineLevel="0" collapsed="false">
      <c r="A1735" s="9" t="s">
        <v>26</v>
      </c>
      <c r="B1735" s="9" t="n">
        <v>24</v>
      </c>
      <c r="C1735" s="11" t="n">
        <v>45973</v>
      </c>
      <c r="D1735" s="9" t="s">
        <v>147</v>
      </c>
      <c r="E1735" s="12" t="n">
        <v>16</v>
      </c>
      <c r="F1735" s="9" t="s">
        <v>31</v>
      </c>
      <c r="G1735" s="13" t="n">
        <v>150</v>
      </c>
      <c r="H1735" s="9" t="s">
        <v>30</v>
      </c>
      <c r="I1735" s="13" t="n">
        <v>5</v>
      </c>
      <c r="J1735" s="1" t="str">
        <f aca="false">IF(A1735="","", "SAMP-"&amp;A1735&amp;"-L"&amp;TEXT(B1735,"00")&amp;"-"&amp;TEXT(C1735,"yyyymmdd")&amp;"-"&amp;D1735&amp;"-H"&amp;TEXT(E1735,"00")&amp;"-"&amp;H1735)</f>
        <v>SAMP-KG01-L24-20251112-ORD-2025-00258-H16-Overpress</v>
      </c>
      <c r="K1735" s="1" t="str">
        <f aca="false">IF(A1735="","",IF(AND(G1735&gt;=0,I1735&gt;=0,I1735&lt;=G1735),"OK","CHECK"))</f>
        <v>OK</v>
      </c>
      <c r="L1735" s="1" t="str">
        <f aca="false">IF(A1735="","",IF(AND(E1735&gt;=0,E1735&lt;=23),"OK","CHECK"))</f>
        <v>OK</v>
      </c>
      <c r="M1735" s="1" t="str">
        <f aca="false">IF(A1735="","",IF(AND(K1735="OK",L1735="OK"),"OK","CHECK"))</f>
        <v>OK</v>
      </c>
    </row>
    <row r="1736" customFormat="false" ht="18" hidden="false" customHeight="true" outlineLevel="0" collapsed="false">
      <c r="A1736" s="9" t="s">
        <v>26</v>
      </c>
      <c r="B1736" s="9" t="n">
        <v>24</v>
      </c>
      <c r="C1736" s="11" t="n">
        <v>45974</v>
      </c>
      <c r="D1736" s="9" t="s">
        <v>147</v>
      </c>
      <c r="E1736" s="12" t="n">
        <v>7</v>
      </c>
      <c r="F1736" s="9" t="s">
        <v>28</v>
      </c>
      <c r="G1736" s="13" t="n">
        <v>150</v>
      </c>
      <c r="H1736" s="9" t="s">
        <v>41</v>
      </c>
      <c r="I1736" s="13" t="n">
        <v>5</v>
      </c>
      <c r="J1736" s="1" t="str">
        <f aca="false">IF(A1736="","", "SAMP-"&amp;A1736&amp;"-L"&amp;TEXT(B1736,"00")&amp;"-"&amp;TEXT(C1736,"yyyymmdd")&amp;"-"&amp;D1736&amp;"-H"&amp;TEXT(E1736,"00")&amp;"-"&amp;H1736)</f>
        <v>SAMP-KG01-L24-20251113-ORD-2025-00258-H07-Chip</v>
      </c>
      <c r="K1736" s="1" t="str">
        <f aca="false">IF(A1736="","",IF(AND(G1736&gt;=0,I1736&gt;=0,I1736&lt;=G1736),"OK","CHECK"))</f>
        <v>OK</v>
      </c>
      <c r="L1736" s="1" t="str">
        <f aca="false">IF(A1736="","",IF(AND(E1736&gt;=0,E1736&lt;=23),"OK","CHECK"))</f>
        <v>OK</v>
      </c>
      <c r="M1736" s="1" t="str">
        <f aca="false">IF(A1736="","",IF(AND(K1736="OK",L1736="OK"),"OK","CHECK"))</f>
        <v>OK</v>
      </c>
    </row>
    <row r="1737" customFormat="false" ht="18" hidden="false" customHeight="true" outlineLevel="0" collapsed="false">
      <c r="A1737" s="9" t="s">
        <v>26</v>
      </c>
      <c r="B1737" s="9" t="n">
        <v>24</v>
      </c>
      <c r="C1737" s="11" t="n">
        <v>45974</v>
      </c>
      <c r="D1737" s="9" t="s">
        <v>147</v>
      </c>
      <c r="E1737" s="12" t="n">
        <v>9</v>
      </c>
      <c r="F1737" s="9" t="s">
        <v>28</v>
      </c>
      <c r="G1737" s="13" t="n">
        <v>100</v>
      </c>
      <c r="H1737" s="9" t="s">
        <v>37</v>
      </c>
      <c r="I1737" s="13" t="n">
        <v>2</v>
      </c>
      <c r="J1737" s="1" t="str">
        <f aca="false">IF(A1737="","", "SAMP-"&amp;A1737&amp;"-L"&amp;TEXT(B1737,"00")&amp;"-"&amp;TEXT(C1737,"yyyymmdd")&amp;"-"&amp;D1737&amp;"-H"&amp;TEXT(E1737,"00")&amp;"-"&amp;H1737)</f>
        <v>SAMP-KG01-L24-20251113-ORD-2025-00258-H09-Bird Swing</v>
      </c>
      <c r="K1737" s="1" t="str">
        <f aca="false">IF(A1737="","",IF(AND(G1737&gt;=0,I1737&gt;=0,I1737&lt;=G1737),"OK","CHECK"))</f>
        <v>OK</v>
      </c>
      <c r="L1737" s="1" t="str">
        <f aca="false">IF(A1737="","",IF(AND(E1737&gt;=0,E1737&lt;=23),"OK","CHECK"))</f>
        <v>OK</v>
      </c>
      <c r="M1737" s="1" t="str">
        <f aca="false">IF(A1737="","",IF(AND(K1737="OK",L1737="OK"),"OK","CHECK"))</f>
        <v>OK</v>
      </c>
    </row>
    <row r="1738" customFormat="false" ht="18" hidden="false" customHeight="true" outlineLevel="0" collapsed="false">
      <c r="A1738" s="9" t="s">
        <v>26</v>
      </c>
      <c r="B1738" s="9" t="n">
        <v>24</v>
      </c>
      <c r="C1738" s="11" t="n">
        <v>45974</v>
      </c>
      <c r="D1738" s="9" t="s">
        <v>147</v>
      </c>
      <c r="E1738" s="12" t="n">
        <v>12</v>
      </c>
      <c r="F1738" s="9" t="s">
        <v>28</v>
      </c>
      <c r="G1738" s="13" t="n">
        <v>50</v>
      </c>
      <c r="H1738" s="9" t="s">
        <v>30</v>
      </c>
      <c r="I1738" s="13" t="n">
        <v>0</v>
      </c>
      <c r="J1738" s="1" t="str">
        <f aca="false">IF(A1738="","", "SAMP-"&amp;A1738&amp;"-L"&amp;TEXT(B1738,"00")&amp;"-"&amp;TEXT(C1738,"yyyymmdd")&amp;"-"&amp;D1738&amp;"-H"&amp;TEXT(E1738,"00")&amp;"-"&amp;H1738)</f>
        <v>SAMP-KG01-L24-20251113-ORD-2025-00258-H12-Overpress</v>
      </c>
      <c r="K1738" s="1" t="str">
        <f aca="false">IF(A1738="","",IF(AND(G1738&gt;=0,I1738&gt;=0,I1738&lt;=G1738),"OK","CHECK"))</f>
        <v>OK</v>
      </c>
      <c r="L1738" s="1" t="str">
        <f aca="false">IF(A1738="","",IF(AND(E1738&gt;=0,E1738&lt;=23),"OK","CHECK"))</f>
        <v>OK</v>
      </c>
      <c r="M1738" s="1" t="str">
        <f aca="false">IF(A1738="","",IF(AND(K1738="OK",L1738="OK"),"OK","CHECK"))</f>
        <v>OK</v>
      </c>
    </row>
    <row r="1739" customFormat="false" ht="18" hidden="false" customHeight="true" outlineLevel="0" collapsed="false">
      <c r="A1739" s="9" t="s">
        <v>26</v>
      </c>
      <c r="B1739" s="9" t="n">
        <v>24</v>
      </c>
      <c r="C1739" s="11" t="n">
        <v>45974</v>
      </c>
      <c r="D1739" s="9" t="s">
        <v>147</v>
      </c>
      <c r="E1739" s="12" t="n">
        <v>20</v>
      </c>
      <c r="F1739" s="9" t="s">
        <v>31</v>
      </c>
      <c r="G1739" s="13" t="n">
        <v>50</v>
      </c>
      <c r="H1739" s="9" t="s">
        <v>36</v>
      </c>
      <c r="I1739" s="13" t="n">
        <v>0</v>
      </c>
      <c r="J1739" s="1" t="str">
        <f aca="false">IF(A1739="","", "SAMP-"&amp;A1739&amp;"-L"&amp;TEXT(B1739,"00")&amp;"-"&amp;TEXT(C1739,"yyyymmdd")&amp;"-"&amp;D1739&amp;"-H"&amp;TEXT(E1739,"00")&amp;"-"&amp;H1739)</f>
        <v>SAMP-KG01-L24-20251113-ORD-2025-00258-H20-Blister</v>
      </c>
      <c r="K1739" s="1" t="str">
        <f aca="false">IF(A1739="","",IF(AND(G1739&gt;=0,I1739&gt;=0,I1739&lt;=G1739),"OK","CHECK"))</f>
        <v>OK</v>
      </c>
      <c r="L1739" s="1" t="str">
        <f aca="false">IF(A1739="","",IF(AND(E1739&gt;=0,E1739&lt;=23),"OK","CHECK"))</f>
        <v>OK</v>
      </c>
      <c r="M1739" s="1" t="str">
        <f aca="false">IF(A1739="","",IF(AND(K1739="OK",L1739="OK"),"OK","CHECK"))</f>
        <v>OK</v>
      </c>
    </row>
    <row r="1740" customFormat="false" ht="18" hidden="false" customHeight="true" outlineLevel="0" collapsed="false">
      <c r="A1740" s="9" t="s">
        <v>26</v>
      </c>
      <c r="B1740" s="9" t="n">
        <v>24</v>
      </c>
      <c r="C1740" s="11" t="n">
        <v>45974</v>
      </c>
      <c r="D1740" s="9" t="s">
        <v>147</v>
      </c>
      <c r="E1740" s="12" t="n">
        <v>23</v>
      </c>
      <c r="F1740" s="9" t="s">
        <v>31</v>
      </c>
      <c r="G1740" s="13" t="n">
        <v>50</v>
      </c>
      <c r="H1740" s="9" t="s">
        <v>30</v>
      </c>
      <c r="I1740" s="13" t="n">
        <v>1</v>
      </c>
      <c r="J1740" s="1" t="str">
        <f aca="false">IF(A1740="","", "SAMP-"&amp;A1740&amp;"-L"&amp;TEXT(B1740,"00")&amp;"-"&amp;TEXT(C1740,"yyyymmdd")&amp;"-"&amp;D1740&amp;"-H"&amp;TEXT(E1740,"00")&amp;"-"&amp;H1740)</f>
        <v>SAMP-KG01-L24-20251113-ORD-2025-00258-H23-Overpress</v>
      </c>
      <c r="K1740" s="1" t="str">
        <f aca="false">IF(A1740="","",IF(AND(G1740&gt;=0,I1740&gt;=0,I1740&lt;=G1740),"OK","CHECK"))</f>
        <v>OK</v>
      </c>
      <c r="L1740" s="1" t="str">
        <f aca="false">IF(A1740="","",IF(AND(E1740&gt;=0,E1740&lt;=23),"OK","CHECK"))</f>
        <v>OK</v>
      </c>
      <c r="M1740" s="1" t="str">
        <f aca="false">IF(A1740="","",IF(AND(K1740="OK",L1740="OK"),"OK","CHECK"))</f>
        <v>OK</v>
      </c>
    </row>
    <row r="1741" customFormat="false" ht="18" hidden="false" customHeight="true" outlineLevel="0" collapsed="false">
      <c r="A1741" s="9" t="s">
        <v>26</v>
      </c>
      <c r="B1741" s="9" t="n">
        <v>24</v>
      </c>
      <c r="C1741" s="11" t="n">
        <v>45974</v>
      </c>
      <c r="D1741" s="9" t="s">
        <v>147</v>
      </c>
      <c r="E1741" s="12" t="n">
        <v>16</v>
      </c>
      <c r="F1741" s="9" t="s">
        <v>31</v>
      </c>
      <c r="G1741" s="13" t="n">
        <v>200</v>
      </c>
      <c r="H1741" s="9" t="s">
        <v>34</v>
      </c>
      <c r="I1741" s="13" t="n">
        <v>0</v>
      </c>
      <c r="J1741" s="1" t="str">
        <f aca="false">IF(A1741="","", "SAMP-"&amp;A1741&amp;"-L"&amp;TEXT(B1741,"00")&amp;"-"&amp;TEXT(C1741,"yyyymmdd")&amp;"-"&amp;D1741&amp;"-H"&amp;TEXT(E1741,"00")&amp;"-"&amp;H1741)</f>
        <v>SAMP-KG01-L24-20251113-ORD-2025-00258-H16-Thin Wall</v>
      </c>
      <c r="K1741" s="1" t="str">
        <f aca="false">IF(A1741="","",IF(AND(G1741&gt;=0,I1741&gt;=0,I1741&lt;=G1741),"OK","CHECK"))</f>
        <v>OK</v>
      </c>
      <c r="L1741" s="1" t="str">
        <f aca="false">IF(A1741="","",IF(AND(E1741&gt;=0,E1741&lt;=23),"OK","CHECK"))</f>
        <v>OK</v>
      </c>
      <c r="M1741" s="1" t="str">
        <f aca="false">IF(A1741="","",IF(AND(K1741="OK",L1741="OK"),"OK","CHECK"))</f>
        <v>OK</v>
      </c>
    </row>
    <row r="1742" customFormat="false" ht="18" hidden="false" customHeight="true" outlineLevel="0" collapsed="false">
      <c r="A1742" s="9" t="s">
        <v>26</v>
      </c>
      <c r="B1742" s="9" t="n">
        <v>24</v>
      </c>
      <c r="C1742" s="11" t="n">
        <v>45975</v>
      </c>
      <c r="D1742" s="9" t="s">
        <v>147</v>
      </c>
      <c r="E1742" s="12" t="n">
        <v>12</v>
      </c>
      <c r="F1742" s="9" t="s">
        <v>28</v>
      </c>
      <c r="G1742" s="13" t="n">
        <v>50</v>
      </c>
      <c r="H1742" s="9" t="s">
        <v>34</v>
      </c>
      <c r="I1742" s="13" t="n">
        <v>1</v>
      </c>
      <c r="J1742" s="1" t="str">
        <f aca="false">IF(A1742="","", "SAMP-"&amp;A1742&amp;"-L"&amp;TEXT(B1742,"00")&amp;"-"&amp;TEXT(C1742,"yyyymmdd")&amp;"-"&amp;D1742&amp;"-H"&amp;TEXT(E1742,"00")&amp;"-"&amp;H1742)</f>
        <v>SAMP-KG01-L24-20251114-ORD-2025-00258-H12-Thin Wall</v>
      </c>
      <c r="K1742" s="1" t="str">
        <f aca="false">IF(A1742="","",IF(AND(G1742&gt;=0,I1742&gt;=0,I1742&lt;=G1742),"OK","CHECK"))</f>
        <v>OK</v>
      </c>
      <c r="L1742" s="1" t="str">
        <f aca="false">IF(A1742="","",IF(AND(E1742&gt;=0,E1742&lt;=23),"OK","CHECK"))</f>
        <v>OK</v>
      </c>
      <c r="M1742" s="1" t="str">
        <f aca="false">IF(A1742="","",IF(AND(K1742="OK",L1742="OK"),"OK","CHECK"))</f>
        <v>OK</v>
      </c>
    </row>
    <row r="1743" customFormat="false" ht="18" hidden="false" customHeight="true" outlineLevel="0" collapsed="false">
      <c r="A1743" s="9" t="s">
        <v>26</v>
      </c>
      <c r="B1743" s="9" t="n">
        <v>24</v>
      </c>
      <c r="C1743" s="11" t="n">
        <v>45975</v>
      </c>
      <c r="D1743" s="9" t="s">
        <v>147</v>
      </c>
      <c r="E1743" s="12" t="n">
        <v>7</v>
      </c>
      <c r="F1743" s="9" t="s">
        <v>28</v>
      </c>
      <c r="G1743" s="13" t="n">
        <v>150</v>
      </c>
      <c r="H1743" s="9" t="s">
        <v>36</v>
      </c>
      <c r="I1743" s="13" t="n">
        <v>2</v>
      </c>
      <c r="J1743" s="1" t="str">
        <f aca="false">IF(A1743="","", "SAMP-"&amp;A1743&amp;"-L"&amp;TEXT(B1743,"00")&amp;"-"&amp;TEXT(C1743,"yyyymmdd")&amp;"-"&amp;D1743&amp;"-H"&amp;TEXT(E1743,"00")&amp;"-"&amp;H1743)</f>
        <v>SAMP-KG01-L24-20251114-ORD-2025-00258-H07-Blister</v>
      </c>
      <c r="K1743" s="1" t="str">
        <f aca="false">IF(A1743="","",IF(AND(G1743&gt;=0,I1743&gt;=0,I1743&lt;=G1743),"OK","CHECK"))</f>
        <v>OK</v>
      </c>
      <c r="L1743" s="1" t="str">
        <f aca="false">IF(A1743="","",IF(AND(E1743&gt;=0,E1743&lt;=23),"OK","CHECK"))</f>
        <v>OK</v>
      </c>
      <c r="M1743" s="1" t="str">
        <f aca="false">IF(A1743="","",IF(AND(K1743="OK",L1743="OK"),"OK","CHECK"))</f>
        <v>OK</v>
      </c>
    </row>
    <row r="1744" customFormat="false" ht="18" hidden="false" customHeight="true" outlineLevel="0" collapsed="false">
      <c r="A1744" s="9" t="s">
        <v>26</v>
      </c>
      <c r="B1744" s="9" t="n">
        <v>24</v>
      </c>
      <c r="C1744" s="11" t="n">
        <v>45975</v>
      </c>
      <c r="D1744" s="9" t="s">
        <v>147</v>
      </c>
      <c r="E1744" s="12" t="n">
        <v>9</v>
      </c>
      <c r="F1744" s="9" t="s">
        <v>28</v>
      </c>
      <c r="G1744" s="13" t="n">
        <v>50</v>
      </c>
      <c r="H1744" s="9" t="s">
        <v>36</v>
      </c>
      <c r="I1744" s="13" t="n">
        <v>0</v>
      </c>
      <c r="J1744" s="1" t="str">
        <f aca="false">IF(A1744="","", "SAMP-"&amp;A1744&amp;"-L"&amp;TEXT(B1744,"00")&amp;"-"&amp;TEXT(C1744,"yyyymmdd")&amp;"-"&amp;D1744&amp;"-H"&amp;TEXT(E1744,"00")&amp;"-"&amp;H1744)</f>
        <v>SAMP-KG01-L24-20251114-ORD-2025-00258-H09-Blister</v>
      </c>
      <c r="K1744" s="1" t="str">
        <f aca="false">IF(A1744="","",IF(AND(G1744&gt;=0,I1744&gt;=0,I1744&lt;=G1744),"OK","CHECK"))</f>
        <v>OK</v>
      </c>
      <c r="L1744" s="1" t="str">
        <f aca="false">IF(A1744="","",IF(AND(E1744&gt;=0,E1744&lt;=23),"OK","CHECK"))</f>
        <v>OK</v>
      </c>
      <c r="M1744" s="1" t="str">
        <f aca="false">IF(A1744="","",IF(AND(K1744="OK",L1744="OK"),"OK","CHECK"))</f>
        <v>OK</v>
      </c>
    </row>
    <row r="1745" customFormat="false" ht="18" hidden="false" customHeight="true" outlineLevel="0" collapsed="false">
      <c r="A1745" s="9" t="s">
        <v>26</v>
      </c>
      <c r="B1745" s="9" t="n">
        <v>24</v>
      </c>
      <c r="C1745" s="11" t="n">
        <v>45975</v>
      </c>
      <c r="D1745" s="9" t="s">
        <v>147</v>
      </c>
      <c r="E1745" s="12" t="n">
        <v>16</v>
      </c>
      <c r="F1745" s="9" t="s">
        <v>31</v>
      </c>
      <c r="G1745" s="13" t="n">
        <v>100</v>
      </c>
      <c r="H1745" s="9" t="s">
        <v>35</v>
      </c>
      <c r="I1745" s="13" t="n">
        <v>1</v>
      </c>
      <c r="J1745" s="1" t="str">
        <f aca="false">IF(A1745="","", "SAMP-"&amp;A1745&amp;"-L"&amp;TEXT(B1745,"00")&amp;"-"&amp;TEXT(C1745,"yyyymmdd")&amp;"-"&amp;D1745&amp;"-H"&amp;TEXT(E1745,"00")&amp;"-"&amp;H1745)</f>
        <v>SAMP-KG01-L24-20251114-ORD-2025-00258-H16-Stone</v>
      </c>
      <c r="K1745" s="1" t="str">
        <f aca="false">IF(A1745="","",IF(AND(G1745&gt;=0,I1745&gt;=0,I1745&lt;=G1745),"OK","CHECK"))</f>
        <v>OK</v>
      </c>
      <c r="L1745" s="1" t="str">
        <f aca="false">IF(A1745="","",IF(AND(E1745&gt;=0,E1745&lt;=23),"OK","CHECK"))</f>
        <v>OK</v>
      </c>
      <c r="M1745" s="1" t="str">
        <f aca="false">IF(A1745="","",IF(AND(K1745="OK",L1745="OK"),"OK","CHECK"))</f>
        <v>OK</v>
      </c>
    </row>
    <row r="1746" customFormat="false" ht="18" hidden="false" customHeight="true" outlineLevel="0" collapsed="false">
      <c r="A1746" s="9" t="s">
        <v>26</v>
      </c>
      <c r="B1746" s="9" t="n">
        <v>24</v>
      </c>
      <c r="C1746" s="11" t="n">
        <v>45975</v>
      </c>
      <c r="D1746" s="9" t="s">
        <v>147</v>
      </c>
      <c r="E1746" s="12" t="n">
        <v>23</v>
      </c>
      <c r="F1746" s="9" t="s">
        <v>31</v>
      </c>
      <c r="G1746" s="13" t="n">
        <v>200</v>
      </c>
      <c r="H1746" s="9" t="s">
        <v>34</v>
      </c>
      <c r="I1746" s="13" t="n">
        <v>0</v>
      </c>
      <c r="J1746" s="1" t="str">
        <f aca="false">IF(A1746="","", "SAMP-"&amp;A1746&amp;"-L"&amp;TEXT(B1746,"00")&amp;"-"&amp;TEXT(C1746,"yyyymmdd")&amp;"-"&amp;D1746&amp;"-H"&amp;TEXT(E1746,"00")&amp;"-"&amp;H1746)</f>
        <v>SAMP-KG01-L24-20251114-ORD-2025-00258-H23-Thin Wall</v>
      </c>
      <c r="K1746" s="1" t="str">
        <f aca="false">IF(A1746="","",IF(AND(G1746&gt;=0,I1746&gt;=0,I1746&lt;=G1746),"OK","CHECK"))</f>
        <v>OK</v>
      </c>
      <c r="L1746" s="1" t="str">
        <f aca="false">IF(A1746="","",IF(AND(E1746&gt;=0,E1746&lt;=23),"OK","CHECK"))</f>
        <v>OK</v>
      </c>
      <c r="M1746" s="1" t="str">
        <f aca="false">IF(A1746="","",IF(AND(K1746="OK",L1746="OK"),"OK","CHECK"))</f>
        <v>OK</v>
      </c>
    </row>
    <row r="1747" customFormat="false" ht="18" hidden="false" customHeight="true" outlineLevel="0" collapsed="false">
      <c r="A1747" s="9" t="s">
        <v>26</v>
      </c>
      <c r="B1747" s="9" t="n">
        <v>24</v>
      </c>
      <c r="C1747" s="11" t="n">
        <v>45975</v>
      </c>
      <c r="D1747" s="9" t="s">
        <v>147</v>
      </c>
      <c r="E1747" s="12" t="n">
        <v>20</v>
      </c>
      <c r="F1747" s="9" t="s">
        <v>31</v>
      </c>
      <c r="G1747" s="13" t="n">
        <v>50</v>
      </c>
      <c r="H1747" s="9" t="s">
        <v>35</v>
      </c>
      <c r="I1747" s="13" t="n">
        <v>1</v>
      </c>
      <c r="J1747" s="1" t="str">
        <f aca="false">IF(A1747="","", "SAMP-"&amp;A1747&amp;"-L"&amp;TEXT(B1747,"00")&amp;"-"&amp;TEXT(C1747,"yyyymmdd")&amp;"-"&amp;D1747&amp;"-H"&amp;TEXT(E1747,"00")&amp;"-"&amp;H1747)</f>
        <v>SAMP-KG01-L24-20251114-ORD-2025-00258-H20-Stone</v>
      </c>
      <c r="K1747" s="1" t="str">
        <f aca="false">IF(A1747="","",IF(AND(G1747&gt;=0,I1747&gt;=0,I1747&lt;=G1747),"OK","CHECK"))</f>
        <v>OK</v>
      </c>
      <c r="L1747" s="1" t="str">
        <f aca="false">IF(A1747="","",IF(AND(E1747&gt;=0,E1747&lt;=23),"OK","CHECK"))</f>
        <v>OK</v>
      </c>
      <c r="M1747" s="1" t="str">
        <f aca="false">IF(A1747="","",IF(AND(K1747="OK",L1747="OK"),"OK","CHECK"))</f>
        <v>OK</v>
      </c>
    </row>
    <row r="1748" customFormat="false" ht="18" hidden="false" customHeight="true" outlineLevel="0" collapsed="false">
      <c r="A1748" s="9" t="s">
        <v>26</v>
      </c>
      <c r="B1748" s="9" t="n">
        <v>24</v>
      </c>
      <c r="C1748" s="11" t="n">
        <v>45976</v>
      </c>
      <c r="D1748" s="9" t="s">
        <v>147</v>
      </c>
      <c r="E1748" s="12" t="n">
        <v>9</v>
      </c>
      <c r="F1748" s="9" t="s">
        <v>28</v>
      </c>
      <c r="G1748" s="13" t="n">
        <v>150</v>
      </c>
      <c r="H1748" s="9" t="s">
        <v>41</v>
      </c>
      <c r="I1748" s="13" t="n">
        <v>4</v>
      </c>
      <c r="J1748" s="1" t="str">
        <f aca="false">IF(A1748="","", "SAMP-"&amp;A1748&amp;"-L"&amp;TEXT(B1748,"00")&amp;"-"&amp;TEXT(C1748,"yyyymmdd")&amp;"-"&amp;D1748&amp;"-H"&amp;TEXT(E1748,"00")&amp;"-"&amp;H1748)</f>
        <v>SAMP-KG01-L24-20251115-ORD-2025-00258-H09-Chip</v>
      </c>
      <c r="K1748" s="1" t="str">
        <f aca="false">IF(A1748="","",IF(AND(G1748&gt;=0,I1748&gt;=0,I1748&lt;=G1748),"OK","CHECK"))</f>
        <v>OK</v>
      </c>
      <c r="L1748" s="1" t="str">
        <f aca="false">IF(A1748="","",IF(AND(E1748&gt;=0,E1748&lt;=23),"OK","CHECK"))</f>
        <v>OK</v>
      </c>
      <c r="M1748" s="1" t="str">
        <f aca="false">IF(A1748="","",IF(AND(K1748="OK",L1748="OK"),"OK","CHECK"))</f>
        <v>OK</v>
      </c>
    </row>
    <row r="1749" customFormat="false" ht="18" hidden="false" customHeight="true" outlineLevel="0" collapsed="false">
      <c r="A1749" s="9" t="s">
        <v>26</v>
      </c>
      <c r="B1749" s="9" t="n">
        <v>24</v>
      </c>
      <c r="C1749" s="11" t="n">
        <v>45976</v>
      </c>
      <c r="D1749" s="9" t="s">
        <v>147</v>
      </c>
      <c r="E1749" s="12" t="n">
        <v>12</v>
      </c>
      <c r="F1749" s="9" t="s">
        <v>28</v>
      </c>
      <c r="G1749" s="13" t="n">
        <v>50</v>
      </c>
      <c r="H1749" s="9" t="s">
        <v>34</v>
      </c>
      <c r="I1749" s="13" t="n">
        <v>1</v>
      </c>
      <c r="J1749" s="1" t="str">
        <f aca="false">IF(A1749="","", "SAMP-"&amp;A1749&amp;"-L"&amp;TEXT(B1749,"00")&amp;"-"&amp;TEXT(C1749,"yyyymmdd")&amp;"-"&amp;D1749&amp;"-H"&amp;TEXT(E1749,"00")&amp;"-"&amp;H1749)</f>
        <v>SAMP-KG01-L24-20251115-ORD-2025-00258-H12-Thin Wall</v>
      </c>
      <c r="K1749" s="1" t="str">
        <f aca="false">IF(A1749="","",IF(AND(G1749&gt;=0,I1749&gt;=0,I1749&lt;=G1749),"OK","CHECK"))</f>
        <v>OK</v>
      </c>
      <c r="L1749" s="1" t="str">
        <f aca="false">IF(A1749="","",IF(AND(E1749&gt;=0,E1749&lt;=23),"OK","CHECK"))</f>
        <v>OK</v>
      </c>
      <c r="M1749" s="1" t="str">
        <f aca="false">IF(A1749="","",IF(AND(K1749="OK",L1749="OK"),"OK","CHECK"))</f>
        <v>OK</v>
      </c>
    </row>
    <row r="1750" customFormat="false" ht="18" hidden="false" customHeight="true" outlineLevel="0" collapsed="false">
      <c r="A1750" s="9" t="s">
        <v>26</v>
      </c>
      <c r="B1750" s="9" t="n">
        <v>24</v>
      </c>
      <c r="C1750" s="11" t="n">
        <v>45976</v>
      </c>
      <c r="D1750" s="9" t="s">
        <v>147</v>
      </c>
      <c r="E1750" s="12" t="n">
        <v>7</v>
      </c>
      <c r="F1750" s="9" t="s">
        <v>28</v>
      </c>
      <c r="G1750" s="13" t="n">
        <v>50</v>
      </c>
      <c r="H1750" s="9" t="s">
        <v>33</v>
      </c>
      <c r="I1750" s="13" t="n">
        <v>1</v>
      </c>
      <c r="J1750" s="1" t="str">
        <f aca="false">IF(A1750="","", "SAMP-"&amp;A1750&amp;"-L"&amp;TEXT(B1750,"00")&amp;"-"&amp;TEXT(C1750,"yyyymmdd")&amp;"-"&amp;D1750&amp;"-H"&amp;TEXT(E1750,"00")&amp;"-"&amp;H1750)</f>
        <v>SAMP-KG01-L24-20251115-ORD-2025-00258-H07-Distortion</v>
      </c>
      <c r="K1750" s="1" t="str">
        <f aca="false">IF(A1750="","",IF(AND(G1750&gt;=0,I1750&gt;=0,I1750&lt;=G1750),"OK","CHECK"))</f>
        <v>OK</v>
      </c>
      <c r="L1750" s="1" t="str">
        <f aca="false">IF(A1750="","",IF(AND(E1750&gt;=0,E1750&lt;=23),"OK","CHECK"))</f>
        <v>OK</v>
      </c>
      <c r="M1750" s="1" t="str">
        <f aca="false">IF(A1750="","",IF(AND(K1750="OK",L1750="OK"),"OK","CHECK"))</f>
        <v>OK</v>
      </c>
    </row>
    <row r="1751" customFormat="false" ht="18" hidden="false" customHeight="true" outlineLevel="0" collapsed="false">
      <c r="A1751" s="9" t="s">
        <v>26</v>
      </c>
      <c r="B1751" s="9" t="n">
        <v>24</v>
      </c>
      <c r="C1751" s="11" t="n">
        <v>45976</v>
      </c>
      <c r="D1751" s="9" t="s">
        <v>148</v>
      </c>
      <c r="E1751" s="12" t="n">
        <v>16</v>
      </c>
      <c r="F1751" s="9" t="s">
        <v>31</v>
      </c>
      <c r="G1751" s="13" t="n">
        <v>100</v>
      </c>
      <c r="H1751" s="9" t="s">
        <v>33</v>
      </c>
      <c r="I1751" s="13" t="n">
        <v>4</v>
      </c>
      <c r="J1751" s="1" t="str">
        <f aca="false">IF(A1751="","", "SAMP-"&amp;A1751&amp;"-L"&amp;TEXT(B1751,"00")&amp;"-"&amp;TEXT(C1751,"yyyymmdd")&amp;"-"&amp;D1751&amp;"-H"&amp;TEXT(E1751,"00")&amp;"-"&amp;H1751)</f>
        <v>SAMP-KG01-L24-20251115-ORD-2025-00259-H16-Distortion</v>
      </c>
      <c r="K1751" s="1" t="str">
        <f aca="false">IF(A1751="","",IF(AND(G1751&gt;=0,I1751&gt;=0,I1751&lt;=G1751),"OK","CHECK"))</f>
        <v>OK</v>
      </c>
      <c r="L1751" s="1" t="str">
        <f aca="false">IF(A1751="","",IF(AND(E1751&gt;=0,E1751&lt;=23),"OK","CHECK"))</f>
        <v>OK</v>
      </c>
      <c r="M1751" s="1" t="str">
        <f aca="false">IF(A1751="","",IF(AND(K1751="OK",L1751="OK"),"OK","CHECK"))</f>
        <v>OK</v>
      </c>
    </row>
    <row r="1752" customFormat="false" ht="18" hidden="false" customHeight="true" outlineLevel="0" collapsed="false">
      <c r="A1752" s="9" t="s">
        <v>26</v>
      </c>
      <c r="B1752" s="9" t="n">
        <v>24</v>
      </c>
      <c r="C1752" s="11" t="n">
        <v>45976</v>
      </c>
      <c r="D1752" s="9" t="s">
        <v>148</v>
      </c>
      <c r="E1752" s="12" t="n">
        <v>20</v>
      </c>
      <c r="F1752" s="9" t="s">
        <v>31</v>
      </c>
      <c r="G1752" s="13" t="n">
        <v>100</v>
      </c>
      <c r="H1752" s="9" t="s">
        <v>34</v>
      </c>
      <c r="I1752" s="13" t="n">
        <v>0</v>
      </c>
      <c r="J1752" s="1" t="str">
        <f aca="false">IF(A1752="","", "SAMP-"&amp;A1752&amp;"-L"&amp;TEXT(B1752,"00")&amp;"-"&amp;TEXT(C1752,"yyyymmdd")&amp;"-"&amp;D1752&amp;"-H"&amp;TEXT(E1752,"00")&amp;"-"&amp;H1752)</f>
        <v>SAMP-KG01-L24-20251115-ORD-2025-00259-H20-Thin Wall</v>
      </c>
      <c r="K1752" s="1" t="str">
        <f aca="false">IF(A1752="","",IF(AND(G1752&gt;=0,I1752&gt;=0,I1752&lt;=G1752),"OK","CHECK"))</f>
        <v>OK</v>
      </c>
      <c r="L1752" s="1" t="str">
        <f aca="false">IF(A1752="","",IF(AND(E1752&gt;=0,E1752&lt;=23),"OK","CHECK"))</f>
        <v>OK</v>
      </c>
      <c r="M1752" s="1" t="str">
        <f aca="false">IF(A1752="","",IF(AND(K1752="OK",L1752="OK"),"OK","CHECK"))</f>
        <v>OK</v>
      </c>
    </row>
    <row r="1753" customFormat="false" ht="18" hidden="false" customHeight="true" outlineLevel="0" collapsed="false">
      <c r="A1753" s="9" t="s">
        <v>26</v>
      </c>
      <c r="B1753" s="9" t="n">
        <v>24</v>
      </c>
      <c r="C1753" s="11" t="n">
        <v>45976</v>
      </c>
      <c r="D1753" s="9" t="s">
        <v>148</v>
      </c>
      <c r="E1753" s="12" t="n">
        <v>23</v>
      </c>
      <c r="F1753" s="9" t="s">
        <v>31</v>
      </c>
      <c r="G1753" s="13" t="n">
        <v>50</v>
      </c>
      <c r="H1753" s="9" t="s">
        <v>35</v>
      </c>
      <c r="I1753" s="13" t="n">
        <v>0</v>
      </c>
      <c r="J1753" s="1" t="str">
        <f aca="false">IF(A1753="","", "SAMP-"&amp;A1753&amp;"-L"&amp;TEXT(B1753,"00")&amp;"-"&amp;TEXT(C1753,"yyyymmdd")&amp;"-"&amp;D1753&amp;"-H"&amp;TEXT(E1753,"00")&amp;"-"&amp;H1753)</f>
        <v>SAMP-KG01-L24-20251115-ORD-2025-00259-H23-Stone</v>
      </c>
      <c r="K1753" s="1" t="str">
        <f aca="false">IF(A1753="","",IF(AND(G1753&gt;=0,I1753&gt;=0,I1753&lt;=G1753),"OK","CHECK"))</f>
        <v>OK</v>
      </c>
      <c r="L1753" s="1" t="str">
        <f aca="false">IF(A1753="","",IF(AND(E1753&gt;=0,E1753&lt;=23),"OK","CHECK"))</f>
        <v>OK</v>
      </c>
      <c r="M1753" s="1" t="str">
        <f aca="false">IF(A1753="","",IF(AND(K1753="OK",L1753="OK"),"OK","CHECK"))</f>
        <v>OK</v>
      </c>
    </row>
    <row r="1754" customFormat="false" ht="18" hidden="false" customHeight="true" outlineLevel="0" collapsed="false">
      <c r="A1754" s="9" t="s">
        <v>26</v>
      </c>
      <c r="B1754" s="9" t="n">
        <v>24</v>
      </c>
      <c r="C1754" s="11" t="n">
        <v>45977</v>
      </c>
      <c r="D1754" s="9" t="s">
        <v>148</v>
      </c>
      <c r="E1754" s="12" t="n">
        <v>7</v>
      </c>
      <c r="F1754" s="9" t="s">
        <v>28</v>
      </c>
      <c r="G1754" s="13" t="n">
        <v>200</v>
      </c>
      <c r="H1754" s="9" t="s">
        <v>34</v>
      </c>
      <c r="I1754" s="13" t="n">
        <v>6</v>
      </c>
      <c r="J1754" s="1" t="str">
        <f aca="false">IF(A1754="","", "SAMP-"&amp;A1754&amp;"-L"&amp;TEXT(B1754,"00")&amp;"-"&amp;TEXT(C1754,"yyyymmdd")&amp;"-"&amp;D1754&amp;"-H"&amp;TEXT(E1754,"00")&amp;"-"&amp;H1754)</f>
        <v>SAMP-KG01-L24-20251116-ORD-2025-00259-H07-Thin Wall</v>
      </c>
      <c r="K1754" s="1" t="str">
        <f aca="false">IF(A1754="","",IF(AND(G1754&gt;=0,I1754&gt;=0,I1754&lt;=G1754),"OK","CHECK"))</f>
        <v>OK</v>
      </c>
      <c r="L1754" s="1" t="str">
        <f aca="false">IF(A1754="","",IF(AND(E1754&gt;=0,E1754&lt;=23),"OK","CHECK"))</f>
        <v>OK</v>
      </c>
      <c r="M1754" s="1" t="str">
        <f aca="false">IF(A1754="","",IF(AND(K1754="OK",L1754="OK"),"OK","CHECK"))</f>
        <v>OK</v>
      </c>
    </row>
    <row r="1755" customFormat="false" ht="18" hidden="false" customHeight="true" outlineLevel="0" collapsed="false">
      <c r="A1755" s="9" t="s">
        <v>26</v>
      </c>
      <c r="B1755" s="9" t="n">
        <v>24</v>
      </c>
      <c r="C1755" s="11" t="n">
        <v>45977</v>
      </c>
      <c r="D1755" s="9" t="s">
        <v>148</v>
      </c>
      <c r="E1755" s="12" t="n">
        <v>9</v>
      </c>
      <c r="F1755" s="9" t="s">
        <v>28</v>
      </c>
      <c r="G1755" s="13" t="n">
        <v>100</v>
      </c>
      <c r="H1755" s="9" t="s">
        <v>36</v>
      </c>
      <c r="I1755" s="13" t="n">
        <v>2</v>
      </c>
      <c r="J1755" s="1" t="str">
        <f aca="false">IF(A1755="","", "SAMP-"&amp;A1755&amp;"-L"&amp;TEXT(B1755,"00")&amp;"-"&amp;TEXT(C1755,"yyyymmdd")&amp;"-"&amp;D1755&amp;"-H"&amp;TEXT(E1755,"00")&amp;"-"&amp;H1755)</f>
        <v>SAMP-KG01-L24-20251116-ORD-2025-00259-H09-Blister</v>
      </c>
      <c r="K1755" s="1" t="str">
        <f aca="false">IF(A1755="","",IF(AND(G1755&gt;=0,I1755&gt;=0,I1755&lt;=G1755),"OK","CHECK"))</f>
        <v>OK</v>
      </c>
      <c r="L1755" s="1" t="str">
        <f aca="false">IF(A1755="","",IF(AND(E1755&gt;=0,E1755&lt;=23),"OK","CHECK"))</f>
        <v>OK</v>
      </c>
      <c r="M1755" s="1" t="str">
        <f aca="false">IF(A1755="","",IF(AND(K1755="OK",L1755="OK"),"OK","CHECK"))</f>
        <v>OK</v>
      </c>
    </row>
    <row r="1756" customFormat="false" ht="18" hidden="false" customHeight="true" outlineLevel="0" collapsed="false">
      <c r="A1756" s="9" t="s">
        <v>26</v>
      </c>
      <c r="B1756" s="9" t="n">
        <v>24</v>
      </c>
      <c r="C1756" s="11" t="n">
        <v>45977</v>
      </c>
      <c r="D1756" s="9" t="s">
        <v>148</v>
      </c>
      <c r="E1756" s="12" t="n">
        <v>12</v>
      </c>
      <c r="F1756" s="9" t="s">
        <v>28</v>
      </c>
      <c r="G1756" s="13" t="n">
        <v>200</v>
      </c>
      <c r="H1756" s="9" t="s">
        <v>33</v>
      </c>
      <c r="I1756" s="13" t="n">
        <v>5</v>
      </c>
      <c r="J1756" s="1" t="str">
        <f aca="false">IF(A1756="","", "SAMP-"&amp;A1756&amp;"-L"&amp;TEXT(B1756,"00")&amp;"-"&amp;TEXT(C1756,"yyyymmdd")&amp;"-"&amp;D1756&amp;"-H"&amp;TEXT(E1756,"00")&amp;"-"&amp;H1756)</f>
        <v>SAMP-KG01-L24-20251116-ORD-2025-00259-H12-Distortion</v>
      </c>
      <c r="K1756" s="1" t="str">
        <f aca="false">IF(A1756="","",IF(AND(G1756&gt;=0,I1756&gt;=0,I1756&lt;=G1756),"OK","CHECK"))</f>
        <v>OK</v>
      </c>
      <c r="L1756" s="1" t="str">
        <f aca="false">IF(A1756="","",IF(AND(E1756&gt;=0,E1756&lt;=23),"OK","CHECK"))</f>
        <v>OK</v>
      </c>
      <c r="M1756" s="1" t="str">
        <f aca="false">IF(A1756="","",IF(AND(K1756="OK",L1756="OK"),"OK","CHECK"))</f>
        <v>OK</v>
      </c>
    </row>
    <row r="1757" customFormat="false" ht="18" hidden="false" customHeight="true" outlineLevel="0" collapsed="false">
      <c r="A1757" s="9" t="s">
        <v>26</v>
      </c>
      <c r="B1757" s="9" t="n">
        <v>24</v>
      </c>
      <c r="C1757" s="11" t="n">
        <v>45977</v>
      </c>
      <c r="D1757" s="9" t="s">
        <v>148</v>
      </c>
      <c r="E1757" s="12" t="n">
        <v>16</v>
      </c>
      <c r="F1757" s="9" t="s">
        <v>31</v>
      </c>
      <c r="G1757" s="13" t="n">
        <v>150</v>
      </c>
      <c r="H1757" s="9" t="s">
        <v>29</v>
      </c>
      <c r="I1757" s="13" t="n">
        <v>3</v>
      </c>
      <c r="J1757" s="1" t="str">
        <f aca="false">IF(A1757="","", "SAMP-"&amp;A1757&amp;"-L"&amp;TEXT(B1757,"00")&amp;"-"&amp;TEXT(C1757,"yyyymmdd")&amp;"-"&amp;D1757&amp;"-H"&amp;TEXT(E1757,"00")&amp;"-"&amp;H1757)</f>
        <v>SAMP-KG01-L24-20251116-ORD-2025-00259-H16-Choke Neck</v>
      </c>
      <c r="K1757" s="1" t="str">
        <f aca="false">IF(A1757="","",IF(AND(G1757&gt;=0,I1757&gt;=0,I1757&lt;=G1757),"OK","CHECK"))</f>
        <v>OK</v>
      </c>
      <c r="L1757" s="1" t="str">
        <f aca="false">IF(A1757="","",IF(AND(E1757&gt;=0,E1757&lt;=23),"OK","CHECK"))</f>
        <v>OK</v>
      </c>
      <c r="M1757" s="1" t="str">
        <f aca="false">IF(A1757="","",IF(AND(K1757="OK",L1757="OK"),"OK","CHECK"))</f>
        <v>OK</v>
      </c>
    </row>
    <row r="1758" customFormat="false" ht="18" hidden="false" customHeight="true" outlineLevel="0" collapsed="false">
      <c r="A1758" s="9" t="s">
        <v>26</v>
      </c>
      <c r="B1758" s="9" t="n">
        <v>24</v>
      </c>
      <c r="C1758" s="11" t="n">
        <v>45977</v>
      </c>
      <c r="D1758" s="9" t="s">
        <v>148</v>
      </c>
      <c r="E1758" s="12" t="n">
        <v>23</v>
      </c>
      <c r="F1758" s="9" t="s">
        <v>31</v>
      </c>
      <c r="G1758" s="13" t="n">
        <v>150</v>
      </c>
      <c r="H1758" s="9" t="s">
        <v>36</v>
      </c>
      <c r="I1758" s="13" t="n">
        <v>2</v>
      </c>
      <c r="J1758" s="1" t="str">
        <f aca="false">IF(A1758="","", "SAMP-"&amp;A1758&amp;"-L"&amp;TEXT(B1758,"00")&amp;"-"&amp;TEXT(C1758,"yyyymmdd")&amp;"-"&amp;D1758&amp;"-H"&amp;TEXT(E1758,"00")&amp;"-"&amp;H1758)</f>
        <v>SAMP-KG01-L24-20251116-ORD-2025-00259-H23-Blister</v>
      </c>
      <c r="K1758" s="1" t="str">
        <f aca="false">IF(A1758="","",IF(AND(G1758&gt;=0,I1758&gt;=0,I1758&lt;=G1758),"OK","CHECK"))</f>
        <v>OK</v>
      </c>
      <c r="L1758" s="1" t="str">
        <f aca="false">IF(A1758="","",IF(AND(E1758&gt;=0,E1758&lt;=23),"OK","CHECK"))</f>
        <v>OK</v>
      </c>
      <c r="M1758" s="1" t="str">
        <f aca="false">IF(A1758="","",IF(AND(K1758="OK",L1758="OK"),"OK","CHECK"))</f>
        <v>OK</v>
      </c>
    </row>
    <row r="1759" customFormat="false" ht="18" hidden="false" customHeight="true" outlineLevel="0" collapsed="false">
      <c r="A1759" s="9" t="s">
        <v>26</v>
      </c>
      <c r="B1759" s="9" t="n">
        <v>24</v>
      </c>
      <c r="C1759" s="11" t="n">
        <v>45977</v>
      </c>
      <c r="D1759" s="9" t="s">
        <v>148</v>
      </c>
      <c r="E1759" s="12" t="n">
        <v>20</v>
      </c>
      <c r="F1759" s="9" t="s">
        <v>31</v>
      </c>
      <c r="G1759" s="13" t="n">
        <v>100</v>
      </c>
      <c r="H1759" s="9" t="s">
        <v>33</v>
      </c>
      <c r="I1759" s="13" t="n">
        <v>3</v>
      </c>
      <c r="J1759" s="1" t="str">
        <f aca="false">IF(A1759="","", "SAMP-"&amp;A1759&amp;"-L"&amp;TEXT(B1759,"00")&amp;"-"&amp;TEXT(C1759,"yyyymmdd")&amp;"-"&amp;D1759&amp;"-H"&amp;TEXT(E1759,"00")&amp;"-"&amp;H1759)</f>
        <v>SAMP-KG01-L24-20251116-ORD-2025-00259-H20-Distortion</v>
      </c>
      <c r="K1759" s="1" t="str">
        <f aca="false">IF(A1759="","",IF(AND(G1759&gt;=0,I1759&gt;=0,I1759&lt;=G1759),"OK","CHECK"))</f>
        <v>OK</v>
      </c>
      <c r="L1759" s="1" t="str">
        <f aca="false">IF(A1759="","",IF(AND(E1759&gt;=0,E1759&lt;=23),"OK","CHECK"))</f>
        <v>OK</v>
      </c>
      <c r="M1759" s="1" t="str">
        <f aca="false">IF(A1759="","",IF(AND(K1759="OK",L1759="OK"),"OK","CHECK"))</f>
        <v>OK</v>
      </c>
    </row>
    <row r="1760" customFormat="false" ht="18" hidden="false" customHeight="true" outlineLevel="0" collapsed="false">
      <c r="A1760" s="9" t="s">
        <v>26</v>
      </c>
      <c r="B1760" s="9" t="n">
        <v>24</v>
      </c>
      <c r="C1760" s="11" t="n">
        <v>45978</v>
      </c>
      <c r="D1760" s="9" t="s">
        <v>148</v>
      </c>
      <c r="E1760" s="12" t="n">
        <v>9</v>
      </c>
      <c r="F1760" s="9" t="s">
        <v>28</v>
      </c>
      <c r="G1760" s="13" t="n">
        <v>50</v>
      </c>
      <c r="H1760" s="9" t="s">
        <v>29</v>
      </c>
      <c r="I1760" s="13" t="n">
        <v>2</v>
      </c>
      <c r="J1760" s="1" t="str">
        <f aca="false">IF(A1760="","", "SAMP-"&amp;A1760&amp;"-L"&amp;TEXT(B1760,"00")&amp;"-"&amp;TEXT(C1760,"yyyymmdd")&amp;"-"&amp;D1760&amp;"-H"&amp;TEXT(E1760,"00")&amp;"-"&amp;H1760)</f>
        <v>SAMP-KG01-L24-20251117-ORD-2025-00259-H09-Choke Neck</v>
      </c>
      <c r="K1760" s="1" t="str">
        <f aca="false">IF(A1760="","",IF(AND(G1760&gt;=0,I1760&gt;=0,I1760&lt;=G1760),"OK","CHECK"))</f>
        <v>OK</v>
      </c>
      <c r="L1760" s="1" t="str">
        <f aca="false">IF(A1760="","",IF(AND(E1760&gt;=0,E1760&lt;=23),"OK","CHECK"))</f>
        <v>OK</v>
      </c>
      <c r="M1760" s="1" t="str">
        <f aca="false">IF(A1760="","",IF(AND(K1760="OK",L1760="OK"),"OK","CHECK"))</f>
        <v>OK</v>
      </c>
    </row>
    <row r="1761" customFormat="false" ht="18" hidden="false" customHeight="true" outlineLevel="0" collapsed="false">
      <c r="A1761" s="9" t="s">
        <v>26</v>
      </c>
      <c r="B1761" s="9" t="n">
        <v>24</v>
      </c>
      <c r="C1761" s="11" t="n">
        <v>45978</v>
      </c>
      <c r="D1761" s="9" t="s">
        <v>148</v>
      </c>
      <c r="E1761" s="12" t="n">
        <v>12</v>
      </c>
      <c r="F1761" s="9" t="s">
        <v>28</v>
      </c>
      <c r="G1761" s="13" t="n">
        <v>200</v>
      </c>
      <c r="H1761" s="9" t="s">
        <v>34</v>
      </c>
      <c r="I1761" s="13" t="n">
        <v>11</v>
      </c>
      <c r="J1761" s="1" t="str">
        <f aca="false">IF(A1761="","", "SAMP-"&amp;A1761&amp;"-L"&amp;TEXT(B1761,"00")&amp;"-"&amp;TEXT(C1761,"yyyymmdd")&amp;"-"&amp;D1761&amp;"-H"&amp;TEXT(E1761,"00")&amp;"-"&amp;H1761)</f>
        <v>SAMP-KG01-L24-20251117-ORD-2025-00259-H12-Thin Wall</v>
      </c>
      <c r="K1761" s="1" t="str">
        <f aca="false">IF(A1761="","",IF(AND(G1761&gt;=0,I1761&gt;=0,I1761&lt;=G1761),"OK","CHECK"))</f>
        <v>OK</v>
      </c>
      <c r="L1761" s="1" t="str">
        <f aca="false">IF(A1761="","",IF(AND(E1761&gt;=0,E1761&lt;=23),"OK","CHECK"))</f>
        <v>OK</v>
      </c>
      <c r="M1761" s="1" t="str">
        <f aca="false">IF(A1761="","",IF(AND(K1761="OK",L1761="OK"),"OK","CHECK"))</f>
        <v>OK</v>
      </c>
    </row>
    <row r="1762" customFormat="false" ht="18" hidden="false" customHeight="true" outlineLevel="0" collapsed="false">
      <c r="A1762" s="9" t="s">
        <v>26</v>
      </c>
      <c r="B1762" s="9" t="n">
        <v>24</v>
      </c>
      <c r="C1762" s="11" t="n">
        <v>45978</v>
      </c>
      <c r="D1762" s="9" t="s">
        <v>148</v>
      </c>
      <c r="E1762" s="12" t="n">
        <v>7</v>
      </c>
      <c r="F1762" s="9" t="s">
        <v>28</v>
      </c>
      <c r="G1762" s="13" t="n">
        <v>50</v>
      </c>
      <c r="H1762" s="9" t="s">
        <v>33</v>
      </c>
      <c r="I1762" s="13" t="n">
        <v>0</v>
      </c>
      <c r="J1762" s="1" t="str">
        <f aca="false">IF(A1762="","", "SAMP-"&amp;A1762&amp;"-L"&amp;TEXT(B1762,"00")&amp;"-"&amp;TEXT(C1762,"yyyymmdd")&amp;"-"&amp;D1762&amp;"-H"&amp;TEXT(E1762,"00")&amp;"-"&amp;H1762)</f>
        <v>SAMP-KG01-L24-20251117-ORD-2025-00259-H07-Distortion</v>
      </c>
      <c r="K1762" s="1" t="str">
        <f aca="false">IF(A1762="","",IF(AND(G1762&gt;=0,I1762&gt;=0,I1762&lt;=G1762),"OK","CHECK"))</f>
        <v>OK</v>
      </c>
      <c r="L1762" s="1" t="str">
        <f aca="false">IF(A1762="","",IF(AND(E1762&gt;=0,E1762&lt;=23),"OK","CHECK"))</f>
        <v>OK</v>
      </c>
      <c r="M1762" s="1" t="str">
        <f aca="false">IF(A1762="","",IF(AND(K1762="OK",L1762="OK"),"OK","CHECK"))</f>
        <v>OK</v>
      </c>
    </row>
    <row r="1763" customFormat="false" ht="18" hidden="false" customHeight="true" outlineLevel="0" collapsed="false">
      <c r="A1763" s="9" t="s">
        <v>26</v>
      </c>
      <c r="B1763" s="9" t="n">
        <v>24</v>
      </c>
      <c r="C1763" s="11" t="n">
        <v>45978</v>
      </c>
      <c r="D1763" s="9" t="s">
        <v>149</v>
      </c>
      <c r="E1763" s="12" t="n">
        <v>23</v>
      </c>
      <c r="F1763" s="9" t="s">
        <v>31</v>
      </c>
      <c r="G1763" s="13" t="n">
        <v>100</v>
      </c>
      <c r="H1763" s="9" t="s">
        <v>38</v>
      </c>
      <c r="I1763" s="13" t="n">
        <v>4</v>
      </c>
      <c r="J1763" s="1" t="str">
        <f aca="false">IF(A1763="","", "SAMP-"&amp;A1763&amp;"-L"&amp;TEXT(B1763,"00")&amp;"-"&amp;TEXT(C1763,"yyyymmdd")&amp;"-"&amp;D1763&amp;"-H"&amp;TEXT(E1763,"00")&amp;"-"&amp;H1763)</f>
        <v>SAMP-KG01-L24-20251117-ORD-2025-00260-H23-Crack</v>
      </c>
      <c r="K1763" s="1" t="str">
        <f aca="false">IF(A1763="","",IF(AND(G1763&gt;=0,I1763&gt;=0,I1763&lt;=G1763),"OK","CHECK"))</f>
        <v>OK</v>
      </c>
      <c r="L1763" s="1" t="str">
        <f aca="false">IF(A1763="","",IF(AND(E1763&gt;=0,E1763&lt;=23),"OK","CHECK"))</f>
        <v>OK</v>
      </c>
      <c r="M1763" s="1" t="str">
        <f aca="false">IF(A1763="","",IF(AND(K1763="OK",L1763="OK"),"OK","CHECK"))</f>
        <v>OK</v>
      </c>
    </row>
    <row r="1764" customFormat="false" ht="18" hidden="false" customHeight="true" outlineLevel="0" collapsed="false">
      <c r="A1764" s="9" t="s">
        <v>26</v>
      </c>
      <c r="B1764" s="9" t="n">
        <v>24</v>
      </c>
      <c r="C1764" s="11" t="n">
        <v>45978</v>
      </c>
      <c r="D1764" s="9" t="s">
        <v>149</v>
      </c>
      <c r="E1764" s="12" t="n">
        <v>20</v>
      </c>
      <c r="F1764" s="9" t="s">
        <v>31</v>
      </c>
      <c r="G1764" s="13" t="n">
        <v>150</v>
      </c>
      <c r="H1764" s="9" t="s">
        <v>30</v>
      </c>
      <c r="I1764" s="13" t="n">
        <v>2</v>
      </c>
      <c r="J1764" s="1" t="str">
        <f aca="false">IF(A1764="","", "SAMP-"&amp;A1764&amp;"-L"&amp;TEXT(B1764,"00")&amp;"-"&amp;TEXT(C1764,"yyyymmdd")&amp;"-"&amp;D1764&amp;"-H"&amp;TEXT(E1764,"00")&amp;"-"&amp;H1764)</f>
        <v>SAMP-KG01-L24-20251117-ORD-2025-00260-H20-Overpress</v>
      </c>
      <c r="K1764" s="1" t="str">
        <f aca="false">IF(A1764="","",IF(AND(G1764&gt;=0,I1764&gt;=0,I1764&lt;=G1764),"OK","CHECK"))</f>
        <v>OK</v>
      </c>
      <c r="L1764" s="1" t="str">
        <f aca="false">IF(A1764="","",IF(AND(E1764&gt;=0,E1764&lt;=23),"OK","CHECK"))</f>
        <v>OK</v>
      </c>
      <c r="M1764" s="1" t="str">
        <f aca="false">IF(A1764="","",IF(AND(K1764="OK",L1764="OK"),"OK","CHECK"))</f>
        <v>OK</v>
      </c>
    </row>
    <row r="1765" customFormat="false" ht="18" hidden="false" customHeight="true" outlineLevel="0" collapsed="false">
      <c r="A1765" s="9" t="s">
        <v>26</v>
      </c>
      <c r="B1765" s="9" t="n">
        <v>24</v>
      </c>
      <c r="C1765" s="11" t="n">
        <v>45978</v>
      </c>
      <c r="D1765" s="9" t="s">
        <v>149</v>
      </c>
      <c r="E1765" s="12" t="n">
        <v>16</v>
      </c>
      <c r="F1765" s="9" t="s">
        <v>31</v>
      </c>
      <c r="G1765" s="13" t="n">
        <v>50</v>
      </c>
      <c r="H1765" s="9" t="s">
        <v>41</v>
      </c>
      <c r="I1765" s="13" t="n">
        <v>2</v>
      </c>
      <c r="J1765" s="1" t="str">
        <f aca="false">IF(A1765="","", "SAMP-"&amp;A1765&amp;"-L"&amp;TEXT(B1765,"00")&amp;"-"&amp;TEXT(C1765,"yyyymmdd")&amp;"-"&amp;D1765&amp;"-H"&amp;TEXT(E1765,"00")&amp;"-"&amp;H1765)</f>
        <v>SAMP-KG01-L24-20251117-ORD-2025-00260-H16-Chip</v>
      </c>
      <c r="K1765" s="1" t="str">
        <f aca="false">IF(A1765="","",IF(AND(G1765&gt;=0,I1765&gt;=0,I1765&lt;=G1765),"OK","CHECK"))</f>
        <v>OK</v>
      </c>
      <c r="L1765" s="1" t="str">
        <f aca="false">IF(A1765="","",IF(AND(E1765&gt;=0,E1765&lt;=23),"OK","CHECK"))</f>
        <v>OK</v>
      </c>
      <c r="M1765" s="1" t="str">
        <f aca="false">IF(A1765="","",IF(AND(K1765="OK",L1765="OK"),"OK","CHECK"))</f>
        <v>OK</v>
      </c>
    </row>
    <row r="1766" customFormat="false" ht="18" hidden="false" customHeight="true" outlineLevel="0" collapsed="false">
      <c r="A1766" s="9" t="s">
        <v>26</v>
      </c>
      <c r="B1766" s="9" t="n">
        <v>24</v>
      </c>
      <c r="C1766" s="11" t="n">
        <v>45979</v>
      </c>
      <c r="D1766" s="9" t="s">
        <v>149</v>
      </c>
      <c r="E1766" s="12" t="n">
        <v>7</v>
      </c>
      <c r="F1766" s="9" t="s">
        <v>28</v>
      </c>
      <c r="G1766" s="13" t="n">
        <v>50</v>
      </c>
      <c r="H1766" s="9" t="s">
        <v>33</v>
      </c>
      <c r="I1766" s="13" t="n">
        <v>0</v>
      </c>
      <c r="J1766" s="1" t="str">
        <f aca="false">IF(A1766="","", "SAMP-"&amp;A1766&amp;"-L"&amp;TEXT(B1766,"00")&amp;"-"&amp;TEXT(C1766,"yyyymmdd")&amp;"-"&amp;D1766&amp;"-H"&amp;TEXT(E1766,"00")&amp;"-"&amp;H1766)</f>
        <v>SAMP-KG01-L24-20251118-ORD-2025-00260-H07-Distortion</v>
      </c>
      <c r="K1766" s="1" t="str">
        <f aca="false">IF(A1766="","",IF(AND(G1766&gt;=0,I1766&gt;=0,I1766&lt;=G1766),"OK","CHECK"))</f>
        <v>OK</v>
      </c>
      <c r="L1766" s="1" t="str">
        <f aca="false">IF(A1766="","",IF(AND(E1766&gt;=0,E1766&lt;=23),"OK","CHECK"))</f>
        <v>OK</v>
      </c>
      <c r="M1766" s="1" t="str">
        <f aca="false">IF(A1766="","",IF(AND(K1766="OK",L1766="OK"),"OK","CHECK"))</f>
        <v>OK</v>
      </c>
    </row>
    <row r="1767" customFormat="false" ht="18" hidden="false" customHeight="true" outlineLevel="0" collapsed="false">
      <c r="A1767" s="9" t="s">
        <v>26</v>
      </c>
      <c r="B1767" s="9" t="n">
        <v>24</v>
      </c>
      <c r="C1767" s="11" t="n">
        <v>45979</v>
      </c>
      <c r="D1767" s="9" t="s">
        <v>149</v>
      </c>
      <c r="E1767" s="12" t="n">
        <v>9</v>
      </c>
      <c r="F1767" s="9" t="s">
        <v>28</v>
      </c>
      <c r="G1767" s="13" t="n">
        <v>50</v>
      </c>
      <c r="H1767" s="9" t="s">
        <v>41</v>
      </c>
      <c r="I1767" s="13" t="n">
        <v>2</v>
      </c>
      <c r="J1767" s="1" t="str">
        <f aca="false">IF(A1767="","", "SAMP-"&amp;A1767&amp;"-L"&amp;TEXT(B1767,"00")&amp;"-"&amp;TEXT(C1767,"yyyymmdd")&amp;"-"&amp;D1767&amp;"-H"&amp;TEXT(E1767,"00")&amp;"-"&amp;H1767)</f>
        <v>SAMP-KG01-L24-20251118-ORD-2025-00260-H09-Chip</v>
      </c>
      <c r="K1767" s="1" t="str">
        <f aca="false">IF(A1767="","",IF(AND(G1767&gt;=0,I1767&gt;=0,I1767&lt;=G1767),"OK","CHECK"))</f>
        <v>OK</v>
      </c>
      <c r="L1767" s="1" t="str">
        <f aca="false">IF(A1767="","",IF(AND(E1767&gt;=0,E1767&lt;=23),"OK","CHECK"))</f>
        <v>OK</v>
      </c>
      <c r="M1767" s="1" t="str">
        <f aca="false">IF(A1767="","",IF(AND(K1767="OK",L1767="OK"),"OK","CHECK"))</f>
        <v>OK</v>
      </c>
    </row>
    <row r="1768" customFormat="false" ht="18" hidden="false" customHeight="true" outlineLevel="0" collapsed="false">
      <c r="A1768" s="9" t="s">
        <v>26</v>
      </c>
      <c r="B1768" s="9" t="n">
        <v>24</v>
      </c>
      <c r="C1768" s="11" t="n">
        <v>45979</v>
      </c>
      <c r="D1768" s="9" t="s">
        <v>149</v>
      </c>
      <c r="E1768" s="12" t="n">
        <v>12</v>
      </c>
      <c r="F1768" s="9" t="s">
        <v>28</v>
      </c>
      <c r="G1768" s="13" t="n">
        <v>50</v>
      </c>
      <c r="H1768" s="9" t="s">
        <v>37</v>
      </c>
      <c r="I1768" s="13" t="n">
        <v>1</v>
      </c>
      <c r="J1768" s="1" t="str">
        <f aca="false">IF(A1768="","", "SAMP-"&amp;A1768&amp;"-L"&amp;TEXT(B1768,"00")&amp;"-"&amp;TEXT(C1768,"yyyymmdd")&amp;"-"&amp;D1768&amp;"-H"&amp;TEXT(E1768,"00")&amp;"-"&amp;H1768)</f>
        <v>SAMP-KG01-L24-20251118-ORD-2025-00260-H12-Bird Swing</v>
      </c>
      <c r="K1768" s="1" t="str">
        <f aca="false">IF(A1768="","",IF(AND(G1768&gt;=0,I1768&gt;=0,I1768&lt;=G1768),"OK","CHECK"))</f>
        <v>OK</v>
      </c>
      <c r="L1768" s="1" t="str">
        <f aca="false">IF(A1768="","",IF(AND(E1768&gt;=0,E1768&lt;=23),"OK","CHECK"))</f>
        <v>OK</v>
      </c>
      <c r="M1768" s="1" t="str">
        <f aca="false">IF(A1768="","",IF(AND(K1768="OK",L1768="OK"),"OK","CHECK"))</f>
        <v>OK</v>
      </c>
    </row>
    <row r="1769" customFormat="false" ht="18" hidden="false" customHeight="true" outlineLevel="0" collapsed="false">
      <c r="A1769" s="9" t="s">
        <v>26</v>
      </c>
      <c r="B1769" s="9" t="n">
        <v>24</v>
      </c>
      <c r="C1769" s="11" t="n">
        <v>45979</v>
      </c>
      <c r="D1769" s="9" t="s">
        <v>149</v>
      </c>
      <c r="E1769" s="12" t="n">
        <v>23</v>
      </c>
      <c r="F1769" s="9" t="s">
        <v>31</v>
      </c>
      <c r="G1769" s="13" t="n">
        <v>100</v>
      </c>
      <c r="H1769" s="9" t="s">
        <v>29</v>
      </c>
      <c r="I1769" s="13" t="n">
        <v>3</v>
      </c>
      <c r="J1769" s="1" t="str">
        <f aca="false">IF(A1769="","", "SAMP-"&amp;A1769&amp;"-L"&amp;TEXT(B1769,"00")&amp;"-"&amp;TEXT(C1769,"yyyymmdd")&amp;"-"&amp;D1769&amp;"-H"&amp;TEXT(E1769,"00")&amp;"-"&amp;H1769)</f>
        <v>SAMP-KG01-L24-20251118-ORD-2025-00260-H23-Choke Neck</v>
      </c>
      <c r="K1769" s="1" t="str">
        <f aca="false">IF(A1769="","",IF(AND(G1769&gt;=0,I1769&gt;=0,I1769&lt;=G1769),"OK","CHECK"))</f>
        <v>OK</v>
      </c>
      <c r="L1769" s="1" t="str">
        <f aca="false">IF(A1769="","",IF(AND(E1769&gt;=0,E1769&lt;=23),"OK","CHECK"))</f>
        <v>OK</v>
      </c>
      <c r="M1769" s="1" t="str">
        <f aca="false">IF(A1769="","",IF(AND(K1769="OK",L1769="OK"),"OK","CHECK"))</f>
        <v>OK</v>
      </c>
    </row>
    <row r="1770" customFormat="false" ht="18" hidden="false" customHeight="true" outlineLevel="0" collapsed="false">
      <c r="A1770" s="9" t="s">
        <v>26</v>
      </c>
      <c r="B1770" s="9" t="n">
        <v>24</v>
      </c>
      <c r="C1770" s="11" t="n">
        <v>45979</v>
      </c>
      <c r="D1770" s="9" t="s">
        <v>149</v>
      </c>
      <c r="E1770" s="12" t="n">
        <v>16</v>
      </c>
      <c r="F1770" s="9" t="s">
        <v>31</v>
      </c>
      <c r="G1770" s="13" t="n">
        <v>50</v>
      </c>
      <c r="H1770" s="9" t="s">
        <v>35</v>
      </c>
      <c r="I1770" s="13" t="n">
        <v>1</v>
      </c>
      <c r="J1770" s="1" t="str">
        <f aca="false">IF(A1770="","", "SAMP-"&amp;A1770&amp;"-L"&amp;TEXT(B1770,"00")&amp;"-"&amp;TEXT(C1770,"yyyymmdd")&amp;"-"&amp;D1770&amp;"-H"&amp;TEXT(E1770,"00")&amp;"-"&amp;H1770)</f>
        <v>SAMP-KG01-L24-20251118-ORD-2025-00260-H16-Stone</v>
      </c>
      <c r="K1770" s="1" t="str">
        <f aca="false">IF(A1770="","",IF(AND(G1770&gt;=0,I1770&gt;=0,I1770&lt;=G1770),"OK","CHECK"))</f>
        <v>OK</v>
      </c>
      <c r="L1770" s="1" t="str">
        <f aca="false">IF(A1770="","",IF(AND(E1770&gt;=0,E1770&lt;=23),"OK","CHECK"))</f>
        <v>OK</v>
      </c>
      <c r="M1770" s="1" t="str">
        <f aca="false">IF(A1770="","",IF(AND(K1770="OK",L1770="OK"),"OK","CHECK"))</f>
        <v>OK</v>
      </c>
    </row>
    <row r="1771" customFormat="false" ht="18" hidden="false" customHeight="true" outlineLevel="0" collapsed="false">
      <c r="A1771" s="9" t="s">
        <v>26</v>
      </c>
      <c r="B1771" s="9" t="n">
        <v>24</v>
      </c>
      <c r="C1771" s="11" t="n">
        <v>45979</v>
      </c>
      <c r="D1771" s="9" t="s">
        <v>149</v>
      </c>
      <c r="E1771" s="12" t="n">
        <v>20</v>
      </c>
      <c r="F1771" s="9" t="s">
        <v>31</v>
      </c>
      <c r="G1771" s="13" t="n">
        <v>150</v>
      </c>
      <c r="H1771" s="9" t="s">
        <v>38</v>
      </c>
      <c r="I1771" s="13" t="n">
        <v>4</v>
      </c>
      <c r="J1771" s="1" t="str">
        <f aca="false">IF(A1771="","", "SAMP-"&amp;A1771&amp;"-L"&amp;TEXT(B1771,"00")&amp;"-"&amp;TEXT(C1771,"yyyymmdd")&amp;"-"&amp;D1771&amp;"-H"&amp;TEXT(E1771,"00")&amp;"-"&amp;H1771)</f>
        <v>SAMP-KG01-L24-20251118-ORD-2025-00260-H20-Crack</v>
      </c>
      <c r="K1771" s="1" t="str">
        <f aca="false">IF(A1771="","",IF(AND(G1771&gt;=0,I1771&gt;=0,I1771&lt;=G1771),"OK","CHECK"))</f>
        <v>OK</v>
      </c>
      <c r="L1771" s="1" t="str">
        <f aca="false">IF(A1771="","",IF(AND(E1771&gt;=0,E1771&lt;=23),"OK","CHECK"))</f>
        <v>OK</v>
      </c>
      <c r="M1771" s="1" t="str">
        <f aca="false">IF(A1771="","",IF(AND(K1771="OK",L1771="OK"),"OK","CHECK"))</f>
        <v>OK</v>
      </c>
    </row>
    <row r="1772" customFormat="false" ht="18" hidden="false" customHeight="true" outlineLevel="0" collapsed="false">
      <c r="A1772" s="9" t="s">
        <v>26</v>
      </c>
      <c r="B1772" s="9" t="n">
        <v>24</v>
      </c>
      <c r="C1772" s="11" t="n">
        <v>45980</v>
      </c>
      <c r="D1772" s="9" t="s">
        <v>149</v>
      </c>
      <c r="E1772" s="12" t="n">
        <v>7</v>
      </c>
      <c r="F1772" s="9" t="s">
        <v>28</v>
      </c>
      <c r="G1772" s="13" t="n">
        <v>200</v>
      </c>
      <c r="H1772" s="9" t="s">
        <v>30</v>
      </c>
      <c r="I1772" s="13" t="n">
        <v>6</v>
      </c>
      <c r="J1772" s="1" t="str">
        <f aca="false">IF(A1772="","", "SAMP-"&amp;A1772&amp;"-L"&amp;TEXT(B1772,"00")&amp;"-"&amp;TEXT(C1772,"yyyymmdd")&amp;"-"&amp;D1772&amp;"-H"&amp;TEXT(E1772,"00")&amp;"-"&amp;H1772)</f>
        <v>SAMP-KG01-L24-20251119-ORD-2025-00260-H07-Overpress</v>
      </c>
      <c r="K1772" s="1" t="str">
        <f aca="false">IF(A1772="","",IF(AND(G1772&gt;=0,I1772&gt;=0,I1772&lt;=G1772),"OK","CHECK"))</f>
        <v>OK</v>
      </c>
      <c r="L1772" s="1" t="str">
        <f aca="false">IF(A1772="","",IF(AND(E1772&gt;=0,E1772&lt;=23),"OK","CHECK"))</f>
        <v>OK</v>
      </c>
      <c r="M1772" s="1" t="str">
        <f aca="false">IF(A1772="","",IF(AND(K1772="OK",L1772="OK"),"OK","CHECK"))</f>
        <v>OK</v>
      </c>
    </row>
    <row r="1773" customFormat="false" ht="18" hidden="false" customHeight="true" outlineLevel="0" collapsed="false">
      <c r="A1773" s="9" t="s">
        <v>26</v>
      </c>
      <c r="B1773" s="9" t="n">
        <v>24</v>
      </c>
      <c r="C1773" s="11" t="n">
        <v>45980</v>
      </c>
      <c r="D1773" s="9" t="s">
        <v>149</v>
      </c>
      <c r="E1773" s="12" t="n">
        <v>12</v>
      </c>
      <c r="F1773" s="9" t="s">
        <v>28</v>
      </c>
      <c r="G1773" s="13" t="n">
        <v>100</v>
      </c>
      <c r="H1773" s="9" t="s">
        <v>37</v>
      </c>
      <c r="I1773" s="13" t="n">
        <v>1</v>
      </c>
      <c r="J1773" s="1" t="str">
        <f aca="false">IF(A1773="","", "SAMP-"&amp;A1773&amp;"-L"&amp;TEXT(B1773,"00")&amp;"-"&amp;TEXT(C1773,"yyyymmdd")&amp;"-"&amp;D1773&amp;"-H"&amp;TEXT(E1773,"00")&amp;"-"&amp;H1773)</f>
        <v>SAMP-KG01-L24-20251119-ORD-2025-00260-H12-Bird Swing</v>
      </c>
      <c r="K1773" s="1" t="str">
        <f aca="false">IF(A1773="","",IF(AND(G1773&gt;=0,I1773&gt;=0,I1773&lt;=G1773),"OK","CHECK"))</f>
        <v>OK</v>
      </c>
      <c r="L1773" s="1" t="str">
        <f aca="false">IF(A1773="","",IF(AND(E1773&gt;=0,E1773&lt;=23),"OK","CHECK"))</f>
        <v>OK</v>
      </c>
      <c r="M1773" s="1" t="str">
        <f aca="false">IF(A1773="","",IF(AND(K1773="OK",L1773="OK"),"OK","CHECK"))</f>
        <v>OK</v>
      </c>
    </row>
    <row r="1774" customFormat="false" ht="18" hidden="false" customHeight="true" outlineLevel="0" collapsed="false">
      <c r="A1774" s="9" t="s">
        <v>26</v>
      </c>
      <c r="B1774" s="9" t="n">
        <v>24</v>
      </c>
      <c r="C1774" s="11" t="n">
        <v>45980</v>
      </c>
      <c r="D1774" s="9" t="s">
        <v>149</v>
      </c>
      <c r="E1774" s="12" t="n">
        <v>9</v>
      </c>
      <c r="F1774" s="9" t="s">
        <v>28</v>
      </c>
      <c r="G1774" s="13" t="n">
        <v>100</v>
      </c>
      <c r="H1774" s="9" t="s">
        <v>29</v>
      </c>
      <c r="I1774" s="13" t="n">
        <v>2</v>
      </c>
      <c r="J1774" s="1" t="str">
        <f aca="false">IF(A1774="","", "SAMP-"&amp;A1774&amp;"-L"&amp;TEXT(B1774,"00")&amp;"-"&amp;TEXT(C1774,"yyyymmdd")&amp;"-"&amp;D1774&amp;"-H"&amp;TEXT(E1774,"00")&amp;"-"&amp;H1774)</f>
        <v>SAMP-KG01-L24-20251119-ORD-2025-00260-H09-Choke Neck</v>
      </c>
      <c r="K1774" s="1" t="str">
        <f aca="false">IF(A1774="","",IF(AND(G1774&gt;=0,I1774&gt;=0,I1774&lt;=G1774),"OK","CHECK"))</f>
        <v>OK</v>
      </c>
      <c r="L1774" s="1" t="str">
        <f aca="false">IF(A1774="","",IF(AND(E1774&gt;=0,E1774&lt;=23),"OK","CHECK"))</f>
        <v>OK</v>
      </c>
      <c r="M1774" s="1" t="str">
        <f aca="false">IF(A1774="","",IF(AND(K1774="OK",L1774="OK"),"OK","CHECK"))</f>
        <v>OK</v>
      </c>
    </row>
    <row r="1775" customFormat="false" ht="18" hidden="false" customHeight="true" outlineLevel="0" collapsed="false">
      <c r="A1775" s="9" t="s">
        <v>26</v>
      </c>
      <c r="B1775" s="9" t="n">
        <v>24</v>
      </c>
      <c r="C1775" s="11" t="n">
        <v>45980</v>
      </c>
      <c r="D1775" s="9" t="s">
        <v>149</v>
      </c>
      <c r="E1775" s="12" t="n">
        <v>20</v>
      </c>
      <c r="F1775" s="9" t="s">
        <v>31</v>
      </c>
      <c r="G1775" s="13" t="n">
        <v>150</v>
      </c>
      <c r="H1775" s="9" t="s">
        <v>37</v>
      </c>
      <c r="I1775" s="13" t="n">
        <v>2</v>
      </c>
      <c r="J1775" s="1" t="str">
        <f aca="false">IF(A1775="","", "SAMP-"&amp;A1775&amp;"-L"&amp;TEXT(B1775,"00")&amp;"-"&amp;TEXT(C1775,"yyyymmdd")&amp;"-"&amp;D1775&amp;"-H"&amp;TEXT(E1775,"00")&amp;"-"&amp;H1775)</f>
        <v>SAMP-KG01-L24-20251119-ORD-2025-00260-H20-Bird Swing</v>
      </c>
      <c r="K1775" s="1" t="str">
        <f aca="false">IF(A1775="","",IF(AND(G1775&gt;=0,I1775&gt;=0,I1775&lt;=G1775),"OK","CHECK"))</f>
        <v>OK</v>
      </c>
      <c r="L1775" s="1" t="str">
        <f aca="false">IF(A1775="","",IF(AND(E1775&gt;=0,E1775&lt;=23),"OK","CHECK"))</f>
        <v>OK</v>
      </c>
      <c r="M1775" s="1" t="str">
        <f aca="false">IF(A1775="","",IF(AND(K1775="OK",L1775="OK"),"OK","CHECK"))</f>
        <v>OK</v>
      </c>
    </row>
    <row r="1776" customFormat="false" ht="18" hidden="false" customHeight="true" outlineLevel="0" collapsed="false">
      <c r="A1776" s="9" t="s">
        <v>26</v>
      </c>
      <c r="B1776" s="9" t="n">
        <v>24</v>
      </c>
      <c r="C1776" s="11" t="n">
        <v>45980</v>
      </c>
      <c r="D1776" s="9" t="s">
        <v>149</v>
      </c>
      <c r="E1776" s="12" t="n">
        <v>23</v>
      </c>
      <c r="F1776" s="9" t="s">
        <v>31</v>
      </c>
      <c r="G1776" s="13" t="n">
        <v>50</v>
      </c>
      <c r="H1776" s="9" t="s">
        <v>33</v>
      </c>
      <c r="I1776" s="13" t="n">
        <v>2</v>
      </c>
      <c r="J1776" s="1" t="str">
        <f aca="false">IF(A1776="","", "SAMP-"&amp;A1776&amp;"-L"&amp;TEXT(B1776,"00")&amp;"-"&amp;TEXT(C1776,"yyyymmdd")&amp;"-"&amp;D1776&amp;"-H"&amp;TEXT(E1776,"00")&amp;"-"&amp;H1776)</f>
        <v>SAMP-KG01-L24-20251119-ORD-2025-00260-H23-Distortion</v>
      </c>
      <c r="K1776" s="1" t="str">
        <f aca="false">IF(A1776="","",IF(AND(G1776&gt;=0,I1776&gt;=0,I1776&lt;=G1776),"OK","CHECK"))</f>
        <v>OK</v>
      </c>
      <c r="L1776" s="1" t="str">
        <f aca="false">IF(A1776="","",IF(AND(E1776&gt;=0,E1776&lt;=23),"OK","CHECK"))</f>
        <v>OK</v>
      </c>
      <c r="M1776" s="1" t="str">
        <f aca="false">IF(A1776="","",IF(AND(K1776="OK",L1776="OK"),"OK","CHECK"))</f>
        <v>OK</v>
      </c>
    </row>
    <row r="1777" customFormat="false" ht="18" hidden="false" customHeight="true" outlineLevel="0" collapsed="false">
      <c r="A1777" s="9" t="s">
        <v>26</v>
      </c>
      <c r="B1777" s="9" t="n">
        <v>24</v>
      </c>
      <c r="C1777" s="11" t="n">
        <v>45980</v>
      </c>
      <c r="D1777" s="9" t="s">
        <v>149</v>
      </c>
      <c r="E1777" s="12" t="n">
        <v>16</v>
      </c>
      <c r="F1777" s="9" t="s">
        <v>31</v>
      </c>
      <c r="G1777" s="13" t="n">
        <v>50</v>
      </c>
      <c r="H1777" s="9" t="s">
        <v>30</v>
      </c>
      <c r="I1777" s="13" t="n">
        <v>1</v>
      </c>
      <c r="J1777" s="1" t="str">
        <f aca="false">IF(A1777="","", "SAMP-"&amp;A1777&amp;"-L"&amp;TEXT(B1777,"00")&amp;"-"&amp;TEXT(C1777,"yyyymmdd")&amp;"-"&amp;D1777&amp;"-H"&amp;TEXT(E1777,"00")&amp;"-"&amp;H1777)</f>
        <v>SAMP-KG01-L24-20251119-ORD-2025-00260-H16-Overpress</v>
      </c>
      <c r="K1777" s="1" t="str">
        <f aca="false">IF(A1777="","",IF(AND(G1777&gt;=0,I1777&gt;=0,I1777&lt;=G1777),"OK","CHECK"))</f>
        <v>OK</v>
      </c>
      <c r="L1777" s="1" t="str">
        <f aca="false">IF(A1777="","",IF(AND(E1777&gt;=0,E1777&lt;=23),"OK","CHECK"))</f>
        <v>OK</v>
      </c>
      <c r="M1777" s="1" t="str">
        <f aca="false">IF(A1777="","",IF(AND(K1777="OK",L1777="OK"),"OK","CHECK"))</f>
        <v>OK</v>
      </c>
    </row>
    <row r="1778" customFormat="false" ht="18" hidden="false" customHeight="true" outlineLevel="0" collapsed="false">
      <c r="A1778" s="9" t="s">
        <v>26</v>
      </c>
      <c r="B1778" s="9" t="n">
        <v>24</v>
      </c>
      <c r="C1778" s="11" t="n">
        <v>45981</v>
      </c>
      <c r="D1778" s="9" t="s">
        <v>149</v>
      </c>
      <c r="E1778" s="12" t="n">
        <v>9</v>
      </c>
      <c r="F1778" s="9" t="s">
        <v>28</v>
      </c>
      <c r="G1778" s="13" t="n">
        <v>50</v>
      </c>
      <c r="H1778" s="9" t="s">
        <v>34</v>
      </c>
      <c r="I1778" s="13" t="n">
        <v>1</v>
      </c>
      <c r="J1778" s="1" t="str">
        <f aca="false">IF(A1778="","", "SAMP-"&amp;A1778&amp;"-L"&amp;TEXT(B1778,"00")&amp;"-"&amp;TEXT(C1778,"yyyymmdd")&amp;"-"&amp;D1778&amp;"-H"&amp;TEXT(E1778,"00")&amp;"-"&amp;H1778)</f>
        <v>SAMP-KG01-L24-20251120-ORD-2025-00260-H09-Thin Wall</v>
      </c>
      <c r="K1778" s="1" t="str">
        <f aca="false">IF(A1778="","",IF(AND(G1778&gt;=0,I1778&gt;=0,I1778&lt;=G1778),"OK","CHECK"))</f>
        <v>OK</v>
      </c>
      <c r="L1778" s="1" t="str">
        <f aca="false">IF(A1778="","",IF(AND(E1778&gt;=0,E1778&lt;=23),"OK","CHECK"))</f>
        <v>OK</v>
      </c>
      <c r="M1778" s="1" t="str">
        <f aca="false">IF(A1778="","",IF(AND(K1778="OK",L1778="OK"),"OK","CHECK"))</f>
        <v>OK</v>
      </c>
    </row>
    <row r="1779" customFormat="false" ht="18" hidden="false" customHeight="true" outlineLevel="0" collapsed="false">
      <c r="A1779" s="9" t="s">
        <v>26</v>
      </c>
      <c r="B1779" s="9" t="n">
        <v>24</v>
      </c>
      <c r="C1779" s="11" t="n">
        <v>45981</v>
      </c>
      <c r="D1779" s="9" t="s">
        <v>149</v>
      </c>
      <c r="E1779" s="12" t="n">
        <v>12</v>
      </c>
      <c r="F1779" s="9" t="s">
        <v>28</v>
      </c>
      <c r="G1779" s="13" t="n">
        <v>150</v>
      </c>
      <c r="H1779" s="9" t="s">
        <v>38</v>
      </c>
      <c r="I1779" s="13" t="n">
        <v>1</v>
      </c>
      <c r="J1779" s="1" t="str">
        <f aca="false">IF(A1779="","", "SAMP-"&amp;A1779&amp;"-L"&amp;TEXT(B1779,"00")&amp;"-"&amp;TEXT(C1779,"yyyymmdd")&amp;"-"&amp;D1779&amp;"-H"&amp;TEXT(E1779,"00")&amp;"-"&amp;H1779)</f>
        <v>SAMP-KG01-L24-20251120-ORD-2025-00260-H12-Crack</v>
      </c>
      <c r="K1779" s="1" t="str">
        <f aca="false">IF(A1779="","",IF(AND(G1779&gt;=0,I1779&gt;=0,I1779&lt;=G1779),"OK","CHECK"))</f>
        <v>OK</v>
      </c>
      <c r="L1779" s="1" t="str">
        <f aca="false">IF(A1779="","",IF(AND(E1779&gt;=0,E1779&lt;=23),"OK","CHECK"))</f>
        <v>OK</v>
      </c>
      <c r="M1779" s="1" t="str">
        <f aca="false">IF(A1779="","",IF(AND(K1779="OK",L1779="OK"),"OK","CHECK"))</f>
        <v>OK</v>
      </c>
    </row>
    <row r="1780" customFormat="false" ht="18" hidden="false" customHeight="true" outlineLevel="0" collapsed="false">
      <c r="A1780" s="9" t="s">
        <v>26</v>
      </c>
      <c r="B1780" s="9" t="n">
        <v>24</v>
      </c>
      <c r="C1780" s="11" t="n">
        <v>45981</v>
      </c>
      <c r="D1780" s="9" t="s">
        <v>149</v>
      </c>
      <c r="E1780" s="12" t="n">
        <v>7</v>
      </c>
      <c r="F1780" s="9" t="s">
        <v>28</v>
      </c>
      <c r="G1780" s="13" t="n">
        <v>50</v>
      </c>
      <c r="H1780" s="9" t="s">
        <v>38</v>
      </c>
      <c r="I1780" s="13" t="n">
        <v>1</v>
      </c>
      <c r="J1780" s="1" t="str">
        <f aca="false">IF(A1780="","", "SAMP-"&amp;A1780&amp;"-L"&amp;TEXT(B1780,"00")&amp;"-"&amp;TEXT(C1780,"yyyymmdd")&amp;"-"&amp;D1780&amp;"-H"&amp;TEXT(E1780,"00")&amp;"-"&amp;H1780)</f>
        <v>SAMP-KG01-L24-20251120-ORD-2025-00260-H07-Crack</v>
      </c>
      <c r="K1780" s="1" t="str">
        <f aca="false">IF(A1780="","",IF(AND(G1780&gt;=0,I1780&gt;=0,I1780&lt;=G1780),"OK","CHECK"))</f>
        <v>OK</v>
      </c>
      <c r="L1780" s="1" t="str">
        <f aca="false">IF(A1780="","",IF(AND(E1780&gt;=0,E1780&lt;=23),"OK","CHECK"))</f>
        <v>OK</v>
      </c>
      <c r="M1780" s="1" t="str">
        <f aca="false">IF(A1780="","",IF(AND(K1780="OK",L1780="OK"),"OK","CHECK"))</f>
        <v>OK</v>
      </c>
    </row>
    <row r="1781" customFormat="false" ht="18" hidden="false" customHeight="true" outlineLevel="0" collapsed="false">
      <c r="A1781" s="9" t="s">
        <v>26</v>
      </c>
      <c r="B1781" s="9" t="n">
        <v>24</v>
      </c>
      <c r="C1781" s="11" t="n">
        <v>45981</v>
      </c>
      <c r="D1781" s="9" t="s">
        <v>150</v>
      </c>
      <c r="E1781" s="12" t="n">
        <v>20</v>
      </c>
      <c r="F1781" s="9" t="s">
        <v>31</v>
      </c>
      <c r="G1781" s="13" t="n">
        <v>200</v>
      </c>
      <c r="H1781" s="9" t="s">
        <v>41</v>
      </c>
      <c r="I1781" s="13" t="n">
        <v>7</v>
      </c>
      <c r="J1781" s="1" t="str">
        <f aca="false">IF(A1781="","", "SAMP-"&amp;A1781&amp;"-L"&amp;TEXT(B1781,"00")&amp;"-"&amp;TEXT(C1781,"yyyymmdd")&amp;"-"&amp;D1781&amp;"-H"&amp;TEXT(E1781,"00")&amp;"-"&amp;H1781)</f>
        <v>SAMP-KG01-L24-20251120-ORD-2025-00261-H20-Chip</v>
      </c>
      <c r="K1781" s="1" t="str">
        <f aca="false">IF(A1781="","",IF(AND(G1781&gt;=0,I1781&gt;=0,I1781&lt;=G1781),"OK","CHECK"))</f>
        <v>OK</v>
      </c>
      <c r="L1781" s="1" t="str">
        <f aca="false">IF(A1781="","",IF(AND(E1781&gt;=0,E1781&lt;=23),"OK","CHECK"))</f>
        <v>OK</v>
      </c>
      <c r="M1781" s="1" t="str">
        <f aca="false">IF(A1781="","",IF(AND(K1781="OK",L1781="OK"),"OK","CHECK"))</f>
        <v>OK</v>
      </c>
    </row>
    <row r="1782" customFormat="false" ht="18" hidden="false" customHeight="true" outlineLevel="0" collapsed="false">
      <c r="A1782" s="9" t="s">
        <v>26</v>
      </c>
      <c r="B1782" s="9" t="n">
        <v>24</v>
      </c>
      <c r="C1782" s="11" t="n">
        <v>45981</v>
      </c>
      <c r="D1782" s="9" t="s">
        <v>150</v>
      </c>
      <c r="E1782" s="12" t="n">
        <v>16</v>
      </c>
      <c r="F1782" s="9" t="s">
        <v>31</v>
      </c>
      <c r="G1782" s="13" t="n">
        <v>200</v>
      </c>
      <c r="H1782" s="9" t="s">
        <v>41</v>
      </c>
      <c r="I1782" s="13" t="n">
        <v>7</v>
      </c>
      <c r="J1782" s="1" t="str">
        <f aca="false">IF(A1782="","", "SAMP-"&amp;A1782&amp;"-L"&amp;TEXT(B1782,"00")&amp;"-"&amp;TEXT(C1782,"yyyymmdd")&amp;"-"&amp;D1782&amp;"-H"&amp;TEXT(E1782,"00")&amp;"-"&amp;H1782)</f>
        <v>SAMP-KG01-L24-20251120-ORD-2025-00261-H16-Chip</v>
      </c>
      <c r="K1782" s="1" t="str">
        <f aca="false">IF(A1782="","",IF(AND(G1782&gt;=0,I1782&gt;=0,I1782&lt;=G1782),"OK","CHECK"))</f>
        <v>OK</v>
      </c>
      <c r="L1782" s="1" t="str">
        <f aca="false">IF(A1782="","",IF(AND(E1782&gt;=0,E1782&lt;=23),"OK","CHECK"))</f>
        <v>OK</v>
      </c>
      <c r="M1782" s="1" t="str">
        <f aca="false">IF(A1782="","",IF(AND(K1782="OK",L1782="OK"),"OK","CHECK"))</f>
        <v>OK</v>
      </c>
    </row>
    <row r="1783" customFormat="false" ht="18" hidden="false" customHeight="true" outlineLevel="0" collapsed="false">
      <c r="A1783" s="9" t="s">
        <v>26</v>
      </c>
      <c r="B1783" s="9" t="n">
        <v>24</v>
      </c>
      <c r="C1783" s="11" t="n">
        <v>45982</v>
      </c>
      <c r="D1783" s="9" t="s">
        <v>150</v>
      </c>
      <c r="E1783" s="12" t="n">
        <v>9</v>
      </c>
      <c r="F1783" s="9" t="s">
        <v>28</v>
      </c>
      <c r="G1783" s="13" t="n">
        <v>50</v>
      </c>
      <c r="H1783" s="9" t="s">
        <v>34</v>
      </c>
      <c r="I1783" s="13" t="n">
        <v>2</v>
      </c>
      <c r="J1783" s="1" t="str">
        <f aca="false">IF(A1783="","", "SAMP-"&amp;A1783&amp;"-L"&amp;TEXT(B1783,"00")&amp;"-"&amp;TEXT(C1783,"yyyymmdd")&amp;"-"&amp;D1783&amp;"-H"&amp;TEXT(E1783,"00")&amp;"-"&amp;H1783)</f>
        <v>SAMP-KG01-L24-20251121-ORD-2025-00261-H09-Thin Wall</v>
      </c>
      <c r="K1783" s="1" t="str">
        <f aca="false">IF(A1783="","",IF(AND(G1783&gt;=0,I1783&gt;=0,I1783&lt;=G1783),"OK","CHECK"))</f>
        <v>OK</v>
      </c>
      <c r="L1783" s="1" t="str">
        <f aca="false">IF(A1783="","",IF(AND(E1783&gt;=0,E1783&lt;=23),"OK","CHECK"))</f>
        <v>OK</v>
      </c>
      <c r="M1783" s="1" t="str">
        <f aca="false">IF(A1783="","",IF(AND(K1783="OK",L1783="OK"),"OK","CHECK"))</f>
        <v>OK</v>
      </c>
    </row>
    <row r="1784" customFormat="false" ht="18" hidden="false" customHeight="true" outlineLevel="0" collapsed="false">
      <c r="A1784" s="9" t="s">
        <v>26</v>
      </c>
      <c r="B1784" s="9" t="n">
        <v>24</v>
      </c>
      <c r="C1784" s="11" t="n">
        <v>45982</v>
      </c>
      <c r="D1784" s="9" t="s">
        <v>150</v>
      </c>
      <c r="E1784" s="12" t="n">
        <v>12</v>
      </c>
      <c r="F1784" s="9" t="s">
        <v>28</v>
      </c>
      <c r="G1784" s="13" t="n">
        <v>200</v>
      </c>
      <c r="H1784" s="9" t="s">
        <v>34</v>
      </c>
      <c r="I1784" s="13" t="n">
        <v>1</v>
      </c>
      <c r="J1784" s="1" t="str">
        <f aca="false">IF(A1784="","", "SAMP-"&amp;A1784&amp;"-L"&amp;TEXT(B1784,"00")&amp;"-"&amp;TEXT(C1784,"yyyymmdd")&amp;"-"&amp;D1784&amp;"-H"&amp;TEXT(E1784,"00")&amp;"-"&amp;H1784)</f>
        <v>SAMP-KG01-L24-20251121-ORD-2025-00261-H12-Thin Wall</v>
      </c>
      <c r="K1784" s="1" t="str">
        <f aca="false">IF(A1784="","",IF(AND(G1784&gt;=0,I1784&gt;=0,I1784&lt;=G1784),"OK","CHECK"))</f>
        <v>OK</v>
      </c>
      <c r="L1784" s="1" t="str">
        <f aca="false">IF(A1784="","",IF(AND(E1784&gt;=0,E1784&lt;=23),"OK","CHECK"))</f>
        <v>OK</v>
      </c>
      <c r="M1784" s="1" t="str">
        <f aca="false">IF(A1784="","",IF(AND(K1784="OK",L1784="OK"),"OK","CHECK"))</f>
        <v>OK</v>
      </c>
    </row>
    <row r="1785" customFormat="false" ht="18" hidden="false" customHeight="true" outlineLevel="0" collapsed="false">
      <c r="A1785" s="9" t="s">
        <v>26</v>
      </c>
      <c r="B1785" s="9" t="n">
        <v>24</v>
      </c>
      <c r="C1785" s="11" t="n">
        <v>45982</v>
      </c>
      <c r="D1785" s="9" t="s">
        <v>150</v>
      </c>
      <c r="E1785" s="12" t="n">
        <v>7</v>
      </c>
      <c r="F1785" s="9" t="s">
        <v>28</v>
      </c>
      <c r="G1785" s="13" t="n">
        <v>100</v>
      </c>
      <c r="H1785" s="9" t="s">
        <v>33</v>
      </c>
      <c r="I1785" s="13" t="n">
        <v>4</v>
      </c>
      <c r="J1785" s="1" t="str">
        <f aca="false">IF(A1785="","", "SAMP-"&amp;A1785&amp;"-L"&amp;TEXT(B1785,"00")&amp;"-"&amp;TEXT(C1785,"yyyymmdd")&amp;"-"&amp;D1785&amp;"-H"&amp;TEXT(E1785,"00")&amp;"-"&amp;H1785)</f>
        <v>SAMP-KG01-L24-20251121-ORD-2025-00261-H07-Distortion</v>
      </c>
      <c r="K1785" s="1" t="str">
        <f aca="false">IF(A1785="","",IF(AND(G1785&gt;=0,I1785&gt;=0,I1785&lt;=G1785),"OK","CHECK"))</f>
        <v>OK</v>
      </c>
      <c r="L1785" s="1" t="str">
        <f aca="false">IF(A1785="","",IF(AND(E1785&gt;=0,E1785&lt;=23),"OK","CHECK"))</f>
        <v>OK</v>
      </c>
      <c r="M1785" s="1" t="str">
        <f aca="false">IF(A1785="","",IF(AND(K1785="OK",L1785="OK"),"OK","CHECK"))</f>
        <v>OK</v>
      </c>
    </row>
    <row r="1786" customFormat="false" ht="18" hidden="false" customHeight="true" outlineLevel="0" collapsed="false">
      <c r="A1786" s="9" t="s">
        <v>26</v>
      </c>
      <c r="B1786" s="9" t="n">
        <v>24</v>
      </c>
      <c r="C1786" s="11" t="n">
        <v>45982</v>
      </c>
      <c r="D1786" s="9" t="s">
        <v>150</v>
      </c>
      <c r="E1786" s="12" t="n">
        <v>20</v>
      </c>
      <c r="F1786" s="9" t="s">
        <v>31</v>
      </c>
      <c r="G1786" s="13" t="n">
        <v>50</v>
      </c>
      <c r="H1786" s="9" t="s">
        <v>37</v>
      </c>
      <c r="I1786" s="13" t="n">
        <v>1</v>
      </c>
      <c r="J1786" s="1" t="str">
        <f aca="false">IF(A1786="","", "SAMP-"&amp;A1786&amp;"-L"&amp;TEXT(B1786,"00")&amp;"-"&amp;TEXT(C1786,"yyyymmdd")&amp;"-"&amp;D1786&amp;"-H"&amp;TEXT(E1786,"00")&amp;"-"&amp;H1786)</f>
        <v>SAMP-KG01-L24-20251121-ORD-2025-00261-H20-Bird Swing</v>
      </c>
      <c r="K1786" s="1" t="str">
        <f aca="false">IF(A1786="","",IF(AND(G1786&gt;=0,I1786&gt;=0,I1786&lt;=G1786),"OK","CHECK"))</f>
        <v>OK</v>
      </c>
      <c r="L1786" s="1" t="str">
        <f aca="false">IF(A1786="","",IF(AND(E1786&gt;=0,E1786&lt;=23),"OK","CHECK"))</f>
        <v>OK</v>
      </c>
      <c r="M1786" s="1" t="str">
        <f aca="false">IF(A1786="","",IF(AND(K1786="OK",L1786="OK"),"OK","CHECK"))</f>
        <v>OK</v>
      </c>
    </row>
    <row r="1787" customFormat="false" ht="18" hidden="false" customHeight="true" outlineLevel="0" collapsed="false">
      <c r="A1787" s="9" t="s">
        <v>26</v>
      </c>
      <c r="B1787" s="9" t="n">
        <v>24</v>
      </c>
      <c r="C1787" s="11" t="n">
        <v>45982</v>
      </c>
      <c r="D1787" s="9" t="s">
        <v>150</v>
      </c>
      <c r="E1787" s="12" t="n">
        <v>16</v>
      </c>
      <c r="F1787" s="9" t="s">
        <v>31</v>
      </c>
      <c r="G1787" s="13" t="n">
        <v>100</v>
      </c>
      <c r="H1787" s="9" t="s">
        <v>37</v>
      </c>
      <c r="I1787" s="13" t="n">
        <v>1</v>
      </c>
      <c r="J1787" s="1" t="str">
        <f aca="false">IF(A1787="","", "SAMP-"&amp;A1787&amp;"-L"&amp;TEXT(B1787,"00")&amp;"-"&amp;TEXT(C1787,"yyyymmdd")&amp;"-"&amp;D1787&amp;"-H"&amp;TEXT(E1787,"00")&amp;"-"&amp;H1787)</f>
        <v>SAMP-KG01-L24-20251121-ORD-2025-00261-H16-Bird Swing</v>
      </c>
      <c r="K1787" s="1" t="str">
        <f aca="false">IF(A1787="","",IF(AND(G1787&gt;=0,I1787&gt;=0,I1787&lt;=G1787),"OK","CHECK"))</f>
        <v>OK</v>
      </c>
      <c r="L1787" s="1" t="str">
        <f aca="false">IF(A1787="","",IF(AND(E1787&gt;=0,E1787&lt;=23),"OK","CHECK"))</f>
        <v>OK</v>
      </c>
      <c r="M1787" s="1" t="str">
        <f aca="false">IF(A1787="","",IF(AND(K1787="OK",L1787="OK"),"OK","CHECK"))</f>
        <v>OK</v>
      </c>
    </row>
    <row r="1788" customFormat="false" ht="18" hidden="false" customHeight="true" outlineLevel="0" collapsed="false">
      <c r="A1788" s="9" t="s">
        <v>26</v>
      </c>
      <c r="B1788" s="9" t="n">
        <v>24</v>
      </c>
      <c r="C1788" s="11" t="n">
        <v>45982</v>
      </c>
      <c r="D1788" s="9" t="s">
        <v>150</v>
      </c>
      <c r="E1788" s="12" t="n">
        <v>23</v>
      </c>
      <c r="F1788" s="9" t="s">
        <v>31</v>
      </c>
      <c r="G1788" s="13" t="n">
        <v>100</v>
      </c>
      <c r="H1788" s="9" t="s">
        <v>35</v>
      </c>
      <c r="I1788" s="13" t="n">
        <v>1</v>
      </c>
      <c r="J1788" s="1" t="str">
        <f aca="false">IF(A1788="","", "SAMP-"&amp;A1788&amp;"-L"&amp;TEXT(B1788,"00")&amp;"-"&amp;TEXT(C1788,"yyyymmdd")&amp;"-"&amp;D1788&amp;"-H"&amp;TEXT(E1788,"00")&amp;"-"&amp;H1788)</f>
        <v>SAMP-KG01-L24-20251121-ORD-2025-00261-H23-Stone</v>
      </c>
      <c r="K1788" s="1" t="str">
        <f aca="false">IF(A1788="","",IF(AND(G1788&gt;=0,I1788&gt;=0,I1788&lt;=G1788),"OK","CHECK"))</f>
        <v>OK</v>
      </c>
      <c r="L1788" s="1" t="str">
        <f aca="false">IF(A1788="","",IF(AND(E1788&gt;=0,E1788&lt;=23),"OK","CHECK"))</f>
        <v>OK</v>
      </c>
      <c r="M1788" s="1" t="str">
        <f aca="false">IF(A1788="","",IF(AND(K1788="OK",L1788="OK"),"OK","CHECK"))</f>
        <v>OK</v>
      </c>
    </row>
    <row r="1789" customFormat="false" ht="18" hidden="false" customHeight="true" outlineLevel="0" collapsed="false">
      <c r="A1789" s="9" t="s">
        <v>26</v>
      </c>
      <c r="B1789" s="9" t="n">
        <v>24</v>
      </c>
      <c r="C1789" s="11" t="n">
        <v>45983</v>
      </c>
      <c r="D1789" s="9" t="s">
        <v>150</v>
      </c>
      <c r="E1789" s="12" t="n">
        <v>9</v>
      </c>
      <c r="F1789" s="9" t="s">
        <v>28</v>
      </c>
      <c r="G1789" s="13" t="n">
        <v>100</v>
      </c>
      <c r="H1789" s="9" t="s">
        <v>29</v>
      </c>
      <c r="I1789" s="13" t="n">
        <v>3</v>
      </c>
      <c r="J1789" s="1" t="str">
        <f aca="false">IF(A1789="","", "SAMP-"&amp;A1789&amp;"-L"&amp;TEXT(B1789,"00")&amp;"-"&amp;TEXT(C1789,"yyyymmdd")&amp;"-"&amp;D1789&amp;"-H"&amp;TEXT(E1789,"00")&amp;"-"&amp;H1789)</f>
        <v>SAMP-KG01-L24-20251122-ORD-2025-00261-H09-Choke Neck</v>
      </c>
      <c r="K1789" s="1" t="str">
        <f aca="false">IF(A1789="","",IF(AND(G1789&gt;=0,I1789&gt;=0,I1789&lt;=G1789),"OK","CHECK"))</f>
        <v>OK</v>
      </c>
      <c r="L1789" s="1" t="str">
        <f aca="false">IF(A1789="","",IF(AND(E1789&gt;=0,E1789&lt;=23),"OK","CHECK"))</f>
        <v>OK</v>
      </c>
      <c r="M1789" s="1" t="str">
        <f aca="false">IF(A1789="","",IF(AND(K1789="OK",L1789="OK"),"OK","CHECK"))</f>
        <v>OK</v>
      </c>
    </row>
    <row r="1790" customFormat="false" ht="18" hidden="false" customHeight="true" outlineLevel="0" collapsed="false">
      <c r="A1790" s="9" t="s">
        <v>26</v>
      </c>
      <c r="B1790" s="9" t="n">
        <v>24</v>
      </c>
      <c r="C1790" s="11" t="n">
        <v>45983</v>
      </c>
      <c r="D1790" s="9" t="s">
        <v>150</v>
      </c>
      <c r="E1790" s="12" t="n">
        <v>12</v>
      </c>
      <c r="F1790" s="9" t="s">
        <v>28</v>
      </c>
      <c r="G1790" s="13" t="n">
        <v>150</v>
      </c>
      <c r="H1790" s="9" t="s">
        <v>33</v>
      </c>
      <c r="I1790" s="13" t="n">
        <v>2</v>
      </c>
      <c r="J1790" s="1" t="str">
        <f aca="false">IF(A1790="","", "SAMP-"&amp;A1790&amp;"-L"&amp;TEXT(B1790,"00")&amp;"-"&amp;TEXT(C1790,"yyyymmdd")&amp;"-"&amp;D1790&amp;"-H"&amp;TEXT(E1790,"00")&amp;"-"&amp;H1790)</f>
        <v>SAMP-KG01-L24-20251122-ORD-2025-00261-H12-Distortion</v>
      </c>
      <c r="K1790" s="1" t="str">
        <f aca="false">IF(A1790="","",IF(AND(G1790&gt;=0,I1790&gt;=0,I1790&lt;=G1790),"OK","CHECK"))</f>
        <v>OK</v>
      </c>
      <c r="L1790" s="1" t="str">
        <f aca="false">IF(A1790="","",IF(AND(E1790&gt;=0,E1790&lt;=23),"OK","CHECK"))</f>
        <v>OK</v>
      </c>
      <c r="M1790" s="1" t="str">
        <f aca="false">IF(A1790="","",IF(AND(K1790="OK",L1790="OK"),"OK","CHECK"))</f>
        <v>OK</v>
      </c>
    </row>
    <row r="1791" customFormat="false" ht="18" hidden="false" customHeight="true" outlineLevel="0" collapsed="false">
      <c r="A1791" s="9" t="s">
        <v>26</v>
      </c>
      <c r="B1791" s="9" t="n">
        <v>24</v>
      </c>
      <c r="C1791" s="11" t="n">
        <v>45983</v>
      </c>
      <c r="D1791" s="9" t="s">
        <v>150</v>
      </c>
      <c r="E1791" s="12" t="n">
        <v>7</v>
      </c>
      <c r="F1791" s="9" t="s">
        <v>28</v>
      </c>
      <c r="G1791" s="13" t="n">
        <v>100</v>
      </c>
      <c r="H1791" s="9" t="s">
        <v>29</v>
      </c>
      <c r="I1791" s="13" t="n">
        <v>3</v>
      </c>
      <c r="J1791" s="1" t="str">
        <f aca="false">IF(A1791="","", "SAMP-"&amp;A1791&amp;"-L"&amp;TEXT(B1791,"00")&amp;"-"&amp;TEXT(C1791,"yyyymmdd")&amp;"-"&amp;D1791&amp;"-H"&amp;TEXT(E1791,"00")&amp;"-"&amp;H1791)</f>
        <v>SAMP-KG01-L24-20251122-ORD-2025-00261-H07-Choke Neck</v>
      </c>
      <c r="K1791" s="1" t="str">
        <f aca="false">IF(A1791="","",IF(AND(G1791&gt;=0,I1791&gt;=0,I1791&lt;=G1791),"OK","CHECK"))</f>
        <v>OK</v>
      </c>
      <c r="L1791" s="1" t="str">
        <f aca="false">IF(A1791="","",IF(AND(E1791&gt;=0,E1791&lt;=23),"OK","CHECK"))</f>
        <v>OK</v>
      </c>
      <c r="M1791" s="1" t="str">
        <f aca="false">IF(A1791="","",IF(AND(K1791="OK",L1791="OK"),"OK","CHECK"))</f>
        <v>OK</v>
      </c>
    </row>
    <row r="1792" customFormat="false" ht="18" hidden="false" customHeight="true" outlineLevel="0" collapsed="false">
      <c r="A1792" s="9" t="s">
        <v>26</v>
      </c>
      <c r="B1792" s="9" t="n">
        <v>24</v>
      </c>
      <c r="C1792" s="11" t="n">
        <v>45983</v>
      </c>
      <c r="D1792" s="9" t="s">
        <v>150</v>
      </c>
      <c r="E1792" s="12" t="n">
        <v>20</v>
      </c>
      <c r="F1792" s="9" t="s">
        <v>31</v>
      </c>
      <c r="G1792" s="13" t="n">
        <v>200</v>
      </c>
      <c r="H1792" s="9" t="s">
        <v>36</v>
      </c>
      <c r="I1792" s="13" t="n">
        <v>9</v>
      </c>
      <c r="J1792" s="1" t="str">
        <f aca="false">IF(A1792="","", "SAMP-"&amp;A1792&amp;"-L"&amp;TEXT(B1792,"00")&amp;"-"&amp;TEXT(C1792,"yyyymmdd")&amp;"-"&amp;D1792&amp;"-H"&amp;TEXT(E1792,"00")&amp;"-"&amp;H1792)</f>
        <v>SAMP-KG01-L24-20251122-ORD-2025-00261-H20-Blister</v>
      </c>
      <c r="K1792" s="1" t="str">
        <f aca="false">IF(A1792="","",IF(AND(G1792&gt;=0,I1792&gt;=0,I1792&lt;=G1792),"OK","CHECK"))</f>
        <v>OK</v>
      </c>
      <c r="L1792" s="1" t="str">
        <f aca="false">IF(A1792="","",IF(AND(E1792&gt;=0,E1792&lt;=23),"OK","CHECK"))</f>
        <v>OK</v>
      </c>
      <c r="M1792" s="1" t="str">
        <f aca="false">IF(A1792="","",IF(AND(K1792="OK",L1792="OK"),"OK","CHECK"))</f>
        <v>OK</v>
      </c>
    </row>
    <row r="1793" customFormat="false" ht="18" hidden="false" customHeight="true" outlineLevel="0" collapsed="false">
      <c r="A1793" s="9" t="s">
        <v>26</v>
      </c>
      <c r="B1793" s="9" t="n">
        <v>24</v>
      </c>
      <c r="C1793" s="11" t="n">
        <v>45983</v>
      </c>
      <c r="D1793" s="9" t="s">
        <v>150</v>
      </c>
      <c r="E1793" s="12" t="n">
        <v>16</v>
      </c>
      <c r="F1793" s="9" t="s">
        <v>31</v>
      </c>
      <c r="G1793" s="13" t="n">
        <v>200</v>
      </c>
      <c r="H1793" s="9" t="s">
        <v>37</v>
      </c>
      <c r="I1793" s="13" t="n">
        <v>8</v>
      </c>
      <c r="J1793" s="1" t="str">
        <f aca="false">IF(A1793="","", "SAMP-"&amp;A1793&amp;"-L"&amp;TEXT(B1793,"00")&amp;"-"&amp;TEXT(C1793,"yyyymmdd")&amp;"-"&amp;D1793&amp;"-H"&amp;TEXT(E1793,"00")&amp;"-"&amp;H1793)</f>
        <v>SAMP-KG01-L24-20251122-ORD-2025-00261-H16-Bird Swing</v>
      </c>
      <c r="K1793" s="1" t="str">
        <f aca="false">IF(A1793="","",IF(AND(G1793&gt;=0,I1793&gt;=0,I1793&lt;=G1793),"OK","CHECK"))</f>
        <v>OK</v>
      </c>
      <c r="L1793" s="1" t="str">
        <f aca="false">IF(A1793="","",IF(AND(E1793&gt;=0,E1793&lt;=23),"OK","CHECK"))</f>
        <v>OK</v>
      </c>
      <c r="M1793" s="1" t="str">
        <f aca="false">IF(A1793="","",IF(AND(K1793="OK",L1793="OK"),"OK","CHECK"))</f>
        <v>OK</v>
      </c>
    </row>
    <row r="1794" customFormat="false" ht="18" hidden="false" customHeight="true" outlineLevel="0" collapsed="false">
      <c r="A1794" s="9" t="s">
        <v>26</v>
      </c>
      <c r="B1794" s="9" t="n">
        <v>24</v>
      </c>
      <c r="C1794" s="11" t="n">
        <v>45983</v>
      </c>
      <c r="D1794" s="9" t="s">
        <v>150</v>
      </c>
      <c r="E1794" s="12" t="n">
        <v>23</v>
      </c>
      <c r="F1794" s="9" t="s">
        <v>31</v>
      </c>
      <c r="G1794" s="13" t="n">
        <v>50</v>
      </c>
      <c r="H1794" s="9" t="s">
        <v>41</v>
      </c>
      <c r="I1794" s="13" t="n">
        <v>1</v>
      </c>
      <c r="J1794" s="1" t="str">
        <f aca="false">IF(A1794="","", "SAMP-"&amp;A1794&amp;"-L"&amp;TEXT(B1794,"00")&amp;"-"&amp;TEXT(C1794,"yyyymmdd")&amp;"-"&amp;D1794&amp;"-H"&amp;TEXT(E1794,"00")&amp;"-"&amp;H1794)</f>
        <v>SAMP-KG01-L24-20251122-ORD-2025-00261-H23-Chip</v>
      </c>
      <c r="K1794" s="1" t="str">
        <f aca="false">IF(A1794="","",IF(AND(G1794&gt;=0,I1794&gt;=0,I1794&lt;=G1794),"OK","CHECK"))</f>
        <v>OK</v>
      </c>
      <c r="L1794" s="1" t="str">
        <f aca="false">IF(A1794="","",IF(AND(E1794&gt;=0,E1794&lt;=23),"OK","CHECK"))</f>
        <v>OK</v>
      </c>
      <c r="M1794" s="1" t="str">
        <f aca="false">IF(A1794="","",IF(AND(K1794="OK",L1794="OK"),"OK","CHECK"))</f>
        <v>OK</v>
      </c>
    </row>
    <row r="1795" customFormat="false" ht="18" hidden="false" customHeight="true" outlineLevel="0" collapsed="false">
      <c r="A1795" s="9" t="s">
        <v>26</v>
      </c>
      <c r="B1795" s="9" t="n">
        <v>24</v>
      </c>
      <c r="C1795" s="11" t="n">
        <v>45984</v>
      </c>
      <c r="D1795" s="9" t="s">
        <v>151</v>
      </c>
      <c r="E1795" s="12" t="n">
        <v>9</v>
      </c>
      <c r="F1795" s="9" t="s">
        <v>28</v>
      </c>
      <c r="G1795" s="13" t="n">
        <v>100</v>
      </c>
      <c r="H1795" s="9" t="s">
        <v>38</v>
      </c>
      <c r="I1795" s="13" t="n">
        <v>0</v>
      </c>
      <c r="J1795" s="1" t="str">
        <f aca="false">IF(A1795="","", "SAMP-"&amp;A1795&amp;"-L"&amp;TEXT(B1795,"00")&amp;"-"&amp;TEXT(C1795,"yyyymmdd")&amp;"-"&amp;D1795&amp;"-H"&amp;TEXT(E1795,"00")&amp;"-"&amp;H1795)</f>
        <v>SAMP-KG01-L24-20251123-ORD-2025-00262-H09-Crack</v>
      </c>
      <c r="K1795" s="1" t="str">
        <f aca="false">IF(A1795="","",IF(AND(G1795&gt;=0,I1795&gt;=0,I1795&lt;=G1795),"OK","CHECK"))</f>
        <v>OK</v>
      </c>
      <c r="L1795" s="1" t="str">
        <f aca="false">IF(A1795="","",IF(AND(E1795&gt;=0,E1795&lt;=23),"OK","CHECK"))</f>
        <v>OK</v>
      </c>
      <c r="M1795" s="1" t="str">
        <f aca="false">IF(A1795="","",IF(AND(K1795="OK",L1795="OK"),"OK","CHECK"))</f>
        <v>OK</v>
      </c>
    </row>
    <row r="1796" customFormat="false" ht="18" hidden="false" customHeight="true" outlineLevel="0" collapsed="false">
      <c r="A1796" s="9" t="s">
        <v>26</v>
      </c>
      <c r="B1796" s="9" t="n">
        <v>24</v>
      </c>
      <c r="C1796" s="11" t="n">
        <v>45984</v>
      </c>
      <c r="D1796" s="9" t="s">
        <v>151</v>
      </c>
      <c r="E1796" s="12" t="n">
        <v>12</v>
      </c>
      <c r="F1796" s="9" t="s">
        <v>28</v>
      </c>
      <c r="G1796" s="13" t="n">
        <v>100</v>
      </c>
      <c r="H1796" s="9" t="s">
        <v>38</v>
      </c>
      <c r="I1796" s="13" t="n">
        <v>3</v>
      </c>
      <c r="J1796" s="1" t="str">
        <f aca="false">IF(A1796="","", "SAMP-"&amp;A1796&amp;"-L"&amp;TEXT(B1796,"00")&amp;"-"&amp;TEXT(C1796,"yyyymmdd")&amp;"-"&amp;D1796&amp;"-H"&amp;TEXT(E1796,"00")&amp;"-"&amp;H1796)</f>
        <v>SAMP-KG01-L24-20251123-ORD-2025-00262-H12-Crack</v>
      </c>
      <c r="K1796" s="1" t="str">
        <f aca="false">IF(A1796="","",IF(AND(G1796&gt;=0,I1796&gt;=0,I1796&lt;=G1796),"OK","CHECK"))</f>
        <v>OK</v>
      </c>
      <c r="L1796" s="1" t="str">
        <f aca="false">IF(A1796="","",IF(AND(E1796&gt;=0,E1796&lt;=23),"OK","CHECK"))</f>
        <v>OK</v>
      </c>
      <c r="M1796" s="1" t="str">
        <f aca="false">IF(A1796="","",IF(AND(K1796="OK",L1796="OK"),"OK","CHECK"))</f>
        <v>OK</v>
      </c>
    </row>
    <row r="1797" customFormat="false" ht="18" hidden="false" customHeight="true" outlineLevel="0" collapsed="false">
      <c r="A1797" s="9" t="s">
        <v>26</v>
      </c>
      <c r="B1797" s="9" t="n">
        <v>24</v>
      </c>
      <c r="C1797" s="11" t="n">
        <v>45984</v>
      </c>
      <c r="D1797" s="9" t="s">
        <v>151</v>
      </c>
      <c r="E1797" s="12" t="n">
        <v>7</v>
      </c>
      <c r="F1797" s="9" t="s">
        <v>28</v>
      </c>
      <c r="G1797" s="13" t="n">
        <v>100</v>
      </c>
      <c r="H1797" s="9" t="s">
        <v>36</v>
      </c>
      <c r="I1797" s="13" t="n">
        <v>3</v>
      </c>
      <c r="J1797" s="1" t="str">
        <f aca="false">IF(A1797="","", "SAMP-"&amp;A1797&amp;"-L"&amp;TEXT(B1797,"00")&amp;"-"&amp;TEXT(C1797,"yyyymmdd")&amp;"-"&amp;D1797&amp;"-H"&amp;TEXT(E1797,"00")&amp;"-"&amp;H1797)</f>
        <v>SAMP-KG01-L24-20251123-ORD-2025-00262-H07-Blister</v>
      </c>
      <c r="K1797" s="1" t="str">
        <f aca="false">IF(A1797="","",IF(AND(G1797&gt;=0,I1797&gt;=0,I1797&lt;=G1797),"OK","CHECK"))</f>
        <v>OK</v>
      </c>
      <c r="L1797" s="1" t="str">
        <f aca="false">IF(A1797="","",IF(AND(E1797&gt;=0,E1797&lt;=23),"OK","CHECK"))</f>
        <v>OK</v>
      </c>
      <c r="M1797" s="1" t="str">
        <f aca="false">IF(A1797="","",IF(AND(K1797="OK",L1797="OK"),"OK","CHECK"))</f>
        <v>OK</v>
      </c>
    </row>
    <row r="1798" customFormat="false" ht="18" hidden="false" customHeight="true" outlineLevel="0" collapsed="false">
      <c r="A1798" s="9" t="s">
        <v>26</v>
      </c>
      <c r="B1798" s="9" t="n">
        <v>24</v>
      </c>
      <c r="C1798" s="11" t="n">
        <v>45984</v>
      </c>
      <c r="D1798" s="9" t="s">
        <v>151</v>
      </c>
      <c r="E1798" s="12" t="n">
        <v>16</v>
      </c>
      <c r="F1798" s="9" t="s">
        <v>31</v>
      </c>
      <c r="G1798" s="13" t="n">
        <v>200</v>
      </c>
      <c r="H1798" s="9" t="s">
        <v>29</v>
      </c>
      <c r="I1798" s="13" t="n">
        <v>5</v>
      </c>
      <c r="J1798" s="1" t="str">
        <f aca="false">IF(A1798="","", "SAMP-"&amp;A1798&amp;"-L"&amp;TEXT(B1798,"00")&amp;"-"&amp;TEXT(C1798,"yyyymmdd")&amp;"-"&amp;D1798&amp;"-H"&amp;TEXT(E1798,"00")&amp;"-"&amp;H1798)</f>
        <v>SAMP-KG01-L24-20251123-ORD-2025-00262-H16-Choke Neck</v>
      </c>
      <c r="K1798" s="1" t="str">
        <f aca="false">IF(A1798="","",IF(AND(G1798&gt;=0,I1798&gt;=0,I1798&lt;=G1798),"OK","CHECK"))</f>
        <v>OK</v>
      </c>
      <c r="L1798" s="1" t="str">
        <f aca="false">IF(A1798="","",IF(AND(E1798&gt;=0,E1798&lt;=23),"OK","CHECK"))</f>
        <v>OK</v>
      </c>
      <c r="M1798" s="1" t="str">
        <f aca="false">IF(A1798="","",IF(AND(K1798="OK",L1798="OK"),"OK","CHECK"))</f>
        <v>OK</v>
      </c>
    </row>
    <row r="1799" customFormat="false" ht="18" hidden="false" customHeight="true" outlineLevel="0" collapsed="false">
      <c r="A1799" s="9" t="s">
        <v>26</v>
      </c>
      <c r="B1799" s="9" t="n">
        <v>24</v>
      </c>
      <c r="C1799" s="11" t="n">
        <v>45984</v>
      </c>
      <c r="D1799" s="9" t="s">
        <v>151</v>
      </c>
      <c r="E1799" s="12" t="n">
        <v>20</v>
      </c>
      <c r="F1799" s="9" t="s">
        <v>31</v>
      </c>
      <c r="G1799" s="13" t="n">
        <v>150</v>
      </c>
      <c r="H1799" s="9" t="s">
        <v>41</v>
      </c>
      <c r="I1799" s="13" t="n">
        <v>2</v>
      </c>
      <c r="J1799" s="1" t="str">
        <f aca="false">IF(A1799="","", "SAMP-"&amp;A1799&amp;"-L"&amp;TEXT(B1799,"00")&amp;"-"&amp;TEXT(C1799,"yyyymmdd")&amp;"-"&amp;D1799&amp;"-H"&amp;TEXT(E1799,"00")&amp;"-"&amp;H1799)</f>
        <v>SAMP-KG01-L24-20251123-ORD-2025-00262-H20-Chip</v>
      </c>
      <c r="K1799" s="1" t="str">
        <f aca="false">IF(A1799="","",IF(AND(G1799&gt;=0,I1799&gt;=0,I1799&lt;=G1799),"OK","CHECK"))</f>
        <v>OK</v>
      </c>
      <c r="L1799" s="1" t="str">
        <f aca="false">IF(A1799="","",IF(AND(E1799&gt;=0,E1799&lt;=23),"OK","CHECK"))</f>
        <v>OK</v>
      </c>
      <c r="M1799" s="1" t="str">
        <f aca="false">IF(A1799="","",IF(AND(K1799="OK",L1799="OK"),"OK","CHECK"))</f>
        <v>OK</v>
      </c>
    </row>
    <row r="1800" customFormat="false" ht="18" hidden="false" customHeight="true" outlineLevel="0" collapsed="false">
      <c r="A1800" s="9" t="s">
        <v>26</v>
      </c>
      <c r="B1800" s="9" t="n">
        <v>24</v>
      </c>
      <c r="C1800" s="11" t="n">
        <v>45984</v>
      </c>
      <c r="D1800" s="9" t="s">
        <v>151</v>
      </c>
      <c r="E1800" s="12" t="n">
        <v>23</v>
      </c>
      <c r="F1800" s="9" t="s">
        <v>31</v>
      </c>
      <c r="G1800" s="13" t="n">
        <v>150</v>
      </c>
      <c r="H1800" s="9" t="s">
        <v>38</v>
      </c>
      <c r="I1800" s="13" t="n">
        <v>4</v>
      </c>
      <c r="J1800" s="1" t="str">
        <f aca="false">IF(A1800="","", "SAMP-"&amp;A1800&amp;"-L"&amp;TEXT(B1800,"00")&amp;"-"&amp;TEXT(C1800,"yyyymmdd")&amp;"-"&amp;D1800&amp;"-H"&amp;TEXT(E1800,"00")&amp;"-"&amp;H1800)</f>
        <v>SAMP-KG01-L24-20251123-ORD-2025-00262-H23-Crack</v>
      </c>
      <c r="K1800" s="1" t="str">
        <f aca="false">IF(A1800="","",IF(AND(G1800&gt;=0,I1800&gt;=0,I1800&lt;=G1800),"OK","CHECK"))</f>
        <v>OK</v>
      </c>
      <c r="L1800" s="1" t="str">
        <f aca="false">IF(A1800="","",IF(AND(E1800&gt;=0,E1800&lt;=23),"OK","CHECK"))</f>
        <v>OK</v>
      </c>
      <c r="M1800" s="1" t="str">
        <f aca="false">IF(A1800="","",IF(AND(K1800="OK",L1800="OK"),"OK","CHECK"))</f>
        <v>OK</v>
      </c>
    </row>
    <row r="1801" customFormat="false" ht="18" hidden="false" customHeight="true" outlineLevel="0" collapsed="false">
      <c r="A1801" s="9" t="s">
        <v>26</v>
      </c>
      <c r="B1801" s="9" t="n">
        <v>24</v>
      </c>
      <c r="C1801" s="11" t="n">
        <v>45985</v>
      </c>
      <c r="D1801" s="9" t="s">
        <v>151</v>
      </c>
      <c r="E1801" s="12" t="n">
        <v>9</v>
      </c>
      <c r="F1801" s="9" t="s">
        <v>28</v>
      </c>
      <c r="G1801" s="13" t="n">
        <v>100</v>
      </c>
      <c r="H1801" s="9" t="s">
        <v>38</v>
      </c>
      <c r="I1801" s="13" t="n">
        <v>3</v>
      </c>
      <c r="J1801" s="1" t="str">
        <f aca="false">IF(A1801="","", "SAMP-"&amp;A1801&amp;"-L"&amp;TEXT(B1801,"00")&amp;"-"&amp;TEXT(C1801,"yyyymmdd")&amp;"-"&amp;D1801&amp;"-H"&amp;TEXT(E1801,"00")&amp;"-"&amp;H1801)</f>
        <v>SAMP-KG01-L24-20251124-ORD-2025-00262-H09-Crack</v>
      </c>
      <c r="K1801" s="1" t="str">
        <f aca="false">IF(A1801="","",IF(AND(G1801&gt;=0,I1801&gt;=0,I1801&lt;=G1801),"OK","CHECK"))</f>
        <v>OK</v>
      </c>
      <c r="L1801" s="1" t="str">
        <f aca="false">IF(A1801="","",IF(AND(E1801&gt;=0,E1801&lt;=23),"OK","CHECK"))</f>
        <v>OK</v>
      </c>
      <c r="M1801" s="1" t="str">
        <f aca="false">IF(A1801="","",IF(AND(K1801="OK",L1801="OK"),"OK","CHECK"))</f>
        <v>OK</v>
      </c>
    </row>
    <row r="1802" customFormat="false" ht="18" hidden="false" customHeight="true" outlineLevel="0" collapsed="false">
      <c r="A1802" s="9" t="s">
        <v>26</v>
      </c>
      <c r="B1802" s="9" t="n">
        <v>24</v>
      </c>
      <c r="C1802" s="11" t="n">
        <v>45985</v>
      </c>
      <c r="D1802" s="9" t="s">
        <v>151</v>
      </c>
      <c r="E1802" s="12" t="n">
        <v>12</v>
      </c>
      <c r="F1802" s="9" t="s">
        <v>28</v>
      </c>
      <c r="G1802" s="13" t="n">
        <v>200</v>
      </c>
      <c r="H1802" s="9" t="s">
        <v>33</v>
      </c>
      <c r="I1802" s="13" t="n">
        <v>4</v>
      </c>
      <c r="J1802" s="1" t="str">
        <f aca="false">IF(A1802="","", "SAMP-"&amp;A1802&amp;"-L"&amp;TEXT(B1802,"00")&amp;"-"&amp;TEXT(C1802,"yyyymmdd")&amp;"-"&amp;D1802&amp;"-H"&amp;TEXT(E1802,"00")&amp;"-"&amp;H1802)</f>
        <v>SAMP-KG01-L24-20251124-ORD-2025-00262-H12-Distortion</v>
      </c>
      <c r="K1802" s="1" t="str">
        <f aca="false">IF(A1802="","",IF(AND(G1802&gt;=0,I1802&gt;=0,I1802&lt;=G1802),"OK","CHECK"))</f>
        <v>OK</v>
      </c>
      <c r="L1802" s="1" t="str">
        <f aca="false">IF(A1802="","",IF(AND(E1802&gt;=0,E1802&lt;=23),"OK","CHECK"))</f>
        <v>OK</v>
      </c>
      <c r="M1802" s="1" t="str">
        <f aca="false">IF(A1802="","",IF(AND(K1802="OK",L1802="OK"),"OK","CHECK"))</f>
        <v>OK</v>
      </c>
    </row>
    <row r="1803" customFormat="false" ht="18" hidden="false" customHeight="true" outlineLevel="0" collapsed="false">
      <c r="A1803" s="9" t="s">
        <v>26</v>
      </c>
      <c r="B1803" s="9" t="n">
        <v>24</v>
      </c>
      <c r="C1803" s="11" t="n">
        <v>45985</v>
      </c>
      <c r="D1803" s="9" t="s">
        <v>151</v>
      </c>
      <c r="E1803" s="12" t="n">
        <v>7</v>
      </c>
      <c r="F1803" s="9" t="s">
        <v>28</v>
      </c>
      <c r="G1803" s="13" t="n">
        <v>200</v>
      </c>
      <c r="H1803" s="9" t="s">
        <v>36</v>
      </c>
      <c r="I1803" s="13" t="n">
        <v>4</v>
      </c>
      <c r="J1803" s="1" t="str">
        <f aca="false">IF(A1803="","", "SAMP-"&amp;A1803&amp;"-L"&amp;TEXT(B1803,"00")&amp;"-"&amp;TEXT(C1803,"yyyymmdd")&amp;"-"&amp;D1803&amp;"-H"&amp;TEXT(E1803,"00")&amp;"-"&amp;H1803)</f>
        <v>SAMP-KG01-L24-20251124-ORD-2025-00262-H07-Blister</v>
      </c>
      <c r="K1803" s="1" t="str">
        <f aca="false">IF(A1803="","",IF(AND(G1803&gt;=0,I1803&gt;=0,I1803&lt;=G1803),"OK","CHECK"))</f>
        <v>OK</v>
      </c>
      <c r="L1803" s="1" t="str">
        <f aca="false">IF(A1803="","",IF(AND(E1803&gt;=0,E1803&lt;=23),"OK","CHECK"))</f>
        <v>OK</v>
      </c>
      <c r="M1803" s="1" t="str">
        <f aca="false">IF(A1803="","",IF(AND(K1803="OK",L1803="OK"),"OK","CHECK"))</f>
        <v>OK</v>
      </c>
    </row>
    <row r="1804" customFormat="false" ht="18" hidden="false" customHeight="true" outlineLevel="0" collapsed="false">
      <c r="A1804" s="9" t="s">
        <v>26</v>
      </c>
      <c r="B1804" s="9" t="n">
        <v>24</v>
      </c>
      <c r="C1804" s="11" t="n">
        <v>45985</v>
      </c>
      <c r="D1804" s="9" t="s">
        <v>151</v>
      </c>
      <c r="E1804" s="12" t="n">
        <v>23</v>
      </c>
      <c r="F1804" s="9" t="s">
        <v>31</v>
      </c>
      <c r="G1804" s="13" t="n">
        <v>100</v>
      </c>
      <c r="H1804" s="9" t="s">
        <v>29</v>
      </c>
      <c r="I1804" s="13" t="n">
        <v>4</v>
      </c>
      <c r="J1804" s="1" t="str">
        <f aca="false">IF(A1804="","", "SAMP-"&amp;A1804&amp;"-L"&amp;TEXT(B1804,"00")&amp;"-"&amp;TEXT(C1804,"yyyymmdd")&amp;"-"&amp;D1804&amp;"-H"&amp;TEXT(E1804,"00")&amp;"-"&amp;H1804)</f>
        <v>SAMP-KG01-L24-20251124-ORD-2025-00262-H23-Choke Neck</v>
      </c>
      <c r="K1804" s="1" t="str">
        <f aca="false">IF(A1804="","",IF(AND(G1804&gt;=0,I1804&gt;=0,I1804&lt;=G1804),"OK","CHECK"))</f>
        <v>OK</v>
      </c>
      <c r="L1804" s="1" t="str">
        <f aca="false">IF(A1804="","",IF(AND(E1804&gt;=0,E1804&lt;=23),"OK","CHECK"))</f>
        <v>OK</v>
      </c>
      <c r="M1804" s="1" t="str">
        <f aca="false">IF(A1804="","",IF(AND(K1804="OK",L1804="OK"),"OK","CHECK"))</f>
        <v>OK</v>
      </c>
    </row>
    <row r="1805" customFormat="false" ht="18" hidden="false" customHeight="true" outlineLevel="0" collapsed="false">
      <c r="A1805" s="9" t="s">
        <v>26</v>
      </c>
      <c r="B1805" s="9" t="n">
        <v>24</v>
      </c>
      <c r="C1805" s="11" t="n">
        <v>45985</v>
      </c>
      <c r="D1805" s="9" t="s">
        <v>151</v>
      </c>
      <c r="E1805" s="12" t="n">
        <v>20</v>
      </c>
      <c r="F1805" s="9" t="s">
        <v>31</v>
      </c>
      <c r="G1805" s="13" t="n">
        <v>200</v>
      </c>
      <c r="H1805" s="9" t="s">
        <v>34</v>
      </c>
      <c r="I1805" s="13" t="n">
        <v>0</v>
      </c>
      <c r="J1805" s="1" t="str">
        <f aca="false">IF(A1805="","", "SAMP-"&amp;A1805&amp;"-L"&amp;TEXT(B1805,"00")&amp;"-"&amp;TEXT(C1805,"yyyymmdd")&amp;"-"&amp;D1805&amp;"-H"&amp;TEXT(E1805,"00")&amp;"-"&amp;H1805)</f>
        <v>SAMP-KG01-L24-20251124-ORD-2025-00262-H20-Thin Wall</v>
      </c>
      <c r="K1805" s="1" t="str">
        <f aca="false">IF(A1805="","",IF(AND(G1805&gt;=0,I1805&gt;=0,I1805&lt;=G1805),"OK","CHECK"))</f>
        <v>OK</v>
      </c>
      <c r="L1805" s="1" t="str">
        <f aca="false">IF(A1805="","",IF(AND(E1805&gt;=0,E1805&lt;=23),"OK","CHECK"))</f>
        <v>OK</v>
      </c>
      <c r="M1805" s="1" t="str">
        <f aca="false">IF(A1805="","",IF(AND(K1805="OK",L1805="OK"),"OK","CHECK"))</f>
        <v>OK</v>
      </c>
    </row>
    <row r="1806" customFormat="false" ht="18" hidden="false" customHeight="true" outlineLevel="0" collapsed="false">
      <c r="A1806" s="9" t="s">
        <v>26</v>
      </c>
      <c r="B1806" s="9" t="n">
        <v>24</v>
      </c>
      <c r="C1806" s="11" t="n">
        <v>45986</v>
      </c>
      <c r="D1806" s="9" t="s">
        <v>151</v>
      </c>
      <c r="E1806" s="12" t="n">
        <v>9</v>
      </c>
      <c r="F1806" s="9" t="s">
        <v>28</v>
      </c>
      <c r="G1806" s="13" t="n">
        <v>150</v>
      </c>
      <c r="H1806" s="9" t="s">
        <v>36</v>
      </c>
      <c r="I1806" s="13" t="n">
        <v>2</v>
      </c>
      <c r="J1806" s="1" t="str">
        <f aca="false">IF(A1806="","", "SAMP-"&amp;A1806&amp;"-L"&amp;TEXT(B1806,"00")&amp;"-"&amp;TEXT(C1806,"yyyymmdd")&amp;"-"&amp;D1806&amp;"-H"&amp;TEXT(E1806,"00")&amp;"-"&amp;H1806)</f>
        <v>SAMP-KG01-L24-20251125-ORD-2025-00262-H09-Blister</v>
      </c>
      <c r="K1806" s="1" t="str">
        <f aca="false">IF(A1806="","",IF(AND(G1806&gt;=0,I1806&gt;=0,I1806&lt;=G1806),"OK","CHECK"))</f>
        <v>OK</v>
      </c>
      <c r="L1806" s="1" t="str">
        <f aca="false">IF(A1806="","",IF(AND(E1806&gt;=0,E1806&lt;=23),"OK","CHECK"))</f>
        <v>OK</v>
      </c>
      <c r="M1806" s="1" t="str">
        <f aca="false">IF(A1806="","",IF(AND(K1806="OK",L1806="OK"),"OK","CHECK"))</f>
        <v>OK</v>
      </c>
    </row>
    <row r="1807" customFormat="false" ht="18" hidden="false" customHeight="true" outlineLevel="0" collapsed="false">
      <c r="A1807" s="9" t="s">
        <v>26</v>
      </c>
      <c r="B1807" s="9" t="n">
        <v>24</v>
      </c>
      <c r="C1807" s="11" t="n">
        <v>45986</v>
      </c>
      <c r="D1807" s="9" t="s">
        <v>151</v>
      </c>
      <c r="E1807" s="12" t="n">
        <v>7</v>
      </c>
      <c r="F1807" s="9" t="s">
        <v>28</v>
      </c>
      <c r="G1807" s="13" t="n">
        <v>200</v>
      </c>
      <c r="H1807" s="9" t="s">
        <v>29</v>
      </c>
      <c r="I1807" s="13" t="n">
        <v>8</v>
      </c>
      <c r="J1807" s="1" t="str">
        <f aca="false">IF(A1807="","", "SAMP-"&amp;A1807&amp;"-L"&amp;TEXT(B1807,"00")&amp;"-"&amp;TEXT(C1807,"yyyymmdd")&amp;"-"&amp;D1807&amp;"-H"&amp;TEXT(E1807,"00")&amp;"-"&amp;H1807)</f>
        <v>SAMP-KG01-L24-20251125-ORD-2025-00262-H07-Choke Neck</v>
      </c>
      <c r="K1807" s="1" t="str">
        <f aca="false">IF(A1807="","",IF(AND(G1807&gt;=0,I1807&gt;=0,I1807&lt;=G1807),"OK","CHECK"))</f>
        <v>OK</v>
      </c>
      <c r="L1807" s="1" t="str">
        <f aca="false">IF(A1807="","",IF(AND(E1807&gt;=0,E1807&lt;=23),"OK","CHECK"))</f>
        <v>OK</v>
      </c>
      <c r="M1807" s="1" t="str">
        <f aca="false">IF(A1807="","",IF(AND(K1807="OK",L1807="OK"),"OK","CHECK"))</f>
        <v>OK</v>
      </c>
    </row>
    <row r="1808" customFormat="false" ht="18" hidden="false" customHeight="true" outlineLevel="0" collapsed="false">
      <c r="A1808" s="9" t="s">
        <v>26</v>
      </c>
      <c r="B1808" s="9" t="n">
        <v>24</v>
      </c>
      <c r="C1808" s="11" t="n">
        <v>45986</v>
      </c>
      <c r="D1808" s="9" t="s">
        <v>151</v>
      </c>
      <c r="E1808" s="12" t="n">
        <v>12</v>
      </c>
      <c r="F1808" s="9" t="s">
        <v>28</v>
      </c>
      <c r="G1808" s="13" t="n">
        <v>200</v>
      </c>
      <c r="H1808" s="9" t="s">
        <v>33</v>
      </c>
      <c r="I1808" s="13" t="n">
        <v>8</v>
      </c>
      <c r="J1808" s="1" t="str">
        <f aca="false">IF(A1808="","", "SAMP-"&amp;A1808&amp;"-L"&amp;TEXT(B1808,"00")&amp;"-"&amp;TEXT(C1808,"yyyymmdd")&amp;"-"&amp;D1808&amp;"-H"&amp;TEXT(E1808,"00")&amp;"-"&amp;H1808)</f>
        <v>SAMP-KG01-L24-20251125-ORD-2025-00262-H12-Distortion</v>
      </c>
      <c r="K1808" s="1" t="str">
        <f aca="false">IF(A1808="","",IF(AND(G1808&gt;=0,I1808&gt;=0,I1808&lt;=G1808),"OK","CHECK"))</f>
        <v>OK</v>
      </c>
      <c r="L1808" s="1" t="str">
        <f aca="false">IF(A1808="","",IF(AND(E1808&gt;=0,E1808&lt;=23),"OK","CHECK"))</f>
        <v>OK</v>
      </c>
      <c r="M1808" s="1" t="str">
        <f aca="false">IF(A1808="","",IF(AND(K1808="OK",L1808="OK"),"OK","CHECK"))</f>
        <v>OK</v>
      </c>
    </row>
    <row r="1809" customFormat="false" ht="18" hidden="false" customHeight="true" outlineLevel="0" collapsed="false">
      <c r="A1809" s="9" t="s">
        <v>26</v>
      </c>
      <c r="B1809" s="9" t="n">
        <v>24</v>
      </c>
      <c r="C1809" s="11" t="n">
        <v>45986</v>
      </c>
      <c r="D1809" s="9" t="s">
        <v>151</v>
      </c>
      <c r="E1809" s="12" t="n">
        <v>20</v>
      </c>
      <c r="F1809" s="9" t="s">
        <v>31</v>
      </c>
      <c r="G1809" s="13" t="n">
        <v>100</v>
      </c>
      <c r="H1809" s="9" t="s">
        <v>41</v>
      </c>
      <c r="I1809" s="13" t="n">
        <v>2</v>
      </c>
      <c r="J1809" s="1" t="str">
        <f aca="false">IF(A1809="","", "SAMP-"&amp;A1809&amp;"-L"&amp;TEXT(B1809,"00")&amp;"-"&amp;TEXT(C1809,"yyyymmdd")&amp;"-"&amp;D1809&amp;"-H"&amp;TEXT(E1809,"00")&amp;"-"&amp;H1809)</f>
        <v>SAMP-KG01-L24-20251125-ORD-2025-00262-H20-Chip</v>
      </c>
      <c r="K1809" s="1" t="str">
        <f aca="false">IF(A1809="","",IF(AND(G1809&gt;=0,I1809&gt;=0,I1809&lt;=G1809),"OK","CHECK"))</f>
        <v>OK</v>
      </c>
      <c r="L1809" s="1" t="str">
        <f aca="false">IF(A1809="","",IF(AND(E1809&gt;=0,E1809&lt;=23),"OK","CHECK"))</f>
        <v>OK</v>
      </c>
      <c r="M1809" s="1" t="str">
        <f aca="false">IF(A1809="","",IF(AND(K1809="OK",L1809="OK"),"OK","CHECK"))</f>
        <v>OK</v>
      </c>
    </row>
    <row r="1810" customFormat="false" ht="18" hidden="false" customHeight="true" outlineLevel="0" collapsed="false">
      <c r="A1810" s="9" t="s">
        <v>26</v>
      </c>
      <c r="B1810" s="9" t="n">
        <v>24</v>
      </c>
      <c r="C1810" s="11" t="n">
        <v>45986</v>
      </c>
      <c r="D1810" s="9" t="s">
        <v>151</v>
      </c>
      <c r="E1810" s="12" t="n">
        <v>16</v>
      </c>
      <c r="F1810" s="9" t="s">
        <v>31</v>
      </c>
      <c r="G1810" s="13" t="n">
        <v>50</v>
      </c>
      <c r="H1810" s="9" t="s">
        <v>36</v>
      </c>
      <c r="I1810" s="13" t="n">
        <v>1</v>
      </c>
      <c r="J1810" s="1" t="str">
        <f aca="false">IF(A1810="","", "SAMP-"&amp;A1810&amp;"-L"&amp;TEXT(B1810,"00")&amp;"-"&amp;TEXT(C1810,"yyyymmdd")&amp;"-"&amp;D1810&amp;"-H"&amp;TEXT(E1810,"00")&amp;"-"&amp;H1810)</f>
        <v>SAMP-KG01-L24-20251125-ORD-2025-00262-H16-Blister</v>
      </c>
      <c r="K1810" s="1" t="str">
        <f aca="false">IF(A1810="","",IF(AND(G1810&gt;=0,I1810&gt;=0,I1810&lt;=G1810),"OK","CHECK"))</f>
        <v>OK</v>
      </c>
      <c r="L1810" s="1" t="str">
        <f aca="false">IF(A1810="","",IF(AND(E1810&gt;=0,E1810&lt;=23),"OK","CHECK"))</f>
        <v>OK</v>
      </c>
      <c r="M1810" s="1" t="str">
        <f aca="false">IF(A1810="","",IF(AND(K1810="OK",L1810="OK"),"OK","CHECK"))</f>
        <v>OK</v>
      </c>
    </row>
    <row r="1811" customFormat="false" ht="18" hidden="false" customHeight="true" outlineLevel="0" collapsed="false">
      <c r="A1811" s="9" t="s">
        <v>26</v>
      </c>
      <c r="B1811" s="9" t="n">
        <v>24</v>
      </c>
      <c r="C1811" s="11" t="n">
        <v>45987</v>
      </c>
      <c r="D1811" s="9" t="s">
        <v>151</v>
      </c>
      <c r="E1811" s="12" t="n">
        <v>9</v>
      </c>
      <c r="F1811" s="9" t="s">
        <v>28</v>
      </c>
      <c r="G1811" s="13" t="n">
        <v>100</v>
      </c>
      <c r="H1811" s="9" t="s">
        <v>38</v>
      </c>
      <c r="I1811" s="13" t="n">
        <v>1</v>
      </c>
      <c r="J1811" s="1" t="str">
        <f aca="false">IF(A1811="","", "SAMP-"&amp;A1811&amp;"-L"&amp;TEXT(B1811,"00")&amp;"-"&amp;TEXT(C1811,"yyyymmdd")&amp;"-"&amp;D1811&amp;"-H"&amp;TEXT(E1811,"00")&amp;"-"&amp;H1811)</f>
        <v>SAMP-KG01-L24-20251126-ORD-2025-00262-H09-Crack</v>
      </c>
      <c r="K1811" s="1" t="str">
        <f aca="false">IF(A1811="","",IF(AND(G1811&gt;=0,I1811&gt;=0,I1811&lt;=G1811),"OK","CHECK"))</f>
        <v>OK</v>
      </c>
      <c r="L1811" s="1" t="str">
        <f aca="false">IF(A1811="","",IF(AND(E1811&gt;=0,E1811&lt;=23),"OK","CHECK"))</f>
        <v>OK</v>
      </c>
      <c r="M1811" s="1" t="str">
        <f aca="false">IF(A1811="","",IF(AND(K1811="OK",L1811="OK"),"OK","CHECK"))</f>
        <v>OK</v>
      </c>
    </row>
    <row r="1812" customFormat="false" ht="18" hidden="false" customHeight="true" outlineLevel="0" collapsed="false">
      <c r="A1812" s="9" t="s">
        <v>26</v>
      </c>
      <c r="B1812" s="9" t="n">
        <v>24</v>
      </c>
      <c r="C1812" s="11" t="n">
        <v>45987</v>
      </c>
      <c r="D1812" s="9" t="s">
        <v>151</v>
      </c>
      <c r="E1812" s="12" t="n">
        <v>12</v>
      </c>
      <c r="F1812" s="9" t="s">
        <v>28</v>
      </c>
      <c r="G1812" s="13" t="n">
        <v>150</v>
      </c>
      <c r="H1812" s="9" t="s">
        <v>34</v>
      </c>
      <c r="I1812" s="13" t="n">
        <v>5</v>
      </c>
      <c r="J1812" s="1" t="str">
        <f aca="false">IF(A1812="","", "SAMP-"&amp;A1812&amp;"-L"&amp;TEXT(B1812,"00")&amp;"-"&amp;TEXT(C1812,"yyyymmdd")&amp;"-"&amp;D1812&amp;"-H"&amp;TEXT(E1812,"00")&amp;"-"&amp;H1812)</f>
        <v>SAMP-KG01-L24-20251126-ORD-2025-00262-H12-Thin Wall</v>
      </c>
      <c r="K1812" s="1" t="str">
        <f aca="false">IF(A1812="","",IF(AND(G1812&gt;=0,I1812&gt;=0,I1812&lt;=G1812),"OK","CHECK"))</f>
        <v>OK</v>
      </c>
      <c r="L1812" s="1" t="str">
        <f aca="false">IF(A1812="","",IF(AND(E1812&gt;=0,E1812&lt;=23),"OK","CHECK"))</f>
        <v>OK</v>
      </c>
      <c r="M1812" s="1" t="str">
        <f aca="false">IF(A1812="","",IF(AND(K1812="OK",L1812="OK"),"OK","CHECK"))</f>
        <v>OK</v>
      </c>
    </row>
    <row r="1813" customFormat="false" ht="18" hidden="false" customHeight="true" outlineLevel="0" collapsed="false">
      <c r="A1813" s="9" t="s">
        <v>26</v>
      </c>
      <c r="B1813" s="9" t="n">
        <v>24</v>
      </c>
      <c r="C1813" s="11" t="n">
        <v>45987</v>
      </c>
      <c r="D1813" s="9" t="s">
        <v>151</v>
      </c>
      <c r="E1813" s="12" t="n">
        <v>7</v>
      </c>
      <c r="F1813" s="9" t="s">
        <v>28</v>
      </c>
      <c r="G1813" s="13" t="n">
        <v>200</v>
      </c>
      <c r="H1813" s="9" t="s">
        <v>34</v>
      </c>
      <c r="I1813" s="13" t="n">
        <v>0</v>
      </c>
      <c r="J1813" s="1" t="str">
        <f aca="false">IF(A1813="","", "SAMP-"&amp;A1813&amp;"-L"&amp;TEXT(B1813,"00")&amp;"-"&amp;TEXT(C1813,"yyyymmdd")&amp;"-"&amp;D1813&amp;"-H"&amp;TEXT(E1813,"00")&amp;"-"&amp;H1813)</f>
        <v>SAMP-KG01-L24-20251126-ORD-2025-00262-H07-Thin Wall</v>
      </c>
      <c r="K1813" s="1" t="str">
        <f aca="false">IF(A1813="","",IF(AND(G1813&gt;=0,I1813&gt;=0,I1813&lt;=G1813),"OK","CHECK"))</f>
        <v>OK</v>
      </c>
      <c r="L1813" s="1" t="str">
        <f aca="false">IF(A1813="","",IF(AND(E1813&gt;=0,E1813&lt;=23),"OK","CHECK"))</f>
        <v>OK</v>
      </c>
      <c r="M1813" s="1" t="str">
        <f aca="false">IF(A1813="","",IF(AND(K1813="OK",L1813="OK"),"OK","CHECK"))</f>
        <v>OK</v>
      </c>
    </row>
    <row r="1814" customFormat="false" ht="18" hidden="false" customHeight="true" outlineLevel="0" collapsed="false">
      <c r="A1814" s="9" t="s">
        <v>26</v>
      </c>
      <c r="B1814" s="9" t="n">
        <v>24</v>
      </c>
      <c r="C1814" s="11" t="n">
        <v>45987</v>
      </c>
      <c r="D1814" s="9" t="s">
        <v>152</v>
      </c>
      <c r="E1814" s="12" t="n">
        <v>23</v>
      </c>
      <c r="F1814" s="9" t="s">
        <v>31</v>
      </c>
      <c r="G1814" s="13" t="n">
        <v>50</v>
      </c>
      <c r="H1814" s="9" t="s">
        <v>34</v>
      </c>
      <c r="I1814" s="13" t="n">
        <v>2</v>
      </c>
      <c r="J1814" s="1" t="str">
        <f aca="false">IF(A1814="","", "SAMP-"&amp;A1814&amp;"-L"&amp;TEXT(B1814,"00")&amp;"-"&amp;TEXT(C1814,"yyyymmdd")&amp;"-"&amp;D1814&amp;"-H"&amp;TEXT(E1814,"00")&amp;"-"&amp;H1814)</f>
        <v>SAMP-KG01-L24-20251126-ORD-2025-00263-H23-Thin Wall</v>
      </c>
      <c r="K1814" s="1" t="str">
        <f aca="false">IF(A1814="","",IF(AND(G1814&gt;=0,I1814&gt;=0,I1814&lt;=G1814),"OK","CHECK"))</f>
        <v>OK</v>
      </c>
      <c r="L1814" s="1" t="str">
        <f aca="false">IF(A1814="","",IF(AND(E1814&gt;=0,E1814&lt;=23),"OK","CHECK"))</f>
        <v>OK</v>
      </c>
      <c r="M1814" s="1" t="str">
        <f aca="false">IF(A1814="","",IF(AND(K1814="OK",L1814="OK"),"OK","CHECK"))</f>
        <v>OK</v>
      </c>
    </row>
    <row r="1815" customFormat="false" ht="18" hidden="false" customHeight="true" outlineLevel="0" collapsed="false">
      <c r="A1815" s="9" t="s">
        <v>26</v>
      </c>
      <c r="B1815" s="9" t="n">
        <v>24</v>
      </c>
      <c r="C1815" s="11" t="n">
        <v>45987</v>
      </c>
      <c r="D1815" s="9" t="s">
        <v>152</v>
      </c>
      <c r="E1815" s="12" t="n">
        <v>20</v>
      </c>
      <c r="F1815" s="9" t="s">
        <v>31</v>
      </c>
      <c r="G1815" s="13" t="n">
        <v>200</v>
      </c>
      <c r="H1815" s="9" t="s">
        <v>37</v>
      </c>
      <c r="I1815" s="13" t="n">
        <v>6</v>
      </c>
      <c r="J1815" s="1" t="str">
        <f aca="false">IF(A1815="","", "SAMP-"&amp;A1815&amp;"-L"&amp;TEXT(B1815,"00")&amp;"-"&amp;TEXT(C1815,"yyyymmdd")&amp;"-"&amp;D1815&amp;"-H"&amp;TEXT(E1815,"00")&amp;"-"&amp;H1815)</f>
        <v>SAMP-KG01-L24-20251126-ORD-2025-00263-H20-Bird Swing</v>
      </c>
      <c r="K1815" s="1" t="str">
        <f aca="false">IF(A1815="","",IF(AND(G1815&gt;=0,I1815&gt;=0,I1815&lt;=G1815),"OK","CHECK"))</f>
        <v>OK</v>
      </c>
      <c r="L1815" s="1" t="str">
        <f aca="false">IF(A1815="","",IF(AND(E1815&gt;=0,E1815&lt;=23),"OK","CHECK"))</f>
        <v>OK</v>
      </c>
      <c r="M1815" s="1" t="str">
        <f aca="false">IF(A1815="","",IF(AND(K1815="OK",L1815="OK"),"OK","CHECK"))</f>
        <v>OK</v>
      </c>
    </row>
    <row r="1816" customFormat="false" ht="18" hidden="false" customHeight="true" outlineLevel="0" collapsed="false">
      <c r="A1816" s="9" t="s">
        <v>26</v>
      </c>
      <c r="B1816" s="9" t="n">
        <v>24</v>
      </c>
      <c r="C1816" s="11" t="n">
        <v>45988</v>
      </c>
      <c r="D1816" s="9" t="s">
        <v>152</v>
      </c>
      <c r="E1816" s="12" t="n">
        <v>9</v>
      </c>
      <c r="F1816" s="9" t="s">
        <v>28</v>
      </c>
      <c r="G1816" s="13" t="n">
        <v>150</v>
      </c>
      <c r="H1816" s="9" t="s">
        <v>38</v>
      </c>
      <c r="I1816" s="13" t="n">
        <v>0</v>
      </c>
      <c r="J1816" s="1" t="str">
        <f aca="false">IF(A1816="","", "SAMP-"&amp;A1816&amp;"-L"&amp;TEXT(B1816,"00")&amp;"-"&amp;TEXT(C1816,"yyyymmdd")&amp;"-"&amp;D1816&amp;"-H"&amp;TEXT(E1816,"00")&amp;"-"&amp;H1816)</f>
        <v>SAMP-KG01-L24-20251127-ORD-2025-00263-H09-Crack</v>
      </c>
      <c r="K1816" s="1" t="str">
        <f aca="false">IF(A1816="","",IF(AND(G1816&gt;=0,I1816&gt;=0,I1816&lt;=G1816),"OK","CHECK"))</f>
        <v>OK</v>
      </c>
      <c r="L1816" s="1" t="str">
        <f aca="false">IF(A1816="","",IF(AND(E1816&gt;=0,E1816&lt;=23),"OK","CHECK"))</f>
        <v>OK</v>
      </c>
      <c r="M1816" s="1" t="str">
        <f aca="false">IF(A1816="","",IF(AND(K1816="OK",L1816="OK"),"OK","CHECK"))</f>
        <v>OK</v>
      </c>
    </row>
    <row r="1817" customFormat="false" ht="18" hidden="false" customHeight="true" outlineLevel="0" collapsed="false">
      <c r="A1817" s="9" t="s">
        <v>26</v>
      </c>
      <c r="B1817" s="9" t="n">
        <v>24</v>
      </c>
      <c r="C1817" s="11" t="n">
        <v>45988</v>
      </c>
      <c r="D1817" s="9" t="s">
        <v>152</v>
      </c>
      <c r="E1817" s="12" t="n">
        <v>12</v>
      </c>
      <c r="F1817" s="9" t="s">
        <v>28</v>
      </c>
      <c r="G1817" s="13" t="n">
        <v>200</v>
      </c>
      <c r="H1817" s="9" t="s">
        <v>29</v>
      </c>
      <c r="I1817" s="13" t="n">
        <v>1</v>
      </c>
      <c r="J1817" s="1" t="str">
        <f aca="false">IF(A1817="","", "SAMP-"&amp;A1817&amp;"-L"&amp;TEXT(B1817,"00")&amp;"-"&amp;TEXT(C1817,"yyyymmdd")&amp;"-"&amp;D1817&amp;"-H"&amp;TEXT(E1817,"00")&amp;"-"&amp;H1817)</f>
        <v>SAMP-KG01-L24-20251127-ORD-2025-00263-H12-Choke Neck</v>
      </c>
      <c r="K1817" s="1" t="str">
        <f aca="false">IF(A1817="","",IF(AND(G1817&gt;=0,I1817&gt;=0,I1817&lt;=G1817),"OK","CHECK"))</f>
        <v>OK</v>
      </c>
      <c r="L1817" s="1" t="str">
        <f aca="false">IF(A1817="","",IF(AND(E1817&gt;=0,E1817&lt;=23),"OK","CHECK"))</f>
        <v>OK</v>
      </c>
      <c r="M1817" s="1" t="str">
        <f aca="false">IF(A1817="","",IF(AND(K1817="OK",L1817="OK"),"OK","CHECK"))</f>
        <v>OK</v>
      </c>
    </row>
    <row r="1818" customFormat="false" ht="18" hidden="false" customHeight="true" outlineLevel="0" collapsed="false">
      <c r="A1818" s="9" t="s">
        <v>26</v>
      </c>
      <c r="B1818" s="9" t="n">
        <v>24</v>
      </c>
      <c r="C1818" s="11" t="n">
        <v>45988</v>
      </c>
      <c r="D1818" s="9" t="s">
        <v>152</v>
      </c>
      <c r="E1818" s="12" t="n">
        <v>7</v>
      </c>
      <c r="F1818" s="9" t="s">
        <v>28</v>
      </c>
      <c r="G1818" s="13" t="n">
        <v>100</v>
      </c>
      <c r="H1818" s="9" t="s">
        <v>33</v>
      </c>
      <c r="I1818" s="13" t="n">
        <v>2</v>
      </c>
      <c r="J1818" s="1" t="str">
        <f aca="false">IF(A1818="","", "SAMP-"&amp;A1818&amp;"-L"&amp;TEXT(B1818,"00")&amp;"-"&amp;TEXT(C1818,"yyyymmdd")&amp;"-"&amp;D1818&amp;"-H"&amp;TEXT(E1818,"00")&amp;"-"&amp;H1818)</f>
        <v>SAMP-KG01-L24-20251127-ORD-2025-00263-H07-Distortion</v>
      </c>
      <c r="K1818" s="1" t="str">
        <f aca="false">IF(A1818="","",IF(AND(G1818&gt;=0,I1818&gt;=0,I1818&lt;=G1818),"OK","CHECK"))</f>
        <v>OK</v>
      </c>
      <c r="L1818" s="1" t="str">
        <f aca="false">IF(A1818="","",IF(AND(E1818&gt;=0,E1818&lt;=23),"OK","CHECK"))</f>
        <v>OK</v>
      </c>
      <c r="M1818" s="1" t="str">
        <f aca="false">IF(A1818="","",IF(AND(K1818="OK",L1818="OK"),"OK","CHECK"))</f>
        <v>OK</v>
      </c>
    </row>
    <row r="1819" customFormat="false" ht="18" hidden="false" customHeight="true" outlineLevel="0" collapsed="false">
      <c r="A1819" s="9" t="s">
        <v>26</v>
      </c>
      <c r="B1819" s="9" t="n">
        <v>24</v>
      </c>
      <c r="C1819" s="11" t="n">
        <v>45988</v>
      </c>
      <c r="D1819" s="9" t="s">
        <v>152</v>
      </c>
      <c r="E1819" s="12" t="n">
        <v>23</v>
      </c>
      <c r="F1819" s="9" t="s">
        <v>31</v>
      </c>
      <c r="G1819" s="13" t="n">
        <v>100</v>
      </c>
      <c r="H1819" s="9" t="s">
        <v>36</v>
      </c>
      <c r="I1819" s="13" t="n">
        <v>3</v>
      </c>
      <c r="J1819" s="1" t="str">
        <f aca="false">IF(A1819="","", "SAMP-"&amp;A1819&amp;"-L"&amp;TEXT(B1819,"00")&amp;"-"&amp;TEXT(C1819,"yyyymmdd")&amp;"-"&amp;D1819&amp;"-H"&amp;TEXT(E1819,"00")&amp;"-"&amp;H1819)</f>
        <v>SAMP-KG01-L24-20251127-ORD-2025-00263-H23-Blister</v>
      </c>
      <c r="K1819" s="1" t="str">
        <f aca="false">IF(A1819="","",IF(AND(G1819&gt;=0,I1819&gt;=0,I1819&lt;=G1819),"OK","CHECK"))</f>
        <v>OK</v>
      </c>
      <c r="L1819" s="1" t="str">
        <f aca="false">IF(A1819="","",IF(AND(E1819&gt;=0,E1819&lt;=23),"OK","CHECK"))</f>
        <v>OK</v>
      </c>
      <c r="M1819" s="1" t="str">
        <f aca="false">IF(A1819="","",IF(AND(K1819="OK",L1819="OK"),"OK","CHECK"))</f>
        <v>OK</v>
      </c>
    </row>
    <row r="1820" customFormat="false" ht="18" hidden="false" customHeight="true" outlineLevel="0" collapsed="false">
      <c r="A1820" s="9" t="s">
        <v>26</v>
      </c>
      <c r="B1820" s="9" t="n">
        <v>24</v>
      </c>
      <c r="C1820" s="11" t="n">
        <v>45988</v>
      </c>
      <c r="D1820" s="9" t="s">
        <v>152</v>
      </c>
      <c r="E1820" s="12" t="n">
        <v>20</v>
      </c>
      <c r="F1820" s="9" t="s">
        <v>31</v>
      </c>
      <c r="G1820" s="13" t="n">
        <v>150</v>
      </c>
      <c r="H1820" s="9" t="s">
        <v>36</v>
      </c>
      <c r="I1820" s="13" t="n">
        <v>5</v>
      </c>
      <c r="J1820" s="1" t="str">
        <f aca="false">IF(A1820="","", "SAMP-"&amp;A1820&amp;"-L"&amp;TEXT(B1820,"00")&amp;"-"&amp;TEXT(C1820,"yyyymmdd")&amp;"-"&amp;D1820&amp;"-H"&amp;TEXT(E1820,"00")&amp;"-"&amp;H1820)</f>
        <v>SAMP-KG01-L24-20251127-ORD-2025-00263-H20-Blister</v>
      </c>
      <c r="K1820" s="1" t="str">
        <f aca="false">IF(A1820="","",IF(AND(G1820&gt;=0,I1820&gt;=0,I1820&lt;=G1820),"OK","CHECK"))</f>
        <v>OK</v>
      </c>
      <c r="L1820" s="1" t="str">
        <f aca="false">IF(A1820="","",IF(AND(E1820&gt;=0,E1820&lt;=23),"OK","CHECK"))</f>
        <v>OK</v>
      </c>
      <c r="M1820" s="1" t="str">
        <f aca="false">IF(A1820="","",IF(AND(K1820="OK",L1820="OK"),"OK","CHECK"))</f>
        <v>OK</v>
      </c>
    </row>
    <row r="1821" customFormat="false" ht="18" hidden="false" customHeight="true" outlineLevel="0" collapsed="false">
      <c r="A1821" s="9" t="s">
        <v>26</v>
      </c>
      <c r="B1821" s="9" t="n">
        <v>24</v>
      </c>
      <c r="C1821" s="11" t="n">
        <v>45989</v>
      </c>
      <c r="D1821" s="9" t="s">
        <v>152</v>
      </c>
      <c r="E1821" s="12" t="n">
        <v>7</v>
      </c>
      <c r="F1821" s="9" t="s">
        <v>28</v>
      </c>
      <c r="G1821" s="13" t="n">
        <v>100</v>
      </c>
      <c r="H1821" s="9" t="s">
        <v>36</v>
      </c>
      <c r="I1821" s="13" t="n">
        <v>2</v>
      </c>
      <c r="J1821" s="1" t="str">
        <f aca="false">IF(A1821="","", "SAMP-"&amp;A1821&amp;"-L"&amp;TEXT(B1821,"00")&amp;"-"&amp;TEXT(C1821,"yyyymmdd")&amp;"-"&amp;D1821&amp;"-H"&amp;TEXT(E1821,"00")&amp;"-"&amp;H1821)</f>
        <v>SAMP-KG01-L24-20251128-ORD-2025-00263-H07-Blister</v>
      </c>
      <c r="K1821" s="1" t="str">
        <f aca="false">IF(A1821="","",IF(AND(G1821&gt;=0,I1821&gt;=0,I1821&lt;=G1821),"OK","CHECK"))</f>
        <v>OK</v>
      </c>
      <c r="L1821" s="1" t="str">
        <f aca="false">IF(A1821="","",IF(AND(E1821&gt;=0,E1821&lt;=23),"OK","CHECK"))</f>
        <v>OK</v>
      </c>
      <c r="M1821" s="1" t="str">
        <f aca="false">IF(A1821="","",IF(AND(K1821="OK",L1821="OK"),"OK","CHECK"))</f>
        <v>OK</v>
      </c>
    </row>
    <row r="1822" customFormat="false" ht="18" hidden="false" customHeight="true" outlineLevel="0" collapsed="false">
      <c r="A1822" s="9" t="s">
        <v>26</v>
      </c>
      <c r="B1822" s="9" t="n">
        <v>24</v>
      </c>
      <c r="C1822" s="11" t="n">
        <v>45989</v>
      </c>
      <c r="D1822" s="9" t="s">
        <v>152</v>
      </c>
      <c r="E1822" s="12" t="n">
        <v>9</v>
      </c>
      <c r="F1822" s="9" t="s">
        <v>28</v>
      </c>
      <c r="G1822" s="13" t="n">
        <v>50</v>
      </c>
      <c r="H1822" s="9" t="s">
        <v>41</v>
      </c>
      <c r="I1822" s="13" t="n">
        <v>1</v>
      </c>
      <c r="J1822" s="1" t="str">
        <f aca="false">IF(A1822="","", "SAMP-"&amp;A1822&amp;"-L"&amp;TEXT(B1822,"00")&amp;"-"&amp;TEXT(C1822,"yyyymmdd")&amp;"-"&amp;D1822&amp;"-H"&amp;TEXT(E1822,"00")&amp;"-"&amp;H1822)</f>
        <v>SAMP-KG01-L24-20251128-ORD-2025-00263-H09-Chip</v>
      </c>
      <c r="K1822" s="1" t="str">
        <f aca="false">IF(A1822="","",IF(AND(G1822&gt;=0,I1822&gt;=0,I1822&lt;=G1822),"OK","CHECK"))</f>
        <v>OK</v>
      </c>
      <c r="L1822" s="1" t="str">
        <f aca="false">IF(A1822="","",IF(AND(E1822&gt;=0,E1822&lt;=23),"OK","CHECK"))</f>
        <v>OK</v>
      </c>
      <c r="M1822" s="1" t="str">
        <f aca="false">IF(A1822="","",IF(AND(K1822="OK",L1822="OK"),"OK","CHECK"))</f>
        <v>OK</v>
      </c>
    </row>
    <row r="1823" customFormat="false" ht="18" hidden="false" customHeight="true" outlineLevel="0" collapsed="false">
      <c r="A1823" s="9" t="s">
        <v>26</v>
      </c>
      <c r="B1823" s="9" t="n">
        <v>24</v>
      </c>
      <c r="C1823" s="11" t="n">
        <v>45989</v>
      </c>
      <c r="D1823" s="9" t="s">
        <v>152</v>
      </c>
      <c r="E1823" s="12" t="n">
        <v>12</v>
      </c>
      <c r="F1823" s="9" t="s">
        <v>28</v>
      </c>
      <c r="G1823" s="13" t="n">
        <v>50</v>
      </c>
      <c r="H1823" s="9" t="s">
        <v>34</v>
      </c>
      <c r="I1823" s="13" t="n">
        <v>0</v>
      </c>
      <c r="J1823" s="1" t="str">
        <f aca="false">IF(A1823="","", "SAMP-"&amp;A1823&amp;"-L"&amp;TEXT(B1823,"00")&amp;"-"&amp;TEXT(C1823,"yyyymmdd")&amp;"-"&amp;D1823&amp;"-H"&amp;TEXT(E1823,"00")&amp;"-"&amp;H1823)</f>
        <v>SAMP-KG01-L24-20251128-ORD-2025-00263-H12-Thin Wall</v>
      </c>
      <c r="K1823" s="1" t="str">
        <f aca="false">IF(A1823="","",IF(AND(G1823&gt;=0,I1823&gt;=0,I1823&lt;=G1823),"OK","CHECK"))</f>
        <v>OK</v>
      </c>
      <c r="L1823" s="1" t="str">
        <f aca="false">IF(A1823="","",IF(AND(E1823&gt;=0,E1823&lt;=23),"OK","CHECK"))</f>
        <v>OK</v>
      </c>
      <c r="M1823" s="1" t="str">
        <f aca="false">IF(A1823="","",IF(AND(K1823="OK",L1823="OK"),"OK","CHECK"))</f>
        <v>OK</v>
      </c>
    </row>
    <row r="1824" customFormat="false" ht="18" hidden="false" customHeight="true" outlineLevel="0" collapsed="false">
      <c r="A1824" s="9" t="s">
        <v>26</v>
      </c>
      <c r="B1824" s="9" t="n">
        <v>24</v>
      </c>
      <c r="C1824" s="11" t="n">
        <v>45989</v>
      </c>
      <c r="D1824" s="9" t="s">
        <v>153</v>
      </c>
      <c r="E1824" s="12" t="n">
        <v>20</v>
      </c>
      <c r="F1824" s="9" t="s">
        <v>31</v>
      </c>
      <c r="G1824" s="13" t="n">
        <v>200</v>
      </c>
      <c r="H1824" s="9" t="s">
        <v>33</v>
      </c>
      <c r="I1824" s="13" t="n">
        <v>0</v>
      </c>
      <c r="J1824" s="1" t="str">
        <f aca="false">IF(A1824="","", "SAMP-"&amp;A1824&amp;"-L"&amp;TEXT(B1824,"00")&amp;"-"&amp;TEXT(C1824,"yyyymmdd")&amp;"-"&amp;D1824&amp;"-H"&amp;TEXT(E1824,"00")&amp;"-"&amp;H1824)</f>
        <v>SAMP-KG01-L24-20251128-ORD-2025-00264-H20-Distortion</v>
      </c>
      <c r="K1824" s="1" t="str">
        <f aca="false">IF(A1824="","",IF(AND(G1824&gt;=0,I1824&gt;=0,I1824&lt;=G1824),"OK","CHECK"))</f>
        <v>OK</v>
      </c>
      <c r="L1824" s="1" t="str">
        <f aca="false">IF(A1824="","",IF(AND(E1824&gt;=0,E1824&lt;=23),"OK","CHECK"))</f>
        <v>OK</v>
      </c>
      <c r="M1824" s="1" t="str">
        <f aca="false">IF(A1824="","",IF(AND(K1824="OK",L1824="OK"),"OK","CHECK"))</f>
        <v>OK</v>
      </c>
    </row>
    <row r="1825" customFormat="false" ht="18" hidden="false" customHeight="true" outlineLevel="0" collapsed="false">
      <c r="A1825" s="9" t="s">
        <v>26</v>
      </c>
      <c r="B1825" s="9" t="n">
        <v>24</v>
      </c>
      <c r="C1825" s="11" t="n">
        <v>45989</v>
      </c>
      <c r="D1825" s="9" t="s">
        <v>153</v>
      </c>
      <c r="E1825" s="12" t="n">
        <v>23</v>
      </c>
      <c r="F1825" s="9" t="s">
        <v>31</v>
      </c>
      <c r="G1825" s="13" t="n">
        <v>150</v>
      </c>
      <c r="H1825" s="9" t="s">
        <v>34</v>
      </c>
      <c r="I1825" s="13" t="n">
        <v>5</v>
      </c>
      <c r="J1825" s="1" t="str">
        <f aca="false">IF(A1825="","", "SAMP-"&amp;A1825&amp;"-L"&amp;TEXT(B1825,"00")&amp;"-"&amp;TEXT(C1825,"yyyymmdd")&amp;"-"&amp;D1825&amp;"-H"&amp;TEXT(E1825,"00")&amp;"-"&amp;H1825)</f>
        <v>SAMP-KG01-L24-20251128-ORD-2025-00264-H23-Thin Wall</v>
      </c>
      <c r="K1825" s="1" t="str">
        <f aca="false">IF(A1825="","",IF(AND(G1825&gt;=0,I1825&gt;=0,I1825&lt;=G1825),"OK","CHECK"))</f>
        <v>OK</v>
      </c>
      <c r="L1825" s="1" t="str">
        <f aca="false">IF(A1825="","",IF(AND(E1825&gt;=0,E1825&lt;=23),"OK","CHECK"))</f>
        <v>OK</v>
      </c>
      <c r="M1825" s="1" t="str">
        <f aca="false">IF(A1825="","",IF(AND(K1825="OK",L1825="OK"),"OK","CHECK"))</f>
        <v>OK</v>
      </c>
    </row>
    <row r="1826" customFormat="false" ht="18" hidden="false" customHeight="true" outlineLevel="0" collapsed="false">
      <c r="A1826" s="9" t="s">
        <v>26</v>
      </c>
      <c r="B1826" s="9" t="n">
        <v>24</v>
      </c>
      <c r="C1826" s="11" t="n">
        <v>45990</v>
      </c>
      <c r="D1826" s="9" t="s">
        <v>153</v>
      </c>
      <c r="E1826" s="12" t="n">
        <v>7</v>
      </c>
      <c r="F1826" s="9" t="s">
        <v>28</v>
      </c>
      <c r="G1826" s="13" t="n">
        <v>50</v>
      </c>
      <c r="H1826" s="9" t="s">
        <v>41</v>
      </c>
      <c r="I1826" s="13" t="n">
        <v>2</v>
      </c>
      <c r="J1826" s="1" t="str">
        <f aca="false">IF(A1826="","", "SAMP-"&amp;A1826&amp;"-L"&amp;TEXT(B1826,"00")&amp;"-"&amp;TEXT(C1826,"yyyymmdd")&amp;"-"&amp;D1826&amp;"-H"&amp;TEXT(E1826,"00")&amp;"-"&amp;H1826)</f>
        <v>SAMP-KG01-L24-20251129-ORD-2025-00264-H07-Chip</v>
      </c>
      <c r="K1826" s="1" t="str">
        <f aca="false">IF(A1826="","",IF(AND(G1826&gt;=0,I1826&gt;=0,I1826&lt;=G1826),"OK","CHECK"))</f>
        <v>OK</v>
      </c>
      <c r="L1826" s="1" t="str">
        <f aca="false">IF(A1826="","",IF(AND(E1826&gt;=0,E1826&lt;=23),"OK","CHECK"))</f>
        <v>OK</v>
      </c>
      <c r="M1826" s="1" t="str">
        <f aca="false">IF(A1826="","",IF(AND(K1826="OK",L1826="OK"),"OK","CHECK"))</f>
        <v>OK</v>
      </c>
    </row>
    <row r="1827" customFormat="false" ht="18" hidden="false" customHeight="true" outlineLevel="0" collapsed="false">
      <c r="A1827" s="9" t="s">
        <v>26</v>
      </c>
      <c r="B1827" s="9" t="n">
        <v>24</v>
      </c>
      <c r="C1827" s="11" t="n">
        <v>45990</v>
      </c>
      <c r="D1827" s="9" t="s">
        <v>153</v>
      </c>
      <c r="E1827" s="12" t="n">
        <v>9</v>
      </c>
      <c r="F1827" s="9" t="s">
        <v>28</v>
      </c>
      <c r="G1827" s="13" t="n">
        <v>100</v>
      </c>
      <c r="H1827" s="9" t="s">
        <v>30</v>
      </c>
      <c r="I1827" s="13" t="n">
        <v>2</v>
      </c>
      <c r="J1827" s="1" t="str">
        <f aca="false">IF(A1827="","", "SAMP-"&amp;A1827&amp;"-L"&amp;TEXT(B1827,"00")&amp;"-"&amp;TEXT(C1827,"yyyymmdd")&amp;"-"&amp;D1827&amp;"-H"&amp;TEXT(E1827,"00")&amp;"-"&amp;H1827)</f>
        <v>SAMP-KG01-L24-20251129-ORD-2025-00264-H09-Overpress</v>
      </c>
      <c r="K1827" s="1" t="str">
        <f aca="false">IF(A1827="","",IF(AND(G1827&gt;=0,I1827&gt;=0,I1827&lt;=G1827),"OK","CHECK"))</f>
        <v>OK</v>
      </c>
      <c r="L1827" s="1" t="str">
        <f aca="false">IF(A1827="","",IF(AND(E1827&gt;=0,E1827&lt;=23),"OK","CHECK"))</f>
        <v>OK</v>
      </c>
      <c r="M1827" s="1" t="str">
        <f aca="false">IF(A1827="","",IF(AND(K1827="OK",L1827="OK"),"OK","CHECK"))</f>
        <v>OK</v>
      </c>
    </row>
    <row r="1828" customFormat="false" ht="18" hidden="false" customHeight="true" outlineLevel="0" collapsed="false">
      <c r="A1828" s="9" t="s">
        <v>26</v>
      </c>
      <c r="B1828" s="9" t="n">
        <v>24</v>
      </c>
      <c r="C1828" s="11" t="n">
        <v>45990</v>
      </c>
      <c r="D1828" s="9" t="s">
        <v>153</v>
      </c>
      <c r="E1828" s="12" t="n">
        <v>16</v>
      </c>
      <c r="F1828" s="9" t="s">
        <v>31</v>
      </c>
      <c r="G1828" s="13" t="n">
        <v>100</v>
      </c>
      <c r="H1828" s="9" t="s">
        <v>30</v>
      </c>
      <c r="I1828" s="13" t="n">
        <v>1</v>
      </c>
      <c r="J1828" s="1" t="str">
        <f aca="false">IF(A1828="","", "SAMP-"&amp;A1828&amp;"-L"&amp;TEXT(B1828,"00")&amp;"-"&amp;TEXT(C1828,"yyyymmdd")&amp;"-"&amp;D1828&amp;"-H"&amp;TEXT(E1828,"00")&amp;"-"&amp;H1828)</f>
        <v>SAMP-KG01-L24-20251129-ORD-2025-00264-H16-Overpress</v>
      </c>
      <c r="K1828" s="1" t="str">
        <f aca="false">IF(A1828="","",IF(AND(G1828&gt;=0,I1828&gt;=0,I1828&lt;=G1828),"OK","CHECK"))</f>
        <v>OK</v>
      </c>
      <c r="L1828" s="1" t="str">
        <f aca="false">IF(A1828="","",IF(AND(E1828&gt;=0,E1828&lt;=23),"OK","CHECK"))</f>
        <v>OK</v>
      </c>
      <c r="M1828" s="1" t="str">
        <f aca="false">IF(A1828="","",IF(AND(K1828="OK",L1828="OK"),"OK","CHECK"))</f>
        <v>OK</v>
      </c>
    </row>
    <row r="1829" customFormat="false" ht="18" hidden="false" customHeight="true" outlineLevel="0" collapsed="false">
      <c r="A1829" s="9" t="s">
        <v>26</v>
      </c>
      <c r="B1829" s="9" t="n">
        <v>24</v>
      </c>
      <c r="C1829" s="11" t="n">
        <v>45990</v>
      </c>
      <c r="D1829" s="9" t="s">
        <v>153</v>
      </c>
      <c r="E1829" s="12" t="n">
        <v>23</v>
      </c>
      <c r="F1829" s="9" t="s">
        <v>31</v>
      </c>
      <c r="G1829" s="13" t="n">
        <v>100</v>
      </c>
      <c r="H1829" s="9" t="s">
        <v>35</v>
      </c>
      <c r="I1829" s="13" t="n">
        <v>4</v>
      </c>
      <c r="J1829" s="1" t="str">
        <f aca="false">IF(A1829="","", "SAMP-"&amp;A1829&amp;"-L"&amp;TEXT(B1829,"00")&amp;"-"&amp;TEXT(C1829,"yyyymmdd")&amp;"-"&amp;D1829&amp;"-H"&amp;TEXT(E1829,"00")&amp;"-"&amp;H1829)</f>
        <v>SAMP-KG01-L24-20251129-ORD-2025-00264-H23-Stone</v>
      </c>
      <c r="K1829" s="1" t="str">
        <f aca="false">IF(A1829="","",IF(AND(G1829&gt;=0,I1829&gt;=0,I1829&lt;=G1829),"OK","CHECK"))</f>
        <v>OK</v>
      </c>
      <c r="L1829" s="1" t="str">
        <f aca="false">IF(A1829="","",IF(AND(E1829&gt;=0,E1829&lt;=23),"OK","CHECK"))</f>
        <v>OK</v>
      </c>
      <c r="M1829" s="1" t="str">
        <f aca="false">IF(A1829="","",IF(AND(K1829="OK",L1829="OK"),"OK","CHECK"))</f>
        <v>OK</v>
      </c>
    </row>
    <row r="1830" customFormat="false" ht="18" hidden="false" customHeight="true" outlineLevel="0" collapsed="false">
      <c r="A1830" s="9" t="s">
        <v>26</v>
      </c>
      <c r="B1830" s="9" t="n">
        <v>24</v>
      </c>
      <c r="C1830" s="11" t="n">
        <v>45991</v>
      </c>
      <c r="D1830" s="9" t="s">
        <v>153</v>
      </c>
      <c r="E1830" s="12" t="n">
        <v>9</v>
      </c>
      <c r="F1830" s="9" t="s">
        <v>28</v>
      </c>
      <c r="G1830" s="13" t="n">
        <v>100</v>
      </c>
      <c r="H1830" s="9" t="s">
        <v>37</v>
      </c>
      <c r="I1830" s="13" t="n">
        <v>2</v>
      </c>
      <c r="J1830" s="1" t="str">
        <f aca="false">IF(A1830="","", "SAMP-"&amp;A1830&amp;"-L"&amp;TEXT(B1830,"00")&amp;"-"&amp;TEXT(C1830,"yyyymmdd")&amp;"-"&amp;D1830&amp;"-H"&amp;TEXT(E1830,"00")&amp;"-"&amp;H1830)</f>
        <v>SAMP-KG01-L24-20251130-ORD-2025-00264-H09-Bird Swing</v>
      </c>
      <c r="K1830" s="1" t="str">
        <f aca="false">IF(A1830="","",IF(AND(G1830&gt;=0,I1830&gt;=0,I1830&lt;=G1830),"OK","CHECK"))</f>
        <v>OK</v>
      </c>
      <c r="L1830" s="1" t="str">
        <f aca="false">IF(A1830="","",IF(AND(E1830&gt;=0,E1830&lt;=23),"OK","CHECK"))</f>
        <v>OK</v>
      </c>
      <c r="M1830" s="1" t="str">
        <f aca="false">IF(A1830="","",IF(AND(K1830="OK",L1830="OK"),"OK","CHECK"))</f>
        <v>OK</v>
      </c>
    </row>
    <row r="1831" customFormat="false" ht="18" hidden="false" customHeight="true" outlineLevel="0" collapsed="false">
      <c r="A1831" s="9" t="s">
        <v>26</v>
      </c>
      <c r="B1831" s="9" t="n">
        <v>24</v>
      </c>
      <c r="C1831" s="11" t="n">
        <v>45991</v>
      </c>
      <c r="D1831" s="9" t="s">
        <v>153</v>
      </c>
      <c r="E1831" s="12" t="n">
        <v>12</v>
      </c>
      <c r="F1831" s="9" t="s">
        <v>28</v>
      </c>
      <c r="G1831" s="13" t="n">
        <v>100</v>
      </c>
      <c r="H1831" s="9" t="s">
        <v>37</v>
      </c>
      <c r="I1831" s="13" t="n">
        <v>4</v>
      </c>
      <c r="J1831" s="1" t="str">
        <f aca="false">IF(A1831="","", "SAMP-"&amp;A1831&amp;"-L"&amp;TEXT(B1831,"00")&amp;"-"&amp;TEXT(C1831,"yyyymmdd")&amp;"-"&amp;D1831&amp;"-H"&amp;TEXT(E1831,"00")&amp;"-"&amp;H1831)</f>
        <v>SAMP-KG01-L24-20251130-ORD-2025-00264-H12-Bird Swing</v>
      </c>
      <c r="K1831" s="1" t="str">
        <f aca="false">IF(A1831="","",IF(AND(G1831&gt;=0,I1831&gt;=0,I1831&lt;=G1831),"OK","CHECK"))</f>
        <v>OK</v>
      </c>
      <c r="L1831" s="1" t="str">
        <f aca="false">IF(A1831="","",IF(AND(E1831&gt;=0,E1831&lt;=23),"OK","CHECK"))</f>
        <v>OK</v>
      </c>
      <c r="M1831" s="1" t="str">
        <f aca="false">IF(A1831="","",IF(AND(K1831="OK",L1831="OK"),"OK","CHECK"))</f>
        <v>OK</v>
      </c>
    </row>
    <row r="1832" customFormat="false" ht="18" hidden="false" customHeight="true" outlineLevel="0" collapsed="false">
      <c r="A1832" s="9" t="s">
        <v>26</v>
      </c>
      <c r="B1832" s="9" t="n">
        <v>24</v>
      </c>
      <c r="C1832" s="11" t="n">
        <v>45991</v>
      </c>
      <c r="D1832" s="9" t="s">
        <v>153</v>
      </c>
      <c r="E1832" s="12" t="n">
        <v>7</v>
      </c>
      <c r="F1832" s="9" t="s">
        <v>28</v>
      </c>
      <c r="G1832" s="13" t="n">
        <v>200</v>
      </c>
      <c r="H1832" s="9" t="s">
        <v>41</v>
      </c>
      <c r="I1832" s="13" t="n">
        <v>3</v>
      </c>
      <c r="J1832" s="1" t="str">
        <f aca="false">IF(A1832="","", "SAMP-"&amp;A1832&amp;"-L"&amp;TEXT(B1832,"00")&amp;"-"&amp;TEXT(C1832,"yyyymmdd")&amp;"-"&amp;D1832&amp;"-H"&amp;TEXT(E1832,"00")&amp;"-"&amp;H1832)</f>
        <v>SAMP-KG01-L24-20251130-ORD-2025-00264-H07-Chip</v>
      </c>
      <c r="K1832" s="1" t="str">
        <f aca="false">IF(A1832="","",IF(AND(G1832&gt;=0,I1832&gt;=0,I1832&lt;=G1832),"OK","CHECK"))</f>
        <v>OK</v>
      </c>
      <c r="L1832" s="1" t="str">
        <f aca="false">IF(A1832="","",IF(AND(E1832&gt;=0,E1832&lt;=23),"OK","CHECK"))</f>
        <v>OK</v>
      </c>
      <c r="M1832" s="1" t="str">
        <f aca="false">IF(A1832="","",IF(AND(K1832="OK",L1832="OK"),"OK","CHECK"))</f>
        <v>OK</v>
      </c>
    </row>
    <row r="1833" customFormat="false" ht="18" hidden="false" customHeight="true" outlineLevel="0" collapsed="false">
      <c r="A1833" s="9" t="s">
        <v>26</v>
      </c>
      <c r="B1833" s="9" t="n">
        <v>24</v>
      </c>
      <c r="C1833" s="11" t="n">
        <v>45991</v>
      </c>
      <c r="D1833" s="9" t="s">
        <v>154</v>
      </c>
      <c r="E1833" s="12" t="n">
        <v>20</v>
      </c>
      <c r="F1833" s="9" t="s">
        <v>31</v>
      </c>
      <c r="G1833" s="13" t="n">
        <v>200</v>
      </c>
      <c r="H1833" s="9" t="s">
        <v>33</v>
      </c>
      <c r="I1833" s="13" t="n">
        <v>3</v>
      </c>
      <c r="J1833" s="1" t="str">
        <f aca="false">IF(A1833="","", "SAMP-"&amp;A1833&amp;"-L"&amp;TEXT(B1833,"00")&amp;"-"&amp;TEXT(C1833,"yyyymmdd")&amp;"-"&amp;D1833&amp;"-H"&amp;TEXT(E1833,"00")&amp;"-"&amp;H1833)</f>
        <v>SAMP-KG01-L24-20251130-ORD-2025-00265-H20-Distortion</v>
      </c>
      <c r="K1833" s="1" t="str">
        <f aca="false">IF(A1833="","",IF(AND(G1833&gt;=0,I1833&gt;=0,I1833&lt;=G1833),"OK","CHECK"))</f>
        <v>OK</v>
      </c>
      <c r="L1833" s="1" t="str">
        <f aca="false">IF(A1833="","",IF(AND(E1833&gt;=0,E1833&lt;=23),"OK","CHECK"))</f>
        <v>OK</v>
      </c>
      <c r="M1833" s="1" t="str">
        <f aca="false">IF(A1833="","",IF(AND(K1833="OK",L1833="OK"),"OK","CHECK"))</f>
        <v>OK</v>
      </c>
    </row>
    <row r="1834" customFormat="false" ht="18" hidden="false" customHeight="true" outlineLevel="0" collapsed="false">
      <c r="A1834" s="9" t="s">
        <v>26</v>
      </c>
      <c r="B1834" s="9" t="n">
        <v>24</v>
      </c>
      <c r="C1834" s="11" t="n">
        <v>45991</v>
      </c>
      <c r="D1834" s="9" t="s">
        <v>154</v>
      </c>
      <c r="E1834" s="12" t="n">
        <v>16</v>
      </c>
      <c r="F1834" s="9" t="s">
        <v>31</v>
      </c>
      <c r="G1834" s="13" t="n">
        <v>200</v>
      </c>
      <c r="H1834" s="9" t="s">
        <v>30</v>
      </c>
      <c r="I1834" s="13" t="n">
        <v>7</v>
      </c>
      <c r="J1834" s="1" t="str">
        <f aca="false">IF(A1834="","", "SAMP-"&amp;A1834&amp;"-L"&amp;TEXT(B1834,"00")&amp;"-"&amp;TEXT(C1834,"yyyymmdd")&amp;"-"&amp;D1834&amp;"-H"&amp;TEXT(E1834,"00")&amp;"-"&amp;H1834)</f>
        <v>SAMP-KG01-L24-20251130-ORD-2025-00265-H16-Overpress</v>
      </c>
      <c r="K1834" s="1" t="str">
        <f aca="false">IF(A1834="","",IF(AND(G1834&gt;=0,I1834&gt;=0,I1834&lt;=G1834),"OK","CHECK"))</f>
        <v>OK</v>
      </c>
      <c r="L1834" s="1" t="str">
        <f aca="false">IF(A1834="","",IF(AND(E1834&gt;=0,E1834&lt;=23),"OK","CHECK"))</f>
        <v>OK</v>
      </c>
      <c r="M1834" s="1" t="str">
        <f aca="false">IF(A1834="","",IF(AND(K1834="OK",L1834="OK"),"OK","CHECK"))</f>
        <v>OK</v>
      </c>
    </row>
    <row r="1835" customFormat="false" ht="18" hidden="false" customHeight="true" outlineLevel="0" collapsed="false">
      <c r="A1835" s="9" t="s">
        <v>26</v>
      </c>
      <c r="B1835" s="9" t="n">
        <v>24</v>
      </c>
      <c r="C1835" s="11" t="n">
        <v>45991</v>
      </c>
      <c r="D1835" s="9" t="s">
        <v>154</v>
      </c>
      <c r="E1835" s="12" t="n">
        <v>23</v>
      </c>
      <c r="F1835" s="9" t="s">
        <v>31</v>
      </c>
      <c r="G1835" s="13" t="n">
        <v>100</v>
      </c>
      <c r="H1835" s="9" t="s">
        <v>36</v>
      </c>
      <c r="I1835" s="13" t="n">
        <v>0</v>
      </c>
      <c r="J1835" s="1" t="str">
        <f aca="false">IF(A1835="","", "SAMP-"&amp;A1835&amp;"-L"&amp;TEXT(B1835,"00")&amp;"-"&amp;TEXT(C1835,"yyyymmdd")&amp;"-"&amp;D1835&amp;"-H"&amp;TEXT(E1835,"00")&amp;"-"&amp;H1835)</f>
        <v>SAMP-KG01-L24-20251130-ORD-2025-00265-H23-Blister</v>
      </c>
      <c r="K1835" s="1" t="str">
        <f aca="false">IF(A1835="","",IF(AND(G1835&gt;=0,I1835&gt;=0,I1835&lt;=G1835),"OK","CHECK"))</f>
        <v>OK</v>
      </c>
      <c r="L1835" s="1" t="str">
        <f aca="false">IF(A1835="","",IF(AND(E1835&gt;=0,E1835&lt;=23),"OK","CHECK"))</f>
        <v>OK</v>
      </c>
      <c r="M1835" s="1" t="str">
        <f aca="false">IF(A1835="","",IF(AND(K1835="OK",L1835="OK"),"OK","CHECK"))</f>
        <v>OK</v>
      </c>
    </row>
    <row r="1836" customFormat="false" ht="18" hidden="false" customHeight="true" outlineLevel="0" collapsed="false">
      <c r="A1836" s="9" t="s">
        <v>26</v>
      </c>
      <c r="B1836" s="9" t="n">
        <v>24</v>
      </c>
      <c r="C1836" s="11" t="n">
        <v>45992</v>
      </c>
      <c r="D1836" s="9" t="s">
        <v>154</v>
      </c>
      <c r="E1836" s="12" t="n">
        <v>7</v>
      </c>
      <c r="F1836" s="9" t="s">
        <v>28</v>
      </c>
      <c r="G1836" s="13" t="n">
        <v>200</v>
      </c>
      <c r="H1836" s="9" t="s">
        <v>36</v>
      </c>
      <c r="I1836" s="13" t="n">
        <v>5</v>
      </c>
      <c r="J1836" s="1" t="str">
        <f aca="false">IF(A1836="","", "SAMP-"&amp;A1836&amp;"-L"&amp;TEXT(B1836,"00")&amp;"-"&amp;TEXT(C1836,"yyyymmdd")&amp;"-"&amp;D1836&amp;"-H"&amp;TEXT(E1836,"00")&amp;"-"&amp;H1836)</f>
        <v>SAMP-KG01-L24-20251201-ORD-2025-00265-H07-Blister</v>
      </c>
      <c r="K1836" s="1" t="str">
        <f aca="false">IF(A1836="","",IF(AND(G1836&gt;=0,I1836&gt;=0,I1836&lt;=G1836),"OK","CHECK"))</f>
        <v>OK</v>
      </c>
      <c r="L1836" s="1" t="str">
        <f aca="false">IF(A1836="","",IF(AND(E1836&gt;=0,E1836&lt;=23),"OK","CHECK"))</f>
        <v>OK</v>
      </c>
      <c r="M1836" s="1" t="str">
        <f aca="false">IF(A1836="","",IF(AND(K1836="OK",L1836="OK"),"OK","CHECK"))</f>
        <v>OK</v>
      </c>
    </row>
    <row r="1837" customFormat="false" ht="18" hidden="false" customHeight="true" outlineLevel="0" collapsed="false">
      <c r="A1837" s="9" t="s">
        <v>26</v>
      </c>
      <c r="B1837" s="9" t="n">
        <v>24</v>
      </c>
      <c r="C1837" s="11" t="n">
        <v>45992</v>
      </c>
      <c r="D1837" s="9" t="s">
        <v>154</v>
      </c>
      <c r="E1837" s="12" t="n">
        <v>12</v>
      </c>
      <c r="F1837" s="9" t="s">
        <v>28</v>
      </c>
      <c r="G1837" s="13" t="n">
        <v>150</v>
      </c>
      <c r="H1837" s="9" t="s">
        <v>36</v>
      </c>
      <c r="I1837" s="13" t="n">
        <v>1</v>
      </c>
      <c r="J1837" s="1" t="str">
        <f aca="false">IF(A1837="","", "SAMP-"&amp;A1837&amp;"-L"&amp;TEXT(B1837,"00")&amp;"-"&amp;TEXT(C1837,"yyyymmdd")&amp;"-"&amp;D1837&amp;"-H"&amp;TEXT(E1837,"00")&amp;"-"&amp;H1837)</f>
        <v>SAMP-KG01-L24-20251201-ORD-2025-00265-H12-Blister</v>
      </c>
      <c r="K1837" s="1" t="str">
        <f aca="false">IF(A1837="","",IF(AND(G1837&gt;=0,I1837&gt;=0,I1837&lt;=G1837),"OK","CHECK"))</f>
        <v>OK</v>
      </c>
      <c r="L1837" s="1" t="str">
        <f aca="false">IF(A1837="","",IF(AND(E1837&gt;=0,E1837&lt;=23),"OK","CHECK"))</f>
        <v>OK</v>
      </c>
      <c r="M1837" s="1" t="str">
        <f aca="false">IF(A1837="","",IF(AND(K1837="OK",L1837="OK"),"OK","CHECK"))</f>
        <v>OK</v>
      </c>
    </row>
    <row r="1838" customFormat="false" ht="18" hidden="false" customHeight="true" outlineLevel="0" collapsed="false">
      <c r="A1838" s="9" t="s">
        <v>26</v>
      </c>
      <c r="B1838" s="9" t="n">
        <v>24</v>
      </c>
      <c r="C1838" s="11" t="n">
        <v>45992</v>
      </c>
      <c r="D1838" s="9" t="s">
        <v>154</v>
      </c>
      <c r="E1838" s="12" t="n">
        <v>20</v>
      </c>
      <c r="F1838" s="9" t="s">
        <v>31</v>
      </c>
      <c r="G1838" s="13" t="n">
        <v>150</v>
      </c>
      <c r="H1838" s="9" t="s">
        <v>36</v>
      </c>
      <c r="I1838" s="13" t="n">
        <v>6</v>
      </c>
      <c r="J1838" s="1" t="str">
        <f aca="false">IF(A1838="","", "SAMP-"&amp;A1838&amp;"-L"&amp;TEXT(B1838,"00")&amp;"-"&amp;TEXT(C1838,"yyyymmdd")&amp;"-"&amp;D1838&amp;"-H"&amp;TEXT(E1838,"00")&amp;"-"&amp;H1838)</f>
        <v>SAMP-KG01-L24-20251201-ORD-2025-00265-H20-Blister</v>
      </c>
      <c r="K1838" s="1" t="str">
        <f aca="false">IF(A1838="","",IF(AND(G1838&gt;=0,I1838&gt;=0,I1838&lt;=G1838),"OK","CHECK"))</f>
        <v>OK</v>
      </c>
      <c r="L1838" s="1" t="str">
        <f aca="false">IF(A1838="","",IF(AND(E1838&gt;=0,E1838&lt;=23),"OK","CHECK"))</f>
        <v>OK</v>
      </c>
      <c r="M1838" s="1" t="str">
        <f aca="false">IF(A1838="","",IF(AND(K1838="OK",L1838="OK"),"OK","CHECK"))</f>
        <v>OK</v>
      </c>
    </row>
    <row r="1839" customFormat="false" ht="18" hidden="false" customHeight="true" outlineLevel="0" collapsed="false">
      <c r="A1839" s="9" t="s">
        <v>26</v>
      </c>
      <c r="B1839" s="9" t="n">
        <v>24</v>
      </c>
      <c r="C1839" s="11" t="n">
        <v>45992</v>
      </c>
      <c r="D1839" s="9" t="s">
        <v>154</v>
      </c>
      <c r="E1839" s="12" t="n">
        <v>23</v>
      </c>
      <c r="F1839" s="9" t="s">
        <v>31</v>
      </c>
      <c r="G1839" s="13" t="n">
        <v>100</v>
      </c>
      <c r="H1839" s="9" t="s">
        <v>35</v>
      </c>
      <c r="I1839" s="13" t="n">
        <v>2</v>
      </c>
      <c r="J1839" s="1" t="str">
        <f aca="false">IF(A1839="","", "SAMP-"&amp;A1839&amp;"-L"&amp;TEXT(B1839,"00")&amp;"-"&amp;TEXT(C1839,"yyyymmdd")&amp;"-"&amp;D1839&amp;"-H"&amp;TEXT(E1839,"00")&amp;"-"&amp;H1839)</f>
        <v>SAMP-KG01-L24-20251201-ORD-2025-00265-H23-Stone</v>
      </c>
      <c r="K1839" s="1" t="str">
        <f aca="false">IF(A1839="","",IF(AND(G1839&gt;=0,I1839&gt;=0,I1839&lt;=G1839),"OK","CHECK"))</f>
        <v>OK</v>
      </c>
      <c r="L1839" s="1" t="str">
        <f aca="false">IF(A1839="","",IF(AND(E1839&gt;=0,E1839&lt;=23),"OK","CHECK"))</f>
        <v>OK</v>
      </c>
      <c r="M1839" s="1" t="str">
        <f aca="false">IF(A1839="","",IF(AND(K1839="OK",L1839="OK"),"OK","CHECK"))</f>
        <v>OK</v>
      </c>
    </row>
    <row r="1840" customFormat="false" ht="18" hidden="false" customHeight="true" outlineLevel="0" collapsed="false">
      <c r="A1840" s="9" t="s">
        <v>26</v>
      </c>
      <c r="B1840" s="9" t="n">
        <v>24</v>
      </c>
      <c r="C1840" s="11" t="n">
        <v>45992</v>
      </c>
      <c r="D1840" s="9" t="s">
        <v>154</v>
      </c>
      <c r="E1840" s="12" t="n">
        <v>16</v>
      </c>
      <c r="F1840" s="9" t="s">
        <v>31</v>
      </c>
      <c r="G1840" s="13" t="n">
        <v>50</v>
      </c>
      <c r="H1840" s="9" t="s">
        <v>38</v>
      </c>
      <c r="I1840" s="13" t="n">
        <v>1</v>
      </c>
      <c r="J1840" s="1" t="str">
        <f aca="false">IF(A1840="","", "SAMP-"&amp;A1840&amp;"-L"&amp;TEXT(B1840,"00")&amp;"-"&amp;TEXT(C1840,"yyyymmdd")&amp;"-"&amp;D1840&amp;"-H"&amp;TEXT(E1840,"00")&amp;"-"&amp;H1840)</f>
        <v>SAMP-KG01-L24-20251201-ORD-2025-00265-H16-Crack</v>
      </c>
      <c r="K1840" s="1" t="str">
        <f aca="false">IF(A1840="","",IF(AND(G1840&gt;=0,I1840&gt;=0,I1840&lt;=G1840),"OK","CHECK"))</f>
        <v>OK</v>
      </c>
      <c r="L1840" s="1" t="str">
        <f aca="false">IF(A1840="","",IF(AND(E1840&gt;=0,E1840&lt;=23),"OK","CHECK"))</f>
        <v>OK</v>
      </c>
      <c r="M1840" s="1" t="str">
        <f aca="false">IF(A1840="","",IF(AND(K1840="OK",L1840="OK"),"OK","CHECK"))</f>
        <v>OK</v>
      </c>
    </row>
    <row r="1841" customFormat="false" ht="18" hidden="false" customHeight="true" outlineLevel="0" collapsed="false">
      <c r="A1841" s="9" t="s">
        <v>26</v>
      </c>
      <c r="B1841" s="9" t="n">
        <v>24</v>
      </c>
      <c r="C1841" s="11" t="n">
        <v>45993</v>
      </c>
      <c r="D1841" s="9" t="s">
        <v>155</v>
      </c>
      <c r="E1841" s="12" t="n">
        <v>7</v>
      </c>
      <c r="F1841" s="9" t="s">
        <v>28</v>
      </c>
      <c r="G1841" s="13" t="n">
        <v>50</v>
      </c>
      <c r="H1841" s="9" t="s">
        <v>35</v>
      </c>
      <c r="I1841" s="13" t="n">
        <v>0</v>
      </c>
      <c r="J1841" s="1" t="str">
        <f aca="false">IF(A1841="","", "SAMP-"&amp;A1841&amp;"-L"&amp;TEXT(B1841,"00")&amp;"-"&amp;TEXT(C1841,"yyyymmdd")&amp;"-"&amp;D1841&amp;"-H"&amp;TEXT(E1841,"00")&amp;"-"&amp;H1841)</f>
        <v>SAMP-KG01-L24-20251202-ORD-2025-00266-H07-Stone</v>
      </c>
      <c r="K1841" s="1" t="str">
        <f aca="false">IF(A1841="","",IF(AND(G1841&gt;=0,I1841&gt;=0,I1841&lt;=G1841),"OK","CHECK"))</f>
        <v>OK</v>
      </c>
      <c r="L1841" s="1" t="str">
        <f aca="false">IF(A1841="","",IF(AND(E1841&gt;=0,E1841&lt;=23),"OK","CHECK"))</f>
        <v>OK</v>
      </c>
      <c r="M1841" s="1" t="str">
        <f aca="false">IF(A1841="","",IF(AND(K1841="OK",L1841="OK"),"OK","CHECK"))</f>
        <v>OK</v>
      </c>
    </row>
    <row r="1842" customFormat="false" ht="18" hidden="false" customHeight="true" outlineLevel="0" collapsed="false">
      <c r="A1842" s="9" t="s">
        <v>26</v>
      </c>
      <c r="B1842" s="9" t="n">
        <v>24</v>
      </c>
      <c r="C1842" s="11" t="n">
        <v>45993</v>
      </c>
      <c r="D1842" s="9" t="s">
        <v>155</v>
      </c>
      <c r="E1842" s="12" t="n">
        <v>9</v>
      </c>
      <c r="F1842" s="9" t="s">
        <v>28</v>
      </c>
      <c r="G1842" s="13" t="n">
        <v>200</v>
      </c>
      <c r="H1842" s="9" t="s">
        <v>38</v>
      </c>
      <c r="I1842" s="13" t="n">
        <v>2</v>
      </c>
      <c r="J1842" s="1" t="str">
        <f aca="false">IF(A1842="","", "SAMP-"&amp;A1842&amp;"-L"&amp;TEXT(B1842,"00")&amp;"-"&amp;TEXT(C1842,"yyyymmdd")&amp;"-"&amp;D1842&amp;"-H"&amp;TEXT(E1842,"00")&amp;"-"&amp;H1842)</f>
        <v>SAMP-KG01-L24-20251202-ORD-2025-00266-H09-Crack</v>
      </c>
      <c r="K1842" s="1" t="str">
        <f aca="false">IF(A1842="","",IF(AND(G1842&gt;=0,I1842&gt;=0,I1842&lt;=G1842),"OK","CHECK"))</f>
        <v>OK</v>
      </c>
      <c r="L1842" s="1" t="str">
        <f aca="false">IF(A1842="","",IF(AND(E1842&gt;=0,E1842&lt;=23),"OK","CHECK"))</f>
        <v>OK</v>
      </c>
      <c r="M1842" s="1" t="str">
        <f aca="false">IF(A1842="","",IF(AND(K1842="OK",L1842="OK"),"OK","CHECK"))</f>
        <v>OK</v>
      </c>
    </row>
    <row r="1843" customFormat="false" ht="18" hidden="false" customHeight="true" outlineLevel="0" collapsed="false">
      <c r="A1843" s="9" t="s">
        <v>26</v>
      </c>
      <c r="B1843" s="9" t="n">
        <v>24</v>
      </c>
      <c r="C1843" s="11" t="n">
        <v>45993</v>
      </c>
      <c r="D1843" s="9" t="s">
        <v>155</v>
      </c>
      <c r="E1843" s="12" t="n">
        <v>12</v>
      </c>
      <c r="F1843" s="9" t="s">
        <v>28</v>
      </c>
      <c r="G1843" s="13" t="n">
        <v>150</v>
      </c>
      <c r="H1843" s="9" t="s">
        <v>35</v>
      </c>
      <c r="I1843" s="13" t="n">
        <v>6</v>
      </c>
      <c r="J1843" s="1" t="str">
        <f aca="false">IF(A1843="","", "SAMP-"&amp;A1843&amp;"-L"&amp;TEXT(B1843,"00")&amp;"-"&amp;TEXT(C1843,"yyyymmdd")&amp;"-"&amp;D1843&amp;"-H"&amp;TEXT(E1843,"00")&amp;"-"&amp;H1843)</f>
        <v>SAMP-KG01-L24-20251202-ORD-2025-00266-H12-Stone</v>
      </c>
      <c r="K1843" s="1" t="str">
        <f aca="false">IF(A1843="","",IF(AND(G1843&gt;=0,I1843&gt;=0,I1843&lt;=G1843),"OK","CHECK"))</f>
        <v>OK</v>
      </c>
      <c r="L1843" s="1" t="str">
        <f aca="false">IF(A1843="","",IF(AND(E1843&gt;=0,E1843&lt;=23),"OK","CHECK"))</f>
        <v>OK</v>
      </c>
      <c r="M1843" s="1" t="str">
        <f aca="false">IF(A1843="","",IF(AND(K1843="OK",L1843="OK"),"OK","CHECK"))</f>
        <v>OK</v>
      </c>
    </row>
    <row r="1844" customFormat="false" ht="18" hidden="false" customHeight="true" outlineLevel="0" collapsed="false">
      <c r="A1844" s="9" t="s">
        <v>26</v>
      </c>
      <c r="B1844" s="9" t="n">
        <v>24</v>
      </c>
      <c r="C1844" s="11" t="n">
        <v>45993</v>
      </c>
      <c r="D1844" s="9" t="s">
        <v>155</v>
      </c>
      <c r="E1844" s="12" t="n">
        <v>16</v>
      </c>
      <c r="F1844" s="9" t="s">
        <v>31</v>
      </c>
      <c r="G1844" s="13" t="n">
        <v>200</v>
      </c>
      <c r="H1844" s="9" t="s">
        <v>33</v>
      </c>
      <c r="I1844" s="13" t="n">
        <v>3</v>
      </c>
      <c r="J1844" s="1" t="str">
        <f aca="false">IF(A1844="","", "SAMP-"&amp;A1844&amp;"-L"&amp;TEXT(B1844,"00")&amp;"-"&amp;TEXT(C1844,"yyyymmdd")&amp;"-"&amp;D1844&amp;"-H"&amp;TEXT(E1844,"00")&amp;"-"&amp;H1844)</f>
        <v>SAMP-KG01-L24-20251202-ORD-2025-00266-H16-Distortion</v>
      </c>
      <c r="K1844" s="1" t="str">
        <f aca="false">IF(A1844="","",IF(AND(G1844&gt;=0,I1844&gt;=0,I1844&lt;=G1844),"OK","CHECK"))</f>
        <v>OK</v>
      </c>
      <c r="L1844" s="1" t="str">
        <f aca="false">IF(A1844="","",IF(AND(E1844&gt;=0,E1844&lt;=23),"OK","CHECK"))</f>
        <v>OK</v>
      </c>
      <c r="M1844" s="1" t="str">
        <f aca="false">IF(A1844="","",IF(AND(K1844="OK",L1844="OK"),"OK","CHECK"))</f>
        <v>OK</v>
      </c>
    </row>
    <row r="1845" customFormat="false" ht="18" hidden="false" customHeight="true" outlineLevel="0" collapsed="false">
      <c r="A1845" s="9" t="s">
        <v>26</v>
      </c>
      <c r="B1845" s="9" t="n">
        <v>24</v>
      </c>
      <c r="C1845" s="11" t="n">
        <v>45993</v>
      </c>
      <c r="D1845" s="9" t="s">
        <v>155</v>
      </c>
      <c r="E1845" s="12" t="n">
        <v>20</v>
      </c>
      <c r="F1845" s="9" t="s">
        <v>31</v>
      </c>
      <c r="G1845" s="13" t="n">
        <v>100</v>
      </c>
      <c r="H1845" s="9" t="s">
        <v>33</v>
      </c>
      <c r="I1845" s="13" t="n">
        <v>0</v>
      </c>
      <c r="J1845" s="1" t="str">
        <f aca="false">IF(A1845="","", "SAMP-"&amp;A1845&amp;"-L"&amp;TEXT(B1845,"00")&amp;"-"&amp;TEXT(C1845,"yyyymmdd")&amp;"-"&amp;D1845&amp;"-H"&amp;TEXT(E1845,"00")&amp;"-"&amp;H1845)</f>
        <v>SAMP-KG01-L24-20251202-ORD-2025-00266-H20-Distortion</v>
      </c>
      <c r="K1845" s="1" t="str">
        <f aca="false">IF(A1845="","",IF(AND(G1845&gt;=0,I1845&gt;=0,I1845&lt;=G1845),"OK","CHECK"))</f>
        <v>OK</v>
      </c>
      <c r="L1845" s="1" t="str">
        <f aca="false">IF(A1845="","",IF(AND(E1845&gt;=0,E1845&lt;=23),"OK","CHECK"))</f>
        <v>OK</v>
      </c>
      <c r="M1845" s="1" t="str">
        <f aca="false">IF(A1845="","",IF(AND(K1845="OK",L1845="OK"),"OK","CHECK"))</f>
        <v>OK</v>
      </c>
    </row>
    <row r="1846" customFormat="false" ht="18" hidden="false" customHeight="true" outlineLevel="0" collapsed="false">
      <c r="A1846" s="9" t="s">
        <v>26</v>
      </c>
      <c r="B1846" s="9" t="n">
        <v>24</v>
      </c>
      <c r="C1846" s="11" t="n">
        <v>45993</v>
      </c>
      <c r="D1846" s="9" t="s">
        <v>155</v>
      </c>
      <c r="E1846" s="12" t="n">
        <v>23</v>
      </c>
      <c r="F1846" s="9" t="s">
        <v>31</v>
      </c>
      <c r="G1846" s="13" t="n">
        <v>150</v>
      </c>
      <c r="H1846" s="9" t="s">
        <v>30</v>
      </c>
      <c r="I1846" s="13" t="n">
        <v>6</v>
      </c>
      <c r="J1846" s="1" t="str">
        <f aca="false">IF(A1846="","", "SAMP-"&amp;A1846&amp;"-L"&amp;TEXT(B1846,"00")&amp;"-"&amp;TEXT(C1846,"yyyymmdd")&amp;"-"&amp;D1846&amp;"-H"&amp;TEXT(E1846,"00")&amp;"-"&amp;H1846)</f>
        <v>SAMP-KG01-L24-20251202-ORD-2025-00266-H23-Overpress</v>
      </c>
      <c r="K1846" s="1" t="str">
        <f aca="false">IF(A1846="","",IF(AND(G1846&gt;=0,I1846&gt;=0,I1846&lt;=G1846),"OK","CHECK"))</f>
        <v>OK</v>
      </c>
      <c r="L1846" s="1" t="str">
        <f aca="false">IF(A1846="","",IF(AND(E1846&gt;=0,E1846&lt;=23),"OK","CHECK"))</f>
        <v>OK</v>
      </c>
      <c r="M1846" s="1" t="str">
        <f aca="false">IF(A1846="","",IF(AND(K1846="OK",L1846="OK"),"OK","CHECK"))</f>
        <v>OK</v>
      </c>
    </row>
    <row r="1847" customFormat="false" ht="18" hidden="false" customHeight="true" outlineLevel="0" collapsed="false">
      <c r="A1847" s="9" t="s">
        <v>26</v>
      </c>
      <c r="B1847" s="9" t="n">
        <v>24</v>
      </c>
      <c r="C1847" s="11" t="n">
        <v>45994</v>
      </c>
      <c r="D1847" s="9" t="s">
        <v>155</v>
      </c>
      <c r="E1847" s="12" t="n">
        <v>12</v>
      </c>
      <c r="F1847" s="9" t="s">
        <v>28</v>
      </c>
      <c r="G1847" s="13" t="n">
        <v>50</v>
      </c>
      <c r="H1847" s="9" t="s">
        <v>38</v>
      </c>
      <c r="I1847" s="13" t="n">
        <v>0</v>
      </c>
      <c r="J1847" s="1" t="str">
        <f aca="false">IF(A1847="","", "SAMP-"&amp;A1847&amp;"-L"&amp;TEXT(B1847,"00")&amp;"-"&amp;TEXT(C1847,"yyyymmdd")&amp;"-"&amp;D1847&amp;"-H"&amp;TEXT(E1847,"00")&amp;"-"&amp;H1847)</f>
        <v>SAMP-KG01-L24-20251203-ORD-2025-00266-H12-Crack</v>
      </c>
      <c r="K1847" s="1" t="str">
        <f aca="false">IF(A1847="","",IF(AND(G1847&gt;=0,I1847&gt;=0,I1847&lt;=G1847),"OK","CHECK"))</f>
        <v>OK</v>
      </c>
      <c r="L1847" s="1" t="str">
        <f aca="false">IF(A1847="","",IF(AND(E1847&gt;=0,E1847&lt;=23),"OK","CHECK"))</f>
        <v>OK</v>
      </c>
      <c r="M1847" s="1" t="str">
        <f aca="false">IF(A1847="","",IF(AND(K1847="OK",L1847="OK"),"OK","CHECK"))</f>
        <v>OK</v>
      </c>
    </row>
    <row r="1848" customFormat="false" ht="18" hidden="false" customHeight="true" outlineLevel="0" collapsed="false">
      <c r="A1848" s="9" t="s">
        <v>26</v>
      </c>
      <c r="B1848" s="9" t="n">
        <v>24</v>
      </c>
      <c r="C1848" s="11" t="n">
        <v>45994</v>
      </c>
      <c r="D1848" s="9" t="s">
        <v>155</v>
      </c>
      <c r="E1848" s="12" t="n">
        <v>7</v>
      </c>
      <c r="F1848" s="9" t="s">
        <v>28</v>
      </c>
      <c r="G1848" s="13" t="n">
        <v>50</v>
      </c>
      <c r="H1848" s="9" t="s">
        <v>38</v>
      </c>
      <c r="I1848" s="13" t="n">
        <v>0</v>
      </c>
      <c r="J1848" s="1" t="str">
        <f aca="false">IF(A1848="","", "SAMP-"&amp;A1848&amp;"-L"&amp;TEXT(B1848,"00")&amp;"-"&amp;TEXT(C1848,"yyyymmdd")&amp;"-"&amp;D1848&amp;"-H"&amp;TEXT(E1848,"00")&amp;"-"&amp;H1848)</f>
        <v>SAMP-KG01-L24-20251203-ORD-2025-00266-H07-Crack</v>
      </c>
      <c r="K1848" s="1" t="str">
        <f aca="false">IF(A1848="","",IF(AND(G1848&gt;=0,I1848&gt;=0,I1848&lt;=G1848),"OK","CHECK"))</f>
        <v>OK</v>
      </c>
      <c r="L1848" s="1" t="str">
        <f aca="false">IF(A1848="","",IF(AND(E1848&gt;=0,E1848&lt;=23),"OK","CHECK"))</f>
        <v>OK</v>
      </c>
      <c r="M1848" s="1" t="str">
        <f aca="false">IF(A1848="","",IF(AND(K1848="OK",L1848="OK"),"OK","CHECK"))</f>
        <v>OK</v>
      </c>
    </row>
    <row r="1849" customFormat="false" ht="18" hidden="false" customHeight="true" outlineLevel="0" collapsed="false">
      <c r="A1849" s="9" t="s">
        <v>26</v>
      </c>
      <c r="B1849" s="9" t="n">
        <v>24</v>
      </c>
      <c r="C1849" s="11" t="n">
        <v>45994</v>
      </c>
      <c r="D1849" s="9" t="s">
        <v>155</v>
      </c>
      <c r="E1849" s="12" t="n">
        <v>9</v>
      </c>
      <c r="F1849" s="9" t="s">
        <v>28</v>
      </c>
      <c r="G1849" s="13" t="n">
        <v>100</v>
      </c>
      <c r="H1849" s="9" t="s">
        <v>41</v>
      </c>
      <c r="I1849" s="13" t="n">
        <v>1</v>
      </c>
      <c r="J1849" s="1" t="str">
        <f aca="false">IF(A1849="","", "SAMP-"&amp;A1849&amp;"-L"&amp;TEXT(B1849,"00")&amp;"-"&amp;TEXT(C1849,"yyyymmdd")&amp;"-"&amp;D1849&amp;"-H"&amp;TEXT(E1849,"00")&amp;"-"&amp;H1849)</f>
        <v>SAMP-KG01-L24-20251203-ORD-2025-00266-H09-Chip</v>
      </c>
      <c r="K1849" s="1" t="str">
        <f aca="false">IF(A1849="","",IF(AND(G1849&gt;=0,I1849&gt;=0,I1849&lt;=G1849),"OK","CHECK"))</f>
        <v>OK</v>
      </c>
      <c r="L1849" s="1" t="str">
        <f aca="false">IF(A1849="","",IF(AND(E1849&gt;=0,E1849&lt;=23),"OK","CHECK"))</f>
        <v>OK</v>
      </c>
      <c r="M1849" s="1" t="str">
        <f aca="false">IF(A1849="","",IF(AND(K1849="OK",L1849="OK"),"OK","CHECK"))</f>
        <v>OK</v>
      </c>
    </row>
    <row r="1850" customFormat="false" ht="18" hidden="false" customHeight="true" outlineLevel="0" collapsed="false">
      <c r="A1850" s="9" t="s">
        <v>26</v>
      </c>
      <c r="B1850" s="9" t="n">
        <v>24</v>
      </c>
      <c r="C1850" s="11" t="n">
        <v>45994</v>
      </c>
      <c r="D1850" s="9" t="s">
        <v>155</v>
      </c>
      <c r="E1850" s="12" t="n">
        <v>23</v>
      </c>
      <c r="F1850" s="9" t="s">
        <v>31</v>
      </c>
      <c r="G1850" s="13" t="n">
        <v>150</v>
      </c>
      <c r="H1850" s="9" t="s">
        <v>29</v>
      </c>
      <c r="I1850" s="13" t="n">
        <v>4</v>
      </c>
      <c r="J1850" s="1" t="str">
        <f aca="false">IF(A1850="","", "SAMP-"&amp;A1850&amp;"-L"&amp;TEXT(B1850,"00")&amp;"-"&amp;TEXT(C1850,"yyyymmdd")&amp;"-"&amp;D1850&amp;"-H"&amp;TEXT(E1850,"00")&amp;"-"&amp;H1850)</f>
        <v>SAMP-KG01-L24-20251203-ORD-2025-00266-H23-Choke Neck</v>
      </c>
      <c r="K1850" s="1" t="str">
        <f aca="false">IF(A1850="","",IF(AND(G1850&gt;=0,I1850&gt;=0,I1850&lt;=G1850),"OK","CHECK"))</f>
        <v>OK</v>
      </c>
      <c r="L1850" s="1" t="str">
        <f aca="false">IF(A1850="","",IF(AND(E1850&gt;=0,E1850&lt;=23),"OK","CHECK"))</f>
        <v>OK</v>
      </c>
      <c r="M1850" s="1" t="str">
        <f aca="false">IF(A1850="","",IF(AND(K1850="OK",L1850="OK"),"OK","CHECK"))</f>
        <v>OK</v>
      </c>
    </row>
    <row r="1851" customFormat="false" ht="18" hidden="false" customHeight="true" outlineLevel="0" collapsed="false">
      <c r="A1851" s="9" t="s">
        <v>26</v>
      </c>
      <c r="B1851" s="9" t="n">
        <v>24</v>
      </c>
      <c r="C1851" s="11" t="n">
        <v>45994</v>
      </c>
      <c r="D1851" s="9" t="s">
        <v>155</v>
      </c>
      <c r="E1851" s="12" t="n">
        <v>16</v>
      </c>
      <c r="F1851" s="9" t="s">
        <v>31</v>
      </c>
      <c r="G1851" s="13" t="n">
        <v>100</v>
      </c>
      <c r="H1851" s="9" t="s">
        <v>37</v>
      </c>
      <c r="I1851" s="13" t="n">
        <v>2</v>
      </c>
      <c r="J1851" s="1" t="str">
        <f aca="false">IF(A1851="","", "SAMP-"&amp;A1851&amp;"-L"&amp;TEXT(B1851,"00")&amp;"-"&amp;TEXT(C1851,"yyyymmdd")&amp;"-"&amp;D1851&amp;"-H"&amp;TEXT(E1851,"00")&amp;"-"&amp;H1851)</f>
        <v>SAMP-KG01-L24-20251203-ORD-2025-00266-H16-Bird Swing</v>
      </c>
      <c r="K1851" s="1" t="str">
        <f aca="false">IF(A1851="","",IF(AND(G1851&gt;=0,I1851&gt;=0,I1851&lt;=G1851),"OK","CHECK"))</f>
        <v>OK</v>
      </c>
      <c r="L1851" s="1" t="str">
        <f aca="false">IF(A1851="","",IF(AND(E1851&gt;=0,E1851&lt;=23),"OK","CHECK"))</f>
        <v>OK</v>
      </c>
      <c r="M1851" s="1" t="str">
        <f aca="false">IF(A1851="","",IF(AND(K1851="OK",L1851="OK"),"OK","CHECK"))</f>
        <v>OK</v>
      </c>
    </row>
    <row r="1852" customFormat="false" ht="18" hidden="false" customHeight="true" outlineLevel="0" collapsed="false">
      <c r="A1852" s="9" t="s">
        <v>26</v>
      </c>
      <c r="B1852" s="9" t="n">
        <v>24</v>
      </c>
      <c r="C1852" s="11" t="n">
        <v>45994</v>
      </c>
      <c r="D1852" s="9" t="s">
        <v>155</v>
      </c>
      <c r="E1852" s="12" t="n">
        <v>20</v>
      </c>
      <c r="F1852" s="9" t="s">
        <v>31</v>
      </c>
      <c r="G1852" s="13" t="n">
        <v>150</v>
      </c>
      <c r="H1852" s="9" t="s">
        <v>41</v>
      </c>
      <c r="I1852" s="13" t="n">
        <v>1</v>
      </c>
      <c r="J1852" s="1" t="str">
        <f aca="false">IF(A1852="","", "SAMP-"&amp;A1852&amp;"-L"&amp;TEXT(B1852,"00")&amp;"-"&amp;TEXT(C1852,"yyyymmdd")&amp;"-"&amp;D1852&amp;"-H"&amp;TEXT(E1852,"00")&amp;"-"&amp;H1852)</f>
        <v>SAMP-KG01-L24-20251203-ORD-2025-00266-H20-Chip</v>
      </c>
      <c r="K1852" s="1" t="str">
        <f aca="false">IF(A1852="","",IF(AND(G1852&gt;=0,I1852&gt;=0,I1852&lt;=G1852),"OK","CHECK"))</f>
        <v>OK</v>
      </c>
      <c r="L1852" s="1" t="str">
        <f aca="false">IF(A1852="","",IF(AND(E1852&gt;=0,E1852&lt;=23),"OK","CHECK"))</f>
        <v>OK</v>
      </c>
      <c r="M1852" s="1" t="str">
        <f aca="false">IF(A1852="","",IF(AND(K1852="OK",L1852="OK"),"OK","CHECK"))</f>
        <v>OK</v>
      </c>
    </row>
    <row r="1853" customFormat="false" ht="18" hidden="false" customHeight="true" outlineLevel="0" collapsed="false">
      <c r="A1853" s="9" t="s">
        <v>26</v>
      </c>
      <c r="B1853" s="9" t="n">
        <v>24</v>
      </c>
      <c r="C1853" s="11" t="n">
        <v>45995</v>
      </c>
      <c r="D1853" s="9" t="s">
        <v>155</v>
      </c>
      <c r="E1853" s="12" t="n">
        <v>12</v>
      </c>
      <c r="F1853" s="9" t="s">
        <v>28</v>
      </c>
      <c r="G1853" s="13" t="n">
        <v>50</v>
      </c>
      <c r="H1853" s="9" t="s">
        <v>35</v>
      </c>
      <c r="I1853" s="13" t="n">
        <v>2</v>
      </c>
      <c r="J1853" s="1" t="str">
        <f aca="false">IF(A1853="","", "SAMP-"&amp;A1853&amp;"-L"&amp;TEXT(B1853,"00")&amp;"-"&amp;TEXT(C1853,"yyyymmdd")&amp;"-"&amp;D1853&amp;"-H"&amp;TEXT(E1853,"00")&amp;"-"&amp;H1853)</f>
        <v>SAMP-KG01-L24-20251204-ORD-2025-00266-H12-Stone</v>
      </c>
      <c r="K1853" s="1" t="str">
        <f aca="false">IF(A1853="","",IF(AND(G1853&gt;=0,I1853&gt;=0,I1853&lt;=G1853),"OK","CHECK"))</f>
        <v>OK</v>
      </c>
      <c r="L1853" s="1" t="str">
        <f aca="false">IF(A1853="","",IF(AND(E1853&gt;=0,E1853&lt;=23),"OK","CHECK"))</f>
        <v>OK</v>
      </c>
      <c r="M1853" s="1" t="str">
        <f aca="false">IF(A1853="","",IF(AND(K1853="OK",L1853="OK"),"OK","CHECK"))</f>
        <v>OK</v>
      </c>
    </row>
    <row r="1854" customFormat="false" ht="18" hidden="false" customHeight="true" outlineLevel="0" collapsed="false">
      <c r="A1854" s="9" t="s">
        <v>26</v>
      </c>
      <c r="B1854" s="9" t="n">
        <v>24</v>
      </c>
      <c r="C1854" s="11" t="n">
        <v>45995</v>
      </c>
      <c r="D1854" s="9" t="s">
        <v>155</v>
      </c>
      <c r="E1854" s="12" t="n">
        <v>7</v>
      </c>
      <c r="F1854" s="9" t="s">
        <v>28</v>
      </c>
      <c r="G1854" s="13" t="n">
        <v>100</v>
      </c>
      <c r="H1854" s="9" t="s">
        <v>34</v>
      </c>
      <c r="I1854" s="13" t="n">
        <v>1</v>
      </c>
      <c r="J1854" s="1" t="str">
        <f aca="false">IF(A1854="","", "SAMP-"&amp;A1854&amp;"-L"&amp;TEXT(B1854,"00")&amp;"-"&amp;TEXT(C1854,"yyyymmdd")&amp;"-"&amp;D1854&amp;"-H"&amp;TEXT(E1854,"00")&amp;"-"&amp;H1854)</f>
        <v>SAMP-KG01-L24-20251204-ORD-2025-00266-H07-Thin Wall</v>
      </c>
      <c r="K1854" s="1" t="str">
        <f aca="false">IF(A1854="","",IF(AND(G1854&gt;=0,I1854&gt;=0,I1854&lt;=G1854),"OK","CHECK"))</f>
        <v>OK</v>
      </c>
      <c r="L1854" s="1" t="str">
        <f aca="false">IF(A1854="","",IF(AND(E1854&gt;=0,E1854&lt;=23),"OK","CHECK"))</f>
        <v>OK</v>
      </c>
      <c r="M1854" s="1" t="str">
        <f aca="false">IF(A1854="","",IF(AND(K1854="OK",L1854="OK"),"OK","CHECK"))</f>
        <v>OK</v>
      </c>
    </row>
    <row r="1855" customFormat="false" ht="18" hidden="false" customHeight="true" outlineLevel="0" collapsed="false">
      <c r="A1855" s="9" t="s">
        <v>26</v>
      </c>
      <c r="B1855" s="9" t="n">
        <v>24</v>
      </c>
      <c r="C1855" s="11" t="n">
        <v>45995</v>
      </c>
      <c r="D1855" s="9" t="s">
        <v>155</v>
      </c>
      <c r="E1855" s="12" t="n">
        <v>9</v>
      </c>
      <c r="F1855" s="9" t="s">
        <v>28</v>
      </c>
      <c r="G1855" s="13" t="n">
        <v>200</v>
      </c>
      <c r="H1855" s="9" t="s">
        <v>30</v>
      </c>
      <c r="I1855" s="13" t="n">
        <v>5</v>
      </c>
      <c r="J1855" s="1" t="str">
        <f aca="false">IF(A1855="","", "SAMP-"&amp;A1855&amp;"-L"&amp;TEXT(B1855,"00")&amp;"-"&amp;TEXT(C1855,"yyyymmdd")&amp;"-"&amp;D1855&amp;"-H"&amp;TEXT(E1855,"00")&amp;"-"&amp;H1855)</f>
        <v>SAMP-KG01-L24-20251204-ORD-2025-00266-H09-Overpress</v>
      </c>
      <c r="K1855" s="1" t="str">
        <f aca="false">IF(A1855="","",IF(AND(G1855&gt;=0,I1855&gt;=0,I1855&lt;=G1855),"OK","CHECK"))</f>
        <v>OK</v>
      </c>
      <c r="L1855" s="1" t="str">
        <f aca="false">IF(A1855="","",IF(AND(E1855&gt;=0,E1855&lt;=23),"OK","CHECK"))</f>
        <v>OK</v>
      </c>
      <c r="M1855" s="1" t="str">
        <f aca="false">IF(A1855="","",IF(AND(K1855="OK",L1855="OK"),"OK","CHECK"))</f>
        <v>OK</v>
      </c>
    </row>
    <row r="1856" customFormat="false" ht="18" hidden="false" customHeight="true" outlineLevel="0" collapsed="false">
      <c r="A1856" s="9" t="s">
        <v>26</v>
      </c>
      <c r="B1856" s="9" t="n">
        <v>24</v>
      </c>
      <c r="C1856" s="11" t="n">
        <v>45995</v>
      </c>
      <c r="D1856" s="9" t="s">
        <v>155</v>
      </c>
      <c r="E1856" s="12" t="n">
        <v>23</v>
      </c>
      <c r="F1856" s="9" t="s">
        <v>31</v>
      </c>
      <c r="G1856" s="13" t="n">
        <v>100</v>
      </c>
      <c r="H1856" s="9" t="s">
        <v>36</v>
      </c>
      <c r="I1856" s="13" t="n">
        <v>1</v>
      </c>
      <c r="J1856" s="1" t="str">
        <f aca="false">IF(A1856="","", "SAMP-"&amp;A1856&amp;"-L"&amp;TEXT(B1856,"00")&amp;"-"&amp;TEXT(C1856,"yyyymmdd")&amp;"-"&amp;D1856&amp;"-H"&amp;TEXT(E1856,"00")&amp;"-"&amp;H1856)</f>
        <v>SAMP-KG01-L24-20251204-ORD-2025-00266-H23-Blister</v>
      </c>
      <c r="K1856" s="1" t="str">
        <f aca="false">IF(A1856="","",IF(AND(G1856&gt;=0,I1856&gt;=0,I1856&lt;=G1856),"OK","CHECK"))</f>
        <v>OK</v>
      </c>
      <c r="L1856" s="1" t="str">
        <f aca="false">IF(A1856="","",IF(AND(E1856&gt;=0,E1856&lt;=23),"OK","CHECK"))</f>
        <v>OK</v>
      </c>
      <c r="M1856" s="1" t="str">
        <f aca="false">IF(A1856="","",IF(AND(K1856="OK",L1856="OK"),"OK","CHECK"))</f>
        <v>OK</v>
      </c>
    </row>
    <row r="1857" customFormat="false" ht="18" hidden="false" customHeight="true" outlineLevel="0" collapsed="false">
      <c r="A1857" s="9" t="s">
        <v>26</v>
      </c>
      <c r="B1857" s="9" t="n">
        <v>24</v>
      </c>
      <c r="C1857" s="11" t="n">
        <v>45995</v>
      </c>
      <c r="D1857" s="9" t="s">
        <v>155</v>
      </c>
      <c r="E1857" s="12" t="n">
        <v>16</v>
      </c>
      <c r="F1857" s="9" t="s">
        <v>31</v>
      </c>
      <c r="G1857" s="13" t="n">
        <v>50</v>
      </c>
      <c r="H1857" s="9" t="s">
        <v>37</v>
      </c>
      <c r="I1857" s="13" t="n">
        <v>0</v>
      </c>
      <c r="J1857" s="1" t="str">
        <f aca="false">IF(A1857="","", "SAMP-"&amp;A1857&amp;"-L"&amp;TEXT(B1857,"00")&amp;"-"&amp;TEXT(C1857,"yyyymmdd")&amp;"-"&amp;D1857&amp;"-H"&amp;TEXT(E1857,"00")&amp;"-"&amp;H1857)</f>
        <v>SAMP-KG01-L24-20251204-ORD-2025-00266-H16-Bird Swing</v>
      </c>
      <c r="K1857" s="1" t="str">
        <f aca="false">IF(A1857="","",IF(AND(G1857&gt;=0,I1857&gt;=0,I1857&lt;=G1857),"OK","CHECK"))</f>
        <v>OK</v>
      </c>
      <c r="L1857" s="1" t="str">
        <f aca="false">IF(A1857="","",IF(AND(E1857&gt;=0,E1857&lt;=23),"OK","CHECK"))</f>
        <v>OK</v>
      </c>
      <c r="M1857" s="1" t="str">
        <f aca="false">IF(A1857="","",IF(AND(K1857="OK",L1857="OK"),"OK","CHECK"))</f>
        <v>OK</v>
      </c>
    </row>
    <row r="1858" customFormat="false" ht="18" hidden="false" customHeight="true" outlineLevel="0" collapsed="false">
      <c r="A1858" s="9" t="s">
        <v>26</v>
      </c>
      <c r="B1858" s="9" t="n">
        <v>24</v>
      </c>
      <c r="C1858" s="11" t="n">
        <v>45995</v>
      </c>
      <c r="D1858" s="9" t="s">
        <v>155</v>
      </c>
      <c r="E1858" s="12" t="n">
        <v>20</v>
      </c>
      <c r="F1858" s="9" t="s">
        <v>31</v>
      </c>
      <c r="G1858" s="13" t="n">
        <v>150</v>
      </c>
      <c r="H1858" s="9" t="s">
        <v>34</v>
      </c>
      <c r="I1858" s="13" t="n">
        <v>8</v>
      </c>
      <c r="J1858" s="1" t="str">
        <f aca="false">IF(A1858="","", "SAMP-"&amp;A1858&amp;"-L"&amp;TEXT(B1858,"00")&amp;"-"&amp;TEXT(C1858,"yyyymmdd")&amp;"-"&amp;D1858&amp;"-H"&amp;TEXT(E1858,"00")&amp;"-"&amp;H1858)</f>
        <v>SAMP-KG01-L24-20251204-ORD-2025-00266-H20-Thin Wall</v>
      </c>
      <c r="K1858" s="1" t="str">
        <f aca="false">IF(A1858="","",IF(AND(G1858&gt;=0,I1858&gt;=0,I1858&lt;=G1858),"OK","CHECK"))</f>
        <v>OK</v>
      </c>
      <c r="L1858" s="1" t="str">
        <f aca="false">IF(A1858="","",IF(AND(E1858&gt;=0,E1858&lt;=23),"OK","CHECK"))</f>
        <v>OK</v>
      </c>
      <c r="M1858" s="1" t="str">
        <f aca="false">IF(A1858="","",IF(AND(K1858="OK",L1858="OK"),"OK","CHECK"))</f>
        <v>OK</v>
      </c>
    </row>
    <row r="1859" customFormat="false" ht="18" hidden="false" customHeight="true" outlineLevel="0" collapsed="false">
      <c r="A1859" s="9" t="s">
        <v>26</v>
      </c>
      <c r="B1859" s="9" t="n">
        <v>24</v>
      </c>
      <c r="C1859" s="11" t="n">
        <v>45996</v>
      </c>
      <c r="D1859" s="9" t="s">
        <v>156</v>
      </c>
      <c r="E1859" s="12" t="n">
        <v>7</v>
      </c>
      <c r="F1859" s="9" t="s">
        <v>28</v>
      </c>
      <c r="G1859" s="13" t="n">
        <v>50</v>
      </c>
      <c r="H1859" s="9" t="s">
        <v>41</v>
      </c>
      <c r="I1859" s="13" t="n">
        <v>0</v>
      </c>
      <c r="J1859" s="1" t="str">
        <f aca="false">IF(A1859="","", "SAMP-"&amp;A1859&amp;"-L"&amp;TEXT(B1859,"00")&amp;"-"&amp;TEXT(C1859,"yyyymmdd")&amp;"-"&amp;D1859&amp;"-H"&amp;TEXT(E1859,"00")&amp;"-"&amp;H1859)</f>
        <v>SAMP-KG01-L24-20251205-ORD-2025-00267-H07-Chip</v>
      </c>
      <c r="K1859" s="1" t="str">
        <f aca="false">IF(A1859="","",IF(AND(G1859&gt;=0,I1859&gt;=0,I1859&lt;=G1859),"OK","CHECK"))</f>
        <v>OK</v>
      </c>
      <c r="L1859" s="1" t="str">
        <f aca="false">IF(A1859="","",IF(AND(E1859&gt;=0,E1859&lt;=23),"OK","CHECK"))</f>
        <v>OK</v>
      </c>
      <c r="M1859" s="1" t="str">
        <f aca="false">IF(A1859="","",IF(AND(K1859="OK",L1859="OK"),"OK","CHECK"))</f>
        <v>OK</v>
      </c>
    </row>
    <row r="1860" customFormat="false" ht="18" hidden="false" customHeight="true" outlineLevel="0" collapsed="false">
      <c r="A1860" s="9" t="s">
        <v>26</v>
      </c>
      <c r="B1860" s="9" t="n">
        <v>24</v>
      </c>
      <c r="C1860" s="11" t="n">
        <v>45996</v>
      </c>
      <c r="D1860" s="9" t="s">
        <v>156</v>
      </c>
      <c r="E1860" s="12" t="n">
        <v>9</v>
      </c>
      <c r="F1860" s="9" t="s">
        <v>28</v>
      </c>
      <c r="G1860" s="13" t="n">
        <v>50</v>
      </c>
      <c r="H1860" s="9" t="s">
        <v>37</v>
      </c>
      <c r="I1860" s="13" t="n">
        <v>0</v>
      </c>
      <c r="J1860" s="1" t="str">
        <f aca="false">IF(A1860="","", "SAMP-"&amp;A1860&amp;"-L"&amp;TEXT(B1860,"00")&amp;"-"&amp;TEXT(C1860,"yyyymmdd")&amp;"-"&amp;D1860&amp;"-H"&amp;TEXT(E1860,"00")&amp;"-"&amp;H1860)</f>
        <v>SAMP-KG01-L24-20251205-ORD-2025-00267-H09-Bird Swing</v>
      </c>
      <c r="K1860" s="1" t="str">
        <f aca="false">IF(A1860="","",IF(AND(G1860&gt;=0,I1860&gt;=0,I1860&lt;=G1860),"OK","CHECK"))</f>
        <v>OK</v>
      </c>
      <c r="L1860" s="1" t="str">
        <f aca="false">IF(A1860="","",IF(AND(E1860&gt;=0,E1860&lt;=23),"OK","CHECK"))</f>
        <v>OK</v>
      </c>
      <c r="M1860" s="1" t="str">
        <f aca="false">IF(A1860="","",IF(AND(K1860="OK",L1860="OK"),"OK","CHECK"))</f>
        <v>OK</v>
      </c>
    </row>
    <row r="1861" customFormat="false" ht="18" hidden="false" customHeight="true" outlineLevel="0" collapsed="false">
      <c r="A1861" s="9" t="s">
        <v>26</v>
      </c>
      <c r="B1861" s="9" t="n">
        <v>24</v>
      </c>
      <c r="C1861" s="11" t="n">
        <v>45996</v>
      </c>
      <c r="D1861" s="9" t="s">
        <v>156</v>
      </c>
      <c r="E1861" s="12" t="n">
        <v>12</v>
      </c>
      <c r="F1861" s="9" t="s">
        <v>28</v>
      </c>
      <c r="G1861" s="13" t="n">
        <v>100</v>
      </c>
      <c r="H1861" s="9" t="s">
        <v>38</v>
      </c>
      <c r="I1861" s="13" t="n">
        <v>0</v>
      </c>
      <c r="J1861" s="1" t="str">
        <f aca="false">IF(A1861="","", "SAMP-"&amp;A1861&amp;"-L"&amp;TEXT(B1861,"00")&amp;"-"&amp;TEXT(C1861,"yyyymmdd")&amp;"-"&amp;D1861&amp;"-H"&amp;TEXT(E1861,"00")&amp;"-"&amp;H1861)</f>
        <v>SAMP-KG01-L24-20251205-ORD-2025-00267-H12-Crack</v>
      </c>
      <c r="K1861" s="1" t="str">
        <f aca="false">IF(A1861="","",IF(AND(G1861&gt;=0,I1861&gt;=0,I1861&lt;=G1861),"OK","CHECK"))</f>
        <v>OK</v>
      </c>
      <c r="L1861" s="1" t="str">
        <f aca="false">IF(A1861="","",IF(AND(E1861&gt;=0,E1861&lt;=23),"OK","CHECK"))</f>
        <v>OK</v>
      </c>
      <c r="M1861" s="1" t="str">
        <f aca="false">IF(A1861="","",IF(AND(K1861="OK",L1861="OK"),"OK","CHECK"))</f>
        <v>OK</v>
      </c>
    </row>
    <row r="1862" customFormat="false" ht="18" hidden="false" customHeight="true" outlineLevel="0" collapsed="false">
      <c r="A1862" s="9" t="s">
        <v>26</v>
      </c>
      <c r="B1862" s="9" t="n">
        <v>24</v>
      </c>
      <c r="C1862" s="11" t="n">
        <v>45996</v>
      </c>
      <c r="D1862" s="9" t="s">
        <v>156</v>
      </c>
      <c r="E1862" s="12" t="n">
        <v>20</v>
      </c>
      <c r="F1862" s="9" t="s">
        <v>31</v>
      </c>
      <c r="G1862" s="13" t="n">
        <v>150</v>
      </c>
      <c r="H1862" s="9" t="s">
        <v>36</v>
      </c>
      <c r="I1862" s="13" t="n">
        <v>5</v>
      </c>
      <c r="J1862" s="1" t="str">
        <f aca="false">IF(A1862="","", "SAMP-"&amp;A1862&amp;"-L"&amp;TEXT(B1862,"00")&amp;"-"&amp;TEXT(C1862,"yyyymmdd")&amp;"-"&amp;D1862&amp;"-H"&amp;TEXT(E1862,"00")&amp;"-"&amp;H1862)</f>
        <v>SAMP-KG01-L24-20251205-ORD-2025-00267-H20-Blister</v>
      </c>
      <c r="K1862" s="1" t="str">
        <f aca="false">IF(A1862="","",IF(AND(G1862&gt;=0,I1862&gt;=0,I1862&lt;=G1862),"OK","CHECK"))</f>
        <v>OK</v>
      </c>
      <c r="L1862" s="1" t="str">
        <f aca="false">IF(A1862="","",IF(AND(E1862&gt;=0,E1862&lt;=23),"OK","CHECK"))</f>
        <v>OK</v>
      </c>
      <c r="M1862" s="1" t="str">
        <f aca="false">IF(A1862="","",IF(AND(K1862="OK",L1862="OK"),"OK","CHECK"))</f>
        <v>OK</v>
      </c>
    </row>
    <row r="1863" customFormat="false" ht="18" hidden="false" customHeight="true" outlineLevel="0" collapsed="false">
      <c r="A1863" s="9" t="s">
        <v>26</v>
      </c>
      <c r="B1863" s="9" t="n">
        <v>24</v>
      </c>
      <c r="C1863" s="11" t="n">
        <v>45996</v>
      </c>
      <c r="D1863" s="9" t="s">
        <v>156</v>
      </c>
      <c r="E1863" s="12" t="n">
        <v>16</v>
      </c>
      <c r="F1863" s="9" t="s">
        <v>31</v>
      </c>
      <c r="G1863" s="13" t="n">
        <v>50</v>
      </c>
      <c r="H1863" s="9" t="s">
        <v>35</v>
      </c>
      <c r="I1863" s="13" t="n">
        <v>2</v>
      </c>
      <c r="J1863" s="1" t="str">
        <f aca="false">IF(A1863="","", "SAMP-"&amp;A1863&amp;"-L"&amp;TEXT(B1863,"00")&amp;"-"&amp;TEXT(C1863,"yyyymmdd")&amp;"-"&amp;D1863&amp;"-H"&amp;TEXT(E1863,"00")&amp;"-"&amp;H1863)</f>
        <v>SAMP-KG01-L24-20251205-ORD-2025-00267-H16-Stone</v>
      </c>
      <c r="K1863" s="1" t="str">
        <f aca="false">IF(A1863="","",IF(AND(G1863&gt;=0,I1863&gt;=0,I1863&lt;=G1863),"OK","CHECK"))</f>
        <v>OK</v>
      </c>
      <c r="L1863" s="1" t="str">
        <f aca="false">IF(A1863="","",IF(AND(E1863&gt;=0,E1863&lt;=23),"OK","CHECK"))</f>
        <v>OK</v>
      </c>
      <c r="M1863" s="1" t="str">
        <f aca="false">IF(A1863="","",IF(AND(K1863="OK",L1863="OK"),"OK","CHECK"))</f>
        <v>OK</v>
      </c>
    </row>
    <row r="1864" customFormat="false" ht="18" hidden="false" customHeight="true" outlineLevel="0" collapsed="false">
      <c r="A1864" s="9" t="s">
        <v>26</v>
      </c>
      <c r="B1864" s="9" t="n">
        <v>24</v>
      </c>
      <c r="C1864" s="11" t="n">
        <v>45996</v>
      </c>
      <c r="D1864" s="9" t="s">
        <v>156</v>
      </c>
      <c r="E1864" s="12" t="n">
        <v>23</v>
      </c>
      <c r="F1864" s="9" t="s">
        <v>31</v>
      </c>
      <c r="G1864" s="13" t="n">
        <v>100</v>
      </c>
      <c r="H1864" s="9" t="s">
        <v>30</v>
      </c>
      <c r="I1864" s="13" t="n">
        <v>1</v>
      </c>
      <c r="J1864" s="1" t="str">
        <f aca="false">IF(A1864="","", "SAMP-"&amp;A1864&amp;"-L"&amp;TEXT(B1864,"00")&amp;"-"&amp;TEXT(C1864,"yyyymmdd")&amp;"-"&amp;D1864&amp;"-H"&amp;TEXT(E1864,"00")&amp;"-"&amp;H1864)</f>
        <v>SAMP-KG01-L24-20251205-ORD-2025-00267-H23-Overpress</v>
      </c>
      <c r="K1864" s="1" t="str">
        <f aca="false">IF(A1864="","",IF(AND(G1864&gt;=0,I1864&gt;=0,I1864&lt;=G1864),"OK","CHECK"))</f>
        <v>OK</v>
      </c>
      <c r="L1864" s="1" t="str">
        <f aca="false">IF(A1864="","",IF(AND(E1864&gt;=0,E1864&lt;=23),"OK","CHECK"))</f>
        <v>OK</v>
      </c>
      <c r="M1864" s="1" t="str">
        <f aca="false">IF(A1864="","",IF(AND(K1864="OK",L1864="OK"),"OK","CHECK"))</f>
        <v>OK</v>
      </c>
    </row>
    <row r="1865" customFormat="false" ht="18" hidden="false" customHeight="true" outlineLevel="0" collapsed="false">
      <c r="A1865" s="9" t="s">
        <v>26</v>
      </c>
      <c r="B1865" s="9" t="n">
        <v>24</v>
      </c>
      <c r="C1865" s="11" t="n">
        <v>45997</v>
      </c>
      <c r="D1865" s="9" t="s">
        <v>156</v>
      </c>
      <c r="E1865" s="12" t="n">
        <v>12</v>
      </c>
      <c r="F1865" s="9" t="s">
        <v>28</v>
      </c>
      <c r="G1865" s="13" t="n">
        <v>50</v>
      </c>
      <c r="H1865" s="9" t="s">
        <v>30</v>
      </c>
      <c r="I1865" s="13" t="n">
        <v>0</v>
      </c>
      <c r="J1865" s="1" t="str">
        <f aca="false">IF(A1865="","", "SAMP-"&amp;A1865&amp;"-L"&amp;TEXT(B1865,"00")&amp;"-"&amp;TEXT(C1865,"yyyymmdd")&amp;"-"&amp;D1865&amp;"-H"&amp;TEXT(E1865,"00")&amp;"-"&amp;H1865)</f>
        <v>SAMP-KG01-L24-20251206-ORD-2025-00267-H12-Overpress</v>
      </c>
      <c r="K1865" s="1" t="str">
        <f aca="false">IF(A1865="","",IF(AND(G1865&gt;=0,I1865&gt;=0,I1865&lt;=G1865),"OK","CHECK"))</f>
        <v>OK</v>
      </c>
      <c r="L1865" s="1" t="str">
        <f aca="false">IF(A1865="","",IF(AND(E1865&gt;=0,E1865&lt;=23),"OK","CHECK"))</f>
        <v>OK</v>
      </c>
      <c r="M1865" s="1" t="str">
        <f aca="false">IF(A1865="","",IF(AND(K1865="OK",L1865="OK"),"OK","CHECK"))</f>
        <v>OK</v>
      </c>
    </row>
    <row r="1866" customFormat="false" ht="18" hidden="false" customHeight="true" outlineLevel="0" collapsed="false">
      <c r="A1866" s="9" t="s">
        <v>26</v>
      </c>
      <c r="B1866" s="9" t="n">
        <v>24</v>
      </c>
      <c r="C1866" s="11" t="n">
        <v>45997</v>
      </c>
      <c r="D1866" s="9" t="s">
        <v>156</v>
      </c>
      <c r="E1866" s="12" t="n">
        <v>9</v>
      </c>
      <c r="F1866" s="9" t="s">
        <v>28</v>
      </c>
      <c r="G1866" s="13" t="n">
        <v>200</v>
      </c>
      <c r="H1866" s="9" t="s">
        <v>30</v>
      </c>
      <c r="I1866" s="13" t="n">
        <v>0</v>
      </c>
      <c r="J1866" s="1" t="str">
        <f aca="false">IF(A1866="","", "SAMP-"&amp;A1866&amp;"-L"&amp;TEXT(B1866,"00")&amp;"-"&amp;TEXT(C1866,"yyyymmdd")&amp;"-"&amp;D1866&amp;"-H"&amp;TEXT(E1866,"00")&amp;"-"&amp;H1866)</f>
        <v>SAMP-KG01-L24-20251206-ORD-2025-00267-H09-Overpress</v>
      </c>
      <c r="K1866" s="1" t="str">
        <f aca="false">IF(A1866="","",IF(AND(G1866&gt;=0,I1866&gt;=0,I1866&lt;=G1866),"OK","CHECK"))</f>
        <v>OK</v>
      </c>
      <c r="L1866" s="1" t="str">
        <f aca="false">IF(A1866="","",IF(AND(E1866&gt;=0,E1866&lt;=23),"OK","CHECK"))</f>
        <v>OK</v>
      </c>
      <c r="M1866" s="1" t="str">
        <f aca="false">IF(A1866="","",IF(AND(K1866="OK",L1866="OK"),"OK","CHECK"))</f>
        <v>OK</v>
      </c>
    </row>
    <row r="1867" customFormat="false" ht="18" hidden="false" customHeight="true" outlineLevel="0" collapsed="false">
      <c r="A1867" s="9" t="s">
        <v>26</v>
      </c>
      <c r="B1867" s="9" t="n">
        <v>24</v>
      </c>
      <c r="C1867" s="11" t="n">
        <v>45997</v>
      </c>
      <c r="D1867" s="9" t="s">
        <v>156</v>
      </c>
      <c r="E1867" s="12" t="n">
        <v>7</v>
      </c>
      <c r="F1867" s="9" t="s">
        <v>28</v>
      </c>
      <c r="G1867" s="13" t="n">
        <v>200</v>
      </c>
      <c r="H1867" s="9" t="s">
        <v>34</v>
      </c>
      <c r="I1867" s="13" t="n">
        <v>5</v>
      </c>
      <c r="J1867" s="1" t="str">
        <f aca="false">IF(A1867="","", "SAMP-"&amp;A1867&amp;"-L"&amp;TEXT(B1867,"00")&amp;"-"&amp;TEXT(C1867,"yyyymmdd")&amp;"-"&amp;D1867&amp;"-H"&amp;TEXT(E1867,"00")&amp;"-"&amp;H1867)</f>
        <v>SAMP-KG01-L24-20251206-ORD-2025-00267-H07-Thin Wall</v>
      </c>
      <c r="K1867" s="1" t="str">
        <f aca="false">IF(A1867="","",IF(AND(G1867&gt;=0,I1867&gt;=0,I1867&lt;=G1867),"OK","CHECK"))</f>
        <v>OK</v>
      </c>
      <c r="L1867" s="1" t="str">
        <f aca="false">IF(A1867="","",IF(AND(E1867&gt;=0,E1867&lt;=23),"OK","CHECK"))</f>
        <v>OK</v>
      </c>
      <c r="M1867" s="1" t="str">
        <f aca="false">IF(A1867="","",IF(AND(K1867="OK",L1867="OK"),"OK","CHECK"))</f>
        <v>OK</v>
      </c>
    </row>
    <row r="1868" customFormat="false" ht="18" hidden="false" customHeight="true" outlineLevel="0" collapsed="false">
      <c r="A1868" s="9" t="s">
        <v>26</v>
      </c>
      <c r="B1868" s="9" t="n">
        <v>24</v>
      </c>
      <c r="C1868" s="11" t="n">
        <v>45997</v>
      </c>
      <c r="D1868" s="9" t="s">
        <v>156</v>
      </c>
      <c r="E1868" s="12" t="n">
        <v>16</v>
      </c>
      <c r="F1868" s="9" t="s">
        <v>31</v>
      </c>
      <c r="G1868" s="13" t="n">
        <v>100</v>
      </c>
      <c r="H1868" s="9" t="s">
        <v>30</v>
      </c>
      <c r="I1868" s="13" t="n">
        <v>0</v>
      </c>
      <c r="J1868" s="1" t="str">
        <f aca="false">IF(A1868="","", "SAMP-"&amp;A1868&amp;"-L"&amp;TEXT(B1868,"00")&amp;"-"&amp;TEXT(C1868,"yyyymmdd")&amp;"-"&amp;D1868&amp;"-H"&amp;TEXT(E1868,"00")&amp;"-"&amp;H1868)</f>
        <v>SAMP-KG01-L24-20251206-ORD-2025-00267-H16-Overpress</v>
      </c>
      <c r="K1868" s="1" t="str">
        <f aca="false">IF(A1868="","",IF(AND(G1868&gt;=0,I1868&gt;=0,I1868&lt;=G1868),"OK","CHECK"))</f>
        <v>OK</v>
      </c>
      <c r="L1868" s="1" t="str">
        <f aca="false">IF(A1868="","",IF(AND(E1868&gt;=0,E1868&lt;=23),"OK","CHECK"))</f>
        <v>OK</v>
      </c>
      <c r="M1868" s="1" t="str">
        <f aca="false">IF(A1868="","",IF(AND(K1868="OK",L1868="OK"),"OK","CHECK"))</f>
        <v>OK</v>
      </c>
    </row>
    <row r="1869" customFormat="false" ht="18" hidden="false" customHeight="true" outlineLevel="0" collapsed="false">
      <c r="A1869" s="9" t="s">
        <v>26</v>
      </c>
      <c r="B1869" s="9" t="n">
        <v>24</v>
      </c>
      <c r="C1869" s="11" t="n">
        <v>45997</v>
      </c>
      <c r="D1869" s="9" t="s">
        <v>156</v>
      </c>
      <c r="E1869" s="12" t="n">
        <v>23</v>
      </c>
      <c r="F1869" s="9" t="s">
        <v>31</v>
      </c>
      <c r="G1869" s="13" t="n">
        <v>150</v>
      </c>
      <c r="H1869" s="9" t="s">
        <v>38</v>
      </c>
      <c r="I1869" s="13" t="n">
        <v>2</v>
      </c>
      <c r="J1869" s="1" t="str">
        <f aca="false">IF(A1869="","", "SAMP-"&amp;A1869&amp;"-L"&amp;TEXT(B1869,"00")&amp;"-"&amp;TEXT(C1869,"yyyymmdd")&amp;"-"&amp;D1869&amp;"-H"&amp;TEXT(E1869,"00")&amp;"-"&amp;H1869)</f>
        <v>SAMP-KG01-L24-20251206-ORD-2025-00267-H23-Crack</v>
      </c>
      <c r="K1869" s="1" t="str">
        <f aca="false">IF(A1869="","",IF(AND(G1869&gt;=0,I1869&gt;=0,I1869&lt;=G1869),"OK","CHECK"))</f>
        <v>OK</v>
      </c>
      <c r="L1869" s="1" t="str">
        <f aca="false">IF(A1869="","",IF(AND(E1869&gt;=0,E1869&lt;=23),"OK","CHECK"))</f>
        <v>OK</v>
      </c>
      <c r="M1869" s="1" t="str">
        <f aca="false">IF(A1869="","",IF(AND(K1869="OK",L1869="OK"),"OK","CHECK"))</f>
        <v>OK</v>
      </c>
    </row>
    <row r="1870" customFormat="false" ht="18" hidden="false" customHeight="true" outlineLevel="0" collapsed="false">
      <c r="A1870" s="9" t="s">
        <v>26</v>
      </c>
      <c r="B1870" s="9" t="n">
        <v>24</v>
      </c>
      <c r="C1870" s="11" t="n">
        <v>45997</v>
      </c>
      <c r="D1870" s="9" t="s">
        <v>156</v>
      </c>
      <c r="E1870" s="12" t="n">
        <v>20</v>
      </c>
      <c r="F1870" s="9" t="s">
        <v>31</v>
      </c>
      <c r="G1870" s="13" t="n">
        <v>50</v>
      </c>
      <c r="H1870" s="9" t="s">
        <v>30</v>
      </c>
      <c r="I1870" s="13" t="n">
        <v>2</v>
      </c>
      <c r="J1870" s="1" t="str">
        <f aca="false">IF(A1870="","", "SAMP-"&amp;A1870&amp;"-L"&amp;TEXT(B1870,"00")&amp;"-"&amp;TEXT(C1870,"yyyymmdd")&amp;"-"&amp;D1870&amp;"-H"&amp;TEXT(E1870,"00")&amp;"-"&amp;H1870)</f>
        <v>SAMP-KG01-L24-20251206-ORD-2025-00267-H20-Overpress</v>
      </c>
      <c r="K1870" s="1" t="str">
        <f aca="false">IF(A1870="","",IF(AND(G1870&gt;=0,I1870&gt;=0,I1870&lt;=G1870),"OK","CHECK"))</f>
        <v>OK</v>
      </c>
      <c r="L1870" s="1" t="str">
        <f aca="false">IF(A1870="","",IF(AND(E1870&gt;=0,E1870&lt;=23),"OK","CHECK"))</f>
        <v>OK</v>
      </c>
      <c r="M1870" s="1" t="str">
        <f aca="false">IF(A1870="","",IF(AND(K1870="OK",L1870="OK"),"OK","CHECK"))</f>
        <v>OK</v>
      </c>
    </row>
    <row r="1871" customFormat="false" ht="18" hidden="false" customHeight="true" outlineLevel="0" collapsed="false">
      <c r="A1871" s="9" t="s">
        <v>26</v>
      </c>
      <c r="B1871" s="9" t="n">
        <v>24</v>
      </c>
      <c r="C1871" s="11" t="n">
        <v>45998</v>
      </c>
      <c r="D1871" s="9" t="s">
        <v>156</v>
      </c>
      <c r="E1871" s="12" t="n">
        <v>9</v>
      </c>
      <c r="F1871" s="9" t="s">
        <v>28</v>
      </c>
      <c r="G1871" s="13" t="n">
        <v>100</v>
      </c>
      <c r="H1871" s="9" t="s">
        <v>36</v>
      </c>
      <c r="I1871" s="13" t="n">
        <v>0</v>
      </c>
      <c r="J1871" s="1" t="str">
        <f aca="false">IF(A1871="","", "SAMP-"&amp;A1871&amp;"-L"&amp;TEXT(B1871,"00")&amp;"-"&amp;TEXT(C1871,"yyyymmdd")&amp;"-"&amp;D1871&amp;"-H"&amp;TEXT(E1871,"00")&amp;"-"&amp;H1871)</f>
        <v>SAMP-KG01-L24-20251207-ORD-2025-00267-H09-Blister</v>
      </c>
      <c r="K1871" s="1" t="str">
        <f aca="false">IF(A1871="","",IF(AND(G1871&gt;=0,I1871&gt;=0,I1871&lt;=G1871),"OK","CHECK"))</f>
        <v>OK</v>
      </c>
      <c r="L1871" s="1" t="str">
        <f aca="false">IF(A1871="","",IF(AND(E1871&gt;=0,E1871&lt;=23),"OK","CHECK"))</f>
        <v>OK</v>
      </c>
      <c r="M1871" s="1" t="str">
        <f aca="false">IF(A1871="","",IF(AND(K1871="OK",L1871="OK"),"OK","CHECK"))</f>
        <v>OK</v>
      </c>
    </row>
    <row r="1872" customFormat="false" ht="18" hidden="false" customHeight="true" outlineLevel="0" collapsed="false">
      <c r="A1872" s="9" t="s">
        <v>26</v>
      </c>
      <c r="B1872" s="9" t="n">
        <v>24</v>
      </c>
      <c r="C1872" s="11" t="n">
        <v>45998</v>
      </c>
      <c r="D1872" s="9" t="s">
        <v>156</v>
      </c>
      <c r="E1872" s="12" t="n">
        <v>12</v>
      </c>
      <c r="F1872" s="9" t="s">
        <v>28</v>
      </c>
      <c r="G1872" s="13" t="n">
        <v>200</v>
      </c>
      <c r="H1872" s="9" t="s">
        <v>30</v>
      </c>
      <c r="I1872" s="13" t="n">
        <v>1</v>
      </c>
      <c r="J1872" s="1" t="str">
        <f aca="false">IF(A1872="","", "SAMP-"&amp;A1872&amp;"-L"&amp;TEXT(B1872,"00")&amp;"-"&amp;TEXT(C1872,"yyyymmdd")&amp;"-"&amp;D1872&amp;"-H"&amp;TEXT(E1872,"00")&amp;"-"&amp;H1872)</f>
        <v>SAMP-KG01-L24-20251207-ORD-2025-00267-H12-Overpress</v>
      </c>
      <c r="K1872" s="1" t="str">
        <f aca="false">IF(A1872="","",IF(AND(G1872&gt;=0,I1872&gt;=0,I1872&lt;=G1872),"OK","CHECK"))</f>
        <v>OK</v>
      </c>
      <c r="L1872" s="1" t="str">
        <f aca="false">IF(A1872="","",IF(AND(E1872&gt;=0,E1872&lt;=23),"OK","CHECK"))</f>
        <v>OK</v>
      </c>
      <c r="M1872" s="1" t="str">
        <f aca="false">IF(A1872="","",IF(AND(K1872="OK",L1872="OK"),"OK","CHECK"))</f>
        <v>OK</v>
      </c>
    </row>
    <row r="1873" customFormat="false" ht="18" hidden="false" customHeight="true" outlineLevel="0" collapsed="false">
      <c r="A1873" s="9" t="s">
        <v>26</v>
      </c>
      <c r="B1873" s="9" t="n">
        <v>24</v>
      </c>
      <c r="C1873" s="11" t="n">
        <v>45998</v>
      </c>
      <c r="D1873" s="9" t="s">
        <v>156</v>
      </c>
      <c r="E1873" s="12" t="n">
        <v>7</v>
      </c>
      <c r="F1873" s="9" t="s">
        <v>28</v>
      </c>
      <c r="G1873" s="13" t="n">
        <v>50</v>
      </c>
      <c r="H1873" s="9" t="s">
        <v>33</v>
      </c>
      <c r="I1873" s="13" t="n">
        <v>1</v>
      </c>
      <c r="J1873" s="1" t="str">
        <f aca="false">IF(A1873="","", "SAMP-"&amp;A1873&amp;"-L"&amp;TEXT(B1873,"00")&amp;"-"&amp;TEXT(C1873,"yyyymmdd")&amp;"-"&amp;D1873&amp;"-H"&amp;TEXT(E1873,"00")&amp;"-"&amp;H1873)</f>
        <v>SAMP-KG01-L24-20251207-ORD-2025-00267-H07-Distortion</v>
      </c>
      <c r="K1873" s="1" t="str">
        <f aca="false">IF(A1873="","",IF(AND(G1873&gt;=0,I1873&gt;=0,I1873&lt;=G1873),"OK","CHECK"))</f>
        <v>OK</v>
      </c>
      <c r="L1873" s="1" t="str">
        <f aca="false">IF(A1873="","",IF(AND(E1873&gt;=0,E1873&lt;=23),"OK","CHECK"))</f>
        <v>OK</v>
      </c>
      <c r="M1873" s="1" t="str">
        <f aca="false">IF(A1873="","",IF(AND(K1873="OK",L1873="OK"),"OK","CHECK"))</f>
        <v>OK</v>
      </c>
    </row>
    <row r="1874" customFormat="false" ht="18" hidden="false" customHeight="true" outlineLevel="0" collapsed="false">
      <c r="A1874" s="9" t="s">
        <v>26</v>
      </c>
      <c r="B1874" s="9" t="n">
        <v>24</v>
      </c>
      <c r="C1874" s="11" t="n">
        <v>45998</v>
      </c>
      <c r="D1874" s="9" t="s">
        <v>156</v>
      </c>
      <c r="E1874" s="12" t="n">
        <v>23</v>
      </c>
      <c r="F1874" s="9" t="s">
        <v>31</v>
      </c>
      <c r="G1874" s="13" t="n">
        <v>200</v>
      </c>
      <c r="H1874" s="9" t="s">
        <v>37</v>
      </c>
      <c r="I1874" s="13" t="n">
        <v>6</v>
      </c>
      <c r="J1874" s="1" t="str">
        <f aca="false">IF(A1874="","", "SAMP-"&amp;A1874&amp;"-L"&amp;TEXT(B1874,"00")&amp;"-"&amp;TEXT(C1874,"yyyymmdd")&amp;"-"&amp;D1874&amp;"-H"&amp;TEXT(E1874,"00")&amp;"-"&amp;H1874)</f>
        <v>SAMP-KG01-L24-20251207-ORD-2025-00267-H23-Bird Swing</v>
      </c>
      <c r="K1874" s="1" t="str">
        <f aca="false">IF(A1874="","",IF(AND(G1874&gt;=0,I1874&gt;=0,I1874&lt;=G1874),"OK","CHECK"))</f>
        <v>OK</v>
      </c>
      <c r="L1874" s="1" t="str">
        <f aca="false">IF(A1874="","",IF(AND(E1874&gt;=0,E1874&lt;=23),"OK","CHECK"))</f>
        <v>OK</v>
      </c>
      <c r="M1874" s="1" t="str">
        <f aca="false">IF(A1874="","",IF(AND(K1874="OK",L1874="OK"),"OK","CHECK"))</f>
        <v>OK</v>
      </c>
    </row>
    <row r="1875" customFormat="false" ht="18" hidden="false" customHeight="true" outlineLevel="0" collapsed="false">
      <c r="A1875" s="9" t="s">
        <v>26</v>
      </c>
      <c r="B1875" s="9" t="n">
        <v>24</v>
      </c>
      <c r="C1875" s="11" t="n">
        <v>45998</v>
      </c>
      <c r="D1875" s="9" t="s">
        <v>156</v>
      </c>
      <c r="E1875" s="12" t="n">
        <v>20</v>
      </c>
      <c r="F1875" s="9" t="s">
        <v>31</v>
      </c>
      <c r="G1875" s="13" t="n">
        <v>50</v>
      </c>
      <c r="H1875" s="9" t="s">
        <v>34</v>
      </c>
      <c r="I1875" s="13" t="n">
        <v>2</v>
      </c>
      <c r="J1875" s="1" t="str">
        <f aca="false">IF(A1875="","", "SAMP-"&amp;A1875&amp;"-L"&amp;TEXT(B1875,"00")&amp;"-"&amp;TEXT(C1875,"yyyymmdd")&amp;"-"&amp;D1875&amp;"-H"&amp;TEXT(E1875,"00")&amp;"-"&amp;H1875)</f>
        <v>SAMP-KG01-L24-20251207-ORD-2025-00267-H20-Thin Wall</v>
      </c>
      <c r="K1875" s="1" t="str">
        <f aca="false">IF(A1875="","",IF(AND(G1875&gt;=0,I1875&gt;=0,I1875&lt;=G1875),"OK","CHECK"))</f>
        <v>OK</v>
      </c>
      <c r="L1875" s="1" t="str">
        <f aca="false">IF(A1875="","",IF(AND(E1875&gt;=0,E1875&lt;=23),"OK","CHECK"))</f>
        <v>OK</v>
      </c>
      <c r="M1875" s="1" t="str">
        <f aca="false">IF(A1875="","",IF(AND(K1875="OK",L1875="OK"),"OK","CHECK"))</f>
        <v>OK</v>
      </c>
    </row>
    <row r="1876" customFormat="false" ht="18" hidden="false" customHeight="true" outlineLevel="0" collapsed="false">
      <c r="A1876" s="9" t="s">
        <v>26</v>
      </c>
      <c r="B1876" s="9" t="n">
        <v>24</v>
      </c>
      <c r="C1876" s="11" t="n">
        <v>45998</v>
      </c>
      <c r="D1876" s="9" t="s">
        <v>156</v>
      </c>
      <c r="E1876" s="12" t="n">
        <v>16</v>
      </c>
      <c r="F1876" s="9" t="s">
        <v>31</v>
      </c>
      <c r="G1876" s="13" t="n">
        <v>150</v>
      </c>
      <c r="H1876" s="9" t="s">
        <v>33</v>
      </c>
      <c r="I1876" s="13" t="n">
        <v>4</v>
      </c>
      <c r="J1876" s="1" t="str">
        <f aca="false">IF(A1876="","", "SAMP-"&amp;A1876&amp;"-L"&amp;TEXT(B1876,"00")&amp;"-"&amp;TEXT(C1876,"yyyymmdd")&amp;"-"&amp;D1876&amp;"-H"&amp;TEXT(E1876,"00")&amp;"-"&amp;H1876)</f>
        <v>SAMP-KG01-L24-20251207-ORD-2025-00267-H16-Distortion</v>
      </c>
      <c r="K1876" s="1" t="str">
        <f aca="false">IF(A1876="","",IF(AND(G1876&gt;=0,I1876&gt;=0,I1876&lt;=G1876),"OK","CHECK"))</f>
        <v>OK</v>
      </c>
      <c r="L1876" s="1" t="str">
        <f aca="false">IF(A1876="","",IF(AND(E1876&gt;=0,E1876&lt;=23),"OK","CHECK"))</f>
        <v>OK</v>
      </c>
      <c r="M1876" s="1" t="str">
        <f aca="false">IF(A1876="","",IF(AND(K1876="OK",L1876="OK"),"OK","CHECK"))</f>
        <v>OK</v>
      </c>
    </row>
    <row r="1877" customFormat="false" ht="18" hidden="false" customHeight="true" outlineLevel="0" collapsed="false">
      <c r="A1877" s="9" t="s">
        <v>26</v>
      </c>
      <c r="B1877" s="9" t="n">
        <v>24</v>
      </c>
      <c r="C1877" s="11" t="n">
        <v>45999</v>
      </c>
      <c r="D1877" s="9" t="s">
        <v>156</v>
      </c>
      <c r="E1877" s="12" t="n">
        <v>7</v>
      </c>
      <c r="F1877" s="9" t="s">
        <v>28</v>
      </c>
      <c r="G1877" s="13" t="n">
        <v>150</v>
      </c>
      <c r="H1877" s="9" t="s">
        <v>34</v>
      </c>
      <c r="I1877" s="13" t="n">
        <v>0</v>
      </c>
      <c r="J1877" s="1" t="str">
        <f aca="false">IF(A1877="","", "SAMP-"&amp;A1877&amp;"-L"&amp;TEXT(B1877,"00")&amp;"-"&amp;TEXT(C1877,"yyyymmdd")&amp;"-"&amp;D1877&amp;"-H"&amp;TEXT(E1877,"00")&amp;"-"&amp;H1877)</f>
        <v>SAMP-KG01-L24-20251208-ORD-2025-00267-H07-Thin Wall</v>
      </c>
      <c r="K1877" s="1" t="str">
        <f aca="false">IF(A1877="","",IF(AND(G1877&gt;=0,I1877&gt;=0,I1877&lt;=G1877),"OK","CHECK"))</f>
        <v>OK</v>
      </c>
      <c r="L1877" s="1" t="str">
        <f aca="false">IF(A1877="","",IF(AND(E1877&gt;=0,E1877&lt;=23),"OK","CHECK"))</f>
        <v>OK</v>
      </c>
      <c r="M1877" s="1" t="str">
        <f aca="false">IF(A1877="","",IF(AND(K1877="OK",L1877="OK"),"OK","CHECK"))</f>
        <v>OK</v>
      </c>
    </row>
    <row r="1878" customFormat="false" ht="18" hidden="false" customHeight="true" outlineLevel="0" collapsed="false">
      <c r="A1878" s="9" t="s">
        <v>26</v>
      </c>
      <c r="B1878" s="9" t="n">
        <v>24</v>
      </c>
      <c r="C1878" s="11" t="n">
        <v>45999</v>
      </c>
      <c r="D1878" s="9" t="s">
        <v>156</v>
      </c>
      <c r="E1878" s="12" t="n">
        <v>9</v>
      </c>
      <c r="F1878" s="9" t="s">
        <v>28</v>
      </c>
      <c r="G1878" s="13" t="n">
        <v>200</v>
      </c>
      <c r="H1878" s="9" t="s">
        <v>34</v>
      </c>
      <c r="I1878" s="13" t="n">
        <v>6</v>
      </c>
      <c r="J1878" s="1" t="str">
        <f aca="false">IF(A1878="","", "SAMP-"&amp;A1878&amp;"-L"&amp;TEXT(B1878,"00")&amp;"-"&amp;TEXT(C1878,"yyyymmdd")&amp;"-"&amp;D1878&amp;"-H"&amp;TEXT(E1878,"00")&amp;"-"&amp;H1878)</f>
        <v>SAMP-KG01-L24-20251208-ORD-2025-00267-H09-Thin Wall</v>
      </c>
      <c r="K1878" s="1" t="str">
        <f aca="false">IF(A1878="","",IF(AND(G1878&gt;=0,I1878&gt;=0,I1878&lt;=G1878),"OK","CHECK"))</f>
        <v>OK</v>
      </c>
      <c r="L1878" s="1" t="str">
        <f aca="false">IF(A1878="","",IF(AND(E1878&gt;=0,E1878&lt;=23),"OK","CHECK"))</f>
        <v>OK</v>
      </c>
      <c r="M1878" s="1" t="str">
        <f aca="false">IF(A1878="","",IF(AND(K1878="OK",L1878="OK"),"OK","CHECK"))</f>
        <v>OK</v>
      </c>
    </row>
    <row r="1879" customFormat="false" ht="18" hidden="false" customHeight="true" outlineLevel="0" collapsed="false">
      <c r="A1879" s="9" t="s">
        <v>26</v>
      </c>
      <c r="B1879" s="9" t="n">
        <v>24</v>
      </c>
      <c r="C1879" s="11" t="n">
        <v>45999</v>
      </c>
      <c r="D1879" s="9" t="s">
        <v>156</v>
      </c>
      <c r="E1879" s="12" t="n">
        <v>20</v>
      </c>
      <c r="F1879" s="9" t="s">
        <v>31</v>
      </c>
      <c r="G1879" s="13" t="n">
        <v>100</v>
      </c>
      <c r="H1879" s="9" t="s">
        <v>29</v>
      </c>
      <c r="I1879" s="13" t="n">
        <v>3</v>
      </c>
      <c r="J1879" s="1" t="str">
        <f aca="false">IF(A1879="","", "SAMP-"&amp;A1879&amp;"-L"&amp;TEXT(B1879,"00")&amp;"-"&amp;TEXT(C1879,"yyyymmdd")&amp;"-"&amp;D1879&amp;"-H"&amp;TEXT(E1879,"00")&amp;"-"&amp;H1879)</f>
        <v>SAMP-KG01-L24-20251208-ORD-2025-00267-H20-Choke Neck</v>
      </c>
      <c r="K1879" s="1" t="str">
        <f aca="false">IF(A1879="","",IF(AND(G1879&gt;=0,I1879&gt;=0,I1879&lt;=G1879),"OK","CHECK"))</f>
        <v>OK</v>
      </c>
      <c r="L1879" s="1" t="str">
        <f aca="false">IF(A1879="","",IF(AND(E1879&gt;=0,E1879&lt;=23),"OK","CHECK"))</f>
        <v>OK</v>
      </c>
      <c r="M1879" s="1" t="str">
        <f aca="false">IF(A1879="","",IF(AND(K1879="OK",L1879="OK"),"OK","CHECK"))</f>
        <v>OK</v>
      </c>
    </row>
    <row r="1880" customFormat="false" ht="18" hidden="false" customHeight="true" outlineLevel="0" collapsed="false">
      <c r="A1880" s="9" t="s">
        <v>26</v>
      </c>
      <c r="B1880" s="9" t="n">
        <v>24</v>
      </c>
      <c r="C1880" s="11" t="n">
        <v>45999</v>
      </c>
      <c r="D1880" s="9" t="s">
        <v>156</v>
      </c>
      <c r="E1880" s="12" t="n">
        <v>23</v>
      </c>
      <c r="F1880" s="9" t="s">
        <v>31</v>
      </c>
      <c r="G1880" s="13" t="n">
        <v>150</v>
      </c>
      <c r="H1880" s="9" t="s">
        <v>29</v>
      </c>
      <c r="I1880" s="13" t="n">
        <v>4</v>
      </c>
      <c r="J1880" s="1" t="str">
        <f aca="false">IF(A1880="","", "SAMP-"&amp;A1880&amp;"-L"&amp;TEXT(B1880,"00")&amp;"-"&amp;TEXT(C1880,"yyyymmdd")&amp;"-"&amp;D1880&amp;"-H"&amp;TEXT(E1880,"00")&amp;"-"&amp;H1880)</f>
        <v>SAMP-KG01-L24-20251208-ORD-2025-00267-H23-Choke Neck</v>
      </c>
      <c r="K1880" s="1" t="str">
        <f aca="false">IF(A1880="","",IF(AND(G1880&gt;=0,I1880&gt;=0,I1880&lt;=G1880),"OK","CHECK"))</f>
        <v>OK</v>
      </c>
      <c r="L1880" s="1" t="str">
        <f aca="false">IF(A1880="","",IF(AND(E1880&gt;=0,E1880&lt;=23),"OK","CHECK"))</f>
        <v>OK</v>
      </c>
      <c r="M1880" s="1" t="str">
        <f aca="false">IF(A1880="","",IF(AND(K1880="OK",L1880="OK"),"OK","CHECK"))</f>
        <v>OK</v>
      </c>
    </row>
    <row r="1881" customFormat="false" ht="18" hidden="false" customHeight="true" outlineLevel="0" collapsed="false">
      <c r="A1881" s="9" t="s">
        <v>26</v>
      </c>
      <c r="B1881" s="9" t="n">
        <v>24</v>
      </c>
      <c r="C1881" s="11" t="n">
        <v>45999</v>
      </c>
      <c r="D1881" s="9" t="s">
        <v>156</v>
      </c>
      <c r="E1881" s="12" t="n">
        <v>16</v>
      </c>
      <c r="F1881" s="9" t="s">
        <v>31</v>
      </c>
      <c r="G1881" s="13" t="n">
        <v>50</v>
      </c>
      <c r="H1881" s="9" t="s">
        <v>35</v>
      </c>
      <c r="I1881" s="13" t="n">
        <v>1</v>
      </c>
      <c r="J1881" s="1" t="str">
        <f aca="false">IF(A1881="","", "SAMP-"&amp;A1881&amp;"-L"&amp;TEXT(B1881,"00")&amp;"-"&amp;TEXT(C1881,"yyyymmdd")&amp;"-"&amp;D1881&amp;"-H"&amp;TEXT(E1881,"00")&amp;"-"&amp;H1881)</f>
        <v>SAMP-KG01-L24-20251208-ORD-2025-00267-H16-Stone</v>
      </c>
      <c r="K1881" s="1" t="str">
        <f aca="false">IF(A1881="","",IF(AND(G1881&gt;=0,I1881&gt;=0,I1881&lt;=G1881),"OK","CHECK"))</f>
        <v>OK</v>
      </c>
      <c r="L1881" s="1" t="str">
        <f aca="false">IF(A1881="","",IF(AND(E1881&gt;=0,E1881&lt;=23),"OK","CHECK"))</f>
        <v>OK</v>
      </c>
      <c r="M1881" s="1" t="str">
        <f aca="false">IF(A1881="","",IF(AND(K1881="OK",L1881="OK"),"OK","CHECK"))</f>
        <v>OK</v>
      </c>
    </row>
    <row r="1882" customFormat="false" ht="18" hidden="false" customHeight="true" outlineLevel="0" collapsed="false">
      <c r="A1882" s="9" t="s">
        <v>26</v>
      </c>
      <c r="B1882" s="9" t="n">
        <v>24</v>
      </c>
      <c r="C1882" s="11" t="n">
        <v>46000</v>
      </c>
      <c r="D1882" s="9" t="s">
        <v>156</v>
      </c>
      <c r="E1882" s="12" t="n">
        <v>9</v>
      </c>
      <c r="F1882" s="9" t="s">
        <v>28</v>
      </c>
      <c r="G1882" s="13" t="n">
        <v>200</v>
      </c>
      <c r="H1882" s="9" t="s">
        <v>37</v>
      </c>
      <c r="I1882" s="13" t="n">
        <v>0</v>
      </c>
      <c r="J1882" s="1" t="str">
        <f aca="false">IF(A1882="","", "SAMP-"&amp;A1882&amp;"-L"&amp;TEXT(B1882,"00")&amp;"-"&amp;TEXT(C1882,"yyyymmdd")&amp;"-"&amp;D1882&amp;"-H"&amp;TEXT(E1882,"00")&amp;"-"&amp;H1882)</f>
        <v>SAMP-KG01-L24-20251209-ORD-2025-00267-H09-Bird Swing</v>
      </c>
      <c r="K1882" s="1" t="str">
        <f aca="false">IF(A1882="","",IF(AND(G1882&gt;=0,I1882&gt;=0,I1882&lt;=G1882),"OK","CHECK"))</f>
        <v>OK</v>
      </c>
      <c r="L1882" s="1" t="str">
        <f aca="false">IF(A1882="","",IF(AND(E1882&gt;=0,E1882&lt;=23),"OK","CHECK"))</f>
        <v>OK</v>
      </c>
      <c r="M1882" s="1" t="str">
        <f aca="false">IF(A1882="","",IF(AND(K1882="OK",L1882="OK"),"OK","CHECK"))</f>
        <v>OK</v>
      </c>
    </row>
    <row r="1883" customFormat="false" ht="18" hidden="false" customHeight="true" outlineLevel="0" collapsed="false">
      <c r="A1883" s="9" t="s">
        <v>26</v>
      </c>
      <c r="B1883" s="9" t="n">
        <v>24</v>
      </c>
      <c r="C1883" s="11" t="n">
        <v>46000</v>
      </c>
      <c r="D1883" s="9" t="s">
        <v>156</v>
      </c>
      <c r="E1883" s="12" t="n">
        <v>7</v>
      </c>
      <c r="F1883" s="9" t="s">
        <v>28</v>
      </c>
      <c r="G1883" s="13" t="n">
        <v>50</v>
      </c>
      <c r="H1883" s="9" t="s">
        <v>36</v>
      </c>
      <c r="I1883" s="13" t="n">
        <v>1</v>
      </c>
      <c r="J1883" s="1" t="str">
        <f aca="false">IF(A1883="","", "SAMP-"&amp;A1883&amp;"-L"&amp;TEXT(B1883,"00")&amp;"-"&amp;TEXT(C1883,"yyyymmdd")&amp;"-"&amp;D1883&amp;"-H"&amp;TEXT(E1883,"00")&amp;"-"&amp;H1883)</f>
        <v>SAMP-KG01-L24-20251209-ORD-2025-00267-H07-Blister</v>
      </c>
      <c r="K1883" s="1" t="str">
        <f aca="false">IF(A1883="","",IF(AND(G1883&gt;=0,I1883&gt;=0,I1883&lt;=G1883),"OK","CHECK"))</f>
        <v>OK</v>
      </c>
      <c r="L1883" s="1" t="str">
        <f aca="false">IF(A1883="","",IF(AND(E1883&gt;=0,E1883&lt;=23),"OK","CHECK"))</f>
        <v>OK</v>
      </c>
      <c r="M1883" s="1" t="str">
        <f aca="false">IF(A1883="","",IF(AND(K1883="OK",L1883="OK"),"OK","CHECK"))</f>
        <v>OK</v>
      </c>
    </row>
    <row r="1884" customFormat="false" ht="18" hidden="false" customHeight="true" outlineLevel="0" collapsed="false">
      <c r="A1884" s="9" t="s">
        <v>26</v>
      </c>
      <c r="B1884" s="9" t="n">
        <v>24</v>
      </c>
      <c r="C1884" s="11" t="n">
        <v>46000</v>
      </c>
      <c r="D1884" s="9" t="s">
        <v>156</v>
      </c>
      <c r="E1884" s="12" t="n">
        <v>20</v>
      </c>
      <c r="F1884" s="9" t="s">
        <v>31</v>
      </c>
      <c r="G1884" s="13" t="n">
        <v>200</v>
      </c>
      <c r="H1884" s="9" t="s">
        <v>41</v>
      </c>
      <c r="I1884" s="13" t="n">
        <v>1</v>
      </c>
      <c r="J1884" s="1" t="str">
        <f aca="false">IF(A1884="","", "SAMP-"&amp;A1884&amp;"-L"&amp;TEXT(B1884,"00")&amp;"-"&amp;TEXT(C1884,"yyyymmdd")&amp;"-"&amp;D1884&amp;"-H"&amp;TEXT(E1884,"00")&amp;"-"&amp;H1884)</f>
        <v>SAMP-KG01-L24-20251209-ORD-2025-00267-H20-Chip</v>
      </c>
      <c r="K1884" s="1" t="str">
        <f aca="false">IF(A1884="","",IF(AND(G1884&gt;=0,I1884&gt;=0,I1884&lt;=G1884),"OK","CHECK"))</f>
        <v>OK</v>
      </c>
      <c r="L1884" s="1" t="str">
        <f aca="false">IF(A1884="","",IF(AND(E1884&gt;=0,E1884&lt;=23),"OK","CHECK"))</f>
        <v>OK</v>
      </c>
      <c r="M1884" s="1" t="str">
        <f aca="false">IF(A1884="","",IF(AND(K1884="OK",L1884="OK"),"OK","CHECK"))</f>
        <v>OK</v>
      </c>
    </row>
    <row r="1885" customFormat="false" ht="18" hidden="false" customHeight="true" outlineLevel="0" collapsed="false">
      <c r="A1885" s="9" t="s">
        <v>26</v>
      </c>
      <c r="B1885" s="9" t="n">
        <v>24</v>
      </c>
      <c r="C1885" s="11" t="n">
        <v>46000</v>
      </c>
      <c r="D1885" s="9" t="s">
        <v>156</v>
      </c>
      <c r="E1885" s="12" t="n">
        <v>23</v>
      </c>
      <c r="F1885" s="9" t="s">
        <v>31</v>
      </c>
      <c r="G1885" s="13" t="n">
        <v>150</v>
      </c>
      <c r="H1885" s="9" t="s">
        <v>29</v>
      </c>
      <c r="I1885" s="13" t="n">
        <v>0</v>
      </c>
      <c r="J1885" s="1" t="str">
        <f aca="false">IF(A1885="","", "SAMP-"&amp;A1885&amp;"-L"&amp;TEXT(B1885,"00")&amp;"-"&amp;TEXT(C1885,"yyyymmdd")&amp;"-"&amp;D1885&amp;"-H"&amp;TEXT(E1885,"00")&amp;"-"&amp;H1885)</f>
        <v>SAMP-KG01-L24-20251209-ORD-2025-00267-H23-Choke Neck</v>
      </c>
      <c r="K1885" s="1" t="str">
        <f aca="false">IF(A1885="","",IF(AND(G1885&gt;=0,I1885&gt;=0,I1885&lt;=G1885),"OK","CHECK"))</f>
        <v>OK</v>
      </c>
      <c r="L1885" s="1" t="str">
        <f aca="false">IF(A1885="","",IF(AND(E1885&gt;=0,E1885&lt;=23),"OK","CHECK"))</f>
        <v>OK</v>
      </c>
      <c r="M1885" s="1" t="str">
        <f aca="false">IF(A1885="","",IF(AND(K1885="OK",L1885="OK"),"OK","CHECK"))</f>
        <v>OK</v>
      </c>
    </row>
    <row r="1886" customFormat="false" ht="18" hidden="false" customHeight="true" outlineLevel="0" collapsed="false">
      <c r="A1886" s="9" t="s">
        <v>26</v>
      </c>
      <c r="B1886" s="9" t="n">
        <v>24</v>
      </c>
      <c r="C1886" s="11" t="n">
        <v>46000</v>
      </c>
      <c r="D1886" s="9" t="s">
        <v>156</v>
      </c>
      <c r="E1886" s="12" t="n">
        <v>16</v>
      </c>
      <c r="F1886" s="9" t="s">
        <v>31</v>
      </c>
      <c r="G1886" s="13" t="n">
        <v>200</v>
      </c>
      <c r="H1886" s="9" t="s">
        <v>38</v>
      </c>
      <c r="I1886" s="13" t="n">
        <v>8</v>
      </c>
      <c r="J1886" s="1" t="str">
        <f aca="false">IF(A1886="","", "SAMP-"&amp;A1886&amp;"-L"&amp;TEXT(B1886,"00")&amp;"-"&amp;TEXT(C1886,"yyyymmdd")&amp;"-"&amp;D1886&amp;"-H"&amp;TEXT(E1886,"00")&amp;"-"&amp;H1886)</f>
        <v>SAMP-KG01-L24-20251209-ORD-2025-00267-H16-Crack</v>
      </c>
      <c r="K1886" s="1" t="str">
        <f aca="false">IF(A1886="","",IF(AND(G1886&gt;=0,I1886&gt;=0,I1886&lt;=G1886),"OK","CHECK"))</f>
        <v>OK</v>
      </c>
      <c r="L1886" s="1" t="str">
        <f aca="false">IF(A1886="","",IF(AND(E1886&gt;=0,E1886&lt;=23),"OK","CHECK"))</f>
        <v>OK</v>
      </c>
      <c r="M1886" s="1" t="str">
        <f aca="false">IF(A1886="","",IF(AND(K1886="OK",L1886="OK"),"OK","CHECK"))</f>
        <v>OK</v>
      </c>
    </row>
    <row r="1887" customFormat="false" ht="18" hidden="false" customHeight="true" outlineLevel="0" collapsed="false">
      <c r="A1887" s="9" t="s">
        <v>26</v>
      </c>
      <c r="B1887" s="9" t="n">
        <v>24</v>
      </c>
      <c r="C1887" s="11" t="n">
        <v>46001</v>
      </c>
      <c r="D1887" s="9" t="s">
        <v>157</v>
      </c>
      <c r="E1887" s="12" t="n">
        <v>7</v>
      </c>
      <c r="F1887" s="9" t="s">
        <v>28</v>
      </c>
      <c r="G1887" s="13" t="n">
        <v>150</v>
      </c>
      <c r="H1887" s="9" t="s">
        <v>35</v>
      </c>
      <c r="I1887" s="13" t="n">
        <v>4</v>
      </c>
      <c r="J1887" s="1" t="str">
        <f aca="false">IF(A1887="","", "SAMP-"&amp;A1887&amp;"-L"&amp;TEXT(B1887,"00")&amp;"-"&amp;TEXT(C1887,"yyyymmdd")&amp;"-"&amp;D1887&amp;"-H"&amp;TEXT(E1887,"00")&amp;"-"&amp;H1887)</f>
        <v>SAMP-KG01-L24-20251210-ORD-2025-00268-H07-Stone</v>
      </c>
      <c r="K1887" s="1" t="str">
        <f aca="false">IF(A1887="","",IF(AND(G1887&gt;=0,I1887&gt;=0,I1887&lt;=G1887),"OK","CHECK"))</f>
        <v>OK</v>
      </c>
      <c r="L1887" s="1" t="str">
        <f aca="false">IF(A1887="","",IF(AND(E1887&gt;=0,E1887&lt;=23),"OK","CHECK"))</f>
        <v>OK</v>
      </c>
      <c r="M1887" s="1" t="str">
        <f aca="false">IF(A1887="","",IF(AND(K1887="OK",L1887="OK"),"OK","CHECK"))</f>
        <v>OK</v>
      </c>
    </row>
    <row r="1888" customFormat="false" ht="18" hidden="false" customHeight="true" outlineLevel="0" collapsed="false">
      <c r="A1888" s="9" t="s">
        <v>26</v>
      </c>
      <c r="B1888" s="9" t="n">
        <v>24</v>
      </c>
      <c r="C1888" s="11" t="n">
        <v>46001</v>
      </c>
      <c r="D1888" s="9" t="s">
        <v>157</v>
      </c>
      <c r="E1888" s="12" t="n">
        <v>12</v>
      </c>
      <c r="F1888" s="9" t="s">
        <v>28</v>
      </c>
      <c r="G1888" s="13" t="n">
        <v>100</v>
      </c>
      <c r="H1888" s="9" t="s">
        <v>29</v>
      </c>
      <c r="I1888" s="13" t="n">
        <v>4</v>
      </c>
      <c r="J1888" s="1" t="str">
        <f aca="false">IF(A1888="","", "SAMP-"&amp;A1888&amp;"-L"&amp;TEXT(B1888,"00")&amp;"-"&amp;TEXT(C1888,"yyyymmdd")&amp;"-"&amp;D1888&amp;"-H"&amp;TEXT(E1888,"00")&amp;"-"&amp;H1888)</f>
        <v>SAMP-KG01-L24-20251210-ORD-2025-00268-H12-Choke Neck</v>
      </c>
      <c r="K1888" s="1" t="str">
        <f aca="false">IF(A1888="","",IF(AND(G1888&gt;=0,I1888&gt;=0,I1888&lt;=G1888),"OK","CHECK"))</f>
        <v>OK</v>
      </c>
      <c r="L1888" s="1" t="str">
        <f aca="false">IF(A1888="","",IF(AND(E1888&gt;=0,E1888&lt;=23),"OK","CHECK"))</f>
        <v>OK</v>
      </c>
      <c r="M1888" s="1" t="str">
        <f aca="false">IF(A1888="","",IF(AND(K1888="OK",L1888="OK"),"OK","CHECK"))</f>
        <v>OK</v>
      </c>
    </row>
    <row r="1889" customFormat="false" ht="18" hidden="false" customHeight="true" outlineLevel="0" collapsed="false">
      <c r="A1889" s="9" t="s">
        <v>26</v>
      </c>
      <c r="B1889" s="9" t="n">
        <v>24</v>
      </c>
      <c r="C1889" s="11" t="n">
        <v>46001</v>
      </c>
      <c r="D1889" s="9" t="s">
        <v>157</v>
      </c>
      <c r="E1889" s="12" t="n">
        <v>20</v>
      </c>
      <c r="F1889" s="9" t="s">
        <v>31</v>
      </c>
      <c r="G1889" s="13" t="n">
        <v>100</v>
      </c>
      <c r="H1889" s="9" t="s">
        <v>38</v>
      </c>
      <c r="I1889" s="13" t="n">
        <v>1</v>
      </c>
      <c r="J1889" s="1" t="str">
        <f aca="false">IF(A1889="","", "SAMP-"&amp;A1889&amp;"-L"&amp;TEXT(B1889,"00")&amp;"-"&amp;TEXT(C1889,"yyyymmdd")&amp;"-"&amp;D1889&amp;"-H"&amp;TEXT(E1889,"00")&amp;"-"&amp;H1889)</f>
        <v>SAMP-KG01-L24-20251210-ORD-2025-00268-H20-Crack</v>
      </c>
      <c r="K1889" s="1" t="str">
        <f aca="false">IF(A1889="","",IF(AND(G1889&gt;=0,I1889&gt;=0,I1889&lt;=G1889),"OK","CHECK"))</f>
        <v>OK</v>
      </c>
      <c r="L1889" s="1" t="str">
        <f aca="false">IF(A1889="","",IF(AND(E1889&gt;=0,E1889&lt;=23),"OK","CHECK"))</f>
        <v>OK</v>
      </c>
      <c r="M1889" s="1" t="str">
        <f aca="false">IF(A1889="","",IF(AND(K1889="OK",L1889="OK"),"OK","CHECK"))</f>
        <v>OK</v>
      </c>
    </row>
    <row r="1890" customFormat="false" ht="18" hidden="false" customHeight="true" outlineLevel="0" collapsed="false">
      <c r="A1890" s="9" t="s">
        <v>26</v>
      </c>
      <c r="B1890" s="9" t="n">
        <v>24</v>
      </c>
      <c r="C1890" s="11" t="n">
        <v>46001</v>
      </c>
      <c r="D1890" s="9" t="s">
        <v>157</v>
      </c>
      <c r="E1890" s="12" t="n">
        <v>23</v>
      </c>
      <c r="F1890" s="9" t="s">
        <v>31</v>
      </c>
      <c r="G1890" s="13" t="n">
        <v>100</v>
      </c>
      <c r="H1890" s="9" t="s">
        <v>33</v>
      </c>
      <c r="I1890" s="13" t="n">
        <v>3</v>
      </c>
      <c r="J1890" s="1" t="str">
        <f aca="false">IF(A1890="","", "SAMP-"&amp;A1890&amp;"-L"&amp;TEXT(B1890,"00")&amp;"-"&amp;TEXT(C1890,"yyyymmdd")&amp;"-"&amp;D1890&amp;"-H"&amp;TEXT(E1890,"00")&amp;"-"&amp;H1890)</f>
        <v>SAMP-KG01-L24-20251210-ORD-2025-00268-H23-Distortion</v>
      </c>
      <c r="K1890" s="1" t="str">
        <f aca="false">IF(A1890="","",IF(AND(G1890&gt;=0,I1890&gt;=0,I1890&lt;=G1890),"OK","CHECK"))</f>
        <v>OK</v>
      </c>
      <c r="L1890" s="1" t="str">
        <f aca="false">IF(A1890="","",IF(AND(E1890&gt;=0,E1890&lt;=23),"OK","CHECK"))</f>
        <v>OK</v>
      </c>
      <c r="M1890" s="1" t="str">
        <f aca="false">IF(A1890="","",IF(AND(K1890="OK",L1890="OK"),"OK","CHECK"))</f>
        <v>OK</v>
      </c>
    </row>
    <row r="1891" customFormat="false" ht="18" hidden="false" customHeight="true" outlineLevel="0" collapsed="false">
      <c r="A1891" s="9" t="s">
        <v>26</v>
      </c>
      <c r="B1891" s="9" t="n">
        <v>24</v>
      </c>
      <c r="C1891" s="11" t="n">
        <v>46001</v>
      </c>
      <c r="D1891" s="9" t="s">
        <v>157</v>
      </c>
      <c r="E1891" s="12" t="n">
        <v>16</v>
      </c>
      <c r="F1891" s="9" t="s">
        <v>31</v>
      </c>
      <c r="G1891" s="13" t="n">
        <v>100</v>
      </c>
      <c r="H1891" s="9" t="s">
        <v>37</v>
      </c>
      <c r="I1891" s="13" t="n">
        <v>2</v>
      </c>
      <c r="J1891" s="1" t="str">
        <f aca="false">IF(A1891="","", "SAMP-"&amp;A1891&amp;"-L"&amp;TEXT(B1891,"00")&amp;"-"&amp;TEXT(C1891,"yyyymmdd")&amp;"-"&amp;D1891&amp;"-H"&amp;TEXT(E1891,"00")&amp;"-"&amp;H1891)</f>
        <v>SAMP-KG01-L24-20251210-ORD-2025-00268-H16-Bird Swing</v>
      </c>
      <c r="K1891" s="1" t="str">
        <f aca="false">IF(A1891="","",IF(AND(G1891&gt;=0,I1891&gt;=0,I1891&lt;=G1891),"OK","CHECK"))</f>
        <v>OK</v>
      </c>
      <c r="L1891" s="1" t="str">
        <f aca="false">IF(A1891="","",IF(AND(E1891&gt;=0,E1891&lt;=23),"OK","CHECK"))</f>
        <v>OK</v>
      </c>
      <c r="M1891" s="1" t="str">
        <f aca="false">IF(A1891="","",IF(AND(K1891="OK",L1891="OK"),"OK","CHECK"))</f>
        <v>OK</v>
      </c>
    </row>
    <row r="1892" customFormat="false" ht="18" hidden="false" customHeight="true" outlineLevel="0" collapsed="false">
      <c r="A1892" s="9" t="s">
        <v>26</v>
      </c>
      <c r="B1892" s="9" t="n">
        <v>24</v>
      </c>
      <c r="C1892" s="11" t="n">
        <v>46002</v>
      </c>
      <c r="D1892" s="9" t="s">
        <v>157</v>
      </c>
      <c r="E1892" s="12" t="n">
        <v>7</v>
      </c>
      <c r="F1892" s="9" t="s">
        <v>28</v>
      </c>
      <c r="G1892" s="13" t="n">
        <v>50</v>
      </c>
      <c r="H1892" s="9" t="s">
        <v>34</v>
      </c>
      <c r="I1892" s="13" t="n">
        <v>1</v>
      </c>
      <c r="J1892" s="1" t="str">
        <f aca="false">IF(A1892="","", "SAMP-"&amp;A1892&amp;"-L"&amp;TEXT(B1892,"00")&amp;"-"&amp;TEXT(C1892,"yyyymmdd")&amp;"-"&amp;D1892&amp;"-H"&amp;TEXT(E1892,"00")&amp;"-"&amp;H1892)</f>
        <v>SAMP-KG01-L24-20251211-ORD-2025-00268-H07-Thin Wall</v>
      </c>
      <c r="K1892" s="1" t="str">
        <f aca="false">IF(A1892="","",IF(AND(G1892&gt;=0,I1892&gt;=0,I1892&lt;=G1892),"OK","CHECK"))</f>
        <v>OK</v>
      </c>
      <c r="L1892" s="1" t="str">
        <f aca="false">IF(A1892="","",IF(AND(E1892&gt;=0,E1892&lt;=23),"OK","CHECK"))</f>
        <v>OK</v>
      </c>
      <c r="M1892" s="1" t="str">
        <f aca="false">IF(A1892="","",IF(AND(K1892="OK",L1892="OK"),"OK","CHECK"))</f>
        <v>OK</v>
      </c>
    </row>
    <row r="1893" customFormat="false" ht="18" hidden="false" customHeight="true" outlineLevel="0" collapsed="false">
      <c r="A1893" s="9" t="s">
        <v>26</v>
      </c>
      <c r="B1893" s="9" t="n">
        <v>24</v>
      </c>
      <c r="C1893" s="11" t="n">
        <v>46002</v>
      </c>
      <c r="D1893" s="9" t="s">
        <v>157</v>
      </c>
      <c r="E1893" s="12" t="n">
        <v>9</v>
      </c>
      <c r="F1893" s="9" t="s">
        <v>28</v>
      </c>
      <c r="G1893" s="13" t="n">
        <v>50</v>
      </c>
      <c r="H1893" s="9" t="s">
        <v>30</v>
      </c>
      <c r="I1893" s="13" t="n">
        <v>2</v>
      </c>
      <c r="J1893" s="1" t="str">
        <f aca="false">IF(A1893="","", "SAMP-"&amp;A1893&amp;"-L"&amp;TEXT(B1893,"00")&amp;"-"&amp;TEXT(C1893,"yyyymmdd")&amp;"-"&amp;D1893&amp;"-H"&amp;TEXT(E1893,"00")&amp;"-"&amp;H1893)</f>
        <v>SAMP-KG01-L24-20251211-ORD-2025-00268-H09-Overpress</v>
      </c>
      <c r="K1893" s="1" t="str">
        <f aca="false">IF(A1893="","",IF(AND(G1893&gt;=0,I1893&gt;=0,I1893&lt;=G1893),"OK","CHECK"))</f>
        <v>OK</v>
      </c>
      <c r="L1893" s="1" t="str">
        <f aca="false">IF(A1893="","",IF(AND(E1893&gt;=0,E1893&lt;=23),"OK","CHECK"))</f>
        <v>OK</v>
      </c>
      <c r="M1893" s="1" t="str">
        <f aca="false">IF(A1893="","",IF(AND(K1893="OK",L1893="OK"),"OK","CHECK"))</f>
        <v>OK</v>
      </c>
    </row>
    <row r="1894" customFormat="false" ht="18" hidden="false" customHeight="true" outlineLevel="0" collapsed="false">
      <c r="A1894" s="9" t="s">
        <v>26</v>
      </c>
      <c r="B1894" s="9" t="n">
        <v>24</v>
      </c>
      <c r="C1894" s="11" t="n">
        <v>46002</v>
      </c>
      <c r="D1894" s="9" t="s">
        <v>157</v>
      </c>
      <c r="E1894" s="12" t="n">
        <v>16</v>
      </c>
      <c r="F1894" s="9" t="s">
        <v>31</v>
      </c>
      <c r="G1894" s="13" t="n">
        <v>100</v>
      </c>
      <c r="H1894" s="9" t="s">
        <v>33</v>
      </c>
      <c r="I1894" s="13" t="n">
        <v>1</v>
      </c>
      <c r="J1894" s="1" t="str">
        <f aca="false">IF(A1894="","", "SAMP-"&amp;A1894&amp;"-L"&amp;TEXT(B1894,"00")&amp;"-"&amp;TEXT(C1894,"yyyymmdd")&amp;"-"&amp;D1894&amp;"-H"&amp;TEXT(E1894,"00")&amp;"-"&amp;H1894)</f>
        <v>SAMP-KG01-L24-20251211-ORD-2025-00268-H16-Distortion</v>
      </c>
      <c r="K1894" s="1" t="str">
        <f aca="false">IF(A1894="","",IF(AND(G1894&gt;=0,I1894&gt;=0,I1894&lt;=G1894),"OK","CHECK"))</f>
        <v>OK</v>
      </c>
      <c r="L1894" s="1" t="str">
        <f aca="false">IF(A1894="","",IF(AND(E1894&gt;=0,E1894&lt;=23),"OK","CHECK"))</f>
        <v>OK</v>
      </c>
      <c r="M1894" s="1" t="str">
        <f aca="false">IF(A1894="","",IF(AND(K1894="OK",L1894="OK"),"OK","CHECK"))</f>
        <v>OK</v>
      </c>
    </row>
    <row r="1895" customFormat="false" ht="18" hidden="false" customHeight="true" outlineLevel="0" collapsed="false">
      <c r="A1895" s="9" t="s">
        <v>26</v>
      </c>
      <c r="B1895" s="9" t="n">
        <v>24</v>
      </c>
      <c r="C1895" s="11" t="n">
        <v>46002</v>
      </c>
      <c r="D1895" s="9" t="s">
        <v>157</v>
      </c>
      <c r="E1895" s="12" t="n">
        <v>23</v>
      </c>
      <c r="F1895" s="9" t="s">
        <v>31</v>
      </c>
      <c r="G1895" s="13" t="n">
        <v>50</v>
      </c>
      <c r="H1895" s="9" t="s">
        <v>29</v>
      </c>
      <c r="I1895" s="13" t="n">
        <v>1</v>
      </c>
      <c r="J1895" s="1" t="str">
        <f aca="false">IF(A1895="","", "SAMP-"&amp;A1895&amp;"-L"&amp;TEXT(B1895,"00")&amp;"-"&amp;TEXT(C1895,"yyyymmdd")&amp;"-"&amp;D1895&amp;"-H"&amp;TEXT(E1895,"00")&amp;"-"&amp;H1895)</f>
        <v>SAMP-KG01-L24-20251211-ORD-2025-00268-H23-Choke Neck</v>
      </c>
      <c r="K1895" s="1" t="str">
        <f aca="false">IF(A1895="","",IF(AND(G1895&gt;=0,I1895&gt;=0,I1895&lt;=G1895),"OK","CHECK"))</f>
        <v>OK</v>
      </c>
      <c r="L1895" s="1" t="str">
        <f aca="false">IF(A1895="","",IF(AND(E1895&gt;=0,E1895&lt;=23),"OK","CHECK"))</f>
        <v>OK</v>
      </c>
      <c r="M1895" s="1" t="str">
        <f aca="false">IF(A1895="","",IF(AND(K1895="OK",L1895="OK"),"OK","CHECK"))</f>
        <v>OK</v>
      </c>
    </row>
    <row r="1896" customFormat="false" ht="18" hidden="false" customHeight="true" outlineLevel="0" collapsed="false">
      <c r="A1896" s="9" t="s">
        <v>26</v>
      </c>
      <c r="B1896" s="9" t="n">
        <v>24</v>
      </c>
      <c r="C1896" s="11" t="n">
        <v>46002</v>
      </c>
      <c r="D1896" s="9" t="s">
        <v>157</v>
      </c>
      <c r="E1896" s="12" t="n">
        <v>20</v>
      </c>
      <c r="F1896" s="9" t="s">
        <v>31</v>
      </c>
      <c r="G1896" s="13" t="n">
        <v>50</v>
      </c>
      <c r="H1896" s="9" t="s">
        <v>30</v>
      </c>
      <c r="I1896" s="13" t="n">
        <v>1</v>
      </c>
      <c r="J1896" s="1" t="str">
        <f aca="false">IF(A1896="","", "SAMP-"&amp;A1896&amp;"-L"&amp;TEXT(B1896,"00")&amp;"-"&amp;TEXT(C1896,"yyyymmdd")&amp;"-"&amp;D1896&amp;"-H"&amp;TEXT(E1896,"00")&amp;"-"&amp;H1896)</f>
        <v>SAMP-KG01-L24-20251211-ORD-2025-00268-H20-Overpress</v>
      </c>
      <c r="K1896" s="1" t="str">
        <f aca="false">IF(A1896="","",IF(AND(G1896&gt;=0,I1896&gt;=0,I1896&lt;=G1896),"OK","CHECK"))</f>
        <v>OK</v>
      </c>
      <c r="L1896" s="1" t="str">
        <f aca="false">IF(A1896="","",IF(AND(E1896&gt;=0,E1896&lt;=23),"OK","CHECK"))</f>
        <v>OK</v>
      </c>
      <c r="M1896" s="1" t="str">
        <f aca="false">IF(A1896="","",IF(AND(K1896="OK",L1896="OK"),"OK","CHECK"))</f>
        <v>OK</v>
      </c>
    </row>
    <row r="1897" customFormat="false" ht="18" hidden="false" customHeight="true" outlineLevel="0" collapsed="false">
      <c r="A1897" s="9" t="s">
        <v>26</v>
      </c>
      <c r="B1897" s="9" t="n">
        <v>24</v>
      </c>
      <c r="C1897" s="11" t="n">
        <v>46003</v>
      </c>
      <c r="D1897" s="9" t="s">
        <v>157</v>
      </c>
      <c r="E1897" s="12" t="n">
        <v>12</v>
      </c>
      <c r="F1897" s="9" t="s">
        <v>28</v>
      </c>
      <c r="G1897" s="13" t="n">
        <v>100</v>
      </c>
      <c r="H1897" s="9" t="s">
        <v>35</v>
      </c>
      <c r="I1897" s="13" t="n">
        <v>2</v>
      </c>
      <c r="J1897" s="1" t="str">
        <f aca="false">IF(A1897="","", "SAMP-"&amp;A1897&amp;"-L"&amp;TEXT(B1897,"00")&amp;"-"&amp;TEXT(C1897,"yyyymmdd")&amp;"-"&amp;D1897&amp;"-H"&amp;TEXT(E1897,"00")&amp;"-"&amp;H1897)</f>
        <v>SAMP-KG01-L24-20251212-ORD-2025-00268-H12-Stone</v>
      </c>
      <c r="K1897" s="1" t="str">
        <f aca="false">IF(A1897="","",IF(AND(G1897&gt;=0,I1897&gt;=0,I1897&lt;=G1897),"OK","CHECK"))</f>
        <v>OK</v>
      </c>
      <c r="L1897" s="1" t="str">
        <f aca="false">IF(A1897="","",IF(AND(E1897&gt;=0,E1897&lt;=23),"OK","CHECK"))</f>
        <v>OK</v>
      </c>
      <c r="M1897" s="1" t="str">
        <f aca="false">IF(A1897="","",IF(AND(K1897="OK",L1897="OK"),"OK","CHECK"))</f>
        <v>OK</v>
      </c>
    </row>
    <row r="1898" customFormat="false" ht="18" hidden="false" customHeight="true" outlineLevel="0" collapsed="false">
      <c r="A1898" s="9" t="s">
        <v>26</v>
      </c>
      <c r="B1898" s="9" t="n">
        <v>24</v>
      </c>
      <c r="C1898" s="11" t="n">
        <v>46003</v>
      </c>
      <c r="D1898" s="9" t="s">
        <v>157</v>
      </c>
      <c r="E1898" s="12" t="n">
        <v>7</v>
      </c>
      <c r="F1898" s="9" t="s">
        <v>28</v>
      </c>
      <c r="G1898" s="13" t="n">
        <v>100</v>
      </c>
      <c r="H1898" s="9" t="s">
        <v>30</v>
      </c>
      <c r="I1898" s="13" t="n">
        <v>1</v>
      </c>
      <c r="J1898" s="1" t="str">
        <f aca="false">IF(A1898="","", "SAMP-"&amp;A1898&amp;"-L"&amp;TEXT(B1898,"00")&amp;"-"&amp;TEXT(C1898,"yyyymmdd")&amp;"-"&amp;D1898&amp;"-H"&amp;TEXT(E1898,"00")&amp;"-"&amp;H1898)</f>
        <v>SAMP-KG01-L24-20251212-ORD-2025-00268-H07-Overpress</v>
      </c>
      <c r="K1898" s="1" t="str">
        <f aca="false">IF(A1898="","",IF(AND(G1898&gt;=0,I1898&gt;=0,I1898&lt;=G1898),"OK","CHECK"))</f>
        <v>OK</v>
      </c>
      <c r="L1898" s="1" t="str">
        <f aca="false">IF(A1898="","",IF(AND(E1898&gt;=0,E1898&lt;=23),"OK","CHECK"))</f>
        <v>OK</v>
      </c>
      <c r="M1898" s="1" t="str">
        <f aca="false">IF(A1898="","",IF(AND(K1898="OK",L1898="OK"),"OK","CHECK"))</f>
        <v>OK</v>
      </c>
    </row>
    <row r="1899" customFormat="false" ht="18" hidden="false" customHeight="true" outlineLevel="0" collapsed="false">
      <c r="A1899" s="9" t="s">
        <v>26</v>
      </c>
      <c r="B1899" s="9" t="n">
        <v>24</v>
      </c>
      <c r="C1899" s="11" t="n">
        <v>46003</v>
      </c>
      <c r="D1899" s="9" t="s">
        <v>157</v>
      </c>
      <c r="E1899" s="12" t="n">
        <v>9</v>
      </c>
      <c r="F1899" s="9" t="s">
        <v>28</v>
      </c>
      <c r="G1899" s="13" t="n">
        <v>150</v>
      </c>
      <c r="H1899" s="9" t="s">
        <v>34</v>
      </c>
      <c r="I1899" s="13" t="n">
        <v>1</v>
      </c>
      <c r="J1899" s="1" t="str">
        <f aca="false">IF(A1899="","", "SAMP-"&amp;A1899&amp;"-L"&amp;TEXT(B1899,"00")&amp;"-"&amp;TEXT(C1899,"yyyymmdd")&amp;"-"&amp;D1899&amp;"-H"&amp;TEXT(E1899,"00")&amp;"-"&amp;H1899)</f>
        <v>SAMP-KG01-L24-20251212-ORD-2025-00268-H09-Thin Wall</v>
      </c>
      <c r="K1899" s="1" t="str">
        <f aca="false">IF(A1899="","",IF(AND(G1899&gt;=0,I1899&gt;=0,I1899&lt;=G1899),"OK","CHECK"))</f>
        <v>OK</v>
      </c>
      <c r="L1899" s="1" t="str">
        <f aca="false">IF(A1899="","",IF(AND(E1899&gt;=0,E1899&lt;=23),"OK","CHECK"))</f>
        <v>OK</v>
      </c>
      <c r="M1899" s="1" t="str">
        <f aca="false">IF(A1899="","",IF(AND(K1899="OK",L1899="OK"),"OK","CHECK"))</f>
        <v>OK</v>
      </c>
    </row>
    <row r="1900" customFormat="false" ht="18" hidden="false" customHeight="true" outlineLevel="0" collapsed="false">
      <c r="A1900" s="9" t="s">
        <v>26</v>
      </c>
      <c r="B1900" s="9" t="n">
        <v>24</v>
      </c>
      <c r="C1900" s="11" t="n">
        <v>46003</v>
      </c>
      <c r="D1900" s="9" t="s">
        <v>157</v>
      </c>
      <c r="E1900" s="12" t="n">
        <v>16</v>
      </c>
      <c r="F1900" s="9" t="s">
        <v>31</v>
      </c>
      <c r="G1900" s="13" t="n">
        <v>50</v>
      </c>
      <c r="H1900" s="9" t="s">
        <v>37</v>
      </c>
      <c r="I1900" s="13" t="n">
        <v>0</v>
      </c>
      <c r="J1900" s="1" t="str">
        <f aca="false">IF(A1900="","", "SAMP-"&amp;A1900&amp;"-L"&amp;TEXT(B1900,"00")&amp;"-"&amp;TEXT(C1900,"yyyymmdd")&amp;"-"&amp;D1900&amp;"-H"&amp;TEXT(E1900,"00")&amp;"-"&amp;H1900)</f>
        <v>SAMP-KG01-L24-20251212-ORD-2025-00268-H16-Bird Swing</v>
      </c>
      <c r="K1900" s="1" t="str">
        <f aca="false">IF(A1900="","",IF(AND(G1900&gt;=0,I1900&gt;=0,I1900&lt;=G1900),"OK","CHECK"))</f>
        <v>OK</v>
      </c>
      <c r="L1900" s="1" t="str">
        <f aca="false">IF(A1900="","",IF(AND(E1900&gt;=0,E1900&lt;=23),"OK","CHECK"))</f>
        <v>OK</v>
      </c>
      <c r="M1900" s="1" t="str">
        <f aca="false">IF(A1900="","",IF(AND(K1900="OK",L1900="OK"),"OK","CHECK"))</f>
        <v>OK</v>
      </c>
    </row>
    <row r="1901" customFormat="false" ht="18" hidden="false" customHeight="true" outlineLevel="0" collapsed="false">
      <c r="A1901" s="9" t="s">
        <v>26</v>
      </c>
      <c r="B1901" s="9" t="n">
        <v>24</v>
      </c>
      <c r="C1901" s="11" t="n">
        <v>46003</v>
      </c>
      <c r="D1901" s="9" t="s">
        <v>157</v>
      </c>
      <c r="E1901" s="12" t="n">
        <v>20</v>
      </c>
      <c r="F1901" s="9" t="s">
        <v>31</v>
      </c>
      <c r="G1901" s="13" t="n">
        <v>50</v>
      </c>
      <c r="H1901" s="9" t="s">
        <v>35</v>
      </c>
      <c r="I1901" s="13" t="n">
        <v>1</v>
      </c>
      <c r="J1901" s="1" t="str">
        <f aca="false">IF(A1901="","", "SAMP-"&amp;A1901&amp;"-L"&amp;TEXT(B1901,"00")&amp;"-"&amp;TEXT(C1901,"yyyymmdd")&amp;"-"&amp;D1901&amp;"-H"&amp;TEXT(E1901,"00")&amp;"-"&amp;H1901)</f>
        <v>SAMP-KG01-L24-20251212-ORD-2025-00268-H20-Stone</v>
      </c>
      <c r="K1901" s="1" t="str">
        <f aca="false">IF(A1901="","",IF(AND(G1901&gt;=0,I1901&gt;=0,I1901&lt;=G1901),"OK","CHECK"))</f>
        <v>OK</v>
      </c>
      <c r="L1901" s="1" t="str">
        <f aca="false">IF(A1901="","",IF(AND(E1901&gt;=0,E1901&lt;=23),"OK","CHECK"))</f>
        <v>OK</v>
      </c>
      <c r="M1901" s="1" t="str">
        <f aca="false">IF(A1901="","",IF(AND(K1901="OK",L1901="OK"),"OK","CHECK"))</f>
        <v>OK</v>
      </c>
    </row>
    <row r="1902" customFormat="false" ht="18" hidden="false" customHeight="true" outlineLevel="0" collapsed="false">
      <c r="A1902" s="9" t="s">
        <v>26</v>
      </c>
      <c r="B1902" s="9" t="n">
        <v>24</v>
      </c>
      <c r="C1902" s="11" t="n">
        <v>46003</v>
      </c>
      <c r="D1902" s="9" t="s">
        <v>157</v>
      </c>
      <c r="E1902" s="12" t="n">
        <v>23</v>
      </c>
      <c r="F1902" s="9" t="s">
        <v>31</v>
      </c>
      <c r="G1902" s="13" t="n">
        <v>150</v>
      </c>
      <c r="H1902" s="9" t="s">
        <v>30</v>
      </c>
      <c r="I1902" s="13" t="n">
        <v>8</v>
      </c>
      <c r="J1902" s="1" t="str">
        <f aca="false">IF(A1902="","", "SAMP-"&amp;A1902&amp;"-L"&amp;TEXT(B1902,"00")&amp;"-"&amp;TEXT(C1902,"yyyymmdd")&amp;"-"&amp;D1902&amp;"-H"&amp;TEXT(E1902,"00")&amp;"-"&amp;H1902)</f>
        <v>SAMP-KG01-L24-20251212-ORD-2025-00268-H23-Overpress</v>
      </c>
      <c r="K1902" s="1" t="str">
        <f aca="false">IF(A1902="","",IF(AND(G1902&gt;=0,I1902&gt;=0,I1902&lt;=G1902),"OK","CHECK"))</f>
        <v>OK</v>
      </c>
      <c r="L1902" s="1" t="str">
        <f aca="false">IF(A1902="","",IF(AND(E1902&gt;=0,E1902&lt;=23),"OK","CHECK"))</f>
        <v>OK</v>
      </c>
      <c r="M1902" s="1" t="str">
        <f aca="false">IF(A1902="","",IF(AND(K1902="OK",L1902="OK"),"OK","CHECK"))</f>
        <v>OK</v>
      </c>
    </row>
    <row r="1903" customFormat="false" ht="18" hidden="false" customHeight="true" outlineLevel="0" collapsed="false">
      <c r="A1903" s="9" t="s">
        <v>26</v>
      </c>
      <c r="B1903" s="9" t="n">
        <v>24</v>
      </c>
      <c r="C1903" s="11" t="n">
        <v>46004</v>
      </c>
      <c r="D1903" s="9" t="s">
        <v>157</v>
      </c>
      <c r="E1903" s="12" t="n">
        <v>9</v>
      </c>
      <c r="F1903" s="9" t="s">
        <v>28</v>
      </c>
      <c r="G1903" s="13" t="n">
        <v>50</v>
      </c>
      <c r="H1903" s="9" t="s">
        <v>30</v>
      </c>
      <c r="I1903" s="13" t="n">
        <v>0</v>
      </c>
      <c r="J1903" s="1" t="str">
        <f aca="false">IF(A1903="","", "SAMP-"&amp;A1903&amp;"-L"&amp;TEXT(B1903,"00")&amp;"-"&amp;TEXT(C1903,"yyyymmdd")&amp;"-"&amp;D1903&amp;"-H"&amp;TEXT(E1903,"00")&amp;"-"&amp;H1903)</f>
        <v>SAMP-KG01-L24-20251213-ORD-2025-00268-H09-Overpress</v>
      </c>
      <c r="K1903" s="1" t="str">
        <f aca="false">IF(A1903="","",IF(AND(G1903&gt;=0,I1903&gt;=0,I1903&lt;=G1903),"OK","CHECK"))</f>
        <v>OK</v>
      </c>
      <c r="L1903" s="1" t="str">
        <f aca="false">IF(A1903="","",IF(AND(E1903&gt;=0,E1903&lt;=23),"OK","CHECK"))</f>
        <v>OK</v>
      </c>
      <c r="M1903" s="1" t="str">
        <f aca="false">IF(A1903="","",IF(AND(K1903="OK",L1903="OK"),"OK","CHECK"))</f>
        <v>OK</v>
      </c>
    </row>
    <row r="1904" customFormat="false" ht="18" hidden="false" customHeight="true" outlineLevel="0" collapsed="false">
      <c r="A1904" s="9" t="s">
        <v>26</v>
      </c>
      <c r="B1904" s="9" t="n">
        <v>24</v>
      </c>
      <c r="C1904" s="11" t="n">
        <v>46004</v>
      </c>
      <c r="D1904" s="9" t="s">
        <v>157</v>
      </c>
      <c r="E1904" s="12" t="n">
        <v>12</v>
      </c>
      <c r="F1904" s="9" t="s">
        <v>28</v>
      </c>
      <c r="G1904" s="13" t="n">
        <v>200</v>
      </c>
      <c r="H1904" s="9" t="s">
        <v>33</v>
      </c>
      <c r="I1904" s="13" t="n">
        <v>2</v>
      </c>
      <c r="J1904" s="1" t="str">
        <f aca="false">IF(A1904="","", "SAMP-"&amp;A1904&amp;"-L"&amp;TEXT(B1904,"00")&amp;"-"&amp;TEXT(C1904,"yyyymmdd")&amp;"-"&amp;D1904&amp;"-H"&amp;TEXT(E1904,"00")&amp;"-"&amp;H1904)</f>
        <v>SAMP-KG01-L24-20251213-ORD-2025-00268-H12-Distortion</v>
      </c>
      <c r="K1904" s="1" t="str">
        <f aca="false">IF(A1904="","",IF(AND(G1904&gt;=0,I1904&gt;=0,I1904&lt;=G1904),"OK","CHECK"))</f>
        <v>OK</v>
      </c>
      <c r="L1904" s="1" t="str">
        <f aca="false">IF(A1904="","",IF(AND(E1904&gt;=0,E1904&lt;=23),"OK","CHECK"))</f>
        <v>OK</v>
      </c>
      <c r="M1904" s="1" t="str">
        <f aca="false">IF(A1904="","",IF(AND(K1904="OK",L1904="OK"),"OK","CHECK"))</f>
        <v>OK</v>
      </c>
    </row>
    <row r="1905" customFormat="false" ht="18" hidden="false" customHeight="true" outlineLevel="0" collapsed="false">
      <c r="A1905" s="9" t="s">
        <v>26</v>
      </c>
      <c r="B1905" s="9" t="n">
        <v>24</v>
      </c>
      <c r="C1905" s="11" t="n">
        <v>46004</v>
      </c>
      <c r="D1905" s="9" t="s">
        <v>157</v>
      </c>
      <c r="E1905" s="12" t="n">
        <v>7</v>
      </c>
      <c r="F1905" s="9" t="s">
        <v>28</v>
      </c>
      <c r="G1905" s="13" t="n">
        <v>150</v>
      </c>
      <c r="H1905" s="9" t="s">
        <v>33</v>
      </c>
      <c r="I1905" s="13" t="n">
        <v>4</v>
      </c>
      <c r="J1905" s="1" t="str">
        <f aca="false">IF(A1905="","", "SAMP-"&amp;A1905&amp;"-L"&amp;TEXT(B1905,"00")&amp;"-"&amp;TEXT(C1905,"yyyymmdd")&amp;"-"&amp;D1905&amp;"-H"&amp;TEXT(E1905,"00")&amp;"-"&amp;H1905)</f>
        <v>SAMP-KG01-L24-20251213-ORD-2025-00268-H07-Distortion</v>
      </c>
      <c r="K1905" s="1" t="str">
        <f aca="false">IF(A1905="","",IF(AND(G1905&gt;=0,I1905&gt;=0,I1905&lt;=G1905),"OK","CHECK"))</f>
        <v>OK</v>
      </c>
      <c r="L1905" s="1" t="str">
        <f aca="false">IF(A1905="","",IF(AND(E1905&gt;=0,E1905&lt;=23),"OK","CHECK"))</f>
        <v>OK</v>
      </c>
      <c r="M1905" s="1" t="str">
        <f aca="false">IF(A1905="","",IF(AND(K1905="OK",L1905="OK"),"OK","CHECK"))</f>
        <v>OK</v>
      </c>
    </row>
    <row r="1906" customFormat="false" ht="18" hidden="false" customHeight="true" outlineLevel="0" collapsed="false">
      <c r="A1906" s="9" t="s">
        <v>26</v>
      </c>
      <c r="B1906" s="9" t="n">
        <v>24</v>
      </c>
      <c r="C1906" s="11" t="n">
        <v>46004</v>
      </c>
      <c r="D1906" s="9" t="s">
        <v>157</v>
      </c>
      <c r="E1906" s="12" t="n">
        <v>20</v>
      </c>
      <c r="F1906" s="9" t="s">
        <v>31</v>
      </c>
      <c r="G1906" s="13" t="n">
        <v>200</v>
      </c>
      <c r="H1906" s="9" t="s">
        <v>30</v>
      </c>
      <c r="I1906" s="13" t="n">
        <v>10</v>
      </c>
      <c r="J1906" s="1" t="str">
        <f aca="false">IF(A1906="","", "SAMP-"&amp;A1906&amp;"-L"&amp;TEXT(B1906,"00")&amp;"-"&amp;TEXT(C1906,"yyyymmdd")&amp;"-"&amp;D1906&amp;"-H"&amp;TEXT(E1906,"00")&amp;"-"&amp;H1906)</f>
        <v>SAMP-KG01-L24-20251213-ORD-2025-00268-H20-Overpress</v>
      </c>
      <c r="K1906" s="1" t="str">
        <f aca="false">IF(A1906="","",IF(AND(G1906&gt;=0,I1906&gt;=0,I1906&lt;=G1906),"OK","CHECK"))</f>
        <v>OK</v>
      </c>
      <c r="L1906" s="1" t="str">
        <f aca="false">IF(A1906="","",IF(AND(E1906&gt;=0,E1906&lt;=23),"OK","CHECK"))</f>
        <v>OK</v>
      </c>
      <c r="M1906" s="1" t="str">
        <f aca="false">IF(A1906="","",IF(AND(K1906="OK",L1906="OK"),"OK","CHECK"))</f>
        <v>OK</v>
      </c>
    </row>
    <row r="1907" customFormat="false" ht="18" hidden="false" customHeight="true" outlineLevel="0" collapsed="false">
      <c r="A1907" s="9" t="s">
        <v>26</v>
      </c>
      <c r="B1907" s="9" t="n">
        <v>24</v>
      </c>
      <c r="C1907" s="11" t="n">
        <v>46004</v>
      </c>
      <c r="D1907" s="9" t="s">
        <v>157</v>
      </c>
      <c r="E1907" s="12" t="n">
        <v>16</v>
      </c>
      <c r="F1907" s="9" t="s">
        <v>31</v>
      </c>
      <c r="G1907" s="13" t="n">
        <v>200</v>
      </c>
      <c r="H1907" s="9" t="s">
        <v>37</v>
      </c>
      <c r="I1907" s="13" t="n">
        <v>0</v>
      </c>
      <c r="J1907" s="1" t="str">
        <f aca="false">IF(A1907="","", "SAMP-"&amp;A1907&amp;"-L"&amp;TEXT(B1907,"00")&amp;"-"&amp;TEXT(C1907,"yyyymmdd")&amp;"-"&amp;D1907&amp;"-H"&amp;TEXT(E1907,"00")&amp;"-"&amp;H1907)</f>
        <v>SAMP-KG01-L24-20251213-ORD-2025-00268-H16-Bird Swing</v>
      </c>
      <c r="K1907" s="1" t="str">
        <f aca="false">IF(A1907="","",IF(AND(G1907&gt;=0,I1907&gt;=0,I1907&lt;=G1907),"OK","CHECK"))</f>
        <v>OK</v>
      </c>
      <c r="L1907" s="1" t="str">
        <f aca="false">IF(A1907="","",IF(AND(E1907&gt;=0,E1907&lt;=23),"OK","CHECK"))</f>
        <v>OK</v>
      </c>
      <c r="M1907" s="1" t="str">
        <f aca="false">IF(A1907="","",IF(AND(K1907="OK",L1907="OK"),"OK","CHECK"))</f>
        <v>OK</v>
      </c>
    </row>
    <row r="1908" customFormat="false" ht="18" hidden="false" customHeight="true" outlineLevel="0" collapsed="false">
      <c r="A1908" s="9" t="s">
        <v>26</v>
      </c>
      <c r="B1908" s="9" t="n">
        <v>24</v>
      </c>
      <c r="C1908" s="11" t="n">
        <v>46004</v>
      </c>
      <c r="D1908" s="9" t="s">
        <v>157</v>
      </c>
      <c r="E1908" s="12" t="n">
        <v>23</v>
      </c>
      <c r="F1908" s="9" t="s">
        <v>31</v>
      </c>
      <c r="G1908" s="13" t="n">
        <v>100</v>
      </c>
      <c r="H1908" s="9" t="s">
        <v>35</v>
      </c>
      <c r="I1908" s="13" t="n">
        <v>0</v>
      </c>
      <c r="J1908" s="1" t="str">
        <f aca="false">IF(A1908="","", "SAMP-"&amp;A1908&amp;"-L"&amp;TEXT(B1908,"00")&amp;"-"&amp;TEXT(C1908,"yyyymmdd")&amp;"-"&amp;D1908&amp;"-H"&amp;TEXT(E1908,"00")&amp;"-"&amp;H1908)</f>
        <v>SAMP-KG01-L24-20251213-ORD-2025-00268-H23-Stone</v>
      </c>
      <c r="K1908" s="1" t="str">
        <f aca="false">IF(A1908="","",IF(AND(G1908&gt;=0,I1908&gt;=0,I1908&lt;=G1908),"OK","CHECK"))</f>
        <v>OK</v>
      </c>
      <c r="L1908" s="1" t="str">
        <f aca="false">IF(A1908="","",IF(AND(E1908&gt;=0,E1908&lt;=23),"OK","CHECK"))</f>
        <v>OK</v>
      </c>
      <c r="M1908" s="1" t="str">
        <f aca="false">IF(A1908="","",IF(AND(K1908="OK",L1908="OK"),"OK","CHECK"))</f>
        <v>OK</v>
      </c>
    </row>
    <row r="1909" customFormat="false" ht="18" hidden="false" customHeight="true" outlineLevel="0" collapsed="false">
      <c r="A1909" s="9" t="s">
        <v>26</v>
      </c>
      <c r="B1909" s="9" t="n">
        <v>24</v>
      </c>
      <c r="C1909" s="11" t="n">
        <v>46005</v>
      </c>
      <c r="D1909" s="9" t="s">
        <v>157</v>
      </c>
      <c r="E1909" s="12" t="n">
        <v>12</v>
      </c>
      <c r="F1909" s="9" t="s">
        <v>28</v>
      </c>
      <c r="G1909" s="13" t="n">
        <v>100</v>
      </c>
      <c r="H1909" s="9" t="s">
        <v>30</v>
      </c>
      <c r="I1909" s="13" t="n">
        <v>2</v>
      </c>
      <c r="J1909" s="1" t="str">
        <f aca="false">IF(A1909="","", "SAMP-"&amp;A1909&amp;"-L"&amp;TEXT(B1909,"00")&amp;"-"&amp;TEXT(C1909,"yyyymmdd")&amp;"-"&amp;D1909&amp;"-H"&amp;TEXT(E1909,"00")&amp;"-"&amp;H1909)</f>
        <v>SAMP-KG01-L24-20251214-ORD-2025-00268-H12-Overpress</v>
      </c>
      <c r="K1909" s="1" t="str">
        <f aca="false">IF(A1909="","",IF(AND(G1909&gt;=0,I1909&gt;=0,I1909&lt;=G1909),"OK","CHECK"))</f>
        <v>OK</v>
      </c>
      <c r="L1909" s="1" t="str">
        <f aca="false">IF(A1909="","",IF(AND(E1909&gt;=0,E1909&lt;=23),"OK","CHECK"))</f>
        <v>OK</v>
      </c>
      <c r="M1909" s="1" t="str">
        <f aca="false">IF(A1909="","",IF(AND(K1909="OK",L1909="OK"),"OK","CHECK"))</f>
        <v>OK</v>
      </c>
    </row>
    <row r="1910" customFormat="false" ht="18" hidden="false" customHeight="true" outlineLevel="0" collapsed="false">
      <c r="A1910" s="9" t="s">
        <v>26</v>
      </c>
      <c r="B1910" s="9" t="n">
        <v>24</v>
      </c>
      <c r="C1910" s="11" t="n">
        <v>46005</v>
      </c>
      <c r="D1910" s="9" t="s">
        <v>157</v>
      </c>
      <c r="E1910" s="12" t="n">
        <v>9</v>
      </c>
      <c r="F1910" s="9" t="s">
        <v>28</v>
      </c>
      <c r="G1910" s="13" t="n">
        <v>200</v>
      </c>
      <c r="H1910" s="9" t="s">
        <v>33</v>
      </c>
      <c r="I1910" s="13" t="n">
        <v>1</v>
      </c>
      <c r="J1910" s="1" t="str">
        <f aca="false">IF(A1910="","", "SAMP-"&amp;A1910&amp;"-L"&amp;TEXT(B1910,"00")&amp;"-"&amp;TEXT(C1910,"yyyymmdd")&amp;"-"&amp;D1910&amp;"-H"&amp;TEXT(E1910,"00")&amp;"-"&amp;H1910)</f>
        <v>SAMP-KG01-L24-20251214-ORD-2025-00268-H09-Distortion</v>
      </c>
      <c r="K1910" s="1" t="str">
        <f aca="false">IF(A1910="","",IF(AND(G1910&gt;=0,I1910&gt;=0,I1910&lt;=G1910),"OK","CHECK"))</f>
        <v>OK</v>
      </c>
      <c r="L1910" s="1" t="str">
        <f aca="false">IF(A1910="","",IF(AND(E1910&gt;=0,E1910&lt;=23),"OK","CHECK"))</f>
        <v>OK</v>
      </c>
      <c r="M1910" s="1" t="str">
        <f aca="false">IF(A1910="","",IF(AND(K1910="OK",L1910="OK"),"OK","CHECK"))</f>
        <v>OK</v>
      </c>
    </row>
    <row r="1911" customFormat="false" ht="18" hidden="false" customHeight="true" outlineLevel="0" collapsed="false">
      <c r="A1911" s="9" t="s">
        <v>26</v>
      </c>
      <c r="B1911" s="9" t="n">
        <v>24</v>
      </c>
      <c r="C1911" s="11" t="n">
        <v>46005</v>
      </c>
      <c r="D1911" s="9" t="s">
        <v>157</v>
      </c>
      <c r="E1911" s="12" t="n">
        <v>7</v>
      </c>
      <c r="F1911" s="9" t="s">
        <v>28</v>
      </c>
      <c r="G1911" s="13" t="n">
        <v>150</v>
      </c>
      <c r="H1911" s="9" t="s">
        <v>29</v>
      </c>
      <c r="I1911" s="13" t="n">
        <v>4</v>
      </c>
      <c r="J1911" s="1" t="str">
        <f aca="false">IF(A1911="","", "SAMP-"&amp;A1911&amp;"-L"&amp;TEXT(B1911,"00")&amp;"-"&amp;TEXT(C1911,"yyyymmdd")&amp;"-"&amp;D1911&amp;"-H"&amp;TEXT(E1911,"00")&amp;"-"&amp;H1911)</f>
        <v>SAMP-KG01-L24-20251214-ORD-2025-00268-H07-Choke Neck</v>
      </c>
      <c r="K1911" s="1" t="str">
        <f aca="false">IF(A1911="","",IF(AND(G1911&gt;=0,I1911&gt;=0,I1911&lt;=G1911),"OK","CHECK"))</f>
        <v>OK</v>
      </c>
      <c r="L1911" s="1" t="str">
        <f aca="false">IF(A1911="","",IF(AND(E1911&gt;=0,E1911&lt;=23),"OK","CHECK"))</f>
        <v>OK</v>
      </c>
      <c r="M1911" s="1" t="str">
        <f aca="false">IF(A1911="","",IF(AND(K1911="OK",L1911="OK"),"OK","CHECK"))</f>
        <v>OK</v>
      </c>
    </row>
    <row r="1912" customFormat="false" ht="18" hidden="false" customHeight="true" outlineLevel="0" collapsed="false">
      <c r="A1912" s="9" t="s">
        <v>26</v>
      </c>
      <c r="B1912" s="9" t="n">
        <v>24</v>
      </c>
      <c r="C1912" s="11" t="n">
        <v>46005</v>
      </c>
      <c r="D1912" s="9" t="s">
        <v>158</v>
      </c>
      <c r="E1912" s="12" t="n">
        <v>16</v>
      </c>
      <c r="F1912" s="9" t="s">
        <v>31</v>
      </c>
      <c r="G1912" s="13" t="n">
        <v>200</v>
      </c>
      <c r="H1912" s="9" t="s">
        <v>34</v>
      </c>
      <c r="I1912" s="13" t="n">
        <v>2</v>
      </c>
      <c r="J1912" s="1" t="str">
        <f aca="false">IF(A1912="","", "SAMP-"&amp;A1912&amp;"-L"&amp;TEXT(B1912,"00")&amp;"-"&amp;TEXT(C1912,"yyyymmdd")&amp;"-"&amp;D1912&amp;"-H"&amp;TEXT(E1912,"00")&amp;"-"&amp;H1912)</f>
        <v>SAMP-KG01-L24-20251214-ORD-2025-00269-H16-Thin Wall</v>
      </c>
      <c r="K1912" s="1" t="str">
        <f aca="false">IF(A1912="","",IF(AND(G1912&gt;=0,I1912&gt;=0,I1912&lt;=G1912),"OK","CHECK"))</f>
        <v>OK</v>
      </c>
      <c r="L1912" s="1" t="str">
        <f aca="false">IF(A1912="","",IF(AND(E1912&gt;=0,E1912&lt;=23),"OK","CHECK"))</f>
        <v>OK</v>
      </c>
      <c r="M1912" s="1" t="str">
        <f aca="false">IF(A1912="","",IF(AND(K1912="OK",L1912="OK"),"OK","CHECK"))</f>
        <v>OK</v>
      </c>
    </row>
    <row r="1913" customFormat="false" ht="18" hidden="false" customHeight="true" outlineLevel="0" collapsed="false">
      <c r="A1913" s="9" t="s">
        <v>26</v>
      </c>
      <c r="B1913" s="9" t="n">
        <v>24</v>
      </c>
      <c r="C1913" s="11" t="n">
        <v>46005</v>
      </c>
      <c r="D1913" s="9" t="s">
        <v>158</v>
      </c>
      <c r="E1913" s="12" t="n">
        <v>23</v>
      </c>
      <c r="F1913" s="9" t="s">
        <v>31</v>
      </c>
      <c r="G1913" s="13" t="n">
        <v>150</v>
      </c>
      <c r="H1913" s="9" t="s">
        <v>33</v>
      </c>
      <c r="I1913" s="13" t="n">
        <v>5</v>
      </c>
      <c r="J1913" s="1" t="str">
        <f aca="false">IF(A1913="","", "SAMP-"&amp;A1913&amp;"-L"&amp;TEXT(B1913,"00")&amp;"-"&amp;TEXT(C1913,"yyyymmdd")&amp;"-"&amp;D1913&amp;"-H"&amp;TEXT(E1913,"00")&amp;"-"&amp;H1913)</f>
        <v>SAMP-KG01-L24-20251214-ORD-2025-00269-H23-Distortion</v>
      </c>
      <c r="K1913" s="1" t="str">
        <f aca="false">IF(A1913="","",IF(AND(G1913&gt;=0,I1913&gt;=0,I1913&lt;=G1913),"OK","CHECK"))</f>
        <v>OK</v>
      </c>
      <c r="L1913" s="1" t="str">
        <f aca="false">IF(A1913="","",IF(AND(E1913&gt;=0,E1913&lt;=23),"OK","CHECK"))</f>
        <v>OK</v>
      </c>
      <c r="M1913" s="1" t="str">
        <f aca="false">IF(A1913="","",IF(AND(K1913="OK",L1913="OK"),"OK","CHECK"))</f>
        <v>OK</v>
      </c>
    </row>
    <row r="1914" customFormat="false" ht="18" hidden="false" customHeight="true" outlineLevel="0" collapsed="false">
      <c r="A1914" s="9" t="s">
        <v>26</v>
      </c>
      <c r="B1914" s="9" t="n">
        <v>24</v>
      </c>
      <c r="C1914" s="11" t="n">
        <v>46005</v>
      </c>
      <c r="D1914" s="9" t="s">
        <v>158</v>
      </c>
      <c r="E1914" s="12" t="n">
        <v>20</v>
      </c>
      <c r="F1914" s="9" t="s">
        <v>31</v>
      </c>
      <c r="G1914" s="13" t="n">
        <v>100</v>
      </c>
      <c r="H1914" s="9" t="s">
        <v>30</v>
      </c>
      <c r="I1914" s="13" t="n">
        <v>2</v>
      </c>
      <c r="J1914" s="1" t="str">
        <f aca="false">IF(A1914="","", "SAMP-"&amp;A1914&amp;"-L"&amp;TEXT(B1914,"00")&amp;"-"&amp;TEXT(C1914,"yyyymmdd")&amp;"-"&amp;D1914&amp;"-H"&amp;TEXT(E1914,"00")&amp;"-"&amp;H1914)</f>
        <v>SAMP-KG01-L24-20251214-ORD-2025-00269-H20-Overpress</v>
      </c>
      <c r="K1914" s="1" t="str">
        <f aca="false">IF(A1914="","",IF(AND(G1914&gt;=0,I1914&gt;=0,I1914&lt;=G1914),"OK","CHECK"))</f>
        <v>OK</v>
      </c>
      <c r="L1914" s="1" t="str">
        <f aca="false">IF(A1914="","",IF(AND(E1914&gt;=0,E1914&lt;=23),"OK","CHECK"))</f>
        <v>OK</v>
      </c>
      <c r="M1914" s="1" t="str">
        <f aca="false">IF(A1914="","",IF(AND(K1914="OK",L1914="OK"),"OK","CHECK"))</f>
        <v>OK</v>
      </c>
    </row>
    <row r="1915" customFormat="false" ht="18" hidden="false" customHeight="true" outlineLevel="0" collapsed="false">
      <c r="A1915" s="9" t="s">
        <v>26</v>
      </c>
      <c r="B1915" s="9" t="n">
        <v>24</v>
      </c>
      <c r="C1915" s="11" t="n">
        <v>46006</v>
      </c>
      <c r="D1915" s="9" t="s">
        <v>158</v>
      </c>
      <c r="E1915" s="12" t="n">
        <v>12</v>
      </c>
      <c r="F1915" s="9" t="s">
        <v>28</v>
      </c>
      <c r="G1915" s="13" t="n">
        <v>100</v>
      </c>
      <c r="H1915" s="9" t="s">
        <v>30</v>
      </c>
      <c r="I1915" s="13" t="n">
        <v>0</v>
      </c>
      <c r="J1915" s="1" t="str">
        <f aca="false">IF(A1915="","", "SAMP-"&amp;A1915&amp;"-L"&amp;TEXT(B1915,"00")&amp;"-"&amp;TEXT(C1915,"yyyymmdd")&amp;"-"&amp;D1915&amp;"-H"&amp;TEXT(E1915,"00")&amp;"-"&amp;H1915)</f>
        <v>SAMP-KG01-L24-20251215-ORD-2025-00269-H12-Overpress</v>
      </c>
      <c r="K1915" s="1" t="str">
        <f aca="false">IF(A1915="","",IF(AND(G1915&gt;=0,I1915&gt;=0,I1915&lt;=G1915),"OK","CHECK"))</f>
        <v>OK</v>
      </c>
      <c r="L1915" s="1" t="str">
        <f aca="false">IF(A1915="","",IF(AND(E1915&gt;=0,E1915&lt;=23),"OK","CHECK"))</f>
        <v>OK</v>
      </c>
      <c r="M1915" s="1" t="str">
        <f aca="false">IF(A1915="","",IF(AND(K1915="OK",L1915="OK"),"OK","CHECK"))</f>
        <v>OK</v>
      </c>
    </row>
    <row r="1916" customFormat="false" ht="18" hidden="false" customHeight="true" outlineLevel="0" collapsed="false">
      <c r="A1916" s="9" t="s">
        <v>26</v>
      </c>
      <c r="B1916" s="9" t="n">
        <v>24</v>
      </c>
      <c r="C1916" s="11" t="n">
        <v>46006</v>
      </c>
      <c r="D1916" s="9" t="s">
        <v>158</v>
      </c>
      <c r="E1916" s="12" t="n">
        <v>9</v>
      </c>
      <c r="F1916" s="9" t="s">
        <v>28</v>
      </c>
      <c r="G1916" s="13" t="n">
        <v>150</v>
      </c>
      <c r="H1916" s="9" t="s">
        <v>29</v>
      </c>
      <c r="I1916" s="13" t="n">
        <v>3</v>
      </c>
      <c r="J1916" s="1" t="str">
        <f aca="false">IF(A1916="","", "SAMP-"&amp;A1916&amp;"-L"&amp;TEXT(B1916,"00")&amp;"-"&amp;TEXT(C1916,"yyyymmdd")&amp;"-"&amp;D1916&amp;"-H"&amp;TEXT(E1916,"00")&amp;"-"&amp;H1916)</f>
        <v>SAMP-KG01-L24-20251215-ORD-2025-00269-H09-Choke Neck</v>
      </c>
      <c r="K1916" s="1" t="str">
        <f aca="false">IF(A1916="","",IF(AND(G1916&gt;=0,I1916&gt;=0,I1916&lt;=G1916),"OK","CHECK"))</f>
        <v>OK</v>
      </c>
      <c r="L1916" s="1" t="str">
        <f aca="false">IF(A1916="","",IF(AND(E1916&gt;=0,E1916&lt;=23),"OK","CHECK"))</f>
        <v>OK</v>
      </c>
      <c r="M1916" s="1" t="str">
        <f aca="false">IF(A1916="","",IF(AND(K1916="OK",L1916="OK"),"OK","CHECK"))</f>
        <v>OK</v>
      </c>
    </row>
    <row r="1917" customFormat="false" ht="18" hidden="false" customHeight="true" outlineLevel="0" collapsed="false">
      <c r="A1917" s="9" t="s">
        <v>26</v>
      </c>
      <c r="B1917" s="9" t="n">
        <v>24</v>
      </c>
      <c r="C1917" s="11" t="n">
        <v>46006</v>
      </c>
      <c r="D1917" s="9" t="s">
        <v>158</v>
      </c>
      <c r="E1917" s="12" t="n">
        <v>7</v>
      </c>
      <c r="F1917" s="9" t="s">
        <v>28</v>
      </c>
      <c r="G1917" s="13" t="n">
        <v>150</v>
      </c>
      <c r="H1917" s="9" t="s">
        <v>37</v>
      </c>
      <c r="I1917" s="13" t="n">
        <v>3</v>
      </c>
      <c r="J1917" s="1" t="str">
        <f aca="false">IF(A1917="","", "SAMP-"&amp;A1917&amp;"-L"&amp;TEXT(B1917,"00")&amp;"-"&amp;TEXT(C1917,"yyyymmdd")&amp;"-"&amp;D1917&amp;"-H"&amp;TEXT(E1917,"00")&amp;"-"&amp;H1917)</f>
        <v>SAMP-KG01-L24-20251215-ORD-2025-00269-H07-Bird Swing</v>
      </c>
      <c r="K1917" s="1" t="str">
        <f aca="false">IF(A1917="","",IF(AND(G1917&gt;=0,I1917&gt;=0,I1917&lt;=G1917),"OK","CHECK"))</f>
        <v>OK</v>
      </c>
      <c r="L1917" s="1" t="str">
        <f aca="false">IF(A1917="","",IF(AND(E1917&gt;=0,E1917&lt;=23),"OK","CHECK"))</f>
        <v>OK</v>
      </c>
      <c r="M1917" s="1" t="str">
        <f aca="false">IF(A1917="","",IF(AND(K1917="OK",L1917="OK"),"OK","CHECK"))</f>
        <v>OK</v>
      </c>
    </row>
    <row r="1918" customFormat="false" ht="18" hidden="false" customHeight="true" outlineLevel="0" collapsed="false">
      <c r="A1918" s="9" t="s">
        <v>26</v>
      </c>
      <c r="B1918" s="9" t="n">
        <v>24</v>
      </c>
      <c r="C1918" s="11" t="n">
        <v>46006</v>
      </c>
      <c r="D1918" s="9" t="s">
        <v>158</v>
      </c>
      <c r="E1918" s="12" t="n">
        <v>20</v>
      </c>
      <c r="F1918" s="9" t="s">
        <v>31</v>
      </c>
      <c r="G1918" s="13" t="n">
        <v>100</v>
      </c>
      <c r="H1918" s="9" t="s">
        <v>29</v>
      </c>
      <c r="I1918" s="13" t="n">
        <v>2</v>
      </c>
      <c r="J1918" s="1" t="str">
        <f aca="false">IF(A1918="","", "SAMP-"&amp;A1918&amp;"-L"&amp;TEXT(B1918,"00")&amp;"-"&amp;TEXT(C1918,"yyyymmdd")&amp;"-"&amp;D1918&amp;"-H"&amp;TEXT(E1918,"00")&amp;"-"&amp;H1918)</f>
        <v>SAMP-KG01-L24-20251215-ORD-2025-00269-H20-Choke Neck</v>
      </c>
      <c r="K1918" s="1" t="str">
        <f aca="false">IF(A1918="","",IF(AND(G1918&gt;=0,I1918&gt;=0,I1918&lt;=G1918),"OK","CHECK"))</f>
        <v>OK</v>
      </c>
      <c r="L1918" s="1" t="str">
        <f aca="false">IF(A1918="","",IF(AND(E1918&gt;=0,E1918&lt;=23),"OK","CHECK"))</f>
        <v>OK</v>
      </c>
      <c r="M1918" s="1" t="str">
        <f aca="false">IF(A1918="","",IF(AND(K1918="OK",L1918="OK"),"OK","CHECK"))</f>
        <v>OK</v>
      </c>
    </row>
    <row r="1919" customFormat="false" ht="18" hidden="false" customHeight="true" outlineLevel="0" collapsed="false">
      <c r="A1919" s="9" t="s">
        <v>26</v>
      </c>
      <c r="B1919" s="9" t="n">
        <v>24</v>
      </c>
      <c r="C1919" s="11" t="n">
        <v>46006</v>
      </c>
      <c r="D1919" s="9" t="s">
        <v>158</v>
      </c>
      <c r="E1919" s="12" t="n">
        <v>16</v>
      </c>
      <c r="F1919" s="9" t="s">
        <v>31</v>
      </c>
      <c r="G1919" s="13" t="n">
        <v>50</v>
      </c>
      <c r="H1919" s="9" t="s">
        <v>38</v>
      </c>
      <c r="I1919" s="13" t="n">
        <v>2</v>
      </c>
      <c r="J1919" s="1" t="str">
        <f aca="false">IF(A1919="","", "SAMP-"&amp;A1919&amp;"-L"&amp;TEXT(B1919,"00")&amp;"-"&amp;TEXT(C1919,"yyyymmdd")&amp;"-"&amp;D1919&amp;"-H"&amp;TEXT(E1919,"00")&amp;"-"&amp;H1919)</f>
        <v>SAMP-KG01-L24-20251215-ORD-2025-00269-H16-Crack</v>
      </c>
      <c r="K1919" s="1" t="str">
        <f aca="false">IF(A1919="","",IF(AND(G1919&gt;=0,I1919&gt;=0,I1919&lt;=G1919),"OK","CHECK"))</f>
        <v>OK</v>
      </c>
      <c r="L1919" s="1" t="str">
        <f aca="false">IF(A1919="","",IF(AND(E1919&gt;=0,E1919&lt;=23),"OK","CHECK"))</f>
        <v>OK</v>
      </c>
      <c r="M1919" s="1" t="str">
        <f aca="false">IF(A1919="","",IF(AND(K1919="OK",L1919="OK"),"OK","CHECK"))</f>
        <v>OK</v>
      </c>
    </row>
    <row r="1920" customFormat="false" ht="18" hidden="false" customHeight="true" outlineLevel="0" collapsed="false">
      <c r="A1920" s="9" t="s">
        <v>26</v>
      </c>
      <c r="B1920" s="9" t="n">
        <v>24</v>
      </c>
      <c r="C1920" s="11" t="n">
        <v>46007</v>
      </c>
      <c r="D1920" s="9" t="s">
        <v>158</v>
      </c>
      <c r="E1920" s="12" t="n">
        <v>7</v>
      </c>
      <c r="F1920" s="9" t="s">
        <v>28</v>
      </c>
      <c r="G1920" s="13" t="n">
        <v>100</v>
      </c>
      <c r="H1920" s="9" t="s">
        <v>38</v>
      </c>
      <c r="I1920" s="13" t="n">
        <v>1</v>
      </c>
      <c r="J1920" s="1" t="str">
        <f aca="false">IF(A1920="","", "SAMP-"&amp;A1920&amp;"-L"&amp;TEXT(B1920,"00")&amp;"-"&amp;TEXT(C1920,"yyyymmdd")&amp;"-"&amp;D1920&amp;"-H"&amp;TEXT(E1920,"00")&amp;"-"&amp;H1920)</f>
        <v>SAMP-KG01-L24-20251216-ORD-2025-00269-H07-Crack</v>
      </c>
      <c r="K1920" s="1" t="str">
        <f aca="false">IF(A1920="","",IF(AND(G1920&gt;=0,I1920&gt;=0,I1920&lt;=G1920),"OK","CHECK"))</f>
        <v>OK</v>
      </c>
      <c r="L1920" s="1" t="str">
        <f aca="false">IF(A1920="","",IF(AND(E1920&gt;=0,E1920&lt;=23),"OK","CHECK"))</f>
        <v>OK</v>
      </c>
      <c r="M1920" s="1" t="str">
        <f aca="false">IF(A1920="","",IF(AND(K1920="OK",L1920="OK"),"OK","CHECK"))</f>
        <v>OK</v>
      </c>
    </row>
    <row r="1921" customFormat="false" ht="18" hidden="false" customHeight="true" outlineLevel="0" collapsed="false">
      <c r="A1921" s="9" t="s">
        <v>26</v>
      </c>
      <c r="B1921" s="9" t="n">
        <v>24</v>
      </c>
      <c r="C1921" s="11" t="n">
        <v>46007</v>
      </c>
      <c r="D1921" s="9" t="s">
        <v>158</v>
      </c>
      <c r="E1921" s="12" t="n">
        <v>9</v>
      </c>
      <c r="F1921" s="9" t="s">
        <v>28</v>
      </c>
      <c r="G1921" s="13" t="n">
        <v>200</v>
      </c>
      <c r="H1921" s="9" t="s">
        <v>36</v>
      </c>
      <c r="I1921" s="13" t="n">
        <v>1</v>
      </c>
      <c r="J1921" s="1" t="str">
        <f aca="false">IF(A1921="","", "SAMP-"&amp;A1921&amp;"-L"&amp;TEXT(B1921,"00")&amp;"-"&amp;TEXT(C1921,"yyyymmdd")&amp;"-"&amp;D1921&amp;"-H"&amp;TEXT(E1921,"00")&amp;"-"&amp;H1921)</f>
        <v>SAMP-KG01-L24-20251216-ORD-2025-00269-H09-Blister</v>
      </c>
      <c r="K1921" s="1" t="str">
        <f aca="false">IF(A1921="","",IF(AND(G1921&gt;=0,I1921&gt;=0,I1921&lt;=G1921),"OK","CHECK"))</f>
        <v>OK</v>
      </c>
      <c r="L1921" s="1" t="str">
        <f aca="false">IF(A1921="","",IF(AND(E1921&gt;=0,E1921&lt;=23),"OK","CHECK"))</f>
        <v>OK</v>
      </c>
      <c r="M1921" s="1" t="str">
        <f aca="false">IF(A1921="","",IF(AND(K1921="OK",L1921="OK"),"OK","CHECK"))</f>
        <v>OK</v>
      </c>
    </row>
    <row r="1922" customFormat="false" ht="18" hidden="false" customHeight="true" outlineLevel="0" collapsed="false">
      <c r="A1922" s="9" t="s">
        <v>26</v>
      </c>
      <c r="B1922" s="9" t="n">
        <v>24</v>
      </c>
      <c r="C1922" s="11" t="n">
        <v>46007</v>
      </c>
      <c r="D1922" s="9" t="s">
        <v>158</v>
      </c>
      <c r="E1922" s="12" t="n">
        <v>12</v>
      </c>
      <c r="F1922" s="9" t="s">
        <v>28</v>
      </c>
      <c r="G1922" s="13" t="n">
        <v>150</v>
      </c>
      <c r="H1922" s="9" t="s">
        <v>35</v>
      </c>
      <c r="I1922" s="13" t="n">
        <v>0</v>
      </c>
      <c r="J1922" s="1" t="str">
        <f aca="false">IF(A1922="","", "SAMP-"&amp;A1922&amp;"-L"&amp;TEXT(B1922,"00")&amp;"-"&amp;TEXT(C1922,"yyyymmdd")&amp;"-"&amp;D1922&amp;"-H"&amp;TEXT(E1922,"00")&amp;"-"&amp;H1922)</f>
        <v>SAMP-KG01-L24-20251216-ORD-2025-00269-H12-Stone</v>
      </c>
      <c r="K1922" s="1" t="str">
        <f aca="false">IF(A1922="","",IF(AND(G1922&gt;=0,I1922&gt;=0,I1922&lt;=G1922),"OK","CHECK"))</f>
        <v>OK</v>
      </c>
      <c r="L1922" s="1" t="str">
        <f aca="false">IF(A1922="","",IF(AND(E1922&gt;=0,E1922&lt;=23),"OK","CHECK"))</f>
        <v>OK</v>
      </c>
      <c r="M1922" s="1" t="str">
        <f aca="false">IF(A1922="","",IF(AND(K1922="OK",L1922="OK"),"OK","CHECK"))</f>
        <v>OK</v>
      </c>
    </row>
    <row r="1923" customFormat="false" ht="18" hidden="false" customHeight="true" outlineLevel="0" collapsed="false">
      <c r="A1923" s="9" t="s">
        <v>26</v>
      </c>
      <c r="B1923" s="9" t="n">
        <v>24</v>
      </c>
      <c r="C1923" s="11" t="n">
        <v>46007</v>
      </c>
      <c r="D1923" s="9" t="s">
        <v>158</v>
      </c>
      <c r="E1923" s="12" t="n">
        <v>16</v>
      </c>
      <c r="F1923" s="9" t="s">
        <v>31</v>
      </c>
      <c r="G1923" s="13" t="n">
        <v>50</v>
      </c>
      <c r="H1923" s="9" t="s">
        <v>30</v>
      </c>
      <c r="I1923" s="13" t="n">
        <v>0</v>
      </c>
      <c r="J1923" s="1" t="str">
        <f aca="false">IF(A1923="","", "SAMP-"&amp;A1923&amp;"-L"&amp;TEXT(B1923,"00")&amp;"-"&amp;TEXT(C1923,"yyyymmdd")&amp;"-"&amp;D1923&amp;"-H"&amp;TEXT(E1923,"00")&amp;"-"&amp;H1923)</f>
        <v>SAMP-KG01-L24-20251216-ORD-2025-00269-H16-Overpress</v>
      </c>
      <c r="K1923" s="1" t="str">
        <f aca="false">IF(A1923="","",IF(AND(G1923&gt;=0,I1923&gt;=0,I1923&lt;=G1923),"OK","CHECK"))</f>
        <v>OK</v>
      </c>
      <c r="L1923" s="1" t="str">
        <f aca="false">IF(A1923="","",IF(AND(E1923&gt;=0,E1923&lt;=23),"OK","CHECK"))</f>
        <v>OK</v>
      </c>
      <c r="M1923" s="1" t="str">
        <f aca="false">IF(A1923="","",IF(AND(K1923="OK",L1923="OK"),"OK","CHECK"))</f>
        <v>OK</v>
      </c>
    </row>
    <row r="1924" customFormat="false" ht="18" hidden="false" customHeight="true" outlineLevel="0" collapsed="false">
      <c r="A1924" s="9" t="s">
        <v>26</v>
      </c>
      <c r="B1924" s="9" t="n">
        <v>24</v>
      </c>
      <c r="C1924" s="11" t="n">
        <v>46007</v>
      </c>
      <c r="D1924" s="9" t="s">
        <v>158</v>
      </c>
      <c r="E1924" s="12" t="n">
        <v>23</v>
      </c>
      <c r="F1924" s="9" t="s">
        <v>31</v>
      </c>
      <c r="G1924" s="13" t="n">
        <v>100</v>
      </c>
      <c r="H1924" s="9" t="s">
        <v>37</v>
      </c>
      <c r="I1924" s="13" t="n">
        <v>1</v>
      </c>
      <c r="J1924" s="1" t="str">
        <f aca="false">IF(A1924="","", "SAMP-"&amp;A1924&amp;"-L"&amp;TEXT(B1924,"00")&amp;"-"&amp;TEXT(C1924,"yyyymmdd")&amp;"-"&amp;D1924&amp;"-H"&amp;TEXT(E1924,"00")&amp;"-"&amp;H1924)</f>
        <v>SAMP-KG01-L24-20251216-ORD-2025-00269-H23-Bird Swing</v>
      </c>
      <c r="K1924" s="1" t="str">
        <f aca="false">IF(A1924="","",IF(AND(G1924&gt;=0,I1924&gt;=0,I1924&lt;=G1924),"OK","CHECK"))</f>
        <v>OK</v>
      </c>
      <c r="L1924" s="1" t="str">
        <f aca="false">IF(A1924="","",IF(AND(E1924&gt;=0,E1924&lt;=23),"OK","CHECK"))</f>
        <v>OK</v>
      </c>
      <c r="M1924" s="1" t="str">
        <f aca="false">IF(A1924="","",IF(AND(K1924="OK",L1924="OK"),"OK","CHECK"))</f>
        <v>OK</v>
      </c>
    </row>
    <row r="1925" customFormat="false" ht="18" hidden="false" customHeight="true" outlineLevel="0" collapsed="false">
      <c r="A1925" s="9" t="s">
        <v>26</v>
      </c>
      <c r="B1925" s="9" t="n">
        <v>24</v>
      </c>
      <c r="C1925" s="11" t="n">
        <v>46008</v>
      </c>
      <c r="D1925" s="9" t="s">
        <v>159</v>
      </c>
      <c r="E1925" s="12" t="n">
        <v>7</v>
      </c>
      <c r="F1925" s="9" t="s">
        <v>28</v>
      </c>
      <c r="G1925" s="13" t="n">
        <v>150</v>
      </c>
      <c r="H1925" s="9" t="s">
        <v>37</v>
      </c>
      <c r="I1925" s="13" t="n">
        <v>2</v>
      </c>
      <c r="J1925" s="1" t="str">
        <f aca="false">IF(A1925="","", "SAMP-"&amp;A1925&amp;"-L"&amp;TEXT(B1925,"00")&amp;"-"&amp;TEXT(C1925,"yyyymmdd")&amp;"-"&amp;D1925&amp;"-H"&amp;TEXT(E1925,"00")&amp;"-"&amp;H1925)</f>
        <v>SAMP-KG01-L24-20251217-ORD-2025-00270-H07-Bird Swing</v>
      </c>
      <c r="K1925" s="1" t="str">
        <f aca="false">IF(A1925="","",IF(AND(G1925&gt;=0,I1925&gt;=0,I1925&lt;=G1925),"OK","CHECK"))</f>
        <v>OK</v>
      </c>
      <c r="L1925" s="1" t="str">
        <f aca="false">IF(A1925="","",IF(AND(E1925&gt;=0,E1925&lt;=23),"OK","CHECK"))</f>
        <v>OK</v>
      </c>
      <c r="M1925" s="1" t="str">
        <f aca="false">IF(A1925="","",IF(AND(K1925="OK",L1925="OK"),"OK","CHECK"))</f>
        <v>OK</v>
      </c>
    </row>
    <row r="1926" customFormat="false" ht="18" hidden="false" customHeight="true" outlineLevel="0" collapsed="false">
      <c r="A1926" s="9" t="s">
        <v>26</v>
      </c>
      <c r="B1926" s="9" t="n">
        <v>24</v>
      </c>
      <c r="C1926" s="11" t="n">
        <v>46008</v>
      </c>
      <c r="D1926" s="9" t="s">
        <v>159</v>
      </c>
      <c r="E1926" s="12" t="n">
        <v>12</v>
      </c>
      <c r="F1926" s="9" t="s">
        <v>28</v>
      </c>
      <c r="G1926" s="13" t="n">
        <v>50</v>
      </c>
      <c r="H1926" s="9" t="s">
        <v>36</v>
      </c>
      <c r="I1926" s="13" t="n">
        <v>1</v>
      </c>
      <c r="J1926" s="1" t="str">
        <f aca="false">IF(A1926="","", "SAMP-"&amp;A1926&amp;"-L"&amp;TEXT(B1926,"00")&amp;"-"&amp;TEXT(C1926,"yyyymmdd")&amp;"-"&amp;D1926&amp;"-H"&amp;TEXT(E1926,"00")&amp;"-"&amp;H1926)</f>
        <v>SAMP-KG01-L24-20251217-ORD-2025-00270-H12-Blister</v>
      </c>
      <c r="K1926" s="1" t="str">
        <f aca="false">IF(A1926="","",IF(AND(G1926&gt;=0,I1926&gt;=0,I1926&lt;=G1926),"OK","CHECK"))</f>
        <v>OK</v>
      </c>
      <c r="L1926" s="1" t="str">
        <f aca="false">IF(A1926="","",IF(AND(E1926&gt;=0,E1926&lt;=23),"OK","CHECK"))</f>
        <v>OK</v>
      </c>
      <c r="M1926" s="1" t="str">
        <f aca="false">IF(A1926="","",IF(AND(K1926="OK",L1926="OK"),"OK","CHECK"))</f>
        <v>OK</v>
      </c>
    </row>
    <row r="1927" customFormat="false" ht="18" hidden="false" customHeight="true" outlineLevel="0" collapsed="false">
      <c r="A1927" s="9" t="s">
        <v>26</v>
      </c>
      <c r="B1927" s="9" t="n">
        <v>24</v>
      </c>
      <c r="C1927" s="11" t="n">
        <v>46008</v>
      </c>
      <c r="D1927" s="9" t="s">
        <v>159</v>
      </c>
      <c r="E1927" s="12" t="n">
        <v>9</v>
      </c>
      <c r="F1927" s="9" t="s">
        <v>28</v>
      </c>
      <c r="G1927" s="13" t="n">
        <v>100</v>
      </c>
      <c r="H1927" s="9" t="s">
        <v>37</v>
      </c>
      <c r="I1927" s="13" t="n">
        <v>2</v>
      </c>
      <c r="J1927" s="1" t="str">
        <f aca="false">IF(A1927="","", "SAMP-"&amp;A1927&amp;"-L"&amp;TEXT(B1927,"00")&amp;"-"&amp;TEXT(C1927,"yyyymmdd")&amp;"-"&amp;D1927&amp;"-H"&amp;TEXT(E1927,"00")&amp;"-"&amp;H1927)</f>
        <v>SAMP-KG01-L24-20251217-ORD-2025-00270-H09-Bird Swing</v>
      </c>
      <c r="K1927" s="1" t="str">
        <f aca="false">IF(A1927="","",IF(AND(G1927&gt;=0,I1927&gt;=0,I1927&lt;=G1927),"OK","CHECK"))</f>
        <v>OK</v>
      </c>
      <c r="L1927" s="1" t="str">
        <f aca="false">IF(A1927="","",IF(AND(E1927&gt;=0,E1927&lt;=23),"OK","CHECK"))</f>
        <v>OK</v>
      </c>
      <c r="M1927" s="1" t="str">
        <f aca="false">IF(A1927="","",IF(AND(K1927="OK",L1927="OK"),"OK","CHECK"))</f>
        <v>OK</v>
      </c>
    </row>
    <row r="1928" customFormat="false" ht="18" hidden="false" customHeight="true" outlineLevel="0" collapsed="false">
      <c r="A1928" s="9" t="s">
        <v>26</v>
      </c>
      <c r="B1928" s="9" t="n">
        <v>24</v>
      </c>
      <c r="C1928" s="11" t="n">
        <v>46008</v>
      </c>
      <c r="D1928" s="9" t="s">
        <v>159</v>
      </c>
      <c r="E1928" s="12" t="n">
        <v>16</v>
      </c>
      <c r="F1928" s="9" t="s">
        <v>31</v>
      </c>
      <c r="G1928" s="13" t="n">
        <v>150</v>
      </c>
      <c r="H1928" s="9" t="s">
        <v>33</v>
      </c>
      <c r="I1928" s="13" t="n">
        <v>5</v>
      </c>
      <c r="J1928" s="1" t="str">
        <f aca="false">IF(A1928="","", "SAMP-"&amp;A1928&amp;"-L"&amp;TEXT(B1928,"00")&amp;"-"&amp;TEXT(C1928,"yyyymmdd")&amp;"-"&amp;D1928&amp;"-H"&amp;TEXT(E1928,"00")&amp;"-"&amp;H1928)</f>
        <v>SAMP-KG01-L24-20251217-ORD-2025-00270-H16-Distortion</v>
      </c>
      <c r="K1928" s="1" t="str">
        <f aca="false">IF(A1928="","",IF(AND(G1928&gt;=0,I1928&gt;=0,I1928&lt;=G1928),"OK","CHECK"))</f>
        <v>OK</v>
      </c>
      <c r="L1928" s="1" t="str">
        <f aca="false">IF(A1928="","",IF(AND(E1928&gt;=0,E1928&lt;=23),"OK","CHECK"))</f>
        <v>OK</v>
      </c>
      <c r="M1928" s="1" t="str">
        <f aca="false">IF(A1928="","",IF(AND(K1928="OK",L1928="OK"),"OK","CHECK"))</f>
        <v>OK</v>
      </c>
    </row>
    <row r="1929" customFormat="false" ht="18" hidden="false" customHeight="true" outlineLevel="0" collapsed="false">
      <c r="A1929" s="9" t="s">
        <v>26</v>
      </c>
      <c r="B1929" s="9" t="n">
        <v>24</v>
      </c>
      <c r="C1929" s="11" t="n">
        <v>46008</v>
      </c>
      <c r="D1929" s="9" t="s">
        <v>159</v>
      </c>
      <c r="E1929" s="12" t="n">
        <v>23</v>
      </c>
      <c r="F1929" s="9" t="s">
        <v>31</v>
      </c>
      <c r="G1929" s="13" t="n">
        <v>150</v>
      </c>
      <c r="H1929" s="9" t="s">
        <v>33</v>
      </c>
      <c r="I1929" s="13" t="n">
        <v>0</v>
      </c>
      <c r="J1929" s="1" t="str">
        <f aca="false">IF(A1929="","", "SAMP-"&amp;A1929&amp;"-L"&amp;TEXT(B1929,"00")&amp;"-"&amp;TEXT(C1929,"yyyymmdd")&amp;"-"&amp;D1929&amp;"-H"&amp;TEXT(E1929,"00")&amp;"-"&amp;H1929)</f>
        <v>SAMP-KG01-L24-20251217-ORD-2025-00270-H23-Distortion</v>
      </c>
      <c r="K1929" s="1" t="str">
        <f aca="false">IF(A1929="","",IF(AND(G1929&gt;=0,I1929&gt;=0,I1929&lt;=G1929),"OK","CHECK"))</f>
        <v>OK</v>
      </c>
      <c r="L1929" s="1" t="str">
        <f aca="false">IF(A1929="","",IF(AND(E1929&gt;=0,E1929&lt;=23),"OK","CHECK"))</f>
        <v>OK</v>
      </c>
      <c r="M1929" s="1" t="str">
        <f aca="false">IF(A1929="","",IF(AND(K1929="OK",L1929="OK"),"OK","CHECK"))</f>
        <v>OK</v>
      </c>
    </row>
    <row r="1930" customFormat="false" ht="18" hidden="false" customHeight="true" outlineLevel="0" collapsed="false">
      <c r="A1930" s="9" t="s">
        <v>26</v>
      </c>
      <c r="B1930" s="9" t="n">
        <v>24</v>
      </c>
      <c r="C1930" s="11" t="n">
        <v>46008</v>
      </c>
      <c r="D1930" s="9" t="s">
        <v>159</v>
      </c>
      <c r="E1930" s="12" t="n">
        <v>20</v>
      </c>
      <c r="F1930" s="9" t="s">
        <v>31</v>
      </c>
      <c r="G1930" s="13" t="n">
        <v>50</v>
      </c>
      <c r="H1930" s="9" t="s">
        <v>41</v>
      </c>
      <c r="I1930" s="13" t="n">
        <v>1</v>
      </c>
      <c r="J1930" s="1" t="str">
        <f aca="false">IF(A1930="","", "SAMP-"&amp;A1930&amp;"-L"&amp;TEXT(B1930,"00")&amp;"-"&amp;TEXT(C1930,"yyyymmdd")&amp;"-"&amp;D1930&amp;"-H"&amp;TEXT(E1930,"00")&amp;"-"&amp;H1930)</f>
        <v>SAMP-KG01-L24-20251217-ORD-2025-00270-H20-Chip</v>
      </c>
      <c r="K1930" s="1" t="str">
        <f aca="false">IF(A1930="","",IF(AND(G1930&gt;=0,I1930&gt;=0,I1930&lt;=G1930),"OK","CHECK"))</f>
        <v>OK</v>
      </c>
      <c r="L1930" s="1" t="str">
        <f aca="false">IF(A1930="","",IF(AND(E1930&gt;=0,E1930&lt;=23),"OK","CHECK"))</f>
        <v>OK</v>
      </c>
      <c r="M1930" s="1" t="str">
        <f aca="false">IF(A1930="","",IF(AND(K1930="OK",L1930="OK"),"OK","CHECK"))</f>
        <v>OK</v>
      </c>
    </row>
    <row r="1931" customFormat="false" ht="18" hidden="false" customHeight="true" outlineLevel="0" collapsed="false">
      <c r="A1931" s="9" t="s">
        <v>26</v>
      </c>
      <c r="B1931" s="9" t="n">
        <v>24</v>
      </c>
      <c r="C1931" s="11" t="n">
        <v>46009</v>
      </c>
      <c r="D1931" s="9" t="s">
        <v>159</v>
      </c>
      <c r="E1931" s="12" t="n">
        <v>12</v>
      </c>
      <c r="F1931" s="9" t="s">
        <v>28</v>
      </c>
      <c r="G1931" s="13" t="n">
        <v>100</v>
      </c>
      <c r="H1931" s="9" t="s">
        <v>30</v>
      </c>
      <c r="I1931" s="13" t="n">
        <v>3</v>
      </c>
      <c r="J1931" s="1" t="str">
        <f aca="false">IF(A1931="","", "SAMP-"&amp;A1931&amp;"-L"&amp;TEXT(B1931,"00")&amp;"-"&amp;TEXT(C1931,"yyyymmdd")&amp;"-"&amp;D1931&amp;"-H"&amp;TEXT(E1931,"00")&amp;"-"&amp;H1931)</f>
        <v>SAMP-KG01-L24-20251218-ORD-2025-00270-H12-Overpress</v>
      </c>
      <c r="K1931" s="1" t="str">
        <f aca="false">IF(A1931="","",IF(AND(G1931&gt;=0,I1931&gt;=0,I1931&lt;=G1931),"OK","CHECK"))</f>
        <v>OK</v>
      </c>
      <c r="L1931" s="1" t="str">
        <f aca="false">IF(A1931="","",IF(AND(E1931&gt;=0,E1931&lt;=23),"OK","CHECK"))</f>
        <v>OK</v>
      </c>
      <c r="M1931" s="1" t="str">
        <f aca="false">IF(A1931="","",IF(AND(K1931="OK",L1931="OK"),"OK","CHECK"))</f>
        <v>OK</v>
      </c>
    </row>
    <row r="1932" customFormat="false" ht="18" hidden="false" customHeight="true" outlineLevel="0" collapsed="false">
      <c r="A1932" s="9" t="s">
        <v>26</v>
      </c>
      <c r="B1932" s="9" t="n">
        <v>24</v>
      </c>
      <c r="C1932" s="11" t="n">
        <v>46009</v>
      </c>
      <c r="D1932" s="9" t="s">
        <v>159</v>
      </c>
      <c r="E1932" s="12" t="n">
        <v>7</v>
      </c>
      <c r="F1932" s="9" t="s">
        <v>28</v>
      </c>
      <c r="G1932" s="13" t="n">
        <v>150</v>
      </c>
      <c r="H1932" s="9" t="s">
        <v>36</v>
      </c>
      <c r="I1932" s="13" t="n">
        <v>6</v>
      </c>
      <c r="J1932" s="1" t="str">
        <f aca="false">IF(A1932="","", "SAMP-"&amp;A1932&amp;"-L"&amp;TEXT(B1932,"00")&amp;"-"&amp;TEXT(C1932,"yyyymmdd")&amp;"-"&amp;D1932&amp;"-H"&amp;TEXT(E1932,"00")&amp;"-"&amp;H1932)</f>
        <v>SAMP-KG01-L24-20251218-ORD-2025-00270-H07-Blister</v>
      </c>
      <c r="K1932" s="1" t="str">
        <f aca="false">IF(A1932="","",IF(AND(G1932&gt;=0,I1932&gt;=0,I1932&lt;=G1932),"OK","CHECK"))</f>
        <v>OK</v>
      </c>
      <c r="L1932" s="1" t="str">
        <f aca="false">IF(A1932="","",IF(AND(E1932&gt;=0,E1932&lt;=23),"OK","CHECK"))</f>
        <v>OK</v>
      </c>
      <c r="M1932" s="1" t="str">
        <f aca="false">IF(A1932="","",IF(AND(K1932="OK",L1932="OK"),"OK","CHECK"))</f>
        <v>OK</v>
      </c>
    </row>
    <row r="1933" customFormat="false" ht="18" hidden="false" customHeight="true" outlineLevel="0" collapsed="false">
      <c r="A1933" s="9" t="s">
        <v>26</v>
      </c>
      <c r="B1933" s="9" t="n">
        <v>24</v>
      </c>
      <c r="C1933" s="11" t="n">
        <v>46009</v>
      </c>
      <c r="D1933" s="9" t="s">
        <v>159</v>
      </c>
      <c r="E1933" s="12" t="n">
        <v>9</v>
      </c>
      <c r="F1933" s="9" t="s">
        <v>28</v>
      </c>
      <c r="G1933" s="13" t="n">
        <v>100</v>
      </c>
      <c r="H1933" s="9" t="s">
        <v>29</v>
      </c>
      <c r="I1933" s="13" t="n">
        <v>0</v>
      </c>
      <c r="J1933" s="1" t="str">
        <f aca="false">IF(A1933="","", "SAMP-"&amp;A1933&amp;"-L"&amp;TEXT(B1933,"00")&amp;"-"&amp;TEXT(C1933,"yyyymmdd")&amp;"-"&amp;D1933&amp;"-H"&amp;TEXT(E1933,"00")&amp;"-"&amp;H1933)</f>
        <v>SAMP-KG01-L24-20251218-ORD-2025-00270-H09-Choke Neck</v>
      </c>
      <c r="K1933" s="1" t="str">
        <f aca="false">IF(A1933="","",IF(AND(G1933&gt;=0,I1933&gt;=0,I1933&lt;=G1933),"OK","CHECK"))</f>
        <v>OK</v>
      </c>
      <c r="L1933" s="1" t="str">
        <f aca="false">IF(A1933="","",IF(AND(E1933&gt;=0,E1933&lt;=23),"OK","CHECK"))</f>
        <v>OK</v>
      </c>
      <c r="M1933" s="1" t="str">
        <f aca="false">IF(A1933="","",IF(AND(K1933="OK",L1933="OK"),"OK","CHECK"))</f>
        <v>OK</v>
      </c>
    </row>
    <row r="1934" customFormat="false" ht="18" hidden="false" customHeight="true" outlineLevel="0" collapsed="false">
      <c r="A1934" s="9" t="s">
        <v>26</v>
      </c>
      <c r="B1934" s="9" t="n">
        <v>24</v>
      </c>
      <c r="C1934" s="11" t="n">
        <v>46009</v>
      </c>
      <c r="D1934" s="9" t="s">
        <v>159</v>
      </c>
      <c r="E1934" s="12" t="n">
        <v>23</v>
      </c>
      <c r="F1934" s="9" t="s">
        <v>31</v>
      </c>
      <c r="G1934" s="13" t="n">
        <v>150</v>
      </c>
      <c r="H1934" s="9" t="s">
        <v>41</v>
      </c>
      <c r="I1934" s="13" t="n">
        <v>2</v>
      </c>
      <c r="J1934" s="1" t="str">
        <f aca="false">IF(A1934="","", "SAMP-"&amp;A1934&amp;"-L"&amp;TEXT(B1934,"00")&amp;"-"&amp;TEXT(C1934,"yyyymmdd")&amp;"-"&amp;D1934&amp;"-H"&amp;TEXT(E1934,"00")&amp;"-"&amp;H1934)</f>
        <v>SAMP-KG01-L24-20251218-ORD-2025-00270-H23-Chip</v>
      </c>
      <c r="K1934" s="1" t="str">
        <f aca="false">IF(A1934="","",IF(AND(G1934&gt;=0,I1934&gt;=0,I1934&lt;=G1934),"OK","CHECK"))</f>
        <v>OK</v>
      </c>
      <c r="L1934" s="1" t="str">
        <f aca="false">IF(A1934="","",IF(AND(E1934&gt;=0,E1934&lt;=23),"OK","CHECK"))</f>
        <v>OK</v>
      </c>
      <c r="M1934" s="1" t="str">
        <f aca="false">IF(A1934="","",IF(AND(K1934="OK",L1934="OK"),"OK","CHECK"))</f>
        <v>OK</v>
      </c>
    </row>
    <row r="1935" customFormat="false" ht="18" hidden="false" customHeight="true" outlineLevel="0" collapsed="false">
      <c r="A1935" s="9" t="s">
        <v>26</v>
      </c>
      <c r="B1935" s="9" t="n">
        <v>24</v>
      </c>
      <c r="C1935" s="11" t="n">
        <v>46009</v>
      </c>
      <c r="D1935" s="9" t="s">
        <v>159</v>
      </c>
      <c r="E1935" s="12" t="n">
        <v>20</v>
      </c>
      <c r="F1935" s="9" t="s">
        <v>31</v>
      </c>
      <c r="G1935" s="13" t="n">
        <v>200</v>
      </c>
      <c r="H1935" s="9" t="s">
        <v>33</v>
      </c>
      <c r="I1935" s="13" t="n">
        <v>1</v>
      </c>
      <c r="J1935" s="1" t="str">
        <f aca="false">IF(A1935="","", "SAMP-"&amp;A1935&amp;"-L"&amp;TEXT(B1935,"00")&amp;"-"&amp;TEXT(C1935,"yyyymmdd")&amp;"-"&amp;D1935&amp;"-H"&amp;TEXT(E1935,"00")&amp;"-"&amp;H1935)</f>
        <v>SAMP-KG01-L24-20251218-ORD-2025-00270-H20-Distortion</v>
      </c>
      <c r="K1935" s="1" t="str">
        <f aca="false">IF(A1935="","",IF(AND(G1935&gt;=0,I1935&gt;=0,I1935&lt;=G1935),"OK","CHECK"))</f>
        <v>OK</v>
      </c>
      <c r="L1935" s="1" t="str">
        <f aca="false">IF(A1935="","",IF(AND(E1935&gt;=0,E1935&lt;=23),"OK","CHECK"))</f>
        <v>OK</v>
      </c>
      <c r="M1935" s="1" t="str">
        <f aca="false">IF(A1935="","",IF(AND(K1935="OK",L1935="OK"),"OK","CHECK"))</f>
        <v>OK</v>
      </c>
    </row>
    <row r="1936" customFormat="false" ht="18" hidden="false" customHeight="true" outlineLevel="0" collapsed="false">
      <c r="A1936" s="9" t="s">
        <v>26</v>
      </c>
      <c r="B1936" s="9" t="n">
        <v>24</v>
      </c>
      <c r="C1936" s="11" t="n">
        <v>46009</v>
      </c>
      <c r="D1936" s="9" t="s">
        <v>159</v>
      </c>
      <c r="E1936" s="12" t="n">
        <v>16</v>
      </c>
      <c r="F1936" s="9" t="s">
        <v>31</v>
      </c>
      <c r="G1936" s="13" t="n">
        <v>100</v>
      </c>
      <c r="H1936" s="9" t="s">
        <v>29</v>
      </c>
      <c r="I1936" s="13" t="n">
        <v>2</v>
      </c>
      <c r="J1936" s="1" t="str">
        <f aca="false">IF(A1936="","", "SAMP-"&amp;A1936&amp;"-L"&amp;TEXT(B1936,"00")&amp;"-"&amp;TEXT(C1936,"yyyymmdd")&amp;"-"&amp;D1936&amp;"-H"&amp;TEXT(E1936,"00")&amp;"-"&amp;H1936)</f>
        <v>SAMP-KG01-L24-20251218-ORD-2025-00270-H16-Choke Neck</v>
      </c>
      <c r="K1936" s="1" t="str">
        <f aca="false">IF(A1936="","",IF(AND(G1936&gt;=0,I1936&gt;=0,I1936&lt;=G1936),"OK","CHECK"))</f>
        <v>OK</v>
      </c>
      <c r="L1936" s="1" t="str">
        <f aca="false">IF(A1936="","",IF(AND(E1936&gt;=0,E1936&lt;=23),"OK","CHECK"))</f>
        <v>OK</v>
      </c>
      <c r="M1936" s="1" t="str">
        <f aca="false">IF(A1936="","",IF(AND(K1936="OK",L1936="OK"),"OK","CHECK"))</f>
        <v>OK</v>
      </c>
    </row>
    <row r="1937" customFormat="false" ht="18" hidden="false" customHeight="true" outlineLevel="0" collapsed="false">
      <c r="A1937" s="9" t="s">
        <v>26</v>
      </c>
      <c r="B1937" s="9" t="n">
        <v>24</v>
      </c>
      <c r="C1937" s="11" t="n">
        <v>46010</v>
      </c>
      <c r="D1937" s="9" t="s">
        <v>159</v>
      </c>
      <c r="E1937" s="12" t="n">
        <v>9</v>
      </c>
      <c r="F1937" s="9" t="s">
        <v>28</v>
      </c>
      <c r="G1937" s="13" t="n">
        <v>200</v>
      </c>
      <c r="H1937" s="9" t="s">
        <v>38</v>
      </c>
      <c r="I1937" s="13" t="n">
        <v>1</v>
      </c>
      <c r="J1937" s="1" t="str">
        <f aca="false">IF(A1937="","", "SAMP-"&amp;A1937&amp;"-L"&amp;TEXT(B1937,"00")&amp;"-"&amp;TEXT(C1937,"yyyymmdd")&amp;"-"&amp;D1937&amp;"-H"&amp;TEXT(E1937,"00")&amp;"-"&amp;H1937)</f>
        <v>SAMP-KG01-L24-20251219-ORD-2025-00270-H09-Crack</v>
      </c>
      <c r="K1937" s="1" t="str">
        <f aca="false">IF(A1937="","",IF(AND(G1937&gt;=0,I1937&gt;=0,I1937&lt;=G1937),"OK","CHECK"))</f>
        <v>OK</v>
      </c>
      <c r="L1937" s="1" t="str">
        <f aca="false">IF(A1937="","",IF(AND(E1937&gt;=0,E1937&lt;=23),"OK","CHECK"))</f>
        <v>OK</v>
      </c>
      <c r="M1937" s="1" t="str">
        <f aca="false">IF(A1937="","",IF(AND(K1937="OK",L1937="OK"),"OK","CHECK"))</f>
        <v>OK</v>
      </c>
    </row>
    <row r="1938" customFormat="false" ht="18" hidden="false" customHeight="true" outlineLevel="0" collapsed="false">
      <c r="A1938" s="9" t="s">
        <v>26</v>
      </c>
      <c r="B1938" s="9" t="n">
        <v>24</v>
      </c>
      <c r="C1938" s="11" t="n">
        <v>46010</v>
      </c>
      <c r="D1938" s="9" t="s">
        <v>159</v>
      </c>
      <c r="E1938" s="12" t="n">
        <v>7</v>
      </c>
      <c r="F1938" s="9" t="s">
        <v>28</v>
      </c>
      <c r="G1938" s="13" t="n">
        <v>50</v>
      </c>
      <c r="H1938" s="9" t="s">
        <v>33</v>
      </c>
      <c r="I1938" s="13" t="n">
        <v>1</v>
      </c>
      <c r="J1938" s="1" t="str">
        <f aca="false">IF(A1938="","", "SAMP-"&amp;A1938&amp;"-L"&amp;TEXT(B1938,"00")&amp;"-"&amp;TEXT(C1938,"yyyymmdd")&amp;"-"&amp;D1938&amp;"-H"&amp;TEXT(E1938,"00")&amp;"-"&amp;H1938)</f>
        <v>SAMP-KG01-L24-20251219-ORD-2025-00270-H07-Distortion</v>
      </c>
      <c r="K1938" s="1" t="str">
        <f aca="false">IF(A1938="","",IF(AND(G1938&gt;=0,I1938&gt;=0,I1938&lt;=G1938),"OK","CHECK"))</f>
        <v>OK</v>
      </c>
      <c r="L1938" s="1" t="str">
        <f aca="false">IF(A1938="","",IF(AND(E1938&gt;=0,E1938&lt;=23),"OK","CHECK"))</f>
        <v>OK</v>
      </c>
      <c r="M1938" s="1" t="str">
        <f aca="false">IF(A1938="","",IF(AND(K1938="OK",L1938="OK"),"OK","CHECK"))</f>
        <v>OK</v>
      </c>
    </row>
    <row r="1939" customFormat="false" ht="18" hidden="false" customHeight="true" outlineLevel="0" collapsed="false">
      <c r="A1939" s="9" t="s">
        <v>26</v>
      </c>
      <c r="B1939" s="9" t="n">
        <v>24</v>
      </c>
      <c r="C1939" s="11" t="n">
        <v>46010</v>
      </c>
      <c r="D1939" s="9" t="s">
        <v>159</v>
      </c>
      <c r="E1939" s="12" t="n">
        <v>12</v>
      </c>
      <c r="F1939" s="9" t="s">
        <v>28</v>
      </c>
      <c r="G1939" s="13" t="n">
        <v>150</v>
      </c>
      <c r="H1939" s="9" t="s">
        <v>37</v>
      </c>
      <c r="I1939" s="13" t="n">
        <v>4</v>
      </c>
      <c r="J1939" s="1" t="str">
        <f aca="false">IF(A1939="","", "SAMP-"&amp;A1939&amp;"-L"&amp;TEXT(B1939,"00")&amp;"-"&amp;TEXT(C1939,"yyyymmdd")&amp;"-"&amp;D1939&amp;"-H"&amp;TEXT(E1939,"00")&amp;"-"&amp;H1939)</f>
        <v>SAMP-KG01-L24-20251219-ORD-2025-00270-H12-Bird Swing</v>
      </c>
      <c r="K1939" s="1" t="str">
        <f aca="false">IF(A1939="","",IF(AND(G1939&gt;=0,I1939&gt;=0,I1939&lt;=G1939),"OK","CHECK"))</f>
        <v>OK</v>
      </c>
      <c r="L1939" s="1" t="str">
        <f aca="false">IF(A1939="","",IF(AND(E1939&gt;=0,E1939&lt;=23),"OK","CHECK"))</f>
        <v>OK</v>
      </c>
      <c r="M1939" s="1" t="str">
        <f aca="false">IF(A1939="","",IF(AND(K1939="OK",L1939="OK"),"OK","CHECK"))</f>
        <v>OK</v>
      </c>
    </row>
    <row r="1940" customFormat="false" ht="18" hidden="false" customHeight="true" outlineLevel="0" collapsed="false">
      <c r="A1940" s="9" t="s">
        <v>26</v>
      </c>
      <c r="B1940" s="9" t="n">
        <v>24</v>
      </c>
      <c r="C1940" s="11" t="n">
        <v>46010</v>
      </c>
      <c r="D1940" s="9" t="s">
        <v>159</v>
      </c>
      <c r="E1940" s="12" t="n">
        <v>20</v>
      </c>
      <c r="F1940" s="9" t="s">
        <v>31</v>
      </c>
      <c r="G1940" s="13" t="n">
        <v>50</v>
      </c>
      <c r="H1940" s="9" t="s">
        <v>30</v>
      </c>
      <c r="I1940" s="13" t="n">
        <v>1</v>
      </c>
      <c r="J1940" s="1" t="str">
        <f aca="false">IF(A1940="","", "SAMP-"&amp;A1940&amp;"-L"&amp;TEXT(B1940,"00")&amp;"-"&amp;TEXT(C1940,"yyyymmdd")&amp;"-"&amp;D1940&amp;"-H"&amp;TEXT(E1940,"00")&amp;"-"&amp;H1940)</f>
        <v>SAMP-KG01-L24-20251219-ORD-2025-00270-H20-Overpress</v>
      </c>
      <c r="K1940" s="1" t="str">
        <f aca="false">IF(A1940="","",IF(AND(G1940&gt;=0,I1940&gt;=0,I1940&lt;=G1940),"OK","CHECK"))</f>
        <v>OK</v>
      </c>
      <c r="L1940" s="1" t="str">
        <f aca="false">IF(A1940="","",IF(AND(E1940&gt;=0,E1940&lt;=23),"OK","CHECK"))</f>
        <v>OK</v>
      </c>
      <c r="M1940" s="1" t="str">
        <f aca="false">IF(A1940="","",IF(AND(K1940="OK",L1940="OK"),"OK","CHECK"))</f>
        <v>OK</v>
      </c>
    </row>
    <row r="1941" customFormat="false" ht="18" hidden="false" customHeight="true" outlineLevel="0" collapsed="false">
      <c r="A1941" s="9" t="s">
        <v>26</v>
      </c>
      <c r="B1941" s="9" t="n">
        <v>24</v>
      </c>
      <c r="C1941" s="11" t="n">
        <v>46010</v>
      </c>
      <c r="D1941" s="9" t="s">
        <v>159</v>
      </c>
      <c r="E1941" s="12" t="n">
        <v>16</v>
      </c>
      <c r="F1941" s="9" t="s">
        <v>31</v>
      </c>
      <c r="G1941" s="13" t="n">
        <v>50</v>
      </c>
      <c r="H1941" s="9" t="s">
        <v>30</v>
      </c>
      <c r="I1941" s="13" t="n">
        <v>1</v>
      </c>
      <c r="J1941" s="1" t="str">
        <f aca="false">IF(A1941="","", "SAMP-"&amp;A1941&amp;"-L"&amp;TEXT(B1941,"00")&amp;"-"&amp;TEXT(C1941,"yyyymmdd")&amp;"-"&amp;D1941&amp;"-H"&amp;TEXT(E1941,"00")&amp;"-"&amp;H1941)</f>
        <v>SAMP-KG01-L24-20251219-ORD-2025-00270-H16-Overpress</v>
      </c>
      <c r="K1941" s="1" t="str">
        <f aca="false">IF(A1941="","",IF(AND(G1941&gt;=0,I1941&gt;=0,I1941&lt;=G1941),"OK","CHECK"))</f>
        <v>OK</v>
      </c>
      <c r="L1941" s="1" t="str">
        <f aca="false">IF(A1941="","",IF(AND(E1941&gt;=0,E1941&lt;=23),"OK","CHECK"))</f>
        <v>OK</v>
      </c>
      <c r="M1941" s="1" t="str">
        <f aca="false">IF(A1941="","",IF(AND(K1941="OK",L1941="OK"),"OK","CHECK"))</f>
        <v>OK</v>
      </c>
    </row>
    <row r="1942" customFormat="false" ht="18" hidden="false" customHeight="true" outlineLevel="0" collapsed="false">
      <c r="A1942" s="9" t="s">
        <v>26</v>
      </c>
      <c r="B1942" s="9" t="n">
        <v>24</v>
      </c>
      <c r="C1942" s="11" t="n">
        <v>46010</v>
      </c>
      <c r="D1942" s="9" t="s">
        <v>159</v>
      </c>
      <c r="E1942" s="12" t="n">
        <v>23</v>
      </c>
      <c r="F1942" s="9" t="s">
        <v>31</v>
      </c>
      <c r="G1942" s="13" t="n">
        <v>200</v>
      </c>
      <c r="H1942" s="9" t="s">
        <v>33</v>
      </c>
      <c r="I1942" s="13" t="n">
        <v>4</v>
      </c>
      <c r="J1942" s="1" t="str">
        <f aca="false">IF(A1942="","", "SAMP-"&amp;A1942&amp;"-L"&amp;TEXT(B1942,"00")&amp;"-"&amp;TEXT(C1942,"yyyymmdd")&amp;"-"&amp;D1942&amp;"-H"&amp;TEXT(E1942,"00")&amp;"-"&amp;H1942)</f>
        <v>SAMP-KG01-L24-20251219-ORD-2025-00270-H23-Distortion</v>
      </c>
      <c r="K1942" s="1" t="str">
        <f aca="false">IF(A1942="","",IF(AND(G1942&gt;=0,I1942&gt;=0,I1942&lt;=G1942),"OK","CHECK"))</f>
        <v>OK</v>
      </c>
      <c r="L1942" s="1" t="str">
        <f aca="false">IF(A1942="","",IF(AND(E1942&gt;=0,E1942&lt;=23),"OK","CHECK"))</f>
        <v>OK</v>
      </c>
      <c r="M1942" s="1" t="str">
        <f aca="false">IF(A1942="","",IF(AND(K1942="OK",L1942="OK"),"OK","CHECK"))</f>
        <v>OK</v>
      </c>
    </row>
    <row r="1943" customFormat="false" ht="18" hidden="false" customHeight="true" outlineLevel="0" collapsed="false">
      <c r="A1943" s="9" t="s">
        <v>26</v>
      </c>
      <c r="B1943" s="9" t="n">
        <v>24</v>
      </c>
      <c r="C1943" s="11" t="n">
        <v>46011</v>
      </c>
      <c r="D1943" s="9" t="s">
        <v>159</v>
      </c>
      <c r="E1943" s="12" t="n">
        <v>7</v>
      </c>
      <c r="F1943" s="9" t="s">
        <v>28</v>
      </c>
      <c r="G1943" s="13" t="n">
        <v>150</v>
      </c>
      <c r="H1943" s="9" t="s">
        <v>34</v>
      </c>
      <c r="I1943" s="13" t="n">
        <v>5</v>
      </c>
      <c r="J1943" s="1" t="str">
        <f aca="false">IF(A1943="","", "SAMP-"&amp;A1943&amp;"-L"&amp;TEXT(B1943,"00")&amp;"-"&amp;TEXT(C1943,"yyyymmdd")&amp;"-"&amp;D1943&amp;"-H"&amp;TEXT(E1943,"00")&amp;"-"&amp;H1943)</f>
        <v>SAMP-KG01-L24-20251220-ORD-2025-00270-H07-Thin Wall</v>
      </c>
      <c r="K1943" s="1" t="str">
        <f aca="false">IF(A1943="","",IF(AND(G1943&gt;=0,I1943&gt;=0,I1943&lt;=G1943),"OK","CHECK"))</f>
        <v>OK</v>
      </c>
      <c r="L1943" s="1" t="str">
        <f aca="false">IF(A1943="","",IF(AND(E1943&gt;=0,E1943&lt;=23),"OK","CHECK"))</f>
        <v>OK</v>
      </c>
      <c r="M1943" s="1" t="str">
        <f aca="false">IF(A1943="","",IF(AND(K1943="OK",L1943="OK"),"OK","CHECK"))</f>
        <v>OK</v>
      </c>
    </row>
    <row r="1944" customFormat="false" ht="18" hidden="false" customHeight="true" outlineLevel="0" collapsed="false">
      <c r="A1944" s="9" t="s">
        <v>26</v>
      </c>
      <c r="B1944" s="9" t="n">
        <v>24</v>
      </c>
      <c r="C1944" s="11" t="n">
        <v>46011</v>
      </c>
      <c r="D1944" s="9" t="s">
        <v>159</v>
      </c>
      <c r="E1944" s="12" t="n">
        <v>12</v>
      </c>
      <c r="F1944" s="9" t="s">
        <v>28</v>
      </c>
      <c r="G1944" s="13" t="n">
        <v>150</v>
      </c>
      <c r="H1944" s="9" t="s">
        <v>30</v>
      </c>
      <c r="I1944" s="13" t="n">
        <v>2</v>
      </c>
      <c r="J1944" s="1" t="str">
        <f aca="false">IF(A1944="","", "SAMP-"&amp;A1944&amp;"-L"&amp;TEXT(B1944,"00")&amp;"-"&amp;TEXT(C1944,"yyyymmdd")&amp;"-"&amp;D1944&amp;"-H"&amp;TEXT(E1944,"00")&amp;"-"&amp;H1944)</f>
        <v>SAMP-KG01-L24-20251220-ORD-2025-00270-H12-Overpress</v>
      </c>
      <c r="K1944" s="1" t="str">
        <f aca="false">IF(A1944="","",IF(AND(G1944&gt;=0,I1944&gt;=0,I1944&lt;=G1944),"OK","CHECK"))</f>
        <v>OK</v>
      </c>
      <c r="L1944" s="1" t="str">
        <f aca="false">IF(A1944="","",IF(AND(E1944&gt;=0,E1944&lt;=23),"OK","CHECK"))</f>
        <v>OK</v>
      </c>
      <c r="M1944" s="1" t="str">
        <f aca="false">IF(A1944="","",IF(AND(K1944="OK",L1944="OK"),"OK","CHECK"))</f>
        <v>OK</v>
      </c>
    </row>
    <row r="1945" customFormat="false" ht="18" hidden="false" customHeight="true" outlineLevel="0" collapsed="false">
      <c r="A1945" s="9" t="s">
        <v>26</v>
      </c>
      <c r="B1945" s="9" t="n">
        <v>24</v>
      </c>
      <c r="C1945" s="11" t="n">
        <v>46011</v>
      </c>
      <c r="D1945" s="9" t="s">
        <v>159</v>
      </c>
      <c r="E1945" s="12" t="n">
        <v>20</v>
      </c>
      <c r="F1945" s="9" t="s">
        <v>31</v>
      </c>
      <c r="G1945" s="13" t="n">
        <v>100</v>
      </c>
      <c r="H1945" s="9" t="s">
        <v>30</v>
      </c>
      <c r="I1945" s="13" t="n">
        <v>0</v>
      </c>
      <c r="J1945" s="1" t="str">
        <f aca="false">IF(A1945="","", "SAMP-"&amp;A1945&amp;"-L"&amp;TEXT(B1945,"00")&amp;"-"&amp;TEXT(C1945,"yyyymmdd")&amp;"-"&amp;D1945&amp;"-H"&amp;TEXT(E1945,"00")&amp;"-"&amp;H1945)</f>
        <v>SAMP-KG01-L24-20251220-ORD-2025-00270-H20-Overpress</v>
      </c>
      <c r="K1945" s="1" t="str">
        <f aca="false">IF(A1945="","",IF(AND(G1945&gt;=0,I1945&gt;=0,I1945&lt;=G1945),"OK","CHECK"))</f>
        <v>OK</v>
      </c>
      <c r="L1945" s="1" t="str">
        <f aca="false">IF(A1945="","",IF(AND(E1945&gt;=0,E1945&lt;=23),"OK","CHECK"))</f>
        <v>OK</v>
      </c>
      <c r="M1945" s="1" t="str">
        <f aca="false">IF(A1945="","",IF(AND(K1945="OK",L1945="OK"),"OK","CHECK"))</f>
        <v>OK</v>
      </c>
    </row>
    <row r="1946" customFormat="false" ht="18" hidden="false" customHeight="true" outlineLevel="0" collapsed="false">
      <c r="A1946" s="9" t="s">
        <v>26</v>
      </c>
      <c r="B1946" s="9" t="n">
        <v>24</v>
      </c>
      <c r="C1946" s="11" t="n">
        <v>46011</v>
      </c>
      <c r="D1946" s="9" t="s">
        <v>159</v>
      </c>
      <c r="E1946" s="12" t="n">
        <v>23</v>
      </c>
      <c r="F1946" s="9" t="s">
        <v>31</v>
      </c>
      <c r="G1946" s="13" t="n">
        <v>50</v>
      </c>
      <c r="H1946" s="9" t="s">
        <v>29</v>
      </c>
      <c r="I1946" s="13" t="n">
        <v>1</v>
      </c>
      <c r="J1946" s="1" t="str">
        <f aca="false">IF(A1946="","", "SAMP-"&amp;A1946&amp;"-L"&amp;TEXT(B1946,"00")&amp;"-"&amp;TEXT(C1946,"yyyymmdd")&amp;"-"&amp;D1946&amp;"-H"&amp;TEXT(E1946,"00")&amp;"-"&amp;H1946)</f>
        <v>SAMP-KG01-L24-20251220-ORD-2025-00270-H23-Choke Neck</v>
      </c>
      <c r="K1946" s="1" t="str">
        <f aca="false">IF(A1946="","",IF(AND(G1946&gt;=0,I1946&gt;=0,I1946&lt;=G1946),"OK","CHECK"))</f>
        <v>OK</v>
      </c>
      <c r="L1946" s="1" t="str">
        <f aca="false">IF(A1946="","",IF(AND(E1946&gt;=0,E1946&lt;=23),"OK","CHECK"))</f>
        <v>OK</v>
      </c>
      <c r="M1946" s="1" t="str">
        <f aca="false">IF(A1946="","",IF(AND(K1946="OK",L1946="OK"),"OK","CHECK"))</f>
        <v>OK</v>
      </c>
    </row>
    <row r="1947" customFormat="false" ht="18" hidden="false" customHeight="true" outlineLevel="0" collapsed="false">
      <c r="A1947" s="9" t="s">
        <v>26</v>
      </c>
      <c r="B1947" s="9" t="n">
        <v>24</v>
      </c>
      <c r="C1947" s="11" t="n">
        <v>46011</v>
      </c>
      <c r="D1947" s="9" t="s">
        <v>159</v>
      </c>
      <c r="E1947" s="12" t="n">
        <v>16</v>
      </c>
      <c r="F1947" s="9" t="s">
        <v>31</v>
      </c>
      <c r="G1947" s="13" t="n">
        <v>200</v>
      </c>
      <c r="H1947" s="9" t="s">
        <v>30</v>
      </c>
      <c r="I1947" s="13" t="n">
        <v>6</v>
      </c>
      <c r="J1947" s="1" t="str">
        <f aca="false">IF(A1947="","", "SAMP-"&amp;A1947&amp;"-L"&amp;TEXT(B1947,"00")&amp;"-"&amp;TEXT(C1947,"yyyymmdd")&amp;"-"&amp;D1947&amp;"-H"&amp;TEXT(E1947,"00")&amp;"-"&amp;H1947)</f>
        <v>SAMP-KG01-L24-20251220-ORD-2025-00270-H16-Overpress</v>
      </c>
      <c r="K1947" s="1" t="str">
        <f aca="false">IF(A1947="","",IF(AND(G1947&gt;=0,I1947&gt;=0,I1947&lt;=G1947),"OK","CHECK"))</f>
        <v>OK</v>
      </c>
      <c r="L1947" s="1" t="str">
        <f aca="false">IF(A1947="","",IF(AND(E1947&gt;=0,E1947&lt;=23),"OK","CHECK"))</f>
        <v>OK</v>
      </c>
      <c r="M1947" s="1" t="str">
        <f aca="false">IF(A1947="","",IF(AND(K1947="OK",L1947="OK"),"OK","CHECK"))</f>
        <v>OK</v>
      </c>
    </row>
    <row r="1948" customFormat="false" ht="18" hidden="false" customHeight="true" outlineLevel="0" collapsed="false">
      <c r="A1948" s="9" t="s">
        <v>26</v>
      </c>
      <c r="B1948" s="9" t="n">
        <v>24</v>
      </c>
      <c r="C1948" s="11" t="n">
        <v>46012</v>
      </c>
      <c r="D1948" s="9" t="s">
        <v>159</v>
      </c>
      <c r="E1948" s="12" t="n">
        <v>7</v>
      </c>
      <c r="F1948" s="9" t="s">
        <v>28</v>
      </c>
      <c r="G1948" s="13" t="n">
        <v>100</v>
      </c>
      <c r="H1948" s="9" t="s">
        <v>41</v>
      </c>
      <c r="I1948" s="13" t="n">
        <v>1</v>
      </c>
      <c r="J1948" s="1" t="str">
        <f aca="false">IF(A1948="","", "SAMP-"&amp;A1948&amp;"-L"&amp;TEXT(B1948,"00")&amp;"-"&amp;TEXT(C1948,"yyyymmdd")&amp;"-"&amp;D1948&amp;"-H"&amp;TEXT(E1948,"00")&amp;"-"&amp;H1948)</f>
        <v>SAMP-KG01-L24-20251221-ORD-2025-00270-H07-Chip</v>
      </c>
      <c r="K1948" s="1" t="str">
        <f aca="false">IF(A1948="","",IF(AND(G1948&gt;=0,I1948&gt;=0,I1948&lt;=G1948),"OK","CHECK"))</f>
        <v>OK</v>
      </c>
      <c r="L1948" s="1" t="str">
        <f aca="false">IF(A1948="","",IF(AND(E1948&gt;=0,E1948&lt;=23),"OK","CHECK"))</f>
        <v>OK</v>
      </c>
      <c r="M1948" s="1" t="str">
        <f aca="false">IF(A1948="","",IF(AND(K1948="OK",L1948="OK"),"OK","CHECK"))</f>
        <v>OK</v>
      </c>
    </row>
    <row r="1949" customFormat="false" ht="18" hidden="false" customHeight="true" outlineLevel="0" collapsed="false">
      <c r="A1949" s="9" t="s">
        <v>26</v>
      </c>
      <c r="B1949" s="9" t="n">
        <v>24</v>
      </c>
      <c r="C1949" s="11" t="n">
        <v>46012</v>
      </c>
      <c r="D1949" s="9" t="s">
        <v>159</v>
      </c>
      <c r="E1949" s="12" t="n">
        <v>12</v>
      </c>
      <c r="F1949" s="9" t="s">
        <v>28</v>
      </c>
      <c r="G1949" s="13" t="n">
        <v>50</v>
      </c>
      <c r="H1949" s="9" t="s">
        <v>33</v>
      </c>
      <c r="I1949" s="13" t="n">
        <v>1</v>
      </c>
      <c r="J1949" s="1" t="str">
        <f aca="false">IF(A1949="","", "SAMP-"&amp;A1949&amp;"-L"&amp;TEXT(B1949,"00")&amp;"-"&amp;TEXT(C1949,"yyyymmdd")&amp;"-"&amp;D1949&amp;"-H"&amp;TEXT(E1949,"00")&amp;"-"&amp;H1949)</f>
        <v>SAMP-KG01-L24-20251221-ORD-2025-00270-H12-Distortion</v>
      </c>
      <c r="K1949" s="1" t="str">
        <f aca="false">IF(A1949="","",IF(AND(G1949&gt;=0,I1949&gt;=0,I1949&lt;=G1949),"OK","CHECK"))</f>
        <v>OK</v>
      </c>
      <c r="L1949" s="1" t="str">
        <f aca="false">IF(A1949="","",IF(AND(E1949&gt;=0,E1949&lt;=23),"OK","CHECK"))</f>
        <v>OK</v>
      </c>
      <c r="M1949" s="1" t="str">
        <f aca="false">IF(A1949="","",IF(AND(K1949="OK",L1949="OK"),"OK","CHECK"))</f>
        <v>OK</v>
      </c>
    </row>
    <row r="1950" customFormat="false" ht="18" hidden="false" customHeight="true" outlineLevel="0" collapsed="false">
      <c r="A1950" s="9" t="s">
        <v>26</v>
      </c>
      <c r="B1950" s="9" t="n">
        <v>24</v>
      </c>
      <c r="C1950" s="11" t="n">
        <v>46012</v>
      </c>
      <c r="D1950" s="9" t="s">
        <v>159</v>
      </c>
      <c r="E1950" s="12" t="n">
        <v>9</v>
      </c>
      <c r="F1950" s="9" t="s">
        <v>28</v>
      </c>
      <c r="G1950" s="13" t="n">
        <v>150</v>
      </c>
      <c r="H1950" s="9" t="s">
        <v>41</v>
      </c>
      <c r="I1950" s="13" t="n">
        <v>1</v>
      </c>
      <c r="J1950" s="1" t="str">
        <f aca="false">IF(A1950="","", "SAMP-"&amp;A1950&amp;"-L"&amp;TEXT(B1950,"00")&amp;"-"&amp;TEXT(C1950,"yyyymmdd")&amp;"-"&amp;D1950&amp;"-H"&amp;TEXT(E1950,"00")&amp;"-"&amp;H1950)</f>
        <v>SAMP-KG01-L24-20251221-ORD-2025-00270-H09-Chip</v>
      </c>
      <c r="K1950" s="1" t="str">
        <f aca="false">IF(A1950="","",IF(AND(G1950&gt;=0,I1950&gt;=0,I1950&lt;=G1950),"OK","CHECK"))</f>
        <v>OK</v>
      </c>
      <c r="L1950" s="1" t="str">
        <f aca="false">IF(A1950="","",IF(AND(E1950&gt;=0,E1950&lt;=23),"OK","CHECK"))</f>
        <v>OK</v>
      </c>
      <c r="M1950" s="1" t="str">
        <f aca="false">IF(A1950="","",IF(AND(K1950="OK",L1950="OK"),"OK","CHECK"))</f>
        <v>OK</v>
      </c>
    </row>
    <row r="1951" customFormat="false" ht="18" hidden="false" customHeight="true" outlineLevel="0" collapsed="false">
      <c r="A1951" s="9" t="s">
        <v>26</v>
      </c>
      <c r="B1951" s="9" t="n">
        <v>24</v>
      </c>
      <c r="C1951" s="11" t="n">
        <v>46012</v>
      </c>
      <c r="D1951" s="9" t="s">
        <v>160</v>
      </c>
      <c r="E1951" s="12" t="n">
        <v>20</v>
      </c>
      <c r="F1951" s="9" t="s">
        <v>31</v>
      </c>
      <c r="G1951" s="13" t="n">
        <v>50</v>
      </c>
      <c r="H1951" s="9" t="s">
        <v>37</v>
      </c>
      <c r="I1951" s="13" t="n">
        <v>1</v>
      </c>
      <c r="J1951" s="1" t="str">
        <f aca="false">IF(A1951="","", "SAMP-"&amp;A1951&amp;"-L"&amp;TEXT(B1951,"00")&amp;"-"&amp;TEXT(C1951,"yyyymmdd")&amp;"-"&amp;D1951&amp;"-H"&amp;TEXT(E1951,"00")&amp;"-"&amp;H1951)</f>
        <v>SAMP-KG01-L24-20251221-ORD-2025-00271-H20-Bird Swing</v>
      </c>
      <c r="K1951" s="1" t="str">
        <f aca="false">IF(A1951="","",IF(AND(G1951&gt;=0,I1951&gt;=0,I1951&lt;=G1951),"OK","CHECK"))</f>
        <v>OK</v>
      </c>
      <c r="L1951" s="1" t="str">
        <f aca="false">IF(A1951="","",IF(AND(E1951&gt;=0,E1951&lt;=23),"OK","CHECK"))</f>
        <v>OK</v>
      </c>
      <c r="M1951" s="1" t="str">
        <f aca="false">IF(A1951="","",IF(AND(K1951="OK",L1951="OK"),"OK","CHECK"))</f>
        <v>OK</v>
      </c>
    </row>
    <row r="1952" customFormat="false" ht="18" hidden="false" customHeight="true" outlineLevel="0" collapsed="false">
      <c r="A1952" s="9" t="s">
        <v>26</v>
      </c>
      <c r="B1952" s="9" t="n">
        <v>24</v>
      </c>
      <c r="C1952" s="11" t="n">
        <v>46012</v>
      </c>
      <c r="D1952" s="9" t="s">
        <v>160</v>
      </c>
      <c r="E1952" s="12" t="n">
        <v>23</v>
      </c>
      <c r="F1952" s="9" t="s">
        <v>31</v>
      </c>
      <c r="G1952" s="13" t="n">
        <v>100</v>
      </c>
      <c r="H1952" s="9" t="s">
        <v>36</v>
      </c>
      <c r="I1952" s="13" t="n">
        <v>4</v>
      </c>
      <c r="J1952" s="1" t="str">
        <f aca="false">IF(A1952="","", "SAMP-"&amp;A1952&amp;"-L"&amp;TEXT(B1952,"00")&amp;"-"&amp;TEXT(C1952,"yyyymmdd")&amp;"-"&amp;D1952&amp;"-H"&amp;TEXT(E1952,"00")&amp;"-"&amp;H1952)</f>
        <v>SAMP-KG01-L24-20251221-ORD-2025-00271-H23-Blister</v>
      </c>
      <c r="K1952" s="1" t="str">
        <f aca="false">IF(A1952="","",IF(AND(G1952&gt;=0,I1952&gt;=0,I1952&lt;=G1952),"OK","CHECK"))</f>
        <v>OK</v>
      </c>
      <c r="L1952" s="1" t="str">
        <f aca="false">IF(A1952="","",IF(AND(E1952&gt;=0,E1952&lt;=23),"OK","CHECK"))</f>
        <v>OK</v>
      </c>
      <c r="M1952" s="1" t="str">
        <f aca="false">IF(A1952="","",IF(AND(K1952="OK",L1952="OK"),"OK","CHECK"))</f>
        <v>OK</v>
      </c>
    </row>
    <row r="1953" customFormat="false" ht="18" hidden="false" customHeight="true" outlineLevel="0" collapsed="false">
      <c r="A1953" s="9" t="s">
        <v>26</v>
      </c>
      <c r="B1953" s="9" t="n">
        <v>24</v>
      </c>
      <c r="C1953" s="11" t="n">
        <v>46013</v>
      </c>
      <c r="D1953" s="9" t="s">
        <v>160</v>
      </c>
      <c r="E1953" s="12" t="n">
        <v>9</v>
      </c>
      <c r="F1953" s="9" t="s">
        <v>28</v>
      </c>
      <c r="G1953" s="13" t="n">
        <v>100</v>
      </c>
      <c r="H1953" s="9" t="s">
        <v>33</v>
      </c>
      <c r="I1953" s="13" t="n">
        <v>1</v>
      </c>
      <c r="J1953" s="1" t="str">
        <f aca="false">IF(A1953="","", "SAMP-"&amp;A1953&amp;"-L"&amp;TEXT(B1953,"00")&amp;"-"&amp;TEXT(C1953,"yyyymmdd")&amp;"-"&amp;D1953&amp;"-H"&amp;TEXT(E1953,"00")&amp;"-"&amp;H1953)</f>
        <v>SAMP-KG01-L24-20251222-ORD-2025-00271-H09-Distortion</v>
      </c>
      <c r="K1953" s="1" t="str">
        <f aca="false">IF(A1953="","",IF(AND(G1953&gt;=0,I1953&gt;=0,I1953&lt;=G1953),"OK","CHECK"))</f>
        <v>OK</v>
      </c>
      <c r="L1953" s="1" t="str">
        <f aca="false">IF(A1953="","",IF(AND(E1953&gt;=0,E1953&lt;=23),"OK","CHECK"))</f>
        <v>OK</v>
      </c>
      <c r="M1953" s="1" t="str">
        <f aca="false">IF(A1953="","",IF(AND(K1953="OK",L1953="OK"),"OK","CHECK"))</f>
        <v>OK</v>
      </c>
    </row>
    <row r="1954" customFormat="false" ht="18" hidden="false" customHeight="true" outlineLevel="0" collapsed="false">
      <c r="A1954" s="9" t="s">
        <v>26</v>
      </c>
      <c r="B1954" s="9" t="n">
        <v>24</v>
      </c>
      <c r="C1954" s="11" t="n">
        <v>46013</v>
      </c>
      <c r="D1954" s="9" t="s">
        <v>160</v>
      </c>
      <c r="E1954" s="12" t="n">
        <v>7</v>
      </c>
      <c r="F1954" s="9" t="s">
        <v>28</v>
      </c>
      <c r="G1954" s="13" t="n">
        <v>150</v>
      </c>
      <c r="H1954" s="9" t="s">
        <v>33</v>
      </c>
      <c r="I1954" s="13" t="n">
        <v>4</v>
      </c>
      <c r="J1954" s="1" t="str">
        <f aca="false">IF(A1954="","", "SAMP-"&amp;A1954&amp;"-L"&amp;TEXT(B1954,"00")&amp;"-"&amp;TEXT(C1954,"yyyymmdd")&amp;"-"&amp;D1954&amp;"-H"&amp;TEXT(E1954,"00")&amp;"-"&amp;H1954)</f>
        <v>SAMP-KG01-L24-20251222-ORD-2025-00271-H07-Distortion</v>
      </c>
      <c r="K1954" s="1" t="str">
        <f aca="false">IF(A1954="","",IF(AND(G1954&gt;=0,I1954&gt;=0,I1954&lt;=G1954),"OK","CHECK"))</f>
        <v>OK</v>
      </c>
      <c r="L1954" s="1" t="str">
        <f aca="false">IF(A1954="","",IF(AND(E1954&gt;=0,E1954&lt;=23),"OK","CHECK"))</f>
        <v>OK</v>
      </c>
      <c r="M1954" s="1" t="str">
        <f aca="false">IF(A1954="","",IF(AND(K1954="OK",L1954="OK"),"OK","CHECK"))</f>
        <v>OK</v>
      </c>
    </row>
    <row r="1955" customFormat="false" ht="18" hidden="false" customHeight="true" outlineLevel="0" collapsed="false">
      <c r="A1955" s="9" t="s">
        <v>26</v>
      </c>
      <c r="B1955" s="9" t="n">
        <v>24</v>
      </c>
      <c r="C1955" s="11" t="n">
        <v>46013</v>
      </c>
      <c r="D1955" s="9" t="s">
        <v>160</v>
      </c>
      <c r="E1955" s="12" t="n">
        <v>12</v>
      </c>
      <c r="F1955" s="9" t="s">
        <v>28</v>
      </c>
      <c r="G1955" s="13" t="n">
        <v>50</v>
      </c>
      <c r="H1955" s="9" t="s">
        <v>35</v>
      </c>
      <c r="I1955" s="13" t="n">
        <v>0</v>
      </c>
      <c r="J1955" s="1" t="str">
        <f aca="false">IF(A1955="","", "SAMP-"&amp;A1955&amp;"-L"&amp;TEXT(B1955,"00")&amp;"-"&amp;TEXT(C1955,"yyyymmdd")&amp;"-"&amp;D1955&amp;"-H"&amp;TEXT(E1955,"00")&amp;"-"&amp;H1955)</f>
        <v>SAMP-KG01-L24-20251222-ORD-2025-00271-H12-Stone</v>
      </c>
      <c r="K1955" s="1" t="str">
        <f aca="false">IF(A1955="","",IF(AND(G1955&gt;=0,I1955&gt;=0,I1955&lt;=G1955),"OK","CHECK"))</f>
        <v>OK</v>
      </c>
      <c r="L1955" s="1" t="str">
        <f aca="false">IF(A1955="","",IF(AND(E1955&gt;=0,E1955&lt;=23),"OK","CHECK"))</f>
        <v>OK</v>
      </c>
      <c r="M1955" s="1" t="str">
        <f aca="false">IF(A1955="","",IF(AND(K1955="OK",L1955="OK"),"OK","CHECK"))</f>
        <v>OK</v>
      </c>
    </row>
    <row r="1956" customFormat="false" ht="18" hidden="false" customHeight="true" outlineLevel="0" collapsed="false">
      <c r="A1956" s="9" t="s">
        <v>26</v>
      </c>
      <c r="B1956" s="9" t="n">
        <v>24</v>
      </c>
      <c r="C1956" s="11" t="n">
        <v>46013</v>
      </c>
      <c r="D1956" s="9" t="s">
        <v>160</v>
      </c>
      <c r="E1956" s="12" t="n">
        <v>16</v>
      </c>
      <c r="F1956" s="9" t="s">
        <v>31</v>
      </c>
      <c r="G1956" s="13" t="n">
        <v>50</v>
      </c>
      <c r="H1956" s="9" t="s">
        <v>36</v>
      </c>
      <c r="I1956" s="13" t="n">
        <v>0</v>
      </c>
      <c r="J1956" s="1" t="str">
        <f aca="false">IF(A1956="","", "SAMP-"&amp;A1956&amp;"-L"&amp;TEXT(B1956,"00")&amp;"-"&amp;TEXT(C1956,"yyyymmdd")&amp;"-"&amp;D1956&amp;"-H"&amp;TEXT(E1956,"00")&amp;"-"&amp;H1956)</f>
        <v>SAMP-KG01-L24-20251222-ORD-2025-00271-H16-Blister</v>
      </c>
      <c r="K1956" s="1" t="str">
        <f aca="false">IF(A1956="","",IF(AND(G1956&gt;=0,I1956&gt;=0,I1956&lt;=G1956),"OK","CHECK"))</f>
        <v>OK</v>
      </c>
      <c r="L1956" s="1" t="str">
        <f aca="false">IF(A1956="","",IF(AND(E1956&gt;=0,E1956&lt;=23),"OK","CHECK"))</f>
        <v>OK</v>
      </c>
      <c r="M1956" s="1" t="str">
        <f aca="false">IF(A1956="","",IF(AND(K1956="OK",L1956="OK"),"OK","CHECK"))</f>
        <v>OK</v>
      </c>
    </row>
    <row r="1957" customFormat="false" ht="18" hidden="false" customHeight="true" outlineLevel="0" collapsed="false">
      <c r="A1957" s="9" t="s">
        <v>26</v>
      </c>
      <c r="B1957" s="9" t="n">
        <v>24</v>
      </c>
      <c r="C1957" s="11" t="n">
        <v>46013</v>
      </c>
      <c r="D1957" s="9" t="s">
        <v>160</v>
      </c>
      <c r="E1957" s="12" t="n">
        <v>20</v>
      </c>
      <c r="F1957" s="9" t="s">
        <v>31</v>
      </c>
      <c r="G1957" s="13" t="n">
        <v>200</v>
      </c>
      <c r="H1957" s="9" t="s">
        <v>35</v>
      </c>
      <c r="I1957" s="13" t="n">
        <v>8</v>
      </c>
      <c r="J1957" s="1" t="str">
        <f aca="false">IF(A1957="","", "SAMP-"&amp;A1957&amp;"-L"&amp;TEXT(B1957,"00")&amp;"-"&amp;TEXT(C1957,"yyyymmdd")&amp;"-"&amp;D1957&amp;"-H"&amp;TEXT(E1957,"00")&amp;"-"&amp;H1957)</f>
        <v>SAMP-KG01-L24-20251222-ORD-2025-00271-H20-Stone</v>
      </c>
      <c r="K1957" s="1" t="str">
        <f aca="false">IF(A1957="","",IF(AND(G1957&gt;=0,I1957&gt;=0,I1957&lt;=G1957),"OK","CHECK"))</f>
        <v>OK</v>
      </c>
      <c r="L1957" s="1" t="str">
        <f aca="false">IF(A1957="","",IF(AND(E1957&gt;=0,E1957&lt;=23),"OK","CHECK"))</f>
        <v>OK</v>
      </c>
      <c r="M1957" s="1" t="str">
        <f aca="false">IF(A1957="","",IF(AND(K1957="OK",L1957="OK"),"OK","CHECK"))</f>
        <v>OK</v>
      </c>
    </row>
    <row r="1958" customFormat="false" ht="18" hidden="false" customHeight="true" outlineLevel="0" collapsed="false">
      <c r="A1958" s="9" t="s">
        <v>26</v>
      </c>
      <c r="B1958" s="9" t="n">
        <v>24</v>
      </c>
      <c r="C1958" s="11" t="n">
        <v>46013</v>
      </c>
      <c r="D1958" s="9" t="s">
        <v>160</v>
      </c>
      <c r="E1958" s="12" t="n">
        <v>23</v>
      </c>
      <c r="F1958" s="9" t="s">
        <v>31</v>
      </c>
      <c r="G1958" s="13" t="n">
        <v>150</v>
      </c>
      <c r="H1958" s="9" t="s">
        <v>38</v>
      </c>
      <c r="I1958" s="13" t="n">
        <v>4</v>
      </c>
      <c r="J1958" s="1" t="str">
        <f aca="false">IF(A1958="","", "SAMP-"&amp;A1958&amp;"-L"&amp;TEXT(B1958,"00")&amp;"-"&amp;TEXT(C1958,"yyyymmdd")&amp;"-"&amp;D1958&amp;"-H"&amp;TEXT(E1958,"00")&amp;"-"&amp;H1958)</f>
        <v>SAMP-KG01-L24-20251222-ORD-2025-00271-H23-Crack</v>
      </c>
      <c r="K1958" s="1" t="str">
        <f aca="false">IF(A1958="","",IF(AND(G1958&gt;=0,I1958&gt;=0,I1958&lt;=G1958),"OK","CHECK"))</f>
        <v>OK</v>
      </c>
      <c r="L1958" s="1" t="str">
        <f aca="false">IF(A1958="","",IF(AND(E1958&gt;=0,E1958&lt;=23),"OK","CHECK"))</f>
        <v>OK</v>
      </c>
      <c r="M1958" s="1" t="str">
        <f aca="false">IF(A1958="","",IF(AND(K1958="OK",L1958="OK"),"OK","CHECK"))</f>
        <v>OK</v>
      </c>
    </row>
    <row r="1959" customFormat="false" ht="18" hidden="false" customHeight="true" outlineLevel="0" collapsed="false">
      <c r="A1959" s="9" t="s">
        <v>26</v>
      </c>
      <c r="B1959" s="9" t="n">
        <v>24</v>
      </c>
      <c r="C1959" s="11" t="n">
        <v>46014</v>
      </c>
      <c r="D1959" s="9" t="s">
        <v>160</v>
      </c>
      <c r="E1959" s="12" t="n">
        <v>12</v>
      </c>
      <c r="F1959" s="9" t="s">
        <v>28</v>
      </c>
      <c r="G1959" s="13" t="n">
        <v>100</v>
      </c>
      <c r="H1959" s="9" t="s">
        <v>35</v>
      </c>
      <c r="I1959" s="13" t="n">
        <v>1</v>
      </c>
      <c r="J1959" s="1" t="str">
        <f aca="false">IF(A1959="","", "SAMP-"&amp;A1959&amp;"-L"&amp;TEXT(B1959,"00")&amp;"-"&amp;TEXT(C1959,"yyyymmdd")&amp;"-"&amp;D1959&amp;"-H"&amp;TEXT(E1959,"00")&amp;"-"&amp;H1959)</f>
        <v>SAMP-KG01-L24-20251223-ORD-2025-00271-H12-Stone</v>
      </c>
      <c r="K1959" s="1" t="str">
        <f aca="false">IF(A1959="","",IF(AND(G1959&gt;=0,I1959&gt;=0,I1959&lt;=G1959),"OK","CHECK"))</f>
        <v>OK</v>
      </c>
      <c r="L1959" s="1" t="str">
        <f aca="false">IF(A1959="","",IF(AND(E1959&gt;=0,E1959&lt;=23),"OK","CHECK"))</f>
        <v>OK</v>
      </c>
      <c r="M1959" s="1" t="str">
        <f aca="false">IF(A1959="","",IF(AND(K1959="OK",L1959="OK"),"OK","CHECK"))</f>
        <v>OK</v>
      </c>
    </row>
    <row r="1960" customFormat="false" ht="18" hidden="false" customHeight="true" outlineLevel="0" collapsed="false">
      <c r="A1960" s="9" t="s">
        <v>26</v>
      </c>
      <c r="B1960" s="9" t="n">
        <v>24</v>
      </c>
      <c r="C1960" s="11" t="n">
        <v>46014</v>
      </c>
      <c r="D1960" s="9" t="s">
        <v>160</v>
      </c>
      <c r="E1960" s="12" t="n">
        <v>7</v>
      </c>
      <c r="F1960" s="9" t="s">
        <v>28</v>
      </c>
      <c r="G1960" s="13" t="n">
        <v>100</v>
      </c>
      <c r="H1960" s="9" t="s">
        <v>34</v>
      </c>
      <c r="I1960" s="13" t="n">
        <v>1</v>
      </c>
      <c r="J1960" s="1" t="str">
        <f aca="false">IF(A1960="","", "SAMP-"&amp;A1960&amp;"-L"&amp;TEXT(B1960,"00")&amp;"-"&amp;TEXT(C1960,"yyyymmdd")&amp;"-"&amp;D1960&amp;"-H"&amp;TEXT(E1960,"00")&amp;"-"&amp;H1960)</f>
        <v>SAMP-KG01-L24-20251223-ORD-2025-00271-H07-Thin Wall</v>
      </c>
      <c r="K1960" s="1" t="str">
        <f aca="false">IF(A1960="","",IF(AND(G1960&gt;=0,I1960&gt;=0,I1960&lt;=G1960),"OK","CHECK"))</f>
        <v>OK</v>
      </c>
      <c r="L1960" s="1" t="str">
        <f aca="false">IF(A1960="","",IF(AND(E1960&gt;=0,E1960&lt;=23),"OK","CHECK"))</f>
        <v>OK</v>
      </c>
      <c r="M1960" s="1" t="str">
        <f aca="false">IF(A1960="","",IF(AND(K1960="OK",L1960="OK"),"OK","CHECK"))</f>
        <v>OK</v>
      </c>
    </row>
    <row r="1961" customFormat="false" ht="18" hidden="false" customHeight="true" outlineLevel="0" collapsed="false">
      <c r="A1961" s="9" t="s">
        <v>26</v>
      </c>
      <c r="B1961" s="9" t="n">
        <v>24</v>
      </c>
      <c r="C1961" s="11" t="n">
        <v>46014</v>
      </c>
      <c r="D1961" s="9" t="s">
        <v>160</v>
      </c>
      <c r="E1961" s="12" t="n">
        <v>9</v>
      </c>
      <c r="F1961" s="9" t="s">
        <v>28</v>
      </c>
      <c r="G1961" s="13" t="n">
        <v>200</v>
      </c>
      <c r="H1961" s="9" t="s">
        <v>34</v>
      </c>
      <c r="I1961" s="13" t="n">
        <v>6</v>
      </c>
      <c r="J1961" s="1" t="str">
        <f aca="false">IF(A1961="","", "SAMP-"&amp;A1961&amp;"-L"&amp;TEXT(B1961,"00")&amp;"-"&amp;TEXT(C1961,"yyyymmdd")&amp;"-"&amp;D1961&amp;"-H"&amp;TEXT(E1961,"00")&amp;"-"&amp;H1961)</f>
        <v>SAMP-KG01-L24-20251223-ORD-2025-00271-H09-Thin Wall</v>
      </c>
      <c r="K1961" s="1" t="str">
        <f aca="false">IF(A1961="","",IF(AND(G1961&gt;=0,I1961&gt;=0,I1961&lt;=G1961),"OK","CHECK"))</f>
        <v>OK</v>
      </c>
      <c r="L1961" s="1" t="str">
        <f aca="false">IF(A1961="","",IF(AND(E1961&gt;=0,E1961&lt;=23),"OK","CHECK"))</f>
        <v>OK</v>
      </c>
      <c r="M1961" s="1" t="str">
        <f aca="false">IF(A1961="","",IF(AND(K1961="OK",L1961="OK"),"OK","CHECK"))</f>
        <v>OK</v>
      </c>
    </row>
    <row r="1962" customFormat="false" ht="18" hidden="false" customHeight="true" outlineLevel="0" collapsed="false">
      <c r="A1962" s="9" t="s">
        <v>26</v>
      </c>
      <c r="B1962" s="9" t="n">
        <v>24</v>
      </c>
      <c r="C1962" s="11" t="n">
        <v>46014</v>
      </c>
      <c r="D1962" s="9" t="s">
        <v>160</v>
      </c>
      <c r="E1962" s="12" t="n">
        <v>23</v>
      </c>
      <c r="F1962" s="9" t="s">
        <v>31</v>
      </c>
      <c r="G1962" s="13" t="n">
        <v>150</v>
      </c>
      <c r="H1962" s="9" t="s">
        <v>35</v>
      </c>
      <c r="I1962" s="13" t="n">
        <v>0</v>
      </c>
      <c r="J1962" s="1" t="str">
        <f aca="false">IF(A1962="","", "SAMP-"&amp;A1962&amp;"-L"&amp;TEXT(B1962,"00")&amp;"-"&amp;TEXT(C1962,"yyyymmdd")&amp;"-"&amp;D1962&amp;"-H"&amp;TEXT(E1962,"00")&amp;"-"&amp;H1962)</f>
        <v>SAMP-KG01-L24-20251223-ORD-2025-00271-H23-Stone</v>
      </c>
      <c r="K1962" s="1" t="str">
        <f aca="false">IF(A1962="","",IF(AND(G1962&gt;=0,I1962&gt;=0,I1962&lt;=G1962),"OK","CHECK"))</f>
        <v>OK</v>
      </c>
      <c r="L1962" s="1" t="str">
        <f aca="false">IF(A1962="","",IF(AND(E1962&gt;=0,E1962&lt;=23),"OK","CHECK"))</f>
        <v>OK</v>
      </c>
      <c r="M1962" s="1" t="str">
        <f aca="false">IF(A1962="","",IF(AND(K1962="OK",L1962="OK"),"OK","CHECK"))</f>
        <v>OK</v>
      </c>
    </row>
    <row r="1963" customFormat="false" ht="18" hidden="false" customHeight="true" outlineLevel="0" collapsed="false">
      <c r="A1963" s="9" t="s">
        <v>26</v>
      </c>
      <c r="B1963" s="9" t="n">
        <v>24</v>
      </c>
      <c r="C1963" s="11" t="n">
        <v>46014</v>
      </c>
      <c r="D1963" s="9" t="s">
        <v>160</v>
      </c>
      <c r="E1963" s="12" t="n">
        <v>16</v>
      </c>
      <c r="F1963" s="9" t="s">
        <v>31</v>
      </c>
      <c r="G1963" s="13" t="n">
        <v>150</v>
      </c>
      <c r="H1963" s="9" t="s">
        <v>33</v>
      </c>
      <c r="I1963" s="13" t="n">
        <v>1</v>
      </c>
      <c r="J1963" s="1" t="str">
        <f aca="false">IF(A1963="","", "SAMP-"&amp;A1963&amp;"-L"&amp;TEXT(B1963,"00")&amp;"-"&amp;TEXT(C1963,"yyyymmdd")&amp;"-"&amp;D1963&amp;"-H"&amp;TEXT(E1963,"00")&amp;"-"&amp;H1963)</f>
        <v>SAMP-KG01-L24-20251223-ORD-2025-00271-H16-Distortion</v>
      </c>
      <c r="K1963" s="1" t="str">
        <f aca="false">IF(A1963="","",IF(AND(G1963&gt;=0,I1963&gt;=0,I1963&lt;=G1963),"OK","CHECK"))</f>
        <v>OK</v>
      </c>
      <c r="L1963" s="1" t="str">
        <f aca="false">IF(A1963="","",IF(AND(E1963&gt;=0,E1963&lt;=23),"OK","CHECK"))</f>
        <v>OK</v>
      </c>
      <c r="M1963" s="1" t="str">
        <f aca="false">IF(A1963="","",IF(AND(K1963="OK",L1963="OK"),"OK","CHECK"))</f>
        <v>OK</v>
      </c>
    </row>
    <row r="1964" customFormat="false" ht="18" hidden="false" customHeight="true" outlineLevel="0" collapsed="false">
      <c r="A1964" s="9" t="s">
        <v>26</v>
      </c>
      <c r="B1964" s="9" t="n">
        <v>24</v>
      </c>
      <c r="C1964" s="11" t="n">
        <v>46014</v>
      </c>
      <c r="D1964" s="9" t="s">
        <v>160</v>
      </c>
      <c r="E1964" s="12" t="n">
        <v>20</v>
      </c>
      <c r="F1964" s="9" t="s">
        <v>31</v>
      </c>
      <c r="G1964" s="13" t="n">
        <v>50</v>
      </c>
      <c r="H1964" s="9" t="s">
        <v>29</v>
      </c>
      <c r="I1964" s="13" t="n">
        <v>1</v>
      </c>
      <c r="J1964" s="1" t="str">
        <f aca="false">IF(A1964="","", "SAMP-"&amp;A1964&amp;"-L"&amp;TEXT(B1964,"00")&amp;"-"&amp;TEXT(C1964,"yyyymmdd")&amp;"-"&amp;D1964&amp;"-H"&amp;TEXT(E1964,"00")&amp;"-"&amp;H1964)</f>
        <v>SAMP-KG01-L24-20251223-ORD-2025-00271-H20-Choke Neck</v>
      </c>
      <c r="K1964" s="1" t="str">
        <f aca="false">IF(A1964="","",IF(AND(G1964&gt;=0,I1964&gt;=0,I1964&lt;=G1964),"OK","CHECK"))</f>
        <v>OK</v>
      </c>
      <c r="L1964" s="1" t="str">
        <f aca="false">IF(A1964="","",IF(AND(E1964&gt;=0,E1964&lt;=23),"OK","CHECK"))</f>
        <v>OK</v>
      </c>
      <c r="M1964" s="1" t="str">
        <f aca="false">IF(A1964="","",IF(AND(K1964="OK",L1964="OK"),"OK","CHECK"))</f>
        <v>OK</v>
      </c>
    </row>
    <row r="1965" customFormat="false" ht="18" hidden="false" customHeight="true" outlineLevel="0" collapsed="false">
      <c r="A1965" s="9" t="s">
        <v>26</v>
      </c>
      <c r="B1965" s="9" t="n">
        <v>24</v>
      </c>
      <c r="C1965" s="11" t="n">
        <v>46015</v>
      </c>
      <c r="D1965" s="9" t="s">
        <v>160</v>
      </c>
      <c r="E1965" s="12" t="n">
        <v>7</v>
      </c>
      <c r="F1965" s="9" t="s">
        <v>28</v>
      </c>
      <c r="G1965" s="13" t="n">
        <v>100</v>
      </c>
      <c r="H1965" s="9" t="s">
        <v>41</v>
      </c>
      <c r="I1965" s="13" t="n">
        <v>1</v>
      </c>
      <c r="J1965" s="1" t="str">
        <f aca="false">IF(A1965="","", "SAMP-"&amp;A1965&amp;"-L"&amp;TEXT(B1965,"00")&amp;"-"&amp;TEXT(C1965,"yyyymmdd")&amp;"-"&amp;D1965&amp;"-H"&amp;TEXT(E1965,"00")&amp;"-"&amp;H1965)</f>
        <v>SAMP-KG01-L24-20251224-ORD-2025-00271-H07-Chip</v>
      </c>
      <c r="K1965" s="1" t="str">
        <f aca="false">IF(A1965="","",IF(AND(G1965&gt;=0,I1965&gt;=0,I1965&lt;=G1965),"OK","CHECK"))</f>
        <v>OK</v>
      </c>
      <c r="L1965" s="1" t="str">
        <f aca="false">IF(A1965="","",IF(AND(E1965&gt;=0,E1965&lt;=23),"OK","CHECK"))</f>
        <v>OK</v>
      </c>
      <c r="M1965" s="1" t="str">
        <f aca="false">IF(A1965="","",IF(AND(K1965="OK",L1965="OK"),"OK","CHECK"))</f>
        <v>OK</v>
      </c>
    </row>
    <row r="1966" customFormat="false" ht="18" hidden="false" customHeight="true" outlineLevel="0" collapsed="false">
      <c r="A1966" s="9" t="s">
        <v>26</v>
      </c>
      <c r="B1966" s="9" t="n">
        <v>24</v>
      </c>
      <c r="C1966" s="11" t="n">
        <v>46015</v>
      </c>
      <c r="D1966" s="9" t="s">
        <v>160</v>
      </c>
      <c r="E1966" s="12" t="n">
        <v>9</v>
      </c>
      <c r="F1966" s="9" t="s">
        <v>28</v>
      </c>
      <c r="G1966" s="13" t="n">
        <v>50</v>
      </c>
      <c r="H1966" s="9" t="s">
        <v>36</v>
      </c>
      <c r="I1966" s="13" t="n">
        <v>0</v>
      </c>
      <c r="J1966" s="1" t="str">
        <f aca="false">IF(A1966="","", "SAMP-"&amp;A1966&amp;"-L"&amp;TEXT(B1966,"00")&amp;"-"&amp;TEXT(C1966,"yyyymmdd")&amp;"-"&amp;D1966&amp;"-H"&amp;TEXT(E1966,"00")&amp;"-"&amp;H1966)</f>
        <v>SAMP-KG01-L24-20251224-ORD-2025-00271-H09-Blister</v>
      </c>
      <c r="K1966" s="1" t="str">
        <f aca="false">IF(A1966="","",IF(AND(G1966&gt;=0,I1966&gt;=0,I1966&lt;=G1966),"OK","CHECK"))</f>
        <v>OK</v>
      </c>
      <c r="L1966" s="1" t="str">
        <f aca="false">IF(A1966="","",IF(AND(E1966&gt;=0,E1966&lt;=23),"OK","CHECK"))</f>
        <v>OK</v>
      </c>
      <c r="M1966" s="1" t="str">
        <f aca="false">IF(A1966="","",IF(AND(K1966="OK",L1966="OK"),"OK","CHECK"))</f>
        <v>OK</v>
      </c>
    </row>
    <row r="1967" customFormat="false" ht="18" hidden="false" customHeight="true" outlineLevel="0" collapsed="false">
      <c r="A1967" s="9" t="s">
        <v>26</v>
      </c>
      <c r="B1967" s="9" t="n">
        <v>24</v>
      </c>
      <c r="C1967" s="11" t="n">
        <v>46015</v>
      </c>
      <c r="D1967" s="9" t="s">
        <v>160</v>
      </c>
      <c r="E1967" s="12" t="n">
        <v>12</v>
      </c>
      <c r="F1967" s="9" t="s">
        <v>28</v>
      </c>
      <c r="G1967" s="13" t="n">
        <v>200</v>
      </c>
      <c r="H1967" s="9" t="s">
        <v>41</v>
      </c>
      <c r="I1967" s="13" t="n">
        <v>1</v>
      </c>
      <c r="J1967" s="1" t="str">
        <f aca="false">IF(A1967="","", "SAMP-"&amp;A1967&amp;"-L"&amp;TEXT(B1967,"00")&amp;"-"&amp;TEXT(C1967,"yyyymmdd")&amp;"-"&amp;D1967&amp;"-H"&amp;TEXT(E1967,"00")&amp;"-"&amp;H1967)</f>
        <v>SAMP-KG01-L24-20251224-ORD-2025-00271-H12-Chip</v>
      </c>
      <c r="K1967" s="1" t="str">
        <f aca="false">IF(A1967="","",IF(AND(G1967&gt;=0,I1967&gt;=0,I1967&lt;=G1967),"OK","CHECK"))</f>
        <v>OK</v>
      </c>
      <c r="L1967" s="1" t="str">
        <f aca="false">IF(A1967="","",IF(AND(E1967&gt;=0,E1967&lt;=23),"OK","CHECK"))</f>
        <v>OK</v>
      </c>
      <c r="M1967" s="1" t="str">
        <f aca="false">IF(A1967="","",IF(AND(K1967="OK",L1967="OK"),"OK","CHECK"))</f>
        <v>OK</v>
      </c>
    </row>
    <row r="1968" customFormat="false" ht="18" hidden="false" customHeight="true" outlineLevel="0" collapsed="false">
      <c r="A1968" s="9" t="s">
        <v>26</v>
      </c>
      <c r="B1968" s="9" t="n">
        <v>24</v>
      </c>
      <c r="C1968" s="11" t="n">
        <v>46015</v>
      </c>
      <c r="D1968" s="9" t="s">
        <v>160</v>
      </c>
      <c r="E1968" s="12" t="n">
        <v>20</v>
      </c>
      <c r="F1968" s="9" t="s">
        <v>31</v>
      </c>
      <c r="G1968" s="13" t="n">
        <v>200</v>
      </c>
      <c r="H1968" s="9" t="s">
        <v>36</v>
      </c>
      <c r="I1968" s="13" t="n">
        <v>3</v>
      </c>
      <c r="J1968" s="1" t="str">
        <f aca="false">IF(A1968="","", "SAMP-"&amp;A1968&amp;"-L"&amp;TEXT(B1968,"00")&amp;"-"&amp;TEXT(C1968,"yyyymmdd")&amp;"-"&amp;D1968&amp;"-H"&amp;TEXT(E1968,"00")&amp;"-"&amp;H1968)</f>
        <v>SAMP-KG01-L24-20251224-ORD-2025-00271-H20-Blister</v>
      </c>
      <c r="K1968" s="1" t="str">
        <f aca="false">IF(A1968="","",IF(AND(G1968&gt;=0,I1968&gt;=0,I1968&lt;=G1968),"OK","CHECK"))</f>
        <v>OK</v>
      </c>
      <c r="L1968" s="1" t="str">
        <f aca="false">IF(A1968="","",IF(AND(E1968&gt;=0,E1968&lt;=23),"OK","CHECK"))</f>
        <v>OK</v>
      </c>
      <c r="M1968" s="1" t="str">
        <f aca="false">IF(A1968="","",IF(AND(K1968="OK",L1968="OK"),"OK","CHECK"))</f>
        <v>OK</v>
      </c>
    </row>
    <row r="1969" customFormat="false" ht="18" hidden="false" customHeight="true" outlineLevel="0" collapsed="false">
      <c r="A1969" s="9" t="s">
        <v>26</v>
      </c>
      <c r="B1969" s="9" t="n">
        <v>24</v>
      </c>
      <c r="C1969" s="11" t="n">
        <v>46015</v>
      </c>
      <c r="D1969" s="9" t="s">
        <v>160</v>
      </c>
      <c r="E1969" s="12" t="n">
        <v>16</v>
      </c>
      <c r="F1969" s="9" t="s">
        <v>31</v>
      </c>
      <c r="G1969" s="13" t="n">
        <v>200</v>
      </c>
      <c r="H1969" s="9" t="s">
        <v>36</v>
      </c>
      <c r="I1969" s="13" t="n">
        <v>3</v>
      </c>
      <c r="J1969" s="1" t="str">
        <f aca="false">IF(A1969="","", "SAMP-"&amp;A1969&amp;"-L"&amp;TEXT(B1969,"00")&amp;"-"&amp;TEXT(C1969,"yyyymmdd")&amp;"-"&amp;D1969&amp;"-H"&amp;TEXT(E1969,"00")&amp;"-"&amp;H1969)</f>
        <v>SAMP-KG01-L24-20251224-ORD-2025-00271-H16-Blister</v>
      </c>
      <c r="K1969" s="1" t="str">
        <f aca="false">IF(A1969="","",IF(AND(G1969&gt;=0,I1969&gt;=0,I1969&lt;=G1969),"OK","CHECK"))</f>
        <v>OK</v>
      </c>
      <c r="L1969" s="1" t="str">
        <f aca="false">IF(A1969="","",IF(AND(E1969&gt;=0,E1969&lt;=23),"OK","CHECK"))</f>
        <v>OK</v>
      </c>
      <c r="M1969" s="1" t="str">
        <f aca="false">IF(A1969="","",IF(AND(K1969="OK",L1969="OK"),"OK","CHECK"))</f>
        <v>OK</v>
      </c>
    </row>
    <row r="1970" customFormat="false" ht="18" hidden="false" customHeight="true" outlineLevel="0" collapsed="false">
      <c r="A1970" s="9" t="s">
        <v>26</v>
      </c>
      <c r="B1970" s="9" t="n">
        <v>24</v>
      </c>
      <c r="C1970" s="11" t="n">
        <v>46016</v>
      </c>
      <c r="D1970" s="9" t="s">
        <v>160</v>
      </c>
      <c r="E1970" s="12" t="n">
        <v>9</v>
      </c>
      <c r="F1970" s="9" t="s">
        <v>28</v>
      </c>
      <c r="G1970" s="13" t="n">
        <v>100</v>
      </c>
      <c r="H1970" s="9" t="s">
        <v>36</v>
      </c>
      <c r="I1970" s="13" t="n">
        <v>0</v>
      </c>
      <c r="J1970" s="1" t="str">
        <f aca="false">IF(A1970="","", "SAMP-"&amp;A1970&amp;"-L"&amp;TEXT(B1970,"00")&amp;"-"&amp;TEXT(C1970,"yyyymmdd")&amp;"-"&amp;D1970&amp;"-H"&amp;TEXT(E1970,"00")&amp;"-"&amp;H1970)</f>
        <v>SAMP-KG01-L24-20251225-ORD-2025-00271-H09-Blister</v>
      </c>
      <c r="K1970" s="1" t="str">
        <f aca="false">IF(A1970="","",IF(AND(G1970&gt;=0,I1970&gt;=0,I1970&lt;=G1970),"OK","CHECK"))</f>
        <v>OK</v>
      </c>
      <c r="L1970" s="1" t="str">
        <f aca="false">IF(A1970="","",IF(AND(E1970&gt;=0,E1970&lt;=23),"OK","CHECK"))</f>
        <v>OK</v>
      </c>
      <c r="M1970" s="1" t="str">
        <f aca="false">IF(A1970="","",IF(AND(K1970="OK",L1970="OK"),"OK","CHECK"))</f>
        <v>OK</v>
      </c>
    </row>
    <row r="1971" customFormat="false" ht="18" hidden="false" customHeight="true" outlineLevel="0" collapsed="false">
      <c r="A1971" s="9" t="s">
        <v>26</v>
      </c>
      <c r="B1971" s="9" t="n">
        <v>24</v>
      </c>
      <c r="C1971" s="11" t="n">
        <v>46016</v>
      </c>
      <c r="D1971" s="9" t="s">
        <v>160</v>
      </c>
      <c r="E1971" s="12" t="n">
        <v>7</v>
      </c>
      <c r="F1971" s="9" t="s">
        <v>28</v>
      </c>
      <c r="G1971" s="13" t="n">
        <v>100</v>
      </c>
      <c r="H1971" s="9" t="s">
        <v>41</v>
      </c>
      <c r="I1971" s="13" t="n">
        <v>2</v>
      </c>
      <c r="J1971" s="1" t="str">
        <f aca="false">IF(A1971="","", "SAMP-"&amp;A1971&amp;"-L"&amp;TEXT(B1971,"00")&amp;"-"&amp;TEXT(C1971,"yyyymmdd")&amp;"-"&amp;D1971&amp;"-H"&amp;TEXT(E1971,"00")&amp;"-"&amp;H1971)</f>
        <v>SAMP-KG01-L24-20251225-ORD-2025-00271-H07-Chip</v>
      </c>
      <c r="K1971" s="1" t="str">
        <f aca="false">IF(A1971="","",IF(AND(G1971&gt;=0,I1971&gt;=0,I1971&lt;=G1971),"OK","CHECK"))</f>
        <v>OK</v>
      </c>
      <c r="L1971" s="1" t="str">
        <f aca="false">IF(A1971="","",IF(AND(E1971&gt;=0,E1971&lt;=23),"OK","CHECK"))</f>
        <v>OK</v>
      </c>
      <c r="M1971" s="1" t="str">
        <f aca="false">IF(A1971="","",IF(AND(K1971="OK",L1971="OK"),"OK","CHECK"))</f>
        <v>OK</v>
      </c>
    </row>
    <row r="1972" customFormat="false" ht="18" hidden="false" customHeight="true" outlineLevel="0" collapsed="false">
      <c r="A1972" s="9" t="s">
        <v>26</v>
      </c>
      <c r="B1972" s="9" t="n">
        <v>24</v>
      </c>
      <c r="C1972" s="11" t="n">
        <v>46016</v>
      </c>
      <c r="D1972" s="9" t="s">
        <v>160</v>
      </c>
      <c r="E1972" s="12" t="n">
        <v>12</v>
      </c>
      <c r="F1972" s="9" t="s">
        <v>28</v>
      </c>
      <c r="G1972" s="13" t="n">
        <v>50</v>
      </c>
      <c r="H1972" s="9" t="s">
        <v>29</v>
      </c>
      <c r="I1972" s="13" t="n">
        <v>0</v>
      </c>
      <c r="J1972" s="1" t="str">
        <f aca="false">IF(A1972="","", "SAMP-"&amp;A1972&amp;"-L"&amp;TEXT(B1972,"00")&amp;"-"&amp;TEXT(C1972,"yyyymmdd")&amp;"-"&amp;D1972&amp;"-H"&amp;TEXT(E1972,"00")&amp;"-"&amp;H1972)</f>
        <v>SAMP-KG01-L24-20251225-ORD-2025-00271-H12-Choke Neck</v>
      </c>
      <c r="K1972" s="1" t="str">
        <f aca="false">IF(A1972="","",IF(AND(G1972&gt;=0,I1972&gt;=0,I1972&lt;=G1972),"OK","CHECK"))</f>
        <v>OK</v>
      </c>
      <c r="L1972" s="1" t="str">
        <f aca="false">IF(A1972="","",IF(AND(E1972&gt;=0,E1972&lt;=23),"OK","CHECK"))</f>
        <v>OK</v>
      </c>
      <c r="M1972" s="1" t="str">
        <f aca="false">IF(A1972="","",IF(AND(K1972="OK",L1972="OK"),"OK","CHECK"))</f>
        <v>OK</v>
      </c>
    </row>
    <row r="1973" customFormat="false" ht="18" hidden="false" customHeight="true" outlineLevel="0" collapsed="false">
      <c r="A1973" s="9" t="s">
        <v>26</v>
      </c>
      <c r="B1973" s="9" t="n">
        <v>24</v>
      </c>
      <c r="C1973" s="11" t="n">
        <v>46016</v>
      </c>
      <c r="D1973" s="9" t="s">
        <v>160</v>
      </c>
      <c r="E1973" s="12" t="n">
        <v>16</v>
      </c>
      <c r="F1973" s="9" t="s">
        <v>31</v>
      </c>
      <c r="G1973" s="13" t="n">
        <v>200</v>
      </c>
      <c r="H1973" s="9" t="s">
        <v>41</v>
      </c>
      <c r="I1973" s="13" t="n">
        <v>4</v>
      </c>
      <c r="J1973" s="1" t="str">
        <f aca="false">IF(A1973="","", "SAMP-"&amp;A1973&amp;"-L"&amp;TEXT(B1973,"00")&amp;"-"&amp;TEXT(C1973,"yyyymmdd")&amp;"-"&amp;D1973&amp;"-H"&amp;TEXT(E1973,"00")&amp;"-"&amp;H1973)</f>
        <v>SAMP-KG01-L24-20251225-ORD-2025-00271-H16-Chip</v>
      </c>
      <c r="K1973" s="1" t="str">
        <f aca="false">IF(A1973="","",IF(AND(G1973&gt;=0,I1973&gt;=0,I1973&lt;=G1973),"OK","CHECK"))</f>
        <v>OK</v>
      </c>
      <c r="L1973" s="1" t="str">
        <f aca="false">IF(A1973="","",IF(AND(E1973&gt;=0,E1973&lt;=23),"OK","CHECK"))</f>
        <v>OK</v>
      </c>
      <c r="M1973" s="1" t="str">
        <f aca="false">IF(A1973="","",IF(AND(K1973="OK",L1973="OK"),"OK","CHECK"))</f>
        <v>OK</v>
      </c>
    </row>
    <row r="1974" customFormat="false" ht="18" hidden="false" customHeight="true" outlineLevel="0" collapsed="false">
      <c r="A1974" s="9" t="s">
        <v>26</v>
      </c>
      <c r="B1974" s="9" t="n">
        <v>24</v>
      </c>
      <c r="C1974" s="11" t="n">
        <v>46016</v>
      </c>
      <c r="D1974" s="9" t="s">
        <v>160</v>
      </c>
      <c r="E1974" s="12" t="n">
        <v>23</v>
      </c>
      <c r="F1974" s="9" t="s">
        <v>31</v>
      </c>
      <c r="G1974" s="13" t="n">
        <v>150</v>
      </c>
      <c r="H1974" s="9" t="s">
        <v>34</v>
      </c>
      <c r="I1974" s="13" t="n">
        <v>4</v>
      </c>
      <c r="J1974" s="1" t="str">
        <f aca="false">IF(A1974="","", "SAMP-"&amp;A1974&amp;"-L"&amp;TEXT(B1974,"00")&amp;"-"&amp;TEXT(C1974,"yyyymmdd")&amp;"-"&amp;D1974&amp;"-H"&amp;TEXT(E1974,"00")&amp;"-"&amp;H1974)</f>
        <v>SAMP-KG01-L24-20251225-ORD-2025-00271-H23-Thin Wall</v>
      </c>
      <c r="K1974" s="1" t="str">
        <f aca="false">IF(A1974="","",IF(AND(G1974&gt;=0,I1974&gt;=0,I1974&lt;=G1974),"OK","CHECK"))</f>
        <v>OK</v>
      </c>
      <c r="L1974" s="1" t="str">
        <f aca="false">IF(A1974="","",IF(AND(E1974&gt;=0,E1974&lt;=23),"OK","CHECK"))</f>
        <v>OK</v>
      </c>
      <c r="M1974" s="1" t="str">
        <f aca="false">IF(A1974="","",IF(AND(K1974="OK",L1974="OK"),"OK","CHECK"))</f>
        <v>OK</v>
      </c>
    </row>
    <row r="1975" customFormat="false" ht="18" hidden="false" customHeight="true" outlineLevel="0" collapsed="false">
      <c r="A1975" s="9" t="s">
        <v>26</v>
      </c>
      <c r="B1975" s="9" t="n">
        <v>24</v>
      </c>
      <c r="C1975" s="11" t="n">
        <v>46016</v>
      </c>
      <c r="D1975" s="9" t="s">
        <v>160</v>
      </c>
      <c r="E1975" s="12" t="n">
        <v>20</v>
      </c>
      <c r="F1975" s="9" t="s">
        <v>31</v>
      </c>
      <c r="G1975" s="13" t="n">
        <v>200</v>
      </c>
      <c r="H1975" s="9" t="s">
        <v>41</v>
      </c>
      <c r="I1975" s="13" t="n">
        <v>7</v>
      </c>
      <c r="J1975" s="1" t="str">
        <f aca="false">IF(A1975="","", "SAMP-"&amp;A1975&amp;"-L"&amp;TEXT(B1975,"00")&amp;"-"&amp;TEXT(C1975,"yyyymmdd")&amp;"-"&amp;D1975&amp;"-H"&amp;TEXT(E1975,"00")&amp;"-"&amp;H1975)</f>
        <v>SAMP-KG01-L24-20251225-ORD-2025-00271-H20-Chip</v>
      </c>
      <c r="K1975" s="1" t="str">
        <f aca="false">IF(A1975="","",IF(AND(G1975&gt;=0,I1975&gt;=0,I1975&lt;=G1975),"OK","CHECK"))</f>
        <v>OK</v>
      </c>
      <c r="L1975" s="1" t="str">
        <f aca="false">IF(A1975="","",IF(AND(E1975&gt;=0,E1975&lt;=23),"OK","CHECK"))</f>
        <v>OK</v>
      </c>
      <c r="M1975" s="1" t="str">
        <f aca="false">IF(A1975="","",IF(AND(K1975="OK",L1975="OK"),"OK","CHECK"))</f>
        <v>OK</v>
      </c>
    </row>
    <row r="1976" customFormat="false" ht="18" hidden="false" customHeight="true" outlineLevel="0" collapsed="false">
      <c r="A1976" s="9" t="s">
        <v>26</v>
      </c>
      <c r="B1976" s="9" t="n">
        <v>24</v>
      </c>
      <c r="C1976" s="11" t="n">
        <v>46017</v>
      </c>
      <c r="D1976" s="9" t="s">
        <v>160</v>
      </c>
      <c r="E1976" s="12" t="n">
        <v>9</v>
      </c>
      <c r="F1976" s="9" t="s">
        <v>28</v>
      </c>
      <c r="G1976" s="13" t="n">
        <v>200</v>
      </c>
      <c r="H1976" s="9" t="s">
        <v>34</v>
      </c>
      <c r="I1976" s="13" t="n">
        <v>8</v>
      </c>
      <c r="J1976" s="1" t="str">
        <f aca="false">IF(A1976="","", "SAMP-"&amp;A1976&amp;"-L"&amp;TEXT(B1976,"00")&amp;"-"&amp;TEXT(C1976,"yyyymmdd")&amp;"-"&amp;D1976&amp;"-H"&amp;TEXT(E1976,"00")&amp;"-"&amp;H1976)</f>
        <v>SAMP-KG01-L24-20251226-ORD-2025-00271-H09-Thin Wall</v>
      </c>
      <c r="K1976" s="1" t="str">
        <f aca="false">IF(A1976="","",IF(AND(G1976&gt;=0,I1976&gt;=0,I1976&lt;=G1976),"OK","CHECK"))</f>
        <v>OK</v>
      </c>
      <c r="L1976" s="1" t="str">
        <f aca="false">IF(A1976="","",IF(AND(E1976&gt;=0,E1976&lt;=23),"OK","CHECK"))</f>
        <v>OK</v>
      </c>
      <c r="M1976" s="1" t="str">
        <f aca="false">IF(A1976="","",IF(AND(K1976="OK",L1976="OK"),"OK","CHECK"))</f>
        <v>OK</v>
      </c>
    </row>
    <row r="1977" customFormat="false" ht="18" hidden="false" customHeight="true" outlineLevel="0" collapsed="false">
      <c r="A1977" s="9" t="s">
        <v>26</v>
      </c>
      <c r="B1977" s="9" t="n">
        <v>24</v>
      </c>
      <c r="C1977" s="11" t="n">
        <v>46017</v>
      </c>
      <c r="D1977" s="9" t="s">
        <v>160</v>
      </c>
      <c r="E1977" s="12" t="n">
        <v>7</v>
      </c>
      <c r="F1977" s="9" t="s">
        <v>28</v>
      </c>
      <c r="G1977" s="13" t="n">
        <v>150</v>
      </c>
      <c r="H1977" s="9" t="s">
        <v>41</v>
      </c>
      <c r="I1977" s="13" t="n">
        <v>3</v>
      </c>
      <c r="J1977" s="1" t="str">
        <f aca="false">IF(A1977="","", "SAMP-"&amp;A1977&amp;"-L"&amp;TEXT(B1977,"00")&amp;"-"&amp;TEXT(C1977,"yyyymmdd")&amp;"-"&amp;D1977&amp;"-H"&amp;TEXT(E1977,"00")&amp;"-"&amp;H1977)</f>
        <v>SAMP-KG01-L24-20251226-ORD-2025-00271-H07-Chip</v>
      </c>
      <c r="K1977" s="1" t="str">
        <f aca="false">IF(A1977="","",IF(AND(G1977&gt;=0,I1977&gt;=0,I1977&lt;=G1977),"OK","CHECK"))</f>
        <v>OK</v>
      </c>
      <c r="L1977" s="1" t="str">
        <f aca="false">IF(A1977="","",IF(AND(E1977&gt;=0,E1977&lt;=23),"OK","CHECK"))</f>
        <v>OK</v>
      </c>
      <c r="M1977" s="1" t="str">
        <f aca="false">IF(A1977="","",IF(AND(K1977="OK",L1977="OK"),"OK","CHECK"))</f>
        <v>OK</v>
      </c>
    </row>
    <row r="1978" customFormat="false" ht="18" hidden="false" customHeight="true" outlineLevel="0" collapsed="false">
      <c r="A1978" s="9" t="s">
        <v>26</v>
      </c>
      <c r="B1978" s="9" t="n">
        <v>24</v>
      </c>
      <c r="C1978" s="11" t="n">
        <v>46017</v>
      </c>
      <c r="D1978" s="9" t="s">
        <v>161</v>
      </c>
      <c r="E1978" s="12" t="n">
        <v>16</v>
      </c>
      <c r="F1978" s="9" t="s">
        <v>31</v>
      </c>
      <c r="G1978" s="13" t="n">
        <v>150</v>
      </c>
      <c r="H1978" s="9" t="s">
        <v>37</v>
      </c>
      <c r="I1978" s="13" t="n">
        <v>7</v>
      </c>
      <c r="J1978" s="1" t="str">
        <f aca="false">IF(A1978="","", "SAMP-"&amp;A1978&amp;"-L"&amp;TEXT(B1978,"00")&amp;"-"&amp;TEXT(C1978,"yyyymmdd")&amp;"-"&amp;D1978&amp;"-H"&amp;TEXT(E1978,"00")&amp;"-"&amp;H1978)</f>
        <v>SAMP-KG01-L24-20251226-ORD-2025-00272-H16-Bird Swing</v>
      </c>
      <c r="K1978" s="1" t="str">
        <f aca="false">IF(A1978="","",IF(AND(G1978&gt;=0,I1978&gt;=0,I1978&lt;=G1978),"OK","CHECK"))</f>
        <v>OK</v>
      </c>
      <c r="L1978" s="1" t="str">
        <f aca="false">IF(A1978="","",IF(AND(E1978&gt;=0,E1978&lt;=23),"OK","CHECK"))</f>
        <v>OK</v>
      </c>
      <c r="M1978" s="1" t="str">
        <f aca="false">IF(A1978="","",IF(AND(K1978="OK",L1978="OK"),"OK","CHECK"))</f>
        <v>OK</v>
      </c>
    </row>
    <row r="1979" customFormat="false" ht="18" hidden="false" customHeight="true" outlineLevel="0" collapsed="false">
      <c r="A1979" s="9" t="s">
        <v>26</v>
      </c>
      <c r="B1979" s="9" t="n">
        <v>24</v>
      </c>
      <c r="C1979" s="11" t="n">
        <v>46017</v>
      </c>
      <c r="D1979" s="9" t="s">
        <v>161</v>
      </c>
      <c r="E1979" s="12" t="n">
        <v>23</v>
      </c>
      <c r="F1979" s="9" t="s">
        <v>31</v>
      </c>
      <c r="G1979" s="13" t="n">
        <v>100</v>
      </c>
      <c r="H1979" s="9" t="s">
        <v>38</v>
      </c>
      <c r="I1979" s="13" t="n">
        <v>3</v>
      </c>
      <c r="J1979" s="1" t="str">
        <f aca="false">IF(A1979="","", "SAMP-"&amp;A1979&amp;"-L"&amp;TEXT(B1979,"00")&amp;"-"&amp;TEXT(C1979,"yyyymmdd")&amp;"-"&amp;D1979&amp;"-H"&amp;TEXT(E1979,"00")&amp;"-"&amp;H1979)</f>
        <v>SAMP-KG01-L24-20251226-ORD-2025-00272-H23-Crack</v>
      </c>
      <c r="K1979" s="1" t="str">
        <f aca="false">IF(A1979="","",IF(AND(G1979&gt;=0,I1979&gt;=0,I1979&lt;=G1979),"OK","CHECK"))</f>
        <v>OK</v>
      </c>
      <c r="L1979" s="1" t="str">
        <f aca="false">IF(A1979="","",IF(AND(E1979&gt;=0,E1979&lt;=23),"OK","CHECK"))</f>
        <v>OK</v>
      </c>
      <c r="M1979" s="1" t="str">
        <f aca="false">IF(A1979="","",IF(AND(K1979="OK",L1979="OK"),"OK","CHECK"))</f>
        <v>OK</v>
      </c>
    </row>
    <row r="1980" customFormat="false" ht="18" hidden="false" customHeight="true" outlineLevel="0" collapsed="false">
      <c r="A1980" s="9" t="s">
        <v>26</v>
      </c>
      <c r="B1980" s="9" t="n">
        <v>24</v>
      </c>
      <c r="C1980" s="11" t="n">
        <v>46017</v>
      </c>
      <c r="D1980" s="9" t="s">
        <v>161</v>
      </c>
      <c r="E1980" s="12" t="n">
        <v>20</v>
      </c>
      <c r="F1980" s="9" t="s">
        <v>31</v>
      </c>
      <c r="G1980" s="13" t="n">
        <v>100</v>
      </c>
      <c r="H1980" s="9" t="s">
        <v>30</v>
      </c>
      <c r="I1980" s="13" t="n">
        <v>2</v>
      </c>
      <c r="J1980" s="1" t="str">
        <f aca="false">IF(A1980="","", "SAMP-"&amp;A1980&amp;"-L"&amp;TEXT(B1980,"00")&amp;"-"&amp;TEXT(C1980,"yyyymmdd")&amp;"-"&amp;D1980&amp;"-H"&amp;TEXT(E1980,"00")&amp;"-"&amp;H1980)</f>
        <v>SAMP-KG01-L24-20251226-ORD-2025-00272-H20-Overpress</v>
      </c>
      <c r="K1980" s="1" t="str">
        <f aca="false">IF(A1980="","",IF(AND(G1980&gt;=0,I1980&gt;=0,I1980&lt;=G1980),"OK","CHECK"))</f>
        <v>OK</v>
      </c>
      <c r="L1980" s="1" t="str">
        <f aca="false">IF(A1980="","",IF(AND(E1980&gt;=0,E1980&lt;=23),"OK","CHECK"))</f>
        <v>OK</v>
      </c>
      <c r="M1980" s="1" t="str">
        <f aca="false">IF(A1980="","",IF(AND(K1980="OK",L1980="OK"),"OK","CHECK"))</f>
        <v>OK</v>
      </c>
    </row>
    <row r="1981" customFormat="false" ht="18" hidden="false" customHeight="true" outlineLevel="0" collapsed="false">
      <c r="A1981" s="9" t="s">
        <v>26</v>
      </c>
      <c r="B1981" s="9" t="n">
        <v>24</v>
      </c>
      <c r="C1981" s="11" t="n">
        <v>46018</v>
      </c>
      <c r="D1981" s="9" t="s">
        <v>161</v>
      </c>
      <c r="E1981" s="12" t="n">
        <v>12</v>
      </c>
      <c r="F1981" s="9" t="s">
        <v>28</v>
      </c>
      <c r="G1981" s="13" t="n">
        <v>150</v>
      </c>
      <c r="H1981" s="9" t="s">
        <v>37</v>
      </c>
      <c r="I1981" s="13" t="n">
        <v>0</v>
      </c>
      <c r="J1981" s="1" t="str">
        <f aca="false">IF(A1981="","", "SAMP-"&amp;A1981&amp;"-L"&amp;TEXT(B1981,"00")&amp;"-"&amp;TEXT(C1981,"yyyymmdd")&amp;"-"&amp;D1981&amp;"-H"&amp;TEXT(E1981,"00")&amp;"-"&amp;H1981)</f>
        <v>SAMP-KG01-L24-20251227-ORD-2025-00272-H12-Bird Swing</v>
      </c>
      <c r="K1981" s="1" t="str">
        <f aca="false">IF(A1981="","",IF(AND(G1981&gt;=0,I1981&gt;=0,I1981&lt;=G1981),"OK","CHECK"))</f>
        <v>OK</v>
      </c>
      <c r="L1981" s="1" t="str">
        <f aca="false">IF(A1981="","",IF(AND(E1981&gt;=0,E1981&lt;=23),"OK","CHECK"))</f>
        <v>OK</v>
      </c>
      <c r="M1981" s="1" t="str">
        <f aca="false">IF(A1981="","",IF(AND(K1981="OK",L1981="OK"),"OK","CHECK"))</f>
        <v>OK</v>
      </c>
    </row>
    <row r="1982" customFormat="false" ht="18" hidden="false" customHeight="true" outlineLevel="0" collapsed="false">
      <c r="A1982" s="9" t="s">
        <v>26</v>
      </c>
      <c r="B1982" s="9" t="n">
        <v>24</v>
      </c>
      <c r="C1982" s="11" t="n">
        <v>46018</v>
      </c>
      <c r="D1982" s="9" t="s">
        <v>161</v>
      </c>
      <c r="E1982" s="12" t="n">
        <v>7</v>
      </c>
      <c r="F1982" s="9" t="s">
        <v>28</v>
      </c>
      <c r="G1982" s="13" t="n">
        <v>50</v>
      </c>
      <c r="H1982" s="9" t="s">
        <v>36</v>
      </c>
      <c r="I1982" s="13" t="n">
        <v>0</v>
      </c>
      <c r="J1982" s="1" t="str">
        <f aca="false">IF(A1982="","", "SAMP-"&amp;A1982&amp;"-L"&amp;TEXT(B1982,"00")&amp;"-"&amp;TEXT(C1982,"yyyymmdd")&amp;"-"&amp;D1982&amp;"-H"&amp;TEXT(E1982,"00")&amp;"-"&amp;H1982)</f>
        <v>SAMP-KG01-L24-20251227-ORD-2025-00272-H07-Blister</v>
      </c>
      <c r="K1982" s="1" t="str">
        <f aca="false">IF(A1982="","",IF(AND(G1982&gt;=0,I1982&gt;=0,I1982&lt;=G1982),"OK","CHECK"))</f>
        <v>OK</v>
      </c>
      <c r="L1982" s="1" t="str">
        <f aca="false">IF(A1982="","",IF(AND(E1982&gt;=0,E1982&lt;=23),"OK","CHECK"))</f>
        <v>OK</v>
      </c>
      <c r="M1982" s="1" t="str">
        <f aca="false">IF(A1982="","",IF(AND(K1982="OK",L1982="OK"),"OK","CHECK"))</f>
        <v>OK</v>
      </c>
    </row>
    <row r="1983" customFormat="false" ht="18" hidden="false" customHeight="true" outlineLevel="0" collapsed="false">
      <c r="A1983" s="9" t="s">
        <v>26</v>
      </c>
      <c r="B1983" s="9" t="n">
        <v>24</v>
      </c>
      <c r="C1983" s="11" t="n">
        <v>46018</v>
      </c>
      <c r="D1983" s="9" t="s">
        <v>161</v>
      </c>
      <c r="E1983" s="12" t="n">
        <v>9</v>
      </c>
      <c r="F1983" s="9" t="s">
        <v>28</v>
      </c>
      <c r="G1983" s="13" t="n">
        <v>200</v>
      </c>
      <c r="H1983" s="9" t="s">
        <v>30</v>
      </c>
      <c r="I1983" s="13" t="n">
        <v>2</v>
      </c>
      <c r="J1983" s="1" t="str">
        <f aca="false">IF(A1983="","", "SAMP-"&amp;A1983&amp;"-L"&amp;TEXT(B1983,"00")&amp;"-"&amp;TEXT(C1983,"yyyymmdd")&amp;"-"&amp;D1983&amp;"-H"&amp;TEXT(E1983,"00")&amp;"-"&amp;H1983)</f>
        <v>SAMP-KG01-L24-20251227-ORD-2025-00272-H09-Overpress</v>
      </c>
      <c r="K1983" s="1" t="str">
        <f aca="false">IF(A1983="","",IF(AND(G1983&gt;=0,I1983&gt;=0,I1983&lt;=G1983),"OK","CHECK"))</f>
        <v>OK</v>
      </c>
      <c r="L1983" s="1" t="str">
        <f aca="false">IF(A1983="","",IF(AND(E1983&gt;=0,E1983&lt;=23),"OK","CHECK"))</f>
        <v>OK</v>
      </c>
      <c r="M1983" s="1" t="str">
        <f aca="false">IF(A1983="","",IF(AND(K1983="OK",L1983="OK"),"OK","CHECK"))</f>
        <v>OK</v>
      </c>
    </row>
    <row r="1984" customFormat="false" ht="18" hidden="false" customHeight="true" outlineLevel="0" collapsed="false">
      <c r="A1984" s="9" t="s">
        <v>26</v>
      </c>
      <c r="B1984" s="9" t="n">
        <v>24</v>
      </c>
      <c r="C1984" s="11" t="n">
        <v>46018</v>
      </c>
      <c r="D1984" s="9" t="s">
        <v>161</v>
      </c>
      <c r="E1984" s="12" t="n">
        <v>16</v>
      </c>
      <c r="F1984" s="9" t="s">
        <v>31</v>
      </c>
      <c r="G1984" s="13" t="n">
        <v>150</v>
      </c>
      <c r="H1984" s="9" t="s">
        <v>38</v>
      </c>
      <c r="I1984" s="13" t="n">
        <v>0</v>
      </c>
      <c r="J1984" s="1" t="str">
        <f aca="false">IF(A1984="","", "SAMP-"&amp;A1984&amp;"-L"&amp;TEXT(B1984,"00")&amp;"-"&amp;TEXT(C1984,"yyyymmdd")&amp;"-"&amp;D1984&amp;"-H"&amp;TEXT(E1984,"00")&amp;"-"&amp;H1984)</f>
        <v>SAMP-KG01-L24-20251227-ORD-2025-00272-H16-Crack</v>
      </c>
      <c r="K1984" s="1" t="str">
        <f aca="false">IF(A1984="","",IF(AND(G1984&gt;=0,I1984&gt;=0,I1984&lt;=G1984),"OK","CHECK"))</f>
        <v>OK</v>
      </c>
      <c r="L1984" s="1" t="str">
        <f aca="false">IF(A1984="","",IF(AND(E1984&gt;=0,E1984&lt;=23),"OK","CHECK"))</f>
        <v>OK</v>
      </c>
      <c r="M1984" s="1" t="str">
        <f aca="false">IF(A1984="","",IF(AND(K1984="OK",L1984="OK"),"OK","CHECK"))</f>
        <v>OK</v>
      </c>
    </row>
    <row r="1985" customFormat="false" ht="18" hidden="false" customHeight="true" outlineLevel="0" collapsed="false">
      <c r="A1985" s="9" t="s">
        <v>26</v>
      </c>
      <c r="B1985" s="9" t="n">
        <v>24</v>
      </c>
      <c r="C1985" s="11" t="n">
        <v>46018</v>
      </c>
      <c r="D1985" s="9" t="s">
        <v>161</v>
      </c>
      <c r="E1985" s="12" t="n">
        <v>23</v>
      </c>
      <c r="F1985" s="9" t="s">
        <v>31</v>
      </c>
      <c r="G1985" s="13" t="n">
        <v>100</v>
      </c>
      <c r="H1985" s="9" t="s">
        <v>35</v>
      </c>
      <c r="I1985" s="13" t="n">
        <v>1</v>
      </c>
      <c r="J1985" s="1" t="str">
        <f aca="false">IF(A1985="","", "SAMP-"&amp;A1985&amp;"-L"&amp;TEXT(B1985,"00")&amp;"-"&amp;TEXT(C1985,"yyyymmdd")&amp;"-"&amp;D1985&amp;"-H"&amp;TEXT(E1985,"00")&amp;"-"&amp;H1985)</f>
        <v>SAMP-KG01-L24-20251227-ORD-2025-00272-H23-Stone</v>
      </c>
      <c r="K1985" s="1" t="str">
        <f aca="false">IF(A1985="","",IF(AND(G1985&gt;=0,I1985&gt;=0,I1985&lt;=G1985),"OK","CHECK"))</f>
        <v>OK</v>
      </c>
      <c r="L1985" s="1" t="str">
        <f aca="false">IF(A1985="","",IF(AND(E1985&gt;=0,E1985&lt;=23),"OK","CHECK"))</f>
        <v>OK</v>
      </c>
      <c r="M1985" s="1" t="str">
        <f aca="false">IF(A1985="","",IF(AND(K1985="OK",L1985="OK"),"OK","CHECK"))</f>
        <v>OK</v>
      </c>
    </row>
    <row r="1986" customFormat="false" ht="18" hidden="false" customHeight="true" outlineLevel="0" collapsed="false">
      <c r="A1986" s="9" t="s">
        <v>26</v>
      </c>
      <c r="B1986" s="9" t="n">
        <v>24</v>
      </c>
      <c r="C1986" s="11" t="n">
        <v>46019</v>
      </c>
      <c r="D1986" s="9" t="s">
        <v>161</v>
      </c>
      <c r="E1986" s="12" t="n">
        <v>12</v>
      </c>
      <c r="F1986" s="9" t="s">
        <v>28</v>
      </c>
      <c r="G1986" s="13" t="n">
        <v>150</v>
      </c>
      <c r="H1986" s="9" t="s">
        <v>41</v>
      </c>
      <c r="I1986" s="13" t="n">
        <v>0</v>
      </c>
      <c r="J1986" s="1" t="str">
        <f aca="false">IF(A1986="","", "SAMP-"&amp;A1986&amp;"-L"&amp;TEXT(B1986,"00")&amp;"-"&amp;TEXT(C1986,"yyyymmdd")&amp;"-"&amp;D1986&amp;"-H"&amp;TEXT(E1986,"00")&amp;"-"&amp;H1986)</f>
        <v>SAMP-KG01-L24-20251228-ORD-2025-00272-H12-Chip</v>
      </c>
      <c r="K1986" s="1" t="str">
        <f aca="false">IF(A1986="","",IF(AND(G1986&gt;=0,I1986&gt;=0,I1986&lt;=G1986),"OK","CHECK"))</f>
        <v>OK</v>
      </c>
      <c r="L1986" s="1" t="str">
        <f aca="false">IF(A1986="","",IF(AND(E1986&gt;=0,E1986&lt;=23),"OK","CHECK"))</f>
        <v>OK</v>
      </c>
      <c r="M1986" s="1" t="str">
        <f aca="false">IF(A1986="","",IF(AND(K1986="OK",L1986="OK"),"OK","CHECK"))</f>
        <v>OK</v>
      </c>
    </row>
    <row r="1987" customFormat="false" ht="18" hidden="false" customHeight="true" outlineLevel="0" collapsed="false">
      <c r="A1987" s="9" t="s">
        <v>26</v>
      </c>
      <c r="B1987" s="9" t="n">
        <v>24</v>
      </c>
      <c r="C1987" s="11" t="n">
        <v>46019</v>
      </c>
      <c r="D1987" s="9" t="s">
        <v>161</v>
      </c>
      <c r="E1987" s="12" t="n">
        <v>9</v>
      </c>
      <c r="F1987" s="9" t="s">
        <v>28</v>
      </c>
      <c r="G1987" s="13" t="n">
        <v>100</v>
      </c>
      <c r="H1987" s="9" t="s">
        <v>30</v>
      </c>
      <c r="I1987" s="13" t="n">
        <v>1</v>
      </c>
      <c r="J1987" s="1" t="str">
        <f aca="false">IF(A1987="","", "SAMP-"&amp;A1987&amp;"-L"&amp;TEXT(B1987,"00")&amp;"-"&amp;TEXT(C1987,"yyyymmdd")&amp;"-"&amp;D1987&amp;"-H"&amp;TEXT(E1987,"00")&amp;"-"&amp;H1987)</f>
        <v>SAMP-KG01-L24-20251228-ORD-2025-00272-H09-Overpress</v>
      </c>
      <c r="K1987" s="1" t="str">
        <f aca="false">IF(A1987="","",IF(AND(G1987&gt;=0,I1987&gt;=0,I1987&lt;=G1987),"OK","CHECK"))</f>
        <v>OK</v>
      </c>
      <c r="L1987" s="1" t="str">
        <f aca="false">IF(A1987="","",IF(AND(E1987&gt;=0,E1987&lt;=23),"OK","CHECK"))</f>
        <v>OK</v>
      </c>
      <c r="M1987" s="1" t="str">
        <f aca="false">IF(A1987="","",IF(AND(K1987="OK",L1987="OK"),"OK","CHECK"))</f>
        <v>OK</v>
      </c>
    </row>
    <row r="1988" customFormat="false" ht="18" hidden="false" customHeight="true" outlineLevel="0" collapsed="false">
      <c r="A1988" s="9" t="s">
        <v>26</v>
      </c>
      <c r="B1988" s="9" t="n">
        <v>24</v>
      </c>
      <c r="C1988" s="11" t="n">
        <v>46019</v>
      </c>
      <c r="D1988" s="9" t="s">
        <v>161</v>
      </c>
      <c r="E1988" s="12" t="n">
        <v>7</v>
      </c>
      <c r="F1988" s="9" t="s">
        <v>28</v>
      </c>
      <c r="G1988" s="13" t="n">
        <v>50</v>
      </c>
      <c r="H1988" s="9" t="s">
        <v>38</v>
      </c>
      <c r="I1988" s="13" t="n">
        <v>1</v>
      </c>
      <c r="J1988" s="1" t="str">
        <f aca="false">IF(A1988="","", "SAMP-"&amp;A1988&amp;"-L"&amp;TEXT(B1988,"00")&amp;"-"&amp;TEXT(C1988,"yyyymmdd")&amp;"-"&amp;D1988&amp;"-H"&amp;TEXT(E1988,"00")&amp;"-"&amp;H1988)</f>
        <v>SAMP-KG01-L24-20251228-ORD-2025-00272-H07-Crack</v>
      </c>
      <c r="K1988" s="1" t="str">
        <f aca="false">IF(A1988="","",IF(AND(G1988&gt;=0,I1988&gt;=0,I1988&lt;=G1988),"OK","CHECK"))</f>
        <v>OK</v>
      </c>
      <c r="L1988" s="1" t="str">
        <f aca="false">IF(A1988="","",IF(AND(E1988&gt;=0,E1988&lt;=23),"OK","CHECK"))</f>
        <v>OK</v>
      </c>
      <c r="M1988" s="1" t="str">
        <f aca="false">IF(A1988="","",IF(AND(K1988="OK",L1988="OK"),"OK","CHECK"))</f>
        <v>OK</v>
      </c>
    </row>
    <row r="1989" customFormat="false" ht="18" hidden="false" customHeight="true" outlineLevel="0" collapsed="false">
      <c r="A1989" s="9" t="s">
        <v>26</v>
      </c>
      <c r="B1989" s="9" t="n">
        <v>24</v>
      </c>
      <c r="C1989" s="11" t="n">
        <v>46019</v>
      </c>
      <c r="D1989" s="9" t="s">
        <v>161</v>
      </c>
      <c r="E1989" s="12" t="n">
        <v>20</v>
      </c>
      <c r="F1989" s="9" t="s">
        <v>31</v>
      </c>
      <c r="G1989" s="13" t="n">
        <v>50</v>
      </c>
      <c r="H1989" s="9" t="s">
        <v>37</v>
      </c>
      <c r="I1989" s="13" t="n">
        <v>1</v>
      </c>
      <c r="J1989" s="1" t="str">
        <f aca="false">IF(A1989="","", "SAMP-"&amp;A1989&amp;"-L"&amp;TEXT(B1989,"00")&amp;"-"&amp;TEXT(C1989,"yyyymmdd")&amp;"-"&amp;D1989&amp;"-H"&amp;TEXT(E1989,"00")&amp;"-"&amp;H1989)</f>
        <v>SAMP-KG01-L24-20251228-ORD-2025-00272-H20-Bird Swing</v>
      </c>
      <c r="K1989" s="1" t="str">
        <f aca="false">IF(A1989="","",IF(AND(G1989&gt;=0,I1989&gt;=0,I1989&lt;=G1989),"OK","CHECK"))</f>
        <v>OK</v>
      </c>
      <c r="L1989" s="1" t="str">
        <f aca="false">IF(A1989="","",IF(AND(E1989&gt;=0,E1989&lt;=23),"OK","CHECK"))</f>
        <v>OK</v>
      </c>
      <c r="M1989" s="1" t="str">
        <f aca="false">IF(A1989="","",IF(AND(K1989="OK",L1989="OK"),"OK","CHECK"))</f>
        <v>OK</v>
      </c>
    </row>
    <row r="1990" customFormat="false" ht="18" hidden="false" customHeight="true" outlineLevel="0" collapsed="false">
      <c r="A1990" s="9" t="s">
        <v>26</v>
      </c>
      <c r="B1990" s="9" t="n">
        <v>24</v>
      </c>
      <c r="C1990" s="11" t="n">
        <v>46019</v>
      </c>
      <c r="D1990" s="9" t="s">
        <v>161</v>
      </c>
      <c r="E1990" s="12" t="n">
        <v>16</v>
      </c>
      <c r="F1990" s="9" t="s">
        <v>31</v>
      </c>
      <c r="G1990" s="13" t="n">
        <v>50</v>
      </c>
      <c r="H1990" s="9" t="s">
        <v>33</v>
      </c>
      <c r="I1990" s="13" t="n">
        <v>1</v>
      </c>
      <c r="J1990" s="1" t="str">
        <f aca="false">IF(A1990="","", "SAMP-"&amp;A1990&amp;"-L"&amp;TEXT(B1990,"00")&amp;"-"&amp;TEXT(C1990,"yyyymmdd")&amp;"-"&amp;D1990&amp;"-H"&amp;TEXT(E1990,"00")&amp;"-"&amp;H1990)</f>
        <v>SAMP-KG01-L24-20251228-ORD-2025-00272-H16-Distortion</v>
      </c>
      <c r="K1990" s="1" t="str">
        <f aca="false">IF(A1990="","",IF(AND(G1990&gt;=0,I1990&gt;=0,I1990&lt;=G1990),"OK","CHECK"))</f>
        <v>OK</v>
      </c>
      <c r="L1990" s="1" t="str">
        <f aca="false">IF(A1990="","",IF(AND(E1990&gt;=0,E1990&lt;=23),"OK","CHECK"))</f>
        <v>OK</v>
      </c>
      <c r="M1990" s="1" t="str">
        <f aca="false">IF(A1990="","",IF(AND(K1990="OK",L1990="OK"),"OK","CHECK"))</f>
        <v>OK</v>
      </c>
    </row>
    <row r="1991" customFormat="false" ht="18" hidden="false" customHeight="true" outlineLevel="0" collapsed="false">
      <c r="A1991" s="9" t="s">
        <v>26</v>
      </c>
      <c r="B1991" s="9" t="n">
        <v>24</v>
      </c>
      <c r="C1991" s="11" t="n">
        <v>46019</v>
      </c>
      <c r="D1991" s="9" t="s">
        <v>161</v>
      </c>
      <c r="E1991" s="12" t="n">
        <v>23</v>
      </c>
      <c r="F1991" s="9" t="s">
        <v>31</v>
      </c>
      <c r="G1991" s="13" t="n">
        <v>50</v>
      </c>
      <c r="H1991" s="9" t="s">
        <v>29</v>
      </c>
      <c r="I1991" s="13" t="n">
        <v>2</v>
      </c>
      <c r="J1991" s="1" t="str">
        <f aca="false">IF(A1991="","", "SAMP-"&amp;A1991&amp;"-L"&amp;TEXT(B1991,"00")&amp;"-"&amp;TEXT(C1991,"yyyymmdd")&amp;"-"&amp;D1991&amp;"-H"&amp;TEXT(E1991,"00")&amp;"-"&amp;H1991)</f>
        <v>SAMP-KG01-L24-20251228-ORD-2025-00272-H23-Choke Neck</v>
      </c>
      <c r="K1991" s="1" t="str">
        <f aca="false">IF(A1991="","",IF(AND(G1991&gt;=0,I1991&gt;=0,I1991&lt;=G1991),"OK","CHECK"))</f>
        <v>OK</v>
      </c>
      <c r="L1991" s="1" t="str">
        <f aca="false">IF(A1991="","",IF(AND(E1991&gt;=0,E1991&lt;=23),"OK","CHECK"))</f>
        <v>OK</v>
      </c>
      <c r="M1991" s="1" t="str">
        <f aca="false">IF(A1991="","",IF(AND(K1991="OK",L1991="OK"),"OK","CHECK"))</f>
        <v>OK</v>
      </c>
    </row>
    <row r="1992" customFormat="false" ht="18" hidden="false" customHeight="true" outlineLevel="0" collapsed="false">
      <c r="A1992" s="9" t="s">
        <v>26</v>
      </c>
      <c r="B1992" s="9" t="n">
        <v>24</v>
      </c>
      <c r="C1992" s="11" t="n">
        <v>46020</v>
      </c>
      <c r="D1992" s="9" t="s">
        <v>161</v>
      </c>
      <c r="E1992" s="12" t="n">
        <v>7</v>
      </c>
      <c r="F1992" s="9" t="s">
        <v>28</v>
      </c>
      <c r="G1992" s="13" t="n">
        <v>50</v>
      </c>
      <c r="H1992" s="9" t="s">
        <v>33</v>
      </c>
      <c r="I1992" s="13" t="n">
        <v>0</v>
      </c>
      <c r="J1992" s="1" t="str">
        <f aca="false">IF(A1992="","", "SAMP-"&amp;A1992&amp;"-L"&amp;TEXT(B1992,"00")&amp;"-"&amp;TEXT(C1992,"yyyymmdd")&amp;"-"&amp;D1992&amp;"-H"&amp;TEXT(E1992,"00")&amp;"-"&amp;H1992)</f>
        <v>SAMP-KG01-L24-20251229-ORD-2025-00272-H07-Distortion</v>
      </c>
      <c r="K1992" s="1" t="str">
        <f aca="false">IF(A1992="","",IF(AND(G1992&gt;=0,I1992&gt;=0,I1992&lt;=G1992),"OK","CHECK"))</f>
        <v>OK</v>
      </c>
      <c r="L1992" s="1" t="str">
        <f aca="false">IF(A1992="","",IF(AND(E1992&gt;=0,E1992&lt;=23),"OK","CHECK"))</f>
        <v>OK</v>
      </c>
      <c r="M1992" s="1" t="str">
        <f aca="false">IF(A1992="","",IF(AND(K1992="OK",L1992="OK"),"OK","CHECK"))</f>
        <v>OK</v>
      </c>
    </row>
    <row r="1993" customFormat="false" ht="18" hidden="false" customHeight="true" outlineLevel="0" collapsed="false">
      <c r="A1993" s="9" t="s">
        <v>26</v>
      </c>
      <c r="B1993" s="9" t="n">
        <v>24</v>
      </c>
      <c r="C1993" s="11" t="n">
        <v>46020</v>
      </c>
      <c r="D1993" s="9" t="s">
        <v>161</v>
      </c>
      <c r="E1993" s="12" t="n">
        <v>12</v>
      </c>
      <c r="F1993" s="9" t="s">
        <v>28</v>
      </c>
      <c r="G1993" s="13" t="n">
        <v>150</v>
      </c>
      <c r="H1993" s="9" t="s">
        <v>33</v>
      </c>
      <c r="I1993" s="13" t="n">
        <v>2</v>
      </c>
      <c r="J1993" s="1" t="str">
        <f aca="false">IF(A1993="","", "SAMP-"&amp;A1993&amp;"-L"&amp;TEXT(B1993,"00")&amp;"-"&amp;TEXT(C1993,"yyyymmdd")&amp;"-"&amp;D1993&amp;"-H"&amp;TEXT(E1993,"00")&amp;"-"&amp;H1993)</f>
        <v>SAMP-KG01-L24-20251229-ORD-2025-00272-H12-Distortion</v>
      </c>
      <c r="K1993" s="1" t="str">
        <f aca="false">IF(A1993="","",IF(AND(G1993&gt;=0,I1993&gt;=0,I1993&lt;=G1993),"OK","CHECK"))</f>
        <v>OK</v>
      </c>
      <c r="L1993" s="1" t="str">
        <f aca="false">IF(A1993="","",IF(AND(E1993&gt;=0,E1993&lt;=23),"OK","CHECK"))</f>
        <v>OK</v>
      </c>
      <c r="M1993" s="1" t="str">
        <f aca="false">IF(A1993="","",IF(AND(K1993="OK",L1993="OK"),"OK","CHECK"))</f>
        <v>OK</v>
      </c>
    </row>
    <row r="1994" customFormat="false" ht="18" hidden="false" customHeight="true" outlineLevel="0" collapsed="false">
      <c r="A1994" s="9" t="s">
        <v>26</v>
      </c>
      <c r="B1994" s="9" t="n">
        <v>24</v>
      </c>
      <c r="C1994" s="11" t="n">
        <v>46020</v>
      </c>
      <c r="D1994" s="9" t="s">
        <v>161</v>
      </c>
      <c r="E1994" s="12" t="n">
        <v>9</v>
      </c>
      <c r="F1994" s="9" t="s">
        <v>28</v>
      </c>
      <c r="G1994" s="13" t="n">
        <v>100</v>
      </c>
      <c r="H1994" s="9" t="s">
        <v>38</v>
      </c>
      <c r="I1994" s="13" t="n">
        <v>2</v>
      </c>
      <c r="J1994" s="1" t="str">
        <f aca="false">IF(A1994="","", "SAMP-"&amp;A1994&amp;"-L"&amp;TEXT(B1994,"00")&amp;"-"&amp;TEXT(C1994,"yyyymmdd")&amp;"-"&amp;D1994&amp;"-H"&amp;TEXT(E1994,"00")&amp;"-"&amp;H1994)</f>
        <v>SAMP-KG01-L24-20251229-ORD-2025-00272-H09-Crack</v>
      </c>
      <c r="K1994" s="1" t="str">
        <f aca="false">IF(A1994="","",IF(AND(G1994&gt;=0,I1994&gt;=0,I1994&lt;=G1994),"OK","CHECK"))</f>
        <v>OK</v>
      </c>
      <c r="L1994" s="1" t="str">
        <f aca="false">IF(A1994="","",IF(AND(E1994&gt;=0,E1994&lt;=23),"OK","CHECK"))</f>
        <v>OK</v>
      </c>
      <c r="M1994" s="1" t="str">
        <f aca="false">IF(A1994="","",IF(AND(K1994="OK",L1994="OK"),"OK","CHECK"))</f>
        <v>OK</v>
      </c>
    </row>
    <row r="1995" customFormat="false" ht="18" hidden="false" customHeight="true" outlineLevel="0" collapsed="false">
      <c r="A1995" s="9" t="s">
        <v>26</v>
      </c>
      <c r="B1995" s="9" t="n">
        <v>24</v>
      </c>
      <c r="C1995" s="11" t="n">
        <v>46020</v>
      </c>
      <c r="D1995" s="9" t="s">
        <v>161</v>
      </c>
      <c r="E1995" s="12" t="n">
        <v>23</v>
      </c>
      <c r="F1995" s="9" t="s">
        <v>31</v>
      </c>
      <c r="G1995" s="13" t="n">
        <v>50</v>
      </c>
      <c r="H1995" s="9" t="s">
        <v>30</v>
      </c>
      <c r="I1995" s="13" t="n">
        <v>0</v>
      </c>
      <c r="J1995" s="1" t="str">
        <f aca="false">IF(A1995="","", "SAMP-"&amp;A1995&amp;"-L"&amp;TEXT(B1995,"00")&amp;"-"&amp;TEXT(C1995,"yyyymmdd")&amp;"-"&amp;D1995&amp;"-H"&amp;TEXT(E1995,"00")&amp;"-"&amp;H1995)</f>
        <v>SAMP-KG01-L24-20251229-ORD-2025-00272-H23-Overpress</v>
      </c>
      <c r="K1995" s="1" t="str">
        <f aca="false">IF(A1995="","",IF(AND(G1995&gt;=0,I1995&gt;=0,I1995&lt;=G1995),"OK","CHECK"))</f>
        <v>OK</v>
      </c>
      <c r="L1995" s="1" t="str">
        <f aca="false">IF(A1995="","",IF(AND(E1995&gt;=0,E1995&lt;=23),"OK","CHECK"))</f>
        <v>OK</v>
      </c>
      <c r="M1995" s="1" t="str">
        <f aca="false">IF(A1995="","",IF(AND(K1995="OK",L1995="OK"),"OK","CHECK"))</f>
        <v>OK</v>
      </c>
    </row>
    <row r="1996" customFormat="false" ht="18" hidden="false" customHeight="true" outlineLevel="0" collapsed="false">
      <c r="A1996" s="9" t="s">
        <v>26</v>
      </c>
      <c r="B1996" s="9" t="n">
        <v>24</v>
      </c>
      <c r="C1996" s="11" t="n">
        <v>46020</v>
      </c>
      <c r="D1996" s="9" t="s">
        <v>161</v>
      </c>
      <c r="E1996" s="12" t="n">
        <v>20</v>
      </c>
      <c r="F1996" s="9" t="s">
        <v>31</v>
      </c>
      <c r="G1996" s="13" t="n">
        <v>100</v>
      </c>
      <c r="H1996" s="9" t="s">
        <v>30</v>
      </c>
      <c r="I1996" s="13" t="n">
        <v>3</v>
      </c>
      <c r="J1996" s="1" t="str">
        <f aca="false">IF(A1996="","", "SAMP-"&amp;A1996&amp;"-L"&amp;TEXT(B1996,"00")&amp;"-"&amp;TEXT(C1996,"yyyymmdd")&amp;"-"&amp;D1996&amp;"-H"&amp;TEXT(E1996,"00")&amp;"-"&amp;H1996)</f>
        <v>SAMP-KG01-L24-20251229-ORD-2025-00272-H20-Overpress</v>
      </c>
      <c r="K1996" s="1" t="str">
        <f aca="false">IF(A1996="","",IF(AND(G1996&gt;=0,I1996&gt;=0,I1996&lt;=G1996),"OK","CHECK"))</f>
        <v>OK</v>
      </c>
      <c r="L1996" s="1" t="str">
        <f aca="false">IF(A1996="","",IF(AND(E1996&gt;=0,E1996&lt;=23),"OK","CHECK"))</f>
        <v>OK</v>
      </c>
      <c r="M1996" s="1" t="str">
        <f aca="false">IF(A1996="","",IF(AND(K1996="OK",L1996="OK"),"OK","CHECK"))</f>
        <v>OK</v>
      </c>
    </row>
    <row r="1997" customFormat="false" ht="18" hidden="false" customHeight="true" outlineLevel="0" collapsed="false">
      <c r="A1997" s="9" t="s">
        <v>26</v>
      </c>
      <c r="B1997" s="9" t="n">
        <v>24</v>
      </c>
      <c r="C1997" s="11" t="n">
        <v>46021</v>
      </c>
      <c r="D1997" s="9" t="s">
        <v>161</v>
      </c>
      <c r="E1997" s="12" t="n">
        <v>12</v>
      </c>
      <c r="F1997" s="9" t="s">
        <v>28</v>
      </c>
      <c r="G1997" s="13" t="n">
        <v>100</v>
      </c>
      <c r="H1997" s="9" t="s">
        <v>30</v>
      </c>
      <c r="I1997" s="13" t="n">
        <v>1</v>
      </c>
      <c r="J1997" s="1" t="str">
        <f aca="false">IF(A1997="","", "SAMP-"&amp;A1997&amp;"-L"&amp;TEXT(B1997,"00")&amp;"-"&amp;TEXT(C1997,"yyyymmdd")&amp;"-"&amp;D1997&amp;"-H"&amp;TEXT(E1997,"00")&amp;"-"&amp;H1997)</f>
        <v>SAMP-KG01-L24-20251230-ORD-2025-00272-H12-Overpress</v>
      </c>
      <c r="K1997" s="1" t="str">
        <f aca="false">IF(A1997="","",IF(AND(G1997&gt;=0,I1997&gt;=0,I1997&lt;=G1997),"OK","CHECK"))</f>
        <v>OK</v>
      </c>
      <c r="L1997" s="1" t="str">
        <f aca="false">IF(A1997="","",IF(AND(E1997&gt;=0,E1997&lt;=23),"OK","CHECK"))</f>
        <v>OK</v>
      </c>
      <c r="M1997" s="1" t="str">
        <f aca="false">IF(A1997="","",IF(AND(K1997="OK",L1997="OK"),"OK","CHECK"))</f>
        <v>OK</v>
      </c>
    </row>
    <row r="1998" customFormat="false" ht="18" hidden="false" customHeight="true" outlineLevel="0" collapsed="false">
      <c r="A1998" s="9" t="s">
        <v>26</v>
      </c>
      <c r="B1998" s="9" t="n">
        <v>24</v>
      </c>
      <c r="C1998" s="11" t="n">
        <v>46021</v>
      </c>
      <c r="D1998" s="9" t="s">
        <v>161</v>
      </c>
      <c r="E1998" s="12" t="n">
        <v>9</v>
      </c>
      <c r="F1998" s="9" t="s">
        <v>28</v>
      </c>
      <c r="G1998" s="13" t="n">
        <v>50</v>
      </c>
      <c r="H1998" s="9" t="s">
        <v>34</v>
      </c>
      <c r="I1998" s="13" t="n">
        <v>1</v>
      </c>
      <c r="J1998" s="1" t="str">
        <f aca="false">IF(A1998="","", "SAMP-"&amp;A1998&amp;"-L"&amp;TEXT(B1998,"00")&amp;"-"&amp;TEXT(C1998,"yyyymmdd")&amp;"-"&amp;D1998&amp;"-H"&amp;TEXT(E1998,"00")&amp;"-"&amp;H1998)</f>
        <v>SAMP-KG01-L24-20251230-ORD-2025-00272-H09-Thin Wall</v>
      </c>
      <c r="K1998" s="1" t="str">
        <f aca="false">IF(A1998="","",IF(AND(G1998&gt;=0,I1998&gt;=0,I1998&lt;=G1998),"OK","CHECK"))</f>
        <v>OK</v>
      </c>
      <c r="L1998" s="1" t="str">
        <f aca="false">IF(A1998="","",IF(AND(E1998&gt;=0,E1998&lt;=23),"OK","CHECK"))</f>
        <v>OK</v>
      </c>
      <c r="M1998" s="1" t="str">
        <f aca="false">IF(A1998="","",IF(AND(K1998="OK",L1998="OK"),"OK","CHECK"))</f>
        <v>OK</v>
      </c>
    </row>
    <row r="1999" customFormat="false" ht="18" hidden="false" customHeight="true" outlineLevel="0" collapsed="false">
      <c r="A1999" s="9" t="s">
        <v>26</v>
      </c>
      <c r="B1999" s="9" t="n">
        <v>24</v>
      </c>
      <c r="C1999" s="11" t="n">
        <v>46021</v>
      </c>
      <c r="D1999" s="9" t="s">
        <v>161</v>
      </c>
      <c r="E1999" s="12" t="n">
        <v>23</v>
      </c>
      <c r="F1999" s="9" t="s">
        <v>31</v>
      </c>
      <c r="G1999" s="13" t="n">
        <v>200</v>
      </c>
      <c r="H1999" s="9" t="s">
        <v>36</v>
      </c>
      <c r="I1999" s="13" t="n">
        <v>0</v>
      </c>
      <c r="J1999" s="1" t="str">
        <f aca="false">IF(A1999="","", "SAMP-"&amp;A1999&amp;"-L"&amp;TEXT(B1999,"00")&amp;"-"&amp;TEXT(C1999,"yyyymmdd")&amp;"-"&amp;D1999&amp;"-H"&amp;TEXT(E1999,"00")&amp;"-"&amp;H1999)</f>
        <v>SAMP-KG01-L24-20251230-ORD-2025-00272-H23-Blister</v>
      </c>
      <c r="K1999" s="1" t="str">
        <f aca="false">IF(A1999="","",IF(AND(G1999&gt;=0,I1999&gt;=0,I1999&lt;=G1999),"OK","CHECK"))</f>
        <v>OK</v>
      </c>
      <c r="L1999" s="1" t="str">
        <f aca="false">IF(A1999="","",IF(AND(E1999&gt;=0,E1999&lt;=23),"OK","CHECK"))</f>
        <v>OK</v>
      </c>
      <c r="M1999" s="1" t="str">
        <f aca="false">IF(A1999="","",IF(AND(K1999="OK",L1999="OK"),"OK","CHECK"))</f>
        <v>OK</v>
      </c>
    </row>
    <row r="2000" customFormat="false" ht="18" hidden="false" customHeight="true" outlineLevel="0" collapsed="false">
      <c r="A2000" s="9" t="s">
        <v>26</v>
      </c>
      <c r="B2000" s="9" t="n">
        <v>24</v>
      </c>
      <c r="C2000" s="11" t="n">
        <v>46021</v>
      </c>
      <c r="D2000" s="9" t="s">
        <v>161</v>
      </c>
      <c r="E2000" s="12" t="n">
        <v>20</v>
      </c>
      <c r="F2000" s="9" t="s">
        <v>31</v>
      </c>
      <c r="G2000" s="13" t="n">
        <v>50</v>
      </c>
      <c r="H2000" s="9" t="s">
        <v>38</v>
      </c>
      <c r="I2000" s="13" t="n">
        <v>1</v>
      </c>
      <c r="J2000" s="1" t="str">
        <f aca="false">IF(A2000="","", "SAMP-"&amp;A2000&amp;"-L"&amp;TEXT(B2000,"00")&amp;"-"&amp;TEXT(C2000,"yyyymmdd")&amp;"-"&amp;D2000&amp;"-H"&amp;TEXT(E2000,"00")&amp;"-"&amp;H2000)</f>
        <v>SAMP-KG01-L24-20251230-ORD-2025-00272-H20-Crack</v>
      </c>
      <c r="K2000" s="1" t="str">
        <f aca="false">IF(A2000="","",IF(AND(G2000&gt;=0,I2000&gt;=0,I2000&lt;=G2000),"OK","CHECK"))</f>
        <v>OK</v>
      </c>
      <c r="L2000" s="1" t="str">
        <f aca="false">IF(A2000="","",IF(AND(E2000&gt;=0,E2000&lt;=23),"OK","CHECK"))</f>
        <v>OK</v>
      </c>
      <c r="M2000" s="1" t="str">
        <f aca="false">IF(A2000="","",IF(AND(K2000="OK",L2000="OK"),"OK","CHECK"))</f>
        <v>OK</v>
      </c>
    </row>
    <row r="2001" customFormat="false" ht="18" hidden="false" customHeight="true" outlineLevel="0" collapsed="false">
      <c r="A2001" s="9" t="s">
        <v>26</v>
      </c>
      <c r="B2001" s="9" t="n">
        <v>24</v>
      </c>
      <c r="C2001" s="11" t="n">
        <v>46021</v>
      </c>
      <c r="D2001" s="9" t="s">
        <v>161</v>
      </c>
      <c r="E2001" s="12" t="n">
        <v>16</v>
      </c>
      <c r="F2001" s="9" t="s">
        <v>31</v>
      </c>
      <c r="G2001" s="13" t="n">
        <v>150</v>
      </c>
      <c r="H2001" s="9" t="s">
        <v>41</v>
      </c>
      <c r="I2001" s="13" t="n">
        <v>3</v>
      </c>
      <c r="J2001" s="1" t="str">
        <f aca="false">IF(A2001="","", "SAMP-"&amp;A2001&amp;"-L"&amp;TEXT(B2001,"00")&amp;"-"&amp;TEXT(C2001,"yyyymmdd")&amp;"-"&amp;D2001&amp;"-H"&amp;TEXT(E2001,"00")&amp;"-"&amp;H2001)</f>
        <v>SAMP-KG01-L24-20251230-ORD-2025-00272-H16-Chip</v>
      </c>
      <c r="K2001" s="1" t="str">
        <f aca="false">IF(A2001="","",IF(AND(G2001&gt;=0,I2001&gt;=0,I2001&lt;=G2001),"OK","CHECK"))</f>
        <v>OK</v>
      </c>
      <c r="L2001" s="1" t="str">
        <f aca="false">IF(A2001="","",IF(AND(E2001&gt;=0,E2001&lt;=23),"OK","CHECK"))</f>
        <v>OK</v>
      </c>
      <c r="M2001" s="1" t="str">
        <f aca="false">IF(A2001="","",IF(AND(K2001="OK",L2001="OK"),"OK","CHECK"))</f>
        <v>OK</v>
      </c>
    </row>
    <row r="2002" customFormat="false" ht="18" hidden="false" customHeight="true" outlineLevel="0" collapsed="false">
      <c r="A2002" s="9" t="s">
        <v>26</v>
      </c>
      <c r="B2002" s="9" t="n">
        <v>24</v>
      </c>
      <c r="C2002" s="11" t="n">
        <v>46022</v>
      </c>
      <c r="D2002" s="9" t="s">
        <v>161</v>
      </c>
      <c r="E2002" s="12" t="n">
        <v>9</v>
      </c>
      <c r="F2002" s="9" t="s">
        <v>28</v>
      </c>
      <c r="G2002" s="13" t="n">
        <v>200</v>
      </c>
      <c r="H2002" s="9" t="s">
        <v>41</v>
      </c>
      <c r="I2002" s="13" t="n">
        <v>2</v>
      </c>
      <c r="J2002" s="1" t="str">
        <f aca="false">IF(A2002="","", "SAMP-"&amp;A2002&amp;"-L"&amp;TEXT(B2002,"00")&amp;"-"&amp;TEXT(C2002,"yyyymmdd")&amp;"-"&amp;D2002&amp;"-H"&amp;TEXT(E2002,"00")&amp;"-"&amp;H2002)</f>
        <v>SAMP-KG01-L24-20251231-ORD-2025-00272-H09-Chip</v>
      </c>
      <c r="K2002" s="1" t="str">
        <f aca="false">IF(A2002="","",IF(AND(G2002&gt;=0,I2002&gt;=0,I2002&lt;=G2002),"OK","CHECK"))</f>
        <v>OK</v>
      </c>
      <c r="L2002" s="1" t="str">
        <f aca="false">IF(A2002="","",IF(AND(E2002&gt;=0,E2002&lt;=23),"OK","CHECK"))</f>
        <v>OK</v>
      </c>
      <c r="M2002" s="1" t="str">
        <f aca="false">IF(A2002="","",IF(AND(K2002="OK",L2002="OK"),"OK","CHECK"))</f>
        <v>OK</v>
      </c>
    </row>
    <row r="2003" customFormat="false" ht="18" hidden="false" customHeight="true" outlineLevel="0" collapsed="false">
      <c r="A2003" s="9" t="s">
        <v>26</v>
      </c>
      <c r="B2003" s="9" t="n">
        <v>24</v>
      </c>
      <c r="C2003" s="11" t="n">
        <v>46022</v>
      </c>
      <c r="D2003" s="9" t="s">
        <v>161</v>
      </c>
      <c r="E2003" s="12" t="n">
        <v>7</v>
      </c>
      <c r="F2003" s="9" t="s">
        <v>28</v>
      </c>
      <c r="G2003" s="13" t="n">
        <v>150</v>
      </c>
      <c r="H2003" s="9" t="s">
        <v>38</v>
      </c>
      <c r="I2003" s="13" t="n">
        <v>4</v>
      </c>
      <c r="J2003" s="1" t="str">
        <f aca="false">IF(A2003="","", "SAMP-"&amp;A2003&amp;"-L"&amp;TEXT(B2003,"00")&amp;"-"&amp;TEXT(C2003,"yyyymmdd")&amp;"-"&amp;D2003&amp;"-H"&amp;TEXT(E2003,"00")&amp;"-"&amp;H2003)</f>
        <v>SAMP-KG01-L24-20251231-ORD-2025-00272-H07-Crack</v>
      </c>
      <c r="K2003" s="1" t="str">
        <f aca="false">IF(A2003="","",IF(AND(G2003&gt;=0,I2003&gt;=0,I2003&lt;=G2003),"OK","CHECK"))</f>
        <v>OK</v>
      </c>
      <c r="L2003" s="1" t="str">
        <f aca="false">IF(A2003="","",IF(AND(E2003&gt;=0,E2003&lt;=23),"OK","CHECK"))</f>
        <v>OK</v>
      </c>
      <c r="M2003" s="1" t="str">
        <f aca="false">IF(A2003="","",IF(AND(K2003="OK",L2003="OK"),"OK","CHECK"))</f>
        <v>OK</v>
      </c>
    </row>
    <row r="2004" customFormat="false" ht="18" hidden="false" customHeight="true" outlineLevel="0" collapsed="false">
      <c r="A2004" s="9" t="s">
        <v>26</v>
      </c>
      <c r="B2004" s="9" t="n">
        <v>24</v>
      </c>
      <c r="C2004" s="11" t="n">
        <v>46022</v>
      </c>
      <c r="D2004" s="9" t="s">
        <v>162</v>
      </c>
      <c r="E2004" s="12" t="n">
        <v>16</v>
      </c>
      <c r="F2004" s="9" t="s">
        <v>31</v>
      </c>
      <c r="G2004" s="13" t="n">
        <v>200</v>
      </c>
      <c r="H2004" s="9" t="s">
        <v>38</v>
      </c>
      <c r="I2004" s="13" t="n">
        <v>3</v>
      </c>
      <c r="J2004" s="1" t="str">
        <f aca="false">IF(A2004="","", "SAMP-"&amp;A2004&amp;"-L"&amp;TEXT(B2004,"00")&amp;"-"&amp;TEXT(C2004,"yyyymmdd")&amp;"-"&amp;D2004&amp;"-H"&amp;TEXT(E2004,"00")&amp;"-"&amp;H2004)</f>
        <v>SAMP-KG01-L24-20251231-ORD-2025-00273-H16-Crack</v>
      </c>
      <c r="K2004" s="1" t="str">
        <f aca="false">IF(A2004="","",IF(AND(G2004&gt;=0,I2004&gt;=0,I2004&lt;=G2004),"OK","CHECK"))</f>
        <v>OK</v>
      </c>
      <c r="L2004" s="1" t="str">
        <f aca="false">IF(A2004="","",IF(AND(E2004&gt;=0,E2004&lt;=23),"OK","CHECK"))</f>
        <v>OK</v>
      </c>
      <c r="M2004" s="1" t="str">
        <f aca="false">IF(A2004="","",IF(AND(K2004="OK",L2004="OK"),"OK","CHECK"))</f>
        <v>OK</v>
      </c>
    </row>
    <row r="2005" customFormat="false" ht="18" hidden="false" customHeight="true" outlineLevel="0" collapsed="false">
      <c r="A2005" s="9" t="s">
        <v>26</v>
      </c>
      <c r="B2005" s="9" t="n">
        <v>24</v>
      </c>
      <c r="C2005" s="11" t="n">
        <v>46022</v>
      </c>
      <c r="D2005" s="9" t="s">
        <v>162</v>
      </c>
      <c r="E2005" s="12" t="n">
        <v>23</v>
      </c>
      <c r="F2005" s="9" t="s">
        <v>31</v>
      </c>
      <c r="G2005" s="13" t="n">
        <v>50</v>
      </c>
      <c r="H2005" s="9" t="s">
        <v>41</v>
      </c>
      <c r="I2005" s="13" t="n">
        <v>1</v>
      </c>
      <c r="J2005" s="1" t="str">
        <f aca="false">IF(A2005="","", "SAMP-"&amp;A2005&amp;"-L"&amp;TEXT(B2005,"00")&amp;"-"&amp;TEXT(C2005,"yyyymmdd")&amp;"-"&amp;D2005&amp;"-H"&amp;TEXT(E2005,"00")&amp;"-"&amp;H2005)</f>
        <v>SAMP-KG01-L24-20251231-ORD-2025-00273-H23-Chip</v>
      </c>
      <c r="K2005" s="1" t="str">
        <f aca="false">IF(A2005="","",IF(AND(G2005&gt;=0,I2005&gt;=0,I2005&lt;=G2005),"OK","CHECK"))</f>
        <v>OK</v>
      </c>
      <c r="L2005" s="1" t="str">
        <f aca="false">IF(A2005="","",IF(AND(E2005&gt;=0,E2005&lt;=23),"OK","CHECK"))</f>
        <v>OK</v>
      </c>
      <c r="M2005" s="1" t="str">
        <f aca="false">IF(A2005="","",IF(AND(K2005="OK",L2005="OK"),"OK","CHECK"))</f>
        <v>OK</v>
      </c>
    </row>
    <row r="2006" customFormat="false" ht="18" hidden="false" customHeight="true" outlineLevel="0" collapsed="false">
      <c r="A2006" s="9" t="s">
        <v>26</v>
      </c>
      <c r="B2006" s="9" t="n">
        <v>24</v>
      </c>
      <c r="C2006" s="11" t="n">
        <v>46022</v>
      </c>
      <c r="D2006" s="9" t="s">
        <v>162</v>
      </c>
      <c r="E2006" s="12" t="n">
        <v>20</v>
      </c>
      <c r="F2006" s="9" t="s">
        <v>31</v>
      </c>
      <c r="G2006" s="13" t="n">
        <v>150</v>
      </c>
      <c r="H2006" s="9" t="s">
        <v>35</v>
      </c>
      <c r="I2006" s="13" t="n">
        <v>0</v>
      </c>
      <c r="J2006" s="1" t="str">
        <f aca="false">IF(A2006="","", "SAMP-"&amp;A2006&amp;"-L"&amp;TEXT(B2006,"00")&amp;"-"&amp;TEXT(C2006,"yyyymmdd")&amp;"-"&amp;D2006&amp;"-H"&amp;TEXT(E2006,"00")&amp;"-"&amp;H2006)</f>
        <v>SAMP-KG01-L24-20251231-ORD-2025-00273-H20-Stone</v>
      </c>
      <c r="K2006" s="1" t="str">
        <f aca="false">IF(A2006="","",IF(AND(G2006&gt;=0,I2006&gt;=0,I2006&lt;=G2006),"OK","CHECK"))</f>
        <v>OK</v>
      </c>
      <c r="L2006" s="1" t="str">
        <f aca="false">IF(A2006="","",IF(AND(E2006&gt;=0,E2006&lt;=23),"OK","CHECK"))</f>
        <v>OK</v>
      </c>
      <c r="M2006" s="1" t="str">
        <f aca="false">IF(A2006="","",IF(AND(K2006="OK",L2006="OK"),"OK","CHECK"))</f>
        <v>OK</v>
      </c>
    </row>
    <row r="2007" customFormat="false" ht="18" hidden="false" customHeight="true" outlineLevel="0" collapsed="false">
      <c r="A2007" s="9" t="s">
        <v>26</v>
      </c>
      <c r="B2007" s="9" t="n">
        <v>25</v>
      </c>
      <c r="C2007" s="11" t="n">
        <v>45931</v>
      </c>
      <c r="D2007" s="9" t="s">
        <v>163</v>
      </c>
      <c r="E2007" s="12" t="n">
        <v>12</v>
      </c>
      <c r="F2007" s="9" t="s">
        <v>28</v>
      </c>
      <c r="G2007" s="13" t="n">
        <v>200</v>
      </c>
      <c r="H2007" s="9" t="s">
        <v>37</v>
      </c>
      <c r="I2007" s="13" t="n">
        <v>9</v>
      </c>
      <c r="J2007" s="1" t="str">
        <f aca="false">IF(A2007="","", "SAMP-"&amp;A2007&amp;"-L"&amp;TEXT(B2007,"00")&amp;"-"&amp;TEXT(C2007,"yyyymmdd")&amp;"-"&amp;D2007&amp;"-H"&amp;TEXT(E2007,"00")&amp;"-"&amp;H2007)</f>
        <v>SAMP-KG01-L25-20251001-ORD-2025-00274-H12-Bird Swing</v>
      </c>
      <c r="K2007" s="1" t="str">
        <f aca="false">IF(A2007="","",IF(AND(G2007&gt;=0,I2007&gt;=0,I2007&lt;=G2007),"OK","CHECK"))</f>
        <v>OK</v>
      </c>
      <c r="L2007" s="1" t="str">
        <f aca="false">IF(A2007="","",IF(AND(E2007&gt;=0,E2007&lt;=23),"OK","CHECK"))</f>
        <v>OK</v>
      </c>
      <c r="M2007" s="1" t="str">
        <f aca="false">IF(A2007="","",IF(AND(K2007="OK",L2007="OK"),"OK","CHECK"))</f>
        <v>OK</v>
      </c>
    </row>
    <row r="2008" customFormat="false" ht="18" hidden="false" customHeight="true" outlineLevel="0" collapsed="false">
      <c r="A2008" s="9" t="s">
        <v>26</v>
      </c>
      <c r="B2008" s="9" t="n">
        <v>25</v>
      </c>
      <c r="C2008" s="11" t="n">
        <v>45931</v>
      </c>
      <c r="D2008" s="9" t="s">
        <v>163</v>
      </c>
      <c r="E2008" s="12" t="n">
        <v>9</v>
      </c>
      <c r="F2008" s="9" t="s">
        <v>28</v>
      </c>
      <c r="G2008" s="13" t="n">
        <v>150</v>
      </c>
      <c r="H2008" s="9" t="s">
        <v>30</v>
      </c>
      <c r="I2008" s="13" t="n">
        <v>4</v>
      </c>
      <c r="J2008" s="1" t="str">
        <f aca="false">IF(A2008="","", "SAMP-"&amp;A2008&amp;"-L"&amp;TEXT(B2008,"00")&amp;"-"&amp;TEXT(C2008,"yyyymmdd")&amp;"-"&amp;D2008&amp;"-H"&amp;TEXT(E2008,"00")&amp;"-"&amp;H2008)</f>
        <v>SAMP-KG01-L25-20251001-ORD-2025-00274-H09-Overpress</v>
      </c>
      <c r="K2008" s="1" t="str">
        <f aca="false">IF(A2008="","",IF(AND(G2008&gt;=0,I2008&gt;=0,I2008&lt;=G2008),"OK","CHECK"))</f>
        <v>OK</v>
      </c>
      <c r="L2008" s="1" t="str">
        <f aca="false">IF(A2008="","",IF(AND(E2008&gt;=0,E2008&lt;=23),"OK","CHECK"))</f>
        <v>OK</v>
      </c>
      <c r="M2008" s="1" t="str">
        <f aca="false">IF(A2008="","",IF(AND(K2008="OK",L2008="OK"),"OK","CHECK"))</f>
        <v>OK</v>
      </c>
    </row>
    <row r="2009" customFormat="false" ht="18" hidden="false" customHeight="true" outlineLevel="0" collapsed="false">
      <c r="A2009" s="9" t="s">
        <v>26</v>
      </c>
      <c r="B2009" s="9" t="n">
        <v>25</v>
      </c>
      <c r="C2009" s="11" t="n">
        <v>45931</v>
      </c>
      <c r="D2009" s="9" t="s">
        <v>163</v>
      </c>
      <c r="E2009" s="12" t="n">
        <v>7</v>
      </c>
      <c r="F2009" s="9" t="s">
        <v>28</v>
      </c>
      <c r="G2009" s="13" t="n">
        <v>200</v>
      </c>
      <c r="H2009" s="9" t="s">
        <v>30</v>
      </c>
      <c r="I2009" s="13" t="n">
        <v>0</v>
      </c>
      <c r="J2009" s="1" t="str">
        <f aca="false">IF(A2009="","", "SAMP-"&amp;A2009&amp;"-L"&amp;TEXT(B2009,"00")&amp;"-"&amp;TEXT(C2009,"yyyymmdd")&amp;"-"&amp;D2009&amp;"-H"&amp;TEXT(E2009,"00")&amp;"-"&amp;H2009)</f>
        <v>SAMP-KG01-L25-20251001-ORD-2025-00274-H07-Overpress</v>
      </c>
      <c r="K2009" s="1" t="str">
        <f aca="false">IF(A2009="","",IF(AND(G2009&gt;=0,I2009&gt;=0,I2009&lt;=G2009),"OK","CHECK"))</f>
        <v>OK</v>
      </c>
      <c r="L2009" s="1" t="str">
        <f aca="false">IF(A2009="","",IF(AND(E2009&gt;=0,E2009&lt;=23),"OK","CHECK"))</f>
        <v>OK</v>
      </c>
      <c r="M2009" s="1" t="str">
        <f aca="false">IF(A2009="","",IF(AND(K2009="OK",L2009="OK"),"OK","CHECK"))</f>
        <v>OK</v>
      </c>
    </row>
    <row r="2010" customFormat="false" ht="18" hidden="false" customHeight="true" outlineLevel="0" collapsed="false">
      <c r="A2010" s="9" t="s">
        <v>26</v>
      </c>
      <c r="B2010" s="9" t="n">
        <v>25</v>
      </c>
      <c r="C2010" s="11" t="n">
        <v>45931</v>
      </c>
      <c r="D2010" s="9" t="s">
        <v>163</v>
      </c>
      <c r="E2010" s="12" t="n">
        <v>16</v>
      </c>
      <c r="F2010" s="9" t="s">
        <v>31</v>
      </c>
      <c r="G2010" s="13" t="n">
        <v>200</v>
      </c>
      <c r="H2010" s="9" t="s">
        <v>41</v>
      </c>
      <c r="I2010" s="13" t="n">
        <v>2</v>
      </c>
      <c r="J2010" s="1" t="str">
        <f aca="false">IF(A2010="","", "SAMP-"&amp;A2010&amp;"-L"&amp;TEXT(B2010,"00")&amp;"-"&amp;TEXT(C2010,"yyyymmdd")&amp;"-"&amp;D2010&amp;"-H"&amp;TEXT(E2010,"00")&amp;"-"&amp;H2010)</f>
        <v>SAMP-KG01-L25-20251001-ORD-2025-00274-H16-Chip</v>
      </c>
      <c r="K2010" s="1" t="str">
        <f aca="false">IF(A2010="","",IF(AND(G2010&gt;=0,I2010&gt;=0,I2010&lt;=G2010),"OK","CHECK"))</f>
        <v>OK</v>
      </c>
      <c r="L2010" s="1" t="str">
        <f aca="false">IF(A2010="","",IF(AND(E2010&gt;=0,E2010&lt;=23),"OK","CHECK"))</f>
        <v>OK</v>
      </c>
      <c r="M2010" s="1" t="str">
        <f aca="false">IF(A2010="","",IF(AND(K2010="OK",L2010="OK"),"OK","CHECK"))</f>
        <v>OK</v>
      </c>
    </row>
    <row r="2011" customFormat="false" ht="18" hidden="false" customHeight="true" outlineLevel="0" collapsed="false">
      <c r="A2011" s="9" t="s">
        <v>26</v>
      </c>
      <c r="B2011" s="9" t="n">
        <v>25</v>
      </c>
      <c r="C2011" s="11" t="n">
        <v>45931</v>
      </c>
      <c r="D2011" s="9" t="s">
        <v>163</v>
      </c>
      <c r="E2011" s="12" t="n">
        <v>23</v>
      </c>
      <c r="F2011" s="9" t="s">
        <v>31</v>
      </c>
      <c r="G2011" s="13" t="n">
        <v>200</v>
      </c>
      <c r="H2011" s="9" t="s">
        <v>36</v>
      </c>
      <c r="I2011" s="13" t="n">
        <v>0</v>
      </c>
      <c r="J2011" s="1" t="str">
        <f aca="false">IF(A2011="","", "SAMP-"&amp;A2011&amp;"-L"&amp;TEXT(B2011,"00")&amp;"-"&amp;TEXT(C2011,"yyyymmdd")&amp;"-"&amp;D2011&amp;"-H"&amp;TEXT(E2011,"00")&amp;"-"&amp;H2011)</f>
        <v>SAMP-KG01-L25-20251001-ORD-2025-00274-H23-Blister</v>
      </c>
      <c r="K2011" s="1" t="str">
        <f aca="false">IF(A2011="","",IF(AND(G2011&gt;=0,I2011&gt;=0,I2011&lt;=G2011),"OK","CHECK"))</f>
        <v>OK</v>
      </c>
      <c r="L2011" s="1" t="str">
        <f aca="false">IF(A2011="","",IF(AND(E2011&gt;=0,E2011&lt;=23),"OK","CHECK"))</f>
        <v>OK</v>
      </c>
      <c r="M2011" s="1" t="str">
        <f aca="false">IF(A2011="","",IF(AND(K2011="OK",L2011="OK"),"OK","CHECK"))</f>
        <v>OK</v>
      </c>
    </row>
    <row r="2012" customFormat="false" ht="18" hidden="false" customHeight="true" outlineLevel="0" collapsed="false">
      <c r="A2012" s="9" t="s">
        <v>26</v>
      </c>
      <c r="B2012" s="9" t="n">
        <v>25</v>
      </c>
      <c r="C2012" s="11" t="n">
        <v>45931</v>
      </c>
      <c r="D2012" s="9" t="s">
        <v>163</v>
      </c>
      <c r="E2012" s="12" t="n">
        <v>20</v>
      </c>
      <c r="F2012" s="9" t="s">
        <v>31</v>
      </c>
      <c r="G2012" s="13" t="n">
        <v>200</v>
      </c>
      <c r="H2012" s="9" t="s">
        <v>33</v>
      </c>
      <c r="I2012" s="13" t="n">
        <v>1</v>
      </c>
      <c r="J2012" s="1" t="str">
        <f aca="false">IF(A2012="","", "SAMP-"&amp;A2012&amp;"-L"&amp;TEXT(B2012,"00")&amp;"-"&amp;TEXT(C2012,"yyyymmdd")&amp;"-"&amp;D2012&amp;"-H"&amp;TEXT(E2012,"00")&amp;"-"&amp;H2012)</f>
        <v>SAMP-KG01-L25-20251001-ORD-2025-00274-H20-Distortion</v>
      </c>
      <c r="K2012" s="1" t="str">
        <f aca="false">IF(A2012="","",IF(AND(G2012&gt;=0,I2012&gt;=0,I2012&lt;=G2012),"OK","CHECK"))</f>
        <v>OK</v>
      </c>
      <c r="L2012" s="1" t="str">
        <f aca="false">IF(A2012="","",IF(AND(E2012&gt;=0,E2012&lt;=23),"OK","CHECK"))</f>
        <v>OK</v>
      </c>
      <c r="M2012" s="1" t="str">
        <f aca="false">IF(A2012="","",IF(AND(K2012="OK",L2012="OK"),"OK","CHECK"))</f>
        <v>OK</v>
      </c>
    </row>
    <row r="2013" customFormat="false" ht="18" hidden="false" customHeight="true" outlineLevel="0" collapsed="false">
      <c r="A2013" s="9" t="s">
        <v>26</v>
      </c>
      <c r="B2013" s="9" t="n">
        <v>25</v>
      </c>
      <c r="C2013" s="11" t="n">
        <v>45932</v>
      </c>
      <c r="D2013" s="9" t="s">
        <v>163</v>
      </c>
      <c r="E2013" s="12" t="n">
        <v>12</v>
      </c>
      <c r="F2013" s="9" t="s">
        <v>28</v>
      </c>
      <c r="G2013" s="13" t="n">
        <v>200</v>
      </c>
      <c r="H2013" s="9" t="s">
        <v>29</v>
      </c>
      <c r="I2013" s="13" t="n">
        <v>2</v>
      </c>
      <c r="J2013" s="1" t="str">
        <f aca="false">IF(A2013="","", "SAMP-"&amp;A2013&amp;"-L"&amp;TEXT(B2013,"00")&amp;"-"&amp;TEXT(C2013,"yyyymmdd")&amp;"-"&amp;D2013&amp;"-H"&amp;TEXT(E2013,"00")&amp;"-"&amp;H2013)</f>
        <v>SAMP-KG01-L25-20251002-ORD-2025-00274-H12-Choke Neck</v>
      </c>
      <c r="K2013" s="1" t="str">
        <f aca="false">IF(A2013="","",IF(AND(G2013&gt;=0,I2013&gt;=0,I2013&lt;=G2013),"OK","CHECK"))</f>
        <v>OK</v>
      </c>
      <c r="L2013" s="1" t="str">
        <f aca="false">IF(A2013="","",IF(AND(E2013&gt;=0,E2013&lt;=23),"OK","CHECK"))</f>
        <v>OK</v>
      </c>
      <c r="M2013" s="1" t="str">
        <f aca="false">IF(A2013="","",IF(AND(K2013="OK",L2013="OK"),"OK","CHECK"))</f>
        <v>OK</v>
      </c>
    </row>
    <row r="2014" customFormat="false" ht="18" hidden="false" customHeight="true" outlineLevel="0" collapsed="false">
      <c r="A2014" s="9" t="s">
        <v>26</v>
      </c>
      <c r="B2014" s="9" t="n">
        <v>25</v>
      </c>
      <c r="C2014" s="11" t="n">
        <v>45932</v>
      </c>
      <c r="D2014" s="9" t="s">
        <v>163</v>
      </c>
      <c r="E2014" s="12" t="n">
        <v>9</v>
      </c>
      <c r="F2014" s="9" t="s">
        <v>28</v>
      </c>
      <c r="G2014" s="13" t="n">
        <v>100</v>
      </c>
      <c r="H2014" s="9" t="s">
        <v>38</v>
      </c>
      <c r="I2014" s="13" t="n">
        <v>1</v>
      </c>
      <c r="J2014" s="1" t="str">
        <f aca="false">IF(A2014="","", "SAMP-"&amp;A2014&amp;"-L"&amp;TEXT(B2014,"00")&amp;"-"&amp;TEXT(C2014,"yyyymmdd")&amp;"-"&amp;D2014&amp;"-H"&amp;TEXT(E2014,"00")&amp;"-"&amp;H2014)</f>
        <v>SAMP-KG01-L25-20251002-ORD-2025-00274-H09-Crack</v>
      </c>
      <c r="K2014" s="1" t="str">
        <f aca="false">IF(A2014="","",IF(AND(G2014&gt;=0,I2014&gt;=0,I2014&lt;=G2014),"OK","CHECK"))</f>
        <v>OK</v>
      </c>
      <c r="L2014" s="1" t="str">
        <f aca="false">IF(A2014="","",IF(AND(E2014&gt;=0,E2014&lt;=23),"OK","CHECK"))</f>
        <v>OK</v>
      </c>
      <c r="M2014" s="1" t="str">
        <f aca="false">IF(A2014="","",IF(AND(K2014="OK",L2014="OK"),"OK","CHECK"))</f>
        <v>OK</v>
      </c>
    </row>
    <row r="2015" customFormat="false" ht="18" hidden="false" customHeight="true" outlineLevel="0" collapsed="false">
      <c r="A2015" s="9" t="s">
        <v>26</v>
      </c>
      <c r="B2015" s="9" t="n">
        <v>25</v>
      </c>
      <c r="C2015" s="11" t="n">
        <v>45932</v>
      </c>
      <c r="D2015" s="9" t="s">
        <v>163</v>
      </c>
      <c r="E2015" s="12" t="n">
        <v>7</v>
      </c>
      <c r="F2015" s="9" t="s">
        <v>28</v>
      </c>
      <c r="G2015" s="13" t="n">
        <v>200</v>
      </c>
      <c r="H2015" s="9" t="s">
        <v>41</v>
      </c>
      <c r="I2015" s="13" t="n">
        <v>7</v>
      </c>
      <c r="J2015" s="1" t="str">
        <f aca="false">IF(A2015="","", "SAMP-"&amp;A2015&amp;"-L"&amp;TEXT(B2015,"00")&amp;"-"&amp;TEXT(C2015,"yyyymmdd")&amp;"-"&amp;D2015&amp;"-H"&amp;TEXT(E2015,"00")&amp;"-"&amp;H2015)</f>
        <v>SAMP-KG01-L25-20251002-ORD-2025-00274-H07-Chip</v>
      </c>
      <c r="K2015" s="1" t="str">
        <f aca="false">IF(A2015="","",IF(AND(G2015&gt;=0,I2015&gt;=0,I2015&lt;=G2015),"OK","CHECK"))</f>
        <v>OK</v>
      </c>
      <c r="L2015" s="1" t="str">
        <f aca="false">IF(A2015="","",IF(AND(E2015&gt;=0,E2015&lt;=23),"OK","CHECK"))</f>
        <v>OK</v>
      </c>
      <c r="M2015" s="1" t="str">
        <f aca="false">IF(A2015="","",IF(AND(K2015="OK",L2015="OK"),"OK","CHECK"))</f>
        <v>OK</v>
      </c>
    </row>
    <row r="2016" customFormat="false" ht="18" hidden="false" customHeight="true" outlineLevel="0" collapsed="false">
      <c r="A2016" s="9" t="s">
        <v>26</v>
      </c>
      <c r="B2016" s="9" t="n">
        <v>25</v>
      </c>
      <c r="C2016" s="11" t="n">
        <v>45932</v>
      </c>
      <c r="D2016" s="9" t="s">
        <v>164</v>
      </c>
      <c r="E2016" s="12" t="n">
        <v>23</v>
      </c>
      <c r="F2016" s="9" t="s">
        <v>31</v>
      </c>
      <c r="G2016" s="13" t="n">
        <v>50</v>
      </c>
      <c r="H2016" s="9" t="s">
        <v>36</v>
      </c>
      <c r="I2016" s="13" t="n">
        <v>1</v>
      </c>
      <c r="J2016" s="1" t="str">
        <f aca="false">IF(A2016="","", "SAMP-"&amp;A2016&amp;"-L"&amp;TEXT(B2016,"00")&amp;"-"&amp;TEXT(C2016,"yyyymmdd")&amp;"-"&amp;D2016&amp;"-H"&amp;TEXT(E2016,"00")&amp;"-"&amp;H2016)</f>
        <v>SAMP-KG01-L25-20251002-ORD-2025-00275-H23-Blister</v>
      </c>
      <c r="K2016" s="1" t="str">
        <f aca="false">IF(A2016="","",IF(AND(G2016&gt;=0,I2016&gt;=0,I2016&lt;=G2016),"OK","CHECK"))</f>
        <v>OK</v>
      </c>
      <c r="L2016" s="1" t="str">
        <f aca="false">IF(A2016="","",IF(AND(E2016&gt;=0,E2016&lt;=23),"OK","CHECK"))</f>
        <v>OK</v>
      </c>
      <c r="M2016" s="1" t="str">
        <f aca="false">IF(A2016="","",IF(AND(K2016="OK",L2016="OK"),"OK","CHECK"))</f>
        <v>OK</v>
      </c>
    </row>
    <row r="2017" customFormat="false" ht="18" hidden="false" customHeight="true" outlineLevel="0" collapsed="false">
      <c r="A2017" s="9" t="s">
        <v>26</v>
      </c>
      <c r="B2017" s="9" t="n">
        <v>25</v>
      </c>
      <c r="C2017" s="11" t="n">
        <v>45932</v>
      </c>
      <c r="D2017" s="9" t="s">
        <v>164</v>
      </c>
      <c r="E2017" s="12" t="n">
        <v>20</v>
      </c>
      <c r="F2017" s="9" t="s">
        <v>31</v>
      </c>
      <c r="G2017" s="13" t="n">
        <v>150</v>
      </c>
      <c r="H2017" s="9" t="s">
        <v>30</v>
      </c>
      <c r="I2017" s="13" t="n">
        <v>1</v>
      </c>
      <c r="J2017" s="1" t="str">
        <f aca="false">IF(A2017="","", "SAMP-"&amp;A2017&amp;"-L"&amp;TEXT(B2017,"00")&amp;"-"&amp;TEXT(C2017,"yyyymmdd")&amp;"-"&amp;D2017&amp;"-H"&amp;TEXT(E2017,"00")&amp;"-"&amp;H2017)</f>
        <v>SAMP-KG01-L25-20251002-ORD-2025-00275-H20-Overpress</v>
      </c>
      <c r="K2017" s="1" t="str">
        <f aca="false">IF(A2017="","",IF(AND(G2017&gt;=0,I2017&gt;=0,I2017&lt;=G2017),"OK","CHECK"))</f>
        <v>OK</v>
      </c>
      <c r="L2017" s="1" t="str">
        <f aca="false">IF(A2017="","",IF(AND(E2017&gt;=0,E2017&lt;=23),"OK","CHECK"))</f>
        <v>OK</v>
      </c>
      <c r="M2017" s="1" t="str">
        <f aca="false">IF(A2017="","",IF(AND(K2017="OK",L2017="OK"),"OK","CHECK"))</f>
        <v>OK</v>
      </c>
    </row>
    <row r="2018" customFormat="false" ht="18" hidden="false" customHeight="true" outlineLevel="0" collapsed="false">
      <c r="A2018" s="9" t="s">
        <v>26</v>
      </c>
      <c r="B2018" s="9" t="n">
        <v>25</v>
      </c>
      <c r="C2018" s="11" t="n">
        <v>45932</v>
      </c>
      <c r="D2018" s="9" t="s">
        <v>164</v>
      </c>
      <c r="E2018" s="12" t="n">
        <v>16</v>
      </c>
      <c r="F2018" s="9" t="s">
        <v>31</v>
      </c>
      <c r="G2018" s="13" t="n">
        <v>50</v>
      </c>
      <c r="H2018" s="9" t="s">
        <v>35</v>
      </c>
      <c r="I2018" s="13" t="n">
        <v>1</v>
      </c>
      <c r="J2018" s="1" t="str">
        <f aca="false">IF(A2018="","", "SAMP-"&amp;A2018&amp;"-L"&amp;TEXT(B2018,"00")&amp;"-"&amp;TEXT(C2018,"yyyymmdd")&amp;"-"&amp;D2018&amp;"-H"&amp;TEXT(E2018,"00")&amp;"-"&amp;H2018)</f>
        <v>SAMP-KG01-L25-20251002-ORD-2025-00275-H16-Stone</v>
      </c>
      <c r="K2018" s="1" t="str">
        <f aca="false">IF(A2018="","",IF(AND(G2018&gt;=0,I2018&gt;=0,I2018&lt;=G2018),"OK","CHECK"))</f>
        <v>OK</v>
      </c>
      <c r="L2018" s="1" t="str">
        <f aca="false">IF(A2018="","",IF(AND(E2018&gt;=0,E2018&lt;=23),"OK","CHECK"))</f>
        <v>OK</v>
      </c>
      <c r="M2018" s="1" t="str">
        <f aca="false">IF(A2018="","",IF(AND(K2018="OK",L2018="OK"),"OK","CHECK"))</f>
        <v>OK</v>
      </c>
    </row>
    <row r="2019" customFormat="false" ht="18" hidden="false" customHeight="true" outlineLevel="0" collapsed="false">
      <c r="A2019" s="9" t="s">
        <v>26</v>
      </c>
      <c r="B2019" s="9" t="n">
        <v>25</v>
      </c>
      <c r="C2019" s="11" t="n">
        <v>45933</v>
      </c>
      <c r="D2019" s="9" t="s">
        <v>164</v>
      </c>
      <c r="E2019" s="12" t="n">
        <v>7</v>
      </c>
      <c r="F2019" s="9" t="s">
        <v>28</v>
      </c>
      <c r="G2019" s="13" t="n">
        <v>100</v>
      </c>
      <c r="H2019" s="9" t="s">
        <v>33</v>
      </c>
      <c r="I2019" s="13" t="n">
        <v>3</v>
      </c>
      <c r="J2019" s="1" t="str">
        <f aca="false">IF(A2019="","", "SAMP-"&amp;A2019&amp;"-L"&amp;TEXT(B2019,"00")&amp;"-"&amp;TEXT(C2019,"yyyymmdd")&amp;"-"&amp;D2019&amp;"-H"&amp;TEXT(E2019,"00")&amp;"-"&amp;H2019)</f>
        <v>SAMP-KG01-L25-20251003-ORD-2025-00275-H07-Distortion</v>
      </c>
      <c r="K2019" s="1" t="str">
        <f aca="false">IF(A2019="","",IF(AND(G2019&gt;=0,I2019&gt;=0,I2019&lt;=G2019),"OK","CHECK"))</f>
        <v>OK</v>
      </c>
      <c r="L2019" s="1" t="str">
        <f aca="false">IF(A2019="","",IF(AND(E2019&gt;=0,E2019&lt;=23),"OK","CHECK"))</f>
        <v>OK</v>
      </c>
      <c r="M2019" s="1" t="str">
        <f aca="false">IF(A2019="","",IF(AND(K2019="OK",L2019="OK"),"OK","CHECK"))</f>
        <v>OK</v>
      </c>
    </row>
    <row r="2020" customFormat="false" ht="18" hidden="false" customHeight="true" outlineLevel="0" collapsed="false">
      <c r="A2020" s="9" t="s">
        <v>26</v>
      </c>
      <c r="B2020" s="9" t="n">
        <v>25</v>
      </c>
      <c r="C2020" s="11" t="n">
        <v>45933</v>
      </c>
      <c r="D2020" s="9" t="s">
        <v>164</v>
      </c>
      <c r="E2020" s="12" t="n">
        <v>9</v>
      </c>
      <c r="F2020" s="9" t="s">
        <v>28</v>
      </c>
      <c r="G2020" s="13" t="n">
        <v>50</v>
      </c>
      <c r="H2020" s="9" t="s">
        <v>35</v>
      </c>
      <c r="I2020" s="13" t="n">
        <v>1</v>
      </c>
      <c r="J2020" s="1" t="str">
        <f aca="false">IF(A2020="","", "SAMP-"&amp;A2020&amp;"-L"&amp;TEXT(B2020,"00")&amp;"-"&amp;TEXT(C2020,"yyyymmdd")&amp;"-"&amp;D2020&amp;"-H"&amp;TEXT(E2020,"00")&amp;"-"&amp;H2020)</f>
        <v>SAMP-KG01-L25-20251003-ORD-2025-00275-H09-Stone</v>
      </c>
      <c r="K2020" s="1" t="str">
        <f aca="false">IF(A2020="","",IF(AND(G2020&gt;=0,I2020&gt;=0,I2020&lt;=G2020),"OK","CHECK"))</f>
        <v>OK</v>
      </c>
      <c r="L2020" s="1" t="str">
        <f aca="false">IF(A2020="","",IF(AND(E2020&gt;=0,E2020&lt;=23),"OK","CHECK"))</f>
        <v>OK</v>
      </c>
      <c r="M2020" s="1" t="str">
        <f aca="false">IF(A2020="","",IF(AND(K2020="OK",L2020="OK"),"OK","CHECK"))</f>
        <v>OK</v>
      </c>
    </row>
    <row r="2021" customFormat="false" ht="18" hidden="false" customHeight="true" outlineLevel="0" collapsed="false">
      <c r="A2021" s="9" t="s">
        <v>26</v>
      </c>
      <c r="B2021" s="9" t="n">
        <v>25</v>
      </c>
      <c r="C2021" s="11" t="n">
        <v>45933</v>
      </c>
      <c r="D2021" s="9" t="s">
        <v>164</v>
      </c>
      <c r="E2021" s="12" t="n">
        <v>12</v>
      </c>
      <c r="F2021" s="9" t="s">
        <v>28</v>
      </c>
      <c r="G2021" s="13" t="n">
        <v>200</v>
      </c>
      <c r="H2021" s="9" t="s">
        <v>30</v>
      </c>
      <c r="I2021" s="13" t="n">
        <v>4</v>
      </c>
      <c r="J2021" s="1" t="str">
        <f aca="false">IF(A2021="","", "SAMP-"&amp;A2021&amp;"-L"&amp;TEXT(B2021,"00")&amp;"-"&amp;TEXT(C2021,"yyyymmdd")&amp;"-"&amp;D2021&amp;"-H"&amp;TEXT(E2021,"00")&amp;"-"&amp;H2021)</f>
        <v>SAMP-KG01-L25-20251003-ORD-2025-00275-H12-Overpress</v>
      </c>
      <c r="K2021" s="1" t="str">
        <f aca="false">IF(A2021="","",IF(AND(G2021&gt;=0,I2021&gt;=0,I2021&lt;=G2021),"OK","CHECK"))</f>
        <v>OK</v>
      </c>
      <c r="L2021" s="1" t="str">
        <f aca="false">IF(A2021="","",IF(AND(E2021&gt;=0,E2021&lt;=23),"OK","CHECK"))</f>
        <v>OK</v>
      </c>
      <c r="M2021" s="1" t="str">
        <f aca="false">IF(A2021="","",IF(AND(K2021="OK",L2021="OK"),"OK","CHECK"))</f>
        <v>OK</v>
      </c>
    </row>
    <row r="2022" customFormat="false" ht="18" hidden="false" customHeight="true" outlineLevel="0" collapsed="false">
      <c r="A2022" s="9" t="s">
        <v>26</v>
      </c>
      <c r="B2022" s="9" t="n">
        <v>25</v>
      </c>
      <c r="C2022" s="11" t="n">
        <v>45933</v>
      </c>
      <c r="D2022" s="9" t="s">
        <v>164</v>
      </c>
      <c r="E2022" s="12" t="n">
        <v>23</v>
      </c>
      <c r="F2022" s="9" t="s">
        <v>31</v>
      </c>
      <c r="G2022" s="13" t="n">
        <v>100</v>
      </c>
      <c r="H2022" s="9" t="s">
        <v>41</v>
      </c>
      <c r="I2022" s="13" t="n">
        <v>1</v>
      </c>
      <c r="J2022" s="1" t="str">
        <f aca="false">IF(A2022="","", "SAMP-"&amp;A2022&amp;"-L"&amp;TEXT(B2022,"00")&amp;"-"&amp;TEXT(C2022,"yyyymmdd")&amp;"-"&amp;D2022&amp;"-H"&amp;TEXT(E2022,"00")&amp;"-"&amp;H2022)</f>
        <v>SAMP-KG01-L25-20251003-ORD-2025-00275-H23-Chip</v>
      </c>
      <c r="K2022" s="1" t="str">
        <f aca="false">IF(A2022="","",IF(AND(G2022&gt;=0,I2022&gt;=0,I2022&lt;=G2022),"OK","CHECK"))</f>
        <v>OK</v>
      </c>
      <c r="L2022" s="1" t="str">
        <f aca="false">IF(A2022="","",IF(AND(E2022&gt;=0,E2022&lt;=23),"OK","CHECK"))</f>
        <v>OK</v>
      </c>
      <c r="M2022" s="1" t="str">
        <f aca="false">IF(A2022="","",IF(AND(K2022="OK",L2022="OK"),"OK","CHECK"))</f>
        <v>OK</v>
      </c>
    </row>
    <row r="2023" customFormat="false" ht="18" hidden="false" customHeight="true" outlineLevel="0" collapsed="false">
      <c r="A2023" s="9" t="s">
        <v>26</v>
      </c>
      <c r="B2023" s="9" t="n">
        <v>25</v>
      </c>
      <c r="C2023" s="11" t="n">
        <v>45933</v>
      </c>
      <c r="D2023" s="9" t="s">
        <v>164</v>
      </c>
      <c r="E2023" s="12" t="n">
        <v>20</v>
      </c>
      <c r="F2023" s="9" t="s">
        <v>31</v>
      </c>
      <c r="G2023" s="13" t="n">
        <v>100</v>
      </c>
      <c r="H2023" s="9" t="s">
        <v>41</v>
      </c>
      <c r="I2023" s="13" t="n">
        <v>3</v>
      </c>
      <c r="J2023" s="1" t="str">
        <f aca="false">IF(A2023="","", "SAMP-"&amp;A2023&amp;"-L"&amp;TEXT(B2023,"00")&amp;"-"&amp;TEXT(C2023,"yyyymmdd")&amp;"-"&amp;D2023&amp;"-H"&amp;TEXT(E2023,"00")&amp;"-"&amp;H2023)</f>
        <v>SAMP-KG01-L25-20251003-ORD-2025-00275-H20-Chip</v>
      </c>
      <c r="K2023" s="1" t="str">
        <f aca="false">IF(A2023="","",IF(AND(G2023&gt;=0,I2023&gt;=0,I2023&lt;=G2023),"OK","CHECK"))</f>
        <v>OK</v>
      </c>
      <c r="L2023" s="1" t="str">
        <f aca="false">IF(A2023="","",IF(AND(E2023&gt;=0,E2023&lt;=23),"OK","CHECK"))</f>
        <v>OK</v>
      </c>
      <c r="M2023" s="1" t="str">
        <f aca="false">IF(A2023="","",IF(AND(K2023="OK",L2023="OK"),"OK","CHECK"))</f>
        <v>OK</v>
      </c>
    </row>
    <row r="2024" customFormat="false" ht="18" hidden="false" customHeight="true" outlineLevel="0" collapsed="false">
      <c r="A2024" s="9" t="s">
        <v>26</v>
      </c>
      <c r="B2024" s="9" t="n">
        <v>25</v>
      </c>
      <c r="C2024" s="11" t="n">
        <v>45934</v>
      </c>
      <c r="D2024" s="9" t="s">
        <v>165</v>
      </c>
      <c r="E2024" s="12" t="n">
        <v>12</v>
      </c>
      <c r="F2024" s="9" t="s">
        <v>28</v>
      </c>
      <c r="G2024" s="13" t="n">
        <v>200</v>
      </c>
      <c r="H2024" s="9" t="s">
        <v>35</v>
      </c>
      <c r="I2024" s="13" t="n">
        <v>0</v>
      </c>
      <c r="J2024" s="1" t="str">
        <f aca="false">IF(A2024="","", "SAMP-"&amp;A2024&amp;"-L"&amp;TEXT(B2024,"00")&amp;"-"&amp;TEXT(C2024,"yyyymmdd")&amp;"-"&amp;D2024&amp;"-H"&amp;TEXT(E2024,"00")&amp;"-"&amp;H2024)</f>
        <v>SAMP-KG01-L25-20251004-ORD-2025-00276-H12-Stone</v>
      </c>
      <c r="K2024" s="1" t="str">
        <f aca="false">IF(A2024="","",IF(AND(G2024&gt;=0,I2024&gt;=0,I2024&lt;=G2024),"OK","CHECK"))</f>
        <v>OK</v>
      </c>
      <c r="L2024" s="1" t="str">
        <f aca="false">IF(A2024="","",IF(AND(E2024&gt;=0,E2024&lt;=23),"OK","CHECK"))</f>
        <v>OK</v>
      </c>
      <c r="M2024" s="1" t="str">
        <f aca="false">IF(A2024="","",IF(AND(K2024="OK",L2024="OK"),"OK","CHECK"))</f>
        <v>OK</v>
      </c>
    </row>
    <row r="2025" customFormat="false" ht="18" hidden="false" customHeight="true" outlineLevel="0" collapsed="false">
      <c r="A2025" s="9" t="s">
        <v>26</v>
      </c>
      <c r="B2025" s="9" t="n">
        <v>25</v>
      </c>
      <c r="C2025" s="11" t="n">
        <v>45934</v>
      </c>
      <c r="D2025" s="9" t="s">
        <v>165</v>
      </c>
      <c r="E2025" s="12" t="n">
        <v>9</v>
      </c>
      <c r="F2025" s="9" t="s">
        <v>28</v>
      </c>
      <c r="G2025" s="13" t="n">
        <v>200</v>
      </c>
      <c r="H2025" s="9" t="s">
        <v>37</v>
      </c>
      <c r="I2025" s="13" t="n">
        <v>5</v>
      </c>
      <c r="J2025" s="1" t="str">
        <f aca="false">IF(A2025="","", "SAMP-"&amp;A2025&amp;"-L"&amp;TEXT(B2025,"00")&amp;"-"&amp;TEXT(C2025,"yyyymmdd")&amp;"-"&amp;D2025&amp;"-H"&amp;TEXT(E2025,"00")&amp;"-"&amp;H2025)</f>
        <v>SAMP-KG01-L25-20251004-ORD-2025-00276-H09-Bird Swing</v>
      </c>
      <c r="K2025" s="1" t="str">
        <f aca="false">IF(A2025="","",IF(AND(G2025&gt;=0,I2025&gt;=0,I2025&lt;=G2025),"OK","CHECK"))</f>
        <v>OK</v>
      </c>
      <c r="L2025" s="1" t="str">
        <f aca="false">IF(A2025="","",IF(AND(E2025&gt;=0,E2025&lt;=23),"OK","CHECK"))</f>
        <v>OK</v>
      </c>
      <c r="M2025" s="1" t="str">
        <f aca="false">IF(A2025="","",IF(AND(K2025="OK",L2025="OK"),"OK","CHECK"))</f>
        <v>OK</v>
      </c>
    </row>
    <row r="2026" customFormat="false" ht="18" hidden="false" customHeight="true" outlineLevel="0" collapsed="false">
      <c r="A2026" s="9" t="s">
        <v>26</v>
      </c>
      <c r="B2026" s="9" t="n">
        <v>25</v>
      </c>
      <c r="C2026" s="11" t="n">
        <v>45934</v>
      </c>
      <c r="D2026" s="9" t="s">
        <v>165</v>
      </c>
      <c r="E2026" s="12" t="n">
        <v>7</v>
      </c>
      <c r="F2026" s="9" t="s">
        <v>28</v>
      </c>
      <c r="G2026" s="13" t="n">
        <v>200</v>
      </c>
      <c r="H2026" s="9" t="s">
        <v>29</v>
      </c>
      <c r="I2026" s="13" t="n">
        <v>7</v>
      </c>
      <c r="J2026" s="1" t="str">
        <f aca="false">IF(A2026="","", "SAMP-"&amp;A2026&amp;"-L"&amp;TEXT(B2026,"00")&amp;"-"&amp;TEXT(C2026,"yyyymmdd")&amp;"-"&amp;D2026&amp;"-H"&amp;TEXT(E2026,"00")&amp;"-"&amp;H2026)</f>
        <v>SAMP-KG01-L25-20251004-ORD-2025-00276-H07-Choke Neck</v>
      </c>
      <c r="K2026" s="1" t="str">
        <f aca="false">IF(A2026="","",IF(AND(G2026&gt;=0,I2026&gt;=0,I2026&lt;=G2026),"OK","CHECK"))</f>
        <v>OK</v>
      </c>
      <c r="L2026" s="1" t="str">
        <f aca="false">IF(A2026="","",IF(AND(E2026&gt;=0,E2026&lt;=23),"OK","CHECK"))</f>
        <v>OK</v>
      </c>
      <c r="M2026" s="1" t="str">
        <f aca="false">IF(A2026="","",IF(AND(K2026="OK",L2026="OK"),"OK","CHECK"))</f>
        <v>OK</v>
      </c>
    </row>
    <row r="2027" customFormat="false" ht="18" hidden="false" customHeight="true" outlineLevel="0" collapsed="false">
      <c r="A2027" s="9" t="s">
        <v>26</v>
      </c>
      <c r="B2027" s="9" t="n">
        <v>25</v>
      </c>
      <c r="C2027" s="11" t="n">
        <v>45934</v>
      </c>
      <c r="D2027" s="9" t="s">
        <v>165</v>
      </c>
      <c r="E2027" s="12" t="n">
        <v>16</v>
      </c>
      <c r="F2027" s="9" t="s">
        <v>31</v>
      </c>
      <c r="G2027" s="13" t="n">
        <v>100</v>
      </c>
      <c r="H2027" s="9" t="s">
        <v>38</v>
      </c>
      <c r="I2027" s="13" t="n">
        <v>2</v>
      </c>
      <c r="J2027" s="1" t="str">
        <f aca="false">IF(A2027="","", "SAMP-"&amp;A2027&amp;"-L"&amp;TEXT(B2027,"00")&amp;"-"&amp;TEXT(C2027,"yyyymmdd")&amp;"-"&amp;D2027&amp;"-H"&amp;TEXT(E2027,"00")&amp;"-"&amp;H2027)</f>
        <v>SAMP-KG01-L25-20251004-ORD-2025-00276-H16-Crack</v>
      </c>
      <c r="K2027" s="1" t="str">
        <f aca="false">IF(A2027="","",IF(AND(G2027&gt;=0,I2027&gt;=0,I2027&lt;=G2027),"OK","CHECK"))</f>
        <v>OK</v>
      </c>
      <c r="L2027" s="1" t="str">
        <f aca="false">IF(A2027="","",IF(AND(E2027&gt;=0,E2027&lt;=23),"OK","CHECK"))</f>
        <v>OK</v>
      </c>
      <c r="M2027" s="1" t="str">
        <f aca="false">IF(A2027="","",IF(AND(K2027="OK",L2027="OK"),"OK","CHECK"))</f>
        <v>OK</v>
      </c>
    </row>
    <row r="2028" customFormat="false" ht="18" hidden="false" customHeight="true" outlineLevel="0" collapsed="false">
      <c r="A2028" s="9" t="s">
        <v>26</v>
      </c>
      <c r="B2028" s="9" t="n">
        <v>25</v>
      </c>
      <c r="C2028" s="11" t="n">
        <v>45934</v>
      </c>
      <c r="D2028" s="9" t="s">
        <v>165</v>
      </c>
      <c r="E2028" s="12" t="n">
        <v>23</v>
      </c>
      <c r="F2028" s="9" t="s">
        <v>31</v>
      </c>
      <c r="G2028" s="13" t="n">
        <v>50</v>
      </c>
      <c r="H2028" s="9" t="s">
        <v>35</v>
      </c>
      <c r="I2028" s="13" t="n">
        <v>0</v>
      </c>
      <c r="J2028" s="1" t="str">
        <f aca="false">IF(A2028="","", "SAMP-"&amp;A2028&amp;"-L"&amp;TEXT(B2028,"00")&amp;"-"&amp;TEXT(C2028,"yyyymmdd")&amp;"-"&amp;D2028&amp;"-H"&amp;TEXT(E2028,"00")&amp;"-"&amp;H2028)</f>
        <v>SAMP-KG01-L25-20251004-ORD-2025-00276-H23-Stone</v>
      </c>
      <c r="K2028" s="1" t="str">
        <f aca="false">IF(A2028="","",IF(AND(G2028&gt;=0,I2028&gt;=0,I2028&lt;=G2028),"OK","CHECK"))</f>
        <v>OK</v>
      </c>
      <c r="L2028" s="1" t="str">
        <f aca="false">IF(A2028="","",IF(AND(E2028&gt;=0,E2028&lt;=23),"OK","CHECK"))</f>
        <v>OK</v>
      </c>
      <c r="M2028" s="1" t="str">
        <f aca="false">IF(A2028="","",IF(AND(K2028="OK",L2028="OK"),"OK","CHECK"))</f>
        <v>OK</v>
      </c>
    </row>
    <row r="2029" customFormat="false" ht="18" hidden="false" customHeight="true" outlineLevel="0" collapsed="false">
      <c r="A2029" s="9" t="s">
        <v>26</v>
      </c>
      <c r="B2029" s="9" t="n">
        <v>25</v>
      </c>
      <c r="C2029" s="11" t="n">
        <v>45934</v>
      </c>
      <c r="D2029" s="9" t="s">
        <v>165</v>
      </c>
      <c r="E2029" s="12" t="n">
        <v>20</v>
      </c>
      <c r="F2029" s="9" t="s">
        <v>31</v>
      </c>
      <c r="G2029" s="13" t="n">
        <v>100</v>
      </c>
      <c r="H2029" s="9" t="s">
        <v>30</v>
      </c>
      <c r="I2029" s="13" t="n">
        <v>2</v>
      </c>
      <c r="J2029" s="1" t="str">
        <f aca="false">IF(A2029="","", "SAMP-"&amp;A2029&amp;"-L"&amp;TEXT(B2029,"00")&amp;"-"&amp;TEXT(C2029,"yyyymmdd")&amp;"-"&amp;D2029&amp;"-H"&amp;TEXT(E2029,"00")&amp;"-"&amp;H2029)</f>
        <v>SAMP-KG01-L25-20251004-ORD-2025-00276-H20-Overpress</v>
      </c>
      <c r="K2029" s="1" t="str">
        <f aca="false">IF(A2029="","",IF(AND(G2029&gt;=0,I2029&gt;=0,I2029&lt;=G2029),"OK","CHECK"))</f>
        <v>OK</v>
      </c>
      <c r="L2029" s="1" t="str">
        <f aca="false">IF(A2029="","",IF(AND(E2029&gt;=0,E2029&lt;=23),"OK","CHECK"))</f>
        <v>OK</v>
      </c>
      <c r="M2029" s="1" t="str">
        <f aca="false">IF(A2029="","",IF(AND(K2029="OK",L2029="OK"),"OK","CHECK"))</f>
        <v>OK</v>
      </c>
    </row>
    <row r="2030" customFormat="false" ht="18" hidden="false" customHeight="true" outlineLevel="0" collapsed="false">
      <c r="A2030" s="9" t="s">
        <v>26</v>
      </c>
      <c r="B2030" s="9" t="n">
        <v>25</v>
      </c>
      <c r="C2030" s="11" t="n">
        <v>45935</v>
      </c>
      <c r="D2030" s="9" t="s">
        <v>165</v>
      </c>
      <c r="E2030" s="12" t="n">
        <v>12</v>
      </c>
      <c r="F2030" s="9" t="s">
        <v>28</v>
      </c>
      <c r="G2030" s="13" t="n">
        <v>100</v>
      </c>
      <c r="H2030" s="9" t="s">
        <v>36</v>
      </c>
      <c r="I2030" s="13" t="n">
        <v>2</v>
      </c>
      <c r="J2030" s="1" t="str">
        <f aca="false">IF(A2030="","", "SAMP-"&amp;A2030&amp;"-L"&amp;TEXT(B2030,"00")&amp;"-"&amp;TEXT(C2030,"yyyymmdd")&amp;"-"&amp;D2030&amp;"-H"&amp;TEXT(E2030,"00")&amp;"-"&amp;H2030)</f>
        <v>SAMP-KG01-L25-20251005-ORD-2025-00276-H12-Blister</v>
      </c>
      <c r="K2030" s="1" t="str">
        <f aca="false">IF(A2030="","",IF(AND(G2030&gt;=0,I2030&gt;=0,I2030&lt;=G2030),"OK","CHECK"))</f>
        <v>OK</v>
      </c>
      <c r="L2030" s="1" t="str">
        <f aca="false">IF(A2030="","",IF(AND(E2030&gt;=0,E2030&lt;=23),"OK","CHECK"))</f>
        <v>OK</v>
      </c>
      <c r="M2030" s="1" t="str">
        <f aca="false">IF(A2030="","",IF(AND(K2030="OK",L2030="OK"),"OK","CHECK"))</f>
        <v>OK</v>
      </c>
    </row>
    <row r="2031" customFormat="false" ht="18" hidden="false" customHeight="true" outlineLevel="0" collapsed="false">
      <c r="A2031" s="9" t="s">
        <v>26</v>
      </c>
      <c r="B2031" s="9" t="n">
        <v>25</v>
      </c>
      <c r="C2031" s="11" t="n">
        <v>45935</v>
      </c>
      <c r="D2031" s="9" t="s">
        <v>165</v>
      </c>
      <c r="E2031" s="12" t="n">
        <v>7</v>
      </c>
      <c r="F2031" s="9" t="s">
        <v>28</v>
      </c>
      <c r="G2031" s="13" t="n">
        <v>50</v>
      </c>
      <c r="H2031" s="9" t="s">
        <v>36</v>
      </c>
      <c r="I2031" s="13" t="n">
        <v>0</v>
      </c>
      <c r="J2031" s="1" t="str">
        <f aca="false">IF(A2031="","", "SAMP-"&amp;A2031&amp;"-L"&amp;TEXT(B2031,"00")&amp;"-"&amp;TEXT(C2031,"yyyymmdd")&amp;"-"&amp;D2031&amp;"-H"&amp;TEXT(E2031,"00")&amp;"-"&amp;H2031)</f>
        <v>SAMP-KG01-L25-20251005-ORD-2025-00276-H07-Blister</v>
      </c>
      <c r="K2031" s="1" t="str">
        <f aca="false">IF(A2031="","",IF(AND(G2031&gt;=0,I2031&gt;=0,I2031&lt;=G2031),"OK","CHECK"))</f>
        <v>OK</v>
      </c>
      <c r="L2031" s="1" t="str">
        <f aca="false">IF(A2031="","",IF(AND(E2031&gt;=0,E2031&lt;=23),"OK","CHECK"))</f>
        <v>OK</v>
      </c>
      <c r="M2031" s="1" t="str">
        <f aca="false">IF(A2031="","",IF(AND(K2031="OK",L2031="OK"),"OK","CHECK"))</f>
        <v>OK</v>
      </c>
    </row>
    <row r="2032" customFormat="false" ht="18" hidden="false" customHeight="true" outlineLevel="0" collapsed="false">
      <c r="A2032" s="9" t="s">
        <v>26</v>
      </c>
      <c r="B2032" s="9" t="n">
        <v>25</v>
      </c>
      <c r="C2032" s="11" t="n">
        <v>45935</v>
      </c>
      <c r="D2032" s="9" t="s">
        <v>165</v>
      </c>
      <c r="E2032" s="12" t="n">
        <v>9</v>
      </c>
      <c r="F2032" s="9" t="s">
        <v>28</v>
      </c>
      <c r="G2032" s="13" t="n">
        <v>200</v>
      </c>
      <c r="H2032" s="9" t="s">
        <v>38</v>
      </c>
      <c r="I2032" s="13" t="n">
        <v>1</v>
      </c>
      <c r="J2032" s="1" t="str">
        <f aca="false">IF(A2032="","", "SAMP-"&amp;A2032&amp;"-L"&amp;TEXT(B2032,"00")&amp;"-"&amp;TEXT(C2032,"yyyymmdd")&amp;"-"&amp;D2032&amp;"-H"&amp;TEXT(E2032,"00")&amp;"-"&amp;H2032)</f>
        <v>SAMP-KG01-L25-20251005-ORD-2025-00276-H09-Crack</v>
      </c>
      <c r="K2032" s="1" t="str">
        <f aca="false">IF(A2032="","",IF(AND(G2032&gt;=0,I2032&gt;=0,I2032&lt;=G2032),"OK","CHECK"))</f>
        <v>OK</v>
      </c>
      <c r="L2032" s="1" t="str">
        <f aca="false">IF(A2032="","",IF(AND(E2032&gt;=0,E2032&lt;=23),"OK","CHECK"))</f>
        <v>OK</v>
      </c>
      <c r="M2032" s="1" t="str">
        <f aca="false">IF(A2032="","",IF(AND(K2032="OK",L2032="OK"),"OK","CHECK"))</f>
        <v>OK</v>
      </c>
    </row>
    <row r="2033" customFormat="false" ht="18" hidden="false" customHeight="true" outlineLevel="0" collapsed="false">
      <c r="A2033" s="9" t="s">
        <v>26</v>
      </c>
      <c r="B2033" s="9" t="n">
        <v>25</v>
      </c>
      <c r="C2033" s="11" t="n">
        <v>45935</v>
      </c>
      <c r="D2033" s="9" t="s">
        <v>166</v>
      </c>
      <c r="E2033" s="12" t="n">
        <v>16</v>
      </c>
      <c r="F2033" s="9" t="s">
        <v>31</v>
      </c>
      <c r="G2033" s="13" t="n">
        <v>50</v>
      </c>
      <c r="H2033" s="9" t="s">
        <v>30</v>
      </c>
      <c r="I2033" s="13" t="n">
        <v>2</v>
      </c>
      <c r="J2033" s="1" t="str">
        <f aca="false">IF(A2033="","", "SAMP-"&amp;A2033&amp;"-L"&amp;TEXT(B2033,"00")&amp;"-"&amp;TEXT(C2033,"yyyymmdd")&amp;"-"&amp;D2033&amp;"-H"&amp;TEXT(E2033,"00")&amp;"-"&amp;H2033)</f>
        <v>SAMP-KG01-L25-20251005-ORD-2025-00277-H16-Overpress</v>
      </c>
      <c r="K2033" s="1" t="str">
        <f aca="false">IF(A2033="","",IF(AND(G2033&gt;=0,I2033&gt;=0,I2033&lt;=G2033),"OK","CHECK"))</f>
        <v>OK</v>
      </c>
      <c r="L2033" s="1" t="str">
        <f aca="false">IF(A2033="","",IF(AND(E2033&gt;=0,E2033&lt;=23),"OK","CHECK"))</f>
        <v>OK</v>
      </c>
      <c r="M2033" s="1" t="str">
        <f aca="false">IF(A2033="","",IF(AND(K2033="OK",L2033="OK"),"OK","CHECK"))</f>
        <v>OK</v>
      </c>
    </row>
    <row r="2034" customFormat="false" ht="18" hidden="false" customHeight="true" outlineLevel="0" collapsed="false">
      <c r="A2034" s="9" t="s">
        <v>26</v>
      </c>
      <c r="B2034" s="9" t="n">
        <v>25</v>
      </c>
      <c r="C2034" s="11" t="n">
        <v>45935</v>
      </c>
      <c r="D2034" s="9" t="s">
        <v>166</v>
      </c>
      <c r="E2034" s="12" t="n">
        <v>23</v>
      </c>
      <c r="F2034" s="9" t="s">
        <v>31</v>
      </c>
      <c r="G2034" s="13" t="n">
        <v>100</v>
      </c>
      <c r="H2034" s="9" t="s">
        <v>41</v>
      </c>
      <c r="I2034" s="13" t="n">
        <v>3</v>
      </c>
      <c r="J2034" s="1" t="str">
        <f aca="false">IF(A2034="","", "SAMP-"&amp;A2034&amp;"-L"&amp;TEXT(B2034,"00")&amp;"-"&amp;TEXT(C2034,"yyyymmdd")&amp;"-"&amp;D2034&amp;"-H"&amp;TEXT(E2034,"00")&amp;"-"&amp;H2034)</f>
        <v>SAMP-KG01-L25-20251005-ORD-2025-00277-H23-Chip</v>
      </c>
      <c r="K2034" s="1" t="str">
        <f aca="false">IF(A2034="","",IF(AND(G2034&gt;=0,I2034&gt;=0,I2034&lt;=G2034),"OK","CHECK"))</f>
        <v>OK</v>
      </c>
      <c r="L2034" s="1" t="str">
        <f aca="false">IF(A2034="","",IF(AND(E2034&gt;=0,E2034&lt;=23),"OK","CHECK"))</f>
        <v>OK</v>
      </c>
      <c r="M2034" s="1" t="str">
        <f aca="false">IF(A2034="","",IF(AND(K2034="OK",L2034="OK"),"OK","CHECK"))</f>
        <v>OK</v>
      </c>
    </row>
    <row r="2035" customFormat="false" ht="18" hidden="false" customHeight="true" outlineLevel="0" collapsed="false">
      <c r="A2035" s="9" t="s">
        <v>26</v>
      </c>
      <c r="B2035" s="9" t="n">
        <v>25</v>
      </c>
      <c r="C2035" s="11" t="n">
        <v>45935</v>
      </c>
      <c r="D2035" s="9" t="s">
        <v>166</v>
      </c>
      <c r="E2035" s="12" t="n">
        <v>20</v>
      </c>
      <c r="F2035" s="9" t="s">
        <v>31</v>
      </c>
      <c r="G2035" s="13" t="n">
        <v>100</v>
      </c>
      <c r="H2035" s="9" t="s">
        <v>29</v>
      </c>
      <c r="I2035" s="13" t="n">
        <v>3</v>
      </c>
      <c r="J2035" s="1" t="str">
        <f aca="false">IF(A2035="","", "SAMP-"&amp;A2035&amp;"-L"&amp;TEXT(B2035,"00")&amp;"-"&amp;TEXT(C2035,"yyyymmdd")&amp;"-"&amp;D2035&amp;"-H"&amp;TEXT(E2035,"00")&amp;"-"&amp;H2035)</f>
        <v>SAMP-KG01-L25-20251005-ORD-2025-00277-H20-Choke Neck</v>
      </c>
      <c r="K2035" s="1" t="str">
        <f aca="false">IF(A2035="","",IF(AND(G2035&gt;=0,I2035&gt;=0,I2035&lt;=G2035),"OK","CHECK"))</f>
        <v>OK</v>
      </c>
      <c r="L2035" s="1" t="str">
        <f aca="false">IF(A2035="","",IF(AND(E2035&gt;=0,E2035&lt;=23),"OK","CHECK"))</f>
        <v>OK</v>
      </c>
      <c r="M2035" s="1" t="str">
        <f aca="false">IF(A2035="","",IF(AND(K2035="OK",L2035="OK"),"OK","CHECK"))</f>
        <v>OK</v>
      </c>
    </row>
    <row r="2036" customFormat="false" ht="18" hidden="false" customHeight="true" outlineLevel="0" collapsed="false">
      <c r="A2036" s="9" t="s">
        <v>26</v>
      </c>
      <c r="B2036" s="9" t="n">
        <v>25</v>
      </c>
      <c r="C2036" s="11" t="n">
        <v>45936</v>
      </c>
      <c r="D2036" s="9" t="s">
        <v>166</v>
      </c>
      <c r="E2036" s="12" t="n">
        <v>9</v>
      </c>
      <c r="F2036" s="9" t="s">
        <v>28</v>
      </c>
      <c r="G2036" s="13" t="n">
        <v>100</v>
      </c>
      <c r="H2036" s="9" t="s">
        <v>38</v>
      </c>
      <c r="I2036" s="13" t="n">
        <v>3</v>
      </c>
      <c r="J2036" s="1" t="str">
        <f aca="false">IF(A2036="","", "SAMP-"&amp;A2036&amp;"-L"&amp;TEXT(B2036,"00")&amp;"-"&amp;TEXT(C2036,"yyyymmdd")&amp;"-"&amp;D2036&amp;"-H"&amp;TEXT(E2036,"00")&amp;"-"&amp;H2036)</f>
        <v>SAMP-KG01-L25-20251006-ORD-2025-00277-H09-Crack</v>
      </c>
      <c r="K2036" s="1" t="str">
        <f aca="false">IF(A2036="","",IF(AND(G2036&gt;=0,I2036&gt;=0,I2036&lt;=G2036),"OK","CHECK"))</f>
        <v>OK</v>
      </c>
      <c r="L2036" s="1" t="str">
        <f aca="false">IF(A2036="","",IF(AND(E2036&gt;=0,E2036&lt;=23),"OK","CHECK"))</f>
        <v>OK</v>
      </c>
      <c r="M2036" s="1" t="str">
        <f aca="false">IF(A2036="","",IF(AND(K2036="OK",L2036="OK"),"OK","CHECK"))</f>
        <v>OK</v>
      </c>
    </row>
    <row r="2037" customFormat="false" ht="18" hidden="false" customHeight="true" outlineLevel="0" collapsed="false">
      <c r="A2037" s="9" t="s">
        <v>26</v>
      </c>
      <c r="B2037" s="9" t="n">
        <v>25</v>
      </c>
      <c r="C2037" s="11" t="n">
        <v>45936</v>
      </c>
      <c r="D2037" s="9" t="s">
        <v>166</v>
      </c>
      <c r="E2037" s="12" t="n">
        <v>12</v>
      </c>
      <c r="F2037" s="9" t="s">
        <v>28</v>
      </c>
      <c r="G2037" s="13" t="n">
        <v>200</v>
      </c>
      <c r="H2037" s="9" t="s">
        <v>38</v>
      </c>
      <c r="I2037" s="13" t="n">
        <v>5</v>
      </c>
      <c r="J2037" s="1" t="str">
        <f aca="false">IF(A2037="","", "SAMP-"&amp;A2037&amp;"-L"&amp;TEXT(B2037,"00")&amp;"-"&amp;TEXT(C2037,"yyyymmdd")&amp;"-"&amp;D2037&amp;"-H"&amp;TEXT(E2037,"00")&amp;"-"&amp;H2037)</f>
        <v>SAMP-KG01-L25-20251006-ORD-2025-00277-H12-Crack</v>
      </c>
      <c r="K2037" s="1" t="str">
        <f aca="false">IF(A2037="","",IF(AND(G2037&gt;=0,I2037&gt;=0,I2037&lt;=G2037),"OK","CHECK"))</f>
        <v>OK</v>
      </c>
      <c r="L2037" s="1" t="str">
        <f aca="false">IF(A2037="","",IF(AND(E2037&gt;=0,E2037&lt;=23),"OK","CHECK"))</f>
        <v>OK</v>
      </c>
      <c r="M2037" s="1" t="str">
        <f aca="false">IF(A2037="","",IF(AND(K2037="OK",L2037="OK"),"OK","CHECK"))</f>
        <v>OK</v>
      </c>
    </row>
    <row r="2038" customFormat="false" ht="18" hidden="false" customHeight="true" outlineLevel="0" collapsed="false">
      <c r="A2038" s="9" t="s">
        <v>26</v>
      </c>
      <c r="B2038" s="9" t="n">
        <v>25</v>
      </c>
      <c r="C2038" s="11" t="n">
        <v>45936</v>
      </c>
      <c r="D2038" s="9" t="s">
        <v>166</v>
      </c>
      <c r="E2038" s="12" t="n">
        <v>7</v>
      </c>
      <c r="F2038" s="9" t="s">
        <v>28</v>
      </c>
      <c r="G2038" s="13" t="n">
        <v>200</v>
      </c>
      <c r="H2038" s="9" t="s">
        <v>37</v>
      </c>
      <c r="I2038" s="13" t="n">
        <v>2</v>
      </c>
      <c r="J2038" s="1" t="str">
        <f aca="false">IF(A2038="","", "SAMP-"&amp;A2038&amp;"-L"&amp;TEXT(B2038,"00")&amp;"-"&amp;TEXT(C2038,"yyyymmdd")&amp;"-"&amp;D2038&amp;"-H"&amp;TEXT(E2038,"00")&amp;"-"&amp;H2038)</f>
        <v>SAMP-KG01-L25-20251006-ORD-2025-00277-H07-Bird Swing</v>
      </c>
      <c r="K2038" s="1" t="str">
        <f aca="false">IF(A2038="","",IF(AND(G2038&gt;=0,I2038&gt;=0,I2038&lt;=G2038),"OK","CHECK"))</f>
        <v>OK</v>
      </c>
      <c r="L2038" s="1" t="str">
        <f aca="false">IF(A2038="","",IF(AND(E2038&gt;=0,E2038&lt;=23),"OK","CHECK"))</f>
        <v>OK</v>
      </c>
      <c r="M2038" s="1" t="str">
        <f aca="false">IF(A2038="","",IF(AND(K2038="OK",L2038="OK"),"OK","CHECK"))</f>
        <v>OK</v>
      </c>
    </row>
    <row r="2039" customFormat="false" ht="18" hidden="false" customHeight="true" outlineLevel="0" collapsed="false">
      <c r="A2039" s="9" t="s">
        <v>26</v>
      </c>
      <c r="B2039" s="9" t="n">
        <v>25</v>
      </c>
      <c r="C2039" s="11" t="n">
        <v>45936</v>
      </c>
      <c r="D2039" s="9" t="s">
        <v>166</v>
      </c>
      <c r="E2039" s="12" t="n">
        <v>23</v>
      </c>
      <c r="F2039" s="9" t="s">
        <v>31</v>
      </c>
      <c r="G2039" s="13" t="n">
        <v>200</v>
      </c>
      <c r="H2039" s="9" t="s">
        <v>38</v>
      </c>
      <c r="I2039" s="13" t="n">
        <v>1</v>
      </c>
      <c r="J2039" s="1" t="str">
        <f aca="false">IF(A2039="","", "SAMP-"&amp;A2039&amp;"-L"&amp;TEXT(B2039,"00")&amp;"-"&amp;TEXT(C2039,"yyyymmdd")&amp;"-"&amp;D2039&amp;"-H"&amp;TEXT(E2039,"00")&amp;"-"&amp;H2039)</f>
        <v>SAMP-KG01-L25-20251006-ORD-2025-00277-H23-Crack</v>
      </c>
      <c r="K2039" s="1" t="str">
        <f aca="false">IF(A2039="","",IF(AND(G2039&gt;=0,I2039&gt;=0,I2039&lt;=G2039),"OK","CHECK"))</f>
        <v>OK</v>
      </c>
      <c r="L2039" s="1" t="str">
        <f aca="false">IF(A2039="","",IF(AND(E2039&gt;=0,E2039&lt;=23),"OK","CHECK"))</f>
        <v>OK</v>
      </c>
      <c r="M2039" s="1" t="str">
        <f aca="false">IF(A2039="","",IF(AND(K2039="OK",L2039="OK"),"OK","CHECK"))</f>
        <v>OK</v>
      </c>
    </row>
    <row r="2040" customFormat="false" ht="18" hidden="false" customHeight="true" outlineLevel="0" collapsed="false">
      <c r="A2040" s="9" t="s">
        <v>26</v>
      </c>
      <c r="B2040" s="9" t="n">
        <v>25</v>
      </c>
      <c r="C2040" s="11" t="n">
        <v>45936</v>
      </c>
      <c r="D2040" s="9" t="s">
        <v>166</v>
      </c>
      <c r="E2040" s="12" t="n">
        <v>20</v>
      </c>
      <c r="F2040" s="9" t="s">
        <v>31</v>
      </c>
      <c r="G2040" s="13" t="n">
        <v>150</v>
      </c>
      <c r="H2040" s="9" t="s">
        <v>36</v>
      </c>
      <c r="I2040" s="13" t="n">
        <v>4</v>
      </c>
      <c r="J2040" s="1" t="str">
        <f aca="false">IF(A2040="","", "SAMP-"&amp;A2040&amp;"-L"&amp;TEXT(B2040,"00")&amp;"-"&amp;TEXT(C2040,"yyyymmdd")&amp;"-"&amp;D2040&amp;"-H"&amp;TEXT(E2040,"00")&amp;"-"&amp;H2040)</f>
        <v>SAMP-KG01-L25-20251006-ORD-2025-00277-H20-Blister</v>
      </c>
      <c r="K2040" s="1" t="str">
        <f aca="false">IF(A2040="","",IF(AND(G2040&gt;=0,I2040&gt;=0,I2040&lt;=G2040),"OK","CHECK"))</f>
        <v>OK</v>
      </c>
      <c r="L2040" s="1" t="str">
        <f aca="false">IF(A2040="","",IF(AND(E2040&gt;=0,E2040&lt;=23),"OK","CHECK"))</f>
        <v>OK</v>
      </c>
      <c r="M2040" s="1" t="str">
        <f aca="false">IF(A2040="","",IF(AND(K2040="OK",L2040="OK"),"OK","CHECK"))</f>
        <v>OK</v>
      </c>
    </row>
    <row r="2041" customFormat="false" ht="18" hidden="false" customHeight="true" outlineLevel="0" collapsed="false">
      <c r="A2041" s="9" t="s">
        <v>26</v>
      </c>
      <c r="B2041" s="9" t="n">
        <v>25</v>
      </c>
      <c r="C2041" s="11" t="n">
        <v>45936</v>
      </c>
      <c r="D2041" s="9" t="s">
        <v>166</v>
      </c>
      <c r="E2041" s="12" t="n">
        <v>16</v>
      </c>
      <c r="F2041" s="9" t="s">
        <v>31</v>
      </c>
      <c r="G2041" s="13" t="n">
        <v>200</v>
      </c>
      <c r="H2041" s="9" t="s">
        <v>41</v>
      </c>
      <c r="I2041" s="13" t="n">
        <v>3</v>
      </c>
      <c r="J2041" s="1" t="str">
        <f aca="false">IF(A2041="","", "SAMP-"&amp;A2041&amp;"-L"&amp;TEXT(B2041,"00")&amp;"-"&amp;TEXT(C2041,"yyyymmdd")&amp;"-"&amp;D2041&amp;"-H"&amp;TEXT(E2041,"00")&amp;"-"&amp;H2041)</f>
        <v>SAMP-KG01-L25-20251006-ORD-2025-00277-H16-Chip</v>
      </c>
      <c r="K2041" s="1" t="str">
        <f aca="false">IF(A2041="","",IF(AND(G2041&gt;=0,I2041&gt;=0,I2041&lt;=G2041),"OK","CHECK"))</f>
        <v>OK</v>
      </c>
      <c r="L2041" s="1" t="str">
        <f aca="false">IF(A2041="","",IF(AND(E2041&gt;=0,E2041&lt;=23),"OK","CHECK"))</f>
        <v>OK</v>
      </c>
      <c r="M2041" s="1" t="str">
        <f aca="false">IF(A2041="","",IF(AND(K2041="OK",L2041="OK"),"OK","CHECK"))</f>
        <v>OK</v>
      </c>
    </row>
    <row r="2042" customFormat="false" ht="18" hidden="false" customHeight="true" outlineLevel="0" collapsed="false">
      <c r="A2042" s="9" t="s">
        <v>26</v>
      </c>
      <c r="B2042" s="9" t="n">
        <v>25</v>
      </c>
      <c r="C2042" s="11" t="n">
        <v>45937</v>
      </c>
      <c r="D2042" s="9" t="s">
        <v>166</v>
      </c>
      <c r="E2042" s="12" t="n">
        <v>9</v>
      </c>
      <c r="F2042" s="9" t="s">
        <v>28</v>
      </c>
      <c r="G2042" s="13" t="n">
        <v>150</v>
      </c>
      <c r="H2042" s="9" t="s">
        <v>30</v>
      </c>
      <c r="I2042" s="13" t="n">
        <v>1</v>
      </c>
      <c r="J2042" s="1" t="str">
        <f aca="false">IF(A2042="","", "SAMP-"&amp;A2042&amp;"-L"&amp;TEXT(B2042,"00")&amp;"-"&amp;TEXT(C2042,"yyyymmdd")&amp;"-"&amp;D2042&amp;"-H"&amp;TEXT(E2042,"00")&amp;"-"&amp;H2042)</f>
        <v>SAMP-KG01-L25-20251007-ORD-2025-00277-H09-Overpress</v>
      </c>
      <c r="K2042" s="1" t="str">
        <f aca="false">IF(A2042="","",IF(AND(G2042&gt;=0,I2042&gt;=0,I2042&lt;=G2042),"OK","CHECK"))</f>
        <v>OK</v>
      </c>
      <c r="L2042" s="1" t="str">
        <f aca="false">IF(A2042="","",IF(AND(E2042&gt;=0,E2042&lt;=23),"OK","CHECK"))</f>
        <v>OK</v>
      </c>
      <c r="M2042" s="1" t="str">
        <f aca="false">IF(A2042="","",IF(AND(K2042="OK",L2042="OK"),"OK","CHECK"))</f>
        <v>OK</v>
      </c>
    </row>
    <row r="2043" customFormat="false" ht="18" hidden="false" customHeight="true" outlineLevel="0" collapsed="false">
      <c r="A2043" s="9" t="s">
        <v>26</v>
      </c>
      <c r="B2043" s="9" t="n">
        <v>25</v>
      </c>
      <c r="C2043" s="11" t="n">
        <v>45937</v>
      </c>
      <c r="D2043" s="9" t="s">
        <v>166</v>
      </c>
      <c r="E2043" s="12" t="n">
        <v>12</v>
      </c>
      <c r="F2043" s="9" t="s">
        <v>28</v>
      </c>
      <c r="G2043" s="13" t="n">
        <v>50</v>
      </c>
      <c r="H2043" s="9" t="s">
        <v>38</v>
      </c>
      <c r="I2043" s="13" t="n">
        <v>2</v>
      </c>
      <c r="J2043" s="1" t="str">
        <f aca="false">IF(A2043="","", "SAMP-"&amp;A2043&amp;"-L"&amp;TEXT(B2043,"00")&amp;"-"&amp;TEXT(C2043,"yyyymmdd")&amp;"-"&amp;D2043&amp;"-H"&amp;TEXT(E2043,"00")&amp;"-"&amp;H2043)</f>
        <v>SAMP-KG01-L25-20251007-ORD-2025-00277-H12-Crack</v>
      </c>
      <c r="K2043" s="1" t="str">
        <f aca="false">IF(A2043="","",IF(AND(G2043&gt;=0,I2043&gt;=0,I2043&lt;=G2043),"OK","CHECK"))</f>
        <v>OK</v>
      </c>
      <c r="L2043" s="1" t="str">
        <f aca="false">IF(A2043="","",IF(AND(E2043&gt;=0,E2043&lt;=23),"OK","CHECK"))</f>
        <v>OK</v>
      </c>
      <c r="M2043" s="1" t="str">
        <f aca="false">IF(A2043="","",IF(AND(K2043="OK",L2043="OK"),"OK","CHECK"))</f>
        <v>OK</v>
      </c>
    </row>
    <row r="2044" customFormat="false" ht="18" hidden="false" customHeight="true" outlineLevel="0" collapsed="false">
      <c r="A2044" s="9" t="s">
        <v>26</v>
      </c>
      <c r="B2044" s="9" t="n">
        <v>25</v>
      </c>
      <c r="C2044" s="11" t="n">
        <v>45937</v>
      </c>
      <c r="D2044" s="9" t="s">
        <v>166</v>
      </c>
      <c r="E2044" s="12" t="n">
        <v>16</v>
      </c>
      <c r="F2044" s="9" t="s">
        <v>31</v>
      </c>
      <c r="G2044" s="13" t="n">
        <v>150</v>
      </c>
      <c r="H2044" s="9" t="s">
        <v>30</v>
      </c>
      <c r="I2044" s="13" t="n">
        <v>4</v>
      </c>
      <c r="J2044" s="1" t="str">
        <f aca="false">IF(A2044="","", "SAMP-"&amp;A2044&amp;"-L"&amp;TEXT(B2044,"00")&amp;"-"&amp;TEXT(C2044,"yyyymmdd")&amp;"-"&amp;D2044&amp;"-H"&amp;TEXT(E2044,"00")&amp;"-"&amp;H2044)</f>
        <v>SAMP-KG01-L25-20251007-ORD-2025-00277-H16-Overpress</v>
      </c>
      <c r="K2044" s="1" t="str">
        <f aca="false">IF(A2044="","",IF(AND(G2044&gt;=0,I2044&gt;=0,I2044&lt;=G2044),"OK","CHECK"))</f>
        <v>OK</v>
      </c>
      <c r="L2044" s="1" t="str">
        <f aca="false">IF(A2044="","",IF(AND(E2044&gt;=0,E2044&lt;=23),"OK","CHECK"))</f>
        <v>OK</v>
      </c>
      <c r="M2044" s="1" t="str">
        <f aca="false">IF(A2044="","",IF(AND(K2044="OK",L2044="OK"),"OK","CHECK"))</f>
        <v>OK</v>
      </c>
    </row>
    <row r="2045" customFormat="false" ht="18" hidden="false" customHeight="true" outlineLevel="0" collapsed="false">
      <c r="A2045" s="9" t="s">
        <v>26</v>
      </c>
      <c r="B2045" s="9" t="n">
        <v>25</v>
      </c>
      <c r="C2045" s="11" t="n">
        <v>45937</v>
      </c>
      <c r="D2045" s="9" t="s">
        <v>166</v>
      </c>
      <c r="E2045" s="12" t="n">
        <v>20</v>
      </c>
      <c r="F2045" s="9" t="s">
        <v>31</v>
      </c>
      <c r="G2045" s="13" t="n">
        <v>200</v>
      </c>
      <c r="H2045" s="9" t="s">
        <v>33</v>
      </c>
      <c r="I2045" s="13" t="n">
        <v>3</v>
      </c>
      <c r="J2045" s="1" t="str">
        <f aca="false">IF(A2045="","", "SAMP-"&amp;A2045&amp;"-L"&amp;TEXT(B2045,"00")&amp;"-"&amp;TEXT(C2045,"yyyymmdd")&amp;"-"&amp;D2045&amp;"-H"&amp;TEXT(E2045,"00")&amp;"-"&amp;H2045)</f>
        <v>SAMP-KG01-L25-20251007-ORD-2025-00277-H20-Distortion</v>
      </c>
      <c r="K2045" s="1" t="str">
        <f aca="false">IF(A2045="","",IF(AND(G2045&gt;=0,I2045&gt;=0,I2045&lt;=G2045),"OK","CHECK"))</f>
        <v>OK</v>
      </c>
      <c r="L2045" s="1" t="str">
        <f aca="false">IF(A2045="","",IF(AND(E2045&gt;=0,E2045&lt;=23),"OK","CHECK"))</f>
        <v>OK</v>
      </c>
      <c r="M2045" s="1" t="str">
        <f aca="false">IF(A2045="","",IF(AND(K2045="OK",L2045="OK"),"OK","CHECK"))</f>
        <v>OK</v>
      </c>
    </row>
    <row r="2046" customFormat="false" ht="18" hidden="false" customHeight="true" outlineLevel="0" collapsed="false">
      <c r="A2046" s="9" t="s">
        <v>26</v>
      </c>
      <c r="B2046" s="9" t="n">
        <v>25</v>
      </c>
      <c r="C2046" s="11" t="n">
        <v>45937</v>
      </c>
      <c r="D2046" s="9" t="s">
        <v>166</v>
      </c>
      <c r="E2046" s="12" t="n">
        <v>23</v>
      </c>
      <c r="F2046" s="9" t="s">
        <v>31</v>
      </c>
      <c r="G2046" s="13" t="n">
        <v>50</v>
      </c>
      <c r="H2046" s="9" t="s">
        <v>36</v>
      </c>
      <c r="I2046" s="13" t="n">
        <v>0</v>
      </c>
      <c r="J2046" s="1" t="str">
        <f aca="false">IF(A2046="","", "SAMP-"&amp;A2046&amp;"-L"&amp;TEXT(B2046,"00")&amp;"-"&amp;TEXT(C2046,"yyyymmdd")&amp;"-"&amp;D2046&amp;"-H"&amp;TEXT(E2046,"00")&amp;"-"&amp;H2046)</f>
        <v>SAMP-KG01-L25-20251007-ORD-2025-00277-H23-Blister</v>
      </c>
      <c r="K2046" s="1" t="str">
        <f aca="false">IF(A2046="","",IF(AND(G2046&gt;=0,I2046&gt;=0,I2046&lt;=G2046),"OK","CHECK"))</f>
        <v>OK</v>
      </c>
      <c r="L2046" s="1" t="str">
        <f aca="false">IF(A2046="","",IF(AND(E2046&gt;=0,E2046&lt;=23),"OK","CHECK"))</f>
        <v>OK</v>
      </c>
      <c r="M2046" s="1" t="str">
        <f aca="false">IF(A2046="","",IF(AND(K2046="OK",L2046="OK"),"OK","CHECK"))</f>
        <v>OK</v>
      </c>
    </row>
    <row r="2047" customFormat="false" ht="18" hidden="false" customHeight="true" outlineLevel="0" collapsed="false">
      <c r="A2047" s="9" t="s">
        <v>26</v>
      </c>
      <c r="B2047" s="9" t="n">
        <v>25</v>
      </c>
      <c r="C2047" s="11" t="n">
        <v>45938</v>
      </c>
      <c r="D2047" s="9" t="s">
        <v>166</v>
      </c>
      <c r="E2047" s="12" t="n">
        <v>9</v>
      </c>
      <c r="F2047" s="9" t="s">
        <v>28</v>
      </c>
      <c r="G2047" s="13" t="n">
        <v>200</v>
      </c>
      <c r="H2047" s="9" t="s">
        <v>41</v>
      </c>
      <c r="I2047" s="13" t="n">
        <v>0</v>
      </c>
      <c r="J2047" s="1" t="str">
        <f aca="false">IF(A2047="","", "SAMP-"&amp;A2047&amp;"-L"&amp;TEXT(B2047,"00")&amp;"-"&amp;TEXT(C2047,"yyyymmdd")&amp;"-"&amp;D2047&amp;"-H"&amp;TEXT(E2047,"00")&amp;"-"&amp;H2047)</f>
        <v>SAMP-KG01-L25-20251008-ORD-2025-00277-H09-Chip</v>
      </c>
      <c r="K2047" s="1" t="str">
        <f aca="false">IF(A2047="","",IF(AND(G2047&gt;=0,I2047&gt;=0,I2047&lt;=G2047),"OK","CHECK"))</f>
        <v>OK</v>
      </c>
      <c r="L2047" s="1" t="str">
        <f aca="false">IF(A2047="","",IF(AND(E2047&gt;=0,E2047&lt;=23),"OK","CHECK"))</f>
        <v>OK</v>
      </c>
      <c r="M2047" s="1" t="str">
        <f aca="false">IF(A2047="","",IF(AND(K2047="OK",L2047="OK"),"OK","CHECK"))</f>
        <v>OK</v>
      </c>
    </row>
    <row r="2048" customFormat="false" ht="18" hidden="false" customHeight="true" outlineLevel="0" collapsed="false">
      <c r="A2048" s="9" t="s">
        <v>26</v>
      </c>
      <c r="B2048" s="9" t="n">
        <v>25</v>
      </c>
      <c r="C2048" s="11" t="n">
        <v>45938</v>
      </c>
      <c r="D2048" s="9" t="s">
        <v>166</v>
      </c>
      <c r="E2048" s="12" t="n">
        <v>12</v>
      </c>
      <c r="F2048" s="9" t="s">
        <v>28</v>
      </c>
      <c r="G2048" s="13" t="n">
        <v>200</v>
      </c>
      <c r="H2048" s="9" t="s">
        <v>35</v>
      </c>
      <c r="I2048" s="13" t="n">
        <v>2</v>
      </c>
      <c r="J2048" s="1" t="str">
        <f aca="false">IF(A2048="","", "SAMP-"&amp;A2048&amp;"-L"&amp;TEXT(B2048,"00")&amp;"-"&amp;TEXT(C2048,"yyyymmdd")&amp;"-"&amp;D2048&amp;"-H"&amp;TEXT(E2048,"00")&amp;"-"&amp;H2048)</f>
        <v>SAMP-KG01-L25-20251008-ORD-2025-00277-H12-Stone</v>
      </c>
      <c r="K2048" s="1" t="str">
        <f aca="false">IF(A2048="","",IF(AND(G2048&gt;=0,I2048&gt;=0,I2048&lt;=G2048),"OK","CHECK"))</f>
        <v>OK</v>
      </c>
      <c r="L2048" s="1" t="str">
        <f aca="false">IF(A2048="","",IF(AND(E2048&gt;=0,E2048&lt;=23),"OK","CHECK"))</f>
        <v>OK</v>
      </c>
      <c r="M2048" s="1" t="str">
        <f aca="false">IF(A2048="","",IF(AND(K2048="OK",L2048="OK"),"OK","CHECK"))</f>
        <v>OK</v>
      </c>
    </row>
    <row r="2049" customFormat="false" ht="18" hidden="false" customHeight="true" outlineLevel="0" collapsed="false">
      <c r="A2049" s="9" t="s">
        <v>26</v>
      </c>
      <c r="B2049" s="9" t="n">
        <v>25</v>
      </c>
      <c r="C2049" s="11" t="n">
        <v>45938</v>
      </c>
      <c r="D2049" s="9" t="s">
        <v>166</v>
      </c>
      <c r="E2049" s="12" t="n">
        <v>7</v>
      </c>
      <c r="F2049" s="9" t="s">
        <v>28</v>
      </c>
      <c r="G2049" s="13" t="n">
        <v>50</v>
      </c>
      <c r="H2049" s="9" t="s">
        <v>41</v>
      </c>
      <c r="I2049" s="13" t="n">
        <v>1</v>
      </c>
      <c r="J2049" s="1" t="str">
        <f aca="false">IF(A2049="","", "SAMP-"&amp;A2049&amp;"-L"&amp;TEXT(B2049,"00")&amp;"-"&amp;TEXT(C2049,"yyyymmdd")&amp;"-"&amp;D2049&amp;"-H"&amp;TEXT(E2049,"00")&amp;"-"&amp;H2049)</f>
        <v>SAMP-KG01-L25-20251008-ORD-2025-00277-H07-Chip</v>
      </c>
      <c r="K2049" s="1" t="str">
        <f aca="false">IF(A2049="","",IF(AND(G2049&gt;=0,I2049&gt;=0,I2049&lt;=G2049),"OK","CHECK"))</f>
        <v>OK</v>
      </c>
      <c r="L2049" s="1" t="str">
        <f aca="false">IF(A2049="","",IF(AND(E2049&gt;=0,E2049&lt;=23),"OK","CHECK"))</f>
        <v>OK</v>
      </c>
      <c r="M2049" s="1" t="str">
        <f aca="false">IF(A2049="","",IF(AND(K2049="OK",L2049="OK"),"OK","CHECK"))</f>
        <v>OK</v>
      </c>
    </row>
    <row r="2050" customFormat="false" ht="18" hidden="false" customHeight="true" outlineLevel="0" collapsed="false">
      <c r="A2050" s="9" t="s">
        <v>26</v>
      </c>
      <c r="B2050" s="9" t="n">
        <v>25</v>
      </c>
      <c r="C2050" s="11" t="n">
        <v>45938</v>
      </c>
      <c r="D2050" s="9" t="s">
        <v>166</v>
      </c>
      <c r="E2050" s="12" t="n">
        <v>23</v>
      </c>
      <c r="F2050" s="9" t="s">
        <v>31</v>
      </c>
      <c r="G2050" s="13" t="n">
        <v>100</v>
      </c>
      <c r="H2050" s="9" t="s">
        <v>38</v>
      </c>
      <c r="I2050" s="13" t="n">
        <v>3</v>
      </c>
      <c r="J2050" s="1" t="str">
        <f aca="false">IF(A2050="","", "SAMP-"&amp;A2050&amp;"-L"&amp;TEXT(B2050,"00")&amp;"-"&amp;TEXT(C2050,"yyyymmdd")&amp;"-"&amp;D2050&amp;"-H"&amp;TEXT(E2050,"00")&amp;"-"&amp;H2050)</f>
        <v>SAMP-KG01-L25-20251008-ORD-2025-00277-H23-Crack</v>
      </c>
      <c r="K2050" s="1" t="str">
        <f aca="false">IF(A2050="","",IF(AND(G2050&gt;=0,I2050&gt;=0,I2050&lt;=G2050),"OK","CHECK"))</f>
        <v>OK</v>
      </c>
      <c r="L2050" s="1" t="str">
        <f aca="false">IF(A2050="","",IF(AND(E2050&gt;=0,E2050&lt;=23),"OK","CHECK"))</f>
        <v>OK</v>
      </c>
      <c r="M2050" s="1" t="str">
        <f aca="false">IF(A2050="","",IF(AND(K2050="OK",L2050="OK"),"OK","CHECK"))</f>
        <v>OK</v>
      </c>
    </row>
    <row r="2051" customFormat="false" ht="18" hidden="false" customHeight="true" outlineLevel="0" collapsed="false">
      <c r="A2051" s="9" t="s">
        <v>26</v>
      </c>
      <c r="B2051" s="9" t="n">
        <v>25</v>
      </c>
      <c r="C2051" s="11" t="n">
        <v>45938</v>
      </c>
      <c r="D2051" s="9" t="s">
        <v>166</v>
      </c>
      <c r="E2051" s="12" t="n">
        <v>16</v>
      </c>
      <c r="F2051" s="9" t="s">
        <v>31</v>
      </c>
      <c r="G2051" s="13" t="n">
        <v>50</v>
      </c>
      <c r="H2051" s="9" t="s">
        <v>34</v>
      </c>
      <c r="I2051" s="13" t="n">
        <v>1</v>
      </c>
      <c r="J2051" s="1" t="str">
        <f aca="false">IF(A2051="","", "SAMP-"&amp;A2051&amp;"-L"&amp;TEXT(B2051,"00")&amp;"-"&amp;TEXT(C2051,"yyyymmdd")&amp;"-"&amp;D2051&amp;"-H"&amp;TEXT(E2051,"00")&amp;"-"&amp;H2051)</f>
        <v>SAMP-KG01-L25-20251008-ORD-2025-00277-H16-Thin Wall</v>
      </c>
      <c r="K2051" s="1" t="str">
        <f aca="false">IF(A2051="","",IF(AND(G2051&gt;=0,I2051&gt;=0,I2051&lt;=G2051),"OK","CHECK"))</f>
        <v>OK</v>
      </c>
      <c r="L2051" s="1" t="str">
        <f aca="false">IF(A2051="","",IF(AND(E2051&gt;=0,E2051&lt;=23),"OK","CHECK"))</f>
        <v>OK</v>
      </c>
      <c r="M2051" s="1" t="str">
        <f aca="false">IF(A2051="","",IF(AND(K2051="OK",L2051="OK"),"OK","CHECK"))</f>
        <v>OK</v>
      </c>
    </row>
    <row r="2052" customFormat="false" ht="18" hidden="false" customHeight="true" outlineLevel="0" collapsed="false">
      <c r="A2052" s="9" t="s">
        <v>26</v>
      </c>
      <c r="B2052" s="9" t="n">
        <v>25</v>
      </c>
      <c r="C2052" s="11" t="n">
        <v>45938</v>
      </c>
      <c r="D2052" s="9" t="s">
        <v>166</v>
      </c>
      <c r="E2052" s="12" t="n">
        <v>20</v>
      </c>
      <c r="F2052" s="9" t="s">
        <v>31</v>
      </c>
      <c r="G2052" s="13" t="n">
        <v>50</v>
      </c>
      <c r="H2052" s="9" t="s">
        <v>30</v>
      </c>
      <c r="I2052" s="13" t="n">
        <v>2</v>
      </c>
      <c r="J2052" s="1" t="str">
        <f aca="false">IF(A2052="","", "SAMP-"&amp;A2052&amp;"-L"&amp;TEXT(B2052,"00")&amp;"-"&amp;TEXT(C2052,"yyyymmdd")&amp;"-"&amp;D2052&amp;"-H"&amp;TEXT(E2052,"00")&amp;"-"&amp;H2052)</f>
        <v>SAMP-KG01-L25-20251008-ORD-2025-00277-H20-Overpress</v>
      </c>
      <c r="K2052" s="1" t="str">
        <f aca="false">IF(A2052="","",IF(AND(G2052&gt;=0,I2052&gt;=0,I2052&lt;=G2052),"OK","CHECK"))</f>
        <v>OK</v>
      </c>
      <c r="L2052" s="1" t="str">
        <f aca="false">IF(A2052="","",IF(AND(E2052&gt;=0,E2052&lt;=23),"OK","CHECK"))</f>
        <v>OK</v>
      </c>
      <c r="M2052" s="1" t="str">
        <f aca="false">IF(A2052="","",IF(AND(K2052="OK",L2052="OK"),"OK","CHECK"))</f>
        <v>OK</v>
      </c>
    </row>
    <row r="2053" customFormat="false" ht="18" hidden="false" customHeight="true" outlineLevel="0" collapsed="false">
      <c r="A2053" s="9" t="s">
        <v>26</v>
      </c>
      <c r="B2053" s="9" t="n">
        <v>25</v>
      </c>
      <c r="C2053" s="11" t="n">
        <v>45939</v>
      </c>
      <c r="D2053" s="9" t="s">
        <v>166</v>
      </c>
      <c r="E2053" s="12" t="n">
        <v>7</v>
      </c>
      <c r="F2053" s="9" t="s">
        <v>28</v>
      </c>
      <c r="G2053" s="13" t="n">
        <v>100</v>
      </c>
      <c r="H2053" s="9" t="s">
        <v>30</v>
      </c>
      <c r="I2053" s="13" t="n">
        <v>2</v>
      </c>
      <c r="J2053" s="1" t="str">
        <f aca="false">IF(A2053="","", "SAMP-"&amp;A2053&amp;"-L"&amp;TEXT(B2053,"00")&amp;"-"&amp;TEXT(C2053,"yyyymmdd")&amp;"-"&amp;D2053&amp;"-H"&amp;TEXT(E2053,"00")&amp;"-"&amp;H2053)</f>
        <v>SAMP-KG01-L25-20251009-ORD-2025-00277-H07-Overpress</v>
      </c>
      <c r="K2053" s="1" t="str">
        <f aca="false">IF(A2053="","",IF(AND(G2053&gt;=0,I2053&gt;=0,I2053&lt;=G2053),"OK","CHECK"))</f>
        <v>OK</v>
      </c>
      <c r="L2053" s="1" t="str">
        <f aca="false">IF(A2053="","",IF(AND(E2053&gt;=0,E2053&lt;=23),"OK","CHECK"))</f>
        <v>OK</v>
      </c>
      <c r="M2053" s="1" t="str">
        <f aca="false">IF(A2053="","",IF(AND(K2053="OK",L2053="OK"),"OK","CHECK"))</f>
        <v>OK</v>
      </c>
    </row>
    <row r="2054" customFormat="false" ht="18" hidden="false" customHeight="true" outlineLevel="0" collapsed="false">
      <c r="A2054" s="9" t="s">
        <v>26</v>
      </c>
      <c r="B2054" s="9" t="n">
        <v>25</v>
      </c>
      <c r="C2054" s="11" t="n">
        <v>45939</v>
      </c>
      <c r="D2054" s="9" t="s">
        <v>166</v>
      </c>
      <c r="E2054" s="12" t="n">
        <v>9</v>
      </c>
      <c r="F2054" s="9" t="s">
        <v>28</v>
      </c>
      <c r="G2054" s="13" t="n">
        <v>50</v>
      </c>
      <c r="H2054" s="9" t="s">
        <v>33</v>
      </c>
      <c r="I2054" s="13" t="n">
        <v>2</v>
      </c>
      <c r="J2054" s="1" t="str">
        <f aca="false">IF(A2054="","", "SAMP-"&amp;A2054&amp;"-L"&amp;TEXT(B2054,"00")&amp;"-"&amp;TEXT(C2054,"yyyymmdd")&amp;"-"&amp;D2054&amp;"-H"&amp;TEXT(E2054,"00")&amp;"-"&amp;H2054)</f>
        <v>SAMP-KG01-L25-20251009-ORD-2025-00277-H09-Distortion</v>
      </c>
      <c r="K2054" s="1" t="str">
        <f aca="false">IF(A2054="","",IF(AND(G2054&gt;=0,I2054&gt;=0,I2054&lt;=G2054),"OK","CHECK"))</f>
        <v>OK</v>
      </c>
      <c r="L2054" s="1" t="str">
        <f aca="false">IF(A2054="","",IF(AND(E2054&gt;=0,E2054&lt;=23),"OK","CHECK"))</f>
        <v>OK</v>
      </c>
      <c r="M2054" s="1" t="str">
        <f aca="false">IF(A2054="","",IF(AND(K2054="OK",L2054="OK"),"OK","CHECK"))</f>
        <v>OK</v>
      </c>
    </row>
    <row r="2055" customFormat="false" ht="18" hidden="false" customHeight="true" outlineLevel="0" collapsed="false">
      <c r="A2055" s="9" t="s">
        <v>26</v>
      </c>
      <c r="B2055" s="9" t="n">
        <v>25</v>
      </c>
      <c r="C2055" s="11" t="n">
        <v>45939</v>
      </c>
      <c r="D2055" s="9" t="s">
        <v>166</v>
      </c>
      <c r="E2055" s="12" t="n">
        <v>12</v>
      </c>
      <c r="F2055" s="9" t="s">
        <v>28</v>
      </c>
      <c r="G2055" s="13" t="n">
        <v>150</v>
      </c>
      <c r="H2055" s="9" t="s">
        <v>35</v>
      </c>
      <c r="I2055" s="13" t="n">
        <v>4</v>
      </c>
      <c r="J2055" s="1" t="str">
        <f aca="false">IF(A2055="","", "SAMP-"&amp;A2055&amp;"-L"&amp;TEXT(B2055,"00")&amp;"-"&amp;TEXT(C2055,"yyyymmdd")&amp;"-"&amp;D2055&amp;"-H"&amp;TEXT(E2055,"00")&amp;"-"&amp;H2055)</f>
        <v>SAMP-KG01-L25-20251009-ORD-2025-00277-H12-Stone</v>
      </c>
      <c r="K2055" s="1" t="str">
        <f aca="false">IF(A2055="","",IF(AND(G2055&gt;=0,I2055&gt;=0,I2055&lt;=G2055),"OK","CHECK"))</f>
        <v>OK</v>
      </c>
      <c r="L2055" s="1" t="str">
        <f aca="false">IF(A2055="","",IF(AND(E2055&gt;=0,E2055&lt;=23),"OK","CHECK"))</f>
        <v>OK</v>
      </c>
      <c r="M2055" s="1" t="str">
        <f aca="false">IF(A2055="","",IF(AND(K2055="OK",L2055="OK"),"OK","CHECK"))</f>
        <v>OK</v>
      </c>
    </row>
    <row r="2056" customFormat="false" ht="18" hidden="false" customHeight="true" outlineLevel="0" collapsed="false">
      <c r="A2056" s="9" t="s">
        <v>26</v>
      </c>
      <c r="B2056" s="9" t="n">
        <v>25</v>
      </c>
      <c r="C2056" s="11" t="n">
        <v>45939</v>
      </c>
      <c r="D2056" s="9" t="s">
        <v>166</v>
      </c>
      <c r="E2056" s="12" t="n">
        <v>16</v>
      </c>
      <c r="F2056" s="9" t="s">
        <v>31</v>
      </c>
      <c r="G2056" s="13" t="n">
        <v>50</v>
      </c>
      <c r="H2056" s="9" t="s">
        <v>33</v>
      </c>
      <c r="I2056" s="13" t="n">
        <v>1</v>
      </c>
      <c r="J2056" s="1" t="str">
        <f aca="false">IF(A2056="","", "SAMP-"&amp;A2056&amp;"-L"&amp;TEXT(B2056,"00")&amp;"-"&amp;TEXT(C2056,"yyyymmdd")&amp;"-"&amp;D2056&amp;"-H"&amp;TEXT(E2056,"00")&amp;"-"&amp;H2056)</f>
        <v>SAMP-KG01-L25-20251009-ORD-2025-00277-H16-Distortion</v>
      </c>
      <c r="K2056" s="1" t="str">
        <f aca="false">IF(A2056="","",IF(AND(G2056&gt;=0,I2056&gt;=0,I2056&lt;=G2056),"OK","CHECK"))</f>
        <v>OK</v>
      </c>
      <c r="L2056" s="1" t="str">
        <f aca="false">IF(A2056="","",IF(AND(E2056&gt;=0,E2056&lt;=23),"OK","CHECK"))</f>
        <v>OK</v>
      </c>
      <c r="M2056" s="1" t="str">
        <f aca="false">IF(A2056="","",IF(AND(K2056="OK",L2056="OK"),"OK","CHECK"))</f>
        <v>OK</v>
      </c>
    </row>
    <row r="2057" customFormat="false" ht="18" hidden="false" customHeight="true" outlineLevel="0" collapsed="false">
      <c r="A2057" s="9" t="s">
        <v>26</v>
      </c>
      <c r="B2057" s="9" t="n">
        <v>25</v>
      </c>
      <c r="C2057" s="11" t="n">
        <v>45939</v>
      </c>
      <c r="D2057" s="9" t="s">
        <v>166</v>
      </c>
      <c r="E2057" s="12" t="n">
        <v>20</v>
      </c>
      <c r="F2057" s="9" t="s">
        <v>31</v>
      </c>
      <c r="G2057" s="13" t="n">
        <v>150</v>
      </c>
      <c r="H2057" s="9" t="s">
        <v>35</v>
      </c>
      <c r="I2057" s="13" t="n">
        <v>3</v>
      </c>
      <c r="J2057" s="1" t="str">
        <f aca="false">IF(A2057="","", "SAMP-"&amp;A2057&amp;"-L"&amp;TEXT(B2057,"00")&amp;"-"&amp;TEXT(C2057,"yyyymmdd")&amp;"-"&amp;D2057&amp;"-H"&amp;TEXT(E2057,"00")&amp;"-"&amp;H2057)</f>
        <v>SAMP-KG01-L25-20251009-ORD-2025-00277-H20-Stone</v>
      </c>
      <c r="K2057" s="1" t="str">
        <f aca="false">IF(A2057="","",IF(AND(G2057&gt;=0,I2057&gt;=0,I2057&lt;=G2057),"OK","CHECK"))</f>
        <v>OK</v>
      </c>
      <c r="L2057" s="1" t="str">
        <f aca="false">IF(A2057="","",IF(AND(E2057&gt;=0,E2057&lt;=23),"OK","CHECK"))</f>
        <v>OK</v>
      </c>
      <c r="M2057" s="1" t="str">
        <f aca="false">IF(A2057="","",IF(AND(K2057="OK",L2057="OK"),"OK","CHECK"))</f>
        <v>OK</v>
      </c>
    </row>
    <row r="2058" customFormat="false" ht="18" hidden="false" customHeight="true" outlineLevel="0" collapsed="false">
      <c r="A2058" s="9" t="s">
        <v>26</v>
      </c>
      <c r="B2058" s="9" t="n">
        <v>25</v>
      </c>
      <c r="C2058" s="11" t="n">
        <v>45940</v>
      </c>
      <c r="D2058" s="9" t="s">
        <v>166</v>
      </c>
      <c r="E2058" s="12" t="n">
        <v>12</v>
      </c>
      <c r="F2058" s="9" t="s">
        <v>28</v>
      </c>
      <c r="G2058" s="13" t="n">
        <v>150</v>
      </c>
      <c r="H2058" s="9" t="s">
        <v>30</v>
      </c>
      <c r="I2058" s="13" t="n">
        <v>6</v>
      </c>
      <c r="J2058" s="1" t="str">
        <f aca="false">IF(A2058="","", "SAMP-"&amp;A2058&amp;"-L"&amp;TEXT(B2058,"00")&amp;"-"&amp;TEXT(C2058,"yyyymmdd")&amp;"-"&amp;D2058&amp;"-H"&amp;TEXT(E2058,"00")&amp;"-"&amp;H2058)</f>
        <v>SAMP-KG01-L25-20251010-ORD-2025-00277-H12-Overpress</v>
      </c>
      <c r="K2058" s="1" t="str">
        <f aca="false">IF(A2058="","",IF(AND(G2058&gt;=0,I2058&gt;=0,I2058&lt;=G2058),"OK","CHECK"))</f>
        <v>OK</v>
      </c>
      <c r="L2058" s="1" t="str">
        <f aca="false">IF(A2058="","",IF(AND(E2058&gt;=0,E2058&lt;=23),"OK","CHECK"))</f>
        <v>OK</v>
      </c>
      <c r="M2058" s="1" t="str">
        <f aca="false">IF(A2058="","",IF(AND(K2058="OK",L2058="OK"),"OK","CHECK"))</f>
        <v>OK</v>
      </c>
    </row>
    <row r="2059" customFormat="false" ht="18" hidden="false" customHeight="true" outlineLevel="0" collapsed="false">
      <c r="A2059" s="9" t="s">
        <v>26</v>
      </c>
      <c r="B2059" s="9" t="n">
        <v>25</v>
      </c>
      <c r="C2059" s="11" t="n">
        <v>45940</v>
      </c>
      <c r="D2059" s="9" t="s">
        <v>166</v>
      </c>
      <c r="E2059" s="12" t="n">
        <v>9</v>
      </c>
      <c r="F2059" s="9" t="s">
        <v>28</v>
      </c>
      <c r="G2059" s="13" t="n">
        <v>100</v>
      </c>
      <c r="H2059" s="9" t="s">
        <v>29</v>
      </c>
      <c r="I2059" s="13" t="n">
        <v>0</v>
      </c>
      <c r="J2059" s="1" t="str">
        <f aca="false">IF(A2059="","", "SAMP-"&amp;A2059&amp;"-L"&amp;TEXT(B2059,"00")&amp;"-"&amp;TEXT(C2059,"yyyymmdd")&amp;"-"&amp;D2059&amp;"-H"&amp;TEXT(E2059,"00")&amp;"-"&amp;H2059)</f>
        <v>SAMP-KG01-L25-20251010-ORD-2025-00277-H09-Choke Neck</v>
      </c>
      <c r="K2059" s="1" t="str">
        <f aca="false">IF(A2059="","",IF(AND(G2059&gt;=0,I2059&gt;=0,I2059&lt;=G2059),"OK","CHECK"))</f>
        <v>OK</v>
      </c>
      <c r="L2059" s="1" t="str">
        <f aca="false">IF(A2059="","",IF(AND(E2059&gt;=0,E2059&lt;=23),"OK","CHECK"))</f>
        <v>OK</v>
      </c>
      <c r="M2059" s="1" t="str">
        <f aca="false">IF(A2059="","",IF(AND(K2059="OK",L2059="OK"),"OK","CHECK"))</f>
        <v>OK</v>
      </c>
    </row>
    <row r="2060" customFormat="false" ht="18" hidden="false" customHeight="true" outlineLevel="0" collapsed="false">
      <c r="A2060" s="9" t="s">
        <v>26</v>
      </c>
      <c r="B2060" s="9" t="n">
        <v>25</v>
      </c>
      <c r="C2060" s="11" t="n">
        <v>45940</v>
      </c>
      <c r="D2060" s="9" t="s">
        <v>166</v>
      </c>
      <c r="E2060" s="12" t="n">
        <v>7</v>
      </c>
      <c r="F2060" s="9" t="s">
        <v>28</v>
      </c>
      <c r="G2060" s="13" t="n">
        <v>50</v>
      </c>
      <c r="H2060" s="9" t="s">
        <v>36</v>
      </c>
      <c r="I2060" s="13" t="n">
        <v>0</v>
      </c>
      <c r="J2060" s="1" t="str">
        <f aca="false">IF(A2060="","", "SAMP-"&amp;A2060&amp;"-L"&amp;TEXT(B2060,"00")&amp;"-"&amp;TEXT(C2060,"yyyymmdd")&amp;"-"&amp;D2060&amp;"-H"&amp;TEXT(E2060,"00")&amp;"-"&amp;H2060)</f>
        <v>SAMP-KG01-L25-20251010-ORD-2025-00277-H07-Blister</v>
      </c>
      <c r="K2060" s="1" t="str">
        <f aca="false">IF(A2060="","",IF(AND(G2060&gt;=0,I2060&gt;=0,I2060&lt;=G2060),"OK","CHECK"))</f>
        <v>OK</v>
      </c>
      <c r="L2060" s="1" t="str">
        <f aca="false">IF(A2060="","",IF(AND(E2060&gt;=0,E2060&lt;=23),"OK","CHECK"))</f>
        <v>OK</v>
      </c>
      <c r="M2060" s="1" t="str">
        <f aca="false">IF(A2060="","",IF(AND(K2060="OK",L2060="OK"),"OK","CHECK"))</f>
        <v>OK</v>
      </c>
    </row>
    <row r="2061" customFormat="false" ht="18" hidden="false" customHeight="true" outlineLevel="0" collapsed="false">
      <c r="A2061" s="9" t="s">
        <v>26</v>
      </c>
      <c r="B2061" s="9" t="n">
        <v>25</v>
      </c>
      <c r="C2061" s="11" t="n">
        <v>45940</v>
      </c>
      <c r="D2061" s="9" t="s">
        <v>167</v>
      </c>
      <c r="E2061" s="12" t="n">
        <v>23</v>
      </c>
      <c r="F2061" s="9" t="s">
        <v>31</v>
      </c>
      <c r="G2061" s="13" t="n">
        <v>150</v>
      </c>
      <c r="H2061" s="9" t="s">
        <v>37</v>
      </c>
      <c r="I2061" s="13" t="n">
        <v>3</v>
      </c>
      <c r="J2061" s="1" t="str">
        <f aca="false">IF(A2061="","", "SAMP-"&amp;A2061&amp;"-L"&amp;TEXT(B2061,"00")&amp;"-"&amp;TEXT(C2061,"yyyymmdd")&amp;"-"&amp;D2061&amp;"-H"&amp;TEXT(E2061,"00")&amp;"-"&amp;H2061)</f>
        <v>SAMP-KG01-L25-20251010-ORD-2025-00278-H23-Bird Swing</v>
      </c>
      <c r="K2061" s="1" t="str">
        <f aca="false">IF(A2061="","",IF(AND(G2061&gt;=0,I2061&gt;=0,I2061&lt;=G2061),"OK","CHECK"))</f>
        <v>OK</v>
      </c>
      <c r="L2061" s="1" t="str">
        <f aca="false">IF(A2061="","",IF(AND(E2061&gt;=0,E2061&lt;=23),"OK","CHECK"))</f>
        <v>OK</v>
      </c>
      <c r="M2061" s="1" t="str">
        <f aca="false">IF(A2061="","",IF(AND(K2061="OK",L2061="OK"),"OK","CHECK"))</f>
        <v>OK</v>
      </c>
    </row>
    <row r="2062" customFormat="false" ht="18" hidden="false" customHeight="true" outlineLevel="0" collapsed="false">
      <c r="A2062" s="9" t="s">
        <v>26</v>
      </c>
      <c r="B2062" s="9" t="n">
        <v>25</v>
      </c>
      <c r="C2062" s="11" t="n">
        <v>45940</v>
      </c>
      <c r="D2062" s="9" t="s">
        <v>167</v>
      </c>
      <c r="E2062" s="12" t="n">
        <v>16</v>
      </c>
      <c r="F2062" s="9" t="s">
        <v>31</v>
      </c>
      <c r="G2062" s="13" t="n">
        <v>50</v>
      </c>
      <c r="H2062" s="9" t="s">
        <v>34</v>
      </c>
      <c r="I2062" s="13" t="n">
        <v>1</v>
      </c>
      <c r="J2062" s="1" t="str">
        <f aca="false">IF(A2062="","", "SAMP-"&amp;A2062&amp;"-L"&amp;TEXT(B2062,"00")&amp;"-"&amp;TEXT(C2062,"yyyymmdd")&amp;"-"&amp;D2062&amp;"-H"&amp;TEXT(E2062,"00")&amp;"-"&amp;H2062)</f>
        <v>SAMP-KG01-L25-20251010-ORD-2025-00278-H16-Thin Wall</v>
      </c>
      <c r="K2062" s="1" t="str">
        <f aca="false">IF(A2062="","",IF(AND(G2062&gt;=0,I2062&gt;=0,I2062&lt;=G2062),"OK","CHECK"))</f>
        <v>OK</v>
      </c>
      <c r="L2062" s="1" t="str">
        <f aca="false">IF(A2062="","",IF(AND(E2062&gt;=0,E2062&lt;=23),"OK","CHECK"))</f>
        <v>OK</v>
      </c>
      <c r="M2062" s="1" t="str">
        <f aca="false">IF(A2062="","",IF(AND(K2062="OK",L2062="OK"),"OK","CHECK"))</f>
        <v>OK</v>
      </c>
    </row>
    <row r="2063" customFormat="false" ht="18" hidden="false" customHeight="true" outlineLevel="0" collapsed="false">
      <c r="A2063" s="9" t="s">
        <v>26</v>
      </c>
      <c r="B2063" s="9" t="n">
        <v>25</v>
      </c>
      <c r="C2063" s="11" t="n">
        <v>45940</v>
      </c>
      <c r="D2063" s="9" t="s">
        <v>167</v>
      </c>
      <c r="E2063" s="12" t="n">
        <v>20</v>
      </c>
      <c r="F2063" s="9" t="s">
        <v>31</v>
      </c>
      <c r="G2063" s="13" t="n">
        <v>100</v>
      </c>
      <c r="H2063" s="9" t="s">
        <v>37</v>
      </c>
      <c r="I2063" s="13" t="n">
        <v>1</v>
      </c>
      <c r="J2063" s="1" t="str">
        <f aca="false">IF(A2063="","", "SAMP-"&amp;A2063&amp;"-L"&amp;TEXT(B2063,"00")&amp;"-"&amp;TEXT(C2063,"yyyymmdd")&amp;"-"&amp;D2063&amp;"-H"&amp;TEXT(E2063,"00")&amp;"-"&amp;H2063)</f>
        <v>SAMP-KG01-L25-20251010-ORD-2025-00278-H20-Bird Swing</v>
      </c>
      <c r="K2063" s="1" t="str">
        <f aca="false">IF(A2063="","",IF(AND(G2063&gt;=0,I2063&gt;=0,I2063&lt;=G2063),"OK","CHECK"))</f>
        <v>OK</v>
      </c>
      <c r="L2063" s="1" t="str">
        <f aca="false">IF(A2063="","",IF(AND(E2063&gt;=0,E2063&lt;=23),"OK","CHECK"))</f>
        <v>OK</v>
      </c>
      <c r="M2063" s="1" t="str">
        <f aca="false">IF(A2063="","",IF(AND(K2063="OK",L2063="OK"),"OK","CHECK"))</f>
        <v>OK</v>
      </c>
    </row>
    <row r="2064" customFormat="false" ht="18" hidden="false" customHeight="true" outlineLevel="0" collapsed="false">
      <c r="A2064" s="9" t="s">
        <v>26</v>
      </c>
      <c r="B2064" s="9" t="n">
        <v>25</v>
      </c>
      <c r="C2064" s="11" t="n">
        <v>45941</v>
      </c>
      <c r="D2064" s="9" t="s">
        <v>167</v>
      </c>
      <c r="E2064" s="12" t="n">
        <v>12</v>
      </c>
      <c r="F2064" s="9" t="s">
        <v>28</v>
      </c>
      <c r="G2064" s="13" t="n">
        <v>200</v>
      </c>
      <c r="H2064" s="9" t="s">
        <v>30</v>
      </c>
      <c r="I2064" s="13" t="n">
        <v>9</v>
      </c>
      <c r="J2064" s="1" t="str">
        <f aca="false">IF(A2064="","", "SAMP-"&amp;A2064&amp;"-L"&amp;TEXT(B2064,"00")&amp;"-"&amp;TEXT(C2064,"yyyymmdd")&amp;"-"&amp;D2064&amp;"-H"&amp;TEXT(E2064,"00")&amp;"-"&amp;H2064)</f>
        <v>SAMP-KG01-L25-20251011-ORD-2025-00278-H12-Overpress</v>
      </c>
      <c r="K2064" s="1" t="str">
        <f aca="false">IF(A2064="","",IF(AND(G2064&gt;=0,I2064&gt;=0,I2064&lt;=G2064),"OK","CHECK"))</f>
        <v>OK</v>
      </c>
      <c r="L2064" s="1" t="str">
        <f aca="false">IF(A2064="","",IF(AND(E2064&gt;=0,E2064&lt;=23),"OK","CHECK"))</f>
        <v>OK</v>
      </c>
      <c r="M2064" s="1" t="str">
        <f aca="false">IF(A2064="","",IF(AND(K2064="OK",L2064="OK"),"OK","CHECK"))</f>
        <v>OK</v>
      </c>
    </row>
    <row r="2065" customFormat="false" ht="18" hidden="false" customHeight="true" outlineLevel="0" collapsed="false">
      <c r="A2065" s="9" t="s">
        <v>26</v>
      </c>
      <c r="B2065" s="9" t="n">
        <v>25</v>
      </c>
      <c r="C2065" s="11" t="n">
        <v>45941</v>
      </c>
      <c r="D2065" s="9" t="s">
        <v>167</v>
      </c>
      <c r="E2065" s="12" t="n">
        <v>9</v>
      </c>
      <c r="F2065" s="9" t="s">
        <v>28</v>
      </c>
      <c r="G2065" s="13" t="n">
        <v>50</v>
      </c>
      <c r="H2065" s="9" t="s">
        <v>36</v>
      </c>
      <c r="I2065" s="13" t="n">
        <v>0</v>
      </c>
      <c r="J2065" s="1" t="str">
        <f aca="false">IF(A2065="","", "SAMP-"&amp;A2065&amp;"-L"&amp;TEXT(B2065,"00")&amp;"-"&amp;TEXT(C2065,"yyyymmdd")&amp;"-"&amp;D2065&amp;"-H"&amp;TEXT(E2065,"00")&amp;"-"&amp;H2065)</f>
        <v>SAMP-KG01-L25-20251011-ORD-2025-00278-H09-Blister</v>
      </c>
      <c r="K2065" s="1" t="str">
        <f aca="false">IF(A2065="","",IF(AND(G2065&gt;=0,I2065&gt;=0,I2065&lt;=G2065),"OK","CHECK"))</f>
        <v>OK</v>
      </c>
      <c r="L2065" s="1" t="str">
        <f aca="false">IF(A2065="","",IF(AND(E2065&gt;=0,E2065&lt;=23),"OK","CHECK"))</f>
        <v>OK</v>
      </c>
      <c r="M2065" s="1" t="str">
        <f aca="false">IF(A2065="","",IF(AND(K2065="OK",L2065="OK"),"OK","CHECK"))</f>
        <v>OK</v>
      </c>
    </row>
    <row r="2066" customFormat="false" ht="18" hidden="false" customHeight="true" outlineLevel="0" collapsed="false">
      <c r="A2066" s="9" t="s">
        <v>26</v>
      </c>
      <c r="B2066" s="9" t="n">
        <v>25</v>
      </c>
      <c r="C2066" s="11" t="n">
        <v>45941</v>
      </c>
      <c r="D2066" s="9" t="s">
        <v>167</v>
      </c>
      <c r="E2066" s="12" t="n">
        <v>20</v>
      </c>
      <c r="F2066" s="9" t="s">
        <v>31</v>
      </c>
      <c r="G2066" s="13" t="n">
        <v>200</v>
      </c>
      <c r="H2066" s="9" t="s">
        <v>33</v>
      </c>
      <c r="I2066" s="13" t="n">
        <v>2</v>
      </c>
      <c r="J2066" s="1" t="str">
        <f aca="false">IF(A2066="","", "SAMP-"&amp;A2066&amp;"-L"&amp;TEXT(B2066,"00")&amp;"-"&amp;TEXT(C2066,"yyyymmdd")&amp;"-"&amp;D2066&amp;"-H"&amp;TEXT(E2066,"00")&amp;"-"&amp;H2066)</f>
        <v>SAMP-KG01-L25-20251011-ORD-2025-00278-H20-Distortion</v>
      </c>
      <c r="K2066" s="1" t="str">
        <f aca="false">IF(A2066="","",IF(AND(G2066&gt;=0,I2066&gt;=0,I2066&lt;=G2066),"OK","CHECK"))</f>
        <v>OK</v>
      </c>
      <c r="L2066" s="1" t="str">
        <f aca="false">IF(A2066="","",IF(AND(E2066&gt;=0,E2066&lt;=23),"OK","CHECK"))</f>
        <v>OK</v>
      </c>
      <c r="M2066" s="1" t="str">
        <f aca="false">IF(A2066="","",IF(AND(K2066="OK",L2066="OK"),"OK","CHECK"))</f>
        <v>OK</v>
      </c>
    </row>
    <row r="2067" customFormat="false" ht="18" hidden="false" customHeight="true" outlineLevel="0" collapsed="false">
      <c r="A2067" s="9" t="s">
        <v>26</v>
      </c>
      <c r="B2067" s="9" t="n">
        <v>25</v>
      </c>
      <c r="C2067" s="11" t="n">
        <v>45941</v>
      </c>
      <c r="D2067" s="9" t="s">
        <v>167</v>
      </c>
      <c r="E2067" s="12" t="n">
        <v>16</v>
      </c>
      <c r="F2067" s="9" t="s">
        <v>31</v>
      </c>
      <c r="G2067" s="13" t="n">
        <v>150</v>
      </c>
      <c r="H2067" s="9" t="s">
        <v>41</v>
      </c>
      <c r="I2067" s="13" t="n">
        <v>2</v>
      </c>
      <c r="J2067" s="1" t="str">
        <f aca="false">IF(A2067="","", "SAMP-"&amp;A2067&amp;"-L"&amp;TEXT(B2067,"00")&amp;"-"&amp;TEXT(C2067,"yyyymmdd")&amp;"-"&amp;D2067&amp;"-H"&amp;TEXT(E2067,"00")&amp;"-"&amp;H2067)</f>
        <v>SAMP-KG01-L25-20251011-ORD-2025-00278-H16-Chip</v>
      </c>
      <c r="K2067" s="1" t="str">
        <f aca="false">IF(A2067="","",IF(AND(G2067&gt;=0,I2067&gt;=0,I2067&lt;=G2067),"OK","CHECK"))</f>
        <v>OK</v>
      </c>
      <c r="L2067" s="1" t="str">
        <f aca="false">IF(A2067="","",IF(AND(E2067&gt;=0,E2067&lt;=23),"OK","CHECK"))</f>
        <v>OK</v>
      </c>
      <c r="M2067" s="1" t="str">
        <f aca="false">IF(A2067="","",IF(AND(K2067="OK",L2067="OK"),"OK","CHECK"))</f>
        <v>OK</v>
      </c>
    </row>
    <row r="2068" customFormat="false" ht="18" hidden="false" customHeight="true" outlineLevel="0" collapsed="false">
      <c r="A2068" s="9" t="s">
        <v>26</v>
      </c>
      <c r="B2068" s="9" t="n">
        <v>25</v>
      </c>
      <c r="C2068" s="11" t="n">
        <v>45941</v>
      </c>
      <c r="D2068" s="9" t="s">
        <v>167</v>
      </c>
      <c r="E2068" s="12" t="n">
        <v>23</v>
      </c>
      <c r="F2068" s="9" t="s">
        <v>31</v>
      </c>
      <c r="G2068" s="13" t="n">
        <v>100</v>
      </c>
      <c r="H2068" s="9" t="s">
        <v>29</v>
      </c>
      <c r="I2068" s="13" t="n">
        <v>2</v>
      </c>
      <c r="J2068" s="1" t="str">
        <f aca="false">IF(A2068="","", "SAMP-"&amp;A2068&amp;"-L"&amp;TEXT(B2068,"00")&amp;"-"&amp;TEXT(C2068,"yyyymmdd")&amp;"-"&amp;D2068&amp;"-H"&amp;TEXT(E2068,"00")&amp;"-"&amp;H2068)</f>
        <v>SAMP-KG01-L25-20251011-ORD-2025-00278-H23-Choke Neck</v>
      </c>
      <c r="K2068" s="1" t="str">
        <f aca="false">IF(A2068="","",IF(AND(G2068&gt;=0,I2068&gt;=0,I2068&lt;=G2068),"OK","CHECK"))</f>
        <v>OK</v>
      </c>
      <c r="L2068" s="1" t="str">
        <f aca="false">IF(A2068="","",IF(AND(E2068&gt;=0,E2068&lt;=23),"OK","CHECK"))</f>
        <v>OK</v>
      </c>
      <c r="M2068" s="1" t="str">
        <f aca="false">IF(A2068="","",IF(AND(K2068="OK",L2068="OK"),"OK","CHECK"))</f>
        <v>OK</v>
      </c>
    </row>
    <row r="2069" customFormat="false" ht="18" hidden="false" customHeight="true" outlineLevel="0" collapsed="false">
      <c r="A2069" s="9" t="s">
        <v>26</v>
      </c>
      <c r="B2069" s="9" t="n">
        <v>25</v>
      </c>
      <c r="C2069" s="11" t="n">
        <v>45942</v>
      </c>
      <c r="D2069" s="9" t="s">
        <v>167</v>
      </c>
      <c r="E2069" s="12" t="n">
        <v>9</v>
      </c>
      <c r="F2069" s="9" t="s">
        <v>28</v>
      </c>
      <c r="G2069" s="13" t="n">
        <v>100</v>
      </c>
      <c r="H2069" s="9" t="s">
        <v>38</v>
      </c>
      <c r="I2069" s="13" t="n">
        <v>3</v>
      </c>
      <c r="J2069" s="1" t="str">
        <f aca="false">IF(A2069="","", "SAMP-"&amp;A2069&amp;"-L"&amp;TEXT(B2069,"00")&amp;"-"&amp;TEXT(C2069,"yyyymmdd")&amp;"-"&amp;D2069&amp;"-H"&amp;TEXT(E2069,"00")&amp;"-"&amp;H2069)</f>
        <v>SAMP-KG01-L25-20251012-ORD-2025-00278-H09-Crack</v>
      </c>
      <c r="K2069" s="1" t="str">
        <f aca="false">IF(A2069="","",IF(AND(G2069&gt;=0,I2069&gt;=0,I2069&lt;=G2069),"OK","CHECK"))</f>
        <v>OK</v>
      </c>
      <c r="L2069" s="1" t="str">
        <f aca="false">IF(A2069="","",IF(AND(E2069&gt;=0,E2069&lt;=23),"OK","CHECK"))</f>
        <v>OK</v>
      </c>
      <c r="M2069" s="1" t="str">
        <f aca="false">IF(A2069="","",IF(AND(K2069="OK",L2069="OK"),"OK","CHECK"))</f>
        <v>OK</v>
      </c>
    </row>
    <row r="2070" customFormat="false" ht="18" hidden="false" customHeight="true" outlineLevel="0" collapsed="false">
      <c r="A2070" s="9" t="s">
        <v>26</v>
      </c>
      <c r="B2070" s="9" t="n">
        <v>25</v>
      </c>
      <c r="C2070" s="11" t="n">
        <v>45942</v>
      </c>
      <c r="D2070" s="9" t="s">
        <v>167</v>
      </c>
      <c r="E2070" s="12" t="n">
        <v>7</v>
      </c>
      <c r="F2070" s="9" t="s">
        <v>28</v>
      </c>
      <c r="G2070" s="13" t="n">
        <v>200</v>
      </c>
      <c r="H2070" s="9" t="s">
        <v>30</v>
      </c>
      <c r="I2070" s="13" t="n">
        <v>0</v>
      </c>
      <c r="J2070" s="1" t="str">
        <f aca="false">IF(A2070="","", "SAMP-"&amp;A2070&amp;"-L"&amp;TEXT(B2070,"00")&amp;"-"&amp;TEXT(C2070,"yyyymmdd")&amp;"-"&amp;D2070&amp;"-H"&amp;TEXT(E2070,"00")&amp;"-"&amp;H2070)</f>
        <v>SAMP-KG01-L25-20251012-ORD-2025-00278-H07-Overpress</v>
      </c>
      <c r="K2070" s="1" t="str">
        <f aca="false">IF(A2070="","",IF(AND(G2070&gt;=0,I2070&gt;=0,I2070&lt;=G2070),"OK","CHECK"))</f>
        <v>OK</v>
      </c>
      <c r="L2070" s="1" t="str">
        <f aca="false">IF(A2070="","",IF(AND(E2070&gt;=0,E2070&lt;=23),"OK","CHECK"))</f>
        <v>OK</v>
      </c>
      <c r="M2070" s="1" t="str">
        <f aca="false">IF(A2070="","",IF(AND(K2070="OK",L2070="OK"),"OK","CHECK"))</f>
        <v>OK</v>
      </c>
    </row>
    <row r="2071" customFormat="false" ht="18" hidden="false" customHeight="true" outlineLevel="0" collapsed="false">
      <c r="A2071" s="9" t="s">
        <v>26</v>
      </c>
      <c r="B2071" s="9" t="n">
        <v>25</v>
      </c>
      <c r="C2071" s="11" t="n">
        <v>45942</v>
      </c>
      <c r="D2071" s="9" t="s">
        <v>167</v>
      </c>
      <c r="E2071" s="12" t="n">
        <v>12</v>
      </c>
      <c r="F2071" s="9" t="s">
        <v>28</v>
      </c>
      <c r="G2071" s="13" t="n">
        <v>50</v>
      </c>
      <c r="H2071" s="9" t="s">
        <v>30</v>
      </c>
      <c r="I2071" s="13" t="n">
        <v>1</v>
      </c>
      <c r="J2071" s="1" t="str">
        <f aca="false">IF(A2071="","", "SAMP-"&amp;A2071&amp;"-L"&amp;TEXT(B2071,"00")&amp;"-"&amp;TEXT(C2071,"yyyymmdd")&amp;"-"&amp;D2071&amp;"-H"&amp;TEXT(E2071,"00")&amp;"-"&amp;H2071)</f>
        <v>SAMP-KG01-L25-20251012-ORD-2025-00278-H12-Overpress</v>
      </c>
      <c r="K2071" s="1" t="str">
        <f aca="false">IF(A2071="","",IF(AND(G2071&gt;=0,I2071&gt;=0,I2071&lt;=G2071),"OK","CHECK"))</f>
        <v>OK</v>
      </c>
      <c r="L2071" s="1" t="str">
        <f aca="false">IF(A2071="","",IF(AND(E2071&gt;=0,E2071&lt;=23),"OK","CHECK"))</f>
        <v>OK</v>
      </c>
      <c r="M2071" s="1" t="str">
        <f aca="false">IF(A2071="","",IF(AND(K2071="OK",L2071="OK"),"OK","CHECK"))</f>
        <v>OK</v>
      </c>
    </row>
    <row r="2072" customFormat="false" ht="18" hidden="false" customHeight="true" outlineLevel="0" collapsed="false">
      <c r="A2072" s="9" t="s">
        <v>26</v>
      </c>
      <c r="B2072" s="9" t="n">
        <v>25</v>
      </c>
      <c r="C2072" s="11" t="n">
        <v>45942</v>
      </c>
      <c r="D2072" s="9" t="s">
        <v>167</v>
      </c>
      <c r="E2072" s="12" t="n">
        <v>20</v>
      </c>
      <c r="F2072" s="9" t="s">
        <v>31</v>
      </c>
      <c r="G2072" s="13" t="n">
        <v>150</v>
      </c>
      <c r="H2072" s="9" t="s">
        <v>38</v>
      </c>
      <c r="I2072" s="13" t="n">
        <v>0</v>
      </c>
      <c r="J2072" s="1" t="str">
        <f aca="false">IF(A2072="","", "SAMP-"&amp;A2072&amp;"-L"&amp;TEXT(B2072,"00")&amp;"-"&amp;TEXT(C2072,"yyyymmdd")&amp;"-"&amp;D2072&amp;"-H"&amp;TEXT(E2072,"00")&amp;"-"&amp;H2072)</f>
        <v>SAMP-KG01-L25-20251012-ORD-2025-00278-H20-Crack</v>
      </c>
      <c r="K2072" s="1" t="str">
        <f aca="false">IF(A2072="","",IF(AND(G2072&gt;=0,I2072&gt;=0,I2072&lt;=G2072),"OK","CHECK"))</f>
        <v>OK</v>
      </c>
      <c r="L2072" s="1" t="str">
        <f aca="false">IF(A2072="","",IF(AND(E2072&gt;=0,E2072&lt;=23),"OK","CHECK"))</f>
        <v>OK</v>
      </c>
      <c r="M2072" s="1" t="str">
        <f aca="false">IF(A2072="","",IF(AND(K2072="OK",L2072="OK"),"OK","CHECK"))</f>
        <v>OK</v>
      </c>
    </row>
    <row r="2073" customFormat="false" ht="18" hidden="false" customHeight="true" outlineLevel="0" collapsed="false">
      <c r="A2073" s="9" t="s">
        <v>26</v>
      </c>
      <c r="B2073" s="9" t="n">
        <v>25</v>
      </c>
      <c r="C2073" s="11" t="n">
        <v>45942</v>
      </c>
      <c r="D2073" s="9" t="s">
        <v>167</v>
      </c>
      <c r="E2073" s="12" t="n">
        <v>23</v>
      </c>
      <c r="F2073" s="9" t="s">
        <v>31</v>
      </c>
      <c r="G2073" s="13" t="n">
        <v>100</v>
      </c>
      <c r="H2073" s="9" t="s">
        <v>41</v>
      </c>
      <c r="I2073" s="13" t="n">
        <v>1</v>
      </c>
      <c r="J2073" s="1" t="str">
        <f aca="false">IF(A2073="","", "SAMP-"&amp;A2073&amp;"-L"&amp;TEXT(B2073,"00")&amp;"-"&amp;TEXT(C2073,"yyyymmdd")&amp;"-"&amp;D2073&amp;"-H"&amp;TEXT(E2073,"00")&amp;"-"&amp;H2073)</f>
        <v>SAMP-KG01-L25-20251012-ORD-2025-00278-H23-Chip</v>
      </c>
      <c r="K2073" s="1" t="str">
        <f aca="false">IF(A2073="","",IF(AND(G2073&gt;=0,I2073&gt;=0,I2073&lt;=G2073),"OK","CHECK"))</f>
        <v>OK</v>
      </c>
      <c r="L2073" s="1" t="str">
        <f aca="false">IF(A2073="","",IF(AND(E2073&gt;=0,E2073&lt;=23),"OK","CHECK"))</f>
        <v>OK</v>
      </c>
      <c r="M2073" s="1" t="str">
        <f aca="false">IF(A2073="","",IF(AND(K2073="OK",L2073="OK"),"OK","CHECK"))</f>
        <v>OK</v>
      </c>
    </row>
    <row r="2074" customFormat="false" ht="18" hidden="false" customHeight="true" outlineLevel="0" collapsed="false">
      <c r="A2074" s="9" t="s">
        <v>26</v>
      </c>
      <c r="B2074" s="9" t="n">
        <v>25</v>
      </c>
      <c r="C2074" s="11" t="n">
        <v>45942</v>
      </c>
      <c r="D2074" s="9" t="s">
        <v>167</v>
      </c>
      <c r="E2074" s="12" t="n">
        <v>16</v>
      </c>
      <c r="F2074" s="9" t="s">
        <v>31</v>
      </c>
      <c r="G2074" s="13" t="n">
        <v>200</v>
      </c>
      <c r="H2074" s="9" t="s">
        <v>34</v>
      </c>
      <c r="I2074" s="13" t="n">
        <v>0</v>
      </c>
      <c r="J2074" s="1" t="str">
        <f aca="false">IF(A2074="","", "SAMP-"&amp;A2074&amp;"-L"&amp;TEXT(B2074,"00")&amp;"-"&amp;TEXT(C2074,"yyyymmdd")&amp;"-"&amp;D2074&amp;"-H"&amp;TEXT(E2074,"00")&amp;"-"&amp;H2074)</f>
        <v>SAMP-KG01-L25-20251012-ORD-2025-00278-H16-Thin Wall</v>
      </c>
      <c r="K2074" s="1" t="str">
        <f aca="false">IF(A2074="","",IF(AND(G2074&gt;=0,I2074&gt;=0,I2074&lt;=G2074),"OK","CHECK"))</f>
        <v>OK</v>
      </c>
      <c r="L2074" s="1" t="str">
        <f aca="false">IF(A2074="","",IF(AND(E2074&gt;=0,E2074&lt;=23),"OK","CHECK"))</f>
        <v>OK</v>
      </c>
      <c r="M2074" s="1" t="str">
        <f aca="false">IF(A2074="","",IF(AND(K2074="OK",L2074="OK"),"OK","CHECK"))</f>
        <v>OK</v>
      </c>
    </row>
    <row r="2075" customFormat="false" ht="18" hidden="false" customHeight="true" outlineLevel="0" collapsed="false">
      <c r="A2075" s="9" t="s">
        <v>26</v>
      </c>
      <c r="B2075" s="9" t="n">
        <v>25</v>
      </c>
      <c r="C2075" s="11" t="n">
        <v>45943</v>
      </c>
      <c r="D2075" s="9" t="s">
        <v>168</v>
      </c>
      <c r="E2075" s="12" t="n">
        <v>12</v>
      </c>
      <c r="F2075" s="9" t="s">
        <v>28</v>
      </c>
      <c r="G2075" s="13" t="n">
        <v>200</v>
      </c>
      <c r="H2075" s="9" t="s">
        <v>29</v>
      </c>
      <c r="I2075" s="13" t="n">
        <v>0</v>
      </c>
      <c r="J2075" s="1" t="str">
        <f aca="false">IF(A2075="","", "SAMP-"&amp;A2075&amp;"-L"&amp;TEXT(B2075,"00")&amp;"-"&amp;TEXT(C2075,"yyyymmdd")&amp;"-"&amp;D2075&amp;"-H"&amp;TEXT(E2075,"00")&amp;"-"&amp;H2075)</f>
        <v>SAMP-KG01-L25-20251013-ORD-2025-00279-H12-Choke Neck</v>
      </c>
      <c r="K2075" s="1" t="str">
        <f aca="false">IF(A2075="","",IF(AND(G2075&gt;=0,I2075&gt;=0,I2075&lt;=G2075),"OK","CHECK"))</f>
        <v>OK</v>
      </c>
      <c r="L2075" s="1" t="str">
        <f aca="false">IF(A2075="","",IF(AND(E2075&gt;=0,E2075&lt;=23),"OK","CHECK"))</f>
        <v>OK</v>
      </c>
      <c r="M2075" s="1" t="str">
        <f aca="false">IF(A2075="","",IF(AND(K2075="OK",L2075="OK"),"OK","CHECK"))</f>
        <v>OK</v>
      </c>
    </row>
    <row r="2076" customFormat="false" ht="18" hidden="false" customHeight="true" outlineLevel="0" collapsed="false">
      <c r="A2076" s="9" t="s">
        <v>26</v>
      </c>
      <c r="B2076" s="9" t="n">
        <v>25</v>
      </c>
      <c r="C2076" s="11" t="n">
        <v>45943</v>
      </c>
      <c r="D2076" s="9" t="s">
        <v>168</v>
      </c>
      <c r="E2076" s="12" t="n">
        <v>7</v>
      </c>
      <c r="F2076" s="9" t="s">
        <v>28</v>
      </c>
      <c r="G2076" s="13" t="n">
        <v>50</v>
      </c>
      <c r="H2076" s="9" t="s">
        <v>41</v>
      </c>
      <c r="I2076" s="13" t="n">
        <v>1</v>
      </c>
      <c r="J2076" s="1" t="str">
        <f aca="false">IF(A2076="","", "SAMP-"&amp;A2076&amp;"-L"&amp;TEXT(B2076,"00")&amp;"-"&amp;TEXT(C2076,"yyyymmdd")&amp;"-"&amp;D2076&amp;"-H"&amp;TEXT(E2076,"00")&amp;"-"&amp;H2076)</f>
        <v>SAMP-KG01-L25-20251013-ORD-2025-00279-H07-Chip</v>
      </c>
      <c r="K2076" s="1" t="str">
        <f aca="false">IF(A2076="","",IF(AND(G2076&gt;=0,I2076&gt;=0,I2076&lt;=G2076),"OK","CHECK"))</f>
        <v>OK</v>
      </c>
      <c r="L2076" s="1" t="str">
        <f aca="false">IF(A2076="","",IF(AND(E2076&gt;=0,E2076&lt;=23),"OK","CHECK"))</f>
        <v>OK</v>
      </c>
      <c r="M2076" s="1" t="str">
        <f aca="false">IF(A2076="","",IF(AND(K2076="OK",L2076="OK"),"OK","CHECK"))</f>
        <v>OK</v>
      </c>
    </row>
    <row r="2077" customFormat="false" ht="18" hidden="false" customHeight="true" outlineLevel="0" collapsed="false">
      <c r="A2077" s="9" t="s">
        <v>26</v>
      </c>
      <c r="B2077" s="9" t="n">
        <v>25</v>
      </c>
      <c r="C2077" s="11" t="n">
        <v>45943</v>
      </c>
      <c r="D2077" s="9" t="s">
        <v>168</v>
      </c>
      <c r="E2077" s="12" t="n">
        <v>9</v>
      </c>
      <c r="F2077" s="9" t="s">
        <v>28</v>
      </c>
      <c r="G2077" s="13" t="n">
        <v>200</v>
      </c>
      <c r="H2077" s="9" t="s">
        <v>33</v>
      </c>
      <c r="I2077" s="13" t="n">
        <v>3</v>
      </c>
      <c r="J2077" s="1" t="str">
        <f aca="false">IF(A2077="","", "SAMP-"&amp;A2077&amp;"-L"&amp;TEXT(B2077,"00")&amp;"-"&amp;TEXT(C2077,"yyyymmdd")&amp;"-"&amp;D2077&amp;"-H"&amp;TEXT(E2077,"00")&amp;"-"&amp;H2077)</f>
        <v>SAMP-KG01-L25-20251013-ORD-2025-00279-H09-Distortion</v>
      </c>
      <c r="K2077" s="1" t="str">
        <f aca="false">IF(A2077="","",IF(AND(G2077&gt;=0,I2077&gt;=0,I2077&lt;=G2077),"OK","CHECK"))</f>
        <v>OK</v>
      </c>
      <c r="L2077" s="1" t="str">
        <f aca="false">IF(A2077="","",IF(AND(E2077&gt;=0,E2077&lt;=23),"OK","CHECK"))</f>
        <v>OK</v>
      </c>
      <c r="M2077" s="1" t="str">
        <f aca="false">IF(A2077="","",IF(AND(K2077="OK",L2077="OK"),"OK","CHECK"))</f>
        <v>OK</v>
      </c>
    </row>
    <row r="2078" customFormat="false" ht="18" hidden="false" customHeight="true" outlineLevel="0" collapsed="false">
      <c r="A2078" s="9" t="s">
        <v>26</v>
      </c>
      <c r="B2078" s="9" t="n">
        <v>25</v>
      </c>
      <c r="C2078" s="11" t="n">
        <v>45943</v>
      </c>
      <c r="D2078" s="9" t="s">
        <v>168</v>
      </c>
      <c r="E2078" s="12" t="n">
        <v>20</v>
      </c>
      <c r="F2078" s="9" t="s">
        <v>31</v>
      </c>
      <c r="G2078" s="13" t="n">
        <v>100</v>
      </c>
      <c r="H2078" s="9" t="s">
        <v>41</v>
      </c>
      <c r="I2078" s="13" t="n">
        <v>1</v>
      </c>
      <c r="J2078" s="1" t="str">
        <f aca="false">IF(A2078="","", "SAMP-"&amp;A2078&amp;"-L"&amp;TEXT(B2078,"00")&amp;"-"&amp;TEXT(C2078,"yyyymmdd")&amp;"-"&amp;D2078&amp;"-H"&amp;TEXT(E2078,"00")&amp;"-"&amp;H2078)</f>
        <v>SAMP-KG01-L25-20251013-ORD-2025-00279-H20-Chip</v>
      </c>
      <c r="K2078" s="1" t="str">
        <f aca="false">IF(A2078="","",IF(AND(G2078&gt;=0,I2078&gt;=0,I2078&lt;=G2078),"OK","CHECK"))</f>
        <v>OK</v>
      </c>
      <c r="L2078" s="1" t="str">
        <f aca="false">IF(A2078="","",IF(AND(E2078&gt;=0,E2078&lt;=23),"OK","CHECK"))</f>
        <v>OK</v>
      </c>
      <c r="M2078" s="1" t="str">
        <f aca="false">IF(A2078="","",IF(AND(K2078="OK",L2078="OK"),"OK","CHECK"))</f>
        <v>OK</v>
      </c>
    </row>
    <row r="2079" customFormat="false" ht="18" hidden="false" customHeight="true" outlineLevel="0" collapsed="false">
      <c r="A2079" s="9" t="s">
        <v>26</v>
      </c>
      <c r="B2079" s="9" t="n">
        <v>25</v>
      </c>
      <c r="C2079" s="11" t="n">
        <v>45943</v>
      </c>
      <c r="D2079" s="9" t="s">
        <v>168</v>
      </c>
      <c r="E2079" s="12" t="n">
        <v>16</v>
      </c>
      <c r="F2079" s="9" t="s">
        <v>31</v>
      </c>
      <c r="G2079" s="13" t="n">
        <v>150</v>
      </c>
      <c r="H2079" s="9" t="s">
        <v>38</v>
      </c>
      <c r="I2079" s="13" t="n">
        <v>3</v>
      </c>
      <c r="J2079" s="1" t="str">
        <f aca="false">IF(A2079="","", "SAMP-"&amp;A2079&amp;"-L"&amp;TEXT(B2079,"00")&amp;"-"&amp;TEXT(C2079,"yyyymmdd")&amp;"-"&amp;D2079&amp;"-H"&amp;TEXT(E2079,"00")&amp;"-"&amp;H2079)</f>
        <v>SAMP-KG01-L25-20251013-ORD-2025-00279-H16-Crack</v>
      </c>
      <c r="K2079" s="1" t="str">
        <f aca="false">IF(A2079="","",IF(AND(G2079&gt;=0,I2079&gt;=0,I2079&lt;=G2079),"OK","CHECK"))</f>
        <v>OK</v>
      </c>
      <c r="L2079" s="1" t="str">
        <f aca="false">IF(A2079="","",IF(AND(E2079&gt;=0,E2079&lt;=23),"OK","CHECK"))</f>
        <v>OK</v>
      </c>
      <c r="M2079" s="1" t="str">
        <f aca="false">IF(A2079="","",IF(AND(K2079="OK",L2079="OK"),"OK","CHECK"))</f>
        <v>OK</v>
      </c>
    </row>
    <row r="2080" customFormat="false" ht="18" hidden="false" customHeight="true" outlineLevel="0" collapsed="false">
      <c r="A2080" s="9" t="s">
        <v>26</v>
      </c>
      <c r="B2080" s="9" t="n">
        <v>25</v>
      </c>
      <c r="C2080" s="11" t="n">
        <v>45943</v>
      </c>
      <c r="D2080" s="9" t="s">
        <v>168</v>
      </c>
      <c r="E2080" s="12" t="n">
        <v>23</v>
      </c>
      <c r="F2080" s="9" t="s">
        <v>31</v>
      </c>
      <c r="G2080" s="13" t="n">
        <v>100</v>
      </c>
      <c r="H2080" s="9" t="s">
        <v>35</v>
      </c>
      <c r="I2080" s="13" t="n">
        <v>3</v>
      </c>
      <c r="J2080" s="1" t="str">
        <f aca="false">IF(A2080="","", "SAMP-"&amp;A2080&amp;"-L"&amp;TEXT(B2080,"00")&amp;"-"&amp;TEXT(C2080,"yyyymmdd")&amp;"-"&amp;D2080&amp;"-H"&amp;TEXT(E2080,"00")&amp;"-"&amp;H2080)</f>
        <v>SAMP-KG01-L25-20251013-ORD-2025-00279-H23-Stone</v>
      </c>
      <c r="K2080" s="1" t="str">
        <f aca="false">IF(A2080="","",IF(AND(G2080&gt;=0,I2080&gt;=0,I2080&lt;=G2080),"OK","CHECK"))</f>
        <v>OK</v>
      </c>
      <c r="L2080" s="1" t="str">
        <f aca="false">IF(A2080="","",IF(AND(E2080&gt;=0,E2080&lt;=23),"OK","CHECK"))</f>
        <v>OK</v>
      </c>
      <c r="M2080" s="1" t="str">
        <f aca="false">IF(A2080="","",IF(AND(K2080="OK",L2080="OK"),"OK","CHECK"))</f>
        <v>OK</v>
      </c>
    </row>
    <row r="2081" customFormat="false" ht="18" hidden="false" customHeight="true" outlineLevel="0" collapsed="false">
      <c r="A2081" s="9" t="s">
        <v>26</v>
      </c>
      <c r="B2081" s="9" t="n">
        <v>25</v>
      </c>
      <c r="C2081" s="11" t="n">
        <v>45944</v>
      </c>
      <c r="D2081" s="9" t="s">
        <v>168</v>
      </c>
      <c r="E2081" s="12" t="n">
        <v>12</v>
      </c>
      <c r="F2081" s="9" t="s">
        <v>28</v>
      </c>
      <c r="G2081" s="13" t="n">
        <v>100</v>
      </c>
      <c r="H2081" s="9" t="s">
        <v>38</v>
      </c>
      <c r="I2081" s="13" t="n">
        <v>3</v>
      </c>
      <c r="J2081" s="1" t="str">
        <f aca="false">IF(A2081="","", "SAMP-"&amp;A2081&amp;"-L"&amp;TEXT(B2081,"00")&amp;"-"&amp;TEXT(C2081,"yyyymmdd")&amp;"-"&amp;D2081&amp;"-H"&amp;TEXT(E2081,"00")&amp;"-"&amp;H2081)</f>
        <v>SAMP-KG01-L25-20251014-ORD-2025-00279-H12-Crack</v>
      </c>
      <c r="K2081" s="1" t="str">
        <f aca="false">IF(A2081="","",IF(AND(G2081&gt;=0,I2081&gt;=0,I2081&lt;=G2081),"OK","CHECK"))</f>
        <v>OK</v>
      </c>
      <c r="L2081" s="1" t="str">
        <f aca="false">IF(A2081="","",IF(AND(E2081&gt;=0,E2081&lt;=23),"OK","CHECK"))</f>
        <v>OK</v>
      </c>
      <c r="M2081" s="1" t="str">
        <f aca="false">IF(A2081="","",IF(AND(K2081="OK",L2081="OK"),"OK","CHECK"))</f>
        <v>OK</v>
      </c>
    </row>
    <row r="2082" customFormat="false" ht="18" hidden="false" customHeight="true" outlineLevel="0" collapsed="false">
      <c r="A2082" s="9" t="s">
        <v>26</v>
      </c>
      <c r="B2082" s="9" t="n">
        <v>25</v>
      </c>
      <c r="C2082" s="11" t="n">
        <v>45944</v>
      </c>
      <c r="D2082" s="9" t="s">
        <v>168</v>
      </c>
      <c r="E2082" s="12" t="n">
        <v>9</v>
      </c>
      <c r="F2082" s="9" t="s">
        <v>28</v>
      </c>
      <c r="G2082" s="13" t="n">
        <v>200</v>
      </c>
      <c r="H2082" s="9" t="s">
        <v>33</v>
      </c>
      <c r="I2082" s="13" t="n">
        <v>5</v>
      </c>
      <c r="J2082" s="1" t="str">
        <f aca="false">IF(A2082="","", "SAMP-"&amp;A2082&amp;"-L"&amp;TEXT(B2082,"00")&amp;"-"&amp;TEXT(C2082,"yyyymmdd")&amp;"-"&amp;D2082&amp;"-H"&amp;TEXT(E2082,"00")&amp;"-"&amp;H2082)</f>
        <v>SAMP-KG01-L25-20251014-ORD-2025-00279-H09-Distortion</v>
      </c>
      <c r="K2082" s="1" t="str">
        <f aca="false">IF(A2082="","",IF(AND(G2082&gt;=0,I2082&gt;=0,I2082&lt;=G2082),"OK","CHECK"))</f>
        <v>OK</v>
      </c>
      <c r="L2082" s="1" t="str">
        <f aca="false">IF(A2082="","",IF(AND(E2082&gt;=0,E2082&lt;=23),"OK","CHECK"))</f>
        <v>OK</v>
      </c>
      <c r="M2082" s="1" t="str">
        <f aca="false">IF(A2082="","",IF(AND(K2082="OK",L2082="OK"),"OK","CHECK"))</f>
        <v>OK</v>
      </c>
    </row>
    <row r="2083" customFormat="false" ht="18" hidden="false" customHeight="true" outlineLevel="0" collapsed="false">
      <c r="A2083" s="9" t="s">
        <v>26</v>
      </c>
      <c r="B2083" s="9" t="n">
        <v>25</v>
      </c>
      <c r="C2083" s="11" t="n">
        <v>45944</v>
      </c>
      <c r="D2083" s="9" t="s">
        <v>168</v>
      </c>
      <c r="E2083" s="12" t="n">
        <v>7</v>
      </c>
      <c r="F2083" s="9" t="s">
        <v>28</v>
      </c>
      <c r="G2083" s="13" t="n">
        <v>150</v>
      </c>
      <c r="H2083" s="9" t="s">
        <v>35</v>
      </c>
      <c r="I2083" s="13" t="n">
        <v>5</v>
      </c>
      <c r="J2083" s="1" t="str">
        <f aca="false">IF(A2083="","", "SAMP-"&amp;A2083&amp;"-L"&amp;TEXT(B2083,"00")&amp;"-"&amp;TEXT(C2083,"yyyymmdd")&amp;"-"&amp;D2083&amp;"-H"&amp;TEXT(E2083,"00")&amp;"-"&amp;H2083)</f>
        <v>SAMP-KG01-L25-20251014-ORD-2025-00279-H07-Stone</v>
      </c>
      <c r="K2083" s="1" t="str">
        <f aca="false">IF(A2083="","",IF(AND(G2083&gt;=0,I2083&gt;=0,I2083&lt;=G2083),"OK","CHECK"))</f>
        <v>OK</v>
      </c>
      <c r="L2083" s="1" t="str">
        <f aca="false">IF(A2083="","",IF(AND(E2083&gt;=0,E2083&lt;=23),"OK","CHECK"))</f>
        <v>OK</v>
      </c>
      <c r="M2083" s="1" t="str">
        <f aca="false">IF(A2083="","",IF(AND(K2083="OK",L2083="OK"),"OK","CHECK"))</f>
        <v>OK</v>
      </c>
    </row>
    <row r="2084" customFormat="false" ht="18" hidden="false" customHeight="true" outlineLevel="0" collapsed="false">
      <c r="A2084" s="9" t="s">
        <v>26</v>
      </c>
      <c r="B2084" s="9" t="n">
        <v>25</v>
      </c>
      <c r="C2084" s="11" t="n">
        <v>45944</v>
      </c>
      <c r="D2084" s="9" t="s">
        <v>168</v>
      </c>
      <c r="E2084" s="12" t="n">
        <v>16</v>
      </c>
      <c r="F2084" s="9" t="s">
        <v>31</v>
      </c>
      <c r="G2084" s="13" t="n">
        <v>150</v>
      </c>
      <c r="H2084" s="9" t="s">
        <v>35</v>
      </c>
      <c r="I2084" s="13" t="n">
        <v>3</v>
      </c>
      <c r="J2084" s="1" t="str">
        <f aca="false">IF(A2084="","", "SAMP-"&amp;A2084&amp;"-L"&amp;TEXT(B2084,"00")&amp;"-"&amp;TEXT(C2084,"yyyymmdd")&amp;"-"&amp;D2084&amp;"-H"&amp;TEXT(E2084,"00")&amp;"-"&amp;H2084)</f>
        <v>SAMP-KG01-L25-20251014-ORD-2025-00279-H16-Stone</v>
      </c>
      <c r="K2084" s="1" t="str">
        <f aca="false">IF(A2084="","",IF(AND(G2084&gt;=0,I2084&gt;=0,I2084&lt;=G2084),"OK","CHECK"))</f>
        <v>OK</v>
      </c>
      <c r="L2084" s="1" t="str">
        <f aca="false">IF(A2084="","",IF(AND(E2084&gt;=0,E2084&lt;=23),"OK","CHECK"))</f>
        <v>OK</v>
      </c>
      <c r="M2084" s="1" t="str">
        <f aca="false">IF(A2084="","",IF(AND(K2084="OK",L2084="OK"),"OK","CHECK"))</f>
        <v>OK</v>
      </c>
    </row>
    <row r="2085" customFormat="false" ht="18" hidden="false" customHeight="true" outlineLevel="0" collapsed="false">
      <c r="A2085" s="9" t="s">
        <v>26</v>
      </c>
      <c r="B2085" s="9" t="n">
        <v>25</v>
      </c>
      <c r="C2085" s="11" t="n">
        <v>45944</v>
      </c>
      <c r="D2085" s="9" t="s">
        <v>168</v>
      </c>
      <c r="E2085" s="12" t="n">
        <v>23</v>
      </c>
      <c r="F2085" s="9" t="s">
        <v>31</v>
      </c>
      <c r="G2085" s="13" t="n">
        <v>150</v>
      </c>
      <c r="H2085" s="9" t="s">
        <v>36</v>
      </c>
      <c r="I2085" s="13" t="n">
        <v>5</v>
      </c>
      <c r="J2085" s="1" t="str">
        <f aca="false">IF(A2085="","", "SAMP-"&amp;A2085&amp;"-L"&amp;TEXT(B2085,"00")&amp;"-"&amp;TEXT(C2085,"yyyymmdd")&amp;"-"&amp;D2085&amp;"-H"&amp;TEXT(E2085,"00")&amp;"-"&amp;H2085)</f>
        <v>SAMP-KG01-L25-20251014-ORD-2025-00279-H23-Blister</v>
      </c>
      <c r="K2085" s="1" t="str">
        <f aca="false">IF(A2085="","",IF(AND(G2085&gt;=0,I2085&gt;=0,I2085&lt;=G2085),"OK","CHECK"))</f>
        <v>OK</v>
      </c>
      <c r="L2085" s="1" t="str">
        <f aca="false">IF(A2085="","",IF(AND(E2085&gt;=0,E2085&lt;=23),"OK","CHECK"))</f>
        <v>OK</v>
      </c>
      <c r="M2085" s="1" t="str">
        <f aca="false">IF(A2085="","",IF(AND(K2085="OK",L2085="OK"),"OK","CHECK"))</f>
        <v>OK</v>
      </c>
    </row>
    <row r="2086" customFormat="false" ht="18" hidden="false" customHeight="true" outlineLevel="0" collapsed="false">
      <c r="A2086" s="9" t="s">
        <v>26</v>
      </c>
      <c r="B2086" s="9" t="n">
        <v>25</v>
      </c>
      <c r="C2086" s="11" t="n">
        <v>45945</v>
      </c>
      <c r="D2086" s="9" t="s">
        <v>169</v>
      </c>
      <c r="E2086" s="12" t="n">
        <v>7</v>
      </c>
      <c r="F2086" s="9" t="s">
        <v>28</v>
      </c>
      <c r="G2086" s="13" t="n">
        <v>100</v>
      </c>
      <c r="H2086" s="9" t="s">
        <v>37</v>
      </c>
      <c r="I2086" s="13" t="n">
        <v>4</v>
      </c>
      <c r="J2086" s="1" t="str">
        <f aca="false">IF(A2086="","", "SAMP-"&amp;A2086&amp;"-L"&amp;TEXT(B2086,"00")&amp;"-"&amp;TEXT(C2086,"yyyymmdd")&amp;"-"&amp;D2086&amp;"-H"&amp;TEXT(E2086,"00")&amp;"-"&amp;H2086)</f>
        <v>SAMP-KG01-L25-20251015-ORD-2025-00280-H07-Bird Swing</v>
      </c>
      <c r="K2086" s="1" t="str">
        <f aca="false">IF(A2086="","",IF(AND(G2086&gt;=0,I2086&gt;=0,I2086&lt;=G2086),"OK","CHECK"))</f>
        <v>OK</v>
      </c>
      <c r="L2086" s="1" t="str">
        <f aca="false">IF(A2086="","",IF(AND(E2086&gt;=0,E2086&lt;=23),"OK","CHECK"))</f>
        <v>OK</v>
      </c>
      <c r="M2086" s="1" t="str">
        <f aca="false">IF(A2086="","",IF(AND(K2086="OK",L2086="OK"),"OK","CHECK"))</f>
        <v>OK</v>
      </c>
    </row>
    <row r="2087" customFormat="false" ht="18" hidden="false" customHeight="true" outlineLevel="0" collapsed="false">
      <c r="A2087" s="9" t="s">
        <v>26</v>
      </c>
      <c r="B2087" s="9" t="n">
        <v>25</v>
      </c>
      <c r="C2087" s="11" t="n">
        <v>45945</v>
      </c>
      <c r="D2087" s="9" t="s">
        <v>169</v>
      </c>
      <c r="E2087" s="12" t="n">
        <v>9</v>
      </c>
      <c r="F2087" s="9" t="s">
        <v>28</v>
      </c>
      <c r="G2087" s="13" t="n">
        <v>200</v>
      </c>
      <c r="H2087" s="9" t="s">
        <v>30</v>
      </c>
      <c r="I2087" s="13" t="n">
        <v>4</v>
      </c>
      <c r="J2087" s="1" t="str">
        <f aca="false">IF(A2087="","", "SAMP-"&amp;A2087&amp;"-L"&amp;TEXT(B2087,"00")&amp;"-"&amp;TEXT(C2087,"yyyymmdd")&amp;"-"&amp;D2087&amp;"-H"&amp;TEXT(E2087,"00")&amp;"-"&amp;H2087)</f>
        <v>SAMP-KG01-L25-20251015-ORD-2025-00280-H09-Overpress</v>
      </c>
      <c r="K2087" s="1" t="str">
        <f aca="false">IF(A2087="","",IF(AND(G2087&gt;=0,I2087&gt;=0,I2087&lt;=G2087),"OK","CHECK"))</f>
        <v>OK</v>
      </c>
      <c r="L2087" s="1" t="str">
        <f aca="false">IF(A2087="","",IF(AND(E2087&gt;=0,E2087&lt;=23),"OK","CHECK"))</f>
        <v>OK</v>
      </c>
      <c r="M2087" s="1" t="str">
        <f aca="false">IF(A2087="","",IF(AND(K2087="OK",L2087="OK"),"OK","CHECK"))</f>
        <v>OK</v>
      </c>
    </row>
    <row r="2088" customFormat="false" ht="18" hidden="false" customHeight="true" outlineLevel="0" collapsed="false">
      <c r="A2088" s="9" t="s">
        <v>26</v>
      </c>
      <c r="B2088" s="9" t="n">
        <v>25</v>
      </c>
      <c r="C2088" s="11" t="n">
        <v>45945</v>
      </c>
      <c r="D2088" s="9" t="s">
        <v>169</v>
      </c>
      <c r="E2088" s="12" t="n">
        <v>23</v>
      </c>
      <c r="F2088" s="9" t="s">
        <v>31</v>
      </c>
      <c r="G2088" s="13" t="n">
        <v>200</v>
      </c>
      <c r="H2088" s="9" t="s">
        <v>41</v>
      </c>
      <c r="I2088" s="13" t="n">
        <v>7</v>
      </c>
      <c r="J2088" s="1" t="str">
        <f aca="false">IF(A2088="","", "SAMP-"&amp;A2088&amp;"-L"&amp;TEXT(B2088,"00")&amp;"-"&amp;TEXT(C2088,"yyyymmdd")&amp;"-"&amp;D2088&amp;"-H"&amp;TEXT(E2088,"00")&amp;"-"&amp;H2088)</f>
        <v>SAMP-KG01-L25-20251015-ORD-2025-00280-H23-Chip</v>
      </c>
      <c r="K2088" s="1" t="str">
        <f aca="false">IF(A2088="","",IF(AND(G2088&gt;=0,I2088&gt;=0,I2088&lt;=G2088),"OK","CHECK"))</f>
        <v>OK</v>
      </c>
      <c r="L2088" s="1" t="str">
        <f aca="false">IF(A2088="","",IF(AND(E2088&gt;=0,E2088&lt;=23),"OK","CHECK"))</f>
        <v>OK</v>
      </c>
      <c r="M2088" s="1" t="str">
        <f aca="false">IF(A2088="","",IF(AND(K2088="OK",L2088="OK"),"OK","CHECK"))</f>
        <v>OK</v>
      </c>
    </row>
    <row r="2089" customFormat="false" ht="18" hidden="false" customHeight="true" outlineLevel="0" collapsed="false">
      <c r="A2089" s="9" t="s">
        <v>26</v>
      </c>
      <c r="B2089" s="9" t="n">
        <v>25</v>
      </c>
      <c r="C2089" s="11" t="n">
        <v>45945</v>
      </c>
      <c r="D2089" s="9" t="s">
        <v>169</v>
      </c>
      <c r="E2089" s="12" t="n">
        <v>16</v>
      </c>
      <c r="F2089" s="9" t="s">
        <v>31</v>
      </c>
      <c r="G2089" s="13" t="n">
        <v>150</v>
      </c>
      <c r="H2089" s="9" t="s">
        <v>38</v>
      </c>
      <c r="I2089" s="13" t="n">
        <v>3</v>
      </c>
      <c r="J2089" s="1" t="str">
        <f aca="false">IF(A2089="","", "SAMP-"&amp;A2089&amp;"-L"&amp;TEXT(B2089,"00")&amp;"-"&amp;TEXT(C2089,"yyyymmdd")&amp;"-"&amp;D2089&amp;"-H"&amp;TEXT(E2089,"00")&amp;"-"&amp;H2089)</f>
        <v>SAMP-KG01-L25-20251015-ORD-2025-00280-H16-Crack</v>
      </c>
      <c r="K2089" s="1" t="str">
        <f aca="false">IF(A2089="","",IF(AND(G2089&gt;=0,I2089&gt;=0,I2089&lt;=G2089),"OK","CHECK"))</f>
        <v>OK</v>
      </c>
      <c r="L2089" s="1" t="str">
        <f aca="false">IF(A2089="","",IF(AND(E2089&gt;=0,E2089&lt;=23),"OK","CHECK"))</f>
        <v>OK</v>
      </c>
      <c r="M2089" s="1" t="str">
        <f aca="false">IF(A2089="","",IF(AND(K2089="OK",L2089="OK"),"OK","CHECK"))</f>
        <v>OK</v>
      </c>
    </row>
    <row r="2090" customFormat="false" ht="18" hidden="false" customHeight="true" outlineLevel="0" collapsed="false">
      <c r="A2090" s="9" t="s">
        <v>26</v>
      </c>
      <c r="B2090" s="9" t="n">
        <v>25</v>
      </c>
      <c r="C2090" s="11" t="n">
        <v>45945</v>
      </c>
      <c r="D2090" s="9" t="s">
        <v>169</v>
      </c>
      <c r="E2090" s="12" t="n">
        <v>20</v>
      </c>
      <c r="F2090" s="9" t="s">
        <v>31</v>
      </c>
      <c r="G2090" s="13" t="n">
        <v>150</v>
      </c>
      <c r="H2090" s="9" t="s">
        <v>41</v>
      </c>
      <c r="I2090" s="13" t="n">
        <v>2</v>
      </c>
      <c r="J2090" s="1" t="str">
        <f aca="false">IF(A2090="","", "SAMP-"&amp;A2090&amp;"-L"&amp;TEXT(B2090,"00")&amp;"-"&amp;TEXT(C2090,"yyyymmdd")&amp;"-"&amp;D2090&amp;"-H"&amp;TEXT(E2090,"00")&amp;"-"&amp;H2090)</f>
        <v>SAMP-KG01-L25-20251015-ORD-2025-00280-H20-Chip</v>
      </c>
      <c r="K2090" s="1" t="str">
        <f aca="false">IF(A2090="","",IF(AND(G2090&gt;=0,I2090&gt;=0,I2090&lt;=G2090),"OK","CHECK"))</f>
        <v>OK</v>
      </c>
      <c r="L2090" s="1" t="str">
        <f aca="false">IF(A2090="","",IF(AND(E2090&gt;=0,E2090&lt;=23),"OK","CHECK"))</f>
        <v>OK</v>
      </c>
      <c r="M2090" s="1" t="str">
        <f aca="false">IF(A2090="","",IF(AND(K2090="OK",L2090="OK"),"OK","CHECK"))</f>
        <v>OK</v>
      </c>
    </row>
    <row r="2091" customFormat="false" ht="18" hidden="false" customHeight="true" outlineLevel="0" collapsed="false">
      <c r="A2091" s="9" t="s">
        <v>26</v>
      </c>
      <c r="B2091" s="9" t="n">
        <v>25</v>
      </c>
      <c r="C2091" s="11" t="n">
        <v>45946</v>
      </c>
      <c r="D2091" s="9" t="s">
        <v>169</v>
      </c>
      <c r="E2091" s="12" t="n">
        <v>7</v>
      </c>
      <c r="F2091" s="9" t="s">
        <v>28</v>
      </c>
      <c r="G2091" s="13" t="n">
        <v>50</v>
      </c>
      <c r="H2091" s="9" t="s">
        <v>37</v>
      </c>
      <c r="I2091" s="13" t="n">
        <v>2</v>
      </c>
      <c r="J2091" s="1" t="str">
        <f aca="false">IF(A2091="","", "SAMP-"&amp;A2091&amp;"-L"&amp;TEXT(B2091,"00")&amp;"-"&amp;TEXT(C2091,"yyyymmdd")&amp;"-"&amp;D2091&amp;"-H"&amp;TEXT(E2091,"00")&amp;"-"&amp;H2091)</f>
        <v>SAMP-KG01-L25-20251016-ORD-2025-00280-H07-Bird Swing</v>
      </c>
      <c r="K2091" s="1" t="str">
        <f aca="false">IF(A2091="","",IF(AND(G2091&gt;=0,I2091&gt;=0,I2091&lt;=G2091),"OK","CHECK"))</f>
        <v>OK</v>
      </c>
      <c r="L2091" s="1" t="str">
        <f aca="false">IF(A2091="","",IF(AND(E2091&gt;=0,E2091&lt;=23),"OK","CHECK"))</f>
        <v>OK</v>
      </c>
      <c r="M2091" s="1" t="str">
        <f aca="false">IF(A2091="","",IF(AND(K2091="OK",L2091="OK"),"OK","CHECK"))</f>
        <v>OK</v>
      </c>
    </row>
    <row r="2092" customFormat="false" ht="18" hidden="false" customHeight="true" outlineLevel="0" collapsed="false">
      <c r="A2092" s="9" t="s">
        <v>26</v>
      </c>
      <c r="B2092" s="9" t="n">
        <v>25</v>
      </c>
      <c r="C2092" s="11" t="n">
        <v>45946</v>
      </c>
      <c r="D2092" s="9" t="s">
        <v>169</v>
      </c>
      <c r="E2092" s="12" t="n">
        <v>9</v>
      </c>
      <c r="F2092" s="9" t="s">
        <v>28</v>
      </c>
      <c r="G2092" s="13" t="n">
        <v>150</v>
      </c>
      <c r="H2092" s="9" t="s">
        <v>36</v>
      </c>
      <c r="I2092" s="13" t="n">
        <v>2</v>
      </c>
      <c r="J2092" s="1" t="str">
        <f aca="false">IF(A2092="","", "SAMP-"&amp;A2092&amp;"-L"&amp;TEXT(B2092,"00")&amp;"-"&amp;TEXT(C2092,"yyyymmdd")&amp;"-"&amp;D2092&amp;"-H"&amp;TEXT(E2092,"00")&amp;"-"&amp;H2092)</f>
        <v>SAMP-KG01-L25-20251016-ORD-2025-00280-H09-Blister</v>
      </c>
      <c r="K2092" s="1" t="str">
        <f aca="false">IF(A2092="","",IF(AND(G2092&gt;=0,I2092&gt;=0,I2092&lt;=G2092),"OK","CHECK"))</f>
        <v>OK</v>
      </c>
      <c r="L2092" s="1" t="str">
        <f aca="false">IF(A2092="","",IF(AND(E2092&gt;=0,E2092&lt;=23),"OK","CHECK"))</f>
        <v>OK</v>
      </c>
      <c r="M2092" s="1" t="str">
        <f aca="false">IF(A2092="","",IF(AND(K2092="OK",L2092="OK"),"OK","CHECK"))</f>
        <v>OK</v>
      </c>
    </row>
    <row r="2093" customFormat="false" ht="18" hidden="false" customHeight="true" outlineLevel="0" collapsed="false">
      <c r="A2093" s="9" t="s">
        <v>26</v>
      </c>
      <c r="B2093" s="9" t="n">
        <v>25</v>
      </c>
      <c r="C2093" s="11" t="n">
        <v>45946</v>
      </c>
      <c r="D2093" s="9" t="s">
        <v>169</v>
      </c>
      <c r="E2093" s="12" t="n">
        <v>23</v>
      </c>
      <c r="F2093" s="9" t="s">
        <v>31</v>
      </c>
      <c r="G2093" s="13" t="n">
        <v>100</v>
      </c>
      <c r="H2093" s="9" t="s">
        <v>30</v>
      </c>
      <c r="I2093" s="13" t="n">
        <v>3</v>
      </c>
      <c r="J2093" s="1" t="str">
        <f aca="false">IF(A2093="","", "SAMP-"&amp;A2093&amp;"-L"&amp;TEXT(B2093,"00")&amp;"-"&amp;TEXT(C2093,"yyyymmdd")&amp;"-"&amp;D2093&amp;"-H"&amp;TEXT(E2093,"00")&amp;"-"&amp;H2093)</f>
        <v>SAMP-KG01-L25-20251016-ORD-2025-00280-H23-Overpress</v>
      </c>
      <c r="K2093" s="1" t="str">
        <f aca="false">IF(A2093="","",IF(AND(G2093&gt;=0,I2093&gt;=0,I2093&lt;=G2093),"OK","CHECK"))</f>
        <v>OK</v>
      </c>
      <c r="L2093" s="1" t="str">
        <f aca="false">IF(A2093="","",IF(AND(E2093&gt;=0,E2093&lt;=23),"OK","CHECK"))</f>
        <v>OK</v>
      </c>
      <c r="M2093" s="1" t="str">
        <f aca="false">IF(A2093="","",IF(AND(K2093="OK",L2093="OK"),"OK","CHECK"))</f>
        <v>OK</v>
      </c>
    </row>
    <row r="2094" customFormat="false" ht="18" hidden="false" customHeight="true" outlineLevel="0" collapsed="false">
      <c r="A2094" s="9" t="s">
        <v>26</v>
      </c>
      <c r="B2094" s="9" t="n">
        <v>25</v>
      </c>
      <c r="C2094" s="11" t="n">
        <v>45946</v>
      </c>
      <c r="D2094" s="9" t="s">
        <v>169</v>
      </c>
      <c r="E2094" s="12" t="n">
        <v>16</v>
      </c>
      <c r="F2094" s="9" t="s">
        <v>31</v>
      </c>
      <c r="G2094" s="13" t="n">
        <v>50</v>
      </c>
      <c r="H2094" s="9" t="s">
        <v>41</v>
      </c>
      <c r="I2094" s="13" t="n">
        <v>1</v>
      </c>
      <c r="J2094" s="1" t="str">
        <f aca="false">IF(A2094="","", "SAMP-"&amp;A2094&amp;"-L"&amp;TEXT(B2094,"00")&amp;"-"&amp;TEXT(C2094,"yyyymmdd")&amp;"-"&amp;D2094&amp;"-H"&amp;TEXT(E2094,"00")&amp;"-"&amp;H2094)</f>
        <v>SAMP-KG01-L25-20251016-ORD-2025-00280-H16-Chip</v>
      </c>
      <c r="K2094" s="1" t="str">
        <f aca="false">IF(A2094="","",IF(AND(G2094&gt;=0,I2094&gt;=0,I2094&lt;=G2094),"OK","CHECK"))</f>
        <v>OK</v>
      </c>
      <c r="L2094" s="1" t="str">
        <f aca="false">IF(A2094="","",IF(AND(E2094&gt;=0,E2094&lt;=23),"OK","CHECK"))</f>
        <v>OK</v>
      </c>
      <c r="M2094" s="1" t="str">
        <f aca="false">IF(A2094="","",IF(AND(K2094="OK",L2094="OK"),"OK","CHECK"))</f>
        <v>OK</v>
      </c>
    </row>
    <row r="2095" customFormat="false" ht="18" hidden="false" customHeight="true" outlineLevel="0" collapsed="false">
      <c r="A2095" s="9" t="s">
        <v>26</v>
      </c>
      <c r="B2095" s="9" t="n">
        <v>25</v>
      </c>
      <c r="C2095" s="11" t="n">
        <v>45947</v>
      </c>
      <c r="D2095" s="9" t="s">
        <v>170</v>
      </c>
      <c r="E2095" s="12" t="n">
        <v>9</v>
      </c>
      <c r="F2095" s="9" t="s">
        <v>28</v>
      </c>
      <c r="G2095" s="13" t="n">
        <v>100</v>
      </c>
      <c r="H2095" s="9" t="s">
        <v>38</v>
      </c>
      <c r="I2095" s="13" t="n">
        <v>2</v>
      </c>
      <c r="J2095" s="1" t="str">
        <f aca="false">IF(A2095="","", "SAMP-"&amp;A2095&amp;"-L"&amp;TEXT(B2095,"00")&amp;"-"&amp;TEXT(C2095,"yyyymmdd")&amp;"-"&amp;D2095&amp;"-H"&amp;TEXT(E2095,"00")&amp;"-"&amp;H2095)</f>
        <v>SAMP-KG01-L25-20251017-ORD-2025-00281-H09-Crack</v>
      </c>
      <c r="K2095" s="1" t="str">
        <f aca="false">IF(A2095="","",IF(AND(G2095&gt;=0,I2095&gt;=0,I2095&lt;=G2095),"OK","CHECK"))</f>
        <v>OK</v>
      </c>
      <c r="L2095" s="1" t="str">
        <f aca="false">IF(A2095="","",IF(AND(E2095&gt;=0,E2095&lt;=23),"OK","CHECK"))</f>
        <v>OK</v>
      </c>
      <c r="M2095" s="1" t="str">
        <f aca="false">IF(A2095="","",IF(AND(K2095="OK",L2095="OK"),"OK","CHECK"))</f>
        <v>OK</v>
      </c>
    </row>
    <row r="2096" customFormat="false" ht="18" hidden="false" customHeight="true" outlineLevel="0" collapsed="false">
      <c r="A2096" s="9" t="s">
        <v>26</v>
      </c>
      <c r="B2096" s="9" t="n">
        <v>25</v>
      </c>
      <c r="C2096" s="11" t="n">
        <v>45947</v>
      </c>
      <c r="D2096" s="9" t="s">
        <v>170</v>
      </c>
      <c r="E2096" s="12" t="n">
        <v>12</v>
      </c>
      <c r="F2096" s="9" t="s">
        <v>28</v>
      </c>
      <c r="G2096" s="13" t="n">
        <v>100</v>
      </c>
      <c r="H2096" s="9" t="s">
        <v>33</v>
      </c>
      <c r="I2096" s="13" t="n">
        <v>0</v>
      </c>
      <c r="J2096" s="1" t="str">
        <f aca="false">IF(A2096="","", "SAMP-"&amp;A2096&amp;"-L"&amp;TEXT(B2096,"00")&amp;"-"&amp;TEXT(C2096,"yyyymmdd")&amp;"-"&amp;D2096&amp;"-H"&amp;TEXT(E2096,"00")&amp;"-"&amp;H2096)</f>
        <v>SAMP-KG01-L25-20251017-ORD-2025-00281-H12-Distortion</v>
      </c>
      <c r="K2096" s="1" t="str">
        <f aca="false">IF(A2096="","",IF(AND(G2096&gt;=0,I2096&gt;=0,I2096&lt;=G2096),"OK","CHECK"))</f>
        <v>OK</v>
      </c>
      <c r="L2096" s="1" t="str">
        <f aca="false">IF(A2096="","",IF(AND(E2096&gt;=0,E2096&lt;=23),"OK","CHECK"))</f>
        <v>OK</v>
      </c>
      <c r="M2096" s="1" t="str">
        <f aca="false">IF(A2096="","",IF(AND(K2096="OK",L2096="OK"),"OK","CHECK"))</f>
        <v>OK</v>
      </c>
    </row>
    <row r="2097" customFormat="false" ht="18" hidden="false" customHeight="true" outlineLevel="0" collapsed="false">
      <c r="A2097" s="9" t="s">
        <v>26</v>
      </c>
      <c r="B2097" s="9" t="n">
        <v>25</v>
      </c>
      <c r="C2097" s="11" t="n">
        <v>45947</v>
      </c>
      <c r="D2097" s="9" t="s">
        <v>170</v>
      </c>
      <c r="E2097" s="12" t="n">
        <v>7</v>
      </c>
      <c r="F2097" s="9" t="s">
        <v>28</v>
      </c>
      <c r="G2097" s="13" t="n">
        <v>200</v>
      </c>
      <c r="H2097" s="9" t="s">
        <v>30</v>
      </c>
      <c r="I2097" s="13" t="n">
        <v>5</v>
      </c>
      <c r="J2097" s="1" t="str">
        <f aca="false">IF(A2097="","", "SAMP-"&amp;A2097&amp;"-L"&amp;TEXT(B2097,"00")&amp;"-"&amp;TEXT(C2097,"yyyymmdd")&amp;"-"&amp;D2097&amp;"-H"&amp;TEXT(E2097,"00")&amp;"-"&amp;H2097)</f>
        <v>SAMP-KG01-L25-20251017-ORD-2025-00281-H07-Overpress</v>
      </c>
      <c r="K2097" s="1" t="str">
        <f aca="false">IF(A2097="","",IF(AND(G2097&gt;=0,I2097&gt;=0,I2097&lt;=G2097),"OK","CHECK"))</f>
        <v>OK</v>
      </c>
      <c r="L2097" s="1" t="str">
        <f aca="false">IF(A2097="","",IF(AND(E2097&gt;=0,E2097&lt;=23),"OK","CHECK"))</f>
        <v>OK</v>
      </c>
      <c r="M2097" s="1" t="str">
        <f aca="false">IF(A2097="","",IF(AND(K2097="OK",L2097="OK"),"OK","CHECK"))</f>
        <v>OK</v>
      </c>
    </row>
    <row r="2098" customFormat="false" ht="18" hidden="false" customHeight="true" outlineLevel="0" collapsed="false">
      <c r="A2098" s="9" t="s">
        <v>26</v>
      </c>
      <c r="B2098" s="9" t="n">
        <v>25</v>
      </c>
      <c r="C2098" s="11" t="n">
        <v>45947</v>
      </c>
      <c r="D2098" s="9" t="s">
        <v>170</v>
      </c>
      <c r="E2098" s="12" t="n">
        <v>16</v>
      </c>
      <c r="F2098" s="9" t="s">
        <v>31</v>
      </c>
      <c r="G2098" s="13" t="n">
        <v>100</v>
      </c>
      <c r="H2098" s="9" t="s">
        <v>29</v>
      </c>
      <c r="I2098" s="13" t="n">
        <v>1</v>
      </c>
      <c r="J2098" s="1" t="str">
        <f aca="false">IF(A2098="","", "SAMP-"&amp;A2098&amp;"-L"&amp;TEXT(B2098,"00")&amp;"-"&amp;TEXT(C2098,"yyyymmdd")&amp;"-"&amp;D2098&amp;"-H"&amp;TEXT(E2098,"00")&amp;"-"&amp;H2098)</f>
        <v>SAMP-KG01-L25-20251017-ORD-2025-00281-H16-Choke Neck</v>
      </c>
      <c r="K2098" s="1" t="str">
        <f aca="false">IF(A2098="","",IF(AND(G2098&gt;=0,I2098&gt;=0,I2098&lt;=G2098),"OK","CHECK"))</f>
        <v>OK</v>
      </c>
      <c r="L2098" s="1" t="str">
        <f aca="false">IF(A2098="","",IF(AND(E2098&gt;=0,E2098&lt;=23),"OK","CHECK"))</f>
        <v>OK</v>
      </c>
      <c r="M2098" s="1" t="str">
        <f aca="false">IF(A2098="","",IF(AND(K2098="OK",L2098="OK"),"OK","CHECK"))</f>
        <v>OK</v>
      </c>
    </row>
    <row r="2099" customFormat="false" ht="18" hidden="false" customHeight="true" outlineLevel="0" collapsed="false">
      <c r="A2099" s="9" t="s">
        <v>26</v>
      </c>
      <c r="B2099" s="9" t="n">
        <v>25</v>
      </c>
      <c r="C2099" s="11" t="n">
        <v>45947</v>
      </c>
      <c r="D2099" s="9" t="s">
        <v>170</v>
      </c>
      <c r="E2099" s="12" t="n">
        <v>20</v>
      </c>
      <c r="F2099" s="9" t="s">
        <v>31</v>
      </c>
      <c r="G2099" s="13" t="n">
        <v>50</v>
      </c>
      <c r="H2099" s="9" t="s">
        <v>41</v>
      </c>
      <c r="I2099" s="13" t="n">
        <v>2</v>
      </c>
      <c r="J2099" s="1" t="str">
        <f aca="false">IF(A2099="","", "SAMP-"&amp;A2099&amp;"-L"&amp;TEXT(B2099,"00")&amp;"-"&amp;TEXT(C2099,"yyyymmdd")&amp;"-"&amp;D2099&amp;"-H"&amp;TEXT(E2099,"00")&amp;"-"&amp;H2099)</f>
        <v>SAMP-KG01-L25-20251017-ORD-2025-00281-H20-Chip</v>
      </c>
      <c r="K2099" s="1" t="str">
        <f aca="false">IF(A2099="","",IF(AND(G2099&gt;=0,I2099&gt;=0,I2099&lt;=G2099),"OK","CHECK"))</f>
        <v>OK</v>
      </c>
      <c r="L2099" s="1" t="str">
        <f aca="false">IF(A2099="","",IF(AND(E2099&gt;=0,E2099&lt;=23),"OK","CHECK"))</f>
        <v>OK</v>
      </c>
      <c r="M2099" s="1" t="str">
        <f aca="false">IF(A2099="","",IF(AND(K2099="OK",L2099="OK"),"OK","CHECK"))</f>
        <v>OK</v>
      </c>
    </row>
    <row r="2100" customFormat="false" ht="18" hidden="false" customHeight="true" outlineLevel="0" collapsed="false">
      <c r="A2100" s="9" t="s">
        <v>26</v>
      </c>
      <c r="B2100" s="9" t="n">
        <v>25</v>
      </c>
      <c r="C2100" s="11" t="n">
        <v>45947</v>
      </c>
      <c r="D2100" s="9" t="s">
        <v>170</v>
      </c>
      <c r="E2100" s="12" t="n">
        <v>23</v>
      </c>
      <c r="F2100" s="9" t="s">
        <v>31</v>
      </c>
      <c r="G2100" s="13" t="n">
        <v>100</v>
      </c>
      <c r="H2100" s="9" t="s">
        <v>38</v>
      </c>
      <c r="I2100" s="13" t="n">
        <v>3</v>
      </c>
      <c r="J2100" s="1" t="str">
        <f aca="false">IF(A2100="","", "SAMP-"&amp;A2100&amp;"-L"&amp;TEXT(B2100,"00")&amp;"-"&amp;TEXT(C2100,"yyyymmdd")&amp;"-"&amp;D2100&amp;"-H"&amp;TEXT(E2100,"00")&amp;"-"&amp;H2100)</f>
        <v>SAMP-KG01-L25-20251017-ORD-2025-00281-H23-Crack</v>
      </c>
      <c r="K2100" s="1" t="str">
        <f aca="false">IF(A2100="","",IF(AND(G2100&gt;=0,I2100&gt;=0,I2100&lt;=G2100),"OK","CHECK"))</f>
        <v>OK</v>
      </c>
      <c r="L2100" s="1" t="str">
        <f aca="false">IF(A2100="","",IF(AND(E2100&gt;=0,E2100&lt;=23),"OK","CHECK"))</f>
        <v>OK</v>
      </c>
      <c r="M2100" s="1" t="str">
        <f aca="false">IF(A2100="","",IF(AND(K2100="OK",L2100="OK"),"OK","CHECK"))</f>
        <v>OK</v>
      </c>
    </row>
    <row r="2101" customFormat="false" ht="18" hidden="false" customHeight="true" outlineLevel="0" collapsed="false">
      <c r="A2101" s="9" t="s">
        <v>26</v>
      </c>
      <c r="B2101" s="9" t="n">
        <v>25</v>
      </c>
      <c r="C2101" s="11" t="n">
        <v>45948</v>
      </c>
      <c r="D2101" s="9" t="s">
        <v>170</v>
      </c>
      <c r="E2101" s="12" t="n">
        <v>7</v>
      </c>
      <c r="F2101" s="9" t="s">
        <v>28</v>
      </c>
      <c r="G2101" s="13" t="n">
        <v>150</v>
      </c>
      <c r="H2101" s="9" t="s">
        <v>38</v>
      </c>
      <c r="I2101" s="13" t="n">
        <v>0</v>
      </c>
      <c r="J2101" s="1" t="str">
        <f aca="false">IF(A2101="","", "SAMP-"&amp;A2101&amp;"-L"&amp;TEXT(B2101,"00")&amp;"-"&amp;TEXT(C2101,"yyyymmdd")&amp;"-"&amp;D2101&amp;"-H"&amp;TEXT(E2101,"00")&amp;"-"&amp;H2101)</f>
        <v>SAMP-KG01-L25-20251018-ORD-2025-00281-H07-Crack</v>
      </c>
      <c r="K2101" s="1" t="str">
        <f aca="false">IF(A2101="","",IF(AND(G2101&gt;=0,I2101&gt;=0,I2101&lt;=G2101),"OK","CHECK"))</f>
        <v>OK</v>
      </c>
      <c r="L2101" s="1" t="str">
        <f aca="false">IF(A2101="","",IF(AND(E2101&gt;=0,E2101&lt;=23),"OK","CHECK"))</f>
        <v>OK</v>
      </c>
      <c r="M2101" s="1" t="str">
        <f aca="false">IF(A2101="","",IF(AND(K2101="OK",L2101="OK"),"OK","CHECK"))</f>
        <v>OK</v>
      </c>
    </row>
    <row r="2102" customFormat="false" ht="18" hidden="false" customHeight="true" outlineLevel="0" collapsed="false">
      <c r="A2102" s="9" t="s">
        <v>26</v>
      </c>
      <c r="B2102" s="9" t="n">
        <v>25</v>
      </c>
      <c r="C2102" s="11" t="n">
        <v>45948</v>
      </c>
      <c r="D2102" s="9" t="s">
        <v>170</v>
      </c>
      <c r="E2102" s="12" t="n">
        <v>9</v>
      </c>
      <c r="F2102" s="9" t="s">
        <v>28</v>
      </c>
      <c r="G2102" s="13" t="n">
        <v>200</v>
      </c>
      <c r="H2102" s="9" t="s">
        <v>30</v>
      </c>
      <c r="I2102" s="13" t="n">
        <v>2</v>
      </c>
      <c r="J2102" s="1" t="str">
        <f aca="false">IF(A2102="","", "SAMP-"&amp;A2102&amp;"-L"&amp;TEXT(B2102,"00")&amp;"-"&amp;TEXT(C2102,"yyyymmdd")&amp;"-"&amp;D2102&amp;"-H"&amp;TEXT(E2102,"00")&amp;"-"&amp;H2102)</f>
        <v>SAMP-KG01-L25-20251018-ORD-2025-00281-H09-Overpress</v>
      </c>
      <c r="K2102" s="1" t="str">
        <f aca="false">IF(A2102="","",IF(AND(G2102&gt;=0,I2102&gt;=0,I2102&lt;=G2102),"OK","CHECK"))</f>
        <v>OK</v>
      </c>
      <c r="L2102" s="1" t="str">
        <f aca="false">IF(A2102="","",IF(AND(E2102&gt;=0,E2102&lt;=23),"OK","CHECK"))</f>
        <v>OK</v>
      </c>
      <c r="M2102" s="1" t="str">
        <f aca="false">IF(A2102="","",IF(AND(K2102="OK",L2102="OK"),"OK","CHECK"))</f>
        <v>OK</v>
      </c>
    </row>
    <row r="2103" customFormat="false" ht="18" hidden="false" customHeight="true" outlineLevel="0" collapsed="false">
      <c r="A2103" s="9" t="s">
        <v>26</v>
      </c>
      <c r="B2103" s="9" t="n">
        <v>25</v>
      </c>
      <c r="C2103" s="11" t="n">
        <v>45948</v>
      </c>
      <c r="D2103" s="9" t="s">
        <v>170</v>
      </c>
      <c r="E2103" s="12" t="n">
        <v>12</v>
      </c>
      <c r="F2103" s="9" t="s">
        <v>28</v>
      </c>
      <c r="G2103" s="13" t="n">
        <v>100</v>
      </c>
      <c r="H2103" s="9" t="s">
        <v>35</v>
      </c>
      <c r="I2103" s="13" t="n">
        <v>0</v>
      </c>
      <c r="J2103" s="1" t="str">
        <f aca="false">IF(A2103="","", "SAMP-"&amp;A2103&amp;"-L"&amp;TEXT(B2103,"00")&amp;"-"&amp;TEXT(C2103,"yyyymmdd")&amp;"-"&amp;D2103&amp;"-H"&amp;TEXT(E2103,"00")&amp;"-"&amp;H2103)</f>
        <v>SAMP-KG01-L25-20251018-ORD-2025-00281-H12-Stone</v>
      </c>
      <c r="K2103" s="1" t="str">
        <f aca="false">IF(A2103="","",IF(AND(G2103&gt;=0,I2103&gt;=0,I2103&lt;=G2103),"OK","CHECK"))</f>
        <v>OK</v>
      </c>
      <c r="L2103" s="1" t="str">
        <f aca="false">IF(A2103="","",IF(AND(E2103&gt;=0,E2103&lt;=23),"OK","CHECK"))</f>
        <v>OK</v>
      </c>
      <c r="M2103" s="1" t="str">
        <f aca="false">IF(A2103="","",IF(AND(K2103="OK",L2103="OK"),"OK","CHECK"))</f>
        <v>OK</v>
      </c>
    </row>
    <row r="2104" customFormat="false" ht="18" hidden="false" customHeight="true" outlineLevel="0" collapsed="false">
      <c r="A2104" s="9" t="s">
        <v>26</v>
      </c>
      <c r="B2104" s="9" t="n">
        <v>25</v>
      </c>
      <c r="C2104" s="11" t="n">
        <v>45948</v>
      </c>
      <c r="D2104" s="9" t="s">
        <v>170</v>
      </c>
      <c r="E2104" s="12" t="n">
        <v>16</v>
      </c>
      <c r="F2104" s="9" t="s">
        <v>31</v>
      </c>
      <c r="G2104" s="13" t="n">
        <v>100</v>
      </c>
      <c r="H2104" s="9" t="s">
        <v>33</v>
      </c>
      <c r="I2104" s="13" t="n">
        <v>2</v>
      </c>
      <c r="J2104" s="1" t="str">
        <f aca="false">IF(A2104="","", "SAMP-"&amp;A2104&amp;"-L"&amp;TEXT(B2104,"00")&amp;"-"&amp;TEXT(C2104,"yyyymmdd")&amp;"-"&amp;D2104&amp;"-H"&amp;TEXT(E2104,"00")&amp;"-"&amp;H2104)</f>
        <v>SAMP-KG01-L25-20251018-ORD-2025-00281-H16-Distortion</v>
      </c>
      <c r="K2104" s="1" t="str">
        <f aca="false">IF(A2104="","",IF(AND(G2104&gt;=0,I2104&gt;=0,I2104&lt;=G2104),"OK","CHECK"))</f>
        <v>OK</v>
      </c>
      <c r="L2104" s="1" t="str">
        <f aca="false">IF(A2104="","",IF(AND(E2104&gt;=0,E2104&lt;=23),"OK","CHECK"))</f>
        <v>OK</v>
      </c>
      <c r="M2104" s="1" t="str">
        <f aca="false">IF(A2104="","",IF(AND(K2104="OK",L2104="OK"),"OK","CHECK"))</f>
        <v>OK</v>
      </c>
    </row>
    <row r="2105" customFormat="false" ht="18" hidden="false" customHeight="true" outlineLevel="0" collapsed="false">
      <c r="A2105" s="9" t="s">
        <v>26</v>
      </c>
      <c r="B2105" s="9" t="n">
        <v>25</v>
      </c>
      <c r="C2105" s="11" t="n">
        <v>45948</v>
      </c>
      <c r="D2105" s="9" t="s">
        <v>170</v>
      </c>
      <c r="E2105" s="12" t="n">
        <v>23</v>
      </c>
      <c r="F2105" s="9" t="s">
        <v>31</v>
      </c>
      <c r="G2105" s="13" t="n">
        <v>50</v>
      </c>
      <c r="H2105" s="9" t="s">
        <v>29</v>
      </c>
      <c r="I2105" s="13" t="n">
        <v>2</v>
      </c>
      <c r="J2105" s="1" t="str">
        <f aca="false">IF(A2105="","", "SAMP-"&amp;A2105&amp;"-L"&amp;TEXT(B2105,"00")&amp;"-"&amp;TEXT(C2105,"yyyymmdd")&amp;"-"&amp;D2105&amp;"-H"&amp;TEXT(E2105,"00")&amp;"-"&amp;H2105)</f>
        <v>SAMP-KG01-L25-20251018-ORD-2025-00281-H23-Choke Neck</v>
      </c>
      <c r="K2105" s="1" t="str">
        <f aca="false">IF(A2105="","",IF(AND(G2105&gt;=0,I2105&gt;=0,I2105&lt;=G2105),"OK","CHECK"))</f>
        <v>OK</v>
      </c>
      <c r="L2105" s="1" t="str">
        <f aca="false">IF(A2105="","",IF(AND(E2105&gt;=0,E2105&lt;=23),"OK","CHECK"))</f>
        <v>OK</v>
      </c>
      <c r="M2105" s="1" t="str">
        <f aca="false">IF(A2105="","",IF(AND(K2105="OK",L2105="OK"),"OK","CHECK"))</f>
        <v>OK</v>
      </c>
    </row>
    <row r="2106" customFormat="false" ht="18" hidden="false" customHeight="true" outlineLevel="0" collapsed="false">
      <c r="A2106" s="9" t="s">
        <v>26</v>
      </c>
      <c r="B2106" s="9" t="n">
        <v>25</v>
      </c>
      <c r="C2106" s="11" t="n">
        <v>45948</v>
      </c>
      <c r="D2106" s="9" t="s">
        <v>170</v>
      </c>
      <c r="E2106" s="12" t="n">
        <v>20</v>
      </c>
      <c r="F2106" s="9" t="s">
        <v>31</v>
      </c>
      <c r="G2106" s="13" t="n">
        <v>200</v>
      </c>
      <c r="H2106" s="9" t="s">
        <v>30</v>
      </c>
      <c r="I2106" s="13" t="n">
        <v>6</v>
      </c>
      <c r="J2106" s="1" t="str">
        <f aca="false">IF(A2106="","", "SAMP-"&amp;A2106&amp;"-L"&amp;TEXT(B2106,"00")&amp;"-"&amp;TEXT(C2106,"yyyymmdd")&amp;"-"&amp;D2106&amp;"-H"&amp;TEXT(E2106,"00")&amp;"-"&amp;H2106)</f>
        <v>SAMP-KG01-L25-20251018-ORD-2025-00281-H20-Overpress</v>
      </c>
      <c r="K2106" s="1" t="str">
        <f aca="false">IF(A2106="","",IF(AND(G2106&gt;=0,I2106&gt;=0,I2106&lt;=G2106),"OK","CHECK"))</f>
        <v>OK</v>
      </c>
      <c r="L2106" s="1" t="str">
        <f aca="false">IF(A2106="","",IF(AND(E2106&gt;=0,E2106&lt;=23),"OK","CHECK"))</f>
        <v>OK</v>
      </c>
      <c r="M2106" s="1" t="str">
        <f aca="false">IF(A2106="","",IF(AND(K2106="OK",L2106="OK"),"OK","CHECK"))</f>
        <v>OK</v>
      </c>
    </row>
    <row r="2107" customFormat="false" ht="18" hidden="false" customHeight="true" outlineLevel="0" collapsed="false">
      <c r="A2107" s="9" t="s">
        <v>26</v>
      </c>
      <c r="B2107" s="9" t="n">
        <v>25</v>
      </c>
      <c r="C2107" s="11" t="n">
        <v>45949</v>
      </c>
      <c r="D2107" s="9" t="s">
        <v>170</v>
      </c>
      <c r="E2107" s="12" t="n">
        <v>12</v>
      </c>
      <c r="F2107" s="9" t="s">
        <v>28</v>
      </c>
      <c r="G2107" s="13" t="n">
        <v>150</v>
      </c>
      <c r="H2107" s="9" t="s">
        <v>35</v>
      </c>
      <c r="I2107" s="13" t="n">
        <v>2</v>
      </c>
      <c r="J2107" s="1" t="str">
        <f aca="false">IF(A2107="","", "SAMP-"&amp;A2107&amp;"-L"&amp;TEXT(B2107,"00")&amp;"-"&amp;TEXT(C2107,"yyyymmdd")&amp;"-"&amp;D2107&amp;"-H"&amp;TEXT(E2107,"00")&amp;"-"&amp;H2107)</f>
        <v>SAMP-KG01-L25-20251019-ORD-2025-00281-H12-Stone</v>
      </c>
      <c r="K2107" s="1" t="str">
        <f aca="false">IF(A2107="","",IF(AND(G2107&gt;=0,I2107&gt;=0,I2107&lt;=G2107),"OK","CHECK"))</f>
        <v>OK</v>
      </c>
      <c r="L2107" s="1" t="str">
        <f aca="false">IF(A2107="","",IF(AND(E2107&gt;=0,E2107&lt;=23),"OK","CHECK"))</f>
        <v>OK</v>
      </c>
      <c r="M2107" s="1" t="str">
        <f aca="false">IF(A2107="","",IF(AND(K2107="OK",L2107="OK"),"OK","CHECK"))</f>
        <v>OK</v>
      </c>
    </row>
    <row r="2108" customFormat="false" ht="18" hidden="false" customHeight="true" outlineLevel="0" collapsed="false">
      <c r="A2108" s="9" t="s">
        <v>26</v>
      </c>
      <c r="B2108" s="9" t="n">
        <v>25</v>
      </c>
      <c r="C2108" s="11" t="n">
        <v>45949</v>
      </c>
      <c r="D2108" s="9" t="s">
        <v>170</v>
      </c>
      <c r="E2108" s="12" t="n">
        <v>9</v>
      </c>
      <c r="F2108" s="9" t="s">
        <v>28</v>
      </c>
      <c r="G2108" s="13" t="n">
        <v>100</v>
      </c>
      <c r="H2108" s="9" t="s">
        <v>35</v>
      </c>
      <c r="I2108" s="13" t="n">
        <v>2</v>
      </c>
      <c r="J2108" s="1" t="str">
        <f aca="false">IF(A2108="","", "SAMP-"&amp;A2108&amp;"-L"&amp;TEXT(B2108,"00")&amp;"-"&amp;TEXT(C2108,"yyyymmdd")&amp;"-"&amp;D2108&amp;"-H"&amp;TEXT(E2108,"00")&amp;"-"&amp;H2108)</f>
        <v>SAMP-KG01-L25-20251019-ORD-2025-00281-H09-Stone</v>
      </c>
      <c r="K2108" s="1" t="str">
        <f aca="false">IF(A2108="","",IF(AND(G2108&gt;=0,I2108&gt;=0,I2108&lt;=G2108),"OK","CHECK"))</f>
        <v>OK</v>
      </c>
      <c r="L2108" s="1" t="str">
        <f aca="false">IF(A2108="","",IF(AND(E2108&gt;=0,E2108&lt;=23),"OK","CHECK"))</f>
        <v>OK</v>
      </c>
      <c r="M2108" s="1" t="str">
        <f aca="false">IF(A2108="","",IF(AND(K2108="OK",L2108="OK"),"OK","CHECK"))</f>
        <v>OK</v>
      </c>
    </row>
    <row r="2109" customFormat="false" ht="18" hidden="false" customHeight="true" outlineLevel="0" collapsed="false">
      <c r="A2109" s="9" t="s">
        <v>26</v>
      </c>
      <c r="B2109" s="9" t="n">
        <v>25</v>
      </c>
      <c r="C2109" s="11" t="n">
        <v>45949</v>
      </c>
      <c r="D2109" s="9" t="s">
        <v>170</v>
      </c>
      <c r="E2109" s="12" t="n">
        <v>23</v>
      </c>
      <c r="F2109" s="9" t="s">
        <v>31</v>
      </c>
      <c r="G2109" s="13" t="n">
        <v>150</v>
      </c>
      <c r="H2109" s="9" t="s">
        <v>38</v>
      </c>
      <c r="I2109" s="13" t="n">
        <v>6</v>
      </c>
      <c r="J2109" s="1" t="str">
        <f aca="false">IF(A2109="","", "SAMP-"&amp;A2109&amp;"-L"&amp;TEXT(B2109,"00")&amp;"-"&amp;TEXT(C2109,"yyyymmdd")&amp;"-"&amp;D2109&amp;"-H"&amp;TEXT(E2109,"00")&amp;"-"&amp;H2109)</f>
        <v>SAMP-KG01-L25-20251019-ORD-2025-00281-H23-Crack</v>
      </c>
      <c r="K2109" s="1" t="str">
        <f aca="false">IF(A2109="","",IF(AND(G2109&gt;=0,I2109&gt;=0,I2109&lt;=G2109),"OK","CHECK"))</f>
        <v>OK</v>
      </c>
      <c r="L2109" s="1" t="str">
        <f aca="false">IF(A2109="","",IF(AND(E2109&gt;=0,E2109&lt;=23),"OK","CHECK"))</f>
        <v>OK</v>
      </c>
      <c r="M2109" s="1" t="str">
        <f aca="false">IF(A2109="","",IF(AND(K2109="OK",L2109="OK"),"OK","CHECK"))</f>
        <v>OK</v>
      </c>
    </row>
    <row r="2110" customFormat="false" ht="18" hidden="false" customHeight="true" outlineLevel="0" collapsed="false">
      <c r="A2110" s="9" t="s">
        <v>26</v>
      </c>
      <c r="B2110" s="9" t="n">
        <v>25</v>
      </c>
      <c r="C2110" s="11" t="n">
        <v>45949</v>
      </c>
      <c r="D2110" s="9" t="s">
        <v>170</v>
      </c>
      <c r="E2110" s="12" t="n">
        <v>16</v>
      </c>
      <c r="F2110" s="9" t="s">
        <v>31</v>
      </c>
      <c r="G2110" s="13" t="n">
        <v>200</v>
      </c>
      <c r="H2110" s="9" t="s">
        <v>35</v>
      </c>
      <c r="I2110" s="13" t="n">
        <v>6</v>
      </c>
      <c r="J2110" s="1" t="str">
        <f aca="false">IF(A2110="","", "SAMP-"&amp;A2110&amp;"-L"&amp;TEXT(B2110,"00")&amp;"-"&amp;TEXT(C2110,"yyyymmdd")&amp;"-"&amp;D2110&amp;"-H"&amp;TEXT(E2110,"00")&amp;"-"&amp;H2110)</f>
        <v>SAMP-KG01-L25-20251019-ORD-2025-00281-H16-Stone</v>
      </c>
      <c r="K2110" s="1" t="str">
        <f aca="false">IF(A2110="","",IF(AND(G2110&gt;=0,I2110&gt;=0,I2110&lt;=G2110),"OK","CHECK"))</f>
        <v>OK</v>
      </c>
      <c r="L2110" s="1" t="str">
        <f aca="false">IF(A2110="","",IF(AND(E2110&gt;=0,E2110&lt;=23),"OK","CHECK"))</f>
        <v>OK</v>
      </c>
      <c r="M2110" s="1" t="str">
        <f aca="false">IF(A2110="","",IF(AND(K2110="OK",L2110="OK"),"OK","CHECK"))</f>
        <v>OK</v>
      </c>
    </row>
    <row r="2111" customFormat="false" ht="18" hidden="false" customHeight="true" outlineLevel="0" collapsed="false">
      <c r="A2111" s="9" t="s">
        <v>26</v>
      </c>
      <c r="B2111" s="9" t="n">
        <v>25</v>
      </c>
      <c r="C2111" s="11" t="n">
        <v>45949</v>
      </c>
      <c r="D2111" s="9" t="s">
        <v>170</v>
      </c>
      <c r="E2111" s="12" t="n">
        <v>20</v>
      </c>
      <c r="F2111" s="9" t="s">
        <v>31</v>
      </c>
      <c r="G2111" s="13" t="n">
        <v>50</v>
      </c>
      <c r="H2111" s="9" t="s">
        <v>37</v>
      </c>
      <c r="I2111" s="13" t="n">
        <v>2</v>
      </c>
      <c r="J2111" s="1" t="str">
        <f aca="false">IF(A2111="","", "SAMP-"&amp;A2111&amp;"-L"&amp;TEXT(B2111,"00")&amp;"-"&amp;TEXT(C2111,"yyyymmdd")&amp;"-"&amp;D2111&amp;"-H"&amp;TEXT(E2111,"00")&amp;"-"&amp;H2111)</f>
        <v>SAMP-KG01-L25-20251019-ORD-2025-00281-H20-Bird Swing</v>
      </c>
      <c r="K2111" s="1" t="str">
        <f aca="false">IF(A2111="","",IF(AND(G2111&gt;=0,I2111&gt;=0,I2111&lt;=G2111),"OK","CHECK"))</f>
        <v>OK</v>
      </c>
      <c r="L2111" s="1" t="str">
        <f aca="false">IF(A2111="","",IF(AND(E2111&gt;=0,E2111&lt;=23),"OK","CHECK"))</f>
        <v>OK</v>
      </c>
      <c r="M2111" s="1" t="str">
        <f aca="false">IF(A2111="","",IF(AND(K2111="OK",L2111="OK"),"OK","CHECK"))</f>
        <v>OK</v>
      </c>
    </row>
    <row r="2112" customFormat="false" ht="18" hidden="false" customHeight="true" outlineLevel="0" collapsed="false">
      <c r="A2112" s="9" t="s">
        <v>26</v>
      </c>
      <c r="B2112" s="9" t="n">
        <v>25</v>
      </c>
      <c r="C2112" s="11" t="n">
        <v>45957</v>
      </c>
      <c r="D2112" s="9" t="s">
        <v>171</v>
      </c>
      <c r="E2112" s="12" t="n">
        <v>12</v>
      </c>
      <c r="F2112" s="9" t="s">
        <v>28</v>
      </c>
      <c r="G2112" s="13" t="n">
        <v>200</v>
      </c>
      <c r="H2112" s="9" t="s">
        <v>38</v>
      </c>
      <c r="I2112" s="13" t="n">
        <v>4</v>
      </c>
      <c r="J2112" s="1" t="str">
        <f aca="false">IF(A2112="","", "SAMP-"&amp;A2112&amp;"-L"&amp;TEXT(B2112,"00")&amp;"-"&amp;TEXT(C2112,"yyyymmdd")&amp;"-"&amp;D2112&amp;"-H"&amp;TEXT(E2112,"00")&amp;"-"&amp;H2112)</f>
        <v>SAMP-KG01-L25-20251027-ORD-2025-00282-H12-Crack</v>
      </c>
      <c r="K2112" s="1" t="str">
        <f aca="false">IF(A2112="","",IF(AND(G2112&gt;=0,I2112&gt;=0,I2112&lt;=G2112),"OK","CHECK"))</f>
        <v>OK</v>
      </c>
      <c r="L2112" s="1" t="str">
        <f aca="false">IF(A2112="","",IF(AND(E2112&gt;=0,E2112&lt;=23),"OK","CHECK"))</f>
        <v>OK</v>
      </c>
      <c r="M2112" s="1" t="str">
        <f aca="false">IF(A2112="","",IF(AND(K2112="OK",L2112="OK"),"OK","CHECK"))</f>
        <v>OK</v>
      </c>
    </row>
    <row r="2113" customFormat="false" ht="18" hidden="false" customHeight="true" outlineLevel="0" collapsed="false">
      <c r="A2113" s="9" t="s">
        <v>26</v>
      </c>
      <c r="B2113" s="9" t="n">
        <v>25</v>
      </c>
      <c r="C2113" s="11" t="n">
        <v>45957</v>
      </c>
      <c r="D2113" s="9" t="s">
        <v>171</v>
      </c>
      <c r="E2113" s="12" t="n">
        <v>9</v>
      </c>
      <c r="F2113" s="9" t="s">
        <v>28</v>
      </c>
      <c r="G2113" s="13" t="n">
        <v>200</v>
      </c>
      <c r="H2113" s="9" t="s">
        <v>35</v>
      </c>
      <c r="I2113" s="13" t="n">
        <v>7</v>
      </c>
      <c r="J2113" s="1" t="str">
        <f aca="false">IF(A2113="","", "SAMP-"&amp;A2113&amp;"-L"&amp;TEXT(B2113,"00")&amp;"-"&amp;TEXT(C2113,"yyyymmdd")&amp;"-"&amp;D2113&amp;"-H"&amp;TEXT(E2113,"00")&amp;"-"&amp;H2113)</f>
        <v>SAMP-KG01-L25-20251027-ORD-2025-00282-H09-Stone</v>
      </c>
      <c r="K2113" s="1" t="str">
        <f aca="false">IF(A2113="","",IF(AND(G2113&gt;=0,I2113&gt;=0,I2113&lt;=G2113),"OK","CHECK"))</f>
        <v>OK</v>
      </c>
      <c r="L2113" s="1" t="str">
        <f aca="false">IF(A2113="","",IF(AND(E2113&gt;=0,E2113&lt;=23),"OK","CHECK"))</f>
        <v>OK</v>
      </c>
      <c r="M2113" s="1" t="str">
        <f aca="false">IF(A2113="","",IF(AND(K2113="OK",L2113="OK"),"OK","CHECK"))</f>
        <v>OK</v>
      </c>
    </row>
    <row r="2114" customFormat="false" ht="18" hidden="false" customHeight="true" outlineLevel="0" collapsed="false">
      <c r="A2114" s="9" t="s">
        <v>26</v>
      </c>
      <c r="B2114" s="9" t="n">
        <v>25</v>
      </c>
      <c r="C2114" s="11" t="n">
        <v>45957</v>
      </c>
      <c r="D2114" s="9" t="s">
        <v>171</v>
      </c>
      <c r="E2114" s="12" t="n">
        <v>7</v>
      </c>
      <c r="F2114" s="9" t="s">
        <v>28</v>
      </c>
      <c r="G2114" s="13" t="n">
        <v>150</v>
      </c>
      <c r="H2114" s="9" t="s">
        <v>33</v>
      </c>
      <c r="I2114" s="13" t="n">
        <v>3</v>
      </c>
      <c r="J2114" s="1" t="str">
        <f aca="false">IF(A2114="","", "SAMP-"&amp;A2114&amp;"-L"&amp;TEXT(B2114,"00")&amp;"-"&amp;TEXT(C2114,"yyyymmdd")&amp;"-"&amp;D2114&amp;"-H"&amp;TEXT(E2114,"00")&amp;"-"&amp;H2114)</f>
        <v>SAMP-KG01-L25-20251027-ORD-2025-00282-H07-Distortion</v>
      </c>
      <c r="K2114" s="1" t="str">
        <f aca="false">IF(A2114="","",IF(AND(G2114&gt;=0,I2114&gt;=0,I2114&lt;=G2114),"OK","CHECK"))</f>
        <v>OK</v>
      </c>
      <c r="L2114" s="1" t="str">
        <f aca="false">IF(A2114="","",IF(AND(E2114&gt;=0,E2114&lt;=23),"OK","CHECK"))</f>
        <v>OK</v>
      </c>
      <c r="M2114" s="1" t="str">
        <f aca="false">IF(A2114="","",IF(AND(K2114="OK",L2114="OK"),"OK","CHECK"))</f>
        <v>OK</v>
      </c>
    </row>
    <row r="2115" customFormat="false" ht="18" hidden="false" customHeight="true" outlineLevel="0" collapsed="false">
      <c r="A2115" s="9" t="s">
        <v>26</v>
      </c>
      <c r="B2115" s="9" t="n">
        <v>25</v>
      </c>
      <c r="C2115" s="11" t="n">
        <v>45957</v>
      </c>
      <c r="D2115" s="9" t="s">
        <v>171</v>
      </c>
      <c r="E2115" s="12" t="n">
        <v>20</v>
      </c>
      <c r="F2115" s="9" t="s">
        <v>31</v>
      </c>
      <c r="G2115" s="13" t="n">
        <v>150</v>
      </c>
      <c r="H2115" s="9" t="s">
        <v>34</v>
      </c>
      <c r="I2115" s="13" t="n">
        <v>4</v>
      </c>
      <c r="J2115" s="1" t="str">
        <f aca="false">IF(A2115="","", "SAMP-"&amp;A2115&amp;"-L"&amp;TEXT(B2115,"00")&amp;"-"&amp;TEXT(C2115,"yyyymmdd")&amp;"-"&amp;D2115&amp;"-H"&amp;TEXT(E2115,"00")&amp;"-"&amp;H2115)</f>
        <v>SAMP-KG01-L25-20251027-ORD-2025-00282-H20-Thin Wall</v>
      </c>
      <c r="K2115" s="1" t="str">
        <f aca="false">IF(A2115="","",IF(AND(G2115&gt;=0,I2115&gt;=0,I2115&lt;=G2115),"OK","CHECK"))</f>
        <v>OK</v>
      </c>
      <c r="L2115" s="1" t="str">
        <f aca="false">IF(A2115="","",IF(AND(E2115&gt;=0,E2115&lt;=23),"OK","CHECK"))</f>
        <v>OK</v>
      </c>
      <c r="M2115" s="1" t="str">
        <f aca="false">IF(A2115="","",IF(AND(K2115="OK",L2115="OK"),"OK","CHECK"))</f>
        <v>OK</v>
      </c>
    </row>
    <row r="2116" customFormat="false" ht="18" hidden="false" customHeight="true" outlineLevel="0" collapsed="false">
      <c r="A2116" s="9" t="s">
        <v>26</v>
      </c>
      <c r="B2116" s="9" t="n">
        <v>25</v>
      </c>
      <c r="C2116" s="11" t="n">
        <v>45957</v>
      </c>
      <c r="D2116" s="9" t="s">
        <v>171</v>
      </c>
      <c r="E2116" s="12" t="n">
        <v>23</v>
      </c>
      <c r="F2116" s="9" t="s">
        <v>31</v>
      </c>
      <c r="G2116" s="13" t="n">
        <v>50</v>
      </c>
      <c r="H2116" s="9" t="s">
        <v>29</v>
      </c>
      <c r="I2116" s="13" t="n">
        <v>1</v>
      </c>
      <c r="J2116" s="1" t="str">
        <f aca="false">IF(A2116="","", "SAMP-"&amp;A2116&amp;"-L"&amp;TEXT(B2116,"00")&amp;"-"&amp;TEXT(C2116,"yyyymmdd")&amp;"-"&amp;D2116&amp;"-H"&amp;TEXT(E2116,"00")&amp;"-"&amp;H2116)</f>
        <v>SAMP-KG01-L25-20251027-ORD-2025-00282-H23-Choke Neck</v>
      </c>
      <c r="K2116" s="1" t="str">
        <f aca="false">IF(A2116="","",IF(AND(G2116&gt;=0,I2116&gt;=0,I2116&lt;=G2116),"OK","CHECK"))</f>
        <v>OK</v>
      </c>
      <c r="L2116" s="1" t="str">
        <f aca="false">IF(A2116="","",IF(AND(E2116&gt;=0,E2116&lt;=23),"OK","CHECK"))</f>
        <v>OK</v>
      </c>
      <c r="M2116" s="1" t="str">
        <f aca="false">IF(A2116="","",IF(AND(K2116="OK",L2116="OK"),"OK","CHECK"))</f>
        <v>OK</v>
      </c>
    </row>
    <row r="2117" customFormat="false" ht="18" hidden="false" customHeight="true" outlineLevel="0" collapsed="false">
      <c r="A2117" s="9" t="s">
        <v>26</v>
      </c>
      <c r="B2117" s="9" t="n">
        <v>25</v>
      </c>
      <c r="C2117" s="11" t="n">
        <v>45957</v>
      </c>
      <c r="D2117" s="9" t="s">
        <v>171</v>
      </c>
      <c r="E2117" s="12" t="n">
        <v>16</v>
      </c>
      <c r="F2117" s="9" t="s">
        <v>31</v>
      </c>
      <c r="G2117" s="13" t="n">
        <v>150</v>
      </c>
      <c r="H2117" s="9" t="s">
        <v>35</v>
      </c>
      <c r="I2117" s="13" t="n">
        <v>3</v>
      </c>
      <c r="J2117" s="1" t="str">
        <f aca="false">IF(A2117="","", "SAMP-"&amp;A2117&amp;"-L"&amp;TEXT(B2117,"00")&amp;"-"&amp;TEXT(C2117,"yyyymmdd")&amp;"-"&amp;D2117&amp;"-H"&amp;TEXT(E2117,"00")&amp;"-"&amp;H2117)</f>
        <v>SAMP-KG01-L25-20251027-ORD-2025-00282-H16-Stone</v>
      </c>
      <c r="K2117" s="1" t="str">
        <f aca="false">IF(A2117="","",IF(AND(G2117&gt;=0,I2117&gt;=0,I2117&lt;=G2117),"OK","CHECK"))</f>
        <v>OK</v>
      </c>
      <c r="L2117" s="1" t="str">
        <f aca="false">IF(A2117="","",IF(AND(E2117&gt;=0,E2117&lt;=23),"OK","CHECK"))</f>
        <v>OK</v>
      </c>
      <c r="M2117" s="1" t="str">
        <f aca="false">IF(A2117="","",IF(AND(K2117="OK",L2117="OK"),"OK","CHECK"))</f>
        <v>OK</v>
      </c>
    </row>
    <row r="2118" customFormat="false" ht="18" hidden="false" customHeight="true" outlineLevel="0" collapsed="false">
      <c r="A2118" s="9" t="s">
        <v>26</v>
      </c>
      <c r="B2118" s="9" t="n">
        <v>25</v>
      </c>
      <c r="C2118" s="11" t="n">
        <v>45958</v>
      </c>
      <c r="D2118" s="9" t="s">
        <v>171</v>
      </c>
      <c r="E2118" s="12" t="n">
        <v>12</v>
      </c>
      <c r="F2118" s="9" t="s">
        <v>28</v>
      </c>
      <c r="G2118" s="13" t="n">
        <v>150</v>
      </c>
      <c r="H2118" s="9" t="s">
        <v>35</v>
      </c>
      <c r="I2118" s="13" t="n">
        <v>3</v>
      </c>
      <c r="J2118" s="1" t="str">
        <f aca="false">IF(A2118="","", "SAMP-"&amp;A2118&amp;"-L"&amp;TEXT(B2118,"00")&amp;"-"&amp;TEXT(C2118,"yyyymmdd")&amp;"-"&amp;D2118&amp;"-H"&amp;TEXT(E2118,"00")&amp;"-"&amp;H2118)</f>
        <v>SAMP-KG01-L25-20251028-ORD-2025-00282-H12-Stone</v>
      </c>
      <c r="K2118" s="1" t="str">
        <f aca="false">IF(A2118="","",IF(AND(G2118&gt;=0,I2118&gt;=0,I2118&lt;=G2118),"OK","CHECK"))</f>
        <v>OK</v>
      </c>
      <c r="L2118" s="1" t="str">
        <f aca="false">IF(A2118="","",IF(AND(E2118&gt;=0,E2118&lt;=23),"OK","CHECK"))</f>
        <v>OK</v>
      </c>
      <c r="M2118" s="1" t="str">
        <f aca="false">IF(A2118="","",IF(AND(K2118="OK",L2118="OK"),"OK","CHECK"))</f>
        <v>OK</v>
      </c>
    </row>
    <row r="2119" customFormat="false" ht="18" hidden="false" customHeight="true" outlineLevel="0" collapsed="false">
      <c r="A2119" s="9" t="s">
        <v>26</v>
      </c>
      <c r="B2119" s="9" t="n">
        <v>25</v>
      </c>
      <c r="C2119" s="11" t="n">
        <v>45958</v>
      </c>
      <c r="D2119" s="9" t="s">
        <v>171</v>
      </c>
      <c r="E2119" s="12" t="n">
        <v>9</v>
      </c>
      <c r="F2119" s="9" t="s">
        <v>28</v>
      </c>
      <c r="G2119" s="13" t="n">
        <v>200</v>
      </c>
      <c r="H2119" s="9" t="s">
        <v>30</v>
      </c>
      <c r="I2119" s="13" t="n">
        <v>0</v>
      </c>
      <c r="J2119" s="1" t="str">
        <f aca="false">IF(A2119="","", "SAMP-"&amp;A2119&amp;"-L"&amp;TEXT(B2119,"00")&amp;"-"&amp;TEXT(C2119,"yyyymmdd")&amp;"-"&amp;D2119&amp;"-H"&amp;TEXT(E2119,"00")&amp;"-"&amp;H2119)</f>
        <v>SAMP-KG01-L25-20251028-ORD-2025-00282-H09-Overpress</v>
      </c>
      <c r="K2119" s="1" t="str">
        <f aca="false">IF(A2119="","",IF(AND(G2119&gt;=0,I2119&gt;=0,I2119&lt;=G2119),"OK","CHECK"))</f>
        <v>OK</v>
      </c>
      <c r="L2119" s="1" t="str">
        <f aca="false">IF(A2119="","",IF(AND(E2119&gt;=0,E2119&lt;=23),"OK","CHECK"))</f>
        <v>OK</v>
      </c>
      <c r="M2119" s="1" t="str">
        <f aca="false">IF(A2119="","",IF(AND(K2119="OK",L2119="OK"),"OK","CHECK"))</f>
        <v>OK</v>
      </c>
    </row>
    <row r="2120" customFormat="false" ht="18" hidden="false" customHeight="true" outlineLevel="0" collapsed="false">
      <c r="A2120" s="9" t="s">
        <v>26</v>
      </c>
      <c r="B2120" s="9" t="n">
        <v>25</v>
      </c>
      <c r="C2120" s="11" t="n">
        <v>45958</v>
      </c>
      <c r="D2120" s="9" t="s">
        <v>171</v>
      </c>
      <c r="E2120" s="12" t="n">
        <v>7</v>
      </c>
      <c r="F2120" s="9" t="s">
        <v>28</v>
      </c>
      <c r="G2120" s="13" t="n">
        <v>200</v>
      </c>
      <c r="H2120" s="9" t="s">
        <v>30</v>
      </c>
      <c r="I2120" s="13" t="n">
        <v>0</v>
      </c>
      <c r="J2120" s="1" t="str">
        <f aca="false">IF(A2120="","", "SAMP-"&amp;A2120&amp;"-L"&amp;TEXT(B2120,"00")&amp;"-"&amp;TEXT(C2120,"yyyymmdd")&amp;"-"&amp;D2120&amp;"-H"&amp;TEXT(E2120,"00")&amp;"-"&amp;H2120)</f>
        <v>SAMP-KG01-L25-20251028-ORD-2025-00282-H07-Overpress</v>
      </c>
      <c r="K2120" s="1" t="str">
        <f aca="false">IF(A2120="","",IF(AND(G2120&gt;=0,I2120&gt;=0,I2120&lt;=G2120),"OK","CHECK"))</f>
        <v>OK</v>
      </c>
      <c r="L2120" s="1" t="str">
        <f aca="false">IF(A2120="","",IF(AND(E2120&gt;=0,E2120&lt;=23),"OK","CHECK"))</f>
        <v>OK</v>
      </c>
      <c r="M2120" s="1" t="str">
        <f aca="false">IF(A2120="","",IF(AND(K2120="OK",L2120="OK"),"OK","CHECK"))</f>
        <v>OK</v>
      </c>
    </row>
    <row r="2121" customFormat="false" ht="18" hidden="false" customHeight="true" outlineLevel="0" collapsed="false">
      <c r="A2121" s="9" t="s">
        <v>26</v>
      </c>
      <c r="B2121" s="9" t="n">
        <v>25</v>
      </c>
      <c r="C2121" s="11" t="n">
        <v>45958</v>
      </c>
      <c r="D2121" s="9" t="s">
        <v>171</v>
      </c>
      <c r="E2121" s="12" t="n">
        <v>20</v>
      </c>
      <c r="F2121" s="9" t="s">
        <v>31</v>
      </c>
      <c r="G2121" s="13" t="n">
        <v>50</v>
      </c>
      <c r="H2121" s="9" t="s">
        <v>34</v>
      </c>
      <c r="I2121" s="13" t="n">
        <v>1</v>
      </c>
      <c r="J2121" s="1" t="str">
        <f aca="false">IF(A2121="","", "SAMP-"&amp;A2121&amp;"-L"&amp;TEXT(B2121,"00")&amp;"-"&amp;TEXT(C2121,"yyyymmdd")&amp;"-"&amp;D2121&amp;"-H"&amp;TEXT(E2121,"00")&amp;"-"&amp;H2121)</f>
        <v>SAMP-KG01-L25-20251028-ORD-2025-00282-H20-Thin Wall</v>
      </c>
      <c r="K2121" s="1" t="str">
        <f aca="false">IF(A2121="","",IF(AND(G2121&gt;=0,I2121&gt;=0,I2121&lt;=G2121),"OK","CHECK"))</f>
        <v>OK</v>
      </c>
      <c r="L2121" s="1" t="str">
        <f aca="false">IF(A2121="","",IF(AND(E2121&gt;=0,E2121&lt;=23),"OK","CHECK"))</f>
        <v>OK</v>
      </c>
      <c r="M2121" s="1" t="str">
        <f aca="false">IF(A2121="","",IF(AND(K2121="OK",L2121="OK"),"OK","CHECK"))</f>
        <v>OK</v>
      </c>
    </row>
    <row r="2122" customFormat="false" ht="18" hidden="false" customHeight="true" outlineLevel="0" collapsed="false">
      <c r="A2122" s="9" t="s">
        <v>26</v>
      </c>
      <c r="B2122" s="9" t="n">
        <v>25</v>
      </c>
      <c r="C2122" s="11" t="n">
        <v>45958</v>
      </c>
      <c r="D2122" s="9" t="s">
        <v>171</v>
      </c>
      <c r="E2122" s="12" t="n">
        <v>16</v>
      </c>
      <c r="F2122" s="9" t="s">
        <v>31</v>
      </c>
      <c r="G2122" s="13" t="n">
        <v>50</v>
      </c>
      <c r="H2122" s="9" t="s">
        <v>30</v>
      </c>
      <c r="I2122" s="13" t="n">
        <v>1</v>
      </c>
      <c r="J2122" s="1" t="str">
        <f aca="false">IF(A2122="","", "SAMP-"&amp;A2122&amp;"-L"&amp;TEXT(B2122,"00")&amp;"-"&amp;TEXT(C2122,"yyyymmdd")&amp;"-"&amp;D2122&amp;"-H"&amp;TEXT(E2122,"00")&amp;"-"&amp;H2122)</f>
        <v>SAMP-KG01-L25-20251028-ORD-2025-00282-H16-Overpress</v>
      </c>
      <c r="K2122" s="1" t="str">
        <f aca="false">IF(A2122="","",IF(AND(G2122&gt;=0,I2122&gt;=0,I2122&lt;=G2122),"OK","CHECK"))</f>
        <v>OK</v>
      </c>
      <c r="L2122" s="1" t="str">
        <f aca="false">IF(A2122="","",IF(AND(E2122&gt;=0,E2122&lt;=23),"OK","CHECK"))</f>
        <v>OK</v>
      </c>
      <c r="M2122" s="1" t="str">
        <f aca="false">IF(A2122="","",IF(AND(K2122="OK",L2122="OK"),"OK","CHECK"))</f>
        <v>OK</v>
      </c>
    </row>
    <row r="2123" customFormat="false" ht="18" hidden="false" customHeight="true" outlineLevel="0" collapsed="false">
      <c r="A2123" s="9" t="s">
        <v>26</v>
      </c>
      <c r="B2123" s="9" t="n">
        <v>25</v>
      </c>
      <c r="C2123" s="11" t="n">
        <v>45958</v>
      </c>
      <c r="D2123" s="9" t="s">
        <v>171</v>
      </c>
      <c r="E2123" s="12" t="n">
        <v>23</v>
      </c>
      <c r="F2123" s="9" t="s">
        <v>31</v>
      </c>
      <c r="G2123" s="13" t="n">
        <v>150</v>
      </c>
      <c r="H2123" s="9" t="s">
        <v>34</v>
      </c>
      <c r="I2123" s="13" t="n">
        <v>3</v>
      </c>
      <c r="J2123" s="1" t="str">
        <f aca="false">IF(A2123="","", "SAMP-"&amp;A2123&amp;"-L"&amp;TEXT(B2123,"00")&amp;"-"&amp;TEXT(C2123,"yyyymmdd")&amp;"-"&amp;D2123&amp;"-H"&amp;TEXT(E2123,"00")&amp;"-"&amp;H2123)</f>
        <v>SAMP-KG01-L25-20251028-ORD-2025-00282-H23-Thin Wall</v>
      </c>
      <c r="K2123" s="1" t="str">
        <f aca="false">IF(A2123="","",IF(AND(G2123&gt;=0,I2123&gt;=0,I2123&lt;=G2123),"OK","CHECK"))</f>
        <v>OK</v>
      </c>
      <c r="L2123" s="1" t="str">
        <f aca="false">IF(A2123="","",IF(AND(E2123&gt;=0,E2123&lt;=23),"OK","CHECK"))</f>
        <v>OK</v>
      </c>
      <c r="M2123" s="1" t="str">
        <f aca="false">IF(A2123="","",IF(AND(K2123="OK",L2123="OK"),"OK","CHECK"))</f>
        <v>OK</v>
      </c>
    </row>
    <row r="2124" customFormat="false" ht="18" hidden="false" customHeight="true" outlineLevel="0" collapsed="false">
      <c r="A2124" s="9" t="s">
        <v>26</v>
      </c>
      <c r="B2124" s="9" t="n">
        <v>25</v>
      </c>
      <c r="C2124" s="11" t="n">
        <v>45959</v>
      </c>
      <c r="D2124" s="9" t="s">
        <v>171</v>
      </c>
      <c r="E2124" s="12" t="n">
        <v>7</v>
      </c>
      <c r="F2124" s="9" t="s">
        <v>28</v>
      </c>
      <c r="G2124" s="13" t="n">
        <v>100</v>
      </c>
      <c r="H2124" s="9" t="s">
        <v>29</v>
      </c>
      <c r="I2124" s="13" t="n">
        <v>2</v>
      </c>
      <c r="J2124" s="1" t="str">
        <f aca="false">IF(A2124="","", "SAMP-"&amp;A2124&amp;"-L"&amp;TEXT(B2124,"00")&amp;"-"&amp;TEXT(C2124,"yyyymmdd")&amp;"-"&amp;D2124&amp;"-H"&amp;TEXT(E2124,"00")&amp;"-"&amp;H2124)</f>
        <v>SAMP-KG01-L25-20251029-ORD-2025-00282-H07-Choke Neck</v>
      </c>
      <c r="K2124" s="1" t="str">
        <f aca="false">IF(A2124="","",IF(AND(G2124&gt;=0,I2124&gt;=0,I2124&lt;=G2124),"OK","CHECK"))</f>
        <v>OK</v>
      </c>
      <c r="L2124" s="1" t="str">
        <f aca="false">IF(A2124="","",IF(AND(E2124&gt;=0,E2124&lt;=23),"OK","CHECK"))</f>
        <v>OK</v>
      </c>
      <c r="M2124" s="1" t="str">
        <f aca="false">IF(A2124="","",IF(AND(K2124="OK",L2124="OK"),"OK","CHECK"))</f>
        <v>OK</v>
      </c>
    </row>
    <row r="2125" customFormat="false" ht="18" hidden="false" customHeight="true" outlineLevel="0" collapsed="false">
      <c r="A2125" s="9" t="s">
        <v>26</v>
      </c>
      <c r="B2125" s="9" t="n">
        <v>25</v>
      </c>
      <c r="C2125" s="11" t="n">
        <v>45959</v>
      </c>
      <c r="D2125" s="9" t="s">
        <v>171</v>
      </c>
      <c r="E2125" s="12" t="n">
        <v>12</v>
      </c>
      <c r="F2125" s="9" t="s">
        <v>28</v>
      </c>
      <c r="G2125" s="13" t="n">
        <v>200</v>
      </c>
      <c r="H2125" s="9" t="s">
        <v>41</v>
      </c>
      <c r="I2125" s="13" t="n">
        <v>11</v>
      </c>
      <c r="J2125" s="1" t="str">
        <f aca="false">IF(A2125="","", "SAMP-"&amp;A2125&amp;"-L"&amp;TEXT(B2125,"00")&amp;"-"&amp;TEXT(C2125,"yyyymmdd")&amp;"-"&amp;D2125&amp;"-H"&amp;TEXT(E2125,"00")&amp;"-"&amp;H2125)</f>
        <v>SAMP-KG01-L25-20251029-ORD-2025-00282-H12-Chip</v>
      </c>
      <c r="K2125" s="1" t="str">
        <f aca="false">IF(A2125="","",IF(AND(G2125&gt;=0,I2125&gt;=0,I2125&lt;=G2125),"OK","CHECK"))</f>
        <v>OK</v>
      </c>
      <c r="L2125" s="1" t="str">
        <f aca="false">IF(A2125="","",IF(AND(E2125&gt;=0,E2125&lt;=23),"OK","CHECK"))</f>
        <v>OK</v>
      </c>
      <c r="M2125" s="1" t="str">
        <f aca="false">IF(A2125="","",IF(AND(K2125="OK",L2125="OK"),"OK","CHECK"))</f>
        <v>OK</v>
      </c>
    </row>
    <row r="2126" customFormat="false" ht="18" hidden="false" customHeight="true" outlineLevel="0" collapsed="false">
      <c r="A2126" s="9" t="s">
        <v>26</v>
      </c>
      <c r="B2126" s="9" t="n">
        <v>25</v>
      </c>
      <c r="C2126" s="11" t="n">
        <v>45959</v>
      </c>
      <c r="D2126" s="9" t="s">
        <v>171</v>
      </c>
      <c r="E2126" s="12" t="n">
        <v>20</v>
      </c>
      <c r="F2126" s="9" t="s">
        <v>31</v>
      </c>
      <c r="G2126" s="13" t="n">
        <v>200</v>
      </c>
      <c r="H2126" s="9" t="s">
        <v>30</v>
      </c>
      <c r="I2126" s="13" t="n">
        <v>4</v>
      </c>
      <c r="J2126" s="1" t="str">
        <f aca="false">IF(A2126="","", "SAMP-"&amp;A2126&amp;"-L"&amp;TEXT(B2126,"00")&amp;"-"&amp;TEXT(C2126,"yyyymmdd")&amp;"-"&amp;D2126&amp;"-H"&amp;TEXT(E2126,"00")&amp;"-"&amp;H2126)</f>
        <v>SAMP-KG01-L25-20251029-ORD-2025-00282-H20-Overpress</v>
      </c>
      <c r="K2126" s="1" t="str">
        <f aca="false">IF(A2126="","",IF(AND(G2126&gt;=0,I2126&gt;=0,I2126&lt;=G2126),"OK","CHECK"))</f>
        <v>OK</v>
      </c>
      <c r="L2126" s="1" t="str">
        <f aca="false">IF(A2126="","",IF(AND(E2126&gt;=0,E2126&lt;=23),"OK","CHECK"))</f>
        <v>OK</v>
      </c>
      <c r="M2126" s="1" t="str">
        <f aca="false">IF(A2126="","",IF(AND(K2126="OK",L2126="OK"),"OK","CHECK"))</f>
        <v>OK</v>
      </c>
    </row>
    <row r="2127" customFormat="false" ht="18" hidden="false" customHeight="true" outlineLevel="0" collapsed="false">
      <c r="A2127" s="9" t="s">
        <v>26</v>
      </c>
      <c r="B2127" s="9" t="n">
        <v>25</v>
      </c>
      <c r="C2127" s="11" t="n">
        <v>45959</v>
      </c>
      <c r="D2127" s="9" t="s">
        <v>171</v>
      </c>
      <c r="E2127" s="12" t="n">
        <v>23</v>
      </c>
      <c r="F2127" s="9" t="s">
        <v>31</v>
      </c>
      <c r="G2127" s="13" t="n">
        <v>150</v>
      </c>
      <c r="H2127" s="9" t="s">
        <v>41</v>
      </c>
      <c r="I2127" s="13" t="n">
        <v>3</v>
      </c>
      <c r="J2127" s="1" t="str">
        <f aca="false">IF(A2127="","", "SAMP-"&amp;A2127&amp;"-L"&amp;TEXT(B2127,"00")&amp;"-"&amp;TEXT(C2127,"yyyymmdd")&amp;"-"&amp;D2127&amp;"-H"&amp;TEXT(E2127,"00")&amp;"-"&amp;H2127)</f>
        <v>SAMP-KG01-L25-20251029-ORD-2025-00282-H23-Chip</v>
      </c>
      <c r="K2127" s="1" t="str">
        <f aca="false">IF(A2127="","",IF(AND(G2127&gt;=0,I2127&gt;=0,I2127&lt;=G2127),"OK","CHECK"))</f>
        <v>OK</v>
      </c>
      <c r="L2127" s="1" t="str">
        <f aca="false">IF(A2127="","",IF(AND(E2127&gt;=0,E2127&lt;=23),"OK","CHECK"))</f>
        <v>OK</v>
      </c>
      <c r="M2127" s="1" t="str">
        <f aca="false">IF(A2127="","",IF(AND(K2127="OK",L2127="OK"),"OK","CHECK"))</f>
        <v>OK</v>
      </c>
    </row>
    <row r="2128" customFormat="false" ht="18" hidden="false" customHeight="true" outlineLevel="0" collapsed="false">
      <c r="A2128" s="9" t="s">
        <v>26</v>
      </c>
      <c r="B2128" s="9" t="n">
        <v>25</v>
      </c>
      <c r="C2128" s="11" t="n">
        <v>45959</v>
      </c>
      <c r="D2128" s="9" t="s">
        <v>171</v>
      </c>
      <c r="E2128" s="12" t="n">
        <v>16</v>
      </c>
      <c r="F2128" s="9" t="s">
        <v>31</v>
      </c>
      <c r="G2128" s="13" t="n">
        <v>200</v>
      </c>
      <c r="H2128" s="9" t="s">
        <v>38</v>
      </c>
      <c r="I2128" s="13" t="n">
        <v>3</v>
      </c>
      <c r="J2128" s="1" t="str">
        <f aca="false">IF(A2128="","", "SAMP-"&amp;A2128&amp;"-L"&amp;TEXT(B2128,"00")&amp;"-"&amp;TEXT(C2128,"yyyymmdd")&amp;"-"&amp;D2128&amp;"-H"&amp;TEXT(E2128,"00")&amp;"-"&amp;H2128)</f>
        <v>SAMP-KG01-L25-20251029-ORD-2025-00282-H16-Crack</v>
      </c>
      <c r="K2128" s="1" t="str">
        <f aca="false">IF(A2128="","",IF(AND(G2128&gt;=0,I2128&gt;=0,I2128&lt;=G2128),"OK","CHECK"))</f>
        <v>OK</v>
      </c>
      <c r="L2128" s="1" t="str">
        <f aca="false">IF(A2128="","",IF(AND(E2128&gt;=0,E2128&lt;=23),"OK","CHECK"))</f>
        <v>OK</v>
      </c>
      <c r="M2128" s="1" t="str">
        <f aca="false">IF(A2128="","",IF(AND(K2128="OK",L2128="OK"),"OK","CHECK"))</f>
        <v>OK</v>
      </c>
    </row>
    <row r="2129" customFormat="false" ht="18" hidden="false" customHeight="true" outlineLevel="0" collapsed="false">
      <c r="A2129" s="9" t="s">
        <v>26</v>
      </c>
      <c r="B2129" s="9" t="n">
        <v>25</v>
      </c>
      <c r="C2129" s="11" t="n">
        <v>45960</v>
      </c>
      <c r="D2129" s="9" t="s">
        <v>172</v>
      </c>
      <c r="E2129" s="12" t="n">
        <v>9</v>
      </c>
      <c r="F2129" s="9" t="s">
        <v>28</v>
      </c>
      <c r="G2129" s="13" t="n">
        <v>150</v>
      </c>
      <c r="H2129" s="9" t="s">
        <v>33</v>
      </c>
      <c r="I2129" s="13" t="n">
        <v>1</v>
      </c>
      <c r="J2129" s="1" t="str">
        <f aca="false">IF(A2129="","", "SAMP-"&amp;A2129&amp;"-L"&amp;TEXT(B2129,"00")&amp;"-"&amp;TEXT(C2129,"yyyymmdd")&amp;"-"&amp;D2129&amp;"-H"&amp;TEXT(E2129,"00")&amp;"-"&amp;H2129)</f>
        <v>SAMP-KG01-L25-20251030-ORD-2025-00283-H09-Distortion</v>
      </c>
      <c r="K2129" s="1" t="str">
        <f aca="false">IF(A2129="","",IF(AND(G2129&gt;=0,I2129&gt;=0,I2129&lt;=G2129),"OK","CHECK"))</f>
        <v>OK</v>
      </c>
      <c r="L2129" s="1" t="str">
        <f aca="false">IF(A2129="","",IF(AND(E2129&gt;=0,E2129&lt;=23),"OK","CHECK"))</f>
        <v>OK</v>
      </c>
      <c r="M2129" s="1" t="str">
        <f aca="false">IF(A2129="","",IF(AND(K2129="OK",L2129="OK"),"OK","CHECK"))</f>
        <v>OK</v>
      </c>
    </row>
    <row r="2130" customFormat="false" ht="18" hidden="false" customHeight="true" outlineLevel="0" collapsed="false">
      <c r="A2130" s="9" t="s">
        <v>26</v>
      </c>
      <c r="B2130" s="9" t="n">
        <v>25</v>
      </c>
      <c r="C2130" s="11" t="n">
        <v>45960</v>
      </c>
      <c r="D2130" s="9" t="s">
        <v>172</v>
      </c>
      <c r="E2130" s="12" t="n">
        <v>7</v>
      </c>
      <c r="F2130" s="9" t="s">
        <v>28</v>
      </c>
      <c r="G2130" s="13" t="n">
        <v>150</v>
      </c>
      <c r="H2130" s="9" t="s">
        <v>30</v>
      </c>
      <c r="I2130" s="13" t="n">
        <v>1</v>
      </c>
      <c r="J2130" s="1" t="str">
        <f aca="false">IF(A2130="","", "SAMP-"&amp;A2130&amp;"-L"&amp;TEXT(B2130,"00")&amp;"-"&amp;TEXT(C2130,"yyyymmdd")&amp;"-"&amp;D2130&amp;"-H"&amp;TEXT(E2130,"00")&amp;"-"&amp;H2130)</f>
        <v>SAMP-KG01-L25-20251030-ORD-2025-00283-H07-Overpress</v>
      </c>
      <c r="K2130" s="1" t="str">
        <f aca="false">IF(A2130="","",IF(AND(G2130&gt;=0,I2130&gt;=0,I2130&lt;=G2130),"OK","CHECK"))</f>
        <v>OK</v>
      </c>
      <c r="L2130" s="1" t="str">
        <f aca="false">IF(A2130="","",IF(AND(E2130&gt;=0,E2130&lt;=23),"OK","CHECK"))</f>
        <v>OK</v>
      </c>
      <c r="M2130" s="1" t="str">
        <f aca="false">IF(A2130="","",IF(AND(K2130="OK",L2130="OK"),"OK","CHECK"))</f>
        <v>OK</v>
      </c>
    </row>
    <row r="2131" customFormat="false" ht="18" hidden="false" customHeight="true" outlineLevel="0" collapsed="false">
      <c r="A2131" s="9" t="s">
        <v>26</v>
      </c>
      <c r="B2131" s="9" t="n">
        <v>25</v>
      </c>
      <c r="C2131" s="11" t="n">
        <v>45960</v>
      </c>
      <c r="D2131" s="9" t="s">
        <v>172</v>
      </c>
      <c r="E2131" s="12" t="n">
        <v>12</v>
      </c>
      <c r="F2131" s="9" t="s">
        <v>28</v>
      </c>
      <c r="G2131" s="13" t="n">
        <v>150</v>
      </c>
      <c r="H2131" s="9" t="s">
        <v>37</v>
      </c>
      <c r="I2131" s="13" t="n">
        <v>2</v>
      </c>
      <c r="J2131" s="1" t="str">
        <f aca="false">IF(A2131="","", "SAMP-"&amp;A2131&amp;"-L"&amp;TEXT(B2131,"00")&amp;"-"&amp;TEXT(C2131,"yyyymmdd")&amp;"-"&amp;D2131&amp;"-H"&amp;TEXT(E2131,"00")&amp;"-"&amp;H2131)</f>
        <v>SAMP-KG01-L25-20251030-ORD-2025-00283-H12-Bird Swing</v>
      </c>
      <c r="K2131" s="1" t="str">
        <f aca="false">IF(A2131="","",IF(AND(G2131&gt;=0,I2131&gt;=0,I2131&lt;=G2131),"OK","CHECK"))</f>
        <v>OK</v>
      </c>
      <c r="L2131" s="1" t="str">
        <f aca="false">IF(A2131="","",IF(AND(E2131&gt;=0,E2131&lt;=23),"OK","CHECK"))</f>
        <v>OK</v>
      </c>
      <c r="M2131" s="1" t="str">
        <f aca="false">IF(A2131="","",IF(AND(K2131="OK",L2131="OK"),"OK","CHECK"))</f>
        <v>OK</v>
      </c>
    </row>
    <row r="2132" customFormat="false" ht="18" hidden="false" customHeight="true" outlineLevel="0" collapsed="false">
      <c r="A2132" s="9" t="s">
        <v>26</v>
      </c>
      <c r="B2132" s="9" t="n">
        <v>25</v>
      </c>
      <c r="C2132" s="11" t="n">
        <v>45960</v>
      </c>
      <c r="D2132" s="9" t="s">
        <v>172</v>
      </c>
      <c r="E2132" s="12" t="n">
        <v>23</v>
      </c>
      <c r="F2132" s="9" t="s">
        <v>31</v>
      </c>
      <c r="G2132" s="13" t="n">
        <v>200</v>
      </c>
      <c r="H2132" s="9" t="s">
        <v>30</v>
      </c>
      <c r="I2132" s="13" t="n">
        <v>6</v>
      </c>
      <c r="J2132" s="1" t="str">
        <f aca="false">IF(A2132="","", "SAMP-"&amp;A2132&amp;"-L"&amp;TEXT(B2132,"00")&amp;"-"&amp;TEXT(C2132,"yyyymmdd")&amp;"-"&amp;D2132&amp;"-H"&amp;TEXT(E2132,"00")&amp;"-"&amp;H2132)</f>
        <v>SAMP-KG01-L25-20251030-ORD-2025-00283-H23-Overpress</v>
      </c>
      <c r="K2132" s="1" t="str">
        <f aca="false">IF(A2132="","",IF(AND(G2132&gt;=0,I2132&gt;=0,I2132&lt;=G2132),"OK","CHECK"))</f>
        <v>OK</v>
      </c>
      <c r="L2132" s="1" t="str">
        <f aca="false">IF(A2132="","",IF(AND(E2132&gt;=0,E2132&lt;=23),"OK","CHECK"))</f>
        <v>OK</v>
      </c>
      <c r="M2132" s="1" t="str">
        <f aca="false">IF(A2132="","",IF(AND(K2132="OK",L2132="OK"),"OK","CHECK"))</f>
        <v>OK</v>
      </c>
    </row>
    <row r="2133" customFormat="false" ht="18" hidden="false" customHeight="true" outlineLevel="0" collapsed="false">
      <c r="A2133" s="9" t="s">
        <v>26</v>
      </c>
      <c r="B2133" s="9" t="n">
        <v>25</v>
      </c>
      <c r="C2133" s="11" t="n">
        <v>45960</v>
      </c>
      <c r="D2133" s="9" t="s">
        <v>172</v>
      </c>
      <c r="E2133" s="12" t="n">
        <v>20</v>
      </c>
      <c r="F2133" s="9" t="s">
        <v>31</v>
      </c>
      <c r="G2133" s="13" t="n">
        <v>100</v>
      </c>
      <c r="H2133" s="9" t="s">
        <v>34</v>
      </c>
      <c r="I2133" s="13" t="n">
        <v>0</v>
      </c>
      <c r="J2133" s="1" t="str">
        <f aca="false">IF(A2133="","", "SAMP-"&amp;A2133&amp;"-L"&amp;TEXT(B2133,"00")&amp;"-"&amp;TEXT(C2133,"yyyymmdd")&amp;"-"&amp;D2133&amp;"-H"&amp;TEXT(E2133,"00")&amp;"-"&amp;H2133)</f>
        <v>SAMP-KG01-L25-20251030-ORD-2025-00283-H20-Thin Wall</v>
      </c>
      <c r="K2133" s="1" t="str">
        <f aca="false">IF(A2133="","",IF(AND(G2133&gt;=0,I2133&gt;=0,I2133&lt;=G2133),"OK","CHECK"))</f>
        <v>OK</v>
      </c>
      <c r="L2133" s="1" t="str">
        <f aca="false">IF(A2133="","",IF(AND(E2133&gt;=0,E2133&lt;=23),"OK","CHECK"))</f>
        <v>OK</v>
      </c>
      <c r="M2133" s="1" t="str">
        <f aca="false">IF(A2133="","",IF(AND(K2133="OK",L2133="OK"),"OK","CHECK"))</f>
        <v>OK</v>
      </c>
    </row>
    <row r="2134" customFormat="false" ht="18" hidden="false" customHeight="true" outlineLevel="0" collapsed="false">
      <c r="A2134" s="9" t="s">
        <v>26</v>
      </c>
      <c r="B2134" s="9" t="n">
        <v>25</v>
      </c>
      <c r="C2134" s="11" t="n">
        <v>45961</v>
      </c>
      <c r="D2134" s="9" t="s">
        <v>172</v>
      </c>
      <c r="E2134" s="12" t="n">
        <v>9</v>
      </c>
      <c r="F2134" s="9" t="s">
        <v>28</v>
      </c>
      <c r="G2134" s="13" t="n">
        <v>150</v>
      </c>
      <c r="H2134" s="9" t="s">
        <v>36</v>
      </c>
      <c r="I2134" s="13" t="n">
        <v>4</v>
      </c>
      <c r="J2134" s="1" t="str">
        <f aca="false">IF(A2134="","", "SAMP-"&amp;A2134&amp;"-L"&amp;TEXT(B2134,"00")&amp;"-"&amp;TEXT(C2134,"yyyymmdd")&amp;"-"&amp;D2134&amp;"-H"&amp;TEXT(E2134,"00")&amp;"-"&amp;H2134)</f>
        <v>SAMP-KG01-L25-20251031-ORD-2025-00283-H09-Blister</v>
      </c>
      <c r="K2134" s="1" t="str">
        <f aca="false">IF(A2134="","",IF(AND(G2134&gt;=0,I2134&gt;=0,I2134&lt;=G2134),"OK","CHECK"))</f>
        <v>OK</v>
      </c>
      <c r="L2134" s="1" t="str">
        <f aca="false">IF(A2134="","",IF(AND(E2134&gt;=0,E2134&lt;=23),"OK","CHECK"))</f>
        <v>OK</v>
      </c>
      <c r="M2134" s="1" t="str">
        <f aca="false">IF(A2134="","",IF(AND(K2134="OK",L2134="OK"),"OK","CHECK"))</f>
        <v>OK</v>
      </c>
    </row>
    <row r="2135" customFormat="false" ht="18" hidden="false" customHeight="true" outlineLevel="0" collapsed="false">
      <c r="A2135" s="9" t="s">
        <v>26</v>
      </c>
      <c r="B2135" s="9" t="n">
        <v>25</v>
      </c>
      <c r="C2135" s="11" t="n">
        <v>45961</v>
      </c>
      <c r="D2135" s="9" t="s">
        <v>172</v>
      </c>
      <c r="E2135" s="12" t="n">
        <v>7</v>
      </c>
      <c r="F2135" s="9" t="s">
        <v>28</v>
      </c>
      <c r="G2135" s="13" t="n">
        <v>200</v>
      </c>
      <c r="H2135" s="9" t="s">
        <v>29</v>
      </c>
      <c r="I2135" s="13" t="n">
        <v>1</v>
      </c>
      <c r="J2135" s="1" t="str">
        <f aca="false">IF(A2135="","", "SAMP-"&amp;A2135&amp;"-L"&amp;TEXT(B2135,"00")&amp;"-"&amp;TEXT(C2135,"yyyymmdd")&amp;"-"&amp;D2135&amp;"-H"&amp;TEXT(E2135,"00")&amp;"-"&amp;H2135)</f>
        <v>SAMP-KG01-L25-20251031-ORD-2025-00283-H07-Choke Neck</v>
      </c>
      <c r="K2135" s="1" t="str">
        <f aca="false">IF(A2135="","",IF(AND(G2135&gt;=0,I2135&gt;=0,I2135&lt;=G2135),"OK","CHECK"))</f>
        <v>OK</v>
      </c>
      <c r="L2135" s="1" t="str">
        <f aca="false">IF(A2135="","",IF(AND(E2135&gt;=0,E2135&lt;=23),"OK","CHECK"))</f>
        <v>OK</v>
      </c>
      <c r="M2135" s="1" t="str">
        <f aca="false">IF(A2135="","",IF(AND(K2135="OK",L2135="OK"),"OK","CHECK"))</f>
        <v>OK</v>
      </c>
    </row>
    <row r="2136" customFormat="false" ht="18" hidden="false" customHeight="true" outlineLevel="0" collapsed="false">
      <c r="A2136" s="9" t="s">
        <v>26</v>
      </c>
      <c r="B2136" s="9" t="n">
        <v>25</v>
      </c>
      <c r="C2136" s="11" t="n">
        <v>45961</v>
      </c>
      <c r="D2136" s="9" t="s">
        <v>172</v>
      </c>
      <c r="E2136" s="12" t="n">
        <v>12</v>
      </c>
      <c r="F2136" s="9" t="s">
        <v>28</v>
      </c>
      <c r="G2136" s="13" t="n">
        <v>100</v>
      </c>
      <c r="H2136" s="9" t="s">
        <v>37</v>
      </c>
      <c r="I2136" s="13" t="n">
        <v>2</v>
      </c>
      <c r="J2136" s="1" t="str">
        <f aca="false">IF(A2136="","", "SAMP-"&amp;A2136&amp;"-L"&amp;TEXT(B2136,"00")&amp;"-"&amp;TEXT(C2136,"yyyymmdd")&amp;"-"&amp;D2136&amp;"-H"&amp;TEXT(E2136,"00")&amp;"-"&amp;H2136)</f>
        <v>SAMP-KG01-L25-20251031-ORD-2025-00283-H12-Bird Swing</v>
      </c>
      <c r="K2136" s="1" t="str">
        <f aca="false">IF(A2136="","",IF(AND(G2136&gt;=0,I2136&gt;=0,I2136&lt;=G2136),"OK","CHECK"))</f>
        <v>OK</v>
      </c>
      <c r="L2136" s="1" t="str">
        <f aca="false">IF(A2136="","",IF(AND(E2136&gt;=0,E2136&lt;=23),"OK","CHECK"))</f>
        <v>OK</v>
      </c>
      <c r="M2136" s="1" t="str">
        <f aca="false">IF(A2136="","",IF(AND(K2136="OK",L2136="OK"),"OK","CHECK"))</f>
        <v>OK</v>
      </c>
    </row>
    <row r="2137" customFormat="false" ht="18" hidden="false" customHeight="true" outlineLevel="0" collapsed="false">
      <c r="A2137" s="9" t="s">
        <v>26</v>
      </c>
      <c r="B2137" s="9" t="n">
        <v>25</v>
      </c>
      <c r="C2137" s="11" t="n">
        <v>45961</v>
      </c>
      <c r="D2137" s="9" t="s">
        <v>173</v>
      </c>
      <c r="E2137" s="12" t="n">
        <v>16</v>
      </c>
      <c r="F2137" s="9" t="s">
        <v>31</v>
      </c>
      <c r="G2137" s="13" t="n">
        <v>50</v>
      </c>
      <c r="H2137" s="9" t="s">
        <v>33</v>
      </c>
      <c r="I2137" s="13" t="n">
        <v>1</v>
      </c>
      <c r="J2137" s="1" t="str">
        <f aca="false">IF(A2137="","", "SAMP-"&amp;A2137&amp;"-L"&amp;TEXT(B2137,"00")&amp;"-"&amp;TEXT(C2137,"yyyymmdd")&amp;"-"&amp;D2137&amp;"-H"&amp;TEXT(E2137,"00")&amp;"-"&amp;H2137)</f>
        <v>SAMP-KG01-L25-20251031-ORD-2025-00284-H16-Distortion</v>
      </c>
      <c r="K2137" s="1" t="str">
        <f aca="false">IF(A2137="","",IF(AND(G2137&gt;=0,I2137&gt;=0,I2137&lt;=G2137),"OK","CHECK"))</f>
        <v>OK</v>
      </c>
      <c r="L2137" s="1" t="str">
        <f aca="false">IF(A2137="","",IF(AND(E2137&gt;=0,E2137&lt;=23),"OK","CHECK"))</f>
        <v>OK</v>
      </c>
      <c r="M2137" s="1" t="str">
        <f aca="false">IF(A2137="","",IF(AND(K2137="OK",L2137="OK"),"OK","CHECK"))</f>
        <v>OK</v>
      </c>
    </row>
    <row r="2138" customFormat="false" ht="18" hidden="false" customHeight="true" outlineLevel="0" collapsed="false">
      <c r="A2138" s="9" t="s">
        <v>26</v>
      </c>
      <c r="B2138" s="9" t="n">
        <v>25</v>
      </c>
      <c r="C2138" s="11" t="n">
        <v>45961</v>
      </c>
      <c r="D2138" s="9" t="s">
        <v>173</v>
      </c>
      <c r="E2138" s="12" t="n">
        <v>20</v>
      </c>
      <c r="F2138" s="9" t="s">
        <v>31</v>
      </c>
      <c r="G2138" s="13" t="n">
        <v>150</v>
      </c>
      <c r="H2138" s="9" t="s">
        <v>34</v>
      </c>
      <c r="I2138" s="13" t="n">
        <v>2</v>
      </c>
      <c r="J2138" s="1" t="str">
        <f aca="false">IF(A2138="","", "SAMP-"&amp;A2138&amp;"-L"&amp;TEXT(B2138,"00")&amp;"-"&amp;TEXT(C2138,"yyyymmdd")&amp;"-"&amp;D2138&amp;"-H"&amp;TEXT(E2138,"00")&amp;"-"&amp;H2138)</f>
        <v>SAMP-KG01-L25-20251031-ORD-2025-00284-H20-Thin Wall</v>
      </c>
      <c r="K2138" s="1" t="str">
        <f aca="false">IF(A2138="","",IF(AND(G2138&gt;=0,I2138&gt;=0,I2138&lt;=G2138),"OK","CHECK"))</f>
        <v>OK</v>
      </c>
      <c r="L2138" s="1" t="str">
        <f aca="false">IF(A2138="","",IF(AND(E2138&gt;=0,E2138&lt;=23),"OK","CHECK"))</f>
        <v>OK</v>
      </c>
      <c r="M2138" s="1" t="str">
        <f aca="false">IF(A2138="","",IF(AND(K2138="OK",L2138="OK"),"OK","CHECK"))</f>
        <v>OK</v>
      </c>
    </row>
    <row r="2139" customFormat="false" ht="18" hidden="false" customHeight="true" outlineLevel="0" collapsed="false">
      <c r="A2139" s="9" t="s">
        <v>26</v>
      </c>
      <c r="B2139" s="9" t="n">
        <v>25</v>
      </c>
      <c r="C2139" s="11" t="n">
        <v>45962</v>
      </c>
      <c r="D2139" s="9" t="s">
        <v>173</v>
      </c>
      <c r="E2139" s="12" t="n">
        <v>9</v>
      </c>
      <c r="F2139" s="9" t="s">
        <v>28</v>
      </c>
      <c r="G2139" s="13" t="n">
        <v>100</v>
      </c>
      <c r="H2139" s="9" t="s">
        <v>29</v>
      </c>
      <c r="I2139" s="13" t="n">
        <v>2</v>
      </c>
      <c r="J2139" s="1" t="str">
        <f aca="false">IF(A2139="","", "SAMP-"&amp;A2139&amp;"-L"&amp;TEXT(B2139,"00")&amp;"-"&amp;TEXT(C2139,"yyyymmdd")&amp;"-"&amp;D2139&amp;"-H"&amp;TEXT(E2139,"00")&amp;"-"&amp;H2139)</f>
        <v>SAMP-KG01-L25-20251101-ORD-2025-00284-H09-Choke Neck</v>
      </c>
      <c r="K2139" s="1" t="str">
        <f aca="false">IF(A2139="","",IF(AND(G2139&gt;=0,I2139&gt;=0,I2139&lt;=G2139),"OK","CHECK"))</f>
        <v>OK</v>
      </c>
      <c r="L2139" s="1" t="str">
        <f aca="false">IF(A2139="","",IF(AND(E2139&gt;=0,E2139&lt;=23),"OK","CHECK"))</f>
        <v>OK</v>
      </c>
      <c r="M2139" s="1" t="str">
        <f aca="false">IF(A2139="","",IF(AND(K2139="OK",L2139="OK"),"OK","CHECK"))</f>
        <v>OK</v>
      </c>
    </row>
    <row r="2140" customFormat="false" ht="18" hidden="false" customHeight="true" outlineLevel="0" collapsed="false">
      <c r="A2140" s="9" t="s">
        <v>26</v>
      </c>
      <c r="B2140" s="9" t="n">
        <v>25</v>
      </c>
      <c r="C2140" s="11" t="n">
        <v>45962</v>
      </c>
      <c r="D2140" s="9" t="s">
        <v>173</v>
      </c>
      <c r="E2140" s="12" t="n">
        <v>7</v>
      </c>
      <c r="F2140" s="9" t="s">
        <v>28</v>
      </c>
      <c r="G2140" s="13" t="n">
        <v>150</v>
      </c>
      <c r="H2140" s="9" t="s">
        <v>33</v>
      </c>
      <c r="I2140" s="13" t="n">
        <v>3</v>
      </c>
      <c r="J2140" s="1" t="str">
        <f aca="false">IF(A2140="","", "SAMP-"&amp;A2140&amp;"-L"&amp;TEXT(B2140,"00")&amp;"-"&amp;TEXT(C2140,"yyyymmdd")&amp;"-"&amp;D2140&amp;"-H"&amp;TEXT(E2140,"00")&amp;"-"&amp;H2140)</f>
        <v>SAMP-KG01-L25-20251101-ORD-2025-00284-H07-Distortion</v>
      </c>
      <c r="K2140" s="1" t="str">
        <f aca="false">IF(A2140="","",IF(AND(G2140&gt;=0,I2140&gt;=0,I2140&lt;=G2140),"OK","CHECK"))</f>
        <v>OK</v>
      </c>
      <c r="L2140" s="1" t="str">
        <f aca="false">IF(A2140="","",IF(AND(E2140&gt;=0,E2140&lt;=23),"OK","CHECK"))</f>
        <v>OK</v>
      </c>
      <c r="M2140" s="1" t="str">
        <f aca="false">IF(A2140="","",IF(AND(K2140="OK",L2140="OK"),"OK","CHECK"))</f>
        <v>OK</v>
      </c>
    </row>
    <row r="2141" customFormat="false" ht="18" hidden="false" customHeight="true" outlineLevel="0" collapsed="false">
      <c r="A2141" s="9" t="s">
        <v>26</v>
      </c>
      <c r="B2141" s="9" t="n">
        <v>25</v>
      </c>
      <c r="C2141" s="11" t="n">
        <v>45962</v>
      </c>
      <c r="D2141" s="9" t="s">
        <v>173</v>
      </c>
      <c r="E2141" s="12" t="n">
        <v>12</v>
      </c>
      <c r="F2141" s="9" t="s">
        <v>28</v>
      </c>
      <c r="G2141" s="13" t="n">
        <v>50</v>
      </c>
      <c r="H2141" s="9" t="s">
        <v>30</v>
      </c>
      <c r="I2141" s="13" t="n">
        <v>0</v>
      </c>
      <c r="J2141" s="1" t="str">
        <f aca="false">IF(A2141="","", "SAMP-"&amp;A2141&amp;"-L"&amp;TEXT(B2141,"00")&amp;"-"&amp;TEXT(C2141,"yyyymmdd")&amp;"-"&amp;D2141&amp;"-H"&amp;TEXT(E2141,"00")&amp;"-"&amp;H2141)</f>
        <v>SAMP-KG01-L25-20251101-ORD-2025-00284-H12-Overpress</v>
      </c>
      <c r="K2141" s="1" t="str">
        <f aca="false">IF(A2141="","",IF(AND(G2141&gt;=0,I2141&gt;=0,I2141&lt;=G2141),"OK","CHECK"))</f>
        <v>OK</v>
      </c>
      <c r="L2141" s="1" t="str">
        <f aca="false">IF(A2141="","",IF(AND(E2141&gt;=0,E2141&lt;=23),"OK","CHECK"))</f>
        <v>OK</v>
      </c>
      <c r="M2141" s="1" t="str">
        <f aca="false">IF(A2141="","",IF(AND(K2141="OK",L2141="OK"),"OK","CHECK"))</f>
        <v>OK</v>
      </c>
    </row>
    <row r="2142" customFormat="false" ht="18" hidden="false" customHeight="true" outlineLevel="0" collapsed="false">
      <c r="A2142" s="9" t="s">
        <v>26</v>
      </c>
      <c r="B2142" s="9" t="n">
        <v>25</v>
      </c>
      <c r="C2142" s="11" t="n">
        <v>45962</v>
      </c>
      <c r="D2142" s="9" t="s">
        <v>173</v>
      </c>
      <c r="E2142" s="12" t="n">
        <v>20</v>
      </c>
      <c r="F2142" s="9" t="s">
        <v>31</v>
      </c>
      <c r="G2142" s="13" t="n">
        <v>50</v>
      </c>
      <c r="H2142" s="9" t="s">
        <v>41</v>
      </c>
      <c r="I2142" s="13" t="n">
        <v>1</v>
      </c>
      <c r="J2142" s="1" t="str">
        <f aca="false">IF(A2142="","", "SAMP-"&amp;A2142&amp;"-L"&amp;TEXT(B2142,"00")&amp;"-"&amp;TEXT(C2142,"yyyymmdd")&amp;"-"&amp;D2142&amp;"-H"&amp;TEXT(E2142,"00")&amp;"-"&amp;H2142)</f>
        <v>SAMP-KG01-L25-20251101-ORD-2025-00284-H20-Chip</v>
      </c>
      <c r="K2142" s="1" t="str">
        <f aca="false">IF(A2142="","",IF(AND(G2142&gt;=0,I2142&gt;=0,I2142&lt;=G2142),"OK","CHECK"))</f>
        <v>OK</v>
      </c>
      <c r="L2142" s="1" t="str">
        <f aca="false">IF(A2142="","",IF(AND(E2142&gt;=0,E2142&lt;=23),"OK","CHECK"))</f>
        <v>OK</v>
      </c>
      <c r="M2142" s="1" t="str">
        <f aca="false">IF(A2142="","",IF(AND(K2142="OK",L2142="OK"),"OK","CHECK"))</f>
        <v>OK</v>
      </c>
    </row>
    <row r="2143" customFormat="false" ht="18" hidden="false" customHeight="true" outlineLevel="0" collapsed="false">
      <c r="A2143" s="9" t="s">
        <v>26</v>
      </c>
      <c r="B2143" s="9" t="n">
        <v>25</v>
      </c>
      <c r="C2143" s="11" t="n">
        <v>45962</v>
      </c>
      <c r="D2143" s="9" t="s">
        <v>173</v>
      </c>
      <c r="E2143" s="12" t="n">
        <v>23</v>
      </c>
      <c r="F2143" s="9" t="s">
        <v>31</v>
      </c>
      <c r="G2143" s="13" t="n">
        <v>100</v>
      </c>
      <c r="H2143" s="9" t="s">
        <v>34</v>
      </c>
      <c r="I2143" s="13" t="n">
        <v>2</v>
      </c>
      <c r="J2143" s="1" t="str">
        <f aca="false">IF(A2143="","", "SAMP-"&amp;A2143&amp;"-L"&amp;TEXT(B2143,"00")&amp;"-"&amp;TEXT(C2143,"yyyymmdd")&amp;"-"&amp;D2143&amp;"-H"&amp;TEXT(E2143,"00")&amp;"-"&amp;H2143)</f>
        <v>SAMP-KG01-L25-20251101-ORD-2025-00284-H23-Thin Wall</v>
      </c>
      <c r="K2143" s="1" t="str">
        <f aca="false">IF(A2143="","",IF(AND(G2143&gt;=0,I2143&gt;=0,I2143&lt;=G2143),"OK","CHECK"))</f>
        <v>OK</v>
      </c>
      <c r="L2143" s="1" t="str">
        <f aca="false">IF(A2143="","",IF(AND(E2143&gt;=0,E2143&lt;=23),"OK","CHECK"))</f>
        <v>OK</v>
      </c>
      <c r="M2143" s="1" t="str">
        <f aca="false">IF(A2143="","",IF(AND(K2143="OK",L2143="OK"),"OK","CHECK"))</f>
        <v>OK</v>
      </c>
    </row>
    <row r="2144" customFormat="false" ht="18" hidden="false" customHeight="true" outlineLevel="0" collapsed="false">
      <c r="A2144" s="9" t="s">
        <v>26</v>
      </c>
      <c r="B2144" s="9" t="n">
        <v>25</v>
      </c>
      <c r="C2144" s="11" t="n">
        <v>45962</v>
      </c>
      <c r="D2144" s="9" t="s">
        <v>173</v>
      </c>
      <c r="E2144" s="12" t="n">
        <v>16</v>
      </c>
      <c r="F2144" s="9" t="s">
        <v>31</v>
      </c>
      <c r="G2144" s="13" t="n">
        <v>200</v>
      </c>
      <c r="H2144" s="9" t="s">
        <v>37</v>
      </c>
      <c r="I2144" s="13" t="n">
        <v>9</v>
      </c>
      <c r="J2144" s="1" t="str">
        <f aca="false">IF(A2144="","", "SAMP-"&amp;A2144&amp;"-L"&amp;TEXT(B2144,"00")&amp;"-"&amp;TEXT(C2144,"yyyymmdd")&amp;"-"&amp;D2144&amp;"-H"&amp;TEXT(E2144,"00")&amp;"-"&amp;H2144)</f>
        <v>SAMP-KG01-L25-20251101-ORD-2025-00284-H16-Bird Swing</v>
      </c>
      <c r="K2144" s="1" t="str">
        <f aca="false">IF(A2144="","",IF(AND(G2144&gt;=0,I2144&gt;=0,I2144&lt;=G2144),"OK","CHECK"))</f>
        <v>OK</v>
      </c>
      <c r="L2144" s="1" t="str">
        <f aca="false">IF(A2144="","",IF(AND(E2144&gt;=0,E2144&lt;=23),"OK","CHECK"))</f>
        <v>OK</v>
      </c>
      <c r="M2144" s="1" t="str">
        <f aca="false">IF(A2144="","",IF(AND(K2144="OK",L2144="OK"),"OK","CHECK"))</f>
        <v>OK</v>
      </c>
    </row>
    <row r="2145" customFormat="false" ht="18" hidden="false" customHeight="true" outlineLevel="0" collapsed="false">
      <c r="A2145" s="9" t="s">
        <v>26</v>
      </c>
      <c r="B2145" s="9" t="n">
        <v>25</v>
      </c>
      <c r="C2145" s="11" t="n">
        <v>45963</v>
      </c>
      <c r="D2145" s="9" t="s">
        <v>173</v>
      </c>
      <c r="E2145" s="12" t="n">
        <v>7</v>
      </c>
      <c r="F2145" s="9" t="s">
        <v>28</v>
      </c>
      <c r="G2145" s="13" t="n">
        <v>100</v>
      </c>
      <c r="H2145" s="9" t="s">
        <v>34</v>
      </c>
      <c r="I2145" s="13" t="n">
        <v>3</v>
      </c>
      <c r="J2145" s="1" t="str">
        <f aca="false">IF(A2145="","", "SAMP-"&amp;A2145&amp;"-L"&amp;TEXT(B2145,"00")&amp;"-"&amp;TEXT(C2145,"yyyymmdd")&amp;"-"&amp;D2145&amp;"-H"&amp;TEXT(E2145,"00")&amp;"-"&amp;H2145)</f>
        <v>SAMP-KG01-L25-20251102-ORD-2025-00284-H07-Thin Wall</v>
      </c>
      <c r="K2145" s="1" t="str">
        <f aca="false">IF(A2145="","",IF(AND(G2145&gt;=0,I2145&gt;=0,I2145&lt;=G2145),"OK","CHECK"))</f>
        <v>OK</v>
      </c>
      <c r="L2145" s="1" t="str">
        <f aca="false">IF(A2145="","",IF(AND(E2145&gt;=0,E2145&lt;=23),"OK","CHECK"))</f>
        <v>OK</v>
      </c>
      <c r="M2145" s="1" t="str">
        <f aca="false">IF(A2145="","",IF(AND(K2145="OK",L2145="OK"),"OK","CHECK"))</f>
        <v>OK</v>
      </c>
    </row>
    <row r="2146" customFormat="false" ht="18" hidden="false" customHeight="true" outlineLevel="0" collapsed="false">
      <c r="A2146" s="9" t="s">
        <v>26</v>
      </c>
      <c r="B2146" s="9" t="n">
        <v>25</v>
      </c>
      <c r="C2146" s="11" t="n">
        <v>45963</v>
      </c>
      <c r="D2146" s="9" t="s">
        <v>173</v>
      </c>
      <c r="E2146" s="12" t="n">
        <v>9</v>
      </c>
      <c r="F2146" s="9" t="s">
        <v>28</v>
      </c>
      <c r="G2146" s="13" t="n">
        <v>200</v>
      </c>
      <c r="H2146" s="9" t="s">
        <v>37</v>
      </c>
      <c r="I2146" s="13" t="n">
        <v>0</v>
      </c>
      <c r="J2146" s="1" t="str">
        <f aca="false">IF(A2146="","", "SAMP-"&amp;A2146&amp;"-L"&amp;TEXT(B2146,"00")&amp;"-"&amp;TEXT(C2146,"yyyymmdd")&amp;"-"&amp;D2146&amp;"-H"&amp;TEXT(E2146,"00")&amp;"-"&amp;H2146)</f>
        <v>SAMP-KG01-L25-20251102-ORD-2025-00284-H09-Bird Swing</v>
      </c>
      <c r="K2146" s="1" t="str">
        <f aca="false">IF(A2146="","",IF(AND(G2146&gt;=0,I2146&gt;=0,I2146&lt;=G2146),"OK","CHECK"))</f>
        <v>OK</v>
      </c>
      <c r="L2146" s="1" t="str">
        <f aca="false">IF(A2146="","",IF(AND(E2146&gt;=0,E2146&lt;=23),"OK","CHECK"))</f>
        <v>OK</v>
      </c>
      <c r="M2146" s="1" t="str">
        <f aca="false">IF(A2146="","",IF(AND(K2146="OK",L2146="OK"),"OK","CHECK"))</f>
        <v>OK</v>
      </c>
    </row>
    <row r="2147" customFormat="false" ht="18" hidden="false" customHeight="true" outlineLevel="0" collapsed="false">
      <c r="A2147" s="9" t="s">
        <v>26</v>
      </c>
      <c r="B2147" s="9" t="n">
        <v>25</v>
      </c>
      <c r="C2147" s="11" t="n">
        <v>45963</v>
      </c>
      <c r="D2147" s="9" t="s">
        <v>173</v>
      </c>
      <c r="E2147" s="12" t="n">
        <v>12</v>
      </c>
      <c r="F2147" s="9" t="s">
        <v>28</v>
      </c>
      <c r="G2147" s="13" t="n">
        <v>50</v>
      </c>
      <c r="H2147" s="9" t="s">
        <v>33</v>
      </c>
      <c r="I2147" s="13" t="n">
        <v>1</v>
      </c>
      <c r="J2147" s="1" t="str">
        <f aca="false">IF(A2147="","", "SAMP-"&amp;A2147&amp;"-L"&amp;TEXT(B2147,"00")&amp;"-"&amp;TEXT(C2147,"yyyymmdd")&amp;"-"&amp;D2147&amp;"-H"&amp;TEXT(E2147,"00")&amp;"-"&amp;H2147)</f>
        <v>SAMP-KG01-L25-20251102-ORD-2025-00284-H12-Distortion</v>
      </c>
      <c r="K2147" s="1" t="str">
        <f aca="false">IF(A2147="","",IF(AND(G2147&gt;=0,I2147&gt;=0,I2147&lt;=G2147),"OK","CHECK"))</f>
        <v>OK</v>
      </c>
      <c r="L2147" s="1" t="str">
        <f aca="false">IF(A2147="","",IF(AND(E2147&gt;=0,E2147&lt;=23),"OK","CHECK"))</f>
        <v>OK</v>
      </c>
      <c r="M2147" s="1" t="str">
        <f aca="false">IF(A2147="","",IF(AND(K2147="OK",L2147="OK"),"OK","CHECK"))</f>
        <v>OK</v>
      </c>
    </row>
    <row r="2148" customFormat="false" ht="18" hidden="false" customHeight="true" outlineLevel="0" collapsed="false">
      <c r="A2148" s="9" t="s">
        <v>26</v>
      </c>
      <c r="B2148" s="9" t="n">
        <v>25</v>
      </c>
      <c r="C2148" s="11" t="n">
        <v>45963</v>
      </c>
      <c r="D2148" s="9" t="s">
        <v>173</v>
      </c>
      <c r="E2148" s="12" t="n">
        <v>20</v>
      </c>
      <c r="F2148" s="9" t="s">
        <v>31</v>
      </c>
      <c r="G2148" s="13" t="n">
        <v>50</v>
      </c>
      <c r="H2148" s="9" t="s">
        <v>33</v>
      </c>
      <c r="I2148" s="13" t="n">
        <v>1</v>
      </c>
      <c r="J2148" s="1" t="str">
        <f aca="false">IF(A2148="","", "SAMP-"&amp;A2148&amp;"-L"&amp;TEXT(B2148,"00")&amp;"-"&amp;TEXT(C2148,"yyyymmdd")&amp;"-"&amp;D2148&amp;"-H"&amp;TEXT(E2148,"00")&amp;"-"&amp;H2148)</f>
        <v>SAMP-KG01-L25-20251102-ORD-2025-00284-H20-Distortion</v>
      </c>
      <c r="K2148" s="1" t="str">
        <f aca="false">IF(A2148="","",IF(AND(G2148&gt;=0,I2148&gt;=0,I2148&lt;=G2148),"OK","CHECK"))</f>
        <v>OK</v>
      </c>
      <c r="L2148" s="1" t="str">
        <f aca="false">IF(A2148="","",IF(AND(E2148&gt;=0,E2148&lt;=23),"OK","CHECK"))</f>
        <v>OK</v>
      </c>
      <c r="M2148" s="1" t="str">
        <f aca="false">IF(A2148="","",IF(AND(K2148="OK",L2148="OK"),"OK","CHECK"))</f>
        <v>OK</v>
      </c>
    </row>
    <row r="2149" customFormat="false" ht="18" hidden="false" customHeight="true" outlineLevel="0" collapsed="false">
      <c r="A2149" s="9" t="s">
        <v>26</v>
      </c>
      <c r="B2149" s="9" t="n">
        <v>25</v>
      </c>
      <c r="C2149" s="11" t="n">
        <v>45963</v>
      </c>
      <c r="D2149" s="9" t="s">
        <v>173</v>
      </c>
      <c r="E2149" s="12" t="n">
        <v>23</v>
      </c>
      <c r="F2149" s="9" t="s">
        <v>31</v>
      </c>
      <c r="G2149" s="13" t="n">
        <v>150</v>
      </c>
      <c r="H2149" s="9" t="s">
        <v>35</v>
      </c>
      <c r="I2149" s="13" t="n">
        <v>1</v>
      </c>
      <c r="J2149" s="1" t="str">
        <f aca="false">IF(A2149="","", "SAMP-"&amp;A2149&amp;"-L"&amp;TEXT(B2149,"00")&amp;"-"&amp;TEXT(C2149,"yyyymmdd")&amp;"-"&amp;D2149&amp;"-H"&amp;TEXT(E2149,"00")&amp;"-"&amp;H2149)</f>
        <v>SAMP-KG01-L25-20251102-ORD-2025-00284-H23-Stone</v>
      </c>
      <c r="K2149" s="1" t="str">
        <f aca="false">IF(A2149="","",IF(AND(G2149&gt;=0,I2149&gt;=0,I2149&lt;=G2149),"OK","CHECK"))</f>
        <v>OK</v>
      </c>
      <c r="L2149" s="1" t="str">
        <f aca="false">IF(A2149="","",IF(AND(E2149&gt;=0,E2149&lt;=23),"OK","CHECK"))</f>
        <v>OK</v>
      </c>
      <c r="M2149" s="1" t="str">
        <f aca="false">IF(A2149="","",IF(AND(K2149="OK",L2149="OK"),"OK","CHECK"))</f>
        <v>OK</v>
      </c>
    </row>
    <row r="2150" customFormat="false" ht="18" hidden="false" customHeight="true" outlineLevel="0" collapsed="false">
      <c r="A2150" s="9" t="s">
        <v>26</v>
      </c>
      <c r="B2150" s="9" t="n">
        <v>25</v>
      </c>
      <c r="C2150" s="11" t="n">
        <v>45963</v>
      </c>
      <c r="D2150" s="9" t="s">
        <v>173</v>
      </c>
      <c r="E2150" s="12" t="n">
        <v>16</v>
      </c>
      <c r="F2150" s="9" t="s">
        <v>31</v>
      </c>
      <c r="G2150" s="13" t="n">
        <v>100</v>
      </c>
      <c r="H2150" s="9" t="s">
        <v>35</v>
      </c>
      <c r="I2150" s="13" t="n">
        <v>0</v>
      </c>
      <c r="J2150" s="1" t="str">
        <f aca="false">IF(A2150="","", "SAMP-"&amp;A2150&amp;"-L"&amp;TEXT(B2150,"00")&amp;"-"&amp;TEXT(C2150,"yyyymmdd")&amp;"-"&amp;D2150&amp;"-H"&amp;TEXT(E2150,"00")&amp;"-"&amp;H2150)</f>
        <v>SAMP-KG01-L25-20251102-ORD-2025-00284-H16-Stone</v>
      </c>
      <c r="K2150" s="1" t="str">
        <f aca="false">IF(A2150="","",IF(AND(G2150&gt;=0,I2150&gt;=0,I2150&lt;=G2150),"OK","CHECK"))</f>
        <v>OK</v>
      </c>
      <c r="L2150" s="1" t="str">
        <f aca="false">IF(A2150="","",IF(AND(E2150&gt;=0,E2150&lt;=23),"OK","CHECK"))</f>
        <v>OK</v>
      </c>
      <c r="M2150" s="1" t="str">
        <f aca="false">IF(A2150="","",IF(AND(K2150="OK",L2150="OK"),"OK","CHECK"))</f>
        <v>OK</v>
      </c>
    </row>
    <row r="2151" customFormat="false" ht="18" hidden="false" customHeight="true" outlineLevel="0" collapsed="false">
      <c r="A2151" s="9" t="s">
        <v>26</v>
      </c>
      <c r="B2151" s="9" t="n">
        <v>25</v>
      </c>
      <c r="C2151" s="11" t="n">
        <v>45964</v>
      </c>
      <c r="D2151" s="9" t="s">
        <v>173</v>
      </c>
      <c r="E2151" s="12" t="n">
        <v>12</v>
      </c>
      <c r="F2151" s="9" t="s">
        <v>28</v>
      </c>
      <c r="G2151" s="13" t="n">
        <v>50</v>
      </c>
      <c r="H2151" s="9" t="s">
        <v>29</v>
      </c>
      <c r="I2151" s="13" t="n">
        <v>2</v>
      </c>
      <c r="J2151" s="1" t="str">
        <f aca="false">IF(A2151="","", "SAMP-"&amp;A2151&amp;"-L"&amp;TEXT(B2151,"00")&amp;"-"&amp;TEXT(C2151,"yyyymmdd")&amp;"-"&amp;D2151&amp;"-H"&amp;TEXT(E2151,"00")&amp;"-"&amp;H2151)</f>
        <v>SAMP-KG01-L25-20251103-ORD-2025-00284-H12-Choke Neck</v>
      </c>
      <c r="K2151" s="1" t="str">
        <f aca="false">IF(A2151="","",IF(AND(G2151&gt;=0,I2151&gt;=0,I2151&lt;=G2151),"OK","CHECK"))</f>
        <v>OK</v>
      </c>
      <c r="L2151" s="1" t="str">
        <f aca="false">IF(A2151="","",IF(AND(E2151&gt;=0,E2151&lt;=23),"OK","CHECK"))</f>
        <v>OK</v>
      </c>
      <c r="M2151" s="1" t="str">
        <f aca="false">IF(A2151="","",IF(AND(K2151="OK",L2151="OK"),"OK","CHECK"))</f>
        <v>OK</v>
      </c>
    </row>
    <row r="2152" customFormat="false" ht="18" hidden="false" customHeight="true" outlineLevel="0" collapsed="false">
      <c r="A2152" s="9" t="s">
        <v>26</v>
      </c>
      <c r="B2152" s="9" t="n">
        <v>25</v>
      </c>
      <c r="C2152" s="11" t="n">
        <v>45964</v>
      </c>
      <c r="D2152" s="9" t="s">
        <v>173</v>
      </c>
      <c r="E2152" s="12" t="n">
        <v>7</v>
      </c>
      <c r="F2152" s="9" t="s">
        <v>28</v>
      </c>
      <c r="G2152" s="13" t="n">
        <v>50</v>
      </c>
      <c r="H2152" s="9" t="s">
        <v>36</v>
      </c>
      <c r="I2152" s="13" t="n">
        <v>1</v>
      </c>
      <c r="J2152" s="1" t="str">
        <f aca="false">IF(A2152="","", "SAMP-"&amp;A2152&amp;"-L"&amp;TEXT(B2152,"00")&amp;"-"&amp;TEXT(C2152,"yyyymmdd")&amp;"-"&amp;D2152&amp;"-H"&amp;TEXT(E2152,"00")&amp;"-"&amp;H2152)</f>
        <v>SAMP-KG01-L25-20251103-ORD-2025-00284-H07-Blister</v>
      </c>
      <c r="K2152" s="1" t="str">
        <f aca="false">IF(A2152="","",IF(AND(G2152&gt;=0,I2152&gt;=0,I2152&lt;=G2152),"OK","CHECK"))</f>
        <v>OK</v>
      </c>
      <c r="L2152" s="1" t="str">
        <f aca="false">IF(A2152="","",IF(AND(E2152&gt;=0,E2152&lt;=23),"OK","CHECK"))</f>
        <v>OK</v>
      </c>
      <c r="M2152" s="1" t="str">
        <f aca="false">IF(A2152="","",IF(AND(K2152="OK",L2152="OK"),"OK","CHECK"))</f>
        <v>OK</v>
      </c>
    </row>
    <row r="2153" customFormat="false" ht="18" hidden="false" customHeight="true" outlineLevel="0" collapsed="false">
      <c r="A2153" s="9" t="s">
        <v>26</v>
      </c>
      <c r="B2153" s="9" t="n">
        <v>25</v>
      </c>
      <c r="C2153" s="11" t="n">
        <v>45964</v>
      </c>
      <c r="D2153" s="9" t="s">
        <v>173</v>
      </c>
      <c r="E2153" s="12" t="n">
        <v>9</v>
      </c>
      <c r="F2153" s="9" t="s">
        <v>28</v>
      </c>
      <c r="G2153" s="13" t="n">
        <v>200</v>
      </c>
      <c r="H2153" s="9" t="s">
        <v>41</v>
      </c>
      <c r="I2153" s="13" t="n">
        <v>7</v>
      </c>
      <c r="J2153" s="1" t="str">
        <f aca="false">IF(A2153="","", "SAMP-"&amp;A2153&amp;"-L"&amp;TEXT(B2153,"00")&amp;"-"&amp;TEXT(C2153,"yyyymmdd")&amp;"-"&amp;D2153&amp;"-H"&amp;TEXT(E2153,"00")&amp;"-"&amp;H2153)</f>
        <v>SAMP-KG01-L25-20251103-ORD-2025-00284-H09-Chip</v>
      </c>
      <c r="K2153" s="1" t="str">
        <f aca="false">IF(A2153="","",IF(AND(G2153&gt;=0,I2153&gt;=0,I2153&lt;=G2153),"OK","CHECK"))</f>
        <v>OK</v>
      </c>
      <c r="L2153" s="1" t="str">
        <f aca="false">IF(A2153="","",IF(AND(E2153&gt;=0,E2153&lt;=23),"OK","CHECK"))</f>
        <v>OK</v>
      </c>
      <c r="M2153" s="1" t="str">
        <f aca="false">IF(A2153="","",IF(AND(K2153="OK",L2153="OK"),"OK","CHECK"))</f>
        <v>OK</v>
      </c>
    </row>
    <row r="2154" customFormat="false" ht="18" hidden="false" customHeight="true" outlineLevel="0" collapsed="false">
      <c r="A2154" s="9" t="s">
        <v>26</v>
      </c>
      <c r="B2154" s="9" t="n">
        <v>25</v>
      </c>
      <c r="C2154" s="11" t="n">
        <v>45964</v>
      </c>
      <c r="D2154" s="9" t="s">
        <v>173</v>
      </c>
      <c r="E2154" s="12" t="n">
        <v>23</v>
      </c>
      <c r="F2154" s="9" t="s">
        <v>31</v>
      </c>
      <c r="G2154" s="13" t="n">
        <v>100</v>
      </c>
      <c r="H2154" s="9" t="s">
        <v>41</v>
      </c>
      <c r="I2154" s="13" t="n">
        <v>3</v>
      </c>
      <c r="J2154" s="1" t="str">
        <f aca="false">IF(A2154="","", "SAMP-"&amp;A2154&amp;"-L"&amp;TEXT(B2154,"00")&amp;"-"&amp;TEXT(C2154,"yyyymmdd")&amp;"-"&amp;D2154&amp;"-H"&amp;TEXT(E2154,"00")&amp;"-"&amp;H2154)</f>
        <v>SAMP-KG01-L25-20251103-ORD-2025-00284-H23-Chip</v>
      </c>
      <c r="K2154" s="1" t="str">
        <f aca="false">IF(A2154="","",IF(AND(G2154&gt;=0,I2154&gt;=0,I2154&lt;=G2154),"OK","CHECK"))</f>
        <v>OK</v>
      </c>
      <c r="L2154" s="1" t="str">
        <f aca="false">IF(A2154="","",IF(AND(E2154&gt;=0,E2154&lt;=23),"OK","CHECK"))</f>
        <v>OK</v>
      </c>
      <c r="M2154" s="1" t="str">
        <f aca="false">IF(A2154="","",IF(AND(K2154="OK",L2154="OK"),"OK","CHECK"))</f>
        <v>OK</v>
      </c>
    </row>
    <row r="2155" customFormat="false" ht="18" hidden="false" customHeight="true" outlineLevel="0" collapsed="false">
      <c r="A2155" s="9" t="s">
        <v>26</v>
      </c>
      <c r="B2155" s="9" t="n">
        <v>25</v>
      </c>
      <c r="C2155" s="11" t="n">
        <v>45964</v>
      </c>
      <c r="D2155" s="9" t="s">
        <v>173</v>
      </c>
      <c r="E2155" s="12" t="n">
        <v>16</v>
      </c>
      <c r="F2155" s="9" t="s">
        <v>31</v>
      </c>
      <c r="G2155" s="13" t="n">
        <v>150</v>
      </c>
      <c r="H2155" s="9" t="s">
        <v>34</v>
      </c>
      <c r="I2155" s="13" t="n">
        <v>2</v>
      </c>
      <c r="J2155" s="1" t="str">
        <f aca="false">IF(A2155="","", "SAMP-"&amp;A2155&amp;"-L"&amp;TEXT(B2155,"00")&amp;"-"&amp;TEXT(C2155,"yyyymmdd")&amp;"-"&amp;D2155&amp;"-H"&amp;TEXT(E2155,"00")&amp;"-"&amp;H2155)</f>
        <v>SAMP-KG01-L25-20251103-ORD-2025-00284-H16-Thin Wall</v>
      </c>
      <c r="K2155" s="1" t="str">
        <f aca="false">IF(A2155="","",IF(AND(G2155&gt;=0,I2155&gt;=0,I2155&lt;=G2155),"OK","CHECK"))</f>
        <v>OK</v>
      </c>
      <c r="L2155" s="1" t="str">
        <f aca="false">IF(A2155="","",IF(AND(E2155&gt;=0,E2155&lt;=23),"OK","CHECK"))</f>
        <v>OK</v>
      </c>
      <c r="M2155" s="1" t="str">
        <f aca="false">IF(A2155="","",IF(AND(K2155="OK",L2155="OK"),"OK","CHECK"))</f>
        <v>OK</v>
      </c>
    </row>
    <row r="2156" customFormat="false" ht="18" hidden="false" customHeight="true" outlineLevel="0" collapsed="false">
      <c r="A2156" s="9" t="s">
        <v>26</v>
      </c>
      <c r="B2156" s="9" t="n">
        <v>25</v>
      </c>
      <c r="C2156" s="11" t="n">
        <v>45964</v>
      </c>
      <c r="D2156" s="9" t="s">
        <v>173</v>
      </c>
      <c r="E2156" s="12" t="n">
        <v>20</v>
      </c>
      <c r="F2156" s="9" t="s">
        <v>31</v>
      </c>
      <c r="G2156" s="13" t="n">
        <v>200</v>
      </c>
      <c r="H2156" s="9" t="s">
        <v>30</v>
      </c>
      <c r="I2156" s="13" t="n">
        <v>5</v>
      </c>
      <c r="J2156" s="1" t="str">
        <f aca="false">IF(A2156="","", "SAMP-"&amp;A2156&amp;"-L"&amp;TEXT(B2156,"00")&amp;"-"&amp;TEXT(C2156,"yyyymmdd")&amp;"-"&amp;D2156&amp;"-H"&amp;TEXT(E2156,"00")&amp;"-"&amp;H2156)</f>
        <v>SAMP-KG01-L25-20251103-ORD-2025-00284-H20-Overpress</v>
      </c>
      <c r="K2156" s="1" t="str">
        <f aca="false">IF(A2156="","",IF(AND(G2156&gt;=0,I2156&gt;=0,I2156&lt;=G2156),"OK","CHECK"))</f>
        <v>OK</v>
      </c>
      <c r="L2156" s="1" t="str">
        <f aca="false">IF(A2156="","",IF(AND(E2156&gt;=0,E2156&lt;=23),"OK","CHECK"))</f>
        <v>OK</v>
      </c>
      <c r="M2156" s="1" t="str">
        <f aca="false">IF(A2156="","",IF(AND(K2156="OK",L2156="OK"),"OK","CHECK"))</f>
        <v>OK</v>
      </c>
    </row>
    <row r="2157" customFormat="false" ht="18" hidden="false" customHeight="true" outlineLevel="0" collapsed="false">
      <c r="A2157" s="9" t="s">
        <v>26</v>
      </c>
      <c r="B2157" s="9" t="n">
        <v>25</v>
      </c>
      <c r="C2157" s="11" t="n">
        <v>45965</v>
      </c>
      <c r="D2157" s="9" t="s">
        <v>173</v>
      </c>
      <c r="E2157" s="12" t="n">
        <v>9</v>
      </c>
      <c r="F2157" s="9" t="s">
        <v>28</v>
      </c>
      <c r="G2157" s="13" t="n">
        <v>200</v>
      </c>
      <c r="H2157" s="9" t="s">
        <v>29</v>
      </c>
      <c r="I2157" s="13" t="n">
        <v>7</v>
      </c>
      <c r="J2157" s="1" t="str">
        <f aca="false">IF(A2157="","", "SAMP-"&amp;A2157&amp;"-L"&amp;TEXT(B2157,"00")&amp;"-"&amp;TEXT(C2157,"yyyymmdd")&amp;"-"&amp;D2157&amp;"-H"&amp;TEXT(E2157,"00")&amp;"-"&amp;H2157)</f>
        <v>SAMP-KG01-L25-20251104-ORD-2025-00284-H09-Choke Neck</v>
      </c>
      <c r="K2157" s="1" t="str">
        <f aca="false">IF(A2157="","",IF(AND(G2157&gt;=0,I2157&gt;=0,I2157&lt;=G2157),"OK","CHECK"))</f>
        <v>OK</v>
      </c>
      <c r="L2157" s="1" t="str">
        <f aca="false">IF(A2157="","",IF(AND(E2157&gt;=0,E2157&lt;=23),"OK","CHECK"))</f>
        <v>OK</v>
      </c>
      <c r="M2157" s="1" t="str">
        <f aca="false">IF(A2157="","",IF(AND(K2157="OK",L2157="OK"),"OK","CHECK"))</f>
        <v>OK</v>
      </c>
    </row>
    <row r="2158" customFormat="false" ht="18" hidden="false" customHeight="true" outlineLevel="0" collapsed="false">
      <c r="A2158" s="9" t="s">
        <v>26</v>
      </c>
      <c r="B2158" s="9" t="n">
        <v>25</v>
      </c>
      <c r="C2158" s="11" t="n">
        <v>45965</v>
      </c>
      <c r="D2158" s="9" t="s">
        <v>173</v>
      </c>
      <c r="E2158" s="12" t="n">
        <v>7</v>
      </c>
      <c r="F2158" s="9" t="s">
        <v>28</v>
      </c>
      <c r="G2158" s="13" t="n">
        <v>150</v>
      </c>
      <c r="H2158" s="9" t="s">
        <v>38</v>
      </c>
      <c r="I2158" s="13" t="n">
        <v>0</v>
      </c>
      <c r="J2158" s="1" t="str">
        <f aca="false">IF(A2158="","", "SAMP-"&amp;A2158&amp;"-L"&amp;TEXT(B2158,"00")&amp;"-"&amp;TEXT(C2158,"yyyymmdd")&amp;"-"&amp;D2158&amp;"-H"&amp;TEXT(E2158,"00")&amp;"-"&amp;H2158)</f>
        <v>SAMP-KG01-L25-20251104-ORD-2025-00284-H07-Crack</v>
      </c>
      <c r="K2158" s="1" t="str">
        <f aca="false">IF(A2158="","",IF(AND(G2158&gt;=0,I2158&gt;=0,I2158&lt;=G2158),"OK","CHECK"))</f>
        <v>OK</v>
      </c>
      <c r="L2158" s="1" t="str">
        <f aca="false">IF(A2158="","",IF(AND(E2158&gt;=0,E2158&lt;=23),"OK","CHECK"))</f>
        <v>OK</v>
      </c>
      <c r="M2158" s="1" t="str">
        <f aca="false">IF(A2158="","",IF(AND(K2158="OK",L2158="OK"),"OK","CHECK"))</f>
        <v>OK</v>
      </c>
    </row>
    <row r="2159" customFormat="false" ht="18" hidden="false" customHeight="true" outlineLevel="0" collapsed="false">
      <c r="A2159" s="9" t="s">
        <v>26</v>
      </c>
      <c r="B2159" s="9" t="n">
        <v>25</v>
      </c>
      <c r="C2159" s="11" t="n">
        <v>45965</v>
      </c>
      <c r="D2159" s="9" t="s">
        <v>173</v>
      </c>
      <c r="E2159" s="12" t="n">
        <v>12</v>
      </c>
      <c r="F2159" s="9" t="s">
        <v>28</v>
      </c>
      <c r="G2159" s="13" t="n">
        <v>200</v>
      </c>
      <c r="H2159" s="9" t="s">
        <v>34</v>
      </c>
      <c r="I2159" s="13" t="n">
        <v>4</v>
      </c>
      <c r="J2159" s="1" t="str">
        <f aca="false">IF(A2159="","", "SAMP-"&amp;A2159&amp;"-L"&amp;TEXT(B2159,"00")&amp;"-"&amp;TEXT(C2159,"yyyymmdd")&amp;"-"&amp;D2159&amp;"-H"&amp;TEXT(E2159,"00")&amp;"-"&amp;H2159)</f>
        <v>SAMP-KG01-L25-20251104-ORD-2025-00284-H12-Thin Wall</v>
      </c>
      <c r="K2159" s="1" t="str">
        <f aca="false">IF(A2159="","",IF(AND(G2159&gt;=0,I2159&gt;=0,I2159&lt;=G2159),"OK","CHECK"))</f>
        <v>OK</v>
      </c>
      <c r="L2159" s="1" t="str">
        <f aca="false">IF(A2159="","",IF(AND(E2159&gt;=0,E2159&lt;=23),"OK","CHECK"))</f>
        <v>OK</v>
      </c>
      <c r="M2159" s="1" t="str">
        <f aca="false">IF(A2159="","",IF(AND(K2159="OK",L2159="OK"),"OK","CHECK"))</f>
        <v>OK</v>
      </c>
    </row>
    <row r="2160" customFormat="false" ht="18" hidden="false" customHeight="true" outlineLevel="0" collapsed="false">
      <c r="A2160" s="9" t="s">
        <v>26</v>
      </c>
      <c r="B2160" s="9" t="n">
        <v>25</v>
      </c>
      <c r="C2160" s="11" t="n">
        <v>45965</v>
      </c>
      <c r="D2160" s="9" t="s">
        <v>173</v>
      </c>
      <c r="E2160" s="12" t="n">
        <v>20</v>
      </c>
      <c r="F2160" s="9" t="s">
        <v>31</v>
      </c>
      <c r="G2160" s="13" t="n">
        <v>150</v>
      </c>
      <c r="H2160" s="9" t="s">
        <v>33</v>
      </c>
      <c r="I2160" s="13" t="n">
        <v>7</v>
      </c>
      <c r="J2160" s="1" t="str">
        <f aca="false">IF(A2160="","", "SAMP-"&amp;A2160&amp;"-L"&amp;TEXT(B2160,"00")&amp;"-"&amp;TEXT(C2160,"yyyymmdd")&amp;"-"&amp;D2160&amp;"-H"&amp;TEXT(E2160,"00")&amp;"-"&amp;H2160)</f>
        <v>SAMP-KG01-L25-20251104-ORD-2025-00284-H20-Distortion</v>
      </c>
      <c r="K2160" s="1" t="str">
        <f aca="false">IF(A2160="","",IF(AND(G2160&gt;=0,I2160&gt;=0,I2160&lt;=G2160),"OK","CHECK"))</f>
        <v>OK</v>
      </c>
      <c r="L2160" s="1" t="str">
        <f aca="false">IF(A2160="","",IF(AND(E2160&gt;=0,E2160&lt;=23),"OK","CHECK"))</f>
        <v>OK</v>
      </c>
      <c r="M2160" s="1" t="str">
        <f aca="false">IF(A2160="","",IF(AND(K2160="OK",L2160="OK"),"OK","CHECK"))</f>
        <v>OK</v>
      </c>
    </row>
    <row r="2161" customFormat="false" ht="18" hidden="false" customHeight="true" outlineLevel="0" collapsed="false">
      <c r="A2161" s="9" t="s">
        <v>26</v>
      </c>
      <c r="B2161" s="9" t="n">
        <v>25</v>
      </c>
      <c r="C2161" s="11" t="n">
        <v>45965</v>
      </c>
      <c r="D2161" s="9" t="s">
        <v>173</v>
      </c>
      <c r="E2161" s="12" t="n">
        <v>23</v>
      </c>
      <c r="F2161" s="9" t="s">
        <v>31</v>
      </c>
      <c r="G2161" s="13" t="n">
        <v>150</v>
      </c>
      <c r="H2161" s="9" t="s">
        <v>36</v>
      </c>
      <c r="I2161" s="13" t="n">
        <v>1</v>
      </c>
      <c r="J2161" s="1" t="str">
        <f aca="false">IF(A2161="","", "SAMP-"&amp;A2161&amp;"-L"&amp;TEXT(B2161,"00")&amp;"-"&amp;TEXT(C2161,"yyyymmdd")&amp;"-"&amp;D2161&amp;"-H"&amp;TEXT(E2161,"00")&amp;"-"&amp;H2161)</f>
        <v>SAMP-KG01-L25-20251104-ORD-2025-00284-H23-Blister</v>
      </c>
      <c r="K2161" s="1" t="str">
        <f aca="false">IF(A2161="","",IF(AND(G2161&gt;=0,I2161&gt;=0,I2161&lt;=G2161),"OK","CHECK"))</f>
        <v>OK</v>
      </c>
      <c r="L2161" s="1" t="str">
        <f aca="false">IF(A2161="","",IF(AND(E2161&gt;=0,E2161&lt;=23),"OK","CHECK"))</f>
        <v>OK</v>
      </c>
      <c r="M2161" s="1" t="str">
        <f aca="false">IF(A2161="","",IF(AND(K2161="OK",L2161="OK"),"OK","CHECK"))</f>
        <v>OK</v>
      </c>
    </row>
    <row r="2162" customFormat="false" ht="18" hidden="false" customHeight="true" outlineLevel="0" collapsed="false">
      <c r="A2162" s="9" t="s">
        <v>26</v>
      </c>
      <c r="B2162" s="9" t="n">
        <v>25</v>
      </c>
      <c r="C2162" s="11" t="n">
        <v>45965</v>
      </c>
      <c r="D2162" s="9" t="s">
        <v>173</v>
      </c>
      <c r="E2162" s="12" t="n">
        <v>16</v>
      </c>
      <c r="F2162" s="9" t="s">
        <v>31</v>
      </c>
      <c r="G2162" s="13" t="n">
        <v>150</v>
      </c>
      <c r="H2162" s="9" t="s">
        <v>33</v>
      </c>
      <c r="I2162" s="13" t="n">
        <v>1</v>
      </c>
      <c r="J2162" s="1" t="str">
        <f aca="false">IF(A2162="","", "SAMP-"&amp;A2162&amp;"-L"&amp;TEXT(B2162,"00")&amp;"-"&amp;TEXT(C2162,"yyyymmdd")&amp;"-"&amp;D2162&amp;"-H"&amp;TEXT(E2162,"00")&amp;"-"&amp;H2162)</f>
        <v>SAMP-KG01-L25-20251104-ORD-2025-00284-H16-Distortion</v>
      </c>
      <c r="K2162" s="1" t="str">
        <f aca="false">IF(A2162="","",IF(AND(G2162&gt;=0,I2162&gt;=0,I2162&lt;=G2162),"OK","CHECK"))</f>
        <v>OK</v>
      </c>
      <c r="L2162" s="1" t="str">
        <f aca="false">IF(A2162="","",IF(AND(E2162&gt;=0,E2162&lt;=23),"OK","CHECK"))</f>
        <v>OK</v>
      </c>
      <c r="M2162" s="1" t="str">
        <f aca="false">IF(A2162="","",IF(AND(K2162="OK",L2162="OK"),"OK","CHECK"))</f>
        <v>OK</v>
      </c>
    </row>
    <row r="2163" customFormat="false" ht="18" hidden="false" customHeight="true" outlineLevel="0" collapsed="false">
      <c r="A2163" s="9" t="s">
        <v>26</v>
      </c>
      <c r="B2163" s="9" t="n">
        <v>25</v>
      </c>
      <c r="C2163" s="11" t="n">
        <v>45966</v>
      </c>
      <c r="D2163" s="9" t="s">
        <v>174</v>
      </c>
      <c r="E2163" s="12" t="n">
        <v>7</v>
      </c>
      <c r="F2163" s="9" t="s">
        <v>28</v>
      </c>
      <c r="G2163" s="13" t="n">
        <v>200</v>
      </c>
      <c r="H2163" s="9" t="s">
        <v>34</v>
      </c>
      <c r="I2163" s="13" t="n">
        <v>5</v>
      </c>
      <c r="J2163" s="1" t="str">
        <f aca="false">IF(A2163="","", "SAMP-"&amp;A2163&amp;"-L"&amp;TEXT(B2163,"00")&amp;"-"&amp;TEXT(C2163,"yyyymmdd")&amp;"-"&amp;D2163&amp;"-H"&amp;TEXT(E2163,"00")&amp;"-"&amp;H2163)</f>
        <v>SAMP-KG01-L25-20251105-ORD-2025-00285-H07-Thin Wall</v>
      </c>
      <c r="K2163" s="1" t="str">
        <f aca="false">IF(A2163="","",IF(AND(G2163&gt;=0,I2163&gt;=0,I2163&lt;=G2163),"OK","CHECK"))</f>
        <v>OK</v>
      </c>
      <c r="L2163" s="1" t="str">
        <f aca="false">IF(A2163="","",IF(AND(E2163&gt;=0,E2163&lt;=23),"OK","CHECK"))</f>
        <v>OK</v>
      </c>
      <c r="M2163" s="1" t="str">
        <f aca="false">IF(A2163="","",IF(AND(K2163="OK",L2163="OK"),"OK","CHECK"))</f>
        <v>OK</v>
      </c>
    </row>
    <row r="2164" customFormat="false" ht="18" hidden="false" customHeight="true" outlineLevel="0" collapsed="false">
      <c r="A2164" s="9" t="s">
        <v>26</v>
      </c>
      <c r="B2164" s="9" t="n">
        <v>25</v>
      </c>
      <c r="C2164" s="11" t="n">
        <v>45966</v>
      </c>
      <c r="D2164" s="9" t="s">
        <v>174</v>
      </c>
      <c r="E2164" s="12" t="n">
        <v>12</v>
      </c>
      <c r="F2164" s="9" t="s">
        <v>28</v>
      </c>
      <c r="G2164" s="13" t="n">
        <v>200</v>
      </c>
      <c r="H2164" s="9" t="s">
        <v>29</v>
      </c>
      <c r="I2164" s="13" t="n">
        <v>3</v>
      </c>
      <c r="J2164" s="1" t="str">
        <f aca="false">IF(A2164="","", "SAMP-"&amp;A2164&amp;"-L"&amp;TEXT(B2164,"00")&amp;"-"&amp;TEXT(C2164,"yyyymmdd")&amp;"-"&amp;D2164&amp;"-H"&amp;TEXT(E2164,"00")&amp;"-"&amp;H2164)</f>
        <v>SAMP-KG01-L25-20251105-ORD-2025-00285-H12-Choke Neck</v>
      </c>
      <c r="K2164" s="1" t="str">
        <f aca="false">IF(A2164="","",IF(AND(G2164&gt;=0,I2164&gt;=0,I2164&lt;=G2164),"OK","CHECK"))</f>
        <v>OK</v>
      </c>
      <c r="L2164" s="1" t="str">
        <f aca="false">IF(A2164="","",IF(AND(E2164&gt;=0,E2164&lt;=23),"OK","CHECK"))</f>
        <v>OK</v>
      </c>
      <c r="M2164" s="1" t="str">
        <f aca="false">IF(A2164="","",IF(AND(K2164="OK",L2164="OK"),"OK","CHECK"))</f>
        <v>OK</v>
      </c>
    </row>
    <row r="2165" customFormat="false" ht="18" hidden="false" customHeight="true" outlineLevel="0" collapsed="false">
      <c r="A2165" s="9" t="s">
        <v>26</v>
      </c>
      <c r="B2165" s="9" t="n">
        <v>25</v>
      </c>
      <c r="C2165" s="11" t="n">
        <v>45966</v>
      </c>
      <c r="D2165" s="9" t="s">
        <v>174</v>
      </c>
      <c r="E2165" s="12" t="n">
        <v>9</v>
      </c>
      <c r="F2165" s="9" t="s">
        <v>28</v>
      </c>
      <c r="G2165" s="13" t="n">
        <v>100</v>
      </c>
      <c r="H2165" s="9" t="s">
        <v>38</v>
      </c>
      <c r="I2165" s="13" t="n">
        <v>2</v>
      </c>
      <c r="J2165" s="1" t="str">
        <f aca="false">IF(A2165="","", "SAMP-"&amp;A2165&amp;"-L"&amp;TEXT(B2165,"00")&amp;"-"&amp;TEXT(C2165,"yyyymmdd")&amp;"-"&amp;D2165&amp;"-H"&amp;TEXT(E2165,"00")&amp;"-"&amp;H2165)</f>
        <v>SAMP-KG01-L25-20251105-ORD-2025-00285-H09-Crack</v>
      </c>
      <c r="K2165" s="1" t="str">
        <f aca="false">IF(A2165="","",IF(AND(G2165&gt;=0,I2165&gt;=0,I2165&lt;=G2165),"OK","CHECK"))</f>
        <v>OK</v>
      </c>
      <c r="L2165" s="1" t="str">
        <f aca="false">IF(A2165="","",IF(AND(E2165&gt;=0,E2165&lt;=23),"OK","CHECK"))</f>
        <v>OK</v>
      </c>
      <c r="M2165" s="1" t="str">
        <f aca="false">IF(A2165="","",IF(AND(K2165="OK",L2165="OK"),"OK","CHECK"))</f>
        <v>OK</v>
      </c>
    </row>
    <row r="2166" customFormat="false" ht="18" hidden="false" customHeight="true" outlineLevel="0" collapsed="false">
      <c r="A2166" s="9" t="s">
        <v>26</v>
      </c>
      <c r="B2166" s="9" t="n">
        <v>25</v>
      </c>
      <c r="C2166" s="11" t="n">
        <v>45966</v>
      </c>
      <c r="D2166" s="9" t="s">
        <v>174</v>
      </c>
      <c r="E2166" s="12" t="n">
        <v>20</v>
      </c>
      <c r="F2166" s="9" t="s">
        <v>31</v>
      </c>
      <c r="G2166" s="13" t="n">
        <v>50</v>
      </c>
      <c r="H2166" s="9" t="s">
        <v>35</v>
      </c>
      <c r="I2166" s="13" t="n">
        <v>0</v>
      </c>
      <c r="J2166" s="1" t="str">
        <f aca="false">IF(A2166="","", "SAMP-"&amp;A2166&amp;"-L"&amp;TEXT(B2166,"00")&amp;"-"&amp;TEXT(C2166,"yyyymmdd")&amp;"-"&amp;D2166&amp;"-H"&amp;TEXT(E2166,"00")&amp;"-"&amp;H2166)</f>
        <v>SAMP-KG01-L25-20251105-ORD-2025-00285-H20-Stone</v>
      </c>
      <c r="K2166" s="1" t="str">
        <f aca="false">IF(A2166="","",IF(AND(G2166&gt;=0,I2166&gt;=0,I2166&lt;=G2166),"OK","CHECK"))</f>
        <v>OK</v>
      </c>
      <c r="L2166" s="1" t="str">
        <f aca="false">IF(A2166="","",IF(AND(E2166&gt;=0,E2166&lt;=23),"OK","CHECK"))</f>
        <v>OK</v>
      </c>
      <c r="M2166" s="1" t="str">
        <f aca="false">IF(A2166="","",IF(AND(K2166="OK",L2166="OK"),"OK","CHECK"))</f>
        <v>OK</v>
      </c>
    </row>
    <row r="2167" customFormat="false" ht="18" hidden="false" customHeight="true" outlineLevel="0" collapsed="false">
      <c r="A2167" s="9" t="s">
        <v>26</v>
      </c>
      <c r="B2167" s="9" t="n">
        <v>25</v>
      </c>
      <c r="C2167" s="11" t="n">
        <v>45966</v>
      </c>
      <c r="D2167" s="9" t="s">
        <v>174</v>
      </c>
      <c r="E2167" s="12" t="n">
        <v>23</v>
      </c>
      <c r="F2167" s="9" t="s">
        <v>31</v>
      </c>
      <c r="G2167" s="13" t="n">
        <v>150</v>
      </c>
      <c r="H2167" s="9" t="s">
        <v>41</v>
      </c>
      <c r="I2167" s="13" t="n">
        <v>2</v>
      </c>
      <c r="J2167" s="1" t="str">
        <f aca="false">IF(A2167="","", "SAMP-"&amp;A2167&amp;"-L"&amp;TEXT(B2167,"00")&amp;"-"&amp;TEXT(C2167,"yyyymmdd")&amp;"-"&amp;D2167&amp;"-H"&amp;TEXT(E2167,"00")&amp;"-"&amp;H2167)</f>
        <v>SAMP-KG01-L25-20251105-ORD-2025-00285-H23-Chip</v>
      </c>
      <c r="K2167" s="1" t="str">
        <f aca="false">IF(A2167="","",IF(AND(G2167&gt;=0,I2167&gt;=0,I2167&lt;=G2167),"OK","CHECK"))</f>
        <v>OK</v>
      </c>
      <c r="L2167" s="1" t="str">
        <f aca="false">IF(A2167="","",IF(AND(E2167&gt;=0,E2167&lt;=23),"OK","CHECK"))</f>
        <v>OK</v>
      </c>
      <c r="M2167" s="1" t="str">
        <f aca="false">IF(A2167="","",IF(AND(K2167="OK",L2167="OK"),"OK","CHECK"))</f>
        <v>OK</v>
      </c>
    </row>
    <row r="2168" customFormat="false" ht="18" hidden="false" customHeight="true" outlineLevel="0" collapsed="false">
      <c r="A2168" s="9" t="s">
        <v>26</v>
      </c>
      <c r="B2168" s="9" t="n">
        <v>25</v>
      </c>
      <c r="C2168" s="11" t="n">
        <v>45966</v>
      </c>
      <c r="D2168" s="9" t="s">
        <v>174</v>
      </c>
      <c r="E2168" s="12" t="n">
        <v>16</v>
      </c>
      <c r="F2168" s="9" t="s">
        <v>31</v>
      </c>
      <c r="G2168" s="13" t="n">
        <v>50</v>
      </c>
      <c r="H2168" s="9" t="s">
        <v>37</v>
      </c>
      <c r="I2168" s="13" t="n">
        <v>1</v>
      </c>
      <c r="J2168" s="1" t="str">
        <f aca="false">IF(A2168="","", "SAMP-"&amp;A2168&amp;"-L"&amp;TEXT(B2168,"00")&amp;"-"&amp;TEXT(C2168,"yyyymmdd")&amp;"-"&amp;D2168&amp;"-H"&amp;TEXT(E2168,"00")&amp;"-"&amp;H2168)</f>
        <v>SAMP-KG01-L25-20251105-ORD-2025-00285-H16-Bird Swing</v>
      </c>
      <c r="K2168" s="1" t="str">
        <f aca="false">IF(A2168="","",IF(AND(G2168&gt;=0,I2168&gt;=0,I2168&lt;=G2168),"OK","CHECK"))</f>
        <v>OK</v>
      </c>
      <c r="L2168" s="1" t="str">
        <f aca="false">IF(A2168="","",IF(AND(E2168&gt;=0,E2168&lt;=23),"OK","CHECK"))</f>
        <v>OK</v>
      </c>
      <c r="M2168" s="1" t="str">
        <f aca="false">IF(A2168="","",IF(AND(K2168="OK",L2168="OK"),"OK","CHECK"))</f>
        <v>OK</v>
      </c>
    </row>
    <row r="2169" customFormat="false" ht="18" hidden="false" customHeight="true" outlineLevel="0" collapsed="false">
      <c r="A2169" s="9" t="s">
        <v>26</v>
      </c>
      <c r="B2169" s="9" t="n">
        <v>25</v>
      </c>
      <c r="C2169" s="11" t="n">
        <v>45967</v>
      </c>
      <c r="D2169" s="9" t="s">
        <v>174</v>
      </c>
      <c r="E2169" s="12" t="n">
        <v>7</v>
      </c>
      <c r="F2169" s="9" t="s">
        <v>28</v>
      </c>
      <c r="G2169" s="13" t="n">
        <v>50</v>
      </c>
      <c r="H2169" s="9" t="s">
        <v>35</v>
      </c>
      <c r="I2169" s="13" t="n">
        <v>0</v>
      </c>
      <c r="J2169" s="1" t="str">
        <f aca="false">IF(A2169="","", "SAMP-"&amp;A2169&amp;"-L"&amp;TEXT(B2169,"00")&amp;"-"&amp;TEXT(C2169,"yyyymmdd")&amp;"-"&amp;D2169&amp;"-H"&amp;TEXT(E2169,"00")&amp;"-"&amp;H2169)</f>
        <v>SAMP-KG01-L25-20251106-ORD-2025-00285-H07-Stone</v>
      </c>
      <c r="K2169" s="1" t="str">
        <f aca="false">IF(A2169="","",IF(AND(G2169&gt;=0,I2169&gt;=0,I2169&lt;=G2169),"OK","CHECK"))</f>
        <v>OK</v>
      </c>
      <c r="L2169" s="1" t="str">
        <f aca="false">IF(A2169="","",IF(AND(E2169&gt;=0,E2169&lt;=23),"OK","CHECK"))</f>
        <v>OK</v>
      </c>
      <c r="M2169" s="1" t="str">
        <f aca="false">IF(A2169="","",IF(AND(K2169="OK",L2169="OK"),"OK","CHECK"))</f>
        <v>OK</v>
      </c>
    </row>
    <row r="2170" customFormat="false" ht="18" hidden="false" customHeight="true" outlineLevel="0" collapsed="false">
      <c r="A2170" s="9" t="s">
        <v>26</v>
      </c>
      <c r="B2170" s="9" t="n">
        <v>25</v>
      </c>
      <c r="C2170" s="11" t="n">
        <v>45967</v>
      </c>
      <c r="D2170" s="9" t="s">
        <v>174</v>
      </c>
      <c r="E2170" s="12" t="n">
        <v>12</v>
      </c>
      <c r="F2170" s="9" t="s">
        <v>28</v>
      </c>
      <c r="G2170" s="13" t="n">
        <v>50</v>
      </c>
      <c r="H2170" s="9" t="s">
        <v>30</v>
      </c>
      <c r="I2170" s="13" t="n">
        <v>1</v>
      </c>
      <c r="J2170" s="1" t="str">
        <f aca="false">IF(A2170="","", "SAMP-"&amp;A2170&amp;"-L"&amp;TEXT(B2170,"00")&amp;"-"&amp;TEXT(C2170,"yyyymmdd")&amp;"-"&amp;D2170&amp;"-H"&amp;TEXT(E2170,"00")&amp;"-"&amp;H2170)</f>
        <v>SAMP-KG01-L25-20251106-ORD-2025-00285-H12-Overpress</v>
      </c>
      <c r="K2170" s="1" t="str">
        <f aca="false">IF(A2170="","",IF(AND(G2170&gt;=0,I2170&gt;=0,I2170&lt;=G2170),"OK","CHECK"))</f>
        <v>OK</v>
      </c>
      <c r="L2170" s="1" t="str">
        <f aca="false">IF(A2170="","",IF(AND(E2170&gt;=0,E2170&lt;=23),"OK","CHECK"))</f>
        <v>OK</v>
      </c>
      <c r="M2170" s="1" t="str">
        <f aca="false">IF(A2170="","",IF(AND(K2170="OK",L2170="OK"),"OK","CHECK"))</f>
        <v>OK</v>
      </c>
    </row>
    <row r="2171" customFormat="false" ht="18" hidden="false" customHeight="true" outlineLevel="0" collapsed="false">
      <c r="A2171" s="9" t="s">
        <v>26</v>
      </c>
      <c r="B2171" s="9" t="n">
        <v>25</v>
      </c>
      <c r="C2171" s="11" t="n">
        <v>45967</v>
      </c>
      <c r="D2171" s="9" t="s">
        <v>174</v>
      </c>
      <c r="E2171" s="12" t="n">
        <v>9</v>
      </c>
      <c r="F2171" s="9" t="s">
        <v>28</v>
      </c>
      <c r="G2171" s="13" t="n">
        <v>100</v>
      </c>
      <c r="H2171" s="9" t="s">
        <v>33</v>
      </c>
      <c r="I2171" s="13" t="n">
        <v>3</v>
      </c>
      <c r="J2171" s="1" t="str">
        <f aca="false">IF(A2171="","", "SAMP-"&amp;A2171&amp;"-L"&amp;TEXT(B2171,"00")&amp;"-"&amp;TEXT(C2171,"yyyymmdd")&amp;"-"&amp;D2171&amp;"-H"&amp;TEXT(E2171,"00")&amp;"-"&amp;H2171)</f>
        <v>SAMP-KG01-L25-20251106-ORD-2025-00285-H09-Distortion</v>
      </c>
      <c r="K2171" s="1" t="str">
        <f aca="false">IF(A2171="","",IF(AND(G2171&gt;=0,I2171&gt;=0,I2171&lt;=G2171),"OK","CHECK"))</f>
        <v>OK</v>
      </c>
      <c r="L2171" s="1" t="str">
        <f aca="false">IF(A2171="","",IF(AND(E2171&gt;=0,E2171&lt;=23),"OK","CHECK"))</f>
        <v>OK</v>
      </c>
      <c r="M2171" s="1" t="str">
        <f aca="false">IF(A2171="","",IF(AND(K2171="OK",L2171="OK"),"OK","CHECK"))</f>
        <v>OK</v>
      </c>
    </row>
    <row r="2172" customFormat="false" ht="18" hidden="false" customHeight="true" outlineLevel="0" collapsed="false">
      <c r="A2172" s="9" t="s">
        <v>26</v>
      </c>
      <c r="B2172" s="9" t="n">
        <v>25</v>
      </c>
      <c r="C2172" s="11" t="n">
        <v>45967</v>
      </c>
      <c r="D2172" s="9" t="s">
        <v>174</v>
      </c>
      <c r="E2172" s="12" t="n">
        <v>23</v>
      </c>
      <c r="F2172" s="9" t="s">
        <v>31</v>
      </c>
      <c r="G2172" s="13" t="n">
        <v>100</v>
      </c>
      <c r="H2172" s="9" t="s">
        <v>29</v>
      </c>
      <c r="I2172" s="13" t="n">
        <v>5</v>
      </c>
      <c r="J2172" s="1" t="str">
        <f aca="false">IF(A2172="","", "SAMP-"&amp;A2172&amp;"-L"&amp;TEXT(B2172,"00")&amp;"-"&amp;TEXT(C2172,"yyyymmdd")&amp;"-"&amp;D2172&amp;"-H"&amp;TEXT(E2172,"00")&amp;"-"&amp;H2172)</f>
        <v>SAMP-KG01-L25-20251106-ORD-2025-00285-H23-Choke Neck</v>
      </c>
      <c r="K2172" s="1" t="str">
        <f aca="false">IF(A2172="","",IF(AND(G2172&gt;=0,I2172&gt;=0,I2172&lt;=G2172),"OK","CHECK"))</f>
        <v>OK</v>
      </c>
      <c r="L2172" s="1" t="str">
        <f aca="false">IF(A2172="","",IF(AND(E2172&gt;=0,E2172&lt;=23),"OK","CHECK"))</f>
        <v>OK</v>
      </c>
      <c r="M2172" s="1" t="str">
        <f aca="false">IF(A2172="","",IF(AND(K2172="OK",L2172="OK"),"OK","CHECK"))</f>
        <v>OK</v>
      </c>
    </row>
    <row r="2173" customFormat="false" ht="18" hidden="false" customHeight="true" outlineLevel="0" collapsed="false">
      <c r="A2173" s="9" t="s">
        <v>26</v>
      </c>
      <c r="B2173" s="9" t="n">
        <v>25</v>
      </c>
      <c r="C2173" s="11" t="n">
        <v>45967</v>
      </c>
      <c r="D2173" s="9" t="s">
        <v>174</v>
      </c>
      <c r="E2173" s="12" t="n">
        <v>20</v>
      </c>
      <c r="F2173" s="9" t="s">
        <v>31</v>
      </c>
      <c r="G2173" s="13" t="n">
        <v>200</v>
      </c>
      <c r="H2173" s="9" t="s">
        <v>37</v>
      </c>
      <c r="I2173" s="13" t="n">
        <v>3</v>
      </c>
      <c r="J2173" s="1" t="str">
        <f aca="false">IF(A2173="","", "SAMP-"&amp;A2173&amp;"-L"&amp;TEXT(B2173,"00")&amp;"-"&amp;TEXT(C2173,"yyyymmdd")&amp;"-"&amp;D2173&amp;"-H"&amp;TEXT(E2173,"00")&amp;"-"&amp;H2173)</f>
        <v>SAMP-KG01-L25-20251106-ORD-2025-00285-H20-Bird Swing</v>
      </c>
      <c r="K2173" s="1" t="str">
        <f aca="false">IF(A2173="","",IF(AND(G2173&gt;=0,I2173&gt;=0,I2173&lt;=G2173),"OK","CHECK"))</f>
        <v>OK</v>
      </c>
      <c r="L2173" s="1" t="str">
        <f aca="false">IF(A2173="","",IF(AND(E2173&gt;=0,E2173&lt;=23),"OK","CHECK"))</f>
        <v>OK</v>
      </c>
      <c r="M2173" s="1" t="str">
        <f aca="false">IF(A2173="","",IF(AND(K2173="OK",L2173="OK"),"OK","CHECK"))</f>
        <v>OK</v>
      </c>
    </row>
    <row r="2174" customFormat="false" ht="18" hidden="false" customHeight="true" outlineLevel="0" collapsed="false">
      <c r="A2174" s="9" t="s">
        <v>26</v>
      </c>
      <c r="B2174" s="9" t="n">
        <v>25</v>
      </c>
      <c r="C2174" s="11" t="n">
        <v>45967</v>
      </c>
      <c r="D2174" s="9" t="s">
        <v>174</v>
      </c>
      <c r="E2174" s="12" t="n">
        <v>16</v>
      </c>
      <c r="F2174" s="9" t="s">
        <v>31</v>
      </c>
      <c r="G2174" s="13" t="n">
        <v>100</v>
      </c>
      <c r="H2174" s="9" t="s">
        <v>37</v>
      </c>
      <c r="I2174" s="13" t="n">
        <v>5</v>
      </c>
      <c r="J2174" s="1" t="str">
        <f aca="false">IF(A2174="","", "SAMP-"&amp;A2174&amp;"-L"&amp;TEXT(B2174,"00")&amp;"-"&amp;TEXT(C2174,"yyyymmdd")&amp;"-"&amp;D2174&amp;"-H"&amp;TEXT(E2174,"00")&amp;"-"&amp;H2174)</f>
        <v>SAMP-KG01-L25-20251106-ORD-2025-00285-H16-Bird Swing</v>
      </c>
      <c r="K2174" s="1" t="str">
        <f aca="false">IF(A2174="","",IF(AND(G2174&gt;=0,I2174&gt;=0,I2174&lt;=G2174),"OK","CHECK"))</f>
        <v>OK</v>
      </c>
      <c r="L2174" s="1" t="str">
        <f aca="false">IF(A2174="","",IF(AND(E2174&gt;=0,E2174&lt;=23),"OK","CHECK"))</f>
        <v>OK</v>
      </c>
      <c r="M2174" s="1" t="str">
        <f aca="false">IF(A2174="","",IF(AND(K2174="OK",L2174="OK"),"OK","CHECK"))</f>
        <v>OK</v>
      </c>
    </row>
    <row r="2175" customFormat="false" ht="18" hidden="false" customHeight="true" outlineLevel="0" collapsed="false">
      <c r="A2175" s="9" t="s">
        <v>26</v>
      </c>
      <c r="B2175" s="9" t="n">
        <v>25</v>
      </c>
      <c r="C2175" s="11" t="n">
        <v>45968</v>
      </c>
      <c r="D2175" s="9" t="s">
        <v>174</v>
      </c>
      <c r="E2175" s="12" t="n">
        <v>9</v>
      </c>
      <c r="F2175" s="9" t="s">
        <v>28</v>
      </c>
      <c r="G2175" s="13" t="n">
        <v>50</v>
      </c>
      <c r="H2175" s="9" t="s">
        <v>38</v>
      </c>
      <c r="I2175" s="13" t="n">
        <v>1</v>
      </c>
      <c r="J2175" s="1" t="str">
        <f aca="false">IF(A2175="","", "SAMP-"&amp;A2175&amp;"-L"&amp;TEXT(B2175,"00")&amp;"-"&amp;TEXT(C2175,"yyyymmdd")&amp;"-"&amp;D2175&amp;"-H"&amp;TEXT(E2175,"00")&amp;"-"&amp;H2175)</f>
        <v>SAMP-KG01-L25-20251107-ORD-2025-00285-H09-Crack</v>
      </c>
      <c r="K2175" s="1" t="str">
        <f aca="false">IF(A2175="","",IF(AND(G2175&gt;=0,I2175&gt;=0,I2175&lt;=G2175),"OK","CHECK"))</f>
        <v>OK</v>
      </c>
      <c r="L2175" s="1" t="str">
        <f aca="false">IF(A2175="","",IF(AND(E2175&gt;=0,E2175&lt;=23),"OK","CHECK"))</f>
        <v>OK</v>
      </c>
      <c r="M2175" s="1" t="str">
        <f aca="false">IF(A2175="","",IF(AND(K2175="OK",L2175="OK"),"OK","CHECK"))</f>
        <v>OK</v>
      </c>
    </row>
    <row r="2176" customFormat="false" ht="18" hidden="false" customHeight="true" outlineLevel="0" collapsed="false">
      <c r="A2176" s="9" t="s">
        <v>26</v>
      </c>
      <c r="B2176" s="9" t="n">
        <v>25</v>
      </c>
      <c r="C2176" s="11" t="n">
        <v>45968</v>
      </c>
      <c r="D2176" s="9" t="s">
        <v>174</v>
      </c>
      <c r="E2176" s="12" t="n">
        <v>12</v>
      </c>
      <c r="F2176" s="9" t="s">
        <v>28</v>
      </c>
      <c r="G2176" s="13" t="n">
        <v>150</v>
      </c>
      <c r="H2176" s="9" t="s">
        <v>34</v>
      </c>
      <c r="I2176" s="13" t="n">
        <v>12</v>
      </c>
      <c r="J2176" s="1" t="str">
        <f aca="false">IF(A2176="","", "SAMP-"&amp;A2176&amp;"-L"&amp;TEXT(B2176,"00")&amp;"-"&amp;TEXT(C2176,"yyyymmdd")&amp;"-"&amp;D2176&amp;"-H"&amp;TEXT(E2176,"00")&amp;"-"&amp;H2176)</f>
        <v>SAMP-KG01-L25-20251107-ORD-2025-00285-H12-Thin Wall</v>
      </c>
      <c r="K2176" s="1" t="str">
        <f aca="false">IF(A2176="","",IF(AND(G2176&gt;=0,I2176&gt;=0,I2176&lt;=G2176),"OK","CHECK"))</f>
        <v>OK</v>
      </c>
      <c r="L2176" s="1" t="str">
        <f aca="false">IF(A2176="","",IF(AND(E2176&gt;=0,E2176&lt;=23),"OK","CHECK"))</f>
        <v>OK</v>
      </c>
      <c r="M2176" s="1" t="str">
        <f aca="false">IF(A2176="","",IF(AND(K2176="OK",L2176="OK"),"OK","CHECK"))</f>
        <v>OK</v>
      </c>
    </row>
    <row r="2177" customFormat="false" ht="18" hidden="false" customHeight="true" outlineLevel="0" collapsed="false">
      <c r="A2177" s="9" t="s">
        <v>26</v>
      </c>
      <c r="B2177" s="9" t="n">
        <v>25</v>
      </c>
      <c r="C2177" s="11" t="n">
        <v>45968</v>
      </c>
      <c r="D2177" s="9" t="s">
        <v>174</v>
      </c>
      <c r="E2177" s="12" t="n">
        <v>7</v>
      </c>
      <c r="F2177" s="9" t="s">
        <v>28</v>
      </c>
      <c r="G2177" s="13" t="n">
        <v>50</v>
      </c>
      <c r="H2177" s="9" t="s">
        <v>41</v>
      </c>
      <c r="I2177" s="13" t="n">
        <v>2</v>
      </c>
      <c r="J2177" s="1" t="str">
        <f aca="false">IF(A2177="","", "SAMP-"&amp;A2177&amp;"-L"&amp;TEXT(B2177,"00")&amp;"-"&amp;TEXT(C2177,"yyyymmdd")&amp;"-"&amp;D2177&amp;"-H"&amp;TEXT(E2177,"00")&amp;"-"&amp;H2177)</f>
        <v>SAMP-KG01-L25-20251107-ORD-2025-00285-H07-Chip</v>
      </c>
      <c r="K2177" s="1" t="str">
        <f aca="false">IF(A2177="","",IF(AND(G2177&gt;=0,I2177&gt;=0,I2177&lt;=G2177),"OK","CHECK"))</f>
        <v>OK</v>
      </c>
      <c r="L2177" s="1" t="str">
        <f aca="false">IF(A2177="","",IF(AND(E2177&gt;=0,E2177&lt;=23),"OK","CHECK"))</f>
        <v>OK</v>
      </c>
      <c r="M2177" s="1" t="str">
        <f aca="false">IF(A2177="","",IF(AND(K2177="OK",L2177="OK"),"OK","CHECK"))</f>
        <v>OK</v>
      </c>
    </row>
    <row r="2178" customFormat="false" ht="18" hidden="false" customHeight="true" outlineLevel="0" collapsed="false">
      <c r="A2178" s="9" t="s">
        <v>26</v>
      </c>
      <c r="B2178" s="9" t="n">
        <v>25</v>
      </c>
      <c r="C2178" s="11" t="n">
        <v>45968</v>
      </c>
      <c r="D2178" s="9" t="s">
        <v>174</v>
      </c>
      <c r="E2178" s="12" t="n">
        <v>23</v>
      </c>
      <c r="F2178" s="9" t="s">
        <v>31</v>
      </c>
      <c r="G2178" s="13" t="n">
        <v>150</v>
      </c>
      <c r="H2178" s="9" t="s">
        <v>37</v>
      </c>
      <c r="I2178" s="13" t="n">
        <v>3</v>
      </c>
      <c r="J2178" s="1" t="str">
        <f aca="false">IF(A2178="","", "SAMP-"&amp;A2178&amp;"-L"&amp;TEXT(B2178,"00")&amp;"-"&amp;TEXT(C2178,"yyyymmdd")&amp;"-"&amp;D2178&amp;"-H"&amp;TEXT(E2178,"00")&amp;"-"&amp;H2178)</f>
        <v>SAMP-KG01-L25-20251107-ORD-2025-00285-H23-Bird Swing</v>
      </c>
      <c r="K2178" s="1" t="str">
        <f aca="false">IF(A2178="","",IF(AND(G2178&gt;=0,I2178&gt;=0,I2178&lt;=G2178),"OK","CHECK"))</f>
        <v>OK</v>
      </c>
      <c r="L2178" s="1" t="str">
        <f aca="false">IF(A2178="","",IF(AND(E2178&gt;=0,E2178&lt;=23),"OK","CHECK"))</f>
        <v>OK</v>
      </c>
      <c r="M2178" s="1" t="str">
        <f aca="false">IF(A2178="","",IF(AND(K2178="OK",L2178="OK"),"OK","CHECK"))</f>
        <v>OK</v>
      </c>
    </row>
    <row r="2179" customFormat="false" ht="18" hidden="false" customHeight="true" outlineLevel="0" collapsed="false">
      <c r="A2179" s="9" t="s">
        <v>26</v>
      </c>
      <c r="B2179" s="9" t="n">
        <v>25</v>
      </c>
      <c r="C2179" s="11" t="n">
        <v>45968</v>
      </c>
      <c r="D2179" s="9" t="s">
        <v>174</v>
      </c>
      <c r="E2179" s="12" t="n">
        <v>16</v>
      </c>
      <c r="F2179" s="9" t="s">
        <v>31</v>
      </c>
      <c r="G2179" s="13" t="n">
        <v>200</v>
      </c>
      <c r="H2179" s="9" t="s">
        <v>37</v>
      </c>
      <c r="I2179" s="13" t="n">
        <v>3</v>
      </c>
      <c r="J2179" s="1" t="str">
        <f aca="false">IF(A2179="","", "SAMP-"&amp;A2179&amp;"-L"&amp;TEXT(B2179,"00")&amp;"-"&amp;TEXT(C2179,"yyyymmdd")&amp;"-"&amp;D2179&amp;"-H"&amp;TEXT(E2179,"00")&amp;"-"&amp;H2179)</f>
        <v>SAMP-KG01-L25-20251107-ORD-2025-00285-H16-Bird Swing</v>
      </c>
      <c r="K2179" s="1" t="str">
        <f aca="false">IF(A2179="","",IF(AND(G2179&gt;=0,I2179&gt;=0,I2179&lt;=G2179),"OK","CHECK"))</f>
        <v>OK</v>
      </c>
      <c r="L2179" s="1" t="str">
        <f aca="false">IF(A2179="","",IF(AND(E2179&gt;=0,E2179&lt;=23),"OK","CHECK"))</f>
        <v>OK</v>
      </c>
      <c r="M2179" s="1" t="str">
        <f aca="false">IF(A2179="","",IF(AND(K2179="OK",L2179="OK"),"OK","CHECK"))</f>
        <v>OK</v>
      </c>
    </row>
    <row r="2180" customFormat="false" ht="18" hidden="false" customHeight="true" outlineLevel="0" collapsed="false">
      <c r="A2180" s="9" t="s">
        <v>26</v>
      </c>
      <c r="B2180" s="9" t="n">
        <v>25</v>
      </c>
      <c r="C2180" s="11" t="n">
        <v>45969</v>
      </c>
      <c r="D2180" s="9" t="s">
        <v>174</v>
      </c>
      <c r="E2180" s="12" t="n">
        <v>7</v>
      </c>
      <c r="F2180" s="9" t="s">
        <v>28</v>
      </c>
      <c r="G2180" s="13" t="n">
        <v>150</v>
      </c>
      <c r="H2180" s="9" t="s">
        <v>29</v>
      </c>
      <c r="I2180" s="13" t="n">
        <v>4</v>
      </c>
      <c r="J2180" s="1" t="str">
        <f aca="false">IF(A2180="","", "SAMP-"&amp;A2180&amp;"-L"&amp;TEXT(B2180,"00")&amp;"-"&amp;TEXT(C2180,"yyyymmdd")&amp;"-"&amp;D2180&amp;"-H"&amp;TEXT(E2180,"00")&amp;"-"&amp;H2180)</f>
        <v>SAMP-KG01-L25-20251108-ORD-2025-00285-H07-Choke Neck</v>
      </c>
      <c r="K2180" s="1" t="str">
        <f aca="false">IF(A2180="","",IF(AND(G2180&gt;=0,I2180&gt;=0,I2180&lt;=G2180),"OK","CHECK"))</f>
        <v>OK</v>
      </c>
      <c r="L2180" s="1" t="str">
        <f aca="false">IF(A2180="","",IF(AND(E2180&gt;=0,E2180&lt;=23),"OK","CHECK"))</f>
        <v>OK</v>
      </c>
      <c r="M2180" s="1" t="str">
        <f aca="false">IF(A2180="","",IF(AND(K2180="OK",L2180="OK"),"OK","CHECK"))</f>
        <v>OK</v>
      </c>
    </row>
    <row r="2181" customFormat="false" ht="18" hidden="false" customHeight="true" outlineLevel="0" collapsed="false">
      <c r="A2181" s="9" t="s">
        <v>26</v>
      </c>
      <c r="B2181" s="9" t="n">
        <v>25</v>
      </c>
      <c r="C2181" s="11" t="n">
        <v>45969</v>
      </c>
      <c r="D2181" s="9" t="s">
        <v>174</v>
      </c>
      <c r="E2181" s="12" t="n">
        <v>12</v>
      </c>
      <c r="F2181" s="9" t="s">
        <v>28</v>
      </c>
      <c r="G2181" s="13" t="n">
        <v>150</v>
      </c>
      <c r="H2181" s="9" t="s">
        <v>30</v>
      </c>
      <c r="I2181" s="13" t="n">
        <v>9</v>
      </c>
      <c r="J2181" s="1" t="str">
        <f aca="false">IF(A2181="","", "SAMP-"&amp;A2181&amp;"-L"&amp;TEXT(B2181,"00")&amp;"-"&amp;TEXT(C2181,"yyyymmdd")&amp;"-"&amp;D2181&amp;"-H"&amp;TEXT(E2181,"00")&amp;"-"&amp;H2181)</f>
        <v>SAMP-KG01-L25-20251108-ORD-2025-00285-H12-Overpress</v>
      </c>
      <c r="K2181" s="1" t="str">
        <f aca="false">IF(A2181="","",IF(AND(G2181&gt;=0,I2181&gt;=0,I2181&lt;=G2181),"OK","CHECK"))</f>
        <v>OK</v>
      </c>
      <c r="L2181" s="1" t="str">
        <f aca="false">IF(A2181="","",IF(AND(E2181&gt;=0,E2181&lt;=23),"OK","CHECK"))</f>
        <v>OK</v>
      </c>
      <c r="M2181" s="1" t="str">
        <f aca="false">IF(A2181="","",IF(AND(K2181="OK",L2181="OK"),"OK","CHECK"))</f>
        <v>OK</v>
      </c>
    </row>
    <row r="2182" customFormat="false" ht="18" hidden="false" customHeight="true" outlineLevel="0" collapsed="false">
      <c r="A2182" s="9" t="s">
        <v>26</v>
      </c>
      <c r="B2182" s="9" t="n">
        <v>25</v>
      </c>
      <c r="C2182" s="11" t="n">
        <v>45969</v>
      </c>
      <c r="D2182" s="9" t="s">
        <v>174</v>
      </c>
      <c r="E2182" s="12" t="n">
        <v>16</v>
      </c>
      <c r="F2182" s="9" t="s">
        <v>31</v>
      </c>
      <c r="G2182" s="13" t="n">
        <v>200</v>
      </c>
      <c r="H2182" s="9" t="s">
        <v>34</v>
      </c>
      <c r="I2182" s="13" t="n">
        <v>3</v>
      </c>
      <c r="J2182" s="1" t="str">
        <f aca="false">IF(A2182="","", "SAMP-"&amp;A2182&amp;"-L"&amp;TEXT(B2182,"00")&amp;"-"&amp;TEXT(C2182,"yyyymmdd")&amp;"-"&amp;D2182&amp;"-H"&amp;TEXT(E2182,"00")&amp;"-"&amp;H2182)</f>
        <v>SAMP-KG01-L25-20251108-ORD-2025-00285-H16-Thin Wall</v>
      </c>
      <c r="K2182" s="1" t="str">
        <f aca="false">IF(A2182="","",IF(AND(G2182&gt;=0,I2182&gt;=0,I2182&lt;=G2182),"OK","CHECK"))</f>
        <v>OK</v>
      </c>
      <c r="L2182" s="1" t="str">
        <f aca="false">IF(A2182="","",IF(AND(E2182&gt;=0,E2182&lt;=23),"OK","CHECK"))</f>
        <v>OK</v>
      </c>
      <c r="M2182" s="1" t="str">
        <f aca="false">IF(A2182="","",IF(AND(K2182="OK",L2182="OK"),"OK","CHECK"))</f>
        <v>OK</v>
      </c>
    </row>
    <row r="2183" customFormat="false" ht="18" hidden="false" customHeight="true" outlineLevel="0" collapsed="false">
      <c r="A2183" s="9" t="s">
        <v>26</v>
      </c>
      <c r="B2183" s="9" t="n">
        <v>25</v>
      </c>
      <c r="C2183" s="11" t="n">
        <v>45969</v>
      </c>
      <c r="D2183" s="9" t="s">
        <v>174</v>
      </c>
      <c r="E2183" s="12" t="n">
        <v>20</v>
      </c>
      <c r="F2183" s="9" t="s">
        <v>31</v>
      </c>
      <c r="G2183" s="13" t="n">
        <v>200</v>
      </c>
      <c r="H2183" s="9" t="s">
        <v>29</v>
      </c>
      <c r="I2183" s="13" t="n">
        <v>5</v>
      </c>
      <c r="J2183" s="1" t="str">
        <f aca="false">IF(A2183="","", "SAMP-"&amp;A2183&amp;"-L"&amp;TEXT(B2183,"00")&amp;"-"&amp;TEXT(C2183,"yyyymmdd")&amp;"-"&amp;D2183&amp;"-H"&amp;TEXT(E2183,"00")&amp;"-"&amp;H2183)</f>
        <v>SAMP-KG01-L25-20251108-ORD-2025-00285-H20-Choke Neck</v>
      </c>
      <c r="K2183" s="1" t="str">
        <f aca="false">IF(A2183="","",IF(AND(G2183&gt;=0,I2183&gt;=0,I2183&lt;=G2183),"OK","CHECK"))</f>
        <v>OK</v>
      </c>
      <c r="L2183" s="1" t="str">
        <f aca="false">IF(A2183="","",IF(AND(E2183&gt;=0,E2183&lt;=23),"OK","CHECK"))</f>
        <v>OK</v>
      </c>
      <c r="M2183" s="1" t="str">
        <f aca="false">IF(A2183="","",IF(AND(K2183="OK",L2183="OK"),"OK","CHECK"))</f>
        <v>OK</v>
      </c>
    </row>
    <row r="2184" customFormat="false" ht="18" hidden="false" customHeight="true" outlineLevel="0" collapsed="false">
      <c r="A2184" s="9" t="s">
        <v>26</v>
      </c>
      <c r="B2184" s="9" t="n">
        <v>25</v>
      </c>
      <c r="C2184" s="11" t="n">
        <v>45969</v>
      </c>
      <c r="D2184" s="9" t="s">
        <v>174</v>
      </c>
      <c r="E2184" s="12" t="n">
        <v>23</v>
      </c>
      <c r="F2184" s="9" t="s">
        <v>31</v>
      </c>
      <c r="G2184" s="13" t="n">
        <v>200</v>
      </c>
      <c r="H2184" s="9" t="s">
        <v>38</v>
      </c>
      <c r="I2184" s="13" t="n">
        <v>3</v>
      </c>
      <c r="J2184" s="1" t="str">
        <f aca="false">IF(A2184="","", "SAMP-"&amp;A2184&amp;"-L"&amp;TEXT(B2184,"00")&amp;"-"&amp;TEXT(C2184,"yyyymmdd")&amp;"-"&amp;D2184&amp;"-H"&amp;TEXT(E2184,"00")&amp;"-"&amp;H2184)</f>
        <v>SAMP-KG01-L25-20251108-ORD-2025-00285-H23-Crack</v>
      </c>
      <c r="K2184" s="1" t="str">
        <f aca="false">IF(A2184="","",IF(AND(G2184&gt;=0,I2184&gt;=0,I2184&lt;=G2184),"OK","CHECK"))</f>
        <v>OK</v>
      </c>
      <c r="L2184" s="1" t="str">
        <f aca="false">IF(A2184="","",IF(AND(E2184&gt;=0,E2184&lt;=23),"OK","CHECK"))</f>
        <v>OK</v>
      </c>
      <c r="M2184" s="1" t="str">
        <f aca="false">IF(A2184="","",IF(AND(K2184="OK",L2184="OK"),"OK","CHECK"))</f>
        <v>OK</v>
      </c>
    </row>
    <row r="2185" customFormat="false" ht="18" hidden="false" customHeight="true" outlineLevel="0" collapsed="false">
      <c r="A2185" s="9" t="s">
        <v>26</v>
      </c>
      <c r="B2185" s="9" t="n">
        <v>25</v>
      </c>
      <c r="C2185" s="11" t="n">
        <v>45970</v>
      </c>
      <c r="D2185" s="9" t="s">
        <v>175</v>
      </c>
      <c r="E2185" s="12" t="n">
        <v>9</v>
      </c>
      <c r="F2185" s="9" t="s">
        <v>28</v>
      </c>
      <c r="G2185" s="13" t="n">
        <v>50</v>
      </c>
      <c r="H2185" s="9" t="s">
        <v>37</v>
      </c>
      <c r="I2185" s="13" t="n">
        <v>2</v>
      </c>
      <c r="J2185" s="1" t="str">
        <f aca="false">IF(A2185="","", "SAMP-"&amp;A2185&amp;"-L"&amp;TEXT(B2185,"00")&amp;"-"&amp;TEXT(C2185,"yyyymmdd")&amp;"-"&amp;D2185&amp;"-H"&amp;TEXT(E2185,"00")&amp;"-"&amp;H2185)</f>
        <v>SAMP-KG01-L25-20251109-ORD-2025-00286-H09-Bird Swing</v>
      </c>
      <c r="K2185" s="1" t="str">
        <f aca="false">IF(A2185="","",IF(AND(G2185&gt;=0,I2185&gt;=0,I2185&lt;=G2185),"OK","CHECK"))</f>
        <v>OK</v>
      </c>
      <c r="L2185" s="1" t="str">
        <f aca="false">IF(A2185="","",IF(AND(E2185&gt;=0,E2185&lt;=23),"OK","CHECK"))</f>
        <v>OK</v>
      </c>
      <c r="M2185" s="1" t="str">
        <f aca="false">IF(A2185="","",IF(AND(K2185="OK",L2185="OK"),"OK","CHECK"))</f>
        <v>OK</v>
      </c>
    </row>
    <row r="2186" customFormat="false" ht="18" hidden="false" customHeight="true" outlineLevel="0" collapsed="false">
      <c r="A2186" s="9" t="s">
        <v>26</v>
      </c>
      <c r="B2186" s="9" t="n">
        <v>25</v>
      </c>
      <c r="C2186" s="11" t="n">
        <v>45970</v>
      </c>
      <c r="D2186" s="9" t="s">
        <v>175</v>
      </c>
      <c r="E2186" s="12" t="n">
        <v>12</v>
      </c>
      <c r="F2186" s="9" t="s">
        <v>28</v>
      </c>
      <c r="G2186" s="13" t="n">
        <v>100</v>
      </c>
      <c r="H2186" s="9" t="s">
        <v>37</v>
      </c>
      <c r="I2186" s="13" t="n">
        <v>0</v>
      </c>
      <c r="J2186" s="1" t="str">
        <f aca="false">IF(A2186="","", "SAMP-"&amp;A2186&amp;"-L"&amp;TEXT(B2186,"00")&amp;"-"&amp;TEXT(C2186,"yyyymmdd")&amp;"-"&amp;D2186&amp;"-H"&amp;TEXT(E2186,"00")&amp;"-"&amp;H2186)</f>
        <v>SAMP-KG01-L25-20251109-ORD-2025-00286-H12-Bird Swing</v>
      </c>
      <c r="K2186" s="1" t="str">
        <f aca="false">IF(A2186="","",IF(AND(G2186&gt;=0,I2186&gt;=0,I2186&lt;=G2186),"OK","CHECK"))</f>
        <v>OK</v>
      </c>
      <c r="L2186" s="1" t="str">
        <f aca="false">IF(A2186="","",IF(AND(E2186&gt;=0,E2186&lt;=23),"OK","CHECK"))</f>
        <v>OK</v>
      </c>
      <c r="M2186" s="1" t="str">
        <f aca="false">IF(A2186="","",IF(AND(K2186="OK",L2186="OK"),"OK","CHECK"))</f>
        <v>OK</v>
      </c>
    </row>
    <row r="2187" customFormat="false" ht="18" hidden="false" customHeight="true" outlineLevel="0" collapsed="false">
      <c r="A2187" s="9" t="s">
        <v>26</v>
      </c>
      <c r="B2187" s="9" t="n">
        <v>25</v>
      </c>
      <c r="C2187" s="11" t="n">
        <v>45970</v>
      </c>
      <c r="D2187" s="9" t="s">
        <v>175</v>
      </c>
      <c r="E2187" s="12" t="n">
        <v>7</v>
      </c>
      <c r="F2187" s="9" t="s">
        <v>28</v>
      </c>
      <c r="G2187" s="13" t="n">
        <v>150</v>
      </c>
      <c r="H2187" s="9" t="s">
        <v>38</v>
      </c>
      <c r="I2187" s="13" t="n">
        <v>7</v>
      </c>
      <c r="J2187" s="1" t="str">
        <f aca="false">IF(A2187="","", "SAMP-"&amp;A2187&amp;"-L"&amp;TEXT(B2187,"00")&amp;"-"&amp;TEXT(C2187,"yyyymmdd")&amp;"-"&amp;D2187&amp;"-H"&amp;TEXT(E2187,"00")&amp;"-"&amp;H2187)</f>
        <v>SAMP-KG01-L25-20251109-ORD-2025-00286-H07-Crack</v>
      </c>
      <c r="K2187" s="1" t="str">
        <f aca="false">IF(A2187="","",IF(AND(G2187&gt;=0,I2187&gt;=0,I2187&lt;=G2187),"OK","CHECK"))</f>
        <v>OK</v>
      </c>
      <c r="L2187" s="1" t="str">
        <f aca="false">IF(A2187="","",IF(AND(E2187&gt;=0,E2187&lt;=23),"OK","CHECK"))</f>
        <v>OK</v>
      </c>
      <c r="M2187" s="1" t="str">
        <f aca="false">IF(A2187="","",IF(AND(K2187="OK",L2187="OK"),"OK","CHECK"))</f>
        <v>OK</v>
      </c>
    </row>
    <row r="2188" customFormat="false" ht="18" hidden="false" customHeight="true" outlineLevel="0" collapsed="false">
      <c r="A2188" s="9" t="s">
        <v>26</v>
      </c>
      <c r="B2188" s="9" t="n">
        <v>25</v>
      </c>
      <c r="C2188" s="11" t="n">
        <v>45970</v>
      </c>
      <c r="D2188" s="9" t="s">
        <v>175</v>
      </c>
      <c r="E2188" s="12" t="n">
        <v>20</v>
      </c>
      <c r="F2188" s="9" t="s">
        <v>31</v>
      </c>
      <c r="G2188" s="13" t="n">
        <v>100</v>
      </c>
      <c r="H2188" s="9" t="s">
        <v>33</v>
      </c>
      <c r="I2188" s="13" t="n">
        <v>3</v>
      </c>
      <c r="J2188" s="1" t="str">
        <f aca="false">IF(A2188="","", "SAMP-"&amp;A2188&amp;"-L"&amp;TEXT(B2188,"00")&amp;"-"&amp;TEXT(C2188,"yyyymmdd")&amp;"-"&amp;D2188&amp;"-H"&amp;TEXT(E2188,"00")&amp;"-"&amp;H2188)</f>
        <v>SAMP-KG01-L25-20251109-ORD-2025-00286-H20-Distortion</v>
      </c>
      <c r="K2188" s="1" t="str">
        <f aca="false">IF(A2188="","",IF(AND(G2188&gt;=0,I2188&gt;=0,I2188&lt;=G2188),"OK","CHECK"))</f>
        <v>OK</v>
      </c>
      <c r="L2188" s="1" t="str">
        <f aca="false">IF(A2188="","",IF(AND(E2188&gt;=0,E2188&lt;=23),"OK","CHECK"))</f>
        <v>OK</v>
      </c>
      <c r="M2188" s="1" t="str">
        <f aca="false">IF(A2188="","",IF(AND(K2188="OK",L2188="OK"),"OK","CHECK"))</f>
        <v>OK</v>
      </c>
    </row>
    <row r="2189" customFormat="false" ht="18" hidden="false" customHeight="true" outlineLevel="0" collapsed="false">
      <c r="A2189" s="9" t="s">
        <v>26</v>
      </c>
      <c r="B2189" s="9" t="n">
        <v>25</v>
      </c>
      <c r="C2189" s="11" t="n">
        <v>45970</v>
      </c>
      <c r="D2189" s="9" t="s">
        <v>175</v>
      </c>
      <c r="E2189" s="12" t="n">
        <v>16</v>
      </c>
      <c r="F2189" s="9" t="s">
        <v>31</v>
      </c>
      <c r="G2189" s="13" t="n">
        <v>100</v>
      </c>
      <c r="H2189" s="9" t="s">
        <v>34</v>
      </c>
      <c r="I2189" s="13" t="n">
        <v>2</v>
      </c>
      <c r="J2189" s="1" t="str">
        <f aca="false">IF(A2189="","", "SAMP-"&amp;A2189&amp;"-L"&amp;TEXT(B2189,"00")&amp;"-"&amp;TEXT(C2189,"yyyymmdd")&amp;"-"&amp;D2189&amp;"-H"&amp;TEXT(E2189,"00")&amp;"-"&amp;H2189)</f>
        <v>SAMP-KG01-L25-20251109-ORD-2025-00286-H16-Thin Wall</v>
      </c>
      <c r="K2189" s="1" t="str">
        <f aca="false">IF(A2189="","",IF(AND(G2189&gt;=0,I2189&gt;=0,I2189&lt;=G2189),"OK","CHECK"))</f>
        <v>OK</v>
      </c>
      <c r="L2189" s="1" t="str">
        <f aca="false">IF(A2189="","",IF(AND(E2189&gt;=0,E2189&lt;=23),"OK","CHECK"))</f>
        <v>OK</v>
      </c>
      <c r="M2189" s="1" t="str">
        <f aca="false">IF(A2189="","",IF(AND(K2189="OK",L2189="OK"),"OK","CHECK"))</f>
        <v>OK</v>
      </c>
    </row>
    <row r="2190" customFormat="false" ht="18" hidden="false" customHeight="true" outlineLevel="0" collapsed="false">
      <c r="A2190" s="9" t="s">
        <v>26</v>
      </c>
      <c r="B2190" s="9" t="n">
        <v>25</v>
      </c>
      <c r="C2190" s="11" t="n">
        <v>45971</v>
      </c>
      <c r="D2190" s="9" t="s">
        <v>175</v>
      </c>
      <c r="E2190" s="12" t="n">
        <v>9</v>
      </c>
      <c r="F2190" s="9" t="s">
        <v>28</v>
      </c>
      <c r="G2190" s="13" t="n">
        <v>150</v>
      </c>
      <c r="H2190" s="9" t="s">
        <v>34</v>
      </c>
      <c r="I2190" s="13" t="n">
        <v>2</v>
      </c>
      <c r="J2190" s="1" t="str">
        <f aca="false">IF(A2190="","", "SAMP-"&amp;A2190&amp;"-L"&amp;TEXT(B2190,"00")&amp;"-"&amp;TEXT(C2190,"yyyymmdd")&amp;"-"&amp;D2190&amp;"-H"&amp;TEXT(E2190,"00")&amp;"-"&amp;H2190)</f>
        <v>SAMP-KG01-L25-20251110-ORD-2025-00286-H09-Thin Wall</v>
      </c>
      <c r="K2190" s="1" t="str">
        <f aca="false">IF(A2190="","",IF(AND(G2190&gt;=0,I2190&gt;=0,I2190&lt;=G2190),"OK","CHECK"))</f>
        <v>OK</v>
      </c>
      <c r="L2190" s="1" t="str">
        <f aca="false">IF(A2190="","",IF(AND(E2190&gt;=0,E2190&lt;=23),"OK","CHECK"))</f>
        <v>OK</v>
      </c>
      <c r="M2190" s="1" t="str">
        <f aca="false">IF(A2190="","",IF(AND(K2190="OK",L2190="OK"),"OK","CHECK"))</f>
        <v>OK</v>
      </c>
    </row>
    <row r="2191" customFormat="false" ht="18" hidden="false" customHeight="true" outlineLevel="0" collapsed="false">
      <c r="A2191" s="9" t="s">
        <v>26</v>
      </c>
      <c r="B2191" s="9" t="n">
        <v>25</v>
      </c>
      <c r="C2191" s="11" t="n">
        <v>45971</v>
      </c>
      <c r="D2191" s="9" t="s">
        <v>175</v>
      </c>
      <c r="E2191" s="12" t="n">
        <v>7</v>
      </c>
      <c r="F2191" s="9" t="s">
        <v>28</v>
      </c>
      <c r="G2191" s="13" t="n">
        <v>200</v>
      </c>
      <c r="H2191" s="9" t="s">
        <v>36</v>
      </c>
      <c r="I2191" s="13" t="n">
        <v>0</v>
      </c>
      <c r="J2191" s="1" t="str">
        <f aca="false">IF(A2191="","", "SAMP-"&amp;A2191&amp;"-L"&amp;TEXT(B2191,"00")&amp;"-"&amp;TEXT(C2191,"yyyymmdd")&amp;"-"&amp;D2191&amp;"-H"&amp;TEXT(E2191,"00")&amp;"-"&amp;H2191)</f>
        <v>SAMP-KG01-L25-20251110-ORD-2025-00286-H07-Blister</v>
      </c>
      <c r="K2191" s="1" t="str">
        <f aca="false">IF(A2191="","",IF(AND(G2191&gt;=0,I2191&gt;=0,I2191&lt;=G2191),"OK","CHECK"))</f>
        <v>OK</v>
      </c>
      <c r="L2191" s="1" t="str">
        <f aca="false">IF(A2191="","",IF(AND(E2191&gt;=0,E2191&lt;=23),"OK","CHECK"))</f>
        <v>OK</v>
      </c>
      <c r="M2191" s="1" t="str">
        <f aca="false">IF(A2191="","",IF(AND(K2191="OK",L2191="OK"),"OK","CHECK"))</f>
        <v>OK</v>
      </c>
    </row>
    <row r="2192" customFormat="false" ht="18" hidden="false" customHeight="true" outlineLevel="0" collapsed="false">
      <c r="A2192" s="9" t="s">
        <v>26</v>
      </c>
      <c r="B2192" s="9" t="n">
        <v>25</v>
      </c>
      <c r="C2192" s="11" t="n">
        <v>45971</v>
      </c>
      <c r="D2192" s="9" t="s">
        <v>175</v>
      </c>
      <c r="E2192" s="12" t="n">
        <v>12</v>
      </c>
      <c r="F2192" s="9" t="s">
        <v>28</v>
      </c>
      <c r="G2192" s="13" t="n">
        <v>100</v>
      </c>
      <c r="H2192" s="9" t="s">
        <v>41</v>
      </c>
      <c r="I2192" s="13" t="n">
        <v>2</v>
      </c>
      <c r="J2192" s="1" t="str">
        <f aca="false">IF(A2192="","", "SAMP-"&amp;A2192&amp;"-L"&amp;TEXT(B2192,"00")&amp;"-"&amp;TEXT(C2192,"yyyymmdd")&amp;"-"&amp;D2192&amp;"-H"&amp;TEXT(E2192,"00")&amp;"-"&amp;H2192)</f>
        <v>SAMP-KG01-L25-20251110-ORD-2025-00286-H12-Chip</v>
      </c>
      <c r="K2192" s="1" t="str">
        <f aca="false">IF(A2192="","",IF(AND(G2192&gt;=0,I2192&gt;=0,I2192&lt;=G2192),"OK","CHECK"))</f>
        <v>OK</v>
      </c>
      <c r="L2192" s="1" t="str">
        <f aca="false">IF(A2192="","",IF(AND(E2192&gt;=0,E2192&lt;=23),"OK","CHECK"))</f>
        <v>OK</v>
      </c>
      <c r="M2192" s="1" t="str">
        <f aca="false">IF(A2192="","",IF(AND(K2192="OK",L2192="OK"),"OK","CHECK"))</f>
        <v>OK</v>
      </c>
    </row>
    <row r="2193" customFormat="false" ht="18" hidden="false" customHeight="true" outlineLevel="0" collapsed="false">
      <c r="A2193" s="9" t="s">
        <v>26</v>
      </c>
      <c r="B2193" s="9" t="n">
        <v>25</v>
      </c>
      <c r="C2193" s="11" t="n">
        <v>45971</v>
      </c>
      <c r="D2193" s="9" t="s">
        <v>175</v>
      </c>
      <c r="E2193" s="12" t="n">
        <v>16</v>
      </c>
      <c r="F2193" s="9" t="s">
        <v>31</v>
      </c>
      <c r="G2193" s="13" t="n">
        <v>50</v>
      </c>
      <c r="H2193" s="9" t="s">
        <v>35</v>
      </c>
      <c r="I2193" s="13" t="n">
        <v>2</v>
      </c>
      <c r="J2193" s="1" t="str">
        <f aca="false">IF(A2193="","", "SAMP-"&amp;A2193&amp;"-L"&amp;TEXT(B2193,"00")&amp;"-"&amp;TEXT(C2193,"yyyymmdd")&amp;"-"&amp;D2193&amp;"-H"&amp;TEXT(E2193,"00")&amp;"-"&amp;H2193)</f>
        <v>SAMP-KG01-L25-20251110-ORD-2025-00286-H16-Stone</v>
      </c>
      <c r="K2193" s="1" t="str">
        <f aca="false">IF(A2193="","",IF(AND(G2193&gt;=0,I2193&gt;=0,I2193&lt;=G2193),"OK","CHECK"))</f>
        <v>OK</v>
      </c>
      <c r="L2193" s="1" t="str">
        <f aca="false">IF(A2193="","",IF(AND(E2193&gt;=0,E2193&lt;=23),"OK","CHECK"))</f>
        <v>OK</v>
      </c>
      <c r="M2193" s="1" t="str">
        <f aca="false">IF(A2193="","",IF(AND(K2193="OK",L2193="OK"),"OK","CHECK"))</f>
        <v>OK</v>
      </c>
    </row>
    <row r="2194" customFormat="false" ht="18" hidden="false" customHeight="true" outlineLevel="0" collapsed="false">
      <c r="A2194" s="9" t="s">
        <v>26</v>
      </c>
      <c r="B2194" s="9" t="n">
        <v>25</v>
      </c>
      <c r="C2194" s="11" t="n">
        <v>45971</v>
      </c>
      <c r="D2194" s="9" t="s">
        <v>175</v>
      </c>
      <c r="E2194" s="12" t="n">
        <v>20</v>
      </c>
      <c r="F2194" s="9" t="s">
        <v>31</v>
      </c>
      <c r="G2194" s="13" t="n">
        <v>200</v>
      </c>
      <c r="H2194" s="9" t="s">
        <v>35</v>
      </c>
      <c r="I2194" s="13" t="n">
        <v>2</v>
      </c>
      <c r="J2194" s="1" t="str">
        <f aca="false">IF(A2194="","", "SAMP-"&amp;A2194&amp;"-L"&amp;TEXT(B2194,"00")&amp;"-"&amp;TEXT(C2194,"yyyymmdd")&amp;"-"&amp;D2194&amp;"-H"&amp;TEXT(E2194,"00")&amp;"-"&amp;H2194)</f>
        <v>SAMP-KG01-L25-20251110-ORD-2025-00286-H20-Stone</v>
      </c>
      <c r="K2194" s="1" t="str">
        <f aca="false">IF(A2194="","",IF(AND(G2194&gt;=0,I2194&gt;=0,I2194&lt;=G2194),"OK","CHECK"))</f>
        <v>OK</v>
      </c>
      <c r="L2194" s="1" t="str">
        <f aca="false">IF(A2194="","",IF(AND(E2194&gt;=0,E2194&lt;=23),"OK","CHECK"))</f>
        <v>OK</v>
      </c>
      <c r="M2194" s="1" t="str">
        <f aca="false">IF(A2194="","",IF(AND(K2194="OK",L2194="OK"),"OK","CHECK"))</f>
        <v>OK</v>
      </c>
    </row>
    <row r="2195" customFormat="false" ht="18" hidden="false" customHeight="true" outlineLevel="0" collapsed="false">
      <c r="A2195" s="9" t="s">
        <v>26</v>
      </c>
      <c r="B2195" s="9" t="n">
        <v>25</v>
      </c>
      <c r="C2195" s="11" t="n">
        <v>45971</v>
      </c>
      <c r="D2195" s="9" t="s">
        <v>175</v>
      </c>
      <c r="E2195" s="12" t="n">
        <v>23</v>
      </c>
      <c r="F2195" s="9" t="s">
        <v>31</v>
      </c>
      <c r="G2195" s="13" t="n">
        <v>50</v>
      </c>
      <c r="H2195" s="9" t="s">
        <v>35</v>
      </c>
      <c r="I2195" s="13" t="n">
        <v>1</v>
      </c>
      <c r="J2195" s="1" t="str">
        <f aca="false">IF(A2195="","", "SAMP-"&amp;A2195&amp;"-L"&amp;TEXT(B2195,"00")&amp;"-"&amp;TEXT(C2195,"yyyymmdd")&amp;"-"&amp;D2195&amp;"-H"&amp;TEXT(E2195,"00")&amp;"-"&amp;H2195)</f>
        <v>SAMP-KG01-L25-20251110-ORD-2025-00286-H23-Stone</v>
      </c>
      <c r="K2195" s="1" t="str">
        <f aca="false">IF(A2195="","",IF(AND(G2195&gt;=0,I2195&gt;=0,I2195&lt;=G2195),"OK","CHECK"))</f>
        <v>OK</v>
      </c>
      <c r="L2195" s="1" t="str">
        <f aca="false">IF(A2195="","",IF(AND(E2195&gt;=0,E2195&lt;=23),"OK","CHECK"))</f>
        <v>OK</v>
      </c>
      <c r="M2195" s="1" t="str">
        <f aca="false">IF(A2195="","",IF(AND(K2195="OK",L2195="OK"),"OK","CHECK"))</f>
        <v>OK</v>
      </c>
    </row>
    <row r="2196" customFormat="false" ht="18" hidden="false" customHeight="true" outlineLevel="0" collapsed="false">
      <c r="A2196" s="9" t="s">
        <v>26</v>
      </c>
      <c r="B2196" s="9" t="n">
        <v>25</v>
      </c>
      <c r="C2196" s="11" t="n">
        <v>45972</v>
      </c>
      <c r="D2196" s="9" t="s">
        <v>175</v>
      </c>
      <c r="E2196" s="12" t="n">
        <v>12</v>
      </c>
      <c r="F2196" s="9" t="s">
        <v>28</v>
      </c>
      <c r="G2196" s="13" t="n">
        <v>150</v>
      </c>
      <c r="H2196" s="9" t="s">
        <v>34</v>
      </c>
      <c r="I2196" s="13" t="n">
        <v>2</v>
      </c>
      <c r="J2196" s="1" t="str">
        <f aca="false">IF(A2196="","", "SAMP-"&amp;A2196&amp;"-L"&amp;TEXT(B2196,"00")&amp;"-"&amp;TEXT(C2196,"yyyymmdd")&amp;"-"&amp;D2196&amp;"-H"&amp;TEXT(E2196,"00")&amp;"-"&amp;H2196)</f>
        <v>SAMP-KG01-L25-20251111-ORD-2025-00286-H12-Thin Wall</v>
      </c>
      <c r="K2196" s="1" t="str">
        <f aca="false">IF(A2196="","",IF(AND(G2196&gt;=0,I2196&gt;=0,I2196&lt;=G2196),"OK","CHECK"))</f>
        <v>OK</v>
      </c>
      <c r="L2196" s="1" t="str">
        <f aca="false">IF(A2196="","",IF(AND(E2196&gt;=0,E2196&lt;=23),"OK","CHECK"))</f>
        <v>OK</v>
      </c>
      <c r="M2196" s="1" t="str">
        <f aca="false">IF(A2196="","",IF(AND(K2196="OK",L2196="OK"),"OK","CHECK"))</f>
        <v>OK</v>
      </c>
    </row>
    <row r="2197" customFormat="false" ht="18" hidden="false" customHeight="true" outlineLevel="0" collapsed="false">
      <c r="A2197" s="9" t="s">
        <v>26</v>
      </c>
      <c r="B2197" s="9" t="n">
        <v>25</v>
      </c>
      <c r="C2197" s="11" t="n">
        <v>45972</v>
      </c>
      <c r="D2197" s="9" t="s">
        <v>175</v>
      </c>
      <c r="E2197" s="12" t="n">
        <v>9</v>
      </c>
      <c r="F2197" s="9" t="s">
        <v>28</v>
      </c>
      <c r="G2197" s="13" t="n">
        <v>100</v>
      </c>
      <c r="H2197" s="9" t="s">
        <v>38</v>
      </c>
      <c r="I2197" s="13" t="n">
        <v>3</v>
      </c>
      <c r="J2197" s="1" t="str">
        <f aca="false">IF(A2197="","", "SAMP-"&amp;A2197&amp;"-L"&amp;TEXT(B2197,"00")&amp;"-"&amp;TEXT(C2197,"yyyymmdd")&amp;"-"&amp;D2197&amp;"-H"&amp;TEXT(E2197,"00")&amp;"-"&amp;H2197)</f>
        <v>SAMP-KG01-L25-20251111-ORD-2025-00286-H09-Crack</v>
      </c>
      <c r="K2197" s="1" t="str">
        <f aca="false">IF(A2197="","",IF(AND(G2197&gt;=0,I2197&gt;=0,I2197&lt;=G2197),"OK","CHECK"))</f>
        <v>OK</v>
      </c>
      <c r="L2197" s="1" t="str">
        <f aca="false">IF(A2197="","",IF(AND(E2197&gt;=0,E2197&lt;=23),"OK","CHECK"))</f>
        <v>OK</v>
      </c>
      <c r="M2197" s="1" t="str">
        <f aca="false">IF(A2197="","",IF(AND(K2197="OK",L2197="OK"),"OK","CHECK"))</f>
        <v>OK</v>
      </c>
    </row>
    <row r="2198" customFormat="false" ht="18" hidden="false" customHeight="true" outlineLevel="0" collapsed="false">
      <c r="A2198" s="9" t="s">
        <v>26</v>
      </c>
      <c r="B2198" s="9" t="n">
        <v>25</v>
      </c>
      <c r="C2198" s="11" t="n">
        <v>45972</v>
      </c>
      <c r="D2198" s="9" t="s">
        <v>175</v>
      </c>
      <c r="E2198" s="12" t="n">
        <v>7</v>
      </c>
      <c r="F2198" s="9" t="s">
        <v>28</v>
      </c>
      <c r="G2198" s="13" t="n">
        <v>100</v>
      </c>
      <c r="H2198" s="9" t="s">
        <v>37</v>
      </c>
      <c r="I2198" s="13" t="n">
        <v>1</v>
      </c>
      <c r="J2198" s="1" t="str">
        <f aca="false">IF(A2198="","", "SAMP-"&amp;A2198&amp;"-L"&amp;TEXT(B2198,"00")&amp;"-"&amp;TEXT(C2198,"yyyymmdd")&amp;"-"&amp;D2198&amp;"-H"&amp;TEXT(E2198,"00")&amp;"-"&amp;H2198)</f>
        <v>SAMP-KG01-L25-20251111-ORD-2025-00286-H07-Bird Swing</v>
      </c>
      <c r="K2198" s="1" t="str">
        <f aca="false">IF(A2198="","",IF(AND(G2198&gt;=0,I2198&gt;=0,I2198&lt;=G2198),"OK","CHECK"))</f>
        <v>OK</v>
      </c>
      <c r="L2198" s="1" t="str">
        <f aca="false">IF(A2198="","",IF(AND(E2198&gt;=0,E2198&lt;=23),"OK","CHECK"))</f>
        <v>OK</v>
      </c>
      <c r="M2198" s="1" t="str">
        <f aca="false">IF(A2198="","",IF(AND(K2198="OK",L2198="OK"),"OK","CHECK"))</f>
        <v>OK</v>
      </c>
    </row>
    <row r="2199" customFormat="false" ht="18" hidden="false" customHeight="true" outlineLevel="0" collapsed="false">
      <c r="A2199" s="9" t="s">
        <v>26</v>
      </c>
      <c r="B2199" s="9" t="n">
        <v>25</v>
      </c>
      <c r="C2199" s="11" t="n">
        <v>45972</v>
      </c>
      <c r="D2199" s="9" t="s">
        <v>175</v>
      </c>
      <c r="E2199" s="12" t="n">
        <v>23</v>
      </c>
      <c r="F2199" s="9" t="s">
        <v>31</v>
      </c>
      <c r="G2199" s="13" t="n">
        <v>100</v>
      </c>
      <c r="H2199" s="9" t="s">
        <v>29</v>
      </c>
      <c r="I2199" s="13" t="n">
        <v>1</v>
      </c>
      <c r="J2199" s="1" t="str">
        <f aca="false">IF(A2199="","", "SAMP-"&amp;A2199&amp;"-L"&amp;TEXT(B2199,"00")&amp;"-"&amp;TEXT(C2199,"yyyymmdd")&amp;"-"&amp;D2199&amp;"-H"&amp;TEXT(E2199,"00")&amp;"-"&amp;H2199)</f>
        <v>SAMP-KG01-L25-20251111-ORD-2025-00286-H23-Choke Neck</v>
      </c>
      <c r="K2199" s="1" t="str">
        <f aca="false">IF(A2199="","",IF(AND(G2199&gt;=0,I2199&gt;=0,I2199&lt;=G2199),"OK","CHECK"))</f>
        <v>OK</v>
      </c>
      <c r="L2199" s="1" t="str">
        <f aca="false">IF(A2199="","",IF(AND(E2199&gt;=0,E2199&lt;=23),"OK","CHECK"))</f>
        <v>OK</v>
      </c>
      <c r="M2199" s="1" t="str">
        <f aca="false">IF(A2199="","",IF(AND(K2199="OK",L2199="OK"),"OK","CHECK"))</f>
        <v>OK</v>
      </c>
    </row>
    <row r="2200" customFormat="false" ht="18" hidden="false" customHeight="true" outlineLevel="0" collapsed="false">
      <c r="A2200" s="9" t="s">
        <v>26</v>
      </c>
      <c r="B2200" s="9" t="n">
        <v>25</v>
      </c>
      <c r="C2200" s="11" t="n">
        <v>45972</v>
      </c>
      <c r="D2200" s="9" t="s">
        <v>175</v>
      </c>
      <c r="E2200" s="12" t="n">
        <v>16</v>
      </c>
      <c r="F2200" s="9" t="s">
        <v>31</v>
      </c>
      <c r="G2200" s="13" t="n">
        <v>200</v>
      </c>
      <c r="H2200" s="9" t="s">
        <v>33</v>
      </c>
      <c r="I2200" s="13" t="n">
        <v>9</v>
      </c>
      <c r="J2200" s="1" t="str">
        <f aca="false">IF(A2200="","", "SAMP-"&amp;A2200&amp;"-L"&amp;TEXT(B2200,"00")&amp;"-"&amp;TEXT(C2200,"yyyymmdd")&amp;"-"&amp;D2200&amp;"-H"&amp;TEXT(E2200,"00")&amp;"-"&amp;H2200)</f>
        <v>SAMP-KG01-L25-20251111-ORD-2025-00286-H16-Distortion</v>
      </c>
      <c r="K2200" s="1" t="str">
        <f aca="false">IF(A2200="","",IF(AND(G2200&gt;=0,I2200&gt;=0,I2200&lt;=G2200),"OK","CHECK"))</f>
        <v>OK</v>
      </c>
      <c r="L2200" s="1" t="str">
        <f aca="false">IF(A2200="","",IF(AND(E2200&gt;=0,E2200&lt;=23),"OK","CHECK"))</f>
        <v>OK</v>
      </c>
      <c r="M2200" s="1" t="str">
        <f aca="false">IF(A2200="","",IF(AND(K2200="OK",L2200="OK"),"OK","CHECK"))</f>
        <v>OK</v>
      </c>
    </row>
    <row r="2201" customFormat="false" ht="18" hidden="false" customHeight="true" outlineLevel="0" collapsed="false">
      <c r="A2201" s="9" t="s">
        <v>26</v>
      </c>
      <c r="B2201" s="9" t="n">
        <v>25</v>
      </c>
      <c r="C2201" s="11" t="n">
        <v>45973</v>
      </c>
      <c r="D2201" s="9" t="s">
        <v>176</v>
      </c>
      <c r="E2201" s="12" t="n">
        <v>9</v>
      </c>
      <c r="F2201" s="9" t="s">
        <v>28</v>
      </c>
      <c r="G2201" s="13" t="n">
        <v>200</v>
      </c>
      <c r="H2201" s="9" t="s">
        <v>35</v>
      </c>
      <c r="I2201" s="13" t="n">
        <v>0</v>
      </c>
      <c r="J2201" s="1" t="str">
        <f aca="false">IF(A2201="","", "SAMP-"&amp;A2201&amp;"-L"&amp;TEXT(B2201,"00")&amp;"-"&amp;TEXT(C2201,"yyyymmdd")&amp;"-"&amp;D2201&amp;"-H"&amp;TEXT(E2201,"00")&amp;"-"&amp;H2201)</f>
        <v>SAMP-KG01-L25-20251112-ORD-2025-00287-H09-Stone</v>
      </c>
      <c r="K2201" s="1" t="str">
        <f aca="false">IF(A2201="","",IF(AND(G2201&gt;=0,I2201&gt;=0,I2201&lt;=G2201),"OK","CHECK"))</f>
        <v>OK</v>
      </c>
      <c r="L2201" s="1" t="str">
        <f aca="false">IF(A2201="","",IF(AND(E2201&gt;=0,E2201&lt;=23),"OK","CHECK"))</f>
        <v>OK</v>
      </c>
      <c r="M2201" s="1" t="str">
        <f aca="false">IF(A2201="","",IF(AND(K2201="OK",L2201="OK"),"OK","CHECK"))</f>
        <v>OK</v>
      </c>
    </row>
    <row r="2202" customFormat="false" ht="18" hidden="false" customHeight="true" outlineLevel="0" collapsed="false">
      <c r="A2202" s="9" t="s">
        <v>26</v>
      </c>
      <c r="B2202" s="9" t="n">
        <v>25</v>
      </c>
      <c r="C2202" s="11" t="n">
        <v>45973</v>
      </c>
      <c r="D2202" s="9" t="s">
        <v>176</v>
      </c>
      <c r="E2202" s="12" t="n">
        <v>12</v>
      </c>
      <c r="F2202" s="9" t="s">
        <v>28</v>
      </c>
      <c r="G2202" s="13" t="n">
        <v>50</v>
      </c>
      <c r="H2202" s="9" t="s">
        <v>33</v>
      </c>
      <c r="I2202" s="13" t="n">
        <v>1</v>
      </c>
      <c r="J2202" s="1" t="str">
        <f aca="false">IF(A2202="","", "SAMP-"&amp;A2202&amp;"-L"&amp;TEXT(B2202,"00")&amp;"-"&amp;TEXT(C2202,"yyyymmdd")&amp;"-"&amp;D2202&amp;"-H"&amp;TEXT(E2202,"00")&amp;"-"&amp;H2202)</f>
        <v>SAMP-KG01-L25-20251112-ORD-2025-00287-H12-Distortion</v>
      </c>
      <c r="K2202" s="1" t="str">
        <f aca="false">IF(A2202="","",IF(AND(G2202&gt;=0,I2202&gt;=0,I2202&lt;=G2202),"OK","CHECK"))</f>
        <v>OK</v>
      </c>
      <c r="L2202" s="1" t="str">
        <f aca="false">IF(A2202="","",IF(AND(E2202&gt;=0,E2202&lt;=23),"OK","CHECK"))</f>
        <v>OK</v>
      </c>
      <c r="M2202" s="1" t="str">
        <f aca="false">IF(A2202="","",IF(AND(K2202="OK",L2202="OK"),"OK","CHECK"))</f>
        <v>OK</v>
      </c>
    </row>
    <row r="2203" customFormat="false" ht="18" hidden="false" customHeight="true" outlineLevel="0" collapsed="false">
      <c r="A2203" s="9" t="s">
        <v>26</v>
      </c>
      <c r="B2203" s="9" t="n">
        <v>25</v>
      </c>
      <c r="C2203" s="11" t="n">
        <v>45973</v>
      </c>
      <c r="D2203" s="9" t="s">
        <v>176</v>
      </c>
      <c r="E2203" s="12" t="n">
        <v>7</v>
      </c>
      <c r="F2203" s="9" t="s">
        <v>28</v>
      </c>
      <c r="G2203" s="13" t="n">
        <v>150</v>
      </c>
      <c r="H2203" s="9" t="s">
        <v>41</v>
      </c>
      <c r="I2203" s="13" t="n">
        <v>4</v>
      </c>
      <c r="J2203" s="1" t="str">
        <f aca="false">IF(A2203="","", "SAMP-"&amp;A2203&amp;"-L"&amp;TEXT(B2203,"00")&amp;"-"&amp;TEXT(C2203,"yyyymmdd")&amp;"-"&amp;D2203&amp;"-H"&amp;TEXT(E2203,"00")&amp;"-"&amp;H2203)</f>
        <v>SAMP-KG01-L25-20251112-ORD-2025-00287-H07-Chip</v>
      </c>
      <c r="K2203" s="1" t="str">
        <f aca="false">IF(A2203="","",IF(AND(G2203&gt;=0,I2203&gt;=0,I2203&lt;=G2203),"OK","CHECK"))</f>
        <v>OK</v>
      </c>
      <c r="L2203" s="1" t="str">
        <f aca="false">IF(A2203="","",IF(AND(E2203&gt;=0,E2203&lt;=23),"OK","CHECK"))</f>
        <v>OK</v>
      </c>
      <c r="M2203" s="1" t="str">
        <f aca="false">IF(A2203="","",IF(AND(K2203="OK",L2203="OK"),"OK","CHECK"))</f>
        <v>OK</v>
      </c>
    </row>
    <row r="2204" customFormat="false" ht="18" hidden="false" customHeight="true" outlineLevel="0" collapsed="false">
      <c r="A2204" s="9" t="s">
        <v>26</v>
      </c>
      <c r="B2204" s="9" t="n">
        <v>25</v>
      </c>
      <c r="C2204" s="11" t="n">
        <v>45973</v>
      </c>
      <c r="D2204" s="9" t="s">
        <v>176</v>
      </c>
      <c r="E2204" s="12" t="n">
        <v>16</v>
      </c>
      <c r="F2204" s="9" t="s">
        <v>31</v>
      </c>
      <c r="G2204" s="13" t="n">
        <v>150</v>
      </c>
      <c r="H2204" s="9" t="s">
        <v>33</v>
      </c>
      <c r="I2204" s="13" t="n">
        <v>2</v>
      </c>
      <c r="J2204" s="1" t="str">
        <f aca="false">IF(A2204="","", "SAMP-"&amp;A2204&amp;"-L"&amp;TEXT(B2204,"00")&amp;"-"&amp;TEXT(C2204,"yyyymmdd")&amp;"-"&amp;D2204&amp;"-H"&amp;TEXT(E2204,"00")&amp;"-"&amp;H2204)</f>
        <v>SAMP-KG01-L25-20251112-ORD-2025-00287-H16-Distortion</v>
      </c>
      <c r="K2204" s="1" t="str">
        <f aca="false">IF(A2204="","",IF(AND(G2204&gt;=0,I2204&gt;=0,I2204&lt;=G2204),"OK","CHECK"))</f>
        <v>OK</v>
      </c>
      <c r="L2204" s="1" t="str">
        <f aca="false">IF(A2204="","",IF(AND(E2204&gt;=0,E2204&lt;=23),"OK","CHECK"))</f>
        <v>OK</v>
      </c>
      <c r="M2204" s="1" t="str">
        <f aca="false">IF(A2204="","",IF(AND(K2204="OK",L2204="OK"),"OK","CHECK"))</f>
        <v>OK</v>
      </c>
    </row>
    <row r="2205" customFormat="false" ht="18" hidden="false" customHeight="true" outlineLevel="0" collapsed="false">
      <c r="A2205" s="9" t="s">
        <v>26</v>
      </c>
      <c r="B2205" s="9" t="n">
        <v>25</v>
      </c>
      <c r="C2205" s="11" t="n">
        <v>45973</v>
      </c>
      <c r="D2205" s="9" t="s">
        <v>176</v>
      </c>
      <c r="E2205" s="12" t="n">
        <v>23</v>
      </c>
      <c r="F2205" s="9" t="s">
        <v>31</v>
      </c>
      <c r="G2205" s="13" t="n">
        <v>200</v>
      </c>
      <c r="H2205" s="9" t="s">
        <v>37</v>
      </c>
      <c r="I2205" s="13" t="n">
        <v>11</v>
      </c>
      <c r="J2205" s="1" t="str">
        <f aca="false">IF(A2205="","", "SAMP-"&amp;A2205&amp;"-L"&amp;TEXT(B2205,"00")&amp;"-"&amp;TEXT(C2205,"yyyymmdd")&amp;"-"&amp;D2205&amp;"-H"&amp;TEXT(E2205,"00")&amp;"-"&amp;H2205)</f>
        <v>SAMP-KG01-L25-20251112-ORD-2025-00287-H23-Bird Swing</v>
      </c>
      <c r="K2205" s="1" t="str">
        <f aca="false">IF(A2205="","",IF(AND(G2205&gt;=0,I2205&gt;=0,I2205&lt;=G2205),"OK","CHECK"))</f>
        <v>OK</v>
      </c>
      <c r="L2205" s="1" t="str">
        <f aca="false">IF(A2205="","",IF(AND(E2205&gt;=0,E2205&lt;=23),"OK","CHECK"))</f>
        <v>OK</v>
      </c>
      <c r="M2205" s="1" t="str">
        <f aca="false">IF(A2205="","",IF(AND(K2205="OK",L2205="OK"),"OK","CHECK"))</f>
        <v>OK</v>
      </c>
    </row>
    <row r="2206" customFormat="false" ht="18" hidden="false" customHeight="true" outlineLevel="0" collapsed="false">
      <c r="A2206" s="9" t="s">
        <v>26</v>
      </c>
      <c r="B2206" s="9" t="n">
        <v>25</v>
      </c>
      <c r="C2206" s="11" t="n">
        <v>45973</v>
      </c>
      <c r="D2206" s="9" t="s">
        <v>176</v>
      </c>
      <c r="E2206" s="12" t="n">
        <v>20</v>
      </c>
      <c r="F2206" s="9" t="s">
        <v>31</v>
      </c>
      <c r="G2206" s="13" t="n">
        <v>50</v>
      </c>
      <c r="H2206" s="9" t="s">
        <v>37</v>
      </c>
      <c r="I2206" s="13" t="n">
        <v>1</v>
      </c>
      <c r="J2206" s="1" t="str">
        <f aca="false">IF(A2206="","", "SAMP-"&amp;A2206&amp;"-L"&amp;TEXT(B2206,"00")&amp;"-"&amp;TEXT(C2206,"yyyymmdd")&amp;"-"&amp;D2206&amp;"-H"&amp;TEXT(E2206,"00")&amp;"-"&amp;H2206)</f>
        <v>SAMP-KG01-L25-20251112-ORD-2025-00287-H20-Bird Swing</v>
      </c>
      <c r="K2206" s="1" t="str">
        <f aca="false">IF(A2206="","",IF(AND(G2206&gt;=0,I2206&gt;=0,I2206&lt;=G2206),"OK","CHECK"))</f>
        <v>OK</v>
      </c>
      <c r="L2206" s="1" t="str">
        <f aca="false">IF(A2206="","",IF(AND(E2206&gt;=0,E2206&lt;=23),"OK","CHECK"))</f>
        <v>OK</v>
      </c>
      <c r="M2206" s="1" t="str">
        <f aca="false">IF(A2206="","",IF(AND(K2206="OK",L2206="OK"),"OK","CHECK"))</f>
        <v>OK</v>
      </c>
    </row>
    <row r="2207" customFormat="false" ht="18" hidden="false" customHeight="true" outlineLevel="0" collapsed="false">
      <c r="A2207" s="9" t="s">
        <v>26</v>
      </c>
      <c r="B2207" s="9" t="n">
        <v>25</v>
      </c>
      <c r="C2207" s="11" t="n">
        <v>45974</v>
      </c>
      <c r="D2207" s="9" t="s">
        <v>176</v>
      </c>
      <c r="E2207" s="12" t="n">
        <v>12</v>
      </c>
      <c r="F2207" s="9" t="s">
        <v>28</v>
      </c>
      <c r="G2207" s="13" t="n">
        <v>200</v>
      </c>
      <c r="H2207" s="9" t="s">
        <v>29</v>
      </c>
      <c r="I2207" s="13" t="n">
        <v>8</v>
      </c>
      <c r="J2207" s="1" t="str">
        <f aca="false">IF(A2207="","", "SAMP-"&amp;A2207&amp;"-L"&amp;TEXT(B2207,"00")&amp;"-"&amp;TEXT(C2207,"yyyymmdd")&amp;"-"&amp;D2207&amp;"-H"&amp;TEXT(E2207,"00")&amp;"-"&amp;H2207)</f>
        <v>SAMP-KG01-L25-20251113-ORD-2025-00287-H12-Choke Neck</v>
      </c>
      <c r="K2207" s="1" t="str">
        <f aca="false">IF(A2207="","",IF(AND(G2207&gt;=0,I2207&gt;=0,I2207&lt;=G2207),"OK","CHECK"))</f>
        <v>OK</v>
      </c>
      <c r="L2207" s="1" t="str">
        <f aca="false">IF(A2207="","",IF(AND(E2207&gt;=0,E2207&lt;=23),"OK","CHECK"))</f>
        <v>OK</v>
      </c>
      <c r="M2207" s="1" t="str">
        <f aca="false">IF(A2207="","",IF(AND(K2207="OK",L2207="OK"),"OK","CHECK"))</f>
        <v>OK</v>
      </c>
    </row>
    <row r="2208" customFormat="false" ht="18" hidden="false" customHeight="true" outlineLevel="0" collapsed="false">
      <c r="A2208" s="9" t="s">
        <v>26</v>
      </c>
      <c r="B2208" s="9" t="n">
        <v>25</v>
      </c>
      <c r="C2208" s="11" t="n">
        <v>45974</v>
      </c>
      <c r="D2208" s="9" t="s">
        <v>176</v>
      </c>
      <c r="E2208" s="12" t="n">
        <v>7</v>
      </c>
      <c r="F2208" s="9" t="s">
        <v>28</v>
      </c>
      <c r="G2208" s="13" t="n">
        <v>150</v>
      </c>
      <c r="H2208" s="9" t="s">
        <v>37</v>
      </c>
      <c r="I2208" s="13" t="n">
        <v>6</v>
      </c>
      <c r="J2208" s="1" t="str">
        <f aca="false">IF(A2208="","", "SAMP-"&amp;A2208&amp;"-L"&amp;TEXT(B2208,"00")&amp;"-"&amp;TEXT(C2208,"yyyymmdd")&amp;"-"&amp;D2208&amp;"-H"&amp;TEXT(E2208,"00")&amp;"-"&amp;H2208)</f>
        <v>SAMP-KG01-L25-20251113-ORD-2025-00287-H07-Bird Swing</v>
      </c>
      <c r="K2208" s="1" t="str">
        <f aca="false">IF(A2208="","",IF(AND(G2208&gt;=0,I2208&gt;=0,I2208&lt;=G2208),"OK","CHECK"))</f>
        <v>OK</v>
      </c>
      <c r="L2208" s="1" t="str">
        <f aca="false">IF(A2208="","",IF(AND(E2208&gt;=0,E2208&lt;=23),"OK","CHECK"))</f>
        <v>OK</v>
      </c>
      <c r="M2208" s="1" t="str">
        <f aca="false">IF(A2208="","",IF(AND(K2208="OK",L2208="OK"),"OK","CHECK"))</f>
        <v>OK</v>
      </c>
    </row>
    <row r="2209" customFormat="false" ht="18" hidden="false" customHeight="true" outlineLevel="0" collapsed="false">
      <c r="A2209" s="9" t="s">
        <v>26</v>
      </c>
      <c r="B2209" s="9" t="n">
        <v>25</v>
      </c>
      <c r="C2209" s="11" t="n">
        <v>45974</v>
      </c>
      <c r="D2209" s="9" t="s">
        <v>176</v>
      </c>
      <c r="E2209" s="12" t="n">
        <v>9</v>
      </c>
      <c r="F2209" s="9" t="s">
        <v>28</v>
      </c>
      <c r="G2209" s="13" t="n">
        <v>50</v>
      </c>
      <c r="H2209" s="9" t="s">
        <v>29</v>
      </c>
      <c r="I2209" s="13" t="n">
        <v>0</v>
      </c>
      <c r="J2209" s="1" t="str">
        <f aca="false">IF(A2209="","", "SAMP-"&amp;A2209&amp;"-L"&amp;TEXT(B2209,"00")&amp;"-"&amp;TEXT(C2209,"yyyymmdd")&amp;"-"&amp;D2209&amp;"-H"&amp;TEXT(E2209,"00")&amp;"-"&amp;H2209)</f>
        <v>SAMP-KG01-L25-20251113-ORD-2025-00287-H09-Choke Neck</v>
      </c>
      <c r="K2209" s="1" t="str">
        <f aca="false">IF(A2209="","",IF(AND(G2209&gt;=0,I2209&gt;=0,I2209&lt;=G2209),"OK","CHECK"))</f>
        <v>OK</v>
      </c>
      <c r="L2209" s="1" t="str">
        <f aca="false">IF(A2209="","",IF(AND(E2209&gt;=0,E2209&lt;=23),"OK","CHECK"))</f>
        <v>OK</v>
      </c>
      <c r="M2209" s="1" t="str">
        <f aca="false">IF(A2209="","",IF(AND(K2209="OK",L2209="OK"),"OK","CHECK"))</f>
        <v>OK</v>
      </c>
    </row>
    <row r="2210" customFormat="false" ht="18" hidden="false" customHeight="true" outlineLevel="0" collapsed="false">
      <c r="A2210" s="9" t="s">
        <v>26</v>
      </c>
      <c r="B2210" s="9" t="n">
        <v>25</v>
      </c>
      <c r="C2210" s="11" t="n">
        <v>45974</v>
      </c>
      <c r="D2210" s="9" t="s">
        <v>176</v>
      </c>
      <c r="E2210" s="12" t="n">
        <v>23</v>
      </c>
      <c r="F2210" s="9" t="s">
        <v>31</v>
      </c>
      <c r="G2210" s="13" t="n">
        <v>200</v>
      </c>
      <c r="H2210" s="9" t="s">
        <v>37</v>
      </c>
      <c r="I2210" s="13" t="n">
        <v>2</v>
      </c>
      <c r="J2210" s="1" t="str">
        <f aca="false">IF(A2210="","", "SAMP-"&amp;A2210&amp;"-L"&amp;TEXT(B2210,"00")&amp;"-"&amp;TEXT(C2210,"yyyymmdd")&amp;"-"&amp;D2210&amp;"-H"&amp;TEXT(E2210,"00")&amp;"-"&amp;H2210)</f>
        <v>SAMP-KG01-L25-20251113-ORD-2025-00287-H23-Bird Swing</v>
      </c>
      <c r="K2210" s="1" t="str">
        <f aca="false">IF(A2210="","",IF(AND(G2210&gt;=0,I2210&gt;=0,I2210&lt;=G2210),"OK","CHECK"))</f>
        <v>OK</v>
      </c>
      <c r="L2210" s="1" t="str">
        <f aca="false">IF(A2210="","",IF(AND(E2210&gt;=0,E2210&lt;=23),"OK","CHECK"))</f>
        <v>OK</v>
      </c>
      <c r="M2210" s="1" t="str">
        <f aca="false">IF(A2210="","",IF(AND(K2210="OK",L2210="OK"),"OK","CHECK"))</f>
        <v>OK</v>
      </c>
    </row>
    <row r="2211" customFormat="false" ht="18" hidden="false" customHeight="true" outlineLevel="0" collapsed="false">
      <c r="A2211" s="9" t="s">
        <v>26</v>
      </c>
      <c r="B2211" s="9" t="n">
        <v>25</v>
      </c>
      <c r="C2211" s="11" t="n">
        <v>45974</v>
      </c>
      <c r="D2211" s="9" t="s">
        <v>176</v>
      </c>
      <c r="E2211" s="12" t="n">
        <v>16</v>
      </c>
      <c r="F2211" s="9" t="s">
        <v>31</v>
      </c>
      <c r="G2211" s="13" t="n">
        <v>50</v>
      </c>
      <c r="H2211" s="9" t="s">
        <v>30</v>
      </c>
      <c r="I2211" s="13" t="n">
        <v>2</v>
      </c>
      <c r="J2211" s="1" t="str">
        <f aca="false">IF(A2211="","", "SAMP-"&amp;A2211&amp;"-L"&amp;TEXT(B2211,"00")&amp;"-"&amp;TEXT(C2211,"yyyymmdd")&amp;"-"&amp;D2211&amp;"-H"&amp;TEXT(E2211,"00")&amp;"-"&amp;H2211)</f>
        <v>SAMP-KG01-L25-20251113-ORD-2025-00287-H16-Overpress</v>
      </c>
      <c r="K2211" s="1" t="str">
        <f aca="false">IF(A2211="","",IF(AND(G2211&gt;=0,I2211&gt;=0,I2211&lt;=G2211),"OK","CHECK"))</f>
        <v>OK</v>
      </c>
      <c r="L2211" s="1" t="str">
        <f aca="false">IF(A2211="","",IF(AND(E2211&gt;=0,E2211&lt;=23),"OK","CHECK"))</f>
        <v>OK</v>
      </c>
      <c r="M2211" s="1" t="str">
        <f aca="false">IF(A2211="","",IF(AND(K2211="OK",L2211="OK"),"OK","CHECK"))</f>
        <v>OK</v>
      </c>
    </row>
    <row r="2212" customFormat="false" ht="18" hidden="false" customHeight="true" outlineLevel="0" collapsed="false">
      <c r="A2212" s="9" t="s">
        <v>26</v>
      </c>
      <c r="B2212" s="9" t="n">
        <v>25</v>
      </c>
      <c r="C2212" s="11" t="n">
        <v>45974</v>
      </c>
      <c r="D2212" s="9" t="s">
        <v>176</v>
      </c>
      <c r="E2212" s="12" t="n">
        <v>20</v>
      </c>
      <c r="F2212" s="9" t="s">
        <v>31</v>
      </c>
      <c r="G2212" s="13" t="n">
        <v>200</v>
      </c>
      <c r="H2212" s="9" t="s">
        <v>37</v>
      </c>
      <c r="I2212" s="13" t="n">
        <v>4</v>
      </c>
      <c r="J2212" s="1" t="str">
        <f aca="false">IF(A2212="","", "SAMP-"&amp;A2212&amp;"-L"&amp;TEXT(B2212,"00")&amp;"-"&amp;TEXT(C2212,"yyyymmdd")&amp;"-"&amp;D2212&amp;"-H"&amp;TEXT(E2212,"00")&amp;"-"&amp;H2212)</f>
        <v>SAMP-KG01-L25-20251113-ORD-2025-00287-H20-Bird Swing</v>
      </c>
      <c r="K2212" s="1" t="str">
        <f aca="false">IF(A2212="","",IF(AND(G2212&gt;=0,I2212&gt;=0,I2212&lt;=G2212),"OK","CHECK"))</f>
        <v>OK</v>
      </c>
      <c r="L2212" s="1" t="str">
        <f aca="false">IF(A2212="","",IF(AND(E2212&gt;=0,E2212&lt;=23),"OK","CHECK"))</f>
        <v>OK</v>
      </c>
      <c r="M2212" s="1" t="str">
        <f aca="false">IF(A2212="","",IF(AND(K2212="OK",L2212="OK"),"OK","CHECK"))</f>
        <v>OK</v>
      </c>
    </row>
    <row r="2213" customFormat="false" ht="18" hidden="false" customHeight="true" outlineLevel="0" collapsed="false">
      <c r="A2213" s="9" t="s">
        <v>26</v>
      </c>
      <c r="B2213" s="9" t="n">
        <v>25</v>
      </c>
      <c r="C2213" s="11" t="n">
        <v>45975</v>
      </c>
      <c r="D2213" s="9" t="s">
        <v>176</v>
      </c>
      <c r="E2213" s="12" t="n">
        <v>7</v>
      </c>
      <c r="F2213" s="9" t="s">
        <v>28</v>
      </c>
      <c r="G2213" s="13" t="n">
        <v>50</v>
      </c>
      <c r="H2213" s="9" t="s">
        <v>29</v>
      </c>
      <c r="I2213" s="13" t="n">
        <v>1</v>
      </c>
      <c r="J2213" s="1" t="str">
        <f aca="false">IF(A2213="","", "SAMP-"&amp;A2213&amp;"-L"&amp;TEXT(B2213,"00")&amp;"-"&amp;TEXT(C2213,"yyyymmdd")&amp;"-"&amp;D2213&amp;"-H"&amp;TEXT(E2213,"00")&amp;"-"&amp;H2213)</f>
        <v>SAMP-KG01-L25-20251114-ORD-2025-00287-H07-Choke Neck</v>
      </c>
      <c r="K2213" s="1" t="str">
        <f aca="false">IF(A2213="","",IF(AND(G2213&gt;=0,I2213&gt;=0,I2213&lt;=G2213),"OK","CHECK"))</f>
        <v>OK</v>
      </c>
      <c r="L2213" s="1" t="str">
        <f aca="false">IF(A2213="","",IF(AND(E2213&gt;=0,E2213&lt;=23),"OK","CHECK"))</f>
        <v>OK</v>
      </c>
      <c r="M2213" s="1" t="str">
        <f aca="false">IF(A2213="","",IF(AND(K2213="OK",L2213="OK"),"OK","CHECK"))</f>
        <v>OK</v>
      </c>
    </row>
    <row r="2214" customFormat="false" ht="18" hidden="false" customHeight="true" outlineLevel="0" collapsed="false">
      <c r="A2214" s="9" t="s">
        <v>26</v>
      </c>
      <c r="B2214" s="9" t="n">
        <v>25</v>
      </c>
      <c r="C2214" s="11" t="n">
        <v>45975</v>
      </c>
      <c r="D2214" s="9" t="s">
        <v>176</v>
      </c>
      <c r="E2214" s="12" t="n">
        <v>12</v>
      </c>
      <c r="F2214" s="9" t="s">
        <v>28</v>
      </c>
      <c r="G2214" s="13" t="n">
        <v>50</v>
      </c>
      <c r="H2214" s="9" t="s">
        <v>38</v>
      </c>
      <c r="I2214" s="13" t="n">
        <v>3</v>
      </c>
      <c r="J2214" s="1" t="str">
        <f aca="false">IF(A2214="","", "SAMP-"&amp;A2214&amp;"-L"&amp;TEXT(B2214,"00")&amp;"-"&amp;TEXT(C2214,"yyyymmdd")&amp;"-"&amp;D2214&amp;"-H"&amp;TEXT(E2214,"00")&amp;"-"&amp;H2214)</f>
        <v>SAMP-KG01-L25-20251114-ORD-2025-00287-H12-Crack</v>
      </c>
      <c r="K2214" s="1" t="str">
        <f aca="false">IF(A2214="","",IF(AND(G2214&gt;=0,I2214&gt;=0,I2214&lt;=G2214),"OK","CHECK"))</f>
        <v>OK</v>
      </c>
      <c r="L2214" s="1" t="str">
        <f aca="false">IF(A2214="","",IF(AND(E2214&gt;=0,E2214&lt;=23),"OK","CHECK"))</f>
        <v>OK</v>
      </c>
      <c r="M2214" s="1" t="str">
        <f aca="false">IF(A2214="","",IF(AND(K2214="OK",L2214="OK"),"OK","CHECK"))</f>
        <v>OK</v>
      </c>
    </row>
    <row r="2215" customFormat="false" ht="18" hidden="false" customHeight="true" outlineLevel="0" collapsed="false">
      <c r="A2215" s="9" t="s">
        <v>26</v>
      </c>
      <c r="B2215" s="9" t="n">
        <v>25</v>
      </c>
      <c r="C2215" s="11" t="n">
        <v>45975</v>
      </c>
      <c r="D2215" s="9" t="s">
        <v>176</v>
      </c>
      <c r="E2215" s="12" t="n">
        <v>9</v>
      </c>
      <c r="F2215" s="9" t="s">
        <v>28</v>
      </c>
      <c r="G2215" s="13" t="n">
        <v>50</v>
      </c>
      <c r="H2215" s="9" t="s">
        <v>35</v>
      </c>
      <c r="I2215" s="13" t="n">
        <v>1</v>
      </c>
      <c r="J2215" s="1" t="str">
        <f aca="false">IF(A2215="","", "SAMP-"&amp;A2215&amp;"-L"&amp;TEXT(B2215,"00")&amp;"-"&amp;TEXT(C2215,"yyyymmdd")&amp;"-"&amp;D2215&amp;"-H"&amp;TEXT(E2215,"00")&amp;"-"&amp;H2215)</f>
        <v>SAMP-KG01-L25-20251114-ORD-2025-00287-H09-Stone</v>
      </c>
      <c r="K2215" s="1" t="str">
        <f aca="false">IF(A2215="","",IF(AND(G2215&gt;=0,I2215&gt;=0,I2215&lt;=G2215),"OK","CHECK"))</f>
        <v>OK</v>
      </c>
      <c r="L2215" s="1" t="str">
        <f aca="false">IF(A2215="","",IF(AND(E2215&gt;=0,E2215&lt;=23),"OK","CHECK"))</f>
        <v>OK</v>
      </c>
      <c r="M2215" s="1" t="str">
        <f aca="false">IF(A2215="","",IF(AND(K2215="OK",L2215="OK"),"OK","CHECK"))</f>
        <v>OK</v>
      </c>
    </row>
    <row r="2216" customFormat="false" ht="18" hidden="false" customHeight="true" outlineLevel="0" collapsed="false">
      <c r="A2216" s="9" t="s">
        <v>26</v>
      </c>
      <c r="B2216" s="9" t="n">
        <v>25</v>
      </c>
      <c r="C2216" s="11" t="n">
        <v>45975</v>
      </c>
      <c r="D2216" s="9" t="s">
        <v>176</v>
      </c>
      <c r="E2216" s="12" t="n">
        <v>16</v>
      </c>
      <c r="F2216" s="9" t="s">
        <v>31</v>
      </c>
      <c r="G2216" s="13" t="n">
        <v>100</v>
      </c>
      <c r="H2216" s="9" t="s">
        <v>35</v>
      </c>
      <c r="I2216" s="13" t="n">
        <v>3</v>
      </c>
      <c r="J2216" s="1" t="str">
        <f aca="false">IF(A2216="","", "SAMP-"&amp;A2216&amp;"-L"&amp;TEXT(B2216,"00")&amp;"-"&amp;TEXT(C2216,"yyyymmdd")&amp;"-"&amp;D2216&amp;"-H"&amp;TEXT(E2216,"00")&amp;"-"&amp;H2216)</f>
        <v>SAMP-KG01-L25-20251114-ORD-2025-00287-H16-Stone</v>
      </c>
      <c r="K2216" s="1" t="str">
        <f aca="false">IF(A2216="","",IF(AND(G2216&gt;=0,I2216&gt;=0,I2216&lt;=G2216),"OK","CHECK"))</f>
        <v>OK</v>
      </c>
      <c r="L2216" s="1" t="str">
        <f aca="false">IF(A2216="","",IF(AND(E2216&gt;=0,E2216&lt;=23),"OK","CHECK"))</f>
        <v>OK</v>
      </c>
      <c r="M2216" s="1" t="str">
        <f aca="false">IF(A2216="","",IF(AND(K2216="OK",L2216="OK"),"OK","CHECK"))</f>
        <v>OK</v>
      </c>
    </row>
    <row r="2217" customFormat="false" ht="18" hidden="false" customHeight="true" outlineLevel="0" collapsed="false">
      <c r="A2217" s="9" t="s">
        <v>26</v>
      </c>
      <c r="B2217" s="9" t="n">
        <v>25</v>
      </c>
      <c r="C2217" s="11" t="n">
        <v>45975</v>
      </c>
      <c r="D2217" s="9" t="s">
        <v>176</v>
      </c>
      <c r="E2217" s="12" t="n">
        <v>20</v>
      </c>
      <c r="F2217" s="9" t="s">
        <v>31</v>
      </c>
      <c r="G2217" s="13" t="n">
        <v>150</v>
      </c>
      <c r="H2217" s="9" t="s">
        <v>34</v>
      </c>
      <c r="I2217" s="13" t="n">
        <v>2</v>
      </c>
      <c r="J2217" s="1" t="str">
        <f aca="false">IF(A2217="","", "SAMP-"&amp;A2217&amp;"-L"&amp;TEXT(B2217,"00")&amp;"-"&amp;TEXT(C2217,"yyyymmdd")&amp;"-"&amp;D2217&amp;"-H"&amp;TEXT(E2217,"00")&amp;"-"&amp;H2217)</f>
        <v>SAMP-KG01-L25-20251114-ORD-2025-00287-H20-Thin Wall</v>
      </c>
      <c r="K2217" s="1" t="str">
        <f aca="false">IF(A2217="","",IF(AND(G2217&gt;=0,I2217&gt;=0,I2217&lt;=G2217),"OK","CHECK"))</f>
        <v>OK</v>
      </c>
      <c r="L2217" s="1" t="str">
        <f aca="false">IF(A2217="","",IF(AND(E2217&gt;=0,E2217&lt;=23),"OK","CHECK"))</f>
        <v>OK</v>
      </c>
      <c r="M2217" s="1" t="str">
        <f aca="false">IF(A2217="","",IF(AND(K2217="OK",L2217="OK"),"OK","CHECK"))</f>
        <v>OK</v>
      </c>
    </row>
    <row r="2218" customFormat="false" ht="18" hidden="false" customHeight="true" outlineLevel="0" collapsed="false">
      <c r="A2218" s="9" t="s">
        <v>26</v>
      </c>
      <c r="B2218" s="9" t="n">
        <v>25</v>
      </c>
      <c r="C2218" s="11" t="n">
        <v>45975</v>
      </c>
      <c r="D2218" s="9" t="s">
        <v>176</v>
      </c>
      <c r="E2218" s="12" t="n">
        <v>23</v>
      </c>
      <c r="F2218" s="9" t="s">
        <v>31</v>
      </c>
      <c r="G2218" s="13" t="n">
        <v>100</v>
      </c>
      <c r="H2218" s="9" t="s">
        <v>38</v>
      </c>
      <c r="I2218" s="13" t="n">
        <v>3</v>
      </c>
      <c r="J2218" s="1" t="str">
        <f aca="false">IF(A2218="","", "SAMP-"&amp;A2218&amp;"-L"&amp;TEXT(B2218,"00")&amp;"-"&amp;TEXT(C2218,"yyyymmdd")&amp;"-"&amp;D2218&amp;"-H"&amp;TEXT(E2218,"00")&amp;"-"&amp;H2218)</f>
        <v>SAMP-KG01-L25-20251114-ORD-2025-00287-H23-Crack</v>
      </c>
      <c r="K2218" s="1" t="str">
        <f aca="false">IF(A2218="","",IF(AND(G2218&gt;=0,I2218&gt;=0,I2218&lt;=G2218),"OK","CHECK"))</f>
        <v>OK</v>
      </c>
      <c r="L2218" s="1" t="str">
        <f aca="false">IF(A2218="","",IF(AND(E2218&gt;=0,E2218&lt;=23),"OK","CHECK"))</f>
        <v>OK</v>
      </c>
      <c r="M2218" s="1" t="str">
        <f aca="false">IF(A2218="","",IF(AND(K2218="OK",L2218="OK"),"OK","CHECK"))</f>
        <v>OK</v>
      </c>
    </row>
    <row r="2219" customFormat="false" ht="18" hidden="false" customHeight="true" outlineLevel="0" collapsed="false">
      <c r="A2219" s="9" t="s">
        <v>26</v>
      </c>
      <c r="B2219" s="9" t="n">
        <v>25</v>
      </c>
      <c r="C2219" s="11" t="n">
        <v>45976</v>
      </c>
      <c r="D2219" s="9" t="s">
        <v>176</v>
      </c>
      <c r="E2219" s="12" t="n">
        <v>7</v>
      </c>
      <c r="F2219" s="9" t="s">
        <v>28</v>
      </c>
      <c r="G2219" s="13" t="n">
        <v>150</v>
      </c>
      <c r="H2219" s="9" t="s">
        <v>36</v>
      </c>
      <c r="I2219" s="13" t="n">
        <v>0</v>
      </c>
      <c r="J2219" s="1" t="str">
        <f aca="false">IF(A2219="","", "SAMP-"&amp;A2219&amp;"-L"&amp;TEXT(B2219,"00")&amp;"-"&amp;TEXT(C2219,"yyyymmdd")&amp;"-"&amp;D2219&amp;"-H"&amp;TEXT(E2219,"00")&amp;"-"&amp;H2219)</f>
        <v>SAMP-KG01-L25-20251115-ORD-2025-00287-H07-Blister</v>
      </c>
      <c r="K2219" s="1" t="str">
        <f aca="false">IF(A2219="","",IF(AND(G2219&gt;=0,I2219&gt;=0,I2219&lt;=G2219),"OK","CHECK"))</f>
        <v>OK</v>
      </c>
      <c r="L2219" s="1" t="str">
        <f aca="false">IF(A2219="","",IF(AND(E2219&gt;=0,E2219&lt;=23),"OK","CHECK"))</f>
        <v>OK</v>
      </c>
      <c r="M2219" s="1" t="str">
        <f aca="false">IF(A2219="","",IF(AND(K2219="OK",L2219="OK"),"OK","CHECK"))</f>
        <v>OK</v>
      </c>
    </row>
    <row r="2220" customFormat="false" ht="18" hidden="false" customHeight="true" outlineLevel="0" collapsed="false">
      <c r="A2220" s="9" t="s">
        <v>26</v>
      </c>
      <c r="B2220" s="9" t="n">
        <v>25</v>
      </c>
      <c r="C2220" s="11" t="n">
        <v>45976</v>
      </c>
      <c r="D2220" s="9" t="s">
        <v>176</v>
      </c>
      <c r="E2220" s="12" t="n">
        <v>12</v>
      </c>
      <c r="F2220" s="9" t="s">
        <v>28</v>
      </c>
      <c r="G2220" s="13" t="n">
        <v>200</v>
      </c>
      <c r="H2220" s="9" t="s">
        <v>33</v>
      </c>
      <c r="I2220" s="13" t="n">
        <v>1</v>
      </c>
      <c r="J2220" s="1" t="str">
        <f aca="false">IF(A2220="","", "SAMP-"&amp;A2220&amp;"-L"&amp;TEXT(B2220,"00")&amp;"-"&amp;TEXT(C2220,"yyyymmdd")&amp;"-"&amp;D2220&amp;"-H"&amp;TEXT(E2220,"00")&amp;"-"&amp;H2220)</f>
        <v>SAMP-KG01-L25-20251115-ORD-2025-00287-H12-Distortion</v>
      </c>
      <c r="K2220" s="1" t="str">
        <f aca="false">IF(A2220="","",IF(AND(G2220&gt;=0,I2220&gt;=0,I2220&lt;=G2220),"OK","CHECK"))</f>
        <v>OK</v>
      </c>
      <c r="L2220" s="1" t="str">
        <f aca="false">IF(A2220="","",IF(AND(E2220&gt;=0,E2220&lt;=23),"OK","CHECK"))</f>
        <v>OK</v>
      </c>
      <c r="M2220" s="1" t="str">
        <f aca="false">IF(A2220="","",IF(AND(K2220="OK",L2220="OK"),"OK","CHECK"))</f>
        <v>OK</v>
      </c>
    </row>
    <row r="2221" customFormat="false" ht="18" hidden="false" customHeight="true" outlineLevel="0" collapsed="false">
      <c r="A2221" s="9" t="s">
        <v>26</v>
      </c>
      <c r="B2221" s="9" t="n">
        <v>25</v>
      </c>
      <c r="C2221" s="11" t="n">
        <v>45976</v>
      </c>
      <c r="D2221" s="9" t="s">
        <v>176</v>
      </c>
      <c r="E2221" s="12" t="n">
        <v>23</v>
      </c>
      <c r="F2221" s="9" t="s">
        <v>31</v>
      </c>
      <c r="G2221" s="13" t="n">
        <v>100</v>
      </c>
      <c r="H2221" s="9" t="s">
        <v>33</v>
      </c>
      <c r="I2221" s="13" t="n">
        <v>6</v>
      </c>
      <c r="J2221" s="1" t="str">
        <f aca="false">IF(A2221="","", "SAMP-"&amp;A2221&amp;"-L"&amp;TEXT(B2221,"00")&amp;"-"&amp;TEXT(C2221,"yyyymmdd")&amp;"-"&amp;D2221&amp;"-H"&amp;TEXT(E2221,"00")&amp;"-"&amp;H2221)</f>
        <v>SAMP-KG01-L25-20251115-ORD-2025-00287-H23-Distortion</v>
      </c>
      <c r="K2221" s="1" t="str">
        <f aca="false">IF(A2221="","",IF(AND(G2221&gt;=0,I2221&gt;=0,I2221&lt;=G2221),"OK","CHECK"))</f>
        <v>OK</v>
      </c>
      <c r="L2221" s="1" t="str">
        <f aca="false">IF(A2221="","",IF(AND(E2221&gt;=0,E2221&lt;=23),"OK","CHECK"))</f>
        <v>OK</v>
      </c>
      <c r="M2221" s="1" t="str">
        <f aca="false">IF(A2221="","",IF(AND(K2221="OK",L2221="OK"),"OK","CHECK"))</f>
        <v>OK</v>
      </c>
    </row>
    <row r="2222" customFormat="false" ht="18" hidden="false" customHeight="true" outlineLevel="0" collapsed="false">
      <c r="A2222" s="9" t="s">
        <v>26</v>
      </c>
      <c r="B2222" s="9" t="n">
        <v>25</v>
      </c>
      <c r="C2222" s="11" t="n">
        <v>45976</v>
      </c>
      <c r="D2222" s="9" t="s">
        <v>176</v>
      </c>
      <c r="E2222" s="12" t="n">
        <v>20</v>
      </c>
      <c r="F2222" s="9" t="s">
        <v>31</v>
      </c>
      <c r="G2222" s="13" t="n">
        <v>50</v>
      </c>
      <c r="H2222" s="9" t="s">
        <v>37</v>
      </c>
      <c r="I2222" s="13" t="n">
        <v>2</v>
      </c>
      <c r="J2222" s="1" t="str">
        <f aca="false">IF(A2222="","", "SAMP-"&amp;A2222&amp;"-L"&amp;TEXT(B2222,"00")&amp;"-"&amp;TEXT(C2222,"yyyymmdd")&amp;"-"&amp;D2222&amp;"-H"&amp;TEXT(E2222,"00")&amp;"-"&amp;H2222)</f>
        <v>SAMP-KG01-L25-20251115-ORD-2025-00287-H20-Bird Swing</v>
      </c>
      <c r="K2222" s="1" t="str">
        <f aca="false">IF(A2222="","",IF(AND(G2222&gt;=0,I2222&gt;=0,I2222&lt;=G2222),"OK","CHECK"))</f>
        <v>OK</v>
      </c>
      <c r="L2222" s="1" t="str">
        <f aca="false">IF(A2222="","",IF(AND(E2222&gt;=0,E2222&lt;=23),"OK","CHECK"))</f>
        <v>OK</v>
      </c>
      <c r="M2222" s="1" t="str">
        <f aca="false">IF(A2222="","",IF(AND(K2222="OK",L2222="OK"),"OK","CHECK"))</f>
        <v>OK</v>
      </c>
    </row>
    <row r="2223" customFormat="false" ht="18" hidden="false" customHeight="true" outlineLevel="0" collapsed="false">
      <c r="A2223" s="9" t="s">
        <v>26</v>
      </c>
      <c r="B2223" s="9" t="n">
        <v>25</v>
      </c>
      <c r="C2223" s="11" t="n">
        <v>45976</v>
      </c>
      <c r="D2223" s="9" t="s">
        <v>176</v>
      </c>
      <c r="E2223" s="12" t="n">
        <v>16</v>
      </c>
      <c r="F2223" s="9" t="s">
        <v>31</v>
      </c>
      <c r="G2223" s="13" t="n">
        <v>100</v>
      </c>
      <c r="H2223" s="9" t="s">
        <v>38</v>
      </c>
      <c r="I2223" s="13" t="n">
        <v>1</v>
      </c>
      <c r="J2223" s="1" t="str">
        <f aca="false">IF(A2223="","", "SAMP-"&amp;A2223&amp;"-L"&amp;TEXT(B2223,"00")&amp;"-"&amp;TEXT(C2223,"yyyymmdd")&amp;"-"&amp;D2223&amp;"-H"&amp;TEXT(E2223,"00")&amp;"-"&amp;H2223)</f>
        <v>SAMP-KG01-L25-20251115-ORD-2025-00287-H16-Crack</v>
      </c>
      <c r="K2223" s="1" t="str">
        <f aca="false">IF(A2223="","",IF(AND(G2223&gt;=0,I2223&gt;=0,I2223&lt;=G2223),"OK","CHECK"))</f>
        <v>OK</v>
      </c>
      <c r="L2223" s="1" t="str">
        <f aca="false">IF(A2223="","",IF(AND(E2223&gt;=0,E2223&lt;=23),"OK","CHECK"))</f>
        <v>OK</v>
      </c>
      <c r="M2223" s="1" t="str">
        <f aca="false">IF(A2223="","",IF(AND(K2223="OK",L2223="OK"),"OK","CHECK"))</f>
        <v>OK</v>
      </c>
    </row>
    <row r="2224" customFormat="false" ht="18" hidden="false" customHeight="true" outlineLevel="0" collapsed="false">
      <c r="A2224" s="9" t="s">
        <v>26</v>
      </c>
      <c r="B2224" s="9" t="n">
        <v>25</v>
      </c>
      <c r="C2224" s="11" t="n">
        <v>45977</v>
      </c>
      <c r="D2224" s="9" t="s">
        <v>177</v>
      </c>
      <c r="E2224" s="12" t="n">
        <v>9</v>
      </c>
      <c r="F2224" s="9" t="s">
        <v>28</v>
      </c>
      <c r="G2224" s="13" t="n">
        <v>50</v>
      </c>
      <c r="H2224" s="9" t="s">
        <v>33</v>
      </c>
      <c r="I2224" s="13" t="n">
        <v>2</v>
      </c>
      <c r="J2224" s="1" t="str">
        <f aca="false">IF(A2224="","", "SAMP-"&amp;A2224&amp;"-L"&amp;TEXT(B2224,"00")&amp;"-"&amp;TEXT(C2224,"yyyymmdd")&amp;"-"&amp;D2224&amp;"-H"&amp;TEXT(E2224,"00")&amp;"-"&amp;H2224)</f>
        <v>SAMP-KG01-L25-20251116-ORD-2025-00288-H09-Distortion</v>
      </c>
      <c r="K2224" s="1" t="str">
        <f aca="false">IF(A2224="","",IF(AND(G2224&gt;=0,I2224&gt;=0,I2224&lt;=G2224),"OK","CHECK"))</f>
        <v>OK</v>
      </c>
      <c r="L2224" s="1" t="str">
        <f aca="false">IF(A2224="","",IF(AND(E2224&gt;=0,E2224&lt;=23),"OK","CHECK"))</f>
        <v>OK</v>
      </c>
      <c r="M2224" s="1" t="str">
        <f aca="false">IF(A2224="","",IF(AND(K2224="OK",L2224="OK"),"OK","CHECK"))</f>
        <v>OK</v>
      </c>
    </row>
    <row r="2225" customFormat="false" ht="18" hidden="false" customHeight="true" outlineLevel="0" collapsed="false">
      <c r="A2225" s="9" t="s">
        <v>26</v>
      </c>
      <c r="B2225" s="9" t="n">
        <v>25</v>
      </c>
      <c r="C2225" s="11" t="n">
        <v>45977</v>
      </c>
      <c r="D2225" s="9" t="s">
        <v>177</v>
      </c>
      <c r="E2225" s="12" t="n">
        <v>7</v>
      </c>
      <c r="F2225" s="9" t="s">
        <v>28</v>
      </c>
      <c r="G2225" s="13" t="n">
        <v>50</v>
      </c>
      <c r="H2225" s="9" t="s">
        <v>34</v>
      </c>
      <c r="I2225" s="13" t="n">
        <v>1</v>
      </c>
      <c r="J2225" s="1" t="str">
        <f aca="false">IF(A2225="","", "SAMP-"&amp;A2225&amp;"-L"&amp;TEXT(B2225,"00")&amp;"-"&amp;TEXT(C2225,"yyyymmdd")&amp;"-"&amp;D2225&amp;"-H"&amp;TEXT(E2225,"00")&amp;"-"&amp;H2225)</f>
        <v>SAMP-KG01-L25-20251116-ORD-2025-00288-H07-Thin Wall</v>
      </c>
      <c r="K2225" s="1" t="str">
        <f aca="false">IF(A2225="","",IF(AND(G2225&gt;=0,I2225&gt;=0,I2225&lt;=G2225),"OK","CHECK"))</f>
        <v>OK</v>
      </c>
      <c r="L2225" s="1" t="str">
        <f aca="false">IF(A2225="","",IF(AND(E2225&gt;=0,E2225&lt;=23),"OK","CHECK"))</f>
        <v>OK</v>
      </c>
      <c r="M2225" s="1" t="str">
        <f aca="false">IF(A2225="","",IF(AND(K2225="OK",L2225="OK"),"OK","CHECK"))</f>
        <v>OK</v>
      </c>
    </row>
    <row r="2226" customFormat="false" ht="18" hidden="false" customHeight="true" outlineLevel="0" collapsed="false">
      <c r="A2226" s="9" t="s">
        <v>26</v>
      </c>
      <c r="B2226" s="9" t="n">
        <v>25</v>
      </c>
      <c r="C2226" s="11" t="n">
        <v>45977</v>
      </c>
      <c r="D2226" s="9" t="s">
        <v>177</v>
      </c>
      <c r="E2226" s="12" t="n">
        <v>23</v>
      </c>
      <c r="F2226" s="9" t="s">
        <v>31</v>
      </c>
      <c r="G2226" s="13" t="n">
        <v>50</v>
      </c>
      <c r="H2226" s="9" t="s">
        <v>30</v>
      </c>
      <c r="I2226" s="13" t="n">
        <v>0</v>
      </c>
      <c r="J2226" s="1" t="str">
        <f aca="false">IF(A2226="","", "SAMP-"&amp;A2226&amp;"-L"&amp;TEXT(B2226,"00")&amp;"-"&amp;TEXT(C2226,"yyyymmdd")&amp;"-"&amp;D2226&amp;"-H"&amp;TEXT(E2226,"00")&amp;"-"&amp;H2226)</f>
        <v>SAMP-KG01-L25-20251116-ORD-2025-00288-H23-Overpress</v>
      </c>
      <c r="K2226" s="1" t="str">
        <f aca="false">IF(A2226="","",IF(AND(G2226&gt;=0,I2226&gt;=0,I2226&lt;=G2226),"OK","CHECK"))</f>
        <v>OK</v>
      </c>
      <c r="L2226" s="1" t="str">
        <f aca="false">IF(A2226="","",IF(AND(E2226&gt;=0,E2226&lt;=23),"OK","CHECK"))</f>
        <v>OK</v>
      </c>
      <c r="M2226" s="1" t="str">
        <f aca="false">IF(A2226="","",IF(AND(K2226="OK",L2226="OK"),"OK","CHECK"))</f>
        <v>OK</v>
      </c>
    </row>
    <row r="2227" customFormat="false" ht="18" hidden="false" customHeight="true" outlineLevel="0" collapsed="false">
      <c r="A2227" s="9" t="s">
        <v>26</v>
      </c>
      <c r="B2227" s="9" t="n">
        <v>25</v>
      </c>
      <c r="C2227" s="11" t="n">
        <v>45977</v>
      </c>
      <c r="D2227" s="9" t="s">
        <v>177</v>
      </c>
      <c r="E2227" s="12" t="n">
        <v>16</v>
      </c>
      <c r="F2227" s="9" t="s">
        <v>31</v>
      </c>
      <c r="G2227" s="13" t="n">
        <v>150</v>
      </c>
      <c r="H2227" s="9" t="s">
        <v>37</v>
      </c>
      <c r="I2227" s="13" t="n">
        <v>5</v>
      </c>
      <c r="J2227" s="1" t="str">
        <f aca="false">IF(A2227="","", "SAMP-"&amp;A2227&amp;"-L"&amp;TEXT(B2227,"00")&amp;"-"&amp;TEXT(C2227,"yyyymmdd")&amp;"-"&amp;D2227&amp;"-H"&amp;TEXT(E2227,"00")&amp;"-"&amp;H2227)</f>
        <v>SAMP-KG01-L25-20251116-ORD-2025-00288-H16-Bird Swing</v>
      </c>
      <c r="K2227" s="1" t="str">
        <f aca="false">IF(A2227="","",IF(AND(G2227&gt;=0,I2227&gt;=0,I2227&lt;=G2227),"OK","CHECK"))</f>
        <v>OK</v>
      </c>
      <c r="L2227" s="1" t="str">
        <f aca="false">IF(A2227="","",IF(AND(E2227&gt;=0,E2227&lt;=23),"OK","CHECK"))</f>
        <v>OK</v>
      </c>
      <c r="M2227" s="1" t="str">
        <f aca="false">IF(A2227="","",IF(AND(K2227="OK",L2227="OK"),"OK","CHECK"))</f>
        <v>OK</v>
      </c>
    </row>
    <row r="2228" customFormat="false" ht="18" hidden="false" customHeight="true" outlineLevel="0" collapsed="false">
      <c r="A2228" s="9" t="s">
        <v>26</v>
      </c>
      <c r="B2228" s="9" t="n">
        <v>25</v>
      </c>
      <c r="C2228" s="11" t="n">
        <v>45977</v>
      </c>
      <c r="D2228" s="9" t="s">
        <v>177</v>
      </c>
      <c r="E2228" s="12" t="n">
        <v>20</v>
      </c>
      <c r="F2228" s="9" t="s">
        <v>31</v>
      </c>
      <c r="G2228" s="13" t="n">
        <v>200</v>
      </c>
      <c r="H2228" s="9" t="s">
        <v>30</v>
      </c>
      <c r="I2228" s="13" t="n">
        <v>4</v>
      </c>
      <c r="J2228" s="1" t="str">
        <f aca="false">IF(A2228="","", "SAMP-"&amp;A2228&amp;"-L"&amp;TEXT(B2228,"00")&amp;"-"&amp;TEXT(C2228,"yyyymmdd")&amp;"-"&amp;D2228&amp;"-H"&amp;TEXT(E2228,"00")&amp;"-"&amp;H2228)</f>
        <v>SAMP-KG01-L25-20251116-ORD-2025-00288-H20-Overpress</v>
      </c>
      <c r="K2228" s="1" t="str">
        <f aca="false">IF(A2228="","",IF(AND(G2228&gt;=0,I2228&gt;=0,I2228&lt;=G2228),"OK","CHECK"))</f>
        <v>OK</v>
      </c>
      <c r="L2228" s="1" t="str">
        <f aca="false">IF(A2228="","",IF(AND(E2228&gt;=0,E2228&lt;=23),"OK","CHECK"))</f>
        <v>OK</v>
      </c>
      <c r="M2228" s="1" t="str">
        <f aca="false">IF(A2228="","",IF(AND(K2228="OK",L2228="OK"),"OK","CHECK"))</f>
        <v>OK</v>
      </c>
    </row>
    <row r="2229" customFormat="false" ht="18" hidden="false" customHeight="true" outlineLevel="0" collapsed="false">
      <c r="A2229" s="9" t="s">
        <v>26</v>
      </c>
      <c r="B2229" s="9" t="n">
        <v>25</v>
      </c>
      <c r="C2229" s="11" t="n">
        <v>45978</v>
      </c>
      <c r="D2229" s="9" t="s">
        <v>177</v>
      </c>
      <c r="E2229" s="12" t="n">
        <v>12</v>
      </c>
      <c r="F2229" s="9" t="s">
        <v>28</v>
      </c>
      <c r="G2229" s="13" t="n">
        <v>150</v>
      </c>
      <c r="H2229" s="9" t="s">
        <v>41</v>
      </c>
      <c r="I2229" s="13" t="n">
        <v>0</v>
      </c>
      <c r="J2229" s="1" t="str">
        <f aca="false">IF(A2229="","", "SAMP-"&amp;A2229&amp;"-L"&amp;TEXT(B2229,"00")&amp;"-"&amp;TEXT(C2229,"yyyymmdd")&amp;"-"&amp;D2229&amp;"-H"&amp;TEXT(E2229,"00")&amp;"-"&amp;H2229)</f>
        <v>SAMP-KG01-L25-20251117-ORD-2025-00288-H12-Chip</v>
      </c>
      <c r="K2229" s="1" t="str">
        <f aca="false">IF(A2229="","",IF(AND(G2229&gt;=0,I2229&gt;=0,I2229&lt;=G2229),"OK","CHECK"))</f>
        <v>OK</v>
      </c>
      <c r="L2229" s="1" t="str">
        <f aca="false">IF(A2229="","",IF(AND(E2229&gt;=0,E2229&lt;=23),"OK","CHECK"))</f>
        <v>OK</v>
      </c>
      <c r="M2229" s="1" t="str">
        <f aca="false">IF(A2229="","",IF(AND(K2229="OK",L2229="OK"),"OK","CHECK"))</f>
        <v>OK</v>
      </c>
    </row>
    <row r="2230" customFormat="false" ht="18" hidden="false" customHeight="true" outlineLevel="0" collapsed="false">
      <c r="A2230" s="9" t="s">
        <v>26</v>
      </c>
      <c r="B2230" s="9" t="n">
        <v>25</v>
      </c>
      <c r="C2230" s="11" t="n">
        <v>45978</v>
      </c>
      <c r="D2230" s="9" t="s">
        <v>177</v>
      </c>
      <c r="E2230" s="12" t="n">
        <v>9</v>
      </c>
      <c r="F2230" s="9" t="s">
        <v>28</v>
      </c>
      <c r="G2230" s="13" t="n">
        <v>100</v>
      </c>
      <c r="H2230" s="9" t="s">
        <v>41</v>
      </c>
      <c r="I2230" s="13" t="n">
        <v>4</v>
      </c>
      <c r="J2230" s="1" t="str">
        <f aca="false">IF(A2230="","", "SAMP-"&amp;A2230&amp;"-L"&amp;TEXT(B2230,"00")&amp;"-"&amp;TEXT(C2230,"yyyymmdd")&amp;"-"&amp;D2230&amp;"-H"&amp;TEXT(E2230,"00")&amp;"-"&amp;H2230)</f>
        <v>SAMP-KG01-L25-20251117-ORD-2025-00288-H09-Chip</v>
      </c>
      <c r="K2230" s="1" t="str">
        <f aca="false">IF(A2230="","",IF(AND(G2230&gt;=0,I2230&gt;=0,I2230&lt;=G2230),"OK","CHECK"))</f>
        <v>OK</v>
      </c>
      <c r="L2230" s="1" t="str">
        <f aca="false">IF(A2230="","",IF(AND(E2230&gt;=0,E2230&lt;=23),"OK","CHECK"))</f>
        <v>OK</v>
      </c>
      <c r="M2230" s="1" t="str">
        <f aca="false">IF(A2230="","",IF(AND(K2230="OK",L2230="OK"),"OK","CHECK"))</f>
        <v>OK</v>
      </c>
    </row>
    <row r="2231" customFormat="false" ht="18" hidden="false" customHeight="true" outlineLevel="0" collapsed="false">
      <c r="A2231" s="9" t="s">
        <v>26</v>
      </c>
      <c r="B2231" s="9" t="n">
        <v>25</v>
      </c>
      <c r="C2231" s="11" t="n">
        <v>45978</v>
      </c>
      <c r="D2231" s="9" t="s">
        <v>177</v>
      </c>
      <c r="E2231" s="12" t="n">
        <v>7</v>
      </c>
      <c r="F2231" s="9" t="s">
        <v>28</v>
      </c>
      <c r="G2231" s="13" t="n">
        <v>150</v>
      </c>
      <c r="H2231" s="9" t="s">
        <v>37</v>
      </c>
      <c r="I2231" s="13" t="n">
        <v>7</v>
      </c>
      <c r="J2231" s="1" t="str">
        <f aca="false">IF(A2231="","", "SAMP-"&amp;A2231&amp;"-L"&amp;TEXT(B2231,"00")&amp;"-"&amp;TEXT(C2231,"yyyymmdd")&amp;"-"&amp;D2231&amp;"-H"&amp;TEXT(E2231,"00")&amp;"-"&amp;H2231)</f>
        <v>SAMP-KG01-L25-20251117-ORD-2025-00288-H07-Bird Swing</v>
      </c>
      <c r="K2231" s="1" t="str">
        <f aca="false">IF(A2231="","",IF(AND(G2231&gt;=0,I2231&gt;=0,I2231&lt;=G2231),"OK","CHECK"))</f>
        <v>OK</v>
      </c>
      <c r="L2231" s="1" t="str">
        <f aca="false">IF(A2231="","",IF(AND(E2231&gt;=0,E2231&lt;=23),"OK","CHECK"))</f>
        <v>OK</v>
      </c>
      <c r="M2231" s="1" t="str">
        <f aca="false">IF(A2231="","",IF(AND(K2231="OK",L2231="OK"),"OK","CHECK"))</f>
        <v>OK</v>
      </c>
    </row>
    <row r="2232" customFormat="false" ht="18" hidden="false" customHeight="true" outlineLevel="0" collapsed="false">
      <c r="A2232" s="9" t="s">
        <v>26</v>
      </c>
      <c r="B2232" s="9" t="n">
        <v>25</v>
      </c>
      <c r="C2232" s="11" t="n">
        <v>45978</v>
      </c>
      <c r="D2232" s="9" t="s">
        <v>177</v>
      </c>
      <c r="E2232" s="12" t="n">
        <v>16</v>
      </c>
      <c r="F2232" s="9" t="s">
        <v>31</v>
      </c>
      <c r="G2232" s="13" t="n">
        <v>50</v>
      </c>
      <c r="H2232" s="9" t="s">
        <v>41</v>
      </c>
      <c r="I2232" s="13" t="n">
        <v>3</v>
      </c>
      <c r="J2232" s="1" t="str">
        <f aca="false">IF(A2232="","", "SAMP-"&amp;A2232&amp;"-L"&amp;TEXT(B2232,"00")&amp;"-"&amp;TEXT(C2232,"yyyymmdd")&amp;"-"&amp;D2232&amp;"-H"&amp;TEXT(E2232,"00")&amp;"-"&amp;H2232)</f>
        <v>SAMP-KG01-L25-20251117-ORD-2025-00288-H16-Chip</v>
      </c>
      <c r="K2232" s="1" t="str">
        <f aca="false">IF(A2232="","",IF(AND(G2232&gt;=0,I2232&gt;=0,I2232&lt;=G2232),"OK","CHECK"))</f>
        <v>OK</v>
      </c>
      <c r="L2232" s="1" t="str">
        <f aca="false">IF(A2232="","",IF(AND(E2232&gt;=0,E2232&lt;=23),"OK","CHECK"))</f>
        <v>OK</v>
      </c>
      <c r="M2232" s="1" t="str">
        <f aca="false">IF(A2232="","",IF(AND(K2232="OK",L2232="OK"),"OK","CHECK"))</f>
        <v>OK</v>
      </c>
    </row>
    <row r="2233" customFormat="false" ht="18" hidden="false" customHeight="true" outlineLevel="0" collapsed="false">
      <c r="A2233" s="9" t="s">
        <v>26</v>
      </c>
      <c r="B2233" s="9" t="n">
        <v>25</v>
      </c>
      <c r="C2233" s="11" t="n">
        <v>45978</v>
      </c>
      <c r="D2233" s="9" t="s">
        <v>177</v>
      </c>
      <c r="E2233" s="12" t="n">
        <v>20</v>
      </c>
      <c r="F2233" s="9" t="s">
        <v>31</v>
      </c>
      <c r="G2233" s="13" t="n">
        <v>200</v>
      </c>
      <c r="H2233" s="9" t="s">
        <v>30</v>
      </c>
      <c r="I2233" s="13" t="n">
        <v>5</v>
      </c>
      <c r="J2233" s="1" t="str">
        <f aca="false">IF(A2233="","", "SAMP-"&amp;A2233&amp;"-L"&amp;TEXT(B2233,"00")&amp;"-"&amp;TEXT(C2233,"yyyymmdd")&amp;"-"&amp;D2233&amp;"-H"&amp;TEXT(E2233,"00")&amp;"-"&amp;H2233)</f>
        <v>SAMP-KG01-L25-20251117-ORD-2025-00288-H20-Overpress</v>
      </c>
      <c r="K2233" s="1" t="str">
        <f aca="false">IF(A2233="","",IF(AND(G2233&gt;=0,I2233&gt;=0,I2233&lt;=G2233),"OK","CHECK"))</f>
        <v>OK</v>
      </c>
      <c r="L2233" s="1" t="str">
        <f aca="false">IF(A2233="","",IF(AND(E2233&gt;=0,E2233&lt;=23),"OK","CHECK"))</f>
        <v>OK</v>
      </c>
      <c r="M2233" s="1" t="str">
        <f aca="false">IF(A2233="","",IF(AND(K2233="OK",L2233="OK"),"OK","CHECK"))</f>
        <v>OK</v>
      </c>
    </row>
    <row r="2234" customFormat="false" ht="18" hidden="false" customHeight="true" outlineLevel="0" collapsed="false">
      <c r="A2234" s="9" t="s">
        <v>26</v>
      </c>
      <c r="B2234" s="9" t="n">
        <v>25</v>
      </c>
      <c r="C2234" s="11" t="n">
        <v>45978</v>
      </c>
      <c r="D2234" s="9" t="s">
        <v>177</v>
      </c>
      <c r="E2234" s="12" t="n">
        <v>23</v>
      </c>
      <c r="F2234" s="9" t="s">
        <v>31</v>
      </c>
      <c r="G2234" s="13" t="n">
        <v>50</v>
      </c>
      <c r="H2234" s="9" t="s">
        <v>38</v>
      </c>
      <c r="I2234" s="13" t="n">
        <v>2</v>
      </c>
      <c r="J2234" s="1" t="str">
        <f aca="false">IF(A2234="","", "SAMP-"&amp;A2234&amp;"-L"&amp;TEXT(B2234,"00")&amp;"-"&amp;TEXT(C2234,"yyyymmdd")&amp;"-"&amp;D2234&amp;"-H"&amp;TEXT(E2234,"00")&amp;"-"&amp;H2234)</f>
        <v>SAMP-KG01-L25-20251117-ORD-2025-00288-H23-Crack</v>
      </c>
      <c r="K2234" s="1" t="str">
        <f aca="false">IF(A2234="","",IF(AND(G2234&gt;=0,I2234&gt;=0,I2234&lt;=G2234),"OK","CHECK"))</f>
        <v>OK</v>
      </c>
      <c r="L2234" s="1" t="str">
        <f aca="false">IF(A2234="","",IF(AND(E2234&gt;=0,E2234&lt;=23),"OK","CHECK"))</f>
        <v>OK</v>
      </c>
      <c r="M2234" s="1" t="str">
        <f aca="false">IF(A2234="","",IF(AND(K2234="OK",L2234="OK"),"OK","CHECK"))</f>
        <v>OK</v>
      </c>
    </row>
    <row r="2235" customFormat="false" ht="18" hidden="false" customHeight="true" outlineLevel="0" collapsed="false">
      <c r="A2235" s="9" t="s">
        <v>26</v>
      </c>
      <c r="B2235" s="9" t="n">
        <v>25</v>
      </c>
      <c r="C2235" s="11" t="n">
        <v>45979</v>
      </c>
      <c r="D2235" s="9" t="s">
        <v>177</v>
      </c>
      <c r="E2235" s="12" t="n">
        <v>7</v>
      </c>
      <c r="F2235" s="9" t="s">
        <v>28</v>
      </c>
      <c r="G2235" s="13" t="n">
        <v>50</v>
      </c>
      <c r="H2235" s="9" t="s">
        <v>30</v>
      </c>
      <c r="I2235" s="13" t="n">
        <v>1</v>
      </c>
      <c r="J2235" s="1" t="str">
        <f aca="false">IF(A2235="","", "SAMP-"&amp;A2235&amp;"-L"&amp;TEXT(B2235,"00")&amp;"-"&amp;TEXT(C2235,"yyyymmdd")&amp;"-"&amp;D2235&amp;"-H"&amp;TEXT(E2235,"00")&amp;"-"&amp;H2235)</f>
        <v>SAMP-KG01-L25-20251118-ORD-2025-00288-H07-Overpress</v>
      </c>
      <c r="K2235" s="1" t="str">
        <f aca="false">IF(A2235="","",IF(AND(G2235&gt;=0,I2235&gt;=0,I2235&lt;=G2235),"OK","CHECK"))</f>
        <v>OK</v>
      </c>
      <c r="L2235" s="1" t="str">
        <f aca="false">IF(A2235="","",IF(AND(E2235&gt;=0,E2235&lt;=23),"OK","CHECK"))</f>
        <v>OK</v>
      </c>
      <c r="M2235" s="1" t="str">
        <f aca="false">IF(A2235="","",IF(AND(K2235="OK",L2235="OK"),"OK","CHECK"))</f>
        <v>OK</v>
      </c>
    </row>
    <row r="2236" customFormat="false" ht="18" hidden="false" customHeight="true" outlineLevel="0" collapsed="false">
      <c r="A2236" s="9" t="s">
        <v>26</v>
      </c>
      <c r="B2236" s="9" t="n">
        <v>25</v>
      </c>
      <c r="C2236" s="11" t="n">
        <v>45979</v>
      </c>
      <c r="D2236" s="9" t="s">
        <v>177</v>
      </c>
      <c r="E2236" s="12" t="n">
        <v>9</v>
      </c>
      <c r="F2236" s="9" t="s">
        <v>28</v>
      </c>
      <c r="G2236" s="13" t="n">
        <v>100</v>
      </c>
      <c r="H2236" s="9" t="s">
        <v>30</v>
      </c>
      <c r="I2236" s="13" t="n">
        <v>4</v>
      </c>
      <c r="J2236" s="1" t="str">
        <f aca="false">IF(A2236="","", "SAMP-"&amp;A2236&amp;"-L"&amp;TEXT(B2236,"00")&amp;"-"&amp;TEXT(C2236,"yyyymmdd")&amp;"-"&amp;D2236&amp;"-H"&amp;TEXT(E2236,"00")&amp;"-"&amp;H2236)</f>
        <v>SAMP-KG01-L25-20251118-ORD-2025-00288-H09-Overpress</v>
      </c>
      <c r="K2236" s="1" t="str">
        <f aca="false">IF(A2236="","",IF(AND(G2236&gt;=0,I2236&gt;=0,I2236&lt;=G2236),"OK","CHECK"))</f>
        <v>OK</v>
      </c>
      <c r="L2236" s="1" t="str">
        <f aca="false">IF(A2236="","",IF(AND(E2236&gt;=0,E2236&lt;=23),"OK","CHECK"))</f>
        <v>OK</v>
      </c>
      <c r="M2236" s="1" t="str">
        <f aca="false">IF(A2236="","",IF(AND(K2236="OK",L2236="OK"),"OK","CHECK"))</f>
        <v>OK</v>
      </c>
    </row>
    <row r="2237" customFormat="false" ht="18" hidden="false" customHeight="true" outlineLevel="0" collapsed="false">
      <c r="A2237" s="9" t="s">
        <v>26</v>
      </c>
      <c r="B2237" s="9" t="n">
        <v>25</v>
      </c>
      <c r="C2237" s="11" t="n">
        <v>45979</v>
      </c>
      <c r="D2237" s="9" t="s">
        <v>177</v>
      </c>
      <c r="E2237" s="12" t="n">
        <v>12</v>
      </c>
      <c r="F2237" s="9" t="s">
        <v>28</v>
      </c>
      <c r="G2237" s="13" t="n">
        <v>100</v>
      </c>
      <c r="H2237" s="9" t="s">
        <v>41</v>
      </c>
      <c r="I2237" s="13" t="n">
        <v>0</v>
      </c>
      <c r="J2237" s="1" t="str">
        <f aca="false">IF(A2237="","", "SAMP-"&amp;A2237&amp;"-L"&amp;TEXT(B2237,"00")&amp;"-"&amp;TEXT(C2237,"yyyymmdd")&amp;"-"&amp;D2237&amp;"-H"&amp;TEXT(E2237,"00")&amp;"-"&amp;H2237)</f>
        <v>SAMP-KG01-L25-20251118-ORD-2025-00288-H12-Chip</v>
      </c>
      <c r="K2237" s="1" t="str">
        <f aca="false">IF(A2237="","",IF(AND(G2237&gt;=0,I2237&gt;=0,I2237&lt;=G2237),"OK","CHECK"))</f>
        <v>OK</v>
      </c>
      <c r="L2237" s="1" t="str">
        <f aca="false">IF(A2237="","",IF(AND(E2237&gt;=0,E2237&lt;=23),"OK","CHECK"))</f>
        <v>OK</v>
      </c>
      <c r="M2237" s="1" t="str">
        <f aca="false">IF(A2237="","",IF(AND(K2237="OK",L2237="OK"),"OK","CHECK"))</f>
        <v>OK</v>
      </c>
    </row>
    <row r="2238" customFormat="false" ht="18" hidden="false" customHeight="true" outlineLevel="0" collapsed="false">
      <c r="A2238" s="9" t="s">
        <v>26</v>
      </c>
      <c r="B2238" s="9" t="n">
        <v>25</v>
      </c>
      <c r="C2238" s="11" t="n">
        <v>45979</v>
      </c>
      <c r="D2238" s="9" t="s">
        <v>177</v>
      </c>
      <c r="E2238" s="12" t="n">
        <v>20</v>
      </c>
      <c r="F2238" s="9" t="s">
        <v>31</v>
      </c>
      <c r="G2238" s="13" t="n">
        <v>200</v>
      </c>
      <c r="H2238" s="9" t="s">
        <v>30</v>
      </c>
      <c r="I2238" s="13" t="n">
        <v>5</v>
      </c>
      <c r="J2238" s="1" t="str">
        <f aca="false">IF(A2238="","", "SAMP-"&amp;A2238&amp;"-L"&amp;TEXT(B2238,"00")&amp;"-"&amp;TEXT(C2238,"yyyymmdd")&amp;"-"&amp;D2238&amp;"-H"&amp;TEXT(E2238,"00")&amp;"-"&amp;H2238)</f>
        <v>SAMP-KG01-L25-20251118-ORD-2025-00288-H20-Overpress</v>
      </c>
      <c r="K2238" s="1" t="str">
        <f aca="false">IF(A2238="","",IF(AND(G2238&gt;=0,I2238&gt;=0,I2238&lt;=G2238),"OK","CHECK"))</f>
        <v>OK</v>
      </c>
      <c r="L2238" s="1" t="str">
        <f aca="false">IF(A2238="","",IF(AND(E2238&gt;=0,E2238&lt;=23),"OK","CHECK"))</f>
        <v>OK</v>
      </c>
      <c r="M2238" s="1" t="str">
        <f aca="false">IF(A2238="","",IF(AND(K2238="OK",L2238="OK"),"OK","CHECK"))</f>
        <v>OK</v>
      </c>
    </row>
    <row r="2239" customFormat="false" ht="18" hidden="false" customHeight="true" outlineLevel="0" collapsed="false">
      <c r="A2239" s="9" t="s">
        <v>26</v>
      </c>
      <c r="B2239" s="9" t="n">
        <v>25</v>
      </c>
      <c r="C2239" s="11" t="n">
        <v>45979</v>
      </c>
      <c r="D2239" s="9" t="s">
        <v>177</v>
      </c>
      <c r="E2239" s="12" t="n">
        <v>23</v>
      </c>
      <c r="F2239" s="9" t="s">
        <v>31</v>
      </c>
      <c r="G2239" s="13" t="n">
        <v>100</v>
      </c>
      <c r="H2239" s="9" t="s">
        <v>35</v>
      </c>
      <c r="I2239" s="13" t="n">
        <v>2</v>
      </c>
      <c r="J2239" s="1" t="str">
        <f aca="false">IF(A2239="","", "SAMP-"&amp;A2239&amp;"-L"&amp;TEXT(B2239,"00")&amp;"-"&amp;TEXT(C2239,"yyyymmdd")&amp;"-"&amp;D2239&amp;"-H"&amp;TEXT(E2239,"00")&amp;"-"&amp;H2239)</f>
        <v>SAMP-KG01-L25-20251118-ORD-2025-00288-H23-Stone</v>
      </c>
      <c r="K2239" s="1" t="str">
        <f aca="false">IF(A2239="","",IF(AND(G2239&gt;=0,I2239&gt;=0,I2239&lt;=G2239),"OK","CHECK"))</f>
        <v>OK</v>
      </c>
      <c r="L2239" s="1" t="str">
        <f aca="false">IF(A2239="","",IF(AND(E2239&gt;=0,E2239&lt;=23),"OK","CHECK"))</f>
        <v>OK</v>
      </c>
      <c r="M2239" s="1" t="str">
        <f aca="false">IF(A2239="","",IF(AND(K2239="OK",L2239="OK"),"OK","CHECK"))</f>
        <v>OK</v>
      </c>
    </row>
    <row r="2240" customFormat="false" ht="18" hidden="false" customHeight="true" outlineLevel="0" collapsed="false">
      <c r="A2240" s="9" t="s">
        <v>26</v>
      </c>
      <c r="B2240" s="9" t="n">
        <v>25</v>
      </c>
      <c r="C2240" s="11" t="n">
        <v>45979</v>
      </c>
      <c r="D2240" s="9" t="s">
        <v>177</v>
      </c>
      <c r="E2240" s="12" t="n">
        <v>16</v>
      </c>
      <c r="F2240" s="9" t="s">
        <v>31</v>
      </c>
      <c r="G2240" s="13" t="n">
        <v>200</v>
      </c>
      <c r="H2240" s="9" t="s">
        <v>41</v>
      </c>
      <c r="I2240" s="13" t="n">
        <v>4</v>
      </c>
      <c r="J2240" s="1" t="str">
        <f aca="false">IF(A2240="","", "SAMP-"&amp;A2240&amp;"-L"&amp;TEXT(B2240,"00")&amp;"-"&amp;TEXT(C2240,"yyyymmdd")&amp;"-"&amp;D2240&amp;"-H"&amp;TEXT(E2240,"00")&amp;"-"&amp;H2240)</f>
        <v>SAMP-KG01-L25-20251118-ORD-2025-00288-H16-Chip</v>
      </c>
      <c r="K2240" s="1" t="str">
        <f aca="false">IF(A2240="","",IF(AND(G2240&gt;=0,I2240&gt;=0,I2240&lt;=G2240),"OK","CHECK"))</f>
        <v>OK</v>
      </c>
      <c r="L2240" s="1" t="str">
        <f aca="false">IF(A2240="","",IF(AND(E2240&gt;=0,E2240&lt;=23),"OK","CHECK"))</f>
        <v>OK</v>
      </c>
      <c r="M2240" s="1" t="str">
        <f aca="false">IF(A2240="","",IF(AND(K2240="OK",L2240="OK"),"OK","CHECK"))</f>
        <v>OK</v>
      </c>
    </row>
    <row r="2241" customFormat="false" ht="18" hidden="false" customHeight="true" outlineLevel="0" collapsed="false">
      <c r="A2241" s="9" t="s">
        <v>26</v>
      </c>
      <c r="B2241" s="9" t="n">
        <v>25</v>
      </c>
      <c r="C2241" s="11" t="n">
        <v>45980</v>
      </c>
      <c r="D2241" s="9" t="s">
        <v>177</v>
      </c>
      <c r="E2241" s="12" t="n">
        <v>7</v>
      </c>
      <c r="F2241" s="9" t="s">
        <v>28</v>
      </c>
      <c r="G2241" s="13" t="n">
        <v>100</v>
      </c>
      <c r="H2241" s="9" t="s">
        <v>36</v>
      </c>
      <c r="I2241" s="13" t="n">
        <v>2</v>
      </c>
      <c r="J2241" s="1" t="str">
        <f aca="false">IF(A2241="","", "SAMP-"&amp;A2241&amp;"-L"&amp;TEXT(B2241,"00")&amp;"-"&amp;TEXT(C2241,"yyyymmdd")&amp;"-"&amp;D2241&amp;"-H"&amp;TEXT(E2241,"00")&amp;"-"&amp;H2241)</f>
        <v>SAMP-KG01-L25-20251119-ORD-2025-00288-H07-Blister</v>
      </c>
      <c r="K2241" s="1" t="str">
        <f aca="false">IF(A2241="","",IF(AND(G2241&gt;=0,I2241&gt;=0,I2241&lt;=G2241),"OK","CHECK"))</f>
        <v>OK</v>
      </c>
      <c r="L2241" s="1" t="str">
        <f aca="false">IF(A2241="","",IF(AND(E2241&gt;=0,E2241&lt;=23),"OK","CHECK"))</f>
        <v>OK</v>
      </c>
      <c r="M2241" s="1" t="str">
        <f aca="false">IF(A2241="","",IF(AND(K2241="OK",L2241="OK"),"OK","CHECK"))</f>
        <v>OK</v>
      </c>
    </row>
    <row r="2242" customFormat="false" ht="18" hidden="false" customHeight="true" outlineLevel="0" collapsed="false">
      <c r="A2242" s="9" t="s">
        <v>26</v>
      </c>
      <c r="B2242" s="9" t="n">
        <v>25</v>
      </c>
      <c r="C2242" s="11" t="n">
        <v>45980</v>
      </c>
      <c r="D2242" s="9" t="s">
        <v>177</v>
      </c>
      <c r="E2242" s="12" t="n">
        <v>9</v>
      </c>
      <c r="F2242" s="9" t="s">
        <v>28</v>
      </c>
      <c r="G2242" s="13" t="n">
        <v>200</v>
      </c>
      <c r="H2242" s="9" t="s">
        <v>38</v>
      </c>
      <c r="I2242" s="13" t="n">
        <v>3</v>
      </c>
      <c r="J2242" s="1" t="str">
        <f aca="false">IF(A2242="","", "SAMP-"&amp;A2242&amp;"-L"&amp;TEXT(B2242,"00")&amp;"-"&amp;TEXT(C2242,"yyyymmdd")&amp;"-"&amp;D2242&amp;"-H"&amp;TEXT(E2242,"00")&amp;"-"&amp;H2242)</f>
        <v>SAMP-KG01-L25-20251119-ORD-2025-00288-H09-Crack</v>
      </c>
      <c r="K2242" s="1" t="str">
        <f aca="false">IF(A2242="","",IF(AND(G2242&gt;=0,I2242&gt;=0,I2242&lt;=G2242),"OK","CHECK"))</f>
        <v>OK</v>
      </c>
      <c r="L2242" s="1" t="str">
        <f aca="false">IF(A2242="","",IF(AND(E2242&gt;=0,E2242&lt;=23),"OK","CHECK"))</f>
        <v>OK</v>
      </c>
      <c r="M2242" s="1" t="str">
        <f aca="false">IF(A2242="","",IF(AND(K2242="OK",L2242="OK"),"OK","CHECK"))</f>
        <v>OK</v>
      </c>
    </row>
    <row r="2243" customFormat="false" ht="18" hidden="false" customHeight="true" outlineLevel="0" collapsed="false">
      <c r="A2243" s="9" t="s">
        <v>26</v>
      </c>
      <c r="B2243" s="9" t="n">
        <v>25</v>
      </c>
      <c r="C2243" s="11" t="n">
        <v>45980</v>
      </c>
      <c r="D2243" s="9" t="s">
        <v>177</v>
      </c>
      <c r="E2243" s="12" t="n">
        <v>12</v>
      </c>
      <c r="F2243" s="9" t="s">
        <v>28</v>
      </c>
      <c r="G2243" s="13" t="n">
        <v>50</v>
      </c>
      <c r="H2243" s="9" t="s">
        <v>38</v>
      </c>
      <c r="I2243" s="13" t="n">
        <v>1</v>
      </c>
      <c r="J2243" s="1" t="str">
        <f aca="false">IF(A2243="","", "SAMP-"&amp;A2243&amp;"-L"&amp;TEXT(B2243,"00")&amp;"-"&amp;TEXT(C2243,"yyyymmdd")&amp;"-"&amp;D2243&amp;"-H"&amp;TEXT(E2243,"00")&amp;"-"&amp;H2243)</f>
        <v>SAMP-KG01-L25-20251119-ORD-2025-00288-H12-Crack</v>
      </c>
      <c r="K2243" s="1" t="str">
        <f aca="false">IF(A2243="","",IF(AND(G2243&gt;=0,I2243&gt;=0,I2243&lt;=G2243),"OK","CHECK"))</f>
        <v>OK</v>
      </c>
      <c r="L2243" s="1" t="str">
        <f aca="false">IF(A2243="","",IF(AND(E2243&gt;=0,E2243&lt;=23),"OK","CHECK"))</f>
        <v>OK</v>
      </c>
      <c r="M2243" s="1" t="str">
        <f aca="false">IF(A2243="","",IF(AND(K2243="OK",L2243="OK"),"OK","CHECK"))</f>
        <v>OK</v>
      </c>
    </row>
    <row r="2244" customFormat="false" ht="18" hidden="false" customHeight="true" outlineLevel="0" collapsed="false">
      <c r="A2244" s="9" t="s">
        <v>26</v>
      </c>
      <c r="B2244" s="9" t="n">
        <v>25</v>
      </c>
      <c r="C2244" s="11" t="n">
        <v>45980</v>
      </c>
      <c r="D2244" s="9" t="s">
        <v>177</v>
      </c>
      <c r="E2244" s="12" t="n">
        <v>20</v>
      </c>
      <c r="F2244" s="9" t="s">
        <v>31</v>
      </c>
      <c r="G2244" s="13" t="n">
        <v>100</v>
      </c>
      <c r="H2244" s="9" t="s">
        <v>35</v>
      </c>
      <c r="I2244" s="13" t="n">
        <v>3</v>
      </c>
      <c r="J2244" s="1" t="str">
        <f aca="false">IF(A2244="","", "SAMP-"&amp;A2244&amp;"-L"&amp;TEXT(B2244,"00")&amp;"-"&amp;TEXT(C2244,"yyyymmdd")&amp;"-"&amp;D2244&amp;"-H"&amp;TEXT(E2244,"00")&amp;"-"&amp;H2244)</f>
        <v>SAMP-KG01-L25-20251119-ORD-2025-00288-H20-Stone</v>
      </c>
      <c r="K2244" s="1" t="str">
        <f aca="false">IF(A2244="","",IF(AND(G2244&gt;=0,I2244&gt;=0,I2244&lt;=G2244),"OK","CHECK"))</f>
        <v>OK</v>
      </c>
      <c r="L2244" s="1" t="str">
        <f aca="false">IF(A2244="","",IF(AND(E2244&gt;=0,E2244&lt;=23),"OK","CHECK"))</f>
        <v>OK</v>
      </c>
      <c r="M2244" s="1" t="str">
        <f aca="false">IF(A2244="","",IF(AND(K2244="OK",L2244="OK"),"OK","CHECK"))</f>
        <v>OK</v>
      </c>
    </row>
    <row r="2245" customFormat="false" ht="18" hidden="false" customHeight="true" outlineLevel="0" collapsed="false">
      <c r="A2245" s="9" t="s">
        <v>26</v>
      </c>
      <c r="B2245" s="9" t="n">
        <v>25</v>
      </c>
      <c r="C2245" s="11" t="n">
        <v>45980</v>
      </c>
      <c r="D2245" s="9" t="s">
        <v>177</v>
      </c>
      <c r="E2245" s="12" t="n">
        <v>23</v>
      </c>
      <c r="F2245" s="9" t="s">
        <v>31</v>
      </c>
      <c r="G2245" s="13" t="n">
        <v>50</v>
      </c>
      <c r="H2245" s="9" t="s">
        <v>36</v>
      </c>
      <c r="I2245" s="13" t="n">
        <v>0</v>
      </c>
      <c r="J2245" s="1" t="str">
        <f aca="false">IF(A2245="","", "SAMP-"&amp;A2245&amp;"-L"&amp;TEXT(B2245,"00")&amp;"-"&amp;TEXT(C2245,"yyyymmdd")&amp;"-"&amp;D2245&amp;"-H"&amp;TEXT(E2245,"00")&amp;"-"&amp;H2245)</f>
        <v>SAMP-KG01-L25-20251119-ORD-2025-00288-H23-Blister</v>
      </c>
      <c r="K2245" s="1" t="str">
        <f aca="false">IF(A2245="","",IF(AND(G2245&gt;=0,I2245&gt;=0,I2245&lt;=G2245),"OK","CHECK"))</f>
        <v>OK</v>
      </c>
      <c r="L2245" s="1" t="str">
        <f aca="false">IF(A2245="","",IF(AND(E2245&gt;=0,E2245&lt;=23),"OK","CHECK"))</f>
        <v>OK</v>
      </c>
      <c r="M2245" s="1" t="str">
        <f aca="false">IF(A2245="","",IF(AND(K2245="OK",L2245="OK"),"OK","CHECK"))</f>
        <v>OK</v>
      </c>
    </row>
    <row r="2246" customFormat="false" ht="18" hidden="false" customHeight="true" outlineLevel="0" collapsed="false">
      <c r="A2246" s="9" t="s">
        <v>26</v>
      </c>
      <c r="B2246" s="9" t="n">
        <v>25</v>
      </c>
      <c r="C2246" s="11" t="n">
        <v>45980</v>
      </c>
      <c r="D2246" s="9" t="s">
        <v>177</v>
      </c>
      <c r="E2246" s="12" t="n">
        <v>16</v>
      </c>
      <c r="F2246" s="9" t="s">
        <v>31</v>
      </c>
      <c r="G2246" s="13" t="n">
        <v>150</v>
      </c>
      <c r="H2246" s="9" t="s">
        <v>41</v>
      </c>
      <c r="I2246" s="13" t="n">
        <v>3</v>
      </c>
      <c r="J2246" s="1" t="str">
        <f aca="false">IF(A2246="","", "SAMP-"&amp;A2246&amp;"-L"&amp;TEXT(B2246,"00")&amp;"-"&amp;TEXT(C2246,"yyyymmdd")&amp;"-"&amp;D2246&amp;"-H"&amp;TEXT(E2246,"00")&amp;"-"&amp;H2246)</f>
        <v>SAMP-KG01-L25-20251119-ORD-2025-00288-H16-Chip</v>
      </c>
      <c r="K2246" s="1" t="str">
        <f aca="false">IF(A2246="","",IF(AND(G2246&gt;=0,I2246&gt;=0,I2246&lt;=G2246),"OK","CHECK"))</f>
        <v>OK</v>
      </c>
      <c r="L2246" s="1" t="str">
        <f aca="false">IF(A2246="","",IF(AND(E2246&gt;=0,E2246&lt;=23),"OK","CHECK"))</f>
        <v>OK</v>
      </c>
      <c r="M2246" s="1" t="str">
        <f aca="false">IF(A2246="","",IF(AND(K2246="OK",L2246="OK"),"OK","CHECK"))</f>
        <v>OK</v>
      </c>
    </row>
    <row r="2247" customFormat="false" ht="18" hidden="false" customHeight="true" outlineLevel="0" collapsed="false">
      <c r="A2247" s="9" t="s">
        <v>26</v>
      </c>
      <c r="B2247" s="9" t="n">
        <v>25</v>
      </c>
      <c r="C2247" s="11" t="n">
        <v>45981</v>
      </c>
      <c r="D2247" s="9" t="s">
        <v>177</v>
      </c>
      <c r="E2247" s="12" t="n">
        <v>9</v>
      </c>
      <c r="F2247" s="9" t="s">
        <v>28</v>
      </c>
      <c r="G2247" s="13" t="n">
        <v>100</v>
      </c>
      <c r="H2247" s="9" t="s">
        <v>29</v>
      </c>
      <c r="I2247" s="13" t="n">
        <v>3</v>
      </c>
      <c r="J2247" s="1" t="str">
        <f aca="false">IF(A2247="","", "SAMP-"&amp;A2247&amp;"-L"&amp;TEXT(B2247,"00")&amp;"-"&amp;TEXT(C2247,"yyyymmdd")&amp;"-"&amp;D2247&amp;"-H"&amp;TEXT(E2247,"00")&amp;"-"&amp;H2247)</f>
        <v>SAMP-KG01-L25-20251120-ORD-2025-00288-H09-Choke Neck</v>
      </c>
      <c r="K2247" s="1" t="str">
        <f aca="false">IF(A2247="","",IF(AND(G2247&gt;=0,I2247&gt;=0,I2247&lt;=G2247),"OK","CHECK"))</f>
        <v>OK</v>
      </c>
      <c r="L2247" s="1" t="str">
        <f aca="false">IF(A2247="","",IF(AND(E2247&gt;=0,E2247&lt;=23),"OK","CHECK"))</f>
        <v>OK</v>
      </c>
      <c r="M2247" s="1" t="str">
        <f aca="false">IF(A2247="","",IF(AND(K2247="OK",L2247="OK"),"OK","CHECK"))</f>
        <v>OK</v>
      </c>
    </row>
    <row r="2248" customFormat="false" ht="18" hidden="false" customHeight="true" outlineLevel="0" collapsed="false">
      <c r="A2248" s="9" t="s">
        <v>26</v>
      </c>
      <c r="B2248" s="9" t="n">
        <v>25</v>
      </c>
      <c r="C2248" s="11" t="n">
        <v>45981</v>
      </c>
      <c r="D2248" s="9" t="s">
        <v>177</v>
      </c>
      <c r="E2248" s="12" t="n">
        <v>7</v>
      </c>
      <c r="F2248" s="9" t="s">
        <v>28</v>
      </c>
      <c r="G2248" s="13" t="n">
        <v>200</v>
      </c>
      <c r="H2248" s="9" t="s">
        <v>38</v>
      </c>
      <c r="I2248" s="13" t="n">
        <v>4</v>
      </c>
      <c r="J2248" s="1" t="str">
        <f aca="false">IF(A2248="","", "SAMP-"&amp;A2248&amp;"-L"&amp;TEXT(B2248,"00")&amp;"-"&amp;TEXT(C2248,"yyyymmdd")&amp;"-"&amp;D2248&amp;"-H"&amp;TEXT(E2248,"00")&amp;"-"&amp;H2248)</f>
        <v>SAMP-KG01-L25-20251120-ORD-2025-00288-H07-Crack</v>
      </c>
      <c r="K2248" s="1" t="str">
        <f aca="false">IF(A2248="","",IF(AND(G2248&gt;=0,I2248&gt;=0,I2248&lt;=G2248),"OK","CHECK"))</f>
        <v>OK</v>
      </c>
      <c r="L2248" s="1" t="str">
        <f aca="false">IF(A2248="","",IF(AND(E2248&gt;=0,E2248&lt;=23),"OK","CHECK"))</f>
        <v>OK</v>
      </c>
      <c r="M2248" s="1" t="str">
        <f aca="false">IF(A2248="","",IF(AND(K2248="OK",L2248="OK"),"OK","CHECK"))</f>
        <v>OK</v>
      </c>
    </row>
    <row r="2249" customFormat="false" ht="18" hidden="false" customHeight="true" outlineLevel="0" collapsed="false">
      <c r="A2249" s="9" t="s">
        <v>26</v>
      </c>
      <c r="B2249" s="9" t="n">
        <v>25</v>
      </c>
      <c r="C2249" s="11" t="n">
        <v>45981</v>
      </c>
      <c r="D2249" s="9" t="s">
        <v>178</v>
      </c>
      <c r="E2249" s="12" t="n">
        <v>16</v>
      </c>
      <c r="F2249" s="9" t="s">
        <v>31</v>
      </c>
      <c r="G2249" s="13" t="n">
        <v>150</v>
      </c>
      <c r="H2249" s="9" t="s">
        <v>38</v>
      </c>
      <c r="I2249" s="13" t="n">
        <v>2</v>
      </c>
      <c r="J2249" s="1" t="str">
        <f aca="false">IF(A2249="","", "SAMP-"&amp;A2249&amp;"-L"&amp;TEXT(B2249,"00")&amp;"-"&amp;TEXT(C2249,"yyyymmdd")&amp;"-"&amp;D2249&amp;"-H"&amp;TEXT(E2249,"00")&amp;"-"&amp;H2249)</f>
        <v>SAMP-KG01-L25-20251120-ORD-2025-00289-H16-Crack</v>
      </c>
      <c r="K2249" s="1" t="str">
        <f aca="false">IF(A2249="","",IF(AND(G2249&gt;=0,I2249&gt;=0,I2249&lt;=G2249),"OK","CHECK"))</f>
        <v>OK</v>
      </c>
      <c r="L2249" s="1" t="str">
        <f aca="false">IF(A2249="","",IF(AND(E2249&gt;=0,E2249&lt;=23),"OK","CHECK"))</f>
        <v>OK</v>
      </c>
      <c r="M2249" s="1" t="str">
        <f aca="false">IF(A2249="","",IF(AND(K2249="OK",L2249="OK"),"OK","CHECK"))</f>
        <v>OK</v>
      </c>
    </row>
    <row r="2250" customFormat="false" ht="18" hidden="false" customHeight="true" outlineLevel="0" collapsed="false">
      <c r="A2250" s="9" t="s">
        <v>26</v>
      </c>
      <c r="B2250" s="9" t="n">
        <v>25</v>
      </c>
      <c r="C2250" s="11" t="n">
        <v>45981</v>
      </c>
      <c r="D2250" s="9" t="s">
        <v>178</v>
      </c>
      <c r="E2250" s="12" t="n">
        <v>23</v>
      </c>
      <c r="F2250" s="9" t="s">
        <v>31</v>
      </c>
      <c r="G2250" s="13" t="n">
        <v>200</v>
      </c>
      <c r="H2250" s="9" t="s">
        <v>37</v>
      </c>
      <c r="I2250" s="13" t="n">
        <v>8</v>
      </c>
      <c r="J2250" s="1" t="str">
        <f aca="false">IF(A2250="","", "SAMP-"&amp;A2250&amp;"-L"&amp;TEXT(B2250,"00")&amp;"-"&amp;TEXT(C2250,"yyyymmdd")&amp;"-"&amp;D2250&amp;"-H"&amp;TEXT(E2250,"00")&amp;"-"&amp;H2250)</f>
        <v>SAMP-KG01-L25-20251120-ORD-2025-00289-H23-Bird Swing</v>
      </c>
      <c r="K2250" s="1" t="str">
        <f aca="false">IF(A2250="","",IF(AND(G2250&gt;=0,I2250&gt;=0,I2250&lt;=G2250),"OK","CHECK"))</f>
        <v>OK</v>
      </c>
      <c r="L2250" s="1" t="str">
        <f aca="false">IF(A2250="","",IF(AND(E2250&gt;=0,E2250&lt;=23),"OK","CHECK"))</f>
        <v>OK</v>
      </c>
      <c r="M2250" s="1" t="str">
        <f aca="false">IF(A2250="","",IF(AND(K2250="OK",L2250="OK"),"OK","CHECK"))</f>
        <v>OK</v>
      </c>
    </row>
    <row r="2251" customFormat="false" ht="18" hidden="false" customHeight="true" outlineLevel="0" collapsed="false">
      <c r="A2251" s="9" t="s">
        <v>26</v>
      </c>
      <c r="B2251" s="9" t="n">
        <v>25</v>
      </c>
      <c r="C2251" s="11" t="n">
        <v>45982</v>
      </c>
      <c r="D2251" s="9" t="s">
        <v>178</v>
      </c>
      <c r="E2251" s="12" t="n">
        <v>9</v>
      </c>
      <c r="F2251" s="9" t="s">
        <v>28</v>
      </c>
      <c r="G2251" s="13" t="n">
        <v>50</v>
      </c>
      <c r="H2251" s="9" t="s">
        <v>38</v>
      </c>
      <c r="I2251" s="13" t="n">
        <v>0</v>
      </c>
      <c r="J2251" s="1" t="str">
        <f aca="false">IF(A2251="","", "SAMP-"&amp;A2251&amp;"-L"&amp;TEXT(B2251,"00")&amp;"-"&amp;TEXT(C2251,"yyyymmdd")&amp;"-"&amp;D2251&amp;"-H"&amp;TEXT(E2251,"00")&amp;"-"&amp;H2251)</f>
        <v>SAMP-KG01-L25-20251121-ORD-2025-00289-H09-Crack</v>
      </c>
      <c r="K2251" s="1" t="str">
        <f aca="false">IF(A2251="","",IF(AND(G2251&gt;=0,I2251&gt;=0,I2251&lt;=G2251),"OK","CHECK"))</f>
        <v>OK</v>
      </c>
      <c r="L2251" s="1" t="str">
        <f aca="false">IF(A2251="","",IF(AND(E2251&gt;=0,E2251&lt;=23),"OK","CHECK"))</f>
        <v>OK</v>
      </c>
      <c r="M2251" s="1" t="str">
        <f aca="false">IF(A2251="","",IF(AND(K2251="OK",L2251="OK"),"OK","CHECK"))</f>
        <v>OK</v>
      </c>
    </row>
    <row r="2252" customFormat="false" ht="18" hidden="false" customHeight="true" outlineLevel="0" collapsed="false">
      <c r="A2252" s="9" t="s">
        <v>26</v>
      </c>
      <c r="B2252" s="9" t="n">
        <v>25</v>
      </c>
      <c r="C2252" s="11" t="n">
        <v>45982</v>
      </c>
      <c r="D2252" s="9" t="s">
        <v>178</v>
      </c>
      <c r="E2252" s="12" t="n">
        <v>12</v>
      </c>
      <c r="F2252" s="9" t="s">
        <v>28</v>
      </c>
      <c r="G2252" s="13" t="n">
        <v>150</v>
      </c>
      <c r="H2252" s="9" t="s">
        <v>41</v>
      </c>
      <c r="I2252" s="13" t="n">
        <v>0</v>
      </c>
      <c r="J2252" s="1" t="str">
        <f aca="false">IF(A2252="","", "SAMP-"&amp;A2252&amp;"-L"&amp;TEXT(B2252,"00")&amp;"-"&amp;TEXT(C2252,"yyyymmdd")&amp;"-"&amp;D2252&amp;"-H"&amp;TEXT(E2252,"00")&amp;"-"&amp;H2252)</f>
        <v>SAMP-KG01-L25-20251121-ORD-2025-00289-H12-Chip</v>
      </c>
      <c r="K2252" s="1" t="str">
        <f aca="false">IF(A2252="","",IF(AND(G2252&gt;=0,I2252&gt;=0,I2252&lt;=G2252),"OK","CHECK"))</f>
        <v>OK</v>
      </c>
      <c r="L2252" s="1" t="str">
        <f aca="false">IF(A2252="","",IF(AND(E2252&gt;=0,E2252&lt;=23),"OK","CHECK"))</f>
        <v>OK</v>
      </c>
      <c r="M2252" s="1" t="str">
        <f aca="false">IF(A2252="","",IF(AND(K2252="OK",L2252="OK"),"OK","CHECK"))</f>
        <v>OK</v>
      </c>
    </row>
    <row r="2253" customFormat="false" ht="18" hidden="false" customHeight="true" outlineLevel="0" collapsed="false">
      <c r="A2253" s="9" t="s">
        <v>26</v>
      </c>
      <c r="B2253" s="9" t="n">
        <v>25</v>
      </c>
      <c r="C2253" s="11" t="n">
        <v>45982</v>
      </c>
      <c r="D2253" s="9" t="s">
        <v>178</v>
      </c>
      <c r="E2253" s="12" t="n">
        <v>7</v>
      </c>
      <c r="F2253" s="9" t="s">
        <v>28</v>
      </c>
      <c r="G2253" s="13" t="n">
        <v>150</v>
      </c>
      <c r="H2253" s="9" t="s">
        <v>30</v>
      </c>
      <c r="I2253" s="13" t="n">
        <v>0</v>
      </c>
      <c r="J2253" s="1" t="str">
        <f aca="false">IF(A2253="","", "SAMP-"&amp;A2253&amp;"-L"&amp;TEXT(B2253,"00")&amp;"-"&amp;TEXT(C2253,"yyyymmdd")&amp;"-"&amp;D2253&amp;"-H"&amp;TEXT(E2253,"00")&amp;"-"&amp;H2253)</f>
        <v>SAMP-KG01-L25-20251121-ORD-2025-00289-H07-Overpress</v>
      </c>
      <c r="K2253" s="1" t="str">
        <f aca="false">IF(A2253="","",IF(AND(G2253&gt;=0,I2253&gt;=0,I2253&lt;=G2253),"OK","CHECK"))</f>
        <v>OK</v>
      </c>
      <c r="L2253" s="1" t="str">
        <f aca="false">IF(A2253="","",IF(AND(E2253&gt;=0,E2253&lt;=23),"OK","CHECK"))</f>
        <v>OK</v>
      </c>
      <c r="M2253" s="1" t="str">
        <f aca="false">IF(A2253="","",IF(AND(K2253="OK",L2253="OK"),"OK","CHECK"))</f>
        <v>OK</v>
      </c>
    </row>
    <row r="2254" customFormat="false" ht="18" hidden="false" customHeight="true" outlineLevel="0" collapsed="false">
      <c r="A2254" s="9" t="s">
        <v>26</v>
      </c>
      <c r="B2254" s="9" t="n">
        <v>25</v>
      </c>
      <c r="C2254" s="11" t="n">
        <v>45982</v>
      </c>
      <c r="D2254" s="9" t="s">
        <v>178</v>
      </c>
      <c r="E2254" s="12" t="n">
        <v>23</v>
      </c>
      <c r="F2254" s="9" t="s">
        <v>31</v>
      </c>
      <c r="G2254" s="13" t="n">
        <v>50</v>
      </c>
      <c r="H2254" s="9" t="s">
        <v>41</v>
      </c>
      <c r="I2254" s="13" t="n">
        <v>2</v>
      </c>
      <c r="J2254" s="1" t="str">
        <f aca="false">IF(A2254="","", "SAMP-"&amp;A2254&amp;"-L"&amp;TEXT(B2254,"00")&amp;"-"&amp;TEXT(C2254,"yyyymmdd")&amp;"-"&amp;D2254&amp;"-H"&amp;TEXT(E2254,"00")&amp;"-"&amp;H2254)</f>
        <v>SAMP-KG01-L25-20251121-ORD-2025-00289-H23-Chip</v>
      </c>
      <c r="K2254" s="1" t="str">
        <f aca="false">IF(A2254="","",IF(AND(G2254&gt;=0,I2254&gt;=0,I2254&lt;=G2254),"OK","CHECK"))</f>
        <v>OK</v>
      </c>
      <c r="L2254" s="1" t="str">
        <f aca="false">IF(A2254="","",IF(AND(E2254&gt;=0,E2254&lt;=23),"OK","CHECK"))</f>
        <v>OK</v>
      </c>
      <c r="M2254" s="1" t="str">
        <f aca="false">IF(A2254="","",IF(AND(K2254="OK",L2254="OK"),"OK","CHECK"))</f>
        <v>OK</v>
      </c>
    </row>
    <row r="2255" customFormat="false" ht="18" hidden="false" customHeight="true" outlineLevel="0" collapsed="false">
      <c r="A2255" s="9" t="s">
        <v>26</v>
      </c>
      <c r="B2255" s="9" t="n">
        <v>25</v>
      </c>
      <c r="C2255" s="11" t="n">
        <v>45982</v>
      </c>
      <c r="D2255" s="9" t="s">
        <v>178</v>
      </c>
      <c r="E2255" s="12" t="n">
        <v>20</v>
      </c>
      <c r="F2255" s="9" t="s">
        <v>31</v>
      </c>
      <c r="G2255" s="13" t="n">
        <v>150</v>
      </c>
      <c r="H2255" s="9" t="s">
        <v>30</v>
      </c>
      <c r="I2255" s="13" t="n">
        <v>2</v>
      </c>
      <c r="J2255" s="1" t="str">
        <f aca="false">IF(A2255="","", "SAMP-"&amp;A2255&amp;"-L"&amp;TEXT(B2255,"00")&amp;"-"&amp;TEXT(C2255,"yyyymmdd")&amp;"-"&amp;D2255&amp;"-H"&amp;TEXT(E2255,"00")&amp;"-"&amp;H2255)</f>
        <v>SAMP-KG01-L25-20251121-ORD-2025-00289-H20-Overpress</v>
      </c>
      <c r="K2255" s="1" t="str">
        <f aca="false">IF(A2255="","",IF(AND(G2255&gt;=0,I2255&gt;=0,I2255&lt;=G2255),"OK","CHECK"))</f>
        <v>OK</v>
      </c>
      <c r="L2255" s="1" t="str">
        <f aca="false">IF(A2255="","",IF(AND(E2255&gt;=0,E2255&lt;=23),"OK","CHECK"))</f>
        <v>OK</v>
      </c>
      <c r="M2255" s="1" t="str">
        <f aca="false">IF(A2255="","",IF(AND(K2255="OK",L2255="OK"),"OK","CHECK"))</f>
        <v>OK</v>
      </c>
    </row>
    <row r="2256" customFormat="false" ht="18" hidden="false" customHeight="true" outlineLevel="0" collapsed="false">
      <c r="A2256" s="9" t="s">
        <v>26</v>
      </c>
      <c r="B2256" s="9" t="n">
        <v>25</v>
      </c>
      <c r="C2256" s="11" t="n">
        <v>45982</v>
      </c>
      <c r="D2256" s="9" t="s">
        <v>178</v>
      </c>
      <c r="E2256" s="12" t="n">
        <v>16</v>
      </c>
      <c r="F2256" s="9" t="s">
        <v>31</v>
      </c>
      <c r="G2256" s="13" t="n">
        <v>100</v>
      </c>
      <c r="H2256" s="9" t="s">
        <v>33</v>
      </c>
      <c r="I2256" s="13" t="n">
        <v>0</v>
      </c>
      <c r="J2256" s="1" t="str">
        <f aca="false">IF(A2256="","", "SAMP-"&amp;A2256&amp;"-L"&amp;TEXT(B2256,"00")&amp;"-"&amp;TEXT(C2256,"yyyymmdd")&amp;"-"&amp;D2256&amp;"-H"&amp;TEXT(E2256,"00")&amp;"-"&amp;H2256)</f>
        <v>SAMP-KG01-L25-20251121-ORD-2025-00289-H16-Distortion</v>
      </c>
      <c r="K2256" s="1" t="str">
        <f aca="false">IF(A2256="","",IF(AND(G2256&gt;=0,I2256&gt;=0,I2256&lt;=G2256),"OK","CHECK"))</f>
        <v>OK</v>
      </c>
      <c r="L2256" s="1" t="str">
        <f aca="false">IF(A2256="","",IF(AND(E2256&gt;=0,E2256&lt;=23),"OK","CHECK"))</f>
        <v>OK</v>
      </c>
      <c r="M2256" s="1" t="str">
        <f aca="false">IF(A2256="","",IF(AND(K2256="OK",L2256="OK"),"OK","CHECK"))</f>
        <v>OK</v>
      </c>
    </row>
    <row r="2257" customFormat="false" ht="18" hidden="false" customHeight="true" outlineLevel="0" collapsed="false">
      <c r="A2257" s="9" t="s">
        <v>26</v>
      </c>
      <c r="B2257" s="9" t="n">
        <v>25</v>
      </c>
      <c r="C2257" s="11" t="n">
        <v>45983</v>
      </c>
      <c r="D2257" s="9" t="s">
        <v>178</v>
      </c>
      <c r="E2257" s="12" t="n">
        <v>12</v>
      </c>
      <c r="F2257" s="9" t="s">
        <v>28</v>
      </c>
      <c r="G2257" s="13" t="n">
        <v>200</v>
      </c>
      <c r="H2257" s="9" t="s">
        <v>33</v>
      </c>
      <c r="I2257" s="13" t="n">
        <v>4</v>
      </c>
      <c r="J2257" s="1" t="str">
        <f aca="false">IF(A2257="","", "SAMP-"&amp;A2257&amp;"-L"&amp;TEXT(B2257,"00")&amp;"-"&amp;TEXT(C2257,"yyyymmdd")&amp;"-"&amp;D2257&amp;"-H"&amp;TEXT(E2257,"00")&amp;"-"&amp;H2257)</f>
        <v>SAMP-KG01-L25-20251122-ORD-2025-00289-H12-Distortion</v>
      </c>
      <c r="K2257" s="1" t="str">
        <f aca="false">IF(A2257="","",IF(AND(G2257&gt;=0,I2257&gt;=0,I2257&lt;=G2257),"OK","CHECK"))</f>
        <v>OK</v>
      </c>
      <c r="L2257" s="1" t="str">
        <f aca="false">IF(A2257="","",IF(AND(E2257&gt;=0,E2257&lt;=23),"OK","CHECK"))</f>
        <v>OK</v>
      </c>
      <c r="M2257" s="1" t="str">
        <f aca="false">IF(A2257="","",IF(AND(K2257="OK",L2257="OK"),"OK","CHECK"))</f>
        <v>OK</v>
      </c>
    </row>
    <row r="2258" customFormat="false" ht="18" hidden="false" customHeight="true" outlineLevel="0" collapsed="false">
      <c r="A2258" s="9" t="s">
        <v>26</v>
      </c>
      <c r="B2258" s="9" t="n">
        <v>25</v>
      </c>
      <c r="C2258" s="11" t="n">
        <v>45983</v>
      </c>
      <c r="D2258" s="9" t="s">
        <v>178</v>
      </c>
      <c r="E2258" s="12" t="n">
        <v>9</v>
      </c>
      <c r="F2258" s="9" t="s">
        <v>28</v>
      </c>
      <c r="G2258" s="13" t="n">
        <v>50</v>
      </c>
      <c r="H2258" s="9" t="s">
        <v>33</v>
      </c>
      <c r="I2258" s="13" t="n">
        <v>0</v>
      </c>
      <c r="J2258" s="1" t="str">
        <f aca="false">IF(A2258="","", "SAMP-"&amp;A2258&amp;"-L"&amp;TEXT(B2258,"00")&amp;"-"&amp;TEXT(C2258,"yyyymmdd")&amp;"-"&amp;D2258&amp;"-H"&amp;TEXT(E2258,"00")&amp;"-"&amp;H2258)</f>
        <v>SAMP-KG01-L25-20251122-ORD-2025-00289-H09-Distortion</v>
      </c>
      <c r="K2258" s="1" t="str">
        <f aca="false">IF(A2258="","",IF(AND(G2258&gt;=0,I2258&gt;=0,I2258&lt;=G2258),"OK","CHECK"))</f>
        <v>OK</v>
      </c>
      <c r="L2258" s="1" t="str">
        <f aca="false">IF(A2258="","",IF(AND(E2258&gt;=0,E2258&lt;=23),"OK","CHECK"))</f>
        <v>OK</v>
      </c>
      <c r="M2258" s="1" t="str">
        <f aca="false">IF(A2258="","",IF(AND(K2258="OK",L2258="OK"),"OK","CHECK"))</f>
        <v>OK</v>
      </c>
    </row>
    <row r="2259" customFormat="false" ht="18" hidden="false" customHeight="true" outlineLevel="0" collapsed="false">
      <c r="A2259" s="9" t="s">
        <v>26</v>
      </c>
      <c r="B2259" s="9" t="n">
        <v>25</v>
      </c>
      <c r="C2259" s="11" t="n">
        <v>45983</v>
      </c>
      <c r="D2259" s="9" t="s">
        <v>178</v>
      </c>
      <c r="E2259" s="12" t="n">
        <v>7</v>
      </c>
      <c r="F2259" s="9" t="s">
        <v>28</v>
      </c>
      <c r="G2259" s="13" t="n">
        <v>200</v>
      </c>
      <c r="H2259" s="9" t="s">
        <v>36</v>
      </c>
      <c r="I2259" s="13" t="n">
        <v>9</v>
      </c>
      <c r="J2259" s="1" t="str">
        <f aca="false">IF(A2259="","", "SAMP-"&amp;A2259&amp;"-L"&amp;TEXT(B2259,"00")&amp;"-"&amp;TEXT(C2259,"yyyymmdd")&amp;"-"&amp;D2259&amp;"-H"&amp;TEXT(E2259,"00")&amp;"-"&amp;H2259)</f>
        <v>SAMP-KG01-L25-20251122-ORD-2025-00289-H07-Blister</v>
      </c>
      <c r="K2259" s="1" t="str">
        <f aca="false">IF(A2259="","",IF(AND(G2259&gt;=0,I2259&gt;=0,I2259&lt;=G2259),"OK","CHECK"))</f>
        <v>OK</v>
      </c>
      <c r="L2259" s="1" t="str">
        <f aca="false">IF(A2259="","",IF(AND(E2259&gt;=0,E2259&lt;=23),"OK","CHECK"))</f>
        <v>OK</v>
      </c>
      <c r="M2259" s="1" t="str">
        <f aca="false">IF(A2259="","",IF(AND(K2259="OK",L2259="OK"),"OK","CHECK"))</f>
        <v>OK</v>
      </c>
    </row>
    <row r="2260" customFormat="false" ht="18" hidden="false" customHeight="true" outlineLevel="0" collapsed="false">
      <c r="A2260" s="9" t="s">
        <v>26</v>
      </c>
      <c r="B2260" s="9" t="n">
        <v>25</v>
      </c>
      <c r="C2260" s="11" t="n">
        <v>45983</v>
      </c>
      <c r="D2260" s="9" t="s">
        <v>178</v>
      </c>
      <c r="E2260" s="12" t="n">
        <v>23</v>
      </c>
      <c r="F2260" s="9" t="s">
        <v>31</v>
      </c>
      <c r="G2260" s="13" t="n">
        <v>50</v>
      </c>
      <c r="H2260" s="9" t="s">
        <v>33</v>
      </c>
      <c r="I2260" s="13" t="n">
        <v>1</v>
      </c>
      <c r="J2260" s="1" t="str">
        <f aca="false">IF(A2260="","", "SAMP-"&amp;A2260&amp;"-L"&amp;TEXT(B2260,"00")&amp;"-"&amp;TEXT(C2260,"yyyymmdd")&amp;"-"&amp;D2260&amp;"-H"&amp;TEXT(E2260,"00")&amp;"-"&amp;H2260)</f>
        <v>SAMP-KG01-L25-20251122-ORD-2025-00289-H23-Distortion</v>
      </c>
      <c r="K2260" s="1" t="str">
        <f aca="false">IF(A2260="","",IF(AND(G2260&gt;=0,I2260&gt;=0,I2260&lt;=G2260),"OK","CHECK"))</f>
        <v>OK</v>
      </c>
      <c r="L2260" s="1" t="str">
        <f aca="false">IF(A2260="","",IF(AND(E2260&gt;=0,E2260&lt;=23),"OK","CHECK"))</f>
        <v>OK</v>
      </c>
      <c r="M2260" s="1" t="str">
        <f aca="false">IF(A2260="","",IF(AND(K2260="OK",L2260="OK"),"OK","CHECK"))</f>
        <v>OK</v>
      </c>
    </row>
    <row r="2261" customFormat="false" ht="18" hidden="false" customHeight="true" outlineLevel="0" collapsed="false">
      <c r="A2261" s="9" t="s">
        <v>26</v>
      </c>
      <c r="B2261" s="9" t="n">
        <v>25</v>
      </c>
      <c r="C2261" s="11" t="n">
        <v>45983</v>
      </c>
      <c r="D2261" s="9" t="s">
        <v>178</v>
      </c>
      <c r="E2261" s="12" t="n">
        <v>16</v>
      </c>
      <c r="F2261" s="9" t="s">
        <v>31</v>
      </c>
      <c r="G2261" s="13" t="n">
        <v>150</v>
      </c>
      <c r="H2261" s="9" t="s">
        <v>34</v>
      </c>
      <c r="I2261" s="13" t="n">
        <v>3</v>
      </c>
      <c r="J2261" s="1" t="str">
        <f aca="false">IF(A2261="","", "SAMP-"&amp;A2261&amp;"-L"&amp;TEXT(B2261,"00")&amp;"-"&amp;TEXT(C2261,"yyyymmdd")&amp;"-"&amp;D2261&amp;"-H"&amp;TEXT(E2261,"00")&amp;"-"&amp;H2261)</f>
        <v>SAMP-KG01-L25-20251122-ORD-2025-00289-H16-Thin Wall</v>
      </c>
      <c r="K2261" s="1" t="str">
        <f aca="false">IF(A2261="","",IF(AND(G2261&gt;=0,I2261&gt;=0,I2261&lt;=G2261),"OK","CHECK"))</f>
        <v>OK</v>
      </c>
      <c r="L2261" s="1" t="str">
        <f aca="false">IF(A2261="","",IF(AND(E2261&gt;=0,E2261&lt;=23),"OK","CHECK"))</f>
        <v>OK</v>
      </c>
      <c r="M2261" s="1" t="str">
        <f aca="false">IF(A2261="","",IF(AND(K2261="OK",L2261="OK"),"OK","CHECK"))</f>
        <v>OK</v>
      </c>
    </row>
    <row r="2262" customFormat="false" ht="18" hidden="false" customHeight="true" outlineLevel="0" collapsed="false">
      <c r="A2262" s="9" t="s">
        <v>26</v>
      </c>
      <c r="B2262" s="9" t="n">
        <v>25</v>
      </c>
      <c r="C2262" s="11" t="n">
        <v>45983</v>
      </c>
      <c r="D2262" s="9" t="s">
        <v>178</v>
      </c>
      <c r="E2262" s="12" t="n">
        <v>20</v>
      </c>
      <c r="F2262" s="9" t="s">
        <v>31</v>
      </c>
      <c r="G2262" s="13" t="n">
        <v>150</v>
      </c>
      <c r="H2262" s="9" t="s">
        <v>34</v>
      </c>
      <c r="I2262" s="13" t="n">
        <v>4</v>
      </c>
      <c r="J2262" s="1" t="str">
        <f aca="false">IF(A2262="","", "SAMP-"&amp;A2262&amp;"-L"&amp;TEXT(B2262,"00")&amp;"-"&amp;TEXT(C2262,"yyyymmdd")&amp;"-"&amp;D2262&amp;"-H"&amp;TEXT(E2262,"00")&amp;"-"&amp;H2262)</f>
        <v>SAMP-KG01-L25-20251122-ORD-2025-00289-H20-Thin Wall</v>
      </c>
      <c r="K2262" s="1" t="str">
        <f aca="false">IF(A2262="","",IF(AND(G2262&gt;=0,I2262&gt;=0,I2262&lt;=G2262),"OK","CHECK"))</f>
        <v>OK</v>
      </c>
      <c r="L2262" s="1" t="str">
        <f aca="false">IF(A2262="","",IF(AND(E2262&gt;=0,E2262&lt;=23),"OK","CHECK"))</f>
        <v>OK</v>
      </c>
      <c r="M2262" s="1" t="str">
        <f aca="false">IF(A2262="","",IF(AND(K2262="OK",L2262="OK"),"OK","CHECK"))</f>
        <v>OK</v>
      </c>
    </row>
    <row r="2263" customFormat="false" ht="18" hidden="false" customHeight="true" outlineLevel="0" collapsed="false">
      <c r="A2263" s="9" t="s">
        <v>26</v>
      </c>
      <c r="B2263" s="9" t="n">
        <v>25</v>
      </c>
      <c r="C2263" s="11" t="n">
        <v>45984</v>
      </c>
      <c r="D2263" s="9" t="s">
        <v>178</v>
      </c>
      <c r="E2263" s="12" t="n">
        <v>7</v>
      </c>
      <c r="F2263" s="9" t="s">
        <v>28</v>
      </c>
      <c r="G2263" s="13" t="n">
        <v>100</v>
      </c>
      <c r="H2263" s="9" t="s">
        <v>37</v>
      </c>
      <c r="I2263" s="13" t="n">
        <v>2</v>
      </c>
      <c r="J2263" s="1" t="str">
        <f aca="false">IF(A2263="","", "SAMP-"&amp;A2263&amp;"-L"&amp;TEXT(B2263,"00")&amp;"-"&amp;TEXT(C2263,"yyyymmdd")&amp;"-"&amp;D2263&amp;"-H"&amp;TEXT(E2263,"00")&amp;"-"&amp;H2263)</f>
        <v>SAMP-KG01-L25-20251123-ORD-2025-00289-H07-Bird Swing</v>
      </c>
      <c r="K2263" s="1" t="str">
        <f aca="false">IF(A2263="","",IF(AND(G2263&gt;=0,I2263&gt;=0,I2263&lt;=G2263),"OK","CHECK"))</f>
        <v>OK</v>
      </c>
      <c r="L2263" s="1" t="str">
        <f aca="false">IF(A2263="","",IF(AND(E2263&gt;=0,E2263&lt;=23),"OK","CHECK"))</f>
        <v>OK</v>
      </c>
      <c r="M2263" s="1" t="str">
        <f aca="false">IF(A2263="","",IF(AND(K2263="OK",L2263="OK"),"OK","CHECK"))</f>
        <v>OK</v>
      </c>
    </row>
    <row r="2264" customFormat="false" ht="18" hidden="false" customHeight="true" outlineLevel="0" collapsed="false">
      <c r="A2264" s="9" t="s">
        <v>26</v>
      </c>
      <c r="B2264" s="9" t="n">
        <v>25</v>
      </c>
      <c r="C2264" s="11" t="n">
        <v>45984</v>
      </c>
      <c r="D2264" s="9" t="s">
        <v>178</v>
      </c>
      <c r="E2264" s="12" t="n">
        <v>12</v>
      </c>
      <c r="F2264" s="9" t="s">
        <v>28</v>
      </c>
      <c r="G2264" s="13" t="n">
        <v>50</v>
      </c>
      <c r="H2264" s="9" t="s">
        <v>35</v>
      </c>
      <c r="I2264" s="13" t="n">
        <v>2</v>
      </c>
      <c r="J2264" s="1" t="str">
        <f aca="false">IF(A2264="","", "SAMP-"&amp;A2264&amp;"-L"&amp;TEXT(B2264,"00")&amp;"-"&amp;TEXT(C2264,"yyyymmdd")&amp;"-"&amp;D2264&amp;"-H"&amp;TEXT(E2264,"00")&amp;"-"&amp;H2264)</f>
        <v>SAMP-KG01-L25-20251123-ORD-2025-00289-H12-Stone</v>
      </c>
      <c r="K2264" s="1" t="str">
        <f aca="false">IF(A2264="","",IF(AND(G2264&gt;=0,I2264&gt;=0,I2264&lt;=G2264),"OK","CHECK"))</f>
        <v>OK</v>
      </c>
      <c r="L2264" s="1" t="str">
        <f aca="false">IF(A2264="","",IF(AND(E2264&gt;=0,E2264&lt;=23),"OK","CHECK"))</f>
        <v>OK</v>
      </c>
      <c r="M2264" s="1" t="str">
        <f aca="false">IF(A2264="","",IF(AND(K2264="OK",L2264="OK"),"OK","CHECK"))</f>
        <v>OK</v>
      </c>
    </row>
    <row r="2265" customFormat="false" ht="18" hidden="false" customHeight="true" outlineLevel="0" collapsed="false">
      <c r="A2265" s="9" t="s">
        <v>26</v>
      </c>
      <c r="B2265" s="9" t="n">
        <v>25</v>
      </c>
      <c r="C2265" s="11" t="n">
        <v>45984</v>
      </c>
      <c r="D2265" s="9" t="s">
        <v>178</v>
      </c>
      <c r="E2265" s="12" t="n">
        <v>23</v>
      </c>
      <c r="F2265" s="9" t="s">
        <v>31</v>
      </c>
      <c r="G2265" s="13" t="n">
        <v>150</v>
      </c>
      <c r="H2265" s="9" t="s">
        <v>35</v>
      </c>
      <c r="I2265" s="13" t="n">
        <v>1</v>
      </c>
      <c r="J2265" s="1" t="str">
        <f aca="false">IF(A2265="","", "SAMP-"&amp;A2265&amp;"-L"&amp;TEXT(B2265,"00")&amp;"-"&amp;TEXT(C2265,"yyyymmdd")&amp;"-"&amp;D2265&amp;"-H"&amp;TEXT(E2265,"00")&amp;"-"&amp;H2265)</f>
        <v>SAMP-KG01-L25-20251123-ORD-2025-00289-H23-Stone</v>
      </c>
      <c r="K2265" s="1" t="str">
        <f aca="false">IF(A2265="","",IF(AND(G2265&gt;=0,I2265&gt;=0,I2265&lt;=G2265),"OK","CHECK"))</f>
        <v>OK</v>
      </c>
      <c r="L2265" s="1" t="str">
        <f aca="false">IF(A2265="","",IF(AND(E2265&gt;=0,E2265&lt;=23),"OK","CHECK"))</f>
        <v>OK</v>
      </c>
      <c r="M2265" s="1" t="str">
        <f aca="false">IF(A2265="","",IF(AND(K2265="OK",L2265="OK"),"OK","CHECK"))</f>
        <v>OK</v>
      </c>
    </row>
    <row r="2266" customFormat="false" ht="18" hidden="false" customHeight="true" outlineLevel="0" collapsed="false">
      <c r="A2266" s="9" t="s">
        <v>26</v>
      </c>
      <c r="B2266" s="9" t="n">
        <v>25</v>
      </c>
      <c r="C2266" s="11" t="n">
        <v>45984</v>
      </c>
      <c r="D2266" s="9" t="s">
        <v>178</v>
      </c>
      <c r="E2266" s="12" t="n">
        <v>16</v>
      </c>
      <c r="F2266" s="9" t="s">
        <v>31</v>
      </c>
      <c r="G2266" s="13" t="n">
        <v>50</v>
      </c>
      <c r="H2266" s="9" t="s">
        <v>41</v>
      </c>
      <c r="I2266" s="13" t="n">
        <v>1</v>
      </c>
      <c r="J2266" s="1" t="str">
        <f aca="false">IF(A2266="","", "SAMP-"&amp;A2266&amp;"-L"&amp;TEXT(B2266,"00")&amp;"-"&amp;TEXT(C2266,"yyyymmdd")&amp;"-"&amp;D2266&amp;"-H"&amp;TEXT(E2266,"00")&amp;"-"&amp;H2266)</f>
        <v>SAMP-KG01-L25-20251123-ORD-2025-00289-H16-Chip</v>
      </c>
      <c r="K2266" s="1" t="str">
        <f aca="false">IF(A2266="","",IF(AND(G2266&gt;=0,I2266&gt;=0,I2266&lt;=G2266),"OK","CHECK"))</f>
        <v>OK</v>
      </c>
      <c r="L2266" s="1" t="str">
        <f aca="false">IF(A2266="","",IF(AND(E2266&gt;=0,E2266&lt;=23),"OK","CHECK"))</f>
        <v>OK</v>
      </c>
      <c r="M2266" s="1" t="str">
        <f aca="false">IF(A2266="","",IF(AND(K2266="OK",L2266="OK"),"OK","CHECK"))</f>
        <v>OK</v>
      </c>
    </row>
    <row r="2267" customFormat="false" ht="18" hidden="false" customHeight="true" outlineLevel="0" collapsed="false">
      <c r="A2267" s="9" t="s">
        <v>26</v>
      </c>
      <c r="B2267" s="9" t="n">
        <v>25</v>
      </c>
      <c r="C2267" s="11" t="n">
        <v>45984</v>
      </c>
      <c r="D2267" s="9" t="s">
        <v>178</v>
      </c>
      <c r="E2267" s="12" t="n">
        <v>20</v>
      </c>
      <c r="F2267" s="9" t="s">
        <v>31</v>
      </c>
      <c r="G2267" s="13" t="n">
        <v>50</v>
      </c>
      <c r="H2267" s="9" t="s">
        <v>37</v>
      </c>
      <c r="I2267" s="13" t="n">
        <v>2</v>
      </c>
      <c r="J2267" s="1" t="str">
        <f aca="false">IF(A2267="","", "SAMP-"&amp;A2267&amp;"-L"&amp;TEXT(B2267,"00")&amp;"-"&amp;TEXT(C2267,"yyyymmdd")&amp;"-"&amp;D2267&amp;"-H"&amp;TEXT(E2267,"00")&amp;"-"&amp;H2267)</f>
        <v>SAMP-KG01-L25-20251123-ORD-2025-00289-H20-Bird Swing</v>
      </c>
      <c r="K2267" s="1" t="str">
        <f aca="false">IF(A2267="","",IF(AND(G2267&gt;=0,I2267&gt;=0,I2267&lt;=G2267),"OK","CHECK"))</f>
        <v>OK</v>
      </c>
      <c r="L2267" s="1" t="str">
        <f aca="false">IF(A2267="","",IF(AND(E2267&gt;=0,E2267&lt;=23),"OK","CHECK"))</f>
        <v>OK</v>
      </c>
      <c r="M2267" s="1" t="str">
        <f aca="false">IF(A2267="","",IF(AND(K2267="OK",L2267="OK"),"OK","CHECK"))</f>
        <v>OK</v>
      </c>
    </row>
    <row r="2268" customFormat="false" ht="18" hidden="false" customHeight="true" outlineLevel="0" collapsed="false">
      <c r="A2268" s="9" t="s">
        <v>26</v>
      </c>
      <c r="B2268" s="9" t="n">
        <v>25</v>
      </c>
      <c r="C2268" s="11" t="n">
        <v>45985</v>
      </c>
      <c r="D2268" s="9" t="s">
        <v>179</v>
      </c>
      <c r="E2268" s="12" t="n">
        <v>9</v>
      </c>
      <c r="F2268" s="9" t="s">
        <v>28</v>
      </c>
      <c r="G2268" s="13" t="n">
        <v>100</v>
      </c>
      <c r="H2268" s="9" t="s">
        <v>37</v>
      </c>
      <c r="I2268" s="13" t="n">
        <v>5</v>
      </c>
      <c r="J2268" s="1" t="str">
        <f aca="false">IF(A2268="","", "SAMP-"&amp;A2268&amp;"-L"&amp;TEXT(B2268,"00")&amp;"-"&amp;TEXT(C2268,"yyyymmdd")&amp;"-"&amp;D2268&amp;"-H"&amp;TEXT(E2268,"00")&amp;"-"&amp;H2268)</f>
        <v>SAMP-KG01-L25-20251124-ORD-2025-00290-H09-Bird Swing</v>
      </c>
      <c r="K2268" s="1" t="str">
        <f aca="false">IF(A2268="","",IF(AND(G2268&gt;=0,I2268&gt;=0,I2268&lt;=G2268),"OK","CHECK"))</f>
        <v>OK</v>
      </c>
      <c r="L2268" s="1" t="str">
        <f aca="false">IF(A2268="","",IF(AND(E2268&gt;=0,E2268&lt;=23),"OK","CHECK"))</f>
        <v>OK</v>
      </c>
      <c r="M2268" s="1" t="str">
        <f aca="false">IF(A2268="","",IF(AND(K2268="OK",L2268="OK"),"OK","CHECK"))</f>
        <v>OK</v>
      </c>
    </row>
    <row r="2269" customFormat="false" ht="18" hidden="false" customHeight="true" outlineLevel="0" collapsed="false">
      <c r="A2269" s="9" t="s">
        <v>26</v>
      </c>
      <c r="B2269" s="9" t="n">
        <v>25</v>
      </c>
      <c r="C2269" s="11" t="n">
        <v>45985</v>
      </c>
      <c r="D2269" s="9" t="s">
        <v>179</v>
      </c>
      <c r="E2269" s="12" t="n">
        <v>12</v>
      </c>
      <c r="F2269" s="9" t="s">
        <v>28</v>
      </c>
      <c r="G2269" s="13" t="n">
        <v>200</v>
      </c>
      <c r="H2269" s="9" t="s">
        <v>34</v>
      </c>
      <c r="I2269" s="13" t="n">
        <v>0</v>
      </c>
      <c r="J2269" s="1" t="str">
        <f aca="false">IF(A2269="","", "SAMP-"&amp;A2269&amp;"-L"&amp;TEXT(B2269,"00")&amp;"-"&amp;TEXT(C2269,"yyyymmdd")&amp;"-"&amp;D2269&amp;"-H"&amp;TEXT(E2269,"00")&amp;"-"&amp;H2269)</f>
        <v>SAMP-KG01-L25-20251124-ORD-2025-00290-H12-Thin Wall</v>
      </c>
      <c r="K2269" s="1" t="str">
        <f aca="false">IF(A2269="","",IF(AND(G2269&gt;=0,I2269&gt;=0,I2269&lt;=G2269),"OK","CHECK"))</f>
        <v>OK</v>
      </c>
      <c r="L2269" s="1" t="str">
        <f aca="false">IF(A2269="","",IF(AND(E2269&gt;=0,E2269&lt;=23),"OK","CHECK"))</f>
        <v>OK</v>
      </c>
      <c r="M2269" s="1" t="str">
        <f aca="false">IF(A2269="","",IF(AND(K2269="OK",L2269="OK"),"OK","CHECK"))</f>
        <v>OK</v>
      </c>
    </row>
    <row r="2270" customFormat="false" ht="18" hidden="false" customHeight="true" outlineLevel="0" collapsed="false">
      <c r="A2270" s="9" t="s">
        <v>26</v>
      </c>
      <c r="B2270" s="9" t="n">
        <v>25</v>
      </c>
      <c r="C2270" s="11" t="n">
        <v>45985</v>
      </c>
      <c r="D2270" s="9" t="s">
        <v>179</v>
      </c>
      <c r="E2270" s="12" t="n">
        <v>7</v>
      </c>
      <c r="F2270" s="9" t="s">
        <v>28</v>
      </c>
      <c r="G2270" s="13" t="n">
        <v>100</v>
      </c>
      <c r="H2270" s="9" t="s">
        <v>38</v>
      </c>
      <c r="I2270" s="13" t="n">
        <v>3</v>
      </c>
      <c r="J2270" s="1" t="str">
        <f aca="false">IF(A2270="","", "SAMP-"&amp;A2270&amp;"-L"&amp;TEXT(B2270,"00")&amp;"-"&amp;TEXT(C2270,"yyyymmdd")&amp;"-"&amp;D2270&amp;"-H"&amp;TEXT(E2270,"00")&amp;"-"&amp;H2270)</f>
        <v>SAMP-KG01-L25-20251124-ORD-2025-00290-H07-Crack</v>
      </c>
      <c r="K2270" s="1" t="str">
        <f aca="false">IF(A2270="","",IF(AND(G2270&gt;=0,I2270&gt;=0,I2270&lt;=G2270),"OK","CHECK"))</f>
        <v>OK</v>
      </c>
      <c r="L2270" s="1" t="str">
        <f aca="false">IF(A2270="","",IF(AND(E2270&gt;=0,E2270&lt;=23),"OK","CHECK"))</f>
        <v>OK</v>
      </c>
      <c r="M2270" s="1" t="str">
        <f aca="false">IF(A2270="","",IF(AND(K2270="OK",L2270="OK"),"OK","CHECK"))</f>
        <v>OK</v>
      </c>
    </row>
    <row r="2271" customFormat="false" ht="18" hidden="false" customHeight="true" outlineLevel="0" collapsed="false">
      <c r="A2271" s="9" t="s">
        <v>26</v>
      </c>
      <c r="B2271" s="9" t="n">
        <v>25</v>
      </c>
      <c r="C2271" s="11" t="n">
        <v>45985</v>
      </c>
      <c r="D2271" s="9" t="s">
        <v>179</v>
      </c>
      <c r="E2271" s="12" t="n">
        <v>16</v>
      </c>
      <c r="F2271" s="9" t="s">
        <v>31</v>
      </c>
      <c r="G2271" s="13" t="n">
        <v>50</v>
      </c>
      <c r="H2271" s="9" t="s">
        <v>29</v>
      </c>
      <c r="I2271" s="13" t="n">
        <v>0</v>
      </c>
      <c r="J2271" s="1" t="str">
        <f aca="false">IF(A2271="","", "SAMP-"&amp;A2271&amp;"-L"&amp;TEXT(B2271,"00")&amp;"-"&amp;TEXT(C2271,"yyyymmdd")&amp;"-"&amp;D2271&amp;"-H"&amp;TEXT(E2271,"00")&amp;"-"&amp;H2271)</f>
        <v>SAMP-KG01-L25-20251124-ORD-2025-00290-H16-Choke Neck</v>
      </c>
      <c r="K2271" s="1" t="str">
        <f aca="false">IF(A2271="","",IF(AND(G2271&gt;=0,I2271&gt;=0,I2271&lt;=G2271),"OK","CHECK"))</f>
        <v>OK</v>
      </c>
      <c r="L2271" s="1" t="str">
        <f aca="false">IF(A2271="","",IF(AND(E2271&gt;=0,E2271&lt;=23),"OK","CHECK"))</f>
        <v>OK</v>
      </c>
      <c r="M2271" s="1" t="str">
        <f aca="false">IF(A2271="","",IF(AND(K2271="OK",L2271="OK"),"OK","CHECK"))</f>
        <v>OK</v>
      </c>
    </row>
    <row r="2272" customFormat="false" ht="18" hidden="false" customHeight="true" outlineLevel="0" collapsed="false">
      <c r="A2272" s="9" t="s">
        <v>26</v>
      </c>
      <c r="B2272" s="9" t="n">
        <v>25</v>
      </c>
      <c r="C2272" s="11" t="n">
        <v>45985</v>
      </c>
      <c r="D2272" s="9" t="s">
        <v>179</v>
      </c>
      <c r="E2272" s="12" t="n">
        <v>20</v>
      </c>
      <c r="F2272" s="9" t="s">
        <v>31</v>
      </c>
      <c r="G2272" s="13" t="n">
        <v>150</v>
      </c>
      <c r="H2272" s="9" t="s">
        <v>29</v>
      </c>
      <c r="I2272" s="13" t="n">
        <v>3</v>
      </c>
      <c r="J2272" s="1" t="str">
        <f aca="false">IF(A2272="","", "SAMP-"&amp;A2272&amp;"-L"&amp;TEXT(B2272,"00")&amp;"-"&amp;TEXT(C2272,"yyyymmdd")&amp;"-"&amp;D2272&amp;"-H"&amp;TEXT(E2272,"00")&amp;"-"&amp;H2272)</f>
        <v>SAMP-KG01-L25-20251124-ORD-2025-00290-H20-Choke Neck</v>
      </c>
      <c r="K2272" s="1" t="str">
        <f aca="false">IF(A2272="","",IF(AND(G2272&gt;=0,I2272&gt;=0,I2272&lt;=G2272),"OK","CHECK"))</f>
        <v>OK</v>
      </c>
      <c r="L2272" s="1" t="str">
        <f aca="false">IF(A2272="","",IF(AND(E2272&gt;=0,E2272&lt;=23),"OK","CHECK"))</f>
        <v>OK</v>
      </c>
      <c r="M2272" s="1" t="str">
        <f aca="false">IF(A2272="","",IF(AND(K2272="OK",L2272="OK"),"OK","CHECK"))</f>
        <v>OK</v>
      </c>
    </row>
    <row r="2273" customFormat="false" ht="18" hidden="false" customHeight="true" outlineLevel="0" collapsed="false">
      <c r="A2273" s="9" t="s">
        <v>26</v>
      </c>
      <c r="B2273" s="9" t="n">
        <v>25</v>
      </c>
      <c r="C2273" s="11" t="n">
        <v>45985</v>
      </c>
      <c r="D2273" s="9" t="s">
        <v>179</v>
      </c>
      <c r="E2273" s="12" t="n">
        <v>23</v>
      </c>
      <c r="F2273" s="9" t="s">
        <v>31</v>
      </c>
      <c r="G2273" s="13" t="n">
        <v>200</v>
      </c>
      <c r="H2273" s="9" t="s">
        <v>37</v>
      </c>
      <c r="I2273" s="13" t="n">
        <v>1</v>
      </c>
      <c r="J2273" s="1" t="str">
        <f aca="false">IF(A2273="","", "SAMP-"&amp;A2273&amp;"-L"&amp;TEXT(B2273,"00")&amp;"-"&amp;TEXT(C2273,"yyyymmdd")&amp;"-"&amp;D2273&amp;"-H"&amp;TEXT(E2273,"00")&amp;"-"&amp;H2273)</f>
        <v>SAMP-KG01-L25-20251124-ORD-2025-00290-H23-Bird Swing</v>
      </c>
      <c r="K2273" s="1" t="str">
        <f aca="false">IF(A2273="","",IF(AND(G2273&gt;=0,I2273&gt;=0,I2273&lt;=G2273),"OK","CHECK"))</f>
        <v>OK</v>
      </c>
      <c r="L2273" s="1" t="str">
        <f aca="false">IF(A2273="","",IF(AND(E2273&gt;=0,E2273&lt;=23),"OK","CHECK"))</f>
        <v>OK</v>
      </c>
      <c r="M2273" s="1" t="str">
        <f aca="false">IF(A2273="","",IF(AND(K2273="OK",L2273="OK"),"OK","CHECK"))</f>
        <v>OK</v>
      </c>
    </row>
    <row r="2274" customFormat="false" ht="18" hidden="false" customHeight="true" outlineLevel="0" collapsed="false">
      <c r="A2274" s="9" t="s">
        <v>26</v>
      </c>
      <c r="B2274" s="9" t="n">
        <v>25</v>
      </c>
      <c r="C2274" s="11" t="n">
        <v>45986</v>
      </c>
      <c r="D2274" s="9" t="s">
        <v>179</v>
      </c>
      <c r="E2274" s="12" t="n">
        <v>12</v>
      </c>
      <c r="F2274" s="9" t="s">
        <v>28</v>
      </c>
      <c r="G2274" s="13" t="n">
        <v>150</v>
      </c>
      <c r="H2274" s="9" t="s">
        <v>29</v>
      </c>
      <c r="I2274" s="13" t="n">
        <v>1</v>
      </c>
      <c r="J2274" s="1" t="str">
        <f aca="false">IF(A2274="","", "SAMP-"&amp;A2274&amp;"-L"&amp;TEXT(B2274,"00")&amp;"-"&amp;TEXT(C2274,"yyyymmdd")&amp;"-"&amp;D2274&amp;"-H"&amp;TEXT(E2274,"00")&amp;"-"&amp;H2274)</f>
        <v>SAMP-KG01-L25-20251125-ORD-2025-00290-H12-Choke Neck</v>
      </c>
      <c r="K2274" s="1" t="str">
        <f aca="false">IF(A2274="","",IF(AND(G2274&gt;=0,I2274&gt;=0,I2274&lt;=G2274),"OK","CHECK"))</f>
        <v>OK</v>
      </c>
      <c r="L2274" s="1" t="str">
        <f aca="false">IF(A2274="","",IF(AND(E2274&gt;=0,E2274&lt;=23),"OK","CHECK"))</f>
        <v>OK</v>
      </c>
      <c r="M2274" s="1" t="str">
        <f aca="false">IF(A2274="","",IF(AND(K2274="OK",L2274="OK"),"OK","CHECK"))</f>
        <v>OK</v>
      </c>
    </row>
    <row r="2275" customFormat="false" ht="18" hidden="false" customHeight="true" outlineLevel="0" collapsed="false">
      <c r="A2275" s="9" t="s">
        <v>26</v>
      </c>
      <c r="B2275" s="9" t="n">
        <v>25</v>
      </c>
      <c r="C2275" s="11" t="n">
        <v>45986</v>
      </c>
      <c r="D2275" s="9" t="s">
        <v>179</v>
      </c>
      <c r="E2275" s="12" t="n">
        <v>7</v>
      </c>
      <c r="F2275" s="9" t="s">
        <v>28</v>
      </c>
      <c r="G2275" s="13" t="n">
        <v>100</v>
      </c>
      <c r="H2275" s="9" t="s">
        <v>29</v>
      </c>
      <c r="I2275" s="13" t="n">
        <v>0</v>
      </c>
      <c r="J2275" s="1" t="str">
        <f aca="false">IF(A2275="","", "SAMP-"&amp;A2275&amp;"-L"&amp;TEXT(B2275,"00")&amp;"-"&amp;TEXT(C2275,"yyyymmdd")&amp;"-"&amp;D2275&amp;"-H"&amp;TEXT(E2275,"00")&amp;"-"&amp;H2275)</f>
        <v>SAMP-KG01-L25-20251125-ORD-2025-00290-H07-Choke Neck</v>
      </c>
      <c r="K2275" s="1" t="str">
        <f aca="false">IF(A2275="","",IF(AND(G2275&gt;=0,I2275&gt;=0,I2275&lt;=G2275),"OK","CHECK"))</f>
        <v>OK</v>
      </c>
      <c r="L2275" s="1" t="str">
        <f aca="false">IF(A2275="","",IF(AND(E2275&gt;=0,E2275&lt;=23),"OK","CHECK"))</f>
        <v>OK</v>
      </c>
      <c r="M2275" s="1" t="str">
        <f aca="false">IF(A2275="","",IF(AND(K2275="OK",L2275="OK"),"OK","CHECK"))</f>
        <v>OK</v>
      </c>
    </row>
    <row r="2276" customFormat="false" ht="18" hidden="false" customHeight="true" outlineLevel="0" collapsed="false">
      <c r="A2276" s="9" t="s">
        <v>26</v>
      </c>
      <c r="B2276" s="9" t="n">
        <v>25</v>
      </c>
      <c r="C2276" s="11" t="n">
        <v>45986</v>
      </c>
      <c r="D2276" s="9" t="s">
        <v>179</v>
      </c>
      <c r="E2276" s="12" t="n">
        <v>9</v>
      </c>
      <c r="F2276" s="9" t="s">
        <v>28</v>
      </c>
      <c r="G2276" s="13" t="n">
        <v>100</v>
      </c>
      <c r="H2276" s="9" t="s">
        <v>29</v>
      </c>
      <c r="I2276" s="13" t="n">
        <v>4</v>
      </c>
      <c r="J2276" s="1" t="str">
        <f aca="false">IF(A2276="","", "SAMP-"&amp;A2276&amp;"-L"&amp;TEXT(B2276,"00")&amp;"-"&amp;TEXT(C2276,"yyyymmdd")&amp;"-"&amp;D2276&amp;"-H"&amp;TEXT(E2276,"00")&amp;"-"&amp;H2276)</f>
        <v>SAMP-KG01-L25-20251125-ORD-2025-00290-H09-Choke Neck</v>
      </c>
      <c r="K2276" s="1" t="str">
        <f aca="false">IF(A2276="","",IF(AND(G2276&gt;=0,I2276&gt;=0,I2276&lt;=G2276),"OK","CHECK"))</f>
        <v>OK</v>
      </c>
      <c r="L2276" s="1" t="str">
        <f aca="false">IF(A2276="","",IF(AND(E2276&gt;=0,E2276&lt;=23),"OK","CHECK"))</f>
        <v>OK</v>
      </c>
      <c r="M2276" s="1" t="str">
        <f aca="false">IF(A2276="","",IF(AND(K2276="OK",L2276="OK"),"OK","CHECK"))</f>
        <v>OK</v>
      </c>
    </row>
    <row r="2277" customFormat="false" ht="18" hidden="false" customHeight="true" outlineLevel="0" collapsed="false">
      <c r="A2277" s="9" t="s">
        <v>26</v>
      </c>
      <c r="B2277" s="9" t="n">
        <v>25</v>
      </c>
      <c r="C2277" s="11" t="n">
        <v>45986</v>
      </c>
      <c r="D2277" s="9" t="s">
        <v>179</v>
      </c>
      <c r="E2277" s="12" t="n">
        <v>23</v>
      </c>
      <c r="F2277" s="9" t="s">
        <v>31</v>
      </c>
      <c r="G2277" s="13" t="n">
        <v>100</v>
      </c>
      <c r="H2277" s="9" t="s">
        <v>33</v>
      </c>
      <c r="I2277" s="13" t="n">
        <v>1</v>
      </c>
      <c r="J2277" s="1" t="str">
        <f aca="false">IF(A2277="","", "SAMP-"&amp;A2277&amp;"-L"&amp;TEXT(B2277,"00")&amp;"-"&amp;TEXT(C2277,"yyyymmdd")&amp;"-"&amp;D2277&amp;"-H"&amp;TEXT(E2277,"00")&amp;"-"&amp;H2277)</f>
        <v>SAMP-KG01-L25-20251125-ORD-2025-00290-H23-Distortion</v>
      </c>
      <c r="K2277" s="1" t="str">
        <f aca="false">IF(A2277="","",IF(AND(G2277&gt;=0,I2277&gt;=0,I2277&lt;=G2277),"OK","CHECK"))</f>
        <v>OK</v>
      </c>
      <c r="L2277" s="1" t="str">
        <f aca="false">IF(A2277="","",IF(AND(E2277&gt;=0,E2277&lt;=23),"OK","CHECK"))</f>
        <v>OK</v>
      </c>
      <c r="M2277" s="1" t="str">
        <f aca="false">IF(A2277="","",IF(AND(K2277="OK",L2277="OK"),"OK","CHECK"))</f>
        <v>OK</v>
      </c>
    </row>
    <row r="2278" customFormat="false" ht="18" hidden="false" customHeight="true" outlineLevel="0" collapsed="false">
      <c r="A2278" s="9" t="s">
        <v>26</v>
      </c>
      <c r="B2278" s="9" t="n">
        <v>25</v>
      </c>
      <c r="C2278" s="11" t="n">
        <v>45986</v>
      </c>
      <c r="D2278" s="9" t="s">
        <v>179</v>
      </c>
      <c r="E2278" s="12" t="n">
        <v>16</v>
      </c>
      <c r="F2278" s="9" t="s">
        <v>31</v>
      </c>
      <c r="G2278" s="13" t="n">
        <v>150</v>
      </c>
      <c r="H2278" s="9" t="s">
        <v>33</v>
      </c>
      <c r="I2278" s="13" t="n">
        <v>8</v>
      </c>
      <c r="J2278" s="1" t="str">
        <f aca="false">IF(A2278="","", "SAMP-"&amp;A2278&amp;"-L"&amp;TEXT(B2278,"00")&amp;"-"&amp;TEXT(C2278,"yyyymmdd")&amp;"-"&amp;D2278&amp;"-H"&amp;TEXT(E2278,"00")&amp;"-"&amp;H2278)</f>
        <v>SAMP-KG01-L25-20251125-ORD-2025-00290-H16-Distortion</v>
      </c>
      <c r="K2278" s="1" t="str">
        <f aca="false">IF(A2278="","",IF(AND(G2278&gt;=0,I2278&gt;=0,I2278&lt;=G2278),"OK","CHECK"))</f>
        <v>OK</v>
      </c>
      <c r="L2278" s="1" t="str">
        <f aca="false">IF(A2278="","",IF(AND(E2278&gt;=0,E2278&lt;=23),"OK","CHECK"))</f>
        <v>OK</v>
      </c>
      <c r="M2278" s="1" t="str">
        <f aca="false">IF(A2278="","",IF(AND(K2278="OK",L2278="OK"),"OK","CHECK"))</f>
        <v>OK</v>
      </c>
    </row>
    <row r="2279" customFormat="false" ht="18" hidden="false" customHeight="true" outlineLevel="0" collapsed="false">
      <c r="A2279" s="9" t="s">
        <v>26</v>
      </c>
      <c r="B2279" s="9" t="n">
        <v>25</v>
      </c>
      <c r="C2279" s="11" t="n">
        <v>45987</v>
      </c>
      <c r="D2279" s="9" t="s">
        <v>180</v>
      </c>
      <c r="E2279" s="12" t="n">
        <v>9</v>
      </c>
      <c r="F2279" s="9" t="s">
        <v>28</v>
      </c>
      <c r="G2279" s="13" t="n">
        <v>200</v>
      </c>
      <c r="H2279" s="9" t="s">
        <v>30</v>
      </c>
      <c r="I2279" s="13" t="n">
        <v>6</v>
      </c>
      <c r="J2279" s="1" t="str">
        <f aca="false">IF(A2279="","", "SAMP-"&amp;A2279&amp;"-L"&amp;TEXT(B2279,"00")&amp;"-"&amp;TEXT(C2279,"yyyymmdd")&amp;"-"&amp;D2279&amp;"-H"&amp;TEXT(E2279,"00")&amp;"-"&amp;H2279)</f>
        <v>SAMP-KG01-L25-20251126-ORD-2025-00291-H09-Overpress</v>
      </c>
      <c r="K2279" s="1" t="str">
        <f aca="false">IF(A2279="","",IF(AND(G2279&gt;=0,I2279&gt;=0,I2279&lt;=G2279),"OK","CHECK"))</f>
        <v>OK</v>
      </c>
      <c r="L2279" s="1" t="str">
        <f aca="false">IF(A2279="","",IF(AND(E2279&gt;=0,E2279&lt;=23),"OK","CHECK"))</f>
        <v>OK</v>
      </c>
      <c r="M2279" s="1" t="str">
        <f aca="false">IF(A2279="","",IF(AND(K2279="OK",L2279="OK"),"OK","CHECK"))</f>
        <v>OK</v>
      </c>
    </row>
    <row r="2280" customFormat="false" ht="18" hidden="false" customHeight="true" outlineLevel="0" collapsed="false">
      <c r="A2280" s="9" t="s">
        <v>26</v>
      </c>
      <c r="B2280" s="9" t="n">
        <v>25</v>
      </c>
      <c r="C2280" s="11" t="n">
        <v>45987</v>
      </c>
      <c r="D2280" s="9" t="s">
        <v>180</v>
      </c>
      <c r="E2280" s="12" t="n">
        <v>12</v>
      </c>
      <c r="F2280" s="9" t="s">
        <v>28</v>
      </c>
      <c r="G2280" s="13" t="n">
        <v>200</v>
      </c>
      <c r="H2280" s="9" t="s">
        <v>29</v>
      </c>
      <c r="I2280" s="13" t="n">
        <v>11</v>
      </c>
      <c r="J2280" s="1" t="str">
        <f aca="false">IF(A2280="","", "SAMP-"&amp;A2280&amp;"-L"&amp;TEXT(B2280,"00")&amp;"-"&amp;TEXT(C2280,"yyyymmdd")&amp;"-"&amp;D2280&amp;"-H"&amp;TEXT(E2280,"00")&amp;"-"&amp;H2280)</f>
        <v>SAMP-KG01-L25-20251126-ORD-2025-00291-H12-Choke Neck</v>
      </c>
      <c r="K2280" s="1" t="str">
        <f aca="false">IF(A2280="","",IF(AND(G2280&gt;=0,I2280&gt;=0,I2280&lt;=G2280),"OK","CHECK"))</f>
        <v>OK</v>
      </c>
      <c r="L2280" s="1" t="str">
        <f aca="false">IF(A2280="","",IF(AND(E2280&gt;=0,E2280&lt;=23),"OK","CHECK"))</f>
        <v>OK</v>
      </c>
      <c r="M2280" s="1" t="str">
        <f aca="false">IF(A2280="","",IF(AND(K2280="OK",L2280="OK"),"OK","CHECK"))</f>
        <v>OK</v>
      </c>
    </row>
    <row r="2281" customFormat="false" ht="18" hidden="false" customHeight="true" outlineLevel="0" collapsed="false">
      <c r="A2281" s="9" t="s">
        <v>26</v>
      </c>
      <c r="B2281" s="9" t="n">
        <v>25</v>
      </c>
      <c r="C2281" s="11" t="n">
        <v>45987</v>
      </c>
      <c r="D2281" s="9" t="s">
        <v>180</v>
      </c>
      <c r="E2281" s="12" t="n">
        <v>7</v>
      </c>
      <c r="F2281" s="9" t="s">
        <v>28</v>
      </c>
      <c r="G2281" s="13" t="n">
        <v>150</v>
      </c>
      <c r="H2281" s="9" t="s">
        <v>37</v>
      </c>
      <c r="I2281" s="13" t="n">
        <v>4</v>
      </c>
      <c r="J2281" s="1" t="str">
        <f aca="false">IF(A2281="","", "SAMP-"&amp;A2281&amp;"-L"&amp;TEXT(B2281,"00")&amp;"-"&amp;TEXT(C2281,"yyyymmdd")&amp;"-"&amp;D2281&amp;"-H"&amp;TEXT(E2281,"00")&amp;"-"&amp;H2281)</f>
        <v>SAMP-KG01-L25-20251126-ORD-2025-00291-H07-Bird Swing</v>
      </c>
      <c r="K2281" s="1" t="str">
        <f aca="false">IF(A2281="","",IF(AND(G2281&gt;=0,I2281&gt;=0,I2281&lt;=G2281),"OK","CHECK"))</f>
        <v>OK</v>
      </c>
      <c r="L2281" s="1" t="str">
        <f aca="false">IF(A2281="","",IF(AND(E2281&gt;=0,E2281&lt;=23),"OK","CHECK"))</f>
        <v>OK</v>
      </c>
      <c r="M2281" s="1" t="str">
        <f aca="false">IF(A2281="","",IF(AND(K2281="OK",L2281="OK"),"OK","CHECK"))</f>
        <v>OK</v>
      </c>
    </row>
    <row r="2282" customFormat="false" ht="18" hidden="false" customHeight="true" outlineLevel="0" collapsed="false">
      <c r="A2282" s="9" t="s">
        <v>26</v>
      </c>
      <c r="B2282" s="9" t="n">
        <v>25</v>
      </c>
      <c r="C2282" s="11" t="n">
        <v>45987</v>
      </c>
      <c r="D2282" s="9" t="s">
        <v>180</v>
      </c>
      <c r="E2282" s="12" t="n">
        <v>20</v>
      </c>
      <c r="F2282" s="9" t="s">
        <v>31</v>
      </c>
      <c r="G2282" s="13" t="n">
        <v>150</v>
      </c>
      <c r="H2282" s="9" t="s">
        <v>34</v>
      </c>
      <c r="I2282" s="13" t="n">
        <v>3</v>
      </c>
      <c r="J2282" s="1" t="str">
        <f aca="false">IF(A2282="","", "SAMP-"&amp;A2282&amp;"-L"&amp;TEXT(B2282,"00")&amp;"-"&amp;TEXT(C2282,"yyyymmdd")&amp;"-"&amp;D2282&amp;"-H"&amp;TEXT(E2282,"00")&amp;"-"&amp;H2282)</f>
        <v>SAMP-KG01-L25-20251126-ORD-2025-00291-H20-Thin Wall</v>
      </c>
      <c r="K2282" s="1" t="str">
        <f aca="false">IF(A2282="","",IF(AND(G2282&gt;=0,I2282&gt;=0,I2282&lt;=G2282),"OK","CHECK"))</f>
        <v>OK</v>
      </c>
      <c r="L2282" s="1" t="str">
        <f aca="false">IF(A2282="","",IF(AND(E2282&gt;=0,E2282&lt;=23),"OK","CHECK"))</f>
        <v>OK</v>
      </c>
      <c r="M2282" s="1" t="str">
        <f aca="false">IF(A2282="","",IF(AND(K2282="OK",L2282="OK"),"OK","CHECK"))</f>
        <v>OK</v>
      </c>
    </row>
    <row r="2283" customFormat="false" ht="18" hidden="false" customHeight="true" outlineLevel="0" collapsed="false">
      <c r="A2283" s="9" t="s">
        <v>26</v>
      </c>
      <c r="B2283" s="9" t="n">
        <v>25</v>
      </c>
      <c r="C2283" s="11" t="n">
        <v>45987</v>
      </c>
      <c r="D2283" s="9" t="s">
        <v>180</v>
      </c>
      <c r="E2283" s="12" t="n">
        <v>23</v>
      </c>
      <c r="F2283" s="9" t="s">
        <v>31</v>
      </c>
      <c r="G2283" s="13" t="n">
        <v>150</v>
      </c>
      <c r="H2283" s="9" t="s">
        <v>33</v>
      </c>
      <c r="I2283" s="13" t="n">
        <v>4</v>
      </c>
      <c r="J2283" s="1" t="str">
        <f aca="false">IF(A2283="","", "SAMP-"&amp;A2283&amp;"-L"&amp;TEXT(B2283,"00")&amp;"-"&amp;TEXT(C2283,"yyyymmdd")&amp;"-"&amp;D2283&amp;"-H"&amp;TEXT(E2283,"00")&amp;"-"&amp;H2283)</f>
        <v>SAMP-KG01-L25-20251126-ORD-2025-00291-H23-Distortion</v>
      </c>
      <c r="K2283" s="1" t="str">
        <f aca="false">IF(A2283="","",IF(AND(G2283&gt;=0,I2283&gt;=0,I2283&lt;=G2283),"OK","CHECK"))</f>
        <v>OK</v>
      </c>
      <c r="L2283" s="1" t="str">
        <f aca="false">IF(A2283="","",IF(AND(E2283&gt;=0,E2283&lt;=23),"OK","CHECK"))</f>
        <v>OK</v>
      </c>
      <c r="M2283" s="1" t="str">
        <f aca="false">IF(A2283="","",IF(AND(K2283="OK",L2283="OK"),"OK","CHECK"))</f>
        <v>OK</v>
      </c>
    </row>
    <row r="2284" customFormat="false" ht="18" hidden="false" customHeight="true" outlineLevel="0" collapsed="false">
      <c r="A2284" s="9" t="s">
        <v>26</v>
      </c>
      <c r="B2284" s="9" t="n">
        <v>25</v>
      </c>
      <c r="C2284" s="11" t="n">
        <v>45987</v>
      </c>
      <c r="D2284" s="9" t="s">
        <v>180</v>
      </c>
      <c r="E2284" s="12" t="n">
        <v>16</v>
      </c>
      <c r="F2284" s="9" t="s">
        <v>31</v>
      </c>
      <c r="G2284" s="13" t="n">
        <v>50</v>
      </c>
      <c r="H2284" s="9" t="s">
        <v>34</v>
      </c>
      <c r="I2284" s="13" t="n">
        <v>1</v>
      </c>
      <c r="J2284" s="1" t="str">
        <f aca="false">IF(A2284="","", "SAMP-"&amp;A2284&amp;"-L"&amp;TEXT(B2284,"00")&amp;"-"&amp;TEXT(C2284,"yyyymmdd")&amp;"-"&amp;D2284&amp;"-H"&amp;TEXT(E2284,"00")&amp;"-"&amp;H2284)</f>
        <v>SAMP-KG01-L25-20251126-ORD-2025-00291-H16-Thin Wall</v>
      </c>
      <c r="K2284" s="1" t="str">
        <f aca="false">IF(A2284="","",IF(AND(G2284&gt;=0,I2284&gt;=0,I2284&lt;=G2284),"OK","CHECK"))</f>
        <v>OK</v>
      </c>
      <c r="L2284" s="1" t="str">
        <f aca="false">IF(A2284="","",IF(AND(E2284&gt;=0,E2284&lt;=23),"OK","CHECK"))</f>
        <v>OK</v>
      </c>
      <c r="M2284" s="1" t="str">
        <f aca="false">IF(A2284="","",IF(AND(K2284="OK",L2284="OK"),"OK","CHECK"))</f>
        <v>OK</v>
      </c>
    </row>
    <row r="2285" customFormat="false" ht="18" hidden="false" customHeight="true" outlineLevel="0" collapsed="false">
      <c r="A2285" s="9" t="s">
        <v>26</v>
      </c>
      <c r="B2285" s="9" t="n">
        <v>25</v>
      </c>
      <c r="C2285" s="11" t="n">
        <v>45988</v>
      </c>
      <c r="D2285" s="9" t="s">
        <v>180</v>
      </c>
      <c r="E2285" s="12" t="n">
        <v>12</v>
      </c>
      <c r="F2285" s="9" t="s">
        <v>28</v>
      </c>
      <c r="G2285" s="13" t="n">
        <v>150</v>
      </c>
      <c r="H2285" s="9" t="s">
        <v>29</v>
      </c>
      <c r="I2285" s="13" t="n">
        <v>5</v>
      </c>
      <c r="J2285" s="1" t="str">
        <f aca="false">IF(A2285="","", "SAMP-"&amp;A2285&amp;"-L"&amp;TEXT(B2285,"00")&amp;"-"&amp;TEXT(C2285,"yyyymmdd")&amp;"-"&amp;D2285&amp;"-H"&amp;TEXT(E2285,"00")&amp;"-"&amp;H2285)</f>
        <v>SAMP-KG01-L25-20251127-ORD-2025-00291-H12-Choke Neck</v>
      </c>
      <c r="K2285" s="1" t="str">
        <f aca="false">IF(A2285="","",IF(AND(G2285&gt;=0,I2285&gt;=0,I2285&lt;=G2285),"OK","CHECK"))</f>
        <v>OK</v>
      </c>
      <c r="L2285" s="1" t="str">
        <f aca="false">IF(A2285="","",IF(AND(E2285&gt;=0,E2285&lt;=23),"OK","CHECK"))</f>
        <v>OK</v>
      </c>
      <c r="M2285" s="1" t="str">
        <f aca="false">IF(A2285="","",IF(AND(K2285="OK",L2285="OK"),"OK","CHECK"))</f>
        <v>OK</v>
      </c>
    </row>
    <row r="2286" customFormat="false" ht="18" hidden="false" customHeight="true" outlineLevel="0" collapsed="false">
      <c r="A2286" s="9" t="s">
        <v>26</v>
      </c>
      <c r="B2286" s="9" t="n">
        <v>25</v>
      </c>
      <c r="C2286" s="11" t="n">
        <v>45988</v>
      </c>
      <c r="D2286" s="9" t="s">
        <v>180</v>
      </c>
      <c r="E2286" s="12" t="n">
        <v>7</v>
      </c>
      <c r="F2286" s="9" t="s">
        <v>28</v>
      </c>
      <c r="G2286" s="13" t="n">
        <v>200</v>
      </c>
      <c r="H2286" s="9" t="s">
        <v>35</v>
      </c>
      <c r="I2286" s="13" t="n">
        <v>8</v>
      </c>
      <c r="J2286" s="1" t="str">
        <f aca="false">IF(A2286="","", "SAMP-"&amp;A2286&amp;"-L"&amp;TEXT(B2286,"00")&amp;"-"&amp;TEXT(C2286,"yyyymmdd")&amp;"-"&amp;D2286&amp;"-H"&amp;TEXT(E2286,"00")&amp;"-"&amp;H2286)</f>
        <v>SAMP-KG01-L25-20251127-ORD-2025-00291-H07-Stone</v>
      </c>
      <c r="K2286" s="1" t="str">
        <f aca="false">IF(A2286="","",IF(AND(G2286&gt;=0,I2286&gt;=0,I2286&lt;=G2286),"OK","CHECK"))</f>
        <v>OK</v>
      </c>
      <c r="L2286" s="1" t="str">
        <f aca="false">IF(A2286="","",IF(AND(E2286&gt;=0,E2286&lt;=23),"OK","CHECK"))</f>
        <v>OK</v>
      </c>
      <c r="M2286" s="1" t="str">
        <f aca="false">IF(A2286="","",IF(AND(K2286="OK",L2286="OK"),"OK","CHECK"))</f>
        <v>OK</v>
      </c>
    </row>
    <row r="2287" customFormat="false" ht="18" hidden="false" customHeight="true" outlineLevel="0" collapsed="false">
      <c r="A2287" s="9" t="s">
        <v>26</v>
      </c>
      <c r="B2287" s="9" t="n">
        <v>25</v>
      </c>
      <c r="C2287" s="11" t="n">
        <v>45988</v>
      </c>
      <c r="D2287" s="9" t="s">
        <v>180</v>
      </c>
      <c r="E2287" s="12" t="n">
        <v>9</v>
      </c>
      <c r="F2287" s="9" t="s">
        <v>28</v>
      </c>
      <c r="G2287" s="13" t="n">
        <v>150</v>
      </c>
      <c r="H2287" s="9" t="s">
        <v>29</v>
      </c>
      <c r="I2287" s="13" t="n">
        <v>5</v>
      </c>
      <c r="J2287" s="1" t="str">
        <f aca="false">IF(A2287="","", "SAMP-"&amp;A2287&amp;"-L"&amp;TEXT(B2287,"00")&amp;"-"&amp;TEXT(C2287,"yyyymmdd")&amp;"-"&amp;D2287&amp;"-H"&amp;TEXT(E2287,"00")&amp;"-"&amp;H2287)</f>
        <v>SAMP-KG01-L25-20251127-ORD-2025-00291-H09-Choke Neck</v>
      </c>
      <c r="K2287" s="1" t="str">
        <f aca="false">IF(A2287="","",IF(AND(G2287&gt;=0,I2287&gt;=0,I2287&lt;=G2287),"OK","CHECK"))</f>
        <v>OK</v>
      </c>
      <c r="L2287" s="1" t="str">
        <f aca="false">IF(A2287="","",IF(AND(E2287&gt;=0,E2287&lt;=23),"OK","CHECK"))</f>
        <v>OK</v>
      </c>
      <c r="M2287" s="1" t="str">
        <f aca="false">IF(A2287="","",IF(AND(K2287="OK",L2287="OK"),"OK","CHECK"))</f>
        <v>OK</v>
      </c>
    </row>
    <row r="2288" customFormat="false" ht="18" hidden="false" customHeight="true" outlineLevel="0" collapsed="false">
      <c r="A2288" s="9" t="s">
        <v>26</v>
      </c>
      <c r="B2288" s="9" t="n">
        <v>25</v>
      </c>
      <c r="C2288" s="11" t="n">
        <v>45988</v>
      </c>
      <c r="D2288" s="9" t="s">
        <v>180</v>
      </c>
      <c r="E2288" s="12" t="n">
        <v>23</v>
      </c>
      <c r="F2288" s="9" t="s">
        <v>31</v>
      </c>
      <c r="G2288" s="13" t="n">
        <v>200</v>
      </c>
      <c r="H2288" s="9" t="s">
        <v>37</v>
      </c>
      <c r="I2288" s="13" t="n">
        <v>4</v>
      </c>
      <c r="J2288" s="1" t="str">
        <f aca="false">IF(A2288="","", "SAMP-"&amp;A2288&amp;"-L"&amp;TEXT(B2288,"00")&amp;"-"&amp;TEXT(C2288,"yyyymmdd")&amp;"-"&amp;D2288&amp;"-H"&amp;TEXT(E2288,"00")&amp;"-"&amp;H2288)</f>
        <v>SAMP-KG01-L25-20251127-ORD-2025-00291-H23-Bird Swing</v>
      </c>
      <c r="K2288" s="1" t="str">
        <f aca="false">IF(A2288="","",IF(AND(G2288&gt;=0,I2288&gt;=0,I2288&lt;=G2288),"OK","CHECK"))</f>
        <v>OK</v>
      </c>
      <c r="L2288" s="1" t="str">
        <f aca="false">IF(A2288="","",IF(AND(E2288&gt;=0,E2288&lt;=23),"OK","CHECK"))</f>
        <v>OK</v>
      </c>
      <c r="M2288" s="1" t="str">
        <f aca="false">IF(A2288="","",IF(AND(K2288="OK",L2288="OK"),"OK","CHECK"))</f>
        <v>OK</v>
      </c>
    </row>
    <row r="2289" customFormat="false" ht="18" hidden="false" customHeight="true" outlineLevel="0" collapsed="false">
      <c r="A2289" s="9" t="s">
        <v>26</v>
      </c>
      <c r="B2289" s="9" t="n">
        <v>25</v>
      </c>
      <c r="C2289" s="11" t="n">
        <v>45988</v>
      </c>
      <c r="D2289" s="9" t="s">
        <v>180</v>
      </c>
      <c r="E2289" s="12" t="n">
        <v>16</v>
      </c>
      <c r="F2289" s="9" t="s">
        <v>31</v>
      </c>
      <c r="G2289" s="13" t="n">
        <v>50</v>
      </c>
      <c r="H2289" s="9" t="s">
        <v>34</v>
      </c>
      <c r="I2289" s="13" t="n">
        <v>0</v>
      </c>
      <c r="J2289" s="1" t="str">
        <f aca="false">IF(A2289="","", "SAMP-"&amp;A2289&amp;"-L"&amp;TEXT(B2289,"00")&amp;"-"&amp;TEXT(C2289,"yyyymmdd")&amp;"-"&amp;D2289&amp;"-H"&amp;TEXT(E2289,"00")&amp;"-"&amp;H2289)</f>
        <v>SAMP-KG01-L25-20251127-ORD-2025-00291-H16-Thin Wall</v>
      </c>
      <c r="K2289" s="1" t="str">
        <f aca="false">IF(A2289="","",IF(AND(G2289&gt;=0,I2289&gt;=0,I2289&lt;=G2289),"OK","CHECK"))</f>
        <v>OK</v>
      </c>
      <c r="L2289" s="1" t="str">
        <f aca="false">IF(A2289="","",IF(AND(E2289&gt;=0,E2289&lt;=23),"OK","CHECK"))</f>
        <v>OK</v>
      </c>
      <c r="M2289" s="1" t="str">
        <f aca="false">IF(A2289="","",IF(AND(K2289="OK",L2289="OK"),"OK","CHECK"))</f>
        <v>OK</v>
      </c>
    </row>
    <row r="2290" customFormat="false" ht="18" hidden="false" customHeight="true" outlineLevel="0" collapsed="false">
      <c r="A2290" s="9" t="s">
        <v>26</v>
      </c>
      <c r="B2290" s="9" t="n">
        <v>25</v>
      </c>
      <c r="C2290" s="11" t="n">
        <v>45988</v>
      </c>
      <c r="D2290" s="9" t="s">
        <v>180</v>
      </c>
      <c r="E2290" s="12" t="n">
        <v>20</v>
      </c>
      <c r="F2290" s="9" t="s">
        <v>31</v>
      </c>
      <c r="G2290" s="13" t="n">
        <v>200</v>
      </c>
      <c r="H2290" s="9" t="s">
        <v>35</v>
      </c>
      <c r="I2290" s="13" t="n">
        <v>3</v>
      </c>
      <c r="J2290" s="1" t="str">
        <f aca="false">IF(A2290="","", "SAMP-"&amp;A2290&amp;"-L"&amp;TEXT(B2290,"00")&amp;"-"&amp;TEXT(C2290,"yyyymmdd")&amp;"-"&amp;D2290&amp;"-H"&amp;TEXT(E2290,"00")&amp;"-"&amp;H2290)</f>
        <v>SAMP-KG01-L25-20251127-ORD-2025-00291-H20-Stone</v>
      </c>
      <c r="K2290" s="1" t="str">
        <f aca="false">IF(A2290="","",IF(AND(G2290&gt;=0,I2290&gt;=0,I2290&lt;=G2290),"OK","CHECK"))</f>
        <v>OK</v>
      </c>
      <c r="L2290" s="1" t="str">
        <f aca="false">IF(A2290="","",IF(AND(E2290&gt;=0,E2290&lt;=23),"OK","CHECK"))</f>
        <v>OK</v>
      </c>
      <c r="M2290" s="1" t="str">
        <f aca="false">IF(A2290="","",IF(AND(K2290="OK",L2290="OK"),"OK","CHECK"))</f>
        <v>OK</v>
      </c>
    </row>
    <row r="2291" customFormat="false" ht="18" hidden="false" customHeight="true" outlineLevel="0" collapsed="false">
      <c r="A2291" s="9" t="s">
        <v>26</v>
      </c>
      <c r="B2291" s="9" t="n">
        <v>25</v>
      </c>
      <c r="C2291" s="11" t="n">
        <v>45989</v>
      </c>
      <c r="D2291" s="9" t="s">
        <v>181</v>
      </c>
      <c r="E2291" s="12" t="n">
        <v>9</v>
      </c>
      <c r="F2291" s="9" t="s">
        <v>28</v>
      </c>
      <c r="G2291" s="13" t="n">
        <v>150</v>
      </c>
      <c r="H2291" s="9" t="s">
        <v>30</v>
      </c>
      <c r="I2291" s="13" t="n">
        <v>5</v>
      </c>
      <c r="J2291" s="1" t="str">
        <f aca="false">IF(A2291="","", "SAMP-"&amp;A2291&amp;"-L"&amp;TEXT(B2291,"00")&amp;"-"&amp;TEXT(C2291,"yyyymmdd")&amp;"-"&amp;D2291&amp;"-H"&amp;TEXT(E2291,"00")&amp;"-"&amp;H2291)</f>
        <v>SAMP-KG01-L25-20251128-ORD-2025-00292-H09-Overpress</v>
      </c>
      <c r="K2291" s="1" t="str">
        <f aca="false">IF(A2291="","",IF(AND(G2291&gt;=0,I2291&gt;=0,I2291&lt;=G2291),"OK","CHECK"))</f>
        <v>OK</v>
      </c>
      <c r="L2291" s="1" t="str">
        <f aca="false">IF(A2291="","",IF(AND(E2291&gt;=0,E2291&lt;=23),"OK","CHECK"))</f>
        <v>OK</v>
      </c>
      <c r="M2291" s="1" t="str">
        <f aca="false">IF(A2291="","",IF(AND(K2291="OK",L2291="OK"),"OK","CHECK"))</f>
        <v>OK</v>
      </c>
    </row>
    <row r="2292" customFormat="false" ht="18" hidden="false" customHeight="true" outlineLevel="0" collapsed="false">
      <c r="A2292" s="9" t="s">
        <v>26</v>
      </c>
      <c r="B2292" s="9" t="n">
        <v>25</v>
      </c>
      <c r="C2292" s="11" t="n">
        <v>45989</v>
      </c>
      <c r="D2292" s="9" t="s">
        <v>181</v>
      </c>
      <c r="E2292" s="12" t="n">
        <v>12</v>
      </c>
      <c r="F2292" s="9" t="s">
        <v>28</v>
      </c>
      <c r="G2292" s="13" t="n">
        <v>150</v>
      </c>
      <c r="H2292" s="9" t="s">
        <v>41</v>
      </c>
      <c r="I2292" s="13" t="n">
        <v>1</v>
      </c>
      <c r="J2292" s="1" t="str">
        <f aca="false">IF(A2292="","", "SAMP-"&amp;A2292&amp;"-L"&amp;TEXT(B2292,"00")&amp;"-"&amp;TEXT(C2292,"yyyymmdd")&amp;"-"&amp;D2292&amp;"-H"&amp;TEXT(E2292,"00")&amp;"-"&amp;H2292)</f>
        <v>SAMP-KG01-L25-20251128-ORD-2025-00292-H12-Chip</v>
      </c>
      <c r="K2292" s="1" t="str">
        <f aca="false">IF(A2292="","",IF(AND(G2292&gt;=0,I2292&gt;=0,I2292&lt;=G2292),"OK","CHECK"))</f>
        <v>OK</v>
      </c>
      <c r="L2292" s="1" t="str">
        <f aca="false">IF(A2292="","",IF(AND(E2292&gt;=0,E2292&lt;=23),"OK","CHECK"))</f>
        <v>OK</v>
      </c>
      <c r="M2292" s="1" t="str">
        <f aca="false">IF(A2292="","",IF(AND(K2292="OK",L2292="OK"),"OK","CHECK"))</f>
        <v>OK</v>
      </c>
    </row>
    <row r="2293" customFormat="false" ht="18" hidden="false" customHeight="true" outlineLevel="0" collapsed="false">
      <c r="A2293" s="9" t="s">
        <v>26</v>
      </c>
      <c r="B2293" s="9" t="n">
        <v>25</v>
      </c>
      <c r="C2293" s="11" t="n">
        <v>45989</v>
      </c>
      <c r="D2293" s="9" t="s">
        <v>181</v>
      </c>
      <c r="E2293" s="12" t="n">
        <v>7</v>
      </c>
      <c r="F2293" s="9" t="s">
        <v>28</v>
      </c>
      <c r="G2293" s="13" t="n">
        <v>200</v>
      </c>
      <c r="H2293" s="9" t="s">
        <v>33</v>
      </c>
      <c r="I2293" s="13" t="n">
        <v>2</v>
      </c>
      <c r="J2293" s="1" t="str">
        <f aca="false">IF(A2293="","", "SAMP-"&amp;A2293&amp;"-L"&amp;TEXT(B2293,"00")&amp;"-"&amp;TEXT(C2293,"yyyymmdd")&amp;"-"&amp;D2293&amp;"-H"&amp;TEXT(E2293,"00")&amp;"-"&amp;H2293)</f>
        <v>SAMP-KG01-L25-20251128-ORD-2025-00292-H07-Distortion</v>
      </c>
      <c r="K2293" s="1" t="str">
        <f aca="false">IF(A2293="","",IF(AND(G2293&gt;=0,I2293&gt;=0,I2293&lt;=G2293),"OK","CHECK"))</f>
        <v>OK</v>
      </c>
      <c r="L2293" s="1" t="str">
        <f aca="false">IF(A2293="","",IF(AND(E2293&gt;=0,E2293&lt;=23),"OK","CHECK"))</f>
        <v>OK</v>
      </c>
      <c r="M2293" s="1" t="str">
        <f aca="false">IF(A2293="","",IF(AND(K2293="OK",L2293="OK"),"OK","CHECK"))</f>
        <v>OK</v>
      </c>
    </row>
    <row r="2294" customFormat="false" ht="18" hidden="false" customHeight="true" outlineLevel="0" collapsed="false">
      <c r="A2294" s="9" t="s">
        <v>26</v>
      </c>
      <c r="B2294" s="9" t="n">
        <v>25</v>
      </c>
      <c r="C2294" s="11" t="n">
        <v>45989</v>
      </c>
      <c r="D2294" s="9" t="s">
        <v>181</v>
      </c>
      <c r="E2294" s="12" t="n">
        <v>16</v>
      </c>
      <c r="F2294" s="9" t="s">
        <v>31</v>
      </c>
      <c r="G2294" s="13" t="n">
        <v>150</v>
      </c>
      <c r="H2294" s="9" t="s">
        <v>29</v>
      </c>
      <c r="I2294" s="13" t="n">
        <v>3</v>
      </c>
      <c r="J2294" s="1" t="str">
        <f aca="false">IF(A2294="","", "SAMP-"&amp;A2294&amp;"-L"&amp;TEXT(B2294,"00")&amp;"-"&amp;TEXT(C2294,"yyyymmdd")&amp;"-"&amp;D2294&amp;"-H"&amp;TEXT(E2294,"00")&amp;"-"&amp;H2294)</f>
        <v>SAMP-KG01-L25-20251128-ORD-2025-00292-H16-Choke Neck</v>
      </c>
      <c r="K2294" s="1" t="str">
        <f aca="false">IF(A2294="","",IF(AND(G2294&gt;=0,I2294&gt;=0,I2294&lt;=G2294),"OK","CHECK"))</f>
        <v>OK</v>
      </c>
      <c r="L2294" s="1" t="str">
        <f aca="false">IF(A2294="","",IF(AND(E2294&gt;=0,E2294&lt;=23),"OK","CHECK"))</f>
        <v>OK</v>
      </c>
      <c r="M2294" s="1" t="str">
        <f aca="false">IF(A2294="","",IF(AND(K2294="OK",L2294="OK"),"OK","CHECK"))</f>
        <v>OK</v>
      </c>
    </row>
    <row r="2295" customFormat="false" ht="18" hidden="false" customHeight="true" outlineLevel="0" collapsed="false">
      <c r="A2295" s="9" t="s">
        <v>26</v>
      </c>
      <c r="B2295" s="9" t="n">
        <v>25</v>
      </c>
      <c r="C2295" s="11" t="n">
        <v>45989</v>
      </c>
      <c r="D2295" s="9" t="s">
        <v>181</v>
      </c>
      <c r="E2295" s="12" t="n">
        <v>23</v>
      </c>
      <c r="F2295" s="9" t="s">
        <v>31</v>
      </c>
      <c r="G2295" s="13" t="n">
        <v>50</v>
      </c>
      <c r="H2295" s="9" t="s">
        <v>30</v>
      </c>
      <c r="I2295" s="13" t="n">
        <v>1</v>
      </c>
      <c r="J2295" s="1" t="str">
        <f aca="false">IF(A2295="","", "SAMP-"&amp;A2295&amp;"-L"&amp;TEXT(B2295,"00")&amp;"-"&amp;TEXT(C2295,"yyyymmdd")&amp;"-"&amp;D2295&amp;"-H"&amp;TEXT(E2295,"00")&amp;"-"&amp;H2295)</f>
        <v>SAMP-KG01-L25-20251128-ORD-2025-00292-H23-Overpress</v>
      </c>
      <c r="K2295" s="1" t="str">
        <f aca="false">IF(A2295="","",IF(AND(G2295&gt;=0,I2295&gt;=0,I2295&lt;=G2295),"OK","CHECK"))</f>
        <v>OK</v>
      </c>
      <c r="L2295" s="1" t="str">
        <f aca="false">IF(A2295="","",IF(AND(E2295&gt;=0,E2295&lt;=23),"OK","CHECK"))</f>
        <v>OK</v>
      </c>
      <c r="M2295" s="1" t="str">
        <f aca="false">IF(A2295="","",IF(AND(K2295="OK",L2295="OK"),"OK","CHECK"))</f>
        <v>OK</v>
      </c>
    </row>
    <row r="2296" customFormat="false" ht="18" hidden="false" customHeight="true" outlineLevel="0" collapsed="false">
      <c r="A2296" s="9" t="s">
        <v>26</v>
      </c>
      <c r="B2296" s="9" t="n">
        <v>25</v>
      </c>
      <c r="C2296" s="11" t="n">
        <v>45990</v>
      </c>
      <c r="D2296" s="9" t="s">
        <v>181</v>
      </c>
      <c r="E2296" s="12" t="n">
        <v>7</v>
      </c>
      <c r="F2296" s="9" t="s">
        <v>28</v>
      </c>
      <c r="G2296" s="13" t="n">
        <v>200</v>
      </c>
      <c r="H2296" s="9" t="s">
        <v>36</v>
      </c>
      <c r="I2296" s="13" t="n">
        <v>5</v>
      </c>
      <c r="J2296" s="1" t="str">
        <f aca="false">IF(A2296="","", "SAMP-"&amp;A2296&amp;"-L"&amp;TEXT(B2296,"00")&amp;"-"&amp;TEXT(C2296,"yyyymmdd")&amp;"-"&amp;D2296&amp;"-H"&amp;TEXT(E2296,"00")&amp;"-"&amp;H2296)</f>
        <v>SAMP-KG01-L25-20251129-ORD-2025-00292-H07-Blister</v>
      </c>
      <c r="K2296" s="1" t="str">
        <f aca="false">IF(A2296="","",IF(AND(G2296&gt;=0,I2296&gt;=0,I2296&lt;=G2296),"OK","CHECK"))</f>
        <v>OK</v>
      </c>
      <c r="L2296" s="1" t="str">
        <f aca="false">IF(A2296="","",IF(AND(E2296&gt;=0,E2296&lt;=23),"OK","CHECK"))</f>
        <v>OK</v>
      </c>
      <c r="M2296" s="1" t="str">
        <f aca="false">IF(A2296="","",IF(AND(K2296="OK",L2296="OK"),"OK","CHECK"))</f>
        <v>OK</v>
      </c>
    </row>
    <row r="2297" customFormat="false" ht="18" hidden="false" customHeight="true" outlineLevel="0" collapsed="false">
      <c r="A2297" s="9" t="s">
        <v>26</v>
      </c>
      <c r="B2297" s="9" t="n">
        <v>25</v>
      </c>
      <c r="C2297" s="11" t="n">
        <v>45990</v>
      </c>
      <c r="D2297" s="9" t="s">
        <v>181</v>
      </c>
      <c r="E2297" s="12" t="n">
        <v>12</v>
      </c>
      <c r="F2297" s="9" t="s">
        <v>28</v>
      </c>
      <c r="G2297" s="13" t="n">
        <v>100</v>
      </c>
      <c r="H2297" s="9" t="s">
        <v>29</v>
      </c>
      <c r="I2297" s="13" t="n">
        <v>3</v>
      </c>
      <c r="J2297" s="1" t="str">
        <f aca="false">IF(A2297="","", "SAMP-"&amp;A2297&amp;"-L"&amp;TEXT(B2297,"00")&amp;"-"&amp;TEXT(C2297,"yyyymmdd")&amp;"-"&amp;D2297&amp;"-H"&amp;TEXT(E2297,"00")&amp;"-"&amp;H2297)</f>
        <v>SAMP-KG01-L25-20251129-ORD-2025-00292-H12-Choke Neck</v>
      </c>
      <c r="K2297" s="1" t="str">
        <f aca="false">IF(A2297="","",IF(AND(G2297&gt;=0,I2297&gt;=0,I2297&lt;=G2297),"OK","CHECK"))</f>
        <v>OK</v>
      </c>
      <c r="L2297" s="1" t="str">
        <f aca="false">IF(A2297="","",IF(AND(E2297&gt;=0,E2297&lt;=23),"OK","CHECK"))</f>
        <v>OK</v>
      </c>
      <c r="M2297" s="1" t="str">
        <f aca="false">IF(A2297="","",IF(AND(K2297="OK",L2297="OK"),"OK","CHECK"))</f>
        <v>OK</v>
      </c>
    </row>
    <row r="2298" customFormat="false" ht="18" hidden="false" customHeight="true" outlineLevel="0" collapsed="false">
      <c r="A2298" s="9" t="s">
        <v>26</v>
      </c>
      <c r="B2298" s="9" t="n">
        <v>25</v>
      </c>
      <c r="C2298" s="11" t="n">
        <v>45990</v>
      </c>
      <c r="D2298" s="9" t="s">
        <v>181</v>
      </c>
      <c r="E2298" s="12" t="n">
        <v>9</v>
      </c>
      <c r="F2298" s="9" t="s">
        <v>28</v>
      </c>
      <c r="G2298" s="13" t="n">
        <v>150</v>
      </c>
      <c r="H2298" s="9" t="s">
        <v>29</v>
      </c>
      <c r="I2298" s="13" t="n">
        <v>3</v>
      </c>
      <c r="J2298" s="1" t="str">
        <f aca="false">IF(A2298="","", "SAMP-"&amp;A2298&amp;"-L"&amp;TEXT(B2298,"00")&amp;"-"&amp;TEXT(C2298,"yyyymmdd")&amp;"-"&amp;D2298&amp;"-H"&amp;TEXT(E2298,"00")&amp;"-"&amp;H2298)</f>
        <v>SAMP-KG01-L25-20251129-ORD-2025-00292-H09-Choke Neck</v>
      </c>
      <c r="K2298" s="1" t="str">
        <f aca="false">IF(A2298="","",IF(AND(G2298&gt;=0,I2298&gt;=0,I2298&lt;=G2298),"OK","CHECK"))</f>
        <v>OK</v>
      </c>
      <c r="L2298" s="1" t="str">
        <f aca="false">IF(A2298="","",IF(AND(E2298&gt;=0,E2298&lt;=23),"OK","CHECK"))</f>
        <v>OK</v>
      </c>
      <c r="M2298" s="1" t="str">
        <f aca="false">IF(A2298="","",IF(AND(K2298="OK",L2298="OK"),"OK","CHECK"))</f>
        <v>OK</v>
      </c>
    </row>
    <row r="2299" customFormat="false" ht="18" hidden="false" customHeight="true" outlineLevel="0" collapsed="false">
      <c r="A2299" s="9" t="s">
        <v>26</v>
      </c>
      <c r="B2299" s="9" t="n">
        <v>25</v>
      </c>
      <c r="C2299" s="11" t="n">
        <v>45990</v>
      </c>
      <c r="D2299" s="9" t="s">
        <v>181</v>
      </c>
      <c r="E2299" s="12" t="n">
        <v>20</v>
      </c>
      <c r="F2299" s="9" t="s">
        <v>31</v>
      </c>
      <c r="G2299" s="13" t="n">
        <v>50</v>
      </c>
      <c r="H2299" s="9" t="s">
        <v>29</v>
      </c>
      <c r="I2299" s="13" t="n">
        <v>0</v>
      </c>
      <c r="J2299" s="1" t="str">
        <f aca="false">IF(A2299="","", "SAMP-"&amp;A2299&amp;"-L"&amp;TEXT(B2299,"00")&amp;"-"&amp;TEXT(C2299,"yyyymmdd")&amp;"-"&amp;D2299&amp;"-H"&amp;TEXT(E2299,"00")&amp;"-"&amp;H2299)</f>
        <v>SAMP-KG01-L25-20251129-ORD-2025-00292-H20-Choke Neck</v>
      </c>
      <c r="K2299" s="1" t="str">
        <f aca="false">IF(A2299="","",IF(AND(G2299&gt;=0,I2299&gt;=0,I2299&lt;=G2299),"OK","CHECK"))</f>
        <v>OK</v>
      </c>
      <c r="L2299" s="1" t="str">
        <f aca="false">IF(A2299="","",IF(AND(E2299&gt;=0,E2299&lt;=23),"OK","CHECK"))</f>
        <v>OK</v>
      </c>
      <c r="M2299" s="1" t="str">
        <f aca="false">IF(A2299="","",IF(AND(K2299="OK",L2299="OK"),"OK","CHECK"))</f>
        <v>OK</v>
      </c>
    </row>
    <row r="2300" customFormat="false" ht="18" hidden="false" customHeight="true" outlineLevel="0" collapsed="false">
      <c r="A2300" s="9" t="s">
        <v>26</v>
      </c>
      <c r="B2300" s="9" t="n">
        <v>25</v>
      </c>
      <c r="C2300" s="11" t="n">
        <v>45990</v>
      </c>
      <c r="D2300" s="9" t="s">
        <v>181</v>
      </c>
      <c r="E2300" s="12" t="n">
        <v>23</v>
      </c>
      <c r="F2300" s="9" t="s">
        <v>31</v>
      </c>
      <c r="G2300" s="13" t="n">
        <v>150</v>
      </c>
      <c r="H2300" s="9" t="s">
        <v>30</v>
      </c>
      <c r="I2300" s="13" t="n">
        <v>3</v>
      </c>
      <c r="J2300" s="1" t="str">
        <f aca="false">IF(A2300="","", "SAMP-"&amp;A2300&amp;"-L"&amp;TEXT(B2300,"00")&amp;"-"&amp;TEXT(C2300,"yyyymmdd")&amp;"-"&amp;D2300&amp;"-H"&amp;TEXT(E2300,"00")&amp;"-"&amp;H2300)</f>
        <v>SAMP-KG01-L25-20251129-ORD-2025-00292-H23-Overpress</v>
      </c>
      <c r="K2300" s="1" t="str">
        <f aca="false">IF(A2300="","",IF(AND(G2300&gt;=0,I2300&gt;=0,I2300&lt;=G2300),"OK","CHECK"))</f>
        <v>OK</v>
      </c>
      <c r="L2300" s="1" t="str">
        <f aca="false">IF(A2300="","",IF(AND(E2300&gt;=0,E2300&lt;=23),"OK","CHECK"))</f>
        <v>OK</v>
      </c>
      <c r="M2300" s="1" t="str">
        <f aca="false">IF(A2300="","",IF(AND(K2300="OK",L2300="OK"),"OK","CHECK"))</f>
        <v>OK</v>
      </c>
    </row>
    <row r="2301" customFormat="false" ht="18" hidden="false" customHeight="true" outlineLevel="0" collapsed="false">
      <c r="A2301" s="9" t="s">
        <v>26</v>
      </c>
      <c r="B2301" s="9" t="n">
        <v>25</v>
      </c>
      <c r="C2301" s="11" t="n">
        <v>45990</v>
      </c>
      <c r="D2301" s="9" t="s">
        <v>181</v>
      </c>
      <c r="E2301" s="12" t="n">
        <v>16</v>
      </c>
      <c r="F2301" s="9" t="s">
        <v>31</v>
      </c>
      <c r="G2301" s="13" t="n">
        <v>50</v>
      </c>
      <c r="H2301" s="9" t="s">
        <v>29</v>
      </c>
      <c r="I2301" s="13" t="n">
        <v>1</v>
      </c>
      <c r="J2301" s="1" t="str">
        <f aca="false">IF(A2301="","", "SAMP-"&amp;A2301&amp;"-L"&amp;TEXT(B2301,"00")&amp;"-"&amp;TEXT(C2301,"yyyymmdd")&amp;"-"&amp;D2301&amp;"-H"&amp;TEXT(E2301,"00")&amp;"-"&amp;H2301)</f>
        <v>SAMP-KG01-L25-20251129-ORD-2025-00292-H16-Choke Neck</v>
      </c>
      <c r="K2301" s="1" t="str">
        <f aca="false">IF(A2301="","",IF(AND(G2301&gt;=0,I2301&gt;=0,I2301&lt;=G2301),"OK","CHECK"))</f>
        <v>OK</v>
      </c>
      <c r="L2301" s="1" t="str">
        <f aca="false">IF(A2301="","",IF(AND(E2301&gt;=0,E2301&lt;=23),"OK","CHECK"))</f>
        <v>OK</v>
      </c>
      <c r="M2301" s="1" t="str">
        <f aca="false">IF(A2301="","",IF(AND(K2301="OK",L2301="OK"),"OK","CHECK"))</f>
        <v>OK</v>
      </c>
    </row>
    <row r="2302" customFormat="false" ht="18" hidden="false" customHeight="true" outlineLevel="0" collapsed="false">
      <c r="A2302" s="9" t="s">
        <v>26</v>
      </c>
      <c r="B2302" s="9" t="n">
        <v>25</v>
      </c>
      <c r="C2302" s="11" t="n">
        <v>45991</v>
      </c>
      <c r="D2302" s="9" t="s">
        <v>181</v>
      </c>
      <c r="E2302" s="12" t="n">
        <v>9</v>
      </c>
      <c r="F2302" s="9" t="s">
        <v>28</v>
      </c>
      <c r="G2302" s="13" t="n">
        <v>100</v>
      </c>
      <c r="H2302" s="9" t="s">
        <v>33</v>
      </c>
      <c r="I2302" s="13" t="n">
        <v>4</v>
      </c>
      <c r="J2302" s="1" t="str">
        <f aca="false">IF(A2302="","", "SAMP-"&amp;A2302&amp;"-L"&amp;TEXT(B2302,"00")&amp;"-"&amp;TEXT(C2302,"yyyymmdd")&amp;"-"&amp;D2302&amp;"-H"&amp;TEXT(E2302,"00")&amp;"-"&amp;H2302)</f>
        <v>SAMP-KG01-L25-20251130-ORD-2025-00292-H09-Distortion</v>
      </c>
      <c r="K2302" s="1" t="str">
        <f aca="false">IF(A2302="","",IF(AND(G2302&gt;=0,I2302&gt;=0,I2302&lt;=G2302),"OK","CHECK"))</f>
        <v>OK</v>
      </c>
      <c r="L2302" s="1" t="str">
        <f aca="false">IF(A2302="","",IF(AND(E2302&gt;=0,E2302&lt;=23),"OK","CHECK"))</f>
        <v>OK</v>
      </c>
      <c r="M2302" s="1" t="str">
        <f aca="false">IF(A2302="","",IF(AND(K2302="OK",L2302="OK"),"OK","CHECK"))</f>
        <v>OK</v>
      </c>
    </row>
    <row r="2303" customFormat="false" ht="18" hidden="false" customHeight="true" outlineLevel="0" collapsed="false">
      <c r="A2303" s="9" t="s">
        <v>26</v>
      </c>
      <c r="B2303" s="9" t="n">
        <v>25</v>
      </c>
      <c r="C2303" s="11" t="n">
        <v>45991</v>
      </c>
      <c r="D2303" s="9" t="s">
        <v>181</v>
      </c>
      <c r="E2303" s="12" t="n">
        <v>7</v>
      </c>
      <c r="F2303" s="9" t="s">
        <v>28</v>
      </c>
      <c r="G2303" s="13" t="n">
        <v>50</v>
      </c>
      <c r="H2303" s="9" t="s">
        <v>37</v>
      </c>
      <c r="I2303" s="13" t="n">
        <v>0</v>
      </c>
      <c r="J2303" s="1" t="str">
        <f aca="false">IF(A2303="","", "SAMP-"&amp;A2303&amp;"-L"&amp;TEXT(B2303,"00")&amp;"-"&amp;TEXT(C2303,"yyyymmdd")&amp;"-"&amp;D2303&amp;"-H"&amp;TEXT(E2303,"00")&amp;"-"&amp;H2303)</f>
        <v>SAMP-KG01-L25-20251130-ORD-2025-00292-H07-Bird Swing</v>
      </c>
      <c r="K2303" s="1" t="str">
        <f aca="false">IF(A2303="","",IF(AND(G2303&gt;=0,I2303&gt;=0,I2303&lt;=G2303),"OK","CHECK"))</f>
        <v>OK</v>
      </c>
      <c r="L2303" s="1" t="str">
        <f aca="false">IF(A2303="","",IF(AND(E2303&gt;=0,E2303&lt;=23),"OK","CHECK"))</f>
        <v>OK</v>
      </c>
      <c r="M2303" s="1" t="str">
        <f aca="false">IF(A2303="","",IF(AND(K2303="OK",L2303="OK"),"OK","CHECK"))</f>
        <v>OK</v>
      </c>
    </row>
    <row r="2304" customFormat="false" ht="18" hidden="false" customHeight="true" outlineLevel="0" collapsed="false">
      <c r="A2304" s="9" t="s">
        <v>26</v>
      </c>
      <c r="B2304" s="9" t="n">
        <v>25</v>
      </c>
      <c r="C2304" s="11" t="n">
        <v>45991</v>
      </c>
      <c r="D2304" s="9" t="s">
        <v>181</v>
      </c>
      <c r="E2304" s="12" t="n">
        <v>20</v>
      </c>
      <c r="F2304" s="9" t="s">
        <v>31</v>
      </c>
      <c r="G2304" s="13" t="n">
        <v>200</v>
      </c>
      <c r="H2304" s="9" t="s">
        <v>30</v>
      </c>
      <c r="I2304" s="13" t="n">
        <v>7</v>
      </c>
      <c r="J2304" s="1" t="str">
        <f aca="false">IF(A2304="","", "SAMP-"&amp;A2304&amp;"-L"&amp;TEXT(B2304,"00")&amp;"-"&amp;TEXT(C2304,"yyyymmdd")&amp;"-"&amp;D2304&amp;"-H"&amp;TEXT(E2304,"00")&amp;"-"&amp;H2304)</f>
        <v>SAMP-KG01-L25-20251130-ORD-2025-00292-H20-Overpress</v>
      </c>
      <c r="K2304" s="1" t="str">
        <f aca="false">IF(A2304="","",IF(AND(G2304&gt;=0,I2304&gt;=0,I2304&lt;=G2304),"OK","CHECK"))</f>
        <v>OK</v>
      </c>
      <c r="L2304" s="1" t="str">
        <f aca="false">IF(A2304="","",IF(AND(E2304&gt;=0,E2304&lt;=23),"OK","CHECK"))</f>
        <v>OK</v>
      </c>
      <c r="M2304" s="1" t="str">
        <f aca="false">IF(A2304="","",IF(AND(K2304="OK",L2304="OK"),"OK","CHECK"))</f>
        <v>OK</v>
      </c>
    </row>
    <row r="2305" customFormat="false" ht="18" hidden="false" customHeight="true" outlineLevel="0" collapsed="false">
      <c r="A2305" s="9" t="s">
        <v>26</v>
      </c>
      <c r="B2305" s="9" t="n">
        <v>25</v>
      </c>
      <c r="C2305" s="11" t="n">
        <v>45991</v>
      </c>
      <c r="D2305" s="9" t="s">
        <v>181</v>
      </c>
      <c r="E2305" s="12" t="n">
        <v>16</v>
      </c>
      <c r="F2305" s="9" t="s">
        <v>31</v>
      </c>
      <c r="G2305" s="13" t="n">
        <v>150</v>
      </c>
      <c r="H2305" s="9" t="s">
        <v>37</v>
      </c>
      <c r="I2305" s="13" t="n">
        <v>3</v>
      </c>
      <c r="J2305" s="1" t="str">
        <f aca="false">IF(A2305="","", "SAMP-"&amp;A2305&amp;"-L"&amp;TEXT(B2305,"00")&amp;"-"&amp;TEXT(C2305,"yyyymmdd")&amp;"-"&amp;D2305&amp;"-H"&amp;TEXT(E2305,"00")&amp;"-"&amp;H2305)</f>
        <v>SAMP-KG01-L25-20251130-ORD-2025-00292-H16-Bird Swing</v>
      </c>
      <c r="K2305" s="1" t="str">
        <f aca="false">IF(A2305="","",IF(AND(G2305&gt;=0,I2305&gt;=0,I2305&lt;=G2305),"OK","CHECK"))</f>
        <v>OK</v>
      </c>
      <c r="L2305" s="1" t="str">
        <f aca="false">IF(A2305="","",IF(AND(E2305&gt;=0,E2305&lt;=23),"OK","CHECK"))</f>
        <v>OK</v>
      </c>
      <c r="M2305" s="1" t="str">
        <f aca="false">IF(A2305="","",IF(AND(K2305="OK",L2305="OK"),"OK","CHECK"))</f>
        <v>OK</v>
      </c>
    </row>
    <row r="2306" customFormat="false" ht="18" hidden="false" customHeight="true" outlineLevel="0" collapsed="false">
      <c r="A2306" s="9" t="s">
        <v>26</v>
      </c>
      <c r="B2306" s="9" t="n">
        <v>25</v>
      </c>
      <c r="C2306" s="11" t="n">
        <v>45991</v>
      </c>
      <c r="D2306" s="9" t="s">
        <v>181</v>
      </c>
      <c r="E2306" s="12" t="n">
        <v>23</v>
      </c>
      <c r="F2306" s="9" t="s">
        <v>31</v>
      </c>
      <c r="G2306" s="13" t="n">
        <v>150</v>
      </c>
      <c r="H2306" s="9" t="s">
        <v>35</v>
      </c>
      <c r="I2306" s="13" t="n">
        <v>3</v>
      </c>
      <c r="J2306" s="1" t="str">
        <f aca="false">IF(A2306="","", "SAMP-"&amp;A2306&amp;"-L"&amp;TEXT(B2306,"00")&amp;"-"&amp;TEXT(C2306,"yyyymmdd")&amp;"-"&amp;D2306&amp;"-H"&amp;TEXT(E2306,"00")&amp;"-"&amp;H2306)</f>
        <v>SAMP-KG01-L25-20251130-ORD-2025-00292-H23-Stone</v>
      </c>
      <c r="K2306" s="1" t="str">
        <f aca="false">IF(A2306="","",IF(AND(G2306&gt;=0,I2306&gt;=0,I2306&lt;=G2306),"OK","CHECK"))</f>
        <v>OK</v>
      </c>
      <c r="L2306" s="1" t="str">
        <f aca="false">IF(A2306="","",IF(AND(E2306&gt;=0,E2306&lt;=23),"OK","CHECK"))</f>
        <v>OK</v>
      </c>
      <c r="M2306" s="1" t="str">
        <f aca="false">IF(A2306="","",IF(AND(K2306="OK",L2306="OK"),"OK","CHECK"))</f>
        <v>OK</v>
      </c>
    </row>
    <row r="2307" customFormat="false" ht="18" hidden="false" customHeight="true" outlineLevel="0" collapsed="false">
      <c r="A2307" s="9" t="s">
        <v>26</v>
      </c>
      <c r="B2307" s="9" t="n">
        <v>25</v>
      </c>
      <c r="C2307" s="11" t="n">
        <v>45992</v>
      </c>
      <c r="D2307" s="9" t="s">
        <v>182</v>
      </c>
      <c r="E2307" s="12" t="n">
        <v>12</v>
      </c>
      <c r="F2307" s="9" t="s">
        <v>28</v>
      </c>
      <c r="G2307" s="13" t="n">
        <v>50</v>
      </c>
      <c r="H2307" s="9" t="s">
        <v>30</v>
      </c>
      <c r="I2307" s="13" t="n">
        <v>1</v>
      </c>
      <c r="J2307" s="1" t="str">
        <f aca="false">IF(A2307="","", "SAMP-"&amp;A2307&amp;"-L"&amp;TEXT(B2307,"00")&amp;"-"&amp;TEXT(C2307,"yyyymmdd")&amp;"-"&amp;D2307&amp;"-H"&amp;TEXT(E2307,"00")&amp;"-"&amp;H2307)</f>
        <v>SAMP-KG01-L25-20251201-ORD-2025-00293-H12-Overpress</v>
      </c>
      <c r="K2307" s="1" t="str">
        <f aca="false">IF(A2307="","",IF(AND(G2307&gt;=0,I2307&gt;=0,I2307&lt;=G2307),"OK","CHECK"))</f>
        <v>OK</v>
      </c>
      <c r="L2307" s="1" t="str">
        <f aca="false">IF(A2307="","",IF(AND(E2307&gt;=0,E2307&lt;=23),"OK","CHECK"))</f>
        <v>OK</v>
      </c>
      <c r="M2307" s="1" t="str">
        <f aca="false">IF(A2307="","",IF(AND(K2307="OK",L2307="OK"),"OK","CHECK"))</f>
        <v>OK</v>
      </c>
    </row>
    <row r="2308" customFormat="false" ht="18" hidden="false" customHeight="true" outlineLevel="0" collapsed="false">
      <c r="A2308" s="9" t="s">
        <v>26</v>
      </c>
      <c r="B2308" s="9" t="n">
        <v>25</v>
      </c>
      <c r="C2308" s="11" t="n">
        <v>45992</v>
      </c>
      <c r="D2308" s="9" t="s">
        <v>182</v>
      </c>
      <c r="E2308" s="12" t="n">
        <v>7</v>
      </c>
      <c r="F2308" s="9" t="s">
        <v>28</v>
      </c>
      <c r="G2308" s="13" t="n">
        <v>200</v>
      </c>
      <c r="H2308" s="9" t="s">
        <v>35</v>
      </c>
      <c r="I2308" s="13" t="n">
        <v>9</v>
      </c>
      <c r="J2308" s="1" t="str">
        <f aca="false">IF(A2308="","", "SAMP-"&amp;A2308&amp;"-L"&amp;TEXT(B2308,"00")&amp;"-"&amp;TEXT(C2308,"yyyymmdd")&amp;"-"&amp;D2308&amp;"-H"&amp;TEXT(E2308,"00")&amp;"-"&amp;H2308)</f>
        <v>SAMP-KG01-L25-20251201-ORD-2025-00293-H07-Stone</v>
      </c>
      <c r="K2308" s="1" t="str">
        <f aca="false">IF(A2308="","",IF(AND(G2308&gt;=0,I2308&gt;=0,I2308&lt;=G2308),"OK","CHECK"))</f>
        <v>OK</v>
      </c>
      <c r="L2308" s="1" t="str">
        <f aca="false">IF(A2308="","",IF(AND(E2308&gt;=0,E2308&lt;=23),"OK","CHECK"))</f>
        <v>OK</v>
      </c>
      <c r="M2308" s="1" t="str">
        <f aca="false">IF(A2308="","",IF(AND(K2308="OK",L2308="OK"),"OK","CHECK"))</f>
        <v>OK</v>
      </c>
    </row>
    <row r="2309" customFormat="false" ht="18" hidden="false" customHeight="true" outlineLevel="0" collapsed="false">
      <c r="A2309" s="9" t="s">
        <v>26</v>
      </c>
      <c r="B2309" s="9" t="n">
        <v>25</v>
      </c>
      <c r="C2309" s="11" t="n">
        <v>45992</v>
      </c>
      <c r="D2309" s="9" t="s">
        <v>182</v>
      </c>
      <c r="E2309" s="12" t="n">
        <v>9</v>
      </c>
      <c r="F2309" s="9" t="s">
        <v>28</v>
      </c>
      <c r="G2309" s="13" t="n">
        <v>200</v>
      </c>
      <c r="H2309" s="9" t="s">
        <v>36</v>
      </c>
      <c r="I2309" s="13" t="n">
        <v>2</v>
      </c>
      <c r="J2309" s="1" t="str">
        <f aca="false">IF(A2309="","", "SAMP-"&amp;A2309&amp;"-L"&amp;TEXT(B2309,"00")&amp;"-"&amp;TEXT(C2309,"yyyymmdd")&amp;"-"&amp;D2309&amp;"-H"&amp;TEXT(E2309,"00")&amp;"-"&amp;H2309)</f>
        <v>SAMP-KG01-L25-20251201-ORD-2025-00293-H09-Blister</v>
      </c>
      <c r="K2309" s="1" t="str">
        <f aca="false">IF(A2309="","",IF(AND(G2309&gt;=0,I2309&gt;=0,I2309&lt;=G2309),"OK","CHECK"))</f>
        <v>OK</v>
      </c>
      <c r="L2309" s="1" t="str">
        <f aca="false">IF(A2309="","",IF(AND(E2309&gt;=0,E2309&lt;=23),"OK","CHECK"))</f>
        <v>OK</v>
      </c>
      <c r="M2309" s="1" t="str">
        <f aca="false">IF(A2309="","",IF(AND(K2309="OK",L2309="OK"),"OK","CHECK"))</f>
        <v>OK</v>
      </c>
    </row>
    <row r="2310" customFormat="false" ht="18" hidden="false" customHeight="true" outlineLevel="0" collapsed="false">
      <c r="A2310" s="9" t="s">
        <v>26</v>
      </c>
      <c r="B2310" s="9" t="n">
        <v>25</v>
      </c>
      <c r="C2310" s="11" t="n">
        <v>45992</v>
      </c>
      <c r="D2310" s="9" t="s">
        <v>182</v>
      </c>
      <c r="E2310" s="12" t="n">
        <v>16</v>
      </c>
      <c r="F2310" s="9" t="s">
        <v>31</v>
      </c>
      <c r="G2310" s="13" t="n">
        <v>100</v>
      </c>
      <c r="H2310" s="9" t="s">
        <v>30</v>
      </c>
      <c r="I2310" s="13" t="n">
        <v>5</v>
      </c>
      <c r="J2310" s="1" t="str">
        <f aca="false">IF(A2310="","", "SAMP-"&amp;A2310&amp;"-L"&amp;TEXT(B2310,"00")&amp;"-"&amp;TEXT(C2310,"yyyymmdd")&amp;"-"&amp;D2310&amp;"-H"&amp;TEXT(E2310,"00")&amp;"-"&amp;H2310)</f>
        <v>SAMP-KG01-L25-20251201-ORD-2025-00293-H16-Overpress</v>
      </c>
      <c r="K2310" s="1" t="str">
        <f aca="false">IF(A2310="","",IF(AND(G2310&gt;=0,I2310&gt;=0,I2310&lt;=G2310),"OK","CHECK"))</f>
        <v>OK</v>
      </c>
      <c r="L2310" s="1" t="str">
        <f aca="false">IF(A2310="","",IF(AND(E2310&gt;=0,E2310&lt;=23),"OK","CHECK"))</f>
        <v>OK</v>
      </c>
      <c r="M2310" s="1" t="str">
        <f aca="false">IF(A2310="","",IF(AND(K2310="OK",L2310="OK"),"OK","CHECK"))</f>
        <v>OK</v>
      </c>
    </row>
    <row r="2311" customFormat="false" ht="18" hidden="false" customHeight="true" outlineLevel="0" collapsed="false">
      <c r="A2311" s="9" t="s">
        <v>26</v>
      </c>
      <c r="B2311" s="9" t="n">
        <v>25</v>
      </c>
      <c r="C2311" s="11" t="n">
        <v>45992</v>
      </c>
      <c r="D2311" s="9" t="s">
        <v>182</v>
      </c>
      <c r="E2311" s="12" t="n">
        <v>23</v>
      </c>
      <c r="F2311" s="9" t="s">
        <v>31</v>
      </c>
      <c r="G2311" s="13" t="n">
        <v>150</v>
      </c>
      <c r="H2311" s="9" t="s">
        <v>41</v>
      </c>
      <c r="I2311" s="13" t="n">
        <v>1</v>
      </c>
      <c r="J2311" s="1" t="str">
        <f aca="false">IF(A2311="","", "SAMP-"&amp;A2311&amp;"-L"&amp;TEXT(B2311,"00")&amp;"-"&amp;TEXT(C2311,"yyyymmdd")&amp;"-"&amp;D2311&amp;"-H"&amp;TEXT(E2311,"00")&amp;"-"&amp;H2311)</f>
        <v>SAMP-KG01-L25-20251201-ORD-2025-00293-H23-Chip</v>
      </c>
      <c r="K2311" s="1" t="str">
        <f aca="false">IF(A2311="","",IF(AND(G2311&gt;=0,I2311&gt;=0,I2311&lt;=G2311),"OK","CHECK"))</f>
        <v>OK</v>
      </c>
      <c r="L2311" s="1" t="str">
        <f aca="false">IF(A2311="","",IF(AND(E2311&gt;=0,E2311&lt;=23),"OK","CHECK"))</f>
        <v>OK</v>
      </c>
      <c r="M2311" s="1" t="str">
        <f aca="false">IF(A2311="","",IF(AND(K2311="OK",L2311="OK"),"OK","CHECK"))</f>
        <v>OK</v>
      </c>
    </row>
    <row r="2312" customFormat="false" ht="18" hidden="false" customHeight="true" outlineLevel="0" collapsed="false">
      <c r="A2312" s="9" t="s">
        <v>26</v>
      </c>
      <c r="B2312" s="9" t="n">
        <v>25</v>
      </c>
      <c r="C2312" s="11" t="n">
        <v>45992</v>
      </c>
      <c r="D2312" s="9" t="s">
        <v>182</v>
      </c>
      <c r="E2312" s="12" t="n">
        <v>20</v>
      </c>
      <c r="F2312" s="9" t="s">
        <v>31</v>
      </c>
      <c r="G2312" s="13" t="n">
        <v>50</v>
      </c>
      <c r="H2312" s="9" t="s">
        <v>36</v>
      </c>
      <c r="I2312" s="13" t="n">
        <v>1</v>
      </c>
      <c r="J2312" s="1" t="str">
        <f aca="false">IF(A2312="","", "SAMP-"&amp;A2312&amp;"-L"&amp;TEXT(B2312,"00")&amp;"-"&amp;TEXT(C2312,"yyyymmdd")&amp;"-"&amp;D2312&amp;"-H"&amp;TEXT(E2312,"00")&amp;"-"&amp;H2312)</f>
        <v>SAMP-KG01-L25-20251201-ORD-2025-00293-H20-Blister</v>
      </c>
      <c r="K2312" s="1" t="str">
        <f aca="false">IF(A2312="","",IF(AND(G2312&gt;=0,I2312&gt;=0,I2312&lt;=G2312),"OK","CHECK"))</f>
        <v>OK</v>
      </c>
      <c r="L2312" s="1" t="str">
        <f aca="false">IF(A2312="","",IF(AND(E2312&gt;=0,E2312&lt;=23),"OK","CHECK"))</f>
        <v>OK</v>
      </c>
      <c r="M2312" s="1" t="str">
        <f aca="false">IF(A2312="","",IF(AND(K2312="OK",L2312="OK"),"OK","CHECK"))</f>
        <v>OK</v>
      </c>
    </row>
    <row r="2313" customFormat="false" ht="18" hidden="false" customHeight="true" outlineLevel="0" collapsed="false">
      <c r="A2313" s="9" t="s">
        <v>26</v>
      </c>
      <c r="B2313" s="9" t="n">
        <v>25</v>
      </c>
      <c r="C2313" s="11" t="n">
        <v>45993</v>
      </c>
      <c r="D2313" s="9" t="s">
        <v>182</v>
      </c>
      <c r="E2313" s="12" t="n">
        <v>9</v>
      </c>
      <c r="F2313" s="9" t="s">
        <v>28</v>
      </c>
      <c r="G2313" s="13" t="n">
        <v>150</v>
      </c>
      <c r="H2313" s="9" t="s">
        <v>38</v>
      </c>
      <c r="I2313" s="13" t="n">
        <v>0</v>
      </c>
      <c r="J2313" s="1" t="str">
        <f aca="false">IF(A2313="","", "SAMP-"&amp;A2313&amp;"-L"&amp;TEXT(B2313,"00")&amp;"-"&amp;TEXT(C2313,"yyyymmdd")&amp;"-"&amp;D2313&amp;"-H"&amp;TEXT(E2313,"00")&amp;"-"&amp;H2313)</f>
        <v>SAMP-KG01-L25-20251202-ORD-2025-00293-H09-Crack</v>
      </c>
      <c r="K2313" s="1" t="str">
        <f aca="false">IF(A2313="","",IF(AND(G2313&gt;=0,I2313&gt;=0,I2313&lt;=G2313),"OK","CHECK"))</f>
        <v>OK</v>
      </c>
      <c r="L2313" s="1" t="str">
        <f aca="false">IF(A2313="","",IF(AND(E2313&gt;=0,E2313&lt;=23),"OK","CHECK"))</f>
        <v>OK</v>
      </c>
      <c r="M2313" s="1" t="str">
        <f aca="false">IF(A2313="","",IF(AND(K2313="OK",L2313="OK"),"OK","CHECK"))</f>
        <v>OK</v>
      </c>
    </row>
    <row r="2314" customFormat="false" ht="18" hidden="false" customHeight="true" outlineLevel="0" collapsed="false">
      <c r="A2314" s="9" t="s">
        <v>26</v>
      </c>
      <c r="B2314" s="9" t="n">
        <v>25</v>
      </c>
      <c r="C2314" s="11" t="n">
        <v>45993</v>
      </c>
      <c r="D2314" s="9" t="s">
        <v>182</v>
      </c>
      <c r="E2314" s="12" t="n">
        <v>12</v>
      </c>
      <c r="F2314" s="9" t="s">
        <v>28</v>
      </c>
      <c r="G2314" s="13" t="n">
        <v>100</v>
      </c>
      <c r="H2314" s="9" t="s">
        <v>41</v>
      </c>
      <c r="I2314" s="13" t="n">
        <v>5</v>
      </c>
      <c r="J2314" s="1" t="str">
        <f aca="false">IF(A2314="","", "SAMP-"&amp;A2314&amp;"-L"&amp;TEXT(B2314,"00")&amp;"-"&amp;TEXT(C2314,"yyyymmdd")&amp;"-"&amp;D2314&amp;"-H"&amp;TEXT(E2314,"00")&amp;"-"&amp;H2314)</f>
        <v>SAMP-KG01-L25-20251202-ORD-2025-00293-H12-Chip</v>
      </c>
      <c r="K2314" s="1" t="str">
        <f aca="false">IF(A2314="","",IF(AND(G2314&gt;=0,I2314&gt;=0,I2314&lt;=G2314),"OK","CHECK"))</f>
        <v>OK</v>
      </c>
      <c r="L2314" s="1" t="str">
        <f aca="false">IF(A2314="","",IF(AND(E2314&gt;=0,E2314&lt;=23),"OK","CHECK"))</f>
        <v>OK</v>
      </c>
      <c r="M2314" s="1" t="str">
        <f aca="false">IF(A2314="","",IF(AND(K2314="OK",L2314="OK"),"OK","CHECK"))</f>
        <v>OK</v>
      </c>
    </row>
    <row r="2315" customFormat="false" ht="18" hidden="false" customHeight="true" outlineLevel="0" collapsed="false">
      <c r="A2315" s="9" t="s">
        <v>26</v>
      </c>
      <c r="B2315" s="9" t="n">
        <v>25</v>
      </c>
      <c r="C2315" s="11" t="n">
        <v>45993</v>
      </c>
      <c r="D2315" s="9" t="s">
        <v>182</v>
      </c>
      <c r="E2315" s="12" t="n">
        <v>7</v>
      </c>
      <c r="F2315" s="9" t="s">
        <v>28</v>
      </c>
      <c r="G2315" s="13" t="n">
        <v>150</v>
      </c>
      <c r="H2315" s="9" t="s">
        <v>33</v>
      </c>
      <c r="I2315" s="13" t="n">
        <v>0</v>
      </c>
      <c r="J2315" s="1" t="str">
        <f aca="false">IF(A2315="","", "SAMP-"&amp;A2315&amp;"-L"&amp;TEXT(B2315,"00")&amp;"-"&amp;TEXT(C2315,"yyyymmdd")&amp;"-"&amp;D2315&amp;"-H"&amp;TEXT(E2315,"00")&amp;"-"&amp;H2315)</f>
        <v>SAMP-KG01-L25-20251202-ORD-2025-00293-H07-Distortion</v>
      </c>
      <c r="K2315" s="1" t="str">
        <f aca="false">IF(A2315="","",IF(AND(G2315&gt;=0,I2315&gt;=0,I2315&lt;=G2315),"OK","CHECK"))</f>
        <v>OK</v>
      </c>
      <c r="L2315" s="1" t="str">
        <f aca="false">IF(A2315="","",IF(AND(E2315&gt;=0,E2315&lt;=23),"OK","CHECK"))</f>
        <v>OK</v>
      </c>
      <c r="M2315" s="1" t="str">
        <f aca="false">IF(A2315="","",IF(AND(K2315="OK",L2315="OK"),"OK","CHECK"))</f>
        <v>OK</v>
      </c>
    </row>
    <row r="2316" customFormat="false" ht="18" hidden="false" customHeight="true" outlineLevel="0" collapsed="false">
      <c r="A2316" s="9" t="s">
        <v>26</v>
      </c>
      <c r="B2316" s="9" t="n">
        <v>25</v>
      </c>
      <c r="C2316" s="11" t="n">
        <v>45993</v>
      </c>
      <c r="D2316" s="9" t="s">
        <v>182</v>
      </c>
      <c r="E2316" s="12" t="n">
        <v>16</v>
      </c>
      <c r="F2316" s="9" t="s">
        <v>31</v>
      </c>
      <c r="G2316" s="13" t="n">
        <v>150</v>
      </c>
      <c r="H2316" s="9" t="s">
        <v>37</v>
      </c>
      <c r="I2316" s="13" t="n">
        <v>2</v>
      </c>
      <c r="J2316" s="1" t="str">
        <f aca="false">IF(A2316="","", "SAMP-"&amp;A2316&amp;"-L"&amp;TEXT(B2316,"00")&amp;"-"&amp;TEXT(C2316,"yyyymmdd")&amp;"-"&amp;D2316&amp;"-H"&amp;TEXT(E2316,"00")&amp;"-"&amp;H2316)</f>
        <v>SAMP-KG01-L25-20251202-ORD-2025-00293-H16-Bird Swing</v>
      </c>
      <c r="K2316" s="1" t="str">
        <f aca="false">IF(A2316="","",IF(AND(G2316&gt;=0,I2316&gt;=0,I2316&lt;=G2316),"OK","CHECK"))</f>
        <v>OK</v>
      </c>
      <c r="L2316" s="1" t="str">
        <f aca="false">IF(A2316="","",IF(AND(E2316&gt;=0,E2316&lt;=23),"OK","CHECK"))</f>
        <v>OK</v>
      </c>
      <c r="M2316" s="1" t="str">
        <f aca="false">IF(A2316="","",IF(AND(K2316="OK",L2316="OK"),"OK","CHECK"))</f>
        <v>OK</v>
      </c>
    </row>
    <row r="2317" customFormat="false" ht="18" hidden="false" customHeight="true" outlineLevel="0" collapsed="false">
      <c r="A2317" s="9" t="s">
        <v>26</v>
      </c>
      <c r="B2317" s="9" t="n">
        <v>25</v>
      </c>
      <c r="C2317" s="11" t="n">
        <v>45993</v>
      </c>
      <c r="D2317" s="9" t="s">
        <v>182</v>
      </c>
      <c r="E2317" s="12" t="n">
        <v>20</v>
      </c>
      <c r="F2317" s="9" t="s">
        <v>31</v>
      </c>
      <c r="G2317" s="13" t="n">
        <v>100</v>
      </c>
      <c r="H2317" s="9" t="s">
        <v>30</v>
      </c>
      <c r="I2317" s="13" t="n">
        <v>2</v>
      </c>
      <c r="J2317" s="1" t="str">
        <f aca="false">IF(A2317="","", "SAMP-"&amp;A2317&amp;"-L"&amp;TEXT(B2317,"00")&amp;"-"&amp;TEXT(C2317,"yyyymmdd")&amp;"-"&amp;D2317&amp;"-H"&amp;TEXT(E2317,"00")&amp;"-"&amp;H2317)</f>
        <v>SAMP-KG01-L25-20251202-ORD-2025-00293-H20-Overpress</v>
      </c>
      <c r="K2317" s="1" t="str">
        <f aca="false">IF(A2317="","",IF(AND(G2317&gt;=0,I2317&gt;=0,I2317&lt;=G2317),"OK","CHECK"))</f>
        <v>OK</v>
      </c>
      <c r="L2317" s="1" t="str">
        <f aca="false">IF(A2317="","",IF(AND(E2317&gt;=0,E2317&lt;=23),"OK","CHECK"))</f>
        <v>OK</v>
      </c>
      <c r="M2317" s="1" t="str">
        <f aca="false">IF(A2317="","",IF(AND(K2317="OK",L2317="OK"),"OK","CHECK"))</f>
        <v>OK</v>
      </c>
    </row>
    <row r="2318" customFormat="false" ht="18" hidden="false" customHeight="true" outlineLevel="0" collapsed="false">
      <c r="A2318" s="9" t="s">
        <v>26</v>
      </c>
      <c r="B2318" s="9" t="n">
        <v>25</v>
      </c>
      <c r="C2318" s="11" t="n">
        <v>45993</v>
      </c>
      <c r="D2318" s="9" t="s">
        <v>182</v>
      </c>
      <c r="E2318" s="12" t="n">
        <v>23</v>
      </c>
      <c r="F2318" s="9" t="s">
        <v>31</v>
      </c>
      <c r="G2318" s="13" t="n">
        <v>100</v>
      </c>
      <c r="H2318" s="9" t="s">
        <v>30</v>
      </c>
      <c r="I2318" s="13" t="n">
        <v>2</v>
      </c>
      <c r="J2318" s="1" t="str">
        <f aca="false">IF(A2318="","", "SAMP-"&amp;A2318&amp;"-L"&amp;TEXT(B2318,"00")&amp;"-"&amp;TEXT(C2318,"yyyymmdd")&amp;"-"&amp;D2318&amp;"-H"&amp;TEXT(E2318,"00")&amp;"-"&amp;H2318)</f>
        <v>SAMP-KG01-L25-20251202-ORD-2025-00293-H23-Overpress</v>
      </c>
      <c r="K2318" s="1" t="str">
        <f aca="false">IF(A2318="","",IF(AND(G2318&gt;=0,I2318&gt;=0,I2318&lt;=G2318),"OK","CHECK"))</f>
        <v>OK</v>
      </c>
      <c r="L2318" s="1" t="str">
        <f aca="false">IF(A2318="","",IF(AND(E2318&gt;=0,E2318&lt;=23),"OK","CHECK"))</f>
        <v>OK</v>
      </c>
      <c r="M2318" s="1" t="str">
        <f aca="false">IF(A2318="","",IF(AND(K2318="OK",L2318="OK"),"OK","CHECK"))</f>
        <v>OK</v>
      </c>
    </row>
    <row r="2319" customFormat="false" ht="18" hidden="false" customHeight="true" outlineLevel="0" collapsed="false">
      <c r="A2319" s="9" t="s">
        <v>26</v>
      </c>
      <c r="B2319" s="9" t="n">
        <v>25</v>
      </c>
      <c r="C2319" s="11" t="n">
        <v>45994</v>
      </c>
      <c r="D2319" s="9" t="s">
        <v>182</v>
      </c>
      <c r="E2319" s="12" t="n">
        <v>9</v>
      </c>
      <c r="F2319" s="9" t="s">
        <v>28</v>
      </c>
      <c r="G2319" s="13" t="n">
        <v>150</v>
      </c>
      <c r="H2319" s="9" t="s">
        <v>30</v>
      </c>
      <c r="I2319" s="13" t="n">
        <v>8</v>
      </c>
      <c r="J2319" s="1" t="str">
        <f aca="false">IF(A2319="","", "SAMP-"&amp;A2319&amp;"-L"&amp;TEXT(B2319,"00")&amp;"-"&amp;TEXT(C2319,"yyyymmdd")&amp;"-"&amp;D2319&amp;"-H"&amp;TEXT(E2319,"00")&amp;"-"&amp;H2319)</f>
        <v>SAMP-KG01-L25-20251203-ORD-2025-00293-H09-Overpress</v>
      </c>
      <c r="K2319" s="1" t="str">
        <f aca="false">IF(A2319="","",IF(AND(G2319&gt;=0,I2319&gt;=0,I2319&lt;=G2319),"OK","CHECK"))</f>
        <v>OK</v>
      </c>
      <c r="L2319" s="1" t="str">
        <f aca="false">IF(A2319="","",IF(AND(E2319&gt;=0,E2319&lt;=23),"OK","CHECK"))</f>
        <v>OK</v>
      </c>
      <c r="M2319" s="1" t="str">
        <f aca="false">IF(A2319="","",IF(AND(K2319="OK",L2319="OK"),"OK","CHECK"))</f>
        <v>OK</v>
      </c>
    </row>
    <row r="2320" customFormat="false" ht="18" hidden="false" customHeight="true" outlineLevel="0" collapsed="false">
      <c r="A2320" s="9" t="s">
        <v>26</v>
      </c>
      <c r="B2320" s="9" t="n">
        <v>25</v>
      </c>
      <c r="C2320" s="11" t="n">
        <v>45994</v>
      </c>
      <c r="D2320" s="9" t="s">
        <v>182</v>
      </c>
      <c r="E2320" s="12" t="n">
        <v>12</v>
      </c>
      <c r="F2320" s="9" t="s">
        <v>28</v>
      </c>
      <c r="G2320" s="13" t="n">
        <v>50</v>
      </c>
      <c r="H2320" s="9" t="s">
        <v>34</v>
      </c>
      <c r="I2320" s="13" t="n">
        <v>0</v>
      </c>
      <c r="J2320" s="1" t="str">
        <f aca="false">IF(A2320="","", "SAMP-"&amp;A2320&amp;"-L"&amp;TEXT(B2320,"00")&amp;"-"&amp;TEXT(C2320,"yyyymmdd")&amp;"-"&amp;D2320&amp;"-H"&amp;TEXT(E2320,"00")&amp;"-"&amp;H2320)</f>
        <v>SAMP-KG01-L25-20251203-ORD-2025-00293-H12-Thin Wall</v>
      </c>
      <c r="K2320" s="1" t="str">
        <f aca="false">IF(A2320="","",IF(AND(G2320&gt;=0,I2320&gt;=0,I2320&lt;=G2320),"OK","CHECK"))</f>
        <v>OK</v>
      </c>
      <c r="L2320" s="1" t="str">
        <f aca="false">IF(A2320="","",IF(AND(E2320&gt;=0,E2320&lt;=23),"OK","CHECK"))</f>
        <v>OK</v>
      </c>
      <c r="M2320" s="1" t="str">
        <f aca="false">IF(A2320="","",IF(AND(K2320="OK",L2320="OK"),"OK","CHECK"))</f>
        <v>OK</v>
      </c>
    </row>
    <row r="2321" customFormat="false" ht="18" hidden="false" customHeight="true" outlineLevel="0" collapsed="false">
      <c r="A2321" s="9" t="s">
        <v>26</v>
      </c>
      <c r="B2321" s="9" t="n">
        <v>25</v>
      </c>
      <c r="C2321" s="11" t="n">
        <v>45994</v>
      </c>
      <c r="D2321" s="9" t="s">
        <v>182</v>
      </c>
      <c r="E2321" s="12" t="n">
        <v>7</v>
      </c>
      <c r="F2321" s="9" t="s">
        <v>28</v>
      </c>
      <c r="G2321" s="13" t="n">
        <v>50</v>
      </c>
      <c r="H2321" s="9" t="s">
        <v>34</v>
      </c>
      <c r="I2321" s="13" t="n">
        <v>1</v>
      </c>
      <c r="J2321" s="1" t="str">
        <f aca="false">IF(A2321="","", "SAMP-"&amp;A2321&amp;"-L"&amp;TEXT(B2321,"00")&amp;"-"&amp;TEXT(C2321,"yyyymmdd")&amp;"-"&amp;D2321&amp;"-H"&amp;TEXT(E2321,"00")&amp;"-"&amp;H2321)</f>
        <v>SAMP-KG01-L25-20251203-ORD-2025-00293-H07-Thin Wall</v>
      </c>
      <c r="K2321" s="1" t="str">
        <f aca="false">IF(A2321="","",IF(AND(G2321&gt;=0,I2321&gt;=0,I2321&lt;=G2321),"OK","CHECK"))</f>
        <v>OK</v>
      </c>
      <c r="L2321" s="1" t="str">
        <f aca="false">IF(A2321="","",IF(AND(E2321&gt;=0,E2321&lt;=23),"OK","CHECK"))</f>
        <v>OK</v>
      </c>
      <c r="M2321" s="1" t="str">
        <f aca="false">IF(A2321="","",IF(AND(K2321="OK",L2321="OK"),"OK","CHECK"))</f>
        <v>OK</v>
      </c>
    </row>
    <row r="2322" customFormat="false" ht="18" hidden="false" customHeight="true" outlineLevel="0" collapsed="false">
      <c r="A2322" s="9" t="s">
        <v>26</v>
      </c>
      <c r="B2322" s="9" t="n">
        <v>25</v>
      </c>
      <c r="C2322" s="11" t="n">
        <v>45994</v>
      </c>
      <c r="D2322" s="9" t="s">
        <v>183</v>
      </c>
      <c r="E2322" s="12" t="n">
        <v>16</v>
      </c>
      <c r="F2322" s="9" t="s">
        <v>31</v>
      </c>
      <c r="G2322" s="13" t="n">
        <v>200</v>
      </c>
      <c r="H2322" s="9" t="s">
        <v>34</v>
      </c>
      <c r="I2322" s="13" t="n">
        <v>3</v>
      </c>
      <c r="J2322" s="1" t="str">
        <f aca="false">IF(A2322="","", "SAMP-"&amp;A2322&amp;"-L"&amp;TEXT(B2322,"00")&amp;"-"&amp;TEXT(C2322,"yyyymmdd")&amp;"-"&amp;D2322&amp;"-H"&amp;TEXT(E2322,"00")&amp;"-"&amp;H2322)</f>
        <v>SAMP-KG01-L25-20251203-ORD-2025-00294-H16-Thin Wall</v>
      </c>
      <c r="K2322" s="1" t="str">
        <f aca="false">IF(A2322="","",IF(AND(G2322&gt;=0,I2322&gt;=0,I2322&lt;=G2322),"OK","CHECK"))</f>
        <v>OK</v>
      </c>
      <c r="L2322" s="1" t="str">
        <f aca="false">IF(A2322="","",IF(AND(E2322&gt;=0,E2322&lt;=23),"OK","CHECK"))</f>
        <v>OK</v>
      </c>
      <c r="M2322" s="1" t="str">
        <f aca="false">IF(A2322="","",IF(AND(K2322="OK",L2322="OK"),"OK","CHECK"))</f>
        <v>OK</v>
      </c>
    </row>
    <row r="2323" customFormat="false" ht="18" hidden="false" customHeight="true" outlineLevel="0" collapsed="false">
      <c r="A2323" s="9" t="s">
        <v>26</v>
      </c>
      <c r="B2323" s="9" t="n">
        <v>25</v>
      </c>
      <c r="C2323" s="11" t="n">
        <v>45994</v>
      </c>
      <c r="D2323" s="9" t="s">
        <v>183</v>
      </c>
      <c r="E2323" s="12" t="n">
        <v>23</v>
      </c>
      <c r="F2323" s="9" t="s">
        <v>31</v>
      </c>
      <c r="G2323" s="13" t="n">
        <v>150</v>
      </c>
      <c r="H2323" s="9" t="s">
        <v>35</v>
      </c>
      <c r="I2323" s="13" t="n">
        <v>4</v>
      </c>
      <c r="J2323" s="1" t="str">
        <f aca="false">IF(A2323="","", "SAMP-"&amp;A2323&amp;"-L"&amp;TEXT(B2323,"00")&amp;"-"&amp;TEXT(C2323,"yyyymmdd")&amp;"-"&amp;D2323&amp;"-H"&amp;TEXT(E2323,"00")&amp;"-"&amp;H2323)</f>
        <v>SAMP-KG01-L25-20251203-ORD-2025-00294-H23-Stone</v>
      </c>
      <c r="K2323" s="1" t="str">
        <f aca="false">IF(A2323="","",IF(AND(G2323&gt;=0,I2323&gt;=0,I2323&lt;=G2323),"OK","CHECK"))</f>
        <v>OK</v>
      </c>
      <c r="L2323" s="1" t="str">
        <f aca="false">IF(A2323="","",IF(AND(E2323&gt;=0,E2323&lt;=23),"OK","CHECK"))</f>
        <v>OK</v>
      </c>
      <c r="M2323" s="1" t="str">
        <f aca="false">IF(A2323="","",IF(AND(K2323="OK",L2323="OK"),"OK","CHECK"))</f>
        <v>OK</v>
      </c>
    </row>
    <row r="2324" customFormat="false" ht="18" hidden="false" customHeight="true" outlineLevel="0" collapsed="false">
      <c r="A2324" s="9" t="s">
        <v>26</v>
      </c>
      <c r="B2324" s="9" t="n">
        <v>25</v>
      </c>
      <c r="C2324" s="11" t="n">
        <v>45994</v>
      </c>
      <c r="D2324" s="9" t="s">
        <v>183</v>
      </c>
      <c r="E2324" s="12" t="n">
        <v>20</v>
      </c>
      <c r="F2324" s="9" t="s">
        <v>31</v>
      </c>
      <c r="G2324" s="13" t="n">
        <v>50</v>
      </c>
      <c r="H2324" s="9" t="s">
        <v>35</v>
      </c>
      <c r="I2324" s="13" t="n">
        <v>1</v>
      </c>
      <c r="J2324" s="1" t="str">
        <f aca="false">IF(A2324="","", "SAMP-"&amp;A2324&amp;"-L"&amp;TEXT(B2324,"00")&amp;"-"&amp;TEXT(C2324,"yyyymmdd")&amp;"-"&amp;D2324&amp;"-H"&amp;TEXT(E2324,"00")&amp;"-"&amp;H2324)</f>
        <v>SAMP-KG01-L25-20251203-ORD-2025-00294-H20-Stone</v>
      </c>
      <c r="K2324" s="1" t="str">
        <f aca="false">IF(A2324="","",IF(AND(G2324&gt;=0,I2324&gt;=0,I2324&lt;=G2324),"OK","CHECK"))</f>
        <v>OK</v>
      </c>
      <c r="L2324" s="1" t="str">
        <f aca="false">IF(A2324="","",IF(AND(E2324&gt;=0,E2324&lt;=23),"OK","CHECK"))</f>
        <v>OK</v>
      </c>
      <c r="M2324" s="1" t="str">
        <f aca="false">IF(A2324="","",IF(AND(K2324="OK",L2324="OK"),"OK","CHECK"))</f>
        <v>OK</v>
      </c>
    </row>
    <row r="2325" customFormat="false" ht="18" hidden="false" customHeight="true" outlineLevel="0" collapsed="false">
      <c r="A2325" s="9" t="s">
        <v>26</v>
      </c>
      <c r="B2325" s="9" t="n">
        <v>25</v>
      </c>
      <c r="C2325" s="11" t="n">
        <v>45995</v>
      </c>
      <c r="D2325" s="9" t="s">
        <v>183</v>
      </c>
      <c r="E2325" s="12" t="n">
        <v>12</v>
      </c>
      <c r="F2325" s="9" t="s">
        <v>28</v>
      </c>
      <c r="G2325" s="13" t="n">
        <v>150</v>
      </c>
      <c r="H2325" s="9" t="s">
        <v>29</v>
      </c>
      <c r="I2325" s="13" t="n">
        <v>2</v>
      </c>
      <c r="J2325" s="1" t="str">
        <f aca="false">IF(A2325="","", "SAMP-"&amp;A2325&amp;"-L"&amp;TEXT(B2325,"00")&amp;"-"&amp;TEXT(C2325,"yyyymmdd")&amp;"-"&amp;D2325&amp;"-H"&amp;TEXT(E2325,"00")&amp;"-"&amp;H2325)</f>
        <v>SAMP-KG01-L25-20251204-ORD-2025-00294-H12-Choke Neck</v>
      </c>
      <c r="K2325" s="1" t="str">
        <f aca="false">IF(A2325="","",IF(AND(G2325&gt;=0,I2325&gt;=0,I2325&lt;=G2325),"OK","CHECK"))</f>
        <v>OK</v>
      </c>
      <c r="L2325" s="1" t="str">
        <f aca="false">IF(A2325="","",IF(AND(E2325&gt;=0,E2325&lt;=23),"OK","CHECK"))</f>
        <v>OK</v>
      </c>
      <c r="M2325" s="1" t="str">
        <f aca="false">IF(A2325="","",IF(AND(K2325="OK",L2325="OK"),"OK","CHECK"))</f>
        <v>OK</v>
      </c>
    </row>
    <row r="2326" customFormat="false" ht="18" hidden="false" customHeight="true" outlineLevel="0" collapsed="false">
      <c r="A2326" s="9" t="s">
        <v>26</v>
      </c>
      <c r="B2326" s="9" t="n">
        <v>25</v>
      </c>
      <c r="C2326" s="11" t="n">
        <v>45995</v>
      </c>
      <c r="D2326" s="9" t="s">
        <v>183</v>
      </c>
      <c r="E2326" s="12" t="n">
        <v>7</v>
      </c>
      <c r="F2326" s="9" t="s">
        <v>28</v>
      </c>
      <c r="G2326" s="13" t="n">
        <v>100</v>
      </c>
      <c r="H2326" s="9" t="s">
        <v>29</v>
      </c>
      <c r="I2326" s="13" t="n">
        <v>2</v>
      </c>
      <c r="J2326" s="1" t="str">
        <f aca="false">IF(A2326="","", "SAMP-"&amp;A2326&amp;"-L"&amp;TEXT(B2326,"00")&amp;"-"&amp;TEXT(C2326,"yyyymmdd")&amp;"-"&amp;D2326&amp;"-H"&amp;TEXT(E2326,"00")&amp;"-"&amp;H2326)</f>
        <v>SAMP-KG01-L25-20251204-ORD-2025-00294-H07-Choke Neck</v>
      </c>
      <c r="K2326" s="1" t="str">
        <f aca="false">IF(A2326="","",IF(AND(G2326&gt;=0,I2326&gt;=0,I2326&lt;=G2326),"OK","CHECK"))</f>
        <v>OK</v>
      </c>
      <c r="L2326" s="1" t="str">
        <f aca="false">IF(A2326="","",IF(AND(E2326&gt;=0,E2326&lt;=23),"OK","CHECK"))</f>
        <v>OK</v>
      </c>
      <c r="M2326" s="1" t="str">
        <f aca="false">IF(A2326="","",IF(AND(K2326="OK",L2326="OK"),"OK","CHECK"))</f>
        <v>OK</v>
      </c>
    </row>
    <row r="2327" customFormat="false" ht="18" hidden="false" customHeight="true" outlineLevel="0" collapsed="false">
      <c r="A2327" s="9" t="s">
        <v>26</v>
      </c>
      <c r="B2327" s="9" t="n">
        <v>25</v>
      </c>
      <c r="C2327" s="11" t="n">
        <v>45995</v>
      </c>
      <c r="D2327" s="9" t="s">
        <v>183</v>
      </c>
      <c r="E2327" s="12" t="n">
        <v>9</v>
      </c>
      <c r="F2327" s="9" t="s">
        <v>28</v>
      </c>
      <c r="G2327" s="13" t="n">
        <v>150</v>
      </c>
      <c r="H2327" s="9" t="s">
        <v>34</v>
      </c>
      <c r="I2327" s="13" t="n">
        <v>0</v>
      </c>
      <c r="J2327" s="1" t="str">
        <f aca="false">IF(A2327="","", "SAMP-"&amp;A2327&amp;"-L"&amp;TEXT(B2327,"00")&amp;"-"&amp;TEXT(C2327,"yyyymmdd")&amp;"-"&amp;D2327&amp;"-H"&amp;TEXT(E2327,"00")&amp;"-"&amp;H2327)</f>
        <v>SAMP-KG01-L25-20251204-ORD-2025-00294-H09-Thin Wall</v>
      </c>
      <c r="K2327" s="1" t="str">
        <f aca="false">IF(A2327="","",IF(AND(G2327&gt;=0,I2327&gt;=0,I2327&lt;=G2327),"OK","CHECK"))</f>
        <v>OK</v>
      </c>
      <c r="L2327" s="1" t="str">
        <f aca="false">IF(A2327="","",IF(AND(E2327&gt;=0,E2327&lt;=23),"OK","CHECK"))</f>
        <v>OK</v>
      </c>
      <c r="M2327" s="1" t="str">
        <f aca="false">IF(A2327="","",IF(AND(K2327="OK",L2327="OK"),"OK","CHECK"))</f>
        <v>OK</v>
      </c>
    </row>
    <row r="2328" customFormat="false" ht="18" hidden="false" customHeight="true" outlineLevel="0" collapsed="false">
      <c r="A2328" s="9" t="s">
        <v>26</v>
      </c>
      <c r="B2328" s="9" t="n">
        <v>25</v>
      </c>
      <c r="C2328" s="11" t="n">
        <v>45995</v>
      </c>
      <c r="D2328" s="9" t="s">
        <v>183</v>
      </c>
      <c r="E2328" s="12" t="n">
        <v>20</v>
      </c>
      <c r="F2328" s="9" t="s">
        <v>31</v>
      </c>
      <c r="G2328" s="13" t="n">
        <v>150</v>
      </c>
      <c r="H2328" s="9" t="s">
        <v>30</v>
      </c>
      <c r="I2328" s="13" t="n">
        <v>4</v>
      </c>
      <c r="J2328" s="1" t="str">
        <f aca="false">IF(A2328="","", "SAMP-"&amp;A2328&amp;"-L"&amp;TEXT(B2328,"00")&amp;"-"&amp;TEXT(C2328,"yyyymmdd")&amp;"-"&amp;D2328&amp;"-H"&amp;TEXT(E2328,"00")&amp;"-"&amp;H2328)</f>
        <v>SAMP-KG01-L25-20251204-ORD-2025-00294-H20-Overpress</v>
      </c>
      <c r="K2328" s="1" t="str">
        <f aca="false">IF(A2328="","",IF(AND(G2328&gt;=0,I2328&gt;=0,I2328&lt;=G2328),"OK","CHECK"))</f>
        <v>OK</v>
      </c>
      <c r="L2328" s="1" t="str">
        <f aca="false">IF(A2328="","",IF(AND(E2328&gt;=0,E2328&lt;=23),"OK","CHECK"))</f>
        <v>OK</v>
      </c>
      <c r="M2328" s="1" t="str">
        <f aca="false">IF(A2328="","",IF(AND(K2328="OK",L2328="OK"),"OK","CHECK"))</f>
        <v>OK</v>
      </c>
    </row>
    <row r="2329" customFormat="false" ht="18" hidden="false" customHeight="true" outlineLevel="0" collapsed="false">
      <c r="A2329" s="9" t="s">
        <v>26</v>
      </c>
      <c r="B2329" s="9" t="n">
        <v>25</v>
      </c>
      <c r="C2329" s="11" t="n">
        <v>45995</v>
      </c>
      <c r="D2329" s="9" t="s">
        <v>183</v>
      </c>
      <c r="E2329" s="12" t="n">
        <v>23</v>
      </c>
      <c r="F2329" s="9" t="s">
        <v>31</v>
      </c>
      <c r="G2329" s="13" t="n">
        <v>50</v>
      </c>
      <c r="H2329" s="9" t="s">
        <v>34</v>
      </c>
      <c r="I2329" s="13" t="n">
        <v>0</v>
      </c>
      <c r="J2329" s="1" t="str">
        <f aca="false">IF(A2329="","", "SAMP-"&amp;A2329&amp;"-L"&amp;TEXT(B2329,"00")&amp;"-"&amp;TEXT(C2329,"yyyymmdd")&amp;"-"&amp;D2329&amp;"-H"&amp;TEXT(E2329,"00")&amp;"-"&amp;H2329)</f>
        <v>SAMP-KG01-L25-20251204-ORD-2025-00294-H23-Thin Wall</v>
      </c>
      <c r="K2329" s="1" t="str">
        <f aca="false">IF(A2329="","",IF(AND(G2329&gt;=0,I2329&gt;=0,I2329&lt;=G2329),"OK","CHECK"))</f>
        <v>OK</v>
      </c>
      <c r="L2329" s="1" t="str">
        <f aca="false">IF(A2329="","",IF(AND(E2329&gt;=0,E2329&lt;=23),"OK","CHECK"))</f>
        <v>OK</v>
      </c>
      <c r="M2329" s="1" t="str">
        <f aca="false">IF(A2329="","",IF(AND(K2329="OK",L2329="OK"),"OK","CHECK"))</f>
        <v>OK</v>
      </c>
    </row>
    <row r="2330" customFormat="false" ht="18" hidden="false" customHeight="true" outlineLevel="0" collapsed="false">
      <c r="A2330" s="9" t="s">
        <v>26</v>
      </c>
      <c r="B2330" s="9" t="n">
        <v>25</v>
      </c>
      <c r="C2330" s="11" t="n">
        <v>45995</v>
      </c>
      <c r="D2330" s="9" t="s">
        <v>183</v>
      </c>
      <c r="E2330" s="12" t="n">
        <v>16</v>
      </c>
      <c r="F2330" s="9" t="s">
        <v>31</v>
      </c>
      <c r="G2330" s="13" t="n">
        <v>50</v>
      </c>
      <c r="H2330" s="9" t="s">
        <v>37</v>
      </c>
      <c r="I2330" s="13" t="n">
        <v>0</v>
      </c>
      <c r="J2330" s="1" t="str">
        <f aca="false">IF(A2330="","", "SAMP-"&amp;A2330&amp;"-L"&amp;TEXT(B2330,"00")&amp;"-"&amp;TEXT(C2330,"yyyymmdd")&amp;"-"&amp;D2330&amp;"-H"&amp;TEXT(E2330,"00")&amp;"-"&amp;H2330)</f>
        <v>SAMP-KG01-L25-20251204-ORD-2025-00294-H16-Bird Swing</v>
      </c>
      <c r="K2330" s="1" t="str">
        <f aca="false">IF(A2330="","",IF(AND(G2330&gt;=0,I2330&gt;=0,I2330&lt;=G2330),"OK","CHECK"))</f>
        <v>OK</v>
      </c>
      <c r="L2330" s="1" t="str">
        <f aca="false">IF(A2330="","",IF(AND(E2330&gt;=0,E2330&lt;=23),"OK","CHECK"))</f>
        <v>OK</v>
      </c>
      <c r="M2330" s="1" t="str">
        <f aca="false">IF(A2330="","",IF(AND(K2330="OK",L2330="OK"),"OK","CHECK"))</f>
        <v>OK</v>
      </c>
    </row>
    <row r="2331" customFormat="false" ht="18" hidden="false" customHeight="true" outlineLevel="0" collapsed="false">
      <c r="A2331" s="9" t="s">
        <v>26</v>
      </c>
      <c r="B2331" s="9" t="n">
        <v>25</v>
      </c>
      <c r="C2331" s="11" t="n">
        <v>45996</v>
      </c>
      <c r="D2331" s="9" t="s">
        <v>183</v>
      </c>
      <c r="E2331" s="12" t="n">
        <v>12</v>
      </c>
      <c r="F2331" s="9" t="s">
        <v>28</v>
      </c>
      <c r="G2331" s="13" t="n">
        <v>100</v>
      </c>
      <c r="H2331" s="9" t="s">
        <v>30</v>
      </c>
      <c r="I2331" s="13" t="n">
        <v>4</v>
      </c>
      <c r="J2331" s="1" t="str">
        <f aca="false">IF(A2331="","", "SAMP-"&amp;A2331&amp;"-L"&amp;TEXT(B2331,"00")&amp;"-"&amp;TEXT(C2331,"yyyymmdd")&amp;"-"&amp;D2331&amp;"-H"&amp;TEXT(E2331,"00")&amp;"-"&amp;H2331)</f>
        <v>SAMP-KG01-L25-20251205-ORD-2025-00294-H12-Overpress</v>
      </c>
      <c r="K2331" s="1" t="str">
        <f aca="false">IF(A2331="","",IF(AND(G2331&gt;=0,I2331&gt;=0,I2331&lt;=G2331),"OK","CHECK"))</f>
        <v>OK</v>
      </c>
      <c r="L2331" s="1" t="str">
        <f aca="false">IF(A2331="","",IF(AND(E2331&gt;=0,E2331&lt;=23),"OK","CHECK"))</f>
        <v>OK</v>
      </c>
      <c r="M2331" s="1" t="str">
        <f aca="false">IF(A2331="","",IF(AND(K2331="OK",L2331="OK"),"OK","CHECK"))</f>
        <v>OK</v>
      </c>
    </row>
    <row r="2332" customFormat="false" ht="18" hidden="false" customHeight="true" outlineLevel="0" collapsed="false">
      <c r="A2332" s="9" t="s">
        <v>26</v>
      </c>
      <c r="B2332" s="9" t="n">
        <v>25</v>
      </c>
      <c r="C2332" s="11" t="n">
        <v>45996</v>
      </c>
      <c r="D2332" s="9" t="s">
        <v>183</v>
      </c>
      <c r="E2332" s="12" t="n">
        <v>7</v>
      </c>
      <c r="F2332" s="9" t="s">
        <v>28</v>
      </c>
      <c r="G2332" s="13" t="n">
        <v>200</v>
      </c>
      <c r="H2332" s="9" t="s">
        <v>34</v>
      </c>
      <c r="I2332" s="13" t="n">
        <v>9</v>
      </c>
      <c r="J2332" s="1" t="str">
        <f aca="false">IF(A2332="","", "SAMP-"&amp;A2332&amp;"-L"&amp;TEXT(B2332,"00")&amp;"-"&amp;TEXT(C2332,"yyyymmdd")&amp;"-"&amp;D2332&amp;"-H"&amp;TEXT(E2332,"00")&amp;"-"&amp;H2332)</f>
        <v>SAMP-KG01-L25-20251205-ORD-2025-00294-H07-Thin Wall</v>
      </c>
      <c r="K2332" s="1" t="str">
        <f aca="false">IF(A2332="","",IF(AND(G2332&gt;=0,I2332&gt;=0,I2332&lt;=G2332),"OK","CHECK"))</f>
        <v>OK</v>
      </c>
      <c r="L2332" s="1" t="str">
        <f aca="false">IF(A2332="","",IF(AND(E2332&gt;=0,E2332&lt;=23),"OK","CHECK"))</f>
        <v>OK</v>
      </c>
      <c r="M2332" s="1" t="str">
        <f aca="false">IF(A2332="","",IF(AND(K2332="OK",L2332="OK"),"OK","CHECK"))</f>
        <v>OK</v>
      </c>
    </row>
    <row r="2333" customFormat="false" ht="18" hidden="false" customHeight="true" outlineLevel="0" collapsed="false">
      <c r="A2333" s="9" t="s">
        <v>26</v>
      </c>
      <c r="B2333" s="9" t="n">
        <v>25</v>
      </c>
      <c r="C2333" s="11" t="n">
        <v>45996</v>
      </c>
      <c r="D2333" s="9" t="s">
        <v>183</v>
      </c>
      <c r="E2333" s="12" t="n">
        <v>9</v>
      </c>
      <c r="F2333" s="9" t="s">
        <v>28</v>
      </c>
      <c r="G2333" s="13" t="n">
        <v>100</v>
      </c>
      <c r="H2333" s="9" t="s">
        <v>36</v>
      </c>
      <c r="I2333" s="13" t="n">
        <v>4</v>
      </c>
      <c r="J2333" s="1" t="str">
        <f aca="false">IF(A2333="","", "SAMP-"&amp;A2333&amp;"-L"&amp;TEXT(B2333,"00")&amp;"-"&amp;TEXT(C2333,"yyyymmdd")&amp;"-"&amp;D2333&amp;"-H"&amp;TEXT(E2333,"00")&amp;"-"&amp;H2333)</f>
        <v>SAMP-KG01-L25-20251205-ORD-2025-00294-H09-Blister</v>
      </c>
      <c r="K2333" s="1" t="str">
        <f aca="false">IF(A2333="","",IF(AND(G2333&gt;=0,I2333&gt;=0,I2333&lt;=G2333),"OK","CHECK"))</f>
        <v>OK</v>
      </c>
      <c r="L2333" s="1" t="str">
        <f aca="false">IF(A2333="","",IF(AND(E2333&gt;=0,E2333&lt;=23),"OK","CHECK"))</f>
        <v>OK</v>
      </c>
      <c r="M2333" s="1" t="str">
        <f aca="false">IF(A2333="","",IF(AND(K2333="OK",L2333="OK"),"OK","CHECK"))</f>
        <v>OK</v>
      </c>
    </row>
    <row r="2334" customFormat="false" ht="18" hidden="false" customHeight="true" outlineLevel="0" collapsed="false">
      <c r="A2334" s="9" t="s">
        <v>26</v>
      </c>
      <c r="B2334" s="9" t="n">
        <v>25</v>
      </c>
      <c r="C2334" s="11" t="n">
        <v>45996</v>
      </c>
      <c r="D2334" s="9" t="s">
        <v>184</v>
      </c>
      <c r="E2334" s="12" t="n">
        <v>23</v>
      </c>
      <c r="F2334" s="9" t="s">
        <v>31</v>
      </c>
      <c r="G2334" s="13" t="n">
        <v>50</v>
      </c>
      <c r="H2334" s="9" t="s">
        <v>34</v>
      </c>
      <c r="I2334" s="13" t="n">
        <v>0</v>
      </c>
      <c r="J2334" s="1" t="str">
        <f aca="false">IF(A2334="","", "SAMP-"&amp;A2334&amp;"-L"&amp;TEXT(B2334,"00")&amp;"-"&amp;TEXT(C2334,"yyyymmdd")&amp;"-"&amp;D2334&amp;"-H"&amp;TEXT(E2334,"00")&amp;"-"&amp;H2334)</f>
        <v>SAMP-KG01-L25-20251205-ORD-2025-00295-H23-Thin Wall</v>
      </c>
      <c r="K2334" s="1" t="str">
        <f aca="false">IF(A2334="","",IF(AND(G2334&gt;=0,I2334&gt;=0,I2334&lt;=G2334),"OK","CHECK"))</f>
        <v>OK</v>
      </c>
      <c r="L2334" s="1" t="str">
        <f aca="false">IF(A2334="","",IF(AND(E2334&gt;=0,E2334&lt;=23),"OK","CHECK"))</f>
        <v>OK</v>
      </c>
      <c r="M2334" s="1" t="str">
        <f aca="false">IF(A2334="","",IF(AND(K2334="OK",L2334="OK"),"OK","CHECK"))</f>
        <v>OK</v>
      </c>
    </row>
    <row r="2335" customFormat="false" ht="18" hidden="false" customHeight="true" outlineLevel="0" collapsed="false">
      <c r="A2335" s="9" t="s">
        <v>26</v>
      </c>
      <c r="B2335" s="9" t="n">
        <v>25</v>
      </c>
      <c r="C2335" s="11" t="n">
        <v>45996</v>
      </c>
      <c r="D2335" s="9" t="s">
        <v>184</v>
      </c>
      <c r="E2335" s="12" t="n">
        <v>20</v>
      </c>
      <c r="F2335" s="9" t="s">
        <v>31</v>
      </c>
      <c r="G2335" s="13" t="n">
        <v>100</v>
      </c>
      <c r="H2335" s="9" t="s">
        <v>35</v>
      </c>
      <c r="I2335" s="13" t="n">
        <v>4</v>
      </c>
      <c r="J2335" s="1" t="str">
        <f aca="false">IF(A2335="","", "SAMP-"&amp;A2335&amp;"-L"&amp;TEXT(B2335,"00")&amp;"-"&amp;TEXT(C2335,"yyyymmdd")&amp;"-"&amp;D2335&amp;"-H"&amp;TEXT(E2335,"00")&amp;"-"&amp;H2335)</f>
        <v>SAMP-KG01-L25-20251205-ORD-2025-00295-H20-Stone</v>
      </c>
      <c r="K2335" s="1" t="str">
        <f aca="false">IF(A2335="","",IF(AND(G2335&gt;=0,I2335&gt;=0,I2335&lt;=G2335),"OK","CHECK"))</f>
        <v>OK</v>
      </c>
      <c r="L2335" s="1" t="str">
        <f aca="false">IF(A2335="","",IF(AND(E2335&gt;=0,E2335&lt;=23),"OK","CHECK"))</f>
        <v>OK</v>
      </c>
      <c r="M2335" s="1" t="str">
        <f aca="false">IF(A2335="","",IF(AND(K2335="OK",L2335="OK"),"OK","CHECK"))</f>
        <v>OK</v>
      </c>
    </row>
    <row r="2336" customFormat="false" ht="18" hidden="false" customHeight="true" outlineLevel="0" collapsed="false">
      <c r="A2336" s="9" t="s">
        <v>26</v>
      </c>
      <c r="B2336" s="9" t="n">
        <v>25</v>
      </c>
      <c r="C2336" s="11" t="n">
        <v>45997</v>
      </c>
      <c r="D2336" s="9" t="s">
        <v>184</v>
      </c>
      <c r="E2336" s="12" t="n">
        <v>9</v>
      </c>
      <c r="F2336" s="9" t="s">
        <v>28</v>
      </c>
      <c r="G2336" s="13" t="n">
        <v>150</v>
      </c>
      <c r="H2336" s="9" t="s">
        <v>34</v>
      </c>
      <c r="I2336" s="13" t="n">
        <v>0</v>
      </c>
      <c r="J2336" s="1" t="str">
        <f aca="false">IF(A2336="","", "SAMP-"&amp;A2336&amp;"-L"&amp;TEXT(B2336,"00")&amp;"-"&amp;TEXT(C2336,"yyyymmdd")&amp;"-"&amp;D2336&amp;"-H"&amp;TEXT(E2336,"00")&amp;"-"&amp;H2336)</f>
        <v>SAMP-KG01-L25-20251206-ORD-2025-00295-H09-Thin Wall</v>
      </c>
      <c r="K2336" s="1" t="str">
        <f aca="false">IF(A2336="","",IF(AND(G2336&gt;=0,I2336&gt;=0,I2336&lt;=G2336),"OK","CHECK"))</f>
        <v>OK</v>
      </c>
      <c r="L2336" s="1" t="str">
        <f aca="false">IF(A2336="","",IF(AND(E2336&gt;=0,E2336&lt;=23),"OK","CHECK"))</f>
        <v>OK</v>
      </c>
      <c r="M2336" s="1" t="str">
        <f aca="false">IF(A2336="","",IF(AND(K2336="OK",L2336="OK"),"OK","CHECK"))</f>
        <v>OK</v>
      </c>
    </row>
    <row r="2337" customFormat="false" ht="18" hidden="false" customHeight="true" outlineLevel="0" collapsed="false">
      <c r="A2337" s="9" t="s">
        <v>26</v>
      </c>
      <c r="B2337" s="9" t="n">
        <v>25</v>
      </c>
      <c r="C2337" s="11" t="n">
        <v>45997</v>
      </c>
      <c r="D2337" s="9" t="s">
        <v>184</v>
      </c>
      <c r="E2337" s="12" t="n">
        <v>7</v>
      </c>
      <c r="F2337" s="9" t="s">
        <v>28</v>
      </c>
      <c r="G2337" s="13" t="n">
        <v>50</v>
      </c>
      <c r="H2337" s="9" t="s">
        <v>41</v>
      </c>
      <c r="I2337" s="13" t="n">
        <v>2</v>
      </c>
      <c r="J2337" s="1" t="str">
        <f aca="false">IF(A2337="","", "SAMP-"&amp;A2337&amp;"-L"&amp;TEXT(B2337,"00")&amp;"-"&amp;TEXT(C2337,"yyyymmdd")&amp;"-"&amp;D2337&amp;"-H"&amp;TEXT(E2337,"00")&amp;"-"&amp;H2337)</f>
        <v>SAMP-KG01-L25-20251206-ORD-2025-00295-H07-Chip</v>
      </c>
      <c r="K2337" s="1" t="str">
        <f aca="false">IF(A2337="","",IF(AND(G2337&gt;=0,I2337&gt;=0,I2337&lt;=G2337),"OK","CHECK"))</f>
        <v>OK</v>
      </c>
      <c r="L2337" s="1" t="str">
        <f aca="false">IF(A2337="","",IF(AND(E2337&gt;=0,E2337&lt;=23),"OK","CHECK"))</f>
        <v>OK</v>
      </c>
      <c r="M2337" s="1" t="str">
        <f aca="false">IF(A2337="","",IF(AND(K2337="OK",L2337="OK"),"OK","CHECK"))</f>
        <v>OK</v>
      </c>
    </row>
    <row r="2338" customFormat="false" ht="18" hidden="false" customHeight="true" outlineLevel="0" collapsed="false">
      <c r="A2338" s="9" t="s">
        <v>26</v>
      </c>
      <c r="B2338" s="9" t="n">
        <v>25</v>
      </c>
      <c r="C2338" s="11" t="n">
        <v>45997</v>
      </c>
      <c r="D2338" s="9" t="s">
        <v>184</v>
      </c>
      <c r="E2338" s="12" t="n">
        <v>20</v>
      </c>
      <c r="F2338" s="9" t="s">
        <v>31</v>
      </c>
      <c r="G2338" s="13" t="n">
        <v>200</v>
      </c>
      <c r="H2338" s="9" t="s">
        <v>34</v>
      </c>
      <c r="I2338" s="13" t="n">
        <v>7</v>
      </c>
      <c r="J2338" s="1" t="str">
        <f aca="false">IF(A2338="","", "SAMP-"&amp;A2338&amp;"-L"&amp;TEXT(B2338,"00")&amp;"-"&amp;TEXT(C2338,"yyyymmdd")&amp;"-"&amp;D2338&amp;"-H"&amp;TEXT(E2338,"00")&amp;"-"&amp;H2338)</f>
        <v>SAMP-KG01-L25-20251206-ORD-2025-00295-H20-Thin Wall</v>
      </c>
      <c r="K2338" s="1" t="str">
        <f aca="false">IF(A2338="","",IF(AND(G2338&gt;=0,I2338&gt;=0,I2338&lt;=G2338),"OK","CHECK"))</f>
        <v>OK</v>
      </c>
      <c r="L2338" s="1" t="str">
        <f aca="false">IF(A2338="","",IF(AND(E2338&gt;=0,E2338&lt;=23),"OK","CHECK"))</f>
        <v>OK</v>
      </c>
      <c r="M2338" s="1" t="str">
        <f aca="false">IF(A2338="","",IF(AND(K2338="OK",L2338="OK"),"OK","CHECK"))</f>
        <v>OK</v>
      </c>
    </row>
    <row r="2339" customFormat="false" ht="18" hidden="false" customHeight="true" outlineLevel="0" collapsed="false">
      <c r="A2339" s="9" t="s">
        <v>26</v>
      </c>
      <c r="B2339" s="9" t="n">
        <v>25</v>
      </c>
      <c r="C2339" s="11" t="n">
        <v>45997</v>
      </c>
      <c r="D2339" s="9" t="s">
        <v>184</v>
      </c>
      <c r="E2339" s="12" t="n">
        <v>23</v>
      </c>
      <c r="F2339" s="9" t="s">
        <v>31</v>
      </c>
      <c r="G2339" s="13" t="n">
        <v>150</v>
      </c>
      <c r="H2339" s="9" t="s">
        <v>33</v>
      </c>
      <c r="I2339" s="13" t="n">
        <v>0</v>
      </c>
      <c r="J2339" s="1" t="str">
        <f aca="false">IF(A2339="","", "SAMP-"&amp;A2339&amp;"-L"&amp;TEXT(B2339,"00")&amp;"-"&amp;TEXT(C2339,"yyyymmdd")&amp;"-"&amp;D2339&amp;"-H"&amp;TEXT(E2339,"00")&amp;"-"&amp;H2339)</f>
        <v>SAMP-KG01-L25-20251206-ORD-2025-00295-H23-Distortion</v>
      </c>
      <c r="K2339" s="1" t="str">
        <f aca="false">IF(A2339="","",IF(AND(G2339&gt;=0,I2339&gt;=0,I2339&lt;=G2339),"OK","CHECK"))</f>
        <v>OK</v>
      </c>
      <c r="L2339" s="1" t="str">
        <f aca="false">IF(A2339="","",IF(AND(E2339&gt;=0,E2339&lt;=23),"OK","CHECK"))</f>
        <v>OK</v>
      </c>
      <c r="M2339" s="1" t="str">
        <f aca="false">IF(A2339="","",IF(AND(K2339="OK",L2339="OK"),"OK","CHECK"))</f>
        <v>OK</v>
      </c>
    </row>
    <row r="2340" customFormat="false" ht="18" hidden="false" customHeight="true" outlineLevel="0" collapsed="false">
      <c r="A2340" s="9" t="s">
        <v>26</v>
      </c>
      <c r="B2340" s="9" t="n">
        <v>25</v>
      </c>
      <c r="C2340" s="11" t="n">
        <v>45998</v>
      </c>
      <c r="D2340" s="9" t="s">
        <v>184</v>
      </c>
      <c r="E2340" s="12" t="n">
        <v>12</v>
      </c>
      <c r="F2340" s="9" t="s">
        <v>28</v>
      </c>
      <c r="G2340" s="13" t="n">
        <v>200</v>
      </c>
      <c r="H2340" s="9" t="s">
        <v>36</v>
      </c>
      <c r="I2340" s="13" t="n">
        <v>7</v>
      </c>
      <c r="J2340" s="1" t="str">
        <f aca="false">IF(A2340="","", "SAMP-"&amp;A2340&amp;"-L"&amp;TEXT(B2340,"00")&amp;"-"&amp;TEXT(C2340,"yyyymmdd")&amp;"-"&amp;D2340&amp;"-H"&amp;TEXT(E2340,"00")&amp;"-"&amp;H2340)</f>
        <v>SAMP-KG01-L25-20251207-ORD-2025-00295-H12-Blister</v>
      </c>
      <c r="K2340" s="1" t="str">
        <f aca="false">IF(A2340="","",IF(AND(G2340&gt;=0,I2340&gt;=0,I2340&lt;=G2340),"OK","CHECK"))</f>
        <v>OK</v>
      </c>
      <c r="L2340" s="1" t="str">
        <f aca="false">IF(A2340="","",IF(AND(E2340&gt;=0,E2340&lt;=23),"OK","CHECK"))</f>
        <v>OK</v>
      </c>
      <c r="M2340" s="1" t="str">
        <f aca="false">IF(A2340="","",IF(AND(K2340="OK",L2340="OK"),"OK","CHECK"))</f>
        <v>OK</v>
      </c>
    </row>
    <row r="2341" customFormat="false" ht="18" hidden="false" customHeight="true" outlineLevel="0" collapsed="false">
      <c r="A2341" s="9" t="s">
        <v>26</v>
      </c>
      <c r="B2341" s="9" t="n">
        <v>25</v>
      </c>
      <c r="C2341" s="11" t="n">
        <v>45998</v>
      </c>
      <c r="D2341" s="9" t="s">
        <v>184</v>
      </c>
      <c r="E2341" s="12" t="n">
        <v>9</v>
      </c>
      <c r="F2341" s="9" t="s">
        <v>28</v>
      </c>
      <c r="G2341" s="13" t="n">
        <v>200</v>
      </c>
      <c r="H2341" s="9" t="s">
        <v>29</v>
      </c>
      <c r="I2341" s="13" t="n">
        <v>10</v>
      </c>
      <c r="J2341" s="1" t="str">
        <f aca="false">IF(A2341="","", "SAMP-"&amp;A2341&amp;"-L"&amp;TEXT(B2341,"00")&amp;"-"&amp;TEXT(C2341,"yyyymmdd")&amp;"-"&amp;D2341&amp;"-H"&amp;TEXT(E2341,"00")&amp;"-"&amp;H2341)</f>
        <v>SAMP-KG01-L25-20251207-ORD-2025-00295-H09-Choke Neck</v>
      </c>
      <c r="K2341" s="1" t="str">
        <f aca="false">IF(A2341="","",IF(AND(G2341&gt;=0,I2341&gt;=0,I2341&lt;=G2341),"OK","CHECK"))</f>
        <v>OK</v>
      </c>
      <c r="L2341" s="1" t="str">
        <f aca="false">IF(A2341="","",IF(AND(E2341&gt;=0,E2341&lt;=23),"OK","CHECK"))</f>
        <v>OK</v>
      </c>
      <c r="M2341" s="1" t="str">
        <f aca="false">IF(A2341="","",IF(AND(K2341="OK",L2341="OK"),"OK","CHECK"))</f>
        <v>OK</v>
      </c>
    </row>
    <row r="2342" customFormat="false" ht="18" hidden="false" customHeight="true" outlineLevel="0" collapsed="false">
      <c r="A2342" s="9" t="s">
        <v>26</v>
      </c>
      <c r="B2342" s="9" t="n">
        <v>25</v>
      </c>
      <c r="C2342" s="11" t="n">
        <v>45998</v>
      </c>
      <c r="D2342" s="9" t="s">
        <v>184</v>
      </c>
      <c r="E2342" s="12" t="n">
        <v>20</v>
      </c>
      <c r="F2342" s="9" t="s">
        <v>31</v>
      </c>
      <c r="G2342" s="13" t="n">
        <v>100</v>
      </c>
      <c r="H2342" s="9" t="s">
        <v>37</v>
      </c>
      <c r="I2342" s="13" t="n">
        <v>2</v>
      </c>
      <c r="J2342" s="1" t="str">
        <f aca="false">IF(A2342="","", "SAMP-"&amp;A2342&amp;"-L"&amp;TEXT(B2342,"00")&amp;"-"&amp;TEXT(C2342,"yyyymmdd")&amp;"-"&amp;D2342&amp;"-H"&amp;TEXT(E2342,"00")&amp;"-"&amp;H2342)</f>
        <v>SAMP-KG01-L25-20251207-ORD-2025-00295-H20-Bird Swing</v>
      </c>
      <c r="K2342" s="1" t="str">
        <f aca="false">IF(A2342="","",IF(AND(G2342&gt;=0,I2342&gt;=0,I2342&lt;=G2342),"OK","CHECK"))</f>
        <v>OK</v>
      </c>
      <c r="L2342" s="1" t="str">
        <f aca="false">IF(A2342="","",IF(AND(E2342&gt;=0,E2342&lt;=23),"OK","CHECK"))</f>
        <v>OK</v>
      </c>
      <c r="M2342" s="1" t="str">
        <f aca="false">IF(A2342="","",IF(AND(K2342="OK",L2342="OK"),"OK","CHECK"))</f>
        <v>OK</v>
      </c>
    </row>
    <row r="2343" customFormat="false" ht="18" hidden="false" customHeight="true" outlineLevel="0" collapsed="false">
      <c r="A2343" s="9" t="s">
        <v>26</v>
      </c>
      <c r="B2343" s="9" t="n">
        <v>25</v>
      </c>
      <c r="C2343" s="11" t="n">
        <v>45998</v>
      </c>
      <c r="D2343" s="9" t="s">
        <v>184</v>
      </c>
      <c r="E2343" s="12" t="n">
        <v>23</v>
      </c>
      <c r="F2343" s="9" t="s">
        <v>31</v>
      </c>
      <c r="G2343" s="13" t="n">
        <v>200</v>
      </c>
      <c r="H2343" s="9" t="s">
        <v>35</v>
      </c>
      <c r="I2343" s="13" t="n">
        <v>12</v>
      </c>
      <c r="J2343" s="1" t="str">
        <f aca="false">IF(A2343="","", "SAMP-"&amp;A2343&amp;"-L"&amp;TEXT(B2343,"00")&amp;"-"&amp;TEXT(C2343,"yyyymmdd")&amp;"-"&amp;D2343&amp;"-H"&amp;TEXT(E2343,"00")&amp;"-"&amp;H2343)</f>
        <v>SAMP-KG01-L25-20251207-ORD-2025-00295-H23-Stone</v>
      </c>
      <c r="K2343" s="1" t="str">
        <f aca="false">IF(A2343="","",IF(AND(G2343&gt;=0,I2343&gt;=0,I2343&lt;=G2343),"OK","CHECK"))</f>
        <v>OK</v>
      </c>
      <c r="L2343" s="1" t="str">
        <f aca="false">IF(A2343="","",IF(AND(E2343&gt;=0,E2343&lt;=23),"OK","CHECK"))</f>
        <v>OK</v>
      </c>
      <c r="M2343" s="1" t="str">
        <f aca="false">IF(A2343="","",IF(AND(K2343="OK",L2343="OK"),"OK","CHECK"))</f>
        <v>OK</v>
      </c>
    </row>
    <row r="2344" customFormat="false" ht="18" hidden="false" customHeight="true" outlineLevel="0" collapsed="false">
      <c r="A2344" s="9" t="s">
        <v>26</v>
      </c>
      <c r="B2344" s="9" t="n">
        <v>25</v>
      </c>
      <c r="C2344" s="11" t="n">
        <v>45998</v>
      </c>
      <c r="D2344" s="9" t="s">
        <v>184</v>
      </c>
      <c r="E2344" s="12" t="n">
        <v>16</v>
      </c>
      <c r="F2344" s="9" t="s">
        <v>31</v>
      </c>
      <c r="G2344" s="13" t="n">
        <v>50</v>
      </c>
      <c r="H2344" s="9" t="s">
        <v>30</v>
      </c>
      <c r="I2344" s="13" t="n">
        <v>0</v>
      </c>
      <c r="J2344" s="1" t="str">
        <f aca="false">IF(A2344="","", "SAMP-"&amp;A2344&amp;"-L"&amp;TEXT(B2344,"00")&amp;"-"&amp;TEXT(C2344,"yyyymmdd")&amp;"-"&amp;D2344&amp;"-H"&amp;TEXT(E2344,"00")&amp;"-"&amp;H2344)</f>
        <v>SAMP-KG01-L25-20251207-ORD-2025-00295-H16-Overpress</v>
      </c>
      <c r="K2344" s="1" t="str">
        <f aca="false">IF(A2344="","",IF(AND(G2344&gt;=0,I2344&gt;=0,I2344&lt;=G2344),"OK","CHECK"))</f>
        <v>OK</v>
      </c>
      <c r="L2344" s="1" t="str">
        <f aca="false">IF(A2344="","",IF(AND(E2344&gt;=0,E2344&lt;=23),"OK","CHECK"))</f>
        <v>OK</v>
      </c>
      <c r="M2344" s="1" t="str">
        <f aca="false">IF(A2344="","",IF(AND(K2344="OK",L2344="OK"),"OK","CHECK"))</f>
        <v>OK</v>
      </c>
    </row>
    <row r="2345" customFormat="false" ht="18" hidden="false" customHeight="true" outlineLevel="0" collapsed="false">
      <c r="A2345" s="9" t="s">
        <v>26</v>
      </c>
      <c r="B2345" s="9" t="n">
        <v>25</v>
      </c>
      <c r="C2345" s="11" t="n">
        <v>45999</v>
      </c>
      <c r="D2345" s="9" t="s">
        <v>184</v>
      </c>
      <c r="E2345" s="12" t="n">
        <v>9</v>
      </c>
      <c r="F2345" s="9" t="s">
        <v>28</v>
      </c>
      <c r="G2345" s="13" t="n">
        <v>100</v>
      </c>
      <c r="H2345" s="9" t="s">
        <v>33</v>
      </c>
      <c r="I2345" s="13" t="n">
        <v>1</v>
      </c>
      <c r="J2345" s="1" t="str">
        <f aca="false">IF(A2345="","", "SAMP-"&amp;A2345&amp;"-L"&amp;TEXT(B2345,"00")&amp;"-"&amp;TEXT(C2345,"yyyymmdd")&amp;"-"&amp;D2345&amp;"-H"&amp;TEXT(E2345,"00")&amp;"-"&amp;H2345)</f>
        <v>SAMP-KG01-L25-20251208-ORD-2025-00295-H09-Distortion</v>
      </c>
      <c r="K2345" s="1" t="str">
        <f aca="false">IF(A2345="","",IF(AND(G2345&gt;=0,I2345&gt;=0,I2345&lt;=G2345),"OK","CHECK"))</f>
        <v>OK</v>
      </c>
      <c r="L2345" s="1" t="str">
        <f aca="false">IF(A2345="","",IF(AND(E2345&gt;=0,E2345&lt;=23),"OK","CHECK"))</f>
        <v>OK</v>
      </c>
      <c r="M2345" s="1" t="str">
        <f aca="false">IF(A2345="","",IF(AND(K2345="OK",L2345="OK"),"OK","CHECK"))</f>
        <v>OK</v>
      </c>
    </row>
    <row r="2346" customFormat="false" ht="18" hidden="false" customHeight="true" outlineLevel="0" collapsed="false">
      <c r="A2346" s="9" t="s">
        <v>26</v>
      </c>
      <c r="B2346" s="9" t="n">
        <v>25</v>
      </c>
      <c r="C2346" s="11" t="n">
        <v>45999</v>
      </c>
      <c r="D2346" s="9" t="s">
        <v>184</v>
      </c>
      <c r="E2346" s="12" t="n">
        <v>7</v>
      </c>
      <c r="F2346" s="9" t="s">
        <v>28</v>
      </c>
      <c r="G2346" s="13" t="n">
        <v>100</v>
      </c>
      <c r="H2346" s="9" t="s">
        <v>29</v>
      </c>
      <c r="I2346" s="13" t="n">
        <v>1</v>
      </c>
      <c r="J2346" s="1" t="str">
        <f aca="false">IF(A2346="","", "SAMP-"&amp;A2346&amp;"-L"&amp;TEXT(B2346,"00")&amp;"-"&amp;TEXT(C2346,"yyyymmdd")&amp;"-"&amp;D2346&amp;"-H"&amp;TEXT(E2346,"00")&amp;"-"&amp;H2346)</f>
        <v>SAMP-KG01-L25-20251208-ORD-2025-00295-H07-Choke Neck</v>
      </c>
      <c r="K2346" s="1" t="str">
        <f aca="false">IF(A2346="","",IF(AND(G2346&gt;=0,I2346&gt;=0,I2346&lt;=G2346),"OK","CHECK"))</f>
        <v>OK</v>
      </c>
      <c r="L2346" s="1" t="str">
        <f aca="false">IF(A2346="","",IF(AND(E2346&gt;=0,E2346&lt;=23),"OK","CHECK"))</f>
        <v>OK</v>
      </c>
      <c r="M2346" s="1" t="str">
        <f aca="false">IF(A2346="","",IF(AND(K2346="OK",L2346="OK"),"OK","CHECK"))</f>
        <v>OK</v>
      </c>
    </row>
    <row r="2347" customFormat="false" ht="18" hidden="false" customHeight="true" outlineLevel="0" collapsed="false">
      <c r="A2347" s="9" t="s">
        <v>26</v>
      </c>
      <c r="B2347" s="9" t="n">
        <v>25</v>
      </c>
      <c r="C2347" s="11" t="n">
        <v>45999</v>
      </c>
      <c r="D2347" s="9" t="s">
        <v>184</v>
      </c>
      <c r="E2347" s="12" t="n">
        <v>12</v>
      </c>
      <c r="F2347" s="9" t="s">
        <v>28</v>
      </c>
      <c r="G2347" s="13" t="n">
        <v>50</v>
      </c>
      <c r="H2347" s="9" t="s">
        <v>37</v>
      </c>
      <c r="I2347" s="13" t="n">
        <v>2</v>
      </c>
      <c r="J2347" s="1" t="str">
        <f aca="false">IF(A2347="","", "SAMP-"&amp;A2347&amp;"-L"&amp;TEXT(B2347,"00")&amp;"-"&amp;TEXT(C2347,"yyyymmdd")&amp;"-"&amp;D2347&amp;"-H"&amp;TEXT(E2347,"00")&amp;"-"&amp;H2347)</f>
        <v>SAMP-KG01-L25-20251208-ORD-2025-00295-H12-Bird Swing</v>
      </c>
      <c r="K2347" s="1" t="str">
        <f aca="false">IF(A2347="","",IF(AND(G2347&gt;=0,I2347&gt;=0,I2347&lt;=G2347),"OK","CHECK"))</f>
        <v>OK</v>
      </c>
      <c r="L2347" s="1" t="str">
        <f aca="false">IF(A2347="","",IF(AND(E2347&gt;=0,E2347&lt;=23),"OK","CHECK"))</f>
        <v>OK</v>
      </c>
      <c r="M2347" s="1" t="str">
        <f aca="false">IF(A2347="","",IF(AND(K2347="OK",L2347="OK"),"OK","CHECK"))</f>
        <v>OK</v>
      </c>
    </row>
    <row r="2348" customFormat="false" ht="18" hidden="false" customHeight="true" outlineLevel="0" collapsed="false">
      <c r="A2348" s="9" t="s">
        <v>26</v>
      </c>
      <c r="B2348" s="9" t="n">
        <v>25</v>
      </c>
      <c r="C2348" s="11" t="n">
        <v>45999</v>
      </c>
      <c r="D2348" s="9" t="s">
        <v>184</v>
      </c>
      <c r="E2348" s="12" t="n">
        <v>23</v>
      </c>
      <c r="F2348" s="9" t="s">
        <v>31</v>
      </c>
      <c r="G2348" s="13" t="n">
        <v>150</v>
      </c>
      <c r="H2348" s="9" t="s">
        <v>29</v>
      </c>
      <c r="I2348" s="13" t="n">
        <v>5</v>
      </c>
      <c r="J2348" s="1" t="str">
        <f aca="false">IF(A2348="","", "SAMP-"&amp;A2348&amp;"-L"&amp;TEXT(B2348,"00")&amp;"-"&amp;TEXT(C2348,"yyyymmdd")&amp;"-"&amp;D2348&amp;"-H"&amp;TEXT(E2348,"00")&amp;"-"&amp;H2348)</f>
        <v>SAMP-KG01-L25-20251208-ORD-2025-00295-H23-Choke Neck</v>
      </c>
      <c r="K2348" s="1" t="str">
        <f aca="false">IF(A2348="","",IF(AND(G2348&gt;=0,I2348&gt;=0,I2348&lt;=G2348),"OK","CHECK"))</f>
        <v>OK</v>
      </c>
      <c r="L2348" s="1" t="str">
        <f aca="false">IF(A2348="","",IF(AND(E2348&gt;=0,E2348&lt;=23),"OK","CHECK"))</f>
        <v>OK</v>
      </c>
      <c r="M2348" s="1" t="str">
        <f aca="false">IF(A2348="","",IF(AND(K2348="OK",L2348="OK"),"OK","CHECK"))</f>
        <v>OK</v>
      </c>
    </row>
    <row r="2349" customFormat="false" ht="18" hidden="false" customHeight="true" outlineLevel="0" collapsed="false">
      <c r="A2349" s="9" t="s">
        <v>26</v>
      </c>
      <c r="B2349" s="9" t="n">
        <v>25</v>
      </c>
      <c r="C2349" s="11" t="n">
        <v>45999</v>
      </c>
      <c r="D2349" s="9" t="s">
        <v>184</v>
      </c>
      <c r="E2349" s="12" t="n">
        <v>20</v>
      </c>
      <c r="F2349" s="9" t="s">
        <v>31</v>
      </c>
      <c r="G2349" s="13" t="n">
        <v>50</v>
      </c>
      <c r="H2349" s="9" t="s">
        <v>36</v>
      </c>
      <c r="I2349" s="13" t="n">
        <v>1</v>
      </c>
      <c r="J2349" s="1" t="str">
        <f aca="false">IF(A2349="","", "SAMP-"&amp;A2349&amp;"-L"&amp;TEXT(B2349,"00")&amp;"-"&amp;TEXT(C2349,"yyyymmdd")&amp;"-"&amp;D2349&amp;"-H"&amp;TEXT(E2349,"00")&amp;"-"&amp;H2349)</f>
        <v>SAMP-KG01-L25-20251208-ORD-2025-00295-H20-Blister</v>
      </c>
      <c r="K2349" s="1" t="str">
        <f aca="false">IF(A2349="","",IF(AND(G2349&gt;=0,I2349&gt;=0,I2349&lt;=G2349),"OK","CHECK"))</f>
        <v>OK</v>
      </c>
      <c r="L2349" s="1" t="str">
        <f aca="false">IF(A2349="","",IF(AND(E2349&gt;=0,E2349&lt;=23),"OK","CHECK"))</f>
        <v>OK</v>
      </c>
      <c r="M2349" s="1" t="str">
        <f aca="false">IF(A2349="","",IF(AND(K2349="OK",L2349="OK"),"OK","CHECK"))</f>
        <v>OK</v>
      </c>
    </row>
    <row r="2350" customFormat="false" ht="18" hidden="false" customHeight="true" outlineLevel="0" collapsed="false">
      <c r="A2350" s="9" t="s">
        <v>26</v>
      </c>
      <c r="B2350" s="9" t="n">
        <v>25</v>
      </c>
      <c r="C2350" s="11" t="n">
        <v>45999</v>
      </c>
      <c r="D2350" s="9" t="s">
        <v>184</v>
      </c>
      <c r="E2350" s="12" t="n">
        <v>16</v>
      </c>
      <c r="F2350" s="9" t="s">
        <v>31</v>
      </c>
      <c r="G2350" s="13" t="n">
        <v>150</v>
      </c>
      <c r="H2350" s="9" t="s">
        <v>41</v>
      </c>
      <c r="I2350" s="13" t="n">
        <v>3</v>
      </c>
      <c r="J2350" s="1" t="str">
        <f aca="false">IF(A2350="","", "SAMP-"&amp;A2350&amp;"-L"&amp;TEXT(B2350,"00")&amp;"-"&amp;TEXT(C2350,"yyyymmdd")&amp;"-"&amp;D2350&amp;"-H"&amp;TEXT(E2350,"00")&amp;"-"&amp;H2350)</f>
        <v>SAMP-KG01-L25-20251208-ORD-2025-00295-H16-Chip</v>
      </c>
      <c r="K2350" s="1" t="str">
        <f aca="false">IF(A2350="","",IF(AND(G2350&gt;=0,I2350&gt;=0,I2350&lt;=G2350),"OK","CHECK"))</f>
        <v>OK</v>
      </c>
      <c r="L2350" s="1" t="str">
        <f aca="false">IF(A2350="","",IF(AND(E2350&gt;=0,E2350&lt;=23),"OK","CHECK"))</f>
        <v>OK</v>
      </c>
      <c r="M2350" s="1" t="str">
        <f aca="false">IF(A2350="","",IF(AND(K2350="OK",L2350="OK"),"OK","CHECK"))</f>
        <v>OK</v>
      </c>
    </row>
    <row r="2351" customFormat="false" ht="18" hidden="false" customHeight="true" outlineLevel="0" collapsed="false">
      <c r="A2351" s="9" t="s">
        <v>26</v>
      </c>
      <c r="B2351" s="9" t="n">
        <v>25</v>
      </c>
      <c r="C2351" s="11" t="n">
        <v>46000</v>
      </c>
      <c r="D2351" s="9" t="s">
        <v>184</v>
      </c>
      <c r="E2351" s="12" t="n">
        <v>7</v>
      </c>
      <c r="F2351" s="9" t="s">
        <v>28</v>
      </c>
      <c r="G2351" s="13" t="n">
        <v>50</v>
      </c>
      <c r="H2351" s="9" t="s">
        <v>35</v>
      </c>
      <c r="I2351" s="13" t="n">
        <v>0</v>
      </c>
      <c r="J2351" s="1" t="str">
        <f aca="false">IF(A2351="","", "SAMP-"&amp;A2351&amp;"-L"&amp;TEXT(B2351,"00")&amp;"-"&amp;TEXT(C2351,"yyyymmdd")&amp;"-"&amp;D2351&amp;"-H"&amp;TEXT(E2351,"00")&amp;"-"&amp;H2351)</f>
        <v>SAMP-KG01-L25-20251209-ORD-2025-00295-H07-Stone</v>
      </c>
      <c r="K2351" s="1" t="str">
        <f aca="false">IF(A2351="","",IF(AND(G2351&gt;=0,I2351&gt;=0,I2351&lt;=G2351),"OK","CHECK"))</f>
        <v>OK</v>
      </c>
      <c r="L2351" s="1" t="str">
        <f aca="false">IF(A2351="","",IF(AND(E2351&gt;=0,E2351&lt;=23),"OK","CHECK"))</f>
        <v>OK</v>
      </c>
      <c r="M2351" s="1" t="str">
        <f aca="false">IF(A2351="","",IF(AND(K2351="OK",L2351="OK"),"OK","CHECK"))</f>
        <v>OK</v>
      </c>
    </row>
    <row r="2352" customFormat="false" ht="18" hidden="false" customHeight="true" outlineLevel="0" collapsed="false">
      <c r="A2352" s="9" t="s">
        <v>26</v>
      </c>
      <c r="B2352" s="9" t="n">
        <v>25</v>
      </c>
      <c r="C2352" s="11" t="n">
        <v>46000</v>
      </c>
      <c r="D2352" s="9" t="s">
        <v>184</v>
      </c>
      <c r="E2352" s="12" t="n">
        <v>9</v>
      </c>
      <c r="F2352" s="9" t="s">
        <v>28</v>
      </c>
      <c r="G2352" s="13" t="n">
        <v>50</v>
      </c>
      <c r="H2352" s="9" t="s">
        <v>34</v>
      </c>
      <c r="I2352" s="13" t="n">
        <v>2</v>
      </c>
      <c r="J2352" s="1" t="str">
        <f aca="false">IF(A2352="","", "SAMP-"&amp;A2352&amp;"-L"&amp;TEXT(B2352,"00")&amp;"-"&amp;TEXT(C2352,"yyyymmdd")&amp;"-"&amp;D2352&amp;"-H"&amp;TEXT(E2352,"00")&amp;"-"&amp;H2352)</f>
        <v>SAMP-KG01-L25-20251209-ORD-2025-00295-H09-Thin Wall</v>
      </c>
      <c r="K2352" s="1" t="str">
        <f aca="false">IF(A2352="","",IF(AND(G2352&gt;=0,I2352&gt;=0,I2352&lt;=G2352),"OK","CHECK"))</f>
        <v>OK</v>
      </c>
      <c r="L2352" s="1" t="str">
        <f aca="false">IF(A2352="","",IF(AND(E2352&gt;=0,E2352&lt;=23),"OK","CHECK"))</f>
        <v>OK</v>
      </c>
      <c r="M2352" s="1" t="str">
        <f aca="false">IF(A2352="","",IF(AND(K2352="OK",L2352="OK"),"OK","CHECK"))</f>
        <v>OK</v>
      </c>
    </row>
    <row r="2353" customFormat="false" ht="18" hidden="false" customHeight="true" outlineLevel="0" collapsed="false">
      <c r="A2353" s="9" t="s">
        <v>26</v>
      </c>
      <c r="B2353" s="9" t="n">
        <v>25</v>
      </c>
      <c r="C2353" s="11" t="n">
        <v>46000</v>
      </c>
      <c r="D2353" s="9" t="s">
        <v>184</v>
      </c>
      <c r="E2353" s="12" t="n">
        <v>12</v>
      </c>
      <c r="F2353" s="9" t="s">
        <v>28</v>
      </c>
      <c r="G2353" s="13" t="n">
        <v>200</v>
      </c>
      <c r="H2353" s="9" t="s">
        <v>41</v>
      </c>
      <c r="I2353" s="13" t="n">
        <v>6</v>
      </c>
      <c r="J2353" s="1" t="str">
        <f aca="false">IF(A2353="","", "SAMP-"&amp;A2353&amp;"-L"&amp;TEXT(B2353,"00")&amp;"-"&amp;TEXT(C2353,"yyyymmdd")&amp;"-"&amp;D2353&amp;"-H"&amp;TEXT(E2353,"00")&amp;"-"&amp;H2353)</f>
        <v>SAMP-KG01-L25-20251209-ORD-2025-00295-H12-Chip</v>
      </c>
      <c r="K2353" s="1" t="str">
        <f aca="false">IF(A2353="","",IF(AND(G2353&gt;=0,I2353&gt;=0,I2353&lt;=G2353),"OK","CHECK"))</f>
        <v>OK</v>
      </c>
      <c r="L2353" s="1" t="str">
        <f aca="false">IF(A2353="","",IF(AND(E2353&gt;=0,E2353&lt;=23),"OK","CHECK"))</f>
        <v>OK</v>
      </c>
      <c r="M2353" s="1" t="str">
        <f aca="false">IF(A2353="","",IF(AND(K2353="OK",L2353="OK"),"OK","CHECK"))</f>
        <v>OK</v>
      </c>
    </row>
    <row r="2354" customFormat="false" ht="18" hidden="false" customHeight="true" outlineLevel="0" collapsed="false">
      <c r="A2354" s="9" t="s">
        <v>26</v>
      </c>
      <c r="B2354" s="9" t="n">
        <v>25</v>
      </c>
      <c r="C2354" s="11" t="n">
        <v>46000</v>
      </c>
      <c r="D2354" s="9" t="s">
        <v>185</v>
      </c>
      <c r="E2354" s="12" t="n">
        <v>23</v>
      </c>
      <c r="F2354" s="9" t="s">
        <v>31</v>
      </c>
      <c r="G2354" s="13" t="n">
        <v>100</v>
      </c>
      <c r="H2354" s="9" t="s">
        <v>35</v>
      </c>
      <c r="I2354" s="13" t="n">
        <v>3</v>
      </c>
      <c r="J2354" s="1" t="str">
        <f aca="false">IF(A2354="","", "SAMP-"&amp;A2354&amp;"-L"&amp;TEXT(B2354,"00")&amp;"-"&amp;TEXT(C2354,"yyyymmdd")&amp;"-"&amp;D2354&amp;"-H"&amp;TEXT(E2354,"00")&amp;"-"&amp;H2354)</f>
        <v>SAMP-KG01-L25-20251209-ORD-2025-00296-H23-Stone</v>
      </c>
      <c r="K2354" s="1" t="str">
        <f aca="false">IF(A2354="","",IF(AND(G2354&gt;=0,I2354&gt;=0,I2354&lt;=G2354),"OK","CHECK"))</f>
        <v>OK</v>
      </c>
      <c r="L2354" s="1" t="str">
        <f aca="false">IF(A2354="","",IF(AND(E2354&gt;=0,E2354&lt;=23),"OK","CHECK"))</f>
        <v>OK</v>
      </c>
      <c r="M2354" s="1" t="str">
        <f aca="false">IF(A2354="","",IF(AND(K2354="OK",L2354="OK"),"OK","CHECK"))</f>
        <v>OK</v>
      </c>
    </row>
    <row r="2355" customFormat="false" ht="18" hidden="false" customHeight="true" outlineLevel="0" collapsed="false">
      <c r="A2355" s="9" t="s">
        <v>26</v>
      </c>
      <c r="B2355" s="9" t="n">
        <v>25</v>
      </c>
      <c r="C2355" s="11" t="n">
        <v>46000</v>
      </c>
      <c r="D2355" s="9" t="s">
        <v>185</v>
      </c>
      <c r="E2355" s="12" t="n">
        <v>20</v>
      </c>
      <c r="F2355" s="9" t="s">
        <v>31</v>
      </c>
      <c r="G2355" s="13" t="n">
        <v>150</v>
      </c>
      <c r="H2355" s="9" t="s">
        <v>37</v>
      </c>
      <c r="I2355" s="13" t="n">
        <v>4</v>
      </c>
      <c r="J2355" s="1" t="str">
        <f aca="false">IF(A2355="","", "SAMP-"&amp;A2355&amp;"-L"&amp;TEXT(B2355,"00")&amp;"-"&amp;TEXT(C2355,"yyyymmdd")&amp;"-"&amp;D2355&amp;"-H"&amp;TEXT(E2355,"00")&amp;"-"&amp;H2355)</f>
        <v>SAMP-KG01-L25-20251209-ORD-2025-00296-H20-Bird Swing</v>
      </c>
      <c r="K2355" s="1" t="str">
        <f aca="false">IF(A2355="","",IF(AND(G2355&gt;=0,I2355&gt;=0,I2355&lt;=G2355),"OK","CHECK"))</f>
        <v>OK</v>
      </c>
      <c r="L2355" s="1" t="str">
        <f aca="false">IF(A2355="","",IF(AND(E2355&gt;=0,E2355&lt;=23),"OK","CHECK"))</f>
        <v>OK</v>
      </c>
      <c r="M2355" s="1" t="str">
        <f aca="false">IF(A2355="","",IF(AND(K2355="OK",L2355="OK"),"OK","CHECK"))</f>
        <v>OK</v>
      </c>
    </row>
    <row r="2356" customFormat="false" ht="18" hidden="false" customHeight="true" outlineLevel="0" collapsed="false">
      <c r="A2356" s="9" t="s">
        <v>26</v>
      </c>
      <c r="B2356" s="9" t="n">
        <v>25</v>
      </c>
      <c r="C2356" s="11" t="n">
        <v>46000</v>
      </c>
      <c r="D2356" s="9" t="s">
        <v>185</v>
      </c>
      <c r="E2356" s="12" t="n">
        <v>16</v>
      </c>
      <c r="F2356" s="9" t="s">
        <v>31</v>
      </c>
      <c r="G2356" s="13" t="n">
        <v>50</v>
      </c>
      <c r="H2356" s="9" t="s">
        <v>29</v>
      </c>
      <c r="I2356" s="13" t="n">
        <v>1</v>
      </c>
      <c r="J2356" s="1" t="str">
        <f aca="false">IF(A2356="","", "SAMP-"&amp;A2356&amp;"-L"&amp;TEXT(B2356,"00")&amp;"-"&amp;TEXT(C2356,"yyyymmdd")&amp;"-"&amp;D2356&amp;"-H"&amp;TEXT(E2356,"00")&amp;"-"&amp;H2356)</f>
        <v>SAMP-KG01-L25-20251209-ORD-2025-00296-H16-Choke Neck</v>
      </c>
      <c r="K2356" s="1" t="str">
        <f aca="false">IF(A2356="","",IF(AND(G2356&gt;=0,I2356&gt;=0,I2356&lt;=G2356),"OK","CHECK"))</f>
        <v>OK</v>
      </c>
      <c r="L2356" s="1" t="str">
        <f aca="false">IF(A2356="","",IF(AND(E2356&gt;=0,E2356&lt;=23),"OK","CHECK"))</f>
        <v>OK</v>
      </c>
      <c r="M2356" s="1" t="str">
        <f aca="false">IF(A2356="","",IF(AND(K2356="OK",L2356="OK"),"OK","CHECK"))</f>
        <v>OK</v>
      </c>
    </row>
    <row r="2357" customFormat="false" ht="18" hidden="false" customHeight="true" outlineLevel="0" collapsed="false">
      <c r="A2357" s="9" t="s">
        <v>26</v>
      </c>
      <c r="B2357" s="9" t="n">
        <v>25</v>
      </c>
      <c r="C2357" s="11" t="n">
        <v>46001</v>
      </c>
      <c r="D2357" s="9" t="s">
        <v>185</v>
      </c>
      <c r="E2357" s="12" t="n">
        <v>9</v>
      </c>
      <c r="F2357" s="9" t="s">
        <v>28</v>
      </c>
      <c r="G2357" s="13" t="n">
        <v>50</v>
      </c>
      <c r="H2357" s="9" t="s">
        <v>34</v>
      </c>
      <c r="I2357" s="13" t="n">
        <v>0</v>
      </c>
      <c r="J2357" s="1" t="str">
        <f aca="false">IF(A2357="","", "SAMP-"&amp;A2357&amp;"-L"&amp;TEXT(B2357,"00")&amp;"-"&amp;TEXT(C2357,"yyyymmdd")&amp;"-"&amp;D2357&amp;"-H"&amp;TEXT(E2357,"00")&amp;"-"&amp;H2357)</f>
        <v>SAMP-KG01-L25-20251210-ORD-2025-00296-H09-Thin Wall</v>
      </c>
      <c r="K2357" s="1" t="str">
        <f aca="false">IF(A2357="","",IF(AND(G2357&gt;=0,I2357&gt;=0,I2357&lt;=G2357),"OK","CHECK"))</f>
        <v>OK</v>
      </c>
      <c r="L2357" s="1" t="str">
        <f aca="false">IF(A2357="","",IF(AND(E2357&gt;=0,E2357&lt;=23),"OK","CHECK"))</f>
        <v>OK</v>
      </c>
      <c r="M2357" s="1" t="str">
        <f aca="false">IF(A2357="","",IF(AND(K2357="OK",L2357="OK"),"OK","CHECK"))</f>
        <v>OK</v>
      </c>
    </row>
    <row r="2358" customFormat="false" ht="18" hidden="false" customHeight="true" outlineLevel="0" collapsed="false">
      <c r="A2358" s="9" t="s">
        <v>26</v>
      </c>
      <c r="B2358" s="9" t="n">
        <v>25</v>
      </c>
      <c r="C2358" s="11" t="n">
        <v>46001</v>
      </c>
      <c r="D2358" s="9" t="s">
        <v>185</v>
      </c>
      <c r="E2358" s="12" t="n">
        <v>12</v>
      </c>
      <c r="F2358" s="9" t="s">
        <v>28</v>
      </c>
      <c r="G2358" s="13" t="n">
        <v>50</v>
      </c>
      <c r="H2358" s="9" t="s">
        <v>33</v>
      </c>
      <c r="I2358" s="13" t="n">
        <v>0</v>
      </c>
      <c r="J2358" s="1" t="str">
        <f aca="false">IF(A2358="","", "SAMP-"&amp;A2358&amp;"-L"&amp;TEXT(B2358,"00")&amp;"-"&amp;TEXT(C2358,"yyyymmdd")&amp;"-"&amp;D2358&amp;"-H"&amp;TEXT(E2358,"00")&amp;"-"&amp;H2358)</f>
        <v>SAMP-KG01-L25-20251210-ORD-2025-00296-H12-Distortion</v>
      </c>
      <c r="K2358" s="1" t="str">
        <f aca="false">IF(A2358="","",IF(AND(G2358&gt;=0,I2358&gt;=0,I2358&lt;=G2358),"OK","CHECK"))</f>
        <v>OK</v>
      </c>
      <c r="L2358" s="1" t="str">
        <f aca="false">IF(A2358="","",IF(AND(E2358&gt;=0,E2358&lt;=23),"OK","CHECK"))</f>
        <v>OK</v>
      </c>
      <c r="M2358" s="1" t="str">
        <f aca="false">IF(A2358="","",IF(AND(K2358="OK",L2358="OK"),"OK","CHECK"))</f>
        <v>OK</v>
      </c>
    </row>
    <row r="2359" customFormat="false" ht="18" hidden="false" customHeight="true" outlineLevel="0" collapsed="false">
      <c r="A2359" s="9" t="s">
        <v>26</v>
      </c>
      <c r="B2359" s="9" t="n">
        <v>25</v>
      </c>
      <c r="C2359" s="11" t="n">
        <v>46001</v>
      </c>
      <c r="D2359" s="9" t="s">
        <v>185</v>
      </c>
      <c r="E2359" s="12" t="n">
        <v>7</v>
      </c>
      <c r="F2359" s="9" t="s">
        <v>28</v>
      </c>
      <c r="G2359" s="13" t="n">
        <v>50</v>
      </c>
      <c r="H2359" s="9" t="s">
        <v>41</v>
      </c>
      <c r="I2359" s="13" t="n">
        <v>1</v>
      </c>
      <c r="J2359" s="1" t="str">
        <f aca="false">IF(A2359="","", "SAMP-"&amp;A2359&amp;"-L"&amp;TEXT(B2359,"00")&amp;"-"&amp;TEXT(C2359,"yyyymmdd")&amp;"-"&amp;D2359&amp;"-H"&amp;TEXT(E2359,"00")&amp;"-"&amp;H2359)</f>
        <v>SAMP-KG01-L25-20251210-ORD-2025-00296-H07-Chip</v>
      </c>
      <c r="K2359" s="1" t="str">
        <f aca="false">IF(A2359="","",IF(AND(G2359&gt;=0,I2359&gt;=0,I2359&lt;=G2359),"OK","CHECK"))</f>
        <v>OK</v>
      </c>
      <c r="L2359" s="1" t="str">
        <f aca="false">IF(A2359="","",IF(AND(E2359&gt;=0,E2359&lt;=23),"OK","CHECK"))</f>
        <v>OK</v>
      </c>
      <c r="M2359" s="1" t="str">
        <f aca="false">IF(A2359="","",IF(AND(K2359="OK",L2359="OK"),"OK","CHECK"))</f>
        <v>OK</v>
      </c>
    </row>
    <row r="2360" customFormat="false" ht="18" hidden="false" customHeight="true" outlineLevel="0" collapsed="false">
      <c r="A2360" s="9" t="s">
        <v>26</v>
      </c>
      <c r="B2360" s="9" t="n">
        <v>25</v>
      </c>
      <c r="C2360" s="11" t="n">
        <v>46001</v>
      </c>
      <c r="D2360" s="9" t="s">
        <v>185</v>
      </c>
      <c r="E2360" s="12" t="n">
        <v>20</v>
      </c>
      <c r="F2360" s="9" t="s">
        <v>31</v>
      </c>
      <c r="G2360" s="13" t="n">
        <v>50</v>
      </c>
      <c r="H2360" s="9" t="s">
        <v>34</v>
      </c>
      <c r="I2360" s="13" t="n">
        <v>1</v>
      </c>
      <c r="J2360" s="1" t="str">
        <f aca="false">IF(A2360="","", "SAMP-"&amp;A2360&amp;"-L"&amp;TEXT(B2360,"00")&amp;"-"&amp;TEXT(C2360,"yyyymmdd")&amp;"-"&amp;D2360&amp;"-H"&amp;TEXT(E2360,"00")&amp;"-"&amp;H2360)</f>
        <v>SAMP-KG01-L25-20251210-ORD-2025-00296-H20-Thin Wall</v>
      </c>
      <c r="K2360" s="1" t="str">
        <f aca="false">IF(A2360="","",IF(AND(G2360&gt;=0,I2360&gt;=0,I2360&lt;=G2360),"OK","CHECK"))</f>
        <v>OK</v>
      </c>
      <c r="L2360" s="1" t="str">
        <f aca="false">IF(A2360="","",IF(AND(E2360&gt;=0,E2360&lt;=23),"OK","CHECK"))</f>
        <v>OK</v>
      </c>
      <c r="M2360" s="1" t="str">
        <f aca="false">IF(A2360="","",IF(AND(K2360="OK",L2360="OK"),"OK","CHECK"))</f>
        <v>OK</v>
      </c>
    </row>
    <row r="2361" customFormat="false" ht="18" hidden="false" customHeight="true" outlineLevel="0" collapsed="false">
      <c r="A2361" s="9" t="s">
        <v>26</v>
      </c>
      <c r="B2361" s="9" t="n">
        <v>25</v>
      </c>
      <c r="C2361" s="11" t="n">
        <v>46001</v>
      </c>
      <c r="D2361" s="9" t="s">
        <v>185</v>
      </c>
      <c r="E2361" s="12" t="n">
        <v>16</v>
      </c>
      <c r="F2361" s="9" t="s">
        <v>31</v>
      </c>
      <c r="G2361" s="13" t="n">
        <v>200</v>
      </c>
      <c r="H2361" s="9" t="s">
        <v>35</v>
      </c>
      <c r="I2361" s="13" t="n">
        <v>0</v>
      </c>
      <c r="J2361" s="1" t="str">
        <f aca="false">IF(A2361="","", "SAMP-"&amp;A2361&amp;"-L"&amp;TEXT(B2361,"00")&amp;"-"&amp;TEXT(C2361,"yyyymmdd")&amp;"-"&amp;D2361&amp;"-H"&amp;TEXT(E2361,"00")&amp;"-"&amp;H2361)</f>
        <v>SAMP-KG01-L25-20251210-ORD-2025-00296-H16-Stone</v>
      </c>
      <c r="K2361" s="1" t="str">
        <f aca="false">IF(A2361="","",IF(AND(G2361&gt;=0,I2361&gt;=0,I2361&lt;=G2361),"OK","CHECK"))</f>
        <v>OK</v>
      </c>
      <c r="L2361" s="1" t="str">
        <f aca="false">IF(A2361="","",IF(AND(E2361&gt;=0,E2361&lt;=23),"OK","CHECK"))</f>
        <v>OK</v>
      </c>
      <c r="M2361" s="1" t="str">
        <f aca="false">IF(A2361="","",IF(AND(K2361="OK",L2361="OK"),"OK","CHECK"))</f>
        <v>OK</v>
      </c>
    </row>
    <row r="2362" customFormat="false" ht="18" hidden="false" customHeight="true" outlineLevel="0" collapsed="false">
      <c r="A2362" s="9" t="s">
        <v>26</v>
      </c>
      <c r="B2362" s="9" t="n">
        <v>25</v>
      </c>
      <c r="C2362" s="11" t="n">
        <v>46001</v>
      </c>
      <c r="D2362" s="9" t="s">
        <v>185</v>
      </c>
      <c r="E2362" s="12" t="n">
        <v>23</v>
      </c>
      <c r="F2362" s="9" t="s">
        <v>31</v>
      </c>
      <c r="G2362" s="13" t="n">
        <v>50</v>
      </c>
      <c r="H2362" s="9" t="s">
        <v>34</v>
      </c>
      <c r="I2362" s="13" t="n">
        <v>0</v>
      </c>
      <c r="J2362" s="1" t="str">
        <f aca="false">IF(A2362="","", "SAMP-"&amp;A2362&amp;"-L"&amp;TEXT(B2362,"00")&amp;"-"&amp;TEXT(C2362,"yyyymmdd")&amp;"-"&amp;D2362&amp;"-H"&amp;TEXT(E2362,"00")&amp;"-"&amp;H2362)</f>
        <v>SAMP-KG01-L25-20251210-ORD-2025-00296-H23-Thin Wall</v>
      </c>
      <c r="K2362" s="1" t="str">
        <f aca="false">IF(A2362="","",IF(AND(G2362&gt;=0,I2362&gt;=0,I2362&lt;=G2362),"OK","CHECK"))</f>
        <v>OK</v>
      </c>
      <c r="L2362" s="1" t="str">
        <f aca="false">IF(A2362="","",IF(AND(E2362&gt;=0,E2362&lt;=23),"OK","CHECK"))</f>
        <v>OK</v>
      </c>
      <c r="M2362" s="1" t="str">
        <f aca="false">IF(A2362="","",IF(AND(K2362="OK",L2362="OK"),"OK","CHECK"))</f>
        <v>OK</v>
      </c>
    </row>
    <row r="2363" customFormat="false" ht="18" hidden="false" customHeight="true" outlineLevel="0" collapsed="false">
      <c r="A2363" s="9" t="s">
        <v>26</v>
      </c>
      <c r="B2363" s="9" t="n">
        <v>25</v>
      </c>
      <c r="C2363" s="11" t="n">
        <v>46002</v>
      </c>
      <c r="D2363" s="9" t="s">
        <v>185</v>
      </c>
      <c r="E2363" s="12" t="n">
        <v>12</v>
      </c>
      <c r="F2363" s="9" t="s">
        <v>28</v>
      </c>
      <c r="G2363" s="13" t="n">
        <v>50</v>
      </c>
      <c r="H2363" s="9" t="s">
        <v>30</v>
      </c>
      <c r="I2363" s="13" t="n">
        <v>1</v>
      </c>
      <c r="J2363" s="1" t="str">
        <f aca="false">IF(A2363="","", "SAMP-"&amp;A2363&amp;"-L"&amp;TEXT(B2363,"00")&amp;"-"&amp;TEXT(C2363,"yyyymmdd")&amp;"-"&amp;D2363&amp;"-H"&amp;TEXT(E2363,"00")&amp;"-"&amp;H2363)</f>
        <v>SAMP-KG01-L25-20251211-ORD-2025-00296-H12-Overpress</v>
      </c>
      <c r="K2363" s="1" t="str">
        <f aca="false">IF(A2363="","",IF(AND(G2363&gt;=0,I2363&gt;=0,I2363&lt;=G2363),"OK","CHECK"))</f>
        <v>OK</v>
      </c>
      <c r="L2363" s="1" t="str">
        <f aca="false">IF(A2363="","",IF(AND(E2363&gt;=0,E2363&lt;=23),"OK","CHECK"))</f>
        <v>OK</v>
      </c>
      <c r="M2363" s="1" t="str">
        <f aca="false">IF(A2363="","",IF(AND(K2363="OK",L2363="OK"),"OK","CHECK"))</f>
        <v>OK</v>
      </c>
    </row>
    <row r="2364" customFormat="false" ht="18" hidden="false" customHeight="true" outlineLevel="0" collapsed="false">
      <c r="A2364" s="9" t="s">
        <v>26</v>
      </c>
      <c r="B2364" s="9" t="n">
        <v>25</v>
      </c>
      <c r="C2364" s="11" t="n">
        <v>46002</v>
      </c>
      <c r="D2364" s="9" t="s">
        <v>185</v>
      </c>
      <c r="E2364" s="12" t="n">
        <v>9</v>
      </c>
      <c r="F2364" s="9" t="s">
        <v>28</v>
      </c>
      <c r="G2364" s="13" t="n">
        <v>100</v>
      </c>
      <c r="H2364" s="9" t="s">
        <v>41</v>
      </c>
      <c r="I2364" s="13" t="n">
        <v>2</v>
      </c>
      <c r="J2364" s="1" t="str">
        <f aca="false">IF(A2364="","", "SAMP-"&amp;A2364&amp;"-L"&amp;TEXT(B2364,"00")&amp;"-"&amp;TEXT(C2364,"yyyymmdd")&amp;"-"&amp;D2364&amp;"-H"&amp;TEXT(E2364,"00")&amp;"-"&amp;H2364)</f>
        <v>SAMP-KG01-L25-20251211-ORD-2025-00296-H09-Chip</v>
      </c>
      <c r="K2364" s="1" t="str">
        <f aca="false">IF(A2364="","",IF(AND(G2364&gt;=0,I2364&gt;=0,I2364&lt;=G2364),"OK","CHECK"))</f>
        <v>OK</v>
      </c>
      <c r="L2364" s="1" t="str">
        <f aca="false">IF(A2364="","",IF(AND(E2364&gt;=0,E2364&lt;=23),"OK","CHECK"))</f>
        <v>OK</v>
      </c>
      <c r="M2364" s="1" t="str">
        <f aca="false">IF(A2364="","",IF(AND(K2364="OK",L2364="OK"),"OK","CHECK"))</f>
        <v>OK</v>
      </c>
    </row>
    <row r="2365" customFormat="false" ht="18" hidden="false" customHeight="true" outlineLevel="0" collapsed="false">
      <c r="A2365" s="9" t="s">
        <v>26</v>
      </c>
      <c r="B2365" s="9" t="n">
        <v>25</v>
      </c>
      <c r="C2365" s="11" t="n">
        <v>46002</v>
      </c>
      <c r="D2365" s="9" t="s">
        <v>185</v>
      </c>
      <c r="E2365" s="12" t="n">
        <v>7</v>
      </c>
      <c r="F2365" s="9" t="s">
        <v>28</v>
      </c>
      <c r="G2365" s="13" t="n">
        <v>100</v>
      </c>
      <c r="H2365" s="9" t="s">
        <v>29</v>
      </c>
      <c r="I2365" s="13" t="n">
        <v>1</v>
      </c>
      <c r="J2365" s="1" t="str">
        <f aca="false">IF(A2365="","", "SAMP-"&amp;A2365&amp;"-L"&amp;TEXT(B2365,"00")&amp;"-"&amp;TEXT(C2365,"yyyymmdd")&amp;"-"&amp;D2365&amp;"-H"&amp;TEXT(E2365,"00")&amp;"-"&amp;H2365)</f>
        <v>SAMP-KG01-L25-20251211-ORD-2025-00296-H07-Choke Neck</v>
      </c>
      <c r="K2365" s="1" t="str">
        <f aca="false">IF(A2365="","",IF(AND(G2365&gt;=0,I2365&gt;=0,I2365&lt;=G2365),"OK","CHECK"))</f>
        <v>OK</v>
      </c>
      <c r="L2365" s="1" t="str">
        <f aca="false">IF(A2365="","",IF(AND(E2365&gt;=0,E2365&lt;=23),"OK","CHECK"))</f>
        <v>OK</v>
      </c>
      <c r="M2365" s="1" t="str">
        <f aca="false">IF(A2365="","",IF(AND(K2365="OK",L2365="OK"),"OK","CHECK"))</f>
        <v>OK</v>
      </c>
    </row>
    <row r="2366" customFormat="false" ht="18" hidden="false" customHeight="true" outlineLevel="0" collapsed="false">
      <c r="A2366" s="9" t="s">
        <v>26</v>
      </c>
      <c r="B2366" s="9" t="n">
        <v>25</v>
      </c>
      <c r="C2366" s="11" t="n">
        <v>46002</v>
      </c>
      <c r="D2366" s="9" t="s">
        <v>185</v>
      </c>
      <c r="E2366" s="12" t="n">
        <v>20</v>
      </c>
      <c r="F2366" s="9" t="s">
        <v>31</v>
      </c>
      <c r="G2366" s="13" t="n">
        <v>150</v>
      </c>
      <c r="H2366" s="9" t="s">
        <v>33</v>
      </c>
      <c r="I2366" s="13" t="n">
        <v>4</v>
      </c>
      <c r="J2366" s="1" t="str">
        <f aca="false">IF(A2366="","", "SAMP-"&amp;A2366&amp;"-L"&amp;TEXT(B2366,"00")&amp;"-"&amp;TEXT(C2366,"yyyymmdd")&amp;"-"&amp;D2366&amp;"-H"&amp;TEXT(E2366,"00")&amp;"-"&amp;H2366)</f>
        <v>SAMP-KG01-L25-20251211-ORD-2025-00296-H20-Distortion</v>
      </c>
      <c r="K2366" s="1" t="str">
        <f aca="false">IF(A2366="","",IF(AND(G2366&gt;=0,I2366&gt;=0,I2366&lt;=G2366),"OK","CHECK"))</f>
        <v>OK</v>
      </c>
      <c r="L2366" s="1" t="str">
        <f aca="false">IF(A2366="","",IF(AND(E2366&gt;=0,E2366&lt;=23),"OK","CHECK"))</f>
        <v>OK</v>
      </c>
      <c r="M2366" s="1" t="str">
        <f aca="false">IF(A2366="","",IF(AND(K2366="OK",L2366="OK"),"OK","CHECK"))</f>
        <v>OK</v>
      </c>
    </row>
    <row r="2367" customFormat="false" ht="18" hidden="false" customHeight="true" outlineLevel="0" collapsed="false">
      <c r="A2367" s="9" t="s">
        <v>26</v>
      </c>
      <c r="B2367" s="9" t="n">
        <v>25</v>
      </c>
      <c r="C2367" s="11" t="n">
        <v>46002</v>
      </c>
      <c r="D2367" s="9" t="s">
        <v>185</v>
      </c>
      <c r="E2367" s="12" t="n">
        <v>23</v>
      </c>
      <c r="F2367" s="9" t="s">
        <v>31</v>
      </c>
      <c r="G2367" s="13" t="n">
        <v>100</v>
      </c>
      <c r="H2367" s="9" t="s">
        <v>37</v>
      </c>
      <c r="I2367" s="13" t="n">
        <v>0</v>
      </c>
      <c r="J2367" s="1" t="str">
        <f aca="false">IF(A2367="","", "SAMP-"&amp;A2367&amp;"-L"&amp;TEXT(B2367,"00")&amp;"-"&amp;TEXT(C2367,"yyyymmdd")&amp;"-"&amp;D2367&amp;"-H"&amp;TEXT(E2367,"00")&amp;"-"&amp;H2367)</f>
        <v>SAMP-KG01-L25-20251211-ORD-2025-00296-H23-Bird Swing</v>
      </c>
      <c r="K2367" s="1" t="str">
        <f aca="false">IF(A2367="","",IF(AND(G2367&gt;=0,I2367&gt;=0,I2367&lt;=G2367),"OK","CHECK"))</f>
        <v>OK</v>
      </c>
      <c r="L2367" s="1" t="str">
        <f aca="false">IF(A2367="","",IF(AND(E2367&gt;=0,E2367&lt;=23),"OK","CHECK"))</f>
        <v>OK</v>
      </c>
      <c r="M2367" s="1" t="str">
        <f aca="false">IF(A2367="","",IF(AND(K2367="OK",L2367="OK"),"OK","CHECK"))</f>
        <v>OK</v>
      </c>
    </row>
    <row r="2368" customFormat="false" ht="18" hidden="false" customHeight="true" outlineLevel="0" collapsed="false">
      <c r="A2368" s="9" t="s">
        <v>26</v>
      </c>
      <c r="B2368" s="9" t="n">
        <v>25</v>
      </c>
      <c r="C2368" s="11" t="n">
        <v>46002</v>
      </c>
      <c r="D2368" s="9" t="s">
        <v>185</v>
      </c>
      <c r="E2368" s="12" t="n">
        <v>16</v>
      </c>
      <c r="F2368" s="9" t="s">
        <v>31</v>
      </c>
      <c r="G2368" s="13" t="n">
        <v>150</v>
      </c>
      <c r="H2368" s="9" t="s">
        <v>29</v>
      </c>
      <c r="I2368" s="13" t="n">
        <v>2</v>
      </c>
      <c r="J2368" s="1" t="str">
        <f aca="false">IF(A2368="","", "SAMP-"&amp;A2368&amp;"-L"&amp;TEXT(B2368,"00")&amp;"-"&amp;TEXT(C2368,"yyyymmdd")&amp;"-"&amp;D2368&amp;"-H"&amp;TEXT(E2368,"00")&amp;"-"&amp;H2368)</f>
        <v>SAMP-KG01-L25-20251211-ORD-2025-00296-H16-Choke Neck</v>
      </c>
      <c r="K2368" s="1" t="str">
        <f aca="false">IF(A2368="","",IF(AND(G2368&gt;=0,I2368&gt;=0,I2368&lt;=G2368),"OK","CHECK"))</f>
        <v>OK</v>
      </c>
      <c r="L2368" s="1" t="str">
        <f aca="false">IF(A2368="","",IF(AND(E2368&gt;=0,E2368&lt;=23),"OK","CHECK"))</f>
        <v>OK</v>
      </c>
      <c r="M2368" s="1" t="str">
        <f aca="false">IF(A2368="","",IF(AND(K2368="OK",L2368="OK"),"OK","CHECK"))</f>
        <v>OK</v>
      </c>
    </row>
    <row r="2369" customFormat="false" ht="18" hidden="false" customHeight="true" outlineLevel="0" collapsed="false">
      <c r="A2369" s="9" t="s">
        <v>26</v>
      </c>
      <c r="B2369" s="9" t="n">
        <v>25</v>
      </c>
      <c r="C2369" s="11" t="n">
        <v>46003</v>
      </c>
      <c r="D2369" s="9" t="s">
        <v>185</v>
      </c>
      <c r="E2369" s="12" t="n">
        <v>9</v>
      </c>
      <c r="F2369" s="9" t="s">
        <v>28</v>
      </c>
      <c r="G2369" s="13" t="n">
        <v>100</v>
      </c>
      <c r="H2369" s="9" t="s">
        <v>29</v>
      </c>
      <c r="I2369" s="13" t="n">
        <v>2</v>
      </c>
      <c r="J2369" s="1" t="str">
        <f aca="false">IF(A2369="","", "SAMP-"&amp;A2369&amp;"-L"&amp;TEXT(B2369,"00")&amp;"-"&amp;TEXT(C2369,"yyyymmdd")&amp;"-"&amp;D2369&amp;"-H"&amp;TEXT(E2369,"00")&amp;"-"&amp;H2369)</f>
        <v>SAMP-KG01-L25-20251212-ORD-2025-00296-H09-Choke Neck</v>
      </c>
      <c r="K2369" s="1" t="str">
        <f aca="false">IF(A2369="","",IF(AND(G2369&gt;=0,I2369&gt;=0,I2369&lt;=G2369),"OK","CHECK"))</f>
        <v>OK</v>
      </c>
      <c r="L2369" s="1" t="str">
        <f aca="false">IF(A2369="","",IF(AND(E2369&gt;=0,E2369&lt;=23),"OK","CHECK"))</f>
        <v>OK</v>
      </c>
      <c r="M2369" s="1" t="str">
        <f aca="false">IF(A2369="","",IF(AND(K2369="OK",L2369="OK"),"OK","CHECK"))</f>
        <v>OK</v>
      </c>
    </row>
    <row r="2370" customFormat="false" ht="18" hidden="false" customHeight="true" outlineLevel="0" collapsed="false">
      <c r="A2370" s="9" t="s">
        <v>26</v>
      </c>
      <c r="B2370" s="9" t="n">
        <v>25</v>
      </c>
      <c r="C2370" s="11" t="n">
        <v>46003</v>
      </c>
      <c r="D2370" s="9" t="s">
        <v>185</v>
      </c>
      <c r="E2370" s="12" t="n">
        <v>7</v>
      </c>
      <c r="F2370" s="9" t="s">
        <v>28</v>
      </c>
      <c r="G2370" s="13" t="n">
        <v>100</v>
      </c>
      <c r="H2370" s="9" t="s">
        <v>35</v>
      </c>
      <c r="I2370" s="13" t="n">
        <v>3</v>
      </c>
      <c r="J2370" s="1" t="str">
        <f aca="false">IF(A2370="","", "SAMP-"&amp;A2370&amp;"-L"&amp;TEXT(B2370,"00")&amp;"-"&amp;TEXT(C2370,"yyyymmdd")&amp;"-"&amp;D2370&amp;"-H"&amp;TEXT(E2370,"00")&amp;"-"&amp;H2370)</f>
        <v>SAMP-KG01-L25-20251212-ORD-2025-00296-H07-Stone</v>
      </c>
      <c r="K2370" s="1" t="str">
        <f aca="false">IF(A2370="","",IF(AND(G2370&gt;=0,I2370&gt;=0,I2370&lt;=G2370),"OK","CHECK"))</f>
        <v>OK</v>
      </c>
      <c r="L2370" s="1" t="str">
        <f aca="false">IF(A2370="","",IF(AND(E2370&gt;=0,E2370&lt;=23),"OK","CHECK"))</f>
        <v>OK</v>
      </c>
      <c r="M2370" s="1" t="str">
        <f aca="false">IF(A2370="","",IF(AND(K2370="OK",L2370="OK"),"OK","CHECK"))</f>
        <v>OK</v>
      </c>
    </row>
    <row r="2371" customFormat="false" ht="18" hidden="false" customHeight="true" outlineLevel="0" collapsed="false">
      <c r="A2371" s="9" t="s">
        <v>26</v>
      </c>
      <c r="B2371" s="9" t="n">
        <v>25</v>
      </c>
      <c r="C2371" s="11" t="n">
        <v>46003</v>
      </c>
      <c r="D2371" s="9" t="s">
        <v>185</v>
      </c>
      <c r="E2371" s="12" t="n">
        <v>20</v>
      </c>
      <c r="F2371" s="9" t="s">
        <v>31</v>
      </c>
      <c r="G2371" s="13" t="n">
        <v>50</v>
      </c>
      <c r="H2371" s="9" t="s">
        <v>41</v>
      </c>
      <c r="I2371" s="13" t="n">
        <v>0</v>
      </c>
      <c r="J2371" s="1" t="str">
        <f aca="false">IF(A2371="","", "SAMP-"&amp;A2371&amp;"-L"&amp;TEXT(B2371,"00")&amp;"-"&amp;TEXT(C2371,"yyyymmdd")&amp;"-"&amp;D2371&amp;"-H"&amp;TEXT(E2371,"00")&amp;"-"&amp;H2371)</f>
        <v>SAMP-KG01-L25-20251212-ORD-2025-00296-H20-Chip</v>
      </c>
      <c r="K2371" s="1" t="str">
        <f aca="false">IF(A2371="","",IF(AND(G2371&gt;=0,I2371&gt;=0,I2371&lt;=G2371),"OK","CHECK"))</f>
        <v>OK</v>
      </c>
      <c r="L2371" s="1" t="str">
        <f aca="false">IF(A2371="","",IF(AND(E2371&gt;=0,E2371&lt;=23),"OK","CHECK"))</f>
        <v>OK</v>
      </c>
      <c r="M2371" s="1" t="str">
        <f aca="false">IF(A2371="","",IF(AND(K2371="OK",L2371="OK"),"OK","CHECK"))</f>
        <v>OK</v>
      </c>
    </row>
    <row r="2372" customFormat="false" ht="18" hidden="false" customHeight="true" outlineLevel="0" collapsed="false">
      <c r="A2372" s="9" t="s">
        <v>26</v>
      </c>
      <c r="B2372" s="9" t="n">
        <v>25</v>
      </c>
      <c r="C2372" s="11" t="n">
        <v>46003</v>
      </c>
      <c r="D2372" s="9" t="s">
        <v>185</v>
      </c>
      <c r="E2372" s="12" t="n">
        <v>16</v>
      </c>
      <c r="F2372" s="9" t="s">
        <v>31</v>
      </c>
      <c r="G2372" s="13" t="n">
        <v>150</v>
      </c>
      <c r="H2372" s="9" t="s">
        <v>33</v>
      </c>
      <c r="I2372" s="13" t="n">
        <v>5</v>
      </c>
      <c r="J2372" s="1" t="str">
        <f aca="false">IF(A2372="","", "SAMP-"&amp;A2372&amp;"-L"&amp;TEXT(B2372,"00")&amp;"-"&amp;TEXT(C2372,"yyyymmdd")&amp;"-"&amp;D2372&amp;"-H"&amp;TEXT(E2372,"00")&amp;"-"&amp;H2372)</f>
        <v>SAMP-KG01-L25-20251212-ORD-2025-00296-H16-Distortion</v>
      </c>
      <c r="K2372" s="1" t="str">
        <f aca="false">IF(A2372="","",IF(AND(G2372&gt;=0,I2372&gt;=0,I2372&lt;=G2372),"OK","CHECK"))</f>
        <v>OK</v>
      </c>
      <c r="L2372" s="1" t="str">
        <f aca="false">IF(A2372="","",IF(AND(E2372&gt;=0,E2372&lt;=23),"OK","CHECK"))</f>
        <v>OK</v>
      </c>
      <c r="M2372" s="1" t="str">
        <f aca="false">IF(A2372="","",IF(AND(K2372="OK",L2372="OK"),"OK","CHECK"))</f>
        <v>OK</v>
      </c>
    </row>
    <row r="2373" customFormat="false" ht="18" hidden="false" customHeight="true" outlineLevel="0" collapsed="false">
      <c r="A2373" s="9" t="s">
        <v>26</v>
      </c>
      <c r="B2373" s="9" t="n">
        <v>25</v>
      </c>
      <c r="C2373" s="11" t="n">
        <v>46003</v>
      </c>
      <c r="D2373" s="9" t="s">
        <v>185</v>
      </c>
      <c r="E2373" s="12" t="n">
        <v>23</v>
      </c>
      <c r="F2373" s="9" t="s">
        <v>31</v>
      </c>
      <c r="G2373" s="13" t="n">
        <v>150</v>
      </c>
      <c r="H2373" s="9" t="s">
        <v>36</v>
      </c>
      <c r="I2373" s="13" t="n">
        <v>4</v>
      </c>
      <c r="J2373" s="1" t="str">
        <f aca="false">IF(A2373="","", "SAMP-"&amp;A2373&amp;"-L"&amp;TEXT(B2373,"00")&amp;"-"&amp;TEXT(C2373,"yyyymmdd")&amp;"-"&amp;D2373&amp;"-H"&amp;TEXT(E2373,"00")&amp;"-"&amp;H2373)</f>
        <v>SAMP-KG01-L25-20251212-ORD-2025-00296-H23-Blister</v>
      </c>
      <c r="K2373" s="1" t="str">
        <f aca="false">IF(A2373="","",IF(AND(G2373&gt;=0,I2373&gt;=0,I2373&lt;=G2373),"OK","CHECK"))</f>
        <v>OK</v>
      </c>
      <c r="L2373" s="1" t="str">
        <f aca="false">IF(A2373="","",IF(AND(E2373&gt;=0,E2373&lt;=23),"OK","CHECK"))</f>
        <v>OK</v>
      </c>
      <c r="M2373" s="1" t="str">
        <f aca="false">IF(A2373="","",IF(AND(K2373="OK",L2373="OK"),"OK","CHECK"))</f>
        <v>OK</v>
      </c>
    </row>
    <row r="2374" customFormat="false" ht="18" hidden="false" customHeight="true" outlineLevel="0" collapsed="false">
      <c r="A2374" s="9" t="s">
        <v>26</v>
      </c>
      <c r="B2374" s="9" t="n">
        <v>25</v>
      </c>
      <c r="C2374" s="11" t="n">
        <v>46004</v>
      </c>
      <c r="D2374" s="9" t="s">
        <v>185</v>
      </c>
      <c r="E2374" s="12" t="n">
        <v>12</v>
      </c>
      <c r="F2374" s="9" t="s">
        <v>28</v>
      </c>
      <c r="G2374" s="13" t="n">
        <v>200</v>
      </c>
      <c r="H2374" s="9" t="s">
        <v>30</v>
      </c>
      <c r="I2374" s="13" t="n">
        <v>8</v>
      </c>
      <c r="J2374" s="1" t="str">
        <f aca="false">IF(A2374="","", "SAMP-"&amp;A2374&amp;"-L"&amp;TEXT(B2374,"00")&amp;"-"&amp;TEXT(C2374,"yyyymmdd")&amp;"-"&amp;D2374&amp;"-H"&amp;TEXT(E2374,"00")&amp;"-"&amp;H2374)</f>
        <v>SAMP-KG01-L25-20251213-ORD-2025-00296-H12-Overpress</v>
      </c>
      <c r="K2374" s="1" t="str">
        <f aca="false">IF(A2374="","",IF(AND(G2374&gt;=0,I2374&gt;=0,I2374&lt;=G2374),"OK","CHECK"))</f>
        <v>OK</v>
      </c>
      <c r="L2374" s="1" t="str">
        <f aca="false">IF(A2374="","",IF(AND(E2374&gt;=0,E2374&lt;=23),"OK","CHECK"))</f>
        <v>OK</v>
      </c>
      <c r="M2374" s="1" t="str">
        <f aca="false">IF(A2374="","",IF(AND(K2374="OK",L2374="OK"),"OK","CHECK"))</f>
        <v>OK</v>
      </c>
    </row>
    <row r="2375" customFormat="false" ht="18" hidden="false" customHeight="true" outlineLevel="0" collapsed="false">
      <c r="A2375" s="9" t="s">
        <v>26</v>
      </c>
      <c r="B2375" s="9" t="n">
        <v>25</v>
      </c>
      <c r="C2375" s="11" t="n">
        <v>46004</v>
      </c>
      <c r="D2375" s="9" t="s">
        <v>185</v>
      </c>
      <c r="E2375" s="12" t="n">
        <v>9</v>
      </c>
      <c r="F2375" s="9" t="s">
        <v>28</v>
      </c>
      <c r="G2375" s="13" t="n">
        <v>150</v>
      </c>
      <c r="H2375" s="9" t="s">
        <v>34</v>
      </c>
      <c r="I2375" s="13" t="n">
        <v>0</v>
      </c>
      <c r="J2375" s="1" t="str">
        <f aca="false">IF(A2375="","", "SAMP-"&amp;A2375&amp;"-L"&amp;TEXT(B2375,"00")&amp;"-"&amp;TEXT(C2375,"yyyymmdd")&amp;"-"&amp;D2375&amp;"-H"&amp;TEXT(E2375,"00")&amp;"-"&amp;H2375)</f>
        <v>SAMP-KG01-L25-20251213-ORD-2025-00296-H09-Thin Wall</v>
      </c>
      <c r="K2375" s="1" t="str">
        <f aca="false">IF(A2375="","",IF(AND(G2375&gt;=0,I2375&gt;=0,I2375&lt;=G2375),"OK","CHECK"))</f>
        <v>OK</v>
      </c>
      <c r="L2375" s="1" t="str">
        <f aca="false">IF(A2375="","",IF(AND(E2375&gt;=0,E2375&lt;=23),"OK","CHECK"))</f>
        <v>OK</v>
      </c>
      <c r="M2375" s="1" t="str">
        <f aca="false">IF(A2375="","",IF(AND(K2375="OK",L2375="OK"),"OK","CHECK"))</f>
        <v>OK</v>
      </c>
    </row>
    <row r="2376" customFormat="false" ht="18" hidden="false" customHeight="true" outlineLevel="0" collapsed="false">
      <c r="A2376" s="9" t="s">
        <v>26</v>
      </c>
      <c r="B2376" s="9" t="n">
        <v>25</v>
      </c>
      <c r="C2376" s="11" t="n">
        <v>46004</v>
      </c>
      <c r="D2376" s="9" t="s">
        <v>185</v>
      </c>
      <c r="E2376" s="12" t="n">
        <v>7</v>
      </c>
      <c r="F2376" s="9" t="s">
        <v>28</v>
      </c>
      <c r="G2376" s="13" t="n">
        <v>200</v>
      </c>
      <c r="H2376" s="9" t="s">
        <v>34</v>
      </c>
      <c r="I2376" s="13" t="n">
        <v>5</v>
      </c>
      <c r="J2376" s="1" t="str">
        <f aca="false">IF(A2376="","", "SAMP-"&amp;A2376&amp;"-L"&amp;TEXT(B2376,"00")&amp;"-"&amp;TEXT(C2376,"yyyymmdd")&amp;"-"&amp;D2376&amp;"-H"&amp;TEXT(E2376,"00")&amp;"-"&amp;H2376)</f>
        <v>SAMP-KG01-L25-20251213-ORD-2025-00296-H07-Thin Wall</v>
      </c>
      <c r="K2376" s="1" t="str">
        <f aca="false">IF(A2376="","",IF(AND(G2376&gt;=0,I2376&gt;=0,I2376&lt;=G2376),"OK","CHECK"))</f>
        <v>OK</v>
      </c>
      <c r="L2376" s="1" t="str">
        <f aca="false">IF(A2376="","",IF(AND(E2376&gt;=0,E2376&lt;=23),"OK","CHECK"))</f>
        <v>OK</v>
      </c>
      <c r="M2376" s="1" t="str">
        <f aca="false">IF(A2376="","",IF(AND(K2376="OK",L2376="OK"),"OK","CHECK"))</f>
        <v>OK</v>
      </c>
    </row>
    <row r="2377" customFormat="false" ht="18" hidden="false" customHeight="true" outlineLevel="0" collapsed="false">
      <c r="A2377" s="9" t="s">
        <v>26</v>
      </c>
      <c r="B2377" s="9" t="n">
        <v>25</v>
      </c>
      <c r="C2377" s="11" t="n">
        <v>46004</v>
      </c>
      <c r="D2377" s="9" t="s">
        <v>185</v>
      </c>
      <c r="E2377" s="12" t="n">
        <v>23</v>
      </c>
      <c r="F2377" s="9" t="s">
        <v>31</v>
      </c>
      <c r="G2377" s="13" t="n">
        <v>50</v>
      </c>
      <c r="H2377" s="9" t="s">
        <v>38</v>
      </c>
      <c r="I2377" s="13" t="n">
        <v>0</v>
      </c>
      <c r="J2377" s="1" t="str">
        <f aca="false">IF(A2377="","", "SAMP-"&amp;A2377&amp;"-L"&amp;TEXT(B2377,"00")&amp;"-"&amp;TEXT(C2377,"yyyymmdd")&amp;"-"&amp;D2377&amp;"-H"&amp;TEXT(E2377,"00")&amp;"-"&amp;H2377)</f>
        <v>SAMP-KG01-L25-20251213-ORD-2025-00296-H23-Crack</v>
      </c>
      <c r="K2377" s="1" t="str">
        <f aca="false">IF(A2377="","",IF(AND(G2377&gt;=0,I2377&gt;=0,I2377&lt;=G2377),"OK","CHECK"))</f>
        <v>OK</v>
      </c>
      <c r="L2377" s="1" t="str">
        <f aca="false">IF(A2377="","",IF(AND(E2377&gt;=0,E2377&lt;=23),"OK","CHECK"))</f>
        <v>OK</v>
      </c>
      <c r="M2377" s="1" t="str">
        <f aca="false">IF(A2377="","",IF(AND(K2377="OK",L2377="OK"),"OK","CHECK"))</f>
        <v>OK</v>
      </c>
    </row>
    <row r="2378" customFormat="false" ht="18" hidden="false" customHeight="true" outlineLevel="0" collapsed="false">
      <c r="A2378" s="9" t="s">
        <v>26</v>
      </c>
      <c r="B2378" s="9" t="n">
        <v>25</v>
      </c>
      <c r="C2378" s="11" t="n">
        <v>46004</v>
      </c>
      <c r="D2378" s="9" t="s">
        <v>185</v>
      </c>
      <c r="E2378" s="12" t="n">
        <v>16</v>
      </c>
      <c r="F2378" s="9" t="s">
        <v>31</v>
      </c>
      <c r="G2378" s="13" t="n">
        <v>200</v>
      </c>
      <c r="H2378" s="9" t="s">
        <v>33</v>
      </c>
      <c r="I2378" s="13" t="n">
        <v>6</v>
      </c>
      <c r="J2378" s="1" t="str">
        <f aca="false">IF(A2378="","", "SAMP-"&amp;A2378&amp;"-L"&amp;TEXT(B2378,"00")&amp;"-"&amp;TEXT(C2378,"yyyymmdd")&amp;"-"&amp;D2378&amp;"-H"&amp;TEXT(E2378,"00")&amp;"-"&amp;H2378)</f>
        <v>SAMP-KG01-L25-20251213-ORD-2025-00296-H16-Distortion</v>
      </c>
      <c r="K2378" s="1" t="str">
        <f aca="false">IF(A2378="","",IF(AND(G2378&gt;=0,I2378&gt;=0,I2378&lt;=G2378),"OK","CHECK"))</f>
        <v>OK</v>
      </c>
      <c r="L2378" s="1" t="str">
        <f aca="false">IF(A2378="","",IF(AND(E2378&gt;=0,E2378&lt;=23),"OK","CHECK"))</f>
        <v>OK</v>
      </c>
      <c r="M2378" s="1" t="str">
        <f aca="false">IF(A2378="","",IF(AND(K2378="OK",L2378="OK"),"OK","CHECK"))</f>
        <v>OK</v>
      </c>
    </row>
    <row r="2379" customFormat="false" ht="18" hidden="false" customHeight="true" outlineLevel="0" collapsed="false">
      <c r="A2379" s="9" t="s">
        <v>26</v>
      </c>
      <c r="B2379" s="9" t="n">
        <v>25</v>
      </c>
      <c r="C2379" s="11" t="n">
        <v>46004</v>
      </c>
      <c r="D2379" s="9" t="s">
        <v>185</v>
      </c>
      <c r="E2379" s="12" t="n">
        <v>20</v>
      </c>
      <c r="F2379" s="9" t="s">
        <v>31</v>
      </c>
      <c r="G2379" s="13" t="n">
        <v>200</v>
      </c>
      <c r="H2379" s="9" t="s">
        <v>37</v>
      </c>
      <c r="I2379" s="13" t="n">
        <v>0</v>
      </c>
      <c r="J2379" s="1" t="str">
        <f aca="false">IF(A2379="","", "SAMP-"&amp;A2379&amp;"-L"&amp;TEXT(B2379,"00")&amp;"-"&amp;TEXT(C2379,"yyyymmdd")&amp;"-"&amp;D2379&amp;"-H"&amp;TEXT(E2379,"00")&amp;"-"&amp;H2379)</f>
        <v>SAMP-KG01-L25-20251213-ORD-2025-00296-H20-Bird Swing</v>
      </c>
      <c r="K2379" s="1" t="str">
        <f aca="false">IF(A2379="","",IF(AND(G2379&gt;=0,I2379&gt;=0,I2379&lt;=G2379),"OK","CHECK"))</f>
        <v>OK</v>
      </c>
      <c r="L2379" s="1" t="str">
        <f aca="false">IF(A2379="","",IF(AND(E2379&gt;=0,E2379&lt;=23),"OK","CHECK"))</f>
        <v>OK</v>
      </c>
      <c r="M2379" s="1" t="str">
        <f aca="false">IF(A2379="","",IF(AND(K2379="OK",L2379="OK"),"OK","CHECK"))</f>
        <v>OK</v>
      </c>
    </row>
    <row r="2380" customFormat="false" ht="18" hidden="false" customHeight="true" outlineLevel="0" collapsed="false">
      <c r="A2380" s="9" t="s">
        <v>26</v>
      </c>
      <c r="B2380" s="9" t="n">
        <v>25</v>
      </c>
      <c r="C2380" s="11" t="n">
        <v>46005</v>
      </c>
      <c r="D2380" s="9" t="s">
        <v>185</v>
      </c>
      <c r="E2380" s="12" t="n">
        <v>9</v>
      </c>
      <c r="F2380" s="9" t="s">
        <v>28</v>
      </c>
      <c r="G2380" s="13" t="n">
        <v>150</v>
      </c>
      <c r="H2380" s="9" t="s">
        <v>36</v>
      </c>
      <c r="I2380" s="13" t="n">
        <v>6</v>
      </c>
      <c r="J2380" s="1" t="str">
        <f aca="false">IF(A2380="","", "SAMP-"&amp;A2380&amp;"-L"&amp;TEXT(B2380,"00")&amp;"-"&amp;TEXT(C2380,"yyyymmdd")&amp;"-"&amp;D2380&amp;"-H"&amp;TEXT(E2380,"00")&amp;"-"&amp;H2380)</f>
        <v>SAMP-KG01-L25-20251214-ORD-2025-00296-H09-Blister</v>
      </c>
      <c r="K2380" s="1" t="str">
        <f aca="false">IF(A2380="","",IF(AND(G2380&gt;=0,I2380&gt;=0,I2380&lt;=G2380),"OK","CHECK"))</f>
        <v>OK</v>
      </c>
      <c r="L2380" s="1" t="str">
        <f aca="false">IF(A2380="","",IF(AND(E2380&gt;=0,E2380&lt;=23),"OK","CHECK"))</f>
        <v>OK</v>
      </c>
      <c r="M2380" s="1" t="str">
        <f aca="false">IF(A2380="","",IF(AND(K2380="OK",L2380="OK"),"OK","CHECK"))</f>
        <v>OK</v>
      </c>
    </row>
    <row r="2381" customFormat="false" ht="18" hidden="false" customHeight="true" outlineLevel="0" collapsed="false">
      <c r="A2381" s="9" t="s">
        <v>26</v>
      </c>
      <c r="B2381" s="9" t="n">
        <v>25</v>
      </c>
      <c r="C2381" s="11" t="n">
        <v>46005</v>
      </c>
      <c r="D2381" s="9" t="s">
        <v>185</v>
      </c>
      <c r="E2381" s="12" t="n">
        <v>7</v>
      </c>
      <c r="F2381" s="9" t="s">
        <v>28</v>
      </c>
      <c r="G2381" s="13" t="n">
        <v>100</v>
      </c>
      <c r="H2381" s="9" t="s">
        <v>34</v>
      </c>
      <c r="I2381" s="13" t="n">
        <v>1</v>
      </c>
      <c r="J2381" s="1" t="str">
        <f aca="false">IF(A2381="","", "SAMP-"&amp;A2381&amp;"-L"&amp;TEXT(B2381,"00")&amp;"-"&amp;TEXT(C2381,"yyyymmdd")&amp;"-"&amp;D2381&amp;"-H"&amp;TEXT(E2381,"00")&amp;"-"&amp;H2381)</f>
        <v>SAMP-KG01-L25-20251214-ORD-2025-00296-H07-Thin Wall</v>
      </c>
      <c r="K2381" s="1" t="str">
        <f aca="false">IF(A2381="","",IF(AND(G2381&gt;=0,I2381&gt;=0,I2381&lt;=G2381),"OK","CHECK"))</f>
        <v>OK</v>
      </c>
      <c r="L2381" s="1" t="str">
        <f aca="false">IF(A2381="","",IF(AND(E2381&gt;=0,E2381&lt;=23),"OK","CHECK"))</f>
        <v>OK</v>
      </c>
      <c r="M2381" s="1" t="str">
        <f aca="false">IF(A2381="","",IF(AND(K2381="OK",L2381="OK"),"OK","CHECK"))</f>
        <v>OK</v>
      </c>
    </row>
    <row r="2382" customFormat="false" ht="18" hidden="false" customHeight="true" outlineLevel="0" collapsed="false">
      <c r="A2382" s="9" t="s">
        <v>26</v>
      </c>
      <c r="B2382" s="9" t="n">
        <v>25</v>
      </c>
      <c r="C2382" s="11" t="n">
        <v>46005</v>
      </c>
      <c r="D2382" s="9" t="s">
        <v>185</v>
      </c>
      <c r="E2382" s="12" t="n">
        <v>12</v>
      </c>
      <c r="F2382" s="9" t="s">
        <v>28</v>
      </c>
      <c r="G2382" s="13" t="n">
        <v>150</v>
      </c>
      <c r="H2382" s="9" t="s">
        <v>41</v>
      </c>
      <c r="I2382" s="13" t="n">
        <v>5</v>
      </c>
      <c r="J2382" s="1" t="str">
        <f aca="false">IF(A2382="","", "SAMP-"&amp;A2382&amp;"-L"&amp;TEXT(B2382,"00")&amp;"-"&amp;TEXT(C2382,"yyyymmdd")&amp;"-"&amp;D2382&amp;"-H"&amp;TEXT(E2382,"00")&amp;"-"&amp;H2382)</f>
        <v>SAMP-KG01-L25-20251214-ORD-2025-00296-H12-Chip</v>
      </c>
      <c r="K2382" s="1" t="str">
        <f aca="false">IF(A2382="","",IF(AND(G2382&gt;=0,I2382&gt;=0,I2382&lt;=G2382),"OK","CHECK"))</f>
        <v>OK</v>
      </c>
      <c r="L2382" s="1" t="str">
        <f aca="false">IF(A2382="","",IF(AND(E2382&gt;=0,E2382&lt;=23),"OK","CHECK"))</f>
        <v>OK</v>
      </c>
      <c r="M2382" s="1" t="str">
        <f aca="false">IF(A2382="","",IF(AND(K2382="OK",L2382="OK"),"OK","CHECK"))</f>
        <v>OK</v>
      </c>
    </row>
    <row r="2383" customFormat="false" ht="18" hidden="false" customHeight="true" outlineLevel="0" collapsed="false">
      <c r="A2383" s="9" t="s">
        <v>26</v>
      </c>
      <c r="B2383" s="9" t="n">
        <v>25</v>
      </c>
      <c r="C2383" s="11" t="n">
        <v>46005</v>
      </c>
      <c r="D2383" s="9" t="s">
        <v>186</v>
      </c>
      <c r="E2383" s="12" t="n">
        <v>20</v>
      </c>
      <c r="F2383" s="9" t="s">
        <v>31</v>
      </c>
      <c r="G2383" s="13" t="n">
        <v>100</v>
      </c>
      <c r="H2383" s="9" t="s">
        <v>36</v>
      </c>
      <c r="I2383" s="13" t="n">
        <v>3</v>
      </c>
      <c r="J2383" s="1" t="str">
        <f aca="false">IF(A2383="","", "SAMP-"&amp;A2383&amp;"-L"&amp;TEXT(B2383,"00")&amp;"-"&amp;TEXT(C2383,"yyyymmdd")&amp;"-"&amp;D2383&amp;"-H"&amp;TEXT(E2383,"00")&amp;"-"&amp;H2383)</f>
        <v>SAMP-KG01-L25-20251214-ORD-2025-00297-H20-Blister</v>
      </c>
      <c r="K2383" s="1" t="str">
        <f aca="false">IF(A2383="","",IF(AND(G2383&gt;=0,I2383&gt;=0,I2383&lt;=G2383),"OK","CHECK"))</f>
        <v>OK</v>
      </c>
      <c r="L2383" s="1" t="str">
        <f aca="false">IF(A2383="","",IF(AND(E2383&gt;=0,E2383&lt;=23),"OK","CHECK"))</f>
        <v>OK</v>
      </c>
      <c r="M2383" s="1" t="str">
        <f aca="false">IF(A2383="","",IF(AND(K2383="OK",L2383="OK"),"OK","CHECK"))</f>
        <v>OK</v>
      </c>
    </row>
    <row r="2384" customFormat="false" ht="18" hidden="false" customHeight="true" outlineLevel="0" collapsed="false">
      <c r="A2384" s="9" t="s">
        <v>26</v>
      </c>
      <c r="B2384" s="9" t="n">
        <v>25</v>
      </c>
      <c r="C2384" s="11" t="n">
        <v>46005</v>
      </c>
      <c r="D2384" s="9" t="s">
        <v>186</v>
      </c>
      <c r="E2384" s="12" t="n">
        <v>16</v>
      </c>
      <c r="F2384" s="9" t="s">
        <v>31</v>
      </c>
      <c r="G2384" s="13" t="n">
        <v>100</v>
      </c>
      <c r="H2384" s="9" t="s">
        <v>36</v>
      </c>
      <c r="I2384" s="13" t="n">
        <v>4</v>
      </c>
      <c r="J2384" s="1" t="str">
        <f aca="false">IF(A2384="","", "SAMP-"&amp;A2384&amp;"-L"&amp;TEXT(B2384,"00")&amp;"-"&amp;TEXT(C2384,"yyyymmdd")&amp;"-"&amp;D2384&amp;"-H"&amp;TEXT(E2384,"00")&amp;"-"&amp;H2384)</f>
        <v>SAMP-KG01-L25-20251214-ORD-2025-00297-H16-Blister</v>
      </c>
      <c r="K2384" s="1" t="str">
        <f aca="false">IF(A2384="","",IF(AND(G2384&gt;=0,I2384&gt;=0,I2384&lt;=G2384),"OK","CHECK"))</f>
        <v>OK</v>
      </c>
      <c r="L2384" s="1" t="str">
        <f aca="false">IF(A2384="","",IF(AND(E2384&gt;=0,E2384&lt;=23),"OK","CHECK"))</f>
        <v>OK</v>
      </c>
      <c r="M2384" s="1" t="str">
        <f aca="false">IF(A2384="","",IF(AND(K2384="OK",L2384="OK"),"OK","CHECK"))</f>
        <v>OK</v>
      </c>
    </row>
    <row r="2385" customFormat="false" ht="18" hidden="false" customHeight="true" outlineLevel="0" collapsed="false">
      <c r="A2385" s="9" t="s">
        <v>26</v>
      </c>
      <c r="B2385" s="9" t="n">
        <v>25</v>
      </c>
      <c r="C2385" s="11" t="n">
        <v>46005</v>
      </c>
      <c r="D2385" s="9" t="s">
        <v>186</v>
      </c>
      <c r="E2385" s="12" t="n">
        <v>23</v>
      </c>
      <c r="F2385" s="9" t="s">
        <v>31</v>
      </c>
      <c r="G2385" s="13" t="n">
        <v>100</v>
      </c>
      <c r="H2385" s="9" t="s">
        <v>37</v>
      </c>
      <c r="I2385" s="13" t="n">
        <v>3</v>
      </c>
      <c r="J2385" s="1" t="str">
        <f aca="false">IF(A2385="","", "SAMP-"&amp;A2385&amp;"-L"&amp;TEXT(B2385,"00")&amp;"-"&amp;TEXT(C2385,"yyyymmdd")&amp;"-"&amp;D2385&amp;"-H"&amp;TEXT(E2385,"00")&amp;"-"&amp;H2385)</f>
        <v>SAMP-KG01-L25-20251214-ORD-2025-00297-H23-Bird Swing</v>
      </c>
      <c r="K2385" s="1" t="str">
        <f aca="false">IF(A2385="","",IF(AND(G2385&gt;=0,I2385&gt;=0,I2385&lt;=G2385),"OK","CHECK"))</f>
        <v>OK</v>
      </c>
      <c r="L2385" s="1" t="str">
        <f aca="false">IF(A2385="","",IF(AND(E2385&gt;=0,E2385&lt;=23),"OK","CHECK"))</f>
        <v>OK</v>
      </c>
      <c r="M2385" s="1" t="str">
        <f aca="false">IF(A2385="","",IF(AND(K2385="OK",L2385="OK"),"OK","CHECK"))</f>
        <v>OK</v>
      </c>
    </row>
    <row r="2386" customFormat="false" ht="18" hidden="false" customHeight="true" outlineLevel="0" collapsed="false">
      <c r="A2386" s="9" t="s">
        <v>26</v>
      </c>
      <c r="B2386" s="9" t="n">
        <v>25</v>
      </c>
      <c r="C2386" s="11" t="n">
        <v>46006</v>
      </c>
      <c r="D2386" s="9" t="s">
        <v>186</v>
      </c>
      <c r="E2386" s="12" t="n">
        <v>9</v>
      </c>
      <c r="F2386" s="9" t="s">
        <v>28</v>
      </c>
      <c r="G2386" s="13" t="n">
        <v>200</v>
      </c>
      <c r="H2386" s="9" t="s">
        <v>29</v>
      </c>
      <c r="I2386" s="13" t="n">
        <v>0</v>
      </c>
      <c r="J2386" s="1" t="str">
        <f aca="false">IF(A2386="","", "SAMP-"&amp;A2386&amp;"-L"&amp;TEXT(B2386,"00")&amp;"-"&amp;TEXT(C2386,"yyyymmdd")&amp;"-"&amp;D2386&amp;"-H"&amp;TEXT(E2386,"00")&amp;"-"&amp;H2386)</f>
        <v>SAMP-KG01-L25-20251215-ORD-2025-00297-H09-Choke Neck</v>
      </c>
      <c r="K2386" s="1" t="str">
        <f aca="false">IF(A2386="","",IF(AND(G2386&gt;=0,I2386&gt;=0,I2386&lt;=G2386),"OK","CHECK"))</f>
        <v>OK</v>
      </c>
      <c r="L2386" s="1" t="str">
        <f aca="false">IF(A2386="","",IF(AND(E2386&gt;=0,E2386&lt;=23),"OK","CHECK"))</f>
        <v>OK</v>
      </c>
      <c r="M2386" s="1" t="str">
        <f aca="false">IF(A2386="","",IF(AND(K2386="OK",L2386="OK"),"OK","CHECK"))</f>
        <v>OK</v>
      </c>
    </row>
    <row r="2387" customFormat="false" ht="18" hidden="false" customHeight="true" outlineLevel="0" collapsed="false">
      <c r="A2387" s="9" t="s">
        <v>26</v>
      </c>
      <c r="B2387" s="9" t="n">
        <v>25</v>
      </c>
      <c r="C2387" s="11" t="n">
        <v>46006</v>
      </c>
      <c r="D2387" s="9" t="s">
        <v>186</v>
      </c>
      <c r="E2387" s="12" t="n">
        <v>7</v>
      </c>
      <c r="F2387" s="9" t="s">
        <v>28</v>
      </c>
      <c r="G2387" s="13" t="n">
        <v>150</v>
      </c>
      <c r="H2387" s="9" t="s">
        <v>35</v>
      </c>
      <c r="I2387" s="13" t="n">
        <v>0</v>
      </c>
      <c r="J2387" s="1" t="str">
        <f aca="false">IF(A2387="","", "SAMP-"&amp;A2387&amp;"-L"&amp;TEXT(B2387,"00")&amp;"-"&amp;TEXT(C2387,"yyyymmdd")&amp;"-"&amp;D2387&amp;"-H"&amp;TEXT(E2387,"00")&amp;"-"&amp;H2387)</f>
        <v>SAMP-KG01-L25-20251215-ORD-2025-00297-H07-Stone</v>
      </c>
      <c r="K2387" s="1" t="str">
        <f aca="false">IF(A2387="","",IF(AND(G2387&gt;=0,I2387&gt;=0,I2387&lt;=G2387),"OK","CHECK"))</f>
        <v>OK</v>
      </c>
      <c r="L2387" s="1" t="str">
        <f aca="false">IF(A2387="","",IF(AND(E2387&gt;=0,E2387&lt;=23),"OK","CHECK"))</f>
        <v>OK</v>
      </c>
      <c r="M2387" s="1" t="str">
        <f aca="false">IF(A2387="","",IF(AND(K2387="OK",L2387="OK"),"OK","CHECK"))</f>
        <v>OK</v>
      </c>
    </row>
    <row r="2388" customFormat="false" ht="18" hidden="false" customHeight="true" outlineLevel="0" collapsed="false">
      <c r="A2388" s="9" t="s">
        <v>26</v>
      </c>
      <c r="B2388" s="9" t="n">
        <v>25</v>
      </c>
      <c r="C2388" s="11" t="n">
        <v>46006</v>
      </c>
      <c r="D2388" s="9" t="s">
        <v>186</v>
      </c>
      <c r="E2388" s="12" t="n">
        <v>12</v>
      </c>
      <c r="F2388" s="9" t="s">
        <v>28</v>
      </c>
      <c r="G2388" s="13" t="n">
        <v>200</v>
      </c>
      <c r="H2388" s="9" t="s">
        <v>37</v>
      </c>
      <c r="I2388" s="13" t="n">
        <v>2</v>
      </c>
      <c r="J2388" s="1" t="str">
        <f aca="false">IF(A2388="","", "SAMP-"&amp;A2388&amp;"-L"&amp;TEXT(B2388,"00")&amp;"-"&amp;TEXT(C2388,"yyyymmdd")&amp;"-"&amp;D2388&amp;"-H"&amp;TEXT(E2388,"00")&amp;"-"&amp;H2388)</f>
        <v>SAMP-KG01-L25-20251215-ORD-2025-00297-H12-Bird Swing</v>
      </c>
      <c r="K2388" s="1" t="str">
        <f aca="false">IF(A2388="","",IF(AND(G2388&gt;=0,I2388&gt;=0,I2388&lt;=G2388),"OK","CHECK"))</f>
        <v>OK</v>
      </c>
      <c r="L2388" s="1" t="str">
        <f aca="false">IF(A2388="","",IF(AND(E2388&gt;=0,E2388&lt;=23),"OK","CHECK"))</f>
        <v>OK</v>
      </c>
      <c r="M2388" s="1" t="str">
        <f aca="false">IF(A2388="","",IF(AND(K2388="OK",L2388="OK"),"OK","CHECK"))</f>
        <v>OK</v>
      </c>
    </row>
    <row r="2389" customFormat="false" ht="18" hidden="false" customHeight="true" outlineLevel="0" collapsed="false">
      <c r="A2389" s="9" t="s">
        <v>26</v>
      </c>
      <c r="B2389" s="9" t="n">
        <v>25</v>
      </c>
      <c r="C2389" s="11" t="n">
        <v>46006</v>
      </c>
      <c r="D2389" s="9" t="s">
        <v>186</v>
      </c>
      <c r="E2389" s="12" t="n">
        <v>20</v>
      </c>
      <c r="F2389" s="9" t="s">
        <v>31</v>
      </c>
      <c r="G2389" s="13" t="n">
        <v>100</v>
      </c>
      <c r="H2389" s="9" t="s">
        <v>37</v>
      </c>
      <c r="I2389" s="13" t="n">
        <v>2</v>
      </c>
      <c r="J2389" s="1" t="str">
        <f aca="false">IF(A2389="","", "SAMP-"&amp;A2389&amp;"-L"&amp;TEXT(B2389,"00")&amp;"-"&amp;TEXT(C2389,"yyyymmdd")&amp;"-"&amp;D2389&amp;"-H"&amp;TEXT(E2389,"00")&amp;"-"&amp;H2389)</f>
        <v>SAMP-KG01-L25-20251215-ORD-2025-00297-H20-Bird Swing</v>
      </c>
      <c r="K2389" s="1" t="str">
        <f aca="false">IF(A2389="","",IF(AND(G2389&gt;=0,I2389&gt;=0,I2389&lt;=G2389),"OK","CHECK"))</f>
        <v>OK</v>
      </c>
      <c r="L2389" s="1" t="str">
        <f aca="false">IF(A2389="","",IF(AND(E2389&gt;=0,E2389&lt;=23),"OK","CHECK"))</f>
        <v>OK</v>
      </c>
      <c r="M2389" s="1" t="str">
        <f aca="false">IF(A2389="","",IF(AND(K2389="OK",L2389="OK"),"OK","CHECK"))</f>
        <v>OK</v>
      </c>
    </row>
    <row r="2390" customFormat="false" ht="18" hidden="false" customHeight="true" outlineLevel="0" collapsed="false">
      <c r="A2390" s="9" t="s">
        <v>26</v>
      </c>
      <c r="B2390" s="9" t="n">
        <v>25</v>
      </c>
      <c r="C2390" s="11" t="n">
        <v>46006</v>
      </c>
      <c r="D2390" s="9" t="s">
        <v>186</v>
      </c>
      <c r="E2390" s="12" t="n">
        <v>23</v>
      </c>
      <c r="F2390" s="9" t="s">
        <v>31</v>
      </c>
      <c r="G2390" s="13" t="n">
        <v>150</v>
      </c>
      <c r="H2390" s="9" t="s">
        <v>35</v>
      </c>
      <c r="I2390" s="13" t="n">
        <v>3</v>
      </c>
      <c r="J2390" s="1" t="str">
        <f aca="false">IF(A2390="","", "SAMP-"&amp;A2390&amp;"-L"&amp;TEXT(B2390,"00")&amp;"-"&amp;TEXT(C2390,"yyyymmdd")&amp;"-"&amp;D2390&amp;"-H"&amp;TEXT(E2390,"00")&amp;"-"&amp;H2390)</f>
        <v>SAMP-KG01-L25-20251215-ORD-2025-00297-H23-Stone</v>
      </c>
      <c r="K2390" s="1" t="str">
        <f aca="false">IF(A2390="","",IF(AND(G2390&gt;=0,I2390&gt;=0,I2390&lt;=G2390),"OK","CHECK"))</f>
        <v>OK</v>
      </c>
      <c r="L2390" s="1" t="str">
        <f aca="false">IF(A2390="","",IF(AND(E2390&gt;=0,E2390&lt;=23),"OK","CHECK"))</f>
        <v>OK</v>
      </c>
      <c r="M2390" s="1" t="str">
        <f aca="false">IF(A2390="","",IF(AND(K2390="OK",L2390="OK"),"OK","CHECK"))</f>
        <v>OK</v>
      </c>
    </row>
    <row r="2391" customFormat="false" ht="18" hidden="false" customHeight="true" outlineLevel="0" collapsed="false">
      <c r="A2391" s="9" t="s">
        <v>26</v>
      </c>
      <c r="B2391" s="9" t="n">
        <v>25</v>
      </c>
      <c r="C2391" s="11" t="n">
        <v>46006</v>
      </c>
      <c r="D2391" s="9" t="s">
        <v>186</v>
      </c>
      <c r="E2391" s="12" t="n">
        <v>16</v>
      </c>
      <c r="F2391" s="9" t="s">
        <v>31</v>
      </c>
      <c r="G2391" s="13" t="n">
        <v>50</v>
      </c>
      <c r="H2391" s="9" t="s">
        <v>29</v>
      </c>
      <c r="I2391" s="13" t="n">
        <v>1</v>
      </c>
      <c r="J2391" s="1" t="str">
        <f aca="false">IF(A2391="","", "SAMP-"&amp;A2391&amp;"-L"&amp;TEXT(B2391,"00")&amp;"-"&amp;TEXT(C2391,"yyyymmdd")&amp;"-"&amp;D2391&amp;"-H"&amp;TEXT(E2391,"00")&amp;"-"&amp;H2391)</f>
        <v>SAMP-KG01-L25-20251215-ORD-2025-00297-H16-Choke Neck</v>
      </c>
      <c r="K2391" s="1" t="str">
        <f aca="false">IF(A2391="","",IF(AND(G2391&gt;=0,I2391&gt;=0,I2391&lt;=G2391),"OK","CHECK"))</f>
        <v>OK</v>
      </c>
      <c r="L2391" s="1" t="str">
        <f aca="false">IF(A2391="","",IF(AND(E2391&gt;=0,E2391&lt;=23),"OK","CHECK"))</f>
        <v>OK</v>
      </c>
      <c r="M2391" s="1" t="str">
        <f aca="false">IF(A2391="","",IF(AND(K2391="OK",L2391="OK"),"OK","CHECK"))</f>
        <v>OK</v>
      </c>
    </row>
    <row r="2392" customFormat="false" ht="18" hidden="false" customHeight="true" outlineLevel="0" collapsed="false">
      <c r="A2392" s="9" t="s">
        <v>26</v>
      </c>
      <c r="B2392" s="9" t="n">
        <v>25</v>
      </c>
      <c r="C2392" s="11" t="n">
        <v>46007</v>
      </c>
      <c r="D2392" s="9" t="s">
        <v>186</v>
      </c>
      <c r="E2392" s="12" t="n">
        <v>7</v>
      </c>
      <c r="F2392" s="9" t="s">
        <v>28</v>
      </c>
      <c r="G2392" s="13" t="n">
        <v>200</v>
      </c>
      <c r="H2392" s="9" t="s">
        <v>33</v>
      </c>
      <c r="I2392" s="13" t="n">
        <v>3</v>
      </c>
      <c r="J2392" s="1" t="str">
        <f aca="false">IF(A2392="","", "SAMP-"&amp;A2392&amp;"-L"&amp;TEXT(B2392,"00")&amp;"-"&amp;TEXT(C2392,"yyyymmdd")&amp;"-"&amp;D2392&amp;"-H"&amp;TEXT(E2392,"00")&amp;"-"&amp;H2392)</f>
        <v>SAMP-KG01-L25-20251216-ORD-2025-00297-H07-Distortion</v>
      </c>
      <c r="K2392" s="1" t="str">
        <f aca="false">IF(A2392="","",IF(AND(G2392&gt;=0,I2392&gt;=0,I2392&lt;=G2392),"OK","CHECK"))</f>
        <v>OK</v>
      </c>
      <c r="L2392" s="1" t="str">
        <f aca="false">IF(A2392="","",IF(AND(E2392&gt;=0,E2392&lt;=23),"OK","CHECK"))</f>
        <v>OK</v>
      </c>
      <c r="M2392" s="1" t="str">
        <f aca="false">IF(A2392="","",IF(AND(K2392="OK",L2392="OK"),"OK","CHECK"))</f>
        <v>OK</v>
      </c>
    </row>
    <row r="2393" customFormat="false" ht="18" hidden="false" customHeight="true" outlineLevel="0" collapsed="false">
      <c r="A2393" s="9" t="s">
        <v>26</v>
      </c>
      <c r="B2393" s="9" t="n">
        <v>25</v>
      </c>
      <c r="C2393" s="11" t="n">
        <v>46007</v>
      </c>
      <c r="D2393" s="9" t="s">
        <v>186</v>
      </c>
      <c r="E2393" s="12" t="n">
        <v>12</v>
      </c>
      <c r="F2393" s="9" t="s">
        <v>28</v>
      </c>
      <c r="G2393" s="13" t="n">
        <v>150</v>
      </c>
      <c r="H2393" s="9" t="s">
        <v>36</v>
      </c>
      <c r="I2393" s="13" t="n">
        <v>3</v>
      </c>
      <c r="J2393" s="1" t="str">
        <f aca="false">IF(A2393="","", "SAMP-"&amp;A2393&amp;"-L"&amp;TEXT(B2393,"00")&amp;"-"&amp;TEXT(C2393,"yyyymmdd")&amp;"-"&amp;D2393&amp;"-H"&amp;TEXT(E2393,"00")&amp;"-"&amp;H2393)</f>
        <v>SAMP-KG01-L25-20251216-ORD-2025-00297-H12-Blister</v>
      </c>
      <c r="K2393" s="1" t="str">
        <f aca="false">IF(A2393="","",IF(AND(G2393&gt;=0,I2393&gt;=0,I2393&lt;=G2393),"OK","CHECK"))</f>
        <v>OK</v>
      </c>
      <c r="L2393" s="1" t="str">
        <f aca="false">IF(A2393="","",IF(AND(E2393&gt;=0,E2393&lt;=23),"OK","CHECK"))</f>
        <v>OK</v>
      </c>
      <c r="M2393" s="1" t="str">
        <f aca="false">IF(A2393="","",IF(AND(K2393="OK",L2393="OK"),"OK","CHECK"))</f>
        <v>OK</v>
      </c>
    </row>
    <row r="2394" customFormat="false" ht="18" hidden="false" customHeight="true" outlineLevel="0" collapsed="false">
      <c r="A2394" s="9" t="s">
        <v>26</v>
      </c>
      <c r="B2394" s="9" t="n">
        <v>25</v>
      </c>
      <c r="C2394" s="11" t="n">
        <v>46007</v>
      </c>
      <c r="D2394" s="9" t="s">
        <v>186</v>
      </c>
      <c r="E2394" s="12" t="n">
        <v>9</v>
      </c>
      <c r="F2394" s="9" t="s">
        <v>28</v>
      </c>
      <c r="G2394" s="13" t="n">
        <v>50</v>
      </c>
      <c r="H2394" s="9" t="s">
        <v>33</v>
      </c>
      <c r="I2394" s="13" t="n">
        <v>0</v>
      </c>
      <c r="J2394" s="1" t="str">
        <f aca="false">IF(A2394="","", "SAMP-"&amp;A2394&amp;"-L"&amp;TEXT(B2394,"00")&amp;"-"&amp;TEXT(C2394,"yyyymmdd")&amp;"-"&amp;D2394&amp;"-H"&amp;TEXT(E2394,"00")&amp;"-"&amp;H2394)</f>
        <v>SAMP-KG01-L25-20251216-ORD-2025-00297-H09-Distortion</v>
      </c>
      <c r="K2394" s="1" t="str">
        <f aca="false">IF(A2394="","",IF(AND(G2394&gt;=0,I2394&gt;=0,I2394&lt;=G2394),"OK","CHECK"))</f>
        <v>OK</v>
      </c>
      <c r="L2394" s="1" t="str">
        <f aca="false">IF(A2394="","",IF(AND(E2394&gt;=0,E2394&lt;=23),"OK","CHECK"))</f>
        <v>OK</v>
      </c>
      <c r="M2394" s="1" t="str">
        <f aca="false">IF(A2394="","",IF(AND(K2394="OK",L2394="OK"),"OK","CHECK"))</f>
        <v>OK</v>
      </c>
    </row>
    <row r="2395" customFormat="false" ht="18" hidden="false" customHeight="true" outlineLevel="0" collapsed="false">
      <c r="A2395" s="9" t="s">
        <v>26</v>
      </c>
      <c r="B2395" s="9" t="n">
        <v>25</v>
      </c>
      <c r="C2395" s="11" t="n">
        <v>46007</v>
      </c>
      <c r="D2395" s="9" t="s">
        <v>186</v>
      </c>
      <c r="E2395" s="12" t="n">
        <v>23</v>
      </c>
      <c r="F2395" s="9" t="s">
        <v>31</v>
      </c>
      <c r="G2395" s="13" t="n">
        <v>200</v>
      </c>
      <c r="H2395" s="9" t="s">
        <v>30</v>
      </c>
      <c r="I2395" s="13" t="n">
        <v>3</v>
      </c>
      <c r="J2395" s="1" t="str">
        <f aca="false">IF(A2395="","", "SAMP-"&amp;A2395&amp;"-L"&amp;TEXT(B2395,"00")&amp;"-"&amp;TEXT(C2395,"yyyymmdd")&amp;"-"&amp;D2395&amp;"-H"&amp;TEXT(E2395,"00")&amp;"-"&amp;H2395)</f>
        <v>SAMP-KG01-L25-20251216-ORD-2025-00297-H23-Overpress</v>
      </c>
      <c r="K2395" s="1" t="str">
        <f aca="false">IF(A2395="","",IF(AND(G2395&gt;=0,I2395&gt;=0,I2395&lt;=G2395),"OK","CHECK"))</f>
        <v>OK</v>
      </c>
      <c r="L2395" s="1" t="str">
        <f aca="false">IF(A2395="","",IF(AND(E2395&gt;=0,E2395&lt;=23),"OK","CHECK"))</f>
        <v>OK</v>
      </c>
      <c r="M2395" s="1" t="str">
        <f aca="false">IF(A2395="","",IF(AND(K2395="OK",L2395="OK"),"OK","CHECK"))</f>
        <v>OK</v>
      </c>
    </row>
    <row r="2396" customFormat="false" ht="18" hidden="false" customHeight="true" outlineLevel="0" collapsed="false">
      <c r="A2396" s="9" t="s">
        <v>26</v>
      </c>
      <c r="B2396" s="9" t="n">
        <v>25</v>
      </c>
      <c r="C2396" s="11" t="n">
        <v>46007</v>
      </c>
      <c r="D2396" s="9" t="s">
        <v>186</v>
      </c>
      <c r="E2396" s="12" t="n">
        <v>16</v>
      </c>
      <c r="F2396" s="9" t="s">
        <v>31</v>
      </c>
      <c r="G2396" s="13" t="n">
        <v>150</v>
      </c>
      <c r="H2396" s="9" t="s">
        <v>41</v>
      </c>
      <c r="I2396" s="13" t="n">
        <v>0</v>
      </c>
      <c r="J2396" s="1" t="str">
        <f aca="false">IF(A2396="","", "SAMP-"&amp;A2396&amp;"-L"&amp;TEXT(B2396,"00")&amp;"-"&amp;TEXT(C2396,"yyyymmdd")&amp;"-"&amp;D2396&amp;"-H"&amp;TEXT(E2396,"00")&amp;"-"&amp;H2396)</f>
        <v>SAMP-KG01-L25-20251216-ORD-2025-00297-H16-Chip</v>
      </c>
      <c r="K2396" s="1" t="str">
        <f aca="false">IF(A2396="","",IF(AND(G2396&gt;=0,I2396&gt;=0,I2396&lt;=G2396),"OK","CHECK"))</f>
        <v>OK</v>
      </c>
      <c r="L2396" s="1" t="str">
        <f aca="false">IF(A2396="","",IF(AND(E2396&gt;=0,E2396&lt;=23),"OK","CHECK"))</f>
        <v>OK</v>
      </c>
      <c r="M2396" s="1" t="str">
        <f aca="false">IF(A2396="","",IF(AND(K2396="OK",L2396="OK"),"OK","CHECK"))</f>
        <v>OK</v>
      </c>
    </row>
    <row r="2397" customFormat="false" ht="18" hidden="false" customHeight="true" outlineLevel="0" collapsed="false">
      <c r="A2397" s="9" t="s">
        <v>26</v>
      </c>
      <c r="B2397" s="9" t="n">
        <v>25</v>
      </c>
      <c r="C2397" s="11" t="n">
        <v>46008</v>
      </c>
      <c r="D2397" s="9" t="s">
        <v>186</v>
      </c>
      <c r="E2397" s="12" t="n">
        <v>7</v>
      </c>
      <c r="F2397" s="9" t="s">
        <v>28</v>
      </c>
      <c r="G2397" s="13" t="n">
        <v>100</v>
      </c>
      <c r="H2397" s="9" t="s">
        <v>36</v>
      </c>
      <c r="I2397" s="13" t="n">
        <v>1</v>
      </c>
      <c r="J2397" s="1" t="str">
        <f aca="false">IF(A2397="","", "SAMP-"&amp;A2397&amp;"-L"&amp;TEXT(B2397,"00")&amp;"-"&amp;TEXT(C2397,"yyyymmdd")&amp;"-"&amp;D2397&amp;"-H"&amp;TEXT(E2397,"00")&amp;"-"&amp;H2397)</f>
        <v>SAMP-KG01-L25-20251217-ORD-2025-00297-H07-Blister</v>
      </c>
      <c r="K2397" s="1" t="str">
        <f aca="false">IF(A2397="","",IF(AND(G2397&gt;=0,I2397&gt;=0,I2397&lt;=G2397),"OK","CHECK"))</f>
        <v>OK</v>
      </c>
      <c r="L2397" s="1" t="str">
        <f aca="false">IF(A2397="","",IF(AND(E2397&gt;=0,E2397&lt;=23),"OK","CHECK"))</f>
        <v>OK</v>
      </c>
      <c r="M2397" s="1" t="str">
        <f aca="false">IF(A2397="","",IF(AND(K2397="OK",L2397="OK"),"OK","CHECK"))</f>
        <v>OK</v>
      </c>
    </row>
    <row r="2398" customFormat="false" ht="18" hidden="false" customHeight="true" outlineLevel="0" collapsed="false">
      <c r="A2398" s="9" t="s">
        <v>26</v>
      </c>
      <c r="B2398" s="9" t="n">
        <v>25</v>
      </c>
      <c r="C2398" s="11" t="n">
        <v>46008</v>
      </c>
      <c r="D2398" s="9" t="s">
        <v>186</v>
      </c>
      <c r="E2398" s="12" t="n">
        <v>9</v>
      </c>
      <c r="F2398" s="9" t="s">
        <v>28</v>
      </c>
      <c r="G2398" s="13" t="n">
        <v>50</v>
      </c>
      <c r="H2398" s="9" t="s">
        <v>41</v>
      </c>
      <c r="I2398" s="13" t="n">
        <v>1</v>
      </c>
      <c r="J2398" s="1" t="str">
        <f aca="false">IF(A2398="","", "SAMP-"&amp;A2398&amp;"-L"&amp;TEXT(B2398,"00")&amp;"-"&amp;TEXT(C2398,"yyyymmdd")&amp;"-"&amp;D2398&amp;"-H"&amp;TEXT(E2398,"00")&amp;"-"&amp;H2398)</f>
        <v>SAMP-KG01-L25-20251217-ORD-2025-00297-H09-Chip</v>
      </c>
      <c r="K2398" s="1" t="str">
        <f aca="false">IF(A2398="","",IF(AND(G2398&gt;=0,I2398&gt;=0,I2398&lt;=G2398),"OK","CHECK"))</f>
        <v>OK</v>
      </c>
      <c r="L2398" s="1" t="str">
        <f aca="false">IF(A2398="","",IF(AND(E2398&gt;=0,E2398&lt;=23),"OK","CHECK"))</f>
        <v>OK</v>
      </c>
      <c r="M2398" s="1" t="str">
        <f aca="false">IF(A2398="","",IF(AND(K2398="OK",L2398="OK"),"OK","CHECK"))</f>
        <v>OK</v>
      </c>
    </row>
    <row r="2399" customFormat="false" ht="18" hidden="false" customHeight="true" outlineLevel="0" collapsed="false">
      <c r="A2399" s="9" t="s">
        <v>26</v>
      </c>
      <c r="B2399" s="9" t="n">
        <v>25</v>
      </c>
      <c r="C2399" s="11" t="n">
        <v>46008</v>
      </c>
      <c r="D2399" s="9" t="s">
        <v>186</v>
      </c>
      <c r="E2399" s="12" t="n">
        <v>12</v>
      </c>
      <c r="F2399" s="9" t="s">
        <v>28</v>
      </c>
      <c r="G2399" s="13" t="n">
        <v>100</v>
      </c>
      <c r="H2399" s="9" t="s">
        <v>33</v>
      </c>
      <c r="I2399" s="13" t="n">
        <v>4</v>
      </c>
      <c r="J2399" s="1" t="str">
        <f aca="false">IF(A2399="","", "SAMP-"&amp;A2399&amp;"-L"&amp;TEXT(B2399,"00")&amp;"-"&amp;TEXT(C2399,"yyyymmdd")&amp;"-"&amp;D2399&amp;"-H"&amp;TEXT(E2399,"00")&amp;"-"&amp;H2399)</f>
        <v>SAMP-KG01-L25-20251217-ORD-2025-00297-H12-Distortion</v>
      </c>
      <c r="K2399" s="1" t="str">
        <f aca="false">IF(A2399="","",IF(AND(G2399&gt;=0,I2399&gt;=0,I2399&lt;=G2399),"OK","CHECK"))</f>
        <v>OK</v>
      </c>
      <c r="L2399" s="1" t="str">
        <f aca="false">IF(A2399="","",IF(AND(E2399&gt;=0,E2399&lt;=23),"OK","CHECK"))</f>
        <v>OK</v>
      </c>
      <c r="M2399" s="1" t="str">
        <f aca="false">IF(A2399="","",IF(AND(K2399="OK",L2399="OK"),"OK","CHECK"))</f>
        <v>OK</v>
      </c>
    </row>
    <row r="2400" customFormat="false" ht="18" hidden="false" customHeight="true" outlineLevel="0" collapsed="false">
      <c r="A2400" s="9" t="s">
        <v>26</v>
      </c>
      <c r="B2400" s="9" t="n">
        <v>25</v>
      </c>
      <c r="C2400" s="11" t="n">
        <v>46008</v>
      </c>
      <c r="D2400" s="9" t="s">
        <v>186</v>
      </c>
      <c r="E2400" s="12" t="n">
        <v>20</v>
      </c>
      <c r="F2400" s="9" t="s">
        <v>31</v>
      </c>
      <c r="G2400" s="13" t="n">
        <v>50</v>
      </c>
      <c r="H2400" s="9" t="s">
        <v>36</v>
      </c>
      <c r="I2400" s="13" t="n">
        <v>0</v>
      </c>
      <c r="J2400" s="1" t="str">
        <f aca="false">IF(A2400="","", "SAMP-"&amp;A2400&amp;"-L"&amp;TEXT(B2400,"00")&amp;"-"&amp;TEXT(C2400,"yyyymmdd")&amp;"-"&amp;D2400&amp;"-H"&amp;TEXT(E2400,"00")&amp;"-"&amp;H2400)</f>
        <v>SAMP-KG01-L25-20251217-ORD-2025-00297-H20-Blister</v>
      </c>
      <c r="K2400" s="1" t="str">
        <f aca="false">IF(A2400="","",IF(AND(G2400&gt;=0,I2400&gt;=0,I2400&lt;=G2400),"OK","CHECK"))</f>
        <v>OK</v>
      </c>
      <c r="L2400" s="1" t="str">
        <f aca="false">IF(A2400="","",IF(AND(E2400&gt;=0,E2400&lt;=23),"OK","CHECK"))</f>
        <v>OK</v>
      </c>
      <c r="M2400" s="1" t="str">
        <f aca="false">IF(A2400="","",IF(AND(K2400="OK",L2400="OK"),"OK","CHECK"))</f>
        <v>OK</v>
      </c>
    </row>
    <row r="2401" customFormat="false" ht="18" hidden="false" customHeight="true" outlineLevel="0" collapsed="false">
      <c r="A2401" s="9" t="s">
        <v>26</v>
      </c>
      <c r="B2401" s="9" t="n">
        <v>25</v>
      </c>
      <c r="C2401" s="11" t="n">
        <v>46008</v>
      </c>
      <c r="D2401" s="9" t="s">
        <v>186</v>
      </c>
      <c r="E2401" s="12" t="n">
        <v>16</v>
      </c>
      <c r="F2401" s="9" t="s">
        <v>31</v>
      </c>
      <c r="G2401" s="13" t="n">
        <v>200</v>
      </c>
      <c r="H2401" s="9" t="s">
        <v>38</v>
      </c>
      <c r="I2401" s="13" t="n">
        <v>5</v>
      </c>
      <c r="J2401" s="1" t="str">
        <f aca="false">IF(A2401="","", "SAMP-"&amp;A2401&amp;"-L"&amp;TEXT(B2401,"00")&amp;"-"&amp;TEXT(C2401,"yyyymmdd")&amp;"-"&amp;D2401&amp;"-H"&amp;TEXT(E2401,"00")&amp;"-"&amp;H2401)</f>
        <v>SAMP-KG01-L25-20251217-ORD-2025-00297-H16-Crack</v>
      </c>
      <c r="K2401" s="1" t="str">
        <f aca="false">IF(A2401="","",IF(AND(G2401&gt;=0,I2401&gt;=0,I2401&lt;=G2401),"OK","CHECK"))</f>
        <v>OK</v>
      </c>
      <c r="L2401" s="1" t="str">
        <f aca="false">IF(A2401="","",IF(AND(E2401&gt;=0,E2401&lt;=23),"OK","CHECK"))</f>
        <v>OK</v>
      </c>
      <c r="M2401" s="1" t="str">
        <f aca="false">IF(A2401="","",IF(AND(K2401="OK",L2401="OK"),"OK","CHECK"))</f>
        <v>OK</v>
      </c>
    </row>
    <row r="2402" customFormat="false" ht="18" hidden="false" customHeight="true" outlineLevel="0" collapsed="false">
      <c r="A2402" s="9" t="s">
        <v>26</v>
      </c>
      <c r="B2402" s="9" t="n">
        <v>25</v>
      </c>
      <c r="C2402" s="11" t="n">
        <v>46008</v>
      </c>
      <c r="D2402" s="9" t="s">
        <v>186</v>
      </c>
      <c r="E2402" s="12" t="n">
        <v>23</v>
      </c>
      <c r="F2402" s="9" t="s">
        <v>31</v>
      </c>
      <c r="G2402" s="13" t="n">
        <v>100</v>
      </c>
      <c r="H2402" s="9" t="s">
        <v>38</v>
      </c>
      <c r="I2402" s="13" t="n">
        <v>0</v>
      </c>
      <c r="J2402" s="1" t="str">
        <f aca="false">IF(A2402="","", "SAMP-"&amp;A2402&amp;"-L"&amp;TEXT(B2402,"00")&amp;"-"&amp;TEXT(C2402,"yyyymmdd")&amp;"-"&amp;D2402&amp;"-H"&amp;TEXT(E2402,"00")&amp;"-"&amp;H2402)</f>
        <v>SAMP-KG01-L25-20251217-ORD-2025-00297-H23-Crack</v>
      </c>
      <c r="K2402" s="1" t="str">
        <f aca="false">IF(A2402="","",IF(AND(G2402&gt;=0,I2402&gt;=0,I2402&lt;=G2402),"OK","CHECK"))</f>
        <v>OK</v>
      </c>
      <c r="L2402" s="1" t="str">
        <f aca="false">IF(A2402="","",IF(AND(E2402&gt;=0,E2402&lt;=23),"OK","CHECK"))</f>
        <v>OK</v>
      </c>
      <c r="M2402" s="1" t="str">
        <f aca="false">IF(A2402="","",IF(AND(K2402="OK",L2402="OK"),"OK","CHECK"))</f>
        <v>OK</v>
      </c>
    </row>
    <row r="2403" customFormat="false" ht="18" hidden="false" customHeight="true" outlineLevel="0" collapsed="false">
      <c r="A2403" s="9" t="s">
        <v>26</v>
      </c>
      <c r="B2403" s="9" t="n">
        <v>25</v>
      </c>
      <c r="C2403" s="11" t="n">
        <v>46009</v>
      </c>
      <c r="D2403" s="9" t="s">
        <v>187</v>
      </c>
      <c r="E2403" s="12" t="n">
        <v>9</v>
      </c>
      <c r="F2403" s="9" t="s">
        <v>28</v>
      </c>
      <c r="G2403" s="13" t="n">
        <v>50</v>
      </c>
      <c r="H2403" s="9" t="s">
        <v>38</v>
      </c>
      <c r="I2403" s="13" t="n">
        <v>1</v>
      </c>
      <c r="J2403" s="1" t="str">
        <f aca="false">IF(A2403="","", "SAMP-"&amp;A2403&amp;"-L"&amp;TEXT(B2403,"00")&amp;"-"&amp;TEXT(C2403,"yyyymmdd")&amp;"-"&amp;D2403&amp;"-H"&amp;TEXT(E2403,"00")&amp;"-"&amp;H2403)</f>
        <v>SAMP-KG01-L25-20251218-ORD-2025-00298-H09-Crack</v>
      </c>
      <c r="K2403" s="1" t="str">
        <f aca="false">IF(A2403="","",IF(AND(G2403&gt;=0,I2403&gt;=0,I2403&lt;=G2403),"OK","CHECK"))</f>
        <v>OK</v>
      </c>
      <c r="L2403" s="1" t="str">
        <f aca="false">IF(A2403="","",IF(AND(E2403&gt;=0,E2403&lt;=23),"OK","CHECK"))</f>
        <v>OK</v>
      </c>
      <c r="M2403" s="1" t="str">
        <f aca="false">IF(A2403="","",IF(AND(K2403="OK",L2403="OK"),"OK","CHECK"))</f>
        <v>OK</v>
      </c>
    </row>
    <row r="2404" customFormat="false" ht="18" hidden="false" customHeight="true" outlineLevel="0" collapsed="false">
      <c r="A2404" s="9" t="s">
        <v>26</v>
      </c>
      <c r="B2404" s="9" t="n">
        <v>25</v>
      </c>
      <c r="C2404" s="11" t="n">
        <v>46009</v>
      </c>
      <c r="D2404" s="9" t="s">
        <v>187</v>
      </c>
      <c r="E2404" s="12" t="n">
        <v>12</v>
      </c>
      <c r="F2404" s="9" t="s">
        <v>28</v>
      </c>
      <c r="G2404" s="13" t="n">
        <v>200</v>
      </c>
      <c r="H2404" s="9" t="s">
        <v>34</v>
      </c>
      <c r="I2404" s="13" t="n">
        <v>0</v>
      </c>
      <c r="J2404" s="1" t="str">
        <f aca="false">IF(A2404="","", "SAMP-"&amp;A2404&amp;"-L"&amp;TEXT(B2404,"00")&amp;"-"&amp;TEXT(C2404,"yyyymmdd")&amp;"-"&amp;D2404&amp;"-H"&amp;TEXT(E2404,"00")&amp;"-"&amp;H2404)</f>
        <v>SAMP-KG01-L25-20251218-ORD-2025-00298-H12-Thin Wall</v>
      </c>
      <c r="K2404" s="1" t="str">
        <f aca="false">IF(A2404="","",IF(AND(G2404&gt;=0,I2404&gt;=0,I2404&lt;=G2404),"OK","CHECK"))</f>
        <v>OK</v>
      </c>
      <c r="L2404" s="1" t="str">
        <f aca="false">IF(A2404="","",IF(AND(E2404&gt;=0,E2404&lt;=23),"OK","CHECK"))</f>
        <v>OK</v>
      </c>
      <c r="M2404" s="1" t="str">
        <f aca="false">IF(A2404="","",IF(AND(K2404="OK",L2404="OK"),"OK","CHECK"))</f>
        <v>OK</v>
      </c>
    </row>
    <row r="2405" customFormat="false" ht="18" hidden="false" customHeight="true" outlineLevel="0" collapsed="false">
      <c r="A2405" s="9" t="s">
        <v>26</v>
      </c>
      <c r="B2405" s="9" t="n">
        <v>25</v>
      </c>
      <c r="C2405" s="11" t="n">
        <v>46009</v>
      </c>
      <c r="D2405" s="9" t="s">
        <v>187</v>
      </c>
      <c r="E2405" s="12" t="n">
        <v>7</v>
      </c>
      <c r="F2405" s="9" t="s">
        <v>28</v>
      </c>
      <c r="G2405" s="13" t="n">
        <v>100</v>
      </c>
      <c r="H2405" s="9" t="s">
        <v>34</v>
      </c>
      <c r="I2405" s="13" t="n">
        <v>4</v>
      </c>
      <c r="J2405" s="1" t="str">
        <f aca="false">IF(A2405="","", "SAMP-"&amp;A2405&amp;"-L"&amp;TEXT(B2405,"00")&amp;"-"&amp;TEXT(C2405,"yyyymmdd")&amp;"-"&amp;D2405&amp;"-H"&amp;TEXT(E2405,"00")&amp;"-"&amp;H2405)</f>
        <v>SAMP-KG01-L25-20251218-ORD-2025-00298-H07-Thin Wall</v>
      </c>
      <c r="K2405" s="1" t="str">
        <f aca="false">IF(A2405="","",IF(AND(G2405&gt;=0,I2405&gt;=0,I2405&lt;=G2405),"OK","CHECK"))</f>
        <v>OK</v>
      </c>
      <c r="L2405" s="1" t="str">
        <f aca="false">IF(A2405="","",IF(AND(E2405&gt;=0,E2405&lt;=23),"OK","CHECK"))</f>
        <v>OK</v>
      </c>
      <c r="M2405" s="1" t="str">
        <f aca="false">IF(A2405="","",IF(AND(K2405="OK",L2405="OK"),"OK","CHECK"))</f>
        <v>OK</v>
      </c>
    </row>
    <row r="2406" customFormat="false" ht="18" hidden="false" customHeight="true" outlineLevel="0" collapsed="false">
      <c r="A2406" s="9" t="s">
        <v>26</v>
      </c>
      <c r="B2406" s="9" t="n">
        <v>25</v>
      </c>
      <c r="C2406" s="11" t="n">
        <v>46009</v>
      </c>
      <c r="D2406" s="9" t="s">
        <v>187</v>
      </c>
      <c r="E2406" s="12" t="n">
        <v>16</v>
      </c>
      <c r="F2406" s="9" t="s">
        <v>31</v>
      </c>
      <c r="G2406" s="13" t="n">
        <v>200</v>
      </c>
      <c r="H2406" s="9" t="s">
        <v>30</v>
      </c>
      <c r="I2406" s="13" t="n">
        <v>1</v>
      </c>
      <c r="J2406" s="1" t="str">
        <f aca="false">IF(A2406="","", "SAMP-"&amp;A2406&amp;"-L"&amp;TEXT(B2406,"00")&amp;"-"&amp;TEXT(C2406,"yyyymmdd")&amp;"-"&amp;D2406&amp;"-H"&amp;TEXT(E2406,"00")&amp;"-"&amp;H2406)</f>
        <v>SAMP-KG01-L25-20251218-ORD-2025-00298-H16-Overpress</v>
      </c>
      <c r="K2406" s="1" t="str">
        <f aca="false">IF(A2406="","",IF(AND(G2406&gt;=0,I2406&gt;=0,I2406&lt;=G2406),"OK","CHECK"))</f>
        <v>OK</v>
      </c>
      <c r="L2406" s="1" t="str">
        <f aca="false">IF(A2406="","",IF(AND(E2406&gt;=0,E2406&lt;=23),"OK","CHECK"))</f>
        <v>OK</v>
      </c>
      <c r="M2406" s="1" t="str">
        <f aca="false">IF(A2406="","",IF(AND(K2406="OK",L2406="OK"),"OK","CHECK"))</f>
        <v>OK</v>
      </c>
    </row>
    <row r="2407" customFormat="false" ht="18" hidden="false" customHeight="true" outlineLevel="0" collapsed="false">
      <c r="A2407" s="9" t="s">
        <v>26</v>
      </c>
      <c r="B2407" s="9" t="n">
        <v>25</v>
      </c>
      <c r="C2407" s="11" t="n">
        <v>46009</v>
      </c>
      <c r="D2407" s="9" t="s">
        <v>187</v>
      </c>
      <c r="E2407" s="12" t="n">
        <v>20</v>
      </c>
      <c r="F2407" s="9" t="s">
        <v>31</v>
      </c>
      <c r="G2407" s="13" t="n">
        <v>50</v>
      </c>
      <c r="H2407" s="9" t="s">
        <v>30</v>
      </c>
      <c r="I2407" s="13" t="n">
        <v>0</v>
      </c>
      <c r="J2407" s="1" t="str">
        <f aca="false">IF(A2407="","", "SAMP-"&amp;A2407&amp;"-L"&amp;TEXT(B2407,"00")&amp;"-"&amp;TEXT(C2407,"yyyymmdd")&amp;"-"&amp;D2407&amp;"-H"&amp;TEXT(E2407,"00")&amp;"-"&amp;H2407)</f>
        <v>SAMP-KG01-L25-20251218-ORD-2025-00298-H20-Overpress</v>
      </c>
      <c r="K2407" s="1" t="str">
        <f aca="false">IF(A2407="","",IF(AND(G2407&gt;=0,I2407&gt;=0,I2407&lt;=G2407),"OK","CHECK"))</f>
        <v>OK</v>
      </c>
      <c r="L2407" s="1" t="str">
        <f aca="false">IF(A2407="","",IF(AND(E2407&gt;=0,E2407&lt;=23),"OK","CHECK"))</f>
        <v>OK</v>
      </c>
      <c r="M2407" s="1" t="str">
        <f aca="false">IF(A2407="","",IF(AND(K2407="OK",L2407="OK"),"OK","CHECK"))</f>
        <v>OK</v>
      </c>
    </row>
    <row r="2408" customFormat="false" ht="18" hidden="false" customHeight="true" outlineLevel="0" collapsed="false">
      <c r="A2408" s="9" t="s">
        <v>26</v>
      </c>
      <c r="B2408" s="9" t="n">
        <v>25</v>
      </c>
      <c r="C2408" s="11" t="n">
        <v>46009</v>
      </c>
      <c r="D2408" s="9" t="s">
        <v>187</v>
      </c>
      <c r="E2408" s="12" t="n">
        <v>23</v>
      </c>
      <c r="F2408" s="9" t="s">
        <v>31</v>
      </c>
      <c r="G2408" s="13" t="n">
        <v>100</v>
      </c>
      <c r="H2408" s="9" t="s">
        <v>41</v>
      </c>
      <c r="I2408" s="13" t="n">
        <v>2</v>
      </c>
      <c r="J2408" s="1" t="str">
        <f aca="false">IF(A2408="","", "SAMP-"&amp;A2408&amp;"-L"&amp;TEXT(B2408,"00")&amp;"-"&amp;TEXT(C2408,"yyyymmdd")&amp;"-"&amp;D2408&amp;"-H"&amp;TEXT(E2408,"00")&amp;"-"&amp;H2408)</f>
        <v>SAMP-KG01-L25-20251218-ORD-2025-00298-H23-Chip</v>
      </c>
      <c r="K2408" s="1" t="str">
        <f aca="false">IF(A2408="","",IF(AND(G2408&gt;=0,I2408&gt;=0,I2408&lt;=G2408),"OK","CHECK"))</f>
        <v>OK</v>
      </c>
      <c r="L2408" s="1" t="str">
        <f aca="false">IF(A2408="","",IF(AND(E2408&gt;=0,E2408&lt;=23),"OK","CHECK"))</f>
        <v>OK</v>
      </c>
      <c r="M2408" s="1" t="str">
        <f aca="false">IF(A2408="","",IF(AND(K2408="OK",L2408="OK"),"OK","CHECK"))</f>
        <v>OK</v>
      </c>
    </row>
    <row r="2409" customFormat="false" ht="18" hidden="false" customHeight="true" outlineLevel="0" collapsed="false">
      <c r="A2409" s="9" t="s">
        <v>26</v>
      </c>
      <c r="B2409" s="9" t="n">
        <v>25</v>
      </c>
      <c r="C2409" s="11" t="n">
        <v>46010</v>
      </c>
      <c r="D2409" s="9" t="s">
        <v>187</v>
      </c>
      <c r="E2409" s="12" t="n">
        <v>12</v>
      </c>
      <c r="F2409" s="9" t="s">
        <v>28</v>
      </c>
      <c r="G2409" s="13" t="n">
        <v>50</v>
      </c>
      <c r="H2409" s="9" t="s">
        <v>29</v>
      </c>
      <c r="I2409" s="13" t="n">
        <v>1</v>
      </c>
      <c r="J2409" s="1" t="str">
        <f aca="false">IF(A2409="","", "SAMP-"&amp;A2409&amp;"-L"&amp;TEXT(B2409,"00")&amp;"-"&amp;TEXT(C2409,"yyyymmdd")&amp;"-"&amp;D2409&amp;"-H"&amp;TEXT(E2409,"00")&amp;"-"&amp;H2409)</f>
        <v>SAMP-KG01-L25-20251219-ORD-2025-00298-H12-Choke Neck</v>
      </c>
      <c r="K2409" s="1" t="str">
        <f aca="false">IF(A2409="","",IF(AND(G2409&gt;=0,I2409&gt;=0,I2409&lt;=G2409),"OK","CHECK"))</f>
        <v>OK</v>
      </c>
      <c r="L2409" s="1" t="str">
        <f aca="false">IF(A2409="","",IF(AND(E2409&gt;=0,E2409&lt;=23),"OK","CHECK"))</f>
        <v>OK</v>
      </c>
      <c r="M2409" s="1" t="str">
        <f aca="false">IF(A2409="","",IF(AND(K2409="OK",L2409="OK"),"OK","CHECK"))</f>
        <v>OK</v>
      </c>
    </row>
    <row r="2410" customFormat="false" ht="18" hidden="false" customHeight="true" outlineLevel="0" collapsed="false">
      <c r="A2410" s="9" t="s">
        <v>26</v>
      </c>
      <c r="B2410" s="9" t="n">
        <v>25</v>
      </c>
      <c r="C2410" s="11" t="n">
        <v>46010</v>
      </c>
      <c r="D2410" s="9" t="s">
        <v>187</v>
      </c>
      <c r="E2410" s="12" t="n">
        <v>7</v>
      </c>
      <c r="F2410" s="9" t="s">
        <v>28</v>
      </c>
      <c r="G2410" s="13" t="n">
        <v>200</v>
      </c>
      <c r="H2410" s="9" t="s">
        <v>33</v>
      </c>
      <c r="I2410" s="13" t="n">
        <v>10</v>
      </c>
      <c r="J2410" s="1" t="str">
        <f aca="false">IF(A2410="","", "SAMP-"&amp;A2410&amp;"-L"&amp;TEXT(B2410,"00")&amp;"-"&amp;TEXT(C2410,"yyyymmdd")&amp;"-"&amp;D2410&amp;"-H"&amp;TEXT(E2410,"00")&amp;"-"&amp;H2410)</f>
        <v>SAMP-KG01-L25-20251219-ORD-2025-00298-H07-Distortion</v>
      </c>
      <c r="K2410" s="1" t="str">
        <f aca="false">IF(A2410="","",IF(AND(G2410&gt;=0,I2410&gt;=0,I2410&lt;=G2410),"OK","CHECK"))</f>
        <v>OK</v>
      </c>
      <c r="L2410" s="1" t="str">
        <f aca="false">IF(A2410="","",IF(AND(E2410&gt;=0,E2410&lt;=23),"OK","CHECK"))</f>
        <v>OK</v>
      </c>
      <c r="M2410" s="1" t="str">
        <f aca="false">IF(A2410="","",IF(AND(K2410="OK",L2410="OK"),"OK","CHECK"))</f>
        <v>OK</v>
      </c>
    </row>
    <row r="2411" customFormat="false" ht="18" hidden="false" customHeight="true" outlineLevel="0" collapsed="false">
      <c r="A2411" s="9" t="s">
        <v>26</v>
      </c>
      <c r="B2411" s="9" t="n">
        <v>25</v>
      </c>
      <c r="C2411" s="11" t="n">
        <v>46010</v>
      </c>
      <c r="D2411" s="9" t="s">
        <v>187</v>
      </c>
      <c r="E2411" s="12" t="n">
        <v>9</v>
      </c>
      <c r="F2411" s="9" t="s">
        <v>28</v>
      </c>
      <c r="G2411" s="13" t="n">
        <v>100</v>
      </c>
      <c r="H2411" s="9" t="s">
        <v>30</v>
      </c>
      <c r="I2411" s="13" t="n">
        <v>3</v>
      </c>
      <c r="J2411" s="1" t="str">
        <f aca="false">IF(A2411="","", "SAMP-"&amp;A2411&amp;"-L"&amp;TEXT(B2411,"00")&amp;"-"&amp;TEXT(C2411,"yyyymmdd")&amp;"-"&amp;D2411&amp;"-H"&amp;TEXT(E2411,"00")&amp;"-"&amp;H2411)</f>
        <v>SAMP-KG01-L25-20251219-ORD-2025-00298-H09-Overpress</v>
      </c>
      <c r="K2411" s="1" t="str">
        <f aca="false">IF(A2411="","",IF(AND(G2411&gt;=0,I2411&gt;=0,I2411&lt;=G2411),"OK","CHECK"))</f>
        <v>OK</v>
      </c>
      <c r="L2411" s="1" t="str">
        <f aca="false">IF(A2411="","",IF(AND(E2411&gt;=0,E2411&lt;=23),"OK","CHECK"))</f>
        <v>OK</v>
      </c>
      <c r="M2411" s="1" t="str">
        <f aca="false">IF(A2411="","",IF(AND(K2411="OK",L2411="OK"),"OK","CHECK"))</f>
        <v>OK</v>
      </c>
    </row>
    <row r="2412" customFormat="false" ht="18" hidden="false" customHeight="true" outlineLevel="0" collapsed="false">
      <c r="A2412" s="9" t="s">
        <v>26</v>
      </c>
      <c r="B2412" s="9" t="n">
        <v>25</v>
      </c>
      <c r="C2412" s="11" t="n">
        <v>46010</v>
      </c>
      <c r="D2412" s="9" t="s">
        <v>188</v>
      </c>
      <c r="E2412" s="12" t="n">
        <v>23</v>
      </c>
      <c r="F2412" s="9" t="s">
        <v>31</v>
      </c>
      <c r="G2412" s="13" t="n">
        <v>150</v>
      </c>
      <c r="H2412" s="9" t="s">
        <v>30</v>
      </c>
      <c r="I2412" s="13" t="n">
        <v>2</v>
      </c>
      <c r="J2412" s="1" t="str">
        <f aca="false">IF(A2412="","", "SAMP-"&amp;A2412&amp;"-L"&amp;TEXT(B2412,"00")&amp;"-"&amp;TEXT(C2412,"yyyymmdd")&amp;"-"&amp;D2412&amp;"-H"&amp;TEXT(E2412,"00")&amp;"-"&amp;H2412)</f>
        <v>SAMP-KG01-L25-20251219-ORD-2025-00299-H23-Overpress</v>
      </c>
      <c r="K2412" s="1" t="str">
        <f aca="false">IF(A2412="","",IF(AND(G2412&gt;=0,I2412&gt;=0,I2412&lt;=G2412),"OK","CHECK"))</f>
        <v>OK</v>
      </c>
      <c r="L2412" s="1" t="str">
        <f aca="false">IF(A2412="","",IF(AND(E2412&gt;=0,E2412&lt;=23),"OK","CHECK"))</f>
        <v>OK</v>
      </c>
      <c r="M2412" s="1" t="str">
        <f aca="false">IF(A2412="","",IF(AND(K2412="OK",L2412="OK"),"OK","CHECK"))</f>
        <v>OK</v>
      </c>
    </row>
    <row r="2413" customFormat="false" ht="18" hidden="false" customHeight="true" outlineLevel="0" collapsed="false">
      <c r="A2413" s="9" t="s">
        <v>26</v>
      </c>
      <c r="B2413" s="9" t="n">
        <v>25</v>
      </c>
      <c r="C2413" s="11" t="n">
        <v>46010</v>
      </c>
      <c r="D2413" s="9" t="s">
        <v>188</v>
      </c>
      <c r="E2413" s="12" t="n">
        <v>20</v>
      </c>
      <c r="F2413" s="9" t="s">
        <v>31</v>
      </c>
      <c r="G2413" s="13" t="n">
        <v>50</v>
      </c>
      <c r="H2413" s="9" t="s">
        <v>30</v>
      </c>
      <c r="I2413" s="13" t="n">
        <v>1</v>
      </c>
      <c r="J2413" s="1" t="str">
        <f aca="false">IF(A2413="","", "SAMP-"&amp;A2413&amp;"-L"&amp;TEXT(B2413,"00")&amp;"-"&amp;TEXT(C2413,"yyyymmdd")&amp;"-"&amp;D2413&amp;"-H"&amp;TEXT(E2413,"00")&amp;"-"&amp;H2413)</f>
        <v>SAMP-KG01-L25-20251219-ORD-2025-00299-H20-Overpress</v>
      </c>
      <c r="K2413" s="1" t="str">
        <f aca="false">IF(A2413="","",IF(AND(G2413&gt;=0,I2413&gt;=0,I2413&lt;=G2413),"OK","CHECK"))</f>
        <v>OK</v>
      </c>
      <c r="L2413" s="1" t="str">
        <f aca="false">IF(A2413="","",IF(AND(E2413&gt;=0,E2413&lt;=23),"OK","CHECK"))</f>
        <v>OK</v>
      </c>
      <c r="M2413" s="1" t="str">
        <f aca="false">IF(A2413="","",IF(AND(K2413="OK",L2413="OK"),"OK","CHECK"))</f>
        <v>OK</v>
      </c>
    </row>
    <row r="2414" customFormat="false" ht="18" hidden="false" customHeight="true" outlineLevel="0" collapsed="false">
      <c r="A2414" s="9" t="s">
        <v>26</v>
      </c>
      <c r="B2414" s="9" t="n">
        <v>25</v>
      </c>
      <c r="C2414" s="11" t="n">
        <v>46010</v>
      </c>
      <c r="D2414" s="9" t="s">
        <v>188</v>
      </c>
      <c r="E2414" s="12" t="n">
        <v>16</v>
      </c>
      <c r="F2414" s="9" t="s">
        <v>31</v>
      </c>
      <c r="G2414" s="13" t="n">
        <v>50</v>
      </c>
      <c r="H2414" s="9" t="s">
        <v>37</v>
      </c>
      <c r="I2414" s="13" t="n">
        <v>1</v>
      </c>
      <c r="J2414" s="1" t="str">
        <f aca="false">IF(A2414="","", "SAMP-"&amp;A2414&amp;"-L"&amp;TEXT(B2414,"00")&amp;"-"&amp;TEXT(C2414,"yyyymmdd")&amp;"-"&amp;D2414&amp;"-H"&amp;TEXT(E2414,"00")&amp;"-"&amp;H2414)</f>
        <v>SAMP-KG01-L25-20251219-ORD-2025-00299-H16-Bird Swing</v>
      </c>
      <c r="K2414" s="1" t="str">
        <f aca="false">IF(A2414="","",IF(AND(G2414&gt;=0,I2414&gt;=0,I2414&lt;=G2414),"OK","CHECK"))</f>
        <v>OK</v>
      </c>
      <c r="L2414" s="1" t="str">
        <f aca="false">IF(A2414="","",IF(AND(E2414&gt;=0,E2414&lt;=23),"OK","CHECK"))</f>
        <v>OK</v>
      </c>
      <c r="M2414" s="1" t="str">
        <f aca="false">IF(A2414="","",IF(AND(K2414="OK",L2414="OK"),"OK","CHECK"))</f>
        <v>OK</v>
      </c>
    </row>
    <row r="2415" customFormat="false" ht="18" hidden="false" customHeight="true" outlineLevel="0" collapsed="false">
      <c r="A2415" s="9" t="s">
        <v>26</v>
      </c>
      <c r="B2415" s="9" t="n">
        <v>25</v>
      </c>
      <c r="C2415" s="11" t="n">
        <v>46011</v>
      </c>
      <c r="D2415" s="9" t="s">
        <v>188</v>
      </c>
      <c r="E2415" s="12" t="n">
        <v>12</v>
      </c>
      <c r="F2415" s="9" t="s">
        <v>28</v>
      </c>
      <c r="G2415" s="13" t="n">
        <v>150</v>
      </c>
      <c r="H2415" s="9" t="s">
        <v>38</v>
      </c>
      <c r="I2415" s="13" t="n">
        <v>0</v>
      </c>
      <c r="J2415" s="1" t="str">
        <f aca="false">IF(A2415="","", "SAMP-"&amp;A2415&amp;"-L"&amp;TEXT(B2415,"00")&amp;"-"&amp;TEXT(C2415,"yyyymmdd")&amp;"-"&amp;D2415&amp;"-H"&amp;TEXT(E2415,"00")&amp;"-"&amp;H2415)</f>
        <v>SAMP-KG01-L25-20251220-ORD-2025-00299-H12-Crack</v>
      </c>
      <c r="K2415" s="1" t="str">
        <f aca="false">IF(A2415="","",IF(AND(G2415&gt;=0,I2415&gt;=0,I2415&lt;=G2415),"OK","CHECK"))</f>
        <v>OK</v>
      </c>
      <c r="L2415" s="1" t="str">
        <f aca="false">IF(A2415="","",IF(AND(E2415&gt;=0,E2415&lt;=23),"OK","CHECK"))</f>
        <v>OK</v>
      </c>
      <c r="M2415" s="1" t="str">
        <f aca="false">IF(A2415="","",IF(AND(K2415="OK",L2415="OK"),"OK","CHECK"))</f>
        <v>OK</v>
      </c>
    </row>
    <row r="2416" customFormat="false" ht="18" hidden="false" customHeight="true" outlineLevel="0" collapsed="false">
      <c r="A2416" s="9" t="s">
        <v>26</v>
      </c>
      <c r="B2416" s="9" t="n">
        <v>25</v>
      </c>
      <c r="C2416" s="11" t="n">
        <v>46011</v>
      </c>
      <c r="D2416" s="9" t="s">
        <v>188</v>
      </c>
      <c r="E2416" s="12" t="n">
        <v>7</v>
      </c>
      <c r="F2416" s="9" t="s">
        <v>28</v>
      </c>
      <c r="G2416" s="13" t="n">
        <v>200</v>
      </c>
      <c r="H2416" s="9" t="s">
        <v>38</v>
      </c>
      <c r="I2416" s="13" t="n">
        <v>4</v>
      </c>
      <c r="J2416" s="1" t="str">
        <f aca="false">IF(A2416="","", "SAMP-"&amp;A2416&amp;"-L"&amp;TEXT(B2416,"00")&amp;"-"&amp;TEXT(C2416,"yyyymmdd")&amp;"-"&amp;D2416&amp;"-H"&amp;TEXT(E2416,"00")&amp;"-"&amp;H2416)</f>
        <v>SAMP-KG01-L25-20251220-ORD-2025-00299-H07-Crack</v>
      </c>
      <c r="K2416" s="1" t="str">
        <f aca="false">IF(A2416="","",IF(AND(G2416&gt;=0,I2416&gt;=0,I2416&lt;=G2416),"OK","CHECK"))</f>
        <v>OK</v>
      </c>
      <c r="L2416" s="1" t="str">
        <f aca="false">IF(A2416="","",IF(AND(E2416&gt;=0,E2416&lt;=23),"OK","CHECK"))</f>
        <v>OK</v>
      </c>
      <c r="M2416" s="1" t="str">
        <f aca="false">IF(A2416="","",IF(AND(K2416="OK",L2416="OK"),"OK","CHECK"))</f>
        <v>OK</v>
      </c>
    </row>
    <row r="2417" customFormat="false" ht="18" hidden="false" customHeight="true" outlineLevel="0" collapsed="false">
      <c r="A2417" s="9" t="s">
        <v>26</v>
      </c>
      <c r="B2417" s="9" t="n">
        <v>25</v>
      </c>
      <c r="C2417" s="11" t="n">
        <v>46011</v>
      </c>
      <c r="D2417" s="9" t="s">
        <v>188</v>
      </c>
      <c r="E2417" s="12" t="n">
        <v>9</v>
      </c>
      <c r="F2417" s="9" t="s">
        <v>28</v>
      </c>
      <c r="G2417" s="13" t="n">
        <v>50</v>
      </c>
      <c r="H2417" s="9" t="s">
        <v>34</v>
      </c>
      <c r="I2417" s="13" t="n">
        <v>1</v>
      </c>
      <c r="J2417" s="1" t="str">
        <f aca="false">IF(A2417="","", "SAMP-"&amp;A2417&amp;"-L"&amp;TEXT(B2417,"00")&amp;"-"&amp;TEXT(C2417,"yyyymmdd")&amp;"-"&amp;D2417&amp;"-H"&amp;TEXT(E2417,"00")&amp;"-"&amp;H2417)</f>
        <v>SAMP-KG01-L25-20251220-ORD-2025-00299-H09-Thin Wall</v>
      </c>
      <c r="K2417" s="1" t="str">
        <f aca="false">IF(A2417="","",IF(AND(G2417&gt;=0,I2417&gt;=0,I2417&lt;=G2417),"OK","CHECK"))</f>
        <v>OK</v>
      </c>
      <c r="L2417" s="1" t="str">
        <f aca="false">IF(A2417="","",IF(AND(E2417&gt;=0,E2417&lt;=23),"OK","CHECK"))</f>
        <v>OK</v>
      </c>
      <c r="M2417" s="1" t="str">
        <f aca="false">IF(A2417="","",IF(AND(K2417="OK",L2417="OK"),"OK","CHECK"))</f>
        <v>OK</v>
      </c>
    </row>
    <row r="2418" customFormat="false" ht="18" hidden="false" customHeight="true" outlineLevel="0" collapsed="false">
      <c r="A2418" s="9" t="s">
        <v>26</v>
      </c>
      <c r="B2418" s="9" t="n">
        <v>25</v>
      </c>
      <c r="C2418" s="11" t="n">
        <v>46011</v>
      </c>
      <c r="D2418" s="9" t="s">
        <v>188</v>
      </c>
      <c r="E2418" s="12" t="n">
        <v>16</v>
      </c>
      <c r="F2418" s="9" t="s">
        <v>31</v>
      </c>
      <c r="G2418" s="13" t="n">
        <v>150</v>
      </c>
      <c r="H2418" s="9" t="s">
        <v>29</v>
      </c>
      <c r="I2418" s="13" t="n">
        <v>2</v>
      </c>
      <c r="J2418" s="1" t="str">
        <f aca="false">IF(A2418="","", "SAMP-"&amp;A2418&amp;"-L"&amp;TEXT(B2418,"00")&amp;"-"&amp;TEXT(C2418,"yyyymmdd")&amp;"-"&amp;D2418&amp;"-H"&amp;TEXT(E2418,"00")&amp;"-"&amp;H2418)</f>
        <v>SAMP-KG01-L25-20251220-ORD-2025-00299-H16-Choke Neck</v>
      </c>
      <c r="K2418" s="1" t="str">
        <f aca="false">IF(A2418="","",IF(AND(G2418&gt;=0,I2418&gt;=0,I2418&lt;=G2418),"OK","CHECK"))</f>
        <v>OK</v>
      </c>
      <c r="L2418" s="1" t="str">
        <f aca="false">IF(A2418="","",IF(AND(E2418&gt;=0,E2418&lt;=23),"OK","CHECK"))</f>
        <v>OK</v>
      </c>
      <c r="M2418" s="1" t="str">
        <f aca="false">IF(A2418="","",IF(AND(K2418="OK",L2418="OK"),"OK","CHECK"))</f>
        <v>OK</v>
      </c>
    </row>
    <row r="2419" customFormat="false" ht="18" hidden="false" customHeight="true" outlineLevel="0" collapsed="false">
      <c r="A2419" s="9" t="s">
        <v>26</v>
      </c>
      <c r="B2419" s="9" t="n">
        <v>25</v>
      </c>
      <c r="C2419" s="11" t="n">
        <v>46011</v>
      </c>
      <c r="D2419" s="9" t="s">
        <v>188</v>
      </c>
      <c r="E2419" s="12" t="n">
        <v>23</v>
      </c>
      <c r="F2419" s="9" t="s">
        <v>31</v>
      </c>
      <c r="G2419" s="13" t="n">
        <v>100</v>
      </c>
      <c r="H2419" s="9" t="s">
        <v>30</v>
      </c>
      <c r="I2419" s="13" t="n">
        <v>2</v>
      </c>
      <c r="J2419" s="1" t="str">
        <f aca="false">IF(A2419="","", "SAMP-"&amp;A2419&amp;"-L"&amp;TEXT(B2419,"00")&amp;"-"&amp;TEXT(C2419,"yyyymmdd")&amp;"-"&amp;D2419&amp;"-H"&amp;TEXT(E2419,"00")&amp;"-"&amp;H2419)</f>
        <v>SAMP-KG01-L25-20251220-ORD-2025-00299-H23-Overpress</v>
      </c>
      <c r="K2419" s="1" t="str">
        <f aca="false">IF(A2419="","",IF(AND(G2419&gt;=0,I2419&gt;=0,I2419&lt;=G2419),"OK","CHECK"))</f>
        <v>OK</v>
      </c>
      <c r="L2419" s="1" t="str">
        <f aca="false">IF(A2419="","",IF(AND(E2419&gt;=0,E2419&lt;=23),"OK","CHECK"))</f>
        <v>OK</v>
      </c>
      <c r="M2419" s="1" t="str">
        <f aca="false">IF(A2419="","",IF(AND(K2419="OK",L2419="OK"),"OK","CHECK"))</f>
        <v>OK</v>
      </c>
    </row>
    <row r="2420" customFormat="false" ht="18" hidden="false" customHeight="true" outlineLevel="0" collapsed="false">
      <c r="A2420" s="9" t="s">
        <v>26</v>
      </c>
      <c r="B2420" s="9" t="n">
        <v>25</v>
      </c>
      <c r="C2420" s="11" t="n">
        <v>46012</v>
      </c>
      <c r="D2420" s="9" t="s">
        <v>188</v>
      </c>
      <c r="E2420" s="12" t="n">
        <v>7</v>
      </c>
      <c r="F2420" s="9" t="s">
        <v>28</v>
      </c>
      <c r="G2420" s="13" t="n">
        <v>100</v>
      </c>
      <c r="H2420" s="9" t="s">
        <v>41</v>
      </c>
      <c r="I2420" s="13" t="n">
        <v>5</v>
      </c>
      <c r="J2420" s="1" t="str">
        <f aca="false">IF(A2420="","", "SAMP-"&amp;A2420&amp;"-L"&amp;TEXT(B2420,"00")&amp;"-"&amp;TEXT(C2420,"yyyymmdd")&amp;"-"&amp;D2420&amp;"-H"&amp;TEXT(E2420,"00")&amp;"-"&amp;H2420)</f>
        <v>SAMP-KG01-L25-20251221-ORD-2025-00299-H07-Chip</v>
      </c>
      <c r="K2420" s="1" t="str">
        <f aca="false">IF(A2420="","",IF(AND(G2420&gt;=0,I2420&gt;=0,I2420&lt;=G2420),"OK","CHECK"))</f>
        <v>OK</v>
      </c>
      <c r="L2420" s="1" t="str">
        <f aca="false">IF(A2420="","",IF(AND(E2420&gt;=0,E2420&lt;=23),"OK","CHECK"))</f>
        <v>OK</v>
      </c>
      <c r="M2420" s="1" t="str">
        <f aca="false">IF(A2420="","",IF(AND(K2420="OK",L2420="OK"),"OK","CHECK"))</f>
        <v>OK</v>
      </c>
    </row>
    <row r="2421" customFormat="false" ht="18" hidden="false" customHeight="true" outlineLevel="0" collapsed="false">
      <c r="A2421" s="9" t="s">
        <v>26</v>
      </c>
      <c r="B2421" s="9" t="n">
        <v>25</v>
      </c>
      <c r="C2421" s="11" t="n">
        <v>46012</v>
      </c>
      <c r="D2421" s="9" t="s">
        <v>188</v>
      </c>
      <c r="E2421" s="12" t="n">
        <v>9</v>
      </c>
      <c r="F2421" s="9" t="s">
        <v>28</v>
      </c>
      <c r="G2421" s="13" t="n">
        <v>50</v>
      </c>
      <c r="H2421" s="9" t="s">
        <v>33</v>
      </c>
      <c r="I2421" s="13" t="n">
        <v>1</v>
      </c>
      <c r="J2421" s="1" t="str">
        <f aca="false">IF(A2421="","", "SAMP-"&amp;A2421&amp;"-L"&amp;TEXT(B2421,"00")&amp;"-"&amp;TEXT(C2421,"yyyymmdd")&amp;"-"&amp;D2421&amp;"-H"&amp;TEXT(E2421,"00")&amp;"-"&amp;H2421)</f>
        <v>SAMP-KG01-L25-20251221-ORD-2025-00299-H09-Distortion</v>
      </c>
      <c r="K2421" s="1" t="str">
        <f aca="false">IF(A2421="","",IF(AND(G2421&gt;=0,I2421&gt;=0,I2421&lt;=G2421),"OK","CHECK"))</f>
        <v>OK</v>
      </c>
      <c r="L2421" s="1" t="str">
        <f aca="false">IF(A2421="","",IF(AND(E2421&gt;=0,E2421&lt;=23),"OK","CHECK"))</f>
        <v>OK</v>
      </c>
      <c r="M2421" s="1" t="str">
        <f aca="false">IF(A2421="","",IF(AND(K2421="OK",L2421="OK"),"OK","CHECK"))</f>
        <v>OK</v>
      </c>
    </row>
    <row r="2422" customFormat="false" ht="18" hidden="false" customHeight="true" outlineLevel="0" collapsed="false">
      <c r="A2422" s="9" t="s">
        <v>26</v>
      </c>
      <c r="B2422" s="9" t="n">
        <v>25</v>
      </c>
      <c r="C2422" s="11" t="n">
        <v>46012</v>
      </c>
      <c r="D2422" s="9" t="s">
        <v>188</v>
      </c>
      <c r="E2422" s="12" t="n">
        <v>12</v>
      </c>
      <c r="F2422" s="9" t="s">
        <v>28</v>
      </c>
      <c r="G2422" s="13" t="n">
        <v>200</v>
      </c>
      <c r="H2422" s="9" t="s">
        <v>36</v>
      </c>
      <c r="I2422" s="13" t="n">
        <v>5</v>
      </c>
      <c r="J2422" s="1" t="str">
        <f aca="false">IF(A2422="","", "SAMP-"&amp;A2422&amp;"-L"&amp;TEXT(B2422,"00")&amp;"-"&amp;TEXT(C2422,"yyyymmdd")&amp;"-"&amp;D2422&amp;"-H"&amp;TEXT(E2422,"00")&amp;"-"&amp;H2422)</f>
        <v>SAMP-KG01-L25-20251221-ORD-2025-00299-H12-Blister</v>
      </c>
      <c r="K2422" s="1" t="str">
        <f aca="false">IF(A2422="","",IF(AND(G2422&gt;=0,I2422&gt;=0,I2422&lt;=G2422),"OK","CHECK"))</f>
        <v>OK</v>
      </c>
      <c r="L2422" s="1" t="str">
        <f aca="false">IF(A2422="","",IF(AND(E2422&gt;=0,E2422&lt;=23),"OK","CHECK"))</f>
        <v>OK</v>
      </c>
      <c r="M2422" s="1" t="str">
        <f aca="false">IF(A2422="","",IF(AND(K2422="OK",L2422="OK"),"OK","CHECK"))</f>
        <v>OK</v>
      </c>
    </row>
    <row r="2423" customFormat="false" ht="18" hidden="false" customHeight="true" outlineLevel="0" collapsed="false">
      <c r="A2423" s="9" t="s">
        <v>26</v>
      </c>
      <c r="B2423" s="9" t="n">
        <v>25</v>
      </c>
      <c r="C2423" s="11" t="n">
        <v>46012</v>
      </c>
      <c r="D2423" s="9" t="s">
        <v>188</v>
      </c>
      <c r="E2423" s="12" t="n">
        <v>20</v>
      </c>
      <c r="F2423" s="9" t="s">
        <v>31</v>
      </c>
      <c r="G2423" s="13" t="n">
        <v>100</v>
      </c>
      <c r="H2423" s="9" t="s">
        <v>41</v>
      </c>
      <c r="I2423" s="13" t="n">
        <v>1</v>
      </c>
      <c r="J2423" s="1" t="str">
        <f aca="false">IF(A2423="","", "SAMP-"&amp;A2423&amp;"-L"&amp;TEXT(B2423,"00")&amp;"-"&amp;TEXT(C2423,"yyyymmdd")&amp;"-"&amp;D2423&amp;"-H"&amp;TEXT(E2423,"00")&amp;"-"&amp;H2423)</f>
        <v>SAMP-KG01-L25-20251221-ORD-2025-00299-H20-Chip</v>
      </c>
      <c r="K2423" s="1" t="str">
        <f aca="false">IF(A2423="","",IF(AND(G2423&gt;=0,I2423&gt;=0,I2423&lt;=G2423),"OK","CHECK"))</f>
        <v>OK</v>
      </c>
      <c r="L2423" s="1" t="str">
        <f aca="false">IF(A2423="","",IF(AND(E2423&gt;=0,E2423&lt;=23),"OK","CHECK"))</f>
        <v>OK</v>
      </c>
      <c r="M2423" s="1" t="str">
        <f aca="false">IF(A2423="","",IF(AND(K2423="OK",L2423="OK"),"OK","CHECK"))</f>
        <v>OK</v>
      </c>
    </row>
    <row r="2424" customFormat="false" ht="18" hidden="false" customHeight="true" outlineLevel="0" collapsed="false">
      <c r="A2424" s="9" t="s">
        <v>26</v>
      </c>
      <c r="B2424" s="9" t="n">
        <v>25</v>
      </c>
      <c r="C2424" s="11" t="n">
        <v>46012</v>
      </c>
      <c r="D2424" s="9" t="s">
        <v>188</v>
      </c>
      <c r="E2424" s="12" t="n">
        <v>16</v>
      </c>
      <c r="F2424" s="9" t="s">
        <v>31</v>
      </c>
      <c r="G2424" s="13" t="n">
        <v>200</v>
      </c>
      <c r="H2424" s="9" t="s">
        <v>38</v>
      </c>
      <c r="I2424" s="13" t="n">
        <v>1</v>
      </c>
      <c r="J2424" s="1" t="str">
        <f aca="false">IF(A2424="","", "SAMP-"&amp;A2424&amp;"-L"&amp;TEXT(B2424,"00")&amp;"-"&amp;TEXT(C2424,"yyyymmdd")&amp;"-"&amp;D2424&amp;"-H"&amp;TEXT(E2424,"00")&amp;"-"&amp;H2424)</f>
        <v>SAMP-KG01-L25-20251221-ORD-2025-00299-H16-Crack</v>
      </c>
      <c r="K2424" s="1" t="str">
        <f aca="false">IF(A2424="","",IF(AND(G2424&gt;=0,I2424&gt;=0,I2424&lt;=G2424),"OK","CHECK"))</f>
        <v>OK</v>
      </c>
      <c r="L2424" s="1" t="str">
        <f aca="false">IF(A2424="","",IF(AND(E2424&gt;=0,E2424&lt;=23),"OK","CHECK"))</f>
        <v>OK</v>
      </c>
      <c r="M2424" s="1" t="str">
        <f aca="false">IF(A2424="","",IF(AND(K2424="OK",L2424="OK"),"OK","CHECK"))</f>
        <v>OK</v>
      </c>
    </row>
    <row r="2425" customFormat="false" ht="18" hidden="false" customHeight="true" outlineLevel="0" collapsed="false">
      <c r="A2425" s="9" t="s">
        <v>26</v>
      </c>
      <c r="B2425" s="9" t="n">
        <v>25</v>
      </c>
      <c r="C2425" s="11" t="n">
        <v>46012</v>
      </c>
      <c r="D2425" s="9" t="s">
        <v>188</v>
      </c>
      <c r="E2425" s="12" t="n">
        <v>23</v>
      </c>
      <c r="F2425" s="9" t="s">
        <v>31</v>
      </c>
      <c r="G2425" s="13" t="n">
        <v>150</v>
      </c>
      <c r="H2425" s="9" t="s">
        <v>35</v>
      </c>
      <c r="I2425" s="13" t="n">
        <v>2</v>
      </c>
      <c r="J2425" s="1" t="str">
        <f aca="false">IF(A2425="","", "SAMP-"&amp;A2425&amp;"-L"&amp;TEXT(B2425,"00")&amp;"-"&amp;TEXT(C2425,"yyyymmdd")&amp;"-"&amp;D2425&amp;"-H"&amp;TEXT(E2425,"00")&amp;"-"&amp;H2425)</f>
        <v>SAMP-KG01-L25-20251221-ORD-2025-00299-H23-Stone</v>
      </c>
      <c r="K2425" s="1" t="str">
        <f aca="false">IF(A2425="","",IF(AND(G2425&gt;=0,I2425&gt;=0,I2425&lt;=G2425),"OK","CHECK"))</f>
        <v>OK</v>
      </c>
      <c r="L2425" s="1" t="str">
        <f aca="false">IF(A2425="","",IF(AND(E2425&gt;=0,E2425&lt;=23),"OK","CHECK"))</f>
        <v>OK</v>
      </c>
      <c r="M2425" s="1" t="str">
        <f aca="false">IF(A2425="","",IF(AND(K2425="OK",L2425="OK"),"OK","CHECK"))</f>
        <v>OK</v>
      </c>
    </row>
    <row r="2426" customFormat="false" ht="18" hidden="false" customHeight="true" outlineLevel="0" collapsed="false">
      <c r="A2426" s="9" t="s">
        <v>26</v>
      </c>
      <c r="B2426" s="9" t="n">
        <v>25</v>
      </c>
      <c r="C2426" s="11" t="n">
        <v>46013</v>
      </c>
      <c r="D2426" s="9" t="s">
        <v>188</v>
      </c>
      <c r="E2426" s="12" t="n">
        <v>7</v>
      </c>
      <c r="F2426" s="9" t="s">
        <v>28</v>
      </c>
      <c r="G2426" s="13" t="n">
        <v>100</v>
      </c>
      <c r="H2426" s="9" t="s">
        <v>37</v>
      </c>
      <c r="I2426" s="13" t="n">
        <v>0</v>
      </c>
      <c r="J2426" s="1" t="str">
        <f aca="false">IF(A2426="","", "SAMP-"&amp;A2426&amp;"-L"&amp;TEXT(B2426,"00")&amp;"-"&amp;TEXT(C2426,"yyyymmdd")&amp;"-"&amp;D2426&amp;"-H"&amp;TEXT(E2426,"00")&amp;"-"&amp;H2426)</f>
        <v>SAMP-KG01-L25-20251222-ORD-2025-00299-H07-Bird Swing</v>
      </c>
      <c r="K2426" s="1" t="str">
        <f aca="false">IF(A2426="","",IF(AND(G2426&gt;=0,I2426&gt;=0,I2426&lt;=G2426),"OK","CHECK"))</f>
        <v>OK</v>
      </c>
      <c r="L2426" s="1" t="str">
        <f aca="false">IF(A2426="","",IF(AND(E2426&gt;=0,E2426&lt;=23),"OK","CHECK"))</f>
        <v>OK</v>
      </c>
      <c r="M2426" s="1" t="str">
        <f aca="false">IF(A2426="","",IF(AND(K2426="OK",L2426="OK"),"OK","CHECK"))</f>
        <v>OK</v>
      </c>
    </row>
    <row r="2427" customFormat="false" ht="18" hidden="false" customHeight="true" outlineLevel="0" collapsed="false">
      <c r="A2427" s="9" t="s">
        <v>26</v>
      </c>
      <c r="B2427" s="9" t="n">
        <v>25</v>
      </c>
      <c r="C2427" s="11" t="n">
        <v>46013</v>
      </c>
      <c r="D2427" s="9" t="s">
        <v>188</v>
      </c>
      <c r="E2427" s="12" t="n">
        <v>12</v>
      </c>
      <c r="F2427" s="9" t="s">
        <v>28</v>
      </c>
      <c r="G2427" s="13" t="n">
        <v>150</v>
      </c>
      <c r="H2427" s="9" t="s">
        <v>33</v>
      </c>
      <c r="I2427" s="13" t="n">
        <v>2</v>
      </c>
      <c r="J2427" s="1" t="str">
        <f aca="false">IF(A2427="","", "SAMP-"&amp;A2427&amp;"-L"&amp;TEXT(B2427,"00")&amp;"-"&amp;TEXT(C2427,"yyyymmdd")&amp;"-"&amp;D2427&amp;"-H"&amp;TEXT(E2427,"00")&amp;"-"&amp;H2427)</f>
        <v>SAMP-KG01-L25-20251222-ORD-2025-00299-H12-Distortion</v>
      </c>
      <c r="K2427" s="1" t="str">
        <f aca="false">IF(A2427="","",IF(AND(G2427&gt;=0,I2427&gt;=0,I2427&lt;=G2427),"OK","CHECK"))</f>
        <v>OK</v>
      </c>
      <c r="L2427" s="1" t="str">
        <f aca="false">IF(A2427="","",IF(AND(E2427&gt;=0,E2427&lt;=23),"OK","CHECK"))</f>
        <v>OK</v>
      </c>
      <c r="M2427" s="1" t="str">
        <f aca="false">IF(A2427="","",IF(AND(K2427="OK",L2427="OK"),"OK","CHECK"))</f>
        <v>OK</v>
      </c>
    </row>
    <row r="2428" customFormat="false" ht="18" hidden="false" customHeight="true" outlineLevel="0" collapsed="false">
      <c r="A2428" s="9" t="s">
        <v>26</v>
      </c>
      <c r="B2428" s="9" t="n">
        <v>25</v>
      </c>
      <c r="C2428" s="11" t="n">
        <v>46013</v>
      </c>
      <c r="D2428" s="9" t="s">
        <v>188</v>
      </c>
      <c r="E2428" s="12" t="n">
        <v>16</v>
      </c>
      <c r="F2428" s="9" t="s">
        <v>31</v>
      </c>
      <c r="G2428" s="13" t="n">
        <v>150</v>
      </c>
      <c r="H2428" s="9" t="s">
        <v>34</v>
      </c>
      <c r="I2428" s="13" t="n">
        <v>3</v>
      </c>
      <c r="J2428" s="1" t="str">
        <f aca="false">IF(A2428="","", "SAMP-"&amp;A2428&amp;"-L"&amp;TEXT(B2428,"00")&amp;"-"&amp;TEXT(C2428,"yyyymmdd")&amp;"-"&amp;D2428&amp;"-H"&amp;TEXT(E2428,"00")&amp;"-"&amp;H2428)</f>
        <v>SAMP-KG01-L25-20251222-ORD-2025-00299-H16-Thin Wall</v>
      </c>
      <c r="K2428" s="1" t="str">
        <f aca="false">IF(A2428="","",IF(AND(G2428&gt;=0,I2428&gt;=0,I2428&lt;=G2428),"OK","CHECK"))</f>
        <v>OK</v>
      </c>
      <c r="L2428" s="1" t="str">
        <f aca="false">IF(A2428="","",IF(AND(E2428&gt;=0,E2428&lt;=23),"OK","CHECK"))</f>
        <v>OK</v>
      </c>
      <c r="M2428" s="1" t="str">
        <f aca="false">IF(A2428="","",IF(AND(K2428="OK",L2428="OK"),"OK","CHECK"))</f>
        <v>OK</v>
      </c>
    </row>
    <row r="2429" customFormat="false" ht="18" hidden="false" customHeight="true" outlineLevel="0" collapsed="false">
      <c r="A2429" s="9" t="s">
        <v>26</v>
      </c>
      <c r="B2429" s="9" t="n">
        <v>25</v>
      </c>
      <c r="C2429" s="11" t="n">
        <v>46013</v>
      </c>
      <c r="D2429" s="9" t="s">
        <v>188</v>
      </c>
      <c r="E2429" s="12" t="n">
        <v>20</v>
      </c>
      <c r="F2429" s="9" t="s">
        <v>31</v>
      </c>
      <c r="G2429" s="13" t="n">
        <v>50</v>
      </c>
      <c r="H2429" s="9" t="s">
        <v>34</v>
      </c>
      <c r="I2429" s="13" t="n">
        <v>2</v>
      </c>
      <c r="J2429" s="1" t="str">
        <f aca="false">IF(A2429="","", "SAMP-"&amp;A2429&amp;"-L"&amp;TEXT(B2429,"00")&amp;"-"&amp;TEXT(C2429,"yyyymmdd")&amp;"-"&amp;D2429&amp;"-H"&amp;TEXT(E2429,"00")&amp;"-"&amp;H2429)</f>
        <v>SAMP-KG01-L25-20251222-ORD-2025-00299-H20-Thin Wall</v>
      </c>
      <c r="K2429" s="1" t="str">
        <f aca="false">IF(A2429="","",IF(AND(G2429&gt;=0,I2429&gt;=0,I2429&lt;=G2429),"OK","CHECK"))</f>
        <v>OK</v>
      </c>
      <c r="L2429" s="1" t="str">
        <f aca="false">IF(A2429="","",IF(AND(E2429&gt;=0,E2429&lt;=23),"OK","CHECK"))</f>
        <v>OK</v>
      </c>
      <c r="M2429" s="1" t="str">
        <f aca="false">IF(A2429="","",IF(AND(K2429="OK",L2429="OK"),"OK","CHECK"))</f>
        <v>OK</v>
      </c>
    </row>
    <row r="2430" customFormat="false" ht="18" hidden="false" customHeight="true" outlineLevel="0" collapsed="false">
      <c r="A2430" s="9" t="s">
        <v>26</v>
      </c>
      <c r="B2430" s="9" t="n">
        <v>25</v>
      </c>
      <c r="C2430" s="11" t="n">
        <v>46014</v>
      </c>
      <c r="D2430" s="9" t="s">
        <v>189</v>
      </c>
      <c r="E2430" s="12" t="n">
        <v>9</v>
      </c>
      <c r="F2430" s="9" t="s">
        <v>28</v>
      </c>
      <c r="G2430" s="13" t="n">
        <v>100</v>
      </c>
      <c r="H2430" s="9" t="s">
        <v>37</v>
      </c>
      <c r="I2430" s="13" t="n">
        <v>4</v>
      </c>
      <c r="J2430" s="1" t="str">
        <f aca="false">IF(A2430="","", "SAMP-"&amp;A2430&amp;"-L"&amp;TEXT(B2430,"00")&amp;"-"&amp;TEXT(C2430,"yyyymmdd")&amp;"-"&amp;D2430&amp;"-H"&amp;TEXT(E2430,"00")&amp;"-"&amp;H2430)</f>
        <v>SAMP-KG01-L25-20251223-ORD-2025-00300-H09-Bird Swing</v>
      </c>
      <c r="K2430" s="1" t="str">
        <f aca="false">IF(A2430="","",IF(AND(G2430&gt;=0,I2430&gt;=0,I2430&lt;=G2430),"OK","CHECK"))</f>
        <v>OK</v>
      </c>
      <c r="L2430" s="1" t="str">
        <f aca="false">IF(A2430="","",IF(AND(E2430&gt;=0,E2430&lt;=23),"OK","CHECK"))</f>
        <v>OK</v>
      </c>
      <c r="M2430" s="1" t="str">
        <f aca="false">IF(A2430="","",IF(AND(K2430="OK",L2430="OK"),"OK","CHECK"))</f>
        <v>OK</v>
      </c>
    </row>
    <row r="2431" customFormat="false" ht="18" hidden="false" customHeight="true" outlineLevel="0" collapsed="false">
      <c r="A2431" s="9" t="s">
        <v>26</v>
      </c>
      <c r="B2431" s="9" t="n">
        <v>25</v>
      </c>
      <c r="C2431" s="11" t="n">
        <v>46014</v>
      </c>
      <c r="D2431" s="9" t="s">
        <v>189</v>
      </c>
      <c r="E2431" s="12" t="n">
        <v>12</v>
      </c>
      <c r="F2431" s="9" t="s">
        <v>28</v>
      </c>
      <c r="G2431" s="13" t="n">
        <v>50</v>
      </c>
      <c r="H2431" s="9" t="s">
        <v>35</v>
      </c>
      <c r="I2431" s="13" t="n">
        <v>2</v>
      </c>
      <c r="J2431" s="1" t="str">
        <f aca="false">IF(A2431="","", "SAMP-"&amp;A2431&amp;"-L"&amp;TEXT(B2431,"00")&amp;"-"&amp;TEXT(C2431,"yyyymmdd")&amp;"-"&amp;D2431&amp;"-H"&amp;TEXT(E2431,"00")&amp;"-"&amp;H2431)</f>
        <v>SAMP-KG01-L25-20251223-ORD-2025-00300-H12-Stone</v>
      </c>
      <c r="K2431" s="1" t="str">
        <f aca="false">IF(A2431="","",IF(AND(G2431&gt;=0,I2431&gt;=0,I2431&lt;=G2431),"OK","CHECK"))</f>
        <v>OK</v>
      </c>
      <c r="L2431" s="1" t="str">
        <f aca="false">IF(A2431="","",IF(AND(E2431&gt;=0,E2431&lt;=23),"OK","CHECK"))</f>
        <v>OK</v>
      </c>
      <c r="M2431" s="1" t="str">
        <f aca="false">IF(A2431="","",IF(AND(K2431="OK",L2431="OK"),"OK","CHECK"))</f>
        <v>OK</v>
      </c>
    </row>
    <row r="2432" customFormat="false" ht="18" hidden="false" customHeight="true" outlineLevel="0" collapsed="false">
      <c r="A2432" s="9" t="s">
        <v>26</v>
      </c>
      <c r="B2432" s="9" t="n">
        <v>25</v>
      </c>
      <c r="C2432" s="11" t="n">
        <v>46014</v>
      </c>
      <c r="D2432" s="9" t="s">
        <v>189</v>
      </c>
      <c r="E2432" s="12" t="n">
        <v>7</v>
      </c>
      <c r="F2432" s="9" t="s">
        <v>28</v>
      </c>
      <c r="G2432" s="13" t="n">
        <v>50</v>
      </c>
      <c r="H2432" s="9" t="s">
        <v>41</v>
      </c>
      <c r="I2432" s="13" t="n">
        <v>2</v>
      </c>
      <c r="J2432" s="1" t="str">
        <f aca="false">IF(A2432="","", "SAMP-"&amp;A2432&amp;"-L"&amp;TEXT(B2432,"00")&amp;"-"&amp;TEXT(C2432,"yyyymmdd")&amp;"-"&amp;D2432&amp;"-H"&amp;TEXT(E2432,"00")&amp;"-"&amp;H2432)</f>
        <v>SAMP-KG01-L25-20251223-ORD-2025-00300-H07-Chip</v>
      </c>
      <c r="K2432" s="1" t="str">
        <f aca="false">IF(A2432="","",IF(AND(G2432&gt;=0,I2432&gt;=0,I2432&lt;=G2432),"OK","CHECK"))</f>
        <v>OK</v>
      </c>
      <c r="L2432" s="1" t="str">
        <f aca="false">IF(A2432="","",IF(AND(E2432&gt;=0,E2432&lt;=23),"OK","CHECK"))</f>
        <v>OK</v>
      </c>
      <c r="M2432" s="1" t="str">
        <f aca="false">IF(A2432="","",IF(AND(K2432="OK",L2432="OK"),"OK","CHECK"))</f>
        <v>OK</v>
      </c>
    </row>
    <row r="2433" customFormat="false" ht="18" hidden="false" customHeight="true" outlineLevel="0" collapsed="false">
      <c r="A2433" s="9" t="s">
        <v>26</v>
      </c>
      <c r="B2433" s="9" t="n">
        <v>25</v>
      </c>
      <c r="C2433" s="11" t="n">
        <v>46014</v>
      </c>
      <c r="D2433" s="9" t="s">
        <v>189</v>
      </c>
      <c r="E2433" s="12" t="n">
        <v>16</v>
      </c>
      <c r="F2433" s="9" t="s">
        <v>31</v>
      </c>
      <c r="G2433" s="13" t="n">
        <v>200</v>
      </c>
      <c r="H2433" s="9" t="s">
        <v>38</v>
      </c>
      <c r="I2433" s="13" t="n">
        <v>7</v>
      </c>
      <c r="J2433" s="1" t="str">
        <f aca="false">IF(A2433="","", "SAMP-"&amp;A2433&amp;"-L"&amp;TEXT(B2433,"00")&amp;"-"&amp;TEXT(C2433,"yyyymmdd")&amp;"-"&amp;D2433&amp;"-H"&amp;TEXT(E2433,"00")&amp;"-"&amp;H2433)</f>
        <v>SAMP-KG01-L25-20251223-ORD-2025-00300-H16-Crack</v>
      </c>
      <c r="K2433" s="1" t="str">
        <f aca="false">IF(A2433="","",IF(AND(G2433&gt;=0,I2433&gt;=0,I2433&lt;=G2433),"OK","CHECK"))</f>
        <v>OK</v>
      </c>
      <c r="L2433" s="1" t="str">
        <f aca="false">IF(A2433="","",IF(AND(E2433&gt;=0,E2433&lt;=23),"OK","CHECK"))</f>
        <v>OK</v>
      </c>
      <c r="M2433" s="1" t="str">
        <f aca="false">IF(A2433="","",IF(AND(K2433="OK",L2433="OK"),"OK","CHECK"))</f>
        <v>OK</v>
      </c>
    </row>
    <row r="2434" customFormat="false" ht="18" hidden="false" customHeight="true" outlineLevel="0" collapsed="false">
      <c r="A2434" s="9" t="s">
        <v>26</v>
      </c>
      <c r="B2434" s="9" t="n">
        <v>25</v>
      </c>
      <c r="C2434" s="11" t="n">
        <v>46014</v>
      </c>
      <c r="D2434" s="9" t="s">
        <v>189</v>
      </c>
      <c r="E2434" s="12" t="n">
        <v>20</v>
      </c>
      <c r="F2434" s="9" t="s">
        <v>31</v>
      </c>
      <c r="G2434" s="13" t="n">
        <v>100</v>
      </c>
      <c r="H2434" s="9" t="s">
        <v>37</v>
      </c>
      <c r="I2434" s="13" t="n">
        <v>3</v>
      </c>
      <c r="J2434" s="1" t="str">
        <f aca="false">IF(A2434="","", "SAMP-"&amp;A2434&amp;"-L"&amp;TEXT(B2434,"00")&amp;"-"&amp;TEXT(C2434,"yyyymmdd")&amp;"-"&amp;D2434&amp;"-H"&amp;TEXT(E2434,"00")&amp;"-"&amp;H2434)</f>
        <v>SAMP-KG01-L25-20251223-ORD-2025-00300-H20-Bird Swing</v>
      </c>
      <c r="K2434" s="1" t="str">
        <f aca="false">IF(A2434="","",IF(AND(G2434&gt;=0,I2434&gt;=0,I2434&lt;=G2434),"OK","CHECK"))</f>
        <v>OK</v>
      </c>
      <c r="L2434" s="1" t="str">
        <f aca="false">IF(A2434="","",IF(AND(E2434&gt;=0,E2434&lt;=23),"OK","CHECK"))</f>
        <v>OK</v>
      </c>
      <c r="M2434" s="1" t="str">
        <f aca="false">IF(A2434="","",IF(AND(K2434="OK",L2434="OK"),"OK","CHECK"))</f>
        <v>OK</v>
      </c>
    </row>
    <row r="2435" customFormat="false" ht="18" hidden="false" customHeight="true" outlineLevel="0" collapsed="false">
      <c r="A2435" s="9" t="s">
        <v>26</v>
      </c>
      <c r="B2435" s="9" t="n">
        <v>25</v>
      </c>
      <c r="C2435" s="11" t="n">
        <v>46014</v>
      </c>
      <c r="D2435" s="9" t="s">
        <v>189</v>
      </c>
      <c r="E2435" s="12" t="n">
        <v>23</v>
      </c>
      <c r="F2435" s="9" t="s">
        <v>31</v>
      </c>
      <c r="G2435" s="13" t="n">
        <v>200</v>
      </c>
      <c r="H2435" s="9" t="s">
        <v>41</v>
      </c>
      <c r="I2435" s="13" t="n">
        <v>0</v>
      </c>
      <c r="J2435" s="1" t="str">
        <f aca="false">IF(A2435="","", "SAMP-"&amp;A2435&amp;"-L"&amp;TEXT(B2435,"00")&amp;"-"&amp;TEXT(C2435,"yyyymmdd")&amp;"-"&amp;D2435&amp;"-H"&amp;TEXT(E2435,"00")&amp;"-"&amp;H2435)</f>
        <v>SAMP-KG01-L25-20251223-ORD-2025-00300-H23-Chip</v>
      </c>
      <c r="K2435" s="1" t="str">
        <f aca="false">IF(A2435="","",IF(AND(G2435&gt;=0,I2435&gt;=0,I2435&lt;=G2435),"OK","CHECK"))</f>
        <v>OK</v>
      </c>
      <c r="L2435" s="1" t="str">
        <f aca="false">IF(A2435="","",IF(AND(E2435&gt;=0,E2435&lt;=23),"OK","CHECK"))</f>
        <v>OK</v>
      </c>
      <c r="M2435" s="1" t="str">
        <f aca="false">IF(A2435="","",IF(AND(K2435="OK",L2435="OK"),"OK","CHECK"))</f>
        <v>OK</v>
      </c>
    </row>
    <row r="2436" customFormat="false" ht="18" hidden="false" customHeight="true" outlineLevel="0" collapsed="false">
      <c r="A2436" s="9" t="s">
        <v>26</v>
      </c>
      <c r="B2436" s="9" t="n">
        <v>25</v>
      </c>
      <c r="C2436" s="11" t="n">
        <v>46015</v>
      </c>
      <c r="D2436" s="9" t="s">
        <v>189</v>
      </c>
      <c r="E2436" s="12" t="n">
        <v>9</v>
      </c>
      <c r="F2436" s="9" t="s">
        <v>28</v>
      </c>
      <c r="G2436" s="13" t="n">
        <v>50</v>
      </c>
      <c r="H2436" s="9" t="s">
        <v>33</v>
      </c>
      <c r="I2436" s="13" t="n">
        <v>2</v>
      </c>
      <c r="J2436" s="1" t="str">
        <f aca="false">IF(A2436="","", "SAMP-"&amp;A2436&amp;"-L"&amp;TEXT(B2436,"00")&amp;"-"&amp;TEXT(C2436,"yyyymmdd")&amp;"-"&amp;D2436&amp;"-H"&amp;TEXT(E2436,"00")&amp;"-"&amp;H2436)</f>
        <v>SAMP-KG01-L25-20251224-ORD-2025-00300-H09-Distortion</v>
      </c>
      <c r="K2436" s="1" t="str">
        <f aca="false">IF(A2436="","",IF(AND(G2436&gt;=0,I2436&gt;=0,I2436&lt;=G2436),"OK","CHECK"))</f>
        <v>OK</v>
      </c>
      <c r="L2436" s="1" t="str">
        <f aca="false">IF(A2436="","",IF(AND(E2436&gt;=0,E2436&lt;=23),"OK","CHECK"))</f>
        <v>OK</v>
      </c>
      <c r="M2436" s="1" t="str">
        <f aca="false">IF(A2436="","",IF(AND(K2436="OK",L2436="OK"),"OK","CHECK"))</f>
        <v>OK</v>
      </c>
    </row>
    <row r="2437" customFormat="false" ht="18" hidden="false" customHeight="true" outlineLevel="0" collapsed="false">
      <c r="A2437" s="9" t="s">
        <v>26</v>
      </c>
      <c r="B2437" s="9" t="n">
        <v>25</v>
      </c>
      <c r="C2437" s="11" t="n">
        <v>46015</v>
      </c>
      <c r="D2437" s="9" t="s">
        <v>189</v>
      </c>
      <c r="E2437" s="12" t="n">
        <v>7</v>
      </c>
      <c r="F2437" s="9" t="s">
        <v>28</v>
      </c>
      <c r="G2437" s="13" t="n">
        <v>200</v>
      </c>
      <c r="H2437" s="9" t="s">
        <v>38</v>
      </c>
      <c r="I2437" s="13" t="n">
        <v>5</v>
      </c>
      <c r="J2437" s="1" t="str">
        <f aca="false">IF(A2437="","", "SAMP-"&amp;A2437&amp;"-L"&amp;TEXT(B2437,"00")&amp;"-"&amp;TEXT(C2437,"yyyymmdd")&amp;"-"&amp;D2437&amp;"-H"&amp;TEXT(E2437,"00")&amp;"-"&amp;H2437)</f>
        <v>SAMP-KG01-L25-20251224-ORD-2025-00300-H07-Crack</v>
      </c>
      <c r="K2437" s="1" t="str">
        <f aca="false">IF(A2437="","",IF(AND(G2437&gt;=0,I2437&gt;=0,I2437&lt;=G2437),"OK","CHECK"))</f>
        <v>OK</v>
      </c>
      <c r="L2437" s="1" t="str">
        <f aca="false">IF(A2437="","",IF(AND(E2437&gt;=0,E2437&lt;=23),"OK","CHECK"))</f>
        <v>OK</v>
      </c>
      <c r="M2437" s="1" t="str">
        <f aca="false">IF(A2437="","",IF(AND(K2437="OK",L2437="OK"),"OK","CHECK"))</f>
        <v>OK</v>
      </c>
    </row>
    <row r="2438" customFormat="false" ht="18" hidden="false" customHeight="true" outlineLevel="0" collapsed="false">
      <c r="A2438" s="9" t="s">
        <v>26</v>
      </c>
      <c r="B2438" s="9" t="n">
        <v>25</v>
      </c>
      <c r="C2438" s="11" t="n">
        <v>46015</v>
      </c>
      <c r="D2438" s="9" t="s">
        <v>189</v>
      </c>
      <c r="E2438" s="12" t="n">
        <v>12</v>
      </c>
      <c r="F2438" s="9" t="s">
        <v>28</v>
      </c>
      <c r="G2438" s="13" t="n">
        <v>150</v>
      </c>
      <c r="H2438" s="9" t="s">
        <v>41</v>
      </c>
      <c r="I2438" s="13" t="n">
        <v>6</v>
      </c>
      <c r="J2438" s="1" t="str">
        <f aca="false">IF(A2438="","", "SAMP-"&amp;A2438&amp;"-L"&amp;TEXT(B2438,"00")&amp;"-"&amp;TEXT(C2438,"yyyymmdd")&amp;"-"&amp;D2438&amp;"-H"&amp;TEXT(E2438,"00")&amp;"-"&amp;H2438)</f>
        <v>SAMP-KG01-L25-20251224-ORD-2025-00300-H12-Chip</v>
      </c>
      <c r="K2438" s="1" t="str">
        <f aca="false">IF(A2438="","",IF(AND(G2438&gt;=0,I2438&gt;=0,I2438&lt;=G2438),"OK","CHECK"))</f>
        <v>OK</v>
      </c>
      <c r="L2438" s="1" t="str">
        <f aca="false">IF(A2438="","",IF(AND(E2438&gt;=0,E2438&lt;=23),"OK","CHECK"))</f>
        <v>OK</v>
      </c>
      <c r="M2438" s="1" t="str">
        <f aca="false">IF(A2438="","",IF(AND(K2438="OK",L2438="OK"),"OK","CHECK"))</f>
        <v>OK</v>
      </c>
    </row>
    <row r="2439" customFormat="false" ht="18" hidden="false" customHeight="true" outlineLevel="0" collapsed="false">
      <c r="A2439" s="9" t="s">
        <v>26</v>
      </c>
      <c r="B2439" s="9" t="n">
        <v>25</v>
      </c>
      <c r="C2439" s="11" t="n">
        <v>46015</v>
      </c>
      <c r="D2439" s="9" t="s">
        <v>189</v>
      </c>
      <c r="E2439" s="12" t="n">
        <v>16</v>
      </c>
      <c r="F2439" s="9" t="s">
        <v>31</v>
      </c>
      <c r="G2439" s="13" t="n">
        <v>200</v>
      </c>
      <c r="H2439" s="9" t="s">
        <v>35</v>
      </c>
      <c r="I2439" s="13" t="n">
        <v>9</v>
      </c>
      <c r="J2439" s="1" t="str">
        <f aca="false">IF(A2439="","", "SAMP-"&amp;A2439&amp;"-L"&amp;TEXT(B2439,"00")&amp;"-"&amp;TEXT(C2439,"yyyymmdd")&amp;"-"&amp;D2439&amp;"-H"&amp;TEXT(E2439,"00")&amp;"-"&amp;H2439)</f>
        <v>SAMP-KG01-L25-20251224-ORD-2025-00300-H16-Stone</v>
      </c>
      <c r="K2439" s="1" t="str">
        <f aca="false">IF(A2439="","",IF(AND(G2439&gt;=0,I2439&gt;=0,I2439&lt;=G2439),"OK","CHECK"))</f>
        <v>OK</v>
      </c>
      <c r="L2439" s="1" t="str">
        <f aca="false">IF(A2439="","",IF(AND(E2439&gt;=0,E2439&lt;=23),"OK","CHECK"))</f>
        <v>OK</v>
      </c>
      <c r="M2439" s="1" t="str">
        <f aca="false">IF(A2439="","",IF(AND(K2439="OK",L2439="OK"),"OK","CHECK"))</f>
        <v>OK</v>
      </c>
    </row>
    <row r="2440" customFormat="false" ht="18" hidden="false" customHeight="true" outlineLevel="0" collapsed="false">
      <c r="A2440" s="9" t="s">
        <v>26</v>
      </c>
      <c r="B2440" s="9" t="n">
        <v>25</v>
      </c>
      <c r="C2440" s="11" t="n">
        <v>46015</v>
      </c>
      <c r="D2440" s="9" t="s">
        <v>189</v>
      </c>
      <c r="E2440" s="12" t="n">
        <v>20</v>
      </c>
      <c r="F2440" s="9" t="s">
        <v>31</v>
      </c>
      <c r="G2440" s="13" t="n">
        <v>100</v>
      </c>
      <c r="H2440" s="9" t="s">
        <v>29</v>
      </c>
      <c r="I2440" s="13" t="n">
        <v>1</v>
      </c>
      <c r="J2440" s="1" t="str">
        <f aca="false">IF(A2440="","", "SAMP-"&amp;A2440&amp;"-L"&amp;TEXT(B2440,"00")&amp;"-"&amp;TEXT(C2440,"yyyymmdd")&amp;"-"&amp;D2440&amp;"-H"&amp;TEXT(E2440,"00")&amp;"-"&amp;H2440)</f>
        <v>SAMP-KG01-L25-20251224-ORD-2025-00300-H20-Choke Neck</v>
      </c>
      <c r="K2440" s="1" t="str">
        <f aca="false">IF(A2440="","",IF(AND(G2440&gt;=0,I2440&gt;=0,I2440&lt;=G2440),"OK","CHECK"))</f>
        <v>OK</v>
      </c>
      <c r="L2440" s="1" t="str">
        <f aca="false">IF(A2440="","",IF(AND(E2440&gt;=0,E2440&lt;=23),"OK","CHECK"))</f>
        <v>OK</v>
      </c>
      <c r="M2440" s="1" t="str">
        <f aca="false">IF(A2440="","",IF(AND(K2440="OK",L2440="OK"),"OK","CHECK"))</f>
        <v>OK</v>
      </c>
    </row>
    <row r="2441" customFormat="false" ht="18" hidden="false" customHeight="true" outlineLevel="0" collapsed="false">
      <c r="A2441" s="9" t="s">
        <v>26</v>
      </c>
      <c r="B2441" s="9" t="n">
        <v>25</v>
      </c>
      <c r="C2441" s="11" t="n">
        <v>46015</v>
      </c>
      <c r="D2441" s="9" t="s">
        <v>189</v>
      </c>
      <c r="E2441" s="12" t="n">
        <v>23</v>
      </c>
      <c r="F2441" s="9" t="s">
        <v>31</v>
      </c>
      <c r="G2441" s="13" t="n">
        <v>200</v>
      </c>
      <c r="H2441" s="9" t="s">
        <v>30</v>
      </c>
      <c r="I2441" s="13" t="n">
        <v>3</v>
      </c>
      <c r="J2441" s="1" t="str">
        <f aca="false">IF(A2441="","", "SAMP-"&amp;A2441&amp;"-L"&amp;TEXT(B2441,"00")&amp;"-"&amp;TEXT(C2441,"yyyymmdd")&amp;"-"&amp;D2441&amp;"-H"&amp;TEXT(E2441,"00")&amp;"-"&amp;H2441)</f>
        <v>SAMP-KG01-L25-20251224-ORD-2025-00300-H23-Overpress</v>
      </c>
      <c r="K2441" s="1" t="str">
        <f aca="false">IF(A2441="","",IF(AND(G2441&gt;=0,I2441&gt;=0,I2441&lt;=G2441),"OK","CHECK"))</f>
        <v>OK</v>
      </c>
      <c r="L2441" s="1" t="str">
        <f aca="false">IF(A2441="","",IF(AND(E2441&gt;=0,E2441&lt;=23),"OK","CHECK"))</f>
        <v>OK</v>
      </c>
      <c r="M2441" s="1" t="str">
        <f aca="false">IF(A2441="","",IF(AND(K2441="OK",L2441="OK"),"OK","CHECK"))</f>
        <v>OK</v>
      </c>
    </row>
    <row r="2442" customFormat="false" ht="18" hidden="false" customHeight="true" outlineLevel="0" collapsed="false">
      <c r="A2442" s="9" t="s">
        <v>26</v>
      </c>
      <c r="B2442" s="9" t="n">
        <v>25</v>
      </c>
      <c r="C2442" s="11" t="n">
        <v>46016</v>
      </c>
      <c r="D2442" s="9" t="s">
        <v>190</v>
      </c>
      <c r="E2442" s="12" t="n">
        <v>7</v>
      </c>
      <c r="F2442" s="9" t="s">
        <v>28</v>
      </c>
      <c r="G2442" s="13" t="n">
        <v>200</v>
      </c>
      <c r="H2442" s="9" t="s">
        <v>34</v>
      </c>
      <c r="I2442" s="13" t="n">
        <v>6</v>
      </c>
      <c r="J2442" s="1" t="str">
        <f aca="false">IF(A2442="","", "SAMP-"&amp;A2442&amp;"-L"&amp;TEXT(B2442,"00")&amp;"-"&amp;TEXT(C2442,"yyyymmdd")&amp;"-"&amp;D2442&amp;"-H"&amp;TEXT(E2442,"00")&amp;"-"&amp;H2442)</f>
        <v>SAMP-KG01-L25-20251225-ORD-2025-00301-H07-Thin Wall</v>
      </c>
      <c r="K2442" s="1" t="str">
        <f aca="false">IF(A2442="","",IF(AND(G2442&gt;=0,I2442&gt;=0,I2442&lt;=G2442),"OK","CHECK"))</f>
        <v>OK</v>
      </c>
      <c r="L2442" s="1" t="str">
        <f aca="false">IF(A2442="","",IF(AND(E2442&gt;=0,E2442&lt;=23),"OK","CHECK"))</f>
        <v>OK</v>
      </c>
      <c r="M2442" s="1" t="str">
        <f aca="false">IF(A2442="","",IF(AND(K2442="OK",L2442="OK"),"OK","CHECK"))</f>
        <v>OK</v>
      </c>
    </row>
    <row r="2443" customFormat="false" ht="18" hidden="false" customHeight="true" outlineLevel="0" collapsed="false">
      <c r="A2443" s="9" t="s">
        <v>26</v>
      </c>
      <c r="B2443" s="9" t="n">
        <v>25</v>
      </c>
      <c r="C2443" s="11" t="n">
        <v>46016</v>
      </c>
      <c r="D2443" s="9" t="s">
        <v>190</v>
      </c>
      <c r="E2443" s="12" t="n">
        <v>9</v>
      </c>
      <c r="F2443" s="9" t="s">
        <v>28</v>
      </c>
      <c r="G2443" s="13" t="n">
        <v>50</v>
      </c>
      <c r="H2443" s="9" t="s">
        <v>38</v>
      </c>
      <c r="I2443" s="13" t="n">
        <v>0</v>
      </c>
      <c r="J2443" s="1" t="str">
        <f aca="false">IF(A2443="","", "SAMP-"&amp;A2443&amp;"-L"&amp;TEXT(B2443,"00")&amp;"-"&amp;TEXT(C2443,"yyyymmdd")&amp;"-"&amp;D2443&amp;"-H"&amp;TEXT(E2443,"00")&amp;"-"&amp;H2443)</f>
        <v>SAMP-KG01-L25-20251225-ORD-2025-00301-H09-Crack</v>
      </c>
      <c r="K2443" s="1" t="str">
        <f aca="false">IF(A2443="","",IF(AND(G2443&gt;=0,I2443&gt;=0,I2443&lt;=G2443),"OK","CHECK"))</f>
        <v>OK</v>
      </c>
      <c r="L2443" s="1" t="str">
        <f aca="false">IF(A2443="","",IF(AND(E2443&gt;=0,E2443&lt;=23),"OK","CHECK"))</f>
        <v>OK</v>
      </c>
      <c r="M2443" s="1" t="str">
        <f aca="false">IF(A2443="","",IF(AND(K2443="OK",L2443="OK"),"OK","CHECK"))</f>
        <v>OK</v>
      </c>
    </row>
    <row r="2444" customFormat="false" ht="18" hidden="false" customHeight="true" outlineLevel="0" collapsed="false">
      <c r="A2444" s="9" t="s">
        <v>26</v>
      </c>
      <c r="B2444" s="9" t="n">
        <v>25</v>
      </c>
      <c r="C2444" s="11" t="n">
        <v>46016</v>
      </c>
      <c r="D2444" s="9" t="s">
        <v>190</v>
      </c>
      <c r="E2444" s="12" t="n">
        <v>12</v>
      </c>
      <c r="F2444" s="9" t="s">
        <v>28</v>
      </c>
      <c r="G2444" s="13" t="n">
        <v>200</v>
      </c>
      <c r="H2444" s="9" t="s">
        <v>35</v>
      </c>
      <c r="I2444" s="13" t="n">
        <v>4</v>
      </c>
      <c r="J2444" s="1" t="str">
        <f aca="false">IF(A2444="","", "SAMP-"&amp;A2444&amp;"-L"&amp;TEXT(B2444,"00")&amp;"-"&amp;TEXT(C2444,"yyyymmdd")&amp;"-"&amp;D2444&amp;"-H"&amp;TEXT(E2444,"00")&amp;"-"&amp;H2444)</f>
        <v>SAMP-KG01-L25-20251225-ORD-2025-00301-H12-Stone</v>
      </c>
      <c r="K2444" s="1" t="str">
        <f aca="false">IF(A2444="","",IF(AND(G2444&gt;=0,I2444&gt;=0,I2444&lt;=G2444),"OK","CHECK"))</f>
        <v>OK</v>
      </c>
      <c r="L2444" s="1" t="str">
        <f aca="false">IF(A2444="","",IF(AND(E2444&gt;=0,E2444&lt;=23),"OK","CHECK"))</f>
        <v>OK</v>
      </c>
      <c r="M2444" s="1" t="str">
        <f aca="false">IF(A2444="","",IF(AND(K2444="OK",L2444="OK"),"OK","CHECK"))</f>
        <v>OK</v>
      </c>
    </row>
    <row r="2445" customFormat="false" ht="18" hidden="false" customHeight="true" outlineLevel="0" collapsed="false">
      <c r="A2445" s="9" t="s">
        <v>26</v>
      </c>
      <c r="B2445" s="9" t="n">
        <v>25</v>
      </c>
      <c r="C2445" s="11" t="n">
        <v>46016</v>
      </c>
      <c r="D2445" s="9" t="s">
        <v>190</v>
      </c>
      <c r="E2445" s="12" t="n">
        <v>23</v>
      </c>
      <c r="F2445" s="9" t="s">
        <v>31</v>
      </c>
      <c r="G2445" s="13" t="n">
        <v>200</v>
      </c>
      <c r="H2445" s="9" t="s">
        <v>33</v>
      </c>
      <c r="I2445" s="13" t="n">
        <v>7</v>
      </c>
      <c r="J2445" s="1" t="str">
        <f aca="false">IF(A2445="","", "SAMP-"&amp;A2445&amp;"-L"&amp;TEXT(B2445,"00")&amp;"-"&amp;TEXT(C2445,"yyyymmdd")&amp;"-"&amp;D2445&amp;"-H"&amp;TEXT(E2445,"00")&amp;"-"&amp;H2445)</f>
        <v>SAMP-KG01-L25-20251225-ORD-2025-00301-H23-Distortion</v>
      </c>
      <c r="K2445" s="1" t="str">
        <f aca="false">IF(A2445="","",IF(AND(G2445&gt;=0,I2445&gt;=0,I2445&lt;=G2445),"OK","CHECK"))</f>
        <v>OK</v>
      </c>
      <c r="L2445" s="1" t="str">
        <f aca="false">IF(A2445="","",IF(AND(E2445&gt;=0,E2445&lt;=23),"OK","CHECK"))</f>
        <v>OK</v>
      </c>
      <c r="M2445" s="1" t="str">
        <f aca="false">IF(A2445="","",IF(AND(K2445="OK",L2445="OK"),"OK","CHECK"))</f>
        <v>OK</v>
      </c>
    </row>
    <row r="2446" customFormat="false" ht="18" hidden="false" customHeight="true" outlineLevel="0" collapsed="false">
      <c r="A2446" s="9" t="s">
        <v>26</v>
      </c>
      <c r="B2446" s="9" t="n">
        <v>25</v>
      </c>
      <c r="C2446" s="11" t="n">
        <v>46016</v>
      </c>
      <c r="D2446" s="9" t="s">
        <v>190</v>
      </c>
      <c r="E2446" s="12" t="n">
        <v>16</v>
      </c>
      <c r="F2446" s="9" t="s">
        <v>31</v>
      </c>
      <c r="G2446" s="13" t="n">
        <v>50</v>
      </c>
      <c r="H2446" s="9" t="s">
        <v>33</v>
      </c>
      <c r="I2446" s="13" t="n">
        <v>1</v>
      </c>
      <c r="J2446" s="1" t="str">
        <f aca="false">IF(A2446="","", "SAMP-"&amp;A2446&amp;"-L"&amp;TEXT(B2446,"00")&amp;"-"&amp;TEXT(C2446,"yyyymmdd")&amp;"-"&amp;D2446&amp;"-H"&amp;TEXT(E2446,"00")&amp;"-"&amp;H2446)</f>
        <v>SAMP-KG01-L25-20251225-ORD-2025-00301-H16-Distortion</v>
      </c>
      <c r="K2446" s="1" t="str">
        <f aca="false">IF(A2446="","",IF(AND(G2446&gt;=0,I2446&gt;=0,I2446&lt;=G2446),"OK","CHECK"))</f>
        <v>OK</v>
      </c>
      <c r="L2446" s="1" t="str">
        <f aca="false">IF(A2446="","",IF(AND(E2446&gt;=0,E2446&lt;=23),"OK","CHECK"))</f>
        <v>OK</v>
      </c>
      <c r="M2446" s="1" t="str">
        <f aca="false">IF(A2446="","",IF(AND(K2446="OK",L2446="OK"),"OK","CHECK"))</f>
        <v>OK</v>
      </c>
    </row>
    <row r="2447" customFormat="false" ht="18" hidden="false" customHeight="true" outlineLevel="0" collapsed="false">
      <c r="A2447" s="9" t="s">
        <v>26</v>
      </c>
      <c r="B2447" s="9" t="n">
        <v>25</v>
      </c>
      <c r="C2447" s="11" t="n">
        <v>46016</v>
      </c>
      <c r="D2447" s="9" t="s">
        <v>190</v>
      </c>
      <c r="E2447" s="12" t="n">
        <v>20</v>
      </c>
      <c r="F2447" s="9" t="s">
        <v>31</v>
      </c>
      <c r="G2447" s="13" t="n">
        <v>200</v>
      </c>
      <c r="H2447" s="9" t="s">
        <v>34</v>
      </c>
      <c r="I2447" s="13" t="n">
        <v>6</v>
      </c>
      <c r="J2447" s="1" t="str">
        <f aca="false">IF(A2447="","", "SAMP-"&amp;A2447&amp;"-L"&amp;TEXT(B2447,"00")&amp;"-"&amp;TEXT(C2447,"yyyymmdd")&amp;"-"&amp;D2447&amp;"-H"&amp;TEXT(E2447,"00")&amp;"-"&amp;H2447)</f>
        <v>SAMP-KG01-L25-20251225-ORD-2025-00301-H20-Thin Wall</v>
      </c>
      <c r="K2447" s="1" t="str">
        <f aca="false">IF(A2447="","",IF(AND(G2447&gt;=0,I2447&gt;=0,I2447&lt;=G2447),"OK","CHECK"))</f>
        <v>OK</v>
      </c>
      <c r="L2447" s="1" t="str">
        <f aca="false">IF(A2447="","",IF(AND(E2447&gt;=0,E2447&lt;=23),"OK","CHECK"))</f>
        <v>OK</v>
      </c>
      <c r="M2447" s="1" t="str">
        <f aca="false">IF(A2447="","",IF(AND(K2447="OK",L2447="OK"),"OK","CHECK"))</f>
        <v>OK</v>
      </c>
    </row>
    <row r="2448" customFormat="false" ht="18" hidden="false" customHeight="true" outlineLevel="0" collapsed="false">
      <c r="A2448" s="9" t="s">
        <v>26</v>
      </c>
      <c r="B2448" s="9" t="n">
        <v>25</v>
      </c>
      <c r="C2448" s="11" t="n">
        <v>46017</v>
      </c>
      <c r="D2448" s="9" t="s">
        <v>190</v>
      </c>
      <c r="E2448" s="12" t="n">
        <v>9</v>
      </c>
      <c r="F2448" s="9" t="s">
        <v>28</v>
      </c>
      <c r="G2448" s="13" t="n">
        <v>50</v>
      </c>
      <c r="H2448" s="9" t="s">
        <v>38</v>
      </c>
      <c r="I2448" s="13" t="n">
        <v>1</v>
      </c>
      <c r="J2448" s="1" t="str">
        <f aca="false">IF(A2448="","", "SAMP-"&amp;A2448&amp;"-L"&amp;TEXT(B2448,"00")&amp;"-"&amp;TEXT(C2448,"yyyymmdd")&amp;"-"&amp;D2448&amp;"-H"&amp;TEXT(E2448,"00")&amp;"-"&amp;H2448)</f>
        <v>SAMP-KG01-L25-20251226-ORD-2025-00301-H09-Crack</v>
      </c>
      <c r="K2448" s="1" t="str">
        <f aca="false">IF(A2448="","",IF(AND(G2448&gt;=0,I2448&gt;=0,I2448&lt;=G2448),"OK","CHECK"))</f>
        <v>OK</v>
      </c>
      <c r="L2448" s="1" t="str">
        <f aca="false">IF(A2448="","",IF(AND(E2448&gt;=0,E2448&lt;=23),"OK","CHECK"))</f>
        <v>OK</v>
      </c>
      <c r="M2448" s="1" t="str">
        <f aca="false">IF(A2448="","",IF(AND(K2448="OK",L2448="OK"),"OK","CHECK"))</f>
        <v>OK</v>
      </c>
    </row>
    <row r="2449" customFormat="false" ht="18" hidden="false" customHeight="true" outlineLevel="0" collapsed="false">
      <c r="A2449" s="9" t="s">
        <v>26</v>
      </c>
      <c r="B2449" s="9" t="n">
        <v>25</v>
      </c>
      <c r="C2449" s="11" t="n">
        <v>46017</v>
      </c>
      <c r="D2449" s="9" t="s">
        <v>190</v>
      </c>
      <c r="E2449" s="12" t="n">
        <v>12</v>
      </c>
      <c r="F2449" s="9" t="s">
        <v>28</v>
      </c>
      <c r="G2449" s="13" t="n">
        <v>50</v>
      </c>
      <c r="H2449" s="9" t="s">
        <v>35</v>
      </c>
      <c r="I2449" s="13" t="n">
        <v>2</v>
      </c>
      <c r="J2449" s="1" t="str">
        <f aca="false">IF(A2449="","", "SAMP-"&amp;A2449&amp;"-L"&amp;TEXT(B2449,"00")&amp;"-"&amp;TEXT(C2449,"yyyymmdd")&amp;"-"&amp;D2449&amp;"-H"&amp;TEXT(E2449,"00")&amp;"-"&amp;H2449)</f>
        <v>SAMP-KG01-L25-20251226-ORD-2025-00301-H12-Stone</v>
      </c>
      <c r="K2449" s="1" t="str">
        <f aca="false">IF(A2449="","",IF(AND(G2449&gt;=0,I2449&gt;=0,I2449&lt;=G2449),"OK","CHECK"))</f>
        <v>OK</v>
      </c>
      <c r="L2449" s="1" t="str">
        <f aca="false">IF(A2449="","",IF(AND(E2449&gt;=0,E2449&lt;=23),"OK","CHECK"))</f>
        <v>OK</v>
      </c>
      <c r="M2449" s="1" t="str">
        <f aca="false">IF(A2449="","",IF(AND(K2449="OK",L2449="OK"),"OK","CHECK"))</f>
        <v>OK</v>
      </c>
    </row>
    <row r="2450" customFormat="false" ht="18" hidden="false" customHeight="true" outlineLevel="0" collapsed="false">
      <c r="A2450" s="9" t="s">
        <v>26</v>
      </c>
      <c r="B2450" s="9" t="n">
        <v>25</v>
      </c>
      <c r="C2450" s="11" t="n">
        <v>46017</v>
      </c>
      <c r="D2450" s="9" t="s">
        <v>190</v>
      </c>
      <c r="E2450" s="12" t="n">
        <v>7</v>
      </c>
      <c r="F2450" s="9" t="s">
        <v>28</v>
      </c>
      <c r="G2450" s="13" t="n">
        <v>200</v>
      </c>
      <c r="H2450" s="9" t="s">
        <v>33</v>
      </c>
      <c r="I2450" s="13" t="n">
        <v>6</v>
      </c>
      <c r="J2450" s="1" t="str">
        <f aca="false">IF(A2450="","", "SAMP-"&amp;A2450&amp;"-L"&amp;TEXT(B2450,"00")&amp;"-"&amp;TEXT(C2450,"yyyymmdd")&amp;"-"&amp;D2450&amp;"-H"&amp;TEXT(E2450,"00")&amp;"-"&amp;H2450)</f>
        <v>SAMP-KG01-L25-20251226-ORD-2025-00301-H07-Distortion</v>
      </c>
      <c r="K2450" s="1" t="str">
        <f aca="false">IF(A2450="","",IF(AND(G2450&gt;=0,I2450&gt;=0,I2450&lt;=G2450),"OK","CHECK"))</f>
        <v>OK</v>
      </c>
      <c r="L2450" s="1" t="str">
        <f aca="false">IF(A2450="","",IF(AND(E2450&gt;=0,E2450&lt;=23),"OK","CHECK"))</f>
        <v>OK</v>
      </c>
      <c r="M2450" s="1" t="str">
        <f aca="false">IF(A2450="","",IF(AND(K2450="OK",L2450="OK"),"OK","CHECK"))</f>
        <v>OK</v>
      </c>
    </row>
    <row r="2451" customFormat="false" ht="18" hidden="false" customHeight="true" outlineLevel="0" collapsed="false">
      <c r="A2451" s="9" t="s">
        <v>26</v>
      </c>
      <c r="B2451" s="9" t="n">
        <v>25</v>
      </c>
      <c r="C2451" s="11" t="n">
        <v>46017</v>
      </c>
      <c r="D2451" s="9" t="s">
        <v>190</v>
      </c>
      <c r="E2451" s="12" t="n">
        <v>20</v>
      </c>
      <c r="F2451" s="9" t="s">
        <v>31</v>
      </c>
      <c r="G2451" s="13" t="n">
        <v>150</v>
      </c>
      <c r="H2451" s="9" t="s">
        <v>36</v>
      </c>
      <c r="I2451" s="13" t="n">
        <v>1</v>
      </c>
      <c r="J2451" s="1" t="str">
        <f aca="false">IF(A2451="","", "SAMP-"&amp;A2451&amp;"-L"&amp;TEXT(B2451,"00")&amp;"-"&amp;TEXT(C2451,"yyyymmdd")&amp;"-"&amp;D2451&amp;"-H"&amp;TEXT(E2451,"00")&amp;"-"&amp;H2451)</f>
        <v>SAMP-KG01-L25-20251226-ORD-2025-00301-H20-Blister</v>
      </c>
      <c r="K2451" s="1" t="str">
        <f aca="false">IF(A2451="","",IF(AND(G2451&gt;=0,I2451&gt;=0,I2451&lt;=G2451),"OK","CHECK"))</f>
        <v>OK</v>
      </c>
      <c r="L2451" s="1" t="str">
        <f aca="false">IF(A2451="","",IF(AND(E2451&gt;=0,E2451&lt;=23),"OK","CHECK"))</f>
        <v>OK</v>
      </c>
      <c r="M2451" s="1" t="str">
        <f aca="false">IF(A2451="","",IF(AND(K2451="OK",L2451="OK"),"OK","CHECK"))</f>
        <v>OK</v>
      </c>
    </row>
    <row r="2452" customFormat="false" ht="18" hidden="false" customHeight="true" outlineLevel="0" collapsed="false">
      <c r="A2452" s="9" t="s">
        <v>26</v>
      </c>
      <c r="B2452" s="9" t="n">
        <v>25</v>
      </c>
      <c r="C2452" s="11" t="n">
        <v>46017</v>
      </c>
      <c r="D2452" s="9" t="s">
        <v>190</v>
      </c>
      <c r="E2452" s="12" t="n">
        <v>16</v>
      </c>
      <c r="F2452" s="9" t="s">
        <v>31</v>
      </c>
      <c r="G2452" s="13" t="n">
        <v>200</v>
      </c>
      <c r="H2452" s="9" t="s">
        <v>38</v>
      </c>
      <c r="I2452" s="13" t="n">
        <v>0</v>
      </c>
      <c r="J2452" s="1" t="str">
        <f aca="false">IF(A2452="","", "SAMP-"&amp;A2452&amp;"-L"&amp;TEXT(B2452,"00")&amp;"-"&amp;TEXT(C2452,"yyyymmdd")&amp;"-"&amp;D2452&amp;"-H"&amp;TEXT(E2452,"00")&amp;"-"&amp;H2452)</f>
        <v>SAMP-KG01-L25-20251226-ORD-2025-00301-H16-Crack</v>
      </c>
      <c r="K2452" s="1" t="str">
        <f aca="false">IF(A2452="","",IF(AND(G2452&gt;=0,I2452&gt;=0,I2452&lt;=G2452),"OK","CHECK"))</f>
        <v>OK</v>
      </c>
      <c r="L2452" s="1" t="str">
        <f aca="false">IF(A2452="","",IF(AND(E2452&gt;=0,E2452&lt;=23),"OK","CHECK"))</f>
        <v>OK</v>
      </c>
      <c r="M2452" s="1" t="str">
        <f aca="false">IF(A2452="","",IF(AND(K2452="OK",L2452="OK"),"OK","CHECK"))</f>
        <v>OK</v>
      </c>
    </row>
    <row r="2453" customFormat="false" ht="18" hidden="false" customHeight="true" outlineLevel="0" collapsed="false">
      <c r="A2453" s="9" t="s">
        <v>26</v>
      </c>
      <c r="B2453" s="9" t="n">
        <v>25</v>
      </c>
      <c r="C2453" s="11" t="n">
        <v>46017</v>
      </c>
      <c r="D2453" s="9" t="s">
        <v>190</v>
      </c>
      <c r="E2453" s="12" t="n">
        <v>23</v>
      </c>
      <c r="F2453" s="9" t="s">
        <v>31</v>
      </c>
      <c r="G2453" s="13" t="n">
        <v>150</v>
      </c>
      <c r="H2453" s="9" t="s">
        <v>35</v>
      </c>
      <c r="I2453" s="13" t="n">
        <v>4</v>
      </c>
      <c r="J2453" s="1" t="str">
        <f aca="false">IF(A2453="","", "SAMP-"&amp;A2453&amp;"-L"&amp;TEXT(B2453,"00")&amp;"-"&amp;TEXT(C2453,"yyyymmdd")&amp;"-"&amp;D2453&amp;"-H"&amp;TEXT(E2453,"00")&amp;"-"&amp;H2453)</f>
        <v>SAMP-KG01-L25-20251226-ORD-2025-00301-H23-Stone</v>
      </c>
      <c r="K2453" s="1" t="str">
        <f aca="false">IF(A2453="","",IF(AND(G2453&gt;=0,I2453&gt;=0,I2453&lt;=G2453),"OK","CHECK"))</f>
        <v>OK</v>
      </c>
      <c r="L2453" s="1" t="str">
        <f aca="false">IF(A2453="","",IF(AND(E2453&gt;=0,E2453&lt;=23),"OK","CHECK"))</f>
        <v>OK</v>
      </c>
      <c r="M2453" s="1" t="str">
        <f aca="false">IF(A2453="","",IF(AND(K2453="OK",L2453="OK"),"OK","CHECK"))</f>
        <v>OK</v>
      </c>
    </row>
    <row r="2454" customFormat="false" ht="18" hidden="false" customHeight="true" outlineLevel="0" collapsed="false">
      <c r="A2454" s="9" t="s">
        <v>26</v>
      </c>
      <c r="B2454" s="9" t="n">
        <v>25</v>
      </c>
      <c r="C2454" s="11" t="n">
        <v>46018</v>
      </c>
      <c r="D2454" s="9" t="s">
        <v>190</v>
      </c>
      <c r="E2454" s="12" t="n">
        <v>9</v>
      </c>
      <c r="F2454" s="9" t="s">
        <v>28</v>
      </c>
      <c r="G2454" s="13" t="n">
        <v>50</v>
      </c>
      <c r="H2454" s="9" t="s">
        <v>38</v>
      </c>
      <c r="I2454" s="13" t="n">
        <v>0</v>
      </c>
      <c r="J2454" s="1" t="str">
        <f aca="false">IF(A2454="","", "SAMP-"&amp;A2454&amp;"-L"&amp;TEXT(B2454,"00")&amp;"-"&amp;TEXT(C2454,"yyyymmdd")&amp;"-"&amp;D2454&amp;"-H"&amp;TEXT(E2454,"00")&amp;"-"&amp;H2454)</f>
        <v>SAMP-KG01-L25-20251227-ORD-2025-00301-H09-Crack</v>
      </c>
      <c r="K2454" s="1" t="str">
        <f aca="false">IF(A2454="","",IF(AND(G2454&gt;=0,I2454&gt;=0,I2454&lt;=G2454),"OK","CHECK"))</f>
        <v>OK</v>
      </c>
      <c r="L2454" s="1" t="str">
        <f aca="false">IF(A2454="","",IF(AND(E2454&gt;=0,E2454&lt;=23),"OK","CHECK"))</f>
        <v>OK</v>
      </c>
      <c r="M2454" s="1" t="str">
        <f aca="false">IF(A2454="","",IF(AND(K2454="OK",L2454="OK"),"OK","CHECK"))</f>
        <v>OK</v>
      </c>
    </row>
    <row r="2455" customFormat="false" ht="18" hidden="false" customHeight="true" outlineLevel="0" collapsed="false">
      <c r="A2455" s="9" t="s">
        <v>26</v>
      </c>
      <c r="B2455" s="9" t="n">
        <v>25</v>
      </c>
      <c r="C2455" s="11" t="n">
        <v>46018</v>
      </c>
      <c r="D2455" s="9" t="s">
        <v>190</v>
      </c>
      <c r="E2455" s="12" t="n">
        <v>7</v>
      </c>
      <c r="F2455" s="9" t="s">
        <v>28</v>
      </c>
      <c r="G2455" s="13" t="n">
        <v>200</v>
      </c>
      <c r="H2455" s="9" t="s">
        <v>30</v>
      </c>
      <c r="I2455" s="13" t="n">
        <v>5</v>
      </c>
      <c r="J2455" s="1" t="str">
        <f aca="false">IF(A2455="","", "SAMP-"&amp;A2455&amp;"-L"&amp;TEXT(B2455,"00")&amp;"-"&amp;TEXT(C2455,"yyyymmdd")&amp;"-"&amp;D2455&amp;"-H"&amp;TEXT(E2455,"00")&amp;"-"&amp;H2455)</f>
        <v>SAMP-KG01-L25-20251227-ORD-2025-00301-H07-Overpress</v>
      </c>
      <c r="K2455" s="1" t="str">
        <f aca="false">IF(A2455="","",IF(AND(G2455&gt;=0,I2455&gt;=0,I2455&lt;=G2455),"OK","CHECK"))</f>
        <v>OK</v>
      </c>
      <c r="L2455" s="1" t="str">
        <f aca="false">IF(A2455="","",IF(AND(E2455&gt;=0,E2455&lt;=23),"OK","CHECK"))</f>
        <v>OK</v>
      </c>
      <c r="M2455" s="1" t="str">
        <f aca="false">IF(A2455="","",IF(AND(K2455="OK",L2455="OK"),"OK","CHECK"))</f>
        <v>OK</v>
      </c>
    </row>
    <row r="2456" customFormat="false" ht="18" hidden="false" customHeight="true" outlineLevel="0" collapsed="false">
      <c r="A2456" s="9" t="s">
        <v>26</v>
      </c>
      <c r="B2456" s="9" t="n">
        <v>25</v>
      </c>
      <c r="C2456" s="11" t="n">
        <v>46018</v>
      </c>
      <c r="D2456" s="9" t="s">
        <v>190</v>
      </c>
      <c r="E2456" s="12" t="n">
        <v>12</v>
      </c>
      <c r="F2456" s="9" t="s">
        <v>28</v>
      </c>
      <c r="G2456" s="13" t="n">
        <v>150</v>
      </c>
      <c r="H2456" s="9" t="s">
        <v>34</v>
      </c>
      <c r="I2456" s="13" t="n">
        <v>1</v>
      </c>
      <c r="J2456" s="1" t="str">
        <f aca="false">IF(A2456="","", "SAMP-"&amp;A2456&amp;"-L"&amp;TEXT(B2456,"00")&amp;"-"&amp;TEXT(C2456,"yyyymmdd")&amp;"-"&amp;D2456&amp;"-H"&amp;TEXT(E2456,"00")&amp;"-"&amp;H2456)</f>
        <v>SAMP-KG01-L25-20251227-ORD-2025-00301-H12-Thin Wall</v>
      </c>
      <c r="K2456" s="1" t="str">
        <f aca="false">IF(A2456="","",IF(AND(G2456&gt;=0,I2456&gt;=0,I2456&lt;=G2456),"OK","CHECK"))</f>
        <v>OK</v>
      </c>
      <c r="L2456" s="1" t="str">
        <f aca="false">IF(A2456="","",IF(AND(E2456&gt;=0,E2456&lt;=23),"OK","CHECK"))</f>
        <v>OK</v>
      </c>
      <c r="M2456" s="1" t="str">
        <f aca="false">IF(A2456="","",IF(AND(K2456="OK",L2456="OK"),"OK","CHECK"))</f>
        <v>OK</v>
      </c>
    </row>
    <row r="2457" customFormat="false" ht="18" hidden="false" customHeight="true" outlineLevel="0" collapsed="false">
      <c r="A2457" s="9" t="s">
        <v>26</v>
      </c>
      <c r="B2457" s="9" t="n">
        <v>25</v>
      </c>
      <c r="C2457" s="11" t="n">
        <v>46018</v>
      </c>
      <c r="D2457" s="9" t="s">
        <v>191</v>
      </c>
      <c r="E2457" s="12" t="n">
        <v>20</v>
      </c>
      <c r="F2457" s="9" t="s">
        <v>31</v>
      </c>
      <c r="G2457" s="13" t="n">
        <v>100</v>
      </c>
      <c r="H2457" s="9" t="s">
        <v>29</v>
      </c>
      <c r="I2457" s="13" t="n">
        <v>4</v>
      </c>
      <c r="J2457" s="1" t="str">
        <f aca="false">IF(A2457="","", "SAMP-"&amp;A2457&amp;"-L"&amp;TEXT(B2457,"00")&amp;"-"&amp;TEXT(C2457,"yyyymmdd")&amp;"-"&amp;D2457&amp;"-H"&amp;TEXT(E2457,"00")&amp;"-"&amp;H2457)</f>
        <v>SAMP-KG01-L25-20251227-ORD-2025-00302-H20-Choke Neck</v>
      </c>
      <c r="K2457" s="1" t="str">
        <f aca="false">IF(A2457="","",IF(AND(G2457&gt;=0,I2457&gt;=0,I2457&lt;=G2457),"OK","CHECK"))</f>
        <v>OK</v>
      </c>
      <c r="L2457" s="1" t="str">
        <f aca="false">IF(A2457="","",IF(AND(E2457&gt;=0,E2457&lt;=23),"OK","CHECK"))</f>
        <v>OK</v>
      </c>
      <c r="M2457" s="1" t="str">
        <f aca="false">IF(A2457="","",IF(AND(K2457="OK",L2457="OK"),"OK","CHECK"))</f>
        <v>OK</v>
      </c>
    </row>
    <row r="2458" customFormat="false" ht="18" hidden="false" customHeight="true" outlineLevel="0" collapsed="false">
      <c r="A2458" s="9" t="s">
        <v>26</v>
      </c>
      <c r="B2458" s="9" t="n">
        <v>25</v>
      </c>
      <c r="C2458" s="11" t="n">
        <v>46018</v>
      </c>
      <c r="D2458" s="9" t="s">
        <v>191</v>
      </c>
      <c r="E2458" s="12" t="n">
        <v>23</v>
      </c>
      <c r="F2458" s="9" t="s">
        <v>31</v>
      </c>
      <c r="G2458" s="13" t="n">
        <v>200</v>
      </c>
      <c r="H2458" s="9" t="s">
        <v>36</v>
      </c>
      <c r="I2458" s="13" t="n">
        <v>6</v>
      </c>
      <c r="J2458" s="1" t="str">
        <f aca="false">IF(A2458="","", "SAMP-"&amp;A2458&amp;"-L"&amp;TEXT(B2458,"00")&amp;"-"&amp;TEXT(C2458,"yyyymmdd")&amp;"-"&amp;D2458&amp;"-H"&amp;TEXT(E2458,"00")&amp;"-"&amp;H2458)</f>
        <v>SAMP-KG01-L25-20251227-ORD-2025-00302-H23-Blister</v>
      </c>
      <c r="K2458" s="1" t="str">
        <f aca="false">IF(A2458="","",IF(AND(G2458&gt;=0,I2458&gt;=0,I2458&lt;=G2458),"OK","CHECK"))</f>
        <v>OK</v>
      </c>
      <c r="L2458" s="1" t="str">
        <f aca="false">IF(A2458="","",IF(AND(E2458&gt;=0,E2458&lt;=23),"OK","CHECK"))</f>
        <v>OK</v>
      </c>
      <c r="M2458" s="1" t="str">
        <f aca="false">IF(A2458="","",IF(AND(K2458="OK",L2458="OK"),"OK","CHECK"))</f>
        <v>OK</v>
      </c>
    </row>
    <row r="2459" customFormat="false" ht="18" hidden="false" customHeight="true" outlineLevel="0" collapsed="false">
      <c r="A2459" s="9" t="s">
        <v>26</v>
      </c>
      <c r="B2459" s="9" t="n">
        <v>25</v>
      </c>
      <c r="C2459" s="11" t="n">
        <v>46018</v>
      </c>
      <c r="D2459" s="9" t="s">
        <v>191</v>
      </c>
      <c r="E2459" s="12" t="n">
        <v>16</v>
      </c>
      <c r="F2459" s="9" t="s">
        <v>31</v>
      </c>
      <c r="G2459" s="13" t="n">
        <v>100</v>
      </c>
      <c r="H2459" s="9" t="s">
        <v>35</v>
      </c>
      <c r="I2459" s="13" t="n">
        <v>4</v>
      </c>
      <c r="J2459" s="1" t="str">
        <f aca="false">IF(A2459="","", "SAMP-"&amp;A2459&amp;"-L"&amp;TEXT(B2459,"00")&amp;"-"&amp;TEXT(C2459,"yyyymmdd")&amp;"-"&amp;D2459&amp;"-H"&amp;TEXT(E2459,"00")&amp;"-"&amp;H2459)</f>
        <v>SAMP-KG01-L25-20251227-ORD-2025-00302-H16-Stone</v>
      </c>
      <c r="K2459" s="1" t="str">
        <f aca="false">IF(A2459="","",IF(AND(G2459&gt;=0,I2459&gt;=0,I2459&lt;=G2459),"OK","CHECK"))</f>
        <v>OK</v>
      </c>
      <c r="L2459" s="1" t="str">
        <f aca="false">IF(A2459="","",IF(AND(E2459&gt;=0,E2459&lt;=23),"OK","CHECK"))</f>
        <v>OK</v>
      </c>
      <c r="M2459" s="1" t="str">
        <f aca="false">IF(A2459="","",IF(AND(K2459="OK",L2459="OK"),"OK","CHECK"))</f>
        <v>OK</v>
      </c>
    </row>
    <row r="2460" customFormat="false" ht="18" hidden="false" customHeight="true" outlineLevel="0" collapsed="false">
      <c r="A2460" s="9" t="s">
        <v>26</v>
      </c>
      <c r="B2460" s="9" t="n">
        <v>25</v>
      </c>
      <c r="C2460" s="11" t="n">
        <v>46019</v>
      </c>
      <c r="D2460" s="9" t="s">
        <v>191</v>
      </c>
      <c r="E2460" s="12" t="n">
        <v>9</v>
      </c>
      <c r="F2460" s="9" t="s">
        <v>28</v>
      </c>
      <c r="G2460" s="13" t="n">
        <v>50</v>
      </c>
      <c r="H2460" s="9" t="s">
        <v>29</v>
      </c>
      <c r="I2460" s="13" t="n">
        <v>1</v>
      </c>
      <c r="J2460" s="1" t="str">
        <f aca="false">IF(A2460="","", "SAMP-"&amp;A2460&amp;"-L"&amp;TEXT(B2460,"00")&amp;"-"&amp;TEXT(C2460,"yyyymmdd")&amp;"-"&amp;D2460&amp;"-H"&amp;TEXT(E2460,"00")&amp;"-"&amp;H2460)</f>
        <v>SAMP-KG01-L25-20251228-ORD-2025-00302-H09-Choke Neck</v>
      </c>
      <c r="K2460" s="1" t="str">
        <f aca="false">IF(A2460="","",IF(AND(G2460&gt;=0,I2460&gt;=0,I2460&lt;=G2460),"OK","CHECK"))</f>
        <v>OK</v>
      </c>
      <c r="L2460" s="1" t="str">
        <f aca="false">IF(A2460="","",IF(AND(E2460&gt;=0,E2460&lt;=23),"OK","CHECK"))</f>
        <v>OK</v>
      </c>
      <c r="M2460" s="1" t="str">
        <f aca="false">IF(A2460="","",IF(AND(K2460="OK",L2460="OK"),"OK","CHECK"))</f>
        <v>OK</v>
      </c>
    </row>
    <row r="2461" customFormat="false" ht="18" hidden="false" customHeight="true" outlineLevel="0" collapsed="false">
      <c r="A2461" s="9" t="s">
        <v>26</v>
      </c>
      <c r="B2461" s="9" t="n">
        <v>25</v>
      </c>
      <c r="C2461" s="11" t="n">
        <v>46019</v>
      </c>
      <c r="D2461" s="9" t="s">
        <v>191</v>
      </c>
      <c r="E2461" s="12" t="n">
        <v>7</v>
      </c>
      <c r="F2461" s="9" t="s">
        <v>28</v>
      </c>
      <c r="G2461" s="13" t="n">
        <v>150</v>
      </c>
      <c r="H2461" s="9" t="s">
        <v>30</v>
      </c>
      <c r="I2461" s="13" t="n">
        <v>6</v>
      </c>
      <c r="J2461" s="1" t="str">
        <f aca="false">IF(A2461="","", "SAMP-"&amp;A2461&amp;"-L"&amp;TEXT(B2461,"00")&amp;"-"&amp;TEXT(C2461,"yyyymmdd")&amp;"-"&amp;D2461&amp;"-H"&amp;TEXT(E2461,"00")&amp;"-"&amp;H2461)</f>
        <v>SAMP-KG01-L25-20251228-ORD-2025-00302-H07-Overpress</v>
      </c>
      <c r="K2461" s="1" t="str">
        <f aca="false">IF(A2461="","",IF(AND(G2461&gt;=0,I2461&gt;=0,I2461&lt;=G2461),"OK","CHECK"))</f>
        <v>OK</v>
      </c>
      <c r="L2461" s="1" t="str">
        <f aca="false">IF(A2461="","",IF(AND(E2461&gt;=0,E2461&lt;=23),"OK","CHECK"))</f>
        <v>OK</v>
      </c>
      <c r="M2461" s="1" t="str">
        <f aca="false">IF(A2461="","",IF(AND(K2461="OK",L2461="OK"),"OK","CHECK"))</f>
        <v>OK</v>
      </c>
    </row>
    <row r="2462" customFormat="false" ht="18" hidden="false" customHeight="true" outlineLevel="0" collapsed="false">
      <c r="A2462" s="9" t="s">
        <v>26</v>
      </c>
      <c r="B2462" s="9" t="n">
        <v>25</v>
      </c>
      <c r="C2462" s="11" t="n">
        <v>46019</v>
      </c>
      <c r="D2462" s="9" t="s">
        <v>191</v>
      </c>
      <c r="E2462" s="12" t="n">
        <v>12</v>
      </c>
      <c r="F2462" s="9" t="s">
        <v>28</v>
      </c>
      <c r="G2462" s="13" t="n">
        <v>50</v>
      </c>
      <c r="H2462" s="9" t="s">
        <v>30</v>
      </c>
      <c r="I2462" s="13" t="n">
        <v>0</v>
      </c>
      <c r="J2462" s="1" t="str">
        <f aca="false">IF(A2462="","", "SAMP-"&amp;A2462&amp;"-L"&amp;TEXT(B2462,"00")&amp;"-"&amp;TEXT(C2462,"yyyymmdd")&amp;"-"&amp;D2462&amp;"-H"&amp;TEXT(E2462,"00")&amp;"-"&amp;H2462)</f>
        <v>SAMP-KG01-L25-20251228-ORD-2025-00302-H12-Overpress</v>
      </c>
      <c r="K2462" s="1" t="str">
        <f aca="false">IF(A2462="","",IF(AND(G2462&gt;=0,I2462&gt;=0,I2462&lt;=G2462),"OK","CHECK"))</f>
        <v>OK</v>
      </c>
      <c r="L2462" s="1" t="str">
        <f aca="false">IF(A2462="","",IF(AND(E2462&gt;=0,E2462&lt;=23),"OK","CHECK"))</f>
        <v>OK</v>
      </c>
      <c r="M2462" s="1" t="str">
        <f aca="false">IF(A2462="","",IF(AND(K2462="OK",L2462="OK"),"OK","CHECK"))</f>
        <v>OK</v>
      </c>
    </row>
    <row r="2463" customFormat="false" ht="18" hidden="false" customHeight="true" outlineLevel="0" collapsed="false">
      <c r="A2463" s="9" t="s">
        <v>26</v>
      </c>
      <c r="B2463" s="9" t="n">
        <v>25</v>
      </c>
      <c r="C2463" s="11" t="n">
        <v>46019</v>
      </c>
      <c r="D2463" s="9" t="s">
        <v>191</v>
      </c>
      <c r="E2463" s="12" t="n">
        <v>23</v>
      </c>
      <c r="F2463" s="9" t="s">
        <v>31</v>
      </c>
      <c r="G2463" s="13" t="n">
        <v>100</v>
      </c>
      <c r="H2463" s="9" t="s">
        <v>29</v>
      </c>
      <c r="I2463" s="13" t="n">
        <v>3</v>
      </c>
      <c r="J2463" s="1" t="str">
        <f aca="false">IF(A2463="","", "SAMP-"&amp;A2463&amp;"-L"&amp;TEXT(B2463,"00")&amp;"-"&amp;TEXT(C2463,"yyyymmdd")&amp;"-"&amp;D2463&amp;"-H"&amp;TEXT(E2463,"00")&amp;"-"&amp;H2463)</f>
        <v>SAMP-KG01-L25-20251228-ORD-2025-00302-H23-Choke Neck</v>
      </c>
      <c r="K2463" s="1" t="str">
        <f aca="false">IF(A2463="","",IF(AND(G2463&gt;=0,I2463&gt;=0,I2463&lt;=G2463),"OK","CHECK"))</f>
        <v>OK</v>
      </c>
      <c r="L2463" s="1" t="str">
        <f aca="false">IF(A2463="","",IF(AND(E2463&gt;=0,E2463&lt;=23),"OK","CHECK"))</f>
        <v>OK</v>
      </c>
      <c r="M2463" s="1" t="str">
        <f aca="false">IF(A2463="","",IF(AND(K2463="OK",L2463="OK"),"OK","CHECK"))</f>
        <v>OK</v>
      </c>
    </row>
    <row r="2464" customFormat="false" ht="18" hidden="false" customHeight="true" outlineLevel="0" collapsed="false">
      <c r="A2464" s="9" t="s">
        <v>26</v>
      </c>
      <c r="B2464" s="9" t="n">
        <v>25</v>
      </c>
      <c r="C2464" s="11" t="n">
        <v>46019</v>
      </c>
      <c r="D2464" s="9" t="s">
        <v>191</v>
      </c>
      <c r="E2464" s="12" t="n">
        <v>20</v>
      </c>
      <c r="F2464" s="9" t="s">
        <v>31</v>
      </c>
      <c r="G2464" s="13" t="n">
        <v>100</v>
      </c>
      <c r="H2464" s="9" t="s">
        <v>30</v>
      </c>
      <c r="I2464" s="13" t="n">
        <v>2</v>
      </c>
      <c r="J2464" s="1" t="str">
        <f aca="false">IF(A2464="","", "SAMP-"&amp;A2464&amp;"-L"&amp;TEXT(B2464,"00")&amp;"-"&amp;TEXT(C2464,"yyyymmdd")&amp;"-"&amp;D2464&amp;"-H"&amp;TEXT(E2464,"00")&amp;"-"&amp;H2464)</f>
        <v>SAMP-KG01-L25-20251228-ORD-2025-00302-H20-Overpress</v>
      </c>
      <c r="K2464" s="1" t="str">
        <f aca="false">IF(A2464="","",IF(AND(G2464&gt;=0,I2464&gt;=0,I2464&lt;=G2464),"OK","CHECK"))</f>
        <v>OK</v>
      </c>
      <c r="L2464" s="1" t="str">
        <f aca="false">IF(A2464="","",IF(AND(E2464&gt;=0,E2464&lt;=23),"OK","CHECK"))</f>
        <v>OK</v>
      </c>
      <c r="M2464" s="1" t="str">
        <f aca="false">IF(A2464="","",IF(AND(K2464="OK",L2464="OK"),"OK","CHECK"))</f>
        <v>OK</v>
      </c>
    </row>
    <row r="2465" customFormat="false" ht="18" hidden="false" customHeight="true" outlineLevel="0" collapsed="false">
      <c r="A2465" s="9" t="s">
        <v>26</v>
      </c>
      <c r="B2465" s="9" t="n">
        <v>25</v>
      </c>
      <c r="C2465" s="11" t="n">
        <v>46019</v>
      </c>
      <c r="D2465" s="9" t="s">
        <v>191</v>
      </c>
      <c r="E2465" s="12" t="n">
        <v>16</v>
      </c>
      <c r="F2465" s="9" t="s">
        <v>31</v>
      </c>
      <c r="G2465" s="13" t="n">
        <v>200</v>
      </c>
      <c r="H2465" s="9" t="s">
        <v>34</v>
      </c>
      <c r="I2465" s="13" t="n">
        <v>1</v>
      </c>
      <c r="J2465" s="1" t="str">
        <f aca="false">IF(A2465="","", "SAMP-"&amp;A2465&amp;"-L"&amp;TEXT(B2465,"00")&amp;"-"&amp;TEXT(C2465,"yyyymmdd")&amp;"-"&amp;D2465&amp;"-H"&amp;TEXT(E2465,"00")&amp;"-"&amp;H2465)</f>
        <v>SAMP-KG01-L25-20251228-ORD-2025-00302-H16-Thin Wall</v>
      </c>
      <c r="K2465" s="1" t="str">
        <f aca="false">IF(A2465="","",IF(AND(G2465&gt;=0,I2465&gt;=0,I2465&lt;=G2465),"OK","CHECK"))</f>
        <v>OK</v>
      </c>
      <c r="L2465" s="1" t="str">
        <f aca="false">IF(A2465="","",IF(AND(E2465&gt;=0,E2465&lt;=23),"OK","CHECK"))</f>
        <v>OK</v>
      </c>
      <c r="M2465" s="1" t="str">
        <f aca="false">IF(A2465="","",IF(AND(K2465="OK",L2465="OK"),"OK","CHECK"))</f>
        <v>OK</v>
      </c>
    </row>
    <row r="2466" customFormat="false" ht="18" hidden="false" customHeight="true" outlineLevel="0" collapsed="false">
      <c r="A2466" s="9" t="s">
        <v>26</v>
      </c>
      <c r="B2466" s="9" t="n">
        <v>25</v>
      </c>
      <c r="C2466" s="11" t="n">
        <v>46020</v>
      </c>
      <c r="D2466" s="9" t="s">
        <v>191</v>
      </c>
      <c r="E2466" s="12" t="n">
        <v>9</v>
      </c>
      <c r="F2466" s="9" t="s">
        <v>28</v>
      </c>
      <c r="G2466" s="13" t="n">
        <v>50</v>
      </c>
      <c r="H2466" s="9" t="s">
        <v>33</v>
      </c>
      <c r="I2466" s="13" t="n">
        <v>0</v>
      </c>
      <c r="J2466" s="1" t="str">
        <f aca="false">IF(A2466="","", "SAMP-"&amp;A2466&amp;"-L"&amp;TEXT(B2466,"00")&amp;"-"&amp;TEXT(C2466,"yyyymmdd")&amp;"-"&amp;D2466&amp;"-H"&amp;TEXT(E2466,"00")&amp;"-"&amp;H2466)</f>
        <v>SAMP-KG01-L25-20251229-ORD-2025-00302-H09-Distortion</v>
      </c>
      <c r="K2466" s="1" t="str">
        <f aca="false">IF(A2466="","",IF(AND(G2466&gt;=0,I2466&gt;=0,I2466&lt;=G2466),"OK","CHECK"))</f>
        <v>OK</v>
      </c>
      <c r="L2466" s="1" t="str">
        <f aca="false">IF(A2466="","",IF(AND(E2466&gt;=0,E2466&lt;=23),"OK","CHECK"))</f>
        <v>OK</v>
      </c>
      <c r="M2466" s="1" t="str">
        <f aca="false">IF(A2466="","",IF(AND(K2466="OK",L2466="OK"),"OK","CHECK"))</f>
        <v>OK</v>
      </c>
    </row>
    <row r="2467" customFormat="false" ht="18" hidden="false" customHeight="true" outlineLevel="0" collapsed="false">
      <c r="A2467" s="9" t="s">
        <v>26</v>
      </c>
      <c r="B2467" s="9" t="n">
        <v>25</v>
      </c>
      <c r="C2467" s="11" t="n">
        <v>46020</v>
      </c>
      <c r="D2467" s="9" t="s">
        <v>191</v>
      </c>
      <c r="E2467" s="12" t="n">
        <v>12</v>
      </c>
      <c r="F2467" s="9" t="s">
        <v>28</v>
      </c>
      <c r="G2467" s="13" t="n">
        <v>200</v>
      </c>
      <c r="H2467" s="9" t="s">
        <v>36</v>
      </c>
      <c r="I2467" s="13" t="n">
        <v>1</v>
      </c>
      <c r="J2467" s="1" t="str">
        <f aca="false">IF(A2467="","", "SAMP-"&amp;A2467&amp;"-L"&amp;TEXT(B2467,"00")&amp;"-"&amp;TEXT(C2467,"yyyymmdd")&amp;"-"&amp;D2467&amp;"-H"&amp;TEXT(E2467,"00")&amp;"-"&amp;H2467)</f>
        <v>SAMP-KG01-L25-20251229-ORD-2025-00302-H12-Blister</v>
      </c>
      <c r="K2467" s="1" t="str">
        <f aca="false">IF(A2467="","",IF(AND(G2467&gt;=0,I2467&gt;=0,I2467&lt;=G2467),"OK","CHECK"))</f>
        <v>OK</v>
      </c>
      <c r="L2467" s="1" t="str">
        <f aca="false">IF(A2467="","",IF(AND(E2467&gt;=0,E2467&lt;=23),"OK","CHECK"))</f>
        <v>OK</v>
      </c>
      <c r="M2467" s="1" t="str">
        <f aca="false">IF(A2467="","",IF(AND(K2467="OK",L2467="OK"),"OK","CHECK"))</f>
        <v>OK</v>
      </c>
    </row>
    <row r="2468" customFormat="false" ht="18" hidden="false" customHeight="true" outlineLevel="0" collapsed="false">
      <c r="A2468" s="9" t="s">
        <v>26</v>
      </c>
      <c r="B2468" s="9" t="n">
        <v>25</v>
      </c>
      <c r="C2468" s="11" t="n">
        <v>46020</v>
      </c>
      <c r="D2468" s="9" t="s">
        <v>191</v>
      </c>
      <c r="E2468" s="12" t="n">
        <v>7</v>
      </c>
      <c r="F2468" s="9" t="s">
        <v>28</v>
      </c>
      <c r="G2468" s="13" t="n">
        <v>200</v>
      </c>
      <c r="H2468" s="9" t="s">
        <v>33</v>
      </c>
      <c r="I2468" s="13" t="n">
        <v>0</v>
      </c>
      <c r="J2468" s="1" t="str">
        <f aca="false">IF(A2468="","", "SAMP-"&amp;A2468&amp;"-L"&amp;TEXT(B2468,"00")&amp;"-"&amp;TEXT(C2468,"yyyymmdd")&amp;"-"&amp;D2468&amp;"-H"&amp;TEXT(E2468,"00")&amp;"-"&amp;H2468)</f>
        <v>SAMP-KG01-L25-20251229-ORD-2025-00302-H07-Distortion</v>
      </c>
      <c r="K2468" s="1" t="str">
        <f aca="false">IF(A2468="","",IF(AND(G2468&gt;=0,I2468&gt;=0,I2468&lt;=G2468),"OK","CHECK"))</f>
        <v>OK</v>
      </c>
      <c r="L2468" s="1" t="str">
        <f aca="false">IF(A2468="","",IF(AND(E2468&gt;=0,E2468&lt;=23),"OK","CHECK"))</f>
        <v>OK</v>
      </c>
      <c r="M2468" s="1" t="str">
        <f aca="false">IF(A2468="","",IF(AND(K2468="OK",L2468="OK"),"OK","CHECK"))</f>
        <v>OK</v>
      </c>
    </row>
    <row r="2469" customFormat="false" ht="18" hidden="false" customHeight="true" outlineLevel="0" collapsed="false">
      <c r="A2469" s="9" t="s">
        <v>26</v>
      </c>
      <c r="B2469" s="9" t="n">
        <v>25</v>
      </c>
      <c r="C2469" s="11" t="n">
        <v>46020</v>
      </c>
      <c r="D2469" s="9" t="s">
        <v>192</v>
      </c>
      <c r="E2469" s="12" t="n">
        <v>16</v>
      </c>
      <c r="F2469" s="9" t="s">
        <v>31</v>
      </c>
      <c r="G2469" s="13" t="n">
        <v>200</v>
      </c>
      <c r="H2469" s="9" t="s">
        <v>33</v>
      </c>
      <c r="I2469" s="13" t="n">
        <v>4</v>
      </c>
      <c r="J2469" s="1" t="str">
        <f aca="false">IF(A2469="","", "SAMP-"&amp;A2469&amp;"-L"&amp;TEXT(B2469,"00")&amp;"-"&amp;TEXT(C2469,"yyyymmdd")&amp;"-"&amp;D2469&amp;"-H"&amp;TEXT(E2469,"00")&amp;"-"&amp;H2469)</f>
        <v>SAMP-KG01-L25-20251229-ORD-2025-00303-H16-Distortion</v>
      </c>
      <c r="K2469" s="1" t="str">
        <f aca="false">IF(A2469="","",IF(AND(G2469&gt;=0,I2469&gt;=0,I2469&lt;=G2469),"OK","CHECK"))</f>
        <v>OK</v>
      </c>
      <c r="L2469" s="1" t="str">
        <f aca="false">IF(A2469="","",IF(AND(E2469&gt;=0,E2469&lt;=23),"OK","CHECK"))</f>
        <v>OK</v>
      </c>
      <c r="M2469" s="1" t="str">
        <f aca="false">IF(A2469="","",IF(AND(K2469="OK",L2469="OK"),"OK","CHECK"))</f>
        <v>OK</v>
      </c>
    </row>
    <row r="2470" customFormat="false" ht="18" hidden="false" customHeight="true" outlineLevel="0" collapsed="false">
      <c r="A2470" s="9" t="s">
        <v>26</v>
      </c>
      <c r="B2470" s="9" t="n">
        <v>25</v>
      </c>
      <c r="C2470" s="11" t="n">
        <v>46020</v>
      </c>
      <c r="D2470" s="9" t="s">
        <v>192</v>
      </c>
      <c r="E2470" s="12" t="n">
        <v>23</v>
      </c>
      <c r="F2470" s="9" t="s">
        <v>31</v>
      </c>
      <c r="G2470" s="13" t="n">
        <v>150</v>
      </c>
      <c r="H2470" s="9" t="s">
        <v>41</v>
      </c>
      <c r="I2470" s="13" t="n">
        <v>5</v>
      </c>
      <c r="J2470" s="1" t="str">
        <f aca="false">IF(A2470="","", "SAMP-"&amp;A2470&amp;"-L"&amp;TEXT(B2470,"00")&amp;"-"&amp;TEXT(C2470,"yyyymmdd")&amp;"-"&amp;D2470&amp;"-H"&amp;TEXT(E2470,"00")&amp;"-"&amp;H2470)</f>
        <v>SAMP-KG01-L25-20251229-ORD-2025-00303-H23-Chip</v>
      </c>
      <c r="K2470" s="1" t="str">
        <f aca="false">IF(A2470="","",IF(AND(G2470&gt;=0,I2470&gt;=0,I2470&lt;=G2470),"OK","CHECK"))</f>
        <v>OK</v>
      </c>
      <c r="L2470" s="1" t="str">
        <f aca="false">IF(A2470="","",IF(AND(E2470&gt;=0,E2470&lt;=23),"OK","CHECK"))</f>
        <v>OK</v>
      </c>
      <c r="M2470" s="1" t="str">
        <f aca="false">IF(A2470="","",IF(AND(K2470="OK",L2470="OK"),"OK","CHECK"))</f>
        <v>OK</v>
      </c>
    </row>
    <row r="2471" customFormat="false" ht="18" hidden="false" customHeight="true" outlineLevel="0" collapsed="false">
      <c r="A2471" s="9" t="s">
        <v>26</v>
      </c>
      <c r="B2471" s="9" t="n">
        <v>25</v>
      </c>
      <c r="C2471" s="11" t="n">
        <v>46020</v>
      </c>
      <c r="D2471" s="9" t="s">
        <v>192</v>
      </c>
      <c r="E2471" s="12" t="n">
        <v>20</v>
      </c>
      <c r="F2471" s="9" t="s">
        <v>31</v>
      </c>
      <c r="G2471" s="13" t="n">
        <v>100</v>
      </c>
      <c r="H2471" s="9" t="s">
        <v>36</v>
      </c>
      <c r="I2471" s="13" t="n">
        <v>3</v>
      </c>
      <c r="J2471" s="1" t="str">
        <f aca="false">IF(A2471="","", "SAMP-"&amp;A2471&amp;"-L"&amp;TEXT(B2471,"00")&amp;"-"&amp;TEXT(C2471,"yyyymmdd")&amp;"-"&amp;D2471&amp;"-H"&amp;TEXT(E2471,"00")&amp;"-"&amp;H2471)</f>
        <v>SAMP-KG01-L25-20251229-ORD-2025-00303-H20-Blister</v>
      </c>
      <c r="K2471" s="1" t="str">
        <f aca="false">IF(A2471="","",IF(AND(G2471&gt;=0,I2471&gt;=0,I2471&lt;=G2471),"OK","CHECK"))</f>
        <v>OK</v>
      </c>
      <c r="L2471" s="1" t="str">
        <f aca="false">IF(A2471="","",IF(AND(E2471&gt;=0,E2471&lt;=23),"OK","CHECK"))</f>
        <v>OK</v>
      </c>
      <c r="M2471" s="1" t="str">
        <f aca="false">IF(A2471="","",IF(AND(K2471="OK",L2471="OK"),"OK","CHECK"))</f>
        <v>OK</v>
      </c>
    </row>
    <row r="2472" customFormat="false" ht="18" hidden="false" customHeight="true" outlineLevel="0" collapsed="false">
      <c r="A2472" s="9" t="s">
        <v>26</v>
      </c>
      <c r="B2472" s="9" t="n">
        <v>25</v>
      </c>
      <c r="C2472" s="11" t="n">
        <v>46021</v>
      </c>
      <c r="D2472" s="9" t="s">
        <v>192</v>
      </c>
      <c r="E2472" s="12" t="n">
        <v>9</v>
      </c>
      <c r="F2472" s="9" t="s">
        <v>28</v>
      </c>
      <c r="G2472" s="13" t="n">
        <v>150</v>
      </c>
      <c r="H2472" s="9" t="s">
        <v>33</v>
      </c>
      <c r="I2472" s="13" t="n">
        <v>4</v>
      </c>
      <c r="J2472" s="1" t="str">
        <f aca="false">IF(A2472="","", "SAMP-"&amp;A2472&amp;"-L"&amp;TEXT(B2472,"00")&amp;"-"&amp;TEXT(C2472,"yyyymmdd")&amp;"-"&amp;D2472&amp;"-H"&amp;TEXT(E2472,"00")&amp;"-"&amp;H2472)</f>
        <v>SAMP-KG01-L25-20251230-ORD-2025-00303-H09-Distortion</v>
      </c>
      <c r="K2472" s="1" t="str">
        <f aca="false">IF(A2472="","",IF(AND(G2472&gt;=0,I2472&gt;=0,I2472&lt;=G2472),"OK","CHECK"))</f>
        <v>OK</v>
      </c>
      <c r="L2472" s="1" t="str">
        <f aca="false">IF(A2472="","",IF(AND(E2472&gt;=0,E2472&lt;=23),"OK","CHECK"))</f>
        <v>OK</v>
      </c>
      <c r="M2472" s="1" t="str">
        <f aca="false">IF(A2472="","",IF(AND(K2472="OK",L2472="OK"),"OK","CHECK"))</f>
        <v>OK</v>
      </c>
    </row>
    <row r="2473" customFormat="false" ht="18" hidden="false" customHeight="true" outlineLevel="0" collapsed="false">
      <c r="A2473" s="9" t="s">
        <v>26</v>
      </c>
      <c r="B2473" s="9" t="n">
        <v>25</v>
      </c>
      <c r="C2473" s="11" t="n">
        <v>46021</v>
      </c>
      <c r="D2473" s="9" t="s">
        <v>192</v>
      </c>
      <c r="E2473" s="12" t="n">
        <v>7</v>
      </c>
      <c r="F2473" s="9" t="s">
        <v>28</v>
      </c>
      <c r="G2473" s="13" t="n">
        <v>100</v>
      </c>
      <c r="H2473" s="9" t="s">
        <v>38</v>
      </c>
      <c r="I2473" s="13" t="n">
        <v>3</v>
      </c>
      <c r="J2473" s="1" t="str">
        <f aca="false">IF(A2473="","", "SAMP-"&amp;A2473&amp;"-L"&amp;TEXT(B2473,"00")&amp;"-"&amp;TEXT(C2473,"yyyymmdd")&amp;"-"&amp;D2473&amp;"-H"&amp;TEXT(E2473,"00")&amp;"-"&amp;H2473)</f>
        <v>SAMP-KG01-L25-20251230-ORD-2025-00303-H07-Crack</v>
      </c>
      <c r="K2473" s="1" t="str">
        <f aca="false">IF(A2473="","",IF(AND(G2473&gt;=0,I2473&gt;=0,I2473&lt;=G2473),"OK","CHECK"))</f>
        <v>OK</v>
      </c>
      <c r="L2473" s="1" t="str">
        <f aca="false">IF(A2473="","",IF(AND(E2473&gt;=0,E2473&lt;=23),"OK","CHECK"))</f>
        <v>OK</v>
      </c>
      <c r="M2473" s="1" t="str">
        <f aca="false">IF(A2473="","",IF(AND(K2473="OK",L2473="OK"),"OK","CHECK"))</f>
        <v>OK</v>
      </c>
    </row>
    <row r="2474" customFormat="false" ht="18" hidden="false" customHeight="true" outlineLevel="0" collapsed="false">
      <c r="A2474" s="9" t="s">
        <v>26</v>
      </c>
      <c r="B2474" s="9" t="n">
        <v>25</v>
      </c>
      <c r="C2474" s="11" t="n">
        <v>46021</v>
      </c>
      <c r="D2474" s="9" t="s">
        <v>192</v>
      </c>
      <c r="E2474" s="12" t="n">
        <v>16</v>
      </c>
      <c r="F2474" s="9" t="s">
        <v>31</v>
      </c>
      <c r="G2474" s="13" t="n">
        <v>150</v>
      </c>
      <c r="H2474" s="9" t="s">
        <v>30</v>
      </c>
      <c r="I2474" s="13" t="n">
        <v>5</v>
      </c>
      <c r="J2474" s="1" t="str">
        <f aca="false">IF(A2474="","", "SAMP-"&amp;A2474&amp;"-L"&amp;TEXT(B2474,"00")&amp;"-"&amp;TEXT(C2474,"yyyymmdd")&amp;"-"&amp;D2474&amp;"-H"&amp;TEXT(E2474,"00")&amp;"-"&amp;H2474)</f>
        <v>SAMP-KG01-L25-20251230-ORD-2025-00303-H16-Overpress</v>
      </c>
      <c r="K2474" s="1" t="str">
        <f aca="false">IF(A2474="","",IF(AND(G2474&gt;=0,I2474&gt;=0,I2474&lt;=G2474),"OK","CHECK"))</f>
        <v>OK</v>
      </c>
      <c r="L2474" s="1" t="str">
        <f aca="false">IF(A2474="","",IF(AND(E2474&gt;=0,E2474&lt;=23),"OK","CHECK"))</f>
        <v>OK</v>
      </c>
      <c r="M2474" s="1" t="str">
        <f aca="false">IF(A2474="","",IF(AND(K2474="OK",L2474="OK"),"OK","CHECK"))</f>
        <v>OK</v>
      </c>
    </row>
    <row r="2475" customFormat="false" ht="18" hidden="false" customHeight="true" outlineLevel="0" collapsed="false">
      <c r="A2475" s="9" t="s">
        <v>26</v>
      </c>
      <c r="B2475" s="9" t="n">
        <v>25</v>
      </c>
      <c r="C2475" s="11" t="n">
        <v>46021</v>
      </c>
      <c r="D2475" s="9" t="s">
        <v>192</v>
      </c>
      <c r="E2475" s="12" t="n">
        <v>23</v>
      </c>
      <c r="F2475" s="9" t="s">
        <v>31</v>
      </c>
      <c r="G2475" s="13" t="n">
        <v>50</v>
      </c>
      <c r="H2475" s="9" t="s">
        <v>30</v>
      </c>
      <c r="I2475" s="13" t="n">
        <v>1</v>
      </c>
      <c r="J2475" s="1" t="str">
        <f aca="false">IF(A2475="","", "SAMP-"&amp;A2475&amp;"-L"&amp;TEXT(B2475,"00")&amp;"-"&amp;TEXT(C2475,"yyyymmdd")&amp;"-"&amp;D2475&amp;"-H"&amp;TEXT(E2475,"00")&amp;"-"&amp;H2475)</f>
        <v>SAMP-KG01-L25-20251230-ORD-2025-00303-H23-Overpress</v>
      </c>
      <c r="K2475" s="1" t="str">
        <f aca="false">IF(A2475="","",IF(AND(G2475&gt;=0,I2475&gt;=0,I2475&lt;=G2475),"OK","CHECK"))</f>
        <v>OK</v>
      </c>
      <c r="L2475" s="1" t="str">
        <f aca="false">IF(A2475="","",IF(AND(E2475&gt;=0,E2475&lt;=23),"OK","CHECK"))</f>
        <v>OK</v>
      </c>
      <c r="M2475" s="1" t="str">
        <f aca="false">IF(A2475="","",IF(AND(K2475="OK",L2475="OK"),"OK","CHECK"))</f>
        <v>OK</v>
      </c>
    </row>
    <row r="2476" customFormat="false" ht="18" hidden="false" customHeight="true" outlineLevel="0" collapsed="false">
      <c r="A2476" s="9" t="s">
        <v>26</v>
      </c>
      <c r="B2476" s="9" t="n">
        <v>25</v>
      </c>
      <c r="C2476" s="11" t="n">
        <v>46021</v>
      </c>
      <c r="D2476" s="9" t="s">
        <v>192</v>
      </c>
      <c r="E2476" s="12" t="n">
        <v>20</v>
      </c>
      <c r="F2476" s="9" t="s">
        <v>31</v>
      </c>
      <c r="G2476" s="13" t="n">
        <v>150</v>
      </c>
      <c r="H2476" s="9" t="s">
        <v>33</v>
      </c>
      <c r="I2476" s="13" t="n">
        <v>3</v>
      </c>
      <c r="J2476" s="1" t="str">
        <f aca="false">IF(A2476="","", "SAMP-"&amp;A2476&amp;"-L"&amp;TEXT(B2476,"00")&amp;"-"&amp;TEXT(C2476,"yyyymmdd")&amp;"-"&amp;D2476&amp;"-H"&amp;TEXT(E2476,"00")&amp;"-"&amp;H2476)</f>
        <v>SAMP-KG01-L25-20251230-ORD-2025-00303-H20-Distortion</v>
      </c>
      <c r="K2476" s="1" t="str">
        <f aca="false">IF(A2476="","",IF(AND(G2476&gt;=0,I2476&gt;=0,I2476&lt;=G2476),"OK","CHECK"))</f>
        <v>OK</v>
      </c>
      <c r="L2476" s="1" t="str">
        <f aca="false">IF(A2476="","",IF(AND(E2476&gt;=0,E2476&lt;=23),"OK","CHECK"))</f>
        <v>OK</v>
      </c>
      <c r="M2476" s="1" t="str">
        <f aca="false">IF(A2476="","",IF(AND(K2476="OK",L2476="OK"),"OK","CHECK"))</f>
        <v>OK</v>
      </c>
    </row>
    <row r="2477" customFormat="false" ht="18" hidden="false" customHeight="true" outlineLevel="0" collapsed="false">
      <c r="A2477" s="9" t="s">
        <v>26</v>
      </c>
      <c r="B2477" s="9" t="n">
        <v>25</v>
      </c>
      <c r="C2477" s="11" t="n">
        <v>46022</v>
      </c>
      <c r="D2477" s="9" t="s">
        <v>192</v>
      </c>
      <c r="E2477" s="12" t="n">
        <v>12</v>
      </c>
      <c r="F2477" s="9" t="s">
        <v>28</v>
      </c>
      <c r="G2477" s="13" t="n">
        <v>150</v>
      </c>
      <c r="H2477" s="9" t="s">
        <v>34</v>
      </c>
      <c r="I2477" s="13" t="n">
        <v>3</v>
      </c>
      <c r="J2477" s="1" t="str">
        <f aca="false">IF(A2477="","", "SAMP-"&amp;A2477&amp;"-L"&amp;TEXT(B2477,"00")&amp;"-"&amp;TEXT(C2477,"yyyymmdd")&amp;"-"&amp;D2477&amp;"-H"&amp;TEXT(E2477,"00")&amp;"-"&amp;H2477)</f>
        <v>SAMP-KG01-L25-20251231-ORD-2025-00303-H12-Thin Wall</v>
      </c>
      <c r="K2477" s="1" t="str">
        <f aca="false">IF(A2477="","",IF(AND(G2477&gt;=0,I2477&gt;=0,I2477&lt;=G2477),"OK","CHECK"))</f>
        <v>OK</v>
      </c>
      <c r="L2477" s="1" t="str">
        <f aca="false">IF(A2477="","",IF(AND(E2477&gt;=0,E2477&lt;=23),"OK","CHECK"))</f>
        <v>OK</v>
      </c>
      <c r="M2477" s="1" t="str">
        <f aca="false">IF(A2477="","",IF(AND(K2477="OK",L2477="OK"),"OK","CHECK"))</f>
        <v>OK</v>
      </c>
    </row>
    <row r="2478" customFormat="false" ht="18" hidden="false" customHeight="true" outlineLevel="0" collapsed="false">
      <c r="A2478" s="9" t="s">
        <v>26</v>
      </c>
      <c r="B2478" s="9" t="n">
        <v>25</v>
      </c>
      <c r="C2478" s="11" t="n">
        <v>46022</v>
      </c>
      <c r="D2478" s="9" t="s">
        <v>192</v>
      </c>
      <c r="E2478" s="12" t="n">
        <v>7</v>
      </c>
      <c r="F2478" s="9" t="s">
        <v>28</v>
      </c>
      <c r="G2478" s="13" t="n">
        <v>200</v>
      </c>
      <c r="H2478" s="9" t="s">
        <v>37</v>
      </c>
      <c r="I2478" s="13" t="n">
        <v>5</v>
      </c>
      <c r="J2478" s="1" t="str">
        <f aca="false">IF(A2478="","", "SAMP-"&amp;A2478&amp;"-L"&amp;TEXT(B2478,"00")&amp;"-"&amp;TEXT(C2478,"yyyymmdd")&amp;"-"&amp;D2478&amp;"-H"&amp;TEXT(E2478,"00")&amp;"-"&amp;H2478)</f>
        <v>SAMP-KG01-L25-20251231-ORD-2025-00303-H07-Bird Swing</v>
      </c>
      <c r="K2478" s="1" t="str">
        <f aca="false">IF(A2478="","",IF(AND(G2478&gt;=0,I2478&gt;=0,I2478&lt;=G2478),"OK","CHECK"))</f>
        <v>OK</v>
      </c>
      <c r="L2478" s="1" t="str">
        <f aca="false">IF(A2478="","",IF(AND(E2478&gt;=0,E2478&lt;=23),"OK","CHECK"))</f>
        <v>OK</v>
      </c>
      <c r="M2478" s="1" t="str">
        <f aca="false">IF(A2478="","",IF(AND(K2478="OK",L2478="OK"),"OK","CHECK"))</f>
        <v>OK</v>
      </c>
    </row>
    <row r="2479" customFormat="false" ht="18" hidden="false" customHeight="true" outlineLevel="0" collapsed="false">
      <c r="A2479" s="9" t="s">
        <v>26</v>
      </c>
      <c r="B2479" s="9" t="n">
        <v>25</v>
      </c>
      <c r="C2479" s="11" t="n">
        <v>46022</v>
      </c>
      <c r="D2479" s="9" t="s">
        <v>192</v>
      </c>
      <c r="E2479" s="12" t="n">
        <v>9</v>
      </c>
      <c r="F2479" s="9" t="s">
        <v>28</v>
      </c>
      <c r="G2479" s="13" t="n">
        <v>50</v>
      </c>
      <c r="H2479" s="9" t="s">
        <v>36</v>
      </c>
      <c r="I2479" s="13" t="n">
        <v>0</v>
      </c>
      <c r="J2479" s="1" t="str">
        <f aca="false">IF(A2479="","", "SAMP-"&amp;A2479&amp;"-L"&amp;TEXT(B2479,"00")&amp;"-"&amp;TEXT(C2479,"yyyymmdd")&amp;"-"&amp;D2479&amp;"-H"&amp;TEXT(E2479,"00")&amp;"-"&amp;H2479)</f>
        <v>SAMP-KG01-L25-20251231-ORD-2025-00303-H09-Blister</v>
      </c>
      <c r="K2479" s="1" t="str">
        <f aca="false">IF(A2479="","",IF(AND(G2479&gt;=0,I2479&gt;=0,I2479&lt;=G2479),"OK","CHECK"))</f>
        <v>OK</v>
      </c>
      <c r="L2479" s="1" t="str">
        <f aca="false">IF(A2479="","",IF(AND(E2479&gt;=0,E2479&lt;=23),"OK","CHECK"))</f>
        <v>OK</v>
      </c>
      <c r="M2479" s="1" t="str">
        <f aca="false">IF(A2479="","",IF(AND(K2479="OK",L2479="OK"),"OK","CHECK"))</f>
        <v>OK</v>
      </c>
    </row>
    <row r="2480" customFormat="false" ht="18" hidden="false" customHeight="true" outlineLevel="0" collapsed="false">
      <c r="A2480" s="9" t="s">
        <v>26</v>
      </c>
      <c r="B2480" s="9" t="n">
        <v>25</v>
      </c>
      <c r="C2480" s="11" t="n">
        <v>46022</v>
      </c>
      <c r="D2480" s="9" t="s">
        <v>192</v>
      </c>
      <c r="E2480" s="12" t="n">
        <v>16</v>
      </c>
      <c r="F2480" s="9" t="s">
        <v>31</v>
      </c>
      <c r="G2480" s="13" t="n">
        <v>50</v>
      </c>
      <c r="H2480" s="9" t="s">
        <v>30</v>
      </c>
      <c r="I2480" s="13" t="n">
        <v>1</v>
      </c>
      <c r="J2480" s="1" t="str">
        <f aca="false">IF(A2480="","", "SAMP-"&amp;A2480&amp;"-L"&amp;TEXT(B2480,"00")&amp;"-"&amp;TEXT(C2480,"yyyymmdd")&amp;"-"&amp;D2480&amp;"-H"&amp;TEXT(E2480,"00")&amp;"-"&amp;H2480)</f>
        <v>SAMP-KG01-L25-20251231-ORD-2025-00303-H16-Overpress</v>
      </c>
      <c r="K2480" s="1" t="str">
        <f aca="false">IF(A2480="","",IF(AND(G2480&gt;=0,I2480&gt;=0,I2480&lt;=G2480),"OK","CHECK"))</f>
        <v>OK</v>
      </c>
      <c r="L2480" s="1" t="str">
        <f aca="false">IF(A2480="","",IF(AND(E2480&gt;=0,E2480&lt;=23),"OK","CHECK"))</f>
        <v>OK</v>
      </c>
      <c r="M2480" s="1" t="str">
        <f aca="false">IF(A2480="","",IF(AND(K2480="OK",L2480="OK"),"OK","CHECK"))</f>
        <v>OK</v>
      </c>
    </row>
    <row r="2481" customFormat="false" ht="18" hidden="false" customHeight="true" outlineLevel="0" collapsed="false">
      <c r="A2481" s="9" t="s">
        <v>26</v>
      </c>
      <c r="B2481" s="9" t="n">
        <v>25</v>
      </c>
      <c r="C2481" s="11" t="n">
        <v>46022</v>
      </c>
      <c r="D2481" s="9" t="s">
        <v>192</v>
      </c>
      <c r="E2481" s="12" t="n">
        <v>20</v>
      </c>
      <c r="F2481" s="9" t="s">
        <v>31</v>
      </c>
      <c r="G2481" s="13" t="n">
        <v>150</v>
      </c>
      <c r="H2481" s="9" t="s">
        <v>35</v>
      </c>
      <c r="I2481" s="13" t="n">
        <v>2</v>
      </c>
      <c r="J2481" s="1" t="str">
        <f aca="false">IF(A2481="","", "SAMP-"&amp;A2481&amp;"-L"&amp;TEXT(B2481,"00")&amp;"-"&amp;TEXT(C2481,"yyyymmdd")&amp;"-"&amp;D2481&amp;"-H"&amp;TEXT(E2481,"00")&amp;"-"&amp;H2481)</f>
        <v>SAMP-KG01-L25-20251231-ORD-2025-00303-H20-Stone</v>
      </c>
      <c r="K2481" s="1" t="str">
        <f aca="false">IF(A2481="","",IF(AND(G2481&gt;=0,I2481&gt;=0,I2481&lt;=G2481),"OK","CHECK"))</f>
        <v>OK</v>
      </c>
      <c r="L2481" s="1" t="str">
        <f aca="false">IF(A2481="","",IF(AND(E2481&gt;=0,E2481&lt;=23),"OK","CHECK"))</f>
        <v>OK</v>
      </c>
      <c r="M2481" s="1" t="str">
        <f aca="false">IF(A2481="","",IF(AND(K2481="OK",L2481="OK"),"OK","CHECK"))</f>
        <v>OK</v>
      </c>
    </row>
    <row r="2482" customFormat="false" ht="18" hidden="false" customHeight="true" outlineLevel="0" collapsed="false">
      <c r="A2482" s="9" t="s">
        <v>26</v>
      </c>
      <c r="B2482" s="9" t="n">
        <v>25</v>
      </c>
      <c r="C2482" s="11" t="n">
        <v>46022</v>
      </c>
      <c r="D2482" s="9" t="s">
        <v>192</v>
      </c>
      <c r="E2482" s="12" t="n">
        <v>23</v>
      </c>
      <c r="F2482" s="9" t="s">
        <v>31</v>
      </c>
      <c r="G2482" s="13" t="n">
        <v>200</v>
      </c>
      <c r="H2482" s="9" t="s">
        <v>37</v>
      </c>
      <c r="I2482" s="13" t="n">
        <v>4</v>
      </c>
      <c r="J2482" s="1" t="str">
        <f aca="false">IF(A2482="","", "SAMP-"&amp;A2482&amp;"-L"&amp;TEXT(B2482,"00")&amp;"-"&amp;TEXT(C2482,"yyyymmdd")&amp;"-"&amp;D2482&amp;"-H"&amp;TEXT(E2482,"00")&amp;"-"&amp;H2482)</f>
        <v>SAMP-KG01-L25-20251231-ORD-2025-00303-H23-Bird Swing</v>
      </c>
      <c r="K2482" s="1" t="str">
        <f aca="false">IF(A2482="","",IF(AND(G2482&gt;=0,I2482&gt;=0,I2482&lt;=G2482),"OK","CHECK"))</f>
        <v>OK</v>
      </c>
      <c r="L2482" s="1" t="str">
        <f aca="false">IF(A2482="","",IF(AND(E2482&gt;=0,E2482&lt;=23),"OK","CHECK"))</f>
        <v>OK</v>
      </c>
      <c r="M2482" s="1" t="str">
        <f aca="false">IF(A2482="","",IF(AND(K2482="OK",L2482="OK"),"OK","CHECK"))</f>
        <v>OK</v>
      </c>
    </row>
    <row r="2483" customFormat="false" ht="18" hidden="false" customHeight="true" outlineLevel="0" collapsed="false">
      <c r="J2483" s="1" t="str">
        <f aca="false">IF(A2483="","", "SAMP-"&amp;A2483&amp;"-L"&amp;TEXT(B2483,"00")&amp;"-"&amp;TEXT(C2483,"yyyymmdd")&amp;"-"&amp;D2483&amp;"-H"&amp;TEXT(E2483,"00")&amp;"-"&amp;H2483)</f>
        <v/>
      </c>
      <c r="K2483" s="1" t="str">
        <f aca="false">IF(A2483="","",IF(AND(G2483&gt;=0,I2483&gt;=0,I2483&lt;=G2483),"OK","CHECK"))</f>
        <v/>
      </c>
      <c r="L2483" s="1" t="str">
        <f aca="false">IF(A2483="","",IF(AND(E2483&gt;=0,E2483&lt;=23),"OK","CHECK"))</f>
        <v/>
      </c>
      <c r="M2483" s="1" t="str">
        <f aca="false">IF(A2483="","",IF(AND(K2483="OK",L2483="OK"),"OK","CHECK"))</f>
        <v/>
      </c>
    </row>
    <row r="2484" customFormat="false" ht="18" hidden="false" customHeight="true" outlineLevel="0" collapsed="false">
      <c r="J2484" s="1" t="str">
        <f aca="false">IF(A2484="","", "SAMP-"&amp;A2484&amp;"-L"&amp;TEXT(B2484,"00")&amp;"-"&amp;TEXT(C2484,"yyyymmdd")&amp;"-"&amp;D2484&amp;"-H"&amp;TEXT(E2484,"00")&amp;"-"&amp;H2484)</f>
        <v/>
      </c>
      <c r="K2484" s="1" t="str">
        <f aca="false">IF(A2484="","",IF(AND(G2484&gt;=0,I2484&gt;=0,I2484&lt;=G2484),"OK","CHECK"))</f>
        <v/>
      </c>
      <c r="L2484" s="1" t="str">
        <f aca="false">IF(A2484="","",IF(AND(E2484&gt;=0,E2484&lt;=23),"OK","CHECK"))</f>
        <v/>
      </c>
      <c r="M2484" s="1" t="str">
        <f aca="false">IF(A2484="","",IF(AND(K2484="OK",L2484="OK"),"OK","CHECK"))</f>
        <v/>
      </c>
    </row>
    <row r="2485" customFormat="false" ht="18" hidden="false" customHeight="true" outlineLevel="0" collapsed="false">
      <c r="J2485" s="1" t="str">
        <f aca="false">IF(A2485="","", "SAMP-"&amp;A2485&amp;"-L"&amp;TEXT(B2485,"00")&amp;"-"&amp;TEXT(C2485,"yyyymmdd")&amp;"-"&amp;D2485&amp;"-H"&amp;TEXT(E2485,"00")&amp;"-"&amp;H2485)</f>
        <v/>
      </c>
      <c r="K2485" s="1" t="str">
        <f aca="false">IF(A2485="","",IF(AND(G2485&gt;=0,I2485&gt;=0,I2485&lt;=G2485),"OK","CHECK"))</f>
        <v/>
      </c>
      <c r="L2485" s="1" t="str">
        <f aca="false">IF(A2485="","",IF(AND(E2485&gt;=0,E2485&lt;=23),"OK","CHECK"))</f>
        <v/>
      </c>
      <c r="M2485" s="1" t="str">
        <f aca="false">IF(A2485="","",IF(AND(K2485="OK",L2485="OK"),"OK","CHECK"))</f>
        <v/>
      </c>
    </row>
    <row r="2486" customFormat="false" ht="18" hidden="false" customHeight="true" outlineLevel="0" collapsed="false">
      <c r="J2486" s="1" t="str">
        <f aca="false">IF(A2486="","", "SAMP-"&amp;A2486&amp;"-L"&amp;TEXT(B2486,"00")&amp;"-"&amp;TEXT(C2486,"yyyymmdd")&amp;"-"&amp;D2486&amp;"-H"&amp;TEXT(E2486,"00")&amp;"-"&amp;H2486)</f>
        <v/>
      </c>
      <c r="K2486" s="1" t="str">
        <f aca="false">IF(A2486="","",IF(AND(G2486&gt;=0,I2486&gt;=0,I2486&lt;=G2486),"OK","CHECK"))</f>
        <v/>
      </c>
      <c r="L2486" s="1" t="str">
        <f aca="false">IF(A2486="","",IF(AND(E2486&gt;=0,E2486&lt;=23),"OK","CHECK"))</f>
        <v/>
      </c>
      <c r="M2486" s="1" t="str">
        <f aca="false">IF(A2486="","",IF(AND(K2486="OK",L2486="OK"),"OK","CHECK"))</f>
        <v/>
      </c>
    </row>
    <row r="2487" customFormat="false" ht="18" hidden="false" customHeight="true" outlineLevel="0" collapsed="false">
      <c r="J2487" s="1" t="str">
        <f aca="false">IF(A2487="","", "SAMP-"&amp;A2487&amp;"-L"&amp;TEXT(B2487,"00")&amp;"-"&amp;TEXT(C2487,"yyyymmdd")&amp;"-"&amp;D2487&amp;"-H"&amp;TEXT(E2487,"00")&amp;"-"&amp;H2487)</f>
        <v/>
      </c>
      <c r="K2487" s="1" t="str">
        <f aca="false">IF(A2487="","",IF(AND(G2487&gt;=0,I2487&gt;=0,I2487&lt;=G2487),"OK","CHECK"))</f>
        <v/>
      </c>
      <c r="L2487" s="1" t="str">
        <f aca="false">IF(A2487="","",IF(AND(E2487&gt;=0,E2487&lt;=23),"OK","CHECK"))</f>
        <v/>
      </c>
      <c r="M2487" s="1" t="str">
        <f aca="false">IF(A2487="","",IF(AND(K2487="OK",L2487="OK"),"OK","CHECK"))</f>
        <v/>
      </c>
    </row>
    <row r="2488" customFormat="false" ht="18" hidden="false" customHeight="true" outlineLevel="0" collapsed="false">
      <c r="J2488" s="1" t="str">
        <f aca="false">IF(A2488="","", "SAMP-"&amp;A2488&amp;"-L"&amp;TEXT(B2488,"00")&amp;"-"&amp;TEXT(C2488,"yyyymmdd")&amp;"-"&amp;D2488&amp;"-H"&amp;TEXT(E2488,"00")&amp;"-"&amp;H2488)</f>
        <v/>
      </c>
      <c r="K2488" s="1" t="str">
        <f aca="false">IF(A2488="","",IF(AND(G2488&gt;=0,I2488&gt;=0,I2488&lt;=G2488),"OK","CHECK"))</f>
        <v/>
      </c>
      <c r="L2488" s="1" t="str">
        <f aca="false">IF(A2488="","",IF(AND(E2488&gt;=0,E2488&lt;=23),"OK","CHECK"))</f>
        <v/>
      </c>
      <c r="M2488" s="1" t="str">
        <f aca="false">IF(A2488="","",IF(AND(K2488="OK",L2488="OK"),"OK","CHECK"))</f>
        <v/>
      </c>
    </row>
    <row r="2489" customFormat="false" ht="18" hidden="false" customHeight="true" outlineLevel="0" collapsed="false">
      <c r="J2489" s="1" t="str">
        <f aca="false">IF(A2489="","", "SAMP-"&amp;A2489&amp;"-L"&amp;TEXT(B2489,"00")&amp;"-"&amp;TEXT(C2489,"yyyymmdd")&amp;"-"&amp;D2489&amp;"-H"&amp;TEXT(E2489,"00")&amp;"-"&amp;H2489)</f>
        <v/>
      </c>
      <c r="K2489" s="1" t="str">
        <f aca="false">IF(A2489="","",IF(AND(G2489&gt;=0,I2489&gt;=0,I2489&lt;=G2489),"OK","CHECK"))</f>
        <v/>
      </c>
      <c r="L2489" s="1" t="str">
        <f aca="false">IF(A2489="","",IF(AND(E2489&gt;=0,E2489&lt;=23),"OK","CHECK"))</f>
        <v/>
      </c>
      <c r="M2489" s="1" t="str">
        <f aca="false">IF(A2489="","",IF(AND(K2489="OK",L2489="OK"),"OK","CHECK"))</f>
        <v/>
      </c>
    </row>
    <row r="2490" customFormat="false" ht="18" hidden="false" customHeight="true" outlineLevel="0" collapsed="false">
      <c r="J2490" s="1" t="str">
        <f aca="false">IF(A2490="","", "SAMP-"&amp;A2490&amp;"-L"&amp;TEXT(B2490,"00")&amp;"-"&amp;TEXT(C2490,"yyyymmdd")&amp;"-"&amp;D2490&amp;"-H"&amp;TEXT(E2490,"00")&amp;"-"&amp;H2490)</f>
        <v/>
      </c>
      <c r="K2490" s="1" t="str">
        <f aca="false">IF(A2490="","",IF(AND(G2490&gt;=0,I2490&gt;=0,I2490&lt;=G2490),"OK","CHECK"))</f>
        <v/>
      </c>
      <c r="L2490" s="1" t="str">
        <f aca="false">IF(A2490="","",IF(AND(E2490&gt;=0,E2490&lt;=23),"OK","CHECK"))</f>
        <v/>
      </c>
      <c r="M2490" s="1" t="str">
        <f aca="false">IF(A2490="","",IF(AND(K2490="OK",L2490="OK"),"OK","CHECK"))</f>
        <v/>
      </c>
    </row>
    <row r="2491" customFormat="false" ht="18" hidden="false" customHeight="true" outlineLevel="0" collapsed="false">
      <c r="J2491" s="1" t="str">
        <f aca="false">IF(A2491="","", "SAMP-"&amp;A2491&amp;"-L"&amp;TEXT(B2491,"00")&amp;"-"&amp;TEXT(C2491,"yyyymmdd")&amp;"-"&amp;D2491&amp;"-H"&amp;TEXT(E2491,"00")&amp;"-"&amp;H2491)</f>
        <v/>
      </c>
      <c r="K2491" s="1" t="str">
        <f aca="false">IF(A2491="","",IF(AND(G2491&gt;=0,I2491&gt;=0,I2491&lt;=G2491),"OK","CHECK"))</f>
        <v/>
      </c>
      <c r="L2491" s="1" t="str">
        <f aca="false">IF(A2491="","",IF(AND(E2491&gt;=0,E2491&lt;=23),"OK","CHECK"))</f>
        <v/>
      </c>
      <c r="M2491" s="1" t="str">
        <f aca="false">IF(A2491="","",IF(AND(K2491="OK",L2491="OK"),"OK","CHECK"))</f>
        <v/>
      </c>
    </row>
    <row r="2492" customFormat="false" ht="18" hidden="false" customHeight="true" outlineLevel="0" collapsed="false">
      <c r="J2492" s="1" t="str">
        <f aca="false">IF(A2492="","", "SAMP-"&amp;A2492&amp;"-L"&amp;TEXT(B2492,"00")&amp;"-"&amp;TEXT(C2492,"yyyymmdd")&amp;"-"&amp;D2492&amp;"-H"&amp;TEXT(E2492,"00")&amp;"-"&amp;H2492)</f>
        <v/>
      </c>
      <c r="K2492" s="1" t="str">
        <f aca="false">IF(A2492="","",IF(AND(G2492&gt;=0,I2492&gt;=0,I2492&lt;=G2492),"OK","CHECK"))</f>
        <v/>
      </c>
      <c r="L2492" s="1" t="str">
        <f aca="false">IF(A2492="","",IF(AND(E2492&gt;=0,E2492&lt;=23),"OK","CHECK"))</f>
        <v/>
      </c>
      <c r="M2492" s="1" t="str">
        <f aca="false">IF(A2492="","",IF(AND(K2492="OK",L2492="OK"),"OK","CHECK"))</f>
        <v/>
      </c>
    </row>
    <row r="2493" customFormat="false" ht="18" hidden="false" customHeight="true" outlineLevel="0" collapsed="false">
      <c r="J2493" s="1" t="str">
        <f aca="false">IF(A2493="","", "SAMP-"&amp;A2493&amp;"-L"&amp;TEXT(B2493,"00")&amp;"-"&amp;TEXT(C2493,"yyyymmdd")&amp;"-"&amp;D2493&amp;"-H"&amp;TEXT(E2493,"00")&amp;"-"&amp;H2493)</f>
        <v/>
      </c>
      <c r="K2493" s="1" t="str">
        <f aca="false">IF(A2493="","",IF(AND(G2493&gt;=0,I2493&gt;=0,I2493&lt;=G2493),"OK","CHECK"))</f>
        <v/>
      </c>
      <c r="L2493" s="1" t="str">
        <f aca="false">IF(A2493="","",IF(AND(E2493&gt;=0,E2493&lt;=23),"OK","CHECK"))</f>
        <v/>
      </c>
      <c r="M2493" s="1" t="str">
        <f aca="false">IF(A2493="","",IF(AND(K2493="OK",L2493="OK"),"OK","CHECK"))</f>
        <v/>
      </c>
    </row>
    <row r="2494" customFormat="false" ht="18" hidden="false" customHeight="true" outlineLevel="0" collapsed="false">
      <c r="J2494" s="1" t="str">
        <f aca="false">IF(A2494="","", "SAMP-"&amp;A2494&amp;"-L"&amp;TEXT(B2494,"00")&amp;"-"&amp;TEXT(C2494,"yyyymmdd")&amp;"-"&amp;D2494&amp;"-H"&amp;TEXT(E2494,"00")&amp;"-"&amp;H2494)</f>
        <v/>
      </c>
      <c r="K2494" s="1" t="str">
        <f aca="false">IF(A2494="","",IF(AND(G2494&gt;=0,I2494&gt;=0,I2494&lt;=G2494),"OK","CHECK"))</f>
        <v/>
      </c>
      <c r="L2494" s="1" t="str">
        <f aca="false">IF(A2494="","",IF(AND(E2494&gt;=0,E2494&lt;=23),"OK","CHECK"))</f>
        <v/>
      </c>
      <c r="M2494" s="1" t="str">
        <f aca="false">IF(A2494="","",IF(AND(K2494="OK",L2494="OK"),"OK","CHECK"))</f>
        <v/>
      </c>
    </row>
    <row r="2495" customFormat="false" ht="18" hidden="false" customHeight="true" outlineLevel="0" collapsed="false">
      <c r="J2495" s="1" t="str">
        <f aca="false">IF(A2495="","", "SAMP-"&amp;A2495&amp;"-L"&amp;TEXT(B2495,"00")&amp;"-"&amp;TEXT(C2495,"yyyymmdd")&amp;"-"&amp;D2495&amp;"-H"&amp;TEXT(E2495,"00")&amp;"-"&amp;H2495)</f>
        <v/>
      </c>
      <c r="K2495" s="1" t="str">
        <f aca="false">IF(A2495="","",IF(AND(G2495&gt;=0,I2495&gt;=0,I2495&lt;=G2495),"OK","CHECK"))</f>
        <v/>
      </c>
      <c r="L2495" s="1" t="str">
        <f aca="false">IF(A2495="","",IF(AND(E2495&gt;=0,E2495&lt;=23),"OK","CHECK"))</f>
        <v/>
      </c>
      <c r="M2495" s="1" t="str">
        <f aca="false">IF(A2495="","",IF(AND(K2495="OK",L2495="OK"),"OK","CHECK"))</f>
        <v/>
      </c>
    </row>
    <row r="2496" customFormat="false" ht="18" hidden="false" customHeight="true" outlineLevel="0" collapsed="false"/>
    <row r="2497" customFormat="false" ht="18" hidden="false" customHeight="true" outlineLevel="0" collapsed="false"/>
    <row r="2498" customFormat="false" ht="18" hidden="false" customHeight="true" outlineLevel="0" collapsed="false"/>
    <row r="2499" customFormat="false" ht="18" hidden="false" customHeight="true" outlineLevel="0" collapsed="false"/>
    <row r="2500" customFormat="false" ht="18" hidden="false" customHeight="true" outlineLevel="0" collapsed="false"/>
    <row r="2501" customFormat="false" ht="18" hidden="false" customHeight="true" outlineLevel="0" collapsed="false"/>
    <row r="2502" customFormat="false" ht="18" hidden="false" customHeight="true" outlineLevel="0" collapsed="false"/>
    <row r="2503" customFormat="false" ht="18" hidden="false" customHeight="true" outlineLevel="0" collapsed="false"/>
    <row r="2504" customFormat="false" ht="18" hidden="false" customHeight="true" outlineLevel="0" collapsed="false"/>
    <row r="2505" customFormat="false" ht="18" hidden="false" customHeight="true" outlineLevel="0" collapsed="false"/>
    <row r="2506" customFormat="false" ht="18" hidden="false" customHeight="true" outlineLevel="0" collapsed="false"/>
    <row r="2507" customFormat="false" ht="18" hidden="false" customHeight="true" outlineLevel="0" collapsed="false"/>
    <row r="2508" customFormat="false" ht="18" hidden="false" customHeight="true" outlineLevel="0" collapsed="false"/>
    <row r="2509" customFormat="false" ht="18" hidden="false" customHeight="true" outlineLevel="0" collapsed="false"/>
    <row r="2510" customFormat="false" ht="18" hidden="false" customHeight="true" outlineLevel="0" collapsed="false"/>
    <row r="2511" customFormat="false" ht="18" hidden="false" customHeight="true" outlineLevel="0" collapsed="false"/>
    <row r="2512" customFormat="false" ht="18" hidden="false" customHeight="true" outlineLevel="0" collapsed="false"/>
    <row r="2513" customFormat="false" ht="18" hidden="false" customHeight="true" outlineLevel="0" collapsed="false"/>
    <row r="2514" customFormat="false" ht="18" hidden="false" customHeight="true" outlineLevel="0" collapsed="false"/>
    <row r="2515" customFormat="false" ht="18" hidden="false" customHeight="true" outlineLevel="0" collapsed="false"/>
    <row r="2516" customFormat="false" ht="18" hidden="false" customHeight="true" outlineLevel="0" collapsed="false"/>
    <row r="2517" customFormat="false" ht="18" hidden="false" customHeight="true" outlineLevel="0" collapsed="false"/>
    <row r="2518" customFormat="false" ht="18" hidden="false" customHeight="true" outlineLevel="0" collapsed="false"/>
    <row r="2519" customFormat="false" ht="18" hidden="false" customHeight="true" outlineLevel="0" collapsed="false"/>
    <row r="2520" customFormat="false" ht="18" hidden="false" customHeight="true" outlineLevel="0" collapsed="false"/>
    <row r="2521" customFormat="false" ht="18" hidden="false" customHeight="true" outlineLevel="0" collapsed="false"/>
    <row r="2522" customFormat="false" ht="18" hidden="false" customHeight="true" outlineLevel="0" collapsed="false"/>
    <row r="2523" customFormat="false" ht="18" hidden="false" customHeight="true" outlineLevel="0" collapsed="false"/>
    <row r="2524" customFormat="false" ht="18" hidden="false" customHeight="true" outlineLevel="0" collapsed="false"/>
    <row r="2525" customFormat="false" ht="18" hidden="false" customHeight="true" outlineLevel="0" collapsed="false"/>
    <row r="2526" customFormat="false" ht="18" hidden="false" customHeight="true" outlineLevel="0" collapsed="false"/>
    <row r="2527" customFormat="false" ht="18" hidden="false" customHeight="true" outlineLevel="0" collapsed="false"/>
    <row r="2528" customFormat="false" ht="18" hidden="false" customHeight="true" outlineLevel="0" collapsed="false"/>
    <row r="2529" customFormat="false" ht="18" hidden="false" customHeight="true" outlineLevel="0" collapsed="false"/>
    <row r="2530" customFormat="false" ht="18" hidden="false" customHeight="true" outlineLevel="0" collapsed="false"/>
    <row r="2531" customFormat="false" ht="18" hidden="false" customHeight="true" outlineLevel="0" collapsed="false"/>
    <row r="2532" customFormat="false" ht="18" hidden="false" customHeight="true" outlineLevel="0" collapsed="false"/>
    <row r="2533" customFormat="false" ht="18" hidden="false" customHeight="true" outlineLevel="0" collapsed="false"/>
    <row r="2534" customFormat="false" ht="18" hidden="false" customHeight="true" outlineLevel="0" collapsed="false"/>
    <row r="2535" customFormat="false" ht="18" hidden="false" customHeight="true" outlineLevel="0" collapsed="false"/>
    <row r="2536" customFormat="false" ht="18" hidden="false" customHeight="true" outlineLevel="0" collapsed="false"/>
    <row r="2537" customFormat="false" ht="18" hidden="false" customHeight="true" outlineLevel="0" collapsed="false"/>
    <row r="2538" customFormat="false" ht="18" hidden="false" customHeight="true" outlineLevel="0" collapsed="false"/>
    <row r="2539" customFormat="false" ht="18" hidden="false" customHeight="true" outlineLevel="0" collapsed="false"/>
    <row r="2540" customFormat="false" ht="18" hidden="false" customHeight="true" outlineLevel="0" collapsed="false"/>
    <row r="2541" customFormat="false" ht="18" hidden="false" customHeight="true" outlineLevel="0" collapsed="false"/>
    <row r="2542" customFormat="false" ht="18" hidden="false" customHeight="true" outlineLevel="0" collapsed="false"/>
    <row r="2543" customFormat="false" ht="18" hidden="false" customHeight="true" outlineLevel="0" collapsed="false"/>
    <row r="2544" customFormat="false" ht="18" hidden="false" customHeight="true" outlineLevel="0" collapsed="false"/>
    <row r="2545" customFormat="false" ht="18" hidden="false" customHeight="true" outlineLevel="0" collapsed="false"/>
    <row r="2546" customFormat="false" ht="18" hidden="false" customHeight="true" outlineLevel="0" collapsed="false"/>
    <row r="2547" customFormat="false" ht="18" hidden="false" customHeight="true" outlineLevel="0" collapsed="false"/>
    <row r="2548" customFormat="false" ht="18" hidden="false" customHeight="true" outlineLevel="0" collapsed="false"/>
    <row r="2549" customFormat="false" ht="18" hidden="false" customHeight="true" outlineLevel="0" collapsed="false"/>
    <row r="2550" customFormat="false" ht="18" hidden="false" customHeight="true" outlineLevel="0" collapsed="false"/>
    <row r="2551" customFormat="false" ht="18" hidden="false" customHeight="true" outlineLevel="0" collapsed="false"/>
    <row r="2552" customFormat="false" ht="18" hidden="false" customHeight="true" outlineLevel="0" collapsed="false"/>
    <row r="2553" customFormat="false" ht="18" hidden="false" customHeight="true" outlineLevel="0" collapsed="false"/>
    <row r="2554" customFormat="false" ht="18" hidden="false" customHeight="true" outlineLevel="0" collapsed="false"/>
    <row r="2555" customFormat="false" ht="18" hidden="false" customHeight="true" outlineLevel="0" collapsed="false"/>
    <row r="2556" customFormat="false" ht="18" hidden="false" customHeight="true" outlineLevel="0" collapsed="false"/>
    <row r="2557" customFormat="false" ht="18" hidden="false" customHeight="true" outlineLevel="0" collapsed="false"/>
    <row r="2558" customFormat="false" ht="18" hidden="false" customHeight="true" outlineLevel="0" collapsed="false"/>
    <row r="2559" customFormat="false" ht="18" hidden="false" customHeight="true" outlineLevel="0" collapsed="false"/>
    <row r="2560" customFormat="false" ht="18" hidden="false" customHeight="true" outlineLevel="0" collapsed="false"/>
    <row r="2561" customFormat="false" ht="18" hidden="false" customHeight="true" outlineLevel="0" collapsed="false"/>
    <row r="2562" customFormat="false" ht="18" hidden="false" customHeight="true" outlineLevel="0" collapsed="false"/>
    <row r="2563" customFormat="false" ht="18" hidden="false" customHeight="true" outlineLevel="0" collapsed="false"/>
    <row r="2564" customFormat="false" ht="18" hidden="false" customHeight="true" outlineLevel="0" collapsed="false"/>
    <row r="2565" customFormat="false" ht="18" hidden="false" customHeight="true" outlineLevel="0" collapsed="false"/>
    <row r="2566" customFormat="false" ht="18" hidden="false" customHeight="true" outlineLevel="0" collapsed="false"/>
    <row r="2567" customFormat="false" ht="18" hidden="false" customHeight="true" outlineLevel="0" collapsed="false"/>
    <row r="2568" customFormat="false" ht="18" hidden="false" customHeight="true" outlineLevel="0" collapsed="false"/>
    <row r="2569" customFormat="false" ht="18" hidden="false" customHeight="true" outlineLevel="0" collapsed="false"/>
    <row r="2570" customFormat="false" ht="18" hidden="false" customHeight="true" outlineLevel="0" collapsed="false"/>
    <row r="2571" customFormat="false" ht="18" hidden="false" customHeight="true" outlineLevel="0" collapsed="false"/>
    <row r="2572" customFormat="false" ht="18" hidden="false" customHeight="true" outlineLevel="0" collapsed="false"/>
    <row r="2573" customFormat="false" ht="18" hidden="false" customHeight="true" outlineLevel="0" collapsed="false"/>
    <row r="2574" customFormat="false" ht="18" hidden="false" customHeight="true" outlineLevel="0" collapsed="false"/>
    <row r="2575" customFormat="false" ht="18" hidden="false" customHeight="true" outlineLevel="0" collapsed="false"/>
    <row r="2576" customFormat="false" ht="18" hidden="false" customHeight="true" outlineLevel="0" collapsed="false"/>
    <row r="2577" customFormat="false" ht="18" hidden="false" customHeight="true" outlineLevel="0" collapsed="false"/>
    <row r="2578" customFormat="false" ht="18" hidden="false" customHeight="true" outlineLevel="0" collapsed="false"/>
    <row r="2579" customFormat="false" ht="18" hidden="false" customHeight="true" outlineLevel="0" collapsed="false"/>
    <row r="2580" customFormat="false" ht="18" hidden="false" customHeight="true" outlineLevel="0" collapsed="false"/>
    <row r="2581" customFormat="false" ht="18" hidden="false" customHeight="true" outlineLevel="0" collapsed="false"/>
    <row r="2582" customFormat="false" ht="18" hidden="false" customHeight="true" outlineLevel="0" collapsed="false"/>
    <row r="2583" customFormat="false" ht="18" hidden="false" customHeight="true" outlineLevel="0" collapsed="false"/>
    <row r="2584" customFormat="false" ht="18" hidden="false" customHeight="true" outlineLevel="0" collapsed="false"/>
    <row r="2585" customFormat="false" ht="18" hidden="false" customHeight="true" outlineLevel="0" collapsed="false"/>
    <row r="2586" customFormat="false" ht="18" hidden="false" customHeight="true" outlineLevel="0" collapsed="false"/>
    <row r="2587" customFormat="false" ht="18" hidden="false" customHeight="true" outlineLevel="0" collapsed="false"/>
    <row r="2588" customFormat="false" ht="18" hidden="false" customHeight="true" outlineLevel="0" collapsed="false"/>
    <row r="2589" customFormat="false" ht="18" hidden="false" customHeight="true" outlineLevel="0" collapsed="false"/>
    <row r="2590" customFormat="false" ht="18" hidden="false" customHeight="true" outlineLevel="0" collapsed="false"/>
    <row r="2591" customFormat="false" ht="18" hidden="false" customHeight="true" outlineLevel="0" collapsed="false"/>
    <row r="2592" customFormat="false" ht="18" hidden="false" customHeight="true" outlineLevel="0" collapsed="false"/>
    <row r="2593" customFormat="false" ht="18" hidden="false" customHeight="true" outlineLevel="0" collapsed="false"/>
    <row r="2594" customFormat="false" ht="18" hidden="false" customHeight="true" outlineLevel="0" collapsed="false"/>
    <row r="2595" customFormat="false" ht="18" hidden="false" customHeight="true" outlineLevel="0" collapsed="false"/>
    <row r="2596" customFormat="false" ht="18" hidden="false" customHeight="true" outlineLevel="0" collapsed="false"/>
    <row r="2597" customFormat="false" ht="18" hidden="false" customHeight="true" outlineLevel="0" collapsed="false"/>
    <row r="2598" customFormat="false" ht="18" hidden="false" customHeight="true" outlineLevel="0" collapsed="false"/>
    <row r="2599" customFormat="false" ht="18" hidden="false" customHeight="true" outlineLevel="0" collapsed="false"/>
    <row r="2600" customFormat="false" ht="18" hidden="false" customHeight="true" outlineLevel="0" collapsed="false"/>
    <row r="2601" customFormat="false" ht="18" hidden="false" customHeight="true" outlineLevel="0" collapsed="false"/>
    <row r="2602" customFormat="false" ht="18" hidden="false" customHeight="true" outlineLevel="0" collapsed="false"/>
    <row r="2603" customFormat="false" ht="18" hidden="false" customHeight="true" outlineLevel="0" collapsed="false"/>
    <row r="2604" customFormat="false" ht="18" hidden="false" customHeight="true" outlineLevel="0" collapsed="false"/>
    <row r="2605" customFormat="false" ht="18" hidden="false" customHeight="true" outlineLevel="0" collapsed="false"/>
    <row r="2606" customFormat="false" ht="18" hidden="false" customHeight="true" outlineLevel="0" collapsed="false"/>
    <row r="2607" customFormat="false" ht="18" hidden="false" customHeight="true" outlineLevel="0" collapsed="false"/>
    <row r="2608" customFormat="false" ht="18" hidden="false" customHeight="true" outlineLevel="0" collapsed="false"/>
    <row r="2609" customFormat="false" ht="18" hidden="false" customHeight="true" outlineLevel="0" collapsed="false"/>
    <row r="2610" customFormat="false" ht="18" hidden="false" customHeight="true" outlineLevel="0" collapsed="false"/>
    <row r="2611" customFormat="false" ht="18" hidden="false" customHeight="true" outlineLevel="0" collapsed="false"/>
    <row r="2612" customFormat="false" ht="18" hidden="false" customHeight="true" outlineLevel="0" collapsed="false"/>
    <row r="2613" customFormat="false" ht="18" hidden="false" customHeight="true" outlineLevel="0" collapsed="false"/>
    <row r="2614" customFormat="false" ht="18" hidden="false" customHeight="true" outlineLevel="0" collapsed="false"/>
    <row r="2615" customFormat="false" ht="18" hidden="false" customHeight="true" outlineLevel="0" collapsed="false"/>
    <row r="2616" customFormat="false" ht="18" hidden="false" customHeight="true" outlineLevel="0" collapsed="false"/>
    <row r="2617" customFormat="false" ht="18" hidden="false" customHeight="true" outlineLevel="0" collapsed="false"/>
    <row r="2618" customFormat="false" ht="18" hidden="false" customHeight="true" outlineLevel="0" collapsed="false"/>
    <row r="2619" customFormat="false" ht="18" hidden="false" customHeight="true" outlineLevel="0" collapsed="false"/>
    <row r="2620" customFormat="false" ht="18" hidden="false" customHeight="true" outlineLevel="0" collapsed="false"/>
    <row r="2621" customFormat="false" ht="18" hidden="false" customHeight="true" outlineLevel="0" collapsed="false"/>
    <row r="2622" customFormat="false" ht="18" hidden="false" customHeight="true" outlineLevel="0" collapsed="false"/>
    <row r="2623" customFormat="false" ht="18" hidden="false" customHeight="true" outlineLevel="0" collapsed="false"/>
    <row r="2624" customFormat="false" ht="18" hidden="false" customHeight="true" outlineLevel="0" collapsed="false"/>
    <row r="2625" customFormat="false" ht="18" hidden="false" customHeight="true" outlineLevel="0" collapsed="false"/>
    <row r="2626" customFormat="false" ht="18" hidden="false" customHeight="true" outlineLevel="0" collapsed="false"/>
    <row r="2627" customFormat="false" ht="18" hidden="false" customHeight="true" outlineLevel="0" collapsed="false"/>
    <row r="2628" customFormat="false" ht="18" hidden="false" customHeight="true" outlineLevel="0" collapsed="false"/>
    <row r="2629" customFormat="false" ht="18" hidden="false" customHeight="true" outlineLevel="0" collapsed="false"/>
    <row r="2630" customFormat="false" ht="18" hidden="false" customHeight="true" outlineLevel="0" collapsed="false"/>
    <row r="2631" customFormat="false" ht="18" hidden="false" customHeight="true" outlineLevel="0" collapsed="false"/>
    <row r="2632" customFormat="false" ht="18" hidden="false" customHeight="true" outlineLevel="0" collapsed="false"/>
    <row r="2633" customFormat="false" ht="18" hidden="false" customHeight="true" outlineLevel="0" collapsed="false"/>
    <row r="2634" customFormat="false" ht="18" hidden="false" customHeight="true" outlineLevel="0" collapsed="false"/>
    <row r="2635" customFormat="false" ht="18" hidden="false" customHeight="true" outlineLevel="0" collapsed="false"/>
    <row r="2636" customFormat="false" ht="18" hidden="false" customHeight="true" outlineLevel="0" collapsed="false"/>
    <row r="2637" customFormat="false" ht="18" hidden="false" customHeight="true" outlineLevel="0" collapsed="false"/>
    <row r="2638" customFormat="false" ht="18" hidden="false" customHeight="true" outlineLevel="0" collapsed="false"/>
    <row r="2639" customFormat="false" ht="18" hidden="false" customHeight="true" outlineLevel="0" collapsed="false"/>
    <row r="2640" customFormat="false" ht="18" hidden="false" customHeight="true" outlineLevel="0" collapsed="false"/>
    <row r="2641" customFormat="false" ht="18" hidden="false" customHeight="true" outlineLevel="0" collapsed="false"/>
    <row r="2642" customFormat="false" ht="18" hidden="false" customHeight="true" outlineLevel="0" collapsed="false"/>
    <row r="2643" customFormat="false" ht="18" hidden="false" customHeight="true" outlineLevel="0" collapsed="false"/>
    <row r="2644" customFormat="false" ht="18" hidden="false" customHeight="true" outlineLevel="0" collapsed="false"/>
    <row r="2645" customFormat="false" ht="18" hidden="false" customHeight="true" outlineLevel="0" collapsed="false"/>
    <row r="2646" customFormat="false" ht="18" hidden="false" customHeight="true" outlineLevel="0" collapsed="false"/>
    <row r="2647" customFormat="false" ht="18" hidden="false" customHeight="true" outlineLevel="0" collapsed="false"/>
    <row r="2648" customFormat="false" ht="18" hidden="false" customHeight="true" outlineLevel="0" collapsed="false"/>
    <row r="2649" customFormat="false" ht="18" hidden="false" customHeight="true" outlineLevel="0" collapsed="false"/>
    <row r="2650" customFormat="false" ht="18" hidden="false" customHeight="true" outlineLevel="0" collapsed="false"/>
    <row r="2651" customFormat="false" ht="18" hidden="false" customHeight="true" outlineLevel="0" collapsed="false"/>
    <row r="2652" customFormat="false" ht="18" hidden="false" customHeight="true" outlineLevel="0" collapsed="false"/>
    <row r="2653" customFormat="false" ht="18" hidden="false" customHeight="true" outlineLevel="0" collapsed="false"/>
    <row r="2654" customFormat="false" ht="18" hidden="false" customHeight="true" outlineLevel="0" collapsed="false"/>
    <row r="2655" customFormat="false" ht="18" hidden="false" customHeight="true" outlineLevel="0" collapsed="false"/>
    <row r="2656" customFormat="false" ht="18" hidden="false" customHeight="true" outlineLevel="0" collapsed="false"/>
    <row r="2657" customFormat="false" ht="18" hidden="false" customHeight="true" outlineLevel="0" collapsed="false"/>
    <row r="2658" customFormat="false" ht="18" hidden="false" customHeight="true" outlineLevel="0" collapsed="false"/>
    <row r="2659" customFormat="false" ht="18" hidden="false" customHeight="true" outlineLevel="0" collapsed="false"/>
    <row r="2660" customFormat="false" ht="18" hidden="false" customHeight="true" outlineLevel="0" collapsed="false"/>
    <row r="2661" customFormat="false" ht="18" hidden="false" customHeight="true" outlineLevel="0" collapsed="false"/>
    <row r="2662" customFormat="false" ht="18" hidden="false" customHeight="true" outlineLevel="0" collapsed="false"/>
    <row r="2663" customFormat="false" ht="18" hidden="false" customHeight="true" outlineLevel="0" collapsed="false"/>
    <row r="2664" customFormat="false" ht="18" hidden="false" customHeight="true" outlineLevel="0" collapsed="false"/>
    <row r="2665" customFormat="false" ht="18" hidden="false" customHeight="true" outlineLevel="0" collapsed="false"/>
    <row r="2666" customFormat="false" ht="18" hidden="false" customHeight="true" outlineLevel="0" collapsed="false"/>
    <row r="2667" customFormat="false" ht="18" hidden="false" customHeight="true" outlineLevel="0" collapsed="false"/>
    <row r="2668" customFormat="false" ht="18" hidden="false" customHeight="true" outlineLevel="0" collapsed="false"/>
    <row r="2669" customFormat="false" ht="18" hidden="false" customHeight="true" outlineLevel="0" collapsed="false"/>
    <row r="2670" customFormat="false" ht="18" hidden="false" customHeight="true" outlineLevel="0" collapsed="false"/>
    <row r="2671" customFormat="false" ht="18" hidden="false" customHeight="true" outlineLevel="0" collapsed="false"/>
    <row r="2672" customFormat="false" ht="18" hidden="false" customHeight="true" outlineLevel="0" collapsed="false"/>
    <row r="2673" customFormat="false" ht="18" hidden="false" customHeight="true" outlineLevel="0" collapsed="false"/>
    <row r="2674" customFormat="false" ht="18" hidden="false" customHeight="true" outlineLevel="0" collapsed="false"/>
    <row r="2675" customFormat="false" ht="18" hidden="false" customHeight="true" outlineLevel="0" collapsed="false"/>
    <row r="2676" customFormat="false" ht="18" hidden="false" customHeight="true" outlineLevel="0" collapsed="false"/>
    <row r="2677" customFormat="false" ht="18" hidden="false" customHeight="true" outlineLevel="0" collapsed="false"/>
    <row r="2678" customFormat="false" ht="18" hidden="false" customHeight="true" outlineLevel="0" collapsed="false"/>
    <row r="2679" customFormat="false" ht="18" hidden="false" customHeight="true" outlineLevel="0" collapsed="false"/>
    <row r="2680" customFormat="false" ht="18" hidden="false" customHeight="true" outlineLevel="0" collapsed="false"/>
    <row r="2681" customFormat="false" ht="18" hidden="false" customHeight="true" outlineLevel="0" collapsed="false"/>
    <row r="2682" customFormat="false" ht="18" hidden="false" customHeight="true" outlineLevel="0" collapsed="false"/>
    <row r="2683" customFormat="false" ht="18" hidden="false" customHeight="true" outlineLevel="0" collapsed="false"/>
    <row r="2684" customFormat="false" ht="18" hidden="false" customHeight="true" outlineLevel="0" collapsed="false"/>
    <row r="2685" customFormat="false" ht="18" hidden="false" customHeight="true" outlineLevel="0" collapsed="false"/>
    <row r="2686" customFormat="false" ht="18" hidden="false" customHeight="true" outlineLevel="0" collapsed="false"/>
    <row r="2687" customFormat="false" ht="18" hidden="false" customHeight="true" outlineLevel="0" collapsed="false"/>
    <row r="2688" customFormat="false" ht="18" hidden="false" customHeight="true" outlineLevel="0" collapsed="false"/>
    <row r="2689" customFormat="false" ht="18" hidden="false" customHeight="true" outlineLevel="0" collapsed="false"/>
    <row r="2690" customFormat="false" ht="18" hidden="false" customHeight="true" outlineLevel="0" collapsed="false"/>
    <row r="2691" customFormat="false" ht="18" hidden="false" customHeight="true" outlineLevel="0" collapsed="false"/>
    <row r="2692" customFormat="false" ht="18" hidden="false" customHeight="true" outlineLevel="0" collapsed="false"/>
    <row r="2693" customFormat="false" ht="18" hidden="false" customHeight="true" outlineLevel="0" collapsed="false"/>
    <row r="2694" customFormat="false" ht="18" hidden="false" customHeight="true" outlineLevel="0" collapsed="false"/>
    <row r="2695" customFormat="false" ht="18" hidden="false" customHeight="true" outlineLevel="0" collapsed="false"/>
    <row r="2696" customFormat="false" ht="18" hidden="false" customHeight="true" outlineLevel="0" collapsed="false"/>
    <row r="2697" customFormat="false" ht="18" hidden="false" customHeight="true" outlineLevel="0" collapsed="false"/>
    <row r="2698" customFormat="false" ht="18" hidden="false" customHeight="true" outlineLevel="0" collapsed="false"/>
    <row r="2699" customFormat="false" ht="18" hidden="false" customHeight="true" outlineLevel="0" collapsed="false"/>
    <row r="2700" customFormat="false" ht="18" hidden="false" customHeight="true" outlineLevel="0" collapsed="false"/>
    <row r="2701" customFormat="false" ht="18" hidden="false" customHeight="true" outlineLevel="0" collapsed="false"/>
    <row r="2702" customFormat="false" ht="18" hidden="false" customHeight="true" outlineLevel="0" collapsed="false"/>
    <row r="2703" customFormat="false" ht="18" hidden="false" customHeight="true" outlineLevel="0" collapsed="false"/>
    <row r="2704" customFormat="false" ht="18" hidden="false" customHeight="true" outlineLevel="0" collapsed="false"/>
    <row r="2705" customFormat="false" ht="18" hidden="false" customHeight="true" outlineLevel="0" collapsed="false"/>
    <row r="2706" customFormat="false" ht="18" hidden="false" customHeight="true" outlineLevel="0" collapsed="false"/>
    <row r="2707" customFormat="false" ht="18" hidden="false" customHeight="true" outlineLevel="0" collapsed="false"/>
    <row r="2708" customFormat="false" ht="18" hidden="false" customHeight="true" outlineLevel="0" collapsed="false"/>
    <row r="2709" customFormat="false" ht="18" hidden="false" customHeight="true" outlineLevel="0" collapsed="false"/>
    <row r="2710" customFormat="false" ht="18" hidden="false" customHeight="true" outlineLevel="0" collapsed="false"/>
    <row r="2711" customFormat="false" ht="18" hidden="false" customHeight="true" outlineLevel="0" collapsed="false"/>
    <row r="2712" customFormat="false" ht="18" hidden="false" customHeight="true" outlineLevel="0" collapsed="false"/>
    <row r="2713" customFormat="false" ht="18" hidden="false" customHeight="true" outlineLevel="0" collapsed="false"/>
    <row r="2714" customFormat="false" ht="18" hidden="false" customHeight="true" outlineLevel="0" collapsed="false"/>
    <row r="2715" customFormat="false" ht="18" hidden="false" customHeight="true" outlineLevel="0" collapsed="false"/>
    <row r="2716" customFormat="false" ht="18" hidden="false" customHeight="true" outlineLevel="0" collapsed="false"/>
    <row r="2717" customFormat="false" ht="18" hidden="false" customHeight="true" outlineLevel="0" collapsed="false"/>
    <row r="2718" customFormat="false" ht="18" hidden="false" customHeight="true" outlineLevel="0" collapsed="false"/>
    <row r="2719" customFormat="false" ht="18" hidden="false" customHeight="true" outlineLevel="0" collapsed="false"/>
    <row r="2720" customFormat="false" ht="18" hidden="false" customHeight="true" outlineLevel="0" collapsed="false"/>
    <row r="2721" customFormat="false" ht="18" hidden="false" customHeight="true" outlineLevel="0" collapsed="false"/>
    <row r="2722" customFormat="false" ht="18" hidden="false" customHeight="true" outlineLevel="0" collapsed="false"/>
    <row r="2723" customFormat="false" ht="18" hidden="false" customHeight="true" outlineLevel="0" collapsed="false"/>
    <row r="2724" customFormat="false" ht="18" hidden="false" customHeight="true" outlineLevel="0" collapsed="false"/>
    <row r="2725" customFormat="false" ht="18" hidden="false" customHeight="true" outlineLevel="0" collapsed="false"/>
    <row r="2726" customFormat="false" ht="18" hidden="false" customHeight="true" outlineLevel="0" collapsed="false"/>
    <row r="2727" customFormat="false" ht="18" hidden="false" customHeight="true" outlineLevel="0" collapsed="false"/>
    <row r="2728" customFormat="false" ht="18" hidden="false" customHeight="true" outlineLevel="0" collapsed="false"/>
    <row r="2729" customFormat="false" ht="18" hidden="false" customHeight="true" outlineLevel="0" collapsed="false"/>
    <row r="2730" customFormat="false" ht="18" hidden="false" customHeight="true" outlineLevel="0" collapsed="false"/>
    <row r="2731" customFormat="false" ht="18" hidden="false" customHeight="true" outlineLevel="0" collapsed="false"/>
    <row r="2732" customFormat="false" ht="18" hidden="false" customHeight="true" outlineLevel="0" collapsed="false"/>
    <row r="2733" customFormat="false" ht="18" hidden="false" customHeight="true" outlineLevel="0" collapsed="false"/>
    <row r="2734" customFormat="false" ht="18" hidden="false" customHeight="true" outlineLevel="0" collapsed="false"/>
    <row r="2735" customFormat="false" ht="18" hidden="false" customHeight="true" outlineLevel="0" collapsed="false"/>
    <row r="2736" customFormat="false" ht="18" hidden="false" customHeight="true" outlineLevel="0" collapsed="false"/>
    <row r="2737" customFormat="false" ht="18" hidden="false" customHeight="true" outlineLevel="0" collapsed="false"/>
    <row r="2738" customFormat="false" ht="18" hidden="false" customHeight="true" outlineLevel="0" collapsed="false"/>
    <row r="2739" customFormat="false" ht="18" hidden="false" customHeight="true" outlineLevel="0" collapsed="false"/>
    <row r="2740" customFormat="false" ht="18" hidden="false" customHeight="true" outlineLevel="0" collapsed="false"/>
    <row r="2741" customFormat="false" ht="18" hidden="false" customHeight="true" outlineLevel="0" collapsed="false"/>
    <row r="2742" customFormat="false" ht="18" hidden="false" customHeight="true" outlineLevel="0" collapsed="false"/>
    <row r="2743" customFormat="false" ht="18" hidden="false" customHeight="true" outlineLevel="0" collapsed="false"/>
    <row r="2744" customFormat="false" ht="18" hidden="false" customHeight="true" outlineLevel="0" collapsed="false"/>
    <row r="2745" customFormat="false" ht="18" hidden="false" customHeight="true" outlineLevel="0" collapsed="false"/>
    <row r="2746" customFormat="false" ht="18" hidden="false" customHeight="true" outlineLevel="0" collapsed="false"/>
    <row r="2747" customFormat="false" ht="18" hidden="false" customHeight="true" outlineLevel="0" collapsed="false"/>
    <row r="2748" customFormat="false" ht="18" hidden="false" customHeight="true" outlineLevel="0" collapsed="false"/>
    <row r="2749" customFormat="false" ht="18" hidden="false" customHeight="true" outlineLevel="0" collapsed="false"/>
    <row r="2750" customFormat="false" ht="18" hidden="false" customHeight="true" outlineLevel="0" collapsed="false"/>
    <row r="2751" customFormat="false" ht="18" hidden="false" customHeight="true" outlineLevel="0" collapsed="false"/>
    <row r="2752" customFormat="false" ht="18" hidden="false" customHeight="true" outlineLevel="0" collapsed="false"/>
    <row r="2753" customFormat="false" ht="18" hidden="false" customHeight="true" outlineLevel="0" collapsed="false"/>
    <row r="2754" customFormat="false" ht="18" hidden="false" customHeight="true" outlineLevel="0" collapsed="false"/>
    <row r="2755" customFormat="false" ht="18" hidden="false" customHeight="true" outlineLevel="0" collapsed="false"/>
    <row r="2756" customFormat="false" ht="18" hidden="false" customHeight="true" outlineLevel="0" collapsed="false"/>
    <row r="2757" customFormat="false" ht="18" hidden="false" customHeight="true" outlineLevel="0" collapsed="false"/>
    <row r="2758" customFormat="false" ht="18" hidden="false" customHeight="true" outlineLevel="0" collapsed="false"/>
    <row r="2759" customFormat="false" ht="18" hidden="false" customHeight="true" outlineLevel="0" collapsed="false"/>
    <row r="2760" customFormat="false" ht="18" hidden="false" customHeight="true" outlineLevel="0" collapsed="false"/>
    <row r="2761" customFormat="false" ht="18" hidden="false" customHeight="true" outlineLevel="0" collapsed="false"/>
    <row r="2762" customFormat="false" ht="18" hidden="false" customHeight="true" outlineLevel="0" collapsed="false"/>
    <row r="2763" customFormat="false" ht="18" hidden="false" customHeight="true" outlineLevel="0" collapsed="false"/>
    <row r="2764" customFormat="false" ht="18" hidden="false" customHeight="true" outlineLevel="0" collapsed="false"/>
    <row r="2765" customFormat="false" ht="18" hidden="false" customHeight="true" outlineLevel="0" collapsed="false"/>
    <row r="2766" customFormat="false" ht="18" hidden="false" customHeight="true" outlineLevel="0" collapsed="false"/>
    <row r="2767" customFormat="false" ht="18" hidden="false" customHeight="true" outlineLevel="0" collapsed="false"/>
    <row r="2768" customFormat="false" ht="18" hidden="false" customHeight="true" outlineLevel="0" collapsed="false"/>
    <row r="2769" customFormat="false" ht="18" hidden="false" customHeight="true" outlineLevel="0" collapsed="false"/>
    <row r="2770" customFormat="false" ht="18" hidden="false" customHeight="true" outlineLevel="0" collapsed="false"/>
    <row r="2771" customFormat="false" ht="18" hidden="false" customHeight="true" outlineLevel="0" collapsed="false"/>
    <row r="2772" customFormat="false" ht="18" hidden="false" customHeight="true" outlineLevel="0" collapsed="false"/>
    <row r="2773" customFormat="false" ht="18" hidden="false" customHeight="true" outlineLevel="0" collapsed="false"/>
    <row r="2774" customFormat="false" ht="18" hidden="false" customHeight="true" outlineLevel="0" collapsed="false"/>
    <row r="2775" customFormat="false" ht="18" hidden="false" customHeight="true" outlineLevel="0" collapsed="false"/>
    <row r="2776" customFormat="false" ht="18" hidden="false" customHeight="true" outlineLevel="0" collapsed="false"/>
    <row r="2777" customFormat="false" ht="18" hidden="false" customHeight="true" outlineLevel="0" collapsed="false"/>
    <row r="2778" customFormat="false" ht="18" hidden="false" customHeight="true" outlineLevel="0" collapsed="false"/>
    <row r="2779" customFormat="false" ht="18" hidden="false" customHeight="true" outlineLevel="0" collapsed="false"/>
    <row r="2780" customFormat="false" ht="18" hidden="false" customHeight="true" outlineLevel="0" collapsed="false"/>
    <row r="2781" customFormat="false" ht="18" hidden="false" customHeight="true" outlineLevel="0" collapsed="false"/>
    <row r="2782" customFormat="false" ht="18" hidden="false" customHeight="true" outlineLevel="0" collapsed="false"/>
    <row r="2783" customFormat="false" ht="18" hidden="false" customHeight="true" outlineLevel="0" collapsed="false"/>
    <row r="2784" customFormat="false" ht="18" hidden="false" customHeight="true" outlineLevel="0" collapsed="false"/>
    <row r="2785" customFormat="false" ht="18" hidden="false" customHeight="true" outlineLevel="0" collapsed="false"/>
    <row r="2786" customFormat="false" ht="18" hidden="false" customHeight="true" outlineLevel="0" collapsed="false"/>
    <row r="2787" customFormat="false" ht="18" hidden="false" customHeight="true" outlineLevel="0" collapsed="false"/>
    <row r="2788" customFormat="false" ht="18" hidden="false" customHeight="true" outlineLevel="0" collapsed="false"/>
    <row r="2789" customFormat="false" ht="18" hidden="false" customHeight="true" outlineLevel="0" collapsed="false"/>
    <row r="2790" customFormat="false" ht="18" hidden="false" customHeight="true" outlineLevel="0" collapsed="false"/>
    <row r="2791" customFormat="false" ht="18" hidden="false" customHeight="true" outlineLevel="0" collapsed="false"/>
    <row r="2792" customFormat="false" ht="18" hidden="false" customHeight="true" outlineLevel="0" collapsed="false"/>
    <row r="2793" customFormat="false" ht="18" hidden="false" customHeight="true" outlineLevel="0" collapsed="false"/>
    <row r="2794" customFormat="false" ht="18" hidden="false" customHeight="true" outlineLevel="0" collapsed="false"/>
    <row r="2795" customFormat="false" ht="18" hidden="false" customHeight="true" outlineLevel="0" collapsed="false"/>
    <row r="2796" customFormat="false" ht="18" hidden="false" customHeight="true" outlineLevel="0" collapsed="false"/>
    <row r="2797" customFormat="false" ht="18" hidden="false" customHeight="true" outlineLevel="0" collapsed="false"/>
    <row r="2798" customFormat="false" ht="18" hidden="false" customHeight="true" outlineLevel="0" collapsed="false"/>
    <row r="2799" customFormat="false" ht="18" hidden="false" customHeight="true" outlineLevel="0" collapsed="false"/>
    <row r="2800" customFormat="false" ht="18" hidden="false" customHeight="true" outlineLevel="0" collapsed="false"/>
    <row r="2801" customFormat="false" ht="18" hidden="false" customHeight="true" outlineLevel="0" collapsed="false"/>
    <row r="2802" customFormat="false" ht="18" hidden="false" customHeight="true" outlineLevel="0" collapsed="false"/>
    <row r="2803" customFormat="false" ht="18" hidden="false" customHeight="true" outlineLevel="0" collapsed="false"/>
    <row r="2804" customFormat="false" ht="18" hidden="false" customHeight="true" outlineLevel="0" collapsed="false"/>
    <row r="2805" customFormat="false" ht="18" hidden="false" customHeight="true" outlineLevel="0" collapsed="false"/>
    <row r="2806" customFormat="false" ht="18" hidden="false" customHeight="true" outlineLevel="0" collapsed="false"/>
    <row r="2807" customFormat="false" ht="18" hidden="false" customHeight="true" outlineLevel="0" collapsed="false"/>
    <row r="2808" customFormat="false" ht="18" hidden="false" customHeight="true" outlineLevel="0" collapsed="false"/>
    <row r="2809" customFormat="false" ht="18" hidden="false" customHeight="true" outlineLevel="0" collapsed="false"/>
    <row r="2810" customFormat="false" ht="18" hidden="false" customHeight="true" outlineLevel="0" collapsed="false"/>
    <row r="2811" customFormat="false" ht="18" hidden="false" customHeight="true" outlineLevel="0" collapsed="false"/>
    <row r="2812" customFormat="false" ht="18" hidden="false" customHeight="true" outlineLevel="0" collapsed="false"/>
    <row r="2813" customFormat="false" ht="18" hidden="false" customHeight="true" outlineLevel="0" collapsed="false"/>
    <row r="2814" customFormat="false" ht="18" hidden="false" customHeight="true" outlineLevel="0" collapsed="false"/>
    <row r="2815" customFormat="false" ht="18" hidden="false" customHeight="true" outlineLevel="0" collapsed="false"/>
    <row r="2816" customFormat="false" ht="18" hidden="false" customHeight="true" outlineLevel="0" collapsed="false"/>
    <row r="2817" customFormat="false" ht="18" hidden="false" customHeight="true" outlineLevel="0" collapsed="false"/>
    <row r="2818" customFormat="false" ht="18" hidden="false" customHeight="true" outlineLevel="0" collapsed="false"/>
    <row r="2819" customFormat="false" ht="18" hidden="false" customHeight="true" outlineLevel="0" collapsed="false"/>
    <row r="2820" customFormat="false" ht="18" hidden="false" customHeight="true" outlineLevel="0" collapsed="false"/>
    <row r="2821" customFormat="false" ht="18" hidden="false" customHeight="true" outlineLevel="0" collapsed="false"/>
    <row r="2822" customFormat="false" ht="18" hidden="false" customHeight="true" outlineLevel="0" collapsed="false"/>
    <row r="2823" customFormat="false" ht="18" hidden="false" customHeight="true" outlineLevel="0" collapsed="false"/>
    <row r="2824" customFormat="false" ht="18" hidden="false" customHeight="true" outlineLevel="0" collapsed="false"/>
    <row r="2825" customFormat="false" ht="18" hidden="false" customHeight="true" outlineLevel="0" collapsed="false"/>
    <row r="2826" customFormat="false" ht="18" hidden="false" customHeight="true" outlineLevel="0" collapsed="false"/>
    <row r="2827" customFormat="false" ht="18" hidden="false" customHeight="true" outlineLevel="0" collapsed="false"/>
    <row r="2828" customFormat="false" ht="18" hidden="false" customHeight="true" outlineLevel="0" collapsed="false"/>
    <row r="2829" customFormat="false" ht="18" hidden="false" customHeight="true" outlineLevel="0" collapsed="false"/>
    <row r="2830" customFormat="false" ht="18" hidden="false" customHeight="true" outlineLevel="0" collapsed="false"/>
    <row r="2831" customFormat="false" ht="18" hidden="false" customHeight="true" outlineLevel="0" collapsed="false"/>
    <row r="2832" customFormat="false" ht="18" hidden="false" customHeight="true" outlineLevel="0" collapsed="false"/>
    <row r="2833" customFormat="false" ht="18" hidden="false" customHeight="true" outlineLevel="0" collapsed="false"/>
    <row r="2834" customFormat="false" ht="18" hidden="false" customHeight="true" outlineLevel="0" collapsed="false"/>
    <row r="2835" customFormat="false" ht="18" hidden="false" customHeight="true" outlineLevel="0" collapsed="false"/>
    <row r="2836" customFormat="false" ht="18" hidden="false" customHeight="true" outlineLevel="0" collapsed="false"/>
    <row r="2837" customFormat="false" ht="18" hidden="false" customHeight="true" outlineLevel="0" collapsed="false"/>
    <row r="2838" customFormat="false" ht="18" hidden="false" customHeight="true" outlineLevel="0" collapsed="false"/>
    <row r="2839" customFormat="false" ht="18" hidden="false" customHeight="true" outlineLevel="0" collapsed="false"/>
    <row r="2840" customFormat="false" ht="18" hidden="false" customHeight="true" outlineLevel="0" collapsed="false"/>
    <row r="2841" customFormat="false" ht="18" hidden="false" customHeight="true" outlineLevel="0" collapsed="false"/>
    <row r="2842" customFormat="false" ht="18" hidden="false" customHeight="true" outlineLevel="0" collapsed="false"/>
    <row r="2843" customFormat="false" ht="18" hidden="false" customHeight="true" outlineLevel="0" collapsed="false"/>
    <row r="2844" customFormat="false" ht="18" hidden="false" customHeight="true" outlineLevel="0" collapsed="false"/>
    <row r="2845" customFormat="false" ht="18" hidden="false" customHeight="true" outlineLevel="0" collapsed="false"/>
    <row r="2846" customFormat="false" ht="18" hidden="false" customHeight="true" outlineLevel="0" collapsed="false"/>
    <row r="2847" customFormat="false" ht="18" hidden="false" customHeight="true" outlineLevel="0" collapsed="false"/>
    <row r="2848" customFormat="false" ht="18" hidden="false" customHeight="true" outlineLevel="0" collapsed="false"/>
    <row r="2849" customFormat="false" ht="18" hidden="false" customHeight="true" outlineLevel="0" collapsed="false"/>
    <row r="2850" customFormat="false" ht="18" hidden="false" customHeight="true" outlineLevel="0" collapsed="false"/>
    <row r="2851" customFormat="false" ht="18" hidden="false" customHeight="true" outlineLevel="0" collapsed="false"/>
    <row r="2852" customFormat="false" ht="18" hidden="false" customHeight="true" outlineLevel="0" collapsed="false"/>
    <row r="2853" customFormat="false" ht="18" hidden="false" customHeight="true" outlineLevel="0" collapsed="false"/>
    <row r="2854" customFormat="false" ht="18" hidden="false" customHeight="true" outlineLevel="0" collapsed="false"/>
    <row r="2855" customFormat="false" ht="18" hidden="false" customHeight="true" outlineLevel="0" collapsed="false"/>
    <row r="2856" customFormat="false" ht="18" hidden="false" customHeight="true" outlineLevel="0" collapsed="false"/>
    <row r="2857" customFormat="false" ht="18" hidden="false" customHeight="true" outlineLevel="0" collapsed="false"/>
    <row r="2858" customFormat="false" ht="18" hidden="false" customHeight="true" outlineLevel="0" collapsed="false"/>
    <row r="2859" customFormat="false" ht="18" hidden="false" customHeight="true" outlineLevel="0" collapsed="false"/>
    <row r="2860" customFormat="false" ht="18" hidden="false" customHeight="true" outlineLevel="0" collapsed="false"/>
    <row r="2861" customFormat="false" ht="18" hidden="false" customHeight="true" outlineLevel="0" collapsed="false"/>
    <row r="2862" customFormat="false" ht="18" hidden="false" customHeight="true" outlineLevel="0" collapsed="false"/>
    <row r="2863" customFormat="false" ht="18" hidden="false" customHeight="true" outlineLevel="0" collapsed="false"/>
    <row r="2864" customFormat="false" ht="18" hidden="false" customHeight="true" outlineLevel="0" collapsed="false"/>
    <row r="2865" customFormat="false" ht="18" hidden="false" customHeight="true" outlineLevel="0" collapsed="false"/>
    <row r="2866" customFormat="false" ht="18" hidden="false" customHeight="true" outlineLevel="0" collapsed="false"/>
    <row r="2867" customFormat="false" ht="18" hidden="false" customHeight="true" outlineLevel="0" collapsed="false"/>
    <row r="2868" customFormat="false" ht="18" hidden="false" customHeight="true" outlineLevel="0" collapsed="false"/>
    <row r="2869" customFormat="false" ht="18" hidden="false" customHeight="true" outlineLevel="0" collapsed="false"/>
    <row r="2870" customFormat="false" ht="18" hidden="false" customHeight="true" outlineLevel="0" collapsed="false"/>
    <row r="2871" customFormat="false" ht="18" hidden="false" customHeight="true" outlineLevel="0" collapsed="false"/>
    <row r="2872" customFormat="false" ht="18" hidden="false" customHeight="true" outlineLevel="0" collapsed="false"/>
    <row r="2873" customFormat="false" ht="18" hidden="false" customHeight="true" outlineLevel="0" collapsed="false"/>
    <row r="2874" customFormat="false" ht="18" hidden="false" customHeight="true" outlineLevel="0" collapsed="false"/>
    <row r="2875" customFormat="false" ht="18" hidden="false" customHeight="true" outlineLevel="0" collapsed="false"/>
    <row r="2876" customFormat="false" ht="18" hidden="false" customHeight="true" outlineLevel="0" collapsed="false"/>
    <row r="2877" customFormat="false" ht="18" hidden="false" customHeight="true" outlineLevel="0" collapsed="false"/>
    <row r="2878" customFormat="false" ht="18" hidden="false" customHeight="true" outlineLevel="0" collapsed="false"/>
    <row r="2879" customFormat="false" ht="18" hidden="false" customHeight="true" outlineLevel="0" collapsed="false"/>
    <row r="2880" customFormat="false" ht="18" hidden="false" customHeight="true" outlineLevel="0" collapsed="false"/>
    <row r="2881" customFormat="false" ht="18" hidden="false" customHeight="true" outlineLevel="0" collapsed="false"/>
    <row r="2882" customFormat="false" ht="18" hidden="false" customHeight="true" outlineLevel="0" collapsed="false"/>
    <row r="2883" customFormat="false" ht="18" hidden="false" customHeight="true" outlineLevel="0" collapsed="false"/>
    <row r="2884" customFormat="false" ht="18" hidden="false" customHeight="true" outlineLevel="0" collapsed="false"/>
    <row r="2885" customFormat="false" ht="18" hidden="false" customHeight="true" outlineLevel="0" collapsed="false"/>
    <row r="2886" customFormat="false" ht="18" hidden="false" customHeight="true" outlineLevel="0" collapsed="false"/>
    <row r="2887" customFormat="false" ht="18" hidden="false" customHeight="true" outlineLevel="0" collapsed="false"/>
    <row r="2888" customFormat="false" ht="18" hidden="false" customHeight="true" outlineLevel="0" collapsed="false"/>
    <row r="2889" customFormat="false" ht="18" hidden="false" customHeight="true" outlineLevel="0" collapsed="false"/>
    <row r="2890" customFormat="false" ht="18" hidden="false" customHeight="true" outlineLevel="0" collapsed="false"/>
    <row r="2891" customFormat="false" ht="18" hidden="false" customHeight="true" outlineLevel="0" collapsed="false"/>
    <row r="2892" customFormat="false" ht="18" hidden="false" customHeight="true" outlineLevel="0" collapsed="false"/>
    <row r="2893" customFormat="false" ht="18" hidden="false" customHeight="true" outlineLevel="0" collapsed="false"/>
    <row r="2894" customFormat="false" ht="18" hidden="false" customHeight="true" outlineLevel="0" collapsed="false"/>
    <row r="2895" customFormat="false" ht="18" hidden="false" customHeight="true" outlineLevel="0" collapsed="false"/>
    <row r="2896" customFormat="false" ht="18" hidden="false" customHeight="true" outlineLevel="0" collapsed="false"/>
    <row r="2897" customFormat="false" ht="18" hidden="false" customHeight="true" outlineLevel="0" collapsed="false"/>
    <row r="2898" customFormat="false" ht="18" hidden="false" customHeight="true" outlineLevel="0" collapsed="false"/>
    <row r="2899" customFormat="false" ht="18" hidden="false" customHeight="true" outlineLevel="0" collapsed="false"/>
    <row r="2900" customFormat="false" ht="18" hidden="false" customHeight="true" outlineLevel="0" collapsed="false"/>
    <row r="2901" customFormat="false" ht="18" hidden="false" customHeight="true" outlineLevel="0" collapsed="false"/>
    <row r="2902" customFormat="false" ht="18" hidden="false" customHeight="true" outlineLevel="0" collapsed="false"/>
    <row r="2903" customFormat="false" ht="18" hidden="false" customHeight="true" outlineLevel="0" collapsed="false"/>
    <row r="2904" customFormat="false" ht="18" hidden="false" customHeight="true" outlineLevel="0" collapsed="false"/>
    <row r="2905" customFormat="false" ht="18" hidden="false" customHeight="true" outlineLevel="0" collapsed="false"/>
    <row r="2906" customFormat="false" ht="18" hidden="false" customHeight="true" outlineLevel="0" collapsed="false"/>
    <row r="2907" customFormat="false" ht="18" hidden="false" customHeight="true" outlineLevel="0" collapsed="false"/>
    <row r="2908" customFormat="false" ht="18" hidden="false" customHeight="true" outlineLevel="0" collapsed="false"/>
    <row r="2909" customFormat="false" ht="18" hidden="false" customHeight="true" outlineLevel="0" collapsed="false"/>
    <row r="2910" customFormat="false" ht="18" hidden="false" customHeight="true" outlineLevel="0" collapsed="false"/>
    <row r="2911" customFormat="false" ht="18" hidden="false" customHeight="true" outlineLevel="0" collapsed="false"/>
    <row r="2912" customFormat="false" ht="18" hidden="false" customHeight="true" outlineLevel="0" collapsed="false"/>
    <row r="2913" customFormat="false" ht="18" hidden="false" customHeight="true" outlineLevel="0" collapsed="false"/>
    <row r="2914" customFormat="false" ht="18" hidden="false" customHeight="true" outlineLevel="0" collapsed="false"/>
    <row r="2915" customFormat="false" ht="18" hidden="false" customHeight="true" outlineLevel="0" collapsed="false"/>
    <row r="2916" customFormat="false" ht="18" hidden="false" customHeight="true" outlineLevel="0" collapsed="false"/>
    <row r="2917" customFormat="false" ht="18" hidden="false" customHeight="true" outlineLevel="0" collapsed="false"/>
    <row r="2918" customFormat="false" ht="18" hidden="false" customHeight="true" outlineLevel="0" collapsed="false"/>
    <row r="2919" customFormat="false" ht="18" hidden="false" customHeight="true" outlineLevel="0" collapsed="false"/>
    <row r="2920" customFormat="false" ht="18" hidden="false" customHeight="true" outlineLevel="0" collapsed="false"/>
    <row r="2921" customFormat="false" ht="18" hidden="false" customHeight="true" outlineLevel="0" collapsed="false"/>
    <row r="2922" customFormat="false" ht="18" hidden="false" customHeight="true" outlineLevel="0" collapsed="false"/>
    <row r="2923" customFormat="false" ht="18" hidden="false" customHeight="true" outlineLevel="0" collapsed="false"/>
    <row r="2924" customFormat="false" ht="18" hidden="false" customHeight="true" outlineLevel="0" collapsed="false"/>
    <row r="2925" customFormat="false" ht="18" hidden="false" customHeight="true" outlineLevel="0" collapsed="false"/>
    <row r="2926" customFormat="false" ht="18" hidden="false" customHeight="true" outlineLevel="0" collapsed="false"/>
    <row r="2927" customFormat="false" ht="18" hidden="false" customHeight="true" outlineLevel="0" collapsed="false"/>
    <row r="2928" customFormat="false" ht="18" hidden="false" customHeight="true" outlineLevel="0" collapsed="false"/>
    <row r="2929" customFormat="false" ht="18" hidden="false" customHeight="true" outlineLevel="0" collapsed="false"/>
    <row r="2930" customFormat="false" ht="18" hidden="false" customHeight="true" outlineLevel="0" collapsed="false"/>
    <row r="2931" customFormat="false" ht="18" hidden="false" customHeight="true" outlineLevel="0" collapsed="false"/>
    <row r="2932" customFormat="false" ht="18" hidden="false" customHeight="true" outlineLevel="0" collapsed="false"/>
    <row r="2933" customFormat="false" ht="18" hidden="false" customHeight="true" outlineLevel="0" collapsed="false"/>
    <row r="2934" customFormat="false" ht="18" hidden="false" customHeight="true" outlineLevel="0" collapsed="false"/>
    <row r="2935" customFormat="false" ht="18" hidden="false" customHeight="true" outlineLevel="0" collapsed="false"/>
    <row r="2936" customFormat="false" ht="18" hidden="false" customHeight="true" outlineLevel="0" collapsed="false"/>
    <row r="2937" customFormat="false" ht="18" hidden="false" customHeight="true" outlineLevel="0" collapsed="false"/>
    <row r="2938" customFormat="false" ht="18" hidden="false" customHeight="true" outlineLevel="0" collapsed="false"/>
    <row r="2939" customFormat="false" ht="18" hidden="false" customHeight="true" outlineLevel="0" collapsed="false"/>
    <row r="2940" customFormat="false" ht="18" hidden="false" customHeight="true" outlineLevel="0" collapsed="false"/>
    <row r="2941" customFormat="false" ht="18" hidden="false" customHeight="true" outlineLevel="0" collapsed="false"/>
    <row r="2942" customFormat="false" ht="18" hidden="false" customHeight="true" outlineLevel="0" collapsed="false"/>
    <row r="2943" customFormat="false" ht="18" hidden="false" customHeight="true" outlineLevel="0" collapsed="false"/>
    <row r="2944" customFormat="false" ht="18" hidden="false" customHeight="true" outlineLevel="0" collapsed="false"/>
    <row r="2945" customFormat="false" ht="18" hidden="false" customHeight="true" outlineLevel="0" collapsed="false"/>
    <row r="2946" customFormat="false" ht="18" hidden="false" customHeight="true" outlineLevel="0" collapsed="false"/>
    <row r="2947" customFormat="false" ht="18" hidden="false" customHeight="true" outlineLevel="0" collapsed="false"/>
    <row r="2948" customFormat="false" ht="18" hidden="false" customHeight="true" outlineLevel="0" collapsed="false"/>
    <row r="2949" customFormat="false" ht="18" hidden="false" customHeight="true" outlineLevel="0" collapsed="false"/>
    <row r="2950" customFormat="false" ht="18" hidden="false" customHeight="true" outlineLevel="0" collapsed="false"/>
    <row r="2951" customFormat="false" ht="18" hidden="false" customHeight="true" outlineLevel="0" collapsed="false"/>
    <row r="2952" customFormat="false" ht="18" hidden="false" customHeight="true" outlineLevel="0" collapsed="false"/>
    <row r="2953" customFormat="false" ht="18" hidden="false" customHeight="true" outlineLevel="0" collapsed="false"/>
    <row r="2954" customFormat="false" ht="18" hidden="false" customHeight="true" outlineLevel="0" collapsed="false"/>
    <row r="2955" customFormat="false" ht="18" hidden="false" customHeight="true" outlineLevel="0" collapsed="false"/>
    <row r="2956" customFormat="false" ht="18" hidden="false" customHeight="true" outlineLevel="0" collapsed="false"/>
    <row r="2957" customFormat="false" ht="18" hidden="false" customHeight="true" outlineLevel="0" collapsed="false"/>
    <row r="2958" customFormat="false" ht="18" hidden="false" customHeight="true" outlineLevel="0" collapsed="false"/>
    <row r="2959" customFormat="false" ht="18" hidden="false" customHeight="true" outlineLevel="0" collapsed="false"/>
    <row r="2960" customFormat="false" ht="18" hidden="false" customHeight="true" outlineLevel="0" collapsed="false"/>
    <row r="2961" customFormat="false" ht="18" hidden="false" customHeight="true" outlineLevel="0" collapsed="false"/>
    <row r="2962" customFormat="false" ht="18" hidden="false" customHeight="true" outlineLevel="0" collapsed="false"/>
    <row r="2963" customFormat="false" ht="18" hidden="false" customHeight="true" outlineLevel="0" collapsed="false"/>
    <row r="2964" customFormat="false" ht="18" hidden="false" customHeight="true" outlineLevel="0" collapsed="false"/>
    <row r="2965" customFormat="false" ht="18" hidden="false" customHeight="true" outlineLevel="0" collapsed="false"/>
    <row r="2966" customFormat="false" ht="18" hidden="false" customHeight="true" outlineLevel="0" collapsed="false"/>
    <row r="2967" customFormat="false" ht="18" hidden="false" customHeight="true" outlineLevel="0" collapsed="false"/>
    <row r="2968" customFormat="false" ht="18" hidden="false" customHeight="true" outlineLevel="0" collapsed="false"/>
    <row r="2969" customFormat="false" ht="18" hidden="false" customHeight="true" outlineLevel="0" collapsed="false"/>
    <row r="2970" customFormat="false" ht="18" hidden="false" customHeight="true" outlineLevel="0" collapsed="false"/>
    <row r="2971" customFormat="false" ht="18" hidden="false" customHeight="true" outlineLevel="0" collapsed="false"/>
    <row r="2972" customFormat="false" ht="18" hidden="false" customHeight="true" outlineLevel="0" collapsed="false"/>
    <row r="2973" customFormat="false" ht="18" hidden="false" customHeight="true" outlineLevel="0" collapsed="false"/>
    <row r="2974" customFormat="false" ht="18" hidden="false" customHeight="true" outlineLevel="0" collapsed="false"/>
    <row r="2975" customFormat="false" ht="18" hidden="false" customHeight="true" outlineLevel="0" collapsed="false"/>
    <row r="2976" customFormat="false" ht="18" hidden="false" customHeight="true" outlineLevel="0" collapsed="false"/>
    <row r="2977" customFormat="false" ht="18" hidden="false" customHeight="true" outlineLevel="0" collapsed="false"/>
    <row r="2978" customFormat="false" ht="18" hidden="false" customHeight="true" outlineLevel="0" collapsed="false"/>
    <row r="2979" customFormat="false" ht="18" hidden="false" customHeight="true" outlineLevel="0" collapsed="false"/>
    <row r="2980" customFormat="false" ht="18" hidden="false" customHeight="true" outlineLevel="0" collapsed="false"/>
    <row r="2981" customFormat="false" ht="18" hidden="false" customHeight="true" outlineLevel="0" collapsed="false"/>
    <row r="2982" customFormat="false" ht="18" hidden="false" customHeight="true" outlineLevel="0" collapsed="false"/>
    <row r="2983" customFormat="false" ht="18" hidden="false" customHeight="true" outlineLevel="0" collapsed="false"/>
    <row r="2984" customFormat="false" ht="18" hidden="false" customHeight="true" outlineLevel="0" collapsed="false"/>
    <row r="2985" customFormat="false" ht="18" hidden="false" customHeight="true" outlineLevel="0" collapsed="false"/>
    <row r="2986" customFormat="false" ht="18" hidden="false" customHeight="true" outlineLevel="0" collapsed="false"/>
    <row r="2987" customFormat="false" ht="18" hidden="false" customHeight="true" outlineLevel="0" collapsed="false"/>
    <row r="2988" customFormat="false" ht="18" hidden="false" customHeight="true" outlineLevel="0" collapsed="false"/>
    <row r="2989" customFormat="false" ht="18" hidden="false" customHeight="true" outlineLevel="0" collapsed="false"/>
    <row r="2990" customFormat="false" ht="18" hidden="false" customHeight="true" outlineLevel="0" collapsed="false"/>
    <row r="2991" customFormat="false" ht="18" hidden="false" customHeight="true" outlineLevel="0" collapsed="false"/>
    <row r="2992" customFormat="false" ht="18" hidden="false" customHeight="true" outlineLevel="0" collapsed="false"/>
    <row r="2993" customFormat="false" ht="18" hidden="false" customHeight="true" outlineLevel="0" collapsed="false"/>
    <row r="2994" customFormat="false" ht="18" hidden="false" customHeight="true" outlineLevel="0" collapsed="false"/>
    <row r="2995" customFormat="false" ht="18" hidden="false" customHeight="true" outlineLevel="0" collapsed="false"/>
    <row r="2996" customFormat="false" ht="18" hidden="false" customHeight="true" outlineLevel="0" collapsed="false"/>
    <row r="2997" customFormat="false" ht="18" hidden="false" customHeight="true" outlineLevel="0" collapsed="false"/>
    <row r="2998" customFormat="false" ht="18" hidden="false" customHeight="true" outlineLevel="0" collapsed="false"/>
    <row r="2999" customFormat="false" ht="18" hidden="false" customHeight="true" outlineLevel="0" collapsed="false"/>
    <row r="3000" customFormat="false" ht="18" hidden="false" customHeight="true" outlineLevel="0" collapsed="false"/>
    <row r="3001" customFormat="false" ht="18" hidden="false" customHeight="true" outlineLevel="0" collapsed="false"/>
    <row r="3002" customFormat="false" ht="18" hidden="false" customHeight="true" outlineLevel="0" collapsed="false"/>
    <row r="3003" customFormat="false" ht="18" hidden="false" customHeight="true" outlineLevel="0" collapsed="false"/>
    <row r="3004" customFormat="false" ht="18" hidden="false" customHeight="true" outlineLevel="0" collapsed="false"/>
    <row r="3005" customFormat="false" ht="18" hidden="false" customHeight="true" outlineLevel="0" collapsed="false"/>
    <row r="3006" customFormat="false" ht="18" hidden="false" customHeight="true" outlineLevel="0" collapsed="false"/>
    <row r="3007" customFormat="false" ht="18" hidden="false" customHeight="true" outlineLevel="0" collapsed="false"/>
    <row r="3008" customFormat="false" ht="18" hidden="false" customHeight="true" outlineLevel="0" collapsed="false"/>
    <row r="3009" customFormat="false" ht="18" hidden="false" customHeight="true" outlineLevel="0" collapsed="false"/>
    <row r="3010" customFormat="false" ht="18" hidden="false" customHeight="true" outlineLevel="0" collapsed="false"/>
    <row r="3011" customFormat="false" ht="18" hidden="false" customHeight="true" outlineLevel="0" collapsed="false"/>
    <row r="3012" customFormat="false" ht="18" hidden="false" customHeight="true" outlineLevel="0" collapsed="false"/>
    <row r="3013" customFormat="false" ht="18" hidden="false" customHeight="true" outlineLevel="0" collapsed="false"/>
    <row r="3014" customFormat="false" ht="18" hidden="false" customHeight="true" outlineLevel="0" collapsed="false"/>
    <row r="3015" customFormat="false" ht="18" hidden="false" customHeight="true" outlineLevel="0" collapsed="false"/>
    <row r="3016" customFormat="false" ht="18" hidden="false" customHeight="true" outlineLevel="0" collapsed="false"/>
    <row r="3017" customFormat="false" ht="18" hidden="false" customHeight="true" outlineLevel="0" collapsed="false"/>
    <row r="3018" customFormat="false" ht="18" hidden="false" customHeight="true" outlineLevel="0" collapsed="false"/>
    <row r="3019" customFormat="false" ht="18" hidden="false" customHeight="true" outlineLevel="0" collapsed="false"/>
    <row r="3020" customFormat="false" ht="18" hidden="false" customHeight="true" outlineLevel="0" collapsed="false"/>
    <row r="3021" customFormat="false" ht="18" hidden="false" customHeight="true" outlineLevel="0" collapsed="false"/>
    <row r="3022" customFormat="false" ht="18" hidden="false" customHeight="true" outlineLevel="0" collapsed="false"/>
    <row r="3023" customFormat="false" ht="18" hidden="false" customHeight="true" outlineLevel="0" collapsed="false"/>
    <row r="3024" customFormat="false" ht="18" hidden="false" customHeight="true" outlineLevel="0" collapsed="false"/>
    <row r="3025" customFormat="false" ht="18" hidden="false" customHeight="true" outlineLevel="0" collapsed="false"/>
    <row r="3026" customFormat="false" ht="18" hidden="false" customHeight="true" outlineLevel="0" collapsed="false"/>
    <row r="3027" customFormat="false" ht="18" hidden="false" customHeight="true" outlineLevel="0" collapsed="false"/>
    <row r="3028" customFormat="false" ht="18" hidden="false" customHeight="true" outlineLevel="0" collapsed="false"/>
    <row r="3029" customFormat="false" ht="18" hidden="false" customHeight="true" outlineLevel="0" collapsed="false"/>
    <row r="3030" customFormat="false" ht="18" hidden="false" customHeight="true" outlineLevel="0" collapsed="false"/>
    <row r="3031" customFormat="false" ht="18" hidden="false" customHeight="true" outlineLevel="0" collapsed="false"/>
    <row r="3032" customFormat="false" ht="18" hidden="false" customHeight="true" outlineLevel="0" collapsed="false"/>
    <row r="3033" customFormat="false" ht="18" hidden="false" customHeight="true" outlineLevel="0" collapsed="false"/>
    <row r="3034" customFormat="false" ht="18" hidden="false" customHeight="true" outlineLevel="0" collapsed="false"/>
    <row r="3035" customFormat="false" ht="18" hidden="false" customHeight="true" outlineLevel="0" collapsed="false"/>
    <row r="3036" customFormat="false" ht="18" hidden="false" customHeight="true" outlineLevel="0" collapsed="false"/>
    <row r="3037" customFormat="false" ht="18" hidden="false" customHeight="true" outlineLevel="0" collapsed="false"/>
    <row r="3038" customFormat="false" ht="18" hidden="false" customHeight="true" outlineLevel="0" collapsed="false"/>
    <row r="3039" customFormat="false" ht="18" hidden="false" customHeight="true" outlineLevel="0" collapsed="false"/>
    <row r="3040" customFormat="false" ht="18" hidden="false" customHeight="true" outlineLevel="0" collapsed="false"/>
    <row r="3041" customFormat="false" ht="18" hidden="false" customHeight="true" outlineLevel="0" collapsed="false"/>
    <row r="3042" customFormat="false" ht="18" hidden="false" customHeight="true" outlineLevel="0" collapsed="false"/>
    <row r="3043" customFormat="false" ht="18" hidden="false" customHeight="true" outlineLevel="0" collapsed="false"/>
    <row r="3044" customFormat="false" ht="18" hidden="false" customHeight="true" outlineLevel="0" collapsed="false"/>
    <row r="3045" customFormat="false" ht="18" hidden="false" customHeight="true" outlineLevel="0" collapsed="false"/>
    <row r="3046" customFormat="false" ht="18" hidden="false" customHeight="true" outlineLevel="0" collapsed="false"/>
    <row r="3047" customFormat="false" ht="18" hidden="false" customHeight="true" outlineLevel="0" collapsed="false"/>
    <row r="3048" customFormat="false" ht="18" hidden="false" customHeight="true" outlineLevel="0" collapsed="false"/>
    <row r="3049" customFormat="false" ht="18" hidden="false" customHeight="true" outlineLevel="0" collapsed="false"/>
    <row r="3050" customFormat="false" ht="18" hidden="false" customHeight="true" outlineLevel="0" collapsed="false"/>
    <row r="3051" customFormat="false" ht="18" hidden="false" customHeight="true" outlineLevel="0" collapsed="false"/>
    <row r="3052" customFormat="false" ht="18" hidden="false" customHeight="true" outlineLevel="0" collapsed="false"/>
    <row r="3053" customFormat="false" ht="18" hidden="false" customHeight="true" outlineLevel="0" collapsed="false"/>
    <row r="3054" customFormat="false" ht="18" hidden="false" customHeight="true" outlineLevel="0" collapsed="false"/>
    <row r="3055" customFormat="false" ht="18" hidden="false" customHeight="true" outlineLevel="0" collapsed="false"/>
    <row r="3056" customFormat="false" ht="18" hidden="false" customHeight="true" outlineLevel="0" collapsed="false"/>
    <row r="3057" customFormat="false" ht="18" hidden="false" customHeight="true" outlineLevel="0" collapsed="false"/>
    <row r="3058" customFormat="false" ht="18" hidden="false" customHeight="true" outlineLevel="0" collapsed="false"/>
    <row r="3059" customFormat="false" ht="18" hidden="false" customHeight="true" outlineLevel="0" collapsed="false"/>
    <row r="3060" customFormat="false" ht="18" hidden="false" customHeight="true" outlineLevel="0" collapsed="false"/>
    <row r="3061" customFormat="false" ht="18" hidden="false" customHeight="true" outlineLevel="0" collapsed="false"/>
    <row r="3062" customFormat="false" ht="18" hidden="false" customHeight="true" outlineLevel="0" collapsed="false"/>
    <row r="3063" customFormat="false" ht="18" hidden="false" customHeight="true" outlineLevel="0" collapsed="false"/>
    <row r="3064" customFormat="false" ht="18" hidden="false" customHeight="true" outlineLevel="0" collapsed="false"/>
    <row r="3065" customFormat="false" ht="18" hidden="false" customHeight="true" outlineLevel="0" collapsed="false"/>
    <row r="3066" customFormat="false" ht="18" hidden="false" customHeight="true" outlineLevel="0" collapsed="false"/>
    <row r="3067" customFormat="false" ht="18" hidden="false" customHeight="true" outlineLevel="0" collapsed="false"/>
    <row r="3068" customFormat="false" ht="18" hidden="false" customHeight="true" outlineLevel="0" collapsed="false"/>
    <row r="3069" customFormat="false" ht="18" hidden="false" customHeight="true" outlineLevel="0" collapsed="false"/>
    <row r="3070" customFormat="false" ht="18" hidden="false" customHeight="true" outlineLevel="0" collapsed="false"/>
    <row r="3071" customFormat="false" ht="18" hidden="false" customHeight="true" outlineLevel="0" collapsed="false"/>
    <row r="3072" customFormat="false" ht="18" hidden="false" customHeight="true" outlineLevel="0" collapsed="false"/>
    <row r="3073" customFormat="false" ht="18" hidden="false" customHeight="true" outlineLevel="0" collapsed="false"/>
    <row r="3074" customFormat="false" ht="18" hidden="false" customHeight="true" outlineLevel="0" collapsed="false"/>
    <row r="3075" customFormat="false" ht="18" hidden="false" customHeight="true" outlineLevel="0" collapsed="false"/>
    <row r="3076" customFormat="false" ht="18" hidden="false" customHeight="true" outlineLevel="0" collapsed="false"/>
    <row r="3077" customFormat="false" ht="18" hidden="false" customHeight="true" outlineLevel="0" collapsed="false"/>
    <row r="3078" customFormat="false" ht="18" hidden="false" customHeight="true" outlineLevel="0" collapsed="false"/>
    <row r="3079" customFormat="false" ht="18" hidden="false" customHeight="true" outlineLevel="0" collapsed="false"/>
    <row r="3080" customFormat="false" ht="18" hidden="false" customHeight="true" outlineLevel="0" collapsed="false"/>
    <row r="3081" customFormat="false" ht="18" hidden="false" customHeight="true" outlineLevel="0" collapsed="false"/>
    <row r="3082" customFormat="false" ht="18" hidden="false" customHeight="true" outlineLevel="0" collapsed="false"/>
    <row r="3083" customFormat="false" ht="18" hidden="false" customHeight="true" outlineLevel="0" collapsed="false"/>
    <row r="3084" customFormat="false" ht="18" hidden="false" customHeight="true" outlineLevel="0" collapsed="false"/>
    <row r="3085" customFormat="false" ht="18" hidden="false" customHeight="true" outlineLevel="0" collapsed="false"/>
    <row r="3086" customFormat="false" ht="18" hidden="false" customHeight="true" outlineLevel="0" collapsed="false"/>
    <row r="3087" customFormat="false" ht="18" hidden="false" customHeight="true" outlineLevel="0" collapsed="false"/>
    <row r="3088" customFormat="false" ht="18" hidden="false" customHeight="true" outlineLevel="0" collapsed="false"/>
    <row r="3089" customFormat="false" ht="18" hidden="false" customHeight="true" outlineLevel="0" collapsed="false"/>
    <row r="3090" customFormat="false" ht="18" hidden="false" customHeight="true" outlineLevel="0" collapsed="false"/>
    <row r="3091" customFormat="false" ht="18" hidden="false" customHeight="true" outlineLevel="0" collapsed="false"/>
    <row r="3092" customFormat="false" ht="18" hidden="false" customHeight="true" outlineLevel="0" collapsed="false"/>
    <row r="3093" customFormat="false" ht="18" hidden="false" customHeight="true" outlineLevel="0" collapsed="false"/>
    <row r="3094" customFormat="false" ht="18" hidden="false" customHeight="true" outlineLevel="0" collapsed="false"/>
    <row r="3095" customFormat="false" ht="18" hidden="false" customHeight="true" outlineLevel="0" collapsed="false"/>
    <row r="3096" customFormat="false" ht="18" hidden="false" customHeight="true" outlineLevel="0" collapsed="false"/>
    <row r="3097" customFormat="false" ht="18" hidden="false" customHeight="true" outlineLevel="0" collapsed="false"/>
    <row r="3098" customFormat="false" ht="18" hidden="false" customHeight="true" outlineLevel="0" collapsed="false"/>
    <row r="3099" customFormat="false" ht="18" hidden="false" customHeight="true" outlineLevel="0" collapsed="false"/>
    <row r="3100" customFormat="false" ht="18" hidden="false" customHeight="true" outlineLevel="0" collapsed="false"/>
    <row r="3101" customFormat="false" ht="18" hidden="false" customHeight="true" outlineLevel="0" collapsed="false"/>
    <row r="3102" customFormat="false" ht="18" hidden="false" customHeight="true" outlineLevel="0" collapsed="false"/>
    <row r="3103" customFormat="false" ht="18" hidden="false" customHeight="true" outlineLevel="0" collapsed="false"/>
    <row r="3104" customFormat="false" ht="18" hidden="false" customHeight="true" outlineLevel="0" collapsed="false"/>
    <row r="3105" customFormat="false" ht="18" hidden="false" customHeight="true" outlineLevel="0" collapsed="false"/>
    <row r="3106" customFormat="false" ht="18" hidden="false" customHeight="true" outlineLevel="0" collapsed="false"/>
    <row r="3107" customFormat="false" ht="18" hidden="false" customHeight="true" outlineLevel="0" collapsed="false"/>
    <row r="3108" customFormat="false" ht="18" hidden="false" customHeight="true" outlineLevel="0" collapsed="false"/>
    <row r="3109" customFormat="false" ht="18" hidden="false" customHeight="true" outlineLevel="0" collapsed="false"/>
    <row r="3110" customFormat="false" ht="18" hidden="false" customHeight="true" outlineLevel="0" collapsed="false"/>
    <row r="3111" customFormat="false" ht="18" hidden="false" customHeight="true" outlineLevel="0" collapsed="false"/>
    <row r="3112" customFormat="false" ht="18" hidden="false" customHeight="true" outlineLevel="0" collapsed="false"/>
    <row r="3113" customFormat="false" ht="18" hidden="false" customHeight="true" outlineLevel="0" collapsed="false"/>
    <row r="3114" customFormat="false" ht="18" hidden="false" customHeight="true" outlineLevel="0" collapsed="false"/>
    <row r="3115" customFormat="false" ht="18" hidden="false" customHeight="true" outlineLevel="0" collapsed="false"/>
    <row r="3116" customFormat="false" ht="18" hidden="false" customHeight="true" outlineLevel="0" collapsed="false"/>
    <row r="3117" customFormat="false" ht="18" hidden="false" customHeight="true" outlineLevel="0" collapsed="false"/>
    <row r="3118" customFormat="false" ht="18" hidden="false" customHeight="true" outlineLevel="0" collapsed="false"/>
    <row r="3119" customFormat="false" ht="18" hidden="false" customHeight="true" outlineLevel="0" collapsed="false"/>
    <row r="3120" customFormat="false" ht="18" hidden="false" customHeight="true" outlineLevel="0" collapsed="false"/>
    <row r="3121" customFormat="false" ht="18" hidden="false" customHeight="true" outlineLevel="0" collapsed="false"/>
    <row r="3122" customFormat="false" ht="18" hidden="false" customHeight="true" outlineLevel="0" collapsed="false"/>
    <row r="3123" customFormat="false" ht="18" hidden="false" customHeight="true" outlineLevel="0" collapsed="false"/>
    <row r="3124" customFormat="false" ht="18" hidden="false" customHeight="true" outlineLevel="0" collapsed="false"/>
    <row r="3125" customFormat="false" ht="18" hidden="false" customHeight="true" outlineLevel="0" collapsed="false"/>
    <row r="3126" customFormat="false" ht="18" hidden="false" customHeight="true" outlineLevel="0" collapsed="false"/>
    <row r="3127" customFormat="false" ht="18" hidden="false" customHeight="true" outlineLevel="0" collapsed="false"/>
    <row r="3128" customFormat="false" ht="18" hidden="false" customHeight="true" outlineLevel="0" collapsed="false"/>
    <row r="3129" customFormat="false" ht="18" hidden="false" customHeight="true" outlineLevel="0" collapsed="false"/>
    <row r="3130" customFormat="false" ht="18" hidden="false" customHeight="true" outlineLevel="0" collapsed="false"/>
    <row r="3131" customFormat="false" ht="18" hidden="false" customHeight="true" outlineLevel="0" collapsed="false"/>
    <row r="3132" customFormat="false" ht="18" hidden="false" customHeight="true" outlineLevel="0" collapsed="false"/>
    <row r="3133" customFormat="false" ht="18" hidden="false" customHeight="true" outlineLevel="0" collapsed="false"/>
    <row r="3134" customFormat="false" ht="18" hidden="false" customHeight="true" outlineLevel="0" collapsed="false"/>
    <row r="3135" customFormat="false" ht="18" hidden="false" customHeight="true" outlineLevel="0" collapsed="false"/>
    <row r="3136" customFormat="false" ht="18" hidden="false" customHeight="true" outlineLevel="0" collapsed="false"/>
    <row r="3137" customFormat="false" ht="18" hidden="false" customHeight="true" outlineLevel="0" collapsed="false"/>
    <row r="3138" customFormat="false" ht="18" hidden="false" customHeight="true" outlineLevel="0" collapsed="false"/>
    <row r="3139" customFormat="false" ht="18" hidden="false" customHeight="true" outlineLevel="0" collapsed="false"/>
    <row r="3140" customFormat="false" ht="18" hidden="false" customHeight="true" outlineLevel="0" collapsed="false"/>
    <row r="3141" customFormat="false" ht="18" hidden="false" customHeight="true" outlineLevel="0" collapsed="false"/>
    <row r="3142" customFormat="false" ht="18" hidden="false" customHeight="true" outlineLevel="0" collapsed="false"/>
    <row r="3143" customFormat="false" ht="18" hidden="false" customHeight="true" outlineLevel="0" collapsed="false"/>
    <row r="3144" customFormat="false" ht="18" hidden="false" customHeight="true" outlineLevel="0" collapsed="false"/>
    <row r="3145" customFormat="false" ht="18" hidden="false" customHeight="true" outlineLevel="0" collapsed="false"/>
    <row r="3146" customFormat="false" ht="18" hidden="false" customHeight="true" outlineLevel="0" collapsed="false"/>
    <row r="3147" customFormat="false" ht="18" hidden="false" customHeight="true" outlineLevel="0" collapsed="false"/>
    <row r="3148" customFormat="false" ht="18" hidden="false" customHeight="true" outlineLevel="0" collapsed="false"/>
    <row r="3149" customFormat="false" ht="18" hidden="false" customHeight="true" outlineLevel="0" collapsed="false"/>
    <row r="3150" customFormat="false" ht="18" hidden="false" customHeight="true" outlineLevel="0" collapsed="false"/>
    <row r="3151" customFormat="false" ht="18" hidden="false" customHeight="true" outlineLevel="0" collapsed="false"/>
    <row r="3152" customFormat="false" ht="18" hidden="false" customHeight="true" outlineLevel="0" collapsed="false"/>
    <row r="3153" customFormat="false" ht="18" hidden="false" customHeight="true" outlineLevel="0" collapsed="false"/>
    <row r="3154" customFormat="false" ht="18" hidden="false" customHeight="true" outlineLevel="0" collapsed="false"/>
    <row r="3155" customFormat="false" ht="18" hidden="false" customHeight="true" outlineLevel="0" collapsed="false"/>
    <row r="3156" customFormat="false" ht="18" hidden="false" customHeight="true" outlineLevel="0" collapsed="false"/>
    <row r="3157" customFormat="false" ht="18" hidden="false" customHeight="true" outlineLevel="0" collapsed="false"/>
    <row r="3158" customFormat="false" ht="18" hidden="false" customHeight="true" outlineLevel="0" collapsed="false"/>
    <row r="3159" customFormat="false" ht="18" hidden="false" customHeight="true" outlineLevel="0" collapsed="false"/>
    <row r="3160" customFormat="false" ht="18" hidden="false" customHeight="true" outlineLevel="0" collapsed="false"/>
    <row r="3161" customFormat="false" ht="18" hidden="false" customHeight="true" outlineLevel="0" collapsed="false"/>
    <row r="3162" customFormat="false" ht="18" hidden="false" customHeight="true" outlineLevel="0" collapsed="false"/>
    <row r="3163" customFormat="false" ht="18" hidden="false" customHeight="true" outlineLevel="0" collapsed="false"/>
    <row r="3164" customFormat="false" ht="18" hidden="false" customHeight="true" outlineLevel="0" collapsed="false"/>
    <row r="3165" customFormat="false" ht="18" hidden="false" customHeight="true" outlineLevel="0" collapsed="false"/>
    <row r="3166" customFormat="false" ht="18" hidden="false" customHeight="true" outlineLevel="0" collapsed="false"/>
    <row r="3167" customFormat="false" ht="18" hidden="false" customHeight="true" outlineLevel="0" collapsed="false"/>
    <row r="3168" customFormat="false" ht="18" hidden="false" customHeight="true" outlineLevel="0" collapsed="false"/>
    <row r="3169" customFormat="false" ht="18" hidden="false" customHeight="true" outlineLevel="0" collapsed="false"/>
    <row r="3170" customFormat="false" ht="18" hidden="false" customHeight="true" outlineLevel="0" collapsed="false"/>
    <row r="3171" customFormat="false" ht="18" hidden="false" customHeight="true" outlineLevel="0" collapsed="false"/>
    <row r="3172" customFormat="false" ht="18" hidden="false" customHeight="true" outlineLevel="0" collapsed="false"/>
    <row r="3173" customFormat="false" ht="18" hidden="false" customHeight="true" outlineLevel="0" collapsed="false"/>
    <row r="3174" customFormat="false" ht="18" hidden="false" customHeight="true" outlineLevel="0" collapsed="false"/>
    <row r="3175" customFormat="false" ht="18" hidden="false" customHeight="true" outlineLevel="0" collapsed="false"/>
    <row r="3176" customFormat="false" ht="18" hidden="false" customHeight="true" outlineLevel="0" collapsed="false"/>
    <row r="3177" customFormat="false" ht="18" hidden="false" customHeight="true" outlineLevel="0" collapsed="false"/>
    <row r="3178" customFormat="false" ht="18" hidden="false" customHeight="true" outlineLevel="0" collapsed="false"/>
    <row r="3179" customFormat="false" ht="18" hidden="false" customHeight="true" outlineLevel="0" collapsed="false"/>
    <row r="3180" customFormat="false" ht="18" hidden="false" customHeight="true" outlineLevel="0" collapsed="false"/>
    <row r="3181" customFormat="false" ht="18" hidden="false" customHeight="true" outlineLevel="0" collapsed="false"/>
    <row r="3182" customFormat="false" ht="18" hidden="false" customHeight="true" outlineLevel="0" collapsed="false"/>
    <row r="3183" customFormat="false" ht="18" hidden="false" customHeight="true" outlineLevel="0" collapsed="false"/>
    <row r="3184" customFormat="false" ht="18" hidden="false" customHeight="true" outlineLevel="0" collapsed="false"/>
    <row r="3185" customFormat="false" ht="18" hidden="false" customHeight="true" outlineLevel="0" collapsed="false"/>
    <row r="3186" customFormat="false" ht="18" hidden="false" customHeight="true" outlineLevel="0" collapsed="false"/>
    <row r="3187" customFormat="false" ht="18" hidden="false" customHeight="true" outlineLevel="0" collapsed="false"/>
    <row r="3188" customFormat="false" ht="18" hidden="false" customHeight="true" outlineLevel="0" collapsed="false"/>
    <row r="3189" customFormat="false" ht="18" hidden="false" customHeight="true" outlineLevel="0" collapsed="false"/>
    <row r="3190" customFormat="false" ht="18" hidden="false" customHeight="true" outlineLevel="0" collapsed="false"/>
    <row r="3191" customFormat="false" ht="18" hidden="false" customHeight="true" outlineLevel="0" collapsed="false"/>
    <row r="3192" customFormat="false" ht="18" hidden="false" customHeight="true" outlineLevel="0" collapsed="false"/>
    <row r="3193" customFormat="false" ht="18" hidden="false" customHeight="true" outlineLevel="0" collapsed="false"/>
    <row r="3194" customFormat="false" ht="18" hidden="false" customHeight="true" outlineLevel="0" collapsed="false"/>
    <row r="3195" customFormat="false" ht="18" hidden="false" customHeight="true" outlineLevel="0" collapsed="false"/>
    <row r="3196" customFormat="false" ht="18" hidden="false" customHeight="true" outlineLevel="0" collapsed="false"/>
    <row r="3197" customFormat="false" ht="18" hidden="false" customHeight="true" outlineLevel="0" collapsed="false"/>
    <row r="3198" customFormat="false" ht="18" hidden="false" customHeight="true" outlineLevel="0" collapsed="false"/>
    <row r="3199" customFormat="false" ht="18" hidden="false" customHeight="true" outlineLevel="0" collapsed="false"/>
    <row r="3200" customFormat="false" ht="18" hidden="false" customHeight="true" outlineLevel="0" collapsed="false"/>
    <row r="3201" customFormat="false" ht="18" hidden="false" customHeight="true" outlineLevel="0" collapsed="false"/>
    <row r="3202" customFormat="false" ht="18" hidden="false" customHeight="true" outlineLevel="0" collapsed="false"/>
    <row r="3203" customFormat="false" ht="18" hidden="false" customHeight="true" outlineLevel="0" collapsed="false"/>
    <row r="3204" customFormat="false" ht="18" hidden="false" customHeight="true" outlineLevel="0" collapsed="false"/>
    <row r="3205" customFormat="false" ht="18" hidden="false" customHeight="true" outlineLevel="0" collapsed="false"/>
    <row r="3206" customFormat="false" ht="18" hidden="false" customHeight="true" outlineLevel="0" collapsed="false"/>
    <row r="3207" customFormat="false" ht="18" hidden="false" customHeight="true" outlineLevel="0" collapsed="false"/>
    <row r="3208" customFormat="false" ht="18" hidden="false" customHeight="true" outlineLevel="0" collapsed="false"/>
    <row r="3209" customFormat="false" ht="18" hidden="false" customHeight="true" outlineLevel="0" collapsed="false"/>
    <row r="3210" customFormat="false" ht="18" hidden="false" customHeight="true" outlineLevel="0" collapsed="false"/>
    <row r="3211" customFormat="false" ht="18" hidden="false" customHeight="true" outlineLevel="0" collapsed="false"/>
    <row r="3212" customFormat="false" ht="18" hidden="false" customHeight="true" outlineLevel="0" collapsed="false"/>
    <row r="3213" customFormat="false" ht="18" hidden="false" customHeight="true" outlineLevel="0" collapsed="false"/>
    <row r="3214" customFormat="false" ht="18" hidden="false" customHeight="true" outlineLevel="0" collapsed="false"/>
    <row r="3215" customFormat="false" ht="18" hidden="false" customHeight="true" outlineLevel="0" collapsed="false"/>
    <row r="3216" customFormat="false" ht="18" hidden="false" customHeight="true" outlineLevel="0" collapsed="false"/>
    <row r="3217" customFormat="false" ht="18" hidden="false" customHeight="true" outlineLevel="0" collapsed="false"/>
    <row r="3218" customFormat="false" ht="18" hidden="false" customHeight="true" outlineLevel="0" collapsed="false"/>
    <row r="3219" customFormat="false" ht="18" hidden="false" customHeight="true" outlineLevel="0" collapsed="false"/>
    <row r="3220" customFormat="false" ht="18" hidden="false" customHeight="true" outlineLevel="0" collapsed="false"/>
    <row r="3221" customFormat="false" ht="18" hidden="false" customHeight="true" outlineLevel="0" collapsed="false"/>
    <row r="3222" customFormat="false" ht="18" hidden="false" customHeight="true" outlineLevel="0" collapsed="false"/>
    <row r="3223" customFormat="false" ht="18" hidden="false" customHeight="true" outlineLevel="0" collapsed="false"/>
    <row r="3224" customFormat="false" ht="18" hidden="false" customHeight="true" outlineLevel="0" collapsed="false"/>
    <row r="3225" customFormat="false" ht="18" hidden="false" customHeight="true" outlineLevel="0" collapsed="false"/>
    <row r="3226" customFormat="false" ht="18" hidden="false" customHeight="true" outlineLevel="0" collapsed="false"/>
    <row r="3227" customFormat="false" ht="18" hidden="false" customHeight="true" outlineLevel="0" collapsed="false"/>
    <row r="3228" customFormat="false" ht="18" hidden="false" customHeight="true" outlineLevel="0" collapsed="false"/>
    <row r="3229" customFormat="false" ht="18" hidden="false" customHeight="true" outlineLevel="0" collapsed="false"/>
    <row r="3230" customFormat="false" ht="18" hidden="false" customHeight="true" outlineLevel="0" collapsed="false"/>
    <row r="3231" customFormat="false" ht="18" hidden="false" customHeight="true" outlineLevel="0" collapsed="false"/>
    <row r="3232" customFormat="false" ht="18" hidden="false" customHeight="true" outlineLevel="0" collapsed="false"/>
    <row r="3233" customFormat="false" ht="18" hidden="false" customHeight="true" outlineLevel="0" collapsed="false"/>
    <row r="3234" customFormat="false" ht="18" hidden="false" customHeight="true" outlineLevel="0" collapsed="false"/>
    <row r="3235" customFormat="false" ht="18" hidden="false" customHeight="true" outlineLevel="0" collapsed="false"/>
    <row r="3236" customFormat="false" ht="18" hidden="false" customHeight="true" outlineLevel="0" collapsed="false"/>
    <row r="3237" customFormat="false" ht="18" hidden="false" customHeight="true" outlineLevel="0" collapsed="false"/>
    <row r="3238" customFormat="false" ht="18" hidden="false" customHeight="true" outlineLevel="0" collapsed="false"/>
    <row r="3239" customFormat="false" ht="18" hidden="false" customHeight="true" outlineLevel="0" collapsed="false"/>
    <row r="3240" customFormat="false" ht="18" hidden="false" customHeight="true" outlineLevel="0" collapsed="false"/>
    <row r="3241" customFormat="false" ht="18" hidden="false" customHeight="true" outlineLevel="0" collapsed="false"/>
    <row r="3242" customFormat="false" ht="18" hidden="false" customHeight="true" outlineLevel="0" collapsed="false"/>
    <row r="3243" customFormat="false" ht="18" hidden="false" customHeight="true" outlineLevel="0" collapsed="false"/>
    <row r="3244" customFormat="false" ht="18" hidden="false" customHeight="true" outlineLevel="0" collapsed="false"/>
    <row r="3245" customFormat="false" ht="18" hidden="false" customHeight="true" outlineLevel="0" collapsed="false"/>
    <row r="3246" customFormat="false" ht="18" hidden="false" customHeight="true" outlineLevel="0" collapsed="false"/>
    <row r="3247" customFormat="false" ht="18" hidden="false" customHeight="true" outlineLevel="0" collapsed="false"/>
    <row r="3248" customFormat="false" ht="18" hidden="false" customHeight="true" outlineLevel="0" collapsed="false"/>
    <row r="3249" customFormat="false" ht="18" hidden="false" customHeight="true" outlineLevel="0" collapsed="false"/>
    <row r="3250" customFormat="false" ht="18" hidden="false" customHeight="true" outlineLevel="0" collapsed="false"/>
    <row r="3251" customFormat="false" ht="18" hidden="false" customHeight="true" outlineLevel="0" collapsed="false"/>
    <row r="3252" customFormat="false" ht="18" hidden="false" customHeight="true" outlineLevel="0" collapsed="false"/>
    <row r="3253" customFormat="false" ht="18" hidden="false" customHeight="true" outlineLevel="0" collapsed="false"/>
    <row r="3254" customFormat="false" ht="18" hidden="false" customHeight="true" outlineLevel="0" collapsed="false"/>
    <row r="3255" customFormat="false" ht="18" hidden="false" customHeight="true" outlineLevel="0" collapsed="false"/>
    <row r="3256" customFormat="false" ht="18" hidden="false" customHeight="true" outlineLevel="0" collapsed="false"/>
    <row r="3257" customFormat="false" ht="18" hidden="false" customHeight="true" outlineLevel="0" collapsed="false"/>
    <row r="3258" customFormat="false" ht="18" hidden="false" customHeight="true" outlineLevel="0" collapsed="false"/>
    <row r="3259" customFormat="false" ht="18" hidden="false" customHeight="true" outlineLevel="0" collapsed="false"/>
    <row r="3260" customFormat="false" ht="18" hidden="false" customHeight="true" outlineLevel="0" collapsed="false"/>
    <row r="3261" customFormat="false" ht="18" hidden="false" customHeight="true" outlineLevel="0" collapsed="false"/>
    <row r="3262" customFormat="false" ht="18" hidden="false" customHeight="true" outlineLevel="0" collapsed="false"/>
    <row r="3263" customFormat="false" ht="18" hidden="false" customHeight="true" outlineLevel="0" collapsed="false"/>
    <row r="3264" customFormat="false" ht="18" hidden="false" customHeight="true" outlineLevel="0" collapsed="false"/>
    <row r="3265" customFormat="false" ht="18" hidden="false" customHeight="true" outlineLevel="0" collapsed="false"/>
    <row r="3266" customFormat="false" ht="18" hidden="false" customHeight="true" outlineLevel="0" collapsed="false"/>
    <row r="3267" customFormat="false" ht="18" hidden="false" customHeight="true" outlineLevel="0" collapsed="false"/>
    <row r="3268" customFormat="false" ht="18" hidden="false" customHeight="true" outlineLevel="0" collapsed="false"/>
    <row r="3269" customFormat="false" ht="18" hidden="false" customHeight="true" outlineLevel="0" collapsed="false"/>
    <row r="3270" customFormat="false" ht="18" hidden="false" customHeight="true" outlineLevel="0" collapsed="false"/>
    <row r="3271" customFormat="false" ht="18" hidden="false" customHeight="true" outlineLevel="0" collapsed="false"/>
    <row r="3272" customFormat="false" ht="18" hidden="false" customHeight="true" outlineLevel="0" collapsed="false"/>
    <row r="3273" customFormat="false" ht="18" hidden="false" customHeight="true" outlineLevel="0" collapsed="false"/>
    <row r="3274" customFormat="false" ht="18" hidden="false" customHeight="true" outlineLevel="0" collapsed="false"/>
    <row r="3275" customFormat="false" ht="18" hidden="false" customHeight="true" outlineLevel="0" collapsed="false"/>
    <row r="3276" customFormat="false" ht="18" hidden="false" customHeight="true" outlineLevel="0" collapsed="false"/>
    <row r="3277" customFormat="false" ht="18" hidden="false" customHeight="true" outlineLevel="0" collapsed="false"/>
    <row r="3278" customFormat="false" ht="18" hidden="false" customHeight="true" outlineLevel="0" collapsed="false"/>
    <row r="3279" customFormat="false" ht="18" hidden="false" customHeight="true" outlineLevel="0" collapsed="false"/>
    <row r="3280" customFormat="false" ht="18" hidden="false" customHeight="true" outlineLevel="0" collapsed="false"/>
    <row r="3281" customFormat="false" ht="18" hidden="false" customHeight="true" outlineLevel="0" collapsed="false"/>
    <row r="3282" customFormat="false" ht="18" hidden="false" customHeight="true" outlineLevel="0" collapsed="false"/>
    <row r="3283" customFormat="false" ht="18" hidden="false" customHeight="true" outlineLevel="0" collapsed="false"/>
    <row r="3284" customFormat="false" ht="18" hidden="false" customHeight="true" outlineLevel="0" collapsed="false"/>
    <row r="3285" customFormat="false" ht="18" hidden="false" customHeight="true" outlineLevel="0" collapsed="false"/>
    <row r="3286" customFormat="false" ht="18" hidden="false" customHeight="true" outlineLevel="0" collapsed="false"/>
    <row r="3287" customFormat="false" ht="18" hidden="false" customHeight="true" outlineLevel="0" collapsed="false"/>
    <row r="3288" customFormat="false" ht="18" hidden="false" customHeight="true" outlineLevel="0" collapsed="false"/>
    <row r="3289" customFormat="false" ht="18" hidden="false" customHeight="true" outlineLevel="0" collapsed="false"/>
    <row r="3290" customFormat="false" ht="18" hidden="false" customHeight="true" outlineLevel="0" collapsed="false"/>
    <row r="3291" customFormat="false" ht="18" hidden="false" customHeight="true" outlineLevel="0" collapsed="false"/>
    <row r="3292" customFormat="false" ht="18" hidden="false" customHeight="true" outlineLevel="0" collapsed="false"/>
    <row r="3293" customFormat="false" ht="18" hidden="false" customHeight="true" outlineLevel="0" collapsed="false"/>
    <row r="3294" customFormat="false" ht="18" hidden="false" customHeight="true" outlineLevel="0" collapsed="false"/>
    <row r="3295" customFormat="false" ht="18" hidden="false" customHeight="true" outlineLevel="0" collapsed="false"/>
    <row r="3296" customFormat="false" ht="18" hidden="false" customHeight="true" outlineLevel="0" collapsed="false"/>
    <row r="3297" customFormat="false" ht="18" hidden="false" customHeight="true" outlineLevel="0" collapsed="false"/>
    <row r="3298" customFormat="false" ht="18" hidden="false" customHeight="true" outlineLevel="0" collapsed="false"/>
    <row r="3299" customFormat="false" ht="18" hidden="false" customHeight="true" outlineLevel="0" collapsed="false"/>
    <row r="3300" customFormat="false" ht="18" hidden="false" customHeight="true" outlineLevel="0" collapsed="false"/>
    <row r="3301" customFormat="false" ht="18" hidden="false" customHeight="true" outlineLevel="0" collapsed="false"/>
    <row r="3302" customFormat="false" ht="18" hidden="false" customHeight="true" outlineLevel="0" collapsed="false"/>
    <row r="3303" customFormat="false" ht="18" hidden="false" customHeight="true" outlineLevel="0" collapsed="false"/>
    <row r="3304" customFormat="false" ht="18" hidden="false" customHeight="true" outlineLevel="0" collapsed="false"/>
    <row r="3305" customFormat="false" ht="18" hidden="false" customHeight="true" outlineLevel="0" collapsed="false"/>
    <row r="3306" customFormat="false" ht="18" hidden="false" customHeight="true" outlineLevel="0" collapsed="false"/>
    <row r="3307" customFormat="false" ht="18" hidden="false" customHeight="true" outlineLevel="0" collapsed="false"/>
    <row r="3308" customFormat="false" ht="18" hidden="false" customHeight="true" outlineLevel="0" collapsed="false"/>
    <row r="3309" customFormat="false" ht="18" hidden="false" customHeight="true" outlineLevel="0" collapsed="false"/>
    <row r="3310" customFormat="false" ht="18" hidden="false" customHeight="true" outlineLevel="0" collapsed="false"/>
    <row r="3311" customFormat="false" ht="18" hidden="false" customHeight="true" outlineLevel="0" collapsed="false"/>
    <row r="3312" customFormat="false" ht="18" hidden="false" customHeight="true" outlineLevel="0" collapsed="false"/>
    <row r="3313" customFormat="false" ht="18" hidden="false" customHeight="true" outlineLevel="0" collapsed="false"/>
    <row r="3314" customFormat="false" ht="18" hidden="false" customHeight="true" outlineLevel="0" collapsed="false"/>
    <row r="3315" customFormat="false" ht="18" hidden="false" customHeight="true" outlineLevel="0" collapsed="false"/>
    <row r="3316" customFormat="false" ht="18" hidden="false" customHeight="true" outlineLevel="0" collapsed="false"/>
    <row r="3317" customFormat="false" ht="18" hidden="false" customHeight="true" outlineLevel="0" collapsed="false"/>
    <row r="3318" customFormat="false" ht="18" hidden="false" customHeight="true" outlineLevel="0" collapsed="false"/>
    <row r="3319" customFormat="false" ht="18" hidden="false" customHeight="true" outlineLevel="0" collapsed="false"/>
    <row r="3320" customFormat="false" ht="18" hidden="false" customHeight="true" outlineLevel="0" collapsed="false"/>
    <row r="3321" customFormat="false" ht="18" hidden="false" customHeight="true" outlineLevel="0" collapsed="false"/>
    <row r="3322" customFormat="false" ht="18" hidden="false" customHeight="true" outlineLevel="0" collapsed="false"/>
    <row r="3323" customFormat="false" ht="18" hidden="false" customHeight="true" outlineLevel="0" collapsed="false"/>
    <row r="3324" customFormat="false" ht="18" hidden="false" customHeight="true" outlineLevel="0" collapsed="false"/>
    <row r="3325" customFormat="false" ht="18" hidden="false" customHeight="true" outlineLevel="0" collapsed="false"/>
    <row r="3326" customFormat="false" ht="18" hidden="false" customHeight="true" outlineLevel="0" collapsed="false"/>
    <row r="3327" customFormat="false" ht="18" hidden="false" customHeight="true" outlineLevel="0" collapsed="false"/>
    <row r="3328" customFormat="false" ht="18" hidden="false" customHeight="true" outlineLevel="0" collapsed="false"/>
    <row r="3329" customFormat="false" ht="18" hidden="false" customHeight="true" outlineLevel="0" collapsed="false"/>
    <row r="3330" customFormat="false" ht="18" hidden="false" customHeight="true" outlineLevel="0" collapsed="false"/>
    <row r="3331" customFormat="false" ht="18" hidden="false" customHeight="true" outlineLevel="0" collapsed="false"/>
    <row r="3332" customFormat="false" ht="18" hidden="false" customHeight="true" outlineLevel="0" collapsed="false"/>
    <row r="3333" customFormat="false" ht="18" hidden="false" customHeight="true" outlineLevel="0" collapsed="false"/>
    <row r="3334" customFormat="false" ht="18" hidden="false" customHeight="true" outlineLevel="0" collapsed="false"/>
    <row r="3335" customFormat="false" ht="18" hidden="false" customHeight="true" outlineLevel="0" collapsed="false"/>
    <row r="3336" customFormat="false" ht="18" hidden="false" customHeight="true" outlineLevel="0" collapsed="false"/>
    <row r="3337" customFormat="false" ht="18" hidden="false" customHeight="true" outlineLevel="0" collapsed="false"/>
    <row r="3338" customFormat="false" ht="18" hidden="false" customHeight="true" outlineLevel="0" collapsed="false"/>
    <row r="3339" customFormat="false" ht="18" hidden="false" customHeight="true" outlineLevel="0" collapsed="false"/>
    <row r="3340" customFormat="false" ht="18" hidden="false" customHeight="true" outlineLevel="0" collapsed="false"/>
    <row r="3341" customFormat="false" ht="18" hidden="false" customHeight="true" outlineLevel="0" collapsed="false"/>
    <row r="3342" customFormat="false" ht="18" hidden="false" customHeight="true" outlineLevel="0" collapsed="false"/>
    <row r="3343" customFormat="false" ht="18" hidden="false" customHeight="true" outlineLevel="0" collapsed="false"/>
    <row r="3344" customFormat="false" ht="18" hidden="false" customHeight="true" outlineLevel="0" collapsed="false"/>
    <row r="3345" customFormat="false" ht="18" hidden="false" customHeight="true" outlineLevel="0" collapsed="false"/>
    <row r="3346" customFormat="false" ht="18" hidden="false" customHeight="true" outlineLevel="0" collapsed="false"/>
    <row r="3347" customFormat="false" ht="18" hidden="false" customHeight="true" outlineLevel="0" collapsed="false"/>
    <row r="3348" customFormat="false" ht="18" hidden="false" customHeight="true" outlineLevel="0" collapsed="false"/>
    <row r="3349" customFormat="false" ht="18" hidden="false" customHeight="true" outlineLevel="0" collapsed="false"/>
    <row r="3350" customFormat="false" ht="18" hidden="false" customHeight="true" outlineLevel="0" collapsed="false"/>
    <row r="3351" customFormat="false" ht="18" hidden="false" customHeight="true" outlineLevel="0" collapsed="false"/>
    <row r="3352" customFormat="false" ht="18" hidden="false" customHeight="true" outlineLevel="0" collapsed="false"/>
    <row r="3353" customFormat="false" ht="18" hidden="false" customHeight="true" outlineLevel="0" collapsed="false"/>
    <row r="3354" customFormat="false" ht="18" hidden="false" customHeight="true" outlineLevel="0" collapsed="false"/>
    <row r="3355" customFormat="false" ht="18" hidden="false" customHeight="true" outlineLevel="0" collapsed="false"/>
    <row r="3356" customFormat="false" ht="18" hidden="false" customHeight="true" outlineLevel="0" collapsed="false"/>
    <row r="3357" customFormat="false" ht="18" hidden="false" customHeight="true" outlineLevel="0" collapsed="false"/>
    <row r="3358" customFormat="false" ht="18" hidden="false" customHeight="true" outlineLevel="0" collapsed="false"/>
    <row r="3359" customFormat="false" ht="18" hidden="false" customHeight="true" outlineLevel="0" collapsed="false"/>
    <row r="3360" customFormat="false" ht="18" hidden="false" customHeight="true" outlineLevel="0" collapsed="false"/>
    <row r="3361" customFormat="false" ht="18" hidden="false" customHeight="true" outlineLevel="0" collapsed="false"/>
    <row r="3362" customFormat="false" ht="18" hidden="false" customHeight="true" outlineLevel="0" collapsed="false"/>
    <row r="3363" customFormat="false" ht="18" hidden="false" customHeight="true" outlineLevel="0" collapsed="false"/>
    <row r="3364" customFormat="false" ht="18" hidden="false" customHeight="true" outlineLevel="0" collapsed="false"/>
    <row r="3365" customFormat="false" ht="18" hidden="false" customHeight="true" outlineLevel="0" collapsed="false"/>
    <row r="3366" customFormat="false" ht="18" hidden="false" customHeight="true" outlineLevel="0" collapsed="false"/>
    <row r="3367" customFormat="false" ht="18" hidden="false" customHeight="true" outlineLevel="0" collapsed="false"/>
    <row r="3368" customFormat="false" ht="18" hidden="false" customHeight="true" outlineLevel="0" collapsed="false"/>
    <row r="3369" customFormat="false" ht="18" hidden="false" customHeight="true" outlineLevel="0" collapsed="false"/>
    <row r="3370" customFormat="false" ht="18" hidden="false" customHeight="true" outlineLevel="0" collapsed="false"/>
    <row r="3371" customFormat="false" ht="18" hidden="false" customHeight="true" outlineLevel="0" collapsed="false"/>
    <row r="3372" customFormat="false" ht="18" hidden="false" customHeight="true" outlineLevel="0" collapsed="false"/>
    <row r="3373" customFormat="false" ht="18" hidden="false" customHeight="true" outlineLevel="0" collapsed="false"/>
    <row r="3374" customFormat="false" ht="18" hidden="false" customHeight="true" outlineLevel="0" collapsed="false"/>
    <row r="3375" customFormat="false" ht="18" hidden="false" customHeight="true" outlineLevel="0" collapsed="false"/>
    <row r="3376" customFormat="false" ht="18" hidden="false" customHeight="true" outlineLevel="0" collapsed="false"/>
    <row r="3377" customFormat="false" ht="18" hidden="false" customHeight="true" outlineLevel="0" collapsed="false"/>
    <row r="3378" customFormat="false" ht="18" hidden="false" customHeight="true" outlineLevel="0" collapsed="false"/>
    <row r="3379" customFormat="false" ht="18" hidden="false" customHeight="true" outlineLevel="0" collapsed="false"/>
    <row r="3380" customFormat="false" ht="18" hidden="false" customHeight="true" outlineLevel="0" collapsed="false"/>
    <row r="3381" customFormat="false" ht="18" hidden="false" customHeight="true" outlineLevel="0" collapsed="false"/>
    <row r="3382" customFormat="false" ht="18" hidden="false" customHeight="true" outlineLevel="0" collapsed="false"/>
    <row r="3383" customFormat="false" ht="18" hidden="false" customHeight="true" outlineLevel="0" collapsed="false"/>
    <row r="3384" customFormat="false" ht="18" hidden="false" customHeight="true" outlineLevel="0" collapsed="false"/>
    <row r="3385" customFormat="false" ht="18" hidden="false" customHeight="true" outlineLevel="0" collapsed="false"/>
    <row r="3386" customFormat="false" ht="18" hidden="false" customHeight="true" outlineLevel="0" collapsed="false"/>
    <row r="3387" customFormat="false" ht="18" hidden="false" customHeight="true" outlineLevel="0" collapsed="false"/>
    <row r="3388" customFormat="false" ht="18" hidden="false" customHeight="true" outlineLevel="0" collapsed="false"/>
    <row r="3389" customFormat="false" ht="18" hidden="false" customHeight="true" outlineLevel="0" collapsed="false"/>
    <row r="3390" customFormat="false" ht="18" hidden="false" customHeight="true" outlineLevel="0" collapsed="false"/>
    <row r="3391" customFormat="false" ht="18" hidden="false" customHeight="true" outlineLevel="0" collapsed="false"/>
    <row r="3392" customFormat="false" ht="18" hidden="false" customHeight="true" outlineLevel="0" collapsed="false"/>
    <row r="3393" customFormat="false" ht="18" hidden="false" customHeight="true" outlineLevel="0" collapsed="false"/>
    <row r="3394" customFormat="false" ht="18" hidden="false" customHeight="true" outlineLevel="0" collapsed="false"/>
    <row r="3395" customFormat="false" ht="18" hidden="false" customHeight="true" outlineLevel="0" collapsed="false"/>
    <row r="3396" customFormat="false" ht="18" hidden="false" customHeight="true" outlineLevel="0" collapsed="false"/>
    <row r="3397" customFormat="false" ht="18" hidden="false" customHeight="true" outlineLevel="0" collapsed="false"/>
    <row r="3398" customFormat="false" ht="18" hidden="false" customHeight="true" outlineLevel="0" collapsed="false"/>
    <row r="3399" customFormat="false" ht="18" hidden="false" customHeight="true" outlineLevel="0" collapsed="false"/>
    <row r="3400" customFormat="false" ht="18" hidden="false" customHeight="true" outlineLevel="0" collapsed="false"/>
    <row r="3401" customFormat="false" ht="18" hidden="false" customHeight="true" outlineLevel="0" collapsed="false"/>
    <row r="3402" customFormat="false" ht="18" hidden="false" customHeight="true" outlineLevel="0" collapsed="false"/>
    <row r="3403" customFormat="false" ht="18" hidden="false" customHeight="true" outlineLevel="0" collapsed="false"/>
    <row r="3404" customFormat="false" ht="18" hidden="false" customHeight="true" outlineLevel="0" collapsed="false"/>
    <row r="3405" customFormat="false" ht="18" hidden="false" customHeight="true" outlineLevel="0" collapsed="false"/>
    <row r="3406" customFormat="false" ht="18" hidden="false" customHeight="true" outlineLevel="0" collapsed="false"/>
    <row r="3407" customFormat="false" ht="18" hidden="false" customHeight="true" outlineLevel="0" collapsed="false"/>
    <row r="3408" customFormat="false" ht="18" hidden="false" customHeight="true" outlineLevel="0" collapsed="false"/>
    <row r="3409" customFormat="false" ht="18" hidden="false" customHeight="true" outlineLevel="0" collapsed="false"/>
    <row r="3410" customFormat="false" ht="18" hidden="false" customHeight="true" outlineLevel="0" collapsed="false"/>
    <row r="3411" customFormat="false" ht="18" hidden="false" customHeight="true" outlineLevel="0" collapsed="false"/>
    <row r="3412" customFormat="false" ht="18" hidden="false" customHeight="true" outlineLevel="0" collapsed="false"/>
    <row r="3413" customFormat="false" ht="18" hidden="false" customHeight="true" outlineLevel="0" collapsed="false"/>
    <row r="3414" customFormat="false" ht="18" hidden="false" customHeight="true" outlineLevel="0" collapsed="false"/>
    <row r="3415" customFormat="false" ht="18" hidden="false" customHeight="true" outlineLevel="0" collapsed="false"/>
    <row r="3416" customFormat="false" ht="18" hidden="false" customHeight="true" outlineLevel="0" collapsed="false"/>
    <row r="3417" customFormat="false" ht="18" hidden="false" customHeight="true" outlineLevel="0" collapsed="false"/>
    <row r="3418" customFormat="false" ht="18" hidden="false" customHeight="true" outlineLevel="0" collapsed="false"/>
    <row r="3419" customFormat="false" ht="18" hidden="false" customHeight="true" outlineLevel="0" collapsed="false"/>
    <row r="3420" customFormat="false" ht="18" hidden="false" customHeight="true" outlineLevel="0" collapsed="false"/>
    <row r="3421" customFormat="false" ht="18" hidden="false" customHeight="true" outlineLevel="0" collapsed="false"/>
    <row r="3422" customFormat="false" ht="18" hidden="false" customHeight="true" outlineLevel="0" collapsed="false"/>
    <row r="3423" customFormat="false" ht="18" hidden="false" customHeight="true" outlineLevel="0" collapsed="false"/>
    <row r="3424" customFormat="false" ht="18" hidden="false" customHeight="true" outlineLevel="0" collapsed="false"/>
    <row r="3425" customFormat="false" ht="18" hidden="false" customHeight="true" outlineLevel="0" collapsed="false"/>
    <row r="3426" customFormat="false" ht="18" hidden="false" customHeight="true" outlineLevel="0" collapsed="false"/>
    <row r="3427" customFormat="false" ht="18" hidden="false" customHeight="true" outlineLevel="0" collapsed="false"/>
    <row r="3428" customFormat="false" ht="18" hidden="false" customHeight="true" outlineLevel="0" collapsed="false"/>
    <row r="3429" customFormat="false" ht="18" hidden="false" customHeight="true" outlineLevel="0" collapsed="false"/>
    <row r="3430" customFormat="false" ht="18" hidden="false" customHeight="true" outlineLevel="0" collapsed="false"/>
    <row r="3431" customFormat="false" ht="18" hidden="false" customHeight="true" outlineLevel="0" collapsed="false"/>
    <row r="3432" customFormat="false" ht="18" hidden="false" customHeight="true" outlineLevel="0" collapsed="false"/>
    <row r="3433" customFormat="false" ht="18" hidden="false" customHeight="true" outlineLevel="0" collapsed="false"/>
    <row r="3434" customFormat="false" ht="18" hidden="false" customHeight="true" outlineLevel="0" collapsed="false"/>
    <row r="3435" customFormat="false" ht="18" hidden="false" customHeight="true" outlineLevel="0" collapsed="false"/>
    <row r="3436" customFormat="false" ht="18" hidden="false" customHeight="true" outlineLevel="0" collapsed="false"/>
    <row r="3437" customFormat="false" ht="18" hidden="false" customHeight="true" outlineLevel="0" collapsed="false"/>
    <row r="3438" customFormat="false" ht="18" hidden="false" customHeight="true" outlineLevel="0" collapsed="false"/>
    <row r="3439" customFormat="false" ht="18" hidden="false" customHeight="true" outlineLevel="0" collapsed="false"/>
    <row r="3440" customFormat="false" ht="18" hidden="false" customHeight="true" outlineLevel="0" collapsed="false"/>
    <row r="3441" customFormat="false" ht="18" hidden="false" customHeight="true" outlineLevel="0" collapsed="false"/>
    <row r="3442" customFormat="false" ht="18" hidden="false" customHeight="true" outlineLevel="0" collapsed="false"/>
    <row r="3443" customFormat="false" ht="18" hidden="false" customHeight="true" outlineLevel="0" collapsed="false"/>
    <row r="3444" customFormat="false" ht="18" hidden="false" customHeight="true" outlineLevel="0" collapsed="false"/>
    <row r="3445" customFormat="false" ht="18" hidden="false" customHeight="true" outlineLevel="0" collapsed="false"/>
    <row r="3446" customFormat="false" ht="18" hidden="false" customHeight="true" outlineLevel="0" collapsed="false"/>
    <row r="3447" customFormat="false" ht="18" hidden="false" customHeight="true" outlineLevel="0" collapsed="false"/>
    <row r="3448" customFormat="false" ht="18" hidden="false" customHeight="true" outlineLevel="0" collapsed="false"/>
    <row r="3449" customFormat="false" ht="18" hidden="false" customHeight="true" outlineLevel="0" collapsed="false"/>
    <row r="3450" customFormat="false" ht="18" hidden="false" customHeight="true" outlineLevel="0" collapsed="false"/>
    <row r="3451" customFormat="false" ht="18" hidden="false" customHeight="true" outlineLevel="0" collapsed="false"/>
    <row r="3452" customFormat="false" ht="18" hidden="false" customHeight="true" outlineLevel="0" collapsed="false"/>
    <row r="3453" customFormat="false" ht="18" hidden="false" customHeight="true" outlineLevel="0" collapsed="false"/>
    <row r="3454" customFormat="false" ht="18" hidden="false" customHeight="true" outlineLevel="0" collapsed="false"/>
    <row r="3455" customFormat="false" ht="18" hidden="false" customHeight="true" outlineLevel="0" collapsed="false"/>
    <row r="3456" customFormat="false" ht="18" hidden="false" customHeight="true" outlineLevel="0" collapsed="false"/>
    <row r="3457" customFormat="false" ht="18" hidden="false" customHeight="true" outlineLevel="0" collapsed="false"/>
    <row r="3458" customFormat="false" ht="18" hidden="false" customHeight="true" outlineLevel="0" collapsed="false"/>
    <row r="3459" customFormat="false" ht="18" hidden="false" customHeight="true" outlineLevel="0" collapsed="false"/>
    <row r="3460" customFormat="false" ht="18" hidden="false" customHeight="true" outlineLevel="0" collapsed="false"/>
    <row r="3461" customFormat="false" ht="18" hidden="false" customHeight="true" outlineLevel="0" collapsed="false"/>
    <row r="3462" customFormat="false" ht="18" hidden="false" customHeight="true" outlineLevel="0" collapsed="false"/>
    <row r="3463" customFormat="false" ht="18" hidden="false" customHeight="true" outlineLevel="0" collapsed="false"/>
    <row r="3464" customFormat="false" ht="18" hidden="false" customHeight="true" outlineLevel="0" collapsed="false"/>
    <row r="3465" customFormat="false" ht="18" hidden="false" customHeight="true" outlineLevel="0" collapsed="false"/>
    <row r="3466" customFormat="false" ht="18" hidden="false" customHeight="true" outlineLevel="0" collapsed="false"/>
    <row r="3467" customFormat="false" ht="18" hidden="false" customHeight="true" outlineLevel="0" collapsed="false"/>
    <row r="3468" customFormat="false" ht="18" hidden="false" customHeight="true" outlineLevel="0" collapsed="false"/>
    <row r="3469" customFormat="false" ht="18" hidden="false" customHeight="true" outlineLevel="0" collapsed="false"/>
    <row r="3470" customFormat="false" ht="18" hidden="false" customHeight="true" outlineLevel="0" collapsed="false"/>
    <row r="3471" customFormat="false" ht="18" hidden="false" customHeight="true" outlineLevel="0" collapsed="false"/>
    <row r="3472" customFormat="false" ht="18" hidden="false" customHeight="true" outlineLevel="0" collapsed="false"/>
    <row r="3473" customFormat="false" ht="18" hidden="false" customHeight="true" outlineLevel="0" collapsed="false"/>
    <row r="3474" customFormat="false" ht="18" hidden="false" customHeight="true" outlineLevel="0" collapsed="false"/>
    <row r="3475" customFormat="false" ht="18" hidden="false" customHeight="true" outlineLevel="0" collapsed="false"/>
    <row r="3476" customFormat="false" ht="18" hidden="false" customHeight="true" outlineLevel="0" collapsed="false"/>
    <row r="3477" customFormat="false" ht="18" hidden="false" customHeight="true" outlineLevel="0" collapsed="false"/>
    <row r="3478" customFormat="false" ht="18" hidden="false" customHeight="true" outlineLevel="0" collapsed="false"/>
    <row r="3479" customFormat="false" ht="18" hidden="false" customHeight="true" outlineLevel="0" collapsed="false"/>
    <row r="3480" customFormat="false" ht="18" hidden="false" customHeight="true" outlineLevel="0" collapsed="false"/>
    <row r="3481" customFormat="false" ht="18" hidden="false" customHeight="true" outlineLevel="0" collapsed="false"/>
    <row r="3482" customFormat="false" ht="18" hidden="false" customHeight="true" outlineLevel="0" collapsed="false"/>
    <row r="3483" customFormat="false" ht="18" hidden="false" customHeight="true" outlineLevel="0" collapsed="false"/>
    <row r="3484" customFormat="false" ht="18" hidden="false" customHeight="true" outlineLevel="0" collapsed="false"/>
    <row r="3485" customFormat="false" ht="18" hidden="false" customHeight="true" outlineLevel="0" collapsed="false"/>
    <row r="3486" customFormat="false" ht="18" hidden="false" customHeight="true" outlineLevel="0" collapsed="false"/>
    <row r="3487" customFormat="false" ht="18" hidden="false" customHeight="true" outlineLevel="0" collapsed="false"/>
    <row r="3488" customFormat="false" ht="18" hidden="false" customHeight="true" outlineLevel="0" collapsed="false"/>
    <row r="3489" customFormat="false" ht="18" hidden="false" customHeight="true" outlineLevel="0" collapsed="false"/>
    <row r="3490" customFormat="false" ht="18" hidden="false" customHeight="true" outlineLevel="0" collapsed="false"/>
    <row r="3491" customFormat="false" ht="18" hidden="false" customHeight="true" outlineLevel="0" collapsed="false"/>
    <row r="3492" customFormat="false" ht="18" hidden="false" customHeight="true" outlineLevel="0" collapsed="false"/>
    <row r="3493" customFormat="false" ht="18" hidden="false" customHeight="true" outlineLevel="0" collapsed="false"/>
    <row r="3494" customFormat="false" ht="18" hidden="false" customHeight="true" outlineLevel="0" collapsed="false"/>
    <row r="3495" customFormat="false" ht="18" hidden="false" customHeight="true" outlineLevel="0" collapsed="false"/>
    <row r="3496" customFormat="false" ht="18" hidden="false" customHeight="true" outlineLevel="0" collapsed="false"/>
    <row r="3497" customFormat="false" ht="18" hidden="false" customHeight="true" outlineLevel="0" collapsed="false"/>
    <row r="3498" customFormat="false" ht="18" hidden="false" customHeight="true" outlineLevel="0" collapsed="false"/>
    <row r="3499" customFormat="false" ht="18" hidden="false" customHeight="true" outlineLevel="0" collapsed="false"/>
    <row r="3500" customFormat="false" ht="18" hidden="false" customHeight="true" outlineLevel="0" collapsed="false"/>
    <row r="3501" customFormat="false" ht="18" hidden="false" customHeight="true" outlineLevel="0" collapsed="false"/>
    <row r="3502" customFormat="false" ht="18" hidden="false" customHeight="true" outlineLevel="0" collapsed="false"/>
    <row r="3503" customFormat="false" ht="18" hidden="false" customHeight="true" outlineLevel="0" collapsed="false"/>
    <row r="3504" customFormat="false" ht="18" hidden="false" customHeight="true" outlineLevel="0" collapsed="false"/>
    <row r="3505" customFormat="false" ht="18" hidden="false" customHeight="true" outlineLevel="0" collapsed="false"/>
    <row r="3506" customFormat="false" ht="18" hidden="false" customHeight="true" outlineLevel="0" collapsed="false"/>
    <row r="3507" customFormat="false" ht="18" hidden="false" customHeight="true" outlineLevel="0" collapsed="false"/>
    <row r="3508" customFormat="false" ht="18" hidden="false" customHeight="true" outlineLevel="0" collapsed="false"/>
    <row r="3509" customFormat="false" ht="18" hidden="false" customHeight="true" outlineLevel="0" collapsed="false"/>
    <row r="3510" customFormat="false" ht="18" hidden="false" customHeight="true" outlineLevel="0" collapsed="false"/>
    <row r="3511" customFormat="false" ht="18" hidden="false" customHeight="true" outlineLevel="0" collapsed="false"/>
    <row r="3512" customFormat="false" ht="18" hidden="false" customHeight="true" outlineLevel="0" collapsed="false"/>
    <row r="3513" customFormat="false" ht="18" hidden="false" customHeight="true" outlineLevel="0" collapsed="false"/>
    <row r="3514" customFormat="false" ht="18" hidden="false" customHeight="true" outlineLevel="0" collapsed="false"/>
    <row r="3515" customFormat="false" ht="18" hidden="false" customHeight="true" outlineLevel="0" collapsed="false"/>
    <row r="3516" customFormat="false" ht="18" hidden="false" customHeight="true" outlineLevel="0" collapsed="false"/>
    <row r="3517" customFormat="false" ht="18" hidden="false" customHeight="true" outlineLevel="0" collapsed="false"/>
    <row r="3518" customFormat="false" ht="18" hidden="false" customHeight="true" outlineLevel="0" collapsed="false"/>
    <row r="3519" customFormat="false" ht="18" hidden="false" customHeight="true" outlineLevel="0" collapsed="false"/>
    <row r="3520" customFormat="false" ht="18" hidden="false" customHeight="true" outlineLevel="0" collapsed="false"/>
    <row r="3521" customFormat="false" ht="18" hidden="false" customHeight="true" outlineLevel="0" collapsed="false"/>
    <row r="3522" customFormat="false" ht="18" hidden="false" customHeight="true" outlineLevel="0" collapsed="false"/>
    <row r="3523" customFormat="false" ht="18" hidden="false" customHeight="true" outlineLevel="0" collapsed="false"/>
    <row r="3524" customFormat="false" ht="18" hidden="false" customHeight="true" outlineLevel="0" collapsed="false"/>
    <row r="3525" customFormat="false" ht="18" hidden="false" customHeight="true" outlineLevel="0" collapsed="false"/>
    <row r="3526" customFormat="false" ht="18" hidden="false" customHeight="true" outlineLevel="0" collapsed="false"/>
    <row r="3527" customFormat="false" ht="18" hidden="false" customHeight="true" outlineLevel="0" collapsed="false"/>
    <row r="3528" customFormat="false" ht="18" hidden="false" customHeight="true" outlineLevel="0" collapsed="false"/>
    <row r="3529" customFormat="false" ht="18" hidden="false" customHeight="true" outlineLevel="0" collapsed="false"/>
    <row r="3530" customFormat="false" ht="18" hidden="false" customHeight="true" outlineLevel="0" collapsed="false"/>
    <row r="3531" customFormat="false" ht="18" hidden="false" customHeight="true" outlineLevel="0" collapsed="false"/>
    <row r="3532" customFormat="false" ht="18" hidden="false" customHeight="true" outlineLevel="0" collapsed="false"/>
    <row r="3533" customFormat="false" ht="18" hidden="false" customHeight="true" outlineLevel="0" collapsed="false"/>
    <row r="3534" customFormat="false" ht="18" hidden="false" customHeight="true" outlineLevel="0" collapsed="false"/>
    <row r="3535" customFormat="false" ht="18" hidden="false" customHeight="true" outlineLevel="0" collapsed="false"/>
    <row r="3536" customFormat="false" ht="18" hidden="false" customHeight="true" outlineLevel="0" collapsed="false"/>
    <row r="3537" customFormat="false" ht="18" hidden="false" customHeight="true" outlineLevel="0" collapsed="false"/>
    <row r="3538" customFormat="false" ht="18" hidden="false" customHeight="true" outlineLevel="0" collapsed="false"/>
    <row r="3539" customFormat="false" ht="18" hidden="false" customHeight="true" outlineLevel="0" collapsed="false"/>
    <row r="3540" customFormat="false" ht="18" hidden="false" customHeight="true" outlineLevel="0" collapsed="false"/>
    <row r="3541" customFormat="false" ht="18" hidden="false" customHeight="true" outlineLevel="0" collapsed="false"/>
    <row r="3542" customFormat="false" ht="18" hidden="false" customHeight="true" outlineLevel="0" collapsed="false"/>
    <row r="3543" customFormat="false" ht="18" hidden="false" customHeight="true" outlineLevel="0" collapsed="false"/>
    <row r="3544" customFormat="false" ht="18" hidden="false" customHeight="true" outlineLevel="0" collapsed="false"/>
    <row r="3545" customFormat="false" ht="18" hidden="false" customHeight="true" outlineLevel="0" collapsed="false"/>
    <row r="3546" customFormat="false" ht="18" hidden="false" customHeight="true" outlineLevel="0" collapsed="false"/>
    <row r="3547" customFormat="false" ht="18" hidden="false" customHeight="true" outlineLevel="0" collapsed="false"/>
    <row r="3548" customFormat="false" ht="18" hidden="false" customHeight="true" outlineLevel="0" collapsed="false"/>
    <row r="3549" customFormat="false" ht="18" hidden="false" customHeight="true" outlineLevel="0" collapsed="false"/>
    <row r="3550" customFormat="false" ht="18" hidden="false" customHeight="true" outlineLevel="0" collapsed="false"/>
    <row r="3551" customFormat="false" ht="18" hidden="false" customHeight="true" outlineLevel="0" collapsed="false"/>
    <row r="3552" customFormat="false" ht="18" hidden="false" customHeight="true" outlineLevel="0" collapsed="false"/>
    <row r="3553" customFormat="false" ht="18" hidden="false" customHeight="true" outlineLevel="0" collapsed="false"/>
    <row r="3554" customFormat="false" ht="18" hidden="false" customHeight="true" outlineLevel="0" collapsed="false"/>
    <row r="3555" customFormat="false" ht="18" hidden="false" customHeight="true" outlineLevel="0" collapsed="false"/>
    <row r="3556" customFormat="false" ht="18" hidden="false" customHeight="true" outlineLevel="0" collapsed="false"/>
    <row r="3557" customFormat="false" ht="18" hidden="false" customHeight="true" outlineLevel="0" collapsed="false"/>
    <row r="3558" customFormat="false" ht="18" hidden="false" customHeight="true" outlineLevel="0" collapsed="false"/>
    <row r="3559" customFormat="false" ht="18" hidden="false" customHeight="true" outlineLevel="0" collapsed="false"/>
    <row r="3560" customFormat="false" ht="18" hidden="false" customHeight="true" outlineLevel="0" collapsed="false"/>
    <row r="3561" customFormat="false" ht="18" hidden="false" customHeight="true" outlineLevel="0" collapsed="false"/>
    <row r="3562" customFormat="false" ht="18" hidden="false" customHeight="true" outlineLevel="0" collapsed="false"/>
    <row r="3563" customFormat="false" ht="18" hidden="false" customHeight="true" outlineLevel="0" collapsed="false"/>
    <row r="3564" customFormat="false" ht="18" hidden="false" customHeight="true" outlineLevel="0" collapsed="false"/>
    <row r="3565" customFormat="false" ht="18" hidden="false" customHeight="true" outlineLevel="0" collapsed="false"/>
    <row r="3566" customFormat="false" ht="18" hidden="false" customHeight="true" outlineLevel="0" collapsed="false"/>
    <row r="3567" customFormat="false" ht="18" hidden="false" customHeight="true" outlineLevel="0" collapsed="false"/>
    <row r="3568" customFormat="false" ht="18" hidden="false" customHeight="true" outlineLevel="0" collapsed="false"/>
    <row r="3569" customFormat="false" ht="18" hidden="false" customHeight="true" outlineLevel="0" collapsed="false"/>
    <row r="3570" customFormat="false" ht="18" hidden="false" customHeight="true" outlineLevel="0" collapsed="false"/>
    <row r="3571" customFormat="false" ht="18" hidden="false" customHeight="true" outlineLevel="0" collapsed="false"/>
    <row r="3572" customFormat="false" ht="18" hidden="false" customHeight="true" outlineLevel="0" collapsed="false"/>
    <row r="3573" customFormat="false" ht="18" hidden="false" customHeight="true" outlineLevel="0" collapsed="false"/>
    <row r="3574" customFormat="false" ht="18" hidden="false" customHeight="true" outlineLevel="0" collapsed="false"/>
    <row r="3575" customFormat="false" ht="18" hidden="false" customHeight="true" outlineLevel="0" collapsed="false"/>
    <row r="3576" customFormat="false" ht="18" hidden="false" customHeight="true" outlineLevel="0" collapsed="false"/>
    <row r="3577" customFormat="false" ht="18" hidden="false" customHeight="true" outlineLevel="0" collapsed="false"/>
    <row r="3578" customFormat="false" ht="18" hidden="false" customHeight="true" outlineLevel="0" collapsed="false"/>
    <row r="3579" customFormat="false" ht="18" hidden="false" customHeight="true" outlineLevel="0" collapsed="false"/>
    <row r="3580" customFormat="false" ht="18" hidden="false" customHeight="true" outlineLevel="0" collapsed="false"/>
    <row r="3581" customFormat="false" ht="18" hidden="false" customHeight="true" outlineLevel="0" collapsed="false"/>
    <row r="3582" customFormat="false" ht="18" hidden="false" customHeight="true" outlineLevel="0" collapsed="false"/>
    <row r="3583" customFormat="false" ht="18" hidden="false" customHeight="true" outlineLevel="0" collapsed="false"/>
    <row r="3584" customFormat="false" ht="18" hidden="false" customHeight="true" outlineLevel="0" collapsed="false"/>
    <row r="3585" customFormat="false" ht="18" hidden="false" customHeight="true" outlineLevel="0" collapsed="false"/>
    <row r="3586" customFormat="false" ht="18" hidden="false" customHeight="true" outlineLevel="0" collapsed="false"/>
    <row r="3587" customFormat="false" ht="18" hidden="false" customHeight="true" outlineLevel="0" collapsed="false"/>
    <row r="3588" customFormat="false" ht="18" hidden="false" customHeight="true" outlineLevel="0" collapsed="false"/>
    <row r="3589" customFormat="false" ht="18" hidden="false" customHeight="true" outlineLevel="0" collapsed="false"/>
    <row r="3590" customFormat="false" ht="18" hidden="false" customHeight="true" outlineLevel="0" collapsed="false"/>
    <row r="3591" customFormat="false" ht="18" hidden="false" customHeight="true" outlineLevel="0" collapsed="false"/>
    <row r="3592" customFormat="false" ht="18" hidden="false" customHeight="true" outlineLevel="0" collapsed="false"/>
    <row r="3593" customFormat="false" ht="18" hidden="false" customHeight="true" outlineLevel="0" collapsed="false"/>
    <row r="3594" customFormat="false" ht="18" hidden="false" customHeight="true" outlineLevel="0" collapsed="false"/>
    <row r="3595" customFormat="false" ht="18" hidden="false" customHeight="true" outlineLevel="0" collapsed="false"/>
    <row r="3596" customFormat="false" ht="18" hidden="false" customHeight="true" outlineLevel="0" collapsed="false"/>
    <row r="3597" customFormat="false" ht="18" hidden="false" customHeight="true" outlineLevel="0" collapsed="false"/>
    <row r="3598" customFormat="false" ht="18" hidden="false" customHeight="true" outlineLevel="0" collapsed="false"/>
    <row r="3599" customFormat="false" ht="18" hidden="false" customHeight="true" outlineLevel="0" collapsed="false"/>
    <row r="3600" customFormat="false" ht="18" hidden="false" customHeight="true" outlineLevel="0" collapsed="false"/>
    <row r="3601" customFormat="false" ht="18" hidden="false" customHeight="true" outlineLevel="0" collapsed="false"/>
    <row r="3602" customFormat="false" ht="18" hidden="false" customHeight="true" outlineLevel="0" collapsed="false"/>
    <row r="3603" customFormat="false" ht="18" hidden="false" customHeight="true" outlineLevel="0" collapsed="false"/>
    <row r="3604" customFormat="false" ht="18" hidden="false" customHeight="true" outlineLevel="0" collapsed="false"/>
    <row r="3605" customFormat="false" ht="18" hidden="false" customHeight="true" outlineLevel="0" collapsed="false"/>
    <row r="3606" customFormat="false" ht="18" hidden="false" customHeight="true" outlineLevel="0" collapsed="false"/>
    <row r="3607" customFormat="false" ht="18" hidden="false" customHeight="true" outlineLevel="0" collapsed="false"/>
    <row r="3608" customFormat="false" ht="18" hidden="false" customHeight="true" outlineLevel="0" collapsed="false"/>
    <row r="3609" customFormat="false" ht="18" hidden="false" customHeight="true" outlineLevel="0" collapsed="false"/>
    <row r="3610" customFormat="false" ht="18" hidden="false" customHeight="true" outlineLevel="0" collapsed="false"/>
    <row r="3611" customFormat="false" ht="18" hidden="false" customHeight="true" outlineLevel="0" collapsed="false"/>
    <row r="3612" customFormat="false" ht="18" hidden="false" customHeight="true" outlineLevel="0" collapsed="false"/>
    <row r="3613" customFormat="false" ht="18" hidden="false" customHeight="true" outlineLevel="0" collapsed="false"/>
    <row r="3614" customFormat="false" ht="18" hidden="false" customHeight="true" outlineLevel="0" collapsed="false"/>
    <row r="3615" customFormat="false" ht="18" hidden="false" customHeight="true" outlineLevel="0" collapsed="false"/>
    <row r="3616" customFormat="false" ht="18" hidden="false" customHeight="true" outlineLevel="0" collapsed="false"/>
    <row r="3617" customFormat="false" ht="18" hidden="false" customHeight="true" outlineLevel="0" collapsed="false"/>
    <row r="3618" customFormat="false" ht="18" hidden="false" customHeight="true" outlineLevel="0" collapsed="false"/>
    <row r="3619" customFormat="false" ht="18" hidden="false" customHeight="true" outlineLevel="0" collapsed="false"/>
    <row r="3620" customFormat="false" ht="18" hidden="false" customHeight="true" outlineLevel="0" collapsed="false"/>
    <row r="3621" customFormat="false" ht="18" hidden="false" customHeight="true" outlineLevel="0" collapsed="false"/>
    <row r="3622" customFormat="false" ht="18" hidden="false" customHeight="true" outlineLevel="0" collapsed="false"/>
    <row r="3623" customFormat="false" ht="18" hidden="false" customHeight="true" outlineLevel="0" collapsed="false"/>
    <row r="3624" customFormat="false" ht="18" hidden="false" customHeight="true" outlineLevel="0" collapsed="false"/>
    <row r="3625" customFormat="false" ht="18" hidden="false" customHeight="true" outlineLevel="0" collapsed="false"/>
    <row r="3626" customFormat="false" ht="18" hidden="false" customHeight="true" outlineLevel="0" collapsed="false"/>
    <row r="3627" customFormat="false" ht="18" hidden="false" customHeight="true" outlineLevel="0" collapsed="false"/>
    <row r="3628" customFormat="false" ht="18" hidden="false" customHeight="true" outlineLevel="0" collapsed="false"/>
    <row r="3629" customFormat="false" ht="18" hidden="false" customHeight="true" outlineLevel="0" collapsed="false"/>
    <row r="3630" customFormat="false" ht="18" hidden="false" customHeight="true" outlineLevel="0" collapsed="false"/>
    <row r="3631" customFormat="false" ht="18" hidden="false" customHeight="true" outlineLevel="0" collapsed="false"/>
    <row r="3632" customFormat="false" ht="18" hidden="false" customHeight="true" outlineLevel="0" collapsed="false"/>
    <row r="3633" customFormat="false" ht="18" hidden="false" customHeight="true" outlineLevel="0" collapsed="false"/>
    <row r="3634" customFormat="false" ht="18" hidden="false" customHeight="true" outlineLevel="0" collapsed="false"/>
    <row r="3635" customFormat="false" ht="18" hidden="false" customHeight="true" outlineLevel="0" collapsed="false"/>
    <row r="3636" customFormat="false" ht="18" hidden="false" customHeight="true" outlineLevel="0" collapsed="false"/>
    <row r="3637" customFormat="false" ht="18" hidden="false" customHeight="true" outlineLevel="0" collapsed="false"/>
    <row r="3638" customFormat="false" ht="18" hidden="false" customHeight="true" outlineLevel="0" collapsed="false"/>
    <row r="3639" customFormat="false" ht="18" hidden="false" customHeight="true" outlineLevel="0" collapsed="false"/>
    <row r="3640" customFormat="false" ht="18" hidden="false" customHeight="true" outlineLevel="0" collapsed="false"/>
    <row r="3641" customFormat="false" ht="18" hidden="false" customHeight="true" outlineLevel="0" collapsed="false"/>
    <row r="3642" customFormat="false" ht="18" hidden="false" customHeight="true" outlineLevel="0" collapsed="false"/>
    <row r="3643" customFormat="false" ht="18" hidden="false" customHeight="true" outlineLevel="0" collapsed="false"/>
    <row r="3644" customFormat="false" ht="18" hidden="false" customHeight="true" outlineLevel="0" collapsed="false"/>
    <row r="3645" customFormat="false" ht="18" hidden="false" customHeight="true" outlineLevel="0" collapsed="false"/>
    <row r="3646" customFormat="false" ht="18" hidden="false" customHeight="true" outlineLevel="0" collapsed="false"/>
    <row r="3647" customFormat="false" ht="18" hidden="false" customHeight="true" outlineLevel="0" collapsed="false"/>
    <row r="3648" customFormat="false" ht="18" hidden="false" customHeight="true" outlineLevel="0" collapsed="false"/>
    <row r="3649" customFormat="false" ht="18" hidden="false" customHeight="true" outlineLevel="0" collapsed="false"/>
    <row r="3650" customFormat="false" ht="18" hidden="false" customHeight="true" outlineLevel="0" collapsed="false"/>
    <row r="3651" customFormat="false" ht="18" hidden="false" customHeight="true" outlineLevel="0" collapsed="false"/>
    <row r="3652" customFormat="false" ht="18" hidden="false" customHeight="true" outlineLevel="0" collapsed="false"/>
    <row r="3653" customFormat="false" ht="18" hidden="false" customHeight="true" outlineLevel="0" collapsed="false"/>
    <row r="3654" customFormat="false" ht="18" hidden="false" customHeight="true" outlineLevel="0" collapsed="false"/>
    <row r="3655" customFormat="false" ht="18" hidden="false" customHeight="true" outlineLevel="0" collapsed="false"/>
    <row r="3656" customFormat="false" ht="18" hidden="false" customHeight="true" outlineLevel="0" collapsed="false"/>
    <row r="3657" customFormat="false" ht="18" hidden="false" customHeight="true" outlineLevel="0" collapsed="false"/>
    <row r="3658" customFormat="false" ht="18" hidden="false" customHeight="true" outlineLevel="0" collapsed="false"/>
    <row r="3659" customFormat="false" ht="18" hidden="false" customHeight="true" outlineLevel="0" collapsed="false"/>
    <row r="3660" customFormat="false" ht="18" hidden="false" customHeight="true" outlineLevel="0" collapsed="false"/>
    <row r="3661" customFormat="false" ht="18" hidden="false" customHeight="true" outlineLevel="0" collapsed="false"/>
    <row r="3662" customFormat="false" ht="18" hidden="false" customHeight="true" outlineLevel="0" collapsed="false"/>
    <row r="3663" customFormat="false" ht="18" hidden="false" customHeight="true" outlineLevel="0" collapsed="false"/>
    <row r="3664" customFormat="false" ht="18" hidden="false" customHeight="true" outlineLevel="0" collapsed="false"/>
    <row r="3665" customFormat="false" ht="18" hidden="false" customHeight="true" outlineLevel="0" collapsed="false"/>
    <row r="3666" customFormat="false" ht="18" hidden="false" customHeight="true" outlineLevel="0" collapsed="false"/>
    <row r="3667" customFormat="false" ht="18" hidden="false" customHeight="true" outlineLevel="0" collapsed="false"/>
    <row r="3668" customFormat="false" ht="18" hidden="false" customHeight="true" outlineLevel="0" collapsed="false"/>
    <row r="3669" customFormat="false" ht="18" hidden="false" customHeight="true" outlineLevel="0" collapsed="false"/>
    <row r="3670" customFormat="false" ht="18" hidden="false" customHeight="true" outlineLevel="0" collapsed="false"/>
    <row r="3671" customFormat="false" ht="18" hidden="false" customHeight="true" outlineLevel="0" collapsed="false"/>
    <row r="3672" customFormat="false" ht="18" hidden="false" customHeight="true" outlineLevel="0" collapsed="false"/>
    <row r="3673" customFormat="false" ht="18" hidden="false" customHeight="true" outlineLevel="0" collapsed="false"/>
    <row r="3674" customFormat="false" ht="18" hidden="false" customHeight="true" outlineLevel="0" collapsed="false"/>
    <row r="3675" customFormat="false" ht="18" hidden="false" customHeight="true" outlineLevel="0" collapsed="false"/>
    <row r="3676" customFormat="false" ht="18" hidden="false" customHeight="true" outlineLevel="0" collapsed="false"/>
    <row r="3677" customFormat="false" ht="18" hidden="false" customHeight="true" outlineLevel="0" collapsed="false"/>
    <row r="3678" customFormat="false" ht="18" hidden="false" customHeight="true" outlineLevel="0" collapsed="false"/>
    <row r="3679" customFormat="false" ht="18" hidden="false" customHeight="true" outlineLevel="0" collapsed="false"/>
    <row r="3680" customFormat="false" ht="18" hidden="false" customHeight="true" outlineLevel="0" collapsed="false"/>
    <row r="3681" customFormat="false" ht="18" hidden="false" customHeight="true" outlineLevel="0" collapsed="false"/>
    <row r="3682" customFormat="false" ht="18" hidden="false" customHeight="true" outlineLevel="0" collapsed="false"/>
    <row r="3683" customFormat="false" ht="18" hidden="false" customHeight="true" outlineLevel="0" collapsed="false"/>
    <row r="3684" customFormat="false" ht="18" hidden="false" customHeight="true" outlineLevel="0" collapsed="false"/>
    <row r="3685" customFormat="false" ht="18" hidden="false" customHeight="true" outlineLevel="0" collapsed="false"/>
    <row r="3686" customFormat="false" ht="18" hidden="false" customHeight="true" outlineLevel="0" collapsed="false"/>
    <row r="3687" customFormat="false" ht="18" hidden="false" customHeight="true" outlineLevel="0" collapsed="false"/>
    <row r="3688" customFormat="false" ht="18" hidden="false" customHeight="true" outlineLevel="0" collapsed="false"/>
    <row r="3689" customFormat="false" ht="18" hidden="false" customHeight="true" outlineLevel="0" collapsed="false"/>
    <row r="3690" customFormat="false" ht="18" hidden="false" customHeight="true" outlineLevel="0" collapsed="false"/>
    <row r="3691" customFormat="false" ht="18" hidden="false" customHeight="true" outlineLevel="0" collapsed="false"/>
    <row r="3692" customFormat="false" ht="18" hidden="false" customHeight="true" outlineLevel="0" collapsed="false"/>
    <row r="3693" customFormat="false" ht="18" hidden="false" customHeight="true" outlineLevel="0" collapsed="false"/>
    <row r="3694" customFormat="false" ht="18" hidden="false" customHeight="true" outlineLevel="0" collapsed="false"/>
    <row r="3695" customFormat="false" ht="18" hidden="false" customHeight="true" outlineLevel="0" collapsed="false"/>
    <row r="3696" customFormat="false" ht="18" hidden="false" customHeight="true" outlineLevel="0" collapsed="false"/>
    <row r="3697" customFormat="false" ht="18" hidden="false" customHeight="true" outlineLevel="0" collapsed="false"/>
    <row r="3698" customFormat="false" ht="18" hidden="false" customHeight="true" outlineLevel="0" collapsed="false"/>
    <row r="3699" customFormat="false" ht="18" hidden="false" customHeight="true" outlineLevel="0" collapsed="false"/>
    <row r="3700" customFormat="false" ht="18" hidden="false" customHeight="true" outlineLevel="0" collapsed="false"/>
    <row r="3701" customFormat="false" ht="18" hidden="false" customHeight="true" outlineLevel="0" collapsed="false"/>
    <row r="3702" customFormat="false" ht="18" hidden="false" customHeight="true" outlineLevel="0" collapsed="false"/>
    <row r="3703" customFormat="false" ht="18" hidden="false" customHeight="true" outlineLevel="0" collapsed="false"/>
    <row r="3704" customFormat="false" ht="18" hidden="false" customHeight="true" outlineLevel="0" collapsed="false"/>
    <row r="3705" customFormat="false" ht="18" hidden="false" customHeight="true" outlineLevel="0" collapsed="false"/>
    <row r="3706" customFormat="false" ht="18" hidden="false" customHeight="true" outlineLevel="0" collapsed="false"/>
    <row r="3707" customFormat="false" ht="18" hidden="false" customHeight="true" outlineLevel="0" collapsed="false"/>
    <row r="3708" customFormat="false" ht="18" hidden="false" customHeight="true" outlineLevel="0" collapsed="false"/>
    <row r="3709" customFormat="false" ht="18" hidden="false" customHeight="true" outlineLevel="0" collapsed="false"/>
    <row r="3710" customFormat="false" ht="18" hidden="false" customHeight="true" outlineLevel="0" collapsed="false"/>
    <row r="3711" customFormat="false" ht="18" hidden="false" customHeight="true" outlineLevel="0" collapsed="false"/>
    <row r="3712" customFormat="false" ht="18" hidden="false" customHeight="true" outlineLevel="0" collapsed="false"/>
    <row r="3713" customFormat="false" ht="18" hidden="false" customHeight="true" outlineLevel="0" collapsed="false"/>
    <row r="3714" customFormat="false" ht="18" hidden="false" customHeight="true" outlineLevel="0" collapsed="false"/>
    <row r="3715" customFormat="false" ht="18" hidden="false" customHeight="true" outlineLevel="0" collapsed="false"/>
    <row r="3716" customFormat="false" ht="18" hidden="false" customHeight="true" outlineLevel="0" collapsed="false"/>
    <row r="3717" customFormat="false" ht="18" hidden="false" customHeight="true" outlineLevel="0" collapsed="false"/>
    <row r="3718" customFormat="false" ht="18" hidden="false" customHeight="true" outlineLevel="0" collapsed="false"/>
    <row r="3719" customFormat="false" ht="18" hidden="false" customHeight="true" outlineLevel="0" collapsed="false"/>
    <row r="3720" customFormat="false" ht="18" hidden="false" customHeight="true" outlineLevel="0" collapsed="false"/>
    <row r="3721" customFormat="false" ht="18" hidden="false" customHeight="true" outlineLevel="0" collapsed="false"/>
    <row r="3722" customFormat="false" ht="18" hidden="false" customHeight="true" outlineLevel="0" collapsed="false"/>
    <row r="3723" customFormat="false" ht="18" hidden="false" customHeight="true" outlineLevel="0" collapsed="false"/>
    <row r="3724" customFormat="false" ht="18" hidden="false" customHeight="true" outlineLevel="0" collapsed="false"/>
    <row r="3725" customFormat="false" ht="18" hidden="false" customHeight="true" outlineLevel="0" collapsed="false"/>
    <row r="3726" customFormat="false" ht="18" hidden="false" customHeight="true" outlineLevel="0" collapsed="false"/>
    <row r="3727" customFormat="false" ht="18" hidden="false" customHeight="true" outlineLevel="0" collapsed="false"/>
    <row r="3728" customFormat="false" ht="18" hidden="false" customHeight="true" outlineLevel="0" collapsed="false"/>
    <row r="3729" customFormat="false" ht="18" hidden="false" customHeight="true" outlineLevel="0" collapsed="false"/>
    <row r="3730" customFormat="false" ht="18" hidden="false" customHeight="true" outlineLevel="0" collapsed="false"/>
    <row r="3731" customFormat="false" ht="18" hidden="false" customHeight="true" outlineLevel="0" collapsed="false"/>
    <row r="3732" customFormat="false" ht="18" hidden="false" customHeight="true" outlineLevel="0" collapsed="false"/>
    <row r="3733" customFormat="false" ht="18" hidden="false" customHeight="true" outlineLevel="0" collapsed="false"/>
    <row r="3734" customFormat="false" ht="18" hidden="false" customHeight="true" outlineLevel="0" collapsed="false"/>
    <row r="3735" customFormat="false" ht="18" hidden="false" customHeight="true" outlineLevel="0" collapsed="false"/>
    <row r="3736" customFormat="false" ht="18" hidden="false" customHeight="true" outlineLevel="0" collapsed="false"/>
    <row r="3737" customFormat="false" ht="18" hidden="false" customHeight="true" outlineLevel="0" collapsed="false"/>
    <row r="3738" customFormat="false" ht="18" hidden="false" customHeight="true" outlineLevel="0" collapsed="false"/>
    <row r="3739" customFormat="false" ht="18" hidden="false" customHeight="true" outlineLevel="0" collapsed="false"/>
    <row r="3740" customFormat="false" ht="18" hidden="false" customHeight="true" outlineLevel="0" collapsed="false"/>
    <row r="3741" customFormat="false" ht="18" hidden="false" customHeight="true" outlineLevel="0" collapsed="false"/>
    <row r="3742" customFormat="false" ht="18" hidden="false" customHeight="true" outlineLevel="0" collapsed="false"/>
    <row r="3743" customFormat="false" ht="18" hidden="false" customHeight="true" outlineLevel="0" collapsed="false"/>
    <row r="3744" customFormat="false" ht="18" hidden="false" customHeight="true" outlineLevel="0" collapsed="false"/>
    <row r="3745" customFormat="false" ht="18" hidden="false" customHeight="true" outlineLevel="0" collapsed="false"/>
    <row r="3746" customFormat="false" ht="18" hidden="false" customHeight="true" outlineLevel="0" collapsed="false"/>
    <row r="3747" customFormat="false" ht="18" hidden="false" customHeight="true" outlineLevel="0" collapsed="false"/>
    <row r="3748" customFormat="false" ht="18" hidden="false" customHeight="true" outlineLevel="0" collapsed="false"/>
    <row r="3749" customFormat="false" ht="18" hidden="false" customHeight="true" outlineLevel="0" collapsed="false"/>
    <row r="3750" customFormat="false" ht="18" hidden="false" customHeight="true" outlineLevel="0" collapsed="false"/>
    <row r="3751" customFormat="false" ht="18" hidden="false" customHeight="true" outlineLevel="0" collapsed="false"/>
    <row r="3752" customFormat="false" ht="18" hidden="false" customHeight="true" outlineLevel="0" collapsed="false"/>
    <row r="3753" customFormat="false" ht="18" hidden="false" customHeight="true" outlineLevel="0" collapsed="false"/>
    <row r="3754" customFormat="false" ht="18" hidden="false" customHeight="true" outlineLevel="0" collapsed="false"/>
    <row r="3755" customFormat="false" ht="18" hidden="false" customHeight="true" outlineLevel="0" collapsed="false"/>
    <row r="3756" customFormat="false" ht="18" hidden="false" customHeight="true" outlineLevel="0" collapsed="false"/>
    <row r="3757" customFormat="false" ht="18" hidden="false" customHeight="true" outlineLevel="0" collapsed="false"/>
    <row r="3758" customFormat="false" ht="18" hidden="false" customHeight="true" outlineLevel="0" collapsed="false"/>
    <row r="3759" customFormat="false" ht="18" hidden="false" customHeight="true" outlineLevel="0" collapsed="false"/>
    <row r="3760" customFormat="false" ht="18" hidden="false" customHeight="true" outlineLevel="0" collapsed="false"/>
    <row r="3761" customFormat="false" ht="18" hidden="false" customHeight="true" outlineLevel="0" collapsed="false"/>
    <row r="3762" customFormat="false" ht="18" hidden="false" customHeight="true" outlineLevel="0" collapsed="false"/>
    <row r="3763" customFormat="false" ht="18" hidden="false" customHeight="true" outlineLevel="0" collapsed="false"/>
    <row r="3764" customFormat="false" ht="18" hidden="false" customHeight="true" outlineLevel="0" collapsed="false"/>
    <row r="3765" customFormat="false" ht="18" hidden="false" customHeight="true" outlineLevel="0" collapsed="false"/>
    <row r="3766" customFormat="false" ht="18" hidden="false" customHeight="true" outlineLevel="0" collapsed="false"/>
    <row r="3767" customFormat="false" ht="18" hidden="false" customHeight="true" outlineLevel="0" collapsed="false"/>
    <row r="3768" customFormat="false" ht="18" hidden="false" customHeight="true" outlineLevel="0" collapsed="false"/>
    <row r="3769" customFormat="false" ht="18" hidden="false" customHeight="true" outlineLevel="0" collapsed="false"/>
    <row r="3770" customFormat="false" ht="18" hidden="false" customHeight="true" outlineLevel="0" collapsed="false"/>
    <row r="3771" customFormat="false" ht="18" hidden="false" customHeight="true" outlineLevel="0" collapsed="false"/>
    <row r="3772" customFormat="false" ht="18" hidden="false" customHeight="true" outlineLevel="0" collapsed="false"/>
    <row r="3773" customFormat="false" ht="18" hidden="false" customHeight="true" outlineLevel="0" collapsed="false"/>
    <row r="3774" customFormat="false" ht="18" hidden="false" customHeight="true" outlineLevel="0" collapsed="false"/>
    <row r="3775" customFormat="false" ht="18" hidden="false" customHeight="true" outlineLevel="0" collapsed="false"/>
    <row r="3776" customFormat="false" ht="18" hidden="false" customHeight="true" outlineLevel="0" collapsed="false"/>
    <row r="3777" customFormat="false" ht="18" hidden="false" customHeight="true" outlineLevel="0" collapsed="false"/>
    <row r="3778" customFormat="false" ht="18" hidden="false" customHeight="true" outlineLevel="0" collapsed="false"/>
    <row r="3779" customFormat="false" ht="18" hidden="false" customHeight="true" outlineLevel="0" collapsed="false"/>
    <row r="3780" customFormat="false" ht="18" hidden="false" customHeight="true" outlineLevel="0" collapsed="false"/>
    <row r="3781" customFormat="false" ht="18" hidden="false" customHeight="true" outlineLevel="0" collapsed="false"/>
    <row r="3782" customFormat="false" ht="18" hidden="false" customHeight="true" outlineLevel="0" collapsed="false"/>
    <row r="3783" customFormat="false" ht="18" hidden="false" customHeight="true" outlineLevel="0" collapsed="false"/>
    <row r="3784" customFormat="false" ht="18" hidden="false" customHeight="true" outlineLevel="0" collapsed="false"/>
    <row r="3785" customFormat="false" ht="18" hidden="false" customHeight="true" outlineLevel="0" collapsed="false"/>
    <row r="3786" customFormat="false" ht="18" hidden="false" customHeight="true" outlineLevel="0" collapsed="false"/>
    <row r="3787" customFormat="false" ht="18" hidden="false" customHeight="true" outlineLevel="0" collapsed="false"/>
    <row r="3788" customFormat="false" ht="18" hidden="false" customHeight="true" outlineLevel="0" collapsed="false"/>
    <row r="3789" customFormat="false" ht="18" hidden="false" customHeight="true" outlineLevel="0" collapsed="false"/>
    <row r="3790" customFormat="false" ht="18" hidden="false" customHeight="true" outlineLevel="0" collapsed="false"/>
    <row r="3791" customFormat="false" ht="18" hidden="false" customHeight="true" outlineLevel="0" collapsed="false"/>
    <row r="3792" customFormat="false" ht="18" hidden="false" customHeight="true" outlineLevel="0" collapsed="false"/>
    <row r="3793" customFormat="false" ht="18" hidden="false" customHeight="true" outlineLevel="0" collapsed="false"/>
    <row r="3794" customFormat="false" ht="18" hidden="false" customHeight="true" outlineLevel="0" collapsed="false"/>
    <row r="3795" customFormat="false" ht="18" hidden="false" customHeight="true" outlineLevel="0" collapsed="false"/>
    <row r="3796" customFormat="false" ht="18" hidden="false" customHeight="true" outlineLevel="0" collapsed="false"/>
    <row r="3797" customFormat="false" ht="18" hidden="false" customHeight="true" outlineLevel="0" collapsed="false"/>
    <row r="3798" customFormat="false" ht="18" hidden="false" customHeight="true" outlineLevel="0" collapsed="false"/>
    <row r="3799" customFormat="false" ht="18" hidden="false" customHeight="true" outlineLevel="0" collapsed="false"/>
    <row r="3800" customFormat="false" ht="18" hidden="false" customHeight="true" outlineLevel="0" collapsed="false"/>
    <row r="3801" customFormat="false" ht="18" hidden="false" customHeight="true" outlineLevel="0" collapsed="false"/>
    <row r="3802" customFormat="false" ht="18" hidden="false" customHeight="true" outlineLevel="0" collapsed="false"/>
    <row r="3803" customFormat="false" ht="18" hidden="false" customHeight="true" outlineLevel="0" collapsed="false"/>
    <row r="3804" customFormat="false" ht="18" hidden="false" customHeight="true" outlineLevel="0" collapsed="false"/>
    <row r="3805" customFormat="false" ht="18" hidden="false" customHeight="true" outlineLevel="0" collapsed="false"/>
    <row r="3806" customFormat="false" ht="18" hidden="false" customHeight="true" outlineLevel="0" collapsed="false"/>
    <row r="3807" customFormat="false" ht="18" hidden="false" customHeight="true" outlineLevel="0" collapsed="false"/>
    <row r="3808" customFormat="false" ht="18" hidden="false" customHeight="true" outlineLevel="0" collapsed="false"/>
    <row r="3809" customFormat="false" ht="18" hidden="false" customHeight="true" outlineLevel="0" collapsed="false"/>
    <row r="3810" customFormat="false" ht="18" hidden="false" customHeight="true" outlineLevel="0" collapsed="false"/>
    <row r="3811" customFormat="false" ht="18" hidden="false" customHeight="true" outlineLevel="0" collapsed="false"/>
    <row r="3812" customFormat="false" ht="18" hidden="false" customHeight="true" outlineLevel="0" collapsed="false"/>
    <row r="3813" customFormat="false" ht="18" hidden="false" customHeight="true" outlineLevel="0" collapsed="false"/>
    <row r="3814" customFormat="false" ht="18" hidden="false" customHeight="true" outlineLevel="0" collapsed="false"/>
    <row r="3815" customFormat="false" ht="18" hidden="false" customHeight="true" outlineLevel="0" collapsed="false"/>
    <row r="3816" customFormat="false" ht="18" hidden="false" customHeight="true" outlineLevel="0" collapsed="false"/>
    <row r="3817" customFormat="false" ht="18" hidden="false" customHeight="true" outlineLevel="0" collapsed="false"/>
    <row r="3818" customFormat="false" ht="18" hidden="false" customHeight="true" outlineLevel="0" collapsed="false"/>
    <row r="3819" customFormat="false" ht="18" hidden="false" customHeight="true" outlineLevel="0" collapsed="false"/>
    <row r="3820" customFormat="false" ht="18" hidden="false" customHeight="true" outlineLevel="0" collapsed="false"/>
    <row r="3821" customFormat="false" ht="18" hidden="false" customHeight="true" outlineLevel="0" collapsed="false"/>
    <row r="3822" customFormat="false" ht="18" hidden="false" customHeight="true" outlineLevel="0" collapsed="false"/>
    <row r="3823" customFormat="false" ht="18" hidden="false" customHeight="true" outlineLevel="0" collapsed="false"/>
    <row r="3824" customFormat="false" ht="18" hidden="false" customHeight="true" outlineLevel="0" collapsed="false"/>
    <row r="3825" customFormat="false" ht="18" hidden="false" customHeight="true" outlineLevel="0" collapsed="false"/>
    <row r="3826" customFormat="false" ht="18" hidden="false" customHeight="true" outlineLevel="0" collapsed="false"/>
    <row r="3827" customFormat="false" ht="18" hidden="false" customHeight="true" outlineLevel="0" collapsed="false"/>
    <row r="3828" customFormat="false" ht="18" hidden="false" customHeight="true" outlineLevel="0" collapsed="false"/>
    <row r="3829" customFormat="false" ht="18" hidden="false" customHeight="true" outlineLevel="0" collapsed="false"/>
    <row r="3830" customFormat="false" ht="18" hidden="false" customHeight="true" outlineLevel="0" collapsed="false"/>
    <row r="3831" customFormat="false" ht="18" hidden="false" customHeight="true" outlineLevel="0" collapsed="false"/>
    <row r="3832" customFormat="false" ht="18" hidden="false" customHeight="true" outlineLevel="0" collapsed="false"/>
    <row r="3833" customFormat="false" ht="18" hidden="false" customHeight="true" outlineLevel="0" collapsed="false"/>
    <row r="3834" customFormat="false" ht="18" hidden="false" customHeight="true" outlineLevel="0" collapsed="false"/>
    <row r="3835" customFormat="false" ht="18" hidden="false" customHeight="true" outlineLevel="0" collapsed="false"/>
    <row r="3836" customFormat="false" ht="18" hidden="false" customHeight="true" outlineLevel="0" collapsed="false"/>
    <row r="3837" customFormat="false" ht="18" hidden="false" customHeight="true" outlineLevel="0" collapsed="false"/>
    <row r="3838" customFormat="false" ht="18" hidden="false" customHeight="true" outlineLevel="0" collapsed="false"/>
    <row r="3839" customFormat="false" ht="18" hidden="false" customHeight="true" outlineLevel="0" collapsed="false"/>
    <row r="3840" customFormat="false" ht="18" hidden="false" customHeight="true" outlineLevel="0" collapsed="false"/>
    <row r="3841" customFormat="false" ht="18" hidden="false" customHeight="true" outlineLevel="0" collapsed="false"/>
    <row r="3842" customFormat="false" ht="18" hidden="false" customHeight="true" outlineLevel="0" collapsed="false"/>
    <row r="3843" customFormat="false" ht="18" hidden="false" customHeight="true" outlineLevel="0" collapsed="false"/>
    <row r="3844" customFormat="false" ht="18" hidden="false" customHeight="true" outlineLevel="0" collapsed="false"/>
    <row r="3845" customFormat="false" ht="18" hidden="false" customHeight="true" outlineLevel="0" collapsed="false"/>
    <row r="3846" customFormat="false" ht="18" hidden="false" customHeight="true" outlineLevel="0" collapsed="false"/>
    <row r="3847" customFormat="false" ht="18" hidden="false" customHeight="true" outlineLevel="0" collapsed="false"/>
    <row r="3848" customFormat="false" ht="18" hidden="false" customHeight="true" outlineLevel="0" collapsed="false"/>
    <row r="3849" customFormat="false" ht="18" hidden="false" customHeight="true" outlineLevel="0" collapsed="false"/>
    <row r="3850" customFormat="false" ht="18" hidden="false" customHeight="true" outlineLevel="0" collapsed="false"/>
    <row r="3851" customFormat="false" ht="18" hidden="false" customHeight="true" outlineLevel="0" collapsed="false"/>
    <row r="3852" customFormat="false" ht="18" hidden="false" customHeight="true" outlineLevel="0" collapsed="false"/>
    <row r="3853" customFormat="false" ht="18" hidden="false" customHeight="true" outlineLevel="0" collapsed="false"/>
    <row r="3854" customFormat="false" ht="18" hidden="false" customHeight="true" outlineLevel="0" collapsed="false"/>
    <row r="3855" customFormat="false" ht="18" hidden="false" customHeight="true" outlineLevel="0" collapsed="false"/>
    <row r="3856" customFormat="false" ht="18" hidden="false" customHeight="true" outlineLevel="0" collapsed="false"/>
    <row r="3857" customFormat="false" ht="18" hidden="false" customHeight="true" outlineLevel="0" collapsed="false"/>
    <row r="3858" customFormat="false" ht="18" hidden="false" customHeight="true" outlineLevel="0" collapsed="false"/>
    <row r="3859" customFormat="false" ht="18" hidden="false" customHeight="true" outlineLevel="0" collapsed="false"/>
    <row r="3860" customFormat="false" ht="18" hidden="false" customHeight="true" outlineLevel="0" collapsed="false"/>
    <row r="3861" customFormat="false" ht="18" hidden="false" customHeight="true" outlineLevel="0" collapsed="false"/>
    <row r="3862" customFormat="false" ht="18" hidden="false" customHeight="true" outlineLevel="0" collapsed="false"/>
    <row r="3863" customFormat="false" ht="18" hidden="false" customHeight="true" outlineLevel="0" collapsed="false"/>
    <row r="3864" customFormat="false" ht="18" hidden="false" customHeight="true" outlineLevel="0" collapsed="false"/>
    <row r="3865" customFormat="false" ht="18" hidden="false" customHeight="true" outlineLevel="0" collapsed="false"/>
    <row r="3866" customFormat="false" ht="18" hidden="false" customHeight="true" outlineLevel="0" collapsed="false"/>
    <row r="3867" customFormat="false" ht="18" hidden="false" customHeight="true" outlineLevel="0" collapsed="false"/>
    <row r="3868" customFormat="false" ht="18" hidden="false" customHeight="true" outlineLevel="0" collapsed="false"/>
    <row r="3869" customFormat="false" ht="18" hidden="false" customHeight="true" outlineLevel="0" collapsed="false"/>
    <row r="3870" customFormat="false" ht="18" hidden="false" customHeight="true" outlineLevel="0" collapsed="false"/>
    <row r="3871" customFormat="false" ht="18" hidden="false" customHeight="true" outlineLevel="0" collapsed="false"/>
    <row r="3872" customFormat="false" ht="18" hidden="false" customHeight="true" outlineLevel="0" collapsed="false"/>
    <row r="3873" customFormat="false" ht="18" hidden="false" customHeight="true" outlineLevel="0" collapsed="false"/>
    <row r="3874" customFormat="false" ht="18" hidden="false" customHeight="true" outlineLevel="0" collapsed="false"/>
    <row r="3875" customFormat="false" ht="18" hidden="false" customHeight="true" outlineLevel="0" collapsed="false"/>
    <row r="3876" customFormat="false" ht="18" hidden="false" customHeight="true" outlineLevel="0" collapsed="false"/>
    <row r="3877" customFormat="false" ht="18" hidden="false" customHeight="true" outlineLevel="0" collapsed="false"/>
    <row r="3878" customFormat="false" ht="18" hidden="false" customHeight="true" outlineLevel="0" collapsed="false"/>
    <row r="3879" customFormat="false" ht="18" hidden="false" customHeight="true" outlineLevel="0" collapsed="false"/>
    <row r="3880" customFormat="false" ht="18" hidden="false" customHeight="true" outlineLevel="0" collapsed="false"/>
    <row r="3881" customFormat="false" ht="18" hidden="false" customHeight="true" outlineLevel="0" collapsed="false"/>
    <row r="3882" customFormat="false" ht="18" hidden="false" customHeight="true" outlineLevel="0" collapsed="false"/>
    <row r="3883" customFormat="false" ht="18" hidden="false" customHeight="true" outlineLevel="0" collapsed="false"/>
    <row r="3884" customFormat="false" ht="18" hidden="false" customHeight="true" outlineLevel="0" collapsed="false"/>
    <row r="3885" customFormat="false" ht="18" hidden="false" customHeight="true" outlineLevel="0" collapsed="false"/>
    <row r="3886" customFormat="false" ht="18" hidden="false" customHeight="true" outlineLevel="0" collapsed="false"/>
    <row r="3887" customFormat="false" ht="18" hidden="false" customHeight="true" outlineLevel="0" collapsed="false"/>
    <row r="3888" customFormat="false" ht="18" hidden="false" customHeight="true" outlineLevel="0" collapsed="false"/>
    <row r="3889" customFormat="false" ht="18" hidden="false" customHeight="true" outlineLevel="0" collapsed="false"/>
    <row r="3890" customFormat="false" ht="18" hidden="false" customHeight="true" outlineLevel="0" collapsed="false"/>
    <row r="3891" customFormat="false" ht="18" hidden="false" customHeight="true" outlineLevel="0" collapsed="false"/>
    <row r="3892" customFormat="false" ht="18" hidden="false" customHeight="true" outlineLevel="0" collapsed="false"/>
    <row r="3893" customFormat="false" ht="18" hidden="false" customHeight="true" outlineLevel="0" collapsed="false"/>
    <row r="3894" customFormat="false" ht="18" hidden="false" customHeight="true" outlineLevel="0" collapsed="false"/>
    <row r="3895" customFormat="false" ht="18" hidden="false" customHeight="true" outlineLevel="0" collapsed="false"/>
    <row r="3896" customFormat="false" ht="18" hidden="false" customHeight="true" outlineLevel="0" collapsed="false"/>
    <row r="3897" customFormat="false" ht="18" hidden="false" customHeight="true" outlineLevel="0" collapsed="false"/>
    <row r="3898" customFormat="false" ht="18" hidden="false" customHeight="true" outlineLevel="0" collapsed="false"/>
    <row r="3899" customFormat="false" ht="18" hidden="false" customHeight="true" outlineLevel="0" collapsed="false"/>
    <row r="3900" customFormat="false" ht="18" hidden="false" customHeight="true" outlineLevel="0" collapsed="false"/>
    <row r="3901" customFormat="false" ht="18" hidden="false" customHeight="true" outlineLevel="0" collapsed="false"/>
    <row r="3902" customFormat="false" ht="18" hidden="false" customHeight="true" outlineLevel="0" collapsed="false"/>
    <row r="3903" customFormat="false" ht="18" hidden="false" customHeight="true" outlineLevel="0" collapsed="false"/>
    <row r="3904" customFormat="false" ht="18" hidden="false" customHeight="true" outlineLevel="0" collapsed="false"/>
    <row r="3905" customFormat="false" ht="18" hidden="false" customHeight="true" outlineLevel="0" collapsed="false"/>
    <row r="3906" customFormat="false" ht="18" hidden="false" customHeight="true" outlineLevel="0" collapsed="false"/>
    <row r="3907" customFormat="false" ht="18" hidden="false" customHeight="true" outlineLevel="0" collapsed="false"/>
    <row r="3908" customFormat="false" ht="18" hidden="false" customHeight="true" outlineLevel="0" collapsed="false"/>
    <row r="3909" customFormat="false" ht="18" hidden="false" customHeight="true" outlineLevel="0" collapsed="false"/>
    <row r="3910" customFormat="false" ht="18" hidden="false" customHeight="true" outlineLevel="0" collapsed="false"/>
    <row r="3911" customFormat="false" ht="18" hidden="false" customHeight="true" outlineLevel="0" collapsed="false"/>
    <row r="3912" customFormat="false" ht="18" hidden="false" customHeight="true" outlineLevel="0" collapsed="false"/>
    <row r="3913" customFormat="false" ht="18" hidden="false" customHeight="true" outlineLevel="0" collapsed="false"/>
    <row r="3914" customFormat="false" ht="18" hidden="false" customHeight="true" outlineLevel="0" collapsed="false"/>
    <row r="3915" customFormat="false" ht="18" hidden="false" customHeight="true" outlineLevel="0" collapsed="false"/>
    <row r="3916" customFormat="false" ht="18" hidden="false" customHeight="true" outlineLevel="0" collapsed="false"/>
    <row r="3917" customFormat="false" ht="18" hidden="false" customHeight="true" outlineLevel="0" collapsed="false"/>
    <row r="3918" customFormat="false" ht="18" hidden="false" customHeight="true" outlineLevel="0" collapsed="false"/>
    <row r="3919" customFormat="false" ht="18" hidden="false" customHeight="true" outlineLevel="0" collapsed="false"/>
    <row r="3920" customFormat="false" ht="18" hidden="false" customHeight="true" outlineLevel="0" collapsed="false"/>
    <row r="3921" customFormat="false" ht="18" hidden="false" customHeight="true" outlineLevel="0" collapsed="false"/>
    <row r="3922" customFormat="false" ht="18" hidden="false" customHeight="true" outlineLevel="0" collapsed="false"/>
    <row r="3923" customFormat="false" ht="18" hidden="false" customHeight="true" outlineLevel="0" collapsed="false"/>
    <row r="3924" customFormat="false" ht="18" hidden="false" customHeight="true" outlineLevel="0" collapsed="false"/>
    <row r="3925" customFormat="false" ht="18" hidden="false" customHeight="true" outlineLevel="0" collapsed="false"/>
    <row r="3926" customFormat="false" ht="18" hidden="false" customHeight="true" outlineLevel="0" collapsed="false"/>
    <row r="3927" customFormat="false" ht="18" hidden="false" customHeight="true" outlineLevel="0" collapsed="false"/>
    <row r="3928" customFormat="false" ht="18" hidden="false" customHeight="true" outlineLevel="0" collapsed="false"/>
    <row r="3929" customFormat="false" ht="18" hidden="false" customHeight="true" outlineLevel="0" collapsed="false"/>
    <row r="3930" customFormat="false" ht="18" hidden="false" customHeight="true" outlineLevel="0" collapsed="false"/>
    <row r="3931" customFormat="false" ht="18" hidden="false" customHeight="true" outlineLevel="0" collapsed="false"/>
    <row r="3932" customFormat="false" ht="18" hidden="false" customHeight="true" outlineLevel="0" collapsed="false"/>
    <row r="3933" customFormat="false" ht="18" hidden="false" customHeight="true" outlineLevel="0" collapsed="false"/>
    <row r="3934" customFormat="false" ht="18" hidden="false" customHeight="true" outlineLevel="0" collapsed="false"/>
    <row r="3935" customFormat="false" ht="18" hidden="false" customHeight="true" outlineLevel="0" collapsed="false"/>
    <row r="3936" customFormat="false" ht="18" hidden="false" customHeight="true" outlineLevel="0" collapsed="false"/>
    <row r="3937" customFormat="false" ht="18" hidden="false" customHeight="true" outlineLevel="0" collapsed="false"/>
    <row r="3938" customFormat="false" ht="18" hidden="false" customHeight="true" outlineLevel="0" collapsed="false"/>
    <row r="3939" customFormat="false" ht="18" hidden="false" customHeight="true" outlineLevel="0" collapsed="false"/>
    <row r="3940" customFormat="false" ht="18" hidden="false" customHeight="true" outlineLevel="0" collapsed="false"/>
    <row r="3941" customFormat="false" ht="18" hidden="false" customHeight="true" outlineLevel="0" collapsed="false"/>
    <row r="3942" customFormat="false" ht="18" hidden="false" customHeight="true" outlineLevel="0" collapsed="false"/>
    <row r="3943" customFormat="false" ht="18" hidden="false" customHeight="true" outlineLevel="0" collapsed="false"/>
    <row r="3944" customFormat="false" ht="18" hidden="false" customHeight="true" outlineLevel="0" collapsed="false"/>
    <row r="3945" customFormat="false" ht="18" hidden="false" customHeight="true" outlineLevel="0" collapsed="false"/>
    <row r="3946" customFormat="false" ht="18" hidden="false" customHeight="true" outlineLevel="0" collapsed="false"/>
    <row r="3947" customFormat="false" ht="18" hidden="false" customHeight="true" outlineLevel="0" collapsed="false"/>
    <row r="3948" customFormat="false" ht="18" hidden="false" customHeight="true" outlineLevel="0" collapsed="false"/>
    <row r="3949" customFormat="false" ht="18" hidden="false" customHeight="true" outlineLevel="0" collapsed="false"/>
    <row r="3950" customFormat="false" ht="18" hidden="false" customHeight="true" outlineLevel="0" collapsed="false"/>
    <row r="3951" customFormat="false" ht="18" hidden="false" customHeight="true" outlineLevel="0" collapsed="false"/>
    <row r="3952" customFormat="false" ht="18" hidden="false" customHeight="true" outlineLevel="0" collapsed="false"/>
    <row r="3953" customFormat="false" ht="18" hidden="false" customHeight="true" outlineLevel="0" collapsed="false"/>
    <row r="3954" customFormat="false" ht="18" hidden="false" customHeight="true" outlineLevel="0" collapsed="false"/>
    <row r="3955" customFormat="false" ht="18" hidden="false" customHeight="true" outlineLevel="0" collapsed="false"/>
    <row r="3956" customFormat="false" ht="18" hidden="false" customHeight="true" outlineLevel="0" collapsed="false"/>
    <row r="3957" customFormat="false" ht="18" hidden="false" customHeight="true" outlineLevel="0" collapsed="false"/>
    <row r="3958" customFormat="false" ht="18" hidden="false" customHeight="true" outlineLevel="0" collapsed="false"/>
    <row r="3959" customFormat="false" ht="18" hidden="false" customHeight="true" outlineLevel="0" collapsed="false"/>
    <row r="3960" customFormat="false" ht="18" hidden="false" customHeight="true" outlineLevel="0" collapsed="false"/>
    <row r="3961" customFormat="false" ht="18" hidden="false" customHeight="true" outlineLevel="0" collapsed="false"/>
    <row r="3962" customFormat="false" ht="18" hidden="false" customHeight="true" outlineLevel="0" collapsed="false"/>
    <row r="3963" customFormat="false" ht="18" hidden="false" customHeight="true" outlineLevel="0" collapsed="false"/>
    <row r="3964" customFormat="false" ht="18" hidden="false" customHeight="true" outlineLevel="0" collapsed="false"/>
    <row r="3965" customFormat="false" ht="18" hidden="false" customHeight="true" outlineLevel="0" collapsed="false"/>
    <row r="3966" customFormat="false" ht="18" hidden="false" customHeight="true" outlineLevel="0" collapsed="false"/>
    <row r="3967" customFormat="false" ht="18" hidden="false" customHeight="true" outlineLevel="0" collapsed="false"/>
    <row r="3968" customFormat="false" ht="18" hidden="false" customHeight="true" outlineLevel="0" collapsed="false"/>
    <row r="3969" customFormat="false" ht="18" hidden="false" customHeight="true" outlineLevel="0" collapsed="false"/>
    <row r="3970" customFormat="false" ht="18" hidden="false" customHeight="true" outlineLevel="0" collapsed="false"/>
    <row r="3971" customFormat="false" ht="18" hidden="false" customHeight="true" outlineLevel="0" collapsed="false"/>
    <row r="3972" customFormat="false" ht="18" hidden="false" customHeight="true" outlineLevel="0" collapsed="false"/>
    <row r="3973" customFormat="false" ht="18" hidden="false" customHeight="true" outlineLevel="0" collapsed="false"/>
    <row r="3974" customFormat="false" ht="18" hidden="false" customHeight="true" outlineLevel="0" collapsed="false"/>
    <row r="3975" customFormat="false" ht="18" hidden="false" customHeight="true" outlineLevel="0" collapsed="false"/>
    <row r="3976" customFormat="false" ht="18" hidden="false" customHeight="true" outlineLevel="0" collapsed="false"/>
    <row r="3977" customFormat="false" ht="18" hidden="false" customHeight="true" outlineLevel="0" collapsed="false"/>
    <row r="3978" customFormat="false" ht="18" hidden="false" customHeight="true" outlineLevel="0" collapsed="false"/>
    <row r="3979" customFormat="false" ht="18" hidden="false" customHeight="true" outlineLevel="0" collapsed="false"/>
    <row r="3980" customFormat="false" ht="18" hidden="false" customHeight="true" outlineLevel="0" collapsed="false"/>
    <row r="3981" customFormat="false" ht="18" hidden="false" customHeight="true" outlineLevel="0" collapsed="false"/>
    <row r="3982" customFormat="false" ht="18" hidden="false" customHeight="true" outlineLevel="0" collapsed="false"/>
    <row r="3983" customFormat="false" ht="18" hidden="false" customHeight="true" outlineLevel="0" collapsed="false"/>
    <row r="3984" customFormat="false" ht="18" hidden="false" customHeight="true" outlineLevel="0" collapsed="false"/>
    <row r="3985" customFormat="false" ht="18" hidden="false" customHeight="true" outlineLevel="0" collapsed="false"/>
    <row r="3986" customFormat="false" ht="18" hidden="false" customHeight="true" outlineLevel="0" collapsed="false"/>
    <row r="3987" customFormat="false" ht="18" hidden="false" customHeight="true" outlineLevel="0" collapsed="false"/>
    <row r="3988" customFormat="false" ht="18" hidden="false" customHeight="true" outlineLevel="0" collapsed="false"/>
    <row r="3989" customFormat="false" ht="18" hidden="false" customHeight="true" outlineLevel="0" collapsed="false"/>
    <row r="3990" customFormat="false" ht="18" hidden="false" customHeight="true" outlineLevel="0" collapsed="false"/>
    <row r="3991" customFormat="false" ht="18" hidden="false" customHeight="true" outlineLevel="0" collapsed="false"/>
    <row r="3992" customFormat="false" ht="18" hidden="false" customHeight="true" outlineLevel="0" collapsed="false"/>
    <row r="3993" customFormat="false" ht="18" hidden="false" customHeight="true" outlineLevel="0" collapsed="false"/>
    <row r="3994" customFormat="false" ht="18" hidden="false" customHeight="true" outlineLevel="0" collapsed="false"/>
    <row r="3995" customFormat="false" ht="18" hidden="false" customHeight="true" outlineLevel="0" collapsed="false"/>
    <row r="3996" customFormat="false" ht="18" hidden="false" customHeight="true" outlineLevel="0" collapsed="false"/>
    <row r="3997" customFormat="false" ht="18" hidden="false" customHeight="true" outlineLevel="0" collapsed="false"/>
    <row r="3998" customFormat="false" ht="18" hidden="false" customHeight="true" outlineLevel="0" collapsed="false"/>
    <row r="3999" customFormat="false" ht="18" hidden="false" customHeight="true" outlineLevel="0" collapsed="false"/>
    <row r="4000" customFormat="false" ht="18" hidden="false" customHeight="true" outlineLevel="0" collapsed="false"/>
    <row r="4001" customFormat="false" ht="18" hidden="false" customHeight="true" outlineLevel="0" collapsed="false"/>
    <row r="4002" customFormat="false" ht="18" hidden="false" customHeight="true" outlineLevel="0" collapsed="false"/>
    <row r="4003" customFormat="false" ht="18" hidden="false" customHeight="true" outlineLevel="0" collapsed="false"/>
    <row r="4004" customFormat="false" ht="18" hidden="false" customHeight="true" outlineLevel="0" collapsed="false"/>
    <row r="4005" customFormat="false" ht="18" hidden="false" customHeight="true" outlineLevel="0" collapsed="false"/>
    <row r="4006" customFormat="false" ht="18" hidden="false" customHeight="true" outlineLevel="0" collapsed="false"/>
    <row r="4007" customFormat="false" ht="18" hidden="false" customHeight="true" outlineLevel="0" collapsed="false"/>
    <row r="4008" customFormat="false" ht="18" hidden="false" customHeight="true" outlineLevel="0" collapsed="false"/>
    <row r="4009" customFormat="false" ht="18" hidden="false" customHeight="true" outlineLevel="0" collapsed="false"/>
    <row r="4010" customFormat="false" ht="18" hidden="false" customHeight="true" outlineLevel="0" collapsed="false"/>
    <row r="4011" customFormat="false" ht="18" hidden="false" customHeight="true" outlineLevel="0" collapsed="false"/>
    <row r="4012" customFormat="false" ht="18" hidden="false" customHeight="true" outlineLevel="0" collapsed="false"/>
    <row r="4013" customFormat="false" ht="18" hidden="false" customHeight="true" outlineLevel="0" collapsed="false"/>
    <row r="4014" customFormat="false" ht="18" hidden="false" customHeight="true" outlineLevel="0" collapsed="false"/>
    <row r="4015" customFormat="false" ht="18" hidden="false" customHeight="true" outlineLevel="0" collapsed="false"/>
    <row r="4016" customFormat="false" ht="18" hidden="false" customHeight="true" outlineLevel="0" collapsed="false"/>
    <row r="4017" customFormat="false" ht="18" hidden="false" customHeight="true" outlineLevel="0" collapsed="false"/>
    <row r="4018" customFormat="false" ht="18" hidden="false" customHeight="true" outlineLevel="0" collapsed="false"/>
    <row r="4019" customFormat="false" ht="18" hidden="false" customHeight="true" outlineLevel="0" collapsed="false"/>
    <row r="4020" customFormat="false" ht="18" hidden="false" customHeight="true" outlineLevel="0" collapsed="false"/>
    <row r="4021" customFormat="false" ht="18" hidden="false" customHeight="true" outlineLevel="0" collapsed="false"/>
    <row r="4022" customFormat="false" ht="18" hidden="false" customHeight="true" outlineLevel="0" collapsed="false"/>
    <row r="4023" customFormat="false" ht="18" hidden="false" customHeight="true" outlineLevel="0" collapsed="false"/>
    <row r="4024" customFormat="false" ht="18" hidden="false" customHeight="true" outlineLevel="0" collapsed="false"/>
    <row r="4025" customFormat="false" ht="18" hidden="false" customHeight="true" outlineLevel="0" collapsed="false"/>
    <row r="4026" customFormat="false" ht="18" hidden="false" customHeight="true" outlineLevel="0" collapsed="false"/>
    <row r="4027" customFormat="false" ht="18" hidden="false" customHeight="true" outlineLevel="0" collapsed="false"/>
    <row r="4028" customFormat="false" ht="18" hidden="false" customHeight="true" outlineLevel="0" collapsed="false"/>
    <row r="4029" customFormat="false" ht="18" hidden="false" customHeight="true" outlineLevel="0" collapsed="false"/>
    <row r="4030" customFormat="false" ht="18" hidden="false" customHeight="true" outlineLevel="0" collapsed="false"/>
    <row r="4031" customFormat="false" ht="18" hidden="false" customHeight="true" outlineLevel="0" collapsed="false"/>
    <row r="4032" customFormat="false" ht="18" hidden="false" customHeight="true" outlineLevel="0" collapsed="false"/>
    <row r="4033" customFormat="false" ht="18" hidden="false" customHeight="true" outlineLevel="0" collapsed="false"/>
    <row r="4034" customFormat="false" ht="18" hidden="false" customHeight="true" outlineLevel="0" collapsed="false"/>
    <row r="4035" customFormat="false" ht="18" hidden="false" customHeight="true" outlineLevel="0" collapsed="false"/>
    <row r="4036" customFormat="false" ht="18" hidden="false" customHeight="true" outlineLevel="0" collapsed="false"/>
    <row r="4037" customFormat="false" ht="18" hidden="false" customHeight="true" outlineLevel="0" collapsed="false"/>
    <row r="4038" customFormat="false" ht="18" hidden="false" customHeight="true" outlineLevel="0" collapsed="false"/>
    <row r="4039" customFormat="false" ht="18" hidden="false" customHeight="true" outlineLevel="0" collapsed="false"/>
    <row r="4040" customFormat="false" ht="18" hidden="false" customHeight="true" outlineLevel="0" collapsed="false"/>
    <row r="4041" customFormat="false" ht="18" hidden="false" customHeight="true" outlineLevel="0" collapsed="false"/>
    <row r="4042" customFormat="false" ht="18" hidden="false" customHeight="true" outlineLevel="0" collapsed="false"/>
    <row r="4043" customFormat="false" ht="18" hidden="false" customHeight="true" outlineLevel="0" collapsed="false"/>
    <row r="4044" customFormat="false" ht="18" hidden="false" customHeight="true" outlineLevel="0" collapsed="false"/>
    <row r="4045" customFormat="false" ht="18" hidden="false" customHeight="true" outlineLevel="0" collapsed="false"/>
    <row r="4046" customFormat="false" ht="18" hidden="false" customHeight="true" outlineLevel="0" collapsed="false"/>
    <row r="4047" customFormat="false" ht="18" hidden="false" customHeight="true" outlineLevel="0" collapsed="false"/>
    <row r="4048" customFormat="false" ht="18" hidden="false" customHeight="true" outlineLevel="0" collapsed="false"/>
    <row r="4049" customFormat="false" ht="18" hidden="false" customHeight="true" outlineLevel="0" collapsed="false"/>
    <row r="4050" customFormat="false" ht="18" hidden="false" customHeight="true" outlineLevel="0" collapsed="false"/>
    <row r="4051" customFormat="false" ht="18" hidden="false" customHeight="true" outlineLevel="0" collapsed="false"/>
    <row r="4052" customFormat="false" ht="18" hidden="false" customHeight="true" outlineLevel="0" collapsed="false"/>
    <row r="4053" customFormat="false" ht="18" hidden="false" customHeight="true" outlineLevel="0" collapsed="false"/>
    <row r="4054" customFormat="false" ht="18" hidden="false" customHeight="true" outlineLevel="0" collapsed="false"/>
    <row r="4055" customFormat="false" ht="18" hidden="false" customHeight="true" outlineLevel="0" collapsed="false"/>
    <row r="4056" customFormat="false" ht="18" hidden="false" customHeight="true" outlineLevel="0" collapsed="false"/>
    <row r="4057" customFormat="false" ht="18" hidden="false" customHeight="true" outlineLevel="0" collapsed="false"/>
    <row r="4058" customFormat="false" ht="18" hidden="false" customHeight="true" outlineLevel="0" collapsed="false"/>
    <row r="4059" customFormat="false" ht="18" hidden="false" customHeight="true" outlineLevel="0" collapsed="false"/>
    <row r="4060" customFormat="false" ht="18" hidden="false" customHeight="true" outlineLevel="0" collapsed="false"/>
    <row r="4061" customFormat="false" ht="18" hidden="false" customHeight="true" outlineLevel="0" collapsed="false"/>
    <row r="4062" customFormat="false" ht="18" hidden="false" customHeight="true" outlineLevel="0" collapsed="false"/>
    <row r="4063" customFormat="false" ht="18" hidden="false" customHeight="true" outlineLevel="0" collapsed="false"/>
    <row r="4064" customFormat="false" ht="18" hidden="false" customHeight="true" outlineLevel="0" collapsed="false"/>
    <row r="4065" customFormat="false" ht="18" hidden="false" customHeight="true" outlineLevel="0" collapsed="false"/>
    <row r="4066" customFormat="false" ht="18" hidden="false" customHeight="true" outlineLevel="0" collapsed="false"/>
    <row r="4067" customFormat="false" ht="18" hidden="false" customHeight="true" outlineLevel="0" collapsed="false"/>
    <row r="4068" customFormat="false" ht="18" hidden="false" customHeight="true" outlineLevel="0" collapsed="false"/>
    <row r="4069" customFormat="false" ht="18" hidden="false" customHeight="true" outlineLevel="0" collapsed="false"/>
    <row r="4070" customFormat="false" ht="18" hidden="false" customHeight="true" outlineLevel="0" collapsed="false"/>
    <row r="4071" customFormat="false" ht="18" hidden="false" customHeight="true" outlineLevel="0" collapsed="false"/>
    <row r="4072" customFormat="false" ht="18" hidden="false" customHeight="true" outlineLevel="0" collapsed="false"/>
    <row r="4073" customFormat="false" ht="18" hidden="false" customHeight="true" outlineLevel="0" collapsed="false"/>
    <row r="4074" customFormat="false" ht="18" hidden="false" customHeight="true" outlineLevel="0" collapsed="false"/>
    <row r="4075" customFormat="false" ht="18" hidden="false" customHeight="true" outlineLevel="0" collapsed="false"/>
    <row r="4076" customFormat="false" ht="18" hidden="false" customHeight="true" outlineLevel="0" collapsed="false"/>
    <row r="4077" customFormat="false" ht="18" hidden="false" customHeight="true" outlineLevel="0" collapsed="false"/>
    <row r="4078" customFormat="false" ht="18" hidden="false" customHeight="true" outlineLevel="0" collapsed="false"/>
    <row r="4079" customFormat="false" ht="18" hidden="false" customHeight="true" outlineLevel="0" collapsed="false"/>
    <row r="4080" customFormat="false" ht="18" hidden="false" customHeight="true" outlineLevel="0" collapsed="false"/>
    <row r="4081" customFormat="false" ht="18" hidden="false" customHeight="true" outlineLevel="0" collapsed="false"/>
    <row r="4082" customFormat="false" ht="18" hidden="false" customHeight="true" outlineLevel="0" collapsed="false"/>
    <row r="4083" customFormat="false" ht="18" hidden="false" customHeight="true" outlineLevel="0" collapsed="false"/>
    <row r="4084" customFormat="false" ht="18" hidden="false" customHeight="true" outlineLevel="0" collapsed="false"/>
    <row r="4085" customFormat="false" ht="18" hidden="false" customHeight="true" outlineLevel="0" collapsed="false"/>
    <row r="4086" customFormat="false" ht="18" hidden="false" customHeight="true" outlineLevel="0" collapsed="false"/>
    <row r="4087" customFormat="false" ht="18" hidden="false" customHeight="true" outlineLevel="0" collapsed="false"/>
    <row r="4088" customFormat="false" ht="18" hidden="false" customHeight="true" outlineLevel="0" collapsed="false"/>
    <row r="4089" customFormat="false" ht="18" hidden="false" customHeight="true" outlineLevel="0" collapsed="false"/>
    <row r="4090" customFormat="false" ht="18" hidden="false" customHeight="true" outlineLevel="0" collapsed="false"/>
    <row r="4091" customFormat="false" ht="18" hidden="false" customHeight="true" outlineLevel="0" collapsed="false"/>
    <row r="4092" customFormat="false" ht="18" hidden="false" customHeight="true" outlineLevel="0" collapsed="false"/>
    <row r="4093" customFormat="false" ht="18" hidden="false" customHeight="true" outlineLevel="0" collapsed="false"/>
    <row r="4094" customFormat="false" ht="18" hidden="false" customHeight="true" outlineLevel="0" collapsed="false"/>
    <row r="4095" customFormat="false" ht="18" hidden="false" customHeight="true" outlineLevel="0" collapsed="false"/>
    <row r="4096" customFormat="false" ht="18" hidden="false" customHeight="true" outlineLevel="0" collapsed="false"/>
    <row r="4097" customFormat="false" ht="18" hidden="false" customHeight="true" outlineLevel="0" collapsed="false"/>
    <row r="4098" customFormat="false" ht="18" hidden="false" customHeight="true" outlineLevel="0" collapsed="false"/>
    <row r="4099" customFormat="false" ht="18" hidden="false" customHeight="true" outlineLevel="0" collapsed="false"/>
    <row r="4100" customFormat="false" ht="18" hidden="false" customHeight="true" outlineLevel="0" collapsed="false"/>
    <row r="4101" customFormat="false" ht="18" hidden="false" customHeight="true" outlineLevel="0" collapsed="false"/>
    <row r="4102" customFormat="false" ht="18" hidden="false" customHeight="true" outlineLevel="0" collapsed="false"/>
    <row r="4103" customFormat="false" ht="18" hidden="false" customHeight="true" outlineLevel="0" collapsed="false"/>
    <row r="4104" customFormat="false" ht="18" hidden="false" customHeight="true" outlineLevel="0" collapsed="false"/>
    <row r="4105" customFormat="false" ht="18" hidden="false" customHeight="true" outlineLevel="0" collapsed="false"/>
    <row r="4106" customFormat="false" ht="18" hidden="false" customHeight="true" outlineLevel="0" collapsed="false"/>
    <row r="4107" customFormat="false" ht="18" hidden="false" customHeight="true" outlineLevel="0" collapsed="false"/>
    <row r="4108" customFormat="false" ht="18" hidden="false" customHeight="true" outlineLevel="0" collapsed="false"/>
    <row r="4109" customFormat="false" ht="18" hidden="false" customHeight="true" outlineLevel="0" collapsed="false"/>
    <row r="4110" customFormat="false" ht="18" hidden="false" customHeight="true" outlineLevel="0" collapsed="false"/>
    <row r="4111" customFormat="false" ht="18" hidden="false" customHeight="true" outlineLevel="0" collapsed="false"/>
    <row r="4112" customFormat="false" ht="18" hidden="false" customHeight="true" outlineLevel="0" collapsed="false"/>
    <row r="4113" customFormat="false" ht="18" hidden="false" customHeight="true" outlineLevel="0" collapsed="false"/>
    <row r="4114" customFormat="false" ht="18" hidden="false" customHeight="true" outlineLevel="0" collapsed="false"/>
    <row r="4115" customFormat="false" ht="18" hidden="false" customHeight="true" outlineLevel="0" collapsed="false"/>
    <row r="4116" customFormat="false" ht="18" hidden="false" customHeight="true" outlineLevel="0" collapsed="false"/>
    <row r="4117" customFormat="false" ht="18" hidden="false" customHeight="true" outlineLevel="0" collapsed="false"/>
    <row r="4118" customFormat="false" ht="18" hidden="false" customHeight="true" outlineLevel="0" collapsed="false"/>
    <row r="4119" customFormat="false" ht="18" hidden="false" customHeight="true" outlineLevel="0" collapsed="false"/>
    <row r="4120" customFormat="false" ht="18" hidden="false" customHeight="true" outlineLevel="0" collapsed="false"/>
    <row r="4121" customFormat="false" ht="18" hidden="false" customHeight="true" outlineLevel="0" collapsed="false"/>
    <row r="4122" customFormat="false" ht="18" hidden="false" customHeight="true" outlineLevel="0" collapsed="false"/>
    <row r="4123" customFormat="false" ht="18" hidden="false" customHeight="true" outlineLevel="0" collapsed="false"/>
    <row r="4124" customFormat="false" ht="18" hidden="false" customHeight="true" outlineLevel="0" collapsed="false"/>
    <row r="4125" customFormat="false" ht="18" hidden="false" customHeight="true" outlineLevel="0" collapsed="false"/>
    <row r="4126" customFormat="false" ht="18" hidden="false" customHeight="true" outlineLevel="0" collapsed="false"/>
    <row r="4127" customFormat="false" ht="18" hidden="false" customHeight="true" outlineLevel="0" collapsed="false"/>
    <row r="4128" customFormat="false" ht="18" hidden="false" customHeight="true" outlineLevel="0" collapsed="false"/>
    <row r="4129" customFormat="false" ht="18" hidden="false" customHeight="true" outlineLevel="0" collapsed="false"/>
    <row r="4130" customFormat="false" ht="18" hidden="false" customHeight="true" outlineLevel="0" collapsed="false"/>
    <row r="4131" customFormat="false" ht="18" hidden="false" customHeight="true" outlineLevel="0" collapsed="false"/>
    <row r="4132" customFormat="false" ht="18" hidden="false" customHeight="true" outlineLevel="0" collapsed="false"/>
    <row r="4133" customFormat="false" ht="18" hidden="false" customHeight="true" outlineLevel="0" collapsed="false"/>
    <row r="4134" customFormat="false" ht="18" hidden="false" customHeight="true" outlineLevel="0" collapsed="false"/>
    <row r="4135" customFormat="false" ht="18" hidden="false" customHeight="true" outlineLevel="0" collapsed="false"/>
    <row r="4136" customFormat="false" ht="18" hidden="false" customHeight="true" outlineLevel="0" collapsed="false"/>
    <row r="4137" customFormat="false" ht="18" hidden="false" customHeight="true" outlineLevel="0" collapsed="false"/>
    <row r="4138" customFormat="false" ht="18" hidden="false" customHeight="true" outlineLevel="0" collapsed="false"/>
    <row r="4139" customFormat="false" ht="18" hidden="false" customHeight="true" outlineLevel="0" collapsed="false"/>
    <row r="4140" customFormat="false" ht="18" hidden="false" customHeight="true" outlineLevel="0" collapsed="false"/>
    <row r="4141" customFormat="false" ht="18" hidden="false" customHeight="true" outlineLevel="0" collapsed="false"/>
    <row r="4142" customFormat="false" ht="18" hidden="false" customHeight="true" outlineLevel="0" collapsed="false"/>
    <row r="4143" customFormat="false" ht="18" hidden="false" customHeight="true" outlineLevel="0" collapsed="false"/>
    <row r="4144" customFormat="false" ht="18" hidden="false" customHeight="true" outlineLevel="0" collapsed="false"/>
    <row r="4145" customFormat="false" ht="18" hidden="false" customHeight="true" outlineLevel="0" collapsed="false"/>
    <row r="4146" customFormat="false" ht="18" hidden="false" customHeight="true" outlineLevel="0" collapsed="false"/>
    <row r="4147" customFormat="false" ht="18" hidden="false" customHeight="true" outlineLevel="0" collapsed="false"/>
    <row r="4148" customFormat="false" ht="18" hidden="false" customHeight="true" outlineLevel="0" collapsed="false"/>
    <row r="4149" customFormat="false" ht="18" hidden="false" customHeight="true" outlineLevel="0" collapsed="false"/>
    <row r="4150" customFormat="false" ht="18" hidden="false" customHeight="true" outlineLevel="0" collapsed="false"/>
    <row r="4151" customFormat="false" ht="18" hidden="false" customHeight="true" outlineLevel="0" collapsed="false"/>
    <row r="4152" customFormat="false" ht="18" hidden="false" customHeight="true" outlineLevel="0" collapsed="false"/>
    <row r="4153" customFormat="false" ht="18" hidden="false" customHeight="true" outlineLevel="0" collapsed="false"/>
    <row r="4154" customFormat="false" ht="18" hidden="false" customHeight="true" outlineLevel="0" collapsed="false"/>
    <row r="4155" customFormat="false" ht="18" hidden="false" customHeight="true" outlineLevel="0" collapsed="false"/>
    <row r="4156" customFormat="false" ht="18" hidden="false" customHeight="true" outlineLevel="0" collapsed="false"/>
    <row r="4157" customFormat="false" ht="18" hidden="false" customHeight="true" outlineLevel="0" collapsed="false"/>
    <row r="4158" customFormat="false" ht="18" hidden="false" customHeight="true" outlineLevel="0" collapsed="false"/>
    <row r="4159" customFormat="false" ht="18" hidden="false" customHeight="true" outlineLevel="0" collapsed="false"/>
    <row r="4160" customFormat="false" ht="18" hidden="false" customHeight="true" outlineLevel="0" collapsed="false"/>
    <row r="4161" customFormat="false" ht="18" hidden="false" customHeight="true" outlineLevel="0" collapsed="false"/>
    <row r="4162" customFormat="false" ht="18" hidden="false" customHeight="true" outlineLevel="0" collapsed="false"/>
    <row r="4163" customFormat="false" ht="18" hidden="false" customHeight="true" outlineLevel="0" collapsed="false"/>
    <row r="4164" customFormat="false" ht="18" hidden="false" customHeight="true" outlineLevel="0" collapsed="false"/>
    <row r="4165" customFormat="false" ht="18" hidden="false" customHeight="true" outlineLevel="0" collapsed="false"/>
    <row r="4166" customFormat="false" ht="18" hidden="false" customHeight="true" outlineLevel="0" collapsed="false"/>
    <row r="4167" customFormat="false" ht="18" hidden="false" customHeight="true" outlineLevel="0" collapsed="false"/>
    <row r="4168" customFormat="false" ht="18" hidden="false" customHeight="true" outlineLevel="0" collapsed="false"/>
    <row r="4169" customFormat="false" ht="18" hidden="false" customHeight="true" outlineLevel="0" collapsed="false"/>
    <row r="4170" customFormat="false" ht="18" hidden="false" customHeight="true" outlineLevel="0" collapsed="false"/>
    <row r="4171" customFormat="false" ht="18" hidden="false" customHeight="true" outlineLevel="0" collapsed="false"/>
    <row r="4172" customFormat="false" ht="18" hidden="false" customHeight="true" outlineLevel="0" collapsed="false"/>
    <row r="4173" customFormat="false" ht="18" hidden="false" customHeight="true" outlineLevel="0" collapsed="false"/>
    <row r="4174" customFormat="false" ht="18" hidden="false" customHeight="true" outlineLevel="0" collapsed="false"/>
    <row r="4175" customFormat="false" ht="18" hidden="false" customHeight="true" outlineLevel="0" collapsed="false"/>
    <row r="4176" customFormat="false" ht="18" hidden="false" customHeight="true" outlineLevel="0" collapsed="false"/>
    <row r="4177" customFormat="false" ht="18" hidden="false" customHeight="true" outlineLevel="0" collapsed="false"/>
    <row r="4178" customFormat="false" ht="18" hidden="false" customHeight="true" outlineLevel="0" collapsed="false"/>
    <row r="4179" customFormat="false" ht="18" hidden="false" customHeight="true" outlineLevel="0" collapsed="false"/>
    <row r="4180" customFormat="false" ht="18" hidden="false" customHeight="true" outlineLevel="0" collapsed="false"/>
    <row r="4181" customFormat="false" ht="18" hidden="false" customHeight="true" outlineLevel="0" collapsed="false"/>
    <row r="4182" customFormat="false" ht="18" hidden="false" customHeight="true" outlineLevel="0" collapsed="false"/>
    <row r="4183" customFormat="false" ht="18" hidden="false" customHeight="true" outlineLevel="0" collapsed="false"/>
    <row r="4184" customFormat="false" ht="18" hidden="false" customHeight="true" outlineLevel="0" collapsed="false"/>
    <row r="4185" customFormat="false" ht="18" hidden="false" customHeight="true" outlineLevel="0" collapsed="false"/>
    <row r="4186" customFormat="false" ht="18" hidden="false" customHeight="true" outlineLevel="0" collapsed="false"/>
    <row r="4187" customFormat="false" ht="18" hidden="false" customHeight="true" outlineLevel="0" collapsed="false"/>
    <row r="4188" customFormat="false" ht="18" hidden="false" customHeight="true" outlineLevel="0" collapsed="false"/>
    <row r="4189" customFormat="false" ht="18" hidden="false" customHeight="true" outlineLevel="0" collapsed="false"/>
    <row r="4190" customFormat="false" ht="18" hidden="false" customHeight="true" outlineLevel="0" collapsed="false"/>
    <row r="4191" customFormat="false" ht="18" hidden="false" customHeight="true" outlineLevel="0" collapsed="false"/>
    <row r="4192" customFormat="false" ht="18" hidden="false" customHeight="true" outlineLevel="0" collapsed="false"/>
    <row r="4193" customFormat="false" ht="18" hidden="false" customHeight="true" outlineLevel="0" collapsed="false"/>
    <row r="4194" customFormat="false" ht="18" hidden="false" customHeight="true" outlineLevel="0" collapsed="false"/>
    <row r="4195" customFormat="false" ht="18" hidden="false" customHeight="true" outlineLevel="0" collapsed="false"/>
    <row r="4196" customFormat="false" ht="18" hidden="false" customHeight="true" outlineLevel="0" collapsed="false"/>
    <row r="4197" customFormat="false" ht="18" hidden="false" customHeight="true" outlineLevel="0" collapsed="false"/>
    <row r="4198" customFormat="false" ht="18" hidden="false" customHeight="true" outlineLevel="0" collapsed="false"/>
    <row r="4199" customFormat="false" ht="18" hidden="false" customHeight="true" outlineLevel="0" collapsed="false"/>
    <row r="4200" customFormat="false" ht="18" hidden="false" customHeight="true" outlineLevel="0" collapsed="false"/>
    <row r="4201" customFormat="false" ht="18" hidden="false" customHeight="true" outlineLevel="0" collapsed="false"/>
    <row r="4202" customFormat="false" ht="18" hidden="false" customHeight="true" outlineLevel="0" collapsed="false"/>
    <row r="4203" customFormat="false" ht="18" hidden="false" customHeight="true" outlineLevel="0" collapsed="false"/>
    <row r="4204" customFormat="false" ht="18" hidden="false" customHeight="true" outlineLevel="0" collapsed="false"/>
    <row r="4205" customFormat="false" ht="18" hidden="false" customHeight="true" outlineLevel="0" collapsed="false"/>
    <row r="4206" customFormat="false" ht="18" hidden="false" customHeight="true" outlineLevel="0" collapsed="false"/>
    <row r="4207" customFormat="false" ht="18" hidden="false" customHeight="true" outlineLevel="0" collapsed="false"/>
    <row r="4208" customFormat="false" ht="18" hidden="false" customHeight="true" outlineLevel="0" collapsed="false"/>
    <row r="4209" customFormat="false" ht="18" hidden="false" customHeight="true" outlineLevel="0" collapsed="false"/>
    <row r="4210" customFormat="false" ht="18" hidden="false" customHeight="true" outlineLevel="0" collapsed="false"/>
    <row r="4211" customFormat="false" ht="18" hidden="false" customHeight="true" outlineLevel="0" collapsed="false"/>
    <row r="4212" customFormat="false" ht="18" hidden="false" customHeight="true" outlineLevel="0" collapsed="false"/>
    <row r="4213" customFormat="false" ht="18" hidden="false" customHeight="true" outlineLevel="0" collapsed="false"/>
    <row r="4214" customFormat="false" ht="18" hidden="false" customHeight="true" outlineLevel="0" collapsed="false"/>
    <row r="4215" customFormat="false" ht="18" hidden="false" customHeight="true" outlineLevel="0" collapsed="false"/>
    <row r="4216" customFormat="false" ht="18" hidden="false" customHeight="true" outlineLevel="0" collapsed="false"/>
    <row r="4217" customFormat="false" ht="18" hidden="false" customHeight="true" outlineLevel="0" collapsed="false"/>
    <row r="4218" customFormat="false" ht="18" hidden="false" customHeight="true" outlineLevel="0" collapsed="false"/>
    <row r="4219" customFormat="false" ht="18" hidden="false" customHeight="true" outlineLevel="0" collapsed="false"/>
    <row r="4220" customFormat="false" ht="18" hidden="false" customHeight="true" outlineLevel="0" collapsed="false"/>
    <row r="4221" customFormat="false" ht="18" hidden="false" customHeight="true" outlineLevel="0" collapsed="false"/>
    <row r="4222" customFormat="false" ht="18" hidden="false" customHeight="true" outlineLevel="0" collapsed="false"/>
    <row r="4223" customFormat="false" ht="18" hidden="false" customHeight="true" outlineLevel="0" collapsed="false"/>
    <row r="4224" customFormat="false" ht="18" hidden="false" customHeight="true" outlineLevel="0" collapsed="false"/>
    <row r="4225" customFormat="false" ht="18" hidden="false" customHeight="true" outlineLevel="0" collapsed="false"/>
    <row r="4226" customFormat="false" ht="18" hidden="false" customHeight="true" outlineLevel="0" collapsed="false"/>
    <row r="4227" customFormat="false" ht="18" hidden="false" customHeight="true" outlineLevel="0" collapsed="false"/>
    <row r="4228" customFormat="false" ht="18" hidden="false" customHeight="true" outlineLevel="0" collapsed="false"/>
    <row r="4229" customFormat="false" ht="18" hidden="false" customHeight="true" outlineLevel="0" collapsed="false"/>
    <row r="4230" customFormat="false" ht="18" hidden="false" customHeight="true" outlineLevel="0" collapsed="false"/>
    <row r="4231" customFormat="false" ht="18" hidden="false" customHeight="true" outlineLevel="0" collapsed="false"/>
    <row r="4232" customFormat="false" ht="18" hidden="false" customHeight="true" outlineLevel="0" collapsed="false"/>
    <row r="4233" customFormat="false" ht="18" hidden="false" customHeight="true" outlineLevel="0" collapsed="false"/>
    <row r="4234" customFormat="false" ht="18" hidden="false" customHeight="true" outlineLevel="0" collapsed="false"/>
    <row r="4235" customFormat="false" ht="18" hidden="false" customHeight="true" outlineLevel="0" collapsed="false"/>
    <row r="4236" customFormat="false" ht="18" hidden="false" customHeight="true" outlineLevel="0" collapsed="false"/>
    <row r="4237" customFormat="false" ht="18" hidden="false" customHeight="true" outlineLevel="0" collapsed="false"/>
    <row r="4238" customFormat="false" ht="18" hidden="false" customHeight="true" outlineLevel="0" collapsed="false"/>
    <row r="4239" customFormat="false" ht="18" hidden="false" customHeight="true" outlineLevel="0" collapsed="false"/>
    <row r="4240" customFormat="false" ht="18" hidden="false" customHeight="true" outlineLevel="0" collapsed="false"/>
    <row r="4241" customFormat="false" ht="18" hidden="false" customHeight="true" outlineLevel="0" collapsed="false"/>
    <row r="4242" customFormat="false" ht="18" hidden="false" customHeight="true" outlineLevel="0" collapsed="false"/>
    <row r="4243" customFormat="false" ht="18" hidden="false" customHeight="true" outlineLevel="0" collapsed="false"/>
    <row r="4244" customFormat="false" ht="18" hidden="false" customHeight="true" outlineLevel="0" collapsed="false"/>
    <row r="4245" customFormat="false" ht="18" hidden="false" customHeight="true" outlineLevel="0" collapsed="false"/>
    <row r="4246" customFormat="false" ht="18" hidden="false" customHeight="true" outlineLevel="0" collapsed="false"/>
    <row r="4247" customFormat="false" ht="18" hidden="false" customHeight="true" outlineLevel="0" collapsed="false"/>
    <row r="4248" customFormat="false" ht="18" hidden="false" customHeight="true" outlineLevel="0" collapsed="false"/>
    <row r="4249" customFormat="false" ht="18" hidden="false" customHeight="true" outlineLevel="0" collapsed="false"/>
    <row r="4250" customFormat="false" ht="18" hidden="false" customHeight="true" outlineLevel="0" collapsed="false"/>
    <row r="4251" customFormat="false" ht="18" hidden="false" customHeight="true" outlineLevel="0" collapsed="false"/>
    <row r="4252" customFormat="false" ht="18" hidden="false" customHeight="true" outlineLevel="0" collapsed="false"/>
    <row r="4253" customFormat="false" ht="18" hidden="false" customHeight="true" outlineLevel="0" collapsed="false"/>
    <row r="4254" customFormat="false" ht="18" hidden="false" customHeight="true" outlineLevel="0" collapsed="false"/>
    <row r="4255" customFormat="false" ht="18" hidden="false" customHeight="true" outlineLevel="0" collapsed="false"/>
    <row r="4256" customFormat="false" ht="18" hidden="false" customHeight="true" outlineLevel="0" collapsed="false"/>
    <row r="4257" customFormat="false" ht="18" hidden="false" customHeight="true" outlineLevel="0" collapsed="false"/>
    <row r="4258" customFormat="false" ht="18" hidden="false" customHeight="true" outlineLevel="0" collapsed="false"/>
    <row r="4259" customFormat="false" ht="18" hidden="false" customHeight="true" outlineLevel="0" collapsed="false"/>
    <row r="4260" customFormat="false" ht="18" hidden="false" customHeight="true" outlineLevel="0" collapsed="false"/>
    <row r="4261" customFormat="false" ht="18" hidden="false" customHeight="true" outlineLevel="0" collapsed="false"/>
    <row r="4262" customFormat="false" ht="18" hidden="false" customHeight="true" outlineLevel="0" collapsed="false"/>
    <row r="4263" customFormat="false" ht="18" hidden="false" customHeight="true" outlineLevel="0" collapsed="false"/>
    <row r="4264" customFormat="false" ht="18" hidden="false" customHeight="true" outlineLevel="0" collapsed="false"/>
    <row r="4265" customFormat="false" ht="18" hidden="false" customHeight="true" outlineLevel="0" collapsed="false"/>
    <row r="4266" customFormat="false" ht="18" hidden="false" customHeight="true" outlineLevel="0" collapsed="false"/>
    <row r="4267" customFormat="false" ht="18" hidden="false" customHeight="true" outlineLevel="0" collapsed="false"/>
    <row r="4268" customFormat="false" ht="18" hidden="false" customHeight="true" outlineLevel="0" collapsed="false"/>
    <row r="4269" customFormat="false" ht="18" hidden="false" customHeight="true" outlineLevel="0" collapsed="false"/>
    <row r="4270" customFormat="false" ht="18" hidden="false" customHeight="true" outlineLevel="0" collapsed="false"/>
    <row r="4271" customFormat="false" ht="18" hidden="false" customHeight="true" outlineLevel="0" collapsed="false"/>
    <row r="4272" customFormat="false" ht="18" hidden="false" customHeight="true" outlineLevel="0" collapsed="false"/>
    <row r="4273" customFormat="false" ht="18" hidden="false" customHeight="true" outlineLevel="0" collapsed="false"/>
    <row r="4274" customFormat="false" ht="18" hidden="false" customHeight="true" outlineLevel="0" collapsed="false"/>
    <row r="4275" customFormat="false" ht="18" hidden="false" customHeight="true" outlineLevel="0" collapsed="false"/>
    <row r="4276" customFormat="false" ht="18" hidden="false" customHeight="true" outlineLevel="0" collapsed="false"/>
    <row r="4277" customFormat="false" ht="18" hidden="false" customHeight="true" outlineLevel="0" collapsed="false"/>
    <row r="4278" customFormat="false" ht="18" hidden="false" customHeight="true" outlineLevel="0" collapsed="false"/>
    <row r="4279" customFormat="false" ht="18" hidden="false" customHeight="true" outlineLevel="0" collapsed="false"/>
    <row r="4280" customFormat="false" ht="18" hidden="false" customHeight="true" outlineLevel="0" collapsed="false"/>
    <row r="4281" customFormat="false" ht="18" hidden="false" customHeight="true" outlineLevel="0" collapsed="false"/>
    <row r="4282" customFormat="false" ht="18" hidden="false" customHeight="true" outlineLevel="0" collapsed="false"/>
    <row r="4283" customFormat="false" ht="18" hidden="false" customHeight="true" outlineLevel="0" collapsed="false"/>
    <row r="4284" customFormat="false" ht="18" hidden="false" customHeight="true" outlineLevel="0" collapsed="false"/>
    <row r="4285" customFormat="false" ht="18" hidden="false" customHeight="true" outlineLevel="0" collapsed="false"/>
    <row r="4286" customFormat="false" ht="18" hidden="false" customHeight="true" outlineLevel="0" collapsed="false"/>
    <row r="4287" customFormat="false" ht="18" hidden="false" customHeight="true" outlineLevel="0" collapsed="false"/>
    <row r="4288" customFormat="false" ht="18" hidden="false" customHeight="true" outlineLevel="0" collapsed="false"/>
    <row r="4289" customFormat="false" ht="18" hidden="false" customHeight="true" outlineLevel="0" collapsed="false"/>
    <row r="4290" customFormat="false" ht="18" hidden="false" customHeight="true" outlineLevel="0" collapsed="false"/>
    <row r="4291" customFormat="false" ht="18" hidden="false" customHeight="true" outlineLevel="0" collapsed="false"/>
    <row r="4292" customFormat="false" ht="18" hidden="false" customHeight="true" outlineLevel="0" collapsed="false"/>
    <row r="4293" customFormat="false" ht="18" hidden="false" customHeight="true" outlineLevel="0" collapsed="false"/>
    <row r="4294" customFormat="false" ht="18" hidden="false" customHeight="true" outlineLevel="0" collapsed="false"/>
    <row r="4295" customFormat="false" ht="18" hidden="false" customHeight="true" outlineLevel="0" collapsed="false"/>
    <row r="4296" customFormat="false" ht="18" hidden="false" customHeight="true" outlineLevel="0" collapsed="false"/>
    <row r="4297" customFormat="false" ht="18" hidden="false" customHeight="true" outlineLevel="0" collapsed="false"/>
    <row r="4298" customFormat="false" ht="18" hidden="false" customHeight="true" outlineLevel="0" collapsed="false"/>
    <row r="4299" customFormat="false" ht="18" hidden="false" customHeight="true" outlineLevel="0" collapsed="false"/>
    <row r="4300" customFormat="false" ht="18" hidden="false" customHeight="true" outlineLevel="0" collapsed="false"/>
    <row r="4301" customFormat="false" ht="18" hidden="false" customHeight="true" outlineLevel="0" collapsed="false"/>
    <row r="4302" customFormat="false" ht="18" hidden="false" customHeight="true" outlineLevel="0" collapsed="false"/>
    <row r="4303" customFormat="false" ht="18" hidden="false" customHeight="true" outlineLevel="0" collapsed="false"/>
    <row r="4304" customFormat="false" ht="18" hidden="false" customHeight="true" outlineLevel="0" collapsed="false"/>
    <row r="4305" customFormat="false" ht="18" hidden="false" customHeight="true" outlineLevel="0" collapsed="false"/>
    <row r="4306" customFormat="false" ht="18" hidden="false" customHeight="true" outlineLevel="0" collapsed="false"/>
    <row r="4307" customFormat="false" ht="18" hidden="false" customHeight="true" outlineLevel="0" collapsed="false"/>
    <row r="4308" customFormat="false" ht="18" hidden="false" customHeight="true" outlineLevel="0" collapsed="false"/>
    <row r="4309" customFormat="false" ht="18" hidden="false" customHeight="true" outlineLevel="0" collapsed="false"/>
    <row r="4310" customFormat="false" ht="18" hidden="false" customHeight="true" outlineLevel="0" collapsed="false"/>
    <row r="4311" customFormat="false" ht="18" hidden="false" customHeight="true" outlineLevel="0" collapsed="false"/>
    <row r="4312" customFormat="false" ht="18" hidden="false" customHeight="true" outlineLevel="0" collapsed="false"/>
    <row r="4313" customFormat="false" ht="18" hidden="false" customHeight="true" outlineLevel="0" collapsed="false"/>
    <row r="4314" customFormat="false" ht="18" hidden="false" customHeight="true" outlineLevel="0" collapsed="false"/>
    <row r="4315" customFormat="false" ht="18" hidden="false" customHeight="true" outlineLevel="0" collapsed="false"/>
    <row r="4316" customFormat="false" ht="18" hidden="false" customHeight="true" outlineLevel="0" collapsed="false"/>
    <row r="4317" customFormat="false" ht="18" hidden="false" customHeight="true" outlineLevel="0" collapsed="false"/>
    <row r="4318" customFormat="false" ht="18" hidden="false" customHeight="true" outlineLevel="0" collapsed="false"/>
    <row r="4319" customFormat="false" ht="18" hidden="false" customHeight="true" outlineLevel="0" collapsed="false"/>
    <row r="4320" customFormat="false" ht="18" hidden="false" customHeight="true" outlineLevel="0" collapsed="false"/>
    <row r="4321" customFormat="false" ht="18" hidden="false" customHeight="true" outlineLevel="0" collapsed="false"/>
    <row r="4322" customFormat="false" ht="18" hidden="false" customHeight="true" outlineLevel="0" collapsed="false"/>
    <row r="4323" customFormat="false" ht="18" hidden="false" customHeight="true" outlineLevel="0" collapsed="false"/>
    <row r="4324" customFormat="false" ht="18" hidden="false" customHeight="true" outlineLevel="0" collapsed="false"/>
    <row r="4325" customFormat="false" ht="18" hidden="false" customHeight="true" outlineLevel="0" collapsed="false"/>
    <row r="4326" customFormat="false" ht="18" hidden="false" customHeight="true" outlineLevel="0" collapsed="false"/>
    <row r="4327" customFormat="false" ht="18" hidden="false" customHeight="true" outlineLevel="0" collapsed="false"/>
    <row r="4328" customFormat="false" ht="18" hidden="false" customHeight="true" outlineLevel="0" collapsed="false"/>
    <row r="4329" customFormat="false" ht="18" hidden="false" customHeight="true" outlineLevel="0" collapsed="false"/>
    <row r="4330" customFormat="false" ht="18" hidden="false" customHeight="true" outlineLevel="0" collapsed="false"/>
    <row r="4331" customFormat="false" ht="18" hidden="false" customHeight="true" outlineLevel="0" collapsed="false"/>
    <row r="4332" customFormat="false" ht="18" hidden="false" customHeight="true" outlineLevel="0" collapsed="false"/>
    <row r="4333" customFormat="false" ht="18" hidden="false" customHeight="true" outlineLevel="0" collapsed="false"/>
    <row r="4334" customFormat="false" ht="18" hidden="false" customHeight="true" outlineLevel="0" collapsed="false"/>
    <row r="4335" customFormat="false" ht="18" hidden="false" customHeight="true" outlineLevel="0" collapsed="false"/>
    <row r="4336" customFormat="false" ht="18" hidden="false" customHeight="true" outlineLevel="0" collapsed="false"/>
    <row r="4337" customFormat="false" ht="18" hidden="false" customHeight="true" outlineLevel="0" collapsed="false"/>
    <row r="4338" customFormat="false" ht="18" hidden="false" customHeight="true" outlineLevel="0" collapsed="false"/>
    <row r="4339" customFormat="false" ht="18" hidden="false" customHeight="true" outlineLevel="0" collapsed="false"/>
    <row r="4340" customFormat="false" ht="18" hidden="false" customHeight="true" outlineLevel="0" collapsed="false"/>
    <row r="4341" customFormat="false" ht="18" hidden="false" customHeight="true" outlineLevel="0" collapsed="false"/>
    <row r="4342" customFormat="false" ht="18" hidden="false" customHeight="true" outlineLevel="0" collapsed="false"/>
    <row r="4343" customFormat="false" ht="18" hidden="false" customHeight="true" outlineLevel="0" collapsed="false"/>
    <row r="4344" customFormat="false" ht="18" hidden="false" customHeight="true" outlineLevel="0" collapsed="false"/>
    <row r="4345" customFormat="false" ht="18" hidden="false" customHeight="true" outlineLevel="0" collapsed="false"/>
    <row r="4346" customFormat="false" ht="18" hidden="false" customHeight="true" outlineLevel="0" collapsed="false"/>
    <row r="4347" customFormat="false" ht="18" hidden="false" customHeight="true" outlineLevel="0" collapsed="false"/>
    <row r="4348" customFormat="false" ht="18" hidden="false" customHeight="true" outlineLevel="0" collapsed="false"/>
    <row r="4349" customFormat="false" ht="18" hidden="false" customHeight="true" outlineLevel="0" collapsed="false"/>
    <row r="4350" customFormat="false" ht="18" hidden="false" customHeight="true" outlineLevel="0" collapsed="false"/>
    <row r="4351" customFormat="false" ht="18" hidden="false" customHeight="true" outlineLevel="0" collapsed="false"/>
    <row r="4352" customFormat="false" ht="18" hidden="false" customHeight="true" outlineLevel="0" collapsed="false"/>
    <row r="4353" customFormat="false" ht="18" hidden="false" customHeight="true" outlineLevel="0" collapsed="false"/>
    <row r="4354" customFormat="false" ht="18" hidden="false" customHeight="true" outlineLevel="0" collapsed="false"/>
    <row r="4355" customFormat="false" ht="18" hidden="false" customHeight="true" outlineLevel="0" collapsed="false"/>
    <row r="4356" customFormat="false" ht="18" hidden="false" customHeight="true" outlineLevel="0" collapsed="false"/>
    <row r="4357" customFormat="false" ht="18" hidden="false" customHeight="true" outlineLevel="0" collapsed="false"/>
    <row r="4358" customFormat="false" ht="18" hidden="false" customHeight="true" outlineLevel="0" collapsed="false"/>
    <row r="4359" customFormat="false" ht="18" hidden="false" customHeight="true" outlineLevel="0" collapsed="false"/>
    <row r="4360" customFormat="false" ht="18" hidden="false" customHeight="true" outlineLevel="0" collapsed="false"/>
    <row r="4361" customFormat="false" ht="18" hidden="false" customHeight="true" outlineLevel="0" collapsed="false"/>
    <row r="4362" customFormat="false" ht="18" hidden="false" customHeight="true" outlineLevel="0" collapsed="false"/>
    <row r="4363" customFormat="false" ht="18" hidden="false" customHeight="true" outlineLevel="0" collapsed="false"/>
    <row r="4364" customFormat="false" ht="18" hidden="false" customHeight="true" outlineLevel="0" collapsed="false"/>
    <row r="4365" customFormat="false" ht="18" hidden="false" customHeight="true" outlineLevel="0" collapsed="false"/>
    <row r="4366" customFormat="false" ht="18" hidden="false" customHeight="true" outlineLevel="0" collapsed="false"/>
    <row r="4367" customFormat="false" ht="18" hidden="false" customHeight="true" outlineLevel="0" collapsed="false"/>
    <row r="4368" customFormat="false" ht="18" hidden="false" customHeight="true" outlineLevel="0" collapsed="false"/>
    <row r="4369" customFormat="false" ht="18" hidden="false" customHeight="true" outlineLevel="0" collapsed="false"/>
    <row r="4370" customFormat="false" ht="18" hidden="false" customHeight="true" outlineLevel="0" collapsed="false"/>
    <row r="4371" customFormat="false" ht="18" hidden="false" customHeight="true" outlineLevel="0" collapsed="false"/>
    <row r="4372" customFormat="false" ht="18" hidden="false" customHeight="true" outlineLevel="0" collapsed="false"/>
    <row r="4373" customFormat="false" ht="18" hidden="false" customHeight="true" outlineLevel="0" collapsed="false"/>
    <row r="4374" customFormat="false" ht="18" hidden="false" customHeight="true" outlineLevel="0" collapsed="false"/>
    <row r="4375" customFormat="false" ht="18" hidden="false" customHeight="true" outlineLevel="0" collapsed="false"/>
    <row r="4376" customFormat="false" ht="18" hidden="false" customHeight="true" outlineLevel="0" collapsed="false"/>
    <row r="4377" customFormat="false" ht="18" hidden="false" customHeight="true" outlineLevel="0" collapsed="false"/>
    <row r="4378" customFormat="false" ht="18" hidden="false" customHeight="true" outlineLevel="0" collapsed="false"/>
    <row r="4379" customFormat="false" ht="18" hidden="false" customHeight="true" outlineLevel="0" collapsed="false"/>
    <row r="4380" customFormat="false" ht="18" hidden="false" customHeight="true" outlineLevel="0" collapsed="false"/>
    <row r="4381" customFormat="false" ht="18" hidden="false" customHeight="true" outlineLevel="0" collapsed="false"/>
    <row r="4382" customFormat="false" ht="18" hidden="false" customHeight="true" outlineLevel="0" collapsed="false"/>
    <row r="4383" customFormat="false" ht="18" hidden="false" customHeight="true" outlineLevel="0" collapsed="false"/>
    <row r="4384" customFormat="false" ht="18" hidden="false" customHeight="true" outlineLevel="0" collapsed="false"/>
    <row r="4385" customFormat="false" ht="18" hidden="false" customHeight="true" outlineLevel="0" collapsed="false"/>
    <row r="4386" customFormat="false" ht="18" hidden="false" customHeight="true" outlineLevel="0" collapsed="false"/>
    <row r="4387" customFormat="false" ht="18" hidden="false" customHeight="true" outlineLevel="0" collapsed="false"/>
    <row r="4388" customFormat="false" ht="18" hidden="false" customHeight="true" outlineLevel="0" collapsed="false"/>
    <row r="4389" customFormat="false" ht="18" hidden="false" customHeight="true" outlineLevel="0" collapsed="false"/>
    <row r="4390" customFormat="false" ht="18" hidden="false" customHeight="true" outlineLevel="0" collapsed="false"/>
    <row r="4391" customFormat="false" ht="18" hidden="false" customHeight="true" outlineLevel="0" collapsed="false"/>
    <row r="4392" customFormat="false" ht="18" hidden="false" customHeight="true" outlineLevel="0" collapsed="false"/>
    <row r="4393" customFormat="false" ht="18" hidden="false" customHeight="true" outlineLevel="0" collapsed="false"/>
    <row r="4394" customFormat="false" ht="18" hidden="false" customHeight="true" outlineLevel="0" collapsed="false"/>
    <row r="4395" customFormat="false" ht="18" hidden="false" customHeight="true" outlineLevel="0" collapsed="false"/>
    <row r="4396" customFormat="false" ht="18" hidden="false" customHeight="true" outlineLevel="0" collapsed="false"/>
    <row r="4397" customFormat="false" ht="18" hidden="false" customHeight="true" outlineLevel="0" collapsed="false"/>
    <row r="4398" customFormat="false" ht="18" hidden="false" customHeight="true" outlineLevel="0" collapsed="false"/>
    <row r="4399" customFormat="false" ht="18" hidden="false" customHeight="true" outlineLevel="0" collapsed="false"/>
    <row r="4400" customFormat="false" ht="18" hidden="false" customHeight="true" outlineLevel="0" collapsed="false"/>
    <row r="4401" customFormat="false" ht="18" hidden="false" customHeight="true" outlineLevel="0" collapsed="false"/>
    <row r="4402" customFormat="false" ht="18" hidden="false" customHeight="true" outlineLevel="0" collapsed="false"/>
    <row r="4403" customFormat="false" ht="18" hidden="false" customHeight="true" outlineLevel="0" collapsed="false"/>
    <row r="4404" customFormat="false" ht="18" hidden="false" customHeight="true" outlineLevel="0" collapsed="false"/>
    <row r="4405" customFormat="false" ht="18" hidden="false" customHeight="true" outlineLevel="0" collapsed="false"/>
    <row r="4406" customFormat="false" ht="18" hidden="false" customHeight="true" outlineLevel="0" collapsed="false"/>
    <row r="4407" customFormat="false" ht="18" hidden="false" customHeight="true" outlineLevel="0" collapsed="false"/>
    <row r="4408" customFormat="false" ht="18" hidden="false" customHeight="true" outlineLevel="0" collapsed="false"/>
    <row r="4409" customFormat="false" ht="18" hidden="false" customHeight="true" outlineLevel="0" collapsed="false"/>
    <row r="4410" customFormat="false" ht="18" hidden="false" customHeight="true" outlineLevel="0" collapsed="false"/>
    <row r="4411" customFormat="false" ht="18" hidden="false" customHeight="true" outlineLevel="0" collapsed="false"/>
    <row r="4412" customFormat="false" ht="18" hidden="false" customHeight="true" outlineLevel="0" collapsed="false"/>
    <row r="4413" customFormat="false" ht="18" hidden="false" customHeight="true" outlineLevel="0" collapsed="false"/>
    <row r="4414" customFormat="false" ht="18" hidden="false" customHeight="true" outlineLevel="0" collapsed="false"/>
    <row r="4415" customFormat="false" ht="18" hidden="false" customHeight="true" outlineLevel="0" collapsed="false"/>
    <row r="4416" customFormat="false" ht="18" hidden="false" customHeight="true" outlineLevel="0" collapsed="false"/>
    <row r="4417" customFormat="false" ht="18" hidden="false" customHeight="true" outlineLevel="0" collapsed="false"/>
    <row r="4418" customFormat="false" ht="18" hidden="false" customHeight="true" outlineLevel="0" collapsed="false"/>
    <row r="4419" customFormat="false" ht="18" hidden="false" customHeight="true" outlineLevel="0" collapsed="false"/>
    <row r="4420" customFormat="false" ht="18" hidden="false" customHeight="true" outlineLevel="0" collapsed="false"/>
    <row r="4421" customFormat="false" ht="18" hidden="false" customHeight="true" outlineLevel="0" collapsed="false"/>
    <row r="4422" customFormat="false" ht="18" hidden="false" customHeight="true" outlineLevel="0" collapsed="false"/>
    <row r="4423" customFormat="false" ht="18" hidden="false" customHeight="true" outlineLevel="0" collapsed="false"/>
    <row r="4424" customFormat="false" ht="18" hidden="false" customHeight="true" outlineLevel="0" collapsed="false"/>
    <row r="4425" customFormat="false" ht="18" hidden="false" customHeight="true" outlineLevel="0" collapsed="false"/>
    <row r="4426" customFormat="false" ht="18" hidden="false" customHeight="true" outlineLevel="0" collapsed="false"/>
    <row r="4427" customFormat="false" ht="18" hidden="false" customHeight="true" outlineLevel="0" collapsed="false"/>
    <row r="4428" customFormat="false" ht="18" hidden="false" customHeight="true" outlineLevel="0" collapsed="false"/>
    <row r="4429" customFormat="false" ht="18" hidden="false" customHeight="true" outlineLevel="0" collapsed="false"/>
    <row r="4430" customFormat="false" ht="18" hidden="false" customHeight="true" outlineLevel="0" collapsed="false"/>
    <row r="4431" customFormat="false" ht="18" hidden="false" customHeight="true" outlineLevel="0" collapsed="false"/>
    <row r="4432" customFormat="false" ht="18" hidden="false" customHeight="true" outlineLevel="0" collapsed="false"/>
    <row r="4433" customFormat="false" ht="18" hidden="false" customHeight="true" outlineLevel="0" collapsed="false"/>
    <row r="4434" customFormat="false" ht="18" hidden="false" customHeight="true" outlineLevel="0" collapsed="false"/>
    <row r="4435" customFormat="false" ht="18" hidden="false" customHeight="true" outlineLevel="0" collapsed="false"/>
    <row r="4436" customFormat="false" ht="18" hidden="false" customHeight="true" outlineLevel="0" collapsed="false"/>
    <row r="4437" customFormat="false" ht="18" hidden="false" customHeight="true" outlineLevel="0" collapsed="false"/>
    <row r="4438" customFormat="false" ht="18" hidden="false" customHeight="true" outlineLevel="0" collapsed="false"/>
    <row r="4439" customFormat="false" ht="18" hidden="false" customHeight="true" outlineLevel="0" collapsed="false"/>
    <row r="4440" customFormat="false" ht="18" hidden="false" customHeight="true" outlineLevel="0" collapsed="false"/>
    <row r="4441" customFormat="false" ht="18" hidden="false" customHeight="true" outlineLevel="0" collapsed="false"/>
    <row r="4442" customFormat="false" ht="18" hidden="false" customHeight="true" outlineLevel="0" collapsed="false"/>
    <row r="4443" customFormat="false" ht="18" hidden="false" customHeight="true" outlineLevel="0" collapsed="false"/>
    <row r="4444" customFormat="false" ht="18" hidden="false" customHeight="true" outlineLevel="0" collapsed="false"/>
    <row r="4445" customFormat="false" ht="18" hidden="false" customHeight="true" outlineLevel="0" collapsed="false"/>
    <row r="4446" customFormat="false" ht="18" hidden="false" customHeight="true" outlineLevel="0" collapsed="false"/>
    <row r="4447" customFormat="false" ht="18" hidden="false" customHeight="true" outlineLevel="0" collapsed="false"/>
    <row r="4448" customFormat="false" ht="18" hidden="false" customHeight="true" outlineLevel="0" collapsed="false"/>
    <row r="4449" customFormat="false" ht="18" hidden="false" customHeight="true" outlineLevel="0" collapsed="false"/>
    <row r="4450" customFormat="false" ht="18" hidden="false" customHeight="true" outlineLevel="0" collapsed="false"/>
    <row r="4451" customFormat="false" ht="18" hidden="false" customHeight="true" outlineLevel="0" collapsed="false"/>
    <row r="4452" customFormat="false" ht="18" hidden="false" customHeight="true" outlineLevel="0" collapsed="false"/>
    <row r="4453" customFormat="false" ht="18" hidden="false" customHeight="true" outlineLevel="0" collapsed="false"/>
    <row r="4454" customFormat="false" ht="18" hidden="false" customHeight="true" outlineLevel="0" collapsed="false"/>
    <row r="4455" customFormat="false" ht="18" hidden="false" customHeight="true" outlineLevel="0" collapsed="false"/>
    <row r="4456" customFormat="false" ht="18" hidden="false" customHeight="true" outlineLevel="0" collapsed="false"/>
    <row r="4457" customFormat="false" ht="18" hidden="false" customHeight="true" outlineLevel="0" collapsed="false"/>
    <row r="4458" customFormat="false" ht="18" hidden="false" customHeight="true" outlineLevel="0" collapsed="false"/>
    <row r="4459" customFormat="false" ht="18" hidden="false" customHeight="true" outlineLevel="0" collapsed="false"/>
    <row r="4460" customFormat="false" ht="18" hidden="false" customHeight="true" outlineLevel="0" collapsed="false"/>
    <row r="4461" customFormat="false" ht="18" hidden="false" customHeight="true" outlineLevel="0" collapsed="false"/>
    <row r="4462" customFormat="false" ht="18" hidden="false" customHeight="true" outlineLevel="0" collapsed="false"/>
    <row r="4463" customFormat="false" ht="18" hidden="false" customHeight="true" outlineLevel="0" collapsed="false"/>
    <row r="4464" customFormat="false" ht="18" hidden="false" customHeight="true" outlineLevel="0" collapsed="false"/>
    <row r="4465" customFormat="false" ht="18" hidden="false" customHeight="true" outlineLevel="0" collapsed="false"/>
    <row r="4466" customFormat="false" ht="18" hidden="false" customHeight="true" outlineLevel="0" collapsed="false"/>
    <row r="4467" customFormat="false" ht="18" hidden="false" customHeight="true" outlineLevel="0" collapsed="false"/>
    <row r="4468" customFormat="false" ht="18" hidden="false" customHeight="true" outlineLevel="0" collapsed="false"/>
    <row r="4469" customFormat="false" ht="18" hidden="false" customHeight="true" outlineLevel="0" collapsed="false"/>
    <row r="4470" customFormat="false" ht="18" hidden="false" customHeight="true" outlineLevel="0" collapsed="false"/>
    <row r="4471" customFormat="false" ht="18" hidden="false" customHeight="true" outlineLevel="0" collapsed="false"/>
    <row r="4472" customFormat="false" ht="18" hidden="false" customHeight="true" outlineLevel="0" collapsed="false"/>
    <row r="4473" customFormat="false" ht="18" hidden="false" customHeight="true" outlineLevel="0" collapsed="false"/>
    <row r="4474" customFormat="false" ht="18" hidden="false" customHeight="true" outlineLevel="0" collapsed="false"/>
    <row r="4475" customFormat="false" ht="18" hidden="false" customHeight="true" outlineLevel="0" collapsed="false"/>
    <row r="4476" customFormat="false" ht="18" hidden="false" customHeight="true" outlineLevel="0" collapsed="false"/>
    <row r="4477" customFormat="false" ht="18" hidden="false" customHeight="true" outlineLevel="0" collapsed="false"/>
    <row r="4478" customFormat="false" ht="18" hidden="false" customHeight="true" outlineLevel="0" collapsed="false"/>
    <row r="4479" customFormat="false" ht="18" hidden="false" customHeight="true" outlineLevel="0" collapsed="false"/>
    <row r="4480" customFormat="false" ht="18" hidden="false" customHeight="true" outlineLevel="0" collapsed="false"/>
    <row r="4481" customFormat="false" ht="18" hidden="false" customHeight="true" outlineLevel="0" collapsed="false"/>
    <row r="4482" customFormat="false" ht="18" hidden="false" customHeight="true" outlineLevel="0" collapsed="false"/>
    <row r="4483" customFormat="false" ht="18" hidden="false" customHeight="true" outlineLevel="0" collapsed="false"/>
    <row r="4484" customFormat="false" ht="18" hidden="false" customHeight="true" outlineLevel="0" collapsed="false"/>
    <row r="4485" customFormat="false" ht="18" hidden="false" customHeight="true" outlineLevel="0" collapsed="false"/>
    <row r="4486" customFormat="false" ht="18" hidden="false" customHeight="true" outlineLevel="0" collapsed="false"/>
    <row r="4487" customFormat="false" ht="18" hidden="false" customHeight="true" outlineLevel="0" collapsed="false"/>
    <row r="4488" customFormat="false" ht="18" hidden="false" customHeight="true" outlineLevel="0" collapsed="false"/>
    <row r="4489" customFormat="false" ht="18" hidden="false" customHeight="true" outlineLevel="0" collapsed="false"/>
    <row r="4490" customFormat="false" ht="18" hidden="false" customHeight="true" outlineLevel="0" collapsed="false"/>
    <row r="4491" customFormat="false" ht="18" hidden="false" customHeight="true" outlineLevel="0" collapsed="false"/>
    <row r="4492" customFormat="false" ht="18" hidden="false" customHeight="true" outlineLevel="0" collapsed="false"/>
    <row r="4493" customFormat="false" ht="18" hidden="false" customHeight="true" outlineLevel="0" collapsed="false"/>
    <row r="4494" customFormat="false" ht="18" hidden="false" customHeight="true" outlineLevel="0" collapsed="false"/>
    <row r="4495" customFormat="false" ht="18" hidden="false" customHeight="true" outlineLevel="0" collapsed="false"/>
    <row r="4496" customFormat="false" ht="18" hidden="false" customHeight="true" outlineLevel="0" collapsed="false"/>
    <row r="4497" customFormat="false" ht="18" hidden="false" customHeight="true" outlineLevel="0" collapsed="false"/>
    <row r="4498" customFormat="false" ht="18" hidden="false" customHeight="true" outlineLevel="0" collapsed="false"/>
    <row r="4499" customFormat="false" ht="18" hidden="false" customHeight="true" outlineLevel="0" collapsed="false"/>
    <row r="4500" customFormat="false" ht="18" hidden="false" customHeight="true" outlineLevel="0" collapsed="false"/>
    <row r="4501" customFormat="false" ht="18" hidden="false" customHeight="true" outlineLevel="0" collapsed="false"/>
    <row r="4502" customFormat="false" ht="18" hidden="false" customHeight="true" outlineLevel="0" collapsed="false"/>
    <row r="4503" customFormat="false" ht="18" hidden="false" customHeight="true" outlineLevel="0" collapsed="false"/>
    <row r="4504" customFormat="false" ht="18" hidden="false" customHeight="true" outlineLevel="0" collapsed="false"/>
    <row r="4505" customFormat="false" ht="18" hidden="false" customHeight="true" outlineLevel="0" collapsed="false"/>
    <row r="4506" customFormat="false" ht="18" hidden="false" customHeight="true" outlineLevel="0" collapsed="false"/>
    <row r="4507" customFormat="false" ht="18" hidden="false" customHeight="true" outlineLevel="0" collapsed="false"/>
    <row r="4508" customFormat="false" ht="18" hidden="false" customHeight="true" outlineLevel="0" collapsed="false"/>
    <row r="4509" customFormat="false" ht="18" hidden="false" customHeight="true" outlineLevel="0" collapsed="false"/>
    <row r="4510" customFormat="false" ht="18" hidden="false" customHeight="true" outlineLevel="0" collapsed="false"/>
    <row r="4511" customFormat="false" ht="18" hidden="false" customHeight="true" outlineLevel="0" collapsed="false"/>
    <row r="4512" customFormat="false" ht="18" hidden="false" customHeight="true" outlineLevel="0" collapsed="false"/>
    <row r="4513" customFormat="false" ht="18" hidden="false" customHeight="true" outlineLevel="0" collapsed="false"/>
    <row r="4514" customFormat="false" ht="18" hidden="false" customHeight="true" outlineLevel="0" collapsed="false"/>
    <row r="4515" customFormat="false" ht="18" hidden="false" customHeight="true" outlineLevel="0" collapsed="false"/>
    <row r="4516" customFormat="false" ht="18" hidden="false" customHeight="true" outlineLevel="0" collapsed="false"/>
    <row r="4517" customFormat="false" ht="18" hidden="false" customHeight="true" outlineLevel="0" collapsed="false"/>
    <row r="4518" customFormat="false" ht="18" hidden="false" customHeight="true" outlineLevel="0" collapsed="false"/>
    <row r="4519" customFormat="false" ht="18" hidden="false" customHeight="true" outlineLevel="0" collapsed="false"/>
    <row r="4520" customFormat="false" ht="18" hidden="false" customHeight="true" outlineLevel="0" collapsed="false"/>
    <row r="4521" customFormat="false" ht="18" hidden="false" customHeight="true" outlineLevel="0" collapsed="false"/>
    <row r="4522" customFormat="false" ht="18" hidden="false" customHeight="true" outlineLevel="0" collapsed="false"/>
    <row r="4523" customFormat="false" ht="18" hidden="false" customHeight="true" outlineLevel="0" collapsed="false"/>
    <row r="4524" customFormat="false" ht="18" hidden="false" customHeight="true" outlineLevel="0" collapsed="false"/>
    <row r="4525" customFormat="false" ht="18" hidden="false" customHeight="true" outlineLevel="0" collapsed="false"/>
    <row r="4526" customFormat="false" ht="18" hidden="false" customHeight="true" outlineLevel="0" collapsed="false"/>
    <row r="4527" customFormat="false" ht="18" hidden="false" customHeight="true" outlineLevel="0" collapsed="false"/>
    <row r="4528" customFormat="false" ht="18" hidden="false" customHeight="true" outlineLevel="0" collapsed="false"/>
    <row r="4529" customFormat="false" ht="18" hidden="false" customHeight="true" outlineLevel="0" collapsed="false"/>
    <row r="4530" customFormat="false" ht="18" hidden="false" customHeight="true" outlineLevel="0" collapsed="false"/>
    <row r="4531" customFormat="false" ht="18" hidden="false" customHeight="true" outlineLevel="0" collapsed="false"/>
    <row r="4532" customFormat="false" ht="18" hidden="false" customHeight="true" outlineLevel="0" collapsed="false"/>
    <row r="4533" customFormat="false" ht="18" hidden="false" customHeight="true" outlineLevel="0" collapsed="false"/>
    <row r="4534" customFormat="false" ht="18" hidden="false" customHeight="true" outlineLevel="0" collapsed="false"/>
    <row r="4535" customFormat="false" ht="18" hidden="false" customHeight="true" outlineLevel="0" collapsed="false"/>
    <row r="4536" customFormat="false" ht="18" hidden="false" customHeight="true" outlineLevel="0" collapsed="false"/>
    <row r="4537" customFormat="false" ht="18" hidden="false" customHeight="true" outlineLevel="0" collapsed="false"/>
    <row r="4538" customFormat="false" ht="18" hidden="false" customHeight="true" outlineLevel="0" collapsed="false"/>
    <row r="4539" customFormat="false" ht="18" hidden="false" customHeight="true" outlineLevel="0" collapsed="false"/>
    <row r="4540" customFormat="false" ht="18" hidden="false" customHeight="true" outlineLevel="0" collapsed="false"/>
    <row r="4541" customFormat="false" ht="18" hidden="false" customHeight="true" outlineLevel="0" collapsed="false"/>
    <row r="4542" customFormat="false" ht="18" hidden="false" customHeight="true" outlineLevel="0" collapsed="false"/>
    <row r="4543" customFormat="false" ht="18" hidden="false" customHeight="true" outlineLevel="0" collapsed="false"/>
    <row r="4544" customFormat="false" ht="18" hidden="false" customHeight="true" outlineLevel="0" collapsed="false"/>
    <row r="4545" customFormat="false" ht="18" hidden="false" customHeight="true" outlineLevel="0" collapsed="false"/>
    <row r="4546" customFormat="false" ht="18" hidden="false" customHeight="true" outlineLevel="0" collapsed="false"/>
    <row r="4547" customFormat="false" ht="18" hidden="false" customHeight="true" outlineLevel="0" collapsed="false"/>
    <row r="4548" customFormat="false" ht="18" hidden="false" customHeight="true" outlineLevel="0" collapsed="false"/>
    <row r="4549" customFormat="false" ht="18" hidden="false" customHeight="true" outlineLevel="0" collapsed="false"/>
    <row r="4550" customFormat="false" ht="18" hidden="false" customHeight="true" outlineLevel="0" collapsed="false"/>
    <row r="4551" customFormat="false" ht="18" hidden="false" customHeight="true" outlineLevel="0" collapsed="false"/>
    <row r="4552" customFormat="false" ht="18" hidden="false" customHeight="true" outlineLevel="0" collapsed="false"/>
    <row r="4553" customFormat="false" ht="18" hidden="false" customHeight="true" outlineLevel="0" collapsed="false"/>
    <row r="4554" customFormat="false" ht="18" hidden="false" customHeight="true" outlineLevel="0" collapsed="false"/>
    <row r="4555" customFormat="false" ht="18" hidden="false" customHeight="true" outlineLevel="0" collapsed="false"/>
    <row r="4556" customFormat="false" ht="18" hidden="false" customHeight="true" outlineLevel="0" collapsed="false"/>
    <row r="4557" customFormat="false" ht="18" hidden="false" customHeight="true" outlineLevel="0" collapsed="false"/>
    <row r="4558" customFormat="false" ht="18" hidden="false" customHeight="true" outlineLevel="0" collapsed="false"/>
    <row r="4559" customFormat="false" ht="18" hidden="false" customHeight="true" outlineLevel="0" collapsed="false"/>
    <row r="4560" customFormat="false" ht="18" hidden="false" customHeight="true" outlineLevel="0" collapsed="false"/>
    <row r="4561" customFormat="false" ht="18" hidden="false" customHeight="true" outlineLevel="0" collapsed="false"/>
    <row r="4562" customFormat="false" ht="18" hidden="false" customHeight="true" outlineLevel="0" collapsed="false"/>
    <row r="4563" customFormat="false" ht="18" hidden="false" customHeight="true" outlineLevel="0" collapsed="false"/>
    <row r="4564" customFormat="false" ht="18" hidden="false" customHeight="true" outlineLevel="0" collapsed="false"/>
    <row r="4565" customFormat="false" ht="18" hidden="false" customHeight="true" outlineLevel="0" collapsed="false"/>
    <row r="4566" customFormat="false" ht="18" hidden="false" customHeight="true" outlineLevel="0" collapsed="false"/>
    <row r="4567" customFormat="false" ht="18" hidden="false" customHeight="true" outlineLevel="0" collapsed="false"/>
    <row r="4568" customFormat="false" ht="18" hidden="false" customHeight="true" outlineLevel="0" collapsed="false"/>
    <row r="4569" customFormat="false" ht="18" hidden="false" customHeight="true" outlineLevel="0" collapsed="false"/>
    <row r="4570" customFormat="false" ht="18" hidden="false" customHeight="true" outlineLevel="0" collapsed="false"/>
    <row r="4571" customFormat="false" ht="18" hidden="false" customHeight="true" outlineLevel="0" collapsed="false"/>
    <row r="4572" customFormat="false" ht="18" hidden="false" customHeight="true" outlineLevel="0" collapsed="false"/>
    <row r="4573" customFormat="false" ht="18" hidden="false" customHeight="true" outlineLevel="0" collapsed="false"/>
    <row r="4574" customFormat="false" ht="18" hidden="false" customHeight="true" outlineLevel="0" collapsed="false"/>
    <row r="4575" customFormat="false" ht="18" hidden="false" customHeight="true" outlineLevel="0" collapsed="false"/>
    <row r="4576" customFormat="false" ht="18" hidden="false" customHeight="true" outlineLevel="0" collapsed="false"/>
    <row r="4577" customFormat="false" ht="18" hidden="false" customHeight="true" outlineLevel="0" collapsed="false"/>
    <row r="4578" customFormat="false" ht="18" hidden="false" customHeight="true" outlineLevel="0" collapsed="false"/>
    <row r="4579" customFormat="false" ht="18" hidden="false" customHeight="true" outlineLevel="0" collapsed="false"/>
    <row r="4580" customFormat="false" ht="18" hidden="false" customHeight="true" outlineLevel="0" collapsed="false"/>
    <row r="4581" customFormat="false" ht="18" hidden="false" customHeight="true" outlineLevel="0" collapsed="false"/>
    <row r="4582" customFormat="false" ht="18" hidden="false" customHeight="true" outlineLevel="0" collapsed="false"/>
    <row r="4583" customFormat="false" ht="18" hidden="false" customHeight="true" outlineLevel="0" collapsed="false"/>
    <row r="4584" customFormat="false" ht="18" hidden="false" customHeight="true" outlineLevel="0" collapsed="false"/>
    <row r="4585" customFormat="false" ht="18" hidden="false" customHeight="true" outlineLevel="0" collapsed="false"/>
    <row r="4586" customFormat="false" ht="18" hidden="false" customHeight="true" outlineLevel="0" collapsed="false"/>
    <row r="4587" customFormat="false" ht="18" hidden="false" customHeight="true" outlineLevel="0" collapsed="false"/>
    <row r="4588" customFormat="false" ht="18" hidden="false" customHeight="true" outlineLevel="0" collapsed="false"/>
    <row r="4589" customFormat="false" ht="18" hidden="false" customHeight="true" outlineLevel="0" collapsed="false"/>
    <row r="4590" customFormat="false" ht="18" hidden="false" customHeight="true" outlineLevel="0" collapsed="false"/>
    <row r="4591" customFormat="false" ht="18" hidden="false" customHeight="true" outlineLevel="0" collapsed="false"/>
    <row r="4592" customFormat="false" ht="18" hidden="false" customHeight="true" outlineLevel="0" collapsed="false"/>
    <row r="4593" customFormat="false" ht="18" hidden="false" customHeight="true" outlineLevel="0" collapsed="false"/>
    <row r="4594" customFormat="false" ht="18" hidden="false" customHeight="true" outlineLevel="0" collapsed="false"/>
    <row r="4595" customFormat="false" ht="18" hidden="false" customHeight="true" outlineLevel="0" collapsed="false"/>
    <row r="4596" customFormat="false" ht="18" hidden="false" customHeight="true" outlineLevel="0" collapsed="false"/>
    <row r="4597" customFormat="false" ht="18" hidden="false" customHeight="true" outlineLevel="0" collapsed="false"/>
    <row r="4598" customFormat="false" ht="18" hidden="false" customHeight="true" outlineLevel="0" collapsed="false"/>
    <row r="4599" customFormat="false" ht="18" hidden="false" customHeight="true" outlineLevel="0" collapsed="false"/>
    <row r="4600" customFormat="false" ht="18" hidden="false" customHeight="true" outlineLevel="0" collapsed="false"/>
    <row r="4601" customFormat="false" ht="18" hidden="false" customHeight="true" outlineLevel="0" collapsed="false"/>
    <row r="4602" customFormat="false" ht="18" hidden="false" customHeight="true" outlineLevel="0" collapsed="false"/>
    <row r="4603" customFormat="false" ht="18" hidden="false" customHeight="true" outlineLevel="0" collapsed="false"/>
    <row r="4604" customFormat="false" ht="18" hidden="false" customHeight="true" outlineLevel="0" collapsed="false"/>
    <row r="4605" customFormat="false" ht="18" hidden="false" customHeight="true" outlineLevel="0" collapsed="false"/>
    <row r="4606" customFormat="false" ht="18" hidden="false" customHeight="true" outlineLevel="0" collapsed="false"/>
    <row r="4607" customFormat="false" ht="18" hidden="false" customHeight="true" outlineLevel="0" collapsed="false"/>
    <row r="4608" customFormat="false" ht="18" hidden="false" customHeight="true" outlineLevel="0" collapsed="false"/>
    <row r="4609" customFormat="false" ht="18" hidden="false" customHeight="true" outlineLevel="0" collapsed="false"/>
    <row r="4610" customFormat="false" ht="18" hidden="false" customHeight="true" outlineLevel="0" collapsed="false"/>
    <row r="4611" customFormat="false" ht="18" hidden="false" customHeight="true" outlineLevel="0" collapsed="false"/>
    <row r="4612" customFormat="false" ht="18" hidden="false" customHeight="true" outlineLevel="0" collapsed="false"/>
    <row r="4613" customFormat="false" ht="18" hidden="false" customHeight="true" outlineLevel="0" collapsed="false"/>
    <row r="4614" customFormat="false" ht="18" hidden="false" customHeight="true" outlineLevel="0" collapsed="false"/>
    <row r="4615" customFormat="false" ht="18" hidden="false" customHeight="true" outlineLevel="0" collapsed="false"/>
    <row r="4616" customFormat="false" ht="18" hidden="false" customHeight="true" outlineLevel="0" collapsed="false"/>
    <row r="4617" customFormat="false" ht="18" hidden="false" customHeight="true" outlineLevel="0" collapsed="false"/>
    <row r="4618" customFormat="false" ht="18" hidden="false" customHeight="true" outlineLevel="0" collapsed="false"/>
    <row r="4619" customFormat="false" ht="18" hidden="false" customHeight="true" outlineLevel="0" collapsed="false"/>
    <row r="4620" customFormat="false" ht="18" hidden="false" customHeight="true" outlineLevel="0" collapsed="false"/>
    <row r="4621" customFormat="false" ht="18" hidden="false" customHeight="true" outlineLevel="0" collapsed="false"/>
    <row r="4622" customFormat="false" ht="18" hidden="false" customHeight="true" outlineLevel="0" collapsed="false"/>
    <row r="4623" customFormat="false" ht="18" hidden="false" customHeight="true" outlineLevel="0" collapsed="false"/>
    <row r="4624" customFormat="false" ht="18" hidden="false" customHeight="true" outlineLevel="0" collapsed="false"/>
    <row r="4625" customFormat="false" ht="18" hidden="false" customHeight="true" outlineLevel="0" collapsed="false"/>
    <row r="4626" customFormat="false" ht="18" hidden="false" customHeight="true" outlineLevel="0" collapsed="false"/>
    <row r="4627" customFormat="false" ht="18" hidden="false" customHeight="true" outlineLevel="0" collapsed="false"/>
    <row r="4628" customFormat="false" ht="18" hidden="false" customHeight="true" outlineLevel="0" collapsed="false"/>
    <row r="4629" customFormat="false" ht="18" hidden="false" customHeight="true" outlineLevel="0" collapsed="false"/>
    <row r="4630" customFormat="false" ht="18" hidden="false" customHeight="true" outlineLevel="0" collapsed="false"/>
    <row r="4631" customFormat="false" ht="18" hidden="false" customHeight="true" outlineLevel="0" collapsed="false"/>
    <row r="4632" customFormat="false" ht="18" hidden="false" customHeight="true" outlineLevel="0" collapsed="false"/>
    <row r="4633" customFormat="false" ht="18" hidden="false" customHeight="true" outlineLevel="0" collapsed="false"/>
    <row r="4634" customFormat="false" ht="18" hidden="false" customHeight="true" outlineLevel="0" collapsed="false"/>
    <row r="4635" customFormat="false" ht="18" hidden="false" customHeight="true" outlineLevel="0" collapsed="false"/>
    <row r="4636" customFormat="false" ht="18" hidden="false" customHeight="true" outlineLevel="0" collapsed="false"/>
    <row r="4637" customFormat="false" ht="18" hidden="false" customHeight="true" outlineLevel="0" collapsed="false"/>
    <row r="4638" customFormat="false" ht="18" hidden="false" customHeight="true" outlineLevel="0" collapsed="false"/>
    <row r="4639" customFormat="false" ht="18" hidden="false" customHeight="true" outlineLevel="0" collapsed="false"/>
    <row r="4640" customFormat="false" ht="18" hidden="false" customHeight="true" outlineLevel="0" collapsed="false"/>
    <row r="4641" customFormat="false" ht="18" hidden="false" customHeight="true" outlineLevel="0" collapsed="false"/>
    <row r="4642" customFormat="false" ht="18" hidden="false" customHeight="true" outlineLevel="0" collapsed="false"/>
    <row r="4643" customFormat="false" ht="18" hidden="false" customHeight="true" outlineLevel="0" collapsed="false"/>
    <row r="4644" customFormat="false" ht="18" hidden="false" customHeight="true" outlineLevel="0" collapsed="false"/>
    <row r="4645" customFormat="false" ht="18" hidden="false" customHeight="true" outlineLevel="0" collapsed="false"/>
    <row r="4646" customFormat="false" ht="18" hidden="false" customHeight="true" outlineLevel="0" collapsed="false"/>
    <row r="4647" customFormat="false" ht="18" hidden="false" customHeight="true" outlineLevel="0" collapsed="false"/>
    <row r="4648" customFormat="false" ht="18" hidden="false" customHeight="true" outlineLevel="0" collapsed="false"/>
    <row r="4649" customFormat="false" ht="18" hidden="false" customHeight="true" outlineLevel="0" collapsed="false"/>
    <row r="4650" customFormat="false" ht="18" hidden="false" customHeight="true" outlineLevel="0" collapsed="false"/>
    <row r="4651" customFormat="false" ht="18" hidden="false" customHeight="true" outlineLevel="0" collapsed="false"/>
    <row r="4652" customFormat="false" ht="18" hidden="false" customHeight="true" outlineLevel="0" collapsed="false"/>
    <row r="4653" customFormat="false" ht="18" hidden="false" customHeight="true" outlineLevel="0" collapsed="false"/>
    <row r="4654" customFormat="false" ht="18" hidden="false" customHeight="true" outlineLevel="0" collapsed="false"/>
    <row r="4655" customFormat="false" ht="18" hidden="false" customHeight="true" outlineLevel="0" collapsed="false"/>
    <row r="4656" customFormat="false" ht="18" hidden="false" customHeight="true" outlineLevel="0" collapsed="false"/>
    <row r="4657" customFormat="false" ht="18" hidden="false" customHeight="true" outlineLevel="0" collapsed="false"/>
    <row r="4658" customFormat="false" ht="18" hidden="false" customHeight="true" outlineLevel="0" collapsed="false"/>
    <row r="4659" customFormat="false" ht="18" hidden="false" customHeight="true" outlineLevel="0" collapsed="false"/>
    <row r="4660" customFormat="false" ht="18" hidden="false" customHeight="true" outlineLevel="0" collapsed="false"/>
    <row r="4661" customFormat="false" ht="18" hidden="false" customHeight="true" outlineLevel="0" collapsed="false"/>
    <row r="4662" customFormat="false" ht="18" hidden="false" customHeight="true" outlineLevel="0" collapsed="false"/>
    <row r="4663" customFormat="false" ht="18" hidden="false" customHeight="true" outlineLevel="0" collapsed="false"/>
    <row r="4664" customFormat="false" ht="18" hidden="false" customHeight="true" outlineLevel="0" collapsed="false"/>
    <row r="4665" customFormat="false" ht="18" hidden="false" customHeight="true" outlineLevel="0" collapsed="false"/>
    <row r="4666" customFormat="false" ht="18" hidden="false" customHeight="true" outlineLevel="0" collapsed="false"/>
    <row r="4667" customFormat="false" ht="18" hidden="false" customHeight="true" outlineLevel="0" collapsed="false"/>
    <row r="4668" customFormat="false" ht="18" hidden="false" customHeight="true" outlineLevel="0" collapsed="false"/>
    <row r="4669" customFormat="false" ht="18" hidden="false" customHeight="true" outlineLevel="0" collapsed="false"/>
    <row r="4670" customFormat="false" ht="18" hidden="false" customHeight="true" outlineLevel="0" collapsed="false"/>
    <row r="4671" customFormat="false" ht="18" hidden="false" customHeight="true" outlineLevel="0" collapsed="false"/>
    <row r="4672" customFormat="false" ht="18" hidden="false" customHeight="true" outlineLevel="0" collapsed="false"/>
    <row r="4673" customFormat="false" ht="18" hidden="false" customHeight="true" outlineLevel="0" collapsed="false"/>
    <row r="4674" customFormat="false" ht="18" hidden="false" customHeight="true" outlineLevel="0" collapsed="false"/>
    <row r="4675" customFormat="false" ht="18" hidden="false" customHeight="true" outlineLevel="0" collapsed="false"/>
    <row r="4676" customFormat="false" ht="18" hidden="false" customHeight="true" outlineLevel="0" collapsed="false"/>
    <row r="4677" customFormat="false" ht="18" hidden="false" customHeight="true" outlineLevel="0" collapsed="false"/>
    <row r="4678" customFormat="false" ht="18" hidden="false" customHeight="true" outlineLevel="0" collapsed="false"/>
    <row r="4679" customFormat="false" ht="18" hidden="false" customHeight="true" outlineLevel="0" collapsed="false"/>
    <row r="4680" customFormat="false" ht="18" hidden="false" customHeight="true" outlineLevel="0" collapsed="false"/>
    <row r="4681" customFormat="false" ht="18" hidden="false" customHeight="true" outlineLevel="0" collapsed="false"/>
    <row r="4682" customFormat="false" ht="18" hidden="false" customHeight="true" outlineLevel="0" collapsed="false"/>
    <row r="4683" customFormat="false" ht="18" hidden="false" customHeight="true" outlineLevel="0" collapsed="false"/>
    <row r="4684" customFormat="false" ht="18" hidden="false" customHeight="true" outlineLevel="0" collapsed="false"/>
    <row r="4685" customFormat="false" ht="18" hidden="false" customHeight="true" outlineLevel="0" collapsed="false"/>
    <row r="4686" customFormat="false" ht="18" hidden="false" customHeight="true" outlineLevel="0" collapsed="false"/>
    <row r="4687" customFormat="false" ht="18" hidden="false" customHeight="true" outlineLevel="0" collapsed="false"/>
    <row r="4688" customFormat="false" ht="18" hidden="false" customHeight="true" outlineLevel="0" collapsed="false"/>
    <row r="4689" customFormat="false" ht="18" hidden="false" customHeight="true" outlineLevel="0" collapsed="false"/>
    <row r="4690" customFormat="false" ht="18" hidden="false" customHeight="true" outlineLevel="0" collapsed="false"/>
    <row r="4691" customFormat="false" ht="18" hidden="false" customHeight="true" outlineLevel="0" collapsed="false"/>
    <row r="4692" customFormat="false" ht="18" hidden="false" customHeight="true" outlineLevel="0" collapsed="false"/>
    <row r="4693" customFormat="false" ht="18" hidden="false" customHeight="true" outlineLevel="0" collapsed="false"/>
    <row r="4694" customFormat="false" ht="18" hidden="false" customHeight="true" outlineLevel="0" collapsed="false"/>
    <row r="4695" customFormat="false" ht="18" hidden="false" customHeight="true" outlineLevel="0" collapsed="false"/>
    <row r="4696" customFormat="false" ht="18" hidden="false" customHeight="true" outlineLevel="0" collapsed="false"/>
    <row r="4697" customFormat="false" ht="18" hidden="false" customHeight="true" outlineLevel="0" collapsed="false"/>
    <row r="4698" customFormat="false" ht="18" hidden="false" customHeight="true" outlineLevel="0" collapsed="false"/>
    <row r="4699" customFormat="false" ht="18" hidden="false" customHeight="true" outlineLevel="0" collapsed="false"/>
    <row r="4700" customFormat="false" ht="18" hidden="false" customHeight="true" outlineLevel="0" collapsed="false"/>
    <row r="4701" customFormat="false" ht="18" hidden="false" customHeight="true" outlineLevel="0" collapsed="false"/>
    <row r="4702" customFormat="false" ht="18" hidden="false" customHeight="true" outlineLevel="0" collapsed="false"/>
    <row r="4703" customFormat="false" ht="18" hidden="false" customHeight="true" outlineLevel="0" collapsed="false"/>
    <row r="4704" customFormat="false" ht="18" hidden="false" customHeight="true" outlineLevel="0" collapsed="false"/>
    <row r="4705" customFormat="false" ht="18" hidden="false" customHeight="true" outlineLevel="0" collapsed="false"/>
    <row r="4706" customFormat="false" ht="18" hidden="false" customHeight="true" outlineLevel="0" collapsed="false"/>
    <row r="4707" customFormat="false" ht="18" hidden="false" customHeight="true" outlineLevel="0" collapsed="false"/>
    <row r="4708" customFormat="false" ht="18" hidden="false" customHeight="true" outlineLevel="0" collapsed="false"/>
    <row r="4709" customFormat="false" ht="18" hidden="false" customHeight="true" outlineLevel="0" collapsed="false"/>
    <row r="4710" customFormat="false" ht="18" hidden="false" customHeight="true" outlineLevel="0" collapsed="false"/>
    <row r="4711" customFormat="false" ht="18" hidden="false" customHeight="true" outlineLevel="0" collapsed="false"/>
    <row r="4712" customFormat="false" ht="18" hidden="false" customHeight="true" outlineLevel="0" collapsed="false"/>
    <row r="4713" customFormat="false" ht="18" hidden="false" customHeight="true" outlineLevel="0" collapsed="false"/>
    <row r="4714" customFormat="false" ht="18" hidden="false" customHeight="true" outlineLevel="0" collapsed="false"/>
    <row r="4715" customFormat="false" ht="18" hidden="false" customHeight="true" outlineLevel="0" collapsed="false"/>
    <row r="4716" customFormat="false" ht="18" hidden="false" customHeight="true" outlineLevel="0" collapsed="false"/>
    <row r="4717" customFormat="false" ht="18" hidden="false" customHeight="true" outlineLevel="0" collapsed="false"/>
    <row r="4718" customFormat="false" ht="18" hidden="false" customHeight="true" outlineLevel="0" collapsed="false"/>
    <row r="4719" customFormat="false" ht="18" hidden="false" customHeight="true" outlineLevel="0" collapsed="false"/>
    <row r="4720" customFormat="false" ht="18" hidden="false" customHeight="true" outlineLevel="0" collapsed="false"/>
    <row r="4721" customFormat="false" ht="18" hidden="false" customHeight="true" outlineLevel="0" collapsed="false"/>
    <row r="4722" customFormat="false" ht="18" hidden="false" customHeight="true" outlineLevel="0" collapsed="false"/>
    <row r="4723" customFormat="false" ht="18" hidden="false" customHeight="true" outlineLevel="0" collapsed="false"/>
    <row r="4724" customFormat="false" ht="18" hidden="false" customHeight="true" outlineLevel="0" collapsed="false"/>
    <row r="4725" customFormat="false" ht="18" hidden="false" customHeight="true" outlineLevel="0" collapsed="false"/>
    <row r="4726" customFormat="false" ht="18" hidden="false" customHeight="true" outlineLevel="0" collapsed="false"/>
    <row r="4727" customFormat="false" ht="18" hidden="false" customHeight="true" outlineLevel="0" collapsed="false"/>
    <row r="4728" customFormat="false" ht="18" hidden="false" customHeight="true" outlineLevel="0" collapsed="false"/>
    <row r="4729" customFormat="false" ht="18" hidden="false" customHeight="true" outlineLevel="0" collapsed="false"/>
    <row r="4730" customFormat="false" ht="18" hidden="false" customHeight="true" outlineLevel="0" collapsed="false"/>
    <row r="4731" customFormat="false" ht="18" hidden="false" customHeight="true" outlineLevel="0" collapsed="false"/>
    <row r="4732" customFormat="false" ht="18" hidden="false" customHeight="true" outlineLevel="0" collapsed="false"/>
    <row r="4733" customFormat="false" ht="18" hidden="false" customHeight="true" outlineLevel="0" collapsed="false"/>
    <row r="4734" customFormat="false" ht="18" hidden="false" customHeight="true" outlineLevel="0" collapsed="false"/>
    <row r="4735" customFormat="false" ht="18" hidden="false" customHeight="true" outlineLevel="0" collapsed="false"/>
    <row r="4736" customFormat="false" ht="18" hidden="false" customHeight="true" outlineLevel="0" collapsed="false"/>
    <row r="4737" customFormat="false" ht="18" hidden="false" customHeight="true" outlineLevel="0" collapsed="false"/>
    <row r="4738" customFormat="false" ht="18" hidden="false" customHeight="true" outlineLevel="0" collapsed="false"/>
    <row r="4739" customFormat="false" ht="18" hidden="false" customHeight="true" outlineLevel="0" collapsed="false"/>
    <row r="4740" customFormat="false" ht="18" hidden="false" customHeight="true" outlineLevel="0" collapsed="false"/>
    <row r="4741" customFormat="false" ht="18" hidden="false" customHeight="true" outlineLevel="0" collapsed="false"/>
    <row r="4742" customFormat="false" ht="18" hidden="false" customHeight="true" outlineLevel="0" collapsed="false"/>
    <row r="4743" customFormat="false" ht="18" hidden="false" customHeight="true" outlineLevel="0" collapsed="false"/>
    <row r="4744" customFormat="false" ht="18" hidden="false" customHeight="true" outlineLevel="0" collapsed="false"/>
    <row r="4745" customFormat="false" ht="18" hidden="false" customHeight="true" outlineLevel="0" collapsed="false"/>
    <row r="4746" customFormat="false" ht="18" hidden="false" customHeight="true" outlineLevel="0" collapsed="false"/>
    <row r="4747" customFormat="false" ht="18" hidden="false" customHeight="true" outlineLevel="0" collapsed="false"/>
    <row r="4748" customFormat="false" ht="18" hidden="false" customHeight="true" outlineLevel="0" collapsed="false"/>
    <row r="4749" customFormat="false" ht="18" hidden="false" customHeight="true" outlineLevel="0" collapsed="false"/>
    <row r="4750" customFormat="false" ht="18" hidden="false" customHeight="true" outlineLevel="0" collapsed="false"/>
    <row r="4751" customFormat="false" ht="18" hidden="false" customHeight="true" outlineLevel="0" collapsed="false"/>
    <row r="4752" customFormat="false" ht="18" hidden="false" customHeight="true" outlineLevel="0" collapsed="false"/>
    <row r="4753" customFormat="false" ht="18" hidden="false" customHeight="true" outlineLevel="0" collapsed="false"/>
    <row r="4754" customFormat="false" ht="18" hidden="false" customHeight="true" outlineLevel="0" collapsed="false"/>
    <row r="4755" customFormat="false" ht="18" hidden="false" customHeight="true" outlineLevel="0" collapsed="false"/>
    <row r="4756" customFormat="false" ht="18" hidden="false" customHeight="true" outlineLevel="0" collapsed="false"/>
    <row r="4757" customFormat="false" ht="18" hidden="false" customHeight="true" outlineLevel="0" collapsed="false"/>
    <row r="4758" customFormat="false" ht="18" hidden="false" customHeight="true" outlineLevel="0" collapsed="false"/>
    <row r="4759" customFormat="false" ht="18" hidden="false" customHeight="true" outlineLevel="0" collapsed="false"/>
    <row r="4760" customFormat="false" ht="18" hidden="false" customHeight="true" outlineLevel="0" collapsed="false"/>
    <row r="4761" customFormat="false" ht="18" hidden="false" customHeight="true" outlineLevel="0" collapsed="false"/>
    <row r="4762" customFormat="false" ht="18" hidden="false" customHeight="true" outlineLevel="0" collapsed="false"/>
    <row r="4763" customFormat="false" ht="18" hidden="false" customHeight="true" outlineLevel="0" collapsed="false"/>
    <row r="4764" customFormat="false" ht="18" hidden="false" customHeight="true" outlineLevel="0" collapsed="false"/>
    <row r="4765" customFormat="false" ht="18" hidden="false" customHeight="true" outlineLevel="0" collapsed="false"/>
    <row r="4766" customFormat="false" ht="18" hidden="false" customHeight="true" outlineLevel="0" collapsed="false"/>
    <row r="4767" customFormat="false" ht="18" hidden="false" customHeight="true" outlineLevel="0" collapsed="false"/>
    <row r="4768" customFormat="false" ht="18" hidden="false" customHeight="true" outlineLevel="0" collapsed="false"/>
    <row r="4769" customFormat="false" ht="18" hidden="false" customHeight="true" outlineLevel="0" collapsed="false"/>
    <row r="4770" customFormat="false" ht="18" hidden="false" customHeight="true" outlineLevel="0" collapsed="false"/>
    <row r="4771" customFormat="false" ht="18" hidden="false" customHeight="true" outlineLevel="0" collapsed="false"/>
    <row r="4772" customFormat="false" ht="18" hidden="false" customHeight="true" outlineLevel="0" collapsed="false"/>
    <row r="4773" customFormat="false" ht="18" hidden="false" customHeight="true" outlineLevel="0" collapsed="false"/>
    <row r="4774" customFormat="false" ht="18" hidden="false" customHeight="true" outlineLevel="0" collapsed="false"/>
    <row r="4775" customFormat="false" ht="18" hidden="false" customHeight="true" outlineLevel="0" collapsed="false"/>
    <row r="4776" customFormat="false" ht="18" hidden="false" customHeight="true" outlineLevel="0" collapsed="false"/>
    <row r="4777" customFormat="false" ht="18" hidden="false" customHeight="true" outlineLevel="0" collapsed="false"/>
    <row r="4778" customFormat="false" ht="18" hidden="false" customHeight="true" outlineLevel="0" collapsed="false"/>
    <row r="4779" customFormat="false" ht="18" hidden="false" customHeight="true" outlineLevel="0" collapsed="false"/>
    <row r="4780" customFormat="false" ht="18" hidden="false" customHeight="true" outlineLevel="0" collapsed="false"/>
    <row r="4781" customFormat="false" ht="18" hidden="false" customHeight="true" outlineLevel="0" collapsed="false"/>
    <row r="4782" customFormat="false" ht="18" hidden="false" customHeight="true" outlineLevel="0" collapsed="false"/>
    <row r="4783" customFormat="false" ht="18" hidden="false" customHeight="true" outlineLevel="0" collapsed="false"/>
    <row r="4784" customFormat="false" ht="18" hidden="false" customHeight="true" outlineLevel="0" collapsed="false"/>
    <row r="4785" customFormat="false" ht="18" hidden="false" customHeight="true" outlineLevel="0" collapsed="false"/>
    <row r="4786" customFormat="false" ht="18" hidden="false" customHeight="true" outlineLevel="0" collapsed="false"/>
    <row r="4787" customFormat="false" ht="18" hidden="false" customHeight="true" outlineLevel="0" collapsed="false"/>
    <row r="4788" customFormat="false" ht="18" hidden="false" customHeight="true" outlineLevel="0" collapsed="false"/>
    <row r="4789" customFormat="false" ht="18" hidden="false" customHeight="true" outlineLevel="0" collapsed="false"/>
    <row r="4790" customFormat="false" ht="18" hidden="false" customHeight="true" outlineLevel="0" collapsed="false"/>
    <row r="4791" customFormat="false" ht="18" hidden="false" customHeight="true" outlineLevel="0" collapsed="false"/>
    <row r="4792" customFormat="false" ht="18" hidden="false" customHeight="true" outlineLevel="0" collapsed="false"/>
    <row r="4793" customFormat="false" ht="18" hidden="false" customHeight="true" outlineLevel="0" collapsed="false"/>
    <row r="4794" customFormat="false" ht="18" hidden="false" customHeight="true" outlineLevel="0" collapsed="false"/>
    <row r="4795" customFormat="false" ht="18" hidden="false" customHeight="true" outlineLevel="0" collapsed="false"/>
    <row r="4796" customFormat="false" ht="18" hidden="false" customHeight="true" outlineLevel="0" collapsed="false"/>
    <row r="4797" customFormat="false" ht="18" hidden="false" customHeight="true" outlineLevel="0" collapsed="false"/>
    <row r="4798" customFormat="false" ht="18" hidden="false" customHeight="true" outlineLevel="0" collapsed="false"/>
    <row r="4799" customFormat="false" ht="18" hidden="false" customHeight="true" outlineLevel="0" collapsed="false"/>
    <row r="4800" customFormat="false" ht="18" hidden="false" customHeight="true" outlineLevel="0" collapsed="false"/>
    <row r="4801" customFormat="false" ht="18" hidden="false" customHeight="true" outlineLevel="0" collapsed="false"/>
    <row r="4802" customFormat="false" ht="18" hidden="false" customHeight="true" outlineLevel="0" collapsed="false"/>
    <row r="4803" customFormat="false" ht="18" hidden="false" customHeight="true" outlineLevel="0" collapsed="false"/>
    <row r="4804" customFormat="false" ht="18" hidden="false" customHeight="true" outlineLevel="0" collapsed="false"/>
    <row r="4805" customFormat="false" ht="18" hidden="false" customHeight="true" outlineLevel="0" collapsed="false"/>
    <row r="4806" customFormat="false" ht="18" hidden="false" customHeight="true" outlineLevel="0" collapsed="false"/>
    <row r="4807" customFormat="false" ht="18" hidden="false" customHeight="true" outlineLevel="0" collapsed="false"/>
    <row r="4808" customFormat="false" ht="18" hidden="false" customHeight="true" outlineLevel="0" collapsed="false"/>
    <row r="4809" customFormat="false" ht="18" hidden="false" customHeight="true" outlineLevel="0" collapsed="false"/>
    <row r="4810" customFormat="false" ht="18" hidden="false" customHeight="true" outlineLevel="0" collapsed="false"/>
    <row r="4811" customFormat="false" ht="18" hidden="false" customHeight="true" outlineLevel="0" collapsed="false"/>
    <row r="4812" customFormat="false" ht="18" hidden="false" customHeight="true" outlineLevel="0" collapsed="false"/>
    <row r="4813" customFormat="false" ht="18" hidden="false" customHeight="true" outlineLevel="0" collapsed="false"/>
    <row r="4814" customFormat="false" ht="18" hidden="false" customHeight="true" outlineLevel="0" collapsed="false"/>
    <row r="4815" customFormat="false" ht="18" hidden="false" customHeight="true" outlineLevel="0" collapsed="false"/>
    <row r="4816" customFormat="false" ht="18" hidden="false" customHeight="true" outlineLevel="0" collapsed="false"/>
    <row r="4817" customFormat="false" ht="18" hidden="false" customHeight="true" outlineLevel="0" collapsed="false"/>
    <row r="4818" customFormat="false" ht="18" hidden="false" customHeight="true" outlineLevel="0" collapsed="false"/>
    <row r="4819" customFormat="false" ht="18" hidden="false" customHeight="true" outlineLevel="0" collapsed="false"/>
    <row r="4820" customFormat="false" ht="18" hidden="false" customHeight="true" outlineLevel="0" collapsed="false"/>
    <row r="4821" customFormat="false" ht="18" hidden="false" customHeight="true" outlineLevel="0" collapsed="false"/>
    <row r="4822" customFormat="false" ht="18" hidden="false" customHeight="true" outlineLevel="0" collapsed="false"/>
    <row r="4823" customFormat="false" ht="18" hidden="false" customHeight="true" outlineLevel="0" collapsed="false"/>
    <row r="4824" customFormat="false" ht="18" hidden="false" customHeight="true" outlineLevel="0" collapsed="false"/>
    <row r="4825" customFormat="false" ht="18" hidden="false" customHeight="true" outlineLevel="0" collapsed="false"/>
    <row r="4826" customFormat="false" ht="18" hidden="false" customHeight="true" outlineLevel="0" collapsed="false"/>
    <row r="4827" customFormat="false" ht="18" hidden="false" customHeight="true" outlineLevel="0" collapsed="false"/>
    <row r="4828" customFormat="false" ht="18" hidden="false" customHeight="true" outlineLevel="0" collapsed="false"/>
    <row r="4829" customFormat="false" ht="18" hidden="false" customHeight="true" outlineLevel="0" collapsed="false"/>
    <row r="4830" customFormat="false" ht="18" hidden="false" customHeight="true" outlineLevel="0" collapsed="false"/>
    <row r="4831" customFormat="false" ht="18" hidden="false" customHeight="true" outlineLevel="0" collapsed="false"/>
    <row r="4832" customFormat="false" ht="18" hidden="false" customHeight="true" outlineLevel="0" collapsed="false"/>
    <row r="4833" customFormat="false" ht="18" hidden="false" customHeight="true" outlineLevel="0" collapsed="false"/>
    <row r="4834" customFormat="false" ht="18" hidden="false" customHeight="true" outlineLevel="0" collapsed="false"/>
    <row r="4835" customFormat="false" ht="18" hidden="false" customHeight="true" outlineLevel="0" collapsed="false"/>
    <row r="4836" customFormat="false" ht="18" hidden="false" customHeight="true" outlineLevel="0" collapsed="false"/>
    <row r="4837" customFormat="false" ht="18" hidden="false" customHeight="true" outlineLevel="0" collapsed="false"/>
    <row r="4838" customFormat="false" ht="18" hidden="false" customHeight="true" outlineLevel="0" collapsed="false"/>
    <row r="4839" customFormat="false" ht="18" hidden="false" customHeight="true" outlineLevel="0" collapsed="false"/>
    <row r="4840" customFormat="false" ht="18" hidden="false" customHeight="true" outlineLevel="0" collapsed="false"/>
    <row r="4841" customFormat="false" ht="18" hidden="false" customHeight="true" outlineLevel="0" collapsed="false"/>
    <row r="4842" customFormat="false" ht="18" hidden="false" customHeight="true" outlineLevel="0" collapsed="false"/>
    <row r="4843" customFormat="false" ht="18" hidden="false" customHeight="true" outlineLevel="0" collapsed="false"/>
    <row r="4844" customFormat="false" ht="18" hidden="false" customHeight="true" outlineLevel="0" collapsed="false"/>
    <row r="4845" customFormat="false" ht="18" hidden="false" customHeight="true" outlineLevel="0" collapsed="false"/>
    <row r="4846" customFormat="false" ht="18" hidden="false" customHeight="true" outlineLevel="0" collapsed="false"/>
    <row r="4847" customFormat="false" ht="18" hidden="false" customHeight="true" outlineLevel="0" collapsed="false"/>
    <row r="4848" customFormat="false" ht="18" hidden="false" customHeight="true" outlineLevel="0" collapsed="false"/>
    <row r="4849" customFormat="false" ht="18" hidden="false" customHeight="true" outlineLevel="0" collapsed="false"/>
    <row r="4850" customFormat="false" ht="18" hidden="false" customHeight="true" outlineLevel="0" collapsed="false"/>
    <row r="4851" customFormat="false" ht="18" hidden="false" customHeight="true" outlineLevel="0" collapsed="false"/>
    <row r="4852" customFormat="false" ht="18" hidden="false" customHeight="true" outlineLevel="0" collapsed="false"/>
    <row r="4853" customFormat="false" ht="18" hidden="false" customHeight="true" outlineLevel="0" collapsed="false"/>
    <row r="4854" customFormat="false" ht="18" hidden="false" customHeight="true" outlineLevel="0" collapsed="false"/>
    <row r="4855" customFormat="false" ht="18" hidden="false" customHeight="true" outlineLevel="0" collapsed="false"/>
    <row r="4856" customFormat="false" ht="18" hidden="false" customHeight="true" outlineLevel="0" collapsed="false"/>
    <row r="4857" customFormat="false" ht="18" hidden="false" customHeight="true" outlineLevel="0" collapsed="false"/>
    <row r="4858" customFormat="false" ht="18" hidden="false" customHeight="true" outlineLevel="0" collapsed="false"/>
    <row r="4859" customFormat="false" ht="18" hidden="false" customHeight="true" outlineLevel="0" collapsed="false"/>
    <row r="4860" customFormat="false" ht="18" hidden="false" customHeight="true" outlineLevel="0" collapsed="false"/>
    <row r="4861" customFormat="false" ht="18" hidden="false" customHeight="true" outlineLevel="0" collapsed="false"/>
    <row r="4862" customFormat="false" ht="18" hidden="false" customHeight="true" outlineLevel="0" collapsed="false"/>
    <row r="4863" customFormat="false" ht="18" hidden="false" customHeight="true" outlineLevel="0" collapsed="false"/>
    <row r="4864" customFormat="false" ht="18" hidden="false" customHeight="true" outlineLevel="0" collapsed="false"/>
    <row r="4865" customFormat="false" ht="18" hidden="false" customHeight="true" outlineLevel="0" collapsed="false"/>
    <row r="4866" customFormat="false" ht="18" hidden="false" customHeight="true" outlineLevel="0" collapsed="false"/>
    <row r="4867" customFormat="false" ht="18" hidden="false" customHeight="true" outlineLevel="0" collapsed="false"/>
    <row r="4868" customFormat="false" ht="18" hidden="false" customHeight="true" outlineLevel="0" collapsed="false"/>
    <row r="4869" customFormat="false" ht="18" hidden="false" customHeight="true" outlineLevel="0" collapsed="false"/>
    <row r="4870" customFormat="false" ht="18" hidden="false" customHeight="true" outlineLevel="0" collapsed="false"/>
    <row r="4871" customFormat="false" ht="18" hidden="false" customHeight="true" outlineLevel="0" collapsed="false"/>
    <row r="4872" customFormat="false" ht="18" hidden="false" customHeight="true" outlineLevel="0" collapsed="false"/>
    <row r="4873" customFormat="false" ht="18" hidden="false" customHeight="true" outlineLevel="0" collapsed="false"/>
    <row r="4874" customFormat="false" ht="18" hidden="false" customHeight="true" outlineLevel="0" collapsed="false"/>
    <row r="4875" customFormat="false" ht="18" hidden="false" customHeight="true" outlineLevel="0" collapsed="false"/>
    <row r="4876" customFormat="false" ht="18" hidden="false" customHeight="true" outlineLevel="0" collapsed="false"/>
    <row r="4877" customFormat="false" ht="18" hidden="false" customHeight="true" outlineLevel="0" collapsed="false"/>
    <row r="4878" customFormat="false" ht="18" hidden="false" customHeight="true" outlineLevel="0" collapsed="false"/>
    <row r="4879" customFormat="false" ht="18" hidden="false" customHeight="true" outlineLevel="0" collapsed="false"/>
    <row r="4880" customFormat="false" ht="18" hidden="false" customHeight="true" outlineLevel="0" collapsed="false"/>
    <row r="4881" customFormat="false" ht="18" hidden="false" customHeight="true" outlineLevel="0" collapsed="false"/>
    <row r="4882" customFormat="false" ht="18" hidden="false" customHeight="true" outlineLevel="0" collapsed="false"/>
    <row r="4883" customFormat="false" ht="18" hidden="false" customHeight="true" outlineLevel="0" collapsed="false"/>
    <row r="4884" customFormat="false" ht="18" hidden="false" customHeight="true" outlineLevel="0" collapsed="false"/>
    <row r="4885" customFormat="false" ht="18" hidden="false" customHeight="true" outlineLevel="0" collapsed="false"/>
    <row r="4886" customFormat="false" ht="18" hidden="false" customHeight="true" outlineLevel="0" collapsed="false"/>
    <row r="4887" customFormat="false" ht="18" hidden="false" customHeight="true" outlineLevel="0" collapsed="false"/>
    <row r="4888" customFormat="false" ht="18" hidden="false" customHeight="true" outlineLevel="0" collapsed="false"/>
    <row r="4889" customFormat="false" ht="18" hidden="false" customHeight="true" outlineLevel="0" collapsed="false"/>
    <row r="4890" customFormat="false" ht="18" hidden="false" customHeight="true" outlineLevel="0" collapsed="false"/>
    <row r="4891" customFormat="false" ht="18" hidden="false" customHeight="true" outlineLevel="0" collapsed="false"/>
    <row r="4892" customFormat="false" ht="18" hidden="false" customHeight="true" outlineLevel="0" collapsed="false"/>
    <row r="4893" customFormat="false" ht="18" hidden="false" customHeight="true" outlineLevel="0" collapsed="false"/>
    <row r="4894" customFormat="false" ht="18" hidden="false" customHeight="true" outlineLevel="0" collapsed="false"/>
    <row r="4895" customFormat="false" ht="18" hidden="false" customHeight="true" outlineLevel="0" collapsed="false"/>
    <row r="4896" customFormat="false" ht="18" hidden="false" customHeight="true" outlineLevel="0" collapsed="false"/>
    <row r="4897" customFormat="false" ht="18" hidden="false" customHeight="true" outlineLevel="0" collapsed="false"/>
    <row r="4898" customFormat="false" ht="18" hidden="false" customHeight="true" outlineLevel="0" collapsed="false"/>
    <row r="4899" customFormat="false" ht="18" hidden="false" customHeight="true" outlineLevel="0" collapsed="false"/>
    <row r="4900" customFormat="false" ht="18" hidden="false" customHeight="true" outlineLevel="0" collapsed="false"/>
    <row r="4901" customFormat="false" ht="18" hidden="false" customHeight="true" outlineLevel="0" collapsed="false"/>
    <row r="4902" customFormat="false" ht="18" hidden="false" customHeight="true" outlineLevel="0" collapsed="false"/>
    <row r="4903" customFormat="false" ht="18" hidden="false" customHeight="true" outlineLevel="0" collapsed="false"/>
    <row r="4904" customFormat="false" ht="18" hidden="false" customHeight="true" outlineLevel="0" collapsed="false"/>
    <row r="4905" customFormat="false" ht="18" hidden="false" customHeight="true" outlineLevel="0" collapsed="false"/>
    <row r="4906" customFormat="false" ht="18" hidden="false" customHeight="true" outlineLevel="0" collapsed="false"/>
    <row r="4907" customFormat="false" ht="18" hidden="false" customHeight="true" outlineLevel="0" collapsed="false"/>
    <row r="4908" customFormat="false" ht="18" hidden="false" customHeight="true" outlineLevel="0" collapsed="false"/>
    <row r="4909" customFormat="false" ht="18" hidden="false" customHeight="true" outlineLevel="0" collapsed="false"/>
    <row r="4910" customFormat="false" ht="18" hidden="false" customHeight="true" outlineLevel="0" collapsed="false"/>
    <row r="4911" customFormat="false" ht="18" hidden="false" customHeight="true" outlineLevel="0" collapsed="false"/>
    <row r="4912" customFormat="false" ht="18" hidden="false" customHeight="true" outlineLevel="0" collapsed="false"/>
    <row r="4913" customFormat="false" ht="18" hidden="false" customHeight="true" outlineLevel="0" collapsed="false"/>
    <row r="4914" customFormat="false" ht="18" hidden="false" customHeight="true" outlineLevel="0" collapsed="false"/>
    <row r="4915" customFormat="false" ht="18" hidden="false" customHeight="true" outlineLevel="0" collapsed="false"/>
    <row r="4916" customFormat="false" ht="18" hidden="false" customHeight="true" outlineLevel="0" collapsed="false"/>
    <row r="4917" customFormat="false" ht="18" hidden="false" customHeight="true" outlineLevel="0" collapsed="false"/>
    <row r="4918" customFormat="false" ht="18" hidden="false" customHeight="true" outlineLevel="0" collapsed="false"/>
    <row r="4919" customFormat="false" ht="18" hidden="false" customHeight="true" outlineLevel="0" collapsed="false"/>
    <row r="4920" customFormat="false" ht="18" hidden="false" customHeight="true" outlineLevel="0" collapsed="false"/>
    <row r="4921" customFormat="false" ht="18" hidden="false" customHeight="true" outlineLevel="0" collapsed="false"/>
    <row r="4922" customFormat="false" ht="18" hidden="false" customHeight="true" outlineLevel="0" collapsed="false"/>
    <row r="4923" customFormat="false" ht="18" hidden="false" customHeight="true" outlineLevel="0" collapsed="false"/>
    <row r="4924" customFormat="false" ht="18" hidden="false" customHeight="true" outlineLevel="0" collapsed="false"/>
    <row r="4925" customFormat="false" ht="18" hidden="false" customHeight="true" outlineLevel="0" collapsed="false"/>
    <row r="4926" customFormat="false" ht="18" hidden="false" customHeight="true" outlineLevel="0" collapsed="false"/>
    <row r="4927" customFormat="false" ht="18" hidden="false" customHeight="true" outlineLevel="0" collapsed="false"/>
    <row r="4928" customFormat="false" ht="18" hidden="false" customHeight="true" outlineLevel="0" collapsed="false"/>
    <row r="4929" customFormat="false" ht="18" hidden="false" customHeight="true" outlineLevel="0" collapsed="false"/>
    <row r="4930" customFormat="false" ht="18" hidden="false" customHeight="true" outlineLevel="0" collapsed="false"/>
    <row r="4931" customFormat="false" ht="18" hidden="false" customHeight="true" outlineLevel="0" collapsed="false"/>
    <row r="4932" customFormat="false" ht="18" hidden="false" customHeight="true" outlineLevel="0" collapsed="false"/>
    <row r="4933" customFormat="false" ht="18" hidden="false" customHeight="true" outlineLevel="0" collapsed="false"/>
    <row r="4934" customFormat="false" ht="18" hidden="false" customHeight="true" outlineLevel="0" collapsed="false"/>
    <row r="4935" customFormat="false" ht="18" hidden="false" customHeight="true" outlineLevel="0" collapsed="false"/>
    <row r="4936" customFormat="false" ht="18" hidden="false" customHeight="true" outlineLevel="0" collapsed="false"/>
    <row r="4937" customFormat="false" ht="18" hidden="false" customHeight="true" outlineLevel="0" collapsed="false"/>
    <row r="4938" customFormat="false" ht="18" hidden="false" customHeight="true" outlineLevel="0" collapsed="false"/>
    <row r="4939" customFormat="false" ht="18" hidden="false" customHeight="true" outlineLevel="0" collapsed="false"/>
    <row r="4940" customFormat="false" ht="18" hidden="false" customHeight="true" outlineLevel="0" collapsed="false"/>
    <row r="4941" customFormat="false" ht="18" hidden="false" customHeight="true" outlineLevel="0" collapsed="false"/>
    <row r="4942" customFormat="false" ht="18" hidden="false" customHeight="true" outlineLevel="0" collapsed="false"/>
    <row r="4943" customFormat="false" ht="18" hidden="false" customHeight="true" outlineLevel="0" collapsed="false"/>
    <row r="4944" customFormat="false" ht="18" hidden="false" customHeight="true" outlineLevel="0" collapsed="false"/>
    <row r="4945" customFormat="false" ht="18" hidden="false" customHeight="true" outlineLevel="0" collapsed="false"/>
    <row r="4946" customFormat="false" ht="18" hidden="false" customHeight="true" outlineLevel="0" collapsed="false"/>
    <row r="4947" customFormat="false" ht="18" hidden="false" customHeight="true" outlineLevel="0" collapsed="false"/>
    <row r="4948" customFormat="false" ht="18" hidden="false" customHeight="true" outlineLevel="0" collapsed="false"/>
    <row r="4949" customFormat="false" ht="18" hidden="false" customHeight="true" outlineLevel="0" collapsed="false"/>
    <row r="4950" customFormat="false" ht="18" hidden="false" customHeight="true" outlineLevel="0" collapsed="false"/>
    <row r="4951" customFormat="false" ht="18" hidden="false" customHeight="true" outlineLevel="0" collapsed="false"/>
    <row r="4952" customFormat="false" ht="18" hidden="false" customHeight="true" outlineLevel="0" collapsed="false"/>
    <row r="4953" customFormat="false" ht="18" hidden="false" customHeight="true" outlineLevel="0" collapsed="false"/>
    <row r="4954" customFormat="false" ht="18" hidden="false" customHeight="true" outlineLevel="0" collapsed="false"/>
    <row r="4955" customFormat="false" ht="18" hidden="false" customHeight="true" outlineLevel="0" collapsed="false"/>
    <row r="4956" customFormat="false" ht="18" hidden="false" customHeight="true" outlineLevel="0" collapsed="false"/>
    <row r="4957" customFormat="false" ht="18" hidden="false" customHeight="true" outlineLevel="0" collapsed="false"/>
    <row r="4958" customFormat="false" ht="18" hidden="false" customHeight="true" outlineLevel="0" collapsed="false"/>
    <row r="4959" customFormat="false" ht="18" hidden="false" customHeight="true" outlineLevel="0" collapsed="false"/>
    <row r="4960" customFormat="false" ht="18" hidden="false" customHeight="true" outlineLevel="0" collapsed="false"/>
    <row r="4961" customFormat="false" ht="18" hidden="false" customHeight="true" outlineLevel="0" collapsed="false"/>
    <row r="4962" customFormat="false" ht="18" hidden="false" customHeight="true" outlineLevel="0" collapsed="false"/>
    <row r="4963" customFormat="false" ht="18" hidden="false" customHeight="true" outlineLevel="0" collapsed="false"/>
    <row r="4964" customFormat="false" ht="18" hidden="false" customHeight="true" outlineLevel="0" collapsed="false"/>
    <row r="4965" customFormat="false" ht="18" hidden="false" customHeight="true" outlineLevel="0" collapsed="false"/>
    <row r="4966" customFormat="false" ht="18" hidden="false" customHeight="true" outlineLevel="0" collapsed="false"/>
    <row r="4967" customFormat="false" ht="18" hidden="false" customHeight="true" outlineLevel="0" collapsed="false"/>
    <row r="4968" customFormat="false" ht="18" hidden="false" customHeight="true" outlineLevel="0" collapsed="false"/>
    <row r="4969" customFormat="false" ht="18" hidden="false" customHeight="true" outlineLevel="0" collapsed="false"/>
    <row r="4970" customFormat="false" ht="18" hidden="false" customHeight="true" outlineLevel="0" collapsed="false"/>
    <row r="4971" customFormat="false" ht="18" hidden="false" customHeight="true" outlineLevel="0" collapsed="false"/>
    <row r="4972" customFormat="false" ht="18" hidden="false" customHeight="true" outlineLevel="0" collapsed="false"/>
    <row r="4973" customFormat="false" ht="18" hidden="false" customHeight="true" outlineLevel="0" collapsed="false"/>
    <row r="4974" customFormat="false" ht="18" hidden="false" customHeight="true" outlineLevel="0" collapsed="false"/>
    <row r="4975" customFormat="false" ht="18" hidden="false" customHeight="true" outlineLevel="0" collapsed="false"/>
    <row r="4976" customFormat="false" ht="18" hidden="false" customHeight="true" outlineLevel="0" collapsed="false"/>
    <row r="4977" customFormat="false" ht="18" hidden="false" customHeight="true" outlineLevel="0" collapsed="false"/>
    <row r="4978" customFormat="false" ht="18" hidden="false" customHeight="true" outlineLevel="0" collapsed="false"/>
    <row r="4979" customFormat="false" ht="18" hidden="false" customHeight="true" outlineLevel="0" collapsed="false"/>
    <row r="4980" customFormat="false" ht="18" hidden="false" customHeight="true" outlineLevel="0" collapsed="false"/>
    <row r="4981" customFormat="false" ht="18" hidden="false" customHeight="true" outlineLevel="0" collapsed="false"/>
    <row r="4982" customFormat="false" ht="18" hidden="false" customHeight="true" outlineLevel="0" collapsed="false"/>
    <row r="4983" customFormat="false" ht="18" hidden="false" customHeight="true" outlineLevel="0" collapsed="false"/>
    <row r="4984" customFormat="false" ht="18" hidden="false" customHeight="true" outlineLevel="0" collapsed="false"/>
    <row r="4985" customFormat="false" ht="18" hidden="false" customHeight="true" outlineLevel="0" collapsed="false"/>
    <row r="4986" customFormat="false" ht="18" hidden="false" customHeight="true" outlineLevel="0" collapsed="false"/>
    <row r="4987" customFormat="false" ht="18" hidden="false" customHeight="true" outlineLevel="0" collapsed="false"/>
    <row r="4988" customFormat="false" ht="18" hidden="false" customHeight="true" outlineLevel="0" collapsed="false"/>
    <row r="4989" customFormat="false" ht="18" hidden="false" customHeight="true" outlineLevel="0" collapsed="false"/>
    <row r="4990" customFormat="false" ht="18" hidden="false" customHeight="true" outlineLevel="0" collapsed="false"/>
    <row r="4991" customFormat="false" ht="18" hidden="false" customHeight="true" outlineLevel="0" collapsed="false"/>
    <row r="4992" customFormat="false" ht="18" hidden="false" customHeight="true" outlineLevel="0" collapsed="false"/>
    <row r="4993" customFormat="false" ht="18" hidden="false" customHeight="true" outlineLevel="0" collapsed="false"/>
    <row r="4994" customFormat="false" ht="18" hidden="false" customHeight="true" outlineLevel="0" collapsed="false"/>
    <row r="4995" customFormat="false" ht="18" hidden="false" customHeight="true" outlineLevel="0" collapsed="false"/>
    <row r="4996" customFormat="false" ht="18" hidden="false" customHeight="true" outlineLevel="0" collapsed="false"/>
    <row r="4997" customFormat="false" ht="18" hidden="false" customHeight="true" outlineLevel="0" collapsed="false"/>
    <row r="4998" customFormat="false" ht="18" hidden="false" customHeight="true" outlineLevel="0" collapsed="false"/>
    <row r="4999" customFormat="false" ht="18" hidden="false" customHeight="true" outlineLevel="0" collapsed="false"/>
    <row r="5000" customFormat="false" ht="18" hidden="false" customHeight="true" outlineLevel="0" collapsed="false"/>
    <row r="5001" customFormat="false" ht="18" hidden="false" customHeight="true" outlineLevel="0" collapsed="false"/>
    <row r="5002" customFormat="false" ht="18" hidden="false" customHeight="true" outlineLevel="0" collapsed="false"/>
    <row r="5003" customFormat="false" ht="18" hidden="false" customHeight="true" outlineLevel="0" collapsed="false"/>
    <row r="5004" customFormat="false" ht="18" hidden="false" customHeight="true" outlineLevel="0" collapsed="false"/>
    <row r="5005" customFormat="false" ht="18" hidden="false" customHeight="true" outlineLevel="0" collapsed="false"/>
    <row r="5006" customFormat="false" ht="18" hidden="false" customHeight="true" outlineLevel="0" collapsed="false"/>
    <row r="5007" customFormat="false" ht="18" hidden="false" customHeight="true" outlineLevel="0" collapsed="false"/>
    <row r="5008" customFormat="false" ht="18" hidden="false" customHeight="true" outlineLevel="0" collapsed="false"/>
    <row r="5009" customFormat="false" ht="18" hidden="false" customHeight="true" outlineLevel="0" collapsed="false"/>
    <row r="5010" customFormat="false" ht="18" hidden="false" customHeight="true" outlineLevel="0" collapsed="false"/>
    <row r="5011" customFormat="false" ht="18" hidden="false" customHeight="true" outlineLevel="0" collapsed="false"/>
    <row r="5012" customFormat="false" ht="18" hidden="false" customHeight="true" outlineLevel="0" collapsed="false"/>
    <row r="5013" customFormat="false" ht="18" hidden="false" customHeight="true" outlineLevel="0" collapsed="false"/>
    <row r="5014" customFormat="false" ht="18" hidden="false" customHeight="true" outlineLevel="0" collapsed="false"/>
    <row r="5015" customFormat="false" ht="18" hidden="false" customHeight="true" outlineLevel="0" collapsed="false"/>
    <row r="5016" customFormat="false" ht="18" hidden="false" customHeight="true" outlineLevel="0" collapsed="false"/>
    <row r="5017" customFormat="false" ht="18" hidden="false" customHeight="true" outlineLevel="0" collapsed="false"/>
    <row r="5018" customFormat="false" ht="18" hidden="false" customHeight="true" outlineLevel="0" collapsed="false"/>
    <row r="5019" customFormat="false" ht="18" hidden="false" customHeight="true" outlineLevel="0" collapsed="false"/>
    <row r="5020" customFormat="false" ht="18" hidden="false" customHeight="true" outlineLevel="0" collapsed="false"/>
    <row r="5021" customFormat="false" ht="18" hidden="false" customHeight="true" outlineLevel="0" collapsed="false"/>
    <row r="5022" customFormat="false" ht="18" hidden="false" customHeight="true" outlineLevel="0" collapsed="false"/>
    <row r="5023" customFormat="false" ht="18" hidden="false" customHeight="true" outlineLevel="0" collapsed="false"/>
    <row r="5024" customFormat="false" ht="18" hidden="false" customHeight="true" outlineLevel="0" collapsed="false"/>
    <row r="5025" customFormat="false" ht="18" hidden="false" customHeight="true" outlineLevel="0" collapsed="false"/>
    <row r="5026" customFormat="false" ht="18" hidden="false" customHeight="true" outlineLevel="0" collapsed="false"/>
    <row r="5027" customFormat="false" ht="18" hidden="false" customHeight="true" outlineLevel="0" collapsed="false"/>
    <row r="5028" customFormat="false" ht="18" hidden="false" customHeight="true" outlineLevel="0" collapsed="false"/>
    <row r="5029" customFormat="false" ht="18" hidden="false" customHeight="true" outlineLevel="0" collapsed="false"/>
    <row r="5030" customFormat="false" ht="18" hidden="false" customHeight="true" outlineLevel="0" collapsed="false"/>
    <row r="5031" customFormat="false" ht="18" hidden="false" customHeight="true" outlineLevel="0" collapsed="false"/>
    <row r="5032" customFormat="false" ht="18" hidden="false" customHeight="true" outlineLevel="0" collapsed="false"/>
    <row r="5033" customFormat="false" ht="18" hidden="false" customHeight="true" outlineLevel="0" collapsed="false"/>
    <row r="5034" customFormat="false" ht="18" hidden="false" customHeight="true" outlineLevel="0" collapsed="false"/>
    <row r="5035" customFormat="false" ht="18" hidden="false" customHeight="true" outlineLevel="0" collapsed="false"/>
    <row r="5036" customFormat="false" ht="18" hidden="false" customHeight="true" outlineLevel="0" collapsed="false"/>
    <row r="5037" customFormat="false" ht="18" hidden="false" customHeight="true" outlineLevel="0" collapsed="false"/>
    <row r="5038" customFormat="false" ht="18" hidden="false" customHeight="true" outlineLevel="0" collapsed="false"/>
    <row r="5039" customFormat="false" ht="18" hidden="false" customHeight="true" outlineLevel="0" collapsed="false"/>
    <row r="5040" customFormat="false" ht="18" hidden="false" customHeight="true" outlineLevel="0" collapsed="false"/>
    <row r="5041" customFormat="false" ht="18" hidden="false" customHeight="true" outlineLevel="0" collapsed="false"/>
    <row r="5042" customFormat="false" ht="18" hidden="false" customHeight="true" outlineLevel="0" collapsed="false"/>
    <row r="5043" customFormat="false" ht="18" hidden="false" customHeight="true" outlineLevel="0" collapsed="false"/>
    <row r="5044" customFormat="false" ht="18" hidden="false" customHeight="true" outlineLevel="0" collapsed="false"/>
    <row r="5045" customFormat="false" ht="18" hidden="false" customHeight="true" outlineLevel="0" collapsed="false"/>
    <row r="5046" customFormat="false" ht="18" hidden="false" customHeight="true" outlineLevel="0" collapsed="false"/>
    <row r="5047" customFormat="false" ht="18" hidden="false" customHeight="true" outlineLevel="0" collapsed="false"/>
    <row r="5048" customFormat="false" ht="18" hidden="false" customHeight="true" outlineLevel="0" collapsed="false"/>
    <row r="5049" customFormat="false" ht="18" hidden="false" customHeight="true" outlineLevel="0" collapsed="false"/>
    <row r="5050" customFormat="false" ht="18" hidden="false" customHeight="true" outlineLevel="0" collapsed="false"/>
    <row r="5051" customFormat="false" ht="18" hidden="false" customHeight="true" outlineLevel="0" collapsed="false"/>
    <row r="5052" customFormat="false" ht="18" hidden="false" customHeight="true" outlineLevel="0" collapsed="false"/>
    <row r="5053" customFormat="false" ht="18" hidden="false" customHeight="true" outlineLevel="0" collapsed="false"/>
    <row r="5054" customFormat="false" ht="18" hidden="false" customHeight="true" outlineLevel="0" collapsed="false"/>
    <row r="5055" customFormat="false" ht="18" hidden="false" customHeight="true" outlineLevel="0" collapsed="false"/>
    <row r="5056" customFormat="false" ht="18" hidden="false" customHeight="true" outlineLevel="0" collapsed="false"/>
    <row r="5057" customFormat="false" ht="18" hidden="false" customHeight="true" outlineLevel="0" collapsed="false"/>
    <row r="5058" customFormat="false" ht="18" hidden="false" customHeight="true" outlineLevel="0" collapsed="false"/>
    <row r="5059" customFormat="false" ht="18" hidden="false" customHeight="true" outlineLevel="0" collapsed="false"/>
    <row r="5060" customFormat="false" ht="18" hidden="false" customHeight="true" outlineLevel="0" collapsed="false"/>
    <row r="5061" customFormat="false" ht="18" hidden="false" customHeight="true" outlineLevel="0" collapsed="false"/>
    <row r="5062" customFormat="false" ht="18" hidden="false" customHeight="true" outlineLevel="0" collapsed="false"/>
    <row r="5063" customFormat="false" ht="18" hidden="false" customHeight="true" outlineLevel="0" collapsed="false"/>
    <row r="5064" customFormat="false" ht="18" hidden="false" customHeight="true" outlineLevel="0" collapsed="false"/>
    <row r="5065" customFormat="false" ht="18" hidden="false" customHeight="true" outlineLevel="0" collapsed="false"/>
    <row r="5066" customFormat="false" ht="18" hidden="false" customHeight="true" outlineLevel="0" collapsed="false"/>
    <row r="5067" customFormat="false" ht="18" hidden="false" customHeight="true" outlineLevel="0" collapsed="false"/>
    <row r="5068" customFormat="false" ht="18" hidden="false" customHeight="true" outlineLevel="0" collapsed="false"/>
    <row r="5069" customFormat="false" ht="18" hidden="false" customHeight="true" outlineLevel="0" collapsed="false"/>
    <row r="5070" customFormat="false" ht="18" hidden="false" customHeight="true" outlineLevel="0" collapsed="false"/>
    <row r="5071" customFormat="false" ht="18" hidden="false" customHeight="true" outlineLevel="0" collapsed="false"/>
    <row r="5072" customFormat="false" ht="18" hidden="false" customHeight="true" outlineLevel="0" collapsed="false"/>
    <row r="5073" customFormat="false" ht="18" hidden="false" customHeight="true" outlineLevel="0" collapsed="false"/>
    <row r="5074" customFormat="false" ht="18" hidden="false" customHeight="true" outlineLevel="0" collapsed="false"/>
    <row r="5075" customFormat="false" ht="18" hidden="false" customHeight="true" outlineLevel="0" collapsed="false"/>
    <row r="5076" customFormat="false" ht="18" hidden="false" customHeight="true" outlineLevel="0" collapsed="false"/>
    <row r="5077" customFormat="false" ht="18" hidden="false" customHeight="true" outlineLevel="0" collapsed="false"/>
    <row r="5078" customFormat="false" ht="18" hidden="false" customHeight="true" outlineLevel="0" collapsed="false"/>
    <row r="5079" customFormat="false" ht="18" hidden="false" customHeight="true" outlineLevel="0" collapsed="false"/>
    <row r="5080" customFormat="false" ht="18" hidden="false" customHeight="true" outlineLevel="0" collapsed="false"/>
    <row r="5081" customFormat="false" ht="18" hidden="false" customHeight="true" outlineLevel="0" collapsed="false"/>
    <row r="5082" customFormat="false" ht="18" hidden="false" customHeight="true" outlineLevel="0" collapsed="false"/>
    <row r="5083" customFormat="false" ht="18" hidden="false" customHeight="true" outlineLevel="0" collapsed="false"/>
    <row r="5084" customFormat="false" ht="18" hidden="false" customHeight="true" outlineLevel="0" collapsed="false"/>
    <row r="5085" customFormat="false" ht="18" hidden="false" customHeight="true" outlineLevel="0" collapsed="false"/>
    <row r="5086" customFormat="false" ht="18" hidden="false" customHeight="true" outlineLevel="0" collapsed="false"/>
    <row r="5087" customFormat="false" ht="18" hidden="false" customHeight="true" outlineLevel="0" collapsed="false"/>
    <row r="5088" customFormat="false" ht="18" hidden="false" customHeight="true" outlineLevel="0" collapsed="false"/>
    <row r="5089" customFormat="false" ht="18" hidden="false" customHeight="true" outlineLevel="0" collapsed="false"/>
    <row r="5090" customFormat="false" ht="18" hidden="false" customHeight="true" outlineLevel="0" collapsed="false"/>
    <row r="5091" customFormat="false" ht="18" hidden="false" customHeight="true" outlineLevel="0" collapsed="false"/>
    <row r="5092" customFormat="false" ht="18" hidden="false" customHeight="true" outlineLevel="0" collapsed="false"/>
    <row r="5093" customFormat="false" ht="18" hidden="false" customHeight="true" outlineLevel="0" collapsed="false"/>
    <row r="5094" customFormat="false" ht="18" hidden="false" customHeight="true" outlineLevel="0" collapsed="false"/>
    <row r="5095" customFormat="false" ht="18" hidden="false" customHeight="true" outlineLevel="0" collapsed="false"/>
    <row r="5096" customFormat="false" ht="18" hidden="false" customHeight="true" outlineLevel="0" collapsed="false"/>
    <row r="5097" customFormat="false" ht="18" hidden="false" customHeight="true" outlineLevel="0" collapsed="false"/>
    <row r="5098" customFormat="false" ht="18" hidden="false" customHeight="true" outlineLevel="0" collapsed="false"/>
    <row r="5099" customFormat="false" ht="18" hidden="false" customHeight="true" outlineLevel="0" collapsed="false"/>
    <row r="5100" customFormat="false" ht="18" hidden="false" customHeight="true" outlineLevel="0" collapsed="false"/>
    <row r="5101" customFormat="false" ht="18" hidden="false" customHeight="true" outlineLevel="0" collapsed="false"/>
    <row r="5102" customFormat="false" ht="18" hidden="false" customHeight="true" outlineLevel="0" collapsed="false"/>
    <row r="5103" customFormat="false" ht="18" hidden="false" customHeight="true" outlineLevel="0" collapsed="false"/>
    <row r="5104" customFormat="false" ht="18" hidden="false" customHeight="true" outlineLevel="0" collapsed="false"/>
    <row r="5105" customFormat="false" ht="18" hidden="false" customHeight="true" outlineLevel="0" collapsed="false"/>
    <row r="5106" customFormat="false" ht="18" hidden="false" customHeight="true" outlineLevel="0" collapsed="false"/>
    <row r="5107" customFormat="false" ht="18" hidden="false" customHeight="true" outlineLevel="0" collapsed="false"/>
    <row r="5108" customFormat="false" ht="18" hidden="false" customHeight="true" outlineLevel="0" collapsed="false"/>
    <row r="5109" customFormat="false" ht="18" hidden="false" customHeight="true" outlineLevel="0" collapsed="false"/>
    <row r="5110" customFormat="false" ht="18" hidden="false" customHeight="true" outlineLevel="0" collapsed="false"/>
    <row r="5111" customFormat="false" ht="18" hidden="false" customHeight="true" outlineLevel="0" collapsed="false"/>
    <row r="5112" customFormat="false" ht="18" hidden="false" customHeight="true" outlineLevel="0" collapsed="false"/>
    <row r="5113" customFormat="false" ht="18" hidden="false" customHeight="true" outlineLevel="0" collapsed="false"/>
    <row r="5114" customFormat="false" ht="18" hidden="false" customHeight="true" outlineLevel="0" collapsed="false"/>
    <row r="5115" customFormat="false" ht="18" hidden="false" customHeight="true" outlineLevel="0" collapsed="false"/>
    <row r="5116" customFormat="false" ht="18" hidden="false" customHeight="true" outlineLevel="0" collapsed="false"/>
    <row r="5117" customFormat="false" ht="18" hidden="false" customHeight="true" outlineLevel="0" collapsed="false"/>
    <row r="5118" customFormat="false" ht="18" hidden="false" customHeight="true" outlineLevel="0" collapsed="false"/>
    <row r="5119" customFormat="false" ht="18" hidden="false" customHeight="true" outlineLevel="0" collapsed="false"/>
    <row r="5120" customFormat="false" ht="18" hidden="false" customHeight="true" outlineLevel="0" collapsed="false"/>
    <row r="5121" customFormat="false" ht="18" hidden="false" customHeight="true" outlineLevel="0" collapsed="false"/>
    <row r="5122" customFormat="false" ht="18" hidden="false" customHeight="true" outlineLevel="0" collapsed="false"/>
    <row r="5123" customFormat="false" ht="18" hidden="false" customHeight="true" outlineLevel="0" collapsed="false"/>
    <row r="5124" customFormat="false" ht="18" hidden="false" customHeight="true" outlineLevel="0" collapsed="false"/>
    <row r="5125" customFormat="false" ht="18" hidden="false" customHeight="true" outlineLevel="0" collapsed="false"/>
    <row r="5126" customFormat="false" ht="18" hidden="false" customHeight="true" outlineLevel="0" collapsed="false"/>
    <row r="5127" customFormat="false" ht="18" hidden="false" customHeight="true" outlineLevel="0" collapsed="false"/>
    <row r="5128" customFormat="false" ht="18" hidden="false" customHeight="true" outlineLevel="0" collapsed="false"/>
    <row r="5129" customFormat="false" ht="18" hidden="false" customHeight="true" outlineLevel="0" collapsed="false"/>
    <row r="5130" customFormat="false" ht="18" hidden="false" customHeight="true" outlineLevel="0" collapsed="false"/>
    <row r="5131" customFormat="false" ht="18" hidden="false" customHeight="true" outlineLevel="0" collapsed="false"/>
    <row r="5132" customFormat="false" ht="18" hidden="false" customHeight="true" outlineLevel="0" collapsed="false"/>
    <row r="5133" customFormat="false" ht="18" hidden="false" customHeight="true" outlineLevel="0" collapsed="false"/>
    <row r="5134" customFormat="false" ht="18" hidden="false" customHeight="true" outlineLevel="0" collapsed="false"/>
    <row r="5135" customFormat="false" ht="18" hidden="false" customHeight="true" outlineLevel="0" collapsed="false"/>
    <row r="5136" customFormat="false" ht="18" hidden="false" customHeight="true" outlineLevel="0" collapsed="false"/>
    <row r="5137" customFormat="false" ht="18" hidden="false" customHeight="true" outlineLevel="0" collapsed="false"/>
    <row r="5138" customFormat="false" ht="18" hidden="false" customHeight="true" outlineLevel="0" collapsed="false"/>
    <row r="5139" customFormat="false" ht="18" hidden="false" customHeight="true" outlineLevel="0" collapsed="false"/>
    <row r="5140" customFormat="false" ht="18" hidden="false" customHeight="true" outlineLevel="0" collapsed="false"/>
    <row r="5141" customFormat="false" ht="18" hidden="false" customHeight="true" outlineLevel="0" collapsed="false"/>
    <row r="5142" customFormat="false" ht="18" hidden="false" customHeight="true" outlineLevel="0" collapsed="false"/>
    <row r="5143" customFormat="false" ht="18" hidden="false" customHeight="true" outlineLevel="0" collapsed="false"/>
    <row r="5144" customFormat="false" ht="18" hidden="false" customHeight="true" outlineLevel="0" collapsed="false"/>
    <row r="5145" customFormat="false" ht="18" hidden="false" customHeight="true" outlineLevel="0" collapsed="false"/>
    <row r="5146" customFormat="false" ht="18" hidden="false" customHeight="true" outlineLevel="0" collapsed="false"/>
    <row r="5147" customFormat="false" ht="18" hidden="false" customHeight="true" outlineLevel="0" collapsed="false"/>
    <row r="5148" customFormat="false" ht="18" hidden="false" customHeight="true" outlineLevel="0" collapsed="false"/>
    <row r="5149" customFormat="false" ht="18" hidden="false" customHeight="true" outlineLevel="0" collapsed="false"/>
    <row r="5150" customFormat="false" ht="18" hidden="false" customHeight="true" outlineLevel="0" collapsed="false"/>
    <row r="5151" customFormat="false" ht="18" hidden="false" customHeight="true" outlineLevel="0" collapsed="false"/>
    <row r="5152" customFormat="false" ht="18" hidden="false" customHeight="true" outlineLevel="0" collapsed="false"/>
    <row r="5153" customFormat="false" ht="18" hidden="false" customHeight="true" outlineLevel="0" collapsed="false"/>
    <row r="5154" customFormat="false" ht="18" hidden="false" customHeight="true" outlineLevel="0" collapsed="false"/>
    <row r="5155" customFormat="false" ht="18" hidden="false" customHeight="true" outlineLevel="0" collapsed="false"/>
    <row r="5156" customFormat="false" ht="18" hidden="false" customHeight="true" outlineLevel="0" collapsed="false"/>
    <row r="5157" customFormat="false" ht="18" hidden="false" customHeight="true" outlineLevel="0" collapsed="false"/>
    <row r="5158" customFormat="false" ht="18" hidden="false" customHeight="true" outlineLevel="0" collapsed="false"/>
    <row r="5159" customFormat="false" ht="18" hidden="false" customHeight="true" outlineLevel="0" collapsed="false"/>
    <row r="5160" customFormat="false" ht="18" hidden="false" customHeight="true" outlineLevel="0" collapsed="false"/>
    <row r="5161" customFormat="false" ht="18" hidden="false" customHeight="true" outlineLevel="0" collapsed="false"/>
    <row r="5162" customFormat="false" ht="18" hidden="false" customHeight="true" outlineLevel="0" collapsed="false"/>
    <row r="5163" customFormat="false" ht="18" hidden="false" customHeight="true" outlineLevel="0" collapsed="false"/>
    <row r="5164" customFormat="false" ht="18" hidden="false" customHeight="true" outlineLevel="0" collapsed="false"/>
    <row r="5165" customFormat="false" ht="18" hidden="false" customHeight="true" outlineLevel="0" collapsed="false"/>
    <row r="5166" customFormat="false" ht="18" hidden="false" customHeight="true" outlineLevel="0" collapsed="false"/>
    <row r="5167" customFormat="false" ht="18" hidden="false" customHeight="true" outlineLevel="0" collapsed="false"/>
    <row r="5168" customFormat="false" ht="18" hidden="false" customHeight="true" outlineLevel="0" collapsed="false"/>
    <row r="5169" customFormat="false" ht="18" hidden="false" customHeight="true" outlineLevel="0" collapsed="false"/>
    <row r="5170" customFormat="false" ht="18" hidden="false" customHeight="true" outlineLevel="0" collapsed="false"/>
    <row r="5171" customFormat="false" ht="18" hidden="false" customHeight="true" outlineLevel="0" collapsed="false"/>
    <row r="5172" customFormat="false" ht="18" hidden="false" customHeight="true" outlineLevel="0" collapsed="false"/>
    <row r="5173" customFormat="false" ht="18" hidden="false" customHeight="true" outlineLevel="0" collapsed="false"/>
    <row r="5174" customFormat="false" ht="18" hidden="false" customHeight="true" outlineLevel="0" collapsed="false"/>
    <row r="5175" customFormat="false" ht="18" hidden="false" customHeight="true" outlineLevel="0" collapsed="false"/>
    <row r="5176" customFormat="false" ht="18" hidden="false" customHeight="true" outlineLevel="0" collapsed="false"/>
    <row r="5177" customFormat="false" ht="18" hidden="false" customHeight="true" outlineLevel="0" collapsed="false"/>
    <row r="5178" customFormat="false" ht="18" hidden="false" customHeight="true" outlineLevel="0" collapsed="false"/>
    <row r="5179" customFormat="false" ht="18" hidden="false" customHeight="true" outlineLevel="0" collapsed="false"/>
    <row r="5180" customFormat="false" ht="18" hidden="false" customHeight="true" outlineLevel="0" collapsed="false"/>
    <row r="5181" customFormat="false" ht="18" hidden="false" customHeight="true" outlineLevel="0" collapsed="false"/>
    <row r="5182" customFormat="false" ht="18" hidden="false" customHeight="true" outlineLevel="0" collapsed="false"/>
    <row r="5183" customFormat="false" ht="18" hidden="false" customHeight="true" outlineLevel="0" collapsed="false"/>
    <row r="5184" customFormat="false" ht="18" hidden="false" customHeight="true" outlineLevel="0" collapsed="false"/>
    <row r="5185" customFormat="false" ht="18" hidden="false" customHeight="true" outlineLevel="0" collapsed="false"/>
    <row r="5186" customFormat="false" ht="18" hidden="false" customHeight="true" outlineLevel="0" collapsed="false"/>
    <row r="5187" customFormat="false" ht="18" hidden="false" customHeight="true" outlineLevel="0" collapsed="false"/>
    <row r="5188" customFormat="false" ht="18" hidden="false" customHeight="true" outlineLevel="0" collapsed="false"/>
    <row r="5189" customFormat="false" ht="18" hidden="false" customHeight="true" outlineLevel="0" collapsed="false"/>
    <row r="5190" customFormat="false" ht="18" hidden="false" customHeight="true" outlineLevel="0" collapsed="false"/>
    <row r="5191" customFormat="false" ht="18" hidden="false" customHeight="true" outlineLevel="0" collapsed="false"/>
    <row r="5192" customFormat="false" ht="18" hidden="false" customHeight="true" outlineLevel="0" collapsed="false"/>
    <row r="5193" customFormat="false" ht="18" hidden="false" customHeight="true" outlineLevel="0" collapsed="false"/>
    <row r="5194" customFormat="false" ht="18" hidden="false" customHeight="true" outlineLevel="0" collapsed="false"/>
    <row r="5195" customFormat="false" ht="18" hidden="false" customHeight="true" outlineLevel="0" collapsed="false"/>
    <row r="5196" customFormat="false" ht="18" hidden="false" customHeight="true" outlineLevel="0" collapsed="false"/>
    <row r="5197" customFormat="false" ht="18" hidden="false" customHeight="true" outlineLevel="0" collapsed="false"/>
    <row r="5198" customFormat="false" ht="18" hidden="false" customHeight="true" outlineLevel="0" collapsed="false"/>
    <row r="5199" customFormat="false" ht="18" hidden="false" customHeight="true" outlineLevel="0" collapsed="false"/>
    <row r="5200" customFormat="false" ht="18" hidden="false" customHeight="true" outlineLevel="0" collapsed="false"/>
    <row r="5201" customFormat="false" ht="18" hidden="false" customHeight="true" outlineLevel="0" collapsed="false"/>
    <row r="5202" customFormat="false" ht="18" hidden="false" customHeight="true" outlineLevel="0" collapsed="false"/>
    <row r="5203" customFormat="false" ht="18" hidden="false" customHeight="true" outlineLevel="0" collapsed="false"/>
    <row r="5204" customFormat="false" ht="18" hidden="false" customHeight="true" outlineLevel="0" collapsed="false"/>
    <row r="5205" customFormat="false" ht="18" hidden="false" customHeight="true" outlineLevel="0" collapsed="false"/>
    <row r="5206" customFormat="false" ht="18" hidden="false" customHeight="true" outlineLevel="0" collapsed="false"/>
    <row r="5207" customFormat="false" ht="18" hidden="false" customHeight="true" outlineLevel="0" collapsed="false"/>
    <row r="5208" customFormat="false" ht="18" hidden="false" customHeight="true" outlineLevel="0" collapsed="false"/>
    <row r="5209" customFormat="false" ht="18" hidden="false" customHeight="true" outlineLevel="0" collapsed="false"/>
    <row r="5210" customFormat="false" ht="18" hidden="false" customHeight="true" outlineLevel="0" collapsed="false"/>
    <row r="5211" customFormat="false" ht="18" hidden="false" customHeight="true" outlineLevel="0" collapsed="false"/>
    <row r="5212" customFormat="false" ht="18" hidden="false" customHeight="true" outlineLevel="0" collapsed="false"/>
    <row r="5213" customFormat="false" ht="18" hidden="false" customHeight="true" outlineLevel="0" collapsed="false"/>
    <row r="5214" customFormat="false" ht="18" hidden="false" customHeight="true" outlineLevel="0" collapsed="false"/>
    <row r="5215" customFormat="false" ht="18" hidden="false" customHeight="true" outlineLevel="0" collapsed="false"/>
    <row r="5216" customFormat="false" ht="18" hidden="false" customHeight="true" outlineLevel="0" collapsed="false"/>
    <row r="5217" customFormat="false" ht="18" hidden="false" customHeight="true" outlineLevel="0" collapsed="false"/>
    <row r="5218" customFormat="false" ht="18" hidden="false" customHeight="true" outlineLevel="0" collapsed="false"/>
    <row r="5219" customFormat="false" ht="18" hidden="false" customHeight="true" outlineLevel="0" collapsed="false"/>
    <row r="5220" customFormat="false" ht="18" hidden="false" customHeight="true" outlineLevel="0" collapsed="false"/>
    <row r="5221" customFormat="false" ht="18" hidden="false" customHeight="true" outlineLevel="0" collapsed="false"/>
    <row r="5222" customFormat="false" ht="18" hidden="false" customHeight="true" outlineLevel="0" collapsed="false"/>
    <row r="5223" customFormat="false" ht="18" hidden="false" customHeight="true" outlineLevel="0" collapsed="false"/>
    <row r="5224" customFormat="false" ht="18" hidden="false" customHeight="true" outlineLevel="0" collapsed="false"/>
    <row r="5225" customFormat="false" ht="18" hidden="false" customHeight="true" outlineLevel="0" collapsed="false"/>
    <row r="5226" customFormat="false" ht="18" hidden="false" customHeight="true" outlineLevel="0" collapsed="false"/>
    <row r="5227" customFormat="false" ht="18" hidden="false" customHeight="true" outlineLevel="0" collapsed="false"/>
    <row r="5228" customFormat="false" ht="18" hidden="false" customHeight="true" outlineLevel="0" collapsed="false"/>
    <row r="5229" customFormat="false" ht="18" hidden="false" customHeight="true" outlineLevel="0" collapsed="false"/>
    <row r="5230" customFormat="false" ht="18" hidden="false" customHeight="true" outlineLevel="0" collapsed="false"/>
    <row r="5231" customFormat="false" ht="18" hidden="false" customHeight="true" outlineLevel="0" collapsed="false"/>
    <row r="5232" customFormat="false" ht="18" hidden="false" customHeight="true" outlineLevel="0" collapsed="false"/>
    <row r="5233" customFormat="false" ht="18" hidden="false" customHeight="true" outlineLevel="0" collapsed="false"/>
    <row r="5234" customFormat="false" ht="18" hidden="false" customHeight="true" outlineLevel="0" collapsed="false"/>
    <row r="5235" customFormat="false" ht="18" hidden="false" customHeight="true" outlineLevel="0" collapsed="false"/>
    <row r="5236" customFormat="false" ht="18" hidden="false" customHeight="true" outlineLevel="0" collapsed="false"/>
    <row r="5237" customFormat="false" ht="18" hidden="false" customHeight="true" outlineLevel="0" collapsed="false"/>
    <row r="5238" customFormat="false" ht="18" hidden="false" customHeight="true" outlineLevel="0" collapsed="false"/>
    <row r="5239" customFormat="false" ht="18" hidden="false" customHeight="true" outlineLevel="0" collapsed="false"/>
    <row r="5240" customFormat="false" ht="18" hidden="false" customHeight="true" outlineLevel="0" collapsed="false"/>
    <row r="5241" customFormat="false" ht="18" hidden="false" customHeight="true" outlineLevel="0" collapsed="false"/>
    <row r="5242" customFormat="false" ht="18" hidden="false" customHeight="true" outlineLevel="0" collapsed="false"/>
    <row r="5243" customFormat="false" ht="18" hidden="false" customHeight="true" outlineLevel="0" collapsed="false"/>
    <row r="5244" customFormat="false" ht="18" hidden="false" customHeight="true" outlineLevel="0" collapsed="false"/>
    <row r="5245" customFormat="false" ht="18" hidden="false" customHeight="true" outlineLevel="0" collapsed="false"/>
    <row r="5246" customFormat="false" ht="18" hidden="false" customHeight="true" outlineLevel="0" collapsed="false"/>
    <row r="5247" customFormat="false" ht="18" hidden="false" customHeight="true" outlineLevel="0" collapsed="false"/>
    <row r="5248" customFormat="false" ht="18" hidden="false" customHeight="true" outlineLevel="0" collapsed="false"/>
    <row r="5249" customFormat="false" ht="18" hidden="false" customHeight="true" outlineLevel="0" collapsed="false"/>
    <row r="5250" customFormat="false" ht="18" hidden="false" customHeight="true" outlineLevel="0" collapsed="false"/>
    <row r="5251" customFormat="false" ht="18" hidden="false" customHeight="true" outlineLevel="0" collapsed="false"/>
    <row r="5252" customFormat="false" ht="18" hidden="false" customHeight="true" outlineLevel="0" collapsed="false"/>
    <row r="5253" customFormat="false" ht="18" hidden="false" customHeight="true" outlineLevel="0" collapsed="false"/>
    <row r="5254" customFormat="false" ht="18" hidden="false" customHeight="true" outlineLevel="0" collapsed="false"/>
    <row r="5255" customFormat="false" ht="18" hidden="false" customHeight="true" outlineLevel="0" collapsed="false"/>
    <row r="5256" customFormat="false" ht="18" hidden="false" customHeight="true" outlineLevel="0" collapsed="false"/>
    <row r="5257" customFormat="false" ht="18" hidden="false" customHeight="true" outlineLevel="0" collapsed="false"/>
    <row r="5258" customFormat="false" ht="18" hidden="false" customHeight="true" outlineLevel="0" collapsed="false"/>
    <row r="5259" customFormat="false" ht="18" hidden="false" customHeight="true" outlineLevel="0" collapsed="false"/>
    <row r="5260" customFormat="false" ht="18" hidden="false" customHeight="true" outlineLevel="0" collapsed="false"/>
    <row r="5261" customFormat="false" ht="18" hidden="false" customHeight="true" outlineLevel="0" collapsed="false"/>
    <row r="5262" customFormat="false" ht="18" hidden="false" customHeight="true" outlineLevel="0" collapsed="false"/>
    <row r="5263" customFormat="false" ht="18" hidden="false" customHeight="true" outlineLevel="0" collapsed="false"/>
    <row r="5264" customFormat="false" ht="18" hidden="false" customHeight="true" outlineLevel="0" collapsed="false"/>
    <row r="5265" customFormat="false" ht="18" hidden="false" customHeight="true" outlineLevel="0" collapsed="false"/>
    <row r="5266" customFormat="false" ht="18" hidden="false" customHeight="true" outlineLevel="0" collapsed="false"/>
    <row r="5267" customFormat="false" ht="18" hidden="false" customHeight="true" outlineLevel="0" collapsed="false"/>
    <row r="5268" customFormat="false" ht="18" hidden="false" customHeight="true" outlineLevel="0" collapsed="false"/>
    <row r="5269" customFormat="false" ht="18" hidden="false" customHeight="true" outlineLevel="0" collapsed="false"/>
    <row r="5270" customFormat="false" ht="18" hidden="false" customHeight="true" outlineLevel="0" collapsed="false"/>
    <row r="5271" customFormat="false" ht="18" hidden="false" customHeight="true" outlineLevel="0" collapsed="false"/>
    <row r="5272" customFormat="false" ht="18" hidden="false" customHeight="true" outlineLevel="0" collapsed="false"/>
    <row r="5273" customFormat="false" ht="18" hidden="false" customHeight="true" outlineLevel="0" collapsed="false"/>
    <row r="5274" customFormat="false" ht="18" hidden="false" customHeight="true" outlineLevel="0" collapsed="false"/>
    <row r="5275" customFormat="false" ht="18" hidden="false" customHeight="true" outlineLevel="0" collapsed="false"/>
    <row r="5276" customFormat="false" ht="18" hidden="false" customHeight="true" outlineLevel="0" collapsed="false"/>
    <row r="5277" customFormat="false" ht="18" hidden="false" customHeight="true" outlineLevel="0" collapsed="false"/>
    <row r="5278" customFormat="false" ht="18" hidden="false" customHeight="true" outlineLevel="0" collapsed="false"/>
    <row r="5279" customFormat="false" ht="18" hidden="false" customHeight="true" outlineLevel="0" collapsed="false"/>
    <row r="5280" customFormat="false" ht="18" hidden="false" customHeight="true" outlineLevel="0" collapsed="false"/>
    <row r="5281" customFormat="false" ht="18" hidden="false" customHeight="true" outlineLevel="0" collapsed="false"/>
    <row r="5282" customFormat="false" ht="18" hidden="false" customHeight="true" outlineLevel="0" collapsed="false"/>
    <row r="5283" customFormat="false" ht="18" hidden="false" customHeight="true" outlineLevel="0" collapsed="false"/>
    <row r="5284" customFormat="false" ht="18" hidden="false" customHeight="true" outlineLevel="0" collapsed="false"/>
    <row r="5285" customFormat="false" ht="18" hidden="false" customHeight="true" outlineLevel="0" collapsed="false"/>
    <row r="5286" customFormat="false" ht="18" hidden="false" customHeight="true" outlineLevel="0" collapsed="false"/>
    <row r="5287" customFormat="false" ht="18" hidden="false" customHeight="true" outlineLevel="0" collapsed="false"/>
    <row r="5288" customFormat="false" ht="18" hidden="false" customHeight="true" outlineLevel="0" collapsed="false"/>
    <row r="5289" customFormat="false" ht="18" hidden="false" customHeight="true" outlineLevel="0" collapsed="false"/>
    <row r="5290" customFormat="false" ht="18" hidden="false" customHeight="true" outlineLevel="0" collapsed="false"/>
    <row r="5291" customFormat="false" ht="18" hidden="false" customHeight="true" outlineLevel="0" collapsed="false"/>
    <row r="5292" customFormat="false" ht="18" hidden="false" customHeight="true" outlineLevel="0" collapsed="false"/>
    <row r="5293" customFormat="false" ht="18" hidden="false" customHeight="true" outlineLevel="0" collapsed="false"/>
    <row r="5294" customFormat="false" ht="18" hidden="false" customHeight="true" outlineLevel="0" collapsed="false"/>
    <row r="5295" customFormat="false" ht="18" hidden="false" customHeight="true" outlineLevel="0" collapsed="false"/>
    <row r="5296" customFormat="false" ht="18" hidden="false" customHeight="true" outlineLevel="0" collapsed="false"/>
    <row r="5297" customFormat="false" ht="18" hidden="false" customHeight="true" outlineLevel="0" collapsed="false"/>
    <row r="5298" customFormat="false" ht="18" hidden="false" customHeight="true" outlineLevel="0" collapsed="false"/>
    <row r="5299" customFormat="false" ht="18" hidden="false" customHeight="true" outlineLevel="0" collapsed="false"/>
    <row r="5300" customFormat="false" ht="18" hidden="false" customHeight="true" outlineLevel="0" collapsed="false"/>
    <row r="5301" customFormat="false" ht="18" hidden="false" customHeight="true" outlineLevel="0" collapsed="false"/>
    <row r="5302" customFormat="false" ht="18" hidden="false" customHeight="true" outlineLevel="0" collapsed="false"/>
    <row r="5303" customFormat="false" ht="18" hidden="false" customHeight="true" outlineLevel="0" collapsed="false"/>
    <row r="5304" customFormat="false" ht="18" hidden="false" customHeight="true" outlineLevel="0" collapsed="false"/>
    <row r="5305" customFormat="false" ht="18" hidden="false" customHeight="true" outlineLevel="0" collapsed="false"/>
    <row r="5306" customFormat="false" ht="18" hidden="false" customHeight="true" outlineLevel="0" collapsed="false"/>
    <row r="5307" customFormat="false" ht="18" hidden="false" customHeight="true" outlineLevel="0" collapsed="false"/>
    <row r="5308" customFormat="false" ht="18" hidden="false" customHeight="true" outlineLevel="0" collapsed="false"/>
    <row r="5309" customFormat="false" ht="18" hidden="false" customHeight="true" outlineLevel="0" collapsed="false"/>
    <row r="5310" customFormat="false" ht="18" hidden="false" customHeight="true" outlineLevel="0" collapsed="false"/>
    <row r="5311" customFormat="false" ht="18" hidden="false" customHeight="true" outlineLevel="0" collapsed="false"/>
    <row r="5312" customFormat="false" ht="18" hidden="false" customHeight="true" outlineLevel="0" collapsed="false"/>
    <row r="5313" customFormat="false" ht="18" hidden="false" customHeight="true" outlineLevel="0" collapsed="false"/>
    <row r="5314" customFormat="false" ht="18" hidden="false" customHeight="true" outlineLevel="0" collapsed="false"/>
    <row r="5315" customFormat="false" ht="18" hidden="false" customHeight="true" outlineLevel="0" collapsed="false"/>
    <row r="5316" customFormat="false" ht="18" hidden="false" customHeight="true" outlineLevel="0" collapsed="false"/>
    <row r="5317" customFormat="false" ht="18" hidden="false" customHeight="true" outlineLevel="0" collapsed="false"/>
    <row r="5318" customFormat="false" ht="18" hidden="false" customHeight="true" outlineLevel="0" collapsed="false"/>
    <row r="5319" customFormat="false" ht="18" hidden="false" customHeight="true" outlineLevel="0" collapsed="false"/>
    <row r="5320" customFormat="false" ht="18" hidden="false" customHeight="true" outlineLevel="0" collapsed="false"/>
    <row r="5321" customFormat="false" ht="18" hidden="false" customHeight="true" outlineLevel="0" collapsed="false"/>
    <row r="5322" customFormat="false" ht="18" hidden="false" customHeight="true" outlineLevel="0" collapsed="false"/>
    <row r="5323" customFormat="false" ht="18" hidden="false" customHeight="true" outlineLevel="0" collapsed="false"/>
    <row r="5324" customFormat="false" ht="18" hidden="false" customHeight="true" outlineLevel="0" collapsed="false"/>
    <row r="5325" customFormat="false" ht="18" hidden="false" customHeight="true" outlineLevel="0" collapsed="false"/>
    <row r="5326" customFormat="false" ht="18" hidden="false" customHeight="true" outlineLevel="0" collapsed="false"/>
    <row r="5327" customFormat="false" ht="18" hidden="false" customHeight="true" outlineLevel="0" collapsed="false"/>
    <row r="5328" customFormat="false" ht="18" hidden="false" customHeight="true" outlineLevel="0" collapsed="false"/>
    <row r="5329" customFormat="false" ht="18" hidden="false" customHeight="true" outlineLevel="0" collapsed="false"/>
    <row r="5330" customFormat="false" ht="18" hidden="false" customHeight="true" outlineLevel="0" collapsed="false"/>
    <row r="5331" customFormat="false" ht="18" hidden="false" customHeight="true" outlineLevel="0" collapsed="false"/>
    <row r="5332" customFormat="false" ht="18" hidden="false" customHeight="true" outlineLevel="0" collapsed="false"/>
    <row r="5333" customFormat="false" ht="18" hidden="false" customHeight="true" outlineLevel="0" collapsed="false"/>
    <row r="5334" customFormat="false" ht="18" hidden="false" customHeight="true" outlineLevel="0" collapsed="false"/>
    <row r="5335" customFormat="false" ht="18" hidden="false" customHeight="true" outlineLevel="0" collapsed="false"/>
    <row r="5336" customFormat="false" ht="18" hidden="false" customHeight="true" outlineLevel="0" collapsed="false"/>
    <row r="5337" customFormat="false" ht="18" hidden="false" customHeight="true" outlineLevel="0" collapsed="false"/>
    <row r="5338" customFormat="false" ht="18" hidden="false" customHeight="true" outlineLevel="0" collapsed="false"/>
    <row r="5339" customFormat="false" ht="18" hidden="false" customHeight="true" outlineLevel="0" collapsed="false"/>
    <row r="5340" customFormat="false" ht="18" hidden="false" customHeight="true" outlineLevel="0" collapsed="false"/>
    <row r="5341" customFormat="false" ht="18" hidden="false" customHeight="true" outlineLevel="0" collapsed="false"/>
    <row r="5342" customFormat="false" ht="18" hidden="false" customHeight="true" outlineLevel="0" collapsed="false"/>
    <row r="5343" customFormat="false" ht="18" hidden="false" customHeight="true" outlineLevel="0" collapsed="false"/>
    <row r="5344" customFormat="false" ht="18" hidden="false" customHeight="true" outlineLevel="0" collapsed="false"/>
    <row r="5345" customFormat="false" ht="18" hidden="false" customHeight="true" outlineLevel="0" collapsed="false"/>
    <row r="5346" customFormat="false" ht="18" hidden="false" customHeight="true" outlineLevel="0" collapsed="false"/>
    <row r="5347" customFormat="false" ht="18" hidden="false" customHeight="true" outlineLevel="0" collapsed="false"/>
    <row r="5348" customFormat="false" ht="18" hidden="false" customHeight="true" outlineLevel="0" collapsed="false"/>
    <row r="5349" customFormat="false" ht="18" hidden="false" customHeight="true" outlineLevel="0" collapsed="false"/>
    <row r="5350" customFormat="false" ht="18" hidden="false" customHeight="true" outlineLevel="0" collapsed="false"/>
    <row r="5351" customFormat="false" ht="18" hidden="false" customHeight="true" outlineLevel="0" collapsed="false"/>
    <row r="5352" customFormat="false" ht="18" hidden="false" customHeight="true" outlineLevel="0" collapsed="false"/>
    <row r="5353" customFormat="false" ht="18" hidden="false" customHeight="true" outlineLevel="0" collapsed="false"/>
    <row r="5354" customFormat="false" ht="18" hidden="false" customHeight="true" outlineLevel="0" collapsed="false"/>
    <row r="5355" customFormat="false" ht="18" hidden="false" customHeight="true" outlineLevel="0" collapsed="false"/>
    <row r="5356" customFormat="false" ht="18" hidden="false" customHeight="true" outlineLevel="0" collapsed="false"/>
    <row r="5357" customFormat="false" ht="18" hidden="false" customHeight="true" outlineLevel="0" collapsed="false"/>
    <row r="5358" customFormat="false" ht="18" hidden="false" customHeight="true" outlineLevel="0" collapsed="false"/>
    <row r="5359" customFormat="false" ht="18" hidden="false" customHeight="true" outlineLevel="0" collapsed="false"/>
    <row r="5360" customFormat="false" ht="18" hidden="false" customHeight="true" outlineLevel="0" collapsed="false"/>
    <row r="5361" customFormat="false" ht="18" hidden="false" customHeight="true" outlineLevel="0" collapsed="false"/>
    <row r="5362" customFormat="false" ht="18" hidden="false" customHeight="true" outlineLevel="0" collapsed="false"/>
    <row r="5363" customFormat="false" ht="18" hidden="false" customHeight="true" outlineLevel="0" collapsed="false"/>
    <row r="5364" customFormat="false" ht="18" hidden="false" customHeight="true" outlineLevel="0" collapsed="false"/>
    <row r="5365" customFormat="false" ht="18" hidden="false" customHeight="true" outlineLevel="0" collapsed="false"/>
    <row r="5366" customFormat="false" ht="18" hidden="false" customHeight="true" outlineLevel="0" collapsed="false"/>
    <row r="5367" customFormat="false" ht="18" hidden="false" customHeight="true" outlineLevel="0" collapsed="false"/>
    <row r="5368" customFormat="false" ht="18" hidden="false" customHeight="true" outlineLevel="0" collapsed="false"/>
    <row r="5369" customFormat="false" ht="18" hidden="false" customHeight="true" outlineLevel="0" collapsed="false"/>
    <row r="5370" customFormat="false" ht="18" hidden="false" customHeight="true" outlineLevel="0" collapsed="false"/>
    <row r="5371" customFormat="false" ht="18" hidden="false" customHeight="true" outlineLevel="0" collapsed="false"/>
    <row r="5372" customFormat="false" ht="18" hidden="false" customHeight="true" outlineLevel="0" collapsed="false"/>
    <row r="5373" customFormat="false" ht="18" hidden="false" customHeight="true" outlineLevel="0" collapsed="false"/>
    <row r="5374" customFormat="false" ht="18" hidden="false" customHeight="true" outlineLevel="0" collapsed="false"/>
    <row r="5375" customFormat="false" ht="18" hidden="false" customHeight="true" outlineLevel="0" collapsed="false"/>
    <row r="5376" customFormat="false" ht="18" hidden="false" customHeight="true" outlineLevel="0" collapsed="false"/>
    <row r="5377" customFormat="false" ht="18" hidden="false" customHeight="true" outlineLevel="0" collapsed="false"/>
    <row r="5378" customFormat="false" ht="18" hidden="false" customHeight="true" outlineLevel="0" collapsed="false"/>
    <row r="5379" customFormat="false" ht="18" hidden="false" customHeight="true" outlineLevel="0" collapsed="false"/>
    <row r="5380" customFormat="false" ht="18" hidden="false" customHeight="true" outlineLevel="0" collapsed="false"/>
    <row r="5381" customFormat="false" ht="18" hidden="false" customHeight="true" outlineLevel="0" collapsed="false"/>
    <row r="5382" customFormat="false" ht="18" hidden="false" customHeight="true" outlineLevel="0" collapsed="false"/>
    <row r="5383" customFormat="false" ht="18" hidden="false" customHeight="true" outlineLevel="0" collapsed="false"/>
    <row r="5384" customFormat="false" ht="18" hidden="false" customHeight="true" outlineLevel="0" collapsed="false"/>
    <row r="5385" customFormat="false" ht="18" hidden="false" customHeight="true" outlineLevel="0" collapsed="false"/>
    <row r="5386" customFormat="false" ht="18" hidden="false" customHeight="true" outlineLevel="0" collapsed="false"/>
    <row r="5387" customFormat="false" ht="18" hidden="false" customHeight="true" outlineLevel="0" collapsed="false"/>
    <row r="5388" customFormat="false" ht="18" hidden="false" customHeight="true" outlineLevel="0" collapsed="false"/>
    <row r="5389" customFormat="false" ht="18" hidden="false" customHeight="true" outlineLevel="0" collapsed="false"/>
    <row r="5390" customFormat="false" ht="18" hidden="false" customHeight="true" outlineLevel="0" collapsed="false"/>
    <row r="5391" customFormat="false" ht="18" hidden="false" customHeight="true" outlineLevel="0" collapsed="false"/>
    <row r="5392" customFormat="false" ht="18" hidden="false" customHeight="true" outlineLevel="0" collapsed="false"/>
    <row r="5393" customFormat="false" ht="18" hidden="false" customHeight="true" outlineLevel="0" collapsed="false"/>
    <row r="5394" customFormat="false" ht="18" hidden="false" customHeight="true" outlineLevel="0" collapsed="false"/>
    <row r="5395" customFormat="false" ht="18" hidden="false" customHeight="true" outlineLevel="0" collapsed="false"/>
    <row r="5396" customFormat="false" ht="18" hidden="false" customHeight="true" outlineLevel="0" collapsed="false"/>
    <row r="5397" customFormat="false" ht="18" hidden="false" customHeight="true" outlineLevel="0" collapsed="false"/>
    <row r="5398" customFormat="false" ht="18" hidden="false" customHeight="true" outlineLevel="0" collapsed="false"/>
    <row r="5399" customFormat="false" ht="18" hidden="false" customHeight="true" outlineLevel="0" collapsed="false"/>
    <row r="5400" customFormat="false" ht="18" hidden="false" customHeight="true" outlineLevel="0" collapsed="false"/>
    <row r="5401" customFormat="false" ht="18" hidden="false" customHeight="true" outlineLevel="0" collapsed="false"/>
    <row r="5402" customFormat="false" ht="18" hidden="false" customHeight="true" outlineLevel="0" collapsed="false"/>
    <row r="5403" customFormat="false" ht="18" hidden="false" customHeight="true" outlineLevel="0" collapsed="false"/>
    <row r="5404" customFormat="false" ht="18" hidden="false" customHeight="true" outlineLevel="0" collapsed="false"/>
    <row r="5405" customFormat="false" ht="18" hidden="false" customHeight="true" outlineLevel="0" collapsed="false"/>
    <row r="5406" customFormat="false" ht="18" hidden="false" customHeight="true" outlineLevel="0" collapsed="false"/>
    <row r="5407" customFormat="false" ht="18" hidden="false" customHeight="true" outlineLevel="0" collapsed="false"/>
    <row r="5408" customFormat="false" ht="18" hidden="false" customHeight="true" outlineLevel="0" collapsed="false"/>
    <row r="5409" customFormat="false" ht="18" hidden="false" customHeight="true" outlineLevel="0" collapsed="false"/>
    <row r="5410" customFormat="false" ht="18" hidden="false" customHeight="true" outlineLevel="0" collapsed="false"/>
    <row r="5411" customFormat="false" ht="18" hidden="false" customHeight="true" outlineLevel="0" collapsed="false"/>
    <row r="5412" customFormat="false" ht="18" hidden="false" customHeight="true" outlineLevel="0" collapsed="false"/>
    <row r="5413" customFormat="false" ht="18" hidden="false" customHeight="true" outlineLevel="0" collapsed="false"/>
    <row r="5414" customFormat="false" ht="18" hidden="false" customHeight="true" outlineLevel="0" collapsed="false"/>
    <row r="5415" customFormat="false" ht="18" hidden="false" customHeight="true" outlineLevel="0" collapsed="false"/>
    <row r="5416" customFormat="false" ht="18" hidden="false" customHeight="true" outlineLevel="0" collapsed="false"/>
    <row r="5417" customFormat="false" ht="18" hidden="false" customHeight="true" outlineLevel="0" collapsed="false"/>
    <row r="5418" customFormat="false" ht="18" hidden="false" customHeight="true" outlineLevel="0" collapsed="false"/>
    <row r="5419" customFormat="false" ht="18" hidden="false" customHeight="true" outlineLevel="0" collapsed="false"/>
    <row r="5420" customFormat="false" ht="18" hidden="false" customHeight="true" outlineLevel="0" collapsed="false"/>
    <row r="5421" customFormat="false" ht="18" hidden="false" customHeight="true" outlineLevel="0" collapsed="false"/>
    <row r="5422" customFormat="false" ht="18" hidden="false" customHeight="true" outlineLevel="0" collapsed="false"/>
    <row r="5423" customFormat="false" ht="18" hidden="false" customHeight="true" outlineLevel="0" collapsed="false"/>
    <row r="5424" customFormat="false" ht="18" hidden="false" customHeight="true" outlineLevel="0" collapsed="false"/>
    <row r="5425" customFormat="false" ht="18" hidden="false" customHeight="true" outlineLevel="0" collapsed="false"/>
    <row r="5426" customFormat="false" ht="18" hidden="false" customHeight="true" outlineLevel="0" collapsed="false"/>
    <row r="5427" customFormat="false" ht="18" hidden="false" customHeight="true" outlineLevel="0" collapsed="false"/>
    <row r="5428" customFormat="false" ht="18" hidden="false" customHeight="true" outlineLevel="0" collapsed="false"/>
    <row r="5429" customFormat="false" ht="18" hidden="false" customHeight="true" outlineLevel="0" collapsed="false"/>
    <row r="5430" customFormat="false" ht="18" hidden="false" customHeight="true" outlineLevel="0" collapsed="false"/>
    <row r="5431" customFormat="false" ht="18" hidden="false" customHeight="true" outlineLevel="0" collapsed="false"/>
    <row r="5432" customFormat="false" ht="18" hidden="false" customHeight="true" outlineLevel="0" collapsed="false"/>
    <row r="5433" customFormat="false" ht="18" hidden="false" customHeight="true" outlineLevel="0" collapsed="false"/>
    <row r="5434" customFormat="false" ht="18" hidden="false" customHeight="true" outlineLevel="0" collapsed="false"/>
    <row r="5435" customFormat="false" ht="18" hidden="false" customHeight="true" outlineLevel="0" collapsed="false"/>
    <row r="5436" customFormat="false" ht="18" hidden="false" customHeight="true" outlineLevel="0" collapsed="false"/>
    <row r="5437" customFormat="false" ht="18" hidden="false" customHeight="true" outlineLevel="0" collapsed="false"/>
    <row r="5438" customFormat="false" ht="18" hidden="false" customHeight="true" outlineLevel="0" collapsed="false"/>
    <row r="5439" customFormat="false" ht="18" hidden="false" customHeight="true" outlineLevel="0" collapsed="false"/>
    <row r="5440" customFormat="false" ht="18" hidden="false" customHeight="true" outlineLevel="0" collapsed="false"/>
    <row r="5441" customFormat="false" ht="18" hidden="false" customHeight="true" outlineLevel="0" collapsed="false"/>
    <row r="5442" customFormat="false" ht="18" hidden="false" customHeight="true" outlineLevel="0" collapsed="false"/>
    <row r="5443" customFormat="false" ht="18" hidden="false" customHeight="true" outlineLevel="0" collapsed="false"/>
    <row r="5444" customFormat="false" ht="18" hidden="false" customHeight="true" outlineLevel="0" collapsed="false"/>
    <row r="5445" customFormat="false" ht="18" hidden="false" customHeight="true" outlineLevel="0" collapsed="false"/>
    <row r="5446" customFormat="false" ht="18" hidden="false" customHeight="true" outlineLevel="0" collapsed="false"/>
    <row r="5447" customFormat="false" ht="18" hidden="false" customHeight="true" outlineLevel="0" collapsed="false"/>
    <row r="5448" customFormat="false" ht="18" hidden="false" customHeight="true" outlineLevel="0" collapsed="false"/>
    <row r="5449" customFormat="false" ht="18" hidden="false" customHeight="true" outlineLevel="0" collapsed="false"/>
    <row r="5450" customFormat="false" ht="18" hidden="false" customHeight="true" outlineLevel="0" collapsed="false"/>
    <row r="5451" customFormat="false" ht="18" hidden="false" customHeight="true" outlineLevel="0" collapsed="false"/>
    <row r="5452" customFormat="false" ht="18" hidden="false" customHeight="true" outlineLevel="0" collapsed="false"/>
    <row r="5453" customFormat="false" ht="18" hidden="false" customHeight="true" outlineLevel="0" collapsed="false"/>
    <row r="5454" customFormat="false" ht="18" hidden="false" customHeight="true" outlineLevel="0" collapsed="false"/>
    <row r="5455" customFormat="false" ht="18" hidden="false" customHeight="true" outlineLevel="0" collapsed="false"/>
    <row r="5456" customFormat="false" ht="18" hidden="false" customHeight="true" outlineLevel="0" collapsed="false"/>
    <row r="5457" customFormat="false" ht="18" hidden="false" customHeight="true" outlineLevel="0" collapsed="false"/>
    <row r="5458" customFormat="false" ht="18" hidden="false" customHeight="true" outlineLevel="0" collapsed="false"/>
    <row r="5459" customFormat="false" ht="18" hidden="false" customHeight="true" outlineLevel="0" collapsed="false"/>
    <row r="5460" customFormat="false" ht="18" hidden="false" customHeight="true" outlineLevel="0" collapsed="false"/>
    <row r="5461" customFormat="false" ht="18" hidden="false" customHeight="true" outlineLevel="0" collapsed="false"/>
    <row r="5462" customFormat="false" ht="18" hidden="false" customHeight="true" outlineLevel="0" collapsed="false"/>
    <row r="5463" customFormat="false" ht="18" hidden="false" customHeight="true" outlineLevel="0" collapsed="false"/>
    <row r="5464" customFormat="false" ht="18" hidden="false" customHeight="true" outlineLevel="0" collapsed="false"/>
    <row r="5465" customFormat="false" ht="18" hidden="false" customHeight="true" outlineLevel="0" collapsed="false"/>
    <row r="5466" customFormat="false" ht="18" hidden="false" customHeight="true" outlineLevel="0" collapsed="false"/>
    <row r="5467" customFormat="false" ht="18" hidden="false" customHeight="true" outlineLevel="0" collapsed="false"/>
    <row r="5468" customFormat="false" ht="18" hidden="false" customHeight="true" outlineLevel="0" collapsed="false"/>
    <row r="5469" customFormat="false" ht="18" hidden="false" customHeight="true" outlineLevel="0" collapsed="false"/>
    <row r="5470" customFormat="false" ht="18" hidden="false" customHeight="true" outlineLevel="0" collapsed="false"/>
    <row r="5471" customFormat="false" ht="18" hidden="false" customHeight="true" outlineLevel="0" collapsed="false"/>
    <row r="5472" customFormat="false" ht="18" hidden="false" customHeight="true" outlineLevel="0" collapsed="false"/>
    <row r="5473" customFormat="false" ht="18" hidden="false" customHeight="true" outlineLevel="0" collapsed="false"/>
    <row r="5474" customFormat="false" ht="18" hidden="false" customHeight="true" outlineLevel="0" collapsed="false"/>
    <row r="5475" customFormat="false" ht="18" hidden="false" customHeight="true" outlineLevel="0" collapsed="false"/>
    <row r="5476" customFormat="false" ht="18" hidden="false" customHeight="true" outlineLevel="0" collapsed="false"/>
    <row r="5477" customFormat="false" ht="18" hidden="false" customHeight="true" outlineLevel="0" collapsed="false"/>
    <row r="5478" customFormat="false" ht="18" hidden="false" customHeight="true" outlineLevel="0" collapsed="false"/>
    <row r="5479" customFormat="false" ht="18" hidden="false" customHeight="true" outlineLevel="0" collapsed="false"/>
    <row r="5480" customFormat="false" ht="18" hidden="false" customHeight="true" outlineLevel="0" collapsed="false"/>
    <row r="5481" customFormat="false" ht="18" hidden="false" customHeight="true" outlineLevel="0" collapsed="false"/>
    <row r="5482" customFormat="false" ht="18" hidden="false" customHeight="true" outlineLevel="0" collapsed="false"/>
    <row r="5483" customFormat="false" ht="18" hidden="false" customHeight="true" outlineLevel="0" collapsed="false"/>
    <row r="5484" customFormat="false" ht="18" hidden="false" customHeight="true" outlineLevel="0" collapsed="false"/>
    <row r="5485" customFormat="false" ht="18" hidden="false" customHeight="true" outlineLevel="0" collapsed="false"/>
    <row r="5486" customFormat="false" ht="18" hidden="false" customHeight="true" outlineLevel="0" collapsed="false"/>
    <row r="5487" customFormat="false" ht="18" hidden="false" customHeight="true" outlineLevel="0" collapsed="false"/>
    <row r="5488" customFormat="false" ht="18" hidden="false" customHeight="true" outlineLevel="0" collapsed="false"/>
    <row r="5489" customFormat="false" ht="18" hidden="false" customHeight="true" outlineLevel="0" collapsed="false"/>
    <row r="5490" customFormat="false" ht="18" hidden="false" customHeight="true" outlineLevel="0" collapsed="false"/>
    <row r="5491" customFormat="false" ht="18" hidden="false" customHeight="true" outlineLevel="0" collapsed="false"/>
    <row r="5492" customFormat="false" ht="18" hidden="false" customHeight="true" outlineLevel="0" collapsed="false"/>
    <row r="5493" customFormat="false" ht="18" hidden="false" customHeight="true" outlineLevel="0" collapsed="false"/>
    <row r="5494" customFormat="false" ht="18" hidden="false" customHeight="true" outlineLevel="0" collapsed="false"/>
    <row r="5495" customFormat="false" ht="18" hidden="false" customHeight="true" outlineLevel="0" collapsed="false"/>
    <row r="5496" customFormat="false" ht="18" hidden="false" customHeight="true" outlineLevel="0" collapsed="false"/>
    <row r="5497" customFormat="false" ht="18" hidden="false" customHeight="true" outlineLevel="0" collapsed="false"/>
    <row r="5498" customFormat="false" ht="18" hidden="false" customHeight="true" outlineLevel="0" collapsed="false"/>
    <row r="5499" customFormat="false" ht="18" hidden="false" customHeight="true" outlineLevel="0" collapsed="false"/>
    <row r="5500" customFormat="false" ht="18" hidden="false" customHeight="true" outlineLevel="0" collapsed="false"/>
    <row r="5501" customFormat="false" ht="18" hidden="false" customHeight="true" outlineLevel="0" collapsed="false"/>
    <row r="5502" customFormat="false" ht="18" hidden="false" customHeight="true" outlineLevel="0" collapsed="false"/>
    <row r="5503" customFormat="false" ht="18" hidden="false" customHeight="true" outlineLevel="0" collapsed="false"/>
    <row r="5504" customFormat="false" ht="18" hidden="false" customHeight="true" outlineLevel="0" collapsed="false"/>
    <row r="5505" customFormat="false" ht="18" hidden="false" customHeight="true" outlineLevel="0" collapsed="false"/>
    <row r="5506" customFormat="false" ht="18" hidden="false" customHeight="true" outlineLevel="0" collapsed="false"/>
    <row r="5507" customFormat="false" ht="18" hidden="false" customHeight="true" outlineLevel="0" collapsed="false"/>
    <row r="5508" customFormat="false" ht="18" hidden="false" customHeight="true" outlineLevel="0" collapsed="false"/>
    <row r="5509" customFormat="false" ht="18" hidden="false" customHeight="true" outlineLevel="0" collapsed="false"/>
    <row r="5510" customFormat="false" ht="18" hidden="false" customHeight="true" outlineLevel="0" collapsed="false"/>
    <row r="5511" customFormat="false" ht="18" hidden="false" customHeight="true" outlineLevel="0" collapsed="false"/>
    <row r="5512" customFormat="false" ht="18" hidden="false" customHeight="true" outlineLevel="0" collapsed="false"/>
    <row r="5513" customFormat="false" ht="18" hidden="false" customHeight="true" outlineLevel="0" collapsed="false"/>
    <row r="5514" customFormat="false" ht="18" hidden="false" customHeight="true" outlineLevel="0" collapsed="false"/>
    <row r="5515" customFormat="false" ht="18" hidden="false" customHeight="true" outlineLevel="0" collapsed="false"/>
    <row r="5516" customFormat="false" ht="18" hidden="false" customHeight="true" outlineLevel="0" collapsed="false"/>
    <row r="5517" customFormat="false" ht="18" hidden="false" customHeight="true" outlineLevel="0" collapsed="false"/>
    <row r="5518" customFormat="false" ht="18" hidden="false" customHeight="true" outlineLevel="0" collapsed="false"/>
    <row r="5519" customFormat="false" ht="18" hidden="false" customHeight="true" outlineLevel="0" collapsed="false"/>
    <row r="5520" customFormat="false" ht="18" hidden="false" customHeight="true" outlineLevel="0" collapsed="false"/>
    <row r="5521" customFormat="false" ht="18" hidden="false" customHeight="true" outlineLevel="0" collapsed="false"/>
    <row r="5522" customFormat="false" ht="18" hidden="false" customHeight="true" outlineLevel="0" collapsed="false"/>
    <row r="5523" customFormat="false" ht="18" hidden="false" customHeight="true" outlineLevel="0" collapsed="false"/>
    <row r="5524" customFormat="false" ht="18" hidden="false" customHeight="true" outlineLevel="0" collapsed="false"/>
    <row r="5525" customFormat="false" ht="18" hidden="false" customHeight="true" outlineLevel="0" collapsed="false"/>
    <row r="5526" customFormat="false" ht="18" hidden="false" customHeight="true" outlineLevel="0" collapsed="false"/>
    <row r="5527" customFormat="false" ht="18" hidden="false" customHeight="true" outlineLevel="0" collapsed="false"/>
    <row r="5528" customFormat="false" ht="18" hidden="false" customHeight="true" outlineLevel="0" collapsed="false"/>
    <row r="5529" customFormat="false" ht="18" hidden="false" customHeight="true" outlineLevel="0" collapsed="false"/>
    <row r="5530" customFormat="false" ht="18" hidden="false" customHeight="true" outlineLevel="0" collapsed="false"/>
    <row r="5531" customFormat="false" ht="18" hidden="false" customHeight="true" outlineLevel="0" collapsed="false"/>
    <row r="5532" customFormat="false" ht="18" hidden="false" customHeight="true" outlineLevel="0" collapsed="false"/>
    <row r="5533" customFormat="false" ht="18" hidden="false" customHeight="true" outlineLevel="0" collapsed="false"/>
    <row r="5534" customFormat="false" ht="18" hidden="false" customHeight="true" outlineLevel="0" collapsed="false"/>
    <row r="5535" customFormat="false" ht="18" hidden="false" customHeight="true" outlineLevel="0" collapsed="false"/>
    <row r="5536" customFormat="false" ht="18" hidden="false" customHeight="true" outlineLevel="0" collapsed="false"/>
    <row r="5537" customFormat="false" ht="18" hidden="false" customHeight="true" outlineLevel="0" collapsed="false"/>
    <row r="5538" customFormat="false" ht="18" hidden="false" customHeight="true" outlineLevel="0" collapsed="false"/>
    <row r="5539" customFormat="false" ht="18" hidden="false" customHeight="true" outlineLevel="0" collapsed="false"/>
    <row r="5540" customFormat="false" ht="18" hidden="false" customHeight="true" outlineLevel="0" collapsed="false"/>
    <row r="5541" customFormat="false" ht="18" hidden="false" customHeight="true" outlineLevel="0" collapsed="false"/>
    <row r="5542" customFormat="false" ht="18" hidden="false" customHeight="true" outlineLevel="0" collapsed="false"/>
    <row r="5543" customFormat="false" ht="18" hidden="false" customHeight="true" outlineLevel="0" collapsed="false"/>
    <row r="5544" customFormat="false" ht="18" hidden="false" customHeight="true" outlineLevel="0" collapsed="false"/>
    <row r="5545" customFormat="false" ht="18" hidden="false" customHeight="true" outlineLevel="0" collapsed="false"/>
    <row r="5546" customFormat="false" ht="18" hidden="false" customHeight="true" outlineLevel="0" collapsed="false"/>
    <row r="5547" customFormat="false" ht="18" hidden="false" customHeight="true" outlineLevel="0" collapsed="false"/>
    <row r="5548" customFormat="false" ht="18" hidden="false" customHeight="true" outlineLevel="0" collapsed="false"/>
    <row r="5549" customFormat="false" ht="18" hidden="false" customHeight="true" outlineLevel="0" collapsed="false"/>
    <row r="5550" customFormat="false" ht="18" hidden="false" customHeight="true" outlineLevel="0" collapsed="false"/>
    <row r="5551" customFormat="false" ht="18" hidden="false" customHeight="true" outlineLevel="0" collapsed="false"/>
    <row r="5552" customFormat="false" ht="18" hidden="false" customHeight="true" outlineLevel="0" collapsed="false"/>
    <row r="5553" customFormat="false" ht="18" hidden="false" customHeight="true" outlineLevel="0" collapsed="false"/>
    <row r="5554" customFormat="false" ht="18" hidden="false" customHeight="true" outlineLevel="0" collapsed="false"/>
    <row r="5555" customFormat="false" ht="18" hidden="false" customHeight="true" outlineLevel="0" collapsed="false"/>
    <row r="5556" customFormat="false" ht="18" hidden="false" customHeight="true" outlineLevel="0" collapsed="false"/>
    <row r="5557" customFormat="false" ht="18" hidden="false" customHeight="true" outlineLevel="0" collapsed="false"/>
    <row r="5558" customFormat="false" ht="18" hidden="false" customHeight="true" outlineLevel="0" collapsed="false"/>
    <row r="5559" customFormat="false" ht="18" hidden="false" customHeight="true" outlineLevel="0" collapsed="false"/>
    <row r="5560" customFormat="false" ht="18" hidden="false" customHeight="true" outlineLevel="0" collapsed="false"/>
    <row r="5561" customFormat="false" ht="18" hidden="false" customHeight="true" outlineLevel="0" collapsed="false"/>
    <row r="5562" customFormat="false" ht="18" hidden="false" customHeight="true" outlineLevel="0" collapsed="false"/>
    <row r="5563" customFormat="false" ht="18" hidden="false" customHeight="true" outlineLevel="0" collapsed="false"/>
    <row r="5564" customFormat="false" ht="18" hidden="false" customHeight="true" outlineLevel="0" collapsed="false"/>
    <row r="5565" customFormat="false" ht="18" hidden="false" customHeight="true" outlineLevel="0" collapsed="false"/>
    <row r="5566" customFormat="false" ht="18" hidden="false" customHeight="true" outlineLevel="0" collapsed="false"/>
    <row r="5567" customFormat="false" ht="18" hidden="false" customHeight="true" outlineLevel="0" collapsed="false"/>
    <row r="5568" customFormat="false" ht="18" hidden="false" customHeight="true" outlineLevel="0" collapsed="false"/>
    <row r="5569" customFormat="false" ht="18" hidden="false" customHeight="true" outlineLevel="0" collapsed="false"/>
    <row r="5570" customFormat="false" ht="18" hidden="false" customHeight="true" outlineLevel="0" collapsed="false"/>
    <row r="5571" customFormat="false" ht="18" hidden="false" customHeight="true" outlineLevel="0" collapsed="false"/>
    <row r="5572" customFormat="false" ht="18" hidden="false" customHeight="true" outlineLevel="0" collapsed="false"/>
    <row r="5573" customFormat="false" ht="18" hidden="false" customHeight="true" outlineLevel="0" collapsed="false"/>
    <row r="5574" customFormat="false" ht="18" hidden="false" customHeight="true" outlineLevel="0" collapsed="false"/>
    <row r="5575" customFormat="false" ht="18" hidden="false" customHeight="true" outlineLevel="0" collapsed="false"/>
    <row r="5576" customFormat="false" ht="18" hidden="false" customHeight="true" outlineLevel="0" collapsed="false"/>
    <row r="5577" customFormat="false" ht="18" hidden="false" customHeight="true" outlineLevel="0" collapsed="false"/>
    <row r="5578" customFormat="false" ht="18" hidden="false" customHeight="true" outlineLevel="0" collapsed="false"/>
    <row r="5579" customFormat="false" ht="18" hidden="false" customHeight="true" outlineLevel="0" collapsed="false"/>
    <row r="5580" customFormat="false" ht="18" hidden="false" customHeight="true" outlineLevel="0" collapsed="false"/>
    <row r="5581" customFormat="false" ht="18" hidden="false" customHeight="true" outlineLevel="0" collapsed="false"/>
    <row r="5582" customFormat="false" ht="18" hidden="false" customHeight="true" outlineLevel="0" collapsed="false"/>
    <row r="5583" customFormat="false" ht="18" hidden="false" customHeight="true" outlineLevel="0" collapsed="false"/>
    <row r="5584" customFormat="false" ht="18" hidden="false" customHeight="true" outlineLevel="0" collapsed="false"/>
    <row r="5585" customFormat="false" ht="18" hidden="false" customHeight="true" outlineLevel="0" collapsed="false"/>
    <row r="5586" customFormat="false" ht="18" hidden="false" customHeight="true" outlineLevel="0" collapsed="false"/>
    <row r="5587" customFormat="false" ht="18" hidden="false" customHeight="true" outlineLevel="0" collapsed="false"/>
    <row r="5588" customFormat="false" ht="18" hidden="false" customHeight="true" outlineLevel="0" collapsed="false"/>
    <row r="5589" customFormat="false" ht="18" hidden="false" customHeight="true" outlineLevel="0" collapsed="false"/>
    <row r="5590" customFormat="false" ht="18" hidden="false" customHeight="true" outlineLevel="0" collapsed="false"/>
    <row r="5591" customFormat="false" ht="18" hidden="false" customHeight="true" outlineLevel="0" collapsed="false"/>
    <row r="5592" customFormat="false" ht="18" hidden="false" customHeight="true" outlineLevel="0" collapsed="false"/>
    <row r="5593" customFormat="false" ht="18" hidden="false" customHeight="true" outlineLevel="0" collapsed="false"/>
    <row r="5594" customFormat="false" ht="18" hidden="false" customHeight="true" outlineLevel="0" collapsed="false"/>
    <row r="5595" customFormat="false" ht="18" hidden="false" customHeight="true" outlineLevel="0" collapsed="false"/>
    <row r="5596" customFormat="false" ht="18" hidden="false" customHeight="true" outlineLevel="0" collapsed="false"/>
    <row r="5597" customFormat="false" ht="18" hidden="false" customHeight="true" outlineLevel="0" collapsed="false"/>
    <row r="5598" customFormat="false" ht="18" hidden="false" customHeight="true" outlineLevel="0" collapsed="false"/>
    <row r="5599" customFormat="false" ht="18" hidden="false" customHeight="true" outlineLevel="0" collapsed="false"/>
    <row r="5600" customFormat="false" ht="18" hidden="false" customHeight="true" outlineLevel="0" collapsed="false"/>
    <row r="5601" customFormat="false" ht="18" hidden="false" customHeight="true" outlineLevel="0" collapsed="false"/>
    <row r="5602" customFormat="false" ht="18" hidden="false" customHeight="true" outlineLevel="0" collapsed="false"/>
    <row r="5603" customFormat="false" ht="18" hidden="false" customHeight="true" outlineLevel="0" collapsed="false"/>
    <row r="5604" customFormat="false" ht="18" hidden="false" customHeight="true" outlineLevel="0" collapsed="false"/>
    <row r="5605" customFormat="false" ht="18" hidden="false" customHeight="true" outlineLevel="0" collapsed="false"/>
    <row r="5606" customFormat="false" ht="18" hidden="false" customHeight="true" outlineLevel="0" collapsed="false"/>
    <row r="5607" customFormat="false" ht="18" hidden="false" customHeight="true" outlineLevel="0" collapsed="false"/>
    <row r="5608" customFormat="false" ht="18" hidden="false" customHeight="true" outlineLevel="0" collapsed="false"/>
    <row r="5609" customFormat="false" ht="18" hidden="false" customHeight="true" outlineLevel="0" collapsed="false"/>
    <row r="5610" customFormat="false" ht="18" hidden="false" customHeight="true" outlineLevel="0" collapsed="false"/>
    <row r="5611" customFormat="false" ht="18" hidden="false" customHeight="true" outlineLevel="0" collapsed="false"/>
    <row r="5612" customFormat="false" ht="18" hidden="false" customHeight="true" outlineLevel="0" collapsed="false"/>
    <row r="5613" customFormat="false" ht="18" hidden="false" customHeight="true" outlineLevel="0" collapsed="false"/>
    <row r="5614" customFormat="false" ht="18" hidden="false" customHeight="true" outlineLevel="0" collapsed="false"/>
    <row r="5615" customFormat="false" ht="18" hidden="false" customHeight="true" outlineLevel="0" collapsed="false"/>
    <row r="5616" customFormat="false" ht="18" hidden="false" customHeight="true" outlineLevel="0" collapsed="false"/>
    <row r="5617" customFormat="false" ht="18" hidden="false" customHeight="true" outlineLevel="0" collapsed="false"/>
    <row r="5618" customFormat="false" ht="18" hidden="false" customHeight="true" outlineLevel="0" collapsed="false"/>
    <row r="5619" customFormat="false" ht="18" hidden="false" customHeight="true" outlineLevel="0" collapsed="false"/>
    <row r="5620" customFormat="false" ht="18" hidden="false" customHeight="true" outlineLevel="0" collapsed="false"/>
    <row r="5621" customFormat="false" ht="18" hidden="false" customHeight="true" outlineLevel="0" collapsed="false"/>
    <row r="5622" customFormat="false" ht="18" hidden="false" customHeight="true" outlineLevel="0" collapsed="false"/>
    <row r="5623" customFormat="false" ht="18" hidden="false" customHeight="true" outlineLevel="0" collapsed="false"/>
    <row r="5624" customFormat="false" ht="18" hidden="false" customHeight="true" outlineLevel="0" collapsed="false"/>
    <row r="5625" customFormat="false" ht="18" hidden="false" customHeight="true" outlineLevel="0" collapsed="false"/>
    <row r="5626" customFormat="false" ht="18" hidden="false" customHeight="true" outlineLevel="0" collapsed="false"/>
    <row r="5627" customFormat="false" ht="18" hidden="false" customHeight="true" outlineLevel="0" collapsed="false"/>
    <row r="5628" customFormat="false" ht="18" hidden="false" customHeight="true" outlineLevel="0" collapsed="false"/>
    <row r="5629" customFormat="false" ht="18" hidden="false" customHeight="true" outlineLevel="0" collapsed="false"/>
    <row r="5630" customFormat="false" ht="18" hidden="false" customHeight="true" outlineLevel="0" collapsed="false"/>
    <row r="5631" customFormat="false" ht="18" hidden="false" customHeight="true" outlineLevel="0" collapsed="false"/>
    <row r="5632" customFormat="false" ht="18" hidden="false" customHeight="true" outlineLevel="0" collapsed="false"/>
    <row r="5633" customFormat="false" ht="18" hidden="false" customHeight="true" outlineLevel="0" collapsed="false"/>
    <row r="5634" customFormat="false" ht="18" hidden="false" customHeight="true" outlineLevel="0" collapsed="false"/>
    <row r="5635" customFormat="false" ht="18" hidden="false" customHeight="true" outlineLevel="0" collapsed="false"/>
    <row r="5636" customFormat="false" ht="18" hidden="false" customHeight="true" outlineLevel="0" collapsed="false"/>
    <row r="5637" customFormat="false" ht="18" hidden="false" customHeight="true" outlineLevel="0" collapsed="false"/>
    <row r="5638" customFormat="false" ht="18" hidden="false" customHeight="true" outlineLevel="0" collapsed="false"/>
    <row r="5639" customFormat="false" ht="18" hidden="false" customHeight="true" outlineLevel="0" collapsed="false"/>
    <row r="5640" customFormat="false" ht="18" hidden="false" customHeight="true" outlineLevel="0" collapsed="false"/>
    <row r="5641" customFormat="false" ht="18" hidden="false" customHeight="true" outlineLevel="0" collapsed="false"/>
    <row r="5642" customFormat="false" ht="18" hidden="false" customHeight="true" outlineLevel="0" collapsed="false"/>
    <row r="5643" customFormat="false" ht="18" hidden="false" customHeight="true" outlineLevel="0" collapsed="false"/>
    <row r="5644" customFormat="false" ht="18" hidden="false" customHeight="true" outlineLevel="0" collapsed="false"/>
    <row r="5645" customFormat="false" ht="18" hidden="false" customHeight="true" outlineLevel="0" collapsed="false"/>
    <row r="5646" customFormat="false" ht="18" hidden="false" customHeight="true" outlineLevel="0" collapsed="false"/>
    <row r="5647" customFormat="false" ht="18" hidden="false" customHeight="true" outlineLevel="0" collapsed="false"/>
    <row r="5648" customFormat="false" ht="18" hidden="false" customHeight="true" outlineLevel="0" collapsed="false"/>
    <row r="5649" customFormat="false" ht="18" hidden="false" customHeight="true" outlineLevel="0" collapsed="false"/>
    <row r="5650" customFormat="false" ht="18" hidden="false" customHeight="true" outlineLevel="0" collapsed="false"/>
    <row r="5651" customFormat="false" ht="18" hidden="false" customHeight="true" outlineLevel="0" collapsed="false"/>
    <row r="5652" customFormat="false" ht="18" hidden="false" customHeight="true" outlineLevel="0" collapsed="false"/>
    <row r="5653" customFormat="false" ht="18" hidden="false" customHeight="true" outlineLevel="0" collapsed="false"/>
    <row r="5654" customFormat="false" ht="18" hidden="false" customHeight="true" outlineLevel="0" collapsed="false"/>
    <row r="5655" customFormat="false" ht="18" hidden="false" customHeight="true" outlineLevel="0" collapsed="false"/>
    <row r="5656" customFormat="false" ht="18" hidden="false" customHeight="true" outlineLevel="0" collapsed="false"/>
    <row r="5657" customFormat="false" ht="18" hidden="false" customHeight="true" outlineLevel="0" collapsed="false"/>
    <row r="5658" customFormat="false" ht="18" hidden="false" customHeight="true" outlineLevel="0" collapsed="false"/>
    <row r="5659" customFormat="false" ht="18" hidden="false" customHeight="true" outlineLevel="0" collapsed="false"/>
    <row r="5660" customFormat="false" ht="18" hidden="false" customHeight="true" outlineLevel="0" collapsed="false"/>
    <row r="5661" customFormat="false" ht="18" hidden="false" customHeight="true" outlineLevel="0" collapsed="false"/>
    <row r="5662" customFormat="false" ht="18" hidden="false" customHeight="true" outlineLevel="0" collapsed="false"/>
    <row r="5663" customFormat="false" ht="18" hidden="false" customHeight="true" outlineLevel="0" collapsed="false"/>
    <row r="5664" customFormat="false" ht="18" hidden="false" customHeight="true" outlineLevel="0" collapsed="false"/>
    <row r="5665" customFormat="false" ht="18" hidden="false" customHeight="true" outlineLevel="0" collapsed="false"/>
    <row r="5666" customFormat="false" ht="18" hidden="false" customHeight="true" outlineLevel="0" collapsed="false"/>
    <row r="5667" customFormat="false" ht="18" hidden="false" customHeight="true" outlineLevel="0" collapsed="false"/>
    <row r="5668" customFormat="false" ht="18" hidden="false" customHeight="true" outlineLevel="0" collapsed="false"/>
    <row r="5669" customFormat="false" ht="18" hidden="false" customHeight="true" outlineLevel="0" collapsed="false"/>
    <row r="5670" customFormat="false" ht="18" hidden="false" customHeight="true" outlineLevel="0" collapsed="false"/>
    <row r="5671" customFormat="false" ht="18" hidden="false" customHeight="true" outlineLevel="0" collapsed="false"/>
    <row r="5672" customFormat="false" ht="18" hidden="false" customHeight="true" outlineLevel="0" collapsed="false"/>
    <row r="5673" customFormat="false" ht="18" hidden="false" customHeight="true" outlineLevel="0" collapsed="false"/>
    <row r="5674" customFormat="false" ht="18" hidden="false" customHeight="true" outlineLevel="0" collapsed="false"/>
    <row r="5675" customFormat="false" ht="18" hidden="false" customHeight="true" outlineLevel="0" collapsed="false"/>
    <row r="5676" customFormat="false" ht="18" hidden="false" customHeight="true" outlineLevel="0" collapsed="false"/>
    <row r="5677" customFormat="false" ht="18" hidden="false" customHeight="true" outlineLevel="0" collapsed="false"/>
    <row r="5678" customFormat="false" ht="18" hidden="false" customHeight="true" outlineLevel="0" collapsed="false"/>
    <row r="5679" customFormat="false" ht="18" hidden="false" customHeight="true" outlineLevel="0" collapsed="false"/>
    <row r="5680" customFormat="false" ht="18" hidden="false" customHeight="true" outlineLevel="0" collapsed="false"/>
    <row r="5681" customFormat="false" ht="18" hidden="false" customHeight="true" outlineLevel="0" collapsed="false"/>
    <row r="5682" customFormat="false" ht="18" hidden="false" customHeight="true" outlineLevel="0" collapsed="false"/>
    <row r="5683" customFormat="false" ht="18" hidden="false" customHeight="true" outlineLevel="0" collapsed="false"/>
    <row r="5684" customFormat="false" ht="18" hidden="false" customHeight="true" outlineLevel="0" collapsed="false"/>
    <row r="5685" customFormat="false" ht="18" hidden="false" customHeight="true" outlineLevel="0" collapsed="false"/>
    <row r="5686" customFormat="false" ht="18" hidden="false" customHeight="true" outlineLevel="0" collapsed="false"/>
    <row r="5687" customFormat="false" ht="18" hidden="false" customHeight="true" outlineLevel="0" collapsed="false"/>
    <row r="5688" customFormat="false" ht="18" hidden="false" customHeight="true" outlineLevel="0" collapsed="false"/>
    <row r="5689" customFormat="false" ht="18" hidden="false" customHeight="true" outlineLevel="0" collapsed="false"/>
    <row r="5690" customFormat="false" ht="18" hidden="false" customHeight="true" outlineLevel="0" collapsed="false"/>
    <row r="5691" customFormat="false" ht="18" hidden="false" customHeight="true" outlineLevel="0" collapsed="false"/>
    <row r="5692" customFormat="false" ht="18" hidden="false" customHeight="true" outlineLevel="0" collapsed="false"/>
    <row r="5693" customFormat="false" ht="18" hidden="false" customHeight="true" outlineLevel="0" collapsed="false"/>
    <row r="5694" customFormat="false" ht="18" hidden="false" customHeight="true" outlineLevel="0" collapsed="false"/>
    <row r="5695" customFormat="false" ht="18" hidden="false" customHeight="true" outlineLevel="0" collapsed="false"/>
    <row r="5696" customFormat="false" ht="18" hidden="false" customHeight="true" outlineLevel="0" collapsed="false"/>
    <row r="5697" customFormat="false" ht="18" hidden="false" customHeight="true" outlineLevel="0" collapsed="false"/>
    <row r="5698" customFormat="false" ht="18" hidden="false" customHeight="true" outlineLevel="0" collapsed="false"/>
    <row r="5699" customFormat="false" ht="18" hidden="false" customHeight="true" outlineLevel="0" collapsed="false"/>
    <row r="5700" customFormat="false" ht="18" hidden="false" customHeight="true" outlineLevel="0" collapsed="false"/>
    <row r="5701" customFormat="false" ht="18" hidden="false" customHeight="true" outlineLevel="0" collapsed="false"/>
    <row r="5702" customFormat="false" ht="18" hidden="false" customHeight="true" outlineLevel="0" collapsed="false"/>
    <row r="5703" customFormat="false" ht="18" hidden="false" customHeight="true" outlineLevel="0" collapsed="false"/>
    <row r="5704" customFormat="false" ht="18" hidden="false" customHeight="true" outlineLevel="0" collapsed="false"/>
    <row r="5705" customFormat="false" ht="18" hidden="false" customHeight="true" outlineLevel="0" collapsed="false"/>
    <row r="5706" customFormat="false" ht="18" hidden="false" customHeight="true" outlineLevel="0" collapsed="false"/>
    <row r="5707" customFormat="false" ht="18" hidden="false" customHeight="true" outlineLevel="0" collapsed="false"/>
    <row r="5708" customFormat="false" ht="18" hidden="false" customHeight="true" outlineLevel="0" collapsed="false"/>
    <row r="5709" customFormat="false" ht="18" hidden="false" customHeight="true" outlineLevel="0" collapsed="false"/>
    <row r="5710" customFormat="false" ht="18" hidden="false" customHeight="true" outlineLevel="0" collapsed="false"/>
    <row r="5711" customFormat="false" ht="18" hidden="false" customHeight="true" outlineLevel="0" collapsed="false"/>
    <row r="5712" customFormat="false" ht="18" hidden="false" customHeight="true" outlineLevel="0" collapsed="false"/>
    <row r="5713" customFormat="false" ht="18" hidden="false" customHeight="true" outlineLevel="0" collapsed="false"/>
    <row r="5714" customFormat="false" ht="18" hidden="false" customHeight="true" outlineLevel="0" collapsed="false"/>
    <row r="5715" customFormat="false" ht="18" hidden="false" customHeight="true" outlineLevel="0" collapsed="false"/>
    <row r="5716" customFormat="false" ht="18" hidden="false" customHeight="true" outlineLevel="0" collapsed="false"/>
    <row r="5717" customFormat="false" ht="18" hidden="false" customHeight="true" outlineLevel="0" collapsed="false"/>
    <row r="5718" customFormat="false" ht="18" hidden="false" customHeight="true" outlineLevel="0" collapsed="false"/>
    <row r="5719" customFormat="false" ht="18" hidden="false" customHeight="true" outlineLevel="0" collapsed="false"/>
    <row r="5720" customFormat="false" ht="18" hidden="false" customHeight="true" outlineLevel="0" collapsed="false"/>
    <row r="5721" customFormat="false" ht="18" hidden="false" customHeight="true" outlineLevel="0" collapsed="false"/>
    <row r="5722" customFormat="false" ht="18" hidden="false" customHeight="true" outlineLevel="0" collapsed="false"/>
    <row r="5723" customFormat="false" ht="18" hidden="false" customHeight="true" outlineLevel="0" collapsed="false"/>
    <row r="5724" customFormat="false" ht="18" hidden="false" customHeight="true" outlineLevel="0" collapsed="false"/>
    <row r="5725" customFormat="false" ht="18" hidden="false" customHeight="true" outlineLevel="0" collapsed="false"/>
    <row r="5726" customFormat="false" ht="18" hidden="false" customHeight="true" outlineLevel="0" collapsed="false"/>
    <row r="5727" customFormat="false" ht="18" hidden="false" customHeight="true" outlineLevel="0" collapsed="false"/>
    <row r="5728" customFormat="false" ht="18" hidden="false" customHeight="true" outlineLevel="0" collapsed="false"/>
    <row r="5729" customFormat="false" ht="18" hidden="false" customHeight="true" outlineLevel="0" collapsed="false"/>
    <row r="5730" customFormat="false" ht="18" hidden="false" customHeight="true" outlineLevel="0" collapsed="false"/>
    <row r="5731" customFormat="false" ht="18" hidden="false" customHeight="true" outlineLevel="0" collapsed="false"/>
    <row r="5732" customFormat="false" ht="18" hidden="false" customHeight="true" outlineLevel="0" collapsed="false"/>
    <row r="5733" customFormat="false" ht="18" hidden="false" customHeight="true" outlineLevel="0" collapsed="false"/>
    <row r="5734" customFormat="false" ht="18" hidden="false" customHeight="true" outlineLevel="0" collapsed="false"/>
    <row r="5735" customFormat="false" ht="18" hidden="false" customHeight="true" outlineLevel="0" collapsed="false"/>
    <row r="5736" customFormat="false" ht="18" hidden="false" customHeight="true" outlineLevel="0" collapsed="false"/>
    <row r="5737" customFormat="false" ht="18" hidden="false" customHeight="true" outlineLevel="0" collapsed="false"/>
    <row r="5738" customFormat="false" ht="18" hidden="false" customHeight="true" outlineLevel="0" collapsed="false"/>
    <row r="5739" customFormat="false" ht="18" hidden="false" customHeight="true" outlineLevel="0" collapsed="false"/>
    <row r="5740" customFormat="false" ht="18" hidden="false" customHeight="true" outlineLevel="0" collapsed="false"/>
    <row r="5741" customFormat="false" ht="18" hidden="false" customHeight="true" outlineLevel="0" collapsed="false"/>
    <row r="5742" customFormat="false" ht="18" hidden="false" customHeight="true" outlineLevel="0" collapsed="false"/>
    <row r="5743" customFormat="false" ht="18" hidden="false" customHeight="true" outlineLevel="0" collapsed="false"/>
    <row r="5744" customFormat="false" ht="18" hidden="false" customHeight="true" outlineLevel="0" collapsed="false"/>
    <row r="5745" customFormat="false" ht="18" hidden="false" customHeight="true" outlineLevel="0" collapsed="false"/>
    <row r="5746" customFormat="false" ht="18" hidden="false" customHeight="true" outlineLevel="0" collapsed="false"/>
    <row r="5747" customFormat="false" ht="18" hidden="false" customHeight="true" outlineLevel="0" collapsed="false"/>
    <row r="5748" customFormat="false" ht="18" hidden="false" customHeight="true" outlineLevel="0" collapsed="false"/>
    <row r="5749" customFormat="false" ht="18" hidden="false" customHeight="true" outlineLevel="0" collapsed="false"/>
    <row r="5750" customFormat="false" ht="18" hidden="false" customHeight="true" outlineLevel="0" collapsed="false"/>
    <row r="5751" customFormat="false" ht="18" hidden="false" customHeight="true" outlineLevel="0" collapsed="false"/>
    <row r="5752" customFormat="false" ht="18" hidden="false" customHeight="true" outlineLevel="0" collapsed="false"/>
    <row r="5753" customFormat="false" ht="18" hidden="false" customHeight="true" outlineLevel="0" collapsed="false"/>
    <row r="5754" customFormat="false" ht="18" hidden="false" customHeight="true" outlineLevel="0" collapsed="false"/>
    <row r="5755" customFormat="false" ht="18" hidden="false" customHeight="true" outlineLevel="0" collapsed="false"/>
    <row r="5756" customFormat="false" ht="18" hidden="false" customHeight="true" outlineLevel="0" collapsed="false"/>
    <row r="5757" customFormat="false" ht="18" hidden="false" customHeight="true" outlineLevel="0" collapsed="false"/>
    <row r="5758" customFormat="false" ht="18" hidden="false" customHeight="true" outlineLevel="0" collapsed="false"/>
    <row r="5759" customFormat="false" ht="18" hidden="false" customHeight="true" outlineLevel="0" collapsed="false"/>
    <row r="5760" customFormat="false" ht="18" hidden="false" customHeight="true" outlineLevel="0" collapsed="false"/>
    <row r="5761" customFormat="false" ht="18" hidden="false" customHeight="true" outlineLevel="0" collapsed="false"/>
    <row r="5762" customFormat="false" ht="18" hidden="false" customHeight="true" outlineLevel="0" collapsed="false"/>
    <row r="5763" customFormat="false" ht="18" hidden="false" customHeight="true" outlineLevel="0" collapsed="false"/>
    <row r="5764" customFormat="false" ht="18" hidden="false" customHeight="true" outlineLevel="0" collapsed="false"/>
    <row r="5765" customFormat="false" ht="18" hidden="false" customHeight="true" outlineLevel="0" collapsed="false"/>
    <row r="5766" customFormat="false" ht="18" hidden="false" customHeight="true" outlineLevel="0" collapsed="false"/>
    <row r="5767" customFormat="false" ht="18" hidden="false" customHeight="true" outlineLevel="0" collapsed="false"/>
    <row r="5768" customFormat="false" ht="18" hidden="false" customHeight="true" outlineLevel="0" collapsed="false"/>
    <row r="5769" customFormat="false" ht="18" hidden="false" customHeight="true" outlineLevel="0" collapsed="false"/>
    <row r="5770" customFormat="false" ht="18" hidden="false" customHeight="true" outlineLevel="0" collapsed="false"/>
    <row r="5771" customFormat="false" ht="18" hidden="false" customHeight="true" outlineLevel="0" collapsed="false"/>
    <row r="5772" customFormat="false" ht="18" hidden="false" customHeight="true" outlineLevel="0" collapsed="false"/>
    <row r="5773" customFormat="false" ht="18" hidden="false" customHeight="true" outlineLevel="0" collapsed="false"/>
    <row r="5774" customFormat="false" ht="18" hidden="false" customHeight="true" outlineLevel="0" collapsed="false"/>
    <row r="5775" customFormat="false" ht="18" hidden="false" customHeight="true" outlineLevel="0" collapsed="false"/>
    <row r="5776" customFormat="false" ht="18" hidden="false" customHeight="true" outlineLevel="0" collapsed="false"/>
    <row r="5777" customFormat="false" ht="18" hidden="false" customHeight="true" outlineLevel="0" collapsed="false"/>
    <row r="5778" customFormat="false" ht="18" hidden="false" customHeight="true" outlineLevel="0" collapsed="false"/>
    <row r="5779" customFormat="false" ht="18" hidden="false" customHeight="true" outlineLevel="0" collapsed="false"/>
    <row r="5780" customFormat="false" ht="18" hidden="false" customHeight="true" outlineLevel="0" collapsed="false"/>
    <row r="5781" customFormat="false" ht="18" hidden="false" customHeight="true" outlineLevel="0" collapsed="false"/>
    <row r="5782" customFormat="false" ht="18" hidden="false" customHeight="true" outlineLevel="0" collapsed="false"/>
    <row r="5783" customFormat="false" ht="18" hidden="false" customHeight="true" outlineLevel="0" collapsed="false"/>
    <row r="5784" customFormat="false" ht="18" hidden="false" customHeight="true" outlineLevel="0" collapsed="false"/>
    <row r="5785" customFormat="false" ht="18" hidden="false" customHeight="true" outlineLevel="0" collapsed="false"/>
    <row r="5786" customFormat="false" ht="18" hidden="false" customHeight="true" outlineLevel="0" collapsed="false"/>
    <row r="5787" customFormat="false" ht="18" hidden="false" customHeight="true" outlineLevel="0" collapsed="false"/>
    <row r="5788" customFormat="false" ht="18" hidden="false" customHeight="true" outlineLevel="0" collapsed="false"/>
    <row r="5789" customFormat="false" ht="18" hidden="false" customHeight="true" outlineLevel="0" collapsed="false"/>
    <row r="5790" customFormat="false" ht="18" hidden="false" customHeight="true" outlineLevel="0" collapsed="false"/>
    <row r="5791" customFormat="false" ht="18" hidden="false" customHeight="true" outlineLevel="0" collapsed="false"/>
    <row r="5792" customFormat="false" ht="18" hidden="false" customHeight="true" outlineLevel="0" collapsed="false"/>
    <row r="5793" customFormat="false" ht="18" hidden="false" customHeight="true" outlineLevel="0" collapsed="false"/>
    <row r="5794" customFormat="false" ht="18" hidden="false" customHeight="true" outlineLevel="0" collapsed="false"/>
    <row r="5795" customFormat="false" ht="18" hidden="false" customHeight="true" outlineLevel="0" collapsed="false"/>
    <row r="5796" customFormat="false" ht="18" hidden="false" customHeight="true" outlineLevel="0" collapsed="false"/>
    <row r="5797" customFormat="false" ht="18" hidden="false" customHeight="true" outlineLevel="0" collapsed="false"/>
    <row r="5798" customFormat="false" ht="18" hidden="false" customHeight="true" outlineLevel="0" collapsed="false"/>
    <row r="5799" customFormat="false" ht="18" hidden="false" customHeight="true" outlineLevel="0" collapsed="false"/>
    <row r="5800" customFormat="false" ht="18" hidden="false" customHeight="true" outlineLevel="0" collapsed="false"/>
    <row r="5801" customFormat="false" ht="18" hidden="false" customHeight="true" outlineLevel="0" collapsed="false"/>
    <row r="5802" customFormat="false" ht="18" hidden="false" customHeight="true" outlineLevel="0" collapsed="false"/>
    <row r="5803" customFormat="false" ht="18" hidden="false" customHeight="true" outlineLevel="0" collapsed="false"/>
    <row r="5804" customFormat="false" ht="18" hidden="false" customHeight="true" outlineLevel="0" collapsed="false"/>
    <row r="5805" customFormat="false" ht="18" hidden="false" customHeight="true" outlineLevel="0" collapsed="false"/>
    <row r="5806" customFormat="false" ht="18" hidden="false" customHeight="true" outlineLevel="0" collapsed="false"/>
    <row r="5807" customFormat="false" ht="18" hidden="false" customHeight="true" outlineLevel="0" collapsed="false"/>
    <row r="5808" customFormat="false" ht="18" hidden="false" customHeight="true" outlineLevel="0" collapsed="false"/>
    <row r="5809" customFormat="false" ht="18" hidden="false" customHeight="true" outlineLevel="0" collapsed="false"/>
    <row r="5810" customFormat="false" ht="18" hidden="false" customHeight="true" outlineLevel="0" collapsed="false"/>
    <row r="5811" customFormat="false" ht="18" hidden="false" customHeight="true" outlineLevel="0" collapsed="false"/>
    <row r="5812" customFormat="false" ht="18" hidden="false" customHeight="true" outlineLevel="0" collapsed="false"/>
    <row r="5813" customFormat="false" ht="18" hidden="false" customHeight="true" outlineLevel="0" collapsed="false"/>
    <row r="5814" customFormat="false" ht="18" hidden="false" customHeight="true" outlineLevel="0" collapsed="false"/>
    <row r="5815" customFormat="false" ht="18" hidden="false" customHeight="true" outlineLevel="0" collapsed="false"/>
    <row r="5816" customFormat="false" ht="18" hidden="false" customHeight="true" outlineLevel="0" collapsed="false"/>
    <row r="5817" customFormat="false" ht="18" hidden="false" customHeight="true" outlineLevel="0" collapsed="false"/>
    <row r="5818" customFormat="false" ht="18" hidden="false" customHeight="true" outlineLevel="0" collapsed="false"/>
    <row r="5819" customFormat="false" ht="18" hidden="false" customHeight="true" outlineLevel="0" collapsed="false"/>
    <row r="5820" customFormat="false" ht="18" hidden="false" customHeight="true" outlineLevel="0" collapsed="false"/>
    <row r="5821" customFormat="false" ht="18" hidden="false" customHeight="true" outlineLevel="0" collapsed="false"/>
    <row r="5822" customFormat="false" ht="18" hidden="false" customHeight="true" outlineLevel="0" collapsed="false"/>
    <row r="5823" customFormat="false" ht="18" hidden="false" customHeight="true" outlineLevel="0" collapsed="false"/>
    <row r="5824" customFormat="false" ht="18" hidden="false" customHeight="true" outlineLevel="0" collapsed="false"/>
    <row r="5825" customFormat="false" ht="18" hidden="false" customHeight="true" outlineLevel="0" collapsed="false"/>
    <row r="5826" customFormat="false" ht="18" hidden="false" customHeight="true" outlineLevel="0" collapsed="false"/>
    <row r="5827" customFormat="false" ht="18" hidden="false" customHeight="true" outlineLevel="0" collapsed="false"/>
    <row r="5828" customFormat="false" ht="18" hidden="false" customHeight="true" outlineLevel="0" collapsed="false"/>
    <row r="5829" customFormat="false" ht="18" hidden="false" customHeight="true" outlineLevel="0" collapsed="false"/>
    <row r="5830" customFormat="false" ht="18" hidden="false" customHeight="true" outlineLevel="0" collapsed="false"/>
    <row r="5831" customFormat="false" ht="18" hidden="false" customHeight="true" outlineLevel="0" collapsed="false"/>
    <row r="5832" customFormat="false" ht="18" hidden="false" customHeight="true" outlineLevel="0" collapsed="false"/>
    <row r="5833" customFormat="false" ht="18" hidden="false" customHeight="true" outlineLevel="0" collapsed="false"/>
    <row r="5834" customFormat="false" ht="18" hidden="false" customHeight="true" outlineLevel="0" collapsed="false"/>
    <row r="5835" customFormat="false" ht="18" hidden="false" customHeight="true" outlineLevel="0" collapsed="false"/>
    <row r="5836" customFormat="false" ht="18" hidden="false" customHeight="true" outlineLevel="0" collapsed="false"/>
    <row r="5837" customFormat="false" ht="18" hidden="false" customHeight="true" outlineLevel="0" collapsed="false"/>
    <row r="5838" customFormat="false" ht="18" hidden="false" customHeight="true" outlineLevel="0" collapsed="false"/>
    <row r="5839" customFormat="false" ht="18" hidden="false" customHeight="true" outlineLevel="0" collapsed="false"/>
    <row r="5840" customFormat="false" ht="18" hidden="false" customHeight="true" outlineLevel="0" collapsed="false"/>
    <row r="5841" customFormat="false" ht="18" hidden="false" customHeight="true" outlineLevel="0" collapsed="false"/>
    <row r="5842" customFormat="false" ht="18" hidden="false" customHeight="true" outlineLevel="0" collapsed="false"/>
    <row r="5843" customFormat="false" ht="18" hidden="false" customHeight="true" outlineLevel="0" collapsed="false"/>
    <row r="5844" customFormat="false" ht="18" hidden="false" customHeight="true" outlineLevel="0" collapsed="false"/>
    <row r="5845" customFormat="false" ht="18" hidden="false" customHeight="true" outlineLevel="0" collapsed="false"/>
    <row r="5846" customFormat="false" ht="18" hidden="false" customHeight="true" outlineLevel="0" collapsed="false"/>
    <row r="5847" customFormat="false" ht="18" hidden="false" customHeight="true" outlineLevel="0" collapsed="false"/>
    <row r="5848" customFormat="false" ht="18" hidden="false" customHeight="true" outlineLevel="0" collapsed="false"/>
    <row r="5849" customFormat="false" ht="18" hidden="false" customHeight="true" outlineLevel="0" collapsed="false"/>
    <row r="5850" customFormat="false" ht="18" hidden="false" customHeight="true" outlineLevel="0" collapsed="false"/>
    <row r="5851" customFormat="false" ht="18" hidden="false" customHeight="true" outlineLevel="0" collapsed="false"/>
    <row r="5852" customFormat="false" ht="18" hidden="false" customHeight="true" outlineLevel="0" collapsed="false"/>
    <row r="5853" customFormat="false" ht="18" hidden="false" customHeight="true" outlineLevel="0" collapsed="false"/>
    <row r="5854" customFormat="false" ht="18" hidden="false" customHeight="true" outlineLevel="0" collapsed="false"/>
    <row r="5855" customFormat="false" ht="18" hidden="false" customHeight="true" outlineLevel="0" collapsed="false"/>
    <row r="5856" customFormat="false" ht="18" hidden="false" customHeight="true" outlineLevel="0" collapsed="false"/>
    <row r="5857" customFormat="false" ht="18" hidden="false" customHeight="true" outlineLevel="0" collapsed="false"/>
    <row r="5858" customFormat="false" ht="18" hidden="false" customHeight="true" outlineLevel="0" collapsed="false"/>
    <row r="5859" customFormat="false" ht="18" hidden="false" customHeight="true" outlineLevel="0" collapsed="false"/>
    <row r="5860" customFormat="false" ht="18" hidden="false" customHeight="true" outlineLevel="0" collapsed="false"/>
    <row r="5861" customFormat="false" ht="18" hidden="false" customHeight="true" outlineLevel="0" collapsed="false"/>
    <row r="5862" customFormat="false" ht="18" hidden="false" customHeight="true" outlineLevel="0" collapsed="false"/>
    <row r="5863" customFormat="false" ht="18" hidden="false" customHeight="true" outlineLevel="0" collapsed="false"/>
    <row r="5864" customFormat="false" ht="18" hidden="false" customHeight="true" outlineLevel="0" collapsed="false"/>
    <row r="5865" customFormat="false" ht="18" hidden="false" customHeight="true" outlineLevel="0" collapsed="false"/>
    <row r="5866" customFormat="false" ht="18" hidden="false" customHeight="true" outlineLevel="0" collapsed="false"/>
    <row r="5867" customFormat="false" ht="18" hidden="false" customHeight="true" outlineLevel="0" collapsed="false"/>
    <row r="5868" customFormat="false" ht="18" hidden="false" customHeight="true" outlineLevel="0" collapsed="false"/>
    <row r="5869" customFormat="false" ht="18" hidden="false" customHeight="true" outlineLevel="0" collapsed="false"/>
    <row r="5870" customFormat="false" ht="18" hidden="false" customHeight="true" outlineLevel="0" collapsed="false"/>
    <row r="5871" customFormat="false" ht="18" hidden="false" customHeight="true" outlineLevel="0" collapsed="false"/>
    <row r="5872" customFormat="false" ht="18" hidden="false" customHeight="true" outlineLevel="0" collapsed="false"/>
    <row r="5873" customFormat="false" ht="18" hidden="false" customHeight="true" outlineLevel="0" collapsed="false"/>
    <row r="5874" customFormat="false" ht="18" hidden="false" customHeight="true" outlineLevel="0" collapsed="false"/>
    <row r="5875" customFormat="false" ht="18" hidden="false" customHeight="true" outlineLevel="0" collapsed="false"/>
    <row r="5876" customFormat="false" ht="18" hidden="false" customHeight="true" outlineLevel="0" collapsed="false"/>
    <row r="5877" customFormat="false" ht="18" hidden="false" customHeight="true" outlineLevel="0" collapsed="false"/>
    <row r="5878" customFormat="false" ht="18" hidden="false" customHeight="true" outlineLevel="0" collapsed="false"/>
    <row r="5879" customFormat="false" ht="18" hidden="false" customHeight="true" outlineLevel="0" collapsed="false"/>
    <row r="5880" customFormat="false" ht="18" hidden="false" customHeight="true" outlineLevel="0" collapsed="false"/>
    <row r="5881" customFormat="false" ht="18" hidden="false" customHeight="true" outlineLevel="0" collapsed="false"/>
    <row r="5882" customFormat="false" ht="18" hidden="false" customHeight="true" outlineLevel="0" collapsed="false"/>
    <row r="5883" customFormat="false" ht="18" hidden="false" customHeight="true" outlineLevel="0" collapsed="false"/>
    <row r="5884" customFormat="false" ht="18" hidden="false" customHeight="true" outlineLevel="0" collapsed="false"/>
    <row r="5885" customFormat="false" ht="18" hidden="false" customHeight="true" outlineLevel="0" collapsed="false"/>
    <row r="5886" customFormat="false" ht="18" hidden="false" customHeight="true" outlineLevel="0" collapsed="false"/>
    <row r="5887" customFormat="false" ht="18" hidden="false" customHeight="true" outlineLevel="0" collapsed="false"/>
    <row r="5888" customFormat="false" ht="18" hidden="false" customHeight="true" outlineLevel="0" collapsed="false"/>
    <row r="5889" customFormat="false" ht="18" hidden="false" customHeight="true" outlineLevel="0" collapsed="false"/>
    <row r="5890" customFormat="false" ht="18" hidden="false" customHeight="true" outlineLevel="0" collapsed="false"/>
    <row r="5891" customFormat="false" ht="18" hidden="false" customHeight="true" outlineLevel="0" collapsed="false"/>
    <row r="5892" customFormat="false" ht="18" hidden="false" customHeight="true" outlineLevel="0" collapsed="false"/>
    <row r="5893" customFormat="false" ht="18" hidden="false" customHeight="true" outlineLevel="0" collapsed="false"/>
    <row r="5894" customFormat="false" ht="18" hidden="false" customHeight="true" outlineLevel="0" collapsed="false"/>
    <row r="5895" customFormat="false" ht="18" hidden="false" customHeight="true" outlineLevel="0" collapsed="false"/>
    <row r="5896" customFormat="false" ht="18" hidden="false" customHeight="true" outlineLevel="0" collapsed="false"/>
    <row r="5897" customFormat="false" ht="18" hidden="false" customHeight="true" outlineLevel="0" collapsed="false"/>
    <row r="5898" customFormat="false" ht="18" hidden="false" customHeight="true" outlineLevel="0" collapsed="false"/>
    <row r="5899" customFormat="false" ht="18" hidden="false" customHeight="true" outlineLevel="0" collapsed="false"/>
    <row r="5900" customFormat="false" ht="18" hidden="false" customHeight="true" outlineLevel="0" collapsed="false"/>
    <row r="5901" customFormat="false" ht="18" hidden="false" customHeight="true" outlineLevel="0" collapsed="false"/>
    <row r="5902" customFormat="false" ht="18" hidden="false" customHeight="true" outlineLevel="0" collapsed="false"/>
    <row r="5903" customFormat="false" ht="18" hidden="false" customHeight="true" outlineLevel="0" collapsed="false"/>
    <row r="5904" customFormat="false" ht="18" hidden="false" customHeight="true" outlineLevel="0" collapsed="false"/>
    <row r="5905" customFormat="false" ht="18" hidden="false" customHeight="true" outlineLevel="0" collapsed="false"/>
    <row r="5906" customFormat="false" ht="18" hidden="false" customHeight="true" outlineLevel="0" collapsed="false"/>
    <row r="5907" customFormat="false" ht="18" hidden="false" customHeight="true" outlineLevel="0" collapsed="false"/>
    <row r="5908" customFormat="false" ht="18" hidden="false" customHeight="true" outlineLevel="0" collapsed="false"/>
    <row r="5909" customFormat="false" ht="18" hidden="false" customHeight="true" outlineLevel="0" collapsed="false"/>
    <row r="5910" customFormat="false" ht="18" hidden="false" customHeight="true" outlineLevel="0" collapsed="false"/>
    <row r="5911" customFormat="false" ht="18" hidden="false" customHeight="true" outlineLevel="0" collapsed="false"/>
    <row r="5912" customFormat="false" ht="18" hidden="false" customHeight="true" outlineLevel="0" collapsed="false"/>
    <row r="5913" customFormat="false" ht="18" hidden="false" customHeight="true" outlineLevel="0" collapsed="false"/>
    <row r="5914" customFormat="false" ht="18" hidden="false" customHeight="true" outlineLevel="0" collapsed="false"/>
    <row r="5915" customFormat="false" ht="18" hidden="false" customHeight="true" outlineLevel="0" collapsed="false"/>
    <row r="5916" customFormat="false" ht="18" hidden="false" customHeight="true" outlineLevel="0" collapsed="false"/>
    <row r="5917" customFormat="false" ht="18" hidden="false" customHeight="true" outlineLevel="0" collapsed="false"/>
    <row r="5918" customFormat="false" ht="18" hidden="false" customHeight="true" outlineLevel="0" collapsed="false"/>
    <row r="5919" customFormat="false" ht="18" hidden="false" customHeight="true" outlineLevel="0" collapsed="false"/>
    <row r="5920" customFormat="false" ht="18" hidden="false" customHeight="true" outlineLevel="0" collapsed="false"/>
    <row r="5921" customFormat="false" ht="18" hidden="false" customHeight="true" outlineLevel="0" collapsed="false"/>
    <row r="5922" customFormat="false" ht="18" hidden="false" customHeight="true" outlineLevel="0" collapsed="false"/>
    <row r="5923" customFormat="false" ht="18" hidden="false" customHeight="true" outlineLevel="0" collapsed="false"/>
    <row r="5924" customFormat="false" ht="18" hidden="false" customHeight="true" outlineLevel="0" collapsed="false"/>
    <row r="5925" customFormat="false" ht="18" hidden="false" customHeight="true" outlineLevel="0" collapsed="false"/>
    <row r="5926" customFormat="false" ht="18" hidden="false" customHeight="true" outlineLevel="0" collapsed="false"/>
    <row r="5927" customFormat="false" ht="18" hidden="false" customHeight="true" outlineLevel="0" collapsed="false"/>
    <row r="5928" customFormat="false" ht="18" hidden="false" customHeight="true" outlineLevel="0" collapsed="false"/>
    <row r="5929" customFormat="false" ht="18" hidden="false" customHeight="true" outlineLevel="0" collapsed="false"/>
    <row r="5930" customFormat="false" ht="18" hidden="false" customHeight="true" outlineLevel="0" collapsed="false"/>
    <row r="5931" customFormat="false" ht="18" hidden="false" customHeight="true" outlineLevel="0" collapsed="false"/>
    <row r="5932" customFormat="false" ht="18" hidden="false" customHeight="true" outlineLevel="0" collapsed="false"/>
    <row r="5933" customFormat="false" ht="18" hidden="false" customHeight="true" outlineLevel="0" collapsed="false"/>
    <row r="5934" customFormat="false" ht="18" hidden="false" customHeight="true" outlineLevel="0" collapsed="false"/>
    <row r="5935" customFormat="false" ht="18" hidden="false" customHeight="true" outlineLevel="0" collapsed="false"/>
    <row r="5936" customFormat="false" ht="18" hidden="false" customHeight="true" outlineLevel="0" collapsed="false"/>
    <row r="5937" customFormat="false" ht="18" hidden="false" customHeight="true" outlineLevel="0" collapsed="false"/>
    <row r="5938" customFormat="false" ht="18" hidden="false" customHeight="true" outlineLevel="0" collapsed="false"/>
    <row r="5939" customFormat="false" ht="18" hidden="false" customHeight="true" outlineLevel="0" collapsed="false"/>
    <row r="5940" customFormat="false" ht="18" hidden="false" customHeight="true" outlineLevel="0" collapsed="false"/>
    <row r="5941" customFormat="false" ht="18" hidden="false" customHeight="true" outlineLevel="0" collapsed="false"/>
    <row r="5942" customFormat="false" ht="18" hidden="false" customHeight="true" outlineLevel="0" collapsed="false"/>
    <row r="5943" customFormat="false" ht="18" hidden="false" customHeight="true" outlineLevel="0" collapsed="false"/>
    <row r="5944" customFormat="false" ht="18" hidden="false" customHeight="true" outlineLevel="0" collapsed="false"/>
    <row r="5945" customFormat="false" ht="18" hidden="false" customHeight="true" outlineLevel="0" collapsed="false"/>
    <row r="5946" customFormat="false" ht="18" hidden="false" customHeight="true" outlineLevel="0" collapsed="false"/>
    <row r="5947" customFormat="false" ht="18" hidden="false" customHeight="true" outlineLevel="0" collapsed="false"/>
    <row r="5948" customFormat="false" ht="18" hidden="false" customHeight="true" outlineLevel="0" collapsed="false"/>
    <row r="5949" customFormat="false" ht="18" hidden="false" customHeight="true" outlineLevel="0" collapsed="false"/>
    <row r="5950" customFormat="false" ht="18" hidden="false" customHeight="true" outlineLevel="0" collapsed="false"/>
    <row r="5951" customFormat="false" ht="18" hidden="false" customHeight="true" outlineLevel="0" collapsed="false"/>
    <row r="5952" customFormat="false" ht="18" hidden="false" customHeight="true" outlineLevel="0" collapsed="false"/>
    <row r="5953" customFormat="false" ht="18" hidden="false" customHeight="true" outlineLevel="0" collapsed="false"/>
    <row r="5954" customFormat="false" ht="18" hidden="false" customHeight="true" outlineLevel="0" collapsed="false"/>
    <row r="5955" customFormat="false" ht="18" hidden="false" customHeight="true" outlineLevel="0" collapsed="false"/>
    <row r="5956" customFormat="false" ht="18" hidden="false" customHeight="true" outlineLevel="0" collapsed="false"/>
    <row r="5957" customFormat="false" ht="18" hidden="false" customHeight="true" outlineLevel="0" collapsed="false"/>
    <row r="5958" customFormat="false" ht="18" hidden="false" customHeight="true" outlineLevel="0" collapsed="false"/>
    <row r="5959" customFormat="false" ht="18" hidden="false" customHeight="true" outlineLevel="0" collapsed="false"/>
    <row r="5960" customFormat="false" ht="18" hidden="false" customHeight="true" outlineLevel="0" collapsed="false"/>
    <row r="5961" customFormat="false" ht="18" hidden="false" customHeight="true" outlineLevel="0" collapsed="false"/>
    <row r="5962" customFormat="false" ht="18" hidden="false" customHeight="true" outlineLevel="0" collapsed="false"/>
    <row r="5963" customFormat="false" ht="18" hidden="false" customHeight="true" outlineLevel="0" collapsed="false"/>
    <row r="5964" customFormat="false" ht="18" hidden="false" customHeight="true" outlineLevel="0" collapsed="false"/>
    <row r="5965" customFormat="false" ht="18" hidden="false" customHeight="true" outlineLevel="0" collapsed="false"/>
    <row r="5966" customFormat="false" ht="18" hidden="false" customHeight="true" outlineLevel="0" collapsed="false"/>
    <row r="5967" customFormat="false" ht="18" hidden="false" customHeight="true" outlineLevel="0" collapsed="false"/>
    <row r="5968" customFormat="false" ht="18" hidden="false" customHeight="true" outlineLevel="0" collapsed="false"/>
    <row r="5969" customFormat="false" ht="18" hidden="false" customHeight="true" outlineLevel="0" collapsed="false"/>
    <row r="5970" customFormat="false" ht="18" hidden="false" customHeight="true" outlineLevel="0" collapsed="false"/>
    <row r="5971" customFormat="false" ht="18" hidden="false" customHeight="true" outlineLevel="0" collapsed="false"/>
    <row r="5972" customFormat="false" ht="18" hidden="false" customHeight="true" outlineLevel="0" collapsed="false"/>
    <row r="5973" customFormat="false" ht="18" hidden="false" customHeight="true" outlineLevel="0" collapsed="false"/>
    <row r="5974" customFormat="false" ht="18" hidden="false" customHeight="true" outlineLevel="0" collapsed="false"/>
    <row r="5975" customFormat="false" ht="18" hidden="false" customHeight="true" outlineLevel="0" collapsed="false"/>
    <row r="5976" customFormat="false" ht="18" hidden="false" customHeight="true" outlineLevel="0" collapsed="false"/>
    <row r="5977" customFormat="false" ht="18" hidden="false" customHeight="true" outlineLevel="0" collapsed="false"/>
    <row r="5978" customFormat="false" ht="18" hidden="false" customHeight="true" outlineLevel="0" collapsed="false"/>
    <row r="5979" customFormat="false" ht="18" hidden="false" customHeight="true" outlineLevel="0" collapsed="false"/>
    <row r="5980" customFormat="false" ht="18" hidden="false" customHeight="true" outlineLevel="0" collapsed="false"/>
    <row r="5981" customFormat="false" ht="18" hidden="false" customHeight="true" outlineLevel="0" collapsed="false"/>
    <row r="5982" customFormat="false" ht="18" hidden="false" customHeight="true" outlineLevel="0" collapsed="false"/>
    <row r="5983" customFormat="false" ht="18" hidden="false" customHeight="true" outlineLevel="0" collapsed="false"/>
    <row r="5984" customFormat="false" ht="18" hidden="false" customHeight="true" outlineLevel="0" collapsed="false"/>
    <row r="5985" customFormat="false" ht="18" hidden="false" customHeight="true" outlineLevel="0" collapsed="false"/>
    <row r="5986" customFormat="false" ht="18" hidden="false" customHeight="true" outlineLevel="0" collapsed="false"/>
    <row r="5987" customFormat="false" ht="18" hidden="false" customHeight="true" outlineLevel="0" collapsed="false"/>
    <row r="5988" customFormat="false" ht="18" hidden="false" customHeight="true" outlineLevel="0" collapsed="false"/>
    <row r="5989" customFormat="false" ht="18" hidden="false" customHeight="true" outlineLevel="0" collapsed="false"/>
    <row r="5990" customFormat="false" ht="18" hidden="false" customHeight="true" outlineLevel="0" collapsed="false"/>
    <row r="5991" customFormat="false" ht="18" hidden="false" customHeight="true" outlineLevel="0" collapsed="false"/>
    <row r="5992" customFormat="false" ht="18" hidden="false" customHeight="true" outlineLevel="0" collapsed="false"/>
    <row r="5993" customFormat="false" ht="18" hidden="false" customHeight="true" outlineLevel="0" collapsed="false"/>
    <row r="5994" customFormat="false" ht="18" hidden="false" customHeight="true" outlineLevel="0" collapsed="false"/>
    <row r="5995" customFormat="false" ht="18" hidden="false" customHeight="true" outlineLevel="0" collapsed="false"/>
    <row r="5996" customFormat="false" ht="18" hidden="false" customHeight="true" outlineLevel="0" collapsed="false"/>
    <row r="5997" customFormat="false" ht="18" hidden="false" customHeight="true" outlineLevel="0" collapsed="false"/>
    <row r="5998" customFormat="false" ht="18" hidden="false" customHeight="true" outlineLevel="0" collapsed="false"/>
    <row r="5999" customFormat="false" ht="18" hidden="false" customHeight="true" outlineLevel="0" collapsed="false"/>
    <row r="6000" customFormat="false" ht="18" hidden="false" customHeight="true" outlineLevel="0" collapsed="false"/>
    <row r="6001" customFormat="false" ht="18" hidden="false" customHeight="true" outlineLevel="0" collapsed="false"/>
    <row r="6002" customFormat="false" ht="18" hidden="false" customHeight="true" outlineLevel="0" collapsed="false"/>
    <row r="6003" customFormat="false" ht="18" hidden="false" customHeight="true" outlineLevel="0" collapsed="false"/>
    <row r="6004" customFormat="false" ht="18" hidden="false" customHeight="true" outlineLevel="0" collapsed="false"/>
    <row r="6005" customFormat="false" ht="18" hidden="false" customHeight="true" outlineLevel="0" collapsed="false"/>
    <row r="6006" customFormat="false" ht="18" hidden="false" customHeight="true" outlineLevel="0" collapsed="false"/>
    <row r="6007" customFormat="false" ht="18" hidden="false" customHeight="true" outlineLevel="0" collapsed="false"/>
    <row r="6008" customFormat="false" ht="18" hidden="false" customHeight="true" outlineLevel="0" collapsed="false"/>
    <row r="6009" customFormat="false" ht="18" hidden="false" customHeight="true" outlineLevel="0" collapsed="false"/>
    <row r="6010" customFormat="false" ht="18" hidden="false" customHeight="true" outlineLevel="0" collapsed="false"/>
    <row r="6011" customFormat="false" ht="18" hidden="false" customHeight="true" outlineLevel="0" collapsed="false"/>
    <row r="6012" customFormat="false" ht="18" hidden="false" customHeight="true" outlineLevel="0" collapsed="false"/>
    <row r="6013" customFormat="false" ht="18" hidden="false" customHeight="true" outlineLevel="0" collapsed="false"/>
    <row r="6014" customFormat="false" ht="18" hidden="false" customHeight="true" outlineLevel="0" collapsed="false"/>
    <row r="6015" customFormat="false" ht="18" hidden="false" customHeight="true" outlineLevel="0" collapsed="false"/>
    <row r="6016" customFormat="false" ht="18" hidden="false" customHeight="true" outlineLevel="0" collapsed="false"/>
    <row r="6017" customFormat="false" ht="18" hidden="false" customHeight="true" outlineLevel="0" collapsed="false"/>
    <row r="6018" customFormat="false" ht="18" hidden="false" customHeight="true" outlineLevel="0" collapsed="false"/>
    <row r="6019" customFormat="false" ht="18" hidden="false" customHeight="true" outlineLevel="0" collapsed="false"/>
    <row r="6020" customFormat="false" ht="18" hidden="false" customHeight="true" outlineLevel="0" collapsed="false"/>
    <row r="6021" customFormat="false" ht="18" hidden="false" customHeight="true" outlineLevel="0" collapsed="false"/>
    <row r="6022" customFormat="false" ht="18" hidden="false" customHeight="true" outlineLevel="0" collapsed="false"/>
    <row r="6023" customFormat="false" ht="18" hidden="false" customHeight="true" outlineLevel="0" collapsed="false"/>
    <row r="6024" customFormat="false" ht="18" hidden="false" customHeight="true" outlineLevel="0" collapsed="false"/>
    <row r="6025" customFormat="false" ht="18" hidden="false" customHeight="true" outlineLevel="0" collapsed="false"/>
    <row r="6026" customFormat="false" ht="18" hidden="false" customHeight="true" outlineLevel="0" collapsed="false"/>
    <row r="6027" customFormat="false" ht="18" hidden="false" customHeight="true" outlineLevel="0" collapsed="false"/>
    <row r="6028" customFormat="false" ht="18" hidden="false" customHeight="true" outlineLevel="0" collapsed="false"/>
    <row r="6029" customFormat="false" ht="18" hidden="false" customHeight="true" outlineLevel="0" collapsed="false"/>
    <row r="6030" customFormat="false" ht="18" hidden="false" customHeight="true" outlineLevel="0" collapsed="false"/>
    <row r="6031" customFormat="false" ht="18" hidden="false" customHeight="true" outlineLevel="0" collapsed="false"/>
    <row r="6032" customFormat="false" ht="18" hidden="false" customHeight="true" outlineLevel="0" collapsed="false"/>
    <row r="6033" customFormat="false" ht="18" hidden="false" customHeight="true" outlineLevel="0" collapsed="false"/>
    <row r="6034" customFormat="false" ht="18" hidden="false" customHeight="true" outlineLevel="0" collapsed="false"/>
    <row r="6035" customFormat="false" ht="18" hidden="false" customHeight="true" outlineLevel="0" collapsed="false"/>
    <row r="6036" customFormat="false" ht="18" hidden="false" customHeight="true" outlineLevel="0" collapsed="false"/>
    <row r="6037" customFormat="false" ht="18" hidden="false" customHeight="true" outlineLevel="0" collapsed="false"/>
    <row r="6038" customFormat="false" ht="18" hidden="false" customHeight="true" outlineLevel="0" collapsed="false"/>
    <row r="6039" customFormat="false" ht="18" hidden="false" customHeight="true" outlineLevel="0" collapsed="false"/>
    <row r="6040" customFormat="false" ht="18" hidden="false" customHeight="true" outlineLevel="0" collapsed="false"/>
    <row r="6041" customFormat="false" ht="18" hidden="false" customHeight="true" outlineLevel="0" collapsed="false"/>
    <row r="6042" customFormat="false" ht="18" hidden="false" customHeight="true" outlineLevel="0" collapsed="false"/>
    <row r="6043" customFormat="false" ht="18" hidden="false" customHeight="true" outlineLevel="0" collapsed="false"/>
    <row r="6044" customFormat="false" ht="18" hidden="false" customHeight="true" outlineLevel="0" collapsed="false"/>
    <row r="6045" customFormat="false" ht="18" hidden="false" customHeight="true" outlineLevel="0" collapsed="false"/>
    <row r="6046" customFormat="false" ht="18" hidden="false" customHeight="true" outlineLevel="0" collapsed="false"/>
    <row r="6047" customFormat="false" ht="18" hidden="false" customHeight="true" outlineLevel="0" collapsed="false"/>
    <row r="6048" customFormat="false" ht="18" hidden="false" customHeight="true" outlineLevel="0" collapsed="false"/>
    <row r="6049" customFormat="false" ht="18" hidden="false" customHeight="true" outlineLevel="0" collapsed="false"/>
    <row r="6050" customFormat="false" ht="18" hidden="false" customHeight="true" outlineLevel="0" collapsed="false"/>
    <row r="6051" customFormat="false" ht="18" hidden="false" customHeight="true" outlineLevel="0" collapsed="false"/>
    <row r="6052" customFormat="false" ht="18" hidden="false" customHeight="true" outlineLevel="0" collapsed="false"/>
    <row r="6053" customFormat="false" ht="18" hidden="false" customHeight="true" outlineLevel="0" collapsed="false"/>
    <row r="6054" customFormat="false" ht="18" hidden="false" customHeight="true" outlineLevel="0" collapsed="false"/>
    <row r="6055" customFormat="false" ht="18" hidden="false" customHeight="true" outlineLevel="0" collapsed="false"/>
    <row r="6056" customFormat="false" ht="18" hidden="false" customHeight="true" outlineLevel="0" collapsed="false"/>
    <row r="6057" customFormat="false" ht="18" hidden="false" customHeight="true" outlineLevel="0" collapsed="false"/>
    <row r="6058" customFormat="false" ht="18" hidden="false" customHeight="true" outlineLevel="0" collapsed="false"/>
    <row r="6059" customFormat="false" ht="18" hidden="false" customHeight="true" outlineLevel="0" collapsed="false"/>
    <row r="6060" customFormat="false" ht="18" hidden="false" customHeight="true" outlineLevel="0" collapsed="false"/>
    <row r="6061" customFormat="false" ht="18" hidden="false" customHeight="true" outlineLevel="0" collapsed="false"/>
    <row r="6062" customFormat="false" ht="18" hidden="false" customHeight="true" outlineLevel="0" collapsed="false"/>
    <row r="6063" customFormat="false" ht="18" hidden="false" customHeight="true" outlineLevel="0" collapsed="false"/>
    <row r="6064" customFormat="false" ht="18" hidden="false" customHeight="true" outlineLevel="0" collapsed="false"/>
    <row r="6065" customFormat="false" ht="18" hidden="false" customHeight="true" outlineLevel="0" collapsed="false"/>
    <row r="6066" customFormat="false" ht="18" hidden="false" customHeight="true" outlineLevel="0" collapsed="false"/>
    <row r="6067" customFormat="false" ht="18" hidden="false" customHeight="true" outlineLevel="0" collapsed="false"/>
    <row r="6068" customFormat="false" ht="18" hidden="false" customHeight="true" outlineLevel="0" collapsed="false"/>
    <row r="6069" customFormat="false" ht="18" hidden="false" customHeight="true" outlineLevel="0" collapsed="false"/>
    <row r="6070" customFormat="false" ht="18" hidden="false" customHeight="true" outlineLevel="0" collapsed="false"/>
    <row r="6071" customFormat="false" ht="18" hidden="false" customHeight="true" outlineLevel="0" collapsed="false"/>
    <row r="6072" customFormat="false" ht="18" hidden="false" customHeight="true" outlineLevel="0" collapsed="false"/>
    <row r="6073" customFormat="false" ht="18" hidden="false" customHeight="true" outlineLevel="0" collapsed="false"/>
    <row r="6074" customFormat="false" ht="18" hidden="false" customHeight="true" outlineLevel="0" collapsed="false"/>
    <row r="6075" customFormat="false" ht="18" hidden="false" customHeight="true" outlineLevel="0" collapsed="false"/>
    <row r="6076" customFormat="false" ht="18" hidden="false" customHeight="true" outlineLevel="0" collapsed="false"/>
    <row r="6077" customFormat="false" ht="18" hidden="false" customHeight="true" outlineLevel="0" collapsed="false"/>
    <row r="6078" customFormat="false" ht="18" hidden="false" customHeight="true" outlineLevel="0" collapsed="false"/>
    <row r="6079" customFormat="false" ht="18" hidden="false" customHeight="true" outlineLevel="0" collapsed="false"/>
    <row r="6080" customFormat="false" ht="18" hidden="false" customHeight="true" outlineLevel="0" collapsed="false"/>
    <row r="6081" customFormat="false" ht="18" hidden="false" customHeight="true" outlineLevel="0" collapsed="false"/>
    <row r="6082" customFormat="false" ht="18" hidden="false" customHeight="true" outlineLevel="0" collapsed="false"/>
    <row r="6083" customFormat="false" ht="18" hidden="false" customHeight="true" outlineLevel="0" collapsed="false"/>
    <row r="6084" customFormat="false" ht="18" hidden="false" customHeight="true" outlineLevel="0" collapsed="false"/>
    <row r="6085" customFormat="false" ht="18" hidden="false" customHeight="true" outlineLevel="0" collapsed="false"/>
    <row r="6086" customFormat="false" ht="18" hidden="false" customHeight="true" outlineLevel="0" collapsed="false"/>
    <row r="6087" customFormat="false" ht="18" hidden="false" customHeight="true" outlineLevel="0" collapsed="false"/>
    <row r="6088" customFormat="false" ht="18" hidden="false" customHeight="true" outlineLevel="0" collapsed="false"/>
    <row r="6089" customFormat="false" ht="18" hidden="false" customHeight="true" outlineLevel="0" collapsed="false"/>
    <row r="6090" customFormat="false" ht="18" hidden="false" customHeight="true" outlineLevel="0" collapsed="false"/>
    <row r="6091" customFormat="false" ht="18" hidden="false" customHeight="true" outlineLevel="0" collapsed="false"/>
    <row r="6092" customFormat="false" ht="18" hidden="false" customHeight="true" outlineLevel="0" collapsed="false"/>
    <row r="6093" customFormat="false" ht="18" hidden="false" customHeight="true" outlineLevel="0" collapsed="false"/>
    <row r="6094" customFormat="false" ht="18" hidden="false" customHeight="true" outlineLevel="0" collapsed="false"/>
    <row r="6095" customFormat="false" ht="18" hidden="false" customHeight="true" outlineLevel="0" collapsed="false"/>
    <row r="6096" customFormat="false" ht="18" hidden="false" customHeight="true" outlineLevel="0" collapsed="false"/>
    <row r="6097" customFormat="false" ht="18" hidden="false" customHeight="true" outlineLevel="0" collapsed="false"/>
    <row r="6098" customFormat="false" ht="18" hidden="false" customHeight="true" outlineLevel="0" collapsed="false"/>
    <row r="6099" customFormat="false" ht="18" hidden="false" customHeight="true" outlineLevel="0" collapsed="false"/>
    <row r="6100" customFormat="false" ht="18" hidden="false" customHeight="true" outlineLevel="0" collapsed="false"/>
    <row r="6101" customFormat="false" ht="18" hidden="false" customHeight="true" outlineLevel="0" collapsed="false"/>
    <row r="6102" customFormat="false" ht="18" hidden="false" customHeight="true" outlineLevel="0" collapsed="false"/>
    <row r="6103" customFormat="false" ht="18" hidden="false" customHeight="true" outlineLevel="0" collapsed="false"/>
    <row r="6104" customFormat="false" ht="18" hidden="false" customHeight="true" outlineLevel="0" collapsed="false"/>
    <row r="6105" customFormat="false" ht="18" hidden="false" customHeight="true" outlineLevel="0" collapsed="false"/>
    <row r="6106" customFormat="false" ht="18" hidden="false" customHeight="true" outlineLevel="0" collapsed="false"/>
    <row r="6107" customFormat="false" ht="18" hidden="false" customHeight="true" outlineLevel="0" collapsed="false"/>
    <row r="6108" customFormat="false" ht="18" hidden="false" customHeight="true" outlineLevel="0" collapsed="false"/>
    <row r="6109" customFormat="false" ht="18" hidden="false" customHeight="true" outlineLevel="0" collapsed="false"/>
    <row r="6110" customFormat="false" ht="18" hidden="false" customHeight="true" outlineLevel="0" collapsed="false"/>
    <row r="6111" customFormat="false" ht="18" hidden="false" customHeight="true" outlineLevel="0" collapsed="false"/>
    <row r="6112" customFormat="false" ht="18" hidden="false" customHeight="true" outlineLevel="0" collapsed="false"/>
    <row r="6113" customFormat="false" ht="18" hidden="false" customHeight="true" outlineLevel="0" collapsed="false"/>
    <row r="6114" customFormat="false" ht="18" hidden="false" customHeight="true" outlineLevel="0" collapsed="false"/>
    <row r="6115" customFormat="false" ht="18" hidden="false" customHeight="true" outlineLevel="0" collapsed="false"/>
    <row r="6116" customFormat="false" ht="18" hidden="false" customHeight="true" outlineLevel="0" collapsed="false"/>
    <row r="6117" customFormat="false" ht="18" hidden="false" customHeight="true" outlineLevel="0" collapsed="false"/>
    <row r="6118" customFormat="false" ht="18" hidden="false" customHeight="true" outlineLevel="0" collapsed="false"/>
    <row r="6119" customFormat="false" ht="18" hidden="false" customHeight="true" outlineLevel="0" collapsed="false"/>
    <row r="6120" customFormat="false" ht="18" hidden="false" customHeight="true" outlineLevel="0" collapsed="false"/>
    <row r="6121" customFormat="false" ht="18" hidden="false" customHeight="true" outlineLevel="0" collapsed="false"/>
    <row r="6122" customFormat="false" ht="18" hidden="false" customHeight="true" outlineLevel="0" collapsed="false"/>
    <row r="6123" customFormat="false" ht="18" hidden="false" customHeight="true" outlineLevel="0" collapsed="false"/>
    <row r="6124" customFormat="false" ht="18" hidden="false" customHeight="true" outlineLevel="0" collapsed="false"/>
    <row r="6125" customFormat="false" ht="18" hidden="false" customHeight="true" outlineLevel="0" collapsed="false"/>
    <row r="6126" customFormat="false" ht="18" hidden="false" customHeight="true" outlineLevel="0" collapsed="false"/>
    <row r="6127" customFormat="false" ht="18" hidden="false" customHeight="true" outlineLevel="0" collapsed="false"/>
    <row r="6128" customFormat="false" ht="18" hidden="false" customHeight="true" outlineLevel="0" collapsed="false"/>
    <row r="6129" customFormat="false" ht="18" hidden="false" customHeight="true" outlineLevel="0" collapsed="false"/>
    <row r="6130" customFormat="false" ht="18" hidden="false" customHeight="true" outlineLevel="0" collapsed="false"/>
    <row r="6131" customFormat="false" ht="18" hidden="false" customHeight="true" outlineLevel="0" collapsed="false"/>
    <row r="6132" customFormat="false" ht="18" hidden="false" customHeight="true" outlineLevel="0" collapsed="false"/>
    <row r="6133" customFormat="false" ht="18" hidden="false" customHeight="true" outlineLevel="0" collapsed="false"/>
    <row r="6134" customFormat="false" ht="18" hidden="false" customHeight="true" outlineLevel="0" collapsed="false"/>
    <row r="6135" customFormat="false" ht="18" hidden="false" customHeight="true" outlineLevel="0" collapsed="false"/>
    <row r="6136" customFormat="false" ht="18" hidden="false" customHeight="true" outlineLevel="0" collapsed="false"/>
    <row r="6137" customFormat="false" ht="18" hidden="false" customHeight="true" outlineLevel="0" collapsed="false"/>
    <row r="6138" customFormat="false" ht="18" hidden="false" customHeight="true" outlineLevel="0" collapsed="false"/>
    <row r="6139" customFormat="false" ht="18" hidden="false" customHeight="true" outlineLevel="0" collapsed="false"/>
    <row r="6140" customFormat="false" ht="18" hidden="false" customHeight="true" outlineLevel="0" collapsed="false"/>
    <row r="6141" customFormat="false" ht="18" hidden="false" customHeight="true" outlineLevel="0" collapsed="false"/>
    <row r="6142" customFormat="false" ht="18" hidden="false" customHeight="true" outlineLevel="0" collapsed="false"/>
    <row r="6143" customFormat="false" ht="18" hidden="false" customHeight="true" outlineLevel="0" collapsed="false"/>
    <row r="6144" customFormat="false" ht="18" hidden="false" customHeight="true" outlineLevel="0" collapsed="false"/>
    <row r="6145" customFormat="false" ht="18" hidden="false" customHeight="true" outlineLevel="0" collapsed="false"/>
    <row r="6146" customFormat="false" ht="18" hidden="false" customHeight="true" outlineLevel="0" collapsed="false"/>
    <row r="6147" customFormat="false" ht="18" hidden="false" customHeight="true" outlineLevel="0" collapsed="false"/>
    <row r="6148" customFormat="false" ht="18" hidden="false" customHeight="true" outlineLevel="0" collapsed="false"/>
    <row r="6149" customFormat="false" ht="18" hidden="false" customHeight="true" outlineLevel="0" collapsed="false"/>
    <row r="6150" customFormat="false" ht="18" hidden="false" customHeight="true" outlineLevel="0" collapsed="false"/>
    <row r="6151" customFormat="false" ht="18" hidden="false" customHeight="true" outlineLevel="0" collapsed="false"/>
    <row r="6152" customFormat="false" ht="18" hidden="false" customHeight="true" outlineLevel="0" collapsed="false"/>
    <row r="6153" customFormat="false" ht="18" hidden="false" customHeight="true" outlineLevel="0" collapsed="false"/>
    <row r="6154" customFormat="false" ht="18" hidden="false" customHeight="true" outlineLevel="0" collapsed="false"/>
    <row r="6155" customFormat="false" ht="18" hidden="false" customHeight="true" outlineLevel="0" collapsed="false"/>
    <row r="6156" customFormat="false" ht="18" hidden="false" customHeight="true" outlineLevel="0" collapsed="false"/>
    <row r="6157" customFormat="false" ht="18" hidden="false" customHeight="true" outlineLevel="0" collapsed="false"/>
    <row r="6158" customFormat="false" ht="18" hidden="false" customHeight="true" outlineLevel="0" collapsed="false"/>
    <row r="6159" customFormat="false" ht="18" hidden="false" customHeight="true" outlineLevel="0" collapsed="false"/>
    <row r="6160" customFormat="false" ht="18" hidden="false" customHeight="true" outlineLevel="0" collapsed="false"/>
    <row r="6161" customFormat="false" ht="18" hidden="false" customHeight="true" outlineLevel="0" collapsed="false"/>
    <row r="6162" customFormat="false" ht="18" hidden="false" customHeight="true" outlineLevel="0" collapsed="false"/>
    <row r="6163" customFormat="false" ht="18" hidden="false" customHeight="true" outlineLevel="0" collapsed="false"/>
    <row r="6164" customFormat="false" ht="18" hidden="false" customHeight="true" outlineLevel="0" collapsed="false"/>
    <row r="6165" customFormat="false" ht="18" hidden="false" customHeight="true" outlineLevel="0" collapsed="false"/>
    <row r="6166" customFormat="false" ht="18" hidden="false" customHeight="true" outlineLevel="0" collapsed="false"/>
    <row r="6167" customFormat="false" ht="18" hidden="false" customHeight="true" outlineLevel="0" collapsed="false"/>
    <row r="6168" customFormat="false" ht="18" hidden="false" customHeight="true" outlineLevel="0" collapsed="false"/>
    <row r="6169" customFormat="false" ht="18" hidden="false" customHeight="true" outlineLevel="0" collapsed="false"/>
    <row r="6170" customFormat="false" ht="18" hidden="false" customHeight="true" outlineLevel="0" collapsed="false"/>
    <row r="6171" customFormat="false" ht="18" hidden="false" customHeight="true" outlineLevel="0" collapsed="false"/>
    <row r="6172" customFormat="false" ht="18" hidden="false" customHeight="true" outlineLevel="0" collapsed="false"/>
    <row r="6173" customFormat="false" ht="18" hidden="false" customHeight="true" outlineLevel="0" collapsed="false"/>
    <row r="6174" customFormat="false" ht="18" hidden="false" customHeight="true" outlineLevel="0" collapsed="false"/>
    <row r="6175" customFormat="false" ht="18" hidden="false" customHeight="true" outlineLevel="0" collapsed="false"/>
    <row r="6176" customFormat="false" ht="18" hidden="false" customHeight="true" outlineLevel="0" collapsed="false"/>
    <row r="6177" customFormat="false" ht="18" hidden="false" customHeight="true" outlineLevel="0" collapsed="false"/>
    <row r="6178" customFormat="false" ht="18" hidden="false" customHeight="true" outlineLevel="0" collapsed="false"/>
    <row r="6179" customFormat="false" ht="18" hidden="false" customHeight="true" outlineLevel="0" collapsed="false"/>
    <row r="6180" customFormat="false" ht="18" hidden="false" customHeight="true" outlineLevel="0" collapsed="false"/>
    <row r="6181" customFormat="false" ht="18" hidden="false" customHeight="true" outlineLevel="0" collapsed="false"/>
    <row r="6182" customFormat="false" ht="18" hidden="false" customHeight="true" outlineLevel="0" collapsed="false"/>
    <row r="6183" customFormat="false" ht="18" hidden="false" customHeight="true" outlineLevel="0" collapsed="false"/>
    <row r="6184" customFormat="false" ht="18" hidden="false" customHeight="true" outlineLevel="0" collapsed="false"/>
    <row r="6185" customFormat="false" ht="18" hidden="false" customHeight="true" outlineLevel="0" collapsed="false"/>
    <row r="6186" customFormat="false" ht="18" hidden="false" customHeight="true" outlineLevel="0" collapsed="false"/>
    <row r="6187" customFormat="false" ht="18" hidden="false" customHeight="true" outlineLevel="0" collapsed="false"/>
    <row r="6188" customFormat="false" ht="18" hidden="false" customHeight="true" outlineLevel="0" collapsed="false"/>
    <row r="6189" customFormat="false" ht="18" hidden="false" customHeight="true" outlineLevel="0" collapsed="false"/>
    <row r="6190" customFormat="false" ht="18" hidden="false" customHeight="true" outlineLevel="0" collapsed="false"/>
    <row r="6191" customFormat="false" ht="18" hidden="false" customHeight="true" outlineLevel="0" collapsed="false"/>
    <row r="6192" customFormat="false" ht="18" hidden="false" customHeight="true" outlineLevel="0" collapsed="false"/>
    <row r="6193" customFormat="false" ht="18" hidden="false" customHeight="true" outlineLevel="0" collapsed="false"/>
    <row r="6194" customFormat="false" ht="18" hidden="false" customHeight="true" outlineLevel="0" collapsed="false"/>
    <row r="6195" customFormat="false" ht="18" hidden="false" customHeight="true" outlineLevel="0" collapsed="false"/>
    <row r="6196" customFormat="false" ht="18" hidden="false" customHeight="true" outlineLevel="0" collapsed="false"/>
    <row r="6197" customFormat="false" ht="18" hidden="false" customHeight="true" outlineLevel="0" collapsed="false"/>
    <row r="6198" customFormat="false" ht="18" hidden="false" customHeight="true" outlineLevel="0" collapsed="false"/>
    <row r="6199" customFormat="false" ht="18" hidden="false" customHeight="true" outlineLevel="0" collapsed="false"/>
    <row r="6200" customFormat="false" ht="18" hidden="false" customHeight="true" outlineLevel="0" collapsed="false"/>
    <row r="6201" customFormat="false" ht="18" hidden="false" customHeight="true" outlineLevel="0" collapsed="false"/>
    <row r="6202" customFormat="false" ht="18" hidden="false" customHeight="true" outlineLevel="0" collapsed="false"/>
    <row r="6203" customFormat="false" ht="18" hidden="false" customHeight="true" outlineLevel="0" collapsed="false"/>
    <row r="6204" customFormat="false" ht="18" hidden="false" customHeight="true" outlineLevel="0" collapsed="false"/>
    <row r="6205" customFormat="false" ht="18" hidden="false" customHeight="true" outlineLevel="0" collapsed="false"/>
    <row r="6206" customFormat="false" ht="18" hidden="false" customHeight="true" outlineLevel="0" collapsed="false"/>
    <row r="6207" customFormat="false" ht="18" hidden="false" customHeight="true" outlineLevel="0" collapsed="false"/>
    <row r="6208" customFormat="false" ht="18" hidden="false" customHeight="true" outlineLevel="0" collapsed="false"/>
    <row r="6209" customFormat="false" ht="18" hidden="false" customHeight="true" outlineLevel="0" collapsed="false"/>
    <row r="6210" customFormat="false" ht="18" hidden="false" customHeight="true" outlineLevel="0" collapsed="false"/>
    <row r="6211" customFormat="false" ht="18" hidden="false" customHeight="true" outlineLevel="0" collapsed="false"/>
    <row r="6212" customFormat="false" ht="18" hidden="false" customHeight="true" outlineLevel="0" collapsed="false"/>
    <row r="6213" customFormat="false" ht="18" hidden="false" customHeight="true" outlineLevel="0" collapsed="false"/>
    <row r="6214" customFormat="false" ht="18" hidden="false" customHeight="true" outlineLevel="0" collapsed="false"/>
    <row r="6215" customFormat="false" ht="18" hidden="false" customHeight="true" outlineLevel="0" collapsed="false"/>
    <row r="6216" customFormat="false" ht="18" hidden="false" customHeight="true" outlineLevel="0" collapsed="false"/>
    <row r="6217" customFormat="false" ht="18" hidden="false" customHeight="true" outlineLevel="0" collapsed="false"/>
    <row r="6218" customFormat="false" ht="18" hidden="false" customHeight="true" outlineLevel="0" collapsed="false"/>
    <row r="6219" customFormat="false" ht="18" hidden="false" customHeight="true" outlineLevel="0" collapsed="false"/>
    <row r="6220" customFormat="false" ht="18" hidden="false" customHeight="true" outlineLevel="0" collapsed="false"/>
    <row r="6221" customFormat="false" ht="18" hidden="false" customHeight="true" outlineLevel="0" collapsed="false"/>
    <row r="6222" customFormat="false" ht="18" hidden="false" customHeight="true" outlineLevel="0" collapsed="false"/>
    <row r="6223" customFormat="false" ht="18" hidden="false" customHeight="true" outlineLevel="0" collapsed="false"/>
    <row r="6224" customFormat="false" ht="18" hidden="false" customHeight="true" outlineLevel="0" collapsed="false"/>
    <row r="6225" customFormat="false" ht="18" hidden="false" customHeight="true" outlineLevel="0" collapsed="false"/>
    <row r="6226" customFormat="false" ht="18" hidden="false" customHeight="true" outlineLevel="0" collapsed="false"/>
    <row r="6227" customFormat="false" ht="18" hidden="false" customHeight="true" outlineLevel="0" collapsed="false"/>
    <row r="6228" customFormat="false" ht="18" hidden="false" customHeight="true" outlineLevel="0" collapsed="false"/>
    <row r="6229" customFormat="false" ht="18" hidden="false" customHeight="true" outlineLevel="0" collapsed="false"/>
    <row r="6230" customFormat="false" ht="18" hidden="false" customHeight="true" outlineLevel="0" collapsed="false"/>
    <row r="6231" customFormat="false" ht="18" hidden="false" customHeight="true" outlineLevel="0" collapsed="false"/>
    <row r="6232" customFormat="false" ht="18" hidden="false" customHeight="true" outlineLevel="0" collapsed="false"/>
    <row r="6233" customFormat="false" ht="18" hidden="false" customHeight="true" outlineLevel="0" collapsed="false"/>
    <row r="6234" customFormat="false" ht="18" hidden="false" customHeight="true" outlineLevel="0" collapsed="false"/>
    <row r="6235" customFormat="false" ht="18" hidden="false" customHeight="true" outlineLevel="0" collapsed="false"/>
    <row r="6236" customFormat="false" ht="18" hidden="false" customHeight="true" outlineLevel="0" collapsed="false"/>
    <row r="6237" customFormat="false" ht="18" hidden="false" customHeight="true" outlineLevel="0" collapsed="false"/>
    <row r="6238" customFormat="false" ht="18" hidden="false" customHeight="true" outlineLevel="0" collapsed="false"/>
    <row r="6239" customFormat="false" ht="18" hidden="false" customHeight="true" outlineLevel="0" collapsed="false"/>
    <row r="6240" customFormat="false" ht="18" hidden="false" customHeight="true" outlineLevel="0" collapsed="false"/>
    <row r="6241" customFormat="false" ht="18" hidden="false" customHeight="true" outlineLevel="0" collapsed="false"/>
    <row r="6242" customFormat="false" ht="18" hidden="false" customHeight="true" outlineLevel="0" collapsed="false"/>
    <row r="6243" customFormat="false" ht="18" hidden="false" customHeight="true" outlineLevel="0" collapsed="false"/>
    <row r="6244" customFormat="false" ht="18" hidden="false" customHeight="true" outlineLevel="0" collapsed="false"/>
    <row r="6245" customFormat="false" ht="18" hidden="false" customHeight="true" outlineLevel="0" collapsed="false"/>
    <row r="6246" customFormat="false" ht="18" hidden="false" customHeight="true" outlineLevel="0" collapsed="false"/>
    <row r="6247" customFormat="false" ht="18" hidden="false" customHeight="true" outlineLevel="0" collapsed="false"/>
    <row r="6248" customFormat="false" ht="18" hidden="false" customHeight="true" outlineLevel="0" collapsed="false"/>
    <row r="6249" customFormat="false" ht="18" hidden="false" customHeight="true" outlineLevel="0" collapsed="false"/>
    <row r="6250" customFormat="false" ht="18" hidden="false" customHeight="true" outlineLevel="0" collapsed="false"/>
    <row r="6251" customFormat="false" ht="18" hidden="false" customHeight="true" outlineLevel="0" collapsed="false"/>
    <row r="6252" customFormat="false" ht="18" hidden="false" customHeight="true" outlineLevel="0" collapsed="false"/>
    <row r="6253" customFormat="false" ht="18" hidden="false" customHeight="true" outlineLevel="0" collapsed="false"/>
    <row r="6254" customFormat="false" ht="18" hidden="false" customHeight="true" outlineLevel="0" collapsed="false"/>
    <row r="6255" customFormat="false" ht="18" hidden="false" customHeight="true" outlineLevel="0" collapsed="false"/>
    <row r="6256" customFormat="false" ht="18" hidden="false" customHeight="true" outlineLevel="0" collapsed="false"/>
    <row r="6257" customFormat="false" ht="18" hidden="false" customHeight="true" outlineLevel="0" collapsed="false"/>
    <row r="6258" customFormat="false" ht="18" hidden="false" customHeight="true" outlineLevel="0" collapsed="false"/>
    <row r="6259" customFormat="false" ht="18" hidden="false" customHeight="true" outlineLevel="0" collapsed="false"/>
    <row r="6260" customFormat="false" ht="18" hidden="false" customHeight="true" outlineLevel="0" collapsed="false"/>
    <row r="6261" customFormat="false" ht="18" hidden="false" customHeight="true" outlineLevel="0" collapsed="false"/>
    <row r="6262" customFormat="false" ht="18" hidden="false" customHeight="true" outlineLevel="0" collapsed="false"/>
    <row r="6263" customFormat="false" ht="18" hidden="false" customHeight="true" outlineLevel="0" collapsed="false"/>
    <row r="6264" customFormat="false" ht="18" hidden="false" customHeight="true" outlineLevel="0" collapsed="false"/>
    <row r="6265" customFormat="false" ht="18" hidden="false" customHeight="true" outlineLevel="0" collapsed="false"/>
    <row r="6266" customFormat="false" ht="18" hidden="false" customHeight="true" outlineLevel="0" collapsed="false"/>
    <row r="6267" customFormat="false" ht="18" hidden="false" customHeight="true" outlineLevel="0" collapsed="false"/>
    <row r="6268" customFormat="false" ht="18" hidden="false" customHeight="true" outlineLevel="0" collapsed="false"/>
    <row r="6269" customFormat="false" ht="18" hidden="false" customHeight="true" outlineLevel="0" collapsed="false"/>
    <row r="6270" customFormat="false" ht="18" hidden="false" customHeight="true" outlineLevel="0" collapsed="false"/>
    <row r="6271" customFormat="false" ht="18" hidden="false" customHeight="true" outlineLevel="0" collapsed="false"/>
    <row r="6272" customFormat="false" ht="18" hidden="false" customHeight="true" outlineLevel="0" collapsed="false"/>
    <row r="6273" customFormat="false" ht="18" hidden="false" customHeight="true" outlineLevel="0" collapsed="false"/>
    <row r="6274" customFormat="false" ht="18" hidden="false" customHeight="true" outlineLevel="0" collapsed="false"/>
    <row r="6275" customFormat="false" ht="18" hidden="false" customHeight="true" outlineLevel="0" collapsed="false"/>
    <row r="6276" customFormat="false" ht="18" hidden="false" customHeight="true" outlineLevel="0" collapsed="false"/>
    <row r="6277" customFormat="false" ht="18" hidden="false" customHeight="true" outlineLevel="0" collapsed="false"/>
    <row r="6278" customFormat="false" ht="18" hidden="false" customHeight="true" outlineLevel="0" collapsed="false"/>
    <row r="6279" customFormat="false" ht="18" hidden="false" customHeight="true" outlineLevel="0" collapsed="false"/>
    <row r="6280" customFormat="false" ht="18" hidden="false" customHeight="true" outlineLevel="0" collapsed="false"/>
    <row r="6281" customFormat="false" ht="18" hidden="false" customHeight="true" outlineLevel="0" collapsed="false"/>
    <row r="6282" customFormat="false" ht="18" hidden="false" customHeight="true" outlineLevel="0" collapsed="false"/>
    <row r="6283" customFormat="false" ht="18" hidden="false" customHeight="true" outlineLevel="0" collapsed="false"/>
    <row r="6284" customFormat="false" ht="18" hidden="false" customHeight="true" outlineLevel="0" collapsed="false"/>
    <row r="6285" customFormat="false" ht="18" hidden="false" customHeight="true" outlineLevel="0" collapsed="false"/>
    <row r="6286" customFormat="false" ht="18" hidden="false" customHeight="true" outlineLevel="0" collapsed="false"/>
    <row r="6287" customFormat="false" ht="18" hidden="false" customHeight="true" outlineLevel="0" collapsed="false"/>
    <row r="6288" customFormat="false" ht="18" hidden="false" customHeight="true" outlineLevel="0" collapsed="false"/>
    <row r="6289" customFormat="false" ht="18" hidden="false" customHeight="true" outlineLevel="0" collapsed="false"/>
    <row r="6290" customFormat="false" ht="18" hidden="false" customHeight="true" outlineLevel="0" collapsed="false"/>
    <row r="6291" customFormat="false" ht="18" hidden="false" customHeight="true" outlineLevel="0" collapsed="false"/>
    <row r="6292" customFormat="false" ht="18" hidden="false" customHeight="true" outlineLevel="0" collapsed="false"/>
    <row r="6293" customFormat="false" ht="18" hidden="false" customHeight="true" outlineLevel="0" collapsed="false"/>
    <row r="6294" customFormat="false" ht="18" hidden="false" customHeight="true" outlineLevel="0" collapsed="false"/>
    <row r="6295" customFormat="false" ht="18" hidden="false" customHeight="true" outlineLevel="0" collapsed="false"/>
    <row r="6296" customFormat="false" ht="18" hidden="false" customHeight="true" outlineLevel="0" collapsed="false"/>
    <row r="6297" customFormat="false" ht="18" hidden="false" customHeight="true" outlineLevel="0" collapsed="false"/>
    <row r="6298" customFormat="false" ht="18" hidden="false" customHeight="true" outlineLevel="0" collapsed="false"/>
    <row r="6299" customFormat="false" ht="18" hidden="false" customHeight="true" outlineLevel="0" collapsed="false"/>
    <row r="6300" customFormat="false" ht="18" hidden="false" customHeight="true" outlineLevel="0" collapsed="false"/>
    <row r="6301" customFormat="false" ht="18" hidden="false" customHeight="true" outlineLevel="0" collapsed="false"/>
    <row r="6302" customFormat="false" ht="18" hidden="false" customHeight="true" outlineLevel="0" collapsed="false"/>
    <row r="6303" customFormat="false" ht="18" hidden="false" customHeight="true" outlineLevel="0" collapsed="false"/>
    <row r="6304" customFormat="false" ht="18" hidden="false" customHeight="true" outlineLevel="0" collapsed="false"/>
    <row r="6305" customFormat="false" ht="18" hidden="false" customHeight="true" outlineLevel="0" collapsed="false"/>
    <row r="6306" customFormat="false" ht="18" hidden="false" customHeight="true" outlineLevel="0" collapsed="false"/>
    <row r="6307" customFormat="false" ht="18" hidden="false" customHeight="true" outlineLevel="0" collapsed="false"/>
    <row r="6308" customFormat="false" ht="18" hidden="false" customHeight="true" outlineLevel="0" collapsed="false"/>
    <row r="6309" customFormat="false" ht="18" hidden="false" customHeight="true" outlineLevel="0" collapsed="false"/>
    <row r="6310" customFormat="false" ht="18" hidden="false" customHeight="true" outlineLevel="0" collapsed="false"/>
    <row r="6311" customFormat="false" ht="18" hidden="false" customHeight="true" outlineLevel="0" collapsed="false"/>
    <row r="6312" customFormat="false" ht="18" hidden="false" customHeight="true" outlineLevel="0" collapsed="false"/>
    <row r="6313" customFormat="false" ht="18" hidden="false" customHeight="true" outlineLevel="0" collapsed="false"/>
    <row r="6314" customFormat="false" ht="18" hidden="false" customHeight="true" outlineLevel="0" collapsed="false"/>
    <row r="6315" customFormat="false" ht="18" hidden="false" customHeight="true" outlineLevel="0" collapsed="false"/>
    <row r="6316" customFormat="false" ht="18" hidden="false" customHeight="true" outlineLevel="0" collapsed="false"/>
    <row r="6317" customFormat="false" ht="18" hidden="false" customHeight="true" outlineLevel="0" collapsed="false"/>
    <row r="6318" customFormat="false" ht="18" hidden="false" customHeight="true" outlineLevel="0" collapsed="false"/>
    <row r="6319" customFormat="false" ht="18" hidden="false" customHeight="true" outlineLevel="0" collapsed="false"/>
    <row r="6320" customFormat="false" ht="18" hidden="false" customHeight="true" outlineLevel="0" collapsed="false"/>
    <row r="6321" customFormat="false" ht="18" hidden="false" customHeight="true" outlineLevel="0" collapsed="false"/>
    <row r="6322" customFormat="false" ht="18" hidden="false" customHeight="true" outlineLevel="0" collapsed="false"/>
    <row r="6323" customFormat="false" ht="18" hidden="false" customHeight="true" outlineLevel="0" collapsed="false"/>
    <row r="6324" customFormat="false" ht="18" hidden="false" customHeight="true" outlineLevel="0" collapsed="false"/>
    <row r="6325" customFormat="false" ht="18" hidden="false" customHeight="true" outlineLevel="0" collapsed="false"/>
    <row r="6326" customFormat="false" ht="18" hidden="false" customHeight="true" outlineLevel="0" collapsed="false"/>
    <row r="6327" customFormat="false" ht="18" hidden="false" customHeight="true" outlineLevel="0" collapsed="false"/>
    <row r="6328" customFormat="false" ht="18" hidden="false" customHeight="true" outlineLevel="0" collapsed="false"/>
    <row r="6329" customFormat="false" ht="18" hidden="false" customHeight="true" outlineLevel="0" collapsed="false"/>
    <row r="6330" customFormat="false" ht="18" hidden="false" customHeight="true" outlineLevel="0" collapsed="false"/>
    <row r="6331" customFormat="false" ht="18" hidden="false" customHeight="true" outlineLevel="0" collapsed="false"/>
    <row r="6332" customFormat="false" ht="18" hidden="false" customHeight="true" outlineLevel="0" collapsed="false"/>
    <row r="6333" customFormat="false" ht="18" hidden="false" customHeight="true" outlineLevel="0" collapsed="false"/>
    <row r="6334" customFormat="false" ht="18" hidden="false" customHeight="true" outlineLevel="0" collapsed="false"/>
    <row r="6335" customFormat="false" ht="18" hidden="false" customHeight="true" outlineLevel="0" collapsed="false"/>
    <row r="6336" customFormat="false" ht="18" hidden="false" customHeight="true" outlineLevel="0" collapsed="false"/>
    <row r="6337" customFormat="false" ht="18" hidden="false" customHeight="true" outlineLevel="0" collapsed="false"/>
    <row r="6338" customFormat="false" ht="18" hidden="false" customHeight="true" outlineLevel="0" collapsed="false"/>
    <row r="6339" customFormat="false" ht="18" hidden="false" customHeight="true" outlineLevel="0" collapsed="false"/>
    <row r="6340" customFormat="false" ht="18" hidden="false" customHeight="true" outlineLevel="0" collapsed="false"/>
    <row r="6341" customFormat="false" ht="18" hidden="false" customHeight="true" outlineLevel="0" collapsed="false"/>
    <row r="6342" customFormat="false" ht="18" hidden="false" customHeight="true" outlineLevel="0" collapsed="false"/>
    <row r="6343" customFormat="false" ht="18" hidden="false" customHeight="true" outlineLevel="0" collapsed="false"/>
    <row r="6344" customFormat="false" ht="18" hidden="false" customHeight="true" outlineLevel="0" collapsed="false"/>
    <row r="6345" customFormat="false" ht="18" hidden="false" customHeight="true" outlineLevel="0" collapsed="false"/>
    <row r="6346" customFormat="false" ht="18" hidden="false" customHeight="true" outlineLevel="0" collapsed="false"/>
    <row r="6347" customFormat="false" ht="18" hidden="false" customHeight="true" outlineLevel="0" collapsed="false"/>
    <row r="6348" customFormat="false" ht="18" hidden="false" customHeight="true" outlineLevel="0" collapsed="false"/>
    <row r="6349" customFormat="false" ht="18" hidden="false" customHeight="true" outlineLevel="0" collapsed="false"/>
    <row r="6350" customFormat="false" ht="18" hidden="false" customHeight="true" outlineLevel="0" collapsed="false"/>
    <row r="6351" customFormat="false" ht="18" hidden="false" customHeight="true" outlineLevel="0" collapsed="false"/>
    <row r="6352" customFormat="false" ht="18" hidden="false" customHeight="true" outlineLevel="0" collapsed="false"/>
    <row r="6353" customFormat="false" ht="18" hidden="false" customHeight="true" outlineLevel="0" collapsed="false"/>
    <row r="6354" customFormat="false" ht="18" hidden="false" customHeight="true" outlineLevel="0" collapsed="false"/>
    <row r="6355" customFormat="false" ht="18" hidden="false" customHeight="true" outlineLevel="0" collapsed="false"/>
    <row r="6356" customFormat="false" ht="18" hidden="false" customHeight="true" outlineLevel="0" collapsed="false"/>
    <row r="6357" customFormat="false" ht="18" hidden="false" customHeight="true" outlineLevel="0" collapsed="false"/>
    <row r="6358" customFormat="false" ht="18" hidden="false" customHeight="true" outlineLevel="0" collapsed="false"/>
    <row r="6359" customFormat="false" ht="18" hidden="false" customHeight="true" outlineLevel="0" collapsed="false"/>
    <row r="6360" customFormat="false" ht="18" hidden="false" customHeight="true" outlineLevel="0" collapsed="false"/>
    <row r="6361" customFormat="false" ht="18" hidden="false" customHeight="true" outlineLevel="0" collapsed="false"/>
    <row r="6362" customFormat="false" ht="18" hidden="false" customHeight="true" outlineLevel="0" collapsed="false"/>
    <row r="6363" customFormat="false" ht="18" hidden="false" customHeight="true" outlineLevel="0" collapsed="false"/>
    <row r="6364" customFormat="false" ht="18" hidden="false" customHeight="true" outlineLevel="0" collapsed="false"/>
    <row r="6365" customFormat="false" ht="18" hidden="false" customHeight="true" outlineLevel="0" collapsed="false"/>
    <row r="6366" customFormat="false" ht="18" hidden="false" customHeight="true" outlineLevel="0" collapsed="false"/>
    <row r="6367" customFormat="false" ht="18" hidden="false" customHeight="true" outlineLevel="0" collapsed="false"/>
    <row r="6368" customFormat="false" ht="18" hidden="false" customHeight="true" outlineLevel="0" collapsed="false"/>
    <row r="6369" customFormat="false" ht="18" hidden="false" customHeight="true" outlineLevel="0" collapsed="false"/>
    <row r="6370" customFormat="false" ht="18" hidden="false" customHeight="true" outlineLevel="0" collapsed="false"/>
    <row r="6371" customFormat="false" ht="18" hidden="false" customHeight="true" outlineLevel="0" collapsed="false"/>
    <row r="6372" customFormat="false" ht="18" hidden="false" customHeight="true" outlineLevel="0" collapsed="false"/>
    <row r="6373" customFormat="false" ht="18" hidden="false" customHeight="true" outlineLevel="0" collapsed="false"/>
    <row r="6374" customFormat="false" ht="18" hidden="false" customHeight="true" outlineLevel="0" collapsed="false"/>
    <row r="6375" customFormat="false" ht="18" hidden="false" customHeight="true" outlineLevel="0" collapsed="false"/>
    <row r="6376" customFormat="false" ht="18" hidden="false" customHeight="true" outlineLevel="0" collapsed="false"/>
    <row r="6377" customFormat="false" ht="18" hidden="false" customHeight="true" outlineLevel="0" collapsed="false"/>
    <row r="6378" customFormat="false" ht="18" hidden="false" customHeight="true" outlineLevel="0" collapsed="false"/>
    <row r="6379" customFormat="false" ht="18" hidden="false" customHeight="true" outlineLevel="0" collapsed="false"/>
    <row r="6380" customFormat="false" ht="18" hidden="false" customHeight="true" outlineLevel="0" collapsed="false"/>
    <row r="6381" customFormat="false" ht="18" hidden="false" customHeight="true" outlineLevel="0" collapsed="false"/>
    <row r="6382" customFormat="false" ht="18" hidden="false" customHeight="true" outlineLevel="0" collapsed="false"/>
    <row r="6383" customFormat="false" ht="18" hidden="false" customHeight="true" outlineLevel="0" collapsed="false"/>
    <row r="6384" customFormat="false" ht="18" hidden="false" customHeight="true" outlineLevel="0" collapsed="false"/>
    <row r="6385" customFormat="false" ht="18" hidden="false" customHeight="true" outlineLevel="0" collapsed="false"/>
    <row r="6386" customFormat="false" ht="18" hidden="false" customHeight="true" outlineLevel="0" collapsed="false"/>
    <row r="6387" customFormat="false" ht="18" hidden="false" customHeight="true" outlineLevel="0" collapsed="false"/>
    <row r="6388" customFormat="false" ht="18" hidden="false" customHeight="true" outlineLevel="0" collapsed="false"/>
    <row r="6389" customFormat="false" ht="18" hidden="false" customHeight="true" outlineLevel="0" collapsed="false"/>
    <row r="6390" customFormat="false" ht="18" hidden="false" customHeight="true" outlineLevel="0" collapsed="false"/>
    <row r="6391" customFormat="false" ht="18" hidden="false" customHeight="true" outlineLevel="0" collapsed="false"/>
    <row r="6392" customFormat="false" ht="18" hidden="false" customHeight="true" outlineLevel="0" collapsed="false"/>
    <row r="6393" customFormat="false" ht="18" hidden="false" customHeight="true" outlineLevel="0" collapsed="false"/>
    <row r="6394" customFormat="false" ht="18" hidden="false" customHeight="true" outlineLevel="0" collapsed="false"/>
    <row r="6395" customFormat="false" ht="18" hidden="false" customHeight="true" outlineLevel="0" collapsed="false"/>
    <row r="6396" customFormat="false" ht="18" hidden="false" customHeight="true" outlineLevel="0" collapsed="false"/>
    <row r="6397" customFormat="false" ht="18" hidden="false" customHeight="true" outlineLevel="0" collapsed="false"/>
    <row r="6398" customFormat="false" ht="18" hidden="false" customHeight="true" outlineLevel="0" collapsed="false"/>
    <row r="6399" customFormat="false" ht="18" hidden="false" customHeight="true" outlineLevel="0" collapsed="false"/>
    <row r="6400" customFormat="false" ht="18" hidden="false" customHeight="true" outlineLevel="0" collapsed="false"/>
    <row r="6401" customFormat="false" ht="18" hidden="false" customHeight="true" outlineLevel="0" collapsed="false"/>
    <row r="6402" customFormat="false" ht="18" hidden="false" customHeight="true" outlineLevel="0" collapsed="false"/>
    <row r="6403" customFormat="false" ht="18" hidden="false" customHeight="true" outlineLevel="0" collapsed="false"/>
    <row r="6404" customFormat="false" ht="18" hidden="false" customHeight="true" outlineLevel="0" collapsed="false"/>
    <row r="6405" customFormat="false" ht="18" hidden="false" customHeight="true" outlineLevel="0" collapsed="false"/>
    <row r="6406" customFormat="false" ht="18" hidden="false" customHeight="true" outlineLevel="0" collapsed="false"/>
    <row r="6407" customFormat="false" ht="18" hidden="false" customHeight="true" outlineLevel="0" collapsed="false"/>
    <row r="6408" customFormat="false" ht="18" hidden="false" customHeight="true" outlineLevel="0" collapsed="false"/>
    <row r="6409" customFormat="false" ht="18" hidden="false" customHeight="true" outlineLevel="0" collapsed="false"/>
    <row r="6410" customFormat="false" ht="18" hidden="false" customHeight="true" outlineLevel="0" collapsed="false"/>
    <row r="6411" customFormat="false" ht="18" hidden="false" customHeight="true" outlineLevel="0" collapsed="false"/>
    <row r="6412" customFormat="false" ht="18" hidden="false" customHeight="true" outlineLevel="0" collapsed="false"/>
    <row r="6413" customFormat="false" ht="18" hidden="false" customHeight="true" outlineLevel="0" collapsed="false"/>
    <row r="6414" customFormat="false" ht="18" hidden="false" customHeight="true" outlineLevel="0" collapsed="false"/>
    <row r="6415" customFormat="false" ht="18" hidden="false" customHeight="true" outlineLevel="0" collapsed="false"/>
    <row r="6416" customFormat="false" ht="18" hidden="false" customHeight="true" outlineLevel="0" collapsed="false"/>
    <row r="6417" customFormat="false" ht="18" hidden="false" customHeight="true" outlineLevel="0" collapsed="false"/>
    <row r="6418" customFormat="false" ht="18" hidden="false" customHeight="true" outlineLevel="0" collapsed="false"/>
    <row r="6419" customFormat="false" ht="18" hidden="false" customHeight="true" outlineLevel="0" collapsed="false"/>
    <row r="6420" customFormat="false" ht="18" hidden="false" customHeight="true" outlineLevel="0" collapsed="false"/>
    <row r="6421" customFormat="false" ht="18" hidden="false" customHeight="true" outlineLevel="0" collapsed="false"/>
    <row r="6422" customFormat="false" ht="18" hidden="false" customHeight="true" outlineLevel="0" collapsed="false"/>
    <row r="6423" customFormat="false" ht="18" hidden="false" customHeight="true" outlineLevel="0" collapsed="false"/>
    <row r="6424" customFormat="false" ht="18" hidden="false" customHeight="true" outlineLevel="0" collapsed="false"/>
    <row r="6425" customFormat="false" ht="18" hidden="false" customHeight="true" outlineLevel="0" collapsed="false"/>
    <row r="6426" customFormat="false" ht="18" hidden="false" customHeight="true" outlineLevel="0" collapsed="false"/>
    <row r="6427" customFormat="false" ht="18" hidden="false" customHeight="true" outlineLevel="0" collapsed="false"/>
    <row r="6428" customFormat="false" ht="18" hidden="false" customHeight="true" outlineLevel="0" collapsed="false"/>
    <row r="6429" customFormat="false" ht="18" hidden="false" customHeight="true" outlineLevel="0" collapsed="false"/>
    <row r="6430" customFormat="false" ht="18" hidden="false" customHeight="true" outlineLevel="0" collapsed="false"/>
    <row r="6431" customFormat="false" ht="18" hidden="false" customHeight="true" outlineLevel="0" collapsed="false"/>
    <row r="6432" customFormat="false" ht="18" hidden="false" customHeight="true" outlineLevel="0" collapsed="false"/>
    <row r="6433" customFormat="false" ht="18" hidden="false" customHeight="true" outlineLevel="0" collapsed="false"/>
    <row r="6434" customFormat="false" ht="18" hidden="false" customHeight="true" outlineLevel="0" collapsed="false"/>
    <row r="6435" customFormat="false" ht="18" hidden="false" customHeight="true" outlineLevel="0" collapsed="false"/>
    <row r="6436" customFormat="false" ht="18" hidden="false" customHeight="true" outlineLevel="0" collapsed="false"/>
    <row r="6437" customFormat="false" ht="18" hidden="false" customHeight="true" outlineLevel="0" collapsed="false"/>
    <row r="6438" customFormat="false" ht="18" hidden="false" customHeight="true" outlineLevel="0" collapsed="false"/>
    <row r="6439" customFormat="false" ht="18" hidden="false" customHeight="true" outlineLevel="0" collapsed="false"/>
    <row r="6440" customFormat="false" ht="18" hidden="false" customHeight="true" outlineLevel="0" collapsed="false"/>
    <row r="6441" customFormat="false" ht="18" hidden="false" customHeight="true" outlineLevel="0" collapsed="false"/>
    <row r="6442" customFormat="false" ht="18" hidden="false" customHeight="true" outlineLevel="0" collapsed="false"/>
    <row r="6443" customFormat="false" ht="18" hidden="false" customHeight="true" outlineLevel="0" collapsed="false"/>
    <row r="6444" customFormat="false" ht="18" hidden="false" customHeight="true" outlineLevel="0" collapsed="false"/>
    <row r="6445" customFormat="false" ht="18" hidden="false" customHeight="true" outlineLevel="0" collapsed="false"/>
    <row r="6446" customFormat="false" ht="18" hidden="false" customHeight="true" outlineLevel="0" collapsed="false"/>
    <row r="6447" customFormat="false" ht="18" hidden="false" customHeight="true" outlineLevel="0" collapsed="false"/>
    <row r="6448" customFormat="false" ht="18" hidden="false" customHeight="true" outlineLevel="0" collapsed="false"/>
    <row r="6449" customFormat="false" ht="18" hidden="false" customHeight="true" outlineLevel="0" collapsed="false"/>
    <row r="6450" customFormat="false" ht="18" hidden="false" customHeight="true" outlineLevel="0" collapsed="false"/>
    <row r="6451" customFormat="false" ht="18" hidden="false" customHeight="true" outlineLevel="0" collapsed="false"/>
    <row r="6452" customFormat="false" ht="18" hidden="false" customHeight="true" outlineLevel="0" collapsed="false"/>
    <row r="6453" customFormat="false" ht="18" hidden="false" customHeight="true" outlineLevel="0" collapsed="false"/>
    <row r="6454" customFormat="false" ht="18" hidden="false" customHeight="true" outlineLevel="0" collapsed="false"/>
    <row r="6455" customFormat="false" ht="18" hidden="false" customHeight="true" outlineLevel="0" collapsed="false"/>
    <row r="6456" customFormat="false" ht="18" hidden="false" customHeight="true" outlineLevel="0" collapsed="false"/>
    <row r="6457" customFormat="false" ht="18" hidden="false" customHeight="true" outlineLevel="0" collapsed="false"/>
    <row r="6458" customFormat="false" ht="18" hidden="false" customHeight="true" outlineLevel="0" collapsed="false"/>
    <row r="6459" customFormat="false" ht="18" hidden="false" customHeight="true" outlineLevel="0" collapsed="false"/>
    <row r="6460" customFormat="false" ht="18" hidden="false" customHeight="true" outlineLevel="0" collapsed="false"/>
    <row r="6461" customFormat="false" ht="18" hidden="false" customHeight="true" outlineLevel="0" collapsed="false"/>
    <row r="6462" customFormat="false" ht="18" hidden="false" customHeight="true" outlineLevel="0" collapsed="false"/>
    <row r="6463" customFormat="false" ht="18" hidden="false" customHeight="true" outlineLevel="0" collapsed="false"/>
    <row r="6464" customFormat="false" ht="18" hidden="false" customHeight="true" outlineLevel="0" collapsed="false"/>
    <row r="6465" customFormat="false" ht="18" hidden="false" customHeight="true" outlineLevel="0" collapsed="false"/>
    <row r="6466" customFormat="false" ht="18" hidden="false" customHeight="true" outlineLevel="0" collapsed="false"/>
    <row r="6467" customFormat="false" ht="18" hidden="false" customHeight="true" outlineLevel="0" collapsed="false"/>
    <row r="6468" customFormat="false" ht="18" hidden="false" customHeight="true" outlineLevel="0" collapsed="false"/>
    <row r="6469" customFormat="false" ht="18" hidden="false" customHeight="true" outlineLevel="0" collapsed="false"/>
    <row r="6470" customFormat="false" ht="18" hidden="false" customHeight="true" outlineLevel="0" collapsed="false"/>
    <row r="6471" customFormat="false" ht="18" hidden="false" customHeight="true" outlineLevel="0" collapsed="false"/>
    <row r="6472" customFormat="false" ht="18" hidden="false" customHeight="true" outlineLevel="0" collapsed="false"/>
    <row r="6473" customFormat="false" ht="18" hidden="false" customHeight="true" outlineLevel="0" collapsed="false"/>
    <row r="6474" customFormat="false" ht="18" hidden="false" customHeight="true" outlineLevel="0" collapsed="false"/>
    <row r="6475" customFormat="false" ht="18" hidden="false" customHeight="true" outlineLevel="0" collapsed="false"/>
    <row r="6476" customFormat="false" ht="18" hidden="false" customHeight="true" outlineLevel="0" collapsed="false"/>
    <row r="6477" customFormat="false" ht="18" hidden="false" customHeight="true" outlineLevel="0" collapsed="false"/>
    <row r="6478" customFormat="false" ht="18" hidden="false" customHeight="true" outlineLevel="0" collapsed="false"/>
    <row r="6479" customFormat="false" ht="18" hidden="false" customHeight="true" outlineLevel="0" collapsed="false"/>
    <row r="6480" customFormat="false" ht="18" hidden="false" customHeight="true" outlineLevel="0" collapsed="false"/>
    <row r="6481" customFormat="false" ht="18" hidden="false" customHeight="true" outlineLevel="0" collapsed="false"/>
    <row r="6482" customFormat="false" ht="18" hidden="false" customHeight="true" outlineLevel="0" collapsed="false"/>
    <row r="6483" customFormat="false" ht="18" hidden="false" customHeight="true" outlineLevel="0" collapsed="false"/>
    <row r="6484" customFormat="false" ht="18" hidden="false" customHeight="true" outlineLevel="0" collapsed="false"/>
    <row r="6485" customFormat="false" ht="18" hidden="false" customHeight="true" outlineLevel="0" collapsed="false"/>
    <row r="6486" customFormat="false" ht="18" hidden="false" customHeight="true" outlineLevel="0" collapsed="false"/>
    <row r="6487" customFormat="false" ht="18" hidden="false" customHeight="true" outlineLevel="0" collapsed="false"/>
    <row r="6488" customFormat="false" ht="18" hidden="false" customHeight="true" outlineLevel="0" collapsed="false"/>
    <row r="6489" customFormat="false" ht="18" hidden="false" customHeight="true" outlineLevel="0" collapsed="false"/>
    <row r="6490" customFormat="false" ht="18" hidden="false" customHeight="true" outlineLevel="0" collapsed="false"/>
    <row r="6491" customFormat="false" ht="18" hidden="false" customHeight="true" outlineLevel="0" collapsed="false"/>
    <row r="6492" customFormat="false" ht="18" hidden="false" customHeight="true" outlineLevel="0" collapsed="false"/>
    <row r="6493" customFormat="false" ht="18" hidden="false" customHeight="true" outlineLevel="0" collapsed="false"/>
    <row r="6494" customFormat="false" ht="18" hidden="false" customHeight="true" outlineLevel="0" collapsed="false"/>
    <row r="6495" customFormat="false" ht="18" hidden="false" customHeight="true" outlineLevel="0" collapsed="false"/>
    <row r="6496" customFormat="false" ht="18" hidden="false" customHeight="true" outlineLevel="0" collapsed="false"/>
    <row r="6497" customFormat="false" ht="18" hidden="false" customHeight="true" outlineLevel="0" collapsed="false"/>
    <row r="6498" customFormat="false" ht="18" hidden="false" customHeight="true" outlineLevel="0" collapsed="false"/>
    <row r="6499" customFormat="false" ht="18" hidden="false" customHeight="true" outlineLevel="0" collapsed="false"/>
    <row r="6500" customFormat="false" ht="18" hidden="false" customHeight="true" outlineLevel="0" collapsed="false"/>
    <row r="6501" customFormat="false" ht="18" hidden="false" customHeight="true" outlineLevel="0" collapsed="false"/>
    <row r="6502" customFormat="false" ht="18" hidden="false" customHeight="true" outlineLevel="0" collapsed="false"/>
    <row r="6503" customFormat="false" ht="18" hidden="false" customHeight="true" outlineLevel="0" collapsed="false"/>
    <row r="6504" customFormat="false" ht="18" hidden="false" customHeight="true" outlineLevel="0" collapsed="false"/>
    <row r="6505" customFormat="false" ht="18" hidden="false" customHeight="true" outlineLevel="0" collapsed="false"/>
    <row r="6506" customFormat="false" ht="18" hidden="false" customHeight="true" outlineLevel="0" collapsed="false"/>
    <row r="6507" customFormat="false" ht="18" hidden="false" customHeight="true" outlineLevel="0" collapsed="false"/>
    <row r="6508" customFormat="false" ht="18" hidden="false" customHeight="true" outlineLevel="0" collapsed="false"/>
    <row r="6509" customFormat="false" ht="18" hidden="false" customHeight="true" outlineLevel="0" collapsed="false"/>
    <row r="6510" customFormat="false" ht="18" hidden="false" customHeight="true" outlineLevel="0" collapsed="false"/>
    <row r="6511" customFormat="false" ht="18" hidden="false" customHeight="true" outlineLevel="0" collapsed="false"/>
    <row r="6512" customFormat="false" ht="18" hidden="false" customHeight="true" outlineLevel="0" collapsed="false"/>
    <row r="6513" customFormat="false" ht="18" hidden="false" customHeight="true" outlineLevel="0" collapsed="false"/>
    <row r="6514" customFormat="false" ht="18" hidden="false" customHeight="true" outlineLevel="0" collapsed="false"/>
    <row r="6515" customFormat="false" ht="18" hidden="false" customHeight="true" outlineLevel="0" collapsed="false"/>
    <row r="6516" customFormat="false" ht="18" hidden="false" customHeight="true" outlineLevel="0" collapsed="false"/>
    <row r="6517" customFormat="false" ht="18" hidden="false" customHeight="true" outlineLevel="0" collapsed="false"/>
    <row r="6518" customFormat="false" ht="18" hidden="false" customHeight="true" outlineLevel="0" collapsed="false"/>
    <row r="6519" customFormat="false" ht="18" hidden="false" customHeight="true" outlineLevel="0" collapsed="false"/>
    <row r="6520" customFormat="false" ht="18" hidden="false" customHeight="true" outlineLevel="0" collapsed="false"/>
    <row r="6521" customFormat="false" ht="18" hidden="false" customHeight="true" outlineLevel="0" collapsed="false"/>
    <row r="6522" customFormat="false" ht="18" hidden="false" customHeight="true" outlineLevel="0" collapsed="false"/>
    <row r="6523" customFormat="false" ht="18" hidden="false" customHeight="true" outlineLevel="0" collapsed="false"/>
    <row r="6524" customFormat="false" ht="18" hidden="false" customHeight="true" outlineLevel="0" collapsed="false"/>
    <row r="6525" customFormat="false" ht="18" hidden="false" customHeight="true" outlineLevel="0" collapsed="false"/>
    <row r="6526" customFormat="false" ht="18" hidden="false" customHeight="true" outlineLevel="0" collapsed="false"/>
    <row r="6527" customFormat="false" ht="18" hidden="false" customHeight="true" outlineLevel="0" collapsed="false"/>
    <row r="6528" customFormat="false" ht="18" hidden="false" customHeight="true" outlineLevel="0" collapsed="false"/>
    <row r="6529" customFormat="false" ht="18" hidden="false" customHeight="true" outlineLevel="0" collapsed="false"/>
    <row r="6530" customFormat="false" ht="18" hidden="false" customHeight="true" outlineLevel="0" collapsed="false"/>
    <row r="6531" customFormat="false" ht="18" hidden="false" customHeight="true" outlineLevel="0" collapsed="false"/>
    <row r="6532" customFormat="false" ht="18" hidden="false" customHeight="true" outlineLevel="0" collapsed="false"/>
    <row r="6533" customFormat="false" ht="18" hidden="false" customHeight="true" outlineLevel="0" collapsed="false"/>
    <row r="6534" customFormat="false" ht="18" hidden="false" customHeight="true" outlineLevel="0" collapsed="false"/>
    <row r="6535" customFormat="false" ht="18" hidden="false" customHeight="true" outlineLevel="0" collapsed="false"/>
    <row r="6536" customFormat="false" ht="18" hidden="false" customHeight="true" outlineLevel="0" collapsed="false"/>
    <row r="6537" customFormat="false" ht="18" hidden="false" customHeight="true" outlineLevel="0" collapsed="false"/>
    <row r="6538" customFormat="false" ht="18" hidden="false" customHeight="true" outlineLevel="0" collapsed="false"/>
    <row r="6539" customFormat="false" ht="18" hidden="false" customHeight="true" outlineLevel="0" collapsed="false"/>
    <row r="6540" customFormat="false" ht="18" hidden="false" customHeight="true" outlineLevel="0" collapsed="false"/>
    <row r="6541" customFormat="false" ht="18" hidden="false" customHeight="true" outlineLevel="0" collapsed="false"/>
    <row r="6542" customFormat="false" ht="18" hidden="false" customHeight="true" outlineLevel="0" collapsed="false"/>
    <row r="6543" customFormat="false" ht="18" hidden="false" customHeight="true" outlineLevel="0" collapsed="false"/>
    <row r="6544" customFormat="false" ht="18" hidden="false" customHeight="true" outlineLevel="0" collapsed="false"/>
    <row r="6545" customFormat="false" ht="18" hidden="false" customHeight="true" outlineLevel="0" collapsed="false"/>
    <row r="6546" customFormat="false" ht="18" hidden="false" customHeight="true" outlineLevel="0" collapsed="false"/>
    <row r="6547" customFormat="false" ht="18" hidden="false" customHeight="true" outlineLevel="0" collapsed="false"/>
    <row r="6548" customFormat="false" ht="18" hidden="false" customHeight="true" outlineLevel="0" collapsed="false"/>
    <row r="6549" customFormat="false" ht="18" hidden="false" customHeight="true" outlineLevel="0" collapsed="false"/>
    <row r="6550" customFormat="false" ht="18" hidden="false" customHeight="true" outlineLevel="0" collapsed="false"/>
    <row r="6551" customFormat="false" ht="18" hidden="false" customHeight="true" outlineLevel="0" collapsed="false"/>
    <row r="6552" customFormat="false" ht="18" hidden="false" customHeight="true" outlineLevel="0" collapsed="false"/>
    <row r="6553" customFormat="false" ht="18" hidden="false" customHeight="true" outlineLevel="0" collapsed="false"/>
    <row r="6554" customFormat="false" ht="18" hidden="false" customHeight="true" outlineLevel="0" collapsed="false"/>
    <row r="6555" customFormat="false" ht="18" hidden="false" customHeight="true" outlineLevel="0" collapsed="false"/>
    <row r="6556" customFormat="false" ht="18" hidden="false" customHeight="true" outlineLevel="0" collapsed="false"/>
    <row r="6557" customFormat="false" ht="18" hidden="false" customHeight="true" outlineLevel="0" collapsed="false"/>
    <row r="6558" customFormat="false" ht="18" hidden="false" customHeight="true" outlineLevel="0" collapsed="false"/>
    <row r="6559" customFormat="false" ht="18" hidden="false" customHeight="true" outlineLevel="0" collapsed="false"/>
    <row r="6560" customFormat="false" ht="18" hidden="false" customHeight="true" outlineLevel="0" collapsed="false"/>
    <row r="6561" customFormat="false" ht="18" hidden="false" customHeight="true" outlineLevel="0" collapsed="false"/>
    <row r="6562" customFormat="false" ht="18" hidden="false" customHeight="true" outlineLevel="0" collapsed="false"/>
    <row r="6563" customFormat="false" ht="18" hidden="false" customHeight="true" outlineLevel="0" collapsed="false"/>
    <row r="6564" customFormat="false" ht="18" hidden="false" customHeight="true" outlineLevel="0" collapsed="false"/>
    <row r="6565" customFormat="false" ht="18" hidden="false" customHeight="true" outlineLevel="0" collapsed="false"/>
    <row r="6566" customFormat="false" ht="18" hidden="false" customHeight="true" outlineLevel="0" collapsed="false"/>
    <row r="6567" customFormat="false" ht="18" hidden="false" customHeight="true" outlineLevel="0" collapsed="false"/>
    <row r="6568" customFormat="false" ht="18" hidden="false" customHeight="true" outlineLevel="0" collapsed="false"/>
    <row r="6569" customFormat="false" ht="18" hidden="false" customHeight="true" outlineLevel="0" collapsed="false"/>
    <row r="6570" customFormat="false" ht="18" hidden="false" customHeight="true" outlineLevel="0" collapsed="false"/>
    <row r="6571" customFormat="false" ht="18" hidden="false" customHeight="true" outlineLevel="0" collapsed="false"/>
    <row r="6572" customFormat="false" ht="18" hidden="false" customHeight="true" outlineLevel="0" collapsed="false"/>
    <row r="6573" customFormat="false" ht="18" hidden="false" customHeight="true" outlineLevel="0" collapsed="false"/>
    <row r="6574" customFormat="false" ht="18" hidden="false" customHeight="true" outlineLevel="0" collapsed="false"/>
    <row r="6575" customFormat="false" ht="18" hidden="false" customHeight="true" outlineLevel="0" collapsed="false"/>
    <row r="6576" customFormat="false" ht="18" hidden="false" customHeight="true" outlineLevel="0" collapsed="false"/>
    <row r="6577" customFormat="false" ht="18" hidden="false" customHeight="true" outlineLevel="0" collapsed="false"/>
    <row r="6578" customFormat="false" ht="18" hidden="false" customHeight="true" outlineLevel="0" collapsed="false"/>
    <row r="6579" customFormat="false" ht="18" hidden="false" customHeight="true" outlineLevel="0" collapsed="false"/>
    <row r="6580" customFormat="false" ht="18" hidden="false" customHeight="true" outlineLevel="0" collapsed="false"/>
    <row r="6581" customFormat="false" ht="18" hidden="false" customHeight="true" outlineLevel="0" collapsed="false"/>
    <row r="6582" customFormat="false" ht="18" hidden="false" customHeight="true" outlineLevel="0" collapsed="false"/>
    <row r="6583" customFormat="false" ht="18" hidden="false" customHeight="true" outlineLevel="0" collapsed="false"/>
    <row r="6584" customFormat="false" ht="18" hidden="false" customHeight="true" outlineLevel="0" collapsed="false"/>
    <row r="6585" customFormat="false" ht="18" hidden="false" customHeight="true" outlineLevel="0" collapsed="false"/>
    <row r="6586" customFormat="false" ht="18" hidden="false" customHeight="true" outlineLevel="0" collapsed="false"/>
    <row r="6587" customFormat="false" ht="18" hidden="false" customHeight="true" outlineLevel="0" collapsed="false"/>
    <row r="6588" customFormat="false" ht="18" hidden="false" customHeight="true" outlineLevel="0" collapsed="false"/>
    <row r="6589" customFormat="false" ht="18" hidden="false" customHeight="true" outlineLevel="0" collapsed="false"/>
    <row r="6590" customFormat="false" ht="18" hidden="false" customHeight="true" outlineLevel="0" collapsed="false"/>
    <row r="6591" customFormat="false" ht="18" hidden="false" customHeight="true" outlineLevel="0" collapsed="false"/>
    <row r="6592" customFormat="false" ht="18" hidden="false" customHeight="true" outlineLevel="0" collapsed="false"/>
    <row r="6593" customFormat="false" ht="18" hidden="false" customHeight="true" outlineLevel="0" collapsed="false"/>
    <row r="6594" customFormat="false" ht="18" hidden="false" customHeight="true" outlineLevel="0" collapsed="false"/>
    <row r="6595" customFormat="false" ht="18" hidden="false" customHeight="true" outlineLevel="0" collapsed="false"/>
    <row r="6596" customFormat="false" ht="18" hidden="false" customHeight="true" outlineLevel="0" collapsed="false"/>
    <row r="6597" customFormat="false" ht="18" hidden="false" customHeight="true" outlineLevel="0" collapsed="false"/>
    <row r="6598" customFormat="false" ht="18" hidden="false" customHeight="true" outlineLevel="0" collapsed="false"/>
    <row r="6599" customFormat="false" ht="18" hidden="false" customHeight="true" outlineLevel="0" collapsed="false"/>
    <row r="6600" customFormat="false" ht="18" hidden="false" customHeight="true" outlineLevel="0" collapsed="false"/>
    <row r="6601" customFormat="false" ht="18" hidden="false" customHeight="true" outlineLevel="0" collapsed="false"/>
    <row r="6602" customFormat="false" ht="18" hidden="false" customHeight="true" outlineLevel="0" collapsed="false"/>
    <row r="6603" customFormat="false" ht="18" hidden="false" customHeight="true" outlineLevel="0" collapsed="false"/>
    <row r="6604" customFormat="false" ht="18" hidden="false" customHeight="true" outlineLevel="0" collapsed="false"/>
    <row r="6605" customFormat="false" ht="18" hidden="false" customHeight="true" outlineLevel="0" collapsed="false"/>
    <row r="6606" customFormat="false" ht="18" hidden="false" customHeight="true" outlineLevel="0" collapsed="false"/>
    <row r="6607" customFormat="false" ht="18" hidden="false" customHeight="true" outlineLevel="0" collapsed="false"/>
    <row r="6608" customFormat="false" ht="18" hidden="false" customHeight="true" outlineLevel="0" collapsed="false"/>
    <row r="6609" customFormat="false" ht="18" hidden="false" customHeight="true" outlineLevel="0" collapsed="false"/>
    <row r="6610" customFormat="false" ht="18" hidden="false" customHeight="true" outlineLevel="0" collapsed="false"/>
    <row r="6611" customFormat="false" ht="18" hidden="false" customHeight="true" outlineLevel="0" collapsed="false"/>
    <row r="6612" customFormat="false" ht="18" hidden="false" customHeight="true" outlineLevel="0" collapsed="false"/>
    <row r="6613" customFormat="false" ht="18" hidden="false" customHeight="true" outlineLevel="0" collapsed="false"/>
    <row r="6614" customFormat="false" ht="18" hidden="false" customHeight="true" outlineLevel="0" collapsed="false"/>
    <row r="6615" customFormat="false" ht="18" hidden="false" customHeight="true" outlineLevel="0" collapsed="false"/>
    <row r="6616" customFormat="false" ht="18" hidden="false" customHeight="true" outlineLevel="0" collapsed="false"/>
    <row r="6617" customFormat="false" ht="18" hidden="false" customHeight="true" outlineLevel="0" collapsed="false"/>
    <row r="6618" customFormat="false" ht="18" hidden="false" customHeight="true" outlineLevel="0" collapsed="false"/>
    <row r="6619" customFormat="false" ht="18" hidden="false" customHeight="true" outlineLevel="0" collapsed="false"/>
    <row r="6620" customFormat="false" ht="18" hidden="false" customHeight="true" outlineLevel="0" collapsed="false"/>
    <row r="6621" customFormat="false" ht="18" hidden="false" customHeight="true" outlineLevel="0" collapsed="false"/>
    <row r="6622" customFormat="false" ht="18" hidden="false" customHeight="true" outlineLevel="0" collapsed="false"/>
    <row r="6623" customFormat="false" ht="18" hidden="false" customHeight="true" outlineLevel="0" collapsed="false"/>
    <row r="6624" customFormat="false" ht="18" hidden="false" customHeight="true" outlineLevel="0" collapsed="false"/>
    <row r="6625" customFormat="false" ht="18" hidden="false" customHeight="true" outlineLevel="0" collapsed="false"/>
    <row r="6626" customFormat="false" ht="18" hidden="false" customHeight="true" outlineLevel="0" collapsed="false"/>
    <row r="6627" customFormat="false" ht="18" hidden="false" customHeight="true" outlineLevel="0" collapsed="false"/>
    <row r="6628" customFormat="false" ht="18" hidden="false" customHeight="true" outlineLevel="0" collapsed="false"/>
    <row r="6629" customFormat="false" ht="18" hidden="false" customHeight="true" outlineLevel="0" collapsed="false"/>
    <row r="6630" customFormat="false" ht="18" hidden="false" customHeight="true" outlineLevel="0" collapsed="false"/>
    <row r="6631" customFormat="false" ht="18" hidden="false" customHeight="true" outlineLevel="0" collapsed="false"/>
    <row r="6632" customFormat="false" ht="18" hidden="false" customHeight="true" outlineLevel="0" collapsed="false"/>
    <row r="6633" customFormat="false" ht="18" hidden="false" customHeight="true" outlineLevel="0" collapsed="false"/>
    <row r="6634" customFormat="false" ht="18" hidden="false" customHeight="true" outlineLevel="0" collapsed="false"/>
    <row r="6635" customFormat="false" ht="18" hidden="false" customHeight="true" outlineLevel="0" collapsed="false"/>
    <row r="6636" customFormat="false" ht="18" hidden="false" customHeight="true" outlineLevel="0" collapsed="false"/>
    <row r="6637" customFormat="false" ht="18" hidden="false" customHeight="true" outlineLevel="0" collapsed="false"/>
    <row r="6638" customFormat="false" ht="18" hidden="false" customHeight="true" outlineLevel="0" collapsed="false"/>
    <row r="6639" customFormat="false" ht="18" hidden="false" customHeight="true" outlineLevel="0" collapsed="false"/>
    <row r="6640" customFormat="false" ht="18" hidden="false" customHeight="true" outlineLevel="0" collapsed="false"/>
    <row r="6641" customFormat="false" ht="18" hidden="false" customHeight="true" outlineLevel="0" collapsed="false"/>
    <row r="6642" customFormat="false" ht="18" hidden="false" customHeight="true" outlineLevel="0" collapsed="false"/>
    <row r="6643" customFormat="false" ht="18" hidden="false" customHeight="true" outlineLevel="0" collapsed="false"/>
    <row r="6644" customFormat="false" ht="18" hidden="false" customHeight="true" outlineLevel="0" collapsed="false"/>
    <row r="6645" customFormat="false" ht="18" hidden="false" customHeight="true" outlineLevel="0" collapsed="false"/>
    <row r="6646" customFormat="false" ht="18" hidden="false" customHeight="true" outlineLevel="0" collapsed="false"/>
    <row r="6647" customFormat="false" ht="18" hidden="false" customHeight="true" outlineLevel="0" collapsed="false"/>
    <row r="6648" customFormat="false" ht="18" hidden="false" customHeight="true" outlineLevel="0" collapsed="false"/>
    <row r="6649" customFormat="false" ht="18" hidden="false" customHeight="true" outlineLevel="0" collapsed="false"/>
    <row r="6650" customFormat="false" ht="18" hidden="false" customHeight="true" outlineLevel="0" collapsed="false"/>
    <row r="6651" customFormat="false" ht="18" hidden="false" customHeight="true" outlineLevel="0" collapsed="false"/>
    <row r="6652" customFormat="false" ht="18" hidden="false" customHeight="true" outlineLevel="0" collapsed="false"/>
    <row r="6653" customFormat="false" ht="18" hidden="false" customHeight="true" outlineLevel="0" collapsed="false"/>
    <row r="6654" customFormat="false" ht="18" hidden="false" customHeight="true" outlineLevel="0" collapsed="false"/>
    <row r="6655" customFormat="false" ht="18" hidden="false" customHeight="true" outlineLevel="0" collapsed="false"/>
    <row r="6656" customFormat="false" ht="18" hidden="false" customHeight="true" outlineLevel="0" collapsed="false"/>
    <row r="6657" customFormat="false" ht="18" hidden="false" customHeight="true" outlineLevel="0" collapsed="false"/>
    <row r="6658" customFormat="false" ht="18" hidden="false" customHeight="true" outlineLevel="0" collapsed="false"/>
    <row r="6659" customFormat="false" ht="18" hidden="false" customHeight="true" outlineLevel="0" collapsed="false"/>
    <row r="6660" customFormat="false" ht="18" hidden="false" customHeight="true" outlineLevel="0" collapsed="false"/>
    <row r="6661" customFormat="false" ht="18" hidden="false" customHeight="true" outlineLevel="0" collapsed="false"/>
    <row r="6662" customFormat="false" ht="18" hidden="false" customHeight="true" outlineLevel="0" collapsed="false"/>
    <row r="6663" customFormat="false" ht="18" hidden="false" customHeight="true" outlineLevel="0" collapsed="false"/>
    <row r="6664" customFormat="false" ht="18" hidden="false" customHeight="true" outlineLevel="0" collapsed="false"/>
    <row r="6665" customFormat="false" ht="18" hidden="false" customHeight="true" outlineLevel="0" collapsed="false"/>
    <row r="6666" customFormat="false" ht="18" hidden="false" customHeight="true" outlineLevel="0" collapsed="false"/>
    <row r="6667" customFormat="false" ht="18" hidden="false" customHeight="true" outlineLevel="0" collapsed="false"/>
    <row r="6668" customFormat="false" ht="18" hidden="false" customHeight="true" outlineLevel="0" collapsed="false"/>
    <row r="6669" customFormat="false" ht="18" hidden="false" customHeight="true" outlineLevel="0" collapsed="false"/>
    <row r="6670" customFormat="false" ht="18" hidden="false" customHeight="true" outlineLevel="0" collapsed="false"/>
    <row r="6671" customFormat="false" ht="18" hidden="false" customHeight="true" outlineLevel="0" collapsed="false"/>
    <row r="6672" customFormat="false" ht="18" hidden="false" customHeight="true" outlineLevel="0" collapsed="false"/>
    <row r="6673" customFormat="false" ht="18" hidden="false" customHeight="true" outlineLevel="0" collapsed="false"/>
    <row r="6674" customFormat="false" ht="18" hidden="false" customHeight="true" outlineLevel="0" collapsed="false"/>
    <row r="6675" customFormat="false" ht="18" hidden="false" customHeight="true" outlineLevel="0" collapsed="false"/>
    <row r="6676" customFormat="false" ht="18" hidden="false" customHeight="true" outlineLevel="0" collapsed="false"/>
    <row r="6677" customFormat="false" ht="18" hidden="false" customHeight="true" outlineLevel="0" collapsed="false"/>
    <row r="6678" customFormat="false" ht="18" hidden="false" customHeight="true" outlineLevel="0" collapsed="false"/>
    <row r="6679" customFormat="false" ht="18" hidden="false" customHeight="true" outlineLevel="0" collapsed="false"/>
    <row r="6680" customFormat="false" ht="18" hidden="false" customHeight="true" outlineLevel="0" collapsed="false"/>
    <row r="6681" customFormat="false" ht="18" hidden="false" customHeight="true" outlineLevel="0" collapsed="false"/>
    <row r="6682" customFormat="false" ht="18" hidden="false" customHeight="true" outlineLevel="0" collapsed="false"/>
    <row r="6683" customFormat="false" ht="18" hidden="false" customHeight="true" outlineLevel="0" collapsed="false"/>
    <row r="6684" customFormat="false" ht="18" hidden="false" customHeight="true" outlineLevel="0" collapsed="false"/>
    <row r="6685" customFormat="false" ht="18" hidden="false" customHeight="true" outlineLevel="0" collapsed="false"/>
    <row r="6686" customFormat="false" ht="18" hidden="false" customHeight="true" outlineLevel="0" collapsed="false"/>
    <row r="6687" customFormat="false" ht="18" hidden="false" customHeight="true" outlineLevel="0" collapsed="false"/>
    <row r="6688" customFormat="false" ht="18" hidden="false" customHeight="true" outlineLevel="0" collapsed="false"/>
    <row r="6689" customFormat="false" ht="18" hidden="false" customHeight="true" outlineLevel="0" collapsed="false"/>
    <row r="6690" customFormat="false" ht="18" hidden="false" customHeight="true" outlineLevel="0" collapsed="false"/>
    <row r="6691" customFormat="false" ht="18" hidden="false" customHeight="true" outlineLevel="0" collapsed="false"/>
    <row r="6692" customFormat="false" ht="18" hidden="false" customHeight="true" outlineLevel="0" collapsed="false"/>
    <row r="6693" customFormat="false" ht="18" hidden="false" customHeight="true" outlineLevel="0" collapsed="false"/>
    <row r="6694" customFormat="false" ht="18" hidden="false" customHeight="true" outlineLevel="0" collapsed="false"/>
    <row r="6695" customFormat="false" ht="18" hidden="false" customHeight="true" outlineLevel="0" collapsed="false"/>
    <row r="6696" customFormat="false" ht="18" hidden="false" customHeight="true" outlineLevel="0" collapsed="false"/>
    <row r="6697" customFormat="false" ht="18" hidden="false" customHeight="true" outlineLevel="0" collapsed="false"/>
    <row r="6698" customFormat="false" ht="18" hidden="false" customHeight="true" outlineLevel="0" collapsed="false"/>
    <row r="6699" customFormat="false" ht="18" hidden="false" customHeight="true" outlineLevel="0" collapsed="false"/>
    <row r="6700" customFormat="false" ht="18" hidden="false" customHeight="true" outlineLevel="0" collapsed="false"/>
    <row r="6701" customFormat="false" ht="18" hidden="false" customHeight="true" outlineLevel="0" collapsed="false"/>
    <row r="6702" customFormat="false" ht="18" hidden="false" customHeight="true" outlineLevel="0" collapsed="false"/>
    <row r="6703" customFormat="false" ht="18" hidden="false" customHeight="true" outlineLevel="0" collapsed="false"/>
    <row r="6704" customFormat="false" ht="18" hidden="false" customHeight="true" outlineLevel="0" collapsed="false"/>
    <row r="6705" customFormat="false" ht="18" hidden="false" customHeight="true" outlineLevel="0" collapsed="false"/>
    <row r="6706" customFormat="false" ht="18" hidden="false" customHeight="true" outlineLevel="0" collapsed="false"/>
    <row r="6707" customFormat="false" ht="18" hidden="false" customHeight="true" outlineLevel="0" collapsed="false"/>
    <row r="6708" customFormat="false" ht="18" hidden="false" customHeight="true" outlineLevel="0" collapsed="false"/>
    <row r="6709" customFormat="false" ht="18" hidden="false" customHeight="true" outlineLevel="0" collapsed="false"/>
    <row r="6710" customFormat="false" ht="18" hidden="false" customHeight="true" outlineLevel="0" collapsed="false"/>
    <row r="6711" customFormat="false" ht="18" hidden="false" customHeight="true" outlineLevel="0" collapsed="false"/>
    <row r="6712" customFormat="false" ht="18" hidden="false" customHeight="true" outlineLevel="0" collapsed="false"/>
    <row r="6713" customFormat="false" ht="18" hidden="false" customHeight="true" outlineLevel="0" collapsed="false"/>
    <row r="6714" customFormat="false" ht="18" hidden="false" customHeight="true" outlineLevel="0" collapsed="false"/>
    <row r="6715" customFormat="false" ht="18" hidden="false" customHeight="true" outlineLevel="0" collapsed="false"/>
    <row r="6716" customFormat="false" ht="18" hidden="false" customHeight="true" outlineLevel="0" collapsed="false"/>
    <row r="6717" customFormat="false" ht="18" hidden="false" customHeight="true" outlineLevel="0" collapsed="false"/>
    <row r="6718" customFormat="false" ht="18" hidden="false" customHeight="true" outlineLevel="0" collapsed="false"/>
    <row r="6719" customFormat="false" ht="18" hidden="false" customHeight="true" outlineLevel="0" collapsed="false"/>
    <row r="6720" customFormat="false" ht="18" hidden="false" customHeight="true" outlineLevel="0" collapsed="false"/>
    <row r="6721" customFormat="false" ht="18" hidden="false" customHeight="true" outlineLevel="0" collapsed="false"/>
    <row r="6722" customFormat="false" ht="18" hidden="false" customHeight="true" outlineLevel="0" collapsed="false"/>
    <row r="6723" customFormat="false" ht="18" hidden="false" customHeight="true" outlineLevel="0" collapsed="false"/>
    <row r="6724" customFormat="false" ht="18" hidden="false" customHeight="true" outlineLevel="0" collapsed="false"/>
    <row r="6725" customFormat="false" ht="18" hidden="false" customHeight="true" outlineLevel="0" collapsed="false"/>
    <row r="6726" customFormat="false" ht="18" hidden="false" customHeight="true" outlineLevel="0" collapsed="false"/>
    <row r="6727" customFormat="false" ht="18" hidden="false" customHeight="true" outlineLevel="0" collapsed="false"/>
    <row r="6728" customFormat="false" ht="18" hidden="false" customHeight="true" outlineLevel="0" collapsed="false"/>
    <row r="6729" customFormat="false" ht="18" hidden="false" customHeight="true" outlineLevel="0" collapsed="false"/>
    <row r="6730" customFormat="false" ht="18" hidden="false" customHeight="true" outlineLevel="0" collapsed="false"/>
    <row r="6731" customFormat="false" ht="18" hidden="false" customHeight="true" outlineLevel="0" collapsed="false"/>
    <row r="6732" customFormat="false" ht="18" hidden="false" customHeight="true" outlineLevel="0" collapsed="false"/>
    <row r="6733" customFormat="false" ht="18" hidden="false" customHeight="true" outlineLevel="0" collapsed="false"/>
    <row r="6734" customFormat="false" ht="18" hidden="false" customHeight="true" outlineLevel="0" collapsed="false"/>
    <row r="6735" customFormat="false" ht="18" hidden="false" customHeight="true" outlineLevel="0" collapsed="false"/>
    <row r="6736" customFormat="false" ht="18" hidden="false" customHeight="true" outlineLevel="0" collapsed="false"/>
    <row r="6737" customFormat="false" ht="18" hidden="false" customHeight="true" outlineLevel="0" collapsed="false"/>
    <row r="6738" customFormat="false" ht="18" hidden="false" customHeight="true" outlineLevel="0" collapsed="false"/>
    <row r="6739" customFormat="false" ht="18" hidden="false" customHeight="true" outlineLevel="0" collapsed="false"/>
    <row r="6740" customFormat="false" ht="18" hidden="false" customHeight="true" outlineLevel="0" collapsed="false"/>
    <row r="6741" customFormat="false" ht="18" hidden="false" customHeight="true" outlineLevel="0" collapsed="false"/>
    <row r="6742" customFormat="false" ht="18" hidden="false" customHeight="true" outlineLevel="0" collapsed="false"/>
    <row r="6743" customFormat="false" ht="18" hidden="false" customHeight="true" outlineLevel="0" collapsed="false"/>
    <row r="6744" customFormat="false" ht="18" hidden="false" customHeight="true" outlineLevel="0" collapsed="false"/>
    <row r="6745" customFormat="false" ht="18" hidden="false" customHeight="true" outlineLevel="0" collapsed="false"/>
    <row r="6746" customFormat="false" ht="18" hidden="false" customHeight="true" outlineLevel="0" collapsed="false"/>
    <row r="6747" customFormat="false" ht="18" hidden="false" customHeight="true" outlineLevel="0" collapsed="false"/>
    <row r="6748" customFormat="false" ht="18" hidden="false" customHeight="true" outlineLevel="0" collapsed="false"/>
    <row r="6749" customFormat="false" ht="18" hidden="false" customHeight="true" outlineLevel="0" collapsed="false"/>
    <row r="6750" customFormat="false" ht="18" hidden="false" customHeight="true" outlineLevel="0" collapsed="false"/>
    <row r="6751" customFormat="false" ht="18" hidden="false" customHeight="true" outlineLevel="0" collapsed="false"/>
    <row r="6752" customFormat="false" ht="18" hidden="false" customHeight="true" outlineLevel="0" collapsed="false"/>
    <row r="6753" customFormat="false" ht="18" hidden="false" customHeight="true" outlineLevel="0" collapsed="false"/>
    <row r="6754" customFormat="false" ht="18" hidden="false" customHeight="true" outlineLevel="0" collapsed="false"/>
    <row r="6755" customFormat="false" ht="18" hidden="false" customHeight="true" outlineLevel="0" collapsed="false"/>
    <row r="6756" customFormat="false" ht="18" hidden="false" customHeight="true" outlineLevel="0" collapsed="false"/>
    <row r="6757" customFormat="false" ht="18" hidden="false" customHeight="true" outlineLevel="0" collapsed="false"/>
    <row r="6758" customFormat="false" ht="18" hidden="false" customHeight="true" outlineLevel="0" collapsed="false"/>
    <row r="6759" customFormat="false" ht="18" hidden="false" customHeight="true" outlineLevel="0" collapsed="false"/>
    <row r="6760" customFormat="false" ht="18" hidden="false" customHeight="true" outlineLevel="0" collapsed="false"/>
    <row r="6761" customFormat="false" ht="18" hidden="false" customHeight="true" outlineLevel="0" collapsed="false"/>
    <row r="6762" customFormat="false" ht="18" hidden="false" customHeight="true" outlineLevel="0" collapsed="false"/>
    <row r="6763" customFormat="false" ht="18" hidden="false" customHeight="true" outlineLevel="0" collapsed="false"/>
    <row r="6764" customFormat="false" ht="18" hidden="false" customHeight="true" outlineLevel="0" collapsed="false"/>
    <row r="6765" customFormat="false" ht="18" hidden="false" customHeight="true" outlineLevel="0" collapsed="false"/>
    <row r="6766" customFormat="false" ht="18" hidden="false" customHeight="true" outlineLevel="0" collapsed="false"/>
    <row r="6767" customFormat="false" ht="18" hidden="false" customHeight="true" outlineLevel="0" collapsed="false"/>
    <row r="6768" customFormat="false" ht="18" hidden="false" customHeight="true" outlineLevel="0" collapsed="false"/>
    <row r="6769" customFormat="false" ht="18" hidden="false" customHeight="true" outlineLevel="0" collapsed="false"/>
    <row r="6770" customFormat="false" ht="18" hidden="false" customHeight="true" outlineLevel="0" collapsed="false"/>
    <row r="6771" customFormat="false" ht="18" hidden="false" customHeight="true" outlineLevel="0" collapsed="false"/>
    <row r="6772" customFormat="false" ht="18" hidden="false" customHeight="true" outlineLevel="0" collapsed="false"/>
    <row r="6773" customFormat="false" ht="18" hidden="false" customHeight="true" outlineLevel="0" collapsed="false"/>
    <row r="6774" customFormat="false" ht="18" hidden="false" customHeight="true" outlineLevel="0" collapsed="false"/>
    <row r="6775" customFormat="false" ht="18" hidden="false" customHeight="true" outlineLevel="0" collapsed="false"/>
    <row r="6776" customFormat="false" ht="18" hidden="false" customHeight="true" outlineLevel="0" collapsed="false"/>
    <row r="6777" customFormat="false" ht="18" hidden="false" customHeight="true" outlineLevel="0" collapsed="false"/>
    <row r="6778" customFormat="false" ht="18" hidden="false" customHeight="true" outlineLevel="0" collapsed="false"/>
    <row r="6779" customFormat="false" ht="18" hidden="false" customHeight="true" outlineLevel="0" collapsed="false"/>
    <row r="6780" customFormat="false" ht="18" hidden="false" customHeight="true" outlineLevel="0" collapsed="false"/>
    <row r="6781" customFormat="false" ht="18" hidden="false" customHeight="true" outlineLevel="0" collapsed="false"/>
    <row r="6782" customFormat="false" ht="18" hidden="false" customHeight="true" outlineLevel="0" collapsed="false"/>
    <row r="6783" customFormat="false" ht="18" hidden="false" customHeight="true" outlineLevel="0" collapsed="false"/>
    <row r="6784" customFormat="false" ht="18" hidden="false" customHeight="true" outlineLevel="0" collapsed="false"/>
    <row r="6785" customFormat="false" ht="18" hidden="false" customHeight="true" outlineLevel="0" collapsed="false"/>
    <row r="6786" customFormat="false" ht="18" hidden="false" customHeight="true" outlineLevel="0" collapsed="false"/>
    <row r="6787" customFormat="false" ht="18" hidden="false" customHeight="true" outlineLevel="0" collapsed="false"/>
    <row r="6788" customFormat="false" ht="18" hidden="false" customHeight="true" outlineLevel="0" collapsed="false"/>
    <row r="6789" customFormat="false" ht="18" hidden="false" customHeight="true" outlineLevel="0" collapsed="false"/>
    <row r="6790" customFormat="false" ht="18" hidden="false" customHeight="true" outlineLevel="0" collapsed="false"/>
    <row r="6791" customFormat="false" ht="18" hidden="false" customHeight="true" outlineLevel="0" collapsed="false"/>
    <row r="6792" customFormat="false" ht="18" hidden="false" customHeight="true" outlineLevel="0" collapsed="false"/>
    <row r="6793" customFormat="false" ht="18" hidden="false" customHeight="true" outlineLevel="0" collapsed="false"/>
    <row r="6794" customFormat="false" ht="18" hidden="false" customHeight="true" outlineLevel="0" collapsed="false"/>
    <row r="6795" customFormat="false" ht="18" hidden="false" customHeight="true" outlineLevel="0" collapsed="false"/>
    <row r="6796" customFormat="false" ht="18" hidden="false" customHeight="true" outlineLevel="0" collapsed="false"/>
    <row r="6797" customFormat="false" ht="18" hidden="false" customHeight="true" outlineLevel="0" collapsed="false"/>
    <row r="6798" customFormat="false" ht="18" hidden="false" customHeight="true" outlineLevel="0" collapsed="false"/>
    <row r="6799" customFormat="false" ht="18" hidden="false" customHeight="true" outlineLevel="0" collapsed="false"/>
    <row r="6800" customFormat="false" ht="18" hidden="false" customHeight="true" outlineLevel="0" collapsed="false"/>
    <row r="6801" customFormat="false" ht="18" hidden="false" customHeight="true" outlineLevel="0" collapsed="false"/>
    <row r="6802" customFormat="false" ht="18" hidden="false" customHeight="true" outlineLevel="0" collapsed="false"/>
    <row r="6803" customFormat="false" ht="18" hidden="false" customHeight="true" outlineLevel="0" collapsed="false"/>
    <row r="6804" customFormat="false" ht="18" hidden="false" customHeight="true" outlineLevel="0" collapsed="false"/>
    <row r="6805" customFormat="false" ht="18" hidden="false" customHeight="true" outlineLevel="0" collapsed="false"/>
    <row r="6806" customFormat="false" ht="18" hidden="false" customHeight="true" outlineLevel="0" collapsed="false"/>
    <row r="6807" customFormat="false" ht="18" hidden="false" customHeight="true" outlineLevel="0" collapsed="false"/>
    <row r="6808" customFormat="false" ht="18" hidden="false" customHeight="true" outlineLevel="0" collapsed="false"/>
    <row r="6809" customFormat="false" ht="18" hidden="false" customHeight="true" outlineLevel="0" collapsed="false"/>
    <row r="6810" customFormat="false" ht="18" hidden="false" customHeight="true" outlineLevel="0" collapsed="false"/>
    <row r="6811" customFormat="false" ht="18" hidden="false" customHeight="true" outlineLevel="0" collapsed="false"/>
    <row r="6812" customFormat="false" ht="18" hidden="false" customHeight="true" outlineLevel="0" collapsed="false"/>
    <row r="6813" customFormat="false" ht="18" hidden="false" customHeight="true" outlineLevel="0" collapsed="false"/>
    <row r="6814" customFormat="false" ht="18" hidden="false" customHeight="true" outlineLevel="0" collapsed="false"/>
    <row r="6815" customFormat="false" ht="18" hidden="false" customHeight="true" outlineLevel="0" collapsed="false"/>
    <row r="6816" customFormat="false" ht="18" hidden="false" customHeight="true" outlineLevel="0" collapsed="false"/>
    <row r="6817" customFormat="false" ht="18" hidden="false" customHeight="true" outlineLevel="0" collapsed="false"/>
    <row r="6818" customFormat="false" ht="18" hidden="false" customHeight="true" outlineLevel="0" collapsed="false"/>
    <row r="6819" customFormat="false" ht="18" hidden="false" customHeight="true" outlineLevel="0" collapsed="false"/>
    <row r="6820" customFormat="false" ht="18" hidden="false" customHeight="true" outlineLevel="0" collapsed="false"/>
    <row r="6821" customFormat="false" ht="18" hidden="false" customHeight="true" outlineLevel="0" collapsed="false"/>
    <row r="6822" customFormat="false" ht="18" hidden="false" customHeight="true" outlineLevel="0" collapsed="false"/>
    <row r="6823" customFormat="false" ht="18" hidden="false" customHeight="true" outlineLevel="0" collapsed="false"/>
    <row r="6824" customFormat="false" ht="18" hidden="false" customHeight="true" outlineLevel="0" collapsed="false"/>
    <row r="6825" customFormat="false" ht="18" hidden="false" customHeight="true" outlineLevel="0" collapsed="false"/>
    <row r="6826" customFormat="false" ht="18" hidden="false" customHeight="true" outlineLevel="0" collapsed="false"/>
    <row r="6827" customFormat="false" ht="18" hidden="false" customHeight="true" outlineLevel="0" collapsed="false"/>
    <row r="6828" customFormat="false" ht="18" hidden="false" customHeight="true" outlineLevel="0" collapsed="false"/>
    <row r="6829" customFormat="false" ht="18" hidden="false" customHeight="true" outlineLevel="0" collapsed="false"/>
    <row r="6830" customFormat="false" ht="18" hidden="false" customHeight="true" outlineLevel="0" collapsed="false"/>
    <row r="6831" customFormat="false" ht="18" hidden="false" customHeight="true" outlineLevel="0" collapsed="false"/>
    <row r="6832" customFormat="false" ht="18" hidden="false" customHeight="true" outlineLevel="0" collapsed="false"/>
    <row r="6833" customFormat="false" ht="18" hidden="false" customHeight="true" outlineLevel="0" collapsed="false"/>
    <row r="6834" customFormat="false" ht="18" hidden="false" customHeight="true" outlineLevel="0" collapsed="false"/>
    <row r="6835" customFormat="false" ht="18" hidden="false" customHeight="true" outlineLevel="0" collapsed="false"/>
    <row r="6836" customFormat="false" ht="18" hidden="false" customHeight="true" outlineLevel="0" collapsed="false"/>
    <row r="6837" customFormat="false" ht="18" hidden="false" customHeight="true" outlineLevel="0" collapsed="false"/>
    <row r="6838" customFormat="false" ht="18" hidden="false" customHeight="true" outlineLevel="0" collapsed="false"/>
    <row r="6839" customFormat="false" ht="18" hidden="false" customHeight="true" outlineLevel="0" collapsed="false"/>
    <row r="6840" customFormat="false" ht="18" hidden="false" customHeight="true" outlineLevel="0" collapsed="false"/>
    <row r="6841" customFormat="false" ht="18" hidden="false" customHeight="true" outlineLevel="0" collapsed="false"/>
    <row r="6842" customFormat="false" ht="18" hidden="false" customHeight="true" outlineLevel="0" collapsed="false"/>
    <row r="6843" customFormat="false" ht="18" hidden="false" customHeight="true" outlineLevel="0" collapsed="false"/>
    <row r="6844" customFormat="false" ht="18" hidden="false" customHeight="true" outlineLevel="0" collapsed="false"/>
    <row r="6845" customFormat="false" ht="18" hidden="false" customHeight="true" outlineLevel="0" collapsed="false"/>
    <row r="6846" customFormat="false" ht="18" hidden="false" customHeight="true" outlineLevel="0" collapsed="false"/>
    <row r="6847" customFormat="false" ht="18" hidden="false" customHeight="true" outlineLevel="0" collapsed="false"/>
    <row r="6848" customFormat="false" ht="18" hidden="false" customHeight="true" outlineLevel="0" collapsed="false"/>
    <row r="6849" customFormat="false" ht="18" hidden="false" customHeight="true" outlineLevel="0" collapsed="false"/>
    <row r="6850" customFormat="false" ht="18" hidden="false" customHeight="true" outlineLevel="0" collapsed="false"/>
    <row r="6851" customFormat="false" ht="18" hidden="false" customHeight="true" outlineLevel="0" collapsed="false"/>
    <row r="6852" customFormat="false" ht="18" hidden="false" customHeight="true" outlineLevel="0" collapsed="false"/>
    <row r="6853" customFormat="false" ht="18" hidden="false" customHeight="true" outlineLevel="0" collapsed="false"/>
    <row r="6854" customFormat="false" ht="18" hidden="false" customHeight="true" outlineLevel="0" collapsed="false"/>
    <row r="6855" customFormat="false" ht="18" hidden="false" customHeight="true" outlineLevel="0" collapsed="false"/>
    <row r="6856" customFormat="false" ht="18" hidden="false" customHeight="true" outlineLevel="0" collapsed="false"/>
    <row r="6857" customFormat="false" ht="18" hidden="false" customHeight="true" outlineLevel="0" collapsed="false"/>
    <row r="6858" customFormat="false" ht="18" hidden="false" customHeight="true" outlineLevel="0" collapsed="false"/>
    <row r="6859" customFormat="false" ht="18" hidden="false" customHeight="true" outlineLevel="0" collapsed="false"/>
    <row r="6860" customFormat="false" ht="18" hidden="false" customHeight="true" outlineLevel="0" collapsed="false"/>
    <row r="6861" customFormat="false" ht="18" hidden="false" customHeight="true" outlineLevel="0" collapsed="false"/>
    <row r="6862" customFormat="false" ht="18" hidden="false" customHeight="true" outlineLevel="0" collapsed="false"/>
    <row r="6863" customFormat="false" ht="18" hidden="false" customHeight="true" outlineLevel="0" collapsed="false"/>
    <row r="6864" customFormat="false" ht="18" hidden="false" customHeight="true" outlineLevel="0" collapsed="false"/>
    <row r="6865" customFormat="false" ht="18" hidden="false" customHeight="true" outlineLevel="0" collapsed="false"/>
    <row r="6866" customFormat="false" ht="18" hidden="false" customHeight="true" outlineLevel="0" collapsed="false"/>
    <row r="6867" customFormat="false" ht="18" hidden="false" customHeight="true" outlineLevel="0" collapsed="false"/>
    <row r="6868" customFormat="false" ht="18" hidden="false" customHeight="true" outlineLevel="0" collapsed="false"/>
    <row r="6869" customFormat="false" ht="18" hidden="false" customHeight="true" outlineLevel="0" collapsed="false"/>
    <row r="6870" customFormat="false" ht="18" hidden="false" customHeight="true" outlineLevel="0" collapsed="false"/>
    <row r="6871" customFormat="false" ht="18" hidden="false" customHeight="true" outlineLevel="0" collapsed="false"/>
    <row r="6872" customFormat="false" ht="18" hidden="false" customHeight="true" outlineLevel="0" collapsed="false"/>
    <row r="6873" customFormat="false" ht="18" hidden="false" customHeight="true" outlineLevel="0" collapsed="false"/>
    <row r="6874" customFormat="false" ht="18" hidden="false" customHeight="true" outlineLevel="0" collapsed="false"/>
    <row r="6875" customFormat="false" ht="18" hidden="false" customHeight="true" outlineLevel="0" collapsed="false"/>
    <row r="6876" customFormat="false" ht="18" hidden="false" customHeight="true" outlineLevel="0" collapsed="false"/>
    <row r="6877" customFormat="false" ht="18" hidden="false" customHeight="true" outlineLevel="0" collapsed="false"/>
    <row r="6878" customFormat="false" ht="18" hidden="false" customHeight="true" outlineLevel="0" collapsed="false"/>
    <row r="6879" customFormat="false" ht="18" hidden="false" customHeight="true" outlineLevel="0" collapsed="false"/>
    <row r="6880" customFormat="false" ht="18" hidden="false" customHeight="true" outlineLevel="0" collapsed="false"/>
    <row r="6881" customFormat="false" ht="18" hidden="false" customHeight="true" outlineLevel="0" collapsed="false"/>
    <row r="6882" customFormat="false" ht="18" hidden="false" customHeight="true" outlineLevel="0" collapsed="false"/>
    <row r="6883" customFormat="false" ht="18" hidden="false" customHeight="true" outlineLevel="0" collapsed="false"/>
    <row r="6884" customFormat="false" ht="18" hidden="false" customHeight="true" outlineLevel="0" collapsed="false"/>
    <row r="6885" customFormat="false" ht="18" hidden="false" customHeight="true" outlineLevel="0" collapsed="false"/>
    <row r="6886" customFormat="false" ht="18" hidden="false" customHeight="true" outlineLevel="0" collapsed="false"/>
    <row r="6887" customFormat="false" ht="18" hidden="false" customHeight="true" outlineLevel="0" collapsed="false"/>
    <row r="6888" customFormat="false" ht="18" hidden="false" customHeight="true" outlineLevel="0" collapsed="false"/>
    <row r="6889" customFormat="false" ht="18" hidden="false" customHeight="true" outlineLevel="0" collapsed="false"/>
    <row r="6890" customFormat="false" ht="18" hidden="false" customHeight="true" outlineLevel="0" collapsed="false"/>
    <row r="6891" customFormat="false" ht="18" hidden="false" customHeight="true" outlineLevel="0" collapsed="false"/>
    <row r="6892" customFormat="false" ht="18" hidden="false" customHeight="true" outlineLevel="0" collapsed="false"/>
    <row r="6893" customFormat="false" ht="18" hidden="false" customHeight="true" outlineLevel="0" collapsed="false"/>
    <row r="6894" customFormat="false" ht="18" hidden="false" customHeight="true" outlineLevel="0" collapsed="false"/>
    <row r="6895" customFormat="false" ht="18" hidden="false" customHeight="true" outlineLevel="0" collapsed="false"/>
    <row r="6896" customFormat="false" ht="18" hidden="false" customHeight="true" outlineLevel="0" collapsed="false"/>
    <row r="6897" customFormat="false" ht="18" hidden="false" customHeight="true" outlineLevel="0" collapsed="false"/>
    <row r="6898" customFormat="false" ht="18" hidden="false" customHeight="true" outlineLevel="0" collapsed="false"/>
    <row r="6899" customFormat="false" ht="18" hidden="false" customHeight="true" outlineLevel="0" collapsed="false"/>
    <row r="6900" customFormat="false" ht="18" hidden="false" customHeight="true" outlineLevel="0" collapsed="false"/>
    <row r="6901" customFormat="false" ht="18" hidden="false" customHeight="true" outlineLevel="0" collapsed="false"/>
    <row r="6902" customFormat="false" ht="18" hidden="false" customHeight="true" outlineLevel="0" collapsed="false"/>
    <row r="6903" customFormat="false" ht="18" hidden="false" customHeight="true" outlineLevel="0" collapsed="false"/>
    <row r="6904" customFormat="false" ht="18" hidden="false" customHeight="true" outlineLevel="0" collapsed="false"/>
    <row r="6905" customFormat="false" ht="18" hidden="false" customHeight="true" outlineLevel="0" collapsed="false"/>
    <row r="6906" customFormat="false" ht="18" hidden="false" customHeight="true" outlineLevel="0" collapsed="false"/>
    <row r="6907" customFormat="false" ht="18" hidden="false" customHeight="true" outlineLevel="0" collapsed="false"/>
    <row r="6908" customFormat="false" ht="18" hidden="false" customHeight="true" outlineLevel="0" collapsed="false"/>
    <row r="6909" customFormat="false" ht="18" hidden="false" customHeight="true" outlineLevel="0" collapsed="false"/>
    <row r="6910" customFormat="false" ht="18" hidden="false" customHeight="true" outlineLevel="0" collapsed="false"/>
    <row r="6911" customFormat="false" ht="18" hidden="false" customHeight="true" outlineLevel="0" collapsed="false"/>
    <row r="6912" customFormat="false" ht="18" hidden="false" customHeight="true" outlineLevel="0" collapsed="false"/>
    <row r="6913" customFormat="false" ht="18" hidden="false" customHeight="true" outlineLevel="0" collapsed="false"/>
    <row r="6914" customFormat="false" ht="18" hidden="false" customHeight="true" outlineLevel="0" collapsed="false"/>
    <row r="6915" customFormat="false" ht="18" hidden="false" customHeight="true" outlineLevel="0" collapsed="false"/>
    <row r="6916" customFormat="false" ht="18" hidden="false" customHeight="true" outlineLevel="0" collapsed="false"/>
    <row r="6917" customFormat="false" ht="18" hidden="false" customHeight="true" outlineLevel="0" collapsed="false"/>
    <row r="6918" customFormat="false" ht="18" hidden="false" customHeight="true" outlineLevel="0" collapsed="false"/>
    <row r="6919" customFormat="false" ht="18" hidden="false" customHeight="true" outlineLevel="0" collapsed="false"/>
    <row r="6920" customFormat="false" ht="18" hidden="false" customHeight="true" outlineLevel="0" collapsed="false"/>
    <row r="6921" customFormat="false" ht="18" hidden="false" customHeight="true" outlineLevel="0" collapsed="false"/>
    <row r="6922" customFormat="false" ht="18" hidden="false" customHeight="true" outlineLevel="0" collapsed="false"/>
    <row r="6923" customFormat="false" ht="18" hidden="false" customHeight="true" outlineLevel="0" collapsed="false"/>
    <row r="6924" customFormat="false" ht="18" hidden="false" customHeight="true" outlineLevel="0" collapsed="false"/>
    <row r="6925" customFormat="false" ht="18" hidden="false" customHeight="true" outlineLevel="0" collapsed="false"/>
    <row r="6926" customFormat="false" ht="18" hidden="false" customHeight="true" outlineLevel="0" collapsed="false"/>
    <row r="6927" customFormat="false" ht="18" hidden="false" customHeight="true" outlineLevel="0" collapsed="false"/>
    <row r="6928" customFormat="false" ht="18" hidden="false" customHeight="true" outlineLevel="0" collapsed="false"/>
    <row r="6929" customFormat="false" ht="18" hidden="false" customHeight="true" outlineLevel="0" collapsed="false"/>
    <row r="6930" customFormat="false" ht="18" hidden="false" customHeight="true" outlineLevel="0" collapsed="false"/>
    <row r="6931" customFormat="false" ht="18" hidden="false" customHeight="true" outlineLevel="0" collapsed="false"/>
    <row r="6932" customFormat="false" ht="18" hidden="false" customHeight="true" outlineLevel="0" collapsed="false"/>
    <row r="6933" customFormat="false" ht="18" hidden="false" customHeight="true" outlineLevel="0" collapsed="false"/>
    <row r="6934" customFormat="false" ht="18" hidden="false" customHeight="true" outlineLevel="0" collapsed="false"/>
    <row r="6935" customFormat="false" ht="18" hidden="false" customHeight="true" outlineLevel="0" collapsed="false"/>
    <row r="6936" customFormat="false" ht="18" hidden="false" customHeight="true" outlineLevel="0" collapsed="false"/>
    <row r="6937" customFormat="false" ht="18" hidden="false" customHeight="true" outlineLevel="0" collapsed="false"/>
    <row r="6938" customFormat="false" ht="18" hidden="false" customHeight="true" outlineLevel="0" collapsed="false"/>
    <row r="6939" customFormat="false" ht="18" hidden="false" customHeight="true" outlineLevel="0" collapsed="false"/>
    <row r="6940" customFormat="false" ht="18" hidden="false" customHeight="true" outlineLevel="0" collapsed="false"/>
    <row r="6941" customFormat="false" ht="18" hidden="false" customHeight="true" outlineLevel="0" collapsed="false"/>
    <row r="6942" customFormat="false" ht="18" hidden="false" customHeight="true" outlineLevel="0" collapsed="false"/>
    <row r="6943" customFormat="false" ht="18" hidden="false" customHeight="true" outlineLevel="0" collapsed="false"/>
    <row r="6944" customFormat="false" ht="18" hidden="false" customHeight="true" outlineLevel="0" collapsed="false"/>
    <row r="6945" customFormat="false" ht="18" hidden="false" customHeight="true" outlineLevel="0" collapsed="false"/>
    <row r="6946" customFormat="false" ht="18" hidden="false" customHeight="true" outlineLevel="0" collapsed="false"/>
    <row r="6947" customFormat="false" ht="18" hidden="false" customHeight="true" outlineLevel="0" collapsed="false"/>
    <row r="6948" customFormat="false" ht="18" hidden="false" customHeight="true" outlineLevel="0" collapsed="false"/>
    <row r="6949" customFormat="false" ht="18" hidden="false" customHeight="true" outlineLevel="0" collapsed="false"/>
    <row r="6950" customFormat="false" ht="18" hidden="false" customHeight="true" outlineLevel="0" collapsed="false"/>
    <row r="6951" customFormat="false" ht="18" hidden="false" customHeight="true" outlineLevel="0" collapsed="false"/>
    <row r="6952" customFormat="false" ht="18" hidden="false" customHeight="true" outlineLevel="0" collapsed="false"/>
    <row r="6953" customFormat="false" ht="18" hidden="false" customHeight="true" outlineLevel="0" collapsed="false"/>
    <row r="6954" customFormat="false" ht="18" hidden="false" customHeight="true" outlineLevel="0" collapsed="false"/>
    <row r="6955" customFormat="false" ht="18" hidden="false" customHeight="true" outlineLevel="0" collapsed="false"/>
    <row r="6956" customFormat="false" ht="18" hidden="false" customHeight="true" outlineLevel="0" collapsed="false"/>
    <row r="6957" customFormat="false" ht="18" hidden="false" customHeight="true" outlineLevel="0" collapsed="false"/>
    <row r="6958" customFormat="false" ht="18" hidden="false" customHeight="true" outlineLevel="0" collapsed="false"/>
    <row r="6959" customFormat="false" ht="18" hidden="false" customHeight="true" outlineLevel="0" collapsed="false"/>
    <row r="6960" customFormat="false" ht="18" hidden="false" customHeight="true" outlineLevel="0" collapsed="false"/>
    <row r="6961" customFormat="false" ht="18" hidden="false" customHeight="true" outlineLevel="0" collapsed="false"/>
    <row r="6962" customFormat="false" ht="18" hidden="false" customHeight="true" outlineLevel="0" collapsed="false"/>
    <row r="6963" customFormat="false" ht="18" hidden="false" customHeight="true" outlineLevel="0" collapsed="false"/>
    <row r="6964" customFormat="false" ht="18" hidden="false" customHeight="true" outlineLevel="0" collapsed="false"/>
    <row r="6965" customFormat="false" ht="18" hidden="false" customHeight="true" outlineLevel="0" collapsed="false"/>
    <row r="6966" customFormat="false" ht="18" hidden="false" customHeight="true" outlineLevel="0" collapsed="false"/>
    <row r="6967" customFormat="false" ht="18" hidden="false" customHeight="true" outlineLevel="0" collapsed="false"/>
    <row r="6968" customFormat="false" ht="18" hidden="false" customHeight="true" outlineLevel="0" collapsed="false"/>
    <row r="6969" customFormat="false" ht="18" hidden="false" customHeight="true" outlineLevel="0" collapsed="false"/>
    <row r="6970" customFormat="false" ht="18" hidden="false" customHeight="true" outlineLevel="0" collapsed="false"/>
    <row r="6971" customFormat="false" ht="18" hidden="false" customHeight="true" outlineLevel="0" collapsed="false"/>
    <row r="6972" customFormat="false" ht="18" hidden="false" customHeight="true" outlineLevel="0" collapsed="false"/>
    <row r="6973" customFormat="false" ht="18" hidden="false" customHeight="true" outlineLevel="0" collapsed="false"/>
    <row r="6974" customFormat="false" ht="18" hidden="false" customHeight="true" outlineLevel="0" collapsed="false"/>
    <row r="6975" customFormat="false" ht="18" hidden="false" customHeight="true" outlineLevel="0" collapsed="false"/>
    <row r="6976" customFormat="false" ht="18" hidden="false" customHeight="true" outlineLevel="0" collapsed="false"/>
    <row r="6977" customFormat="false" ht="18" hidden="false" customHeight="true" outlineLevel="0" collapsed="false"/>
    <row r="6978" customFormat="false" ht="18" hidden="false" customHeight="true" outlineLevel="0" collapsed="false"/>
    <row r="6979" customFormat="false" ht="18" hidden="false" customHeight="true" outlineLevel="0" collapsed="false"/>
    <row r="6980" customFormat="false" ht="18" hidden="false" customHeight="true" outlineLevel="0" collapsed="false"/>
    <row r="6981" customFormat="false" ht="18" hidden="false" customHeight="true" outlineLevel="0" collapsed="false"/>
    <row r="6982" customFormat="false" ht="18" hidden="false" customHeight="true" outlineLevel="0" collapsed="false"/>
    <row r="6983" customFormat="false" ht="18" hidden="false" customHeight="true" outlineLevel="0" collapsed="false"/>
    <row r="6984" customFormat="false" ht="18" hidden="false" customHeight="true" outlineLevel="0" collapsed="false"/>
    <row r="6985" customFormat="false" ht="18" hidden="false" customHeight="true" outlineLevel="0" collapsed="false"/>
    <row r="6986" customFormat="false" ht="18" hidden="false" customHeight="true" outlineLevel="0" collapsed="false"/>
    <row r="6987" customFormat="false" ht="18" hidden="false" customHeight="true" outlineLevel="0" collapsed="false"/>
    <row r="6988" customFormat="false" ht="18" hidden="false" customHeight="true" outlineLevel="0" collapsed="false"/>
    <row r="6989" customFormat="false" ht="18" hidden="false" customHeight="true" outlineLevel="0" collapsed="false"/>
    <row r="6990" customFormat="false" ht="18" hidden="false" customHeight="true" outlineLevel="0" collapsed="false"/>
    <row r="6991" customFormat="false" ht="18" hidden="false" customHeight="true" outlineLevel="0" collapsed="false"/>
    <row r="6992" customFormat="false" ht="18" hidden="false" customHeight="true" outlineLevel="0" collapsed="false"/>
    <row r="6993" customFormat="false" ht="18" hidden="false" customHeight="true" outlineLevel="0" collapsed="false"/>
    <row r="6994" customFormat="false" ht="18" hidden="false" customHeight="true" outlineLevel="0" collapsed="false"/>
    <row r="6995" customFormat="false" ht="18" hidden="false" customHeight="true" outlineLevel="0" collapsed="false"/>
    <row r="6996" customFormat="false" ht="18" hidden="false" customHeight="true" outlineLevel="0" collapsed="false"/>
    <row r="6997" customFormat="false" ht="18" hidden="false" customHeight="true" outlineLevel="0" collapsed="false"/>
    <row r="6998" customFormat="false" ht="18" hidden="false" customHeight="true" outlineLevel="0" collapsed="false"/>
    <row r="6999" customFormat="false" ht="18" hidden="false" customHeight="true" outlineLevel="0" collapsed="false"/>
    <row r="7000" customFormat="false" ht="18" hidden="false" customHeight="true" outlineLevel="0" collapsed="false"/>
    <row r="7001" customFormat="false" ht="18" hidden="false" customHeight="true" outlineLevel="0" collapsed="false"/>
    <row r="7002" customFormat="false" ht="18" hidden="false" customHeight="true" outlineLevel="0" collapsed="false"/>
    <row r="7003" customFormat="false" ht="18" hidden="false" customHeight="true" outlineLevel="0" collapsed="false"/>
    <row r="7004" customFormat="false" ht="18" hidden="false" customHeight="true" outlineLevel="0" collapsed="false"/>
    <row r="7005" customFormat="false" ht="18" hidden="false" customHeight="true" outlineLevel="0" collapsed="false"/>
    <row r="7006" customFormat="false" ht="18" hidden="false" customHeight="true" outlineLevel="0" collapsed="false"/>
    <row r="7007" customFormat="false" ht="18" hidden="false" customHeight="true" outlineLevel="0" collapsed="false"/>
    <row r="7008" customFormat="false" ht="18" hidden="false" customHeight="true" outlineLevel="0" collapsed="false"/>
    <row r="7009" customFormat="false" ht="18" hidden="false" customHeight="true" outlineLevel="0" collapsed="false"/>
    <row r="7010" customFormat="false" ht="18" hidden="false" customHeight="true" outlineLevel="0" collapsed="false"/>
    <row r="7011" customFormat="false" ht="18" hidden="false" customHeight="true" outlineLevel="0" collapsed="false"/>
    <row r="7012" customFormat="false" ht="18" hidden="false" customHeight="true" outlineLevel="0" collapsed="false"/>
    <row r="7013" customFormat="false" ht="18" hidden="false" customHeight="true" outlineLevel="0" collapsed="false"/>
    <row r="7014" customFormat="false" ht="18" hidden="false" customHeight="true" outlineLevel="0" collapsed="false"/>
    <row r="7015" customFormat="false" ht="18" hidden="false" customHeight="true" outlineLevel="0" collapsed="false"/>
    <row r="7016" customFormat="false" ht="18" hidden="false" customHeight="true" outlineLevel="0" collapsed="false"/>
    <row r="7017" customFormat="false" ht="18" hidden="false" customHeight="true" outlineLevel="0" collapsed="false"/>
    <row r="7018" customFormat="false" ht="18" hidden="false" customHeight="true" outlineLevel="0" collapsed="false"/>
    <row r="7019" customFormat="false" ht="18" hidden="false" customHeight="true" outlineLevel="0" collapsed="false"/>
    <row r="7020" customFormat="false" ht="18" hidden="false" customHeight="true" outlineLevel="0" collapsed="false"/>
    <row r="7021" customFormat="false" ht="18" hidden="false" customHeight="true" outlineLevel="0" collapsed="false"/>
    <row r="7022" customFormat="false" ht="18" hidden="false" customHeight="true" outlineLevel="0" collapsed="false"/>
    <row r="7023" customFormat="false" ht="18" hidden="false" customHeight="true" outlineLevel="0" collapsed="false"/>
    <row r="7024" customFormat="false" ht="18" hidden="false" customHeight="true" outlineLevel="0" collapsed="false"/>
    <row r="7025" customFormat="false" ht="18" hidden="false" customHeight="true" outlineLevel="0" collapsed="false"/>
    <row r="7026" customFormat="false" ht="18" hidden="false" customHeight="true" outlineLevel="0" collapsed="false"/>
    <row r="7027" customFormat="false" ht="18" hidden="false" customHeight="true" outlineLevel="0" collapsed="false"/>
    <row r="7028" customFormat="false" ht="18" hidden="false" customHeight="true" outlineLevel="0" collapsed="false"/>
    <row r="7029" customFormat="false" ht="18" hidden="false" customHeight="true" outlineLevel="0" collapsed="false"/>
    <row r="7030" customFormat="false" ht="18" hidden="false" customHeight="true" outlineLevel="0" collapsed="false"/>
    <row r="7031" customFormat="false" ht="18" hidden="false" customHeight="true" outlineLevel="0" collapsed="false"/>
    <row r="7032" customFormat="false" ht="18" hidden="false" customHeight="true" outlineLevel="0" collapsed="false"/>
    <row r="7033" customFormat="false" ht="18" hidden="false" customHeight="true" outlineLevel="0" collapsed="false"/>
    <row r="7034" customFormat="false" ht="18" hidden="false" customHeight="true" outlineLevel="0" collapsed="false"/>
    <row r="7035" customFormat="false" ht="18" hidden="false" customHeight="true" outlineLevel="0" collapsed="false"/>
    <row r="7036" customFormat="false" ht="18" hidden="false" customHeight="true" outlineLevel="0" collapsed="false"/>
    <row r="7037" customFormat="false" ht="18" hidden="false" customHeight="true" outlineLevel="0" collapsed="false"/>
    <row r="7038" customFormat="false" ht="18" hidden="false" customHeight="true" outlineLevel="0" collapsed="false"/>
    <row r="7039" customFormat="false" ht="18" hidden="false" customHeight="true" outlineLevel="0" collapsed="false"/>
    <row r="7040" customFormat="false" ht="18" hidden="false" customHeight="true" outlineLevel="0" collapsed="false"/>
    <row r="7041" customFormat="false" ht="18" hidden="false" customHeight="true" outlineLevel="0" collapsed="false"/>
    <row r="7042" customFormat="false" ht="18" hidden="false" customHeight="true" outlineLevel="0" collapsed="false"/>
    <row r="7043" customFormat="false" ht="18" hidden="false" customHeight="true" outlineLevel="0" collapsed="false"/>
    <row r="7044" customFormat="false" ht="18" hidden="false" customHeight="true" outlineLevel="0" collapsed="false"/>
    <row r="7045" customFormat="false" ht="18" hidden="false" customHeight="true" outlineLevel="0" collapsed="false"/>
    <row r="7046" customFormat="false" ht="18" hidden="false" customHeight="true" outlineLevel="0" collapsed="false"/>
    <row r="7047" customFormat="false" ht="18" hidden="false" customHeight="true" outlineLevel="0" collapsed="false"/>
    <row r="7048" customFormat="false" ht="18" hidden="false" customHeight="true" outlineLevel="0" collapsed="false"/>
    <row r="7049" customFormat="false" ht="18" hidden="false" customHeight="true" outlineLevel="0" collapsed="false"/>
    <row r="7050" customFormat="false" ht="18" hidden="false" customHeight="true" outlineLevel="0" collapsed="false"/>
    <row r="7051" customFormat="false" ht="18" hidden="false" customHeight="true" outlineLevel="0" collapsed="false"/>
    <row r="7052" customFormat="false" ht="18" hidden="false" customHeight="true" outlineLevel="0" collapsed="false"/>
    <row r="7053" customFormat="false" ht="18" hidden="false" customHeight="true" outlineLevel="0" collapsed="false"/>
    <row r="7054" customFormat="false" ht="18" hidden="false" customHeight="true" outlineLevel="0" collapsed="false"/>
    <row r="7055" customFormat="false" ht="18" hidden="false" customHeight="true" outlineLevel="0" collapsed="false"/>
    <row r="7056" customFormat="false" ht="18" hidden="false" customHeight="true" outlineLevel="0" collapsed="false"/>
    <row r="7057" customFormat="false" ht="18" hidden="false" customHeight="true" outlineLevel="0" collapsed="false"/>
    <row r="7058" customFormat="false" ht="18" hidden="false" customHeight="true" outlineLevel="0" collapsed="false"/>
    <row r="7059" customFormat="false" ht="18" hidden="false" customHeight="true" outlineLevel="0" collapsed="false"/>
    <row r="7060" customFormat="false" ht="18" hidden="false" customHeight="true" outlineLevel="0" collapsed="false"/>
    <row r="7061" customFormat="false" ht="18" hidden="false" customHeight="true" outlineLevel="0" collapsed="false"/>
    <row r="7062" customFormat="false" ht="18" hidden="false" customHeight="true" outlineLevel="0" collapsed="false"/>
    <row r="7063" customFormat="false" ht="18" hidden="false" customHeight="true" outlineLevel="0" collapsed="false"/>
    <row r="7064" customFormat="false" ht="18" hidden="false" customHeight="true" outlineLevel="0" collapsed="false"/>
    <row r="7065" customFormat="false" ht="18" hidden="false" customHeight="true" outlineLevel="0" collapsed="false"/>
    <row r="7066" customFormat="false" ht="18" hidden="false" customHeight="true" outlineLevel="0" collapsed="false"/>
    <row r="7067" customFormat="false" ht="18" hidden="false" customHeight="true" outlineLevel="0" collapsed="false"/>
    <row r="7068" customFormat="false" ht="18" hidden="false" customHeight="true" outlineLevel="0" collapsed="false"/>
    <row r="7069" customFormat="false" ht="18" hidden="false" customHeight="true" outlineLevel="0" collapsed="false"/>
    <row r="7070" customFormat="false" ht="18" hidden="false" customHeight="true" outlineLevel="0" collapsed="false"/>
    <row r="7071" customFormat="false" ht="18" hidden="false" customHeight="true" outlineLevel="0" collapsed="false"/>
    <row r="7072" customFormat="false" ht="18" hidden="false" customHeight="true" outlineLevel="0" collapsed="false"/>
    <row r="7073" customFormat="false" ht="18" hidden="false" customHeight="true" outlineLevel="0" collapsed="false"/>
    <row r="7074" customFormat="false" ht="18" hidden="false" customHeight="true" outlineLevel="0" collapsed="false"/>
    <row r="7075" customFormat="false" ht="18" hidden="false" customHeight="true" outlineLevel="0" collapsed="false"/>
    <row r="7076" customFormat="false" ht="18" hidden="false" customHeight="true" outlineLevel="0" collapsed="false"/>
    <row r="7077" customFormat="false" ht="18" hidden="false" customHeight="true" outlineLevel="0" collapsed="false"/>
    <row r="7078" customFormat="false" ht="18" hidden="false" customHeight="true" outlineLevel="0" collapsed="false"/>
    <row r="7079" customFormat="false" ht="18" hidden="false" customHeight="true" outlineLevel="0" collapsed="false"/>
    <row r="7080" customFormat="false" ht="18" hidden="false" customHeight="true" outlineLevel="0" collapsed="false"/>
    <row r="7081" customFormat="false" ht="18" hidden="false" customHeight="true" outlineLevel="0" collapsed="false"/>
    <row r="7082" customFormat="false" ht="18" hidden="false" customHeight="true" outlineLevel="0" collapsed="false"/>
    <row r="7083" customFormat="false" ht="18" hidden="false" customHeight="true" outlineLevel="0" collapsed="false"/>
    <row r="7084" customFormat="false" ht="18" hidden="false" customHeight="true" outlineLevel="0" collapsed="false"/>
    <row r="7085" customFormat="false" ht="18" hidden="false" customHeight="true" outlineLevel="0" collapsed="false"/>
    <row r="7086" customFormat="false" ht="18" hidden="false" customHeight="true" outlineLevel="0" collapsed="false"/>
    <row r="7087" customFormat="false" ht="18" hidden="false" customHeight="true" outlineLevel="0" collapsed="false"/>
    <row r="7088" customFormat="false" ht="18" hidden="false" customHeight="true" outlineLevel="0" collapsed="false"/>
    <row r="7089" customFormat="false" ht="18" hidden="false" customHeight="true" outlineLevel="0" collapsed="false"/>
    <row r="7090" customFormat="false" ht="18" hidden="false" customHeight="true" outlineLevel="0" collapsed="false"/>
    <row r="7091" customFormat="false" ht="18" hidden="false" customHeight="true" outlineLevel="0" collapsed="false"/>
    <row r="7092" customFormat="false" ht="18" hidden="false" customHeight="true" outlineLevel="0" collapsed="false"/>
    <row r="7093" customFormat="false" ht="18" hidden="false" customHeight="true" outlineLevel="0" collapsed="false"/>
    <row r="7094" customFormat="false" ht="18" hidden="false" customHeight="true" outlineLevel="0" collapsed="false"/>
    <row r="7095" customFormat="false" ht="18" hidden="false" customHeight="true" outlineLevel="0" collapsed="false"/>
    <row r="7096" customFormat="false" ht="18" hidden="false" customHeight="true" outlineLevel="0" collapsed="false"/>
    <row r="7097" customFormat="false" ht="18" hidden="false" customHeight="true" outlineLevel="0" collapsed="false"/>
    <row r="7098" customFormat="false" ht="18" hidden="false" customHeight="true" outlineLevel="0" collapsed="false"/>
    <row r="7099" customFormat="false" ht="18" hidden="false" customHeight="true" outlineLevel="0" collapsed="false"/>
    <row r="7100" customFormat="false" ht="18" hidden="false" customHeight="true" outlineLevel="0" collapsed="false"/>
    <row r="7101" customFormat="false" ht="18" hidden="false" customHeight="true" outlineLevel="0" collapsed="false"/>
    <row r="7102" customFormat="false" ht="18" hidden="false" customHeight="true" outlineLevel="0" collapsed="false"/>
    <row r="7103" customFormat="false" ht="18" hidden="false" customHeight="true" outlineLevel="0" collapsed="false"/>
    <row r="7104" customFormat="false" ht="18" hidden="false" customHeight="true" outlineLevel="0" collapsed="false"/>
    <row r="7105" customFormat="false" ht="18" hidden="false" customHeight="true" outlineLevel="0" collapsed="false"/>
    <row r="7106" customFormat="false" ht="18" hidden="false" customHeight="true" outlineLevel="0" collapsed="false"/>
    <row r="7107" customFormat="false" ht="18" hidden="false" customHeight="true" outlineLevel="0" collapsed="false"/>
    <row r="7108" customFormat="false" ht="18" hidden="false" customHeight="true" outlineLevel="0" collapsed="false"/>
    <row r="7109" customFormat="false" ht="18" hidden="false" customHeight="true" outlineLevel="0" collapsed="false"/>
    <row r="7110" customFormat="false" ht="18" hidden="false" customHeight="true" outlineLevel="0" collapsed="false"/>
    <row r="7111" customFormat="false" ht="18" hidden="false" customHeight="true" outlineLevel="0" collapsed="false"/>
    <row r="7112" customFormat="false" ht="18" hidden="false" customHeight="true" outlineLevel="0" collapsed="false"/>
    <row r="7113" customFormat="false" ht="18" hidden="false" customHeight="true" outlineLevel="0" collapsed="false"/>
    <row r="7114" customFormat="false" ht="18" hidden="false" customHeight="true" outlineLevel="0" collapsed="false"/>
    <row r="7115" customFormat="false" ht="18" hidden="false" customHeight="true" outlineLevel="0" collapsed="false"/>
    <row r="7116" customFormat="false" ht="18" hidden="false" customHeight="true" outlineLevel="0" collapsed="false"/>
    <row r="7117" customFormat="false" ht="18" hidden="false" customHeight="true" outlineLevel="0" collapsed="false"/>
    <row r="7118" customFormat="false" ht="18" hidden="false" customHeight="true" outlineLevel="0" collapsed="false"/>
    <row r="7119" customFormat="false" ht="18" hidden="false" customHeight="true" outlineLevel="0" collapsed="false"/>
    <row r="7120" customFormat="false" ht="18" hidden="false" customHeight="true" outlineLevel="0" collapsed="false"/>
    <row r="7121" customFormat="false" ht="18" hidden="false" customHeight="true" outlineLevel="0" collapsed="false"/>
    <row r="7122" customFormat="false" ht="18" hidden="false" customHeight="true" outlineLevel="0" collapsed="false"/>
    <row r="7123" customFormat="false" ht="18" hidden="false" customHeight="true" outlineLevel="0" collapsed="false"/>
    <row r="7124" customFormat="false" ht="18" hidden="false" customHeight="true" outlineLevel="0" collapsed="false"/>
    <row r="7125" customFormat="false" ht="18" hidden="false" customHeight="true" outlineLevel="0" collapsed="false"/>
    <row r="7126" customFormat="false" ht="18" hidden="false" customHeight="true" outlineLevel="0" collapsed="false"/>
    <row r="7127" customFormat="false" ht="18" hidden="false" customHeight="true" outlineLevel="0" collapsed="false"/>
    <row r="7128" customFormat="false" ht="18" hidden="false" customHeight="true" outlineLevel="0" collapsed="false"/>
    <row r="7129" customFormat="false" ht="18" hidden="false" customHeight="true" outlineLevel="0" collapsed="false"/>
    <row r="7130" customFormat="false" ht="18" hidden="false" customHeight="true" outlineLevel="0" collapsed="false"/>
    <row r="7131" customFormat="false" ht="18" hidden="false" customHeight="true" outlineLevel="0" collapsed="false"/>
    <row r="7132" customFormat="false" ht="18" hidden="false" customHeight="true" outlineLevel="0" collapsed="false"/>
    <row r="7133" customFormat="false" ht="18" hidden="false" customHeight="true" outlineLevel="0" collapsed="false"/>
    <row r="7134" customFormat="false" ht="18" hidden="false" customHeight="true" outlineLevel="0" collapsed="false"/>
    <row r="7135" customFormat="false" ht="18" hidden="false" customHeight="true" outlineLevel="0" collapsed="false"/>
    <row r="7136" customFormat="false" ht="18" hidden="false" customHeight="true" outlineLevel="0" collapsed="false"/>
    <row r="7137" customFormat="false" ht="18" hidden="false" customHeight="true" outlineLevel="0" collapsed="false"/>
    <row r="7138" customFormat="false" ht="18" hidden="false" customHeight="true" outlineLevel="0" collapsed="false"/>
    <row r="7139" customFormat="false" ht="18" hidden="false" customHeight="true" outlineLevel="0" collapsed="false"/>
    <row r="7140" customFormat="false" ht="18" hidden="false" customHeight="true" outlineLevel="0" collapsed="false"/>
    <row r="7141" customFormat="false" ht="18" hidden="false" customHeight="true" outlineLevel="0" collapsed="false"/>
    <row r="7142" customFormat="false" ht="18" hidden="false" customHeight="true" outlineLevel="0" collapsed="false"/>
    <row r="7143" customFormat="false" ht="18" hidden="false" customHeight="true" outlineLevel="0" collapsed="false"/>
    <row r="7144" customFormat="false" ht="18" hidden="false" customHeight="true" outlineLevel="0" collapsed="false"/>
    <row r="7145" customFormat="false" ht="18" hidden="false" customHeight="true" outlineLevel="0" collapsed="false"/>
    <row r="7146" customFormat="false" ht="18" hidden="false" customHeight="true" outlineLevel="0" collapsed="false"/>
    <row r="7147" customFormat="false" ht="18" hidden="false" customHeight="true" outlineLevel="0" collapsed="false"/>
    <row r="7148" customFormat="false" ht="18" hidden="false" customHeight="true" outlineLevel="0" collapsed="false"/>
    <row r="7149" customFormat="false" ht="18" hidden="false" customHeight="true" outlineLevel="0" collapsed="false"/>
    <row r="7150" customFormat="false" ht="18" hidden="false" customHeight="true" outlineLevel="0" collapsed="false"/>
    <row r="7151" customFormat="false" ht="18" hidden="false" customHeight="true" outlineLevel="0" collapsed="false"/>
    <row r="7152" customFormat="false" ht="18" hidden="false" customHeight="true" outlineLevel="0" collapsed="false"/>
    <row r="7153" customFormat="false" ht="18" hidden="false" customHeight="true" outlineLevel="0" collapsed="false"/>
    <row r="7154" customFormat="false" ht="18" hidden="false" customHeight="true" outlineLevel="0" collapsed="false"/>
    <row r="7155" customFormat="false" ht="18" hidden="false" customHeight="true" outlineLevel="0" collapsed="false"/>
    <row r="7156" customFormat="false" ht="18" hidden="false" customHeight="true" outlineLevel="0" collapsed="false"/>
    <row r="7157" customFormat="false" ht="18" hidden="false" customHeight="true" outlineLevel="0" collapsed="false"/>
    <row r="7158" customFormat="false" ht="18" hidden="false" customHeight="true" outlineLevel="0" collapsed="false"/>
    <row r="7159" customFormat="false" ht="18" hidden="false" customHeight="true" outlineLevel="0" collapsed="false"/>
    <row r="7160" customFormat="false" ht="18" hidden="false" customHeight="true" outlineLevel="0" collapsed="false"/>
    <row r="7161" customFormat="false" ht="18" hidden="false" customHeight="true" outlineLevel="0" collapsed="false"/>
    <row r="7162" customFormat="false" ht="18" hidden="false" customHeight="true" outlineLevel="0" collapsed="false"/>
    <row r="7163" customFormat="false" ht="18" hidden="false" customHeight="true" outlineLevel="0" collapsed="false"/>
    <row r="7164" customFormat="false" ht="18" hidden="false" customHeight="true" outlineLevel="0" collapsed="false"/>
    <row r="7165" customFormat="false" ht="18" hidden="false" customHeight="true" outlineLevel="0" collapsed="false"/>
    <row r="7166" customFormat="false" ht="18" hidden="false" customHeight="true" outlineLevel="0" collapsed="false"/>
    <row r="7167" customFormat="false" ht="18" hidden="false" customHeight="true" outlineLevel="0" collapsed="false"/>
    <row r="7168" customFormat="false" ht="18" hidden="false" customHeight="true" outlineLevel="0" collapsed="false"/>
    <row r="7169" customFormat="false" ht="18" hidden="false" customHeight="true" outlineLevel="0" collapsed="false"/>
    <row r="7170" customFormat="false" ht="18" hidden="false" customHeight="true" outlineLevel="0" collapsed="false"/>
    <row r="7171" customFormat="false" ht="18" hidden="false" customHeight="true" outlineLevel="0" collapsed="false"/>
    <row r="7172" customFormat="false" ht="18" hidden="false" customHeight="true" outlineLevel="0" collapsed="false"/>
    <row r="7173" customFormat="false" ht="18" hidden="false" customHeight="true" outlineLevel="0" collapsed="false"/>
    <row r="7174" customFormat="false" ht="18" hidden="false" customHeight="true" outlineLevel="0" collapsed="false"/>
    <row r="7175" customFormat="false" ht="18" hidden="false" customHeight="true" outlineLevel="0" collapsed="false"/>
    <row r="7176" customFormat="false" ht="18" hidden="false" customHeight="true" outlineLevel="0" collapsed="false"/>
    <row r="7177" customFormat="false" ht="18" hidden="false" customHeight="true" outlineLevel="0" collapsed="false"/>
    <row r="7178" customFormat="false" ht="18" hidden="false" customHeight="true" outlineLevel="0" collapsed="false"/>
    <row r="7179" customFormat="false" ht="18" hidden="false" customHeight="true" outlineLevel="0" collapsed="false"/>
    <row r="7180" customFormat="false" ht="18" hidden="false" customHeight="true" outlineLevel="0" collapsed="false"/>
    <row r="7181" customFormat="false" ht="18" hidden="false" customHeight="true" outlineLevel="0" collapsed="false"/>
    <row r="7182" customFormat="false" ht="18" hidden="false" customHeight="true" outlineLevel="0" collapsed="false"/>
    <row r="7183" customFormat="false" ht="18" hidden="false" customHeight="true" outlineLevel="0" collapsed="false"/>
    <row r="7184" customFormat="false" ht="18" hidden="false" customHeight="true" outlineLevel="0" collapsed="false"/>
    <row r="7185" customFormat="false" ht="18" hidden="false" customHeight="true" outlineLevel="0" collapsed="false"/>
    <row r="7186" customFormat="false" ht="18" hidden="false" customHeight="true" outlineLevel="0" collapsed="false"/>
    <row r="7187" customFormat="false" ht="18" hidden="false" customHeight="true" outlineLevel="0" collapsed="false"/>
    <row r="7188" customFormat="false" ht="18" hidden="false" customHeight="true" outlineLevel="0" collapsed="false"/>
    <row r="7189" customFormat="false" ht="18" hidden="false" customHeight="true" outlineLevel="0" collapsed="false"/>
    <row r="7190" customFormat="false" ht="18" hidden="false" customHeight="true" outlineLevel="0" collapsed="false"/>
    <row r="7191" customFormat="false" ht="18" hidden="false" customHeight="true" outlineLevel="0" collapsed="false"/>
    <row r="7192" customFormat="false" ht="18" hidden="false" customHeight="true" outlineLevel="0" collapsed="false"/>
    <row r="7193" customFormat="false" ht="18" hidden="false" customHeight="true" outlineLevel="0" collapsed="false"/>
    <row r="7194" customFormat="false" ht="18" hidden="false" customHeight="true" outlineLevel="0" collapsed="false"/>
    <row r="7195" customFormat="false" ht="18" hidden="false" customHeight="true" outlineLevel="0" collapsed="false"/>
    <row r="7196" customFormat="false" ht="18" hidden="false" customHeight="true" outlineLevel="0" collapsed="false"/>
    <row r="7197" customFormat="false" ht="18" hidden="false" customHeight="true" outlineLevel="0" collapsed="false"/>
    <row r="7198" customFormat="false" ht="18" hidden="false" customHeight="true" outlineLevel="0" collapsed="false"/>
    <row r="7199" customFormat="false" ht="18" hidden="false" customHeight="true" outlineLevel="0" collapsed="false"/>
    <row r="7200" customFormat="false" ht="18" hidden="false" customHeight="true" outlineLevel="0" collapsed="false"/>
    <row r="7201" customFormat="false" ht="18" hidden="false" customHeight="true" outlineLevel="0" collapsed="false"/>
    <row r="7202" customFormat="false" ht="18" hidden="false" customHeight="true" outlineLevel="0" collapsed="false"/>
    <row r="7203" customFormat="false" ht="18" hidden="false" customHeight="true" outlineLevel="0" collapsed="false"/>
    <row r="7204" customFormat="false" ht="18" hidden="false" customHeight="true" outlineLevel="0" collapsed="false"/>
    <row r="7205" customFormat="false" ht="18" hidden="false" customHeight="true" outlineLevel="0" collapsed="false"/>
    <row r="7206" customFormat="false" ht="18" hidden="false" customHeight="true" outlineLevel="0" collapsed="false"/>
    <row r="7207" customFormat="false" ht="18" hidden="false" customHeight="true" outlineLevel="0" collapsed="false"/>
    <row r="7208" customFormat="false" ht="18" hidden="false" customHeight="true" outlineLevel="0" collapsed="false"/>
    <row r="7209" customFormat="false" ht="18" hidden="false" customHeight="true" outlineLevel="0" collapsed="false"/>
    <row r="7210" customFormat="false" ht="18" hidden="false" customHeight="true" outlineLevel="0" collapsed="false"/>
    <row r="7211" customFormat="false" ht="18" hidden="false" customHeight="true" outlineLevel="0" collapsed="false"/>
    <row r="7212" customFormat="false" ht="18" hidden="false" customHeight="true" outlineLevel="0" collapsed="false"/>
    <row r="7213" customFormat="false" ht="18" hidden="false" customHeight="true" outlineLevel="0" collapsed="false"/>
    <row r="7214" customFormat="false" ht="18" hidden="false" customHeight="true" outlineLevel="0" collapsed="false"/>
    <row r="7215" customFormat="false" ht="18" hidden="false" customHeight="true" outlineLevel="0" collapsed="false"/>
    <row r="7216" customFormat="false" ht="18" hidden="false" customHeight="true" outlineLevel="0" collapsed="false"/>
    <row r="7217" customFormat="false" ht="18" hidden="false" customHeight="true" outlineLevel="0" collapsed="false"/>
    <row r="7218" customFormat="false" ht="18" hidden="false" customHeight="true" outlineLevel="0" collapsed="false"/>
    <row r="7219" customFormat="false" ht="18" hidden="false" customHeight="true" outlineLevel="0" collapsed="false"/>
    <row r="7220" customFormat="false" ht="18" hidden="false" customHeight="true" outlineLevel="0" collapsed="false"/>
    <row r="7221" customFormat="false" ht="18" hidden="false" customHeight="true" outlineLevel="0" collapsed="false"/>
    <row r="7222" customFormat="false" ht="18" hidden="false" customHeight="true" outlineLevel="0" collapsed="false"/>
    <row r="7223" customFormat="false" ht="18" hidden="false" customHeight="true" outlineLevel="0" collapsed="false"/>
    <row r="7224" customFormat="false" ht="18" hidden="false" customHeight="true" outlineLevel="0" collapsed="false"/>
    <row r="7225" customFormat="false" ht="18" hidden="false" customHeight="true" outlineLevel="0" collapsed="false"/>
    <row r="7226" customFormat="false" ht="18" hidden="false" customHeight="true" outlineLevel="0" collapsed="false"/>
    <row r="7227" customFormat="false" ht="18" hidden="false" customHeight="true" outlineLevel="0" collapsed="false"/>
    <row r="7228" customFormat="false" ht="18" hidden="false" customHeight="true" outlineLevel="0" collapsed="false"/>
    <row r="7229" customFormat="false" ht="18" hidden="false" customHeight="true" outlineLevel="0" collapsed="false"/>
    <row r="7230" customFormat="false" ht="18" hidden="false" customHeight="true" outlineLevel="0" collapsed="false"/>
    <row r="7231" customFormat="false" ht="18" hidden="false" customHeight="true" outlineLevel="0" collapsed="false"/>
    <row r="7232" customFormat="false" ht="18" hidden="false" customHeight="true" outlineLevel="0" collapsed="false"/>
    <row r="7233" customFormat="false" ht="18" hidden="false" customHeight="true" outlineLevel="0" collapsed="false"/>
    <row r="7234" customFormat="false" ht="18" hidden="false" customHeight="true" outlineLevel="0" collapsed="false"/>
    <row r="7235" customFormat="false" ht="18" hidden="false" customHeight="true" outlineLevel="0" collapsed="false"/>
    <row r="7236" customFormat="false" ht="18" hidden="false" customHeight="true" outlineLevel="0" collapsed="false"/>
    <row r="7237" customFormat="false" ht="18" hidden="false" customHeight="true" outlineLevel="0" collapsed="false"/>
    <row r="7238" customFormat="false" ht="18" hidden="false" customHeight="true" outlineLevel="0" collapsed="false"/>
    <row r="7239" customFormat="false" ht="18" hidden="false" customHeight="true" outlineLevel="0" collapsed="false"/>
    <row r="7240" customFormat="false" ht="18" hidden="false" customHeight="true" outlineLevel="0" collapsed="false"/>
    <row r="7241" customFormat="false" ht="18" hidden="false" customHeight="true" outlineLevel="0" collapsed="false"/>
    <row r="7242" customFormat="false" ht="18" hidden="false" customHeight="true" outlineLevel="0" collapsed="false"/>
    <row r="7243" customFormat="false" ht="18" hidden="false" customHeight="true" outlineLevel="0" collapsed="false"/>
    <row r="7244" customFormat="false" ht="18" hidden="false" customHeight="true" outlineLevel="0" collapsed="false"/>
    <row r="7245" customFormat="false" ht="18" hidden="false" customHeight="true" outlineLevel="0" collapsed="false"/>
    <row r="7246" customFormat="false" ht="18" hidden="false" customHeight="true" outlineLevel="0" collapsed="false"/>
    <row r="7247" customFormat="false" ht="18" hidden="false" customHeight="true" outlineLevel="0" collapsed="false"/>
    <row r="7248" customFormat="false" ht="18" hidden="false" customHeight="true" outlineLevel="0" collapsed="false"/>
    <row r="7249" customFormat="false" ht="18" hidden="false" customHeight="true" outlineLevel="0" collapsed="false"/>
    <row r="7250" customFormat="false" ht="18" hidden="false" customHeight="true" outlineLevel="0" collapsed="false"/>
    <row r="7251" customFormat="false" ht="18" hidden="false" customHeight="true" outlineLevel="0" collapsed="false"/>
    <row r="7252" customFormat="false" ht="18" hidden="false" customHeight="true" outlineLevel="0" collapsed="false"/>
    <row r="7253" customFormat="false" ht="18" hidden="false" customHeight="true" outlineLevel="0" collapsed="false"/>
    <row r="7254" customFormat="false" ht="18" hidden="false" customHeight="true" outlineLevel="0" collapsed="false"/>
    <row r="7255" customFormat="false" ht="18" hidden="false" customHeight="true" outlineLevel="0" collapsed="false"/>
    <row r="7256" customFormat="false" ht="18" hidden="false" customHeight="true" outlineLevel="0" collapsed="false"/>
    <row r="7257" customFormat="false" ht="18" hidden="false" customHeight="true" outlineLevel="0" collapsed="false"/>
    <row r="7258" customFormat="false" ht="18" hidden="false" customHeight="true" outlineLevel="0" collapsed="false"/>
    <row r="7259" customFormat="false" ht="18" hidden="false" customHeight="true" outlineLevel="0" collapsed="false"/>
    <row r="7260" customFormat="false" ht="18" hidden="false" customHeight="true" outlineLevel="0" collapsed="false"/>
    <row r="7261" customFormat="false" ht="18" hidden="false" customHeight="true" outlineLevel="0" collapsed="false"/>
    <row r="7262" customFormat="false" ht="18" hidden="false" customHeight="true" outlineLevel="0" collapsed="false"/>
    <row r="7263" customFormat="false" ht="18" hidden="false" customHeight="true" outlineLevel="0" collapsed="false"/>
    <row r="7264" customFormat="false" ht="18" hidden="false" customHeight="true" outlineLevel="0" collapsed="false"/>
    <row r="7265" customFormat="false" ht="18" hidden="false" customHeight="true" outlineLevel="0" collapsed="false"/>
    <row r="7266" customFormat="false" ht="18" hidden="false" customHeight="true" outlineLevel="0" collapsed="false"/>
    <row r="7267" customFormat="false" ht="18" hidden="false" customHeight="true" outlineLevel="0" collapsed="false"/>
    <row r="7268" customFormat="false" ht="18" hidden="false" customHeight="true" outlineLevel="0" collapsed="false"/>
    <row r="7269" customFormat="false" ht="18" hidden="false" customHeight="true" outlineLevel="0" collapsed="false"/>
    <row r="7270" customFormat="false" ht="18" hidden="false" customHeight="true" outlineLevel="0" collapsed="false"/>
    <row r="7271" customFormat="false" ht="18" hidden="false" customHeight="true" outlineLevel="0" collapsed="false"/>
    <row r="7272" customFormat="false" ht="18" hidden="false" customHeight="true" outlineLevel="0" collapsed="false"/>
    <row r="7273" customFormat="false" ht="18" hidden="false" customHeight="true" outlineLevel="0" collapsed="false"/>
    <row r="7274" customFormat="false" ht="18" hidden="false" customHeight="true" outlineLevel="0" collapsed="false"/>
    <row r="7275" customFormat="false" ht="18" hidden="false" customHeight="true" outlineLevel="0" collapsed="false"/>
    <row r="7276" customFormat="false" ht="18" hidden="false" customHeight="true" outlineLevel="0" collapsed="false"/>
    <row r="7277" customFormat="false" ht="18" hidden="false" customHeight="true" outlineLevel="0" collapsed="false"/>
    <row r="7278" customFormat="false" ht="18" hidden="false" customHeight="true" outlineLevel="0" collapsed="false"/>
    <row r="7279" customFormat="false" ht="18" hidden="false" customHeight="true" outlineLevel="0" collapsed="false"/>
    <row r="7280" customFormat="false" ht="18" hidden="false" customHeight="true" outlineLevel="0" collapsed="false"/>
    <row r="7281" customFormat="false" ht="18" hidden="false" customHeight="true" outlineLevel="0" collapsed="false"/>
    <row r="7282" customFormat="false" ht="18" hidden="false" customHeight="true" outlineLevel="0" collapsed="false"/>
    <row r="7283" customFormat="false" ht="18" hidden="false" customHeight="true" outlineLevel="0" collapsed="false"/>
    <row r="7284" customFormat="false" ht="18" hidden="false" customHeight="true" outlineLevel="0" collapsed="false"/>
    <row r="7285" customFormat="false" ht="18" hidden="false" customHeight="true" outlineLevel="0" collapsed="false"/>
    <row r="7286" customFormat="false" ht="18" hidden="false" customHeight="true" outlineLevel="0" collapsed="false"/>
    <row r="7287" customFormat="false" ht="18" hidden="false" customHeight="true" outlineLevel="0" collapsed="false"/>
    <row r="7288" customFormat="false" ht="18" hidden="false" customHeight="true" outlineLevel="0" collapsed="false"/>
    <row r="7289" customFormat="false" ht="18" hidden="false" customHeight="true" outlineLevel="0" collapsed="false"/>
    <row r="7290" customFormat="false" ht="18" hidden="false" customHeight="true" outlineLevel="0" collapsed="false"/>
    <row r="7291" customFormat="false" ht="18" hidden="false" customHeight="true" outlineLevel="0" collapsed="false"/>
    <row r="7292" customFormat="false" ht="18" hidden="false" customHeight="true" outlineLevel="0" collapsed="false"/>
    <row r="7293" customFormat="false" ht="18" hidden="false" customHeight="true" outlineLevel="0" collapsed="false"/>
    <row r="7294" customFormat="false" ht="18" hidden="false" customHeight="true" outlineLevel="0" collapsed="false"/>
    <row r="7295" customFormat="false" ht="18" hidden="false" customHeight="true" outlineLevel="0" collapsed="false"/>
    <row r="7296" customFormat="false" ht="18" hidden="false" customHeight="true" outlineLevel="0" collapsed="false"/>
    <row r="7297" customFormat="false" ht="18" hidden="false" customHeight="true" outlineLevel="0" collapsed="false"/>
    <row r="7298" customFormat="false" ht="18" hidden="false" customHeight="true" outlineLevel="0" collapsed="false"/>
    <row r="7299" customFormat="false" ht="18" hidden="false" customHeight="true" outlineLevel="0" collapsed="false"/>
    <row r="7300" customFormat="false" ht="18" hidden="false" customHeight="true" outlineLevel="0" collapsed="false"/>
    <row r="7301" customFormat="false" ht="18" hidden="false" customHeight="true" outlineLevel="0" collapsed="false"/>
    <row r="7302" customFormat="false" ht="18" hidden="false" customHeight="true" outlineLevel="0" collapsed="false"/>
    <row r="7303" customFormat="false" ht="18" hidden="false" customHeight="true" outlineLevel="0" collapsed="false"/>
    <row r="7304" customFormat="false" ht="18" hidden="false" customHeight="true" outlineLevel="0" collapsed="false"/>
    <row r="7305" customFormat="false" ht="18" hidden="false" customHeight="true" outlineLevel="0" collapsed="false"/>
    <row r="7306" customFormat="false" ht="18" hidden="false" customHeight="true" outlineLevel="0" collapsed="false"/>
    <row r="7307" customFormat="false" ht="18" hidden="false" customHeight="true" outlineLevel="0" collapsed="false"/>
    <row r="7308" customFormat="false" ht="18" hidden="false" customHeight="true" outlineLevel="0" collapsed="false"/>
    <row r="7309" customFormat="false" ht="18" hidden="false" customHeight="true" outlineLevel="0" collapsed="false"/>
    <row r="7310" customFormat="false" ht="18" hidden="false" customHeight="true" outlineLevel="0" collapsed="false"/>
    <row r="7311" customFormat="false" ht="18" hidden="false" customHeight="true" outlineLevel="0" collapsed="false"/>
    <row r="7312" customFormat="false" ht="18" hidden="false" customHeight="true" outlineLevel="0" collapsed="false"/>
    <row r="7313" customFormat="false" ht="18" hidden="false" customHeight="true" outlineLevel="0" collapsed="false"/>
    <row r="7314" customFormat="false" ht="18" hidden="false" customHeight="true" outlineLevel="0" collapsed="false"/>
    <row r="7315" customFormat="false" ht="18" hidden="false" customHeight="true" outlineLevel="0" collapsed="false"/>
    <row r="7316" customFormat="false" ht="18" hidden="false" customHeight="true" outlineLevel="0" collapsed="false"/>
    <row r="7317" customFormat="false" ht="18" hidden="false" customHeight="true" outlineLevel="0" collapsed="false"/>
    <row r="7318" customFormat="false" ht="18" hidden="false" customHeight="true" outlineLevel="0" collapsed="false"/>
    <row r="7319" customFormat="false" ht="18" hidden="false" customHeight="true" outlineLevel="0" collapsed="false"/>
    <row r="7320" customFormat="false" ht="18" hidden="false" customHeight="true" outlineLevel="0" collapsed="false"/>
    <row r="7321" customFormat="false" ht="18" hidden="false" customHeight="true" outlineLevel="0" collapsed="false"/>
    <row r="7322" customFormat="false" ht="18" hidden="false" customHeight="true" outlineLevel="0" collapsed="false"/>
    <row r="7323" customFormat="false" ht="18" hidden="false" customHeight="true" outlineLevel="0" collapsed="false"/>
    <row r="7324" customFormat="false" ht="18" hidden="false" customHeight="true" outlineLevel="0" collapsed="false"/>
    <row r="7325" customFormat="false" ht="18" hidden="false" customHeight="true" outlineLevel="0" collapsed="false"/>
    <row r="7326" customFormat="false" ht="18" hidden="false" customHeight="true" outlineLevel="0" collapsed="false"/>
    <row r="7327" customFormat="false" ht="18" hidden="false" customHeight="true" outlineLevel="0" collapsed="false"/>
    <row r="7328" customFormat="false" ht="18" hidden="false" customHeight="true" outlineLevel="0" collapsed="false"/>
    <row r="7329" customFormat="false" ht="18" hidden="false" customHeight="true" outlineLevel="0" collapsed="false"/>
    <row r="7330" customFormat="false" ht="18" hidden="false" customHeight="true" outlineLevel="0" collapsed="false"/>
    <row r="7331" customFormat="false" ht="18" hidden="false" customHeight="true" outlineLevel="0" collapsed="false"/>
    <row r="7332" customFormat="false" ht="18" hidden="false" customHeight="true" outlineLevel="0" collapsed="false"/>
    <row r="7333" customFormat="false" ht="18" hidden="false" customHeight="true" outlineLevel="0" collapsed="false"/>
    <row r="7334" customFormat="false" ht="18" hidden="false" customHeight="true" outlineLevel="0" collapsed="false"/>
    <row r="7335" customFormat="false" ht="18" hidden="false" customHeight="true" outlineLevel="0" collapsed="false"/>
    <row r="7336" customFormat="false" ht="18" hidden="false" customHeight="true" outlineLevel="0" collapsed="false"/>
    <row r="7337" customFormat="false" ht="18" hidden="false" customHeight="true" outlineLevel="0" collapsed="false"/>
    <row r="7338" customFormat="false" ht="18" hidden="false" customHeight="true" outlineLevel="0" collapsed="false"/>
    <row r="7339" customFormat="false" ht="18" hidden="false" customHeight="true" outlineLevel="0" collapsed="false"/>
    <row r="7340" customFormat="false" ht="18" hidden="false" customHeight="true" outlineLevel="0" collapsed="false"/>
    <row r="7341" customFormat="false" ht="18" hidden="false" customHeight="true" outlineLevel="0" collapsed="false"/>
    <row r="7342" customFormat="false" ht="18" hidden="false" customHeight="true" outlineLevel="0" collapsed="false"/>
    <row r="7343" customFormat="false" ht="18" hidden="false" customHeight="true" outlineLevel="0" collapsed="false"/>
    <row r="7344" customFormat="false" ht="18" hidden="false" customHeight="true" outlineLevel="0" collapsed="false"/>
    <row r="7345" customFormat="false" ht="18" hidden="false" customHeight="true" outlineLevel="0" collapsed="false"/>
    <row r="7346" customFormat="false" ht="18" hidden="false" customHeight="true" outlineLevel="0" collapsed="false"/>
    <row r="7347" customFormat="false" ht="18" hidden="false" customHeight="true" outlineLevel="0" collapsed="false"/>
    <row r="7348" customFormat="false" ht="18" hidden="false" customHeight="true" outlineLevel="0" collapsed="false"/>
    <row r="7349" customFormat="false" ht="18" hidden="false" customHeight="true" outlineLevel="0" collapsed="false"/>
    <row r="7350" customFormat="false" ht="18" hidden="false" customHeight="true" outlineLevel="0" collapsed="false"/>
    <row r="7351" customFormat="false" ht="18" hidden="false" customHeight="true" outlineLevel="0" collapsed="false"/>
    <row r="7352" customFormat="false" ht="18" hidden="false" customHeight="true" outlineLevel="0" collapsed="false"/>
    <row r="7353" customFormat="false" ht="18" hidden="false" customHeight="true" outlineLevel="0" collapsed="false"/>
    <row r="7354" customFormat="false" ht="18" hidden="false" customHeight="true" outlineLevel="0" collapsed="false"/>
    <row r="7355" customFormat="false" ht="18" hidden="false" customHeight="true" outlineLevel="0" collapsed="false"/>
    <row r="7356" customFormat="false" ht="18" hidden="false" customHeight="true" outlineLevel="0" collapsed="false"/>
    <row r="7357" customFormat="false" ht="18" hidden="false" customHeight="true" outlineLevel="0" collapsed="false"/>
    <row r="7358" customFormat="false" ht="18" hidden="false" customHeight="true" outlineLevel="0" collapsed="false"/>
    <row r="7359" customFormat="false" ht="18" hidden="false" customHeight="true" outlineLevel="0" collapsed="false"/>
    <row r="7360" customFormat="false" ht="18" hidden="false" customHeight="true" outlineLevel="0" collapsed="false"/>
    <row r="7361" customFormat="false" ht="18" hidden="false" customHeight="true" outlineLevel="0" collapsed="false"/>
    <row r="7362" customFormat="false" ht="18" hidden="false" customHeight="true" outlineLevel="0" collapsed="false"/>
    <row r="7363" customFormat="false" ht="18" hidden="false" customHeight="true" outlineLevel="0" collapsed="false"/>
    <row r="7364" customFormat="false" ht="18" hidden="false" customHeight="true" outlineLevel="0" collapsed="false"/>
    <row r="7365" customFormat="false" ht="18" hidden="false" customHeight="true" outlineLevel="0" collapsed="false"/>
    <row r="7366" customFormat="false" ht="18" hidden="false" customHeight="true" outlineLevel="0" collapsed="false"/>
    <row r="7367" customFormat="false" ht="18" hidden="false" customHeight="true" outlineLevel="0" collapsed="false"/>
    <row r="7368" customFormat="false" ht="18" hidden="false" customHeight="true" outlineLevel="0" collapsed="false"/>
    <row r="7369" customFormat="false" ht="18" hidden="false" customHeight="true" outlineLevel="0" collapsed="false"/>
    <row r="7370" customFormat="false" ht="18" hidden="false" customHeight="true" outlineLevel="0" collapsed="false"/>
    <row r="7371" customFormat="false" ht="18" hidden="false" customHeight="true" outlineLevel="0" collapsed="false"/>
    <row r="7372" customFormat="false" ht="18" hidden="false" customHeight="true" outlineLevel="0" collapsed="false"/>
    <row r="7373" customFormat="false" ht="18" hidden="false" customHeight="true" outlineLevel="0" collapsed="false"/>
    <row r="7374" customFormat="false" ht="18" hidden="false" customHeight="true" outlineLevel="0" collapsed="false"/>
    <row r="7375" customFormat="false" ht="18" hidden="false" customHeight="true" outlineLevel="0" collapsed="false"/>
    <row r="7376" customFormat="false" ht="18" hidden="false" customHeight="true" outlineLevel="0" collapsed="false"/>
    <row r="7377" customFormat="false" ht="18" hidden="false" customHeight="true" outlineLevel="0" collapsed="false"/>
    <row r="7378" customFormat="false" ht="18" hidden="false" customHeight="true" outlineLevel="0" collapsed="false"/>
    <row r="7379" customFormat="false" ht="18" hidden="false" customHeight="true" outlineLevel="0" collapsed="false"/>
    <row r="7380" customFormat="false" ht="18" hidden="false" customHeight="true" outlineLevel="0" collapsed="false"/>
    <row r="7381" customFormat="false" ht="18" hidden="false" customHeight="true" outlineLevel="0" collapsed="false"/>
    <row r="7382" customFormat="false" ht="18" hidden="false" customHeight="true" outlineLevel="0" collapsed="false"/>
    <row r="7383" customFormat="false" ht="18" hidden="false" customHeight="true" outlineLevel="0" collapsed="false"/>
    <row r="7384" customFormat="false" ht="18" hidden="false" customHeight="true" outlineLevel="0" collapsed="false"/>
    <row r="7385" customFormat="false" ht="18" hidden="false" customHeight="true" outlineLevel="0" collapsed="false"/>
    <row r="7386" customFormat="false" ht="18" hidden="false" customHeight="true" outlineLevel="0" collapsed="false"/>
    <row r="7387" customFormat="false" ht="18" hidden="false" customHeight="true" outlineLevel="0" collapsed="false"/>
    <row r="7388" customFormat="false" ht="18" hidden="false" customHeight="true" outlineLevel="0" collapsed="false"/>
    <row r="7389" customFormat="false" ht="18" hidden="false" customHeight="true" outlineLevel="0" collapsed="false"/>
    <row r="7390" customFormat="false" ht="18" hidden="false" customHeight="true" outlineLevel="0" collapsed="false"/>
    <row r="7391" customFormat="false" ht="18" hidden="false" customHeight="true" outlineLevel="0" collapsed="false"/>
    <row r="7392" customFormat="false" ht="18" hidden="false" customHeight="true" outlineLevel="0" collapsed="false"/>
    <row r="7393" customFormat="false" ht="18" hidden="false" customHeight="true" outlineLevel="0" collapsed="false"/>
    <row r="7394" customFormat="false" ht="18" hidden="false" customHeight="true" outlineLevel="0" collapsed="false"/>
    <row r="7395" customFormat="false" ht="18" hidden="false" customHeight="true" outlineLevel="0" collapsed="false"/>
    <row r="7396" customFormat="false" ht="18" hidden="false" customHeight="true" outlineLevel="0" collapsed="false"/>
    <row r="7397" customFormat="false" ht="18" hidden="false" customHeight="true" outlineLevel="0" collapsed="false"/>
    <row r="7398" customFormat="false" ht="18" hidden="false" customHeight="true" outlineLevel="0" collapsed="false"/>
    <row r="7399" customFormat="false" ht="18" hidden="false" customHeight="true" outlineLevel="0" collapsed="false"/>
    <row r="7400" customFormat="false" ht="18" hidden="false" customHeight="true" outlineLevel="0" collapsed="false"/>
    <row r="7401" customFormat="false" ht="18" hidden="false" customHeight="true" outlineLevel="0" collapsed="false"/>
    <row r="7402" customFormat="false" ht="18" hidden="false" customHeight="true" outlineLevel="0" collapsed="false"/>
    <row r="7403" customFormat="false" ht="18" hidden="false" customHeight="true" outlineLevel="0" collapsed="false"/>
    <row r="7404" customFormat="false" ht="18" hidden="false" customHeight="true" outlineLevel="0" collapsed="false"/>
    <row r="7405" customFormat="false" ht="18" hidden="false" customHeight="true" outlineLevel="0" collapsed="false"/>
    <row r="7406" customFormat="false" ht="18" hidden="false" customHeight="true" outlineLevel="0" collapsed="false"/>
    <row r="7407" customFormat="false" ht="18" hidden="false" customHeight="true" outlineLevel="0" collapsed="false"/>
    <row r="7408" customFormat="false" ht="18" hidden="false" customHeight="true" outlineLevel="0" collapsed="false"/>
    <row r="7409" customFormat="false" ht="18" hidden="false" customHeight="true" outlineLevel="0" collapsed="false"/>
    <row r="7410" customFormat="false" ht="18" hidden="false" customHeight="true" outlineLevel="0" collapsed="false"/>
    <row r="7411" customFormat="false" ht="18" hidden="false" customHeight="true" outlineLevel="0" collapsed="false"/>
    <row r="7412" customFormat="false" ht="18" hidden="false" customHeight="true" outlineLevel="0" collapsed="false"/>
    <row r="7413" customFormat="false" ht="18" hidden="false" customHeight="true" outlineLevel="0" collapsed="false"/>
    <row r="7414" customFormat="false" ht="18" hidden="false" customHeight="true" outlineLevel="0" collapsed="false"/>
    <row r="7415" customFormat="false" ht="18" hidden="false" customHeight="true" outlineLevel="0" collapsed="false"/>
    <row r="7416" customFormat="false" ht="18" hidden="false" customHeight="true" outlineLevel="0" collapsed="false"/>
    <row r="7417" customFormat="false" ht="18" hidden="false" customHeight="true" outlineLevel="0" collapsed="false"/>
    <row r="7418" customFormat="false" ht="18" hidden="false" customHeight="true" outlineLevel="0" collapsed="false"/>
    <row r="7419" customFormat="false" ht="18" hidden="false" customHeight="true" outlineLevel="0" collapsed="false"/>
    <row r="7420" customFormat="false" ht="18" hidden="false" customHeight="true" outlineLevel="0" collapsed="false"/>
    <row r="7421" customFormat="false" ht="18" hidden="false" customHeight="true" outlineLevel="0" collapsed="false"/>
    <row r="7422" customFormat="false" ht="18" hidden="false" customHeight="true" outlineLevel="0" collapsed="false"/>
    <row r="7423" customFormat="false" ht="18" hidden="false" customHeight="true" outlineLevel="0" collapsed="false"/>
    <row r="7424" customFormat="false" ht="18" hidden="false" customHeight="true" outlineLevel="0" collapsed="false"/>
    <row r="7425" customFormat="false" ht="18" hidden="false" customHeight="true" outlineLevel="0" collapsed="false"/>
    <row r="7426" customFormat="false" ht="18" hidden="false" customHeight="true" outlineLevel="0" collapsed="false"/>
    <row r="7427" customFormat="false" ht="18" hidden="false" customHeight="true" outlineLevel="0" collapsed="false"/>
    <row r="7428" customFormat="false" ht="18" hidden="false" customHeight="true" outlineLevel="0" collapsed="false"/>
    <row r="7429" customFormat="false" ht="18" hidden="false" customHeight="true" outlineLevel="0" collapsed="false"/>
    <row r="7430" customFormat="false" ht="18" hidden="false" customHeight="true" outlineLevel="0" collapsed="false"/>
    <row r="7431" customFormat="false" ht="18" hidden="false" customHeight="true" outlineLevel="0" collapsed="false"/>
    <row r="7432" customFormat="false" ht="18" hidden="false" customHeight="true" outlineLevel="0" collapsed="false"/>
    <row r="7433" customFormat="false" ht="18" hidden="false" customHeight="true" outlineLevel="0" collapsed="false"/>
    <row r="7434" customFormat="false" ht="18" hidden="false" customHeight="true" outlineLevel="0" collapsed="false"/>
    <row r="7435" customFormat="false" ht="18" hidden="false" customHeight="true" outlineLevel="0" collapsed="false"/>
    <row r="7436" customFormat="false" ht="18" hidden="false" customHeight="true" outlineLevel="0" collapsed="false"/>
    <row r="7437" customFormat="false" ht="18" hidden="false" customHeight="true" outlineLevel="0" collapsed="false"/>
    <row r="7438" customFormat="false" ht="18" hidden="false" customHeight="true" outlineLevel="0" collapsed="false"/>
    <row r="7439" customFormat="false" ht="18" hidden="false" customHeight="true" outlineLevel="0" collapsed="false"/>
    <row r="7440" customFormat="false" ht="18" hidden="false" customHeight="true" outlineLevel="0" collapsed="false"/>
    <row r="7441" customFormat="false" ht="18" hidden="false" customHeight="true" outlineLevel="0" collapsed="false"/>
    <row r="7442" customFormat="false" ht="18" hidden="false" customHeight="true" outlineLevel="0" collapsed="false"/>
    <row r="7443" customFormat="false" ht="18" hidden="false" customHeight="true" outlineLevel="0" collapsed="false"/>
    <row r="7444" customFormat="false" ht="18" hidden="false" customHeight="true" outlineLevel="0" collapsed="false"/>
    <row r="7445" customFormat="false" ht="18" hidden="false" customHeight="true" outlineLevel="0" collapsed="false"/>
    <row r="7446" customFormat="false" ht="18" hidden="false" customHeight="true" outlineLevel="0" collapsed="false"/>
    <row r="7447" customFormat="false" ht="18" hidden="false" customHeight="true" outlineLevel="0" collapsed="false"/>
    <row r="7448" customFormat="false" ht="18" hidden="false" customHeight="true" outlineLevel="0" collapsed="false"/>
    <row r="7449" customFormat="false" ht="18" hidden="false" customHeight="true" outlineLevel="0" collapsed="false"/>
    <row r="7450" customFormat="false" ht="18" hidden="false" customHeight="true" outlineLevel="0" collapsed="false"/>
    <row r="7451" customFormat="false" ht="18" hidden="false" customHeight="true" outlineLevel="0" collapsed="false"/>
    <row r="7452" customFormat="false" ht="18" hidden="false" customHeight="true" outlineLevel="0" collapsed="false"/>
    <row r="7453" customFormat="false" ht="18" hidden="false" customHeight="true" outlineLevel="0" collapsed="false"/>
    <row r="7454" customFormat="false" ht="18" hidden="false" customHeight="true" outlineLevel="0" collapsed="false"/>
    <row r="7455" customFormat="false" ht="18" hidden="false" customHeight="true" outlineLevel="0" collapsed="false"/>
    <row r="7456" customFormat="false" ht="18" hidden="false" customHeight="true" outlineLevel="0" collapsed="false"/>
    <row r="7457" customFormat="false" ht="18" hidden="false" customHeight="true" outlineLevel="0" collapsed="false"/>
    <row r="7458" customFormat="false" ht="18" hidden="false" customHeight="true" outlineLevel="0" collapsed="false"/>
    <row r="7459" customFormat="false" ht="18" hidden="false" customHeight="true" outlineLevel="0" collapsed="false"/>
    <row r="7460" customFormat="false" ht="18" hidden="false" customHeight="true" outlineLevel="0" collapsed="false"/>
    <row r="7461" customFormat="false" ht="18" hidden="false" customHeight="true" outlineLevel="0" collapsed="false"/>
    <row r="7462" customFormat="false" ht="18" hidden="false" customHeight="true" outlineLevel="0" collapsed="false"/>
    <row r="7463" customFormat="false" ht="18" hidden="false" customHeight="true" outlineLevel="0" collapsed="false"/>
    <row r="7464" customFormat="false" ht="18" hidden="false" customHeight="true" outlineLevel="0" collapsed="false"/>
    <row r="7465" customFormat="false" ht="18" hidden="false" customHeight="true" outlineLevel="0" collapsed="false"/>
    <row r="7466" customFormat="false" ht="18" hidden="false" customHeight="true" outlineLevel="0" collapsed="false"/>
    <row r="7467" customFormat="false" ht="18" hidden="false" customHeight="true" outlineLevel="0" collapsed="false"/>
    <row r="7468" customFormat="false" ht="18" hidden="false" customHeight="true" outlineLevel="0" collapsed="false"/>
    <row r="7469" customFormat="false" ht="18" hidden="false" customHeight="true" outlineLevel="0" collapsed="false"/>
    <row r="7470" customFormat="false" ht="18" hidden="false" customHeight="true" outlineLevel="0" collapsed="false"/>
    <row r="7471" customFormat="false" ht="18" hidden="false" customHeight="true" outlineLevel="0" collapsed="false"/>
    <row r="7472" customFormat="false" ht="18" hidden="false" customHeight="true" outlineLevel="0" collapsed="false"/>
    <row r="7473" customFormat="false" ht="18" hidden="false" customHeight="true" outlineLevel="0" collapsed="false"/>
    <row r="7474" customFormat="false" ht="18" hidden="false" customHeight="true" outlineLevel="0" collapsed="false"/>
    <row r="7475" customFormat="false" ht="18" hidden="false" customHeight="true" outlineLevel="0" collapsed="false"/>
    <row r="7476" customFormat="false" ht="18" hidden="false" customHeight="true" outlineLevel="0" collapsed="false"/>
    <row r="7477" customFormat="false" ht="18" hidden="false" customHeight="true" outlineLevel="0" collapsed="false"/>
    <row r="7478" customFormat="false" ht="18" hidden="false" customHeight="true" outlineLevel="0" collapsed="false"/>
    <row r="7479" customFormat="false" ht="18" hidden="false" customHeight="true" outlineLevel="0" collapsed="false"/>
    <row r="7480" customFormat="false" ht="18" hidden="false" customHeight="true" outlineLevel="0" collapsed="false"/>
    <row r="7481" customFormat="false" ht="18" hidden="false" customHeight="true" outlineLevel="0" collapsed="false"/>
    <row r="7482" customFormat="false" ht="18" hidden="false" customHeight="true" outlineLevel="0" collapsed="false"/>
    <row r="7483" customFormat="false" ht="18" hidden="false" customHeight="true" outlineLevel="0" collapsed="false"/>
    <row r="7484" customFormat="false" ht="18" hidden="false" customHeight="true" outlineLevel="0" collapsed="false"/>
    <row r="7485" customFormat="false" ht="18" hidden="false" customHeight="true" outlineLevel="0" collapsed="false"/>
    <row r="7486" customFormat="false" ht="18" hidden="false" customHeight="true" outlineLevel="0" collapsed="false"/>
    <row r="7487" customFormat="false" ht="18" hidden="false" customHeight="true" outlineLevel="0" collapsed="false"/>
    <row r="7488" customFormat="false" ht="18" hidden="false" customHeight="true" outlineLevel="0" collapsed="false"/>
    <row r="7489" customFormat="false" ht="18" hidden="false" customHeight="true" outlineLevel="0" collapsed="false"/>
    <row r="7490" customFormat="false" ht="18" hidden="false" customHeight="true" outlineLevel="0" collapsed="false"/>
    <row r="7491" customFormat="false" ht="18" hidden="false" customHeight="true" outlineLevel="0" collapsed="false"/>
    <row r="7492" customFormat="false" ht="18" hidden="false" customHeight="true" outlineLevel="0" collapsed="false"/>
    <row r="7493" customFormat="false" ht="18" hidden="false" customHeight="true" outlineLevel="0" collapsed="false"/>
    <row r="7494" customFormat="false" ht="18" hidden="false" customHeight="true" outlineLevel="0" collapsed="false"/>
    <row r="7495" customFormat="false" ht="18" hidden="false" customHeight="true" outlineLevel="0" collapsed="false"/>
    <row r="7496" customFormat="false" ht="18" hidden="false" customHeight="true" outlineLevel="0" collapsed="false"/>
    <row r="7497" customFormat="false" ht="18" hidden="false" customHeight="true" outlineLevel="0" collapsed="false"/>
    <row r="7498" customFormat="false" ht="18" hidden="false" customHeight="true" outlineLevel="0" collapsed="false"/>
    <row r="7499" customFormat="false" ht="18" hidden="false" customHeight="true" outlineLevel="0" collapsed="false"/>
    <row r="7500" customFormat="false" ht="18" hidden="false" customHeight="true" outlineLevel="0" collapsed="false"/>
    <row r="7501" customFormat="false" ht="18" hidden="false" customHeight="true" outlineLevel="0" collapsed="false"/>
    <row r="7502" customFormat="false" ht="18" hidden="false" customHeight="true" outlineLevel="0" collapsed="false"/>
    <row r="7503" customFormat="false" ht="18" hidden="false" customHeight="true" outlineLevel="0" collapsed="false"/>
    <row r="7504" customFormat="false" ht="18" hidden="false" customHeight="true" outlineLevel="0" collapsed="false"/>
    <row r="7505" customFormat="false" ht="18" hidden="false" customHeight="true" outlineLevel="0" collapsed="false"/>
    <row r="7506" customFormat="false" ht="18" hidden="false" customHeight="true" outlineLevel="0" collapsed="false"/>
    <row r="7507" customFormat="false" ht="18" hidden="false" customHeight="true" outlineLevel="0" collapsed="false"/>
    <row r="7508" customFormat="false" ht="18" hidden="false" customHeight="true" outlineLevel="0" collapsed="false"/>
    <row r="7509" customFormat="false" ht="18" hidden="false" customHeight="true" outlineLevel="0" collapsed="false"/>
    <row r="7510" customFormat="false" ht="18" hidden="false" customHeight="true" outlineLevel="0" collapsed="false"/>
    <row r="7511" customFormat="false" ht="18" hidden="false" customHeight="true" outlineLevel="0" collapsed="false"/>
    <row r="7512" customFormat="false" ht="18" hidden="false" customHeight="true" outlineLevel="0" collapsed="false"/>
    <row r="7513" customFormat="false" ht="18" hidden="false" customHeight="true" outlineLevel="0" collapsed="false"/>
    <row r="7514" customFormat="false" ht="18" hidden="false" customHeight="true" outlineLevel="0" collapsed="false"/>
    <row r="7515" customFormat="false" ht="18" hidden="false" customHeight="true" outlineLevel="0" collapsed="false"/>
    <row r="7516" customFormat="false" ht="18" hidden="false" customHeight="true" outlineLevel="0" collapsed="false"/>
    <row r="7517" customFormat="false" ht="18" hidden="false" customHeight="true" outlineLevel="0" collapsed="false"/>
    <row r="7518" customFormat="false" ht="18" hidden="false" customHeight="true" outlineLevel="0" collapsed="false"/>
    <row r="7519" customFormat="false" ht="18" hidden="false" customHeight="true" outlineLevel="0" collapsed="false"/>
    <row r="7520" customFormat="false" ht="18" hidden="false" customHeight="true" outlineLevel="0" collapsed="false"/>
    <row r="7521" customFormat="false" ht="18" hidden="false" customHeight="true" outlineLevel="0" collapsed="false"/>
    <row r="7522" customFormat="false" ht="18" hidden="false" customHeight="true" outlineLevel="0" collapsed="false"/>
    <row r="7523" customFormat="false" ht="18" hidden="false" customHeight="true" outlineLevel="0" collapsed="false"/>
    <row r="7524" customFormat="false" ht="18" hidden="false" customHeight="true" outlineLevel="0" collapsed="false"/>
    <row r="7525" customFormat="false" ht="18" hidden="false" customHeight="true" outlineLevel="0" collapsed="false"/>
    <row r="7526" customFormat="false" ht="18" hidden="false" customHeight="true" outlineLevel="0" collapsed="false"/>
    <row r="7527" customFormat="false" ht="18" hidden="false" customHeight="true" outlineLevel="0" collapsed="false"/>
    <row r="7528" customFormat="false" ht="18" hidden="false" customHeight="true" outlineLevel="0" collapsed="false"/>
    <row r="7529" customFormat="false" ht="18" hidden="false" customHeight="true" outlineLevel="0" collapsed="false"/>
    <row r="7530" customFormat="false" ht="18" hidden="false" customHeight="true" outlineLevel="0" collapsed="false"/>
    <row r="7531" customFormat="false" ht="18" hidden="false" customHeight="true" outlineLevel="0" collapsed="false"/>
    <row r="7532" customFormat="false" ht="18" hidden="false" customHeight="true" outlineLevel="0" collapsed="false"/>
    <row r="7533" customFormat="false" ht="18" hidden="false" customHeight="true" outlineLevel="0" collapsed="false"/>
  </sheetData>
  <dataValidations count="4">
    <dataValidation allowBlank="false" errorStyle="stop" operator="between" showDropDown="false" showErrorMessage="false" showInputMessage="false" sqref="B5:B220" type="list">
      <formula1>"21,22,23,24,25"</formula1>
      <formula2>0</formula2>
    </dataValidation>
    <dataValidation allowBlank="false" errorStyle="stop" operator="between" showDropDown="false" showErrorMessage="false" showInputMessage="false" sqref="E5:E220" type="none">
      <formula1>0</formula1>
      <formula2>23</formula2>
    </dataValidation>
    <dataValidation allowBlank="false" errorStyle="stop" operator="greaterThan" showDropDown="false" showErrorMessage="false" showInputMessage="false" sqref="G5:G220" type="none">
      <formula1>0</formula1>
      <formula2>0</formula2>
    </dataValidation>
    <dataValidation allowBlank="false" errorStyle="stop" operator="greaterThanOrEqual" showDropDown="false" showErrorMessage="false" showInputMessage="false" sqref="I5:I220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.62"/>
    <col collapsed="false" customWidth="true" hidden="false" outlineLevel="0" max="10" min="10" style="1" width="14"/>
    <col collapsed="false" customWidth="true" hidden="false" outlineLevel="0" max="11" min="11" style="1" width="53.25"/>
  </cols>
  <sheetData>
    <row r="1" customFormat="false" ht="18" hidden="false" customHeight="true" outlineLevel="0" collapsed="false">
      <c r="A1" s="4" t="s">
        <v>193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true" outlineLevel="0" collapsed="false">
      <c r="A2" s="5" t="s">
        <v>194</v>
      </c>
    </row>
    <row r="3" customFormat="false" ht="14.25" hidden="false" customHeight="true" outlineLevel="0" collapsed="false">
      <c r="A3" s="6" t="s">
        <v>195</v>
      </c>
    </row>
    <row r="4" customFormat="false" ht="30" hidden="false" customHeight="true" outlineLevel="0" collapsed="false">
      <c r="A4" s="7" t="s">
        <v>13</v>
      </c>
      <c r="B4" s="7" t="s">
        <v>14</v>
      </c>
      <c r="C4" s="7" t="s">
        <v>15</v>
      </c>
      <c r="D4" s="7" t="s">
        <v>18</v>
      </c>
      <c r="E4" s="7" t="s">
        <v>16</v>
      </c>
      <c r="F4" s="7" t="s">
        <v>196</v>
      </c>
      <c r="G4" s="7" t="s">
        <v>197</v>
      </c>
      <c r="H4" s="7" t="s">
        <v>198</v>
      </c>
      <c r="I4" s="8" t="s">
        <v>199</v>
      </c>
      <c r="J4" s="8" t="s">
        <v>23</v>
      </c>
      <c r="K4" s="8" t="s">
        <v>200</v>
      </c>
      <c r="L4" s="8" t="s">
        <v>25</v>
      </c>
    </row>
    <row r="5" customFormat="false" ht="18" hidden="false" customHeight="true" outlineLevel="0" collapsed="false">
      <c r="A5" s="9" t="s">
        <v>26</v>
      </c>
      <c r="B5" s="10" t="n">
        <v>21</v>
      </c>
      <c r="C5" s="11" t="n">
        <v>45950</v>
      </c>
      <c r="D5" s="9" t="s">
        <v>31</v>
      </c>
      <c r="E5" s="9" t="s">
        <v>27</v>
      </c>
      <c r="F5" s="9" t="s">
        <v>201</v>
      </c>
      <c r="G5" s="13" t="n">
        <v>1</v>
      </c>
      <c r="H5" s="13" t="n">
        <v>1000</v>
      </c>
      <c r="I5" s="1" t="n">
        <f aca="false">IF(A5="","",G5*H5)</f>
        <v>1000</v>
      </c>
      <c r="J5" s="1" t="str">
        <f aca="false">IF(A5="","",IF(AND(G5&gt;=0,H5&gt;0),"OK","CHECK"))</f>
        <v>OK</v>
      </c>
      <c r="K5" s="1" t="str">
        <f aca="false">IF(A5="","", "RW-"&amp;A5&amp;"-L"&amp;TEXT(B5,"00")&amp;"-"&amp;TEXT(C5,"yyyymmdd")&amp;"-"&amp;D5&amp;"-"&amp;E5&amp;"-"&amp;F5)</f>
        <v>RW-KG01-L21-20251020-PM-ORD-2025-00019-Move to Cullet</v>
      </c>
      <c r="L5" s="1" t="str">
        <f aca="false">IF(A5="","",IF(AND(J5="OK",COUNTIF($K$5:$K$85,K5)=1),"OK","CHECK"))</f>
        <v>OK</v>
      </c>
    </row>
    <row r="6" customFormat="false" ht="18" hidden="false" customHeight="true" outlineLevel="0" collapsed="false">
      <c r="A6" s="9" t="s">
        <v>26</v>
      </c>
      <c r="B6" s="10" t="n">
        <v>21</v>
      </c>
      <c r="C6" s="11" t="n">
        <v>45952</v>
      </c>
      <c r="D6" s="9" t="s">
        <v>28</v>
      </c>
      <c r="E6" s="9" t="s">
        <v>32</v>
      </c>
      <c r="F6" s="9" t="s">
        <v>201</v>
      </c>
      <c r="G6" s="13" t="n">
        <v>1</v>
      </c>
      <c r="H6" s="13" t="n">
        <v>800</v>
      </c>
      <c r="I6" s="1" t="n">
        <f aca="false">IF(A6="","",G6*H6)</f>
        <v>800</v>
      </c>
      <c r="J6" s="1" t="str">
        <f aca="false">IF(A6="","",IF(AND(G6&gt;=0,H6&gt;0),"OK","CHECK"))</f>
        <v>OK</v>
      </c>
      <c r="K6" s="1" t="str">
        <f aca="false">IF(A6="","", "RW-"&amp;A6&amp;"-L"&amp;TEXT(B6,"00")&amp;"-"&amp;TEXT(C6,"yyyymmdd")&amp;"-"&amp;D6&amp;"-"&amp;E6&amp;"-"&amp;F6)</f>
        <v>RW-KG01-L21-20251022-AM-ORD-2025-00020-Move to Cullet</v>
      </c>
      <c r="L6" s="1" t="str">
        <f aca="false">IF(A6="","",IF(AND(J6="OK",COUNTIF($K$5:$K$85,K6)=1),"OK","CHECK"))</f>
        <v>OK</v>
      </c>
    </row>
    <row r="7" customFormat="false" ht="18" hidden="false" customHeight="true" outlineLevel="0" collapsed="false">
      <c r="A7" s="9" t="s">
        <v>26</v>
      </c>
      <c r="B7" s="10" t="n">
        <v>21</v>
      </c>
      <c r="C7" s="11" t="n">
        <v>45952</v>
      </c>
      <c r="D7" s="9" t="s">
        <v>31</v>
      </c>
      <c r="E7" s="9" t="s">
        <v>32</v>
      </c>
      <c r="F7" s="9" t="s">
        <v>201</v>
      </c>
      <c r="G7" s="13" t="n">
        <v>2</v>
      </c>
      <c r="H7" s="13" t="n">
        <v>800</v>
      </c>
      <c r="I7" s="1" t="n">
        <f aca="false">IF(A7="","",G7*H7)</f>
        <v>1600</v>
      </c>
      <c r="J7" s="1" t="str">
        <f aca="false">IF(A7="","",IF(AND(G7&gt;=0,H7&gt;0),"OK","CHECK"))</f>
        <v>OK</v>
      </c>
      <c r="K7" s="1" t="str">
        <f aca="false">IF(A7="","", "RW-"&amp;A7&amp;"-L"&amp;TEXT(B7,"00")&amp;"-"&amp;TEXT(C7,"yyyymmdd")&amp;"-"&amp;D7&amp;"-"&amp;E7&amp;"-"&amp;F7)</f>
        <v>RW-KG01-L21-20251022-PM-ORD-2025-00020-Move to Cullet</v>
      </c>
      <c r="L7" s="1" t="str">
        <f aca="false">IF(A7="","",IF(AND(J7="OK",COUNTIF($K$5:$K$85,K7)=1),"OK","CHECK"))</f>
        <v>OK</v>
      </c>
    </row>
    <row r="8" customFormat="false" ht="18" hidden="false" customHeight="true" outlineLevel="0" collapsed="false">
      <c r="A8" s="9" t="s">
        <v>26</v>
      </c>
      <c r="B8" s="10" t="n">
        <v>21</v>
      </c>
      <c r="C8" s="11" t="n">
        <v>45953</v>
      </c>
      <c r="D8" s="9" t="s">
        <v>28</v>
      </c>
      <c r="E8" s="9" t="s">
        <v>32</v>
      </c>
      <c r="F8" s="9" t="s">
        <v>202</v>
      </c>
      <c r="G8" s="13" t="n">
        <v>1</v>
      </c>
      <c r="H8" s="13" t="n">
        <v>800</v>
      </c>
      <c r="I8" s="1" t="n">
        <f aca="false">IF(A8="","",G8*H8)</f>
        <v>800</v>
      </c>
      <c r="J8" s="1" t="str">
        <f aca="false">IF(A8="","",IF(AND(G8&gt;=0,H8&gt;0),"OK","CHECK"))</f>
        <v>OK</v>
      </c>
      <c r="K8" s="1" t="str">
        <f aca="false">IF(A8="","", "RW-"&amp;A8&amp;"-L"&amp;TEXT(B8,"00")&amp;"-"&amp;TEXT(C8,"yyyymmdd")&amp;"-"&amp;D8&amp;"-"&amp;E8&amp;"-"&amp;F8)</f>
        <v>RW-KG01-L21-20251023-AM-ORD-2025-00020-Resorted</v>
      </c>
      <c r="L8" s="1" t="str">
        <f aca="false">IF(A8="","",IF(AND(J8="OK",COUNTIF($K$5:$K$85,K8)=1),"OK","CHECK"))</f>
        <v>OK</v>
      </c>
    </row>
    <row r="9" customFormat="false" ht="18" hidden="false" customHeight="true" outlineLevel="0" collapsed="false">
      <c r="A9" s="9" t="s">
        <v>26</v>
      </c>
      <c r="B9" s="10" t="n">
        <v>21</v>
      </c>
      <c r="C9" s="11" t="n">
        <v>45954</v>
      </c>
      <c r="D9" s="9" t="s">
        <v>28</v>
      </c>
      <c r="E9" s="9" t="s">
        <v>32</v>
      </c>
      <c r="F9" s="9" t="s">
        <v>202</v>
      </c>
      <c r="G9" s="13" t="n">
        <v>1</v>
      </c>
      <c r="H9" s="13" t="n">
        <v>800</v>
      </c>
      <c r="I9" s="1" t="n">
        <f aca="false">IF(A9="","",G9*H9)</f>
        <v>800</v>
      </c>
      <c r="J9" s="1" t="str">
        <f aca="false">IF(A9="","",IF(AND(G9&gt;=0,H9&gt;0),"OK","CHECK"))</f>
        <v>OK</v>
      </c>
      <c r="K9" s="1" t="str">
        <f aca="false">IF(A9="","", "RW-"&amp;A9&amp;"-L"&amp;TEXT(B9,"00")&amp;"-"&amp;TEXT(C9,"yyyymmdd")&amp;"-"&amp;D9&amp;"-"&amp;E9&amp;"-"&amp;F9)</f>
        <v>RW-KG01-L21-20251024-AM-ORD-2025-00020-Resorted</v>
      </c>
      <c r="L9" s="1" t="str">
        <f aca="false">IF(A9="","",IF(AND(J9="OK",COUNTIF($K$5:$K$85,K9)=1),"OK","CHECK"))</f>
        <v>OK</v>
      </c>
    </row>
    <row r="10" customFormat="false" ht="18" hidden="false" customHeight="true" outlineLevel="0" collapsed="false">
      <c r="A10" s="9" t="s">
        <v>26</v>
      </c>
      <c r="B10" s="10" t="n">
        <v>21</v>
      </c>
      <c r="C10" s="11" t="n">
        <v>45955</v>
      </c>
      <c r="D10" s="9" t="s">
        <v>28</v>
      </c>
      <c r="E10" s="9" t="s">
        <v>39</v>
      </c>
      <c r="F10" s="9" t="s">
        <v>202</v>
      </c>
      <c r="G10" s="13" t="n">
        <v>2</v>
      </c>
      <c r="H10" s="13" t="n">
        <v>1000</v>
      </c>
      <c r="I10" s="1" t="n">
        <f aca="false">IF(A10="","",G10*H10)</f>
        <v>2000</v>
      </c>
      <c r="J10" s="1" t="str">
        <f aca="false">IF(A10="","",IF(AND(G10&gt;=0,H10&gt;0),"OK","CHECK"))</f>
        <v>OK</v>
      </c>
      <c r="K10" s="1" t="str">
        <f aca="false">IF(A10="","", "RW-"&amp;A10&amp;"-L"&amp;TEXT(B10,"00")&amp;"-"&amp;TEXT(C10,"yyyymmdd")&amp;"-"&amp;D10&amp;"-"&amp;E10&amp;"-"&amp;F10)</f>
        <v>RW-KG01-L21-20251025-AM-ORD-2025-00021-Resorted</v>
      </c>
      <c r="L10" s="1" t="str">
        <f aca="false">IF(A10="","",IF(AND(J10="OK",COUNTIF($K$5:$K$85,K10)=1),"OK","CHECK"))</f>
        <v>OK</v>
      </c>
    </row>
    <row r="11" customFormat="false" ht="18" hidden="false" customHeight="true" outlineLevel="0" collapsed="false">
      <c r="A11" s="9" t="s">
        <v>26</v>
      </c>
      <c r="B11" s="10" t="n">
        <v>22</v>
      </c>
      <c r="C11" s="11" t="n">
        <v>45951</v>
      </c>
      <c r="D11" s="9" t="s">
        <v>28</v>
      </c>
      <c r="E11" s="9" t="s">
        <v>40</v>
      </c>
      <c r="F11" s="9" t="s">
        <v>201</v>
      </c>
      <c r="G11" s="13" t="n">
        <v>1</v>
      </c>
      <c r="H11" s="13" t="n">
        <v>800</v>
      </c>
      <c r="I11" s="1" t="n">
        <f aca="false">IF(A11="","",G11*H11)</f>
        <v>800</v>
      </c>
      <c r="J11" s="1" t="str">
        <f aca="false">IF(A11="","",IF(AND(G11&gt;=0,H11&gt;0),"OK","CHECK"))</f>
        <v>OK</v>
      </c>
      <c r="K11" s="1" t="str">
        <f aca="false">IF(A11="","", "RW-"&amp;A11&amp;"-L"&amp;TEXT(B11,"00")&amp;"-"&amp;TEXT(C11,"yyyymmdd")&amp;"-"&amp;D11&amp;"-"&amp;E11&amp;"-"&amp;F11)</f>
        <v>RW-KG01-L22-20251021-AM-ORD-2025-00056-Move to Cullet</v>
      </c>
      <c r="L11" s="1" t="str">
        <f aca="false">IF(A11="","",IF(AND(J11="OK",COUNTIF($K$5:$K$85,K11)=1),"OK","CHECK"))</f>
        <v>OK</v>
      </c>
    </row>
    <row r="12" customFormat="false" ht="18" hidden="false" customHeight="true" outlineLevel="0" collapsed="false">
      <c r="A12" s="9" t="s">
        <v>26</v>
      </c>
      <c r="B12" s="10" t="n">
        <v>22</v>
      </c>
      <c r="C12" s="11" t="n">
        <v>45953</v>
      </c>
      <c r="D12" s="9" t="s">
        <v>28</v>
      </c>
      <c r="E12" s="9" t="s">
        <v>42</v>
      </c>
      <c r="F12" s="9" t="s">
        <v>201</v>
      </c>
      <c r="G12" s="13" t="n">
        <v>2</v>
      </c>
      <c r="H12" s="13" t="n">
        <v>800</v>
      </c>
      <c r="I12" s="1" t="n">
        <f aca="false">IF(A12="","",G12*H12)</f>
        <v>1600</v>
      </c>
      <c r="J12" s="1" t="str">
        <f aca="false">IF(A12="","",IF(AND(G12&gt;=0,H12&gt;0),"OK","CHECK"))</f>
        <v>OK</v>
      </c>
      <c r="K12" s="1" t="str">
        <f aca="false">IF(A12="","", "RW-"&amp;A12&amp;"-L"&amp;TEXT(B12,"00")&amp;"-"&amp;TEXT(C12,"yyyymmdd")&amp;"-"&amp;D12&amp;"-"&amp;E12&amp;"-"&amp;F12)</f>
        <v>RW-KG01-L22-20251023-AM-ORD-2025-00057-Move to Cullet</v>
      </c>
      <c r="L12" s="1" t="str">
        <f aca="false">IF(A12="","",IF(AND(J12="OK",COUNTIF($K$5:$K$85,K12)=1),"OK","CHECK"))</f>
        <v>OK</v>
      </c>
    </row>
    <row r="13" customFormat="false" ht="18" hidden="false" customHeight="true" outlineLevel="0" collapsed="false">
      <c r="A13" s="9" t="s">
        <v>26</v>
      </c>
      <c r="B13" s="10" t="n">
        <v>23</v>
      </c>
      <c r="C13" s="11" t="n">
        <v>45950</v>
      </c>
      <c r="D13" s="9" t="s">
        <v>28</v>
      </c>
      <c r="E13" s="9" t="s">
        <v>44</v>
      </c>
      <c r="F13" s="9" t="s">
        <v>202</v>
      </c>
      <c r="G13" s="13" t="n">
        <v>4</v>
      </c>
      <c r="H13" s="13" t="n">
        <v>1000</v>
      </c>
      <c r="I13" s="1" t="n">
        <f aca="false">IF(A13="","",G13*H13)</f>
        <v>4000</v>
      </c>
      <c r="J13" s="1" t="str">
        <f aca="false">IF(A13="","",IF(AND(G13&gt;=0,H13&gt;0),"OK","CHECK"))</f>
        <v>OK</v>
      </c>
      <c r="K13" s="1" t="str">
        <f aca="false">IF(A13="","", "RW-"&amp;A13&amp;"-L"&amp;TEXT(B13,"00")&amp;"-"&amp;TEXT(C13,"yyyymmdd")&amp;"-"&amp;D13&amp;"-"&amp;E13&amp;"-"&amp;F13)</f>
        <v>RW-KG01-L23-20251020-AM-ORD-2025-00092-Resorted</v>
      </c>
      <c r="L13" s="1" t="str">
        <f aca="false">IF(A13="","",IF(AND(J13="OK",COUNTIF($K$5:$K$85,K13)=1),"OK","CHECK"))</f>
        <v>OK</v>
      </c>
    </row>
    <row r="14" customFormat="false" ht="18" hidden="false" customHeight="true" outlineLevel="0" collapsed="false">
      <c r="A14" s="9" t="s">
        <v>26</v>
      </c>
      <c r="B14" s="10" t="n">
        <v>23</v>
      </c>
      <c r="C14" s="11" t="n">
        <v>45952</v>
      </c>
      <c r="D14" s="9" t="s">
        <v>31</v>
      </c>
      <c r="E14" s="9" t="s">
        <v>45</v>
      </c>
      <c r="F14" s="9" t="s">
        <v>202</v>
      </c>
      <c r="G14" s="13" t="n">
        <v>1</v>
      </c>
      <c r="H14" s="13" t="n">
        <v>800</v>
      </c>
      <c r="I14" s="1" t="n">
        <f aca="false">IF(A14="","",G14*H14)</f>
        <v>800</v>
      </c>
      <c r="J14" s="1" t="str">
        <f aca="false">IF(A14="","",IF(AND(G14&gt;=0,H14&gt;0),"OK","CHECK"))</f>
        <v>OK</v>
      </c>
      <c r="K14" s="1" t="str">
        <f aca="false">IF(A14="","", "RW-"&amp;A14&amp;"-L"&amp;TEXT(B14,"00")&amp;"-"&amp;TEXT(C14,"yyyymmdd")&amp;"-"&amp;D14&amp;"-"&amp;E14&amp;"-"&amp;F14)</f>
        <v>RW-KG01-L23-20251022-PM-ORD-2025-00093-Resorted</v>
      </c>
      <c r="L14" s="1" t="str">
        <f aca="false">IF(A14="","",IF(AND(J14="OK",COUNTIF($K$5:$K$85,K14)=1),"OK","CHECK"))</f>
        <v>OK</v>
      </c>
    </row>
    <row r="15" customFormat="false" ht="18" hidden="false" customHeight="true" outlineLevel="0" collapsed="false">
      <c r="A15" s="9" t="s">
        <v>26</v>
      </c>
      <c r="B15" s="10" t="n">
        <v>23</v>
      </c>
      <c r="C15" s="11" t="n">
        <v>45954</v>
      </c>
      <c r="D15" s="9" t="s">
        <v>31</v>
      </c>
      <c r="E15" s="9" t="s">
        <v>45</v>
      </c>
      <c r="F15" s="9" t="s">
        <v>202</v>
      </c>
      <c r="G15" s="13" t="n">
        <v>1</v>
      </c>
      <c r="H15" s="13" t="n">
        <v>800</v>
      </c>
      <c r="I15" s="1" t="n">
        <f aca="false">IF(A15="","",G15*H15)</f>
        <v>800</v>
      </c>
      <c r="J15" s="1" t="str">
        <f aca="false">IF(A15="","",IF(AND(G15&gt;=0,H15&gt;0),"OK","CHECK"))</f>
        <v>OK</v>
      </c>
      <c r="K15" s="1" t="str">
        <f aca="false">IF(A15="","", "RW-"&amp;A15&amp;"-L"&amp;TEXT(B15,"00")&amp;"-"&amp;TEXT(C15,"yyyymmdd")&amp;"-"&amp;D15&amp;"-"&amp;E15&amp;"-"&amp;F15)</f>
        <v>RW-KG01-L23-20251024-PM-ORD-2025-00093-Resorted</v>
      </c>
      <c r="L15" s="1" t="str">
        <f aca="false">IF(A15="","",IF(AND(J15="OK",COUNTIF($K$5:$K$85,K15)=1),"OK","CHECK"))</f>
        <v>OK</v>
      </c>
    </row>
    <row r="16" customFormat="false" ht="18" hidden="false" customHeight="true" outlineLevel="0" collapsed="false">
      <c r="A16" s="9" t="s">
        <v>26</v>
      </c>
      <c r="B16" s="10" t="n">
        <v>24</v>
      </c>
      <c r="C16" s="11" t="n">
        <v>45953</v>
      </c>
      <c r="D16" s="9" t="s">
        <v>28</v>
      </c>
      <c r="E16" s="9" t="s">
        <v>48</v>
      </c>
      <c r="F16" s="9" t="s">
        <v>202</v>
      </c>
      <c r="G16" s="13" t="n">
        <v>2</v>
      </c>
      <c r="H16" s="13" t="n">
        <v>1000</v>
      </c>
      <c r="I16" s="1" t="n">
        <f aca="false">IF(A16="","",G16*H16)</f>
        <v>2000</v>
      </c>
      <c r="J16" s="1" t="str">
        <f aca="false">IF(A16="","",IF(AND(G16&gt;=0,H16&gt;0),"OK","CHECK"))</f>
        <v>OK</v>
      </c>
      <c r="K16" s="1" t="str">
        <f aca="false">IF(A16="","", "RW-"&amp;A16&amp;"-L"&amp;TEXT(B16,"00")&amp;"-"&amp;TEXT(C16,"yyyymmdd")&amp;"-"&amp;D16&amp;"-"&amp;E16&amp;"-"&amp;F16)</f>
        <v>RW-KG01-L24-20251023-AM-ORD-2025-00125-Resorted</v>
      </c>
      <c r="L16" s="1" t="str">
        <f aca="false">IF(A16="","",IF(AND(J16="OK",COUNTIF($K$5:$K$85,K16)=1),"OK","CHECK"))</f>
        <v>OK</v>
      </c>
    </row>
    <row r="17" customFormat="false" ht="18" hidden="false" customHeight="true" outlineLevel="0" collapsed="false">
      <c r="A17" s="9" t="s">
        <v>26</v>
      </c>
      <c r="B17" s="10" t="n">
        <v>24</v>
      </c>
      <c r="C17" s="11" t="n">
        <v>45954</v>
      </c>
      <c r="D17" s="9" t="s">
        <v>31</v>
      </c>
      <c r="E17" s="9" t="s">
        <v>48</v>
      </c>
      <c r="F17" s="9" t="s">
        <v>202</v>
      </c>
      <c r="G17" s="13" t="n">
        <v>1</v>
      </c>
      <c r="H17" s="13" t="n">
        <v>1000</v>
      </c>
      <c r="I17" s="1" t="n">
        <f aca="false">IF(A17="","",G17*H17)</f>
        <v>1000</v>
      </c>
      <c r="J17" s="1" t="str">
        <f aca="false">IF(A17="","",IF(AND(G17&gt;=0,H17&gt;0),"OK","CHECK"))</f>
        <v>OK</v>
      </c>
      <c r="K17" s="1" t="str">
        <f aca="false">IF(A17="","", "RW-"&amp;A17&amp;"-L"&amp;TEXT(B17,"00")&amp;"-"&amp;TEXT(C17,"yyyymmdd")&amp;"-"&amp;D17&amp;"-"&amp;E17&amp;"-"&amp;F17)</f>
        <v>RW-KG01-L24-20251024-PM-ORD-2025-00125-Resorted</v>
      </c>
      <c r="L17" s="1" t="str">
        <f aca="false">IF(A17="","",IF(AND(J17="OK",COUNTIF($K$5:$K$85,K17)=1),"OK","CHECK"))</f>
        <v>OK</v>
      </c>
    </row>
    <row r="18" customFormat="false" ht="18" hidden="false" customHeight="true" outlineLevel="0" collapsed="false">
      <c r="A18" s="9" t="s">
        <v>26</v>
      </c>
      <c r="B18" s="10" t="n">
        <v>24</v>
      </c>
      <c r="C18" s="11" t="n">
        <v>45955</v>
      </c>
      <c r="D18" s="9" t="s">
        <v>28</v>
      </c>
      <c r="E18" s="9" t="s">
        <v>49</v>
      </c>
      <c r="F18" s="9" t="s">
        <v>202</v>
      </c>
      <c r="G18" s="13" t="n">
        <v>2</v>
      </c>
      <c r="H18" s="13" t="n">
        <v>800</v>
      </c>
      <c r="I18" s="1" t="n">
        <f aca="false">IF(A18="","",G18*H18)</f>
        <v>1600</v>
      </c>
      <c r="J18" s="1" t="str">
        <f aca="false">IF(A18="","",IF(AND(G18&gt;=0,H18&gt;0),"OK","CHECK"))</f>
        <v>OK</v>
      </c>
      <c r="K18" s="1" t="str">
        <f aca="false">IF(A18="","", "RW-"&amp;A18&amp;"-L"&amp;TEXT(B18,"00")&amp;"-"&amp;TEXT(C18,"yyyymmdd")&amp;"-"&amp;D18&amp;"-"&amp;E18&amp;"-"&amp;F18)</f>
        <v>RW-KG01-L24-20251025-AM-ORD-2025-00126-Resorted</v>
      </c>
      <c r="L18" s="1" t="str">
        <f aca="false">IF(A18="","",IF(AND(J18="OK",COUNTIF($K$5:$K$85,K18)=1),"OK","CHECK"))</f>
        <v>OK</v>
      </c>
    </row>
    <row r="19" customFormat="false" ht="18" hidden="false" customHeight="true" outlineLevel="0" collapsed="false">
      <c r="A19" s="9" t="s">
        <v>26</v>
      </c>
      <c r="B19" s="10" t="n">
        <v>25</v>
      </c>
      <c r="C19" s="11" t="n">
        <v>45950</v>
      </c>
      <c r="D19" s="9" t="s">
        <v>31</v>
      </c>
      <c r="E19" s="9" t="s">
        <v>50</v>
      </c>
      <c r="F19" s="9" t="s">
        <v>202</v>
      </c>
      <c r="G19" s="13" t="n">
        <v>1</v>
      </c>
      <c r="H19" s="13" t="n">
        <v>800</v>
      </c>
      <c r="I19" s="1" t="n">
        <f aca="false">IF(A19="","",G19*H19)</f>
        <v>800</v>
      </c>
      <c r="J19" s="1" t="str">
        <f aca="false">IF(A19="","",IF(AND(G19&gt;=0,H19&gt;0),"OK","CHECK"))</f>
        <v>OK</v>
      </c>
      <c r="K19" s="1" t="str">
        <f aca="false">IF(A19="","", "RW-"&amp;A19&amp;"-L"&amp;TEXT(B19,"00")&amp;"-"&amp;TEXT(C19,"yyyymmdd")&amp;"-"&amp;D19&amp;"-"&amp;E19&amp;"-"&amp;F19)</f>
        <v>RW-KG01-L25-20251020-PM-ORD-2025-00161-Resorted</v>
      </c>
      <c r="L19" s="1" t="str">
        <f aca="false">IF(A19="","",IF(AND(J19="OK",COUNTIF($K$5:$K$85,K19)=1),"OK","CHECK"))</f>
        <v>OK</v>
      </c>
    </row>
    <row r="20" customFormat="false" ht="18" hidden="false" customHeight="true" outlineLevel="0" collapsed="false">
      <c r="A20" s="9" t="s">
        <v>26</v>
      </c>
      <c r="B20" s="10" t="n">
        <v>25</v>
      </c>
      <c r="C20" s="11" t="n">
        <v>45952</v>
      </c>
      <c r="D20" s="9" t="s">
        <v>28</v>
      </c>
      <c r="E20" s="9" t="s">
        <v>50</v>
      </c>
      <c r="F20" s="9" t="s">
        <v>202</v>
      </c>
      <c r="G20" s="13" t="n">
        <v>1</v>
      </c>
      <c r="H20" s="13" t="n">
        <v>800</v>
      </c>
      <c r="I20" s="1" t="n">
        <f aca="false">IF(A20="","",G20*H20)</f>
        <v>800</v>
      </c>
      <c r="J20" s="1" t="str">
        <f aca="false">IF(A20="","",IF(AND(G20&gt;=0,H20&gt;0),"OK","CHECK"))</f>
        <v>OK</v>
      </c>
      <c r="K20" s="1" t="str">
        <f aca="false">IF(A20="","", "RW-"&amp;A20&amp;"-L"&amp;TEXT(B20,"00")&amp;"-"&amp;TEXT(C20,"yyyymmdd")&amp;"-"&amp;D20&amp;"-"&amp;E20&amp;"-"&amp;F20)</f>
        <v>RW-KG01-L25-20251022-AM-ORD-2025-00161-Resorted</v>
      </c>
      <c r="L20" s="1" t="str">
        <f aca="false">IF(A20="","",IF(AND(J20="OK",COUNTIF($K$5:$K$85,K20)=1),"OK","CHECK"))</f>
        <v>OK</v>
      </c>
    </row>
    <row r="21" customFormat="false" ht="18" hidden="false" customHeight="true" outlineLevel="0" collapsed="false">
      <c r="A21" s="9" t="s">
        <v>26</v>
      </c>
      <c r="B21" s="10" t="n">
        <v>25</v>
      </c>
      <c r="C21" s="11" t="n">
        <v>45952</v>
      </c>
      <c r="D21" s="9" t="s">
        <v>31</v>
      </c>
      <c r="E21" s="9" t="s">
        <v>50</v>
      </c>
      <c r="F21" s="9" t="s">
        <v>202</v>
      </c>
      <c r="G21" s="13" t="n">
        <v>1</v>
      </c>
      <c r="H21" s="13" t="n">
        <v>800</v>
      </c>
      <c r="I21" s="1" t="n">
        <f aca="false">IF(A21="","",G21*H21)</f>
        <v>800</v>
      </c>
      <c r="J21" s="1" t="str">
        <f aca="false">IF(A21="","",IF(AND(G21&gt;=0,H21&gt;0),"OK","CHECK"))</f>
        <v>OK</v>
      </c>
      <c r="K21" s="1" t="str">
        <f aca="false">IF(A21="","", "RW-"&amp;A21&amp;"-L"&amp;TEXT(B21,"00")&amp;"-"&amp;TEXT(C21,"yyyymmdd")&amp;"-"&amp;D21&amp;"-"&amp;E21&amp;"-"&amp;F21)</f>
        <v>RW-KG01-L25-20251022-PM-ORD-2025-00161-Resorted</v>
      </c>
      <c r="L21" s="1" t="str">
        <f aca="false">IF(A21="","",IF(AND(J21="OK",COUNTIF($K$5:$K$85,K21)=1),"OK","CHECK"))</f>
        <v>OK</v>
      </c>
    </row>
    <row r="22" customFormat="false" ht="18" hidden="false" customHeight="true" outlineLevel="0" collapsed="false">
      <c r="A22" s="9" t="s">
        <v>26</v>
      </c>
      <c r="B22" s="10" t="n">
        <v>25</v>
      </c>
      <c r="C22" s="11" t="n">
        <v>45954</v>
      </c>
      <c r="D22" s="9" t="s">
        <v>28</v>
      </c>
      <c r="E22" s="9" t="s">
        <v>51</v>
      </c>
      <c r="F22" s="9" t="s">
        <v>202</v>
      </c>
      <c r="G22" s="13" t="n">
        <v>1</v>
      </c>
      <c r="H22" s="13" t="n">
        <v>1000</v>
      </c>
      <c r="I22" s="1" t="n">
        <f aca="false">IF(A22="","",G22*H22)</f>
        <v>1000</v>
      </c>
      <c r="J22" s="1" t="str">
        <f aca="false">IF(A22="","",IF(AND(G22&gt;=0,H22&gt;0),"OK","CHECK"))</f>
        <v>OK</v>
      </c>
      <c r="K22" s="1" t="str">
        <f aca="false">IF(A22="","", "RW-"&amp;A22&amp;"-L"&amp;TEXT(B22,"00")&amp;"-"&amp;TEXT(C22,"yyyymmdd")&amp;"-"&amp;D22&amp;"-"&amp;E22&amp;"-"&amp;F22)</f>
        <v>RW-KG01-L25-20251024-AM-ORD-2025-00162-Resorted</v>
      </c>
      <c r="L22" s="1" t="str">
        <f aca="false">IF(A22="","",IF(AND(J22="OK",COUNTIF($K$5:$K$85,K22)=1),"OK","CHECK"))</f>
        <v>OK</v>
      </c>
    </row>
    <row r="23" customFormat="false" ht="18" hidden="false" customHeight="true" outlineLevel="0" collapsed="false">
      <c r="A23" s="9" t="s">
        <v>26</v>
      </c>
      <c r="B23" s="10" t="n">
        <v>21</v>
      </c>
      <c r="C23" s="11" t="n">
        <v>45942</v>
      </c>
      <c r="D23" s="9" t="s">
        <v>31</v>
      </c>
      <c r="E23" s="9" t="s">
        <v>57</v>
      </c>
      <c r="F23" s="9" t="s">
        <v>201</v>
      </c>
      <c r="G23" s="13" t="n">
        <v>2</v>
      </c>
      <c r="H23" s="13" t="n">
        <v>800</v>
      </c>
      <c r="I23" s="1" t="n">
        <f aca="false">IF(A23="","",G23*H23)</f>
        <v>1600</v>
      </c>
      <c r="J23" s="1" t="str">
        <f aca="false">IF(A23="","",IF(AND(G23&gt;=0,H23&gt;0),"OK","CHECK"))</f>
        <v>OK</v>
      </c>
      <c r="K23" s="1" t="str">
        <f aca="false">IF(A23="","", "RW-"&amp;A23&amp;"-L"&amp;TEXT(B23,"00")&amp;"-"&amp;TEXT(C23,"yyyymmdd")&amp;"-"&amp;D23&amp;"-"&amp;E23&amp;"-"&amp;F23)</f>
        <v>RW-KG01-L21-20251012-PM-ORD-2025-00168-Move to Cullet</v>
      </c>
      <c r="L23" s="1" t="str">
        <f aca="false">IF(A23="","",IF(AND(J23="OK",COUNTIF($K$5:$K$85,K23)=1),"OK","CHECK"))</f>
        <v>OK</v>
      </c>
    </row>
    <row r="24" customFormat="false" ht="18" hidden="false" customHeight="true" outlineLevel="0" collapsed="false">
      <c r="A24" s="9" t="s">
        <v>26</v>
      </c>
      <c r="B24" s="10" t="n">
        <v>21</v>
      </c>
      <c r="C24" s="11" t="n">
        <v>45950</v>
      </c>
      <c r="D24" s="9" t="s">
        <v>28</v>
      </c>
      <c r="E24" s="9" t="s">
        <v>27</v>
      </c>
      <c r="F24" s="9" t="s">
        <v>202</v>
      </c>
      <c r="G24" s="13" t="n">
        <v>2</v>
      </c>
      <c r="H24" s="13" t="n">
        <v>1000</v>
      </c>
      <c r="I24" s="1" t="n">
        <f aca="false">IF(A24="","",G24*H24)</f>
        <v>2000</v>
      </c>
      <c r="J24" s="1" t="str">
        <f aca="false">IF(A24="","",IF(AND(G24&gt;=0,H24&gt;0),"OK","CHECK"))</f>
        <v>OK</v>
      </c>
      <c r="K24" s="1" t="str">
        <f aca="false">IF(A24="","", "RW-"&amp;A24&amp;"-L"&amp;TEXT(B24,"00")&amp;"-"&amp;TEXT(C24,"yyyymmdd")&amp;"-"&amp;D24&amp;"-"&amp;E24&amp;"-"&amp;F24)</f>
        <v>RW-KG01-L21-20251020-AM-ORD-2025-00019-Resorted</v>
      </c>
      <c r="L24" s="1" t="str">
        <f aca="false">IF(A24="","",IF(AND(J24="OK",COUNTIF($K$5:$K$85,K24)=1),"OK","CHECK"))</f>
        <v>OK</v>
      </c>
    </row>
    <row r="25" customFormat="false" ht="18" hidden="false" customHeight="true" outlineLevel="0" collapsed="false">
      <c r="A25" s="9" t="s">
        <v>26</v>
      </c>
      <c r="B25" s="10" t="n">
        <v>21</v>
      </c>
      <c r="C25" s="11" t="n">
        <v>45960</v>
      </c>
      <c r="D25" s="9" t="s">
        <v>31</v>
      </c>
      <c r="E25" s="9" t="s">
        <v>61</v>
      </c>
      <c r="F25" s="9" t="s">
        <v>202</v>
      </c>
      <c r="G25" s="13" t="n">
        <v>2</v>
      </c>
      <c r="H25" s="13" t="n">
        <v>800</v>
      </c>
      <c r="I25" s="1" t="n">
        <f aca="false">IF(A25="","",G25*H25)</f>
        <v>1600</v>
      </c>
      <c r="J25" s="1" t="str">
        <f aca="false">IF(A25="","",IF(AND(G25&gt;=0,H25&gt;0),"OK","CHECK"))</f>
        <v>OK</v>
      </c>
      <c r="K25" s="1" t="str">
        <f aca="false">IF(A25="","", "RW-"&amp;A25&amp;"-L"&amp;TEXT(B25,"00")&amp;"-"&amp;TEXT(C25,"yyyymmdd")&amp;"-"&amp;D25&amp;"-"&amp;E25&amp;"-"&amp;F25)</f>
        <v>RW-KG01-L21-20251030-PM-ORD-2025-00172-Resorted</v>
      </c>
      <c r="L25" s="1" t="str">
        <f aca="false">IF(A25="","",IF(AND(J25="OK",COUNTIF($K$5:$K$85,K25)=1),"OK","CHECK"))</f>
        <v>OK</v>
      </c>
    </row>
    <row r="26" customFormat="false" ht="18" hidden="false" customHeight="true" outlineLevel="0" collapsed="false">
      <c r="A26" s="9" t="s">
        <v>26</v>
      </c>
      <c r="B26" s="10" t="n">
        <v>21</v>
      </c>
      <c r="C26" s="11" t="n">
        <v>45992</v>
      </c>
      <c r="D26" s="9" t="s">
        <v>28</v>
      </c>
      <c r="E26" s="9" t="s">
        <v>71</v>
      </c>
      <c r="F26" s="9" t="s">
        <v>202</v>
      </c>
      <c r="G26" s="13" t="n">
        <v>1</v>
      </c>
      <c r="H26" s="13" t="n">
        <v>500</v>
      </c>
      <c r="I26" s="1" t="n">
        <f aca="false">IF(A26="","",G26*H26)</f>
        <v>500</v>
      </c>
      <c r="J26" s="1" t="str">
        <f aca="false">IF(A26="","",IF(AND(G26&gt;=0,H26&gt;0),"OK","CHECK"))</f>
        <v>OK</v>
      </c>
      <c r="K26" s="1" t="str">
        <f aca="false">IF(A26="","", "RW-"&amp;A26&amp;"-L"&amp;TEXT(B26,"00")&amp;"-"&amp;TEXT(C26,"yyyymmdd")&amp;"-"&amp;D26&amp;"-"&amp;E26&amp;"-"&amp;F26)</f>
        <v>RW-KG01-L21-20251201-AM-ORD-2025-00182-Resorted</v>
      </c>
      <c r="L26" s="1" t="str">
        <f aca="false">IF(A26="","",IF(AND(J26="OK",COUNTIF($K$5:$K$85,K26)=1),"OK","CHECK"))</f>
        <v>OK</v>
      </c>
    </row>
    <row r="27" customFormat="false" ht="18" hidden="false" customHeight="true" outlineLevel="0" collapsed="false">
      <c r="A27" s="9" t="s">
        <v>26</v>
      </c>
      <c r="B27" s="10" t="n">
        <v>21</v>
      </c>
      <c r="C27" s="11" t="n">
        <v>45995</v>
      </c>
      <c r="D27" s="9" t="s">
        <v>31</v>
      </c>
      <c r="E27" s="9" t="s">
        <v>72</v>
      </c>
      <c r="F27" s="9" t="s">
        <v>202</v>
      </c>
      <c r="G27" s="13" t="n">
        <v>2</v>
      </c>
      <c r="H27" s="13" t="n">
        <v>500</v>
      </c>
      <c r="I27" s="1" t="n">
        <f aca="false">IF(A27="","",G27*H27)</f>
        <v>1000</v>
      </c>
      <c r="J27" s="1" t="str">
        <f aca="false">IF(A27="","",IF(AND(G27&gt;=0,H27&gt;0),"OK","CHECK"))</f>
        <v>OK</v>
      </c>
      <c r="K27" s="1" t="str">
        <f aca="false">IF(A27="","", "RW-"&amp;A27&amp;"-L"&amp;TEXT(B27,"00")&amp;"-"&amp;TEXT(C27,"yyyymmdd")&amp;"-"&amp;D27&amp;"-"&amp;E27&amp;"-"&amp;F27)</f>
        <v>RW-KG01-L21-20251204-PM-ORD-2025-00183-Resorted</v>
      </c>
      <c r="L27" s="1" t="str">
        <f aca="false">IF(A27="","",IF(AND(J27="OK",COUNTIF($K$5:$K$85,K27)=1),"OK","CHECK"))</f>
        <v>OK</v>
      </c>
    </row>
    <row r="28" customFormat="false" ht="18" hidden="false" customHeight="true" outlineLevel="0" collapsed="false">
      <c r="A28" s="9" t="s">
        <v>26</v>
      </c>
      <c r="B28" s="10" t="n">
        <v>21</v>
      </c>
      <c r="C28" s="11" t="n">
        <v>46001</v>
      </c>
      <c r="D28" s="9" t="s">
        <v>31</v>
      </c>
      <c r="E28" s="9" t="s">
        <v>74</v>
      </c>
      <c r="F28" s="9" t="s">
        <v>201</v>
      </c>
      <c r="G28" s="13" t="n">
        <v>3</v>
      </c>
      <c r="H28" s="13" t="n">
        <v>1000</v>
      </c>
      <c r="I28" s="1" t="n">
        <f aca="false">IF(A28="","",G28*H28)</f>
        <v>3000</v>
      </c>
      <c r="J28" s="1" t="str">
        <f aca="false">IF(A28="","",IF(AND(G28&gt;=0,H28&gt;0),"OK","CHECK"))</f>
        <v>OK</v>
      </c>
      <c r="K28" s="1" t="str">
        <f aca="false">IF(A28="","", "RW-"&amp;A28&amp;"-L"&amp;TEXT(B28,"00")&amp;"-"&amp;TEXT(C28,"yyyymmdd")&amp;"-"&amp;D28&amp;"-"&amp;E28&amp;"-"&amp;F28)</f>
        <v>RW-KG01-L21-20251210-PM-ORD-2025-00185-Move to Cullet</v>
      </c>
      <c r="L28" s="1" t="str">
        <f aca="false">IF(A28="","",IF(AND(J28="OK",COUNTIF($K$5:$K$85,K28)=1),"OK","CHECK"))</f>
        <v>OK</v>
      </c>
    </row>
    <row r="29" customFormat="false" ht="18" hidden="false" customHeight="true" outlineLevel="0" collapsed="false">
      <c r="A29" s="9" t="s">
        <v>26</v>
      </c>
      <c r="B29" s="10" t="n">
        <v>22</v>
      </c>
      <c r="C29" s="11" t="n">
        <v>45947</v>
      </c>
      <c r="D29" s="9" t="s">
        <v>31</v>
      </c>
      <c r="E29" s="9" t="s">
        <v>87</v>
      </c>
      <c r="F29" s="9" t="s">
        <v>202</v>
      </c>
      <c r="G29" s="13" t="n">
        <v>2</v>
      </c>
      <c r="H29" s="13" t="n">
        <v>600</v>
      </c>
      <c r="I29" s="1" t="n">
        <f aca="false">IF(A29="","",G29*H29)</f>
        <v>1200</v>
      </c>
      <c r="J29" s="1" t="str">
        <f aca="false">IF(A29="","",IF(AND(G29&gt;=0,H29&gt;0),"OK","CHECK"))</f>
        <v>OK</v>
      </c>
      <c r="K29" s="1" t="str">
        <f aca="false">IF(A29="","", "RW-"&amp;A29&amp;"-L"&amp;TEXT(B29,"00")&amp;"-"&amp;TEXT(C29,"yyyymmdd")&amp;"-"&amp;D29&amp;"-"&amp;E29&amp;"-"&amp;F29)</f>
        <v>RW-KG01-L22-20251017-PM-ORD-2025-00198-Resorted</v>
      </c>
      <c r="L29" s="1" t="str">
        <f aca="false">IF(A29="","",IF(AND(J29="OK",COUNTIF($K$5:$K$85,K29)=1),"OK","CHECK"))</f>
        <v>OK</v>
      </c>
    </row>
    <row r="30" customFormat="false" ht="18" hidden="false" customHeight="true" outlineLevel="0" collapsed="false">
      <c r="A30" s="9" t="s">
        <v>26</v>
      </c>
      <c r="B30" s="10" t="n">
        <v>22</v>
      </c>
      <c r="C30" s="11" t="n">
        <v>45960</v>
      </c>
      <c r="D30" s="9" t="s">
        <v>28</v>
      </c>
      <c r="E30" s="9" t="s">
        <v>90</v>
      </c>
      <c r="F30" s="9" t="s">
        <v>202</v>
      </c>
      <c r="G30" s="13" t="n">
        <v>2</v>
      </c>
      <c r="H30" s="13" t="n">
        <v>1200</v>
      </c>
      <c r="I30" s="1" t="n">
        <f aca="false">IF(A30="","",G30*H30)</f>
        <v>2400</v>
      </c>
      <c r="J30" s="1" t="str">
        <f aca="false">IF(A30="","",IF(AND(G30&gt;=0,H30&gt;0),"OK","CHECK"))</f>
        <v>OK</v>
      </c>
      <c r="K30" s="1" t="str">
        <f aca="false">IF(A30="","", "RW-"&amp;A30&amp;"-L"&amp;TEXT(B30,"00")&amp;"-"&amp;TEXT(C30,"yyyymmdd")&amp;"-"&amp;D30&amp;"-"&amp;E30&amp;"-"&amp;F30)</f>
        <v>RW-KG01-L22-20251030-AM-ORD-2025-00201-Resorted</v>
      </c>
      <c r="L30" s="1" t="str">
        <f aca="false">IF(A30="","",IF(AND(J30="OK",COUNTIF($K$5:$K$85,K30)=1),"OK","CHECK"))</f>
        <v>OK</v>
      </c>
    </row>
    <row r="31" customFormat="false" ht="18" hidden="false" customHeight="true" outlineLevel="0" collapsed="false">
      <c r="A31" s="9" t="s">
        <v>26</v>
      </c>
      <c r="B31" s="10" t="n">
        <v>22</v>
      </c>
      <c r="C31" s="11" t="n">
        <v>45969</v>
      </c>
      <c r="D31" s="9" t="s">
        <v>28</v>
      </c>
      <c r="E31" s="9" t="s">
        <v>92</v>
      </c>
      <c r="F31" s="9" t="s">
        <v>201</v>
      </c>
      <c r="G31" s="13" t="n">
        <v>1</v>
      </c>
      <c r="H31" s="13" t="n">
        <v>600</v>
      </c>
      <c r="I31" s="1" t="n">
        <f aca="false">IF(A31="","",G31*H31)</f>
        <v>600</v>
      </c>
      <c r="J31" s="1" t="str">
        <f aca="false">IF(A31="","",IF(AND(G31&gt;=0,H31&gt;0),"OK","CHECK"))</f>
        <v>OK</v>
      </c>
      <c r="K31" s="1" t="str">
        <f aca="false">IF(A31="","", "RW-"&amp;A31&amp;"-L"&amp;TEXT(B31,"00")&amp;"-"&amp;TEXT(C31,"yyyymmdd")&amp;"-"&amp;D31&amp;"-"&amp;E31&amp;"-"&amp;F31)</f>
        <v>RW-KG01-L22-20251108-AM-ORD-2025-00203-Move to Cullet</v>
      </c>
      <c r="L31" s="1" t="str">
        <f aca="false">IF(A31="","",IF(AND(J31="OK",COUNTIF($K$5:$K$85,K31)=1),"OK","CHECK"))</f>
        <v>OK</v>
      </c>
    </row>
    <row r="32" customFormat="false" ht="18" hidden="false" customHeight="true" outlineLevel="0" collapsed="false">
      <c r="A32" s="9" t="s">
        <v>26</v>
      </c>
      <c r="B32" s="10" t="n">
        <v>22</v>
      </c>
      <c r="C32" s="11" t="n">
        <v>45974</v>
      </c>
      <c r="D32" s="9" t="s">
        <v>28</v>
      </c>
      <c r="E32" s="9" t="s">
        <v>93</v>
      </c>
      <c r="F32" s="9" t="s">
        <v>202</v>
      </c>
      <c r="G32" s="13" t="n">
        <v>3</v>
      </c>
      <c r="H32" s="13" t="n">
        <v>1200</v>
      </c>
      <c r="I32" s="1" t="n">
        <f aca="false">IF(A32="","",G32*H32)</f>
        <v>3600</v>
      </c>
      <c r="J32" s="1" t="str">
        <f aca="false">IF(A32="","",IF(AND(G32&gt;=0,H32&gt;0),"OK","CHECK"))</f>
        <v>OK</v>
      </c>
      <c r="K32" s="1" t="str">
        <f aca="false">IF(A32="","", "RW-"&amp;A32&amp;"-L"&amp;TEXT(B32,"00")&amp;"-"&amp;TEXT(C32,"yyyymmdd")&amp;"-"&amp;D32&amp;"-"&amp;E32&amp;"-"&amp;F32)</f>
        <v>RW-KG01-L22-20251113-AM-ORD-2025-00204-Resorted</v>
      </c>
      <c r="L32" s="1" t="str">
        <f aca="false">IF(A32="","",IF(AND(J32="OK",COUNTIF($K$5:$K$85,K32)=1),"OK","CHECK"))</f>
        <v>OK</v>
      </c>
    </row>
    <row r="33" customFormat="false" ht="18" hidden="false" customHeight="true" outlineLevel="0" collapsed="false">
      <c r="A33" s="9" t="s">
        <v>26</v>
      </c>
      <c r="B33" s="10" t="n">
        <v>22</v>
      </c>
      <c r="C33" s="11" t="n">
        <v>45984</v>
      </c>
      <c r="D33" s="9" t="s">
        <v>31</v>
      </c>
      <c r="E33" s="9" t="s">
        <v>96</v>
      </c>
      <c r="F33" s="9" t="s">
        <v>202</v>
      </c>
      <c r="G33" s="13" t="n">
        <v>3</v>
      </c>
      <c r="H33" s="13" t="n">
        <v>500</v>
      </c>
      <c r="I33" s="1" t="n">
        <f aca="false">IF(A33="","",G33*H33)</f>
        <v>1500</v>
      </c>
      <c r="J33" s="1" t="str">
        <f aca="false">IF(A33="","",IF(AND(G33&gt;=0,H33&gt;0),"OK","CHECK"))</f>
        <v>OK</v>
      </c>
      <c r="K33" s="1" t="str">
        <f aca="false">IF(A33="","", "RW-"&amp;A33&amp;"-L"&amp;TEXT(B33,"00")&amp;"-"&amp;TEXT(C33,"yyyymmdd")&amp;"-"&amp;D33&amp;"-"&amp;E33&amp;"-"&amp;F33)</f>
        <v>RW-KG01-L22-20251123-PM-ORD-2025-00207-Resorted</v>
      </c>
      <c r="L33" s="1" t="str">
        <f aca="false">IF(A33="","",IF(AND(J33="OK",COUNTIF($K$5:$K$85,K33)=1),"OK","CHECK"))</f>
        <v>OK</v>
      </c>
    </row>
    <row r="34" customFormat="false" ht="18" hidden="false" customHeight="true" outlineLevel="0" collapsed="false">
      <c r="A34" s="9" t="s">
        <v>26</v>
      </c>
      <c r="B34" s="10" t="n">
        <v>22</v>
      </c>
      <c r="C34" s="11" t="n">
        <v>45989</v>
      </c>
      <c r="D34" s="9" t="s">
        <v>28</v>
      </c>
      <c r="E34" s="9" t="s">
        <v>97</v>
      </c>
      <c r="F34" s="9" t="s">
        <v>201</v>
      </c>
      <c r="G34" s="13" t="n">
        <v>2</v>
      </c>
      <c r="H34" s="13" t="n">
        <v>800</v>
      </c>
      <c r="I34" s="1" t="n">
        <f aca="false">IF(A34="","",G34*H34)</f>
        <v>1600</v>
      </c>
      <c r="J34" s="1" t="str">
        <f aca="false">IF(A34="","",IF(AND(G34&gt;=0,H34&gt;0),"OK","CHECK"))</f>
        <v>OK</v>
      </c>
      <c r="K34" s="1" t="str">
        <f aca="false">IF(A34="","", "RW-"&amp;A34&amp;"-L"&amp;TEXT(B34,"00")&amp;"-"&amp;TEXT(C34,"yyyymmdd")&amp;"-"&amp;D34&amp;"-"&amp;E34&amp;"-"&amp;F34)</f>
        <v>RW-KG01-L22-20251128-AM-ORD-2025-00208-Move to Cullet</v>
      </c>
      <c r="L34" s="1" t="str">
        <f aca="false">IF(A34="","",IF(AND(J34="OK",COUNTIF($K$5:$K$85,K34)=1),"OK","CHECK"))</f>
        <v>OK</v>
      </c>
    </row>
    <row r="35" customFormat="false" ht="18" hidden="false" customHeight="true" outlineLevel="0" collapsed="false">
      <c r="A35" s="9" t="s">
        <v>26</v>
      </c>
      <c r="B35" s="10" t="n">
        <v>22</v>
      </c>
      <c r="C35" s="11" t="n">
        <v>45993</v>
      </c>
      <c r="D35" s="9" t="s">
        <v>31</v>
      </c>
      <c r="E35" s="9" t="s">
        <v>99</v>
      </c>
      <c r="F35" s="9" t="s">
        <v>202</v>
      </c>
      <c r="G35" s="13" t="n">
        <v>1</v>
      </c>
      <c r="H35" s="13" t="n">
        <v>600</v>
      </c>
      <c r="I35" s="1" t="n">
        <f aca="false">IF(A35="","",G35*H35)</f>
        <v>600</v>
      </c>
      <c r="J35" s="1" t="str">
        <f aca="false">IF(A35="","",IF(AND(G35&gt;=0,H35&gt;0),"OK","CHECK"))</f>
        <v>OK</v>
      </c>
      <c r="K35" s="1" t="str">
        <f aca="false">IF(A35="","", "RW-"&amp;A35&amp;"-L"&amp;TEXT(B35,"00")&amp;"-"&amp;TEXT(C35,"yyyymmdd")&amp;"-"&amp;D35&amp;"-"&amp;E35&amp;"-"&amp;F35)</f>
        <v>RW-KG01-L22-20251202-PM-ORD-2025-00210-Resorted</v>
      </c>
      <c r="L35" s="1" t="str">
        <f aca="false">IF(A35="","",IF(AND(J35="OK",COUNTIF($K$5:$K$85,K35)=1),"OK","CHECK"))</f>
        <v>OK</v>
      </c>
    </row>
    <row r="36" customFormat="false" ht="18" hidden="false" customHeight="true" outlineLevel="0" collapsed="false">
      <c r="A36" s="9" t="s">
        <v>26</v>
      </c>
      <c r="B36" s="10" t="n">
        <v>22</v>
      </c>
      <c r="C36" s="11" t="n">
        <v>46002</v>
      </c>
      <c r="D36" s="9" t="s">
        <v>31</v>
      </c>
      <c r="E36" s="9" t="s">
        <v>102</v>
      </c>
      <c r="F36" s="9" t="s">
        <v>201</v>
      </c>
      <c r="G36" s="13" t="n">
        <v>2</v>
      </c>
      <c r="H36" s="13" t="n">
        <v>800</v>
      </c>
      <c r="I36" s="1" t="n">
        <f aca="false">IF(A36="","",G36*H36)</f>
        <v>1600</v>
      </c>
      <c r="J36" s="1" t="str">
        <f aca="false">IF(A36="","",IF(AND(G36&gt;=0,H36&gt;0),"OK","CHECK"))</f>
        <v>OK</v>
      </c>
      <c r="K36" s="1" t="str">
        <f aca="false">IF(A36="","", "RW-"&amp;A36&amp;"-L"&amp;TEXT(B36,"00")&amp;"-"&amp;TEXT(C36,"yyyymmdd")&amp;"-"&amp;D36&amp;"-"&amp;E36&amp;"-"&amp;F36)</f>
        <v>RW-KG01-L22-20251211-PM-ORD-2025-00213-Move to Cullet</v>
      </c>
      <c r="L36" s="1" t="str">
        <f aca="false">IF(A36="","",IF(AND(J36="OK",COUNTIF($K$5:$K$85,K36)=1),"OK","CHECK"))</f>
        <v>OK</v>
      </c>
    </row>
    <row r="37" customFormat="false" ht="18" hidden="false" customHeight="true" outlineLevel="0" collapsed="false">
      <c r="A37" s="9" t="s">
        <v>26</v>
      </c>
      <c r="B37" s="10" t="n">
        <v>22</v>
      </c>
      <c r="C37" s="11" t="n">
        <v>46012</v>
      </c>
      <c r="D37" s="9" t="s">
        <v>28</v>
      </c>
      <c r="E37" s="9" t="s">
        <v>104</v>
      </c>
      <c r="F37" s="9" t="s">
        <v>201</v>
      </c>
      <c r="G37" s="13" t="n">
        <v>2</v>
      </c>
      <c r="H37" s="13" t="n">
        <v>1200</v>
      </c>
      <c r="I37" s="1" t="n">
        <f aca="false">IF(A37="","",G37*H37)</f>
        <v>2400</v>
      </c>
      <c r="J37" s="1" t="str">
        <f aca="false">IF(A37="","",IF(AND(G37&gt;=0,H37&gt;0),"OK","CHECK"))</f>
        <v>OK</v>
      </c>
      <c r="K37" s="1" t="str">
        <f aca="false">IF(A37="","", "RW-"&amp;A37&amp;"-L"&amp;TEXT(B37,"00")&amp;"-"&amp;TEXT(C37,"yyyymmdd")&amp;"-"&amp;D37&amp;"-"&amp;E37&amp;"-"&amp;F37)</f>
        <v>RW-KG01-L22-20251221-AM-ORD-2025-00215-Move to Cullet</v>
      </c>
      <c r="L37" s="1" t="str">
        <f aca="false">IF(A37="","",IF(AND(J37="OK",COUNTIF($K$5:$K$85,K37)=1),"OK","CHECK"))</f>
        <v>OK</v>
      </c>
    </row>
    <row r="38" customFormat="false" ht="18" hidden="false" customHeight="true" outlineLevel="0" collapsed="false">
      <c r="A38" s="9" t="s">
        <v>26</v>
      </c>
      <c r="B38" s="10" t="n">
        <v>22</v>
      </c>
      <c r="C38" s="11" t="n">
        <v>46015</v>
      </c>
      <c r="D38" s="9" t="s">
        <v>31</v>
      </c>
      <c r="E38" s="9" t="s">
        <v>106</v>
      </c>
      <c r="F38" s="9" t="s">
        <v>202</v>
      </c>
      <c r="G38" s="13" t="n">
        <v>1</v>
      </c>
      <c r="H38" s="13" t="n">
        <v>800</v>
      </c>
      <c r="I38" s="1" t="n">
        <f aca="false">IF(A38="","",G38*H38)</f>
        <v>800</v>
      </c>
      <c r="J38" s="1" t="str">
        <f aca="false">IF(A38="","",IF(AND(G38&gt;=0,H38&gt;0),"OK","CHECK"))</f>
        <v>OK</v>
      </c>
      <c r="K38" s="1" t="str">
        <f aca="false">IF(A38="","", "RW-"&amp;A38&amp;"-L"&amp;TEXT(B38,"00")&amp;"-"&amp;TEXT(C38,"yyyymmdd")&amp;"-"&amp;D38&amp;"-"&amp;E38&amp;"-"&amp;F38)</f>
        <v>RW-KG01-L22-20251224-PM-ORD-2025-00217-Resorted</v>
      </c>
      <c r="L38" s="1" t="str">
        <f aca="false">IF(A38="","",IF(AND(J38="OK",COUNTIF($K$5:$K$85,K38)=1),"OK","CHECK"))</f>
        <v>OK</v>
      </c>
    </row>
    <row r="39" customFormat="false" ht="18" hidden="false" customHeight="true" outlineLevel="0" collapsed="false">
      <c r="A39" s="9" t="s">
        <v>26</v>
      </c>
      <c r="B39" s="10" t="n">
        <v>23</v>
      </c>
      <c r="C39" s="11" t="n">
        <v>45935</v>
      </c>
      <c r="D39" s="9" t="s">
        <v>31</v>
      </c>
      <c r="E39" s="9" t="s">
        <v>109</v>
      </c>
      <c r="F39" s="9" t="s">
        <v>201</v>
      </c>
      <c r="G39" s="13" t="n">
        <v>2</v>
      </c>
      <c r="H39" s="13" t="n">
        <v>500</v>
      </c>
      <c r="I39" s="1" t="n">
        <f aca="false">IF(A39="","",G39*H39)</f>
        <v>1000</v>
      </c>
      <c r="J39" s="1" t="str">
        <f aca="false">IF(A39="","",IF(AND(G39&gt;=0,H39&gt;0),"OK","CHECK"))</f>
        <v>OK</v>
      </c>
      <c r="K39" s="1" t="str">
        <f aca="false">IF(A39="","", "RW-"&amp;A39&amp;"-L"&amp;TEXT(B39,"00")&amp;"-"&amp;TEXT(C39,"yyyymmdd")&amp;"-"&amp;D39&amp;"-"&amp;E39&amp;"-"&amp;F39)</f>
        <v>RW-KG01-L23-20251005-PM-ORD-2025-00220-Move to Cullet</v>
      </c>
      <c r="L39" s="1" t="str">
        <f aca="false">IF(A39="","",IF(AND(J39="OK",COUNTIF($K$5:$K$85,K39)=1),"OK","CHECK"))</f>
        <v>OK</v>
      </c>
    </row>
    <row r="40" customFormat="false" ht="18" hidden="false" customHeight="true" outlineLevel="0" collapsed="false">
      <c r="A40" s="9" t="s">
        <v>26</v>
      </c>
      <c r="B40" s="10" t="n">
        <v>23</v>
      </c>
      <c r="C40" s="11" t="n">
        <v>45950</v>
      </c>
      <c r="D40" s="9" t="s">
        <v>28</v>
      </c>
      <c r="E40" s="9" t="s">
        <v>44</v>
      </c>
      <c r="F40" s="9" t="s">
        <v>201</v>
      </c>
      <c r="G40" s="13" t="n">
        <v>1</v>
      </c>
      <c r="H40" s="13" t="n">
        <v>1000</v>
      </c>
      <c r="I40" s="1" t="n">
        <f aca="false">IF(A40="","",G40*H40)</f>
        <v>1000</v>
      </c>
      <c r="J40" s="1" t="str">
        <f aca="false">IF(A40="","",IF(AND(G40&gt;=0,H40&gt;0),"OK","CHECK"))</f>
        <v>OK</v>
      </c>
      <c r="K40" s="1" t="str">
        <f aca="false">IF(A40="","", "RW-"&amp;A40&amp;"-L"&amp;TEXT(B40,"00")&amp;"-"&amp;TEXT(C40,"yyyymmdd")&amp;"-"&amp;D40&amp;"-"&amp;E40&amp;"-"&amp;F40)</f>
        <v>RW-KG01-L23-20251020-AM-ORD-2025-00092-Move to Cullet</v>
      </c>
      <c r="L40" s="1" t="str">
        <f aca="false">IF(A40="","",IF(AND(J40="OK",COUNTIF($K$5:$K$85,K40)=1),"OK","CHECK"))</f>
        <v>OK</v>
      </c>
    </row>
    <row r="41" customFormat="false" ht="18" hidden="false" customHeight="true" outlineLevel="0" collapsed="false">
      <c r="A41" s="9" t="s">
        <v>26</v>
      </c>
      <c r="B41" s="10" t="n">
        <v>23</v>
      </c>
      <c r="C41" s="11" t="n">
        <v>45957</v>
      </c>
      <c r="D41" s="9" t="s">
        <v>28</v>
      </c>
      <c r="E41" s="9" t="s">
        <v>115</v>
      </c>
      <c r="F41" s="9" t="s">
        <v>201</v>
      </c>
      <c r="G41" s="13" t="n">
        <v>2</v>
      </c>
      <c r="H41" s="13" t="n">
        <v>1200</v>
      </c>
      <c r="I41" s="1" t="n">
        <f aca="false">IF(A41="","",G41*H41)</f>
        <v>2400</v>
      </c>
      <c r="J41" s="1" t="str">
        <f aca="false">IF(A41="","",IF(AND(G41&gt;=0,H41&gt;0),"OK","CHECK"))</f>
        <v>OK</v>
      </c>
      <c r="K41" s="1" t="str">
        <f aca="false">IF(A41="","", "RW-"&amp;A41&amp;"-L"&amp;TEXT(B41,"00")&amp;"-"&amp;TEXT(C41,"yyyymmdd")&amp;"-"&amp;D41&amp;"-"&amp;E41&amp;"-"&amp;F41)</f>
        <v>RW-KG01-L23-20251027-AM-ORD-2025-00226-Move to Cullet</v>
      </c>
      <c r="L41" s="1" t="str">
        <f aca="false">IF(A41="","",IF(AND(J41="OK",COUNTIF($K$5:$K$85,K41)=1),"OK","CHECK"))</f>
        <v>OK</v>
      </c>
    </row>
    <row r="42" customFormat="false" ht="18" hidden="false" customHeight="true" outlineLevel="0" collapsed="false">
      <c r="A42" s="9" t="s">
        <v>26</v>
      </c>
      <c r="B42" s="10" t="n">
        <v>23</v>
      </c>
      <c r="C42" s="11" t="n">
        <v>45966</v>
      </c>
      <c r="D42" s="9" t="s">
        <v>28</v>
      </c>
      <c r="E42" s="9" t="s">
        <v>118</v>
      </c>
      <c r="F42" s="9" t="s">
        <v>201</v>
      </c>
      <c r="G42" s="13" t="n">
        <v>3</v>
      </c>
      <c r="H42" s="13" t="n">
        <v>1000</v>
      </c>
      <c r="I42" s="1" t="n">
        <f aca="false">IF(A42="","",G42*H42)</f>
        <v>3000</v>
      </c>
      <c r="J42" s="1" t="str">
        <f aca="false">IF(A42="","",IF(AND(G42&gt;=0,H42&gt;0),"OK","CHECK"))</f>
        <v>OK</v>
      </c>
      <c r="K42" s="1" t="str">
        <f aca="false">IF(A42="","", "RW-"&amp;A42&amp;"-L"&amp;TEXT(B42,"00")&amp;"-"&amp;TEXT(C42,"yyyymmdd")&amp;"-"&amp;D42&amp;"-"&amp;E42&amp;"-"&amp;F42)</f>
        <v>RW-KG01-L23-20251105-AM-ORD-2025-00229-Move to Cullet</v>
      </c>
      <c r="L42" s="1" t="str">
        <f aca="false">IF(A42="","",IF(AND(J42="OK",COUNTIF($K$5:$K$85,K42)=1),"OK","CHECK"))</f>
        <v>OK</v>
      </c>
    </row>
    <row r="43" customFormat="false" ht="18" hidden="false" customHeight="true" outlineLevel="0" collapsed="false">
      <c r="A43" s="9" t="s">
        <v>26</v>
      </c>
      <c r="B43" s="10" t="n">
        <v>23</v>
      </c>
      <c r="C43" s="11" t="n">
        <v>45970</v>
      </c>
      <c r="D43" s="9" t="s">
        <v>28</v>
      </c>
      <c r="E43" s="9" t="s">
        <v>119</v>
      </c>
      <c r="F43" s="9" t="s">
        <v>202</v>
      </c>
      <c r="G43" s="13" t="n">
        <v>3</v>
      </c>
      <c r="H43" s="13" t="n">
        <v>1200</v>
      </c>
      <c r="I43" s="1" t="n">
        <f aca="false">IF(A43="","",G43*H43)</f>
        <v>3600</v>
      </c>
      <c r="J43" s="1" t="str">
        <f aca="false">IF(A43="","",IF(AND(G43&gt;=0,H43&gt;0),"OK","CHECK"))</f>
        <v>OK</v>
      </c>
      <c r="K43" s="1" t="str">
        <f aca="false">IF(A43="","", "RW-"&amp;A43&amp;"-L"&amp;TEXT(B43,"00")&amp;"-"&amp;TEXT(C43,"yyyymmdd")&amp;"-"&amp;D43&amp;"-"&amp;E43&amp;"-"&amp;F43)</f>
        <v>RW-KG01-L23-20251109-AM-ORD-2025-00230-Resorted</v>
      </c>
      <c r="L43" s="1" t="str">
        <f aca="false">IF(A43="","",IF(AND(J43="OK",COUNTIF($K$5:$K$85,K43)=1),"OK","CHECK"))</f>
        <v>OK</v>
      </c>
    </row>
    <row r="44" customFormat="false" ht="18" hidden="false" customHeight="true" outlineLevel="0" collapsed="false">
      <c r="A44" s="9" t="s">
        <v>26</v>
      </c>
      <c r="B44" s="10" t="n">
        <v>23</v>
      </c>
      <c r="C44" s="11" t="n">
        <v>45973</v>
      </c>
      <c r="D44" s="9" t="s">
        <v>31</v>
      </c>
      <c r="E44" s="9" t="s">
        <v>120</v>
      </c>
      <c r="F44" s="9" t="s">
        <v>202</v>
      </c>
      <c r="G44" s="13" t="n">
        <v>2</v>
      </c>
      <c r="H44" s="13" t="n">
        <v>500</v>
      </c>
      <c r="I44" s="1" t="n">
        <f aca="false">IF(A44="","",G44*H44)</f>
        <v>1000</v>
      </c>
      <c r="J44" s="1" t="str">
        <f aca="false">IF(A44="","",IF(AND(G44&gt;=0,H44&gt;0),"OK","CHECK"))</f>
        <v>OK</v>
      </c>
      <c r="K44" s="1" t="str">
        <f aca="false">IF(A44="","", "RW-"&amp;A44&amp;"-L"&amp;TEXT(B44,"00")&amp;"-"&amp;TEXT(C44,"yyyymmdd")&amp;"-"&amp;D44&amp;"-"&amp;E44&amp;"-"&amp;F44)</f>
        <v>RW-KG01-L23-20251112-PM-ORD-2025-00231-Resorted</v>
      </c>
      <c r="L44" s="1" t="str">
        <f aca="false">IF(A44="","",IF(AND(J44="OK",COUNTIF($K$5:$K$85,K44)=1),"OK","CHECK"))</f>
        <v>OK</v>
      </c>
    </row>
    <row r="45" customFormat="false" ht="18" hidden="false" customHeight="true" outlineLevel="0" collapsed="false">
      <c r="A45" s="9" t="s">
        <v>26</v>
      </c>
      <c r="B45" s="10" t="n">
        <v>23</v>
      </c>
      <c r="C45" s="11" t="n">
        <v>45983</v>
      </c>
      <c r="D45" s="9" t="s">
        <v>31</v>
      </c>
      <c r="E45" s="9" t="s">
        <v>123</v>
      </c>
      <c r="F45" s="9" t="s">
        <v>202</v>
      </c>
      <c r="G45" s="13" t="n">
        <v>1</v>
      </c>
      <c r="H45" s="13" t="n">
        <v>600</v>
      </c>
      <c r="I45" s="1" t="n">
        <f aca="false">IF(A45="","",G45*H45)</f>
        <v>600</v>
      </c>
      <c r="J45" s="1" t="str">
        <f aca="false">IF(A45="","",IF(AND(G45&gt;=0,H45&gt;0),"OK","CHECK"))</f>
        <v>OK</v>
      </c>
      <c r="K45" s="1" t="str">
        <f aca="false">IF(A45="","", "RW-"&amp;A45&amp;"-L"&amp;TEXT(B45,"00")&amp;"-"&amp;TEXT(C45,"yyyymmdd")&amp;"-"&amp;D45&amp;"-"&amp;E45&amp;"-"&amp;F45)</f>
        <v>RW-KG01-L23-20251122-PM-ORD-2025-00234-Resorted</v>
      </c>
      <c r="L45" s="1" t="str">
        <f aca="false">IF(A45="","",IF(AND(J45="OK",COUNTIF($K$5:$K$85,K45)=1),"OK","CHECK"))</f>
        <v>OK</v>
      </c>
    </row>
    <row r="46" customFormat="false" ht="18" hidden="false" customHeight="true" outlineLevel="0" collapsed="false">
      <c r="A46" s="9" t="s">
        <v>26</v>
      </c>
      <c r="B46" s="10" t="n">
        <v>23</v>
      </c>
      <c r="C46" s="11" t="n">
        <v>45991</v>
      </c>
      <c r="D46" s="9" t="s">
        <v>28</v>
      </c>
      <c r="E46" s="9" t="s">
        <v>125</v>
      </c>
      <c r="F46" s="9" t="s">
        <v>201</v>
      </c>
      <c r="G46" s="13" t="n">
        <v>3</v>
      </c>
      <c r="H46" s="13" t="n">
        <v>500</v>
      </c>
      <c r="I46" s="1" t="n">
        <f aca="false">IF(A46="","",G46*H46)</f>
        <v>1500</v>
      </c>
      <c r="J46" s="1" t="str">
        <f aca="false">IF(A46="","",IF(AND(G46&gt;=0,H46&gt;0),"OK","CHECK"))</f>
        <v>OK</v>
      </c>
      <c r="K46" s="1" t="str">
        <f aca="false">IF(A46="","", "RW-"&amp;A46&amp;"-L"&amp;TEXT(B46,"00")&amp;"-"&amp;TEXT(C46,"yyyymmdd")&amp;"-"&amp;D46&amp;"-"&amp;E46&amp;"-"&amp;F46)</f>
        <v>RW-KG01-L23-20251130-AM-ORD-2025-00236-Move to Cullet</v>
      </c>
      <c r="L46" s="1" t="str">
        <f aca="false">IF(A46="","",IF(AND(J46="OK",COUNTIF($K$5:$K$85,K46)=1),"OK","CHECK"))</f>
        <v>OK</v>
      </c>
    </row>
    <row r="47" customFormat="false" ht="18" hidden="false" customHeight="true" outlineLevel="0" collapsed="false">
      <c r="A47" s="9" t="s">
        <v>26</v>
      </c>
      <c r="B47" s="10" t="n">
        <v>23</v>
      </c>
      <c r="C47" s="11" t="n">
        <v>46001</v>
      </c>
      <c r="D47" s="9" t="s">
        <v>28</v>
      </c>
      <c r="E47" s="9" t="s">
        <v>128</v>
      </c>
      <c r="F47" s="9" t="s">
        <v>202</v>
      </c>
      <c r="G47" s="13" t="n">
        <v>3</v>
      </c>
      <c r="H47" s="13" t="n">
        <v>500</v>
      </c>
      <c r="I47" s="1" t="n">
        <f aca="false">IF(A47="","",G47*H47)</f>
        <v>1500</v>
      </c>
      <c r="J47" s="1" t="str">
        <f aca="false">IF(A47="","",IF(AND(G47&gt;=0,H47&gt;0),"OK","CHECK"))</f>
        <v>OK</v>
      </c>
      <c r="K47" s="1" t="str">
        <f aca="false">IF(A47="","", "RW-"&amp;A47&amp;"-L"&amp;TEXT(B47,"00")&amp;"-"&amp;TEXT(C47,"yyyymmdd")&amp;"-"&amp;D47&amp;"-"&amp;E47&amp;"-"&amp;F47)</f>
        <v>RW-KG01-L23-20251210-AM-ORD-2025-00239-Resorted</v>
      </c>
      <c r="L47" s="1" t="str">
        <f aca="false">IF(A47="","",IF(AND(J47="OK",COUNTIF($K$5:$K$85,K47)=1),"OK","CHECK"))</f>
        <v>OK</v>
      </c>
    </row>
    <row r="48" customFormat="false" ht="18" hidden="false" customHeight="true" outlineLevel="0" collapsed="false">
      <c r="A48" s="9" t="s">
        <v>26</v>
      </c>
      <c r="B48" s="10" t="n">
        <v>23</v>
      </c>
      <c r="C48" s="11" t="n">
        <v>46022</v>
      </c>
      <c r="D48" s="9" t="s">
        <v>28</v>
      </c>
      <c r="E48" s="9" t="s">
        <v>134</v>
      </c>
      <c r="F48" s="9" t="s">
        <v>202</v>
      </c>
      <c r="G48" s="13" t="n">
        <v>2</v>
      </c>
      <c r="H48" s="13" t="n">
        <v>500</v>
      </c>
      <c r="I48" s="1" t="n">
        <f aca="false">IF(A48="","",G48*H48)</f>
        <v>1000</v>
      </c>
      <c r="J48" s="1" t="str">
        <f aca="false">IF(A48="","",IF(AND(G48&gt;=0,H48&gt;0),"OK","CHECK"))</f>
        <v>OK</v>
      </c>
      <c r="K48" s="1" t="str">
        <f aca="false">IF(A48="","", "RW-"&amp;A48&amp;"-L"&amp;TEXT(B48,"00")&amp;"-"&amp;TEXT(C48,"yyyymmdd")&amp;"-"&amp;D48&amp;"-"&amp;E48&amp;"-"&amp;F48)</f>
        <v>RW-KG01-L23-20251231-AM-ORD-2025-00245-Resorted</v>
      </c>
      <c r="L48" s="1" t="str">
        <f aca="false">IF(A48="","",IF(AND(J48="OK",COUNTIF($K$5:$K$85,K48)=1),"OK","CHECK"))</f>
        <v>OK</v>
      </c>
    </row>
    <row r="49" customFormat="false" ht="18" hidden="false" customHeight="true" outlineLevel="0" collapsed="false">
      <c r="A49" s="9" t="s">
        <v>26</v>
      </c>
      <c r="B49" s="10" t="n">
        <v>24</v>
      </c>
      <c r="C49" s="11" t="n">
        <v>45934</v>
      </c>
      <c r="D49" s="9" t="s">
        <v>28</v>
      </c>
      <c r="E49" s="9" t="s">
        <v>137</v>
      </c>
      <c r="F49" s="9" t="s">
        <v>202</v>
      </c>
      <c r="G49" s="13" t="n">
        <v>3</v>
      </c>
      <c r="H49" s="13" t="n">
        <v>800</v>
      </c>
      <c r="I49" s="1" t="n">
        <f aca="false">IF(A49="","",G49*H49)</f>
        <v>2400</v>
      </c>
      <c r="J49" s="1" t="str">
        <f aca="false">IF(A49="","",IF(AND(G49&gt;=0,H49&gt;0),"OK","CHECK"))</f>
        <v>OK</v>
      </c>
      <c r="K49" s="1" t="str">
        <f aca="false">IF(A49="","", "RW-"&amp;A49&amp;"-L"&amp;TEXT(B49,"00")&amp;"-"&amp;TEXT(C49,"yyyymmdd")&amp;"-"&amp;D49&amp;"-"&amp;E49&amp;"-"&amp;F49)</f>
        <v>RW-KG01-L24-20251004-AM-ORD-2025-00248-Resorted</v>
      </c>
      <c r="L49" s="1" t="str">
        <f aca="false">IF(A49="","",IF(AND(J49="OK",COUNTIF($K$5:$K$85,K49)=1),"OK","CHECK"))</f>
        <v>OK</v>
      </c>
    </row>
    <row r="50" customFormat="false" ht="18" hidden="false" customHeight="true" outlineLevel="0" collapsed="false">
      <c r="A50" s="9" t="s">
        <v>26</v>
      </c>
      <c r="B50" s="10" t="n">
        <v>24</v>
      </c>
      <c r="C50" s="11" t="n">
        <v>45936</v>
      </c>
      <c r="D50" s="9" t="s">
        <v>28</v>
      </c>
      <c r="E50" s="9" t="s">
        <v>138</v>
      </c>
      <c r="F50" s="9" t="s">
        <v>202</v>
      </c>
      <c r="G50" s="13" t="n">
        <v>3</v>
      </c>
      <c r="H50" s="13" t="n">
        <v>600</v>
      </c>
      <c r="I50" s="1" t="n">
        <f aca="false">IF(A50="","",G50*H50)</f>
        <v>1800</v>
      </c>
      <c r="J50" s="1" t="str">
        <f aca="false">IF(A50="","",IF(AND(G50&gt;=0,H50&gt;0),"OK","CHECK"))</f>
        <v>OK</v>
      </c>
      <c r="K50" s="1" t="str">
        <f aca="false">IF(A50="","", "RW-"&amp;A50&amp;"-L"&amp;TEXT(B50,"00")&amp;"-"&amp;TEXT(C50,"yyyymmdd")&amp;"-"&amp;D50&amp;"-"&amp;E50&amp;"-"&amp;F50)</f>
        <v>RW-KG01-L24-20251006-AM-ORD-2025-00249-Resorted</v>
      </c>
      <c r="L50" s="1" t="str">
        <f aca="false">IF(A50="","",IF(AND(J50="OK",COUNTIF($K$5:$K$85,K50)=1),"OK","CHECK"))</f>
        <v>OK</v>
      </c>
    </row>
    <row r="51" customFormat="false" ht="18" hidden="false" customHeight="true" outlineLevel="0" collapsed="false">
      <c r="A51" s="9" t="s">
        <v>26</v>
      </c>
      <c r="B51" s="10" t="n">
        <v>24</v>
      </c>
      <c r="C51" s="11" t="n">
        <v>45947</v>
      </c>
      <c r="D51" s="9" t="s">
        <v>31</v>
      </c>
      <c r="E51" s="9" t="s">
        <v>141</v>
      </c>
      <c r="F51" s="9" t="s">
        <v>201</v>
      </c>
      <c r="G51" s="13" t="n">
        <v>3</v>
      </c>
      <c r="H51" s="13" t="n">
        <v>600</v>
      </c>
      <c r="I51" s="1" t="n">
        <f aca="false">IF(A51="","",G51*H51)</f>
        <v>1800</v>
      </c>
      <c r="J51" s="1" t="str">
        <f aca="false">IF(A51="","",IF(AND(G51&gt;=0,H51&gt;0),"OK","CHECK"))</f>
        <v>OK</v>
      </c>
      <c r="K51" s="1" t="str">
        <f aca="false">IF(A51="","", "RW-"&amp;A51&amp;"-L"&amp;TEXT(B51,"00")&amp;"-"&amp;TEXT(C51,"yyyymmdd")&amp;"-"&amp;D51&amp;"-"&amp;E51&amp;"-"&amp;F51)</f>
        <v>RW-KG01-L24-20251017-PM-ORD-2025-00252-Move to Cullet</v>
      </c>
      <c r="L51" s="1" t="str">
        <f aca="false">IF(A51="","",IF(AND(J51="OK",COUNTIF($K$5:$K$85,K51)=1),"OK","CHECK"))</f>
        <v>OK</v>
      </c>
    </row>
    <row r="52" customFormat="false" ht="18" hidden="false" customHeight="true" outlineLevel="0" collapsed="false">
      <c r="A52" s="9" t="s">
        <v>26</v>
      </c>
      <c r="B52" s="10" t="n">
        <v>24</v>
      </c>
      <c r="C52" s="11" t="n">
        <v>45969</v>
      </c>
      <c r="D52" s="9" t="s">
        <v>28</v>
      </c>
      <c r="E52" s="9" t="s">
        <v>145</v>
      </c>
      <c r="F52" s="9" t="s">
        <v>201</v>
      </c>
      <c r="G52" s="13" t="n">
        <v>2</v>
      </c>
      <c r="H52" s="13" t="n">
        <v>500</v>
      </c>
      <c r="I52" s="1" t="n">
        <f aca="false">IF(A52="","",G52*H52)</f>
        <v>1000</v>
      </c>
      <c r="J52" s="1" t="str">
        <f aca="false">IF(A52="","",IF(AND(G52&gt;=0,H52&gt;0),"OK","CHECK"))</f>
        <v>OK</v>
      </c>
      <c r="K52" s="1" t="str">
        <f aca="false">IF(A52="","", "RW-"&amp;A52&amp;"-L"&amp;TEXT(B52,"00")&amp;"-"&amp;TEXT(C52,"yyyymmdd")&amp;"-"&amp;D52&amp;"-"&amp;E52&amp;"-"&amp;F52)</f>
        <v>RW-KG01-L24-20251108-AM-ORD-2025-00256-Move to Cullet</v>
      </c>
      <c r="L52" s="1" t="str">
        <f aca="false">IF(A52="","",IF(AND(J52="OK",COUNTIF($K$5:$K$85,K52)=1),"OK","CHECK"))</f>
        <v>OK</v>
      </c>
    </row>
    <row r="53" customFormat="false" ht="18" hidden="false" customHeight="true" outlineLevel="0" collapsed="false">
      <c r="A53" s="9" t="s">
        <v>26</v>
      </c>
      <c r="B53" s="10" t="n">
        <v>24</v>
      </c>
      <c r="C53" s="11" t="n">
        <v>45970</v>
      </c>
      <c r="D53" s="9" t="s">
        <v>31</v>
      </c>
      <c r="E53" s="9" t="s">
        <v>146</v>
      </c>
      <c r="F53" s="9" t="s">
        <v>202</v>
      </c>
      <c r="G53" s="13" t="n">
        <v>3</v>
      </c>
      <c r="H53" s="13" t="n">
        <v>1000</v>
      </c>
      <c r="I53" s="1" t="n">
        <f aca="false">IF(A53="","",G53*H53)</f>
        <v>3000</v>
      </c>
      <c r="J53" s="1" t="str">
        <f aca="false">IF(A53="","",IF(AND(G53&gt;=0,H53&gt;0),"OK","CHECK"))</f>
        <v>OK</v>
      </c>
      <c r="K53" s="1" t="str">
        <f aca="false">IF(A53="","", "RW-"&amp;A53&amp;"-L"&amp;TEXT(B53,"00")&amp;"-"&amp;TEXT(C53,"yyyymmdd")&amp;"-"&amp;D53&amp;"-"&amp;E53&amp;"-"&amp;F53)</f>
        <v>RW-KG01-L24-20251109-PM-ORD-2025-00257-Resorted</v>
      </c>
      <c r="L53" s="1" t="str">
        <f aca="false">IF(A53="","",IF(AND(J53="OK",COUNTIF($K$5:$K$85,K53)=1),"OK","CHECK"))</f>
        <v>OK</v>
      </c>
    </row>
    <row r="54" customFormat="false" ht="18" hidden="false" customHeight="true" outlineLevel="0" collapsed="false">
      <c r="A54" s="9" t="s">
        <v>26</v>
      </c>
      <c r="B54" s="10" t="n">
        <v>24</v>
      </c>
      <c r="C54" s="11" t="n">
        <v>45972</v>
      </c>
      <c r="D54" s="9" t="s">
        <v>31</v>
      </c>
      <c r="E54" s="9" t="s">
        <v>147</v>
      </c>
      <c r="F54" s="9" t="s">
        <v>202</v>
      </c>
      <c r="G54" s="13" t="n">
        <v>1</v>
      </c>
      <c r="H54" s="13" t="n">
        <v>1000</v>
      </c>
      <c r="I54" s="1" t="n">
        <f aca="false">IF(A54="","",G54*H54)</f>
        <v>1000</v>
      </c>
      <c r="J54" s="1" t="str">
        <f aca="false">IF(A54="","",IF(AND(G54&gt;=0,H54&gt;0),"OK","CHECK"))</f>
        <v>OK</v>
      </c>
      <c r="K54" s="1" t="str">
        <f aca="false">IF(A54="","", "RW-"&amp;A54&amp;"-L"&amp;TEXT(B54,"00")&amp;"-"&amp;TEXT(C54,"yyyymmdd")&amp;"-"&amp;D54&amp;"-"&amp;E54&amp;"-"&amp;F54)</f>
        <v>RW-KG01-L24-20251111-PM-ORD-2025-00258-Resorted</v>
      </c>
      <c r="L54" s="1" t="str">
        <f aca="false">IF(A54="","",IF(AND(J54="OK",COUNTIF($K$5:$K$85,K54)=1),"OK","CHECK"))</f>
        <v>OK</v>
      </c>
    </row>
    <row r="55" customFormat="false" ht="18" hidden="false" customHeight="true" outlineLevel="0" collapsed="false">
      <c r="A55" s="9" t="s">
        <v>26</v>
      </c>
      <c r="B55" s="10" t="n">
        <v>24</v>
      </c>
      <c r="C55" s="11" t="n">
        <v>45976</v>
      </c>
      <c r="D55" s="9" t="s">
        <v>31</v>
      </c>
      <c r="E55" s="9" t="s">
        <v>148</v>
      </c>
      <c r="F55" s="9" t="s">
        <v>201</v>
      </c>
      <c r="G55" s="13" t="n">
        <v>2</v>
      </c>
      <c r="H55" s="13" t="n">
        <v>500</v>
      </c>
      <c r="I55" s="1" t="n">
        <f aca="false">IF(A55="","",G55*H55)</f>
        <v>1000</v>
      </c>
      <c r="J55" s="1" t="str">
        <f aca="false">IF(A55="","",IF(AND(G55&gt;=0,H55&gt;0),"OK","CHECK"))</f>
        <v>OK</v>
      </c>
      <c r="K55" s="1" t="str">
        <f aca="false">IF(A55="","", "RW-"&amp;A55&amp;"-L"&amp;TEXT(B55,"00")&amp;"-"&amp;TEXT(C55,"yyyymmdd")&amp;"-"&amp;D55&amp;"-"&amp;E55&amp;"-"&amp;F55)</f>
        <v>RW-KG01-L24-20251115-PM-ORD-2025-00259-Move to Cullet</v>
      </c>
      <c r="L55" s="1" t="str">
        <f aca="false">IF(A55="","",IF(AND(J55="OK",COUNTIF($K$5:$K$85,K55)=1),"OK","CHECK"))</f>
        <v>OK</v>
      </c>
    </row>
    <row r="56" customFormat="false" ht="18" hidden="false" customHeight="true" outlineLevel="0" collapsed="false">
      <c r="A56" s="9" t="s">
        <v>26</v>
      </c>
      <c r="B56" s="10" t="n">
        <v>24</v>
      </c>
      <c r="C56" s="11" t="n">
        <v>45987</v>
      </c>
      <c r="D56" s="9" t="s">
        <v>31</v>
      </c>
      <c r="E56" s="9" t="s">
        <v>152</v>
      </c>
      <c r="F56" s="9" t="s">
        <v>201</v>
      </c>
      <c r="G56" s="13" t="n">
        <v>1</v>
      </c>
      <c r="H56" s="13" t="n">
        <v>1200</v>
      </c>
      <c r="I56" s="1" t="n">
        <f aca="false">IF(A56="","",G56*H56)</f>
        <v>1200</v>
      </c>
      <c r="J56" s="1" t="str">
        <f aca="false">IF(A56="","",IF(AND(G56&gt;=0,H56&gt;0),"OK","CHECK"))</f>
        <v>OK</v>
      </c>
      <c r="K56" s="1" t="str">
        <f aca="false">IF(A56="","", "RW-"&amp;A56&amp;"-L"&amp;TEXT(B56,"00")&amp;"-"&amp;TEXT(C56,"yyyymmdd")&amp;"-"&amp;D56&amp;"-"&amp;E56&amp;"-"&amp;F56)</f>
        <v>RW-KG01-L24-20251126-PM-ORD-2025-00263-Move to Cullet</v>
      </c>
      <c r="L56" s="1" t="str">
        <f aca="false">IF(A56="","",IF(AND(J56="OK",COUNTIF($K$5:$K$85,K56)=1),"OK","CHECK"))</f>
        <v>OK</v>
      </c>
    </row>
    <row r="57" customFormat="false" ht="18" hidden="false" customHeight="true" outlineLevel="0" collapsed="false">
      <c r="A57" s="9" t="s">
        <v>26</v>
      </c>
      <c r="B57" s="10" t="n">
        <v>24</v>
      </c>
      <c r="C57" s="11" t="n">
        <v>45993</v>
      </c>
      <c r="D57" s="9" t="s">
        <v>28</v>
      </c>
      <c r="E57" s="9" t="s">
        <v>155</v>
      </c>
      <c r="F57" s="9" t="s">
        <v>202</v>
      </c>
      <c r="G57" s="13" t="n">
        <v>3</v>
      </c>
      <c r="H57" s="13" t="n">
        <v>1200</v>
      </c>
      <c r="I57" s="1" t="n">
        <f aca="false">IF(A57="","",G57*H57)</f>
        <v>3600</v>
      </c>
      <c r="J57" s="1" t="str">
        <f aca="false">IF(A57="","",IF(AND(G57&gt;=0,H57&gt;0),"OK","CHECK"))</f>
        <v>OK</v>
      </c>
      <c r="K57" s="1" t="str">
        <f aca="false">IF(A57="","", "RW-"&amp;A57&amp;"-L"&amp;TEXT(B57,"00")&amp;"-"&amp;TEXT(C57,"yyyymmdd")&amp;"-"&amp;D57&amp;"-"&amp;E57&amp;"-"&amp;F57)</f>
        <v>RW-KG01-L24-20251202-AM-ORD-2025-00266-Resorted</v>
      </c>
      <c r="L57" s="1" t="str">
        <f aca="false">IF(A57="","",IF(AND(J57="OK",COUNTIF($K$5:$K$85,K57)=1),"OK","CHECK"))</f>
        <v>OK</v>
      </c>
    </row>
    <row r="58" customFormat="false" ht="18" hidden="false" customHeight="true" outlineLevel="0" collapsed="false">
      <c r="A58" s="9" t="s">
        <v>26</v>
      </c>
      <c r="B58" s="10" t="n">
        <v>24</v>
      </c>
      <c r="C58" s="11" t="n">
        <v>45996</v>
      </c>
      <c r="D58" s="9" t="s">
        <v>28</v>
      </c>
      <c r="E58" s="9" t="s">
        <v>156</v>
      </c>
      <c r="F58" s="9" t="s">
        <v>202</v>
      </c>
      <c r="G58" s="13" t="n">
        <v>1</v>
      </c>
      <c r="H58" s="13" t="n">
        <v>800</v>
      </c>
      <c r="I58" s="1" t="n">
        <f aca="false">IF(A58="","",G58*H58)</f>
        <v>800</v>
      </c>
      <c r="J58" s="1" t="str">
        <f aca="false">IF(A58="","",IF(AND(G58&gt;=0,H58&gt;0),"OK","CHECK"))</f>
        <v>OK</v>
      </c>
      <c r="K58" s="1" t="str">
        <f aca="false">IF(A58="","", "RW-"&amp;A58&amp;"-L"&amp;TEXT(B58,"00")&amp;"-"&amp;TEXT(C58,"yyyymmdd")&amp;"-"&amp;D58&amp;"-"&amp;E58&amp;"-"&amp;F58)</f>
        <v>RW-KG01-L24-20251205-AM-ORD-2025-00267-Resorted</v>
      </c>
      <c r="L58" s="1" t="str">
        <f aca="false">IF(A58="","",IF(AND(J58="OK",COUNTIF($K$5:$K$85,K58)=1),"OK","CHECK"))</f>
        <v>OK</v>
      </c>
    </row>
    <row r="59" customFormat="false" ht="18" hidden="false" customHeight="true" outlineLevel="0" collapsed="false">
      <c r="A59" s="9" t="s">
        <v>26</v>
      </c>
      <c r="B59" s="10" t="n">
        <v>24</v>
      </c>
      <c r="C59" s="11" t="n">
        <v>46022</v>
      </c>
      <c r="D59" s="9" t="s">
        <v>31</v>
      </c>
      <c r="E59" s="9" t="s">
        <v>162</v>
      </c>
      <c r="F59" s="9" t="s">
        <v>201</v>
      </c>
      <c r="G59" s="13" t="n">
        <v>3</v>
      </c>
      <c r="H59" s="13" t="n">
        <v>1000</v>
      </c>
      <c r="I59" s="1" t="n">
        <f aca="false">IF(A59="","",G59*H59)</f>
        <v>3000</v>
      </c>
      <c r="J59" s="1" t="str">
        <f aca="false">IF(A59="","",IF(AND(G59&gt;=0,H59&gt;0),"OK","CHECK"))</f>
        <v>OK</v>
      </c>
      <c r="K59" s="1" t="str">
        <f aca="false">IF(A59="","", "RW-"&amp;A59&amp;"-L"&amp;TEXT(B59,"00")&amp;"-"&amp;TEXT(C59,"yyyymmdd")&amp;"-"&amp;D59&amp;"-"&amp;E59&amp;"-"&amp;F59)</f>
        <v>RW-KG01-L24-20251231-PM-ORD-2025-00273-Move to Cullet</v>
      </c>
      <c r="L59" s="1" t="str">
        <f aca="false">IF(A59="","",IF(AND(J59="OK",COUNTIF($K$5:$K$85,K59)=1),"OK","CHECK"))</f>
        <v>OK</v>
      </c>
    </row>
    <row r="60" customFormat="false" ht="18" hidden="false" customHeight="true" outlineLevel="0" collapsed="false">
      <c r="A60" s="9" t="s">
        <v>26</v>
      </c>
      <c r="B60" s="10" t="n">
        <v>25</v>
      </c>
      <c r="C60" s="11" t="n">
        <v>45935</v>
      </c>
      <c r="D60" s="9" t="s">
        <v>31</v>
      </c>
      <c r="E60" s="9" t="s">
        <v>166</v>
      </c>
      <c r="F60" s="9" t="s">
        <v>202</v>
      </c>
      <c r="G60" s="13" t="n">
        <v>3</v>
      </c>
      <c r="H60" s="13" t="n">
        <v>800</v>
      </c>
      <c r="I60" s="1" t="n">
        <f aca="false">IF(A60="","",G60*H60)</f>
        <v>2400</v>
      </c>
      <c r="J60" s="1" t="str">
        <f aca="false">IF(A60="","",IF(AND(G60&gt;=0,H60&gt;0),"OK","CHECK"))</f>
        <v>OK</v>
      </c>
      <c r="K60" s="1" t="str">
        <f aca="false">IF(A60="","", "RW-"&amp;A60&amp;"-L"&amp;TEXT(B60,"00")&amp;"-"&amp;TEXT(C60,"yyyymmdd")&amp;"-"&amp;D60&amp;"-"&amp;E60&amp;"-"&amp;F60)</f>
        <v>RW-KG01-L25-20251005-PM-ORD-2025-00277-Resorted</v>
      </c>
      <c r="L60" s="1" t="str">
        <f aca="false">IF(A60="","",IF(AND(J60="OK",COUNTIF($K$5:$K$85,K60)=1),"OK","CHECK"))</f>
        <v>OK</v>
      </c>
    </row>
    <row r="61" customFormat="false" ht="18" hidden="false" customHeight="true" outlineLevel="0" collapsed="false">
      <c r="A61" s="9" t="s">
        <v>26</v>
      </c>
      <c r="B61" s="10" t="n">
        <v>25</v>
      </c>
      <c r="C61" s="11" t="n">
        <v>45940</v>
      </c>
      <c r="D61" s="9" t="s">
        <v>31</v>
      </c>
      <c r="E61" s="9" t="s">
        <v>167</v>
      </c>
      <c r="F61" s="9" t="s">
        <v>201</v>
      </c>
      <c r="G61" s="13" t="n">
        <v>2</v>
      </c>
      <c r="H61" s="13" t="n">
        <v>1200</v>
      </c>
      <c r="I61" s="1" t="n">
        <f aca="false">IF(A61="","",G61*H61)</f>
        <v>2400</v>
      </c>
      <c r="J61" s="1" t="str">
        <f aca="false">IF(A61="","",IF(AND(G61&gt;=0,H61&gt;0),"OK","CHECK"))</f>
        <v>OK</v>
      </c>
      <c r="K61" s="1" t="str">
        <f aca="false">IF(A61="","", "RW-"&amp;A61&amp;"-L"&amp;TEXT(B61,"00")&amp;"-"&amp;TEXT(C61,"yyyymmdd")&amp;"-"&amp;D61&amp;"-"&amp;E61&amp;"-"&amp;F61)</f>
        <v>RW-KG01-L25-20251010-PM-ORD-2025-00278-Move to Cullet</v>
      </c>
      <c r="L61" s="1" t="str">
        <f aca="false">IF(A61="","",IF(AND(J61="OK",COUNTIF($K$5:$K$85,K61)=1),"OK","CHECK"))</f>
        <v>OK</v>
      </c>
    </row>
    <row r="62" customFormat="false" ht="18" hidden="false" customHeight="true" outlineLevel="0" collapsed="false">
      <c r="A62" s="9" t="s">
        <v>26</v>
      </c>
      <c r="B62" s="10" t="n">
        <v>25</v>
      </c>
      <c r="C62" s="11" t="n">
        <v>45947</v>
      </c>
      <c r="D62" s="9" t="s">
        <v>28</v>
      </c>
      <c r="E62" s="9" t="s">
        <v>170</v>
      </c>
      <c r="F62" s="9" t="s">
        <v>201</v>
      </c>
      <c r="G62" s="13" t="n">
        <v>2</v>
      </c>
      <c r="H62" s="13" t="n">
        <v>1000</v>
      </c>
      <c r="I62" s="1" t="n">
        <f aca="false">IF(A62="","",G62*H62)</f>
        <v>2000</v>
      </c>
      <c r="J62" s="1" t="str">
        <f aca="false">IF(A62="","",IF(AND(G62&gt;=0,H62&gt;0),"OK","CHECK"))</f>
        <v>OK</v>
      </c>
      <c r="K62" s="1" t="str">
        <f aca="false">IF(A62="","", "RW-"&amp;A62&amp;"-L"&amp;TEXT(B62,"00")&amp;"-"&amp;TEXT(C62,"yyyymmdd")&amp;"-"&amp;D62&amp;"-"&amp;E62&amp;"-"&amp;F62)</f>
        <v>RW-KG01-L25-20251017-AM-ORD-2025-00281-Move to Cullet</v>
      </c>
      <c r="L62" s="1" t="str">
        <f aca="false">IF(A62="","",IF(AND(J62="OK",COUNTIF($K$5:$K$85,K62)=1),"OK","CHECK"))</f>
        <v>OK</v>
      </c>
    </row>
    <row r="63" customFormat="false" ht="18" hidden="false" customHeight="true" outlineLevel="0" collapsed="false">
      <c r="A63" s="9" t="s">
        <v>26</v>
      </c>
      <c r="B63" s="10" t="n">
        <v>25</v>
      </c>
      <c r="C63" s="11" t="n">
        <v>45950</v>
      </c>
      <c r="D63" s="9" t="s">
        <v>28</v>
      </c>
      <c r="E63" s="9" t="s">
        <v>50</v>
      </c>
      <c r="F63" s="9" t="s">
        <v>201</v>
      </c>
      <c r="G63" s="13" t="n">
        <v>3</v>
      </c>
      <c r="H63" s="13" t="n">
        <v>800</v>
      </c>
      <c r="I63" s="1" t="n">
        <f aca="false">IF(A63="","",G63*H63)</f>
        <v>2400</v>
      </c>
      <c r="J63" s="1" t="str">
        <f aca="false">IF(A63="","",IF(AND(G63&gt;=0,H63&gt;0),"OK","CHECK"))</f>
        <v>OK</v>
      </c>
      <c r="K63" s="1" t="str">
        <f aca="false">IF(A63="","", "RW-"&amp;A63&amp;"-L"&amp;TEXT(B63,"00")&amp;"-"&amp;TEXT(C63,"yyyymmdd")&amp;"-"&amp;D63&amp;"-"&amp;E63&amp;"-"&amp;F63)</f>
        <v>RW-KG01-L25-20251020-AM-ORD-2025-00161-Move to Cullet</v>
      </c>
      <c r="L63" s="1" t="str">
        <f aca="false">IF(A63="","",IF(AND(J63="OK",COUNTIF($K$5:$K$85,K63)=1),"OK","CHECK"))</f>
        <v>OK</v>
      </c>
    </row>
    <row r="64" customFormat="false" ht="18" hidden="false" customHeight="true" outlineLevel="0" collapsed="false">
      <c r="A64" s="9" t="s">
        <v>26</v>
      </c>
      <c r="B64" s="10" t="n">
        <v>25</v>
      </c>
      <c r="C64" s="11" t="n">
        <v>45957</v>
      </c>
      <c r="D64" s="9" t="s">
        <v>28</v>
      </c>
      <c r="E64" s="9" t="s">
        <v>171</v>
      </c>
      <c r="F64" s="9" t="s">
        <v>202</v>
      </c>
      <c r="G64" s="13" t="n">
        <v>1</v>
      </c>
      <c r="H64" s="13" t="n">
        <v>1200</v>
      </c>
      <c r="I64" s="1" t="n">
        <f aca="false">IF(A64="","",G64*H64)</f>
        <v>1200</v>
      </c>
      <c r="J64" s="1" t="str">
        <f aca="false">IF(A64="","",IF(AND(G64&gt;=0,H64&gt;0),"OK","CHECK"))</f>
        <v>OK</v>
      </c>
      <c r="K64" s="1" t="str">
        <f aca="false">IF(A64="","", "RW-"&amp;A64&amp;"-L"&amp;TEXT(B64,"00")&amp;"-"&amp;TEXT(C64,"yyyymmdd")&amp;"-"&amp;D64&amp;"-"&amp;E64&amp;"-"&amp;F64)</f>
        <v>RW-KG01-L25-20251027-AM-ORD-2025-00282-Resorted</v>
      </c>
      <c r="L64" s="1" t="str">
        <f aca="false">IF(A64="","",IF(AND(J64="OK",COUNTIF($K$5:$K$85,K64)=1),"OK","CHECK"))</f>
        <v>OK</v>
      </c>
    </row>
    <row r="65" customFormat="false" ht="18" hidden="false" customHeight="true" outlineLevel="0" collapsed="false">
      <c r="A65" s="9" t="s">
        <v>26</v>
      </c>
      <c r="B65" s="10" t="n">
        <v>25</v>
      </c>
      <c r="C65" s="11" t="n">
        <v>45961</v>
      </c>
      <c r="D65" s="9" t="s">
        <v>31</v>
      </c>
      <c r="E65" s="9" t="s">
        <v>173</v>
      </c>
      <c r="F65" s="9" t="s">
        <v>202</v>
      </c>
      <c r="G65" s="13" t="n">
        <v>2</v>
      </c>
      <c r="H65" s="13" t="n">
        <v>1200</v>
      </c>
      <c r="I65" s="1" t="n">
        <f aca="false">IF(A65="","",G65*H65)</f>
        <v>2400</v>
      </c>
      <c r="J65" s="1" t="str">
        <f aca="false">IF(A65="","",IF(AND(G65&gt;=0,H65&gt;0),"OK","CHECK"))</f>
        <v>OK</v>
      </c>
      <c r="K65" s="1" t="str">
        <f aca="false">IF(A65="","", "RW-"&amp;A65&amp;"-L"&amp;TEXT(B65,"00")&amp;"-"&amp;TEXT(C65,"yyyymmdd")&amp;"-"&amp;D65&amp;"-"&amp;E65&amp;"-"&amp;F65)</f>
        <v>RW-KG01-L25-20251031-PM-ORD-2025-00284-Resorted</v>
      </c>
      <c r="L65" s="1" t="str">
        <f aca="false">IF(A65="","",IF(AND(J65="OK",COUNTIF($K$5:$K$85,K65)=1),"OK","CHECK"))</f>
        <v>OK</v>
      </c>
    </row>
    <row r="66" customFormat="false" ht="18" hidden="false" customHeight="true" outlineLevel="0" collapsed="false">
      <c r="A66" s="9" t="s">
        <v>26</v>
      </c>
      <c r="B66" s="10" t="n">
        <v>25</v>
      </c>
      <c r="C66" s="11" t="n">
        <v>45973</v>
      </c>
      <c r="D66" s="9" t="s">
        <v>28</v>
      </c>
      <c r="E66" s="9" t="s">
        <v>176</v>
      </c>
      <c r="F66" s="9" t="s">
        <v>201</v>
      </c>
      <c r="G66" s="13" t="n">
        <v>3</v>
      </c>
      <c r="H66" s="13" t="n">
        <v>1000</v>
      </c>
      <c r="I66" s="1" t="n">
        <f aca="false">IF(A66="","",G66*H66)</f>
        <v>3000</v>
      </c>
      <c r="J66" s="1" t="str">
        <f aca="false">IF(A66="","",IF(AND(G66&gt;=0,H66&gt;0),"OK","CHECK"))</f>
        <v>OK</v>
      </c>
      <c r="K66" s="1" t="str">
        <f aca="false">IF(A66="","", "RW-"&amp;A66&amp;"-L"&amp;TEXT(B66,"00")&amp;"-"&amp;TEXT(C66,"yyyymmdd")&amp;"-"&amp;D66&amp;"-"&amp;E66&amp;"-"&amp;F66)</f>
        <v>RW-KG01-L25-20251112-AM-ORD-2025-00287-Move to Cullet</v>
      </c>
      <c r="L66" s="1" t="str">
        <f aca="false">IF(A66="","",IF(AND(J66="OK",COUNTIF($K$5:$K$85,K66)=1),"OK","CHECK"))</f>
        <v>OK</v>
      </c>
    </row>
    <row r="67" customFormat="false" ht="18" hidden="false" customHeight="true" outlineLevel="0" collapsed="false">
      <c r="A67" s="9" t="s">
        <v>26</v>
      </c>
      <c r="B67" s="10" t="n">
        <v>25</v>
      </c>
      <c r="C67" s="11" t="n">
        <v>45989</v>
      </c>
      <c r="D67" s="9" t="s">
        <v>28</v>
      </c>
      <c r="E67" s="9" t="s">
        <v>181</v>
      </c>
      <c r="F67" s="9" t="s">
        <v>202</v>
      </c>
      <c r="G67" s="13" t="n">
        <v>2</v>
      </c>
      <c r="H67" s="13" t="n">
        <v>800</v>
      </c>
      <c r="I67" s="1" t="n">
        <f aca="false">IF(A67="","",G67*H67)</f>
        <v>1600</v>
      </c>
      <c r="J67" s="1" t="str">
        <f aca="false">IF(A67="","",IF(AND(G67&gt;=0,H67&gt;0),"OK","CHECK"))</f>
        <v>OK</v>
      </c>
      <c r="K67" s="1" t="str">
        <f aca="false">IF(A67="","", "RW-"&amp;A67&amp;"-L"&amp;TEXT(B67,"00")&amp;"-"&amp;TEXT(C67,"yyyymmdd")&amp;"-"&amp;D67&amp;"-"&amp;E67&amp;"-"&amp;F67)</f>
        <v>RW-KG01-L25-20251128-AM-ORD-2025-00292-Resorted</v>
      </c>
      <c r="L67" s="1" t="str">
        <f aca="false">IF(A67="","",IF(AND(J67="OK",COUNTIF($K$5:$K$85,K67)=1),"OK","CHECK"))</f>
        <v>OK</v>
      </c>
    </row>
    <row r="68" customFormat="false" ht="18" hidden="false" customHeight="true" outlineLevel="0" collapsed="false">
      <c r="A68" s="9" t="s">
        <v>26</v>
      </c>
      <c r="B68" s="10" t="n">
        <v>25</v>
      </c>
      <c r="C68" s="11" t="n">
        <v>45996</v>
      </c>
      <c r="D68" s="9" t="s">
        <v>31</v>
      </c>
      <c r="E68" s="9" t="s">
        <v>184</v>
      </c>
      <c r="F68" s="9" t="s">
        <v>202</v>
      </c>
      <c r="G68" s="13" t="n">
        <v>2</v>
      </c>
      <c r="H68" s="13" t="n">
        <v>1000</v>
      </c>
      <c r="I68" s="1" t="n">
        <f aca="false">IF(A68="","",G68*H68)</f>
        <v>2000</v>
      </c>
      <c r="J68" s="1" t="str">
        <f aca="false">IF(A68="","",IF(AND(G68&gt;=0,H68&gt;0),"OK","CHECK"))</f>
        <v>OK</v>
      </c>
      <c r="K68" s="1" t="str">
        <f aca="false">IF(A68="","", "RW-"&amp;A68&amp;"-L"&amp;TEXT(B68,"00")&amp;"-"&amp;TEXT(C68,"yyyymmdd")&amp;"-"&amp;D68&amp;"-"&amp;E68&amp;"-"&amp;F68)</f>
        <v>RW-KG01-L25-20251205-PM-ORD-2025-00295-Resorted</v>
      </c>
      <c r="L68" s="1" t="str">
        <f aca="false">IF(A68="","",IF(AND(J68="OK",COUNTIF($K$5:$K$85,K68)=1),"OK","CHECK"))</f>
        <v>OK</v>
      </c>
    </row>
    <row r="69" customFormat="false" ht="18" hidden="false" customHeight="true" outlineLevel="0" collapsed="false">
      <c r="A69" s="9" t="s">
        <v>26</v>
      </c>
      <c r="B69" s="10" t="n">
        <v>25</v>
      </c>
      <c r="C69" s="11" t="n">
        <v>46010</v>
      </c>
      <c r="D69" s="9" t="s">
        <v>31</v>
      </c>
      <c r="E69" s="9" t="s">
        <v>188</v>
      </c>
      <c r="F69" s="9" t="s">
        <v>201</v>
      </c>
      <c r="G69" s="13" t="n">
        <v>3</v>
      </c>
      <c r="H69" s="13" t="n">
        <v>600</v>
      </c>
      <c r="I69" s="1" t="n">
        <f aca="false">IF(A69="","",G69*H69)</f>
        <v>1800</v>
      </c>
      <c r="J69" s="1" t="str">
        <f aca="false">IF(A69="","",IF(AND(G69&gt;=0,H69&gt;0),"OK","CHECK"))</f>
        <v>OK</v>
      </c>
      <c r="K69" s="1" t="str">
        <f aca="false">IF(A69="","", "RW-"&amp;A69&amp;"-L"&amp;TEXT(B69,"00")&amp;"-"&amp;TEXT(C69,"yyyymmdd")&amp;"-"&amp;D69&amp;"-"&amp;E69&amp;"-"&amp;F69)</f>
        <v>RW-KG01-L25-20251219-PM-ORD-2025-00299-Move to Cullet</v>
      </c>
      <c r="L69" s="1" t="str">
        <f aca="false">IF(A69="","",IF(AND(J69="OK",COUNTIF($K$5:$K$85,K69)=1),"OK","CHECK"))</f>
        <v>OK</v>
      </c>
    </row>
    <row r="70" customFormat="false" ht="18" hidden="false" customHeight="true" outlineLevel="0" collapsed="false">
      <c r="A70" s="9" t="s">
        <v>26</v>
      </c>
      <c r="B70" s="10" t="n">
        <v>25</v>
      </c>
      <c r="C70" s="11" t="n">
        <v>46016</v>
      </c>
      <c r="D70" s="9" t="s">
        <v>28</v>
      </c>
      <c r="E70" s="9" t="s">
        <v>190</v>
      </c>
      <c r="F70" s="9" t="s">
        <v>202</v>
      </c>
      <c r="G70" s="13" t="n">
        <v>1</v>
      </c>
      <c r="H70" s="13" t="n">
        <v>1200</v>
      </c>
      <c r="I70" s="1" t="n">
        <f aca="false">IF(A70="","",G70*H70)</f>
        <v>1200</v>
      </c>
      <c r="J70" s="1" t="str">
        <f aca="false">IF(A70="","",IF(AND(G70&gt;=0,H70&gt;0),"OK","CHECK"))</f>
        <v>OK</v>
      </c>
      <c r="K70" s="1" t="str">
        <f aca="false">IF(A70="","", "RW-"&amp;A70&amp;"-L"&amp;TEXT(B70,"00")&amp;"-"&amp;TEXT(C70,"yyyymmdd")&amp;"-"&amp;D70&amp;"-"&amp;E70&amp;"-"&amp;F70)</f>
        <v>RW-KG01-L25-20251225-AM-ORD-2025-00301-Resorted</v>
      </c>
      <c r="L70" s="1" t="str">
        <f aca="false">IF(A70="","",IF(AND(J70="OK",COUNTIF($K$5:$K$85,K70)=1),"OK","CHECK"))</f>
        <v>OK</v>
      </c>
    </row>
    <row r="71" customFormat="false" ht="18" hidden="false" customHeight="true" outlineLevel="0" collapsed="false">
      <c r="I71" s="1" t="str">
        <f aca="false">IF(A71="","",G71*H71)</f>
        <v/>
      </c>
      <c r="J71" s="1" t="str">
        <f aca="false">IF(A71="","",IF(AND(G71&gt;=0,H71&gt;0),"OK","CHECK"))</f>
        <v/>
      </c>
      <c r="K71" s="1" t="str">
        <f aca="false">IF(A71="","", "RW-"&amp;A71&amp;"-L"&amp;TEXT(B71,"00")&amp;"-"&amp;TEXT(C71,"yyyymmdd")&amp;"-"&amp;D71&amp;"-"&amp;E71&amp;"-"&amp;F71)</f>
        <v/>
      </c>
      <c r="L71" s="1" t="str">
        <f aca="false">IF(A71="","",IF(AND(J71="OK",COUNTIF($K$5:$K$85,K71)=1),"OK","CHECK"))</f>
        <v/>
      </c>
    </row>
    <row r="72" customFormat="false" ht="18" hidden="false" customHeight="true" outlineLevel="0" collapsed="false">
      <c r="I72" s="1" t="str">
        <f aca="false">IF(A72="","",G72*H72)</f>
        <v/>
      </c>
      <c r="J72" s="1" t="str">
        <f aca="false">IF(A72="","",IF(AND(G72&gt;=0,H72&gt;0),"OK","CHECK"))</f>
        <v/>
      </c>
      <c r="K72" s="1" t="str">
        <f aca="false">IF(A72="","", "RW-"&amp;A72&amp;"-L"&amp;TEXT(B72,"00")&amp;"-"&amp;TEXT(C72,"yyyymmdd")&amp;"-"&amp;D72&amp;"-"&amp;E72&amp;"-"&amp;F72)</f>
        <v/>
      </c>
      <c r="L72" s="1" t="str">
        <f aca="false">IF(A72="","",IF(AND(J72="OK",COUNTIF($K$5:$K$85,K72)=1),"OK","CHECK"))</f>
        <v/>
      </c>
    </row>
    <row r="73" customFormat="false" ht="18" hidden="false" customHeight="true" outlineLevel="0" collapsed="false">
      <c r="I73" s="1" t="str">
        <f aca="false">IF(A73="","",G73*H73)</f>
        <v/>
      </c>
      <c r="J73" s="1" t="str">
        <f aca="false">IF(A73="","",IF(AND(G73&gt;=0,H73&gt;0),"OK","CHECK"))</f>
        <v/>
      </c>
      <c r="K73" s="1" t="str">
        <f aca="false">IF(A73="","", "RW-"&amp;A73&amp;"-L"&amp;TEXT(B73,"00")&amp;"-"&amp;TEXT(C73,"yyyymmdd")&amp;"-"&amp;D73&amp;"-"&amp;E73&amp;"-"&amp;F73)</f>
        <v/>
      </c>
      <c r="L73" s="1" t="str">
        <f aca="false">IF(A73="","",IF(AND(J73="OK",COUNTIF($K$5:$K$85,K73)=1),"OK","CHECK"))</f>
        <v/>
      </c>
    </row>
    <row r="74" customFormat="false" ht="18" hidden="false" customHeight="true" outlineLevel="0" collapsed="false">
      <c r="I74" s="1" t="str">
        <f aca="false">IF(A74="","",G74*H74)</f>
        <v/>
      </c>
      <c r="J74" s="1" t="str">
        <f aca="false">IF(A74="","",IF(AND(G74&gt;=0,H74&gt;0),"OK","CHECK"))</f>
        <v/>
      </c>
      <c r="K74" s="1" t="str">
        <f aca="false">IF(A74="","", "RW-"&amp;A74&amp;"-L"&amp;TEXT(B74,"00")&amp;"-"&amp;TEXT(C74,"yyyymmdd")&amp;"-"&amp;D74&amp;"-"&amp;E74&amp;"-"&amp;F74)</f>
        <v/>
      </c>
      <c r="L74" s="1" t="str">
        <f aca="false">IF(A74="","",IF(AND(J74="OK",COUNTIF($K$5:$K$85,K74)=1),"OK","CHECK"))</f>
        <v/>
      </c>
    </row>
    <row r="75" customFormat="false" ht="18" hidden="false" customHeight="true" outlineLevel="0" collapsed="false">
      <c r="I75" s="1" t="str">
        <f aca="false">IF(A75="","",G75*H75)</f>
        <v/>
      </c>
      <c r="J75" s="1" t="str">
        <f aca="false">IF(A75="","",IF(AND(G75&gt;=0,H75&gt;0),"OK","CHECK"))</f>
        <v/>
      </c>
      <c r="K75" s="1" t="str">
        <f aca="false">IF(A75="","", "RW-"&amp;A75&amp;"-L"&amp;TEXT(B75,"00")&amp;"-"&amp;TEXT(C75,"yyyymmdd")&amp;"-"&amp;D75&amp;"-"&amp;E75&amp;"-"&amp;F75)</f>
        <v/>
      </c>
      <c r="L75" s="1" t="str">
        <f aca="false">IF(A75="","",IF(AND(J75="OK",COUNTIF($K$5:$K$85,K75)=1),"OK","CHECK"))</f>
        <v/>
      </c>
    </row>
    <row r="76" customFormat="false" ht="18" hidden="false" customHeight="true" outlineLevel="0" collapsed="false">
      <c r="I76" s="1" t="str">
        <f aca="false">IF(A76="","",G76*H76)</f>
        <v/>
      </c>
      <c r="J76" s="1" t="str">
        <f aca="false">IF(A76="","",IF(AND(G76&gt;=0,H76&gt;0),"OK","CHECK"))</f>
        <v/>
      </c>
      <c r="K76" s="1" t="str">
        <f aca="false">IF(A76="","", "RW-"&amp;A76&amp;"-L"&amp;TEXT(B76,"00")&amp;"-"&amp;TEXT(C76,"yyyymmdd")&amp;"-"&amp;D76&amp;"-"&amp;E76&amp;"-"&amp;F76)</f>
        <v/>
      </c>
      <c r="L76" s="1" t="str">
        <f aca="false">IF(A76="","",IF(AND(J76="OK",COUNTIF($K$5:$K$85,K76)=1),"OK","CHECK"))</f>
        <v/>
      </c>
    </row>
    <row r="77" customFormat="false" ht="18" hidden="false" customHeight="true" outlineLevel="0" collapsed="false">
      <c r="I77" s="1" t="str">
        <f aca="false">IF(A77="","",G77*H77)</f>
        <v/>
      </c>
      <c r="J77" s="1" t="str">
        <f aca="false">IF(A77="","",IF(AND(G77&gt;=0,H77&gt;0),"OK","CHECK"))</f>
        <v/>
      </c>
      <c r="K77" s="1" t="str">
        <f aca="false">IF(A77="","", "RW-"&amp;A77&amp;"-L"&amp;TEXT(B77,"00")&amp;"-"&amp;TEXT(C77,"yyyymmdd")&amp;"-"&amp;D77&amp;"-"&amp;E77&amp;"-"&amp;F77)</f>
        <v/>
      </c>
      <c r="L77" s="1" t="str">
        <f aca="false">IF(A77="","",IF(AND(J77="OK",COUNTIF($K$5:$K$85,K77)=1),"OK","CHECK"))</f>
        <v/>
      </c>
    </row>
    <row r="78" customFormat="false" ht="18" hidden="false" customHeight="true" outlineLevel="0" collapsed="false">
      <c r="I78" s="1" t="str">
        <f aca="false">IF(A78="","",G78*H78)</f>
        <v/>
      </c>
      <c r="J78" s="1" t="str">
        <f aca="false">IF(A78="","",IF(AND(G78&gt;=0,H78&gt;0),"OK","CHECK"))</f>
        <v/>
      </c>
      <c r="K78" s="1" t="str">
        <f aca="false">IF(A78="","", "RW-"&amp;A78&amp;"-L"&amp;TEXT(B78,"00")&amp;"-"&amp;TEXT(C78,"yyyymmdd")&amp;"-"&amp;D78&amp;"-"&amp;E78&amp;"-"&amp;F78)</f>
        <v/>
      </c>
      <c r="L78" s="1" t="str">
        <f aca="false">IF(A78="","",IF(AND(J78="OK",COUNTIF($K$5:$K$85,K78)=1),"OK","CHECK"))</f>
        <v/>
      </c>
    </row>
    <row r="79" customFormat="false" ht="18" hidden="false" customHeight="true" outlineLevel="0" collapsed="false">
      <c r="I79" s="1" t="str">
        <f aca="false">IF(A79="","",G79*H79)</f>
        <v/>
      </c>
      <c r="J79" s="1" t="str">
        <f aca="false">IF(A79="","",IF(AND(G79&gt;=0,H79&gt;0),"OK","CHECK"))</f>
        <v/>
      </c>
      <c r="K79" s="1" t="str">
        <f aca="false">IF(A79="","", "RW-"&amp;A79&amp;"-L"&amp;TEXT(B79,"00")&amp;"-"&amp;TEXT(C79,"yyyymmdd")&amp;"-"&amp;D79&amp;"-"&amp;E79&amp;"-"&amp;F79)</f>
        <v/>
      </c>
      <c r="L79" s="1" t="str">
        <f aca="false">IF(A79="","",IF(AND(J79="OK",COUNTIF($K$5:$K$85,K79)=1),"OK","CHECK"))</f>
        <v/>
      </c>
    </row>
    <row r="80" customFormat="false" ht="18" hidden="false" customHeight="true" outlineLevel="0" collapsed="false">
      <c r="I80" s="1" t="str">
        <f aca="false">IF(A80="","",G80*H80)</f>
        <v/>
      </c>
      <c r="J80" s="1" t="str">
        <f aca="false">IF(A80="","",IF(AND(G80&gt;=0,H80&gt;0),"OK","CHECK"))</f>
        <v/>
      </c>
      <c r="K80" s="1" t="str">
        <f aca="false">IF(A80="","", "RW-"&amp;A80&amp;"-L"&amp;TEXT(B80,"00")&amp;"-"&amp;TEXT(C80,"yyyymmdd")&amp;"-"&amp;D80&amp;"-"&amp;E80&amp;"-"&amp;F80)</f>
        <v/>
      </c>
      <c r="L80" s="1" t="str">
        <f aca="false">IF(A80="","",IF(AND(J80="OK",COUNTIF($K$5:$K$85,K80)=1),"OK","CHECK"))</f>
        <v/>
      </c>
    </row>
    <row r="81" customFormat="false" ht="18" hidden="false" customHeight="true" outlineLevel="0" collapsed="false">
      <c r="I81" s="1" t="str">
        <f aca="false">IF(A81="","",G81*H81)</f>
        <v/>
      </c>
      <c r="J81" s="1" t="str">
        <f aca="false">IF(A81="","",IF(AND(G81&gt;=0,H81&gt;0),"OK","CHECK"))</f>
        <v/>
      </c>
      <c r="K81" s="1" t="str">
        <f aca="false">IF(A81="","", "RW-"&amp;A81&amp;"-L"&amp;TEXT(B81,"00")&amp;"-"&amp;TEXT(C81,"yyyymmdd")&amp;"-"&amp;D81&amp;"-"&amp;E81&amp;"-"&amp;F81)</f>
        <v/>
      </c>
      <c r="L81" s="1" t="str">
        <f aca="false">IF(A81="","",IF(AND(J81="OK",COUNTIF($K$5:$K$85,K81)=1),"OK","CHECK"))</f>
        <v/>
      </c>
    </row>
    <row r="82" customFormat="false" ht="18" hidden="false" customHeight="true" outlineLevel="0" collapsed="false">
      <c r="I82" s="1" t="str">
        <f aca="false">IF(A82="","",G82*H82)</f>
        <v/>
      </c>
      <c r="J82" s="1" t="str">
        <f aca="false">IF(A82="","",IF(AND(G82&gt;=0,H82&gt;0),"OK","CHECK"))</f>
        <v/>
      </c>
      <c r="K82" s="1" t="str">
        <f aca="false">IF(A82="","", "RW-"&amp;A82&amp;"-L"&amp;TEXT(B82,"00")&amp;"-"&amp;TEXT(C82,"yyyymmdd")&amp;"-"&amp;D82&amp;"-"&amp;E82&amp;"-"&amp;F82)</f>
        <v/>
      </c>
      <c r="L82" s="1" t="str">
        <f aca="false">IF(A82="","",IF(AND(J82="OK",COUNTIF($K$5:$K$85,K82)=1),"OK","CHECK"))</f>
        <v/>
      </c>
    </row>
    <row r="83" customFormat="false" ht="18" hidden="false" customHeight="true" outlineLevel="0" collapsed="false">
      <c r="I83" s="1" t="str">
        <f aca="false">IF(A83="","",G83*H83)</f>
        <v/>
      </c>
      <c r="J83" s="1" t="str">
        <f aca="false">IF(A83="","",IF(AND(G83&gt;=0,H83&gt;0),"OK","CHECK"))</f>
        <v/>
      </c>
      <c r="K83" s="1" t="str">
        <f aca="false">IF(A83="","", "RW-"&amp;A83&amp;"-L"&amp;TEXT(B83,"00")&amp;"-"&amp;TEXT(C83,"yyyymmdd")&amp;"-"&amp;D83&amp;"-"&amp;E83&amp;"-"&amp;F83)</f>
        <v/>
      </c>
      <c r="L83" s="1" t="str">
        <f aca="false">IF(A83="","",IF(AND(J83="OK",COUNTIF($K$5:$K$85,K83)=1),"OK","CHECK"))</f>
        <v/>
      </c>
    </row>
    <row r="84" customFormat="false" ht="18" hidden="false" customHeight="true" outlineLevel="0" collapsed="false">
      <c r="I84" s="1" t="str">
        <f aca="false">IF(A84="","",G84*H84)</f>
        <v/>
      </c>
      <c r="J84" s="1" t="str">
        <f aca="false">IF(A84="","",IF(AND(G84&gt;=0,H84&gt;0),"OK","CHECK"))</f>
        <v/>
      </c>
      <c r="K84" s="1" t="str">
        <f aca="false">IF(A84="","", "RW-"&amp;A84&amp;"-L"&amp;TEXT(B84,"00")&amp;"-"&amp;TEXT(C84,"yyyymmdd")&amp;"-"&amp;D84&amp;"-"&amp;E84&amp;"-"&amp;F84)</f>
        <v/>
      </c>
      <c r="L84" s="1" t="str">
        <f aca="false">IF(A84="","",IF(AND(J84="OK",COUNTIF($K$5:$K$85,K84)=1),"OK","CHECK"))</f>
        <v/>
      </c>
    </row>
    <row r="85" customFormat="false" ht="18" hidden="false" customHeight="true" outlineLevel="0" collapsed="false">
      <c r="I85" s="1" t="str">
        <f aca="false">IF(A85="","",G85*H85)</f>
        <v/>
      </c>
      <c r="J85" s="1" t="str">
        <f aca="false">IF(A85="","",IF(AND(G85&gt;=0,H85&gt;0),"OK","CHECK"))</f>
        <v/>
      </c>
      <c r="K85" s="1" t="str">
        <f aca="false">IF(A85="","", "RW-"&amp;A85&amp;"-L"&amp;TEXT(B85,"00")&amp;"-"&amp;TEXT(C85,"yyyymmdd")&amp;"-"&amp;D85&amp;"-"&amp;E85&amp;"-"&amp;F85)</f>
        <v/>
      </c>
      <c r="L85" s="1" t="str">
        <f aca="false">IF(A85="","",IF(AND(J85="OK",COUNTIF($K$5:$K$85,K85)=1),"OK","CHECK"))</f>
        <v/>
      </c>
    </row>
    <row r="86" customFormat="false" ht="18" hidden="false" customHeight="true" outlineLevel="0" collapsed="false">
      <c r="I86" s="1" t="str">
        <f aca="false">IF(A86="","",G86*H86)</f>
        <v/>
      </c>
      <c r="J86" s="1" t="str">
        <f aca="false">IF(A86="","",IF(AND(G86&gt;=0,H86&gt;0),"OK","CHECK"))</f>
        <v/>
      </c>
      <c r="K86" s="1" t="str">
        <f aca="false">IF(A86="","", "RW-"&amp;A86&amp;"-L"&amp;TEXT(B86,"00")&amp;"-"&amp;TEXT(C86,"yyyymmdd")&amp;"-"&amp;D86&amp;"-"&amp;E86&amp;"-"&amp;F86)</f>
        <v/>
      </c>
      <c r="L86" s="1" t="str">
        <f aca="false">IF(A86="","",IF(AND(J86="OK",COUNTIF($K$5:$K$100,K86)=1),"OK","CHECK"))</f>
        <v/>
      </c>
    </row>
    <row r="87" customFormat="false" ht="18" hidden="false" customHeight="true" outlineLevel="0" collapsed="false">
      <c r="I87" s="1" t="str">
        <f aca="false">IF(A87="","",G87*H87)</f>
        <v/>
      </c>
      <c r="J87" s="1" t="str">
        <f aca="false">IF(A87="","",IF(AND(G87&gt;=0,H87&gt;0),"OK","CHECK"))</f>
        <v/>
      </c>
      <c r="K87" s="1" t="str">
        <f aca="false">IF(A87="","", "RW-"&amp;A87&amp;"-L"&amp;TEXT(B87,"00")&amp;"-"&amp;TEXT(C87,"yyyymmdd")&amp;"-"&amp;D87&amp;"-"&amp;E87&amp;"-"&amp;F87)</f>
        <v/>
      </c>
      <c r="L87" s="1" t="str">
        <f aca="false">IF(A87="","",IF(AND(J87="OK",COUNTIF($K$5:$K$100,K87)=1),"OK","CHECK"))</f>
        <v/>
      </c>
    </row>
    <row r="88" customFormat="false" ht="18" hidden="false" customHeight="true" outlineLevel="0" collapsed="false">
      <c r="I88" s="1" t="str">
        <f aca="false">IF(A88="","",G88*H88)</f>
        <v/>
      </c>
      <c r="J88" s="1" t="str">
        <f aca="false">IF(A88="","",IF(AND(G88&gt;=0,H88&gt;0),"OK","CHECK"))</f>
        <v/>
      </c>
      <c r="K88" s="1" t="str">
        <f aca="false">IF(A88="","", "RW-"&amp;A88&amp;"-L"&amp;TEXT(B88,"00")&amp;"-"&amp;TEXT(C88,"yyyymmdd")&amp;"-"&amp;D88&amp;"-"&amp;E88&amp;"-"&amp;F88)</f>
        <v/>
      </c>
      <c r="L88" s="1" t="str">
        <f aca="false">IF(A88="","",IF(AND(J88="OK",COUNTIF($K$5:$K$100,K88)=1),"OK","CHECK"))</f>
        <v/>
      </c>
    </row>
    <row r="89" customFormat="false" ht="18" hidden="false" customHeight="true" outlineLevel="0" collapsed="false">
      <c r="I89" s="1" t="str">
        <f aca="false">IF(A89="","",G89*H89)</f>
        <v/>
      </c>
      <c r="J89" s="1" t="str">
        <f aca="false">IF(A89="","",IF(AND(G89&gt;=0,H89&gt;0),"OK","CHECK"))</f>
        <v/>
      </c>
      <c r="K89" s="1" t="str">
        <f aca="false">IF(A89="","", "RW-"&amp;A89&amp;"-L"&amp;TEXT(B89,"00")&amp;"-"&amp;TEXT(C89,"yyyymmdd")&amp;"-"&amp;D89&amp;"-"&amp;E89&amp;"-"&amp;F89)</f>
        <v/>
      </c>
      <c r="L89" s="1" t="str">
        <f aca="false">IF(A89="","",IF(AND(J89="OK",COUNTIF($K$5:$K$100,K89)=1),"OK","CHECK"))</f>
        <v/>
      </c>
    </row>
    <row r="90" customFormat="false" ht="18" hidden="false" customHeight="true" outlineLevel="0" collapsed="false">
      <c r="I90" s="1" t="str">
        <f aca="false">IF(A90="","",G90*H90)</f>
        <v/>
      </c>
      <c r="J90" s="1" t="str">
        <f aca="false">IF(A90="","",IF(AND(G90&gt;=0,H90&gt;0),"OK","CHECK"))</f>
        <v/>
      </c>
      <c r="K90" s="1" t="str">
        <f aca="false">IF(A90="","", "RW-"&amp;A90&amp;"-L"&amp;TEXT(B90,"00")&amp;"-"&amp;TEXT(C90,"yyyymmdd")&amp;"-"&amp;D90&amp;"-"&amp;E90&amp;"-"&amp;F90)</f>
        <v/>
      </c>
      <c r="L90" s="1" t="str">
        <f aca="false">IF(A90="","",IF(AND(J90="OK",COUNTIF($K$5:$K$100,K90)=1),"OK","CHECK"))</f>
        <v/>
      </c>
    </row>
    <row r="91" customFormat="false" ht="18" hidden="false" customHeight="true" outlineLevel="0" collapsed="false">
      <c r="I91" s="1" t="str">
        <f aca="false">IF(A91="","",G91*H91)</f>
        <v/>
      </c>
      <c r="J91" s="1" t="str">
        <f aca="false">IF(A91="","",IF(AND(G91&gt;=0,H91&gt;0),"OK","CHECK"))</f>
        <v/>
      </c>
      <c r="K91" s="1" t="str">
        <f aca="false">IF(A91="","", "RW-"&amp;A91&amp;"-L"&amp;TEXT(B91,"00")&amp;"-"&amp;TEXT(C91,"yyyymmdd")&amp;"-"&amp;D91&amp;"-"&amp;E91&amp;"-"&amp;F91)</f>
        <v/>
      </c>
      <c r="L91" s="1" t="str">
        <f aca="false">IF(A91="","",IF(AND(J91="OK",COUNTIF($K$5:$K$100,K91)=1),"OK","CHECK"))</f>
        <v/>
      </c>
    </row>
    <row r="92" customFormat="false" ht="18" hidden="false" customHeight="true" outlineLevel="0" collapsed="false">
      <c r="I92" s="1" t="str">
        <f aca="false">IF(A92="","",G92*H92)</f>
        <v/>
      </c>
      <c r="J92" s="1" t="str">
        <f aca="false">IF(A92="","",IF(AND(G92&gt;=0,H92&gt;0),"OK","CHECK"))</f>
        <v/>
      </c>
      <c r="K92" s="1" t="str">
        <f aca="false">IF(A92="","", "RW-"&amp;A92&amp;"-L"&amp;TEXT(B92,"00")&amp;"-"&amp;TEXT(C92,"yyyymmdd")&amp;"-"&amp;D92&amp;"-"&amp;E92&amp;"-"&amp;F92)</f>
        <v/>
      </c>
      <c r="L92" s="1" t="str">
        <f aca="false">IF(A92="","",IF(AND(J92="OK",COUNTIF($K$5:$K$100,K92)=1),"OK","CHECK"))</f>
        <v/>
      </c>
    </row>
    <row r="93" customFormat="false" ht="18" hidden="false" customHeight="true" outlineLevel="0" collapsed="false">
      <c r="I93" s="1" t="str">
        <f aca="false">IF(A93="","",G93*H93)</f>
        <v/>
      </c>
      <c r="J93" s="1" t="str">
        <f aca="false">IF(A93="","",IF(AND(G93&gt;=0,H93&gt;0),"OK","CHECK"))</f>
        <v/>
      </c>
      <c r="K93" s="1" t="str">
        <f aca="false">IF(A93="","", "RW-"&amp;A93&amp;"-L"&amp;TEXT(B93,"00")&amp;"-"&amp;TEXT(C93,"yyyymmdd")&amp;"-"&amp;D93&amp;"-"&amp;E93&amp;"-"&amp;F93)</f>
        <v/>
      </c>
      <c r="L93" s="1" t="str">
        <f aca="false">IF(A93="","",IF(AND(J93="OK",COUNTIF($K$5:$K$100,K93)=1),"OK","CHECK"))</f>
        <v/>
      </c>
    </row>
    <row r="94" customFormat="false" ht="18" hidden="false" customHeight="true" outlineLevel="0" collapsed="false">
      <c r="I94" s="1" t="str">
        <f aca="false">IF(A94="","",G94*H94)</f>
        <v/>
      </c>
      <c r="J94" s="1" t="str">
        <f aca="false">IF(A94="","",IF(AND(G94&gt;=0,H94&gt;0),"OK","CHECK"))</f>
        <v/>
      </c>
      <c r="K94" s="1" t="str">
        <f aca="false">IF(A94="","", "RW-"&amp;A94&amp;"-L"&amp;TEXT(B94,"00")&amp;"-"&amp;TEXT(C94,"yyyymmdd")&amp;"-"&amp;D94&amp;"-"&amp;E94&amp;"-"&amp;F94)</f>
        <v/>
      </c>
      <c r="L94" s="1" t="str">
        <f aca="false">IF(A94="","",IF(AND(J94="OK",COUNTIF($K$5:$K$100,K94)=1),"OK","CHECK"))</f>
        <v/>
      </c>
    </row>
    <row r="95" customFormat="false" ht="18" hidden="false" customHeight="true" outlineLevel="0" collapsed="false">
      <c r="I95" s="1" t="str">
        <f aca="false">IF(A95="","",G95*H95)</f>
        <v/>
      </c>
      <c r="J95" s="1" t="str">
        <f aca="false">IF(A95="","",IF(AND(G95&gt;=0,H95&gt;0),"OK","CHECK"))</f>
        <v/>
      </c>
      <c r="K95" s="1" t="str">
        <f aca="false">IF(A95="","", "RW-"&amp;A95&amp;"-L"&amp;TEXT(B95,"00")&amp;"-"&amp;TEXT(C95,"yyyymmdd")&amp;"-"&amp;D95&amp;"-"&amp;E95&amp;"-"&amp;F95)</f>
        <v/>
      </c>
      <c r="L95" s="1" t="str">
        <f aca="false">IF(A95="","",IF(AND(J95="OK",COUNTIF($K$5:$K$100,K95)=1),"OK","CHECK"))</f>
        <v/>
      </c>
    </row>
    <row r="96" customFormat="false" ht="18" hidden="false" customHeight="true" outlineLevel="0" collapsed="false">
      <c r="I96" s="1" t="str">
        <f aca="false">IF(A96="","",G96*H96)</f>
        <v/>
      </c>
      <c r="J96" s="1" t="str">
        <f aca="false">IF(A96="","",IF(AND(G96&gt;=0,H96&gt;0),"OK","CHECK"))</f>
        <v/>
      </c>
      <c r="K96" s="1" t="str">
        <f aca="false">IF(A96="","", "RW-"&amp;A96&amp;"-L"&amp;TEXT(B96,"00")&amp;"-"&amp;TEXT(C96,"yyyymmdd")&amp;"-"&amp;D96&amp;"-"&amp;E96&amp;"-"&amp;F96)</f>
        <v/>
      </c>
      <c r="L96" s="1" t="str">
        <f aca="false">IF(A96="","",IF(AND(J96="OK",COUNTIF($K$5:$K$100,K96)=1),"OK","CHECK"))</f>
        <v/>
      </c>
    </row>
    <row r="97" customFormat="false" ht="18" hidden="false" customHeight="true" outlineLevel="0" collapsed="false">
      <c r="I97" s="1" t="str">
        <f aca="false">IF(A97="","",G97*H97)</f>
        <v/>
      </c>
      <c r="J97" s="1" t="str">
        <f aca="false">IF(A97="","",IF(AND(G97&gt;=0,H97&gt;0),"OK","CHECK"))</f>
        <v/>
      </c>
      <c r="K97" s="1" t="str">
        <f aca="false">IF(A97="","", "RW-"&amp;A97&amp;"-L"&amp;TEXT(B97,"00")&amp;"-"&amp;TEXT(C97,"yyyymmdd")&amp;"-"&amp;D97&amp;"-"&amp;E97&amp;"-"&amp;F97)</f>
        <v/>
      </c>
      <c r="L97" s="1" t="str">
        <f aca="false">IF(A97="","",IF(AND(J97="OK",COUNTIF($K$5:$K$100,K97)=1),"OK","CHECK"))</f>
        <v/>
      </c>
    </row>
    <row r="98" customFormat="false" ht="18" hidden="false" customHeight="true" outlineLevel="0" collapsed="false">
      <c r="I98" s="1" t="str">
        <f aca="false">IF(A98="","",G98*H98)</f>
        <v/>
      </c>
      <c r="J98" s="1" t="str">
        <f aca="false">IF(A98="","",IF(AND(G98&gt;=0,H98&gt;0),"OK","CHECK"))</f>
        <v/>
      </c>
      <c r="K98" s="1" t="str">
        <f aca="false">IF(A98="","", "RW-"&amp;A98&amp;"-L"&amp;TEXT(B98,"00")&amp;"-"&amp;TEXT(C98,"yyyymmdd")&amp;"-"&amp;D98&amp;"-"&amp;E98&amp;"-"&amp;F98)</f>
        <v/>
      </c>
      <c r="L98" s="1" t="str">
        <f aca="false">IF(A98="","",IF(AND(J98="OK",COUNTIF($K$5:$K$100,K98)=1),"OK","CHECK"))</f>
        <v/>
      </c>
    </row>
    <row r="99" customFormat="false" ht="18" hidden="false" customHeight="true" outlineLevel="0" collapsed="false">
      <c r="I99" s="1" t="str">
        <f aca="false">IF(A99="","",G99*H99)</f>
        <v/>
      </c>
      <c r="J99" s="1" t="str">
        <f aca="false">IF(A99="","",IF(AND(G99&gt;=0,H99&gt;0),"OK","CHECK"))</f>
        <v/>
      </c>
      <c r="K99" s="1" t="str">
        <f aca="false">IF(A99="","", "RW-"&amp;A99&amp;"-L"&amp;TEXT(B99,"00")&amp;"-"&amp;TEXT(C99,"yyyymmdd")&amp;"-"&amp;D99&amp;"-"&amp;E99&amp;"-"&amp;F99)</f>
        <v/>
      </c>
      <c r="L99" s="1" t="str">
        <f aca="false">IF(A99="","",IF(AND(J99="OK",COUNTIF($K$5:$K$100,K99)=1),"OK","CHECK"))</f>
        <v/>
      </c>
    </row>
    <row r="100" customFormat="false" ht="18" hidden="false" customHeight="true" outlineLevel="0" collapsed="false">
      <c r="I100" s="1" t="str">
        <f aca="false">IF(A100="","",G100*H100)</f>
        <v/>
      </c>
      <c r="J100" s="1" t="str">
        <f aca="false">IF(A100="","",IF(AND(G100&gt;=0,H100&gt;0),"OK","CHECK"))</f>
        <v/>
      </c>
      <c r="K100" s="1" t="str">
        <f aca="false">IF(A100="","", "RW-"&amp;A100&amp;"-L"&amp;TEXT(B100,"00")&amp;"-"&amp;TEXT(C100,"yyyymmdd")&amp;"-"&amp;D100&amp;"-"&amp;E100&amp;"-"&amp;F100)</f>
        <v/>
      </c>
      <c r="L100" s="1" t="str">
        <f aca="false">IF(A100="","",IF(AND(J100="OK",COUNTIF($K$5:$K$100,K100)=1),"OK","CHECK"))</f>
        <v/>
      </c>
    </row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  <row r="120" customFormat="false" ht="18" hidden="false" customHeight="true" outlineLevel="0" collapsed="false"/>
    <row r="121" customFormat="false" ht="18" hidden="false" customHeight="true" outlineLevel="0" collapsed="false"/>
    <row r="122" customFormat="false" ht="18" hidden="false" customHeight="true" outlineLevel="0" collapsed="false"/>
    <row r="123" customFormat="false" ht="18" hidden="false" customHeight="true" outlineLevel="0" collapsed="false"/>
    <row r="124" customFormat="false" ht="18" hidden="false" customHeight="true" outlineLevel="0" collapsed="false"/>
    <row r="125" customFormat="false" ht="18" hidden="false" customHeight="true" outlineLevel="0" collapsed="false"/>
    <row r="126" customFormat="false" ht="18" hidden="false" customHeight="true" outlineLevel="0" collapsed="false"/>
    <row r="127" customFormat="false" ht="18" hidden="false" customHeight="true" outlineLevel="0" collapsed="false"/>
    <row r="128" customFormat="false" ht="18" hidden="false" customHeight="true" outlineLevel="0" collapsed="false"/>
    <row r="129" customFormat="false" ht="18" hidden="false" customHeight="true" outlineLevel="0" collapsed="false"/>
    <row r="130" customFormat="false" ht="18" hidden="false" customHeight="true" outlineLevel="0" collapsed="false"/>
    <row r="131" customFormat="false" ht="18" hidden="false" customHeight="true" outlineLevel="0" collapsed="false"/>
    <row r="132" customFormat="false" ht="18" hidden="false" customHeight="true" outlineLevel="0" collapsed="false"/>
    <row r="133" customFormat="false" ht="18" hidden="false" customHeight="true" outlineLevel="0" collapsed="false"/>
    <row r="134" customFormat="false" ht="18" hidden="false" customHeight="true" outlineLevel="0" collapsed="false"/>
    <row r="135" customFormat="false" ht="18" hidden="false" customHeight="true" outlineLevel="0" collapsed="false"/>
    <row r="136" customFormat="false" ht="18" hidden="false" customHeight="true" outlineLevel="0" collapsed="false"/>
    <row r="137" customFormat="false" ht="18" hidden="false" customHeight="true" outlineLevel="0" collapsed="false"/>
    <row r="138" customFormat="false" ht="18" hidden="false" customHeight="true" outlineLevel="0" collapsed="false"/>
    <row r="139" customFormat="false" ht="18" hidden="false" customHeight="true" outlineLevel="0" collapsed="false"/>
    <row r="140" customFormat="false" ht="18" hidden="false" customHeight="true" outlineLevel="0" collapsed="false"/>
    <row r="141" customFormat="false" ht="18" hidden="false" customHeight="true" outlineLevel="0" collapsed="false"/>
    <row r="142" customFormat="false" ht="18" hidden="false" customHeight="true" outlineLevel="0" collapsed="false"/>
    <row r="143" customFormat="false" ht="18" hidden="false" customHeight="true" outlineLevel="0" collapsed="false"/>
    <row r="144" customFormat="false" ht="18" hidden="false" customHeight="true" outlineLevel="0" collapsed="false"/>
    <row r="145" customFormat="false" ht="18" hidden="false" customHeight="true" outlineLevel="0" collapsed="false"/>
    <row r="146" customFormat="false" ht="18" hidden="false" customHeight="true" outlineLevel="0" collapsed="false"/>
    <row r="147" customFormat="false" ht="18" hidden="false" customHeight="true" outlineLevel="0" collapsed="false"/>
    <row r="148" customFormat="false" ht="18" hidden="false" customHeight="true" outlineLevel="0" collapsed="false"/>
    <row r="149" customFormat="false" ht="18" hidden="false" customHeight="true" outlineLevel="0" collapsed="false"/>
    <row r="150" customFormat="false" ht="18" hidden="false" customHeight="true" outlineLevel="0" collapsed="false"/>
    <row r="151" customFormat="false" ht="18" hidden="false" customHeight="true" outlineLevel="0" collapsed="false"/>
    <row r="152" customFormat="false" ht="18" hidden="false" customHeight="true" outlineLevel="0" collapsed="false"/>
    <row r="153" customFormat="false" ht="18" hidden="false" customHeight="true" outlineLevel="0" collapsed="false"/>
    <row r="154" customFormat="false" ht="18" hidden="false" customHeight="true" outlineLevel="0" collapsed="false"/>
    <row r="155" customFormat="false" ht="18" hidden="false" customHeight="true" outlineLevel="0" collapsed="false"/>
    <row r="156" customFormat="false" ht="18" hidden="false" customHeight="true" outlineLevel="0" collapsed="false"/>
    <row r="157" customFormat="false" ht="18" hidden="false" customHeight="true" outlineLevel="0" collapsed="false"/>
    <row r="158" customFormat="false" ht="18" hidden="false" customHeight="true" outlineLevel="0" collapsed="false"/>
    <row r="159" customFormat="false" ht="18" hidden="false" customHeight="true" outlineLevel="0" collapsed="false"/>
    <row r="160" customFormat="false" ht="18" hidden="false" customHeight="true" outlineLevel="0" collapsed="false"/>
    <row r="161" customFormat="false" ht="18" hidden="false" customHeight="true" outlineLevel="0" collapsed="false"/>
    <row r="162" customFormat="false" ht="18" hidden="false" customHeight="true" outlineLevel="0" collapsed="false"/>
    <row r="163" customFormat="false" ht="18" hidden="false" customHeight="true" outlineLevel="0" collapsed="false"/>
    <row r="164" customFormat="false" ht="18" hidden="false" customHeight="true" outlineLevel="0" collapsed="false"/>
    <row r="165" customFormat="false" ht="18" hidden="false" customHeight="true" outlineLevel="0" collapsed="false"/>
    <row r="166" customFormat="false" ht="18" hidden="false" customHeight="true" outlineLevel="0" collapsed="false"/>
    <row r="167" customFormat="false" ht="18" hidden="false" customHeight="true" outlineLevel="0" collapsed="false"/>
    <row r="168" customFormat="false" ht="18" hidden="false" customHeight="true" outlineLevel="0" collapsed="false"/>
    <row r="169" customFormat="false" ht="18" hidden="false" customHeight="true" outlineLevel="0" collapsed="false"/>
    <row r="170" customFormat="false" ht="18" hidden="false" customHeight="true" outlineLevel="0" collapsed="false"/>
    <row r="171" customFormat="false" ht="18" hidden="false" customHeight="true" outlineLevel="0" collapsed="false"/>
    <row r="172" customFormat="false" ht="18" hidden="false" customHeight="true" outlineLevel="0" collapsed="false"/>
    <row r="173" customFormat="false" ht="18" hidden="false" customHeight="true" outlineLevel="0" collapsed="false"/>
    <row r="174" customFormat="false" ht="18" hidden="false" customHeight="true" outlineLevel="0" collapsed="false"/>
    <row r="175" customFormat="false" ht="18" hidden="false" customHeight="true" outlineLevel="0" collapsed="false"/>
    <row r="176" customFormat="false" ht="18" hidden="false" customHeight="true" outlineLevel="0" collapsed="false"/>
    <row r="177" customFormat="false" ht="18" hidden="false" customHeight="true" outlineLevel="0" collapsed="false"/>
    <row r="178" customFormat="false" ht="18" hidden="false" customHeight="true" outlineLevel="0" collapsed="false"/>
    <row r="179" customFormat="false" ht="18" hidden="false" customHeight="true" outlineLevel="0" collapsed="false"/>
    <row r="180" customFormat="false" ht="18" hidden="false" customHeight="true" outlineLevel="0" collapsed="false"/>
    <row r="181" customFormat="false" ht="18" hidden="false" customHeight="true" outlineLevel="0" collapsed="false"/>
    <row r="182" customFormat="false" ht="18" hidden="false" customHeight="true" outlineLevel="0" collapsed="false"/>
    <row r="183" customFormat="false" ht="18" hidden="false" customHeight="true" outlineLevel="0" collapsed="false"/>
    <row r="184" customFormat="false" ht="18" hidden="false" customHeight="true" outlineLevel="0" collapsed="false"/>
    <row r="185" customFormat="false" ht="18" hidden="false" customHeight="true" outlineLevel="0" collapsed="false"/>
    <row r="186" customFormat="false" ht="18" hidden="false" customHeight="true" outlineLevel="0" collapsed="false"/>
    <row r="187" customFormat="false" ht="18" hidden="false" customHeight="true" outlineLevel="0" collapsed="false"/>
    <row r="188" customFormat="false" ht="18" hidden="false" customHeight="true" outlineLevel="0" collapsed="false"/>
    <row r="189" customFormat="false" ht="18" hidden="false" customHeight="true" outlineLevel="0" collapsed="false"/>
    <row r="190" customFormat="false" ht="18" hidden="false" customHeight="true" outlineLevel="0" collapsed="false"/>
    <row r="191" customFormat="false" ht="18" hidden="false" customHeight="true" outlineLevel="0" collapsed="false"/>
    <row r="192" customFormat="false" ht="18" hidden="false" customHeight="true" outlineLevel="0" collapsed="false"/>
    <row r="193" customFormat="false" ht="18" hidden="false" customHeight="true" outlineLevel="0" collapsed="false"/>
    <row r="194" customFormat="false" ht="18" hidden="false" customHeight="true" outlineLevel="0" collapsed="false"/>
    <row r="195" customFormat="false" ht="18" hidden="false" customHeight="true" outlineLevel="0" collapsed="false"/>
    <row r="196" customFormat="false" ht="18" hidden="false" customHeight="true" outlineLevel="0" collapsed="false"/>
    <row r="197" customFormat="false" ht="18" hidden="false" customHeight="true" outlineLevel="0" collapsed="false"/>
    <row r="198" customFormat="false" ht="18" hidden="false" customHeight="true" outlineLevel="0" collapsed="false"/>
    <row r="199" customFormat="false" ht="18" hidden="false" customHeight="true" outlineLevel="0" collapsed="false"/>
    <row r="200" customFormat="false" ht="18" hidden="false" customHeight="true" outlineLevel="0" collapsed="false"/>
    <row r="201" customFormat="false" ht="18" hidden="false" customHeight="true" outlineLevel="0" collapsed="false"/>
    <row r="202" customFormat="false" ht="18" hidden="false" customHeight="true" outlineLevel="0" collapsed="false"/>
    <row r="203" customFormat="false" ht="18" hidden="false" customHeight="true" outlineLevel="0" collapsed="false"/>
    <row r="204" customFormat="false" ht="18" hidden="false" customHeight="true" outlineLevel="0" collapsed="false"/>
    <row r="205" customFormat="false" ht="18" hidden="false" customHeight="true" outlineLevel="0" collapsed="false"/>
    <row r="206" customFormat="false" ht="18" hidden="false" customHeight="true" outlineLevel="0" collapsed="false"/>
    <row r="207" customFormat="false" ht="18" hidden="false" customHeight="true" outlineLevel="0" collapsed="false"/>
    <row r="208" customFormat="false" ht="18" hidden="false" customHeight="true" outlineLevel="0" collapsed="false"/>
    <row r="209" customFormat="false" ht="18" hidden="false" customHeight="true" outlineLevel="0" collapsed="false"/>
    <row r="210" customFormat="false" ht="18" hidden="false" customHeight="true" outlineLevel="0" collapsed="false"/>
    <row r="211" customFormat="false" ht="18" hidden="false" customHeight="true" outlineLevel="0" collapsed="false"/>
    <row r="212" customFormat="false" ht="18" hidden="false" customHeight="true" outlineLevel="0" collapsed="false"/>
    <row r="213" customFormat="false" ht="18" hidden="false" customHeight="true" outlineLevel="0" collapsed="false"/>
    <row r="214" customFormat="false" ht="18" hidden="false" customHeight="true" outlineLevel="0" collapsed="false"/>
    <row r="215" customFormat="false" ht="18" hidden="false" customHeight="true" outlineLevel="0" collapsed="false"/>
    <row r="216" customFormat="false" ht="18" hidden="false" customHeight="true" outlineLevel="0" collapsed="false"/>
    <row r="217" customFormat="false" ht="18" hidden="false" customHeight="true" outlineLevel="0" collapsed="false"/>
    <row r="218" customFormat="false" ht="18" hidden="false" customHeight="true" outlineLevel="0" collapsed="false"/>
    <row r="219" customFormat="false" ht="18" hidden="false" customHeight="true" outlineLevel="0" collapsed="false"/>
    <row r="220" customFormat="false" ht="18" hidden="false" customHeight="true" outlineLevel="0" collapsed="false"/>
    <row r="221" customFormat="false" ht="18" hidden="false" customHeight="true" outlineLevel="0" collapsed="false"/>
    <row r="222" customFormat="false" ht="18" hidden="false" customHeight="true" outlineLevel="0" collapsed="false"/>
    <row r="223" customFormat="false" ht="18" hidden="false" customHeight="true" outlineLevel="0" collapsed="false"/>
    <row r="224" customFormat="false" ht="18" hidden="false" customHeight="true" outlineLevel="0" collapsed="false"/>
    <row r="225" customFormat="false" ht="18" hidden="false" customHeight="true" outlineLevel="0" collapsed="false"/>
    <row r="226" customFormat="false" ht="18" hidden="false" customHeight="true" outlineLevel="0" collapsed="false"/>
    <row r="227" customFormat="false" ht="18" hidden="false" customHeight="true" outlineLevel="0" collapsed="false"/>
    <row r="228" customFormat="false" ht="18" hidden="false" customHeight="true" outlineLevel="0" collapsed="false"/>
    <row r="229" customFormat="false" ht="18" hidden="false" customHeight="true" outlineLevel="0" collapsed="false"/>
    <row r="230" customFormat="false" ht="18" hidden="false" customHeight="true" outlineLevel="0" collapsed="false"/>
    <row r="231" customFormat="false" ht="18" hidden="false" customHeight="true" outlineLevel="0" collapsed="false"/>
    <row r="232" customFormat="false" ht="18" hidden="false" customHeight="true" outlineLevel="0" collapsed="false"/>
    <row r="233" customFormat="false" ht="18" hidden="false" customHeight="true" outlineLevel="0" collapsed="false"/>
    <row r="234" customFormat="false" ht="18" hidden="false" customHeight="true" outlineLevel="0" collapsed="false"/>
    <row r="235" customFormat="false" ht="18" hidden="false" customHeight="true" outlineLevel="0" collapsed="false"/>
    <row r="236" customFormat="false" ht="18" hidden="false" customHeight="true" outlineLevel="0" collapsed="false"/>
    <row r="237" customFormat="false" ht="18" hidden="false" customHeight="true" outlineLevel="0" collapsed="false"/>
    <row r="238" customFormat="false" ht="18" hidden="false" customHeight="true" outlineLevel="0" collapsed="false"/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</sheetData>
  <dataValidations count="3">
    <dataValidation allowBlank="false" errorStyle="stop" operator="greaterThan" showDropDown="false" showErrorMessage="false" showInputMessage="false" sqref="H5:H100" type="none">
      <formula1>0</formula1>
      <formula2>0</formula2>
    </dataValidation>
    <dataValidation allowBlank="false" errorStyle="stop" operator="greaterThanOrEqual" showDropDown="false" showErrorMessage="false" showInputMessage="false" sqref="G5:G100" type="none">
      <formula1>0</formula1>
      <formula2>0</formula2>
    </dataValidation>
    <dataValidation allowBlank="false" errorStyle="stop" operator="between" showDropDown="false" showErrorMessage="false" showInputMessage="false" sqref="B5:B100" type="list">
      <formula1>"21,22,23,24,25"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2026-08-31T12:52:01Z</dcterms:created>
  <dc:creator>openpyxl</dc:creator>
  <dc:description/>
  <dc:language>en-US</dc:language>
  <cp:lastModifiedBy>Ahmed Fergany</cp:lastModifiedBy>
  <dcterms:modified xsi:type="dcterms:W3CDTF">2026-08-31T12:52:37Z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