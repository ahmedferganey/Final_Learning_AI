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DataEntry/"/>
    </mc:Choice>
  </mc:AlternateContent>
  <xr:revisionPtr revIDLastSave="459" documentId="11_F25DC773A252ABDACC1048ACC1DD58DE5ADE58EE" xr6:coauthVersionLast="47" xr6:coauthVersionMax="47" xr10:uidLastSave="{BEA02154-0D04-443B-9A97-8E4B9F7F27C8}"/>
  <bookViews>
    <workbookView xWindow="-120" yWindow="-120" windowWidth="29040" windowHeight="15720" firstSheet="1" activeTab="9" xr2:uid="{00000000-000D-0000-FFFF-FFFF00000000}"/>
  </bookViews>
  <sheets>
    <sheet name="Customers" sheetId="9" r:id="rId1"/>
    <sheet name="Products" sheetId="10" r:id="rId2"/>
    <sheet name="JobChangeTypes" sheetId="11" r:id="rId3"/>
    <sheet name="OrderLog" sheetId="6" r:id="rId4"/>
    <sheet name="JobChangeLog" sheetId="2" r:id="rId5"/>
    <sheet name="DailyProdLog" sheetId="1" r:id="rId6"/>
    <sheet name="LossesLog" sheetId="4" r:id="rId7"/>
    <sheet name="SamplingDefectLog" sheetId="8" r:id="rId8"/>
    <sheet name="ReworkLog" sheetId="5" r:id="rId9"/>
    <sheet name="DataValidation" sheetId="3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K2" i="1" s="1"/>
  <c r="M2" i="1" l="1"/>
  <c r="G2" i="4" s="1"/>
</calcChain>
</file>

<file path=xl/sharedStrings.xml><?xml version="1.0" encoding="utf-8"?>
<sst xmlns="http://schemas.openxmlformats.org/spreadsheetml/2006/main" count="218" uniqueCount="124">
  <si>
    <t>EventDate</t>
  </si>
  <si>
    <t>ShiftCode</t>
  </si>
  <si>
    <t>CrewCode</t>
  </si>
  <si>
    <t>OrderNumber</t>
  </si>
  <si>
    <t>CaseName</t>
  </si>
  <si>
    <t>NoSections</t>
  </si>
  <si>
    <t>NoCavities</t>
  </si>
  <si>
    <t>DesignedCyclesPerMin</t>
  </si>
  <si>
    <t>DesignedCutsPerHour</t>
  </si>
  <si>
    <t>Working Hours</t>
  </si>
  <si>
    <t>DesignOutput</t>
  </si>
  <si>
    <t>ActualPack</t>
  </si>
  <si>
    <t>TotalHold</t>
  </si>
  <si>
    <t>2026-07-28</t>
  </si>
  <si>
    <t>AM</t>
  </si>
  <si>
    <t>A</t>
  </si>
  <si>
    <t>ORD-2026-00146</t>
  </si>
  <si>
    <t>Normal</t>
  </si>
  <si>
    <t>FactoryCode</t>
  </si>
  <si>
    <t>LineNumber</t>
  </si>
  <si>
    <t>FromOrderNumber</t>
  </si>
  <si>
    <t>ToOrderNumber</t>
  </si>
  <si>
    <t>JobChangeTypeName</t>
  </si>
  <si>
    <t>MechanicalWorkT1_Hrs</t>
  </si>
  <si>
    <t>FormingTimeT2_Hrs</t>
  </si>
  <si>
    <t>TrialLosses_Hrs</t>
  </si>
  <si>
    <t>HE_Downtime_Hrs</t>
  </si>
  <si>
    <t>HE Downtime Reason</t>
  </si>
  <si>
    <t>CE_Losses_Hrs</t>
  </si>
  <si>
    <t>CE Losses Reason</t>
  </si>
  <si>
    <t>PalletizerLosses_Hrs</t>
  </si>
  <si>
    <t>Palletizer Reason</t>
  </si>
  <si>
    <t>Notes</t>
  </si>
  <si>
    <t>KG01</t>
  </si>
  <si>
    <t>ORD-2026-00145</t>
  </si>
  <si>
    <t>Medium</t>
  </si>
  <si>
    <t>Smooth change</t>
  </si>
  <si>
    <t>Factory</t>
  </si>
  <si>
    <t>Line</t>
  </si>
  <si>
    <t>Shift</t>
  </si>
  <si>
    <t>Crew</t>
  </si>
  <si>
    <t>JobChangeType</t>
  </si>
  <si>
    <t>ProductionCase</t>
  </si>
  <si>
    <t>ReworkStatus</t>
  </si>
  <si>
    <t>DefectName_DRAFT</t>
  </si>
  <si>
    <t>HE Downtime Reasons</t>
  </si>
  <si>
    <t>CE Losses Reasons</t>
  </si>
  <si>
    <t>Palletizer Reasons</t>
  </si>
  <si>
    <t>Small</t>
  </si>
  <si>
    <t>Crack</t>
  </si>
  <si>
    <t>Reason-1</t>
  </si>
  <si>
    <t>PM</t>
  </si>
  <si>
    <t>B</t>
  </si>
  <si>
    <t>Trial</t>
  </si>
  <si>
    <t>Resorted</t>
  </si>
  <si>
    <t>Chip</t>
  </si>
  <si>
    <t>Reason-2</t>
  </si>
  <si>
    <t>C</t>
  </si>
  <si>
    <t>Big</t>
  </si>
  <si>
    <t>Reworking</t>
  </si>
  <si>
    <t>Move to Cullet</t>
  </si>
  <si>
    <t>Blister</t>
  </si>
  <si>
    <t>Reason-3</t>
  </si>
  <si>
    <t>Distortion</t>
  </si>
  <si>
    <t>Reason-4</t>
  </si>
  <si>
    <t>Stone</t>
  </si>
  <si>
    <t>Reason-5</t>
  </si>
  <si>
    <t>Bird Swing</t>
  </si>
  <si>
    <t>Reason-6</t>
  </si>
  <si>
    <t>Overpress</t>
  </si>
  <si>
    <t>Reason-7</t>
  </si>
  <si>
    <t>Thin Wall</t>
  </si>
  <si>
    <t>Reason-8</t>
  </si>
  <si>
    <t>Choke Neck</t>
  </si>
  <si>
    <t>Reason-9</t>
  </si>
  <si>
    <t>Reason-10</t>
  </si>
  <si>
    <t>TotalReject_Value</t>
  </si>
  <si>
    <t>ReworkStatusName</t>
  </si>
  <si>
    <t>PalletsCount</t>
  </si>
  <si>
    <t>ArticlesPerPallet</t>
  </si>
  <si>
    <t>ProductCode</t>
  </si>
  <si>
    <t>CustomerCode</t>
  </si>
  <si>
    <t>PRD-JAR-330</t>
  </si>
  <si>
    <t>CUST001</t>
  </si>
  <si>
    <t>PRD-BOT-500</t>
  </si>
  <si>
    <t>CUST002</t>
  </si>
  <si>
    <t>ORD-2026-00150</t>
  </si>
  <si>
    <t>PRD-JAR-720</t>
  </si>
  <si>
    <t>TotalMoltenUnits(Packed+Rejected+Hold)</t>
  </si>
  <si>
    <t>HourNumber</t>
  </si>
  <si>
    <t>DefectName</t>
  </si>
  <si>
    <t>Quantity</t>
  </si>
  <si>
    <t>TotalSamples</t>
  </si>
  <si>
    <t>CustomerName</t>
  </si>
  <si>
    <t>CountryType</t>
  </si>
  <si>
    <t>Coca-Cola Egypt</t>
  </si>
  <si>
    <t>Local</t>
  </si>
  <si>
    <t>PepsiCo Egypt</t>
  </si>
  <si>
    <t>CUST003</t>
  </si>
  <si>
    <t>Nestle Waters</t>
  </si>
  <si>
    <t>Export</t>
  </si>
  <si>
    <t>ProductName</t>
  </si>
  <si>
    <t>Category</t>
  </si>
  <si>
    <t>Jar 330ml Twist-off</t>
  </si>
  <si>
    <t>Jar</t>
  </si>
  <si>
    <t>Bottle 500ml Crown</t>
  </si>
  <si>
    <t>Bottle</t>
  </si>
  <si>
    <t>Jar 720ml Lug Cap</t>
  </si>
  <si>
    <t>ProductCategory</t>
  </si>
  <si>
    <t>TargetT1_Hrs</t>
  </si>
  <si>
    <t>TargetT2_Hrs</t>
  </si>
  <si>
    <t>Process</t>
  </si>
  <si>
    <t>FixedLosses_Pct</t>
  </si>
  <si>
    <t>ISLosses_Pct</t>
  </si>
  <si>
    <t>HotEndConveyerLosses_Pct</t>
  </si>
  <si>
    <t>StuckDownLosses_Pct</t>
  </si>
  <si>
    <t>LehrLosses_Pct</t>
  </si>
  <si>
    <t>Evo16Losses_Pct</t>
  </si>
  <si>
    <t>Evo12Losses_Pct</t>
  </si>
  <si>
    <t>Evo5Losses_Pct</t>
  </si>
  <si>
    <t>SanliLosses_Pct</t>
  </si>
  <si>
    <t>VisualLosses_Pct</t>
  </si>
  <si>
    <t>PalletizerLosses_Pct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</si>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</sst>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FF"/>
      <name val="Arial"/>
    </font>
    <font>
      <b/>
      <sz val="10"/>
      <color rgb="FFFFFFFF"/>
      <name val="Arial"/>
      <charset val="1"/>
    </font>
    <font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3" fillId="0" borderId="1" xfId="0" applyFont="1" applyBorder="1"/>
    <xf numFmtId="4" fontId="3" fillId="5" borderId="1" xfId="0" applyNumberFormat="1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4" borderId="8" xfId="0" applyFont="1" applyFill="1" applyBorder="1"/>
    <xf numFmtId="0" fontId="3" fillId="0" borderId="8" xfId="0" applyFont="1" applyBorder="1"/>
    <xf numFmtId="4" fontId="3" fillId="5" borderId="8" xfId="0" applyNumberFormat="1" applyFont="1" applyFill="1" applyBorder="1"/>
    <xf numFmtId="4" fontId="3" fillId="5" borderId="9" xfId="0" applyNumberFormat="1" applyFont="1" applyFill="1" applyBorder="1"/>
    <xf numFmtId="0" fontId="3" fillId="4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" fontId="3" fillId="5" borderId="8" xfId="0" applyNumberFormat="1" applyFont="1" applyFill="1" applyBorder="1" applyAlignment="1">
      <alignment horizontal="center" vertical="center"/>
    </xf>
    <xf numFmtId="4" fontId="3" fillId="5" borderId="9" xfId="0" applyNumberFormat="1" applyFont="1" applyFill="1" applyBorder="1" applyAlignment="1">
      <alignment horizontal="center" vertical="center"/>
    </xf>
    <xf numFmtId="0" fontId="3" fillId="4" borderId="7" xfId="0" applyFont="1" applyFill="1" applyBorder="1"/>
    <xf numFmtId="0" fontId="3" fillId="3" borderId="8" xfId="0" applyFont="1" applyFill="1" applyBorder="1"/>
    <xf numFmtId="2" fontId="3" fillId="5" borderId="8" xfId="0" applyNumberFormat="1" applyFont="1" applyFill="1" applyBorder="1"/>
    <xf numFmtId="2" fontId="3" fillId="5" borderId="9" xfId="0" applyNumberFormat="1" applyFont="1" applyFill="1" applyBorder="1"/>
    <xf numFmtId="0" fontId="4" fillId="8" borderId="0" xfId="0" applyFont="1" applyFill="1"/>
    <xf numFmtId="0" fontId="5" fillId="0" borderId="0" xfId="0" applyFont="1"/>
    <xf numFmtId="0" fontId="3" fillId="7" borderId="1" xfId="0" applyFont="1" applyFill="1" applyBorder="1"/>
    <xf numFmtId="0" fontId="3" fillId="6" borderId="1" xfId="0" applyFont="1" applyFill="1" applyBorder="1"/>
    <xf numFmtId="0" fontId="3" fillId="4" borderId="7" xfId="0" applyFont="1" applyFill="1" applyBorder="1" applyAlignment="1">
      <alignment horizontal="center" vertical="center"/>
    </xf>
    <xf numFmtId="2" fontId="3" fillId="5" borderId="8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0" fontId="3" fillId="5" borderId="8" xfId="1" applyNumberFormat="1" applyFont="1" applyFill="1" applyBorder="1"/>
    <xf numFmtId="10" fontId="3" fillId="5" borderId="9" xfId="1" applyNumberFormat="1" applyFont="1" applyFill="1" applyBorder="1"/>
    <xf numFmtId="14" fontId="3" fillId="3" borderId="8" xfId="0" applyNumberFormat="1" applyFont="1" applyFill="1" applyBorder="1"/>
    <xf numFmtId="0" fontId="3" fillId="0" borderId="2" xfId="0" applyFont="1" applyBorder="1"/>
    <xf numFmtId="0" fontId="3" fillId="4" borderId="3" xfId="0" applyFont="1" applyFill="1" applyBorder="1"/>
    <xf numFmtId="0" fontId="3" fillId="0" borderId="7" xfId="0" applyFont="1" applyBorder="1"/>
    <xf numFmtId="0" fontId="3" fillId="4" borderId="9" xfId="0" applyFont="1" applyFill="1" applyBorder="1"/>
    <xf numFmtId="0" fontId="3" fillId="6" borderId="8" xfId="0" applyFont="1" applyFill="1" applyBorder="1" applyAlignment="1">
      <alignment horizontal="center" vertical="center"/>
    </xf>
    <xf numFmtId="3" fontId="3" fillId="5" borderId="8" xfId="0" applyNumberFormat="1" applyFont="1" applyFill="1" applyBorder="1"/>
    <xf numFmtId="3" fontId="3" fillId="5" borderId="9" xfId="0" applyNumberFormat="1" applyFont="1" applyFill="1" applyBorder="1"/>
    <xf numFmtId="2" fontId="3" fillId="5" borderId="1" xfId="0" applyNumberFormat="1" applyFont="1" applyFill="1" applyBorder="1"/>
    <xf numFmtId="2" fontId="3" fillId="5" borderId="3" xfId="0" applyNumberFormat="1" applyFont="1" applyFill="1" applyBorder="1"/>
  </cellXfs>
  <cellStyles count="2">
    <cellStyle name="Normal" xfId="0" builtinId="0"/>
    <cellStyle name="Percent" xfId="1" builtinId="5"/>
  </cellStyles>
  <dxfs count="1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/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9" formatCode="dd/mm/yyyy"/>
      <fill>
        <patternFill patternType="solid">
          <fgColor indexed="64"/>
          <bgColor rgb="FFE2EFDA"/>
        </patternFill>
      </fill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/>
        <right style="thin">
          <color rgb="FFB0B0B0"/>
        </right>
        <top style="thin">
          <color rgb="FFB0B0B0"/>
        </top>
        <bottom/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3" formatCode="#,##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/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3" formatCode="#,##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E2EFDA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9" formatCode="dd/mm/yyyy"/>
      <fill>
        <patternFill patternType="solid">
          <fgColor indexed="64"/>
          <bgColor rgb="FFE2EFDA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/>
        <right style="thin">
          <color rgb="FFB0B0B0"/>
        </right>
        <top style="thin">
          <color rgb="FFB0B0B0"/>
        </top>
        <bottom/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 outline="0">
        <left style="thin">
          <color rgb="FFB0B0B0"/>
        </left>
        <right/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4" formatCode="0.00%"/>
      <fill>
        <patternFill patternType="solid">
          <fgColor indexed="64"/>
          <bgColor rgb="FFDDEBF7"/>
        </patternFill>
      </fill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9" formatCode="dd/mm/yyyy"/>
      <fill>
        <patternFill patternType="solid">
          <fgColor indexed="64"/>
          <bgColor rgb="FFE2EFDA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/>
        <right style="thin">
          <color rgb="FFB0B0B0"/>
        </right>
        <top style="thin">
          <color rgb="FFB0B0B0"/>
        </top>
        <bottom/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DDEBF7"/>
        </patternFill>
      </fill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/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9" formatCode="dd/mm/yyyy"/>
      <fill>
        <patternFill patternType="solid">
          <fgColor indexed="64"/>
          <bgColor rgb="FFE2EFDA"/>
        </patternFill>
      </fill>
      <alignment horizontal="center" vertical="center" textRotation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indent="0" justifyLastLine="0" shrinkToFit="0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/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FFF2CC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FFF2CC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FFF2CC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19" formatCode="dd/mm/yyyy"/>
      <fill>
        <patternFill patternType="solid">
          <fgColor indexed="64"/>
          <bgColor rgb="FFE2EFDA"/>
        </patternFill>
      </fill>
      <alignment horizontal="center" vertical="center" textRotation="0" indent="0" justifyLastLine="0" shrinkToFit="0" readingOrder="0"/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 style="thin">
          <color rgb="FFB0B0B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rgb="FFB0B0B0"/>
        </right>
        <top style="thin">
          <color rgb="FFB0B0B0"/>
        </top>
        <bottom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DDEBF7"/>
        </patternFill>
      </fill>
      <alignment horizontal="center" vertical="center" textRotation="0" indent="0" justifyLastLine="0" shrinkToFit="0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/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/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3040A6-97EF-4DA9-9AB8-EBAE6CD1BD64}" name="Customers" displayName="Customers" ref="A1:C4" totalsRowShown="0" headerRowDxfId="112" headerRowBorderDxfId="111" tableBorderDxfId="110" totalsRowBorderDxfId="109">
  <autoFilter ref="A1:C4" xr:uid="{F83040A6-97EF-4DA9-9AB8-EBAE6CD1BD64}"/>
  <tableColumns count="3">
    <tableColumn id="1" xr3:uid="{6823C3D2-D615-4BE0-A0FD-7D6795985DCD}" name="CustomerCode" dataDxfId="108"/>
    <tableColumn id="2" xr3:uid="{3A6B350C-7AF1-4AC5-B516-A0F7BCA6C76D}" name="CustomerName" dataDxfId="107"/>
    <tableColumn id="3" xr3:uid="{E8D7A898-876C-47BE-8465-C01A8BA2F1D3}" name="CountryType" dataDxfId="10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C3776A6-CAC5-4D19-8D8E-2E8C14AEB6BC}" name="Products" displayName="Products" ref="A1:D4" totalsRowShown="0" headerRowDxfId="105" headerRowBorderDxfId="104" tableBorderDxfId="103" totalsRowBorderDxfId="102">
  <autoFilter ref="A1:D4" xr:uid="{AC3776A6-CAC5-4D19-8D8E-2E8C14AEB6BC}"/>
  <tableColumns count="4">
    <tableColumn id="1" xr3:uid="{3A228D0D-4444-4608-99D5-8F52A4EA0310}" name="ProductCode" dataDxfId="101"/>
    <tableColumn id="2" xr3:uid="{1EF4328B-8A6B-4147-BF3F-0FC7E933BB3A}" name="ProductName" dataDxfId="100"/>
    <tableColumn id="3" xr3:uid="{8666019E-8D44-42DB-AEC1-113420064FD2}" name="Category" dataDxfId="99"/>
    <tableColumn id="4" xr3:uid="{31A1F9B2-3E05-429C-97C8-CE1BD1000C7C}" name="CustomerCode" dataDxfId="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866E7C9-389F-4700-BB98-E17E37DCE382}" name="JobChangeStandards" displayName="JobChangeStandards" ref="A1:C5" totalsRowShown="0" headerRowDxfId="97" headerRowBorderDxfId="96" tableBorderDxfId="95" totalsRowBorderDxfId="94">
  <autoFilter ref="A1:C5" xr:uid="{B866E7C9-389F-4700-BB98-E17E37DCE382}"/>
  <tableColumns count="3">
    <tableColumn id="1" xr3:uid="{5476E9B9-2559-4AB3-9DF4-398B5A550965}" name="JobChangeTypeName" dataDxfId="93"/>
    <tableColumn id="2" xr3:uid="{2E862960-CCCA-4169-9F5C-73A4605EB8C2}" name="TargetT1_Hrs" dataDxfId="92"/>
    <tableColumn id="3" xr3:uid="{DF4886F6-DCE8-4A6F-B692-0369E29077D5}" name="TargetT2_Hrs" dataDxfId="9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1F31C8-BEC5-4AC2-A6E7-9BB6C41A082C}" name="JobChange" displayName="JobChange" ref="A1:R2" totalsRowShown="0" headerRowDxfId="90" dataDxfId="88" headerRowBorderDxfId="89" tableBorderDxfId="87" totalsRowBorderDxfId="86">
  <autoFilter ref="A1:R2" xr:uid="{881F31C8-BEC5-4AC2-A6E7-9BB6C41A082C}"/>
  <tableColumns count="18">
    <tableColumn id="1" xr3:uid="{F03A1AD2-708E-494D-88B5-E05EC0126FE9}" name="FactoryCode" dataDxfId="85"/>
    <tableColumn id="2" xr3:uid="{5ED5B666-CB47-4F1C-A6E4-805D5FE0566D}" name="LineNumber" dataDxfId="84"/>
    <tableColumn id="3" xr3:uid="{AE7830F1-8039-46DC-B921-CFCA3756BDC0}" name="EventDate" dataDxfId="83"/>
    <tableColumn id="4" xr3:uid="{07E6E64B-1145-4154-8CFA-27D98735C156}" name="ShiftCode" dataDxfId="82"/>
    <tableColumn id="5" xr3:uid="{9F142388-EA9B-41F0-A8BC-009B105D2673}" name="CrewCode" dataDxfId="81"/>
    <tableColumn id="6" xr3:uid="{43089EF6-0386-402C-9BA9-D82C08FDE7BB}" name="FromOrderNumber" dataDxfId="80"/>
    <tableColumn id="7" xr3:uid="{F5BFD689-8E56-4383-A719-E50C70030DD5}" name="ToOrderNumber" dataDxfId="79"/>
    <tableColumn id="8" xr3:uid="{63D6042D-6B2A-4D24-8054-A1BDA7E338F8}" name="JobChangeTypeName" dataDxfId="78"/>
    <tableColumn id="9" xr3:uid="{33F74BD8-8876-4116-BB8C-2713AA40D50A}" name="MechanicalWorkT1_Hrs" dataDxfId="77"/>
    <tableColumn id="10" xr3:uid="{044D3698-6113-4B47-B6A4-17C0E57C520C}" name="FormingTimeT2_Hrs" dataDxfId="76"/>
    <tableColumn id="11" xr3:uid="{607AB7FD-4557-485A-A7F9-652F91E7A912}" name="TrialLosses_Hrs" dataDxfId="75"/>
    <tableColumn id="18" xr3:uid="{E445CEF8-6768-48C7-8674-5EEAF6D69DB6}" name="HE_Downtime_Hrs" dataDxfId="74"/>
    <tableColumn id="15" xr3:uid="{F9D6125F-9EFB-4C18-8588-14794F740B9B}" name="HE Downtime Reason" dataDxfId="73"/>
    <tableColumn id="12" xr3:uid="{79A93BEB-4F60-4C46-BB48-E02893064D9C}" name="CE_Losses_Hrs" dataDxfId="72"/>
    <tableColumn id="16" xr3:uid="{29E51F66-B138-48B9-B1AD-DBD1B1E1D751}" name="CE Losses Reason" dataDxfId="71"/>
    <tableColumn id="14" xr3:uid="{B8A97A65-A921-4F7B-BA54-D91D3FBB44A9}" name="PalletizerLosses_Hrs" dataDxfId="70"/>
    <tableColumn id="19" xr3:uid="{CCC0E115-3179-4469-B33C-84CF3218FB12}" name="Palletizer Reason" dataDxfId="69"/>
    <tableColumn id="17" xr3:uid="{6EE0B73A-48B2-4015-A9C5-CC7765FCFABC}" name="Notes" dataDxfId="6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0412B3-AF94-4243-BE0B-E38F86406F51}" name="DailyProdLog" displayName="DailyProdLog" ref="A1:O2" totalsRowShown="0" headerRowDxfId="67" dataDxfId="65" headerRowBorderDxfId="66" tableBorderDxfId="64" totalsRowBorderDxfId="63">
  <autoFilter ref="A1:O2" xr:uid="{0B0412B3-AF94-4243-BE0B-E38F86406F51}"/>
  <tableColumns count="15">
    <tableColumn id="1" xr3:uid="{C8D6366C-EAEE-4DEC-AA55-7AA9F6B90F45}" name="EventDate" dataDxfId="62"/>
    <tableColumn id="13" xr3:uid="{B89DDB2D-CCC7-4B56-98E2-35B4AF0304E6}" name="FactoryCode" dataDxfId="0"/>
    <tableColumn id="2" xr3:uid="{3357B3A6-D3EB-402C-BFC5-46CF1FBBF624}" name="ShiftCode" dataDxfId="61"/>
    <tableColumn id="3" xr3:uid="{90DCD2B3-2EDE-4F19-89C3-7E3C5697D62C}" name="CrewCode" dataDxfId="60"/>
    <tableColumn id="16" xr3:uid="{8F7180FD-0C66-477C-92B6-B5BD55C02794}" name="LineNumber" dataDxfId="59"/>
    <tableColumn id="4" xr3:uid="{E7FEC180-3A28-47A8-8A1B-1905AA7829B9}" name="OrderNumber" dataDxfId="58"/>
    <tableColumn id="5" xr3:uid="{30A216BE-5331-4FC5-9D76-DB105694B792}" name="CaseName" dataDxfId="57"/>
    <tableColumn id="6" xr3:uid="{6979006C-A2B8-43AC-8D57-D4EF49845C0F}" name="NoSections" dataDxfId="56">
      <calculatedColumnFormula>10*1</calculatedColumnFormula>
    </tableColumn>
    <tableColumn id="7" xr3:uid="{7BC0AE8D-3064-4BC9-8D54-697114897185}" name="NoCavities" dataDxfId="55"/>
    <tableColumn id="8" xr3:uid="{B55EA9DD-2D25-430C-9A51-3A05F62D6ED6}" name="DesignedCyclesPerMin" dataDxfId="54"/>
    <tableColumn id="9" xr3:uid="{8AB7EE83-7966-4C6D-8849-AE2DFD72372E}" name="DesignedCutsPerHour" dataDxfId="53">
      <calculatedColumnFormula>H2*I2*J2*60</calculatedColumnFormula>
    </tableColumn>
    <tableColumn id="10" xr3:uid="{8983776F-A762-426D-A691-9C61861FE9AD}" name="Working Hours" dataDxfId="52"/>
    <tableColumn id="11" xr3:uid="{087BC5CD-0FE8-488A-ABBF-550DC3BFBF77}" name="DesignOutput" dataDxfId="51">
      <calculatedColumnFormula>L2*K2</calculatedColumnFormula>
    </tableColumn>
    <tableColumn id="12" xr3:uid="{1018416B-A11D-48F0-9A70-912468825823}" name="ActualPack" dataDxfId="50"/>
    <tableColumn id="15" xr3:uid="{D99DCF5D-542A-43BC-A829-1CE4255A1A91}" name="TotalHold" dataDxfId="4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B3B15F-26DE-455A-9192-30075BEC6C67}" name="LossesOutputLog" displayName="LossesOutputLog" ref="A1:Q2" totalsRowShown="0" headerRowDxfId="48" dataDxfId="46" headerRowBorderDxfId="47" tableBorderDxfId="45" totalsRowBorderDxfId="44">
  <autoFilter ref="A1:Q2" xr:uid="{5AB3B15F-26DE-455A-9192-30075BEC6C67}"/>
  <tableColumns count="17">
    <tableColumn id="1" xr3:uid="{B04BCF99-D695-488D-AE01-BD5CD6BC64AD}" name="FactoryCode" dataDxfId="43"/>
    <tableColumn id="2" xr3:uid="{4513667D-9720-442F-90D2-8395101B3255}" name="LineNumber" dataDxfId="42"/>
    <tableColumn id="3" xr3:uid="{738AD183-7D57-406E-B6E0-E389A5CE8903}" name="EventDate" dataDxfId="41"/>
    <tableColumn id="4" xr3:uid="{75470A6F-7D03-4A83-8E62-F3374AFE9816}" name="ShiftCode" dataDxfId="40"/>
    <tableColumn id="20" xr3:uid="{33B53038-EA1B-457F-9617-CC94C4C68865}" name="OrderNumber" dataDxfId="39"/>
    <tableColumn id="6" xr3:uid="{49FA4D7A-3CFB-47D1-8289-FD64D0B48E67}" name="TotalReject_Value" dataDxfId="38"/>
    <tableColumn id="9" xr3:uid="{1F19462C-1F3C-4C2F-80DD-36C50DB0D6BF}" name="FixedLosses_Pct" dataDxfId="37" dataCellStyle="Percent">
      <calculatedColumnFormula>((3*4*DailyProdLog[[#This Row],[NoSections]]*DailyProdLog[[#This Row],[NoCavities]]*DailyProdLog[[#This Row],[Working Hours]])/(DailyProdLog[[#This Row],[DesignOutput]]))</calculatedColumnFormula>
    </tableColumn>
    <tableColumn id="10" xr3:uid="{C56F279A-69E6-4E09-90E0-7057BF30B7EF}" name="ISLosses_Pct" dataDxfId="36" dataCellStyle="Percent"/>
    <tableColumn id="11" xr3:uid="{9EE3FFC3-FB1D-495E-B8CF-ABD85AF6912A}" name="HotEndConveyerLosses_Pct" dataDxfId="35" dataCellStyle="Percent"/>
    <tableColumn id="12" xr3:uid="{0E205994-E649-4F3D-A417-4AB64C8211EF}" name="StuckDownLosses_Pct" dataDxfId="34" dataCellStyle="Percent"/>
    <tableColumn id="13" xr3:uid="{D718DF85-AE28-4406-AF32-E0ED9C82CAD4}" name="LehrLosses_Pct" dataDxfId="33" dataCellStyle="Percent"/>
    <tableColumn id="14" xr3:uid="{00A9829C-53D8-49DE-A06C-E47962761C6F}" name="Evo16Losses_Pct" dataDxfId="32" dataCellStyle="Percent"/>
    <tableColumn id="15" xr3:uid="{EFE915AD-AD66-40FE-9084-25904D6E04E9}" name="Evo12Losses_Pct" dataDxfId="31" dataCellStyle="Percent"/>
    <tableColumn id="16" xr3:uid="{37C22321-801F-405F-8F8D-393C9B6ED9B0}" name="Evo5Losses_Pct" dataDxfId="30" dataCellStyle="Percent"/>
    <tableColumn id="17" xr3:uid="{14D6997B-6729-4AF0-9478-76E613A09618}" name="SanliLosses_Pct" dataDxfId="29" dataCellStyle="Percent"/>
    <tableColumn id="18" xr3:uid="{4DED2BF7-0D6C-4F7F-99AF-F36FBF7E34D9}" name="VisualLosses_Pct" dataDxfId="28" dataCellStyle="Percent"/>
    <tableColumn id="19" xr3:uid="{23F358C1-5C30-4D6E-9639-5C777D4B5A09}" name="PalletizerLosses_Pct" dataDxfId="27" dataCellStyle="Perc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0FD4618-C557-477D-A99A-4C46F1488EC7}" name="SamplingDefectLog" displayName="SamplingDefectLog" ref="A1:I2" totalsRowShown="0" headerRowDxfId="26" headerRowBorderDxfId="25" tableBorderDxfId="24" totalsRowBorderDxfId="23">
  <autoFilter ref="A1:I2" xr:uid="{C0FD4618-C557-477D-A99A-4C46F1488EC7}"/>
  <tableColumns count="9">
    <tableColumn id="1" xr3:uid="{1B582827-8645-4D93-BA9F-E8169E16D7A3}" name="FactoryCode" dataDxfId="22"/>
    <tableColumn id="2" xr3:uid="{6D1991CF-138C-4F5A-989C-E4B3562A5738}" name="LineNumber" dataDxfId="21"/>
    <tableColumn id="3" xr3:uid="{E267387E-4D9A-424B-A01B-146D06B548E2}" name="EventDate" dataDxfId="20"/>
    <tableColumn id="4" xr3:uid="{36961A89-1FE4-43D2-A1E8-F0A909E2EC2D}" name="OrderNumber" dataDxfId="19"/>
    <tableColumn id="5" xr3:uid="{8629488E-77E0-4309-B4AC-F6D9556D1FD4}" name="HourNumber" dataDxfId="18"/>
    <tableColumn id="6" xr3:uid="{B7382C86-E248-48B4-AC58-DF956E1312A3}" name="ShiftCode" dataDxfId="17"/>
    <tableColumn id="7" xr3:uid="{3FE7F21B-C201-41AB-A4D7-93BFB1CE4B50}" name="TotalSamples" dataDxfId="16"/>
    <tableColumn id="8" xr3:uid="{2E2A90FC-D44F-489B-A2B1-BD413133923B}" name="DefectName" dataDxfId="15"/>
    <tableColumn id="9" xr3:uid="{32313285-EBBA-4A19-8518-A7200034A4C5}" name="Quantity" dataDxfId="1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BD8429-1773-4985-9C0D-17FD6A81AC51}" name="ReworkLog" displayName="ReworkLog" ref="A1:H2" totalsRowShown="0" headerRowDxfId="13" dataDxfId="11" headerRowBorderDxfId="12" tableBorderDxfId="10" totalsRowBorderDxfId="9">
  <autoFilter ref="A1:H2" xr:uid="{7CBD8429-1773-4985-9C0D-17FD6A81AC51}"/>
  <tableColumns count="8">
    <tableColumn id="1" xr3:uid="{A15D008C-FEC6-467C-B8B8-A6E095620CD4}" name="FactoryCode" dataDxfId="8"/>
    <tableColumn id="2" xr3:uid="{3660FA54-B870-4545-804B-972685313080}" name="LineNumber" dataDxfId="7"/>
    <tableColumn id="3" xr3:uid="{C314C0F0-B55A-4737-B7B5-6D02BD5E5CD6}" name="EventDate" dataDxfId="6"/>
    <tableColumn id="4" xr3:uid="{B892CB3B-FE0B-4533-A619-55CF4B86C35D}" name="ShiftCode" dataDxfId="5"/>
    <tableColumn id="5" xr3:uid="{FDE855DA-FD47-41C2-AF1B-FDADA406B8E8}" name="OrderNumber" dataDxfId="4"/>
    <tableColumn id="6" xr3:uid="{8E379CD0-DF39-439E-8C0E-A999631DD705}" name="ReworkStatusName" dataDxfId="3"/>
    <tableColumn id="7" xr3:uid="{E82A5069-41F6-4304-BE6B-5C6D70256D1D}" name="PalletsCount" dataDxfId="2"/>
    <tableColumn id="8" xr3:uid="{9024972D-0110-4916-BB5E-425BA3410482}" name="ArticlesPerPalle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BF38-0E21-4371-81C2-AFF9F78716DD}">
  <dimension ref="A1:C4"/>
  <sheetViews>
    <sheetView workbookViewId="0">
      <selection activeCell="D35" sqref="D35"/>
    </sheetView>
  </sheetViews>
  <sheetFormatPr defaultRowHeight="15" x14ac:dyDescent="0.25"/>
  <cols>
    <col min="1" max="1" width="18.42578125" customWidth="1"/>
    <col min="2" max="2" width="18.7109375" customWidth="1"/>
    <col min="3" max="3" width="16.42578125" customWidth="1"/>
  </cols>
  <sheetData>
    <row r="1" spans="1:3" x14ac:dyDescent="0.25">
      <c r="A1" s="5" t="s">
        <v>81</v>
      </c>
      <c r="B1" s="6" t="s">
        <v>93</v>
      </c>
      <c r="C1" s="7" t="s">
        <v>94</v>
      </c>
    </row>
    <row r="2" spans="1:3" x14ac:dyDescent="0.25">
      <c r="A2" s="30" t="s">
        <v>83</v>
      </c>
      <c r="B2" s="3" t="s">
        <v>95</v>
      </c>
      <c r="C2" s="31" t="s">
        <v>96</v>
      </c>
    </row>
    <row r="3" spans="1:3" x14ac:dyDescent="0.25">
      <c r="A3" s="30" t="s">
        <v>85</v>
      </c>
      <c r="B3" s="3" t="s">
        <v>97</v>
      </c>
      <c r="C3" s="31" t="s">
        <v>96</v>
      </c>
    </row>
    <row r="4" spans="1:3" x14ac:dyDescent="0.25">
      <c r="A4" s="32" t="s">
        <v>98</v>
      </c>
      <c r="B4" s="9" t="s">
        <v>99</v>
      </c>
      <c r="C4" s="33" t="s">
        <v>100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CountryType" error="Please select Local or Export" xr:uid="{4239C934-F649-401D-9C04-8FD142513D42}">
          <x14:formula1>
            <xm:f>DataValidation!$L$2:$L$3</xm:f>
          </x14:formula1>
          <xm:sqref>C2:C4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071E1-CFFF-43FE-AC6B-C802B6967665}">
  <dimension ref="A1:D4"/>
  <sheetViews>
    <sheetView workbookViewId="0">
      <selection activeCell="B3" sqref="B3"/>
    </sheetView>
  </sheetViews>
  <sheetFormatPr defaultRowHeight="15" x14ac:dyDescent="0.25"/>
  <cols>
    <col min="1" max="1" width="19.140625" bestFit="1" customWidth="1"/>
    <col min="2" max="2" width="19.42578125" bestFit="1" customWidth="1"/>
    <col min="3" max="3" width="14.7109375" bestFit="1" customWidth="1"/>
    <col min="4" max="4" width="21" bestFit="1" customWidth="1"/>
  </cols>
  <sheetData>
    <row r="1" spans="1:4" x14ac:dyDescent="0.25">
      <c r="A1" s="5" t="s">
        <v>80</v>
      </c>
      <c r="B1" s="6" t="s">
        <v>101</v>
      </c>
      <c r="C1" s="6" t="s">
        <v>102</v>
      </c>
      <c r="D1" s="7" t="s">
        <v>81</v>
      </c>
    </row>
    <row r="2" spans="1:4" x14ac:dyDescent="0.25">
      <c r="A2" s="30" t="s">
        <v>82</v>
      </c>
      <c r="B2" s="3" t="s">
        <v>103</v>
      </c>
      <c r="C2" s="2" t="s">
        <v>104</v>
      </c>
      <c r="D2" s="31" t="s">
        <v>83</v>
      </c>
    </row>
    <row r="3" spans="1:4" x14ac:dyDescent="0.25">
      <c r="A3" s="30" t="s">
        <v>84</v>
      </c>
      <c r="B3" s="3" t="s">
        <v>105</v>
      </c>
      <c r="C3" s="2" t="s">
        <v>106</v>
      </c>
      <c r="D3" s="31" t="s">
        <v>85</v>
      </c>
    </row>
    <row r="4" spans="1:4" x14ac:dyDescent="0.25">
      <c r="A4" s="32" t="s">
        <v>87</v>
      </c>
      <c r="B4" s="9" t="s">
        <v>107</v>
      </c>
      <c r="C4" s="2" t="s">
        <v>104</v>
      </c>
      <c r="D4" s="33" t="s">
        <v>83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1DF458E8-7BF8-40F4-BD26-ACEC5102A39A}">
          <x14:formula1>
            <xm:f>DataValidation!$M$2:$M$3</xm:f>
          </x14:formula1>
          <xm:sqref>C2:C4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EB04B-AA86-4C55-8E89-9337720C9F68}">
  <dimension ref="A1:C5"/>
  <sheetViews>
    <sheetView workbookViewId="0">
      <selection activeCell="D11" sqref="D11"/>
    </sheetView>
  </sheetViews>
  <sheetFormatPr defaultRowHeight="15" x14ac:dyDescent="0.25"/>
  <cols>
    <col min="1" max="1" width="28.28515625" customWidth="1"/>
    <col min="2" max="2" width="17.140625" customWidth="1"/>
    <col min="3" max="3" width="19.140625" customWidth="1"/>
  </cols>
  <sheetData>
    <row r="1" spans="1:3" x14ac:dyDescent="0.25">
      <c r="A1" s="5" t="s">
        <v>22</v>
      </c>
      <c r="B1" s="6" t="s">
        <v>109</v>
      </c>
      <c r="C1" s="7" t="s">
        <v>110</v>
      </c>
    </row>
    <row r="2" spans="1:3" x14ac:dyDescent="0.25">
      <c r="A2" s="30" t="s">
        <v>48</v>
      </c>
      <c r="B2" s="37">
        <v>1.5</v>
      </c>
      <c r="C2" s="38">
        <v>0.5</v>
      </c>
    </row>
    <row r="3" spans="1:3" x14ac:dyDescent="0.25">
      <c r="A3" s="30" t="s">
        <v>35</v>
      </c>
      <c r="B3" s="37">
        <v>3</v>
      </c>
      <c r="C3" s="38">
        <v>1</v>
      </c>
    </row>
    <row r="4" spans="1:3" x14ac:dyDescent="0.25">
      <c r="A4" s="30" t="s">
        <v>58</v>
      </c>
      <c r="B4" s="37">
        <v>6</v>
      </c>
      <c r="C4" s="38">
        <v>2</v>
      </c>
    </row>
    <row r="5" spans="1:3" x14ac:dyDescent="0.25">
      <c r="A5" s="32" t="s">
        <v>111</v>
      </c>
      <c r="B5" s="18">
        <v>8</v>
      </c>
      <c r="C5" s="19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F236-C364-4932-8F30-AA6F66B247C2}">
  <dimension ref="A1:D4"/>
  <sheetViews>
    <sheetView workbookViewId="0">
      <selection activeCell="B37" sqref="B37"/>
    </sheetView>
  </sheetViews>
  <sheetFormatPr defaultRowHeight="15" x14ac:dyDescent="0.25"/>
  <cols>
    <col min="1" max="1" width="14.85546875" customWidth="1"/>
    <col min="2" max="2" width="17" customWidth="1"/>
    <col min="3" max="3" width="16.28515625" customWidth="1"/>
    <col min="4" max="4" width="53" customWidth="1"/>
  </cols>
  <sheetData>
    <row r="1" spans="1:4" ht="30" x14ac:dyDescent="0.25">
      <c r="A1" s="1" t="s">
        <v>3</v>
      </c>
      <c r="B1" s="1" t="s">
        <v>80</v>
      </c>
      <c r="C1" s="1" t="s">
        <v>81</v>
      </c>
      <c r="D1" s="1" t="s">
        <v>88</v>
      </c>
    </row>
    <row r="2" spans="1:4" x14ac:dyDescent="0.25">
      <c r="A2" s="3" t="s">
        <v>34</v>
      </c>
      <c r="B2" s="3" t="s">
        <v>82</v>
      </c>
      <c r="C2" s="3" t="s">
        <v>83</v>
      </c>
      <c r="D2" s="4">
        <v>432000</v>
      </c>
    </row>
    <row r="3" spans="1:4" x14ac:dyDescent="0.25">
      <c r="A3" s="3" t="s">
        <v>16</v>
      </c>
      <c r="B3" s="3" t="s">
        <v>84</v>
      </c>
      <c r="C3" s="3" t="s">
        <v>85</v>
      </c>
      <c r="D3" s="4">
        <v>98000</v>
      </c>
    </row>
    <row r="4" spans="1:4" x14ac:dyDescent="0.25">
      <c r="A4" s="3" t="s">
        <v>86</v>
      </c>
      <c r="B4" s="3" t="s">
        <v>87</v>
      </c>
      <c r="C4" s="3" t="s">
        <v>83</v>
      </c>
      <c r="D4" s="4">
        <v>45000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9E74-BFED-461B-93CF-11F2D2565875}">
  <dimension ref="A1:R2"/>
  <sheetViews>
    <sheetView zoomScale="70" zoomScaleNormal="70" workbookViewId="0">
      <selection activeCell="H19" sqref="H19"/>
    </sheetView>
  </sheetViews>
  <sheetFormatPr defaultRowHeight="15" x14ac:dyDescent="0.25"/>
  <cols>
    <col min="1" max="1" width="20" bestFit="1" customWidth="1"/>
    <col min="2" max="2" width="19.5703125" bestFit="1" customWidth="1"/>
    <col min="3" max="4" width="13.140625" bestFit="1" customWidth="1"/>
    <col min="5" max="5" width="13.7109375" bestFit="1" customWidth="1"/>
    <col min="6" max="6" width="26.7109375" bestFit="1" customWidth="1"/>
    <col min="7" max="7" width="19" customWidth="1"/>
    <col min="8" max="8" width="30.140625" bestFit="1" customWidth="1"/>
    <col min="9" max="9" width="31.140625" bestFit="1" customWidth="1"/>
    <col min="10" max="10" width="29.7109375" bestFit="1" customWidth="1"/>
    <col min="11" max="11" width="25.28515625" bestFit="1" customWidth="1"/>
    <col min="12" max="12" width="24.7109375" bestFit="1" customWidth="1"/>
    <col min="13" max="13" width="27.85546875" bestFit="1" customWidth="1"/>
    <col min="14" max="14" width="22" bestFit="1" customWidth="1"/>
    <col min="15" max="15" width="23.85546875" customWidth="1"/>
    <col min="16" max="16" width="31.140625" bestFit="1" customWidth="1"/>
    <col min="17" max="17" width="23.7109375" bestFit="1" customWidth="1"/>
    <col min="18" max="18" width="19.42578125" customWidth="1"/>
  </cols>
  <sheetData>
    <row r="1" spans="1:18" ht="30" x14ac:dyDescent="0.25">
      <c r="A1" s="5" t="s">
        <v>18</v>
      </c>
      <c r="B1" s="6" t="s">
        <v>19</v>
      </c>
      <c r="C1" s="6" t="s">
        <v>0</v>
      </c>
      <c r="D1" s="6" t="s">
        <v>1</v>
      </c>
      <c r="E1" s="6" t="s">
        <v>2</v>
      </c>
      <c r="F1" s="6" t="s">
        <v>20</v>
      </c>
      <c r="G1" s="6" t="s">
        <v>21</v>
      </c>
      <c r="H1" s="6" t="s">
        <v>22</v>
      </c>
      <c r="I1" s="6" t="s">
        <v>23</v>
      </c>
      <c r="J1" s="6" t="s">
        <v>24</v>
      </c>
      <c r="K1" s="6" t="s">
        <v>25</v>
      </c>
      <c r="L1" s="6" t="s">
        <v>26</v>
      </c>
      <c r="M1" s="6" t="s">
        <v>27</v>
      </c>
      <c r="N1" s="6" t="s">
        <v>28</v>
      </c>
      <c r="O1" s="6" t="s">
        <v>29</v>
      </c>
      <c r="P1" s="6" t="s">
        <v>30</v>
      </c>
      <c r="Q1" s="7" t="s">
        <v>31</v>
      </c>
      <c r="R1" s="7" t="s">
        <v>32</v>
      </c>
    </row>
    <row r="2" spans="1:18" x14ac:dyDescent="0.25">
      <c r="A2" s="24" t="s">
        <v>33</v>
      </c>
      <c r="B2" s="12">
        <v>21</v>
      </c>
      <c r="C2" s="29" t="s">
        <v>13</v>
      </c>
      <c r="D2" s="12" t="s">
        <v>14</v>
      </c>
      <c r="E2" s="12" t="s">
        <v>15</v>
      </c>
      <c r="F2" s="13" t="s">
        <v>34</v>
      </c>
      <c r="G2" s="13" t="s">
        <v>16</v>
      </c>
      <c r="H2" s="12" t="s">
        <v>35</v>
      </c>
      <c r="I2" s="25">
        <v>2.5</v>
      </c>
      <c r="J2" s="25">
        <v>0.8</v>
      </c>
      <c r="K2" s="25">
        <v>0.3</v>
      </c>
      <c r="L2" s="25">
        <v>0.5</v>
      </c>
      <c r="M2" s="12" t="s">
        <v>66</v>
      </c>
      <c r="N2" s="25">
        <v>0.2</v>
      </c>
      <c r="O2" s="12" t="s">
        <v>68</v>
      </c>
      <c r="P2" s="25">
        <v>0.1</v>
      </c>
      <c r="Q2" s="12" t="s">
        <v>68</v>
      </c>
      <c r="R2" s="26" t="s">
        <v>36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1397AFA3-87AC-4270-9CF4-1466B59F74B5}">
          <x14:formula1>
            <xm:f>DataValidation!$B$2:$B$6</xm:f>
          </x14:formula1>
          <xm:sqref>B2</xm:sqref>
        </x14:dataValidation>
        <x14:dataValidation type="list" allowBlank="1" xr:uid="{F8AC0A0A-C3F2-4EEC-B363-D1A36D7C5A2C}">
          <x14:formula1>
            <xm:f>DataValidation!$E$2:$E$5</xm:f>
          </x14:formula1>
          <xm:sqref>H2</xm:sqref>
        </x14:dataValidation>
        <x14:dataValidation type="list" allowBlank="1" xr:uid="{BC8CF573-3AE5-4859-B4D5-A4E22F218640}">
          <x14:formula1>
            <xm:f>DataValidation!$D$2:$D$4</xm:f>
          </x14:formula1>
          <xm:sqref>E2</xm:sqref>
        </x14:dataValidation>
        <x14:dataValidation type="list" allowBlank="1" xr:uid="{B0902DAA-1A37-4D10-8E86-921E8E2BC1AA}">
          <x14:formula1>
            <xm:f>DataValidation!$C$2:$C$3</xm:f>
          </x14:formula1>
          <xm:sqref>D2</xm:sqref>
        </x14:dataValidation>
        <x14:dataValidation type="list" allowBlank="1" xr:uid="{8C9BE2F4-4810-4AC3-991A-B2D8DD1CB018}">
          <x14:formula1>
            <xm:f>DataValidation!$A$2</xm:f>
          </x14:formula1>
          <xm:sqref>A2</xm:sqref>
        </x14:dataValidation>
        <x14:dataValidation type="list" allowBlank="1" showInputMessage="1" showErrorMessage="1" xr:uid="{6438DD9F-BF06-41B0-9211-183A5BC8BEB4}">
          <x14:formula1>
            <xm:f>DataValidation!$K$2:$K$11</xm:f>
          </x14:formula1>
          <xm:sqref>Q2</xm:sqref>
        </x14:dataValidation>
        <x14:dataValidation type="list" allowBlank="1" showInputMessage="1" showErrorMessage="1" xr:uid="{E6AACC19-2074-49BB-8438-AC1411603898}">
          <x14:formula1>
            <xm:f>DataValidation!$J$2:$J$11</xm:f>
          </x14:formula1>
          <xm:sqref>O2</xm:sqref>
        </x14:dataValidation>
        <x14:dataValidation type="list" allowBlank="1" showInputMessage="1" showErrorMessage="1" xr:uid="{6C1326AC-B77C-4FE4-8A05-DBB4F2C7A8E1}">
          <x14:formula1>
            <xm:f>DataValidation!$I$2:$I$11</xm:f>
          </x14:formula1>
          <xm:sqref>M2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zoomScale="93" zoomScaleNormal="93" workbookViewId="0">
      <selection activeCell="G15" sqref="G15"/>
    </sheetView>
  </sheetViews>
  <sheetFormatPr defaultRowHeight="15" x14ac:dyDescent="0.25"/>
  <cols>
    <col min="1" max="1" width="16.28515625" bestFit="1" customWidth="1"/>
    <col min="2" max="2" width="19.85546875" bestFit="1" customWidth="1"/>
    <col min="3" max="3" width="15.7109375" bestFit="1" customWidth="1"/>
    <col min="4" max="4" width="16.28515625" bestFit="1" customWidth="1"/>
    <col min="5" max="5" width="16.28515625" customWidth="1"/>
    <col min="6" max="6" width="19.7109375" bestFit="1" customWidth="1"/>
    <col min="7" max="7" width="17.28515625" bestFit="1" customWidth="1"/>
    <col min="8" max="8" width="18.28515625" bestFit="1" customWidth="1"/>
    <col min="9" max="9" width="17.7109375" bestFit="1" customWidth="1"/>
    <col min="10" max="10" width="31.42578125" bestFit="1" customWidth="1"/>
    <col min="11" max="11" width="30.5703125" bestFit="1" customWidth="1"/>
    <col min="12" max="12" width="22.140625" bestFit="1" customWidth="1"/>
    <col min="13" max="13" width="21" bestFit="1" customWidth="1"/>
    <col min="14" max="14" width="17.7109375" bestFit="1" customWidth="1"/>
    <col min="15" max="15" width="15.42578125" bestFit="1" customWidth="1"/>
  </cols>
  <sheetData>
    <row r="1" spans="1:15" x14ac:dyDescent="0.25">
      <c r="A1" s="5" t="s">
        <v>0</v>
      </c>
      <c r="B1" s="5" t="s">
        <v>18</v>
      </c>
      <c r="C1" s="6" t="s">
        <v>1</v>
      </c>
      <c r="D1" s="6" t="s">
        <v>2</v>
      </c>
      <c r="E1" s="6" t="s">
        <v>19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7" t="s">
        <v>12</v>
      </c>
    </row>
    <row r="2" spans="1:15" x14ac:dyDescent="0.25">
      <c r="A2" s="29" t="s">
        <v>13</v>
      </c>
      <c r="B2" s="24" t="s">
        <v>33</v>
      </c>
      <c r="C2" s="12" t="s">
        <v>14</v>
      </c>
      <c r="D2" s="12" t="s">
        <v>15</v>
      </c>
      <c r="E2" s="12">
        <v>21</v>
      </c>
      <c r="F2" s="13" t="s">
        <v>16</v>
      </c>
      <c r="G2" s="12" t="s">
        <v>17</v>
      </c>
      <c r="H2" s="14">
        <f>10*1</f>
        <v>10</v>
      </c>
      <c r="I2" s="14">
        <v>3</v>
      </c>
      <c r="J2" s="14">
        <v>10</v>
      </c>
      <c r="K2" s="14">
        <f>H2*I2*J2*60</f>
        <v>18000</v>
      </c>
      <c r="L2" s="14">
        <v>24</v>
      </c>
      <c r="M2" s="14">
        <f>L2*K2</f>
        <v>432000</v>
      </c>
      <c r="N2" s="14">
        <v>296000</v>
      </c>
      <c r="O2" s="15">
        <v>20000</v>
      </c>
    </row>
  </sheetData>
  <dataValidations count="2">
    <dataValidation type="list" allowBlank="1" sqref="D2" xr:uid="{88A4AE59-4CAB-44CB-BFB1-726EC61695ED}">
      <formula1>"A,B,C"</formula1>
    </dataValidation>
    <dataValidation type="list" allowBlank="1" sqref="C2" xr:uid="{F9A53C87-825E-4C22-ACF4-9385D7B982FB}">
      <formula1>"AM,PM"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15CA8324-F859-4507-96AB-A1FD4052330A}">
          <x14:formula1>
            <xm:f>DataValidation!$F$2:$F$4</xm:f>
          </x14:formula1>
          <xm:sqref>G2</xm:sqref>
        </x14:dataValidation>
        <x14:dataValidation type="list" allowBlank="1" xr:uid="{72BFE392-E12C-4784-8A4B-024B930780FB}">
          <x14:formula1>
            <xm:f>DataValidation!$B$2:$B$6</xm:f>
          </x14:formula1>
          <xm:sqref>E2</xm:sqref>
        </x14:dataValidation>
        <x14:dataValidation type="list" allowBlank="1" xr:uid="{1A64A8FE-2BA4-454A-99AE-D6D320206ED2}">
          <x14:formula1>
            <xm:f>DataValidation!$A$2</xm:f>
          </x14:formula1>
          <xm:sqref>B2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30F6-DB64-46AB-BEBB-55551A301DFF}">
  <dimension ref="A1:Q2"/>
  <sheetViews>
    <sheetView zoomScale="85" zoomScaleNormal="85" workbookViewId="0">
      <selection activeCell="G16" sqref="G16"/>
    </sheetView>
  </sheetViews>
  <sheetFormatPr defaultRowHeight="15" x14ac:dyDescent="0.25"/>
  <cols>
    <col min="1" max="1" width="18.7109375" customWidth="1"/>
    <col min="2" max="2" width="14.85546875" customWidth="1"/>
    <col min="3" max="3" width="17" customWidth="1"/>
    <col min="4" max="4" width="15.42578125" customWidth="1"/>
    <col min="5" max="5" width="19.85546875" bestFit="1" customWidth="1"/>
    <col min="6" max="6" width="24.28515625" bestFit="1" customWidth="1"/>
    <col min="7" max="7" width="23.28515625" bestFit="1" customWidth="1"/>
    <col min="8" max="8" width="15.42578125" bestFit="1" customWidth="1"/>
    <col min="9" max="9" width="34.28515625" bestFit="1" customWidth="1"/>
    <col min="10" max="10" width="26" bestFit="1" customWidth="1"/>
    <col min="11" max="11" width="18" bestFit="1" customWidth="1"/>
    <col min="12" max="13" width="19.42578125" bestFit="1" customWidth="1"/>
    <col min="14" max="14" width="18.140625" bestFit="1" customWidth="1"/>
    <col min="15" max="15" width="18.28515625" bestFit="1" customWidth="1"/>
    <col min="16" max="16" width="22.140625" bestFit="1" customWidth="1"/>
    <col min="17" max="17" width="27.42578125" bestFit="1" customWidth="1"/>
  </cols>
  <sheetData>
    <row r="1" spans="1:17" x14ac:dyDescent="0.25">
      <c r="A1" s="5" t="s">
        <v>18</v>
      </c>
      <c r="B1" s="6" t="s">
        <v>19</v>
      </c>
      <c r="C1" s="6" t="s">
        <v>0</v>
      </c>
      <c r="D1" s="6" t="s">
        <v>1</v>
      </c>
      <c r="E1" s="6" t="s">
        <v>3</v>
      </c>
      <c r="F1" s="6" t="s">
        <v>76</v>
      </c>
      <c r="G1" s="6" t="s">
        <v>112</v>
      </c>
      <c r="H1" s="6" t="s">
        <v>113</v>
      </c>
      <c r="I1" s="6" t="s">
        <v>114</v>
      </c>
      <c r="J1" s="6" t="s">
        <v>115</v>
      </c>
      <c r="K1" s="6" t="s">
        <v>116</v>
      </c>
      <c r="L1" s="6" t="s">
        <v>117</v>
      </c>
      <c r="M1" s="6" t="s">
        <v>118</v>
      </c>
      <c r="N1" s="6" t="s">
        <v>119</v>
      </c>
      <c r="O1" s="6" t="s">
        <v>120</v>
      </c>
      <c r="P1" s="6" t="s">
        <v>121</v>
      </c>
      <c r="Q1" s="7" t="s">
        <v>122</v>
      </c>
    </row>
    <row r="2" spans="1:17" x14ac:dyDescent="0.25">
      <c r="A2" s="16" t="s">
        <v>33</v>
      </c>
      <c r="B2" s="8">
        <v>21</v>
      </c>
      <c r="C2" s="29" t="s">
        <v>13</v>
      </c>
      <c r="D2" s="8" t="s">
        <v>14</v>
      </c>
      <c r="E2" s="13" t="s">
        <v>16</v>
      </c>
      <c r="F2" s="10">
        <v>116000</v>
      </c>
      <c r="G2" s="27">
        <f>((3*4*DailyProdLog[[#This Row],[NoSections]]*DailyProdLog[[#This Row],[NoCavities]]*DailyProdLog[[#This Row],[Working Hours]])/(DailyProdLog[[#This Row],[DesignOutput]]))</f>
        <v>0.02</v>
      </c>
      <c r="H2" s="27">
        <v>0.01</v>
      </c>
      <c r="I2" s="27">
        <v>5.0000000000000001E-3</v>
      </c>
      <c r="J2" s="27">
        <v>5.0000000000000001E-3</v>
      </c>
      <c r="K2" s="27">
        <v>5.0000000000000001E-3</v>
      </c>
      <c r="L2" s="27">
        <v>2.5000000000000001E-3</v>
      </c>
      <c r="M2" s="27">
        <v>2.5000000000000001E-3</v>
      </c>
      <c r="N2" s="27">
        <v>6.8999999999999999E-3</v>
      </c>
      <c r="O2" s="27">
        <v>2.5000000000000001E-3</v>
      </c>
      <c r="P2" s="27">
        <v>2.5000000000000001E-3</v>
      </c>
      <c r="Q2" s="28">
        <v>2.5000000000000001E-3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xr:uid="{AE78B193-1EAC-4874-93ED-5E9757B1C296}">
          <x14:formula1>
            <xm:f>DataValidation!$B$2:$B$6</xm:f>
          </x14:formula1>
          <xm:sqref>B2</xm:sqref>
        </x14:dataValidation>
        <x14:dataValidation type="list" allowBlank="1" xr:uid="{9EEE7D0A-0B1F-4DC4-9650-2D783DD86451}">
          <x14:formula1>
            <xm:f>DataValidation!$C$2:$C$3</xm:f>
          </x14:formula1>
          <xm:sqref>D2</xm:sqref>
        </x14:dataValidation>
        <x14:dataValidation type="list" allowBlank="1" xr:uid="{36B8220D-DCD3-4DC3-9BC6-7329C2E535D5}">
          <x14:formula1>
            <xm:f>DataValidation!$A$2</xm:f>
          </x14:formula1>
          <xm:sqref>A2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58EA1-A901-45CE-8905-9CD0245E038E}">
  <dimension ref="A1:I2"/>
  <sheetViews>
    <sheetView workbookViewId="0">
      <selection activeCell="I34" sqref="I34"/>
    </sheetView>
  </sheetViews>
  <sheetFormatPr defaultRowHeight="15" x14ac:dyDescent="0.25"/>
  <cols>
    <col min="1" max="1" width="16" customWidth="1"/>
    <col min="2" max="2" width="16.42578125" customWidth="1"/>
    <col min="3" max="3" width="14.140625" customWidth="1"/>
    <col min="4" max="4" width="17.140625" customWidth="1"/>
    <col min="5" max="5" width="16.42578125" customWidth="1"/>
    <col min="6" max="6" width="13.28515625" customWidth="1"/>
    <col min="7" max="7" width="16.85546875" customWidth="1"/>
    <col min="8" max="8" width="15.5703125" customWidth="1"/>
    <col min="9" max="9" width="11.5703125" customWidth="1"/>
  </cols>
  <sheetData>
    <row r="1" spans="1:9" x14ac:dyDescent="0.25">
      <c r="A1" s="5" t="s">
        <v>18</v>
      </c>
      <c r="B1" s="6" t="s">
        <v>19</v>
      </c>
      <c r="C1" s="6" t="s">
        <v>0</v>
      </c>
      <c r="D1" s="6" t="s">
        <v>3</v>
      </c>
      <c r="E1" s="6" t="s">
        <v>89</v>
      </c>
      <c r="F1" s="6" t="s">
        <v>1</v>
      </c>
      <c r="G1" s="6" t="s">
        <v>92</v>
      </c>
      <c r="H1" s="6" t="s">
        <v>90</v>
      </c>
      <c r="I1" s="7" t="s">
        <v>91</v>
      </c>
    </row>
    <row r="2" spans="1:9" x14ac:dyDescent="0.25">
      <c r="A2" s="16" t="s">
        <v>33</v>
      </c>
      <c r="B2" s="8">
        <v>21</v>
      </c>
      <c r="C2" s="29" t="s">
        <v>13</v>
      </c>
      <c r="D2" s="34" t="s">
        <v>34</v>
      </c>
      <c r="E2" s="17">
        <v>10</v>
      </c>
      <c r="F2" s="8" t="s">
        <v>14</v>
      </c>
      <c r="G2" s="35">
        <v>100</v>
      </c>
      <c r="H2" s="8" t="s">
        <v>65</v>
      </c>
      <c r="I2" s="36">
        <v>45</v>
      </c>
    </row>
  </sheetData>
  <dataValidations disablePrompts="1" count="1">
    <dataValidation allowBlank="1" sqref="G2" xr:uid="{3C3A5107-66C9-4D3E-9E8C-191B28D55688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xr:uid="{BE0061C4-E2CB-44A5-AD93-DA9E447EC8A6}">
          <x14:formula1>
            <xm:f>DataValidation!$B$2:$B$6</xm:f>
          </x14:formula1>
          <xm:sqref>B2</xm:sqref>
        </x14:dataValidation>
        <x14:dataValidation type="list" allowBlank="1" xr:uid="{FD02274D-B8A0-43C5-BCEC-454D34638090}">
          <x14:formula1>
            <xm:f>DataValidation!$H$2:$H$31</xm:f>
          </x14:formula1>
          <xm:sqref>H2</xm:sqref>
        </x14:dataValidation>
        <x14:dataValidation type="list" allowBlank="1" xr:uid="{3C9455B4-1D27-4710-B1CA-FA6D6AC558F1}">
          <x14:formula1>
            <xm:f>DataValidation!$C$2:$C$3</xm:f>
          </x14:formula1>
          <xm:sqref>F2</xm:sqref>
        </x14:dataValidation>
        <x14:dataValidation type="list" allowBlank="1" xr:uid="{2B644C38-965C-481D-B04C-0B736116A28E}">
          <x14:formula1>
            <xm:f>DataValidation!$A$2</xm:f>
          </x14:formula1>
          <xm:sqref>A2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9BEF6-369E-48C4-B5C0-5251BE17BEFD}">
  <dimension ref="A1:H2"/>
  <sheetViews>
    <sheetView workbookViewId="0">
      <selection activeCell="I24" sqref="I24"/>
    </sheetView>
  </sheetViews>
  <sheetFormatPr defaultRowHeight="15" x14ac:dyDescent="0.25"/>
  <cols>
    <col min="1" max="1" width="16.140625" customWidth="1"/>
    <col min="2" max="2" width="15.5703125" customWidth="1"/>
    <col min="3" max="3" width="15.42578125" customWidth="1"/>
    <col min="4" max="4" width="13.7109375" customWidth="1"/>
    <col min="5" max="5" width="17.140625" customWidth="1"/>
    <col min="6" max="6" width="24.42578125" customWidth="1"/>
    <col min="7" max="7" width="18.7109375" bestFit="1" customWidth="1"/>
    <col min="8" max="8" width="22.7109375" bestFit="1" customWidth="1"/>
  </cols>
  <sheetData>
    <row r="1" spans="1:8" x14ac:dyDescent="0.25">
      <c r="A1" s="5" t="s">
        <v>18</v>
      </c>
      <c r="B1" s="6" t="s">
        <v>19</v>
      </c>
      <c r="C1" s="6" t="s">
        <v>0</v>
      </c>
      <c r="D1" s="6" t="s">
        <v>1</v>
      </c>
      <c r="E1" s="6" t="s">
        <v>3</v>
      </c>
      <c r="F1" s="6" t="s">
        <v>77</v>
      </c>
      <c r="G1" s="6" t="s">
        <v>78</v>
      </c>
      <c r="H1" s="7" t="s">
        <v>79</v>
      </c>
    </row>
    <row r="2" spans="1:8" x14ac:dyDescent="0.25">
      <c r="A2" s="16" t="s">
        <v>33</v>
      </c>
      <c r="B2" s="8">
        <v>22</v>
      </c>
      <c r="C2" s="29" t="s">
        <v>13</v>
      </c>
      <c r="D2" s="8" t="s">
        <v>51</v>
      </c>
      <c r="E2" s="8" t="s">
        <v>34</v>
      </c>
      <c r="F2" s="8" t="s">
        <v>54</v>
      </c>
      <c r="G2" s="10">
        <v>12</v>
      </c>
      <c r="H2" s="11">
        <v>1050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D4FCAD9C-648B-4A69-A2A2-883C17E8C753}">
          <x14:formula1>
            <xm:f>DataValidation!$B$2:$B$6</xm:f>
          </x14:formula1>
          <xm:sqref>B2</xm:sqref>
        </x14:dataValidation>
        <x14:dataValidation type="list" allowBlank="1" xr:uid="{CCD94387-336A-4FDE-9C71-79760A1754D6}">
          <x14:formula1>
            <xm:f>DataValidation!$G$2:$G$3</xm:f>
          </x14:formula1>
          <xm:sqref>F2</xm:sqref>
        </x14:dataValidation>
        <x14:dataValidation type="list" allowBlank="1" xr:uid="{2C4B0540-2E27-4B33-8493-0CE86FE4E41F}">
          <x14:formula1>
            <xm:f>DataValidation!$C$2:$C$3</xm:f>
          </x14:formula1>
          <xm:sqref>D2</xm:sqref>
        </x14:dataValidation>
        <x14:dataValidation type="list" allowBlank="1" xr:uid="{FD0BF73E-FB5B-440C-BB40-D9E04FE855E4}">
          <x14:formula1>
            <xm:f>DataValidation!$A$2</xm:f>
          </x14:formula1>
          <xm:sqref>A2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94A5B-B880-4DF7-9DFE-8BADFEF629C7}">
  <dimension ref="A1:M11"/>
  <sheetViews>
    <sheetView tabSelected="1" workbookViewId="0">
      <selection activeCell="H12" sqref="H12"/>
    </sheetView>
  </sheetViews>
  <sheetFormatPr defaultRowHeight="15" x14ac:dyDescent="0.25"/>
  <cols>
    <col min="4" max="4" width="5.7109375" bestFit="1" customWidth="1"/>
    <col min="5" max="5" width="15.85546875" bestFit="1" customWidth="1"/>
    <col min="6" max="6" width="15.42578125" bestFit="1" customWidth="1"/>
    <col min="7" max="7" width="13.5703125" bestFit="1" customWidth="1"/>
    <col min="8" max="8" width="25.140625" bestFit="1" customWidth="1"/>
    <col min="12" max="12" width="12.42578125" bestFit="1" customWidth="1"/>
    <col min="13" max="13" width="16.28515625" bestFit="1" customWidth="1"/>
  </cols>
  <sheetData>
    <row r="1" spans="1:13" x14ac:dyDescent="0.25">
      <c r="A1" s="20" t="s">
        <v>37</v>
      </c>
      <c r="B1" s="20" t="s">
        <v>38</v>
      </c>
      <c r="C1" s="20" t="s">
        <v>39</v>
      </c>
      <c r="D1" s="20" t="s">
        <v>40</v>
      </c>
      <c r="E1" s="20" t="s">
        <v>41</v>
      </c>
      <c r="F1" s="20" t="s">
        <v>42</v>
      </c>
      <c r="G1" s="20" t="s">
        <v>43</v>
      </c>
      <c r="H1" s="20" t="s">
        <v>44</v>
      </c>
      <c r="I1" s="20" t="s">
        <v>45</v>
      </c>
      <c r="J1" s="20" t="s">
        <v>46</v>
      </c>
      <c r="K1" s="20" t="s">
        <v>47</v>
      </c>
      <c r="L1" s="20" t="s">
        <v>94</v>
      </c>
      <c r="M1" s="20" t="s">
        <v>108</v>
      </c>
    </row>
    <row r="2" spans="1:13" x14ac:dyDescent="0.25">
      <c r="A2" s="23" t="s">
        <v>33</v>
      </c>
      <c r="B2" s="22">
        <v>21</v>
      </c>
      <c r="C2" s="22" t="s">
        <v>14</v>
      </c>
      <c r="D2" s="22" t="s">
        <v>15</v>
      </c>
      <c r="E2" s="22" t="s">
        <v>48</v>
      </c>
      <c r="F2" s="23" t="s">
        <v>17</v>
      </c>
      <c r="G2" s="23" t="s">
        <v>54</v>
      </c>
      <c r="H2" s="23" t="s">
        <v>49</v>
      </c>
      <c r="I2" s="22" t="s">
        <v>50</v>
      </c>
      <c r="J2" s="22" t="s">
        <v>50</v>
      </c>
      <c r="K2" s="22" t="s">
        <v>50</v>
      </c>
      <c r="L2" s="22" t="s">
        <v>96</v>
      </c>
      <c r="M2" s="22" t="s">
        <v>104</v>
      </c>
    </row>
    <row r="3" spans="1:13" x14ac:dyDescent="0.25">
      <c r="B3" s="23">
        <v>22</v>
      </c>
      <c r="C3" s="23" t="s">
        <v>51</v>
      </c>
      <c r="D3" s="23" t="s">
        <v>52</v>
      </c>
      <c r="E3" s="23" t="s">
        <v>35</v>
      </c>
      <c r="F3" s="23" t="s">
        <v>53</v>
      </c>
      <c r="G3" s="23" t="s">
        <v>60</v>
      </c>
      <c r="H3" s="23" t="s">
        <v>55</v>
      </c>
      <c r="I3" s="23" t="s">
        <v>56</v>
      </c>
      <c r="J3" s="23" t="s">
        <v>56</v>
      </c>
      <c r="K3" s="23" t="s">
        <v>56</v>
      </c>
      <c r="L3" s="23" t="s">
        <v>100</v>
      </c>
      <c r="M3" s="22" t="s">
        <v>106</v>
      </c>
    </row>
    <row r="4" spans="1:13" x14ac:dyDescent="0.25">
      <c r="B4" s="22">
        <v>23</v>
      </c>
      <c r="D4" s="22" t="s">
        <v>57</v>
      </c>
      <c r="E4" s="22" t="s">
        <v>58</v>
      </c>
      <c r="F4" s="23" t="s">
        <v>59</v>
      </c>
      <c r="G4" s="21"/>
      <c r="H4" s="23" t="s">
        <v>61</v>
      </c>
      <c r="I4" s="22" t="s">
        <v>62</v>
      </c>
      <c r="J4" s="22" t="s">
        <v>62</v>
      </c>
      <c r="K4" s="22" t="s">
        <v>62</v>
      </c>
    </row>
    <row r="5" spans="1:13" x14ac:dyDescent="0.25">
      <c r="B5" s="23">
        <v>24</v>
      </c>
      <c r="E5" s="23" t="s">
        <v>111</v>
      </c>
      <c r="H5" s="23" t="s">
        <v>63</v>
      </c>
      <c r="I5" s="23" t="s">
        <v>64</v>
      </c>
      <c r="J5" s="23" t="s">
        <v>64</v>
      </c>
      <c r="K5" s="23" t="s">
        <v>64</v>
      </c>
    </row>
    <row r="6" spans="1:13" x14ac:dyDescent="0.25">
      <c r="B6" s="22">
        <v>25</v>
      </c>
      <c r="H6" s="23" t="s">
        <v>65</v>
      </c>
      <c r="I6" s="22" t="s">
        <v>66</v>
      </c>
      <c r="J6" s="22" t="s">
        <v>66</v>
      </c>
      <c r="K6" s="22" t="s">
        <v>66</v>
      </c>
    </row>
    <row r="7" spans="1:13" x14ac:dyDescent="0.25">
      <c r="H7" s="23" t="s">
        <v>67</v>
      </c>
      <c r="I7" s="23" t="s">
        <v>68</v>
      </c>
      <c r="J7" s="23" t="s">
        <v>68</v>
      </c>
      <c r="K7" s="23" t="s">
        <v>68</v>
      </c>
    </row>
    <row r="8" spans="1:13" x14ac:dyDescent="0.25">
      <c r="H8" s="23" t="s">
        <v>69</v>
      </c>
      <c r="I8" s="22" t="s">
        <v>70</v>
      </c>
      <c r="J8" s="22" t="s">
        <v>70</v>
      </c>
      <c r="K8" s="22" t="s">
        <v>70</v>
      </c>
    </row>
    <row r="9" spans="1:13" x14ac:dyDescent="0.25">
      <c r="H9" s="23" t="s">
        <v>71</v>
      </c>
      <c r="I9" s="23" t="s">
        <v>72</v>
      </c>
      <c r="J9" s="23" t="s">
        <v>72</v>
      </c>
      <c r="K9" s="23" t="s">
        <v>72</v>
      </c>
    </row>
    <row r="10" spans="1:13" x14ac:dyDescent="0.25">
      <c r="H10" s="23" t="s">
        <v>73</v>
      </c>
      <c r="I10" s="22" t="s">
        <v>74</v>
      </c>
      <c r="J10" s="22" t="s">
        <v>74</v>
      </c>
      <c r="K10" s="22" t="s">
        <v>74</v>
      </c>
    </row>
    <row r="11" spans="1:13" x14ac:dyDescent="0.25">
      <c r="H11" s="23" t="s">
        <v>123</v>
      </c>
      <c r="I11" s="23" t="s">
        <v>75</v>
      </c>
      <c r="J11" s="23" t="s">
        <v>75</v>
      </c>
      <c r="K11" s="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Customers</vt:lpstr>
      <vt:lpstr>Products</vt:lpstr>
      <vt:lpstr>JobChangeTypes</vt:lpstr>
      <vt:lpstr>OrderLog</vt:lpstr>
      <vt:lpstr>JobChangeLog</vt:lpstr>
      <vt:lpstr>DailyProdLog</vt:lpstr>
      <vt:lpstr>LossesLog</vt:lpstr>
      <vt:lpstr>SamplingDefectLog</vt:lpstr>
      <vt:lpstr>ReworkLog</vt:lpstr>
      <vt:lpstr>DataValidation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Fergany</dc:creator>
  <cp:lastModifiedBy>Ahmed Fergany</cp:lastModifiedBy>
  <dcterms:created xsi:type="dcterms:W3CDTF">2015-06-05T18:17:20Z</dcterms:created>
  <dcterms:modified xsi:type="dcterms:W3CDTF">2026-08-02T12:44:03Z</dcterms:modified>
</cp:coreProperties>
</file>