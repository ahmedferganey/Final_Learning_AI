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Dashboards/NEW_Factory2/"/>
    </mc:Choice>
  </mc:AlternateContent>
  <xr:revisionPtr revIDLastSave="81" documentId="11_E2A3A7E300637F0B3E2E74477076CD7D41EDCB9D" xr6:coauthVersionLast="47" xr6:coauthVersionMax="47" xr10:uidLastSave="{F6B26979-ABA5-4BF5-B97B-502F096E2693}"/>
  <bookViews>
    <workbookView xWindow="-120" yWindow="-120" windowWidth="29040" windowHeight="15720" activeTab="2" xr2:uid="{00000000-000D-0000-FFFF-FFFF00000000}"/>
  </bookViews>
  <sheets>
    <sheet name="Instructions" sheetId="1" r:id="rId1"/>
    <sheet name="JobChange" sheetId="2" r:id="rId2"/>
    <sheet name="JobChangeImpact" sheetId="6" r:id="rId3"/>
    <sheet name="DailyProduction" sheetId="3" r:id="rId4"/>
    <sheet name="ProductionConfiguration" sheetId="5" r:id="rId5"/>
    <sheet name="_ValidationLists" sheetId="4" r:id="rId6"/>
  </sheets>
  <calcPr calcId="191029"/>
</workbook>
</file>

<file path=xl/calcChain.xml><?xml version="1.0" encoding="utf-8"?>
<calcChain xmlns="http://schemas.openxmlformats.org/spreadsheetml/2006/main">
  <c r="AB100" i="6" l="1"/>
  <c r="AA100" i="6"/>
  <c r="Z100" i="6"/>
  <c r="Y100" i="6"/>
  <c r="W100" i="6"/>
  <c r="V100" i="6"/>
  <c r="U100" i="6"/>
  <c r="T100" i="6"/>
  <c r="S100" i="6"/>
  <c r="R100" i="6"/>
  <c r="AB99" i="6"/>
  <c r="AA99" i="6"/>
  <c r="Z99" i="6"/>
  <c r="Y99" i="6"/>
  <c r="W99" i="6"/>
  <c r="V99" i="6"/>
  <c r="U99" i="6"/>
  <c r="T99" i="6"/>
  <c r="S99" i="6"/>
  <c r="R99" i="6"/>
  <c r="AB98" i="6"/>
  <c r="AA98" i="6"/>
  <c r="Z98" i="6"/>
  <c r="Y98" i="6"/>
  <c r="W98" i="6"/>
  <c r="V98" i="6"/>
  <c r="U98" i="6"/>
  <c r="T98" i="6"/>
  <c r="S98" i="6"/>
  <c r="R98" i="6"/>
  <c r="AB97" i="6"/>
  <c r="AA97" i="6"/>
  <c r="Z97" i="6"/>
  <c r="Y97" i="6"/>
  <c r="W97" i="6"/>
  <c r="V97" i="6"/>
  <c r="U97" i="6"/>
  <c r="T97" i="6"/>
  <c r="S97" i="6"/>
  <c r="R97" i="6"/>
  <c r="AB96" i="6"/>
  <c r="AA96" i="6"/>
  <c r="Z96" i="6"/>
  <c r="Y96" i="6"/>
  <c r="W96" i="6"/>
  <c r="V96" i="6"/>
  <c r="U96" i="6"/>
  <c r="T96" i="6"/>
  <c r="S96" i="6"/>
  <c r="R96" i="6"/>
  <c r="AB95" i="6"/>
  <c r="AA95" i="6"/>
  <c r="Z95" i="6"/>
  <c r="Y95" i="6"/>
  <c r="W95" i="6"/>
  <c r="V95" i="6"/>
  <c r="U95" i="6"/>
  <c r="T95" i="6"/>
  <c r="S95" i="6"/>
  <c r="R95" i="6"/>
  <c r="AB94" i="6"/>
  <c r="AA94" i="6"/>
  <c r="Z94" i="6"/>
  <c r="Y94" i="6"/>
  <c r="W94" i="6"/>
  <c r="V94" i="6"/>
  <c r="U94" i="6"/>
  <c r="T94" i="6"/>
  <c r="S94" i="6"/>
  <c r="R94" i="6"/>
  <c r="AB93" i="6"/>
  <c r="AA93" i="6"/>
  <c r="Z93" i="6"/>
  <c r="Y93" i="6"/>
  <c r="W93" i="6"/>
  <c r="V93" i="6"/>
  <c r="U93" i="6"/>
  <c r="T93" i="6"/>
  <c r="S93" i="6"/>
  <c r="R93" i="6"/>
  <c r="AB92" i="6"/>
  <c r="AA92" i="6"/>
  <c r="Z92" i="6"/>
  <c r="Y92" i="6"/>
  <c r="W92" i="6"/>
  <c r="V92" i="6"/>
  <c r="U92" i="6"/>
  <c r="T92" i="6"/>
  <c r="S92" i="6"/>
  <c r="R92" i="6"/>
  <c r="AB91" i="6"/>
  <c r="AA91" i="6"/>
  <c r="Z91" i="6"/>
  <c r="Y91" i="6"/>
  <c r="W91" i="6"/>
  <c r="V91" i="6"/>
  <c r="U91" i="6"/>
  <c r="T91" i="6"/>
  <c r="S91" i="6"/>
  <c r="R91" i="6"/>
  <c r="AB90" i="6"/>
  <c r="AA90" i="6"/>
  <c r="Z90" i="6"/>
  <c r="Y90" i="6"/>
  <c r="W90" i="6"/>
  <c r="V90" i="6"/>
  <c r="U90" i="6"/>
  <c r="T90" i="6"/>
  <c r="S90" i="6"/>
  <c r="R90" i="6"/>
  <c r="AB89" i="6"/>
  <c r="AA89" i="6"/>
  <c r="Z89" i="6"/>
  <c r="Y89" i="6"/>
  <c r="W89" i="6"/>
  <c r="V89" i="6"/>
  <c r="U89" i="6"/>
  <c r="T89" i="6"/>
  <c r="S89" i="6"/>
  <c r="R89" i="6"/>
  <c r="AB88" i="6"/>
  <c r="AA88" i="6"/>
  <c r="Z88" i="6"/>
  <c r="Y88" i="6"/>
  <c r="W88" i="6"/>
  <c r="V88" i="6"/>
  <c r="U88" i="6"/>
  <c r="T88" i="6"/>
  <c r="S88" i="6"/>
  <c r="R88" i="6"/>
  <c r="AB87" i="6"/>
  <c r="AA87" i="6"/>
  <c r="Z87" i="6"/>
  <c r="Y87" i="6"/>
  <c r="W87" i="6"/>
  <c r="V87" i="6"/>
  <c r="U87" i="6"/>
  <c r="T87" i="6"/>
  <c r="S87" i="6"/>
  <c r="R87" i="6"/>
  <c r="AB86" i="6"/>
  <c r="AA86" i="6"/>
  <c r="Z86" i="6"/>
  <c r="Y86" i="6"/>
  <c r="W86" i="6"/>
  <c r="V86" i="6"/>
  <c r="U86" i="6"/>
  <c r="T86" i="6"/>
  <c r="S86" i="6"/>
  <c r="R86" i="6"/>
  <c r="AB85" i="6"/>
  <c r="AA85" i="6"/>
  <c r="Z85" i="6"/>
  <c r="Y85" i="6"/>
  <c r="W85" i="6"/>
  <c r="V85" i="6"/>
  <c r="U85" i="6"/>
  <c r="T85" i="6"/>
  <c r="S85" i="6"/>
  <c r="R85" i="6"/>
  <c r="AB84" i="6"/>
  <c r="AA84" i="6"/>
  <c r="Z84" i="6"/>
  <c r="Y84" i="6"/>
  <c r="W84" i="6"/>
  <c r="V84" i="6"/>
  <c r="U84" i="6"/>
  <c r="T84" i="6"/>
  <c r="S84" i="6"/>
  <c r="R84" i="6"/>
  <c r="AB83" i="6"/>
  <c r="AA83" i="6"/>
  <c r="Z83" i="6"/>
  <c r="Y83" i="6"/>
  <c r="W83" i="6"/>
  <c r="V83" i="6"/>
  <c r="U83" i="6"/>
  <c r="T83" i="6"/>
  <c r="S83" i="6"/>
  <c r="R83" i="6"/>
  <c r="AB82" i="6"/>
  <c r="AA82" i="6"/>
  <c r="Z82" i="6"/>
  <c r="Y82" i="6"/>
  <c r="W82" i="6"/>
  <c r="V82" i="6"/>
  <c r="U82" i="6"/>
  <c r="T82" i="6"/>
  <c r="S82" i="6"/>
  <c r="R82" i="6"/>
  <c r="AB81" i="6"/>
  <c r="AA81" i="6"/>
  <c r="Z81" i="6"/>
  <c r="Y81" i="6"/>
  <c r="W81" i="6"/>
  <c r="V81" i="6"/>
  <c r="U81" i="6"/>
  <c r="T81" i="6"/>
  <c r="S81" i="6"/>
  <c r="R81" i="6"/>
  <c r="AB80" i="6"/>
  <c r="AA80" i="6"/>
  <c r="Z80" i="6"/>
  <c r="Y80" i="6"/>
  <c r="W80" i="6"/>
  <c r="V80" i="6"/>
  <c r="U80" i="6"/>
  <c r="T80" i="6"/>
  <c r="S80" i="6"/>
  <c r="R80" i="6"/>
  <c r="AB79" i="6"/>
  <c r="AA79" i="6"/>
  <c r="Z79" i="6"/>
  <c r="Y79" i="6"/>
  <c r="W79" i="6"/>
  <c r="V79" i="6"/>
  <c r="U79" i="6"/>
  <c r="T79" i="6"/>
  <c r="S79" i="6"/>
  <c r="R79" i="6"/>
  <c r="AB78" i="6"/>
  <c r="AA78" i="6"/>
  <c r="Z78" i="6"/>
  <c r="Y78" i="6"/>
  <c r="W78" i="6"/>
  <c r="V78" i="6"/>
  <c r="U78" i="6"/>
  <c r="T78" i="6"/>
  <c r="S78" i="6"/>
  <c r="R78" i="6"/>
  <c r="AB77" i="6"/>
  <c r="AA77" i="6"/>
  <c r="Z77" i="6"/>
  <c r="Y77" i="6"/>
  <c r="W77" i="6"/>
  <c r="V77" i="6"/>
  <c r="U77" i="6"/>
  <c r="T77" i="6"/>
  <c r="S77" i="6"/>
  <c r="R77" i="6"/>
  <c r="AB76" i="6"/>
  <c r="AA76" i="6"/>
  <c r="Z76" i="6"/>
  <c r="Y76" i="6"/>
  <c r="W76" i="6"/>
  <c r="V76" i="6"/>
  <c r="U76" i="6"/>
  <c r="T76" i="6"/>
  <c r="S76" i="6"/>
  <c r="R76" i="6"/>
  <c r="AB75" i="6"/>
  <c r="AA75" i="6"/>
  <c r="Z75" i="6"/>
  <c r="Y75" i="6"/>
  <c r="W75" i="6"/>
  <c r="V75" i="6"/>
  <c r="U75" i="6"/>
  <c r="T75" i="6"/>
  <c r="S75" i="6"/>
  <c r="R75" i="6"/>
  <c r="AB74" i="6"/>
  <c r="AA74" i="6"/>
  <c r="Z74" i="6"/>
  <c r="Y74" i="6"/>
  <c r="W74" i="6"/>
  <c r="V74" i="6"/>
  <c r="U74" i="6"/>
  <c r="T74" i="6"/>
  <c r="S74" i="6"/>
  <c r="R74" i="6"/>
  <c r="AB73" i="6"/>
  <c r="AA73" i="6"/>
  <c r="Z73" i="6"/>
  <c r="Y73" i="6"/>
  <c r="W73" i="6"/>
  <c r="V73" i="6"/>
  <c r="U73" i="6"/>
  <c r="T73" i="6"/>
  <c r="S73" i="6"/>
  <c r="R73" i="6"/>
  <c r="AB72" i="6"/>
  <c r="AA72" i="6"/>
  <c r="Z72" i="6"/>
  <c r="Y72" i="6"/>
  <c r="W72" i="6"/>
  <c r="V72" i="6"/>
  <c r="U72" i="6"/>
  <c r="T72" i="6"/>
  <c r="S72" i="6"/>
  <c r="R72" i="6"/>
  <c r="AB71" i="6"/>
  <c r="AA71" i="6"/>
  <c r="Z71" i="6"/>
  <c r="Y71" i="6"/>
  <c r="W71" i="6"/>
  <c r="V71" i="6"/>
  <c r="U71" i="6"/>
  <c r="T71" i="6"/>
  <c r="S71" i="6"/>
  <c r="R71" i="6"/>
  <c r="AB70" i="6"/>
  <c r="AA70" i="6"/>
  <c r="Z70" i="6"/>
  <c r="Y70" i="6"/>
  <c r="W70" i="6"/>
  <c r="V70" i="6"/>
  <c r="U70" i="6"/>
  <c r="T70" i="6"/>
  <c r="S70" i="6"/>
  <c r="R70" i="6"/>
  <c r="AB69" i="6"/>
  <c r="AA69" i="6"/>
  <c r="Z69" i="6"/>
  <c r="Y69" i="6"/>
  <c r="W69" i="6"/>
  <c r="V69" i="6"/>
  <c r="U69" i="6"/>
  <c r="T69" i="6"/>
  <c r="S69" i="6"/>
  <c r="R69" i="6"/>
  <c r="AB68" i="6"/>
  <c r="AA68" i="6"/>
  <c r="Z68" i="6"/>
  <c r="Y68" i="6"/>
  <c r="W68" i="6"/>
  <c r="V68" i="6"/>
  <c r="U68" i="6"/>
  <c r="T68" i="6"/>
  <c r="S68" i="6"/>
  <c r="R68" i="6"/>
  <c r="AB67" i="6"/>
  <c r="AA67" i="6"/>
  <c r="Z67" i="6"/>
  <c r="Y67" i="6"/>
  <c r="W67" i="6"/>
  <c r="V67" i="6"/>
  <c r="U67" i="6"/>
  <c r="T67" i="6"/>
  <c r="S67" i="6"/>
  <c r="R67" i="6"/>
  <c r="AB66" i="6"/>
  <c r="AA66" i="6"/>
  <c r="Z66" i="6"/>
  <c r="Y66" i="6"/>
  <c r="W66" i="6"/>
  <c r="V66" i="6"/>
  <c r="U66" i="6"/>
  <c r="T66" i="6"/>
  <c r="S66" i="6"/>
  <c r="R66" i="6"/>
  <c r="AB65" i="6"/>
  <c r="AA65" i="6"/>
  <c r="Z65" i="6"/>
  <c r="Y65" i="6"/>
  <c r="W65" i="6"/>
  <c r="V65" i="6"/>
  <c r="U65" i="6"/>
  <c r="T65" i="6"/>
  <c r="S65" i="6"/>
  <c r="R65" i="6"/>
  <c r="AB64" i="6"/>
  <c r="AA64" i="6"/>
  <c r="Z64" i="6"/>
  <c r="Y64" i="6"/>
  <c r="W64" i="6"/>
  <c r="V64" i="6"/>
  <c r="U64" i="6"/>
  <c r="T64" i="6"/>
  <c r="S64" i="6"/>
  <c r="R64" i="6"/>
  <c r="AB63" i="6"/>
  <c r="AA63" i="6"/>
  <c r="Z63" i="6"/>
  <c r="Y63" i="6"/>
  <c r="W63" i="6"/>
  <c r="V63" i="6"/>
  <c r="U63" i="6"/>
  <c r="T63" i="6"/>
  <c r="S63" i="6"/>
  <c r="R63" i="6"/>
  <c r="AB62" i="6"/>
  <c r="AA62" i="6"/>
  <c r="Z62" i="6"/>
  <c r="Y62" i="6"/>
  <c r="W62" i="6"/>
  <c r="V62" i="6"/>
  <c r="U62" i="6"/>
  <c r="T62" i="6"/>
  <c r="S62" i="6"/>
  <c r="R62" i="6"/>
  <c r="AB61" i="6"/>
  <c r="AA61" i="6"/>
  <c r="Z61" i="6"/>
  <c r="Y61" i="6"/>
  <c r="W61" i="6"/>
  <c r="V61" i="6"/>
  <c r="U61" i="6"/>
  <c r="T61" i="6"/>
  <c r="S61" i="6"/>
  <c r="R61" i="6"/>
  <c r="AB60" i="6"/>
  <c r="AA60" i="6"/>
  <c r="Z60" i="6"/>
  <c r="Y60" i="6"/>
  <c r="W60" i="6"/>
  <c r="V60" i="6"/>
  <c r="U60" i="6"/>
  <c r="T60" i="6"/>
  <c r="S60" i="6"/>
  <c r="R60" i="6"/>
  <c r="AB59" i="6"/>
  <c r="AA59" i="6"/>
  <c r="Z59" i="6"/>
  <c r="Y59" i="6"/>
  <c r="W59" i="6"/>
  <c r="V59" i="6"/>
  <c r="U59" i="6"/>
  <c r="T59" i="6"/>
  <c r="S59" i="6"/>
  <c r="R59" i="6"/>
  <c r="AB58" i="6"/>
  <c r="AA58" i="6"/>
  <c r="Z58" i="6"/>
  <c r="Y58" i="6"/>
  <c r="W58" i="6"/>
  <c r="V58" i="6"/>
  <c r="U58" i="6"/>
  <c r="T58" i="6"/>
  <c r="S58" i="6"/>
  <c r="R58" i="6"/>
  <c r="AB57" i="6"/>
  <c r="AA57" i="6"/>
  <c r="Z57" i="6"/>
  <c r="Y57" i="6"/>
  <c r="W57" i="6"/>
  <c r="V57" i="6"/>
  <c r="U57" i="6"/>
  <c r="T57" i="6"/>
  <c r="S57" i="6"/>
  <c r="R57" i="6"/>
  <c r="AB56" i="6"/>
  <c r="AA56" i="6"/>
  <c r="Z56" i="6"/>
  <c r="Y56" i="6"/>
  <c r="W56" i="6"/>
  <c r="V56" i="6"/>
  <c r="U56" i="6"/>
  <c r="T56" i="6"/>
  <c r="S56" i="6"/>
  <c r="R56" i="6"/>
  <c r="AB55" i="6"/>
  <c r="AA55" i="6"/>
  <c r="Z55" i="6"/>
  <c r="Y55" i="6"/>
  <c r="W55" i="6"/>
  <c r="V55" i="6"/>
  <c r="U55" i="6"/>
  <c r="T55" i="6"/>
  <c r="S55" i="6"/>
  <c r="R55" i="6"/>
  <c r="AB54" i="6"/>
  <c r="AA54" i="6"/>
  <c r="Z54" i="6"/>
  <c r="Y54" i="6"/>
  <c r="W54" i="6"/>
  <c r="V54" i="6"/>
  <c r="U54" i="6"/>
  <c r="T54" i="6"/>
  <c r="S54" i="6"/>
  <c r="R54" i="6"/>
  <c r="AB53" i="6"/>
  <c r="AA53" i="6"/>
  <c r="Z53" i="6"/>
  <c r="Y53" i="6"/>
  <c r="W53" i="6"/>
  <c r="V53" i="6"/>
  <c r="U53" i="6"/>
  <c r="T53" i="6"/>
  <c r="S53" i="6"/>
  <c r="R53" i="6"/>
  <c r="AB52" i="6"/>
  <c r="AA52" i="6"/>
  <c r="Z52" i="6"/>
  <c r="Y52" i="6"/>
  <c r="W52" i="6"/>
  <c r="V52" i="6"/>
  <c r="U52" i="6"/>
  <c r="T52" i="6"/>
  <c r="S52" i="6"/>
  <c r="R52" i="6"/>
  <c r="AB51" i="6"/>
  <c r="AA51" i="6"/>
  <c r="Z51" i="6"/>
  <c r="Y51" i="6"/>
  <c r="W51" i="6"/>
  <c r="V51" i="6"/>
  <c r="U51" i="6"/>
  <c r="T51" i="6"/>
  <c r="S51" i="6"/>
  <c r="R51" i="6"/>
  <c r="AB50" i="6"/>
  <c r="AA50" i="6"/>
  <c r="Z50" i="6"/>
  <c r="Y50" i="6"/>
  <c r="W50" i="6"/>
  <c r="V50" i="6"/>
  <c r="U50" i="6"/>
  <c r="T50" i="6"/>
  <c r="S50" i="6"/>
  <c r="R50" i="6"/>
  <c r="AB49" i="6"/>
  <c r="AA49" i="6"/>
  <c r="Z49" i="6"/>
  <c r="Y49" i="6"/>
  <c r="W49" i="6"/>
  <c r="V49" i="6"/>
  <c r="U49" i="6"/>
  <c r="T49" i="6"/>
  <c r="S49" i="6"/>
  <c r="R49" i="6"/>
  <c r="AB48" i="6"/>
  <c r="AA48" i="6"/>
  <c r="Z48" i="6"/>
  <c r="Y48" i="6"/>
  <c r="W48" i="6"/>
  <c r="V48" i="6"/>
  <c r="U48" i="6"/>
  <c r="T48" i="6"/>
  <c r="S48" i="6"/>
  <c r="R48" i="6"/>
  <c r="AB47" i="6"/>
  <c r="AA47" i="6"/>
  <c r="Z47" i="6"/>
  <c r="Y47" i="6"/>
  <c r="W47" i="6"/>
  <c r="V47" i="6"/>
  <c r="U47" i="6"/>
  <c r="T47" i="6"/>
  <c r="S47" i="6"/>
  <c r="R47" i="6"/>
  <c r="AB46" i="6"/>
  <c r="AA46" i="6"/>
  <c r="Z46" i="6"/>
  <c r="Y46" i="6"/>
  <c r="W46" i="6"/>
  <c r="V46" i="6"/>
  <c r="U46" i="6"/>
  <c r="T46" i="6"/>
  <c r="S46" i="6"/>
  <c r="R46" i="6"/>
  <c r="AB45" i="6"/>
  <c r="AA45" i="6"/>
  <c r="Z45" i="6"/>
  <c r="Y45" i="6"/>
  <c r="W45" i="6"/>
  <c r="V45" i="6"/>
  <c r="U45" i="6"/>
  <c r="T45" i="6"/>
  <c r="S45" i="6"/>
  <c r="R45" i="6"/>
  <c r="AB44" i="6"/>
  <c r="AA44" i="6"/>
  <c r="Z44" i="6"/>
  <c r="Y44" i="6"/>
  <c r="W44" i="6"/>
  <c r="V44" i="6"/>
  <c r="U44" i="6"/>
  <c r="T44" i="6"/>
  <c r="S44" i="6"/>
  <c r="R44" i="6"/>
  <c r="AB43" i="6"/>
  <c r="AA43" i="6"/>
  <c r="Z43" i="6"/>
  <c r="Y43" i="6"/>
  <c r="W43" i="6"/>
  <c r="V43" i="6"/>
  <c r="U43" i="6"/>
  <c r="T43" i="6"/>
  <c r="S43" i="6"/>
  <c r="R43" i="6"/>
  <c r="AB42" i="6"/>
  <c r="AA42" i="6"/>
  <c r="Z42" i="6"/>
  <c r="Y42" i="6"/>
  <c r="W42" i="6"/>
  <c r="V42" i="6"/>
  <c r="U42" i="6"/>
  <c r="T42" i="6"/>
  <c r="S42" i="6"/>
  <c r="R42" i="6"/>
  <c r="AB41" i="6"/>
  <c r="AA41" i="6"/>
  <c r="Z41" i="6"/>
  <c r="Y41" i="6"/>
  <c r="W41" i="6"/>
  <c r="V41" i="6"/>
  <c r="U41" i="6"/>
  <c r="T41" i="6"/>
  <c r="S41" i="6"/>
  <c r="R41" i="6"/>
  <c r="AB40" i="6"/>
  <c r="AA40" i="6"/>
  <c r="Z40" i="6"/>
  <c r="Y40" i="6"/>
  <c r="W40" i="6"/>
  <c r="V40" i="6"/>
  <c r="U40" i="6"/>
  <c r="T40" i="6"/>
  <c r="S40" i="6"/>
  <c r="R40" i="6"/>
  <c r="AB39" i="6"/>
  <c r="AA39" i="6"/>
  <c r="Z39" i="6"/>
  <c r="Y39" i="6"/>
  <c r="W39" i="6"/>
  <c r="V39" i="6"/>
  <c r="U39" i="6"/>
  <c r="T39" i="6"/>
  <c r="S39" i="6"/>
  <c r="R39" i="6"/>
  <c r="AB38" i="6"/>
  <c r="AA38" i="6"/>
  <c r="Z38" i="6"/>
  <c r="Y38" i="6"/>
  <c r="W38" i="6"/>
  <c r="V38" i="6"/>
  <c r="U38" i="6"/>
  <c r="T38" i="6"/>
  <c r="S38" i="6"/>
  <c r="R38" i="6"/>
  <c r="AA37" i="6"/>
  <c r="Z37" i="6"/>
  <c r="AA36" i="6"/>
  <c r="Z36" i="6"/>
  <c r="AA35" i="6"/>
  <c r="Z35" i="6"/>
  <c r="AA34" i="6"/>
  <c r="Z34" i="6"/>
  <c r="AA33" i="6"/>
  <c r="Z33" i="6"/>
  <c r="AA32" i="6"/>
  <c r="Z32" i="6"/>
  <c r="AA31" i="6"/>
  <c r="Z31" i="6"/>
  <c r="AA30" i="6"/>
  <c r="Z30" i="6"/>
  <c r="AA29" i="6"/>
  <c r="Z29" i="6"/>
  <c r="AA28" i="6"/>
  <c r="Z28" i="6"/>
  <c r="AA27" i="6"/>
  <c r="Z27" i="6"/>
  <c r="AA26" i="6"/>
  <c r="Z26" i="6"/>
  <c r="AA25" i="6"/>
  <c r="Z25" i="6"/>
  <c r="AA24" i="6"/>
  <c r="Z24" i="6"/>
  <c r="AA23" i="6"/>
  <c r="Z23" i="6"/>
  <c r="AA22" i="6"/>
  <c r="Z22" i="6"/>
  <c r="AA21" i="6"/>
  <c r="Z21" i="6"/>
  <c r="AA20" i="6"/>
  <c r="Z20" i="6"/>
  <c r="AA19" i="6"/>
  <c r="Z19" i="6"/>
  <c r="AA18" i="6"/>
  <c r="Z18" i="6"/>
  <c r="AA17" i="6"/>
  <c r="Z17" i="6"/>
  <c r="AA16" i="6"/>
  <c r="Z16" i="6"/>
  <c r="AA15" i="6"/>
  <c r="Z15" i="6"/>
  <c r="AA14" i="6"/>
  <c r="Z14" i="6"/>
  <c r="AA13" i="6"/>
  <c r="Z13" i="6"/>
  <c r="AA12" i="6"/>
  <c r="Z12" i="6"/>
  <c r="AA11" i="6"/>
  <c r="Z11" i="6"/>
  <c r="AA10" i="6"/>
  <c r="Z10" i="6"/>
  <c r="AA9" i="6"/>
  <c r="Z9" i="6"/>
  <c r="AA8" i="6"/>
  <c r="Z8" i="6"/>
  <c r="AA7" i="6"/>
  <c r="Z7" i="6"/>
  <c r="AA6" i="6"/>
  <c r="Z6" i="6"/>
  <c r="AA5" i="6"/>
  <c r="Z5" i="6"/>
  <c r="V914" i="5"/>
  <c r="T914" i="5"/>
  <c r="Q914" i="5"/>
  <c r="L914" i="5"/>
  <c r="R914" i="5" s="1"/>
  <c r="V913" i="5"/>
  <c r="T913" i="5"/>
  <c r="R913" i="5"/>
  <c r="Q913" i="5"/>
  <c r="S913" i="5" s="1"/>
  <c r="P913" i="5"/>
  <c r="L913" i="5"/>
  <c r="V912" i="5"/>
  <c r="T912" i="5"/>
  <c r="L912" i="5"/>
  <c r="R912" i="5" s="1"/>
  <c r="V911" i="5"/>
  <c r="T911" i="5"/>
  <c r="S911" i="5"/>
  <c r="R911" i="5"/>
  <c r="Q911" i="5"/>
  <c r="P911" i="5"/>
  <c r="L911" i="5"/>
  <c r="V910" i="5"/>
  <c r="T910" i="5"/>
  <c r="Q910" i="5"/>
  <c r="L910" i="5"/>
  <c r="R910" i="5" s="1"/>
  <c r="V909" i="5"/>
  <c r="T909" i="5"/>
  <c r="R909" i="5"/>
  <c r="Q909" i="5"/>
  <c r="P909" i="5"/>
  <c r="S909" i="5" s="1"/>
  <c r="L909" i="5"/>
  <c r="V908" i="5"/>
  <c r="T908" i="5"/>
  <c r="P908" i="5"/>
  <c r="L908" i="5"/>
  <c r="R908" i="5" s="1"/>
  <c r="V907" i="5"/>
  <c r="T907" i="5"/>
  <c r="R907" i="5"/>
  <c r="P907" i="5"/>
  <c r="S907" i="5" s="1"/>
  <c r="L907" i="5"/>
  <c r="Q907" i="5" s="1"/>
  <c r="V906" i="5"/>
  <c r="T906" i="5"/>
  <c r="R906" i="5"/>
  <c r="P906" i="5"/>
  <c r="L906" i="5"/>
  <c r="Q906" i="5" s="1"/>
  <c r="V905" i="5"/>
  <c r="T905" i="5"/>
  <c r="R905" i="5"/>
  <c r="P905" i="5"/>
  <c r="S905" i="5" s="1"/>
  <c r="L905" i="5"/>
  <c r="Q905" i="5" s="1"/>
  <c r="V904" i="5"/>
  <c r="T904" i="5"/>
  <c r="R904" i="5"/>
  <c r="L904" i="5"/>
  <c r="Q904" i="5" s="1"/>
  <c r="V903" i="5"/>
  <c r="T903" i="5"/>
  <c r="R903" i="5"/>
  <c r="Q903" i="5"/>
  <c r="P903" i="5"/>
  <c r="S903" i="5" s="1"/>
  <c r="L903" i="5"/>
  <c r="V902" i="5"/>
  <c r="T902" i="5"/>
  <c r="Q902" i="5"/>
  <c r="L902" i="5"/>
  <c r="R902" i="5" s="1"/>
  <c r="V901" i="5"/>
  <c r="T901" i="5"/>
  <c r="L901" i="5"/>
  <c r="R901" i="5" s="1"/>
  <c r="V900" i="5"/>
  <c r="T900" i="5"/>
  <c r="L900" i="5"/>
  <c r="V899" i="5"/>
  <c r="T899" i="5"/>
  <c r="L899" i="5"/>
  <c r="R899" i="5" s="1"/>
  <c r="V898" i="5"/>
  <c r="T898" i="5"/>
  <c r="Q898" i="5"/>
  <c r="L898" i="5"/>
  <c r="R898" i="5" s="1"/>
  <c r="V897" i="5"/>
  <c r="T897" i="5"/>
  <c r="R897" i="5"/>
  <c r="Q897" i="5"/>
  <c r="S897" i="5" s="1"/>
  <c r="P897" i="5"/>
  <c r="L897" i="5"/>
  <c r="V896" i="5"/>
  <c r="T896" i="5"/>
  <c r="L896" i="5"/>
  <c r="R896" i="5" s="1"/>
  <c r="V895" i="5"/>
  <c r="T895" i="5"/>
  <c r="S895" i="5"/>
  <c r="R895" i="5"/>
  <c r="Q895" i="5"/>
  <c r="P895" i="5"/>
  <c r="L895" i="5"/>
  <c r="V894" i="5"/>
  <c r="T894" i="5"/>
  <c r="Q894" i="5"/>
  <c r="L894" i="5"/>
  <c r="R894" i="5" s="1"/>
  <c r="V893" i="5"/>
  <c r="T893" i="5"/>
  <c r="R893" i="5"/>
  <c r="Q893" i="5"/>
  <c r="P893" i="5"/>
  <c r="S893" i="5" s="1"/>
  <c r="L893" i="5"/>
  <c r="V892" i="5"/>
  <c r="T892" i="5"/>
  <c r="P892" i="5"/>
  <c r="L892" i="5"/>
  <c r="R892" i="5" s="1"/>
  <c r="V891" i="5"/>
  <c r="T891" i="5"/>
  <c r="R891" i="5"/>
  <c r="P891" i="5"/>
  <c r="L891" i="5"/>
  <c r="Q891" i="5" s="1"/>
  <c r="V890" i="5"/>
  <c r="T890" i="5"/>
  <c r="R890" i="5"/>
  <c r="P890" i="5"/>
  <c r="S890" i="5" s="1"/>
  <c r="L890" i="5"/>
  <c r="Q890" i="5" s="1"/>
  <c r="V889" i="5"/>
  <c r="T889" i="5"/>
  <c r="R889" i="5"/>
  <c r="P889" i="5"/>
  <c r="L889" i="5"/>
  <c r="Q889" i="5" s="1"/>
  <c r="V888" i="5"/>
  <c r="T888" i="5"/>
  <c r="R888" i="5"/>
  <c r="L888" i="5"/>
  <c r="Q888" i="5" s="1"/>
  <c r="V887" i="5"/>
  <c r="T887" i="5"/>
  <c r="R887" i="5"/>
  <c r="Q887" i="5"/>
  <c r="P887" i="5"/>
  <c r="S887" i="5" s="1"/>
  <c r="L887" i="5"/>
  <c r="V886" i="5"/>
  <c r="T886" i="5"/>
  <c r="Q886" i="5"/>
  <c r="L886" i="5"/>
  <c r="R886" i="5" s="1"/>
  <c r="V885" i="5"/>
  <c r="T885" i="5"/>
  <c r="L885" i="5"/>
  <c r="R885" i="5" s="1"/>
  <c r="V884" i="5"/>
  <c r="T884" i="5"/>
  <c r="L884" i="5"/>
  <c r="V883" i="5"/>
  <c r="T883" i="5"/>
  <c r="L883" i="5"/>
  <c r="V882" i="5"/>
  <c r="T882" i="5"/>
  <c r="Q882" i="5"/>
  <c r="L882" i="5"/>
  <c r="R882" i="5" s="1"/>
  <c r="V881" i="5"/>
  <c r="T881" i="5"/>
  <c r="R881" i="5"/>
  <c r="Q881" i="5"/>
  <c r="S881" i="5" s="1"/>
  <c r="P881" i="5"/>
  <c r="L881" i="5"/>
  <c r="V880" i="5"/>
  <c r="T880" i="5"/>
  <c r="L880" i="5"/>
  <c r="R880" i="5" s="1"/>
  <c r="V879" i="5"/>
  <c r="T879" i="5"/>
  <c r="S879" i="5"/>
  <c r="R879" i="5"/>
  <c r="Q879" i="5"/>
  <c r="P879" i="5"/>
  <c r="L879" i="5"/>
  <c r="V878" i="5"/>
  <c r="T878" i="5"/>
  <c r="Q878" i="5"/>
  <c r="L878" i="5"/>
  <c r="R878" i="5" s="1"/>
  <c r="V877" i="5"/>
  <c r="T877" i="5"/>
  <c r="R877" i="5"/>
  <c r="Q877" i="5"/>
  <c r="P877" i="5"/>
  <c r="S877" i="5" s="1"/>
  <c r="L877" i="5"/>
  <c r="V876" i="5"/>
  <c r="T876" i="5"/>
  <c r="P876" i="5"/>
  <c r="L876" i="5"/>
  <c r="R876" i="5" s="1"/>
  <c r="V875" i="5"/>
  <c r="T875" i="5"/>
  <c r="R875" i="5"/>
  <c r="P875" i="5"/>
  <c r="L875" i="5"/>
  <c r="Q875" i="5" s="1"/>
  <c r="V874" i="5"/>
  <c r="T874" i="5"/>
  <c r="R874" i="5"/>
  <c r="P874" i="5"/>
  <c r="L874" i="5"/>
  <c r="Q874" i="5" s="1"/>
  <c r="V873" i="5"/>
  <c r="T873" i="5"/>
  <c r="R873" i="5"/>
  <c r="P873" i="5"/>
  <c r="S873" i="5" s="1"/>
  <c r="L873" i="5"/>
  <c r="Q873" i="5" s="1"/>
  <c r="V872" i="5"/>
  <c r="T872" i="5"/>
  <c r="R872" i="5"/>
  <c r="L872" i="5"/>
  <c r="Q872" i="5" s="1"/>
  <c r="V871" i="5"/>
  <c r="T871" i="5"/>
  <c r="R871" i="5"/>
  <c r="Q871" i="5"/>
  <c r="P871" i="5"/>
  <c r="S871" i="5" s="1"/>
  <c r="L871" i="5"/>
  <c r="V870" i="5"/>
  <c r="T870" i="5"/>
  <c r="Q870" i="5"/>
  <c r="L870" i="5"/>
  <c r="R870" i="5" s="1"/>
  <c r="V869" i="5"/>
  <c r="T869" i="5"/>
  <c r="L869" i="5"/>
  <c r="V868" i="5"/>
  <c r="T868" i="5"/>
  <c r="L868" i="5"/>
  <c r="V867" i="5"/>
  <c r="T867" i="5"/>
  <c r="L867" i="5"/>
  <c r="V866" i="5"/>
  <c r="T866" i="5"/>
  <c r="Q866" i="5"/>
  <c r="L866" i="5"/>
  <c r="R866" i="5" s="1"/>
  <c r="V865" i="5"/>
  <c r="T865" i="5"/>
  <c r="R865" i="5"/>
  <c r="Q865" i="5"/>
  <c r="S865" i="5" s="1"/>
  <c r="P865" i="5"/>
  <c r="L865" i="5"/>
  <c r="V864" i="5"/>
  <c r="T864" i="5"/>
  <c r="L864" i="5"/>
  <c r="R864" i="5" s="1"/>
  <c r="V863" i="5"/>
  <c r="T863" i="5"/>
  <c r="R863" i="5"/>
  <c r="S863" i="5" s="1"/>
  <c r="Q863" i="5"/>
  <c r="P863" i="5"/>
  <c r="L863" i="5"/>
  <c r="V862" i="5"/>
  <c r="T862" i="5"/>
  <c r="Q862" i="5"/>
  <c r="L862" i="5"/>
  <c r="R862" i="5" s="1"/>
  <c r="V861" i="5"/>
  <c r="T861" i="5"/>
  <c r="R861" i="5"/>
  <c r="Q861" i="5"/>
  <c r="P861" i="5"/>
  <c r="L861" i="5"/>
  <c r="V860" i="5"/>
  <c r="T860" i="5"/>
  <c r="P860" i="5"/>
  <c r="L860" i="5"/>
  <c r="R860" i="5" s="1"/>
  <c r="V859" i="5"/>
  <c r="T859" i="5"/>
  <c r="R859" i="5"/>
  <c r="P859" i="5"/>
  <c r="S859" i="5" s="1"/>
  <c r="L859" i="5"/>
  <c r="Q859" i="5" s="1"/>
  <c r="V858" i="5"/>
  <c r="T858" i="5"/>
  <c r="L858" i="5"/>
  <c r="Q858" i="5" s="1"/>
  <c r="V857" i="5"/>
  <c r="T857" i="5"/>
  <c r="R857" i="5"/>
  <c r="P857" i="5"/>
  <c r="L857" i="5"/>
  <c r="Q857" i="5" s="1"/>
  <c r="V856" i="5"/>
  <c r="T856" i="5"/>
  <c r="R856" i="5"/>
  <c r="Q856" i="5"/>
  <c r="L856" i="5"/>
  <c r="P856" i="5" s="1"/>
  <c r="V855" i="5"/>
  <c r="T855" i="5"/>
  <c r="R855" i="5"/>
  <c r="Q855" i="5"/>
  <c r="P855" i="5"/>
  <c r="L855" i="5"/>
  <c r="V854" i="5"/>
  <c r="T854" i="5"/>
  <c r="Q854" i="5"/>
  <c r="L854" i="5"/>
  <c r="R854" i="5" s="1"/>
  <c r="V853" i="5"/>
  <c r="T853" i="5"/>
  <c r="R853" i="5"/>
  <c r="L853" i="5"/>
  <c r="V852" i="5"/>
  <c r="T852" i="5"/>
  <c r="L852" i="5"/>
  <c r="V851" i="5"/>
  <c r="T851" i="5"/>
  <c r="L851" i="5"/>
  <c r="R851" i="5" s="1"/>
  <c r="V850" i="5"/>
  <c r="T850" i="5"/>
  <c r="Q850" i="5"/>
  <c r="L850" i="5"/>
  <c r="V849" i="5"/>
  <c r="T849" i="5"/>
  <c r="R849" i="5"/>
  <c r="S849" i="5" s="1"/>
  <c r="Q849" i="5"/>
  <c r="P849" i="5"/>
  <c r="L849" i="5"/>
  <c r="V848" i="5"/>
  <c r="T848" i="5"/>
  <c r="L848" i="5"/>
  <c r="V847" i="5"/>
  <c r="T847" i="5"/>
  <c r="R847" i="5"/>
  <c r="Q847" i="5"/>
  <c r="P847" i="5"/>
  <c r="S847" i="5" s="1"/>
  <c r="L847" i="5"/>
  <c r="V846" i="5"/>
  <c r="T846" i="5"/>
  <c r="Q846" i="5"/>
  <c r="L846" i="5"/>
  <c r="R846" i="5" s="1"/>
  <c r="V845" i="5"/>
  <c r="T845" i="5"/>
  <c r="R845" i="5"/>
  <c r="Q845" i="5"/>
  <c r="P845" i="5"/>
  <c r="L845" i="5"/>
  <c r="V844" i="5"/>
  <c r="T844" i="5"/>
  <c r="L844" i="5"/>
  <c r="V843" i="5"/>
  <c r="T843" i="5"/>
  <c r="R843" i="5"/>
  <c r="P843" i="5"/>
  <c r="S843" i="5" s="1"/>
  <c r="L843" i="5"/>
  <c r="Q843" i="5" s="1"/>
  <c r="V842" i="5"/>
  <c r="T842" i="5"/>
  <c r="R842" i="5"/>
  <c r="Q842" i="5"/>
  <c r="P842" i="5"/>
  <c r="S842" i="5" s="1"/>
  <c r="L842" i="5"/>
  <c r="V841" i="5"/>
  <c r="T841" i="5"/>
  <c r="R841" i="5"/>
  <c r="P841" i="5"/>
  <c r="L841" i="5"/>
  <c r="Q841" i="5" s="1"/>
  <c r="V840" i="5"/>
  <c r="T840" i="5"/>
  <c r="R840" i="5"/>
  <c r="L840" i="5"/>
  <c r="P840" i="5" s="1"/>
  <c r="V839" i="5"/>
  <c r="T839" i="5"/>
  <c r="R839" i="5"/>
  <c r="Q839" i="5"/>
  <c r="P839" i="5"/>
  <c r="S839" i="5" s="1"/>
  <c r="L839" i="5"/>
  <c r="V838" i="5"/>
  <c r="T838" i="5"/>
  <c r="L838" i="5"/>
  <c r="V837" i="5"/>
  <c r="T837" i="5"/>
  <c r="R837" i="5"/>
  <c r="P837" i="5"/>
  <c r="S837" i="5" s="1"/>
  <c r="L837" i="5"/>
  <c r="Q837" i="5" s="1"/>
  <c r="V836" i="5"/>
  <c r="T836" i="5"/>
  <c r="L836" i="5"/>
  <c r="V835" i="5"/>
  <c r="T835" i="5"/>
  <c r="Q835" i="5"/>
  <c r="P835" i="5"/>
  <c r="L835" i="5"/>
  <c r="R835" i="5" s="1"/>
  <c r="V834" i="5"/>
  <c r="T834" i="5"/>
  <c r="L834" i="5"/>
  <c r="V833" i="5"/>
  <c r="T833" i="5"/>
  <c r="S833" i="5"/>
  <c r="R833" i="5"/>
  <c r="Q833" i="5"/>
  <c r="P833" i="5"/>
  <c r="L833" i="5"/>
  <c r="V832" i="5"/>
  <c r="T832" i="5"/>
  <c r="L832" i="5"/>
  <c r="V831" i="5"/>
  <c r="T831" i="5"/>
  <c r="R831" i="5"/>
  <c r="Q831" i="5"/>
  <c r="P831" i="5"/>
  <c r="S831" i="5" s="1"/>
  <c r="L831" i="5"/>
  <c r="V830" i="5"/>
  <c r="T830" i="5"/>
  <c r="Q830" i="5"/>
  <c r="L830" i="5"/>
  <c r="V829" i="5"/>
  <c r="T829" i="5"/>
  <c r="R829" i="5"/>
  <c r="Q829" i="5"/>
  <c r="P829" i="5"/>
  <c r="S829" i="5" s="1"/>
  <c r="L829" i="5"/>
  <c r="V828" i="5"/>
  <c r="T828" i="5"/>
  <c r="S828" i="5"/>
  <c r="Q828" i="5"/>
  <c r="P828" i="5"/>
  <c r="L828" i="5"/>
  <c r="R828" i="5" s="1"/>
  <c r="V827" i="5"/>
  <c r="T827" i="5"/>
  <c r="R827" i="5"/>
  <c r="P827" i="5"/>
  <c r="L827" i="5"/>
  <c r="Q827" i="5" s="1"/>
  <c r="V826" i="5"/>
  <c r="T826" i="5"/>
  <c r="Q826" i="5"/>
  <c r="P826" i="5"/>
  <c r="L826" i="5"/>
  <c r="R826" i="5" s="1"/>
  <c r="S826" i="5" s="1"/>
  <c r="V825" i="5"/>
  <c r="T825" i="5"/>
  <c r="R825" i="5"/>
  <c r="P825" i="5"/>
  <c r="L825" i="5"/>
  <c r="Q825" i="5" s="1"/>
  <c r="V824" i="5"/>
  <c r="T824" i="5"/>
  <c r="R824" i="5"/>
  <c r="Q824" i="5"/>
  <c r="L824" i="5"/>
  <c r="P824" i="5" s="1"/>
  <c r="S824" i="5" s="1"/>
  <c r="V823" i="5"/>
  <c r="T823" i="5"/>
  <c r="R823" i="5"/>
  <c r="Q823" i="5"/>
  <c r="P823" i="5"/>
  <c r="S823" i="5" s="1"/>
  <c r="L823" i="5"/>
  <c r="V822" i="5"/>
  <c r="T822" i="5"/>
  <c r="L822" i="5"/>
  <c r="P822" i="5" s="1"/>
  <c r="V821" i="5"/>
  <c r="T821" i="5"/>
  <c r="R821" i="5"/>
  <c r="P821" i="5"/>
  <c r="L821" i="5"/>
  <c r="Q821" i="5" s="1"/>
  <c r="V820" i="5"/>
  <c r="T820" i="5"/>
  <c r="Q820" i="5"/>
  <c r="L820" i="5"/>
  <c r="V819" i="5"/>
  <c r="T819" i="5"/>
  <c r="R819" i="5"/>
  <c r="Q819" i="5"/>
  <c r="L819" i="5"/>
  <c r="P819" i="5" s="1"/>
  <c r="S819" i="5" s="1"/>
  <c r="V818" i="5"/>
  <c r="T818" i="5"/>
  <c r="L818" i="5"/>
  <c r="V817" i="5"/>
  <c r="T817" i="5"/>
  <c r="L817" i="5"/>
  <c r="R817" i="5" s="1"/>
  <c r="V816" i="5"/>
  <c r="T816" i="5"/>
  <c r="Q816" i="5"/>
  <c r="L816" i="5"/>
  <c r="R816" i="5" s="1"/>
  <c r="V815" i="5"/>
  <c r="T815" i="5"/>
  <c r="R815" i="5"/>
  <c r="Q815" i="5"/>
  <c r="P815" i="5"/>
  <c r="S815" i="5" s="1"/>
  <c r="L815" i="5"/>
  <c r="V814" i="5"/>
  <c r="T814" i="5"/>
  <c r="R814" i="5"/>
  <c r="L814" i="5"/>
  <c r="P814" i="5" s="1"/>
  <c r="V813" i="5"/>
  <c r="T813" i="5"/>
  <c r="R813" i="5"/>
  <c r="Q813" i="5"/>
  <c r="P813" i="5"/>
  <c r="S813" i="5" s="1"/>
  <c r="L813" i="5"/>
  <c r="V812" i="5"/>
  <c r="T812" i="5"/>
  <c r="L812" i="5"/>
  <c r="R812" i="5" s="1"/>
  <c r="V811" i="5"/>
  <c r="T811" i="5"/>
  <c r="R811" i="5"/>
  <c r="P811" i="5"/>
  <c r="L811" i="5"/>
  <c r="Q811" i="5" s="1"/>
  <c r="V810" i="5"/>
  <c r="T810" i="5"/>
  <c r="L810" i="5"/>
  <c r="R810" i="5" s="1"/>
  <c r="V809" i="5"/>
  <c r="T809" i="5"/>
  <c r="L809" i="5"/>
  <c r="Q809" i="5" s="1"/>
  <c r="V808" i="5"/>
  <c r="T808" i="5"/>
  <c r="Q808" i="5"/>
  <c r="L808" i="5"/>
  <c r="R808" i="5" s="1"/>
  <c r="V807" i="5"/>
  <c r="T807" i="5"/>
  <c r="R807" i="5"/>
  <c r="Q807" i="5"/>
  <c r="P807" i="5"/>
  <c r="L807" i="5"/>
  <c r="V806" i="5"/>
  <c r="T806" i="5"/>
  <c r="L806" i="5"/>
  <c r="P806" i="5" s="1"/>
  <c r="V805" i="5"/>
  <c r="T805" i="5"/>
  <c r="S805" i="5"/>
  <c r="R805" i="5"/>
  <c r="P805" i="5"/>
  <c r="L805" i="5"/>
  <c r="Q805" i="5" s="1"/>
  <c r="V804" i="5"/>
  <c r="T804" i="5"/>
  <c r="Q804" i="5"/>
  <c r="L804" i="5"/>
  <c r="V803" i="5"/>
  <c r="T803" i="5"/>
  <c r="P803" i="5"/>
  <c r="L803" i="5"/>
  <c r="R803" i="5" s="1"/>
  <c r="V802" i="5"/>
  <c r="T802" i="5"/>
  <c r="Q802" i="5"/>
  <c r="L802" i="5"/>
  <c r="V801" i="5"/>
  <c r="T801" i="5"/>
  <c r="L801" i="5"/>
  <c r="R801" i="5" s="1"/>
  <c r="V800" i="5"/>
  <c r="T800" i="5"/>
  <c r="Q800" i="5"/>
  <c r="P800" i="5"/>
  <c r="S800" i="5" s="1"/>
  <c r="L800" i="5"/>
  <c r="R800" i="5" s="1"/>
  <c r="V799" i="5"/>
  <c r="T799" i="5"/>
  <c r="R799" i="5"/>
  <c r="Q799" i="5"/>
  <c r="P799" i="5"/>
  <c r="S799" i="5" s="1"/>
  <c r="L799" i="5"/>
  <c r="V798" i="5"/>
  <c r="T798" i="5"/>
  <c r="R798" i="5"/>
  <c r="Q798" i="5"/>
  <c r="L798" i="5"/>
  <c r="P798" i="5" s="1"/>
  <c r="S798" i="5" s="1"/>
  <c r="V797" i="5"/>
  <c r="T797" i="5"/>
  <c r="R797" i="5"/>
  <c r="Q797" i="5"/>
  <c r="P797" i="5"/>
  <c r="S797" i="5" s="1"/>
  <c r="L797" i="5"/>
  <c r="V796" i="5"/>
  <c r="T796" i="5"/>
  <c r="S796" i="5"/>
  <c r="R796" i="5"/>
  <c r="Q796" i="5"/>
  <c r="P796" i="5"/>
  <c r="L796" i="5"/>
  <c r="V795" i="5"/>
  <c r="T795" i="5"/>
  <c r="R795" i="5"/>
  <c r="P795" i="5"/>
  <c r="S795" i="5" s="1"/>
  <c r="L795" i="5"/>
  <c r="Q795" i="5" s="1"/>
  <c r="V794" i="5"/>
  <c r="T794" i="5"/>
  <c r="S794" i="5"/>
  <c r="R794" i="5"/>
  <c r="Q794" i="5"/>
  <c r="P794" i="5"/>
  <c r="L794" i="5"/>
  <c r="V793" i="5"/>
  <c r="T793" i="5"/>
  <c r="L793" i="5"/>
  <c r="Q793" i="5" s="1"/>
  <c r="V792" i="5"/>
  <c r="T792" i="5"/>
  <c r="R792" i="5"/>
  <c r="P792" i="5"/>
  <c r="L792" i="5"/>
  <c r="Q792" i="5" s="1"/>
  <c r="S792" i="5" s="1"/>
  <c r="V791" i="5"/>
  <c r="T791" i="5"/>
  <c r="L791" i="5"/>
  <c r="R791" i="5" s="1"/>
  <c r="V790" i="5"/>
  <c r="T790" i="5"/>
  <c r="R790" i="5"/>
  <c r="Q790" i="5"/>
  <c r="L790" i="5"/>
  <c r="P790" i="5" s="1"/>
  <c r="S790" i="5" s="1"/>
  <c r="V789" i="5"/>
  <c r="T789" i="5"/>
  <c r="Q789" i="5"/>
  <c r="L789" i="5"/>
  <c r="R789" i="5" s="1"/>
  <c r="V788" i="5"/>
  <c r="T788" i="5"/>
  <c r="L788" i="5"/>
  <c r="V787" i="5"/>
  <c r="T787" i="5"/>
  <c r="Q787" i="5"/>
  <c r="P787" i="5"/>
  <c r="L787" i="5"/>
  <c r="R787" i="5" s="1"/>
  <c r="V786" i="5"/>
  <c r="T786" i="5"/>
  <c r="Q786" i="5"/>
  <c r="L786" i="5"/>
  <c r="V785" i="5"/>
  <c r="T785" i="5"/>
  <c r="Q785" i="5"/>
  <c r="P785" i="5"/>
  <c r="L785" i="5"/>
  <c r="R785" i="5" s="1"/>
  <c r="V784" i="5"/>
  <c r="T784" i="5"/>
  <c r="L784" i="5"/>
  <c r="R784" i="5" s="1"/>
  <c r="V783" i="5"/>
  <c r="T783" i="5"/>
  <c r="Q783" i="5"/>
  <c r="L783" i="5"/>
  <c r="R783" i="5" s="1"/>
  <c r="V782" i="5"/>
  <c r="T782" i="5"/>
  <c r="Q782" i="5"/>
  <c r="P782" i="5"/>
  <c r="L782" i="5"/>
  <c r="R782" i="5" s="1"/>
  <c r="V781" i="5"/>
  <c r="T781" i="5"/>
  <c r="R781" i="5"/>
  <c r="Q781" i="5"/>
  <c r="P781" i="5"/>
  <c r="S781" i="5" s="1"/>
  <c r="L781" i="5"/>
  <c r="V780" i="5"/>
  <c r="T780" i="5"/>
  <c r="R780" i="5"/>
  <c r="P780" i="5"/>
  <c r="L780" i="5"/>
  <c r="Q780" i="5" s="1"/>
  <c r="S780" i="5" s="1"/>
  <c r="V779" i="5"/>
  <c r="T779" i="5"/>
  <c r="R779" i="5"/>
  <c r="P779" i="5"/>
  <c r="S779" i="5" s="1"/>
  <c r="L779" i="5"/>
  <c r="Q779" i="5" s="1"/>
  <c r="V778" i="5"/>
  <c r="T778" i="5"/>
  <c r="S778" i="5"/>
  <c r="R778" i="5"/>
  <c r="Q778" i="5"/>
  <c r="P778" i="5"/>
  <c r="L778" i="5"/>
  <c r="V777" i="5"/>
  <c r="T777" i="5"/>
  <c r="R777" i="5"/>
  <c r="P777" i="5"/>
  <c r="L777" i="5"/>
  <c r="Q777" i="5" s="1"/>
  <c r="V776" i="5"/>
  <c r="T776" i="5"/>
  <c r="S776" i="5"/>
  <c r="R776" i="5"/>
  <c r="Q776" i="5"/>
  <c r="P776" i="5"/>
  <c r="L776" i="5"/>
  <c r="V775" i="5"/>
  <c r="T775" i="5"/>
  <c r="Q775" i="5"/>
  <c r="P775" i="5"/>
  <c r="L775" i="5"/>
  <c r="R775" i="5" s="1"/>
  <c r="V774" i="5"/>
  <c r="T774" i="5"/>
  <c r="S774" i="5"/>
  <c r="R774" i="5"/>
  <c r="Q774" i="5"/>
  <c r="P774" i="5"/>
  <c r="L774" i="5"/>
  <c r="V773" i="5"/>
  <c r="T773" i="5"/>
  <c r="Q773" i="5"/>
  <c r="P773" i="5"/>
  <c r="L773" i="5"/>
  <c r="R773" i="5" s="1"/>
  <c r="V772" i="5"/>
  <c r="T772" i="5"/>
  <c r="Q772" i="5"/>
  <c r="L772" i="5"/>
  <c r="P772" i="5" s="1"/>
  <c r="V771" i="5"/>
  <c r="T771" i="5"/>
  <c r="Q771" i="5"/>
  <c r="P771" i="5"/>
  <c r="L771" i="5"/>
  <c r="R771" i="5" s="1"/>
  <c r="V770" i="5"/>
  <c r="T770" i="5"/>
  <c r="L770" i="5"/>
  <c r="V769" i="5"/>
  <c r="T769" i="5"/>
  <c r="Q769" i="5"/>
  <c r="P769" i="5"/>
  <c r="S769" i="5" s="1"/>
  <c r="L769" i="5"/>
  <c r="R769" i="5" s="1"/>
  <c r="V768" i="5"/>
  <c r="T768" i="5"/>
  <c r="P768" i="5"/>
  <c r="L768" i="5"/>
  <c r="R768" i="5" s="1"/>
  <c r="V767" i="5"/>
  <c r="T767" i="5"/>
  <c r="L767" i="5"/>
  <c r="V766" i="5"/>
  <c r="T766" i="5"/>
  <c r="R766" i="5"/>
  <c r="Q766" i="5"/>
  <c r="L766" i="5"/>
  <c r="P766" i="5" s="1"/>
  <c r="S766" i="5" s="1"/>
  <c r="V765" i="5"/>
  <c r="T765" i="5"/>
  <c r="R765" i="5"/>
  <c r="Q765" i="5"/>
  <c r="S765" i="5" s="1"/>
  <c r="P765" i="5"/>
  <c r="L765" i="5"/>
  <c r="V764" i="5"/>
  <c r="T764" i="5"/>
  <c r="R764" i="5"/>
  <c r="Q764" i="5"/>
  <c r="P764" i="5"/>
  <c r="S764" i="5" s="1"/>
  <c r="L764" i="5"/>
  <c r="V763" i="5"/>
  <c r="T763" i="5"/>
  <c r="S763" i="5"/>
  <c r="R763" i="5"/>
  <c r="P763" i="5"/>
  <c r="L763" i="5"/>
  <c r="Q763" i="5" s="1"/>
  <c r="V762" i="5"/>
  <c r="T762" i="5"/>
  <c r="Q762" i="5"/>
  <c r="L762" i="5"/>
  <c r="R762" i="5" s="1"/>
  <c r="V761" i="5"/>
  <c r="T761" i="5"/>
  <c r="L761" i="5"/>
  <c r="Q761" i="5" s="1"/>
  <c r="V760" i="5"/>
  <c r="T760" i="5"/>
  <c r="Q760" i="5"/>
  <c r="L760" i="5"/>
  <c r="R760" i="5" s="1"/>
  <c r="V759" i="5"/>
  <c r="T759" i="5"/>
  <c r="R759" i="5"/>
  <c r="L759" i="5"/>
  <c r="Q759" i="5" s="1"/>
  <c r="V758" i="5"/>
  <c r="T758" i="5"/>
  <c r="Q758" i="5"/>
  <c r="L758" i="5"/>
  <c r="R758" i="5" s="1"/>
  <c r="V757" i="5"/>
  <c r="T757" i="5"/>
  <c r="R757" i="5"/>
  <c r="L757" i="5"/>
  <c r="Q757" i="5" s="1"/>
  <c r="V756" i="5"/>
  <c r="T756" i="5"/>
  <c r="R756" i="5"/>
  <c r="Q756" i="5"/>
  <c r="S756" i="5" s="1"/>
  <c r="L756" i="5"/>
  <c r="P756" i="5" s="1"/>
  <c r="V755" i="5"/>
  <c r="T755" i="5"/>
  <c r="R755" i="5"/>
  <c r="L755" i="5"/>
  <c r="Q755" i="5" s="1"/>
  <c r="V754" i="5"/>
  <c r="T754" i="5"/>
  <c r="Q754" i="5"/>
  <c r="P754" i="5"/>
  <c r="S754" i="5" s="1"/>
  <c r="L754" i="5"/>
  <c r="R754" i="5" s="1"/>
  <c r="V753" i="5"/>
  <c r="T753" i="5"/>
  <c r="L753" i="5"/>
  <c r="V752" i="5"/>
  <c r="T752" i="5"/>
  <c r="L752" i="5"/>
  <c r="R752" i="5" s="1"/>
  <c r="V751" i="5"/>
  <c r="T751" i="5"/>
  <c r="R751" i="5"/>
  <c r="Q751" i="5"/>
  <c r="L751" i="5"/>
  <c r="P751" i="5" s="1"/>
  <c r="V750" i="5"/>
  <c r="T750" i="5"/>
  <c r="Q750" i="5"/>
  <c r="P750" i="5"/>
  <c r="L750" i="5"/>
  <c r="R750" i="5" s="1"/>
  <c r="V749" i="5"/>
  <c r="T749" i="5"/>
  <c r="S749" i="5"/>
  <c r="R749" i="5"/>
  <c r="Q749" i="5"/>
  <c r="P749" i="5"/>
  <c r="L749" i="5"/>
  <c r="V748" i="5"/>
  <c r="T748" i="5"/>
  <c r="R748" i="5"/>
  <c r="Q748" i="5"/>
  <c r="P748" i="5"/>
  <c r="S748" i="5" s="1"/>
  <c r="L748" i="5"/>
  <c r="V747" i="5"/>
  <c r="T747" i="5"/>
  <c r="R747" i="5"/>
  <c r="L747" i="5"/>
  <c r="Q747" i="5" s="1"/>
  <c r="V746" i="5"/>
  <c r="T746" i="5"/>
  <c r="R746" i="5"/>
  <c r="Q746" i="5"/>
  <c r="S746" i="5" s="1"/>
  <c r="P746" i="5"/>
  <c r="L746" i="5"/>
  <c r="V745" i="5"/>
  <c r="T745" i="5"/>
  <c r="L745" i="5"/>
  <c r="Q745" i="5" s="1"/>
  <c r="V744" i="5"/>
  <c r="T744" i="5"/>
  <c r="R744" i="5"/>
  <c r="L744" i="5"/>
  <c r="Q744" i="5" s="1"/>
  <c r="V743" i="5"/>
  <c r="T743" i="5"/>
  <c r="Q743" i="5"/>
  <c r="P743" i="5"/>
  <c r="L743" i="5"/>
  <c r="R743" i="5" s="1"/>
  <c r="V742" i="5"/>
  <c r="T742" i="5"/>
  <c r="L742" i="5"/>
  <c r="V741" i="5"/>
  <c r="T741" i="5"/>
  <c r="L741" i="5"/>
  <c r="R741" i="5" s="1"/>
  <c r="V740" i="5"/>
  <c r="T740" i="5"/>
  <c r="L740" i="5"/>
  <c r="V739" i="5"/>
  <c r="T739" i="5"/>
  <c r="L739" i="5"/>
  <c r="R739" i="5" s="1"/>
  <c r="V738" i="5"/>
  <c r="T738" i="5"/>
  <c r="Q738" i="5"/>
  <c r="P738" i="5"/>
  <c r="S738" i="5" s="1"/>
  <c r="L738" i="5"/>
  <c r="R738" i="5" s="1"/>
  <c r="V737" i="5"/>
  <c r="T737" i="5"/>
  <c r="P737" i="5"/>
  <c r="L737" i="5"/>
  <c r="R737" i="5" s="1"/>
  <c r="V736" i="5"/>
  <c r="T736" i="5"/>
  <c r="R736" i="5"/>
  <c r="P736" i="5"/>
  <c r="L736" i="5"/>
  <c r="Q736" i="5" s="1"/>
  <c r="V735" i="5"/>
  <c r="T735" i="5"/>
  <c r="L735" i="5"/>
  <c r="V734" i="5"/>
  <c r="T734" i="5"/>
  <c r="R734" i="5"/>
  <c r="Q734" i="5"/>
  <c r="L734" i="5"/>
  <c r="P734" i="5" s="1"/>
  <c r="S734" i="5" s="1"/>
  <c r="V733" i="5"/>
  <c r="T733" i="5"/>
  <c r="R733" i="5"/>
  <c r="Q733" i="5"/>
  <c r="S733" i="5" s="1"/>
  <c r="P733" i="5"/>
  <c r="L733" i="5"/>
  <c r="V732" i="5"/>
  <c r="T732" i="5"/>
  <c r="R732" i="5"/>
  <c r="Q732" i="5"/>
  <c r="P732" i="5"/>
  <c r="S732" i="5" s="1"/>
  <c r="L732" i="5"/>
  <c r="V731" i="5"/>
  <c r="T731" i="5"/>
  <c r="L731" i="5"/>
  <c r="V730" i="5"/>
  <c r="T730" i="5"/>
  <c r="L730" i="5"/>
  <c r="R730" i="5" s="1"/>
  <c r="V729" i="5"/>
  <c r="T729" i="5"/>
  <c r="L729" i="5"/>
  <c r="V728" i="5"/>
  <c r="T728" i="5"/>
  <c r="L728" i="5"/>
  <c r="V727" i="5"/>
  <c r="T727" i="5"/>
  <c r="R727" i="5"/>
  <c r="Q727" i="5"/>
  <c r="P727" i="5"/>
  <c r="L727" i="5"/>
  <c r="V726" i="5"/>
  <c r="T726" i="5"/>
  <c r="R726" i="5"/>
  <c r="Q726" i="5"/>
  <c r="P726" i="5"/>
  <c r="L726" i="5"/>
  <c r="V725" i="5"/>
  <c r="T725" i="5"/>
  <c r="S725" i="5"/>
  <c r="R725" i="5"/>
  <c r="Q725" i="5"/>
  <c r="P725" i="5"/>
  <c r="L725" i="5"/>
  <c r="V724" i="5"/>
  <c r="T724" i="5"/>
  <c r="R724" i="5"/>
  <c r="Q724" i="5"/>
  <c r="P724" i="5"/>
  <c r="S724" i="5" s="1"/>
  <c r="L724" i="5"/>
  <c r="V723" i="5"/>
  <c r="T723" i="5"/>
  <c r="L723" i="5"/>
  <c r="Q723" i="5" s="1"/>
  <c r="V722" i="5"/>
  <c r="T722" i="5"/>
  <c r="L722" i="5"/>
  <c r="V721" i="5"/>
  <c r="T721" i="5"/>
  <c r="L721" i="5"/>
  <c r="R721" i="5" s="1"/>
  <c r="V720" i="5"/>
  <c r="T720" i="5"/>
  <c r="Q720" i="5"/>
  <c r="P720" i="5"/>
  <c r="S720" i="5" s="1"/>
  <c r="L720" i="5"/>
  <c r="R720" i="5" s="1"/>
  <c r="V719" i="5"/>
  <c r="T719" i="5"/>
  <c r="P719" i="5"/>
  <c r="L719" i="5"/>
  <c r="R719" i="5" s="1"/>
  <c r="V718" i="5"/>
  <c r="T718" i="5"/>
  <c r="R718" i="5"/>
  <c r="P718" i="5"/>
  <c r="L718" i="5"/>
  <c r="Q718" i="5" s="1"/>
  <c r="S718" i="5" s="1"/>
  <c r="V717" i="5"/>
  <c r="T717" i="5"/>
  <c r="L717" i="5"/>
  <c r="V716" i="5"/>
  <c r="T716" i="5"/>
  <c r="R716" i="5"/>
  <c r="Q716" i="5"/>
  <c r="L716" i="5"/>
  <c r="P716" i="5" s="1"/>
  <c r="S716" i="5" s="1"/>
  <c r="V715" i="5"/>
  <c r="T715" i="5"/>
  <c r="R715" i="5"/>
  <c r="Q715" i="5"/>
  <c r="S715" i="5" s="1"/>
  <c r="P715" i="5"/>
  <c r="L715" i="5"/>
  <c r="V714" i="5"/>
  <c r="T714" i="5"/>
  <c r="R714" i="5"/>
  <c r="Q714" i="5"/>
  <c r="P714" i="5"/>
  <c r="S714" i="5" s="1"/>
  <c r="L714" i="5"/>
  <c r="V713" i="5"/>
  <c r="T713" i="5"/>
  <c r="L713" i="5"/>
  <c r="V712" i="5"/>
  <c r="T712" i="5"/>
  <c r="L712" i="5"/>
  <c r="V711" i="5"/>
  <c r="T711" i="5"/>
  <c r="R711" i="5"/>
  <c r="Q711" i="5"/>
  <c r="P711" i="5"/>
  <c r="S711" i="5" s="1"/>
  <c r="L711" i="5"/>
  <c r="V710" i="5"/>
  <c r="T710" i="5"/>
  <c r="R710" i="5"/>
  <c r="Q710" i="5"/>
  <c r="P710" i="5"/>
  <c r="L710" i="5"/>
  <c r="V709" i="5"/>
  <c r="T709" i="5"/>
  <c r="S709" i="5"/>
  <c r="R709" i="5"/>
  <c r="Q709" i="5"/>
  <c r="P709" i="5"/>
  <c r="L709" i="5"/>
  <c r="V708" i="5"/>
  <c r="T708" i="5"/>
  <c r="R708" i="5"/>
  <c r="Q708" i="5"/>
  <c r="P708" i="5"/>
  <c r="S708" i="5" s="1"/>
  <c r="L708" i="5"/>
  <c r="V707" i="5"/>
  <c r="T707" i="5"/>
  <c r="L707" i="5"/>
  <c r="Q707" i="5" s="1"/>
  <c r="V706" i="5"/>
  <c r="T706" i="5"/>
  <c r="L706" i="5"/>
  <c r="V705" i="5"/>
  <c r="T705" i="5"/>
  <c r="L705" i="5"/>
  <c r="R705" i="5" s="1"/>
  <c r="V704" i="5"/>
  <c r="T704" i="5"/>
  <c r="Q704" i="5"/>
  <c r="P704" i="5"/>
  <c r="S704" i="5" s="1"/>
  <c r="L704" i="5"/>
  <c r="R704" i="5" s="1"/>
  <c r="V703" i="5"/>
  <c r="T703" i="5"/>
  <c r="P703" i="5"/>
  <c r="L703" i="5"/>
  <c r="V702" i="5"/>
  <c r="T702" i="5"/>
  <c r="S702" i="5"/>
  <c r="R702" i="5"/>
  <c r="P702" i="5"/>
  <c r="L702" i="5"/>
  <c r="Q702" i="5" s="1"/>
  <c r="V701" i="5"/>
  <c r="T701" i="5"/>
  <c r="L701" i="5"/>
  <c r="P701" i="5" s="1"/>
  <c r="V700" i="5"/>
  <c r="T700" i="5"/>
  <c r="R700" i="5"/>
  <c r="Q700" i="5"/>
  <c r="L700" i="5"/>
  <c r="P700" i="5" s="1"/>
  <c r="S700" i="5" s="1"/>
  <c r="V699" i="5"/>
  <c r="T699" i="5"/>
  <c r="R699" i="5"/>
  <c r="Q699" i="5"/>
  <c r="S699" i="5" s="1"/>
  <c r="P699" i="5"/>
  <c r="L699" i="5"/>
  <c r="V698" i="5"/>
  <c r="T698" i="5"/>
  <c r="R698" i="5"/>
  <c r="Q698" i="5"/>
  <c r="P698" i="5"/>
  <c r="S698" i="5" s="1"/>
  <c r="L698" i="5"/>
  <c r="V697" i="5"/>
  <c r="T697" i="5"/>
  <c r="L697" i="5"/>
  <c r="V696" i="5"/>
  <c r="T696" i="5"/>
  <c r="L696" i="5"/>
  <c r="Q696" i="5" s="1"/>
  <c r="V695" i="5"/>
  <c r="T695" i="5"/>
  <c r="R695" i="5"/>
  <c r="Q695" i="5"/>
  <c r="P695" i="5"/>
  <c r="L695" i="5"/>
  <c r="V694" i="5"/>
  <c r="T694" i="5"/>
  <c r="R694" i="5"/>
  <c r="Q694" i="5"/>
  <c r="P694" i="5"/>
  <c r="S694" i="5" s="1"/>
  <c r="L694" i="5"/>
  <c r="V693" i="5"/>
  <c r="T693" i="5"/>
  <c r="S693" i="5"/>
  <c r="R693" i="5"/>
  <c r="Q693" i="5"/>
  <c r="P693" i="5"/>
  <c r="L693" i="5"/>
  <c r="V692" i="5"/>
  <c r="T692" i="5"/>
  <c r="S692" i="5"/>
  <c r="R692" i="5"/>
  <c r="Q692" i="5"/>
  <c r="P692" i="5"/>
  <c r="L692" i="5"/>
  <c r="V691" i="5"/>
  <c r="T691" i="5"/>
  <c r="L691" i="5"/>
  <c r="V690" i="5"/>
  <c r="T690" i="5"/>
  <c r="R690" i="5"/>
  <c r="L690" i="5"/>
  <c r="V689" i="5"/>
  <c r="T689" i="5"/>
  <c r="L689" i="5"/>
  <c r="V688" i="5"/>
  <c r="T688" i="5"/>
  <c r="Q688" i="5"/>
  <c r="P688" i="5"/>
  <c r="L688" i="5"/>
  <c r="R688" i="5" s="1"/>
  <c r="V687" i="5"/>
  <c r="T687" i="5"/>
  <c r="Q687" i="5"/>
  <c r="S687" i="5" s="1"/>
  <c r="P687" i="5"/>
  <c r="L687" i="5"/>
  <c r="R687" i="5" s="1"/>
  <c r="V686" i="5"/>
  <c r="T686" i="5"/>
  <c r="R686" i="5"/>
  <c r="P686" i="5"/>
  <c r="L686" i="5"/>
  <c r="Q686" i="5" s="1"/>
  <c r="S686" i="5" s="1"/>
  <c r="V685" i="5"/>
  <c r="T685" i="5"/>
  <c r="L685" i="5"/>
  <c r="V684" i="5"/>
  <c r="T684" i="5"/>
  <c r="R684" i="5"/>
  <c r="Q684" i="5"/>
  <c r="L684" i="5"/>
  <c r="P684" i="5" s="1"/>
  <c r="S684" i="5" s="1"/>
  <c r="V683" i="5"/>
  <c r="T683" i="5"/>
  <c r="R683" i="5"/>
  <c r="S683" i="5" s="1"/>
  <c r="Q683" i="5"/>
  <c r="P683" i="5"/>
  <c r="L683" i="5"/>
  <c r="V682" i="5"/>
  <c r="T682" i="5"/>
  <c r="R682" i="5"/>
  <c r="Q682" i="5"/>
  <c r="P682" i="5"/>
  <c r="S682" i="5" s="1"/>
  <c r="L682" i="5"/>
  <c r="V681" i="5"/>
  <c r="T681" i="5"/>
  <c r="P681" i="5"/>
  <c r="L681" i="5"/>
  <c r="V680" i="5"/>
  <c r="T680" i="5"/>
  <c r="R680" i="5"/>
  <c r="P680" i="5"/>
  <c r="L680" i="5"/>
  <c r="Q680" i="5" s="1"/>
  <c r="V679" i="5"/>
  <c r="T679" i="5"/>
  <c r="R679" i="5"/>
  <c r="Q679" i="5"/>
  <c r="P679" i="5"/>
  <c r="L679" i="5"/>
  <c r="V678" i="5"/>
  <c r="T678" i="5"/>
  <c r="L678" i="5"/>
  <c r="V677" i="5"/>
  <c r="T677" i="5"/>
  <c r="R677" i="5"/>
  <c r="Q677" i="5"/>
  <c r="P677" i="5"/>
  <c r="S677" i="5" s="1"/>
  <c r="L677" i="5"/>
  <c r="V676" i="5"/>
  <c r="T676" i="5"/>
  <c r="R676" i="5"/>
  <c r="Q676" i="5"/>
  <c r="P676" i="5"/>
  <c r="S676" i="5" s="1"/>
  <c r="L676" i="5"/>
  <c r="V675" i="5"/>
  <c r="T675" i="5"/>
  <c r="L675" i="5"/>
  <c r="V674" i="5"/>
  <c r="T674" i="5"/>
  <c r="L674" i="5"/>
  <c r="V673" i="5"/>
  <c r="T673" i="5"/>
  <c r="L673" i="5"/>
  <c r="V672" i="5"/>
  <c r="T672" i="5"/>
  <c r="Q672" i="5"/>
  <c r="L672" i="5"/>
  <c r="R672" i="5" s="1"/>
  <c r="V671" i="5"/>
  <c r="T671" i="5"/>
  <c r="L671" i="5"/>
  <c r="R671" i="5" s="1"/>
  <c r="V670" i="5"/>
  <c r="T670" i="5"/>
  <c r="R670" i="5"/>
  <c r="L670" i="5"/>
  <c r="Q670" i="5" s="1"/>
  <c r="V669" i="5"/>
  <c r="T669" i="5"/>
  <c r="L669" i="5"/>
  <c r="R669" i="5" s="1"/>
  <c r="V668" i="5"/>
  <c r="T668" i="5"/>
  <c r="S668" i="5"/>
  <c r="R668" i="5"/>
  <c r="Q668" i="5"/>
  <c r="L668" i="5"/>
  <c r="P668" i="5" s="1"/>
  <c r="V667" i="5"/>
  <c r="T667" i="5"/>
  <c r="R667" i="5"/>
  <c r="Q667" i="5"/>
  <c r="S667" i="5" s="1"/>
  <c r="P667" i="5"/>
  <c r="L667" i="5"/>
  <c r="V666" i="5"/>
  <c r="T666" i="5"/>
  <c r="S666" i="5"/>
  <c r="R666" i="5"/>
  <c r="Q666" i="5"/>
  <c r="P666" i="5"/>
  <c r="L666" i="5"/>
  <c r="V665" i="5"/>
  <c r="T665" i="5"/>
  <c r="L665" i="5"/>
  <c r="V664" i="5"/>
  <c r="T664" i="5"/>
  <c r="R664" i="5"/>
  <c r="L664" i="5"/>
  <c r="Q664" i="5" s="1"/>
  <c r="V663" i="5"/>
  <c r="T663" i="5"/>
  <c r="P663" i="5"/>
  <c r="L663" i="5"/>
  <c r="R663" i="5" s="1"/>
  <c r="V662" i="5"/>
  <c r="T662" i="5"/>
  <c r="R662" i="5"/>
  <c r="Q662" i="5"/>
  <c r="P662" i="5"/>
  <c r="L662" i="5"/>
  <c r="V661" i="5"/>
  <c r="T661" i="5"/>
  <c r="R661" i="5"/>
  <c r="S661" i="5" s="1"/>
  <c r="Q661" i="5"/>
  <c r="P661" i="5"/>
  <c r="L661" i="5"/>
  <c r="V660" i="5"/>
  <c r="T660" i="5"/>
  <c r="R660" i="5"/>
  <c r="Q660" i="5"/>
  <c r="P660" i="5"/>
  <c r="S660" i="5" s="1"/>
  <c r="L660" i="5"/>
  <c r="V659" i="5"/>
  <c r="T659" i="5"/>
  <c r="R659" i="5"/>
  <c r="P659" i="5"/>
  <c r="S659" i="5" s="1"/>
  <c r="L659" i="5"/>
  <c r="Q659" i="5" s="1"/>
  <c r="V658" i="5"/>
  <c r="T658" i="5"/>
  <c r="R658" i="5"/>
  <c r="L658" i="5"/>
  <c r="V657" i="5"/>
  <c r="T657" i="5"/>
  <c r="R657" i="5"/>
  <c r="Q657" i="5"/>
  <c r="L657" i="5"/>
  <c r="P657" i="5" s="1"/>
  <c r="V656" i="5"/>
  <c r="T656" i="5"/>
  <c r="L656" i="5"/>
  <c r="R656" i="5" s="1"/>
  <c r="V655" i="5"/>
  <c r="T655" i="5"/>
  <c r="Q655" i="5"/>
  <c r="L655" i="5"/>
  <c r="R655" i="5" s="1"/>
  <c r="V654" i="5"/>
  <c r="T654" i="5"/>
  <c r="P654" i="5"/>
  <c r="L654" i="5"/>
  <c r="R654" i="5" s="1"/>
  <c r="V653" i="5"/>
  <c r="T653" i="5"/>
  <c r="R653" i="5"/>
  <c r="Q653" i="5"/>
  <c r="L653" i="5"/>
  <c r="P653" i="5" s="1"/>
  <c r="V652" i="5"/>
  <c r="T652" i="5"/>
  <c r="L652" i="5"/>
  <c r="P652" i="5" s="1"/>
  <c r="V651" i="5"/>
  <c r="T651" i="5"/>
  <c r="R651" i="5"/>
  <c r="Q651" i="5"/>
  <c r="S651" i="5" s="1"/>
  <c r="P651" i="5"/>
  <c r="L651" i="5"/>
  <c r="V650" i="5"/>
  <c r="T650" i="5"/>
  <c r="R650" i="5"/>
  <c r="Q650" i="5"/>
  <c r="P650" i="5"/>
  <c r="S650" i="5" s="1"/>
  <c r="L650" i="5"/>
  <c r="V649" i="5"/>
  <c r="T649" i="5"/>
  <c r="L649" i="5"/>
  <c r="Q649" i="5" s="1"/>
  <c r="V648" i="5"/>
  <c r="T648" i="5"/>
  <c r="L648" i="5"/>
  <c r="Q648" i="5" s="1"/>
  <c r="V647" i="5"/>
  <c r="T647" i="5"/>
  <c r="L647" i="5"/>
  <c r="R647" i="5" s="1"/>
  <c r="V646" i="5"/>
  <c r="T646" i="5"/>
  <c r="L646" i="5"/>
  <c r="R646" i="5" s="1"/>
  <c r="V645" i="5"/>
  <c r="T645" i="5"/>
  <c r="S645" i="5"/>
  <c r="R645" i="5"/>
  <c r="Q645" i="5"/>
  <c r="P645" i="5"/>
  <c r="L645" i="5"/>
  <c r="V644" i="5"/>
  <c r="T644" i="5"/>
  <c r="L644" i="5"/>
  <c r="R644" i="5" s="1"/>
  <c r="V643" i="5"/>
  <c r="T643" i="5"/>
  <c r="R643" i="5"/>
  <c r="L643" i="5"/>
  <c r="Q643" i="5" s="1"/>
  <c r="V642" i="5"/>
  <c r="T642" i="5"/>
  <c r="L642" i="5"/>
  <c r="P642" i="5" s="1"/>
  <c r="V641" i="5"/>
  <c r="T641" i="5"/>
  <c r="Q641" i="5"/>
  <c r="L641" i="5"/>
  <c r="P641" i="5" s="1"/>
  <c r="V640" i="5"/>
  <c r="T640" i="5"/>
  <c r="Q640" i="5"/>
  <c r="L640" i="5"/>
  <c r="R640" i="5" s="1"/>
  <c r="V639" i="5"/>
  <c r="T639" i="5"/>
  <c r="L639" i="5"/>
  <c r="V638" i="5"/>
  <c r="T638" i="5"/>
  <c r="R638" i="5"/>
  <c r="Q638" i="5"/>
  <c r="L638" i="5"/>
  <c r="P638" i="5" s="1"/>
  <c r="S638" i="5" s="1"/>
  <c r="V637" i="5"/>
  <c r="T637" i="5"/>
  <c r="P637" i="5"/>
  <c r="L637" i="5"/>
  <c r="R637" i="5" s="1"/>
  <c r="V636" i="5"/>
  <c r="T636" i="5"/>
  <c r="L636" i="5"/>
  <c r="R636" i="5" s="1"/>
  <c r="V635" i="5"/>
  <c r="T635" i="5"/>
  <c r="R635" i="5"/>
  <c r="Q635" i="5"/>
  <c r="S635" i="5" s="1"/>
  <c r="P635" i="5"/>
  <c r="L635" i="5"/>
  <c r="V634" i="5"/>
  <c r="T634" i="5"/>
  <c r="R634" i="5"/>
  <c r="Q634" i="5"/>
  <c r="P634" i="5"/>
  <c r="S634" i="5" s="1"/>
  <c r="L634" i="5"/>
  <c r="V633" i="5"/>
  <c r="T633" i="5"/>
  <c r="L633" i="5"/>
  <c r="Q633" i="5" s="1"/>
  <c r="V632" i="5"/>
  <c r="T632" i="5"/>
  <c r="P632" i="5"/>
  <c r="L632" i="5"/>
  <c r="Q632" i="5" s="1"/>
  <c r="V631" i="5"/>
  <c r="T631" i="5"/>
  <c r="L631" i="5"/>
  <c r="R631" i="5" s="1"/>
  <c r="V630" i="5"/>
  <c r="T630" i="5"/>
  <c r="P630" i="5"/>
  <c r="L630" i="5"/>
  <c r="R630" i="5" s="1"/>
  <c r="V629" i="5"/>
  <c r="T629" i="5"/>
  <c r="L629" i="5"/>
  <c r="R629" i="5" s="1"/>
  <c r="V628" i="5"/>
  <c r="T628" i="5"/>
  <c r="P628" i="5"/>
  <c r="L628" i="5"/>
  <c r="R628" i="5" s="1"/>
  <c r="V627" i="5"/>
  <c r="T627" i="5"/>
  <c r="L627" i="5"/>
  <c r="R627" i="5" s="1"/>
  <c r="V626" i="5"/>
  <c r="T626" i="5"/>
  <c r="L626" i="5"/>
  <c r="P626" i="5" s="1"/>
  <c r="V625" i="5"/>
  <c r="T625" i="5"/>
  <c r="L625" i="5"/>
  <c r="R625" i="5" s="1"/>
  <c r="V624" i="5"/>
  <c r="T624" i="5"/>
  <c r="L624" i="5"/>
  <c r="R624" i="5" s="1"/>
  <c r="V623" i="5"/>
  <c r="T623" i="5"/>
  <c r="P623" i="5"/>
  <c r="L623" i="5"/>
  <c r="R623" i="5" s="1"/>
  <c r="V622" i="5"/>
  <c r="T622" i="5"/>
  <c r="R622" i="5"/>
  <c r="Q622" i="5"/>
  <c r="P622" i="5"/>
  <c r="S622" i="5" s="1"/>
  <c r="L622" i="5"/>
  <c r="V621" i="5"/>
  <c r="T621" i="5"/>
  <c r="R621" i="5"/>
  <c r="Q621" i="5"/>
  <c r="L621" i="5"/>
  <c r="P621" i="5" s="1"/>
  <c r="S621" i="5" s="1"/>
  <c r="V620" i="5"/>
  <c r="T620" i="5"/>
  <c r="L620" i="5"/>
  <c r="V619" i="5"/>
  <c r="T619" i="5"/>
  <c r="S619" i="5"/>
  <c r="R619" i="5"/>
  <c r="Q619" i="5"/>
  <c r="P619" i="5"/>
  <c r="L619" i="5"/>
  <c r="V618" i="5"/>
  <c r="T618" i="5"/>
  <c r="R618" i="5"/>
  <c r="Q618" i="5"/>
  <c r="P618" i="5"/>
  <c r="S618" i="5" s="1"/>
  <c r="L618" i="5"/>
  <c r="V617" i="5"/>
  <c r="T617" i="5"/>
  <c r="L617" i="5"/>
  <c r="Q617" i="5" s="1"/>
  <c r="V616" i="5"/>
  <c r="T616" i="5"/>
  <c r="R616" i="5"/>
  <c r="Q616" i="5"/>
  <c r="L616" i="5"/>
  <c r="P616" i="5" s="1"/>
  <c r="V615" i="5"/>
  <c r="T615" i="5"/>
  <c r="L615" i="5"/>
  <c r="R615" i="5" s="1"/>
  <c r="V614" i="5"/>
  <c r="T614" i="5"/>
  <c r="L614" i="5"/>
  <c r="R614" i="5" s="1"/>
  <c r="V613" i="5"/>
  <c r="T613" i="5"/>
  <c r="L613" i="5"/>
  <c r="V612" i="5"/>
  <c r="T612" i="5"/>
  <c r="Q612" i="5"/>
  <c r="P612" i="5"/>
  <c r="L612" i="5"/>
  <c r="R612" i="5" s="1"/>
  <c r="V611" i="5"/>
  <c r="T611" i="5"/>
  <c r="R611" i="5"/>
  <c r="Q611" i="5"/>
  <c r="L611" i="5"/>
  <c r="P611" i="5" s="1"/>
  <c r="S611" i="5" s="1"/>
  <c r="V610" i="5"/>
  <c r="T610" i="5"/>
  <c r="S610" i="5"/>
  <c r="R610" i="5"/>
  <c r="Q610" i="5"/>
  <c r="P610" i="5"/>
  <c r="L610" i="5"/>
  <c r="V609" i="5"/>
  <c r="T609" i="5"/>
  <c r="P609" i="5"/>
  <c r="L609" i="5"/>
  <c r="R609" i="5" s="1"/>
  <c r="V608" i="5"/>
  <c r="T608" i="5"/>
  <c r="R608" i="5"/>
  <c r="L608" i="5"/>
  <c r="Q608" i="5" s="1"/>
  <c r="V607" i="5"/>
  <c r="T607" i="5"/>
  <c r="R607" i="5"/>
  <c r="Q607" i="5"/>
  <c r="S607" i="5" s="1"/>
  <c r="P607" i="5"/>
  <c r="L607" i="5"/>
  <c r="V606" i="5"/>
  <c r="T606" i="5"/>
  <c r="L606" i="5"/>
  <c r="R606" i="5" s="1"/>
  <c r="V605" i="5"/>
  <c r="T605" i="5"/>
  <c r="P605" i="5"/>
  <c r="L605" i="5"/>
  <c r="R605" i="5" s="1"/>
  <c r="V604" i="5"/>
  <c r="T604" i="5"/>
  <c r="R604" i="5"/>
  <c r="Q604" i="5"/>
  <c r="P604" i="5"/>
  <c r="S604" i="5" s="1"/>
  <c r="L604" i="5"/>
  <c r="V603" i="5"/>
  <c r="T603" i="5"/>
  <c r="R603" i="5"/>
  <c r="Q603" i="5"/>
  <c r="L603" i="5"/>
  <c r="P603" i="5" s="1"/>
  <c r="S603" i="5" s="1"/>
  <c r="V602" i="5"/>
  <c r="T602" i="5"/>
  <c r="L602" i="5"/>
  <c r="V601" i="5"/>
  <c r="T601" i="5"/>
  <c r="S601" i="5"/>
  <c r="R601" i="5"/>
  <c r="Q601" i="5"/>
  <c r="P601" i="5"/>
  <c r="L601" i="5"/>
  <c r="V600" i="5"/>
  <c r="T600" i="5"/>
  <c r="R600" i="5"/>
  <c r="Q600" i="5"/>
  <c r="P600" i="5"/>
  <c r="S600" i="5" s="1"/>
  <c r="L600" i="5"/>
  <c r="V599" i="5"/>
  <c r="T599" i="5"/>
  <c r="L599" i="5"/>
  <c r="R599" i="5" s="1"/>
  <c r="V598" i="5"/>
  <c r="T598" i="5"/>
  <c r="L598" i="5"/>
  <c r="R598" i="5" s="1"/>
  <c r="V597" i="5"/>
  <c r="T597" i="5"/>
  <c r="L597" i="5"/>
  <c r="V596" i="5"/>
  <c r="T596" i="5"/>
  <c r="Q596" i="5"/>
  <c r="P596" i="5"/>
  <c r="L596" i="5"/>
  <c r="R596" i="5" s="1"/>
  <c r="V595" i="5"/>
  <c r="T595" i="5"/>
  <c r="R595" i="5"/>
  <c r="Q595" i="5"/>
  <c r="L595" i="5"/>
  <c r="P595" i="5" s="1"/>
  <c r="S595" i="5" s="1"/>
  <c r="V594" i="5"/>
  <c r="T594" i="5"/>
  <c r="S594" i="5"/>
  <c r="R594" i="5"/>
  <c r="Q594" i="5"/>
  <c r="P594" i="5"/>
  <c r="L594" i="5"/>
  <c r="V593" i="5"/>
  <c r="T593" i="5"/>
  <c r="P593" i="5"/>
  <c r="L593" i="5"/>
  <c r="R593" i="5" s="1"/>
  <c r="V592" i="5"/>
  <c r="T592" i="5"/>
  <c r="R592" i="5"/>
  <c r="L592" i="5"/>
  <c r="Q592" i="5" s="1"/>
  <c r="V591" i="5"/>
  <c r="T591" i="5"/>
  <c r="R591" i="5"/>
  <c r="Q591" i="5"/>
  <c r="S591" i="5" s="1"/>
  <c r="P591" i="5"/>
  <c r="L591" i="5"/>
  <c r="V590" i="5"/>
  <c r="T590" i="5"/>
  <c r="L590" i="5"/>
  <c r="R590" i="5" s="1"/>
  <c r="V589" i="5"/>
  <c r="T589" i="5"/>
  <c r="P589" i="5"/>
  <c r="L589" i="5"/>
  <c r="R589" i="5" s="1"/>
  <c r="V588" i="5"/>
  <c r="T588" i="5"/>
  <c r="R588" i="5"/>
  <c r="Q588" i="5"/>
  <c r="P588" i="5"/>
  <c r="S588" i="5" s="1"/>
  <c r="L588" i="5"/>
  <c r="V587" i="5"/>
  <c r="T587" i="5"/>
  <c r="R587" i="5"/>
  <c r="Q587" i="5"/>
  <c r="L587" i="5"/>
  <c r="P587" i="5" s="1"/>
  <c r="S587" i="5" s="1"/>
  <c r="V586" i="5"/>
  <c r="T586" i="5"/>
  <c r="L586" i="5"/>
  <c r="V585" i="5"/>
  <c r="T585" i="5"/>
  <c r="S585" i="5"/>
  <c r="R585" i="5"/>
  <c r="Q585" i="5"/>
  <c r="P585" i="5"/>
  <c r="L585" i="5"/>
  <c r="V584" i="5"/>
  <c r="T584" i="5"/>
  <c r="R584" i="5"/>
  <c r="Q584" i="5"/>
  <c r="P584" i="5"/>
  <c r="S584" i="5" s="1"/>
  <c r="L584" i="5"/>
  <c r="V583" i="5"/>
  <c r="T583" i="5"/>
  <c r="L583" i="5"/>
  <c r="R583" i="5" s="1"/>
  <c r="V582" i="5"/>
  <c r="T582" i="5"/>
  <c r="L582" i="5"/>
  <c r="R582" i="5" s="1"/>
  <c r="V581" i="5"/>
  <c r="T581" i="5"/>
  <c r="L581" i="5"/>
  <c r="V580" i="5"/>
  <c r="T580" i="5"/>
  <c r="Q580" i="5"/>
  <c r="P580" i="5"/>
  <c r="S580" i="5" s="1"/>
  <c r="L580" i="5"/>
  <c r="R580" i="5" s="1"/>
  <c r="V579" i="5"/>
  <c r="T579" i="5"/>
  <c r="R579" i="5"/>
  <c r="Q579" i="5"/>
  <c r="L579" i="5"/>
  <c r="P579" i="5" s="1"/>
  <c r="V578" i="5"/>
  <c r="T578" i="5"/>
  <c r="S578" i="5"/>
  <c r="R578" i="5"/>
  <c r="Q578" i="5"/>
  <c r="P578" i="5"/>
  <c r="L578" i="5"/>
  <c r="V577" i="5"/>
  <c r="T577" i="5"/>
  <c r="P577" i="5"/>
  <c r="L577" i="5"/>
  <c r="R577" i="5" s="1"/>
  <c r="V576" i="5"/>
  <c r="T576" i="5"/>
  <c r="R576" i="5"/>
  <c r="L576" i="5"/>
  <c r="Q576" i="5" s="1"/>
  <c r="V575" i="5"/>
  <c r="T575" i="5"/>
  <c r="R575" i="5"/>
  <c r="Q575" i="5"/>
  <c r="S575" i="5" s="1"/>
  <c r="P575" i="5"/>
  <c r="L575" i="5"/>
  <c r="V574" i="5"/>
  <c r="T574" i="5"/>
  <c r="L574" i="5"/>
  <c r="R574" i="5" s="1"/>
  <c r="V573" i="5"/>
  <c r="T573" i="5"/>
  <c r="P573" i="5"/>
  <c r="L573" i="5"/>
  <c r="R573" i="5" s="1"/>
  <c r="V572" i="5"/>
  <c r="T572" i="5"/>
  <c r="R572" i="5"/>
  <c r="Q572" i="5"/>
  <c r="P572" i="5"/>
  <c r="S572" i="5" s="1"/>
  <c r="L572" i="5"/>
  <c r="V571" i="5"/>
  <c r="T571" i="5"/>
  <c r="R571" i="5"/>
  <c r="Q571" i="5"/>
  <c r="L571" i="5"/>
  <c r="P571" i="5" s="1"/>
  <c r="S571" i="5" s="1"/>
  <c r="V570" i="5"/>
  <c r="T570" i="5"/>
  <c r="L570" i="5"/>
  <c r="V569" i="5"/>
  <c r="T569" i="5"/>
  <c r="S569" i="5"/>
  <c r="R569" i="5"/>
  <c r="Q569" i="5"/>
  <c r="P569" i="5"/>
  <c r="L569" i="5"/>
  <c r="V568" i="5"/>
  <c r="T568" i="5"/>
  <c r="R568" i="5"/>
  <c r="Q568" i="5"/>
  <c r="P568" i="5"/>
  <c r="L568" i="5"/>
  <c r="V567" i="5"/>
  <c r="T567" i="5"/>
  <c r="L567" i="5"/>
  <c r="R567" i="5" s="1"/>
  <c r="V566" i="5"/>
  <c r="T566" i="5"/>
  <c r="L566" i="5"/>
  <c r="V565" i="5"/>
  <c r="T565" i="5"/>
  <c r="L565" i="5"/>
  <c r="V564" i="5"/>
  <c r="T564" i="5"/>
  <c r="Q564" i="5"/>
  <c r="P564" i="5"/>
  <c r="L564" i="5"/>
  <c r="R564" i="5" s="1"/>
  <c r="V563" i="5"/>
  <c r="T563" i="5"/>
  <c r="R563" i="5"/>
  <c r="Q563" i="5"/>
  <c r="L563" i="5"/>
  <c r="P563" i="5" s="1"/>
  <c r="S563" i="5" s="1"/>
  <c r="V562" i="5"/>
  <c r="T562" i="5"/>
  <c r="S562" i="5"/>
  <c r="R562" i="5"/>
  <c r="Q562" i="5"/>
  <c r="P562" i="5"/>
  <c r="L562" i="5"/>
  <c r="V561" i="5"/>
  <c r="T561" i="5"/>
  <c r="P561" i="5"/>
  <c r="L561" i="5"/>
  <c r="R561" i="5" s="1"/>
  <c r="V560" i="5"/>
  <c r="T560" i="5"/>
  <c r="R560" i="5"/>
  <c r="L560" i="5"/>
  <c r="Q560" i="5" s="1"/>
  <c r="V559" i="5"/>
  <c r="T559" i="5"/>
  <c r="R559" i="5"/>
  <c r="Q559" i="5"/>
  <c r="P559" i="5"/>
  <c r="L559" i="5"/>
  <c r="V558" i="5"/>
  <c r="T558" i="5"/>
  <c r="L558" i="5"/>
  <c r="R558" i="5" s="1"/>
  <c r="V557" i="5"/>
  <c r="T557" i="5"/>
  <c r="P557" i="5"/>
  <c r="L557" i="5"/>
  <c r="R557" i="5" s="1"/>
  <c r="V556" i="5"/>
  <c r="T556" i="5"/>
  <c r="R556" i="5"/>
  <c r="Q556" i="5"/>
  <c r="P556" i="5"/>
  <c r="S556" i="5" s="1"/>
  <c r="L556" i="5"/>
  <c r="V555" i="5"/>
  <c r="T555" i="5"/>
  <c r="R555" i="5"/>
  <c r="Q555" i="5"/>
  <c r="L555" i="5"/>
  <c r="P555" i="5" s="1"/>
  <c r="S555" i="5" s="1"/>
  <c r="V554" i="5"/>
  <c r="T554" i="5"/>
  <c r="R554" i="5"/>
  <c r="L554" i="5"/>
  <c r="V553" i="5"/>
  <c r="T553" i="5"/>
  <c r="S553" i="5"/>
  <c r="R553" i="5"/>
  <c r="Q553" i="5"/>
  <c r="P553" i="5"/>
  <c r="L553" i="5"/>
  <c r="V552" i="5"/>
  <c r="T552" i="5"/>
  <c r="R552" i="5"/>
  <c r="Q552" i="5"/>
  <c r="P552" i="5"/>
  <c r="S552" i="5" s="1"/>
  <c r="L552" i="5"/>
  <c r="V551" i="5"/>
  <c r="T551" i="5"/>
  <c r="L551" i="5"/>
  <c r="R551" i="5" s="1"/>
  <c r="V550" i="5"/>
  <c r="T550" i="5"/>
  <c r="L550" i="5"/>
  <c r="V549" i="5"/>
  <c r="T549" i="5"/>
  <c r="L549" i="5"/>
  <c r="V548" i="5"/>
  <c r="T548" i="5"/>
  <c r="Q548" i="5"/>
  <c r="P548" i="5"/>
  <c r="L548" i="5"/>
  <c r="R548" i="5" s="1"/>
  <c r="V547" i="5"/>
  <c r="T547" i="5"/>
  <c r="R547" i="5"/>
  <c r="Q547" i="5"/>
  <c r="L547" i="5"/>
  <c r="P547" i="5" s="1"/>
  <c r="S547" i="5" s="1"/>
  <c r="V546" i="5"/>
  <c r="T546" i="5"/>
  <c r="R546" i="5"/>
  <c r="S546" i="5" s="1"/>
  <c r="Q546" i="5"/>
  <c r="P546" i="5"/>
  <c r="L546" i="5"/>
  <c r="V545" i="5"/>
  <c r="T545" i="5"/>
  <c r="P545" i="5"/>
  <c r="L545" i="5"/>
  <c r="R545" i="5" s="1"/>
  <c r="V544" i="5"/>
  <c r="T544" i="5"/>
  <c r="R544" i="5"/>
  <c r="L544" i="5"/>
  <c r="Q544" i="5" s="1"/>
  <c r="V543" i="5"/>
  <c r="T543" i="5"/>
  <c r="R543" i="5"/>
  <c r="Q543" i="5"/>
  <c r="S543" i="5" s="1"/>
  <c r="P543" i="5"/>
  <c r="L543" i="5"/>
  <c r="V542" i="5"/>
  <c r="T542" i="5"/>
  <c r="L542" i="5"/>
  <c r="V541" i="5"/>
  <c r="T541" i="5"/>
  <c r="L541" i="5"/>
  <c r="V540" i="5"/>
  <c r="T540" i="5"/>
  <c r="R540" i="5"/>
  <c r="Q540" i="5"/>
  <c r="P540" i="5"/>
  <c r="S540" i="5" s="1"/>
  <c r="L540" i="5"/>
  <c r="V539" i="5"/>
  <c r="T539" i="5"/>
  <c r="R539" i="5"/>
  <c r="Q539" i="5"/>
  <c r="L539" i="5"/>
  <c r="P539" i="5" s="1"/>
  <c r="V538" i="5"/>
  <c r="T538" i="5"/>
  <c r="L538" i="5"/>
  <c r="V537" i="5"/>
  <c r="T537" i="5"/>
  <c r="S537" i="5"/>
  <c r="R537" i="5"/>
  <c r="Q537" i="5"/>
  <c r="P537" i="5"/>
  <c r="L537" i="5"/>
  <c r="V536" i="5"/>
  <c r="T536" i="5"/>
  <c r="R536" i="5"/>
  <c r="Q536" i="5"/>
  <c r="P536" i="5"/>
  <c r="L536" i="5"/>
  <c r="V535" i="5"/>
  <c r="T535" i="5"/>
  <c r="L535" i="5"/>
  <c r="R535" i="5" s="1"/>
  <c r="V534" i="5"/>
  <c r="T534" i="5"/>
  <c r="L534" i="5"/>
  <c r="V533" i="5"/>
  <c r="T533" i="5"/>
  <c r="P533" i="5"/>
  <c r="L533" i="5"/>
  <c r="V532" i="5"/>
  <c r="T532" i="5"/>
  <c r="Q532" i="5"/>
  <c r="P532" i="5"/>
  <c r="L532" i="5"/>
  <c r="R532" i="5" s="1"/>
  <c r="V531" i="5"/>
  <c r="T531" i="5"/>
  <c r="R531" i="5"/>
  <c r="Q531" i="5"/>
  <c r="L531" i="5"/>
  <c r="P531" i="5" s="1"/>
  <c r="S531" i="5" s="1"/>
  <c r="V530" i="5"/>
  <c r="T530" i="5"/>
  <c r="S530" i="5"/>
  <c r="R530" i="5"/>
  <c r="Q530" i="5"/>
  <c r="P530" i="5"/>
  <c r="L530" i="5"/>
  <c r="V529" i="5"/>
  <c r="T529" i="5"/>
  <c r="L529" i="5"/>
  <c r="V528" i="5"/>
  <c r="T528" i="5"/>
  <c r="R528" i="5"/>
  <c r="L528" i="5"/>
  <c r="Q528" i="5" s="1"/>
  <c r="V527" i="5"/>
  <c r="T527" i="5"/>
  <c r="R527" i="5"/>
  <c r="Q527" i="5"/>
  <c r="S527" i="5" s="1"/>
  <c r="P527" i="5"/>
  <c r="L527" i="5"/>
  <c r="V526" i="5"/>
  <c r="T526" i="5"/>
  <c r="P526" i="5"/>
  <c r="L526" i="5"/>
  <c r="V525" i="5"/>
  <c r="T525" i="5"/>
  <c r="L525" i="5"/>
  <c r="V524" i="5"/>
  <c r="T524" i="5"/>
  <c r="R524" i="5"/>
  <c r="Q524" i="5"/>
  <c r="P524" i="5"/>
  <c r="L524" i="5"/>
  <c r="V523" i="5"/>
  <c r="T523" i="5"/>
  <c r="R523" i="5"/>
  <c r="Q523" i="5"/>
  <c r="L523" i="5"/>
  <c r="P523" i="5" s="1"/>
  <c r="S523" i="5" s="1"/>
  <c r="V522" i="5"/>
  <c r="T522" i="5"/>
  <c r="R522" i="5"/>
  <c r="L522" i="5"/>
  <c r="Q522" i="5" s="1"/>
  <c r="V521" i="5"/>
  <c r="T521" i="5"/>
  <c r="S521" i="5"/>
  <c r="R521" i="5"/>
  <c r="Q521" i="5"/>
  <c r="P521" i="5"/>
  <c r="L521" i="5"/>
  <c r="V520" i="5"/>
  <c r="T520" i="5"/>
  <c r="R520" i="5"/>
  <c r="Q520" i="5"/>
  <c r="P520" i="5"/>
  <c r="S520" i="5" s="1"/>
  <c r="L520" i="5"/>
  <c r="V519" i="5"/>
  <c r="T519" i="5"/>
  <c r="L519" i="5"/>
  <c r="V518" i="5"/>
  <c r="T518" i="5"/>
  <c r="L518" i="5"/>
  <c r="V517" i="5"/>
  <c r="T517" i="5"/>
  <c r="Q517" i="5"/>
  <c r="P517" i="5"/>
  <c r="S517" i="5" s="1"/>
  <c r="L517" i="5"/>
  <c r="R517" i="5" s="1"/>
  <c r="V516" i="5"/>
  <c r="T516" i="5"/>
  <c r="Q516" i="5"/>
  <c r="P516" i="5"/>
  <c r="S516" i="5" s="1"/>
  <c r="L516" i="5"/>
  <c r="R516" i="5" s="1"/>
  <c r="V515" i="5"/>
  <c r="T515" i="5"/>
  <c r="L515" i="5"/>
  <c r="V514" i="5"/>
  <c r="T514" i="5"/>
  <c r="R514" i="5"/>
  <c r="Q514" i="5"/>
  <c r="P514" i="5"/>
  <c r="S514" i="5" s="1"/>
  <c r="L514" i="5"/>
  <c r="V513" i="5"/>
  <c r="T513" i="5"/>
  <c r="L513" i="5"/>
  <c r="R513" i="5" s="1"/>
  <c r="V512" i="5"/>
  <c r="T512" i="5"/>
  <c r="R512" i="5"/>
  <c r="L512" i="5"/>
  <c r="Q512" i="5" s="1"/>
  <c r="V511" i="5"/>
  <c r="T511" i="5"/>
  <c r="R511" i="5"/>
  <c r="Q511" i="5"/>
  <c r="S511" i="5" s="1"/>
  <c r="P511" i="5"/>
  <c r="L511" i="5"/>
  <c r="V510" i="5"/>
  <c r="T510" i="5"/>
  <c r="P510" i="5"/>
  <c r="L510" i="5"/>
  <c r="V509" i="5"/>
  <c r="T509" i="5"/>
  <c r="L509" i="5"/>
  <c r="V508" i="5"/>
  <c r="T508" i="5"/>
  <c r="R508" i="5"/>
  <c r="Q508" i="5"/>
  <c r="P508" i="5"/>
  <c r="S508" i="5" s="1"/>
  <c r="L508" i="5"/>
  <c r="V507" i="5"/>
  <c r="T507" i="5"/>
  <c r="L507" i="5"/>
  <c r="P507" i="5" s="1"/>
  <c r="V506" i="5"/>
  <c r="T506" i="5"/>
  <c r="L506" i="5"/>
  <c r="Q506" i="5" s="1"/>
  <c r="V505" i="5"/>
  <c r="T505" i="5"/>
  <c r="S505" i="5"/>
  <c r="R505" i="5"/>
  <c r="Q505" i="5"/>
  <c r="P505" i="5"/>
  <c r="L505" i="5"/>
  <c r="V504" i="5"/>
  <c r="T504" i="5"/>
  <c r="R504" i="5"/>
  <c r="Q504" i="5"/>
  <c r="P504" i="5"/>
  <c r="L504" i="5"/>
  <c r="V503" i="5"/>
  <c r="T503" i="5"/>
  <c r="P503" i="5"/>
  <c r="L503" i="5"/>
  <c r="V502" i="5"/>
  <c r="T502" i="5"/>
  <c r="R502" i="5"/>
  <c r="L502" i="5"/>
  <c r="V501" i="5"/>
  <c r="T501" i="5"/>
  <c r="L501" i="5"/>
  <c r="R501" i="5" s="1"/>
  <c r="V500" i="5"/>
  <c r="T500" i="5"/>
  <c r="Q500" i="5"/>
  <c r="P500" i="5"/>
  <c r="L500" i="5"/>
  <c r="R500" i="5" s="1"/>
  <c r="V499" i="5"/>
  <c r="T499" i="5"/>
  <c r="L499" i="5"/>
  <c r="P499" i="5" s="1"/>
  <c r="V498" i="5"/>
  <c r="T498" i="5"/>
  <c r="S498" i="5"/>
  <c r="R498" i="5"/>
  <c r="Q498" i="5"/>
  <c r="P498" i="5"/>
  <c r="L498" i="5"/>
  <c r="V497" i="5"/>
  <c r="T497" i="5"/>
  <c r="L497" i="5"/>
  <c r="R497" i="5" s="1"/>
  <c r="V496" i="5"/>
  <c r="T496" i="5"/>
  <c r="L496" i="5"/>
  <c r="V495" i="5"/>
  <c r="T495" i="5"/>
  <c r="R495" i="5"/>
  <c r="Q495" i="5"/>
  <c r="S495" i="5" s="1"/>
  <c r="P495" i="5"/>
  <c r="L495" i="5"/>
  <c r="V494" i="5"/>
  <c r="T494" i="5"/>
  <c r="L494" i="5"/>
  <c r="R494" i="5" s="1"/>
  <c r="V493" i="5"/>
  <c r="T493" i="5"/>
  <c r="L493" i="5"/>
  <c r="V492" i="5"/>
  <c r="T492" i="5"/>
  <c r="R492" i="5"/>
  <c r="Q492" i="5"/>
  <c r="P492" i="5"/>
  <c r="S492" i="5" s="1"/>
  <c r="L492" i="5"/>
  <c r="V491" i="5"/>
  <c r="T491" i="5"/>
  <c r="R491" i="5"/>
  <c r="Q491" i="5"/>
  <c r="L491" i="5"/>
  <c r="P491" i="5" s="1"/>
  <c r="S491" i="5" s="1"/>
  <c r="V490" i="5"/>
  <c r="T490" i="5"/>
  <c r="L490" i="5"/>
  <c r="Q490" i="5" s="1"/>
  <c r="V489" i="5"/>
  <c r="T489" i="5"/>
  <c r="S489" i="5"/>
  <c r="R489" i="5"/>
  <c r="Q489" i="5"/>
  <c r="P489" i="5"/>
  <c r="L489" i="5"/>
  <c r="V488" i="5"/>
  <c r="T488" i="5"/>
  <c r="R488" i="5"/>
  <c r="Q488" i="5"/>
  <c r="P488" i="5"/>
  <c r="S488" i="5" s="1"/>
  <c r="L488" i="5"/>
  <c r="V487" i="5"/>
  <c r="T487" i="5"/>
  <c r="P487" i="5"/>
  <c r="L487" i="5"/>
  <c r="V486" i="5"/>
  <c r="T486" i="5"/>
  <c r="L486" i="5"/>
  <c r="V485" i="5"/>
  <c r="T485" i="5"/>
  <c r="L485" i="5"/>
  <c r="V484" i="5"/>
  <c r="T484" i="5"/>
  <c r="L484" i="5"/>
  <c r="R484" i="5" s="1"/>
  <c r="V483" i="5"/>
  <c r="T483" i="5"/>
  <c r="L483" i="5"/>
  <c r="P483" i="5" s="1"/>
  <c r="V482" i="5"/>
  <c r="T482" i="5"/>
  <c r="R482" i="5"/>
  <c r="Q482" i="5"/>
  <c r="S482" i="5" s="1"/>
  <c r="P482" i="5"/>
  <c r="L482" i="5"/>
  <c r="V481" i="5"/>
  <c r="T481" i="5"/>
  <c r="L481" i="5"/>
  <c r="R481" i="5" s="1"/>
  <c r="V480" i="5"/>
  <c r="T480" i="5"/>
  <c r="R480" i="5"/>
  <c r="L480" i="5"/>
  <c r="V479" i="5"/>
  <c r="T479" i="5"/>
  <c r="S479" i="5"/>
  <c r="R479" i="5"/>
  <c r="Q479" i="5"/>
  <c r="P479" i="5"/>
  <c r="L479" i="5"/>
  <c r="V478" i="5"/>
  <c r="T478" i="5"/>
  <c r="Q478" i="5"/>
  <c r="P478" i="5"/>
  <c r="L478" i="5"/>
  <c r="R478" i="5" s="1"/>
  <c r="V477" i="5"/>
  <c r="T477" i="5"/>
  <c r="S477" i="5"/>
  <c r="R477" i="5"/>
  <c r="P477" i="5"/>
  <c r="L477" i="5"/>
  <c r="Q477" i="5" s="1"/>
  <c r="V476" i="5"/>
  <c r="T476" i="5"/>
  <c r="R476" i="5"/>
  <c r="Q476" i="5"/>
  <c r="S476" i="5" s="1"/>
  <c r="P476" i="5"/>
  <c r="L476" i="5"/>
  <c r="V475" i="5"/>
  <c r="T475" i="5"/>
  <c r="R475" i="5"/>
  <c r="Q475" i="5"/>
  <c r="P475" i="5"/>
  <c r="L475" i="5"/>
  <c r="V474" i="5"/>
  <c r="T474" i="5"/>
  <c r="R474" i="5"/>
  <c r="P474" i="5"/>
  <c r="S474" i="5" s="1"/>
  <c r="L474" i="5"/>
  <c r="Q474" i="5" s="1"/>
  <c r="V473" i="5"/>
  <c r="T473" i="5"/>
  <c r="R473" i="5"/>
  <c r="Q473" i="5"/>
  <c r="P473" i="5"/>
  <c r="S473" i="5" s="1"/>
  <c r="L473" i="5"/>
  <c r="V472" i="5"/>
  <c r="T472" i="5"/>
  <c r="R472" i="5"/>
  <c r="Q472" i="5"/>
  <c r="P472" i="5"/>
  <c r="S472" i="5" s="1"/>
  <c r="L472" i="5"/>
  <c r="V471" i="5"/>
  <c r="T471" i="5"/>
  <c r="R471" i="5"/>
  <c r="P471" i="5"/>
  <c r="S471" i="5" s="1"/>
  <c r="L471" i="5"/>
  <c r="Q471" i="5" s="1"/>
  <c r="V470" i="5"/>
  <c r="T470" i="5"/>
  <c r="L470" i="5"/>
  <c r="V469" i="5"/>
  <c r="T469" i="5"/>
  <c r="Q469" i="5"/>
  <c r="P469" i="5"/>
  <c r="L469" i="5"/>
  <c r="R469" i="5" s="1"/>
  <c r="V468" i="5"/>
  <c r="T468" i="5"/>
  <c r="L468" i="5"/>
  <c r="V467" i="5"/>
  <c r="T467" i="5"/>
  <c r="Q467" i="5"/>
  <c r="P467" i="5"/>
  <c r="S467" i="5" s="1"/>
  <c r="L467" i="5"/>
  <c r="R467" i="5" s="1"/>
  <c r="V466" i="5"/>
  <c r="T466" i="5"/>
  <c r="R466" i="5"/>
  <c r="Q466" i="5"/>
  <c r="P466" i="5"/>
  <c r="S466" i="5" s="1"/>
  <c r="L466" i="5"/>
  <c r="V465" i="5"/>
  <c r="T465" i="5"/>
  <c r="L465" i="5"/>
  <c r="R465" i="5" s="1"/>
  <c r="V464" i="5"/>
  <c r="T464" i="5"/>
  <c r="R464" i="5"/>
  <c r="Q464" i="5"/>
  <c r="S464" i="5" s="1"/>
  <c r="L464" i="5"/>
  <c r="P464" i="5" s="1"/>
  <c r="V463" i="5"/>
  <c r="T463" i="5"/>
  <c r="P463" i="5"/>
  <c r="L463" i="5"/>
  <c r="R463" i="5" s="1"/>
  <c r="V462" i="5"/>
  <c r="T462" i="5"/>
  <c r="Q462" i="5"/>
  <c r="S462" i="5" s="1"/>
  <c r="P462" i="5"/>
  <c r="L462" i="5"/>
  <c r="R462" i="5" s="1"/>
  <c r="V461" i="5"/>
  <c r="T461" i="5"/>
  <c r="Q461" i="5"/>
  <c r="L461" i="5"/>
  <c r="R461" i="5" s="1"/>
  <c r="V460" i="5"/>
  <c r="T460" i="5"/>
  <c r="S460" i="5"/>
  <c r="R460" i="5"/>
  <c r="Q460" i="5"/>
  <c r="P460" i="5"/>
  <c r="L460" i="5"/>
  <c r="V459" i="5"/>
  <c r="T459" i="5"/>
  <c r="Q459" i="5"/>
  <c r="P459" i="5"/>
  <c r="S459" i="5" s="1"/>
  <c r="L459" i="5"/>
  <c r="R459" i="5" s="1"/>
  <c r="V458" i="5"/>
  <c r="T458" i="5"/>
  <c r="R458" i="5"/>
  <c r="L458" i="5"/>
  <c r="Q458" i="5" s="1"/>
  <c r="V457" i="5"/>
  <c r="T457" i="5"/>
  <c r="R457" i="5"/>
  <c r="P457" i="5"/>
  <c r="L457" i="5"/>
  <c r="Q457" i="5" s="1"/>
  <c r="V456" i="5"/>
  <c r="T456" i="5"/>
  <c r="R456" i="5"/>
  <c r="Q456" i="5"/>
  <c r="P456" i="5"/>
  <c r="S456" i="5" s="1"/>
  <c r="L456" i="5"/>
  <c r="V455" i="5"/>
  <c r="T455" i="5"/>
  <c r="R455" i="5"/>
  <c r="Q455" i="5"/>
  <c r="P455" i="5"/>
  <c r="S455" i="5" s="1"/>
  <c r="L455" i="5"/>
  <c r="V454" i="5"/>
  <c r="T454" i="5"/>
  <c r="R454" i="5"/>
  <c r="P454" i="5"/>
  <c r="S454" i="5" s="1"/>
  <c r="L454" i="5"/>
  <c r="Q454" i="5" s="1"/>
  <c r="V453" i="5"/>
  <c r="T453" i="5"/>
  <c r="R453" i="5"/>
  <c r="L453" i="5"/>
  <c r="Q453" i="5" s="1"/>
  <c r="V452" i="5"/>
  <c r="T452" i="5"/>
  <c r="R452" i="5"/>
  <c r="P452" i="5"/>
  <c r="S452" i="5" s="1"/>
  <c r="L452" i="5"/>
  <c r="Q452" i="5" s="1"/>
  <c r="V451" i="5"/>
  <c r="T451" i="5"/>
  <c r="R451" i="5"/>
  <c r="Q451" i="5"/>
  <c r="L451" i="5"/>
  <c r="P451" i="5" s="1"/>
  <c r="S451" i="5" s="1"/>
  <c r="V450" i="5"/>
  <c r="T450" i="5"/>
  <c r="L450" i="5"/>
  <c r="R450" i="5" s="1"/>
  <c r="V449" i="5"/>
  <c r="T449" i="5"/>
  <c r="P449" i="5"/>
  <c r="L449" i="5"/>
  <c r="R449" i="5" s="1"/>
  <c r="V448" i="5"/>
  <c r="T448" i="5"/>
  <c r="L448" i="5"/>
  <c r="V447" i="5"/>
  <c r="T447" i="5"/>
  <c r="L447" i="5"/>
  <c r="R447" i="5" s="1"/>
  <c r="V446" i="5"/>
  <c r="T446" i="5"/>
  <c r="R446" i="5"/>
  <c r="Q446" i="5"/>
  <c r="S446" i="5" s="1"/>
  <c r="P446" i="5"/>
  <c r="L446" i="5"/>
  <c r="V445" i="5"/>
  <c r="T445" i="5"/>
  <c r="Q445" i="5"/>
  <c r="L445" i="5"/>
  <c r="R445" i="5" s="1"/>
  <c r="V444" i="5"/>
  <c r="T444" i="5"/>
  <c r="S444" i="5"/>
  <c r="R444" i="5"/>
  <c r="Q444" i="5"/>
  <c r="P444" i="5"/>
  <c r="L444" i="5"/>
  <c r="V443" i="5"/>
  <c r="T443" i="5"/>
  <c r="Q443" i="5"/>
  <c r="P443" i="5"/>
  <c r="L443" i="5"/>
  <c r="R443" i="5" s="1"/>
  <c r="V442" i="5"/>
  <c r="T442" i="5"/>
  <c r="R442" i="5"/>
  <c r="L442" i="5"/>
  <c r="Q442" i="5" s="1"/>
  <c r="V441" i="5"/>
  <c r="T441" i="5"/>
  <c r="R441" i="5"/>
  <c r="P441" i="5"/>
  <c r="L441" i="5"/>
  <c r="Q441" i="5" s="1"/>
  <c r="V440" i="5"/>
  <c r="T440" i="5"/>
  <c r="R440" i="5"/>
  <c r="Q440" i="5"/>
  <c r="P440" i="5"/>
  <c r="S440" i="5" s="1"/>
  <c r="L440" i="5"/>
  <c r="V439" i="5"/>
  <c r="T439" i="5"/>
  <c r="R439" i="5"/>
  <c r="Q439" i="5"/>
  <c r="P439" i="5"/>
  <c r="S439" i="5" s="1"/>
  <c r="L439" i="5"/>
  <c r="V438" i="5"/>
  <c r="T438" i="5"/>
  <c r="R438" i="5"/>
  <c r="P438" i="5"/>
  <c r="S438" i="5" s="1"/>
  <c r="L438" i="5"/>
  <c r="Q438" i="5" s="1"/>
  <c r="V437" i="5"/>
  <c r="T437" i="5"/>
  <c r="R437" i="5"/>
  <c r="L437" i="5"/>
  <c r="Q437" i="5" s="1"/>
  <c r="V436" i="5"/>
  <c r="T436" i="5"/>
  <c r="R436" i="5"/>
  <c r="P436" i="5"/>
  <c r="L436" i="5"/>
  <c r="Q436" i="5" s="1"/>
  <c r="V435" i="5"/>
  <c r="T435" i="5"/>
  <c r="R435" i="5"/>
  <c r="Q435" i="5"/>
  <c r="L435" i="5"/>
  <c r="P435" i="5" s="1"/>
  <c r="S435" i="5" s="1"/>
  <c r="V434" i="5"/>
  <c r="T434" i="5"/>
  <c r="L434" i="5"/>
  <c r="R434" i="5" s="1"/>
  <c r="V433" i="5"/>
  <c r="T433" i="5"/>
  <c r="P433" i="5"/>
  <c r="L433" i="5"/>
  <c r="R433" i="5" s="1"/>
  <c r="V432" i="5"/>
  <c r="T432" i="5"/>
  <c r="L432" i="5"/>
  <c r="V431" i="5"/>
  <c r="T431" i="5"/>
  <c r="L431" i="5"/>
  <c r="R431" i="5" s="1"/>
  <c r="V430" i="5"/>
  <c r="T430" i="5"/>
  <c r="R430" i="5"/>
  <c r="Q430" i="5"/>
  <c r="S430" i="5" s="1"/>
  <c r="P430" i="5"/>
  <c r="L430" i="5"/>
  <c r="V429" i="5"/>
  <c r="T429" i="5"/>
  <c r="Q429" i="5"/>
  <c r="L429" i="5"/>
  <c r="R429" i="5" s="1"/>
  <c r="V428" i="5"/>
  <c r="T428" i="5"/>
  <c r="S428" i="5"/>
  <c r="R428" i="5"/>
  <c r="Q428" i="5"/>
  <c r="P428" i="5"/>
  <c r="L428" i="5"/>
  <c r="V427" i="5"/>
  <c r="T427" i="5"/>
  <c r="Q427" i="5"/>
  <c r="P427" i="5"/>
  <c r="L427" i="5"/>
  <c r="R427" i="5" s="1"/>
  <c r="V426" i="5"/>
  <c r="T426" i="5"/>
  <c r="R426" i="5"/>
  <c r="L426" i="5"/>
  <c r="Q426" i="5" s="1"/>
  <c r="V425" i="5"/>
  <c r="T425" i="5"/>
  <c r="R425" i="5"/>
  <c r="P425" i="5"/>
  <c r="L425" i="5"/>
  <c r="Q425" i="5" s="1"/>
  <c r="V424" i="5"/>
  <c r="T424" i="5"/>
  <c r="R424" i="5"/>
  <c r="Q424" i="5"/>
  <c r="P424" i="5"/>
  <c r="S424" i="5" s="1"/>
  <c r="L424" i="5"/>
  <c r="V423" i="5"/>
  <c r="T423" i="5"/>
  <c r="R423" i="5"/>
  <c r="Q423" i="5"/>
  <c r="P423" i="5"/>
  <c r="S423" i="5" s="1"/>
  <c r="L423" i="5"/>
  <c r="V422" i="5"/>
  <c r="T422" i="5"/>
  <c r="R422" i="5"/>
  <c r="P422" i="5"/>
  <c r="S422" i="5" s="1"/>
  <c r="L422" i="5"/>
  <c r="Q422" i="5" s="1"/>
  <c r="V421" i="5"/>
  <c r="T421" i="5"/>
  <c r="R421" i="5"/>
  <c r="L421" i="5"/>
  <c r="Q421" i="5" s="1"/>
  <c r="V420" i="5"/>
  <c r="T420" i="5"/>
  <c r="R420" i="5"/>
  <c r="P420" i="5"/>
  <c r="L420" i="5"/>
  <c r="Q420" i="5" s="1"/>
  <c r="V419" i="5"/>
  <c r="T419" i="5"/>
  <c r="R419" i="5"/>
  <c r="Q419" i="5"/>
  <c r="L419" i="5"/>
  <c r="P419" i="5" s="1"/>
  <c r="S419" i="5" s="1"/>
  <c r="V418" i="5"/>
  <c r="T418" i="5"/>
  <c r="L418" i="5"/>
  <c r="R418" i="5" s="1"/>
  <c r="V417" i="5"/>
  <c r="T417" i="5"/>
  <c r="P417" i="5"/>
  <c r="L417" i="5"/>
  <c r="R417" i="5" s="1"/>
  <c r="V416" i="5"/>
  <c r="T416" i="5"/>
  <c r="L416" i="5"/>
  <c r="V415" i="5"/>
  <c r="T415" i="5"/>
  <c r="L415" i="5"/>
  <c r="R415" i="5" s="1"/>
  <c r="V414" i="5"/>
  <c r="T414" i="5"/>
  <c r="R414" i="5"/>
  <c r="Q414" i="5"/>
  <c r="S414" i="5" s="1"/>
  <c r="P414" i="5"/>
  <c r="L414" i="5"/>
  <c r="V413" i="5"/>
  <c r="T413" i="5"/>
  <c r="Q413" i="5"/>
  <c r="L413" i="5"/>
  <c r="R413" i="5" s="1"/>
  <c r="V412" i="5"/>
  <c r="T412" i="5"/>
  <c r="S412" i="5"/>
  <c r="R412" i="5"/>
  <c r="Q412" i="5"/>
  <c r="P412" i="5"/>
  <c r="L412" i="5"/>
  <c r="V411" i="5"/>
  <c r="T411" i="5"/>
  <c r="Q411" i="5"/>
  <c r="P411" i="5"/>
  <c r="L411" i="5"/>
  <c r="R411" i="5" s="1"/>
  <c r="V410" i="5"/>
  <c r="T410" i="5"/>
  <c r="R410" i="5"/>
  <c r="L410" i="5"/>
  <c r="Q410" i="5" s="1"/>
  <c r="V409" i="5"/>
  <c r="T409" i="5"/>
  <c r="R409" i="5"/>
  <c r="P409" i="5"/>
  <c r="S409" i="5" s="1"/>
  <c r="L409" i="5"/>
  <c r="Q409" i="5" s="1"/>
  <c r="V408" i="5"/>
  <c r="T408" i="5"/>
  <c r="R408" i="5"/>
  <c r="Q408" i="5"/>
  <c r="P408" i="5"/>
  <c r="S408" i="5" s="1"/>
  <c r="L408" i="5"/>
  <c r="V407" i="5"/>
  <c r="T407" i="5"/>
  <c r="R407" i="5"/>
  <c r="Q407" i="5"/>
  <c r="P407" i="5"/>
  <c r="S407" i="5" s="1"/>
  <c r="L407" i="5"/>
  <c r="V406" i="5"/>
  <c r="T406" i="5"/>
  <c r="R406" i="5"/>
  <c r="P406" i="5"/>
  <c r="S406" i="5" s="1"/>
  <c r="L406" i="5"/>
  <c r="Q406" i="5" s="1"/>
  <c r="V405" i="5"/>
  <c r="T405" i="5"/>
  <c r="R405" i="5"/>
  <c r="L405" i="5"/>
  <c r="Q405" i="5" s="1"/>
  <c r="V404" i="5"/>
  <c r="T404" i="5"/>
  <c r="R404" i="5"/>
  <c r="P404" i="5"/>
  <c r="S404" i="5" s="1"/>
  <c r="L404" i="5"/>
  <c r="Q404" i="5" s="1"/>
  <c r="V403" i="5"/>
  <c r="T403" i="5"/>
  <c r="R403" i="5"/>
  <c r="Q403" i="5"/>
  <c r="L403" i="5"/>
  <c r="P403" i="5" s="1"/>
  <c r="S403" i="5" s="1"/>
  <c r="V402" i="5"/>
  <c r="T402" i="5"/>
  <c r="L402" i="5"/>
  <c r="R402" i="5" s="1"/>
  <c r="V401" i="5"/>
  <c r="T401" i="5"/>
  <c r="P401" i="5"/>
  <c r="L401" i="5"/>
  <c r="R401" i="5" s="1"/>
  <c r="V400" i="5"/>
  <c r="T400" i="5"/>
  <c r="L400" i="5"/>
  <c r="V399" i="5"/>
  <c r="T399" i="5"/>
  <c r="L399" i="5"/>
  <c r="R399" i="5" s="1"/>
  <c r="V398" i="5"/>
  <c r="T398" i="5"/>
  <c r="R398" i="5"/>
  <c r="Q398" i="5"/>
  <c r="S398" i="5" s="1"/>
  <c r="P398" i="5"/>
  <c r="L398" i="5"/>
  <c r="V397" i="5"/>
  <c r="T397" i="5"/>
  <c r="Q397" i="5"/>
  <c r="L397" i="5"/>
  <c r="R397" i="5" s="1"/>
  <c r="V396" i="5"/>
  <c r="T396" i="5"/>
  <c r="S396" i="5"/>
  <c r="R396" i="5"/>
  <c r="Q396" i="5"/>
  <c r="P396" i="5"/>
  <c r="L396" i="5"/>
  <c r="V395" i="5"/>
  <c r="T395" i="5"/>
  <c r="Q395" i="5"/>
  <c r="P395" i="5"/>
  <c r="L395" i="5"/>
  <c r="R395" i="5" s="1"/>
  <c r="V394" i="5"/>
  <c r="T394" i="5"/>
  <c r="R394" i="5"/>
  <c r="L394" i="5"/>
  <c r="Q394" i="5" s="1"/>
  <c r="V393" i="5"/>
  <c r="T393" i="5"/>
  <c r="R393" i="5"/>
  <c r="P393" i="5"/>
  <c r="L393" i="5"/>
  <c r="Q393" i="5" s="1"/>
  <c r="V392" i="5"/>
  <c r="T392" i="5"/>
  <c r="R392" i="5"/>
  <c r="Q392" i="5"/>
  <c r="P392" i="5"/>
  <c r="S392" i="5" s="1"/>
  <c r="L392" i="5"/>
  <c r="V391" i="5"/>
  <c r="T391" i="5"/>
  <c r="R391" i="5"/>
  <c r="Q391" i="5"/>
  <c r="P391" i="5"/>
  <c r="S391" i="5" s="1"/>
  <c r="L391" i="5"/>
  <c r="V390" i="5"/>
  <c r="T390" i="5"/>
  <c r="R390" i="5"/>
  <c r="P390" i="5"/>
  <c r="S390" i="5" s="1"/>
  <c r="L390" i="5"/>
  <c r="Q390" i="5" s="1"/>
  <c r="V389" i="5"/>
  <c r="T389" i="5"/>
  <c r="L389" i="5"/>
  <c r="V388" i="5"/>
  <c r="T388" i="5"/>
  <c r="R388" i="5"/>
  <c r="P388" i="5"/>
  <c r="L388" i="5"/>
  <c r="Q388" i="5" s="1"/>
  <c r="V387" i="5"/>
  <c r="T387" i="5"/>
  <c r="R387" i="5"/>
  <c r="Q387" i="5"/>
  <c r="L387" i="5"/>
  <c r="P387" i="5" s="1"/>
  <c r="S387" i="5" s="1"/>
  <c r="V386" i="5"/>
  <c r="T386" i="5"/>
  <c r="R386" i="5"/>
  <c r="L386" i="5"/>
  <c r="V385" i="5"/>
  <c r="T385" i="5"/>
  <c r="P385" i="5"/>
  <c r="L385" i="5"/>
  <c r="R385" i="5" s="1"/>
  <c r="V384" i="5"/>
  <c r="T384" i="5"/>
  <c r="Q384" i="5"/>
  <c r="L384" i="5"/>
  <c r="V383" i="5"/>
  <c r="T383" i="5"/>
  <c r="L383" i="5"/>
  <c r="V382" i="5"/>
  <c r="T382" i="5"/>
  <c r="R382" i="5"/>
  <c r="Q382" i="5"/>
  <c r="S382" i="5" s="1"/>
  <c r="P382" i="5"/>
  <c r="L382" i="5"/>
  <c r="V381" i="5"/>
  <c r="T381" i="5"/>
  <c r="Q381" i="5"/>
  <c r="L381" i="5"/>
  <c r="V380" i="5"/>
  <c r="T380" i="5"/>
  <c r="R380" i="5"/>
  <c r="Q380" i="5"/>
  <c r="P380" i="5"/>
  <c r="S380" i="5" s="1"/>
  <c r="L380" i="5"/>
  <c r="V379" i="5"/>
  <c r="T379" i="5"/>
  <c r="Q379" i="5"/>
  <c r="P379" i="5"/>
  <c r="L379" i="5"/>
  <c r="R379" i="5" s="1"/>
  <c r="S379" i="5" s="1"/>
  <c r="V378" i="5"/>
  <c r="T378" i="5"/>
  <c r="R378" i="5"/>
  <c r="L378" i="5"/>
  <c r="Q378" i="5" s="1"/>
  <c r="V377" i="5"/>
  <c r="T377" i="5"/>
  <c r="S377" i="5"/>
  <c r="R377" i="5"/>
  <c r="P377" i="5"/>
  <c r="L377" i="5"/>
  <c r="Q377" i="5" s="1"/>
  <c r="V376" i="5"/>
  <c r="T376" i="5"/>
  <c r="R376" i="5"/>
  <c r="Q376" i="5"/>
  <c r="P376" i="5"/>
  <c r="S376" i="5" s="1"/>
  <c r="L376" i="5"/>
  <c r="V375" i="5"/>
  <c r="T375" i="5"/>
  <c r="R375" i="5"/>
  <c r="Q375" i="5"/>
  <c r="P375" i="5"/>
  <c r="L375" i="5"/>
  <c r="V374" i="5"/>
  <c r="T374" i="5"/>
  <c r="R374" i="5"/>
  <c r="P374" i="5"/>
  <c r="S374" i="5" s="1"/>
  <c r="L374" i="5"/>
  <c r="Q374" i="5" s="1"/>
  <c r="V373" i="5"/>
  <c r="T373" i="5"/>
  <c r="L373" i="5"/>
  <c r="V372" i="5"/>
  <c r="T372" i="5"/>
  <c r="L372" i="5"/>
  <c r="Q372" i="5" s="1"/>
  <c r="V371" i="5"/>
  <c r="T371" i="5"/>
  <c r="R371" i="5"/>
  <c r="Q371" i="5"/>
  <c r="L371" i="5"/>
  <c r="P371" i="5" s="1"/>
  <c r="S371" i="5" s="1"/>
  <c r="V370" i="5"/>
  <c r="T370" i="5"/>
  <c r="Q370" i="5"/>
  <c r="L370" i="5"/>
  <c r="R370" i="5" s="1"/>
  <c r="V369" i="5"/>
  <c r="T369" i="5"/>
  <c r="P369" i="5"/>
  <c r="L369" i="5"/>
  <c r="R369" i="5" s="1"/>
  <c r="V368" i="5"/>
  <c r="T368" i="5"/>
  <c r="R368" i="5"/>
  <c r="Q368" i="5"/>
  <c r="P368" i="5"/>
  <c r="S368" i="5" s="1"/>
  <c r="L368" i="5"/>
  <c r="V367" i="5"/>
  <c r="T367" i="5"/>
  <c r="R367" i="5"/>
  <c r="L367" i="5"/>
  <c r="V366" i="5"/>
  <c r="T366" i="5"/>
  <c r="R366" i="5"/>
  <c r="Q366" i="5"/>
  <c r="P366" i="5"/>
  <c r="S366" i="5" s="1"/>
  <c r="L366" i="5"/>
  <c r="V365" i="5"/>
  <c r="T365" i="5"/>
  <c r="Q365" i="5"/>
  <c r="L365" i="5"/>
  <c r="V364" i="5"/>
  <c r="T364" i="5"/>
  <c r="R364" i="5"/>
  <c r="Q364" i="5"/>
  <c r="P364" i="5"/>
  <c r="S364" i="5" s="1"/>
  <c r="L364" i="5"/>
  <c r="V363" i="5"/>
  <c r="T363" i="5"/>
  <c r="L363" i="5"/>
  <c r="V362" i="5"/>
  <c r="T362" i="5"/>
  <c r="L362" i="5"/>
  <c r="V361" i="5"/>
  <c r="T361" i="5"/>
  <c r="P361" i="5"/>
  <c r="L361" i="5"/>
  <c r="R361" i="5" s="1"/>
  <c r="V360" i="5"/>
  <c r="T360" i="5"/>
  <c r="R360" i="5"/>
  <c r="Q360" i="5"/>
  <c r="P360" i="5"/>
  <c r="L360" i="5"/>
  <c r="V359" i="5"/>
  <c r="T359" i="5"/>
  <c r="P359" i="5"/>
  <c r="L359" i="5"/>
  <c r="R359" i="5" s="1"/>
  <c r="V358" i="5"/>
  <c r="T358" i="5"/>
  <c r="R358" i="5"/>
  <c r="P358" i="5"/>
  <c r="S358" i="5" s="1"/>
  <c r="L358" i="5"/>
  <c r="Q358" i="5" s="1"/>
  <c r="V357" i="5"/>
  <c r="T357" i="5"/>
  <c r="L357" i="5"/>
  <c r="R357" i="5" s="1"/>
  <c r="V356" i="5"/>
  <c r="T356" i="5"/>
  <c r="L356" i="5"/>
  <c r="Q356" i="5" s="1"/>
  <c r="V355" i="5"/>
  <c r="T355" i="5"/>
  <c r="R355" i="5"/>
  <c r="Q355" i="5"/>
  <c r="L355" i="5"/>
  <c r="P355" i="5" s="1"/>
  <c r="S355" i="5" s="1"/>
  <c r="V354" i="5"/>
  <c r="T354" i="5"/>
  <c r="Q354" i="5"/>
  <c r="L354" i="5"/>
  <c r="R354" i="5" s="1"/>
  <c r="V353" i="5"/>
  <c r="T353" i="5"/>
  <c r="L353" i="5"/>
  <c r="V352" i="5"/>
  <c r="T352" i="5"/>
  <c r="L352" i="5"/>
  <c r="V351" i="5"/>
  <c r="T351" i="5"/>
  <c r="R351" i="5"/>
  <c r="Q351" i="5"/>
  <c r="L351" i="5"/>
  <c r="P351" i="5" s="1"/>
  <c r="V350" i="5"/>
  <c r="T350" i="5"/>
  <c r="R350" i="5"/>
  <c r="Q350" i="5"/>
  <c r="P350" i="5"/>
  <c r="S350" i="5" s="1"/>
  <c r="L350" i="5"/>
  <c r="V349" i="5"/>
  <c r="T349" i="5"/>
  <c r="L349" i="5"/>
  <c r="V348" i="5"/>
  <c r="T348" i="5"/>
  <c r="R348" i="5"/>
  <c r="Q348" i="5"/>
  <c r="P348" i="5"/>
  <c r="S348" i="5" s="1"/>
  <c r="L348" i="5"/>
  <c r="V347" i="5"/>
  <c r="T347" i="5"/>
  <c r="Q347" i="5"/>
  <c r="L347" i="5"/>
  <c r="R347" i="5" s="1"/>
  <c r="V346" i="5"/>
  <c r="T346" i="5"/>
  <c r="L346" i="5"/>
  <c r="Q346" i="5" s="1"/>
  <c r="V345" i="5"/>
  <c r="T345" i="5"/>
  <c r="R345" i="5"/>
  <c r="L345" i="5"/>
  <c r="Q345" i="5" s="1"/>
  <c r="V344" i="5"/>
  <c r="T344" i="5"/>
  <c r="P344" i="5"/>
  <c r="L344" i="5"/>
  <c r="R344" i="5" s="1"/>
  <c r="V343" i="5"/>
  <c r="T343" i="5"/>
  <c r="Q343" i="5"/>
  <c r="P343" i="5"/>
  <c r="L343" i="5"/>
  <c r="R343" i="5" s="1"/>
  <c r="S343" i="5" s="1"/>
  <c r="V342" i="5"/>
  <c r="T342" i="5"/>
  <c r="R342" i="5"/>
  <c r="Q342" i="5"/>
  <c r="P342" i="5"/>
  <c r="S342" i="5" s="1"/>
  <c r="L342" i="5"/>
  <c r="V341" i="5"/>
  <c r="T341" i="5"/>
  <c r="Q341" i="5"/>
  <c r="L341" i="5"/>
  <c r="R341" i="5" s="1"/>
  <c r="V340" i="5"/>
  <c r="T340" i="5"/>
  <c r="R340" i="5"/>
  <c r="P340" i="5"/>
  <c r="S340" i="5" s="1"/>
  <c r="L340" i="5"/>
  <c r="Q340" i="5" s="1"/>
  <c r="V339" i="5"/>
  <c r="T339" i="5"/>
  <c r="R339" i="5"/>
  <c r="Q339" i="5"/>
  <c r="L339" i="5"/>
  <c r="P339" i="5" s="1"/>
  <c r="S339" i="5" s="1"/>
  <c r="V338" i="5"/>
  <c r="T338" i="5"/>
  <c r="L338" i="5"/>
  <c r="V337" i="5"/>
  <c r="T337" i="5"/>
  <c r="Q337" i="5"/>
  <c r="L337" i="5"/>
  <c r="R337" i="5" s="1"/>
  <c r="V336" i="5"/>
  <c r="T336" i="5"/>
  <c r="R336" i="5"/>
  <c r="P336" i="5"/>
  <c r="S336" i="5" s="1"/>
  <c r="L336" i="5"/>
  <c r="Q336" i="5" s="1"/>
  <c r="V335" i="5"/>
  <c r="T335" i="5"/>
  <c r="Q335" i="5"/>
  <c r="P335" i="5"/>
  <c r="L335" i="5"/>
  <c r="R335" i="5" s="1"/>
  <c r="S335" i="5" s="1"/>
  <c r="V334" i="5"/>
  <c r="T334" i="5"/>
  <c r="R334" i="5"/>
  <c r="L334" i="5"/>
  <c r="Q334" i="5" s="1"/>
  <c r="V333" i="5"/>
  <c r="T333" i="5"/>
  <c r="L333" i="5"/>
  <c r="R333" i="5" s="1"/>
  <c r="V332" i="5"/>
  <c r="T332" i="5"/>
  <c r="R332" i="5"/>
  <c r="Q332" i="5"/>
  <c r="S332" i="5" s="1"/>
  <c r="P332" i="5"/>
  <c r="L332" i="5"/>
  <c r="V331" i="5"/>
  <c r="T331" i="5"/>
  <c r="P331" i="5"/>
  <c r="L331" i="5"/>
  <c r="R331" i="5" s="1"/>
  <c r="V330" i="5"/>
  <c r="T330" i="5"/>
  <c r="L330" i="5"/>
  <c r="Q330" i="5" s="1"/>
  <c r="V329" i="5"/>
  <c r="T329" i="5"/>
  <c r="Q329" i="5"/>
  <c r="P329" i="5"/>
  <c r="L329" i="5"/>
  <c r="R329" i="5" s="1"/>
  <c r="V328" i="5"/>
  <c r="T328" i="5"/>
  <c r="P328" i="5"/>
  <c r="L328" i="5"/>
  <c r="R328" i="5" s="1"/>
  <c r="V327" i="5"/>
  <c r="T327" i="5"/>
  <c r="L327" i="5"/>
  <c r="V326" i="5"/>
  <c r="T326" i="5"/>
  <c r="Q326" i="5"/>
  <c r="L326" i="5"/>
  <c r="R326" i="5" s="1"/>
  <c r="V325" i="5"/>
  <c r="T325" i="5"/>
  <c r="P325" i="5"/>
  <c r="L325" i="5"/>
  <c r="R325" i="5" s="1"/>
  <c r="V324" i="5"/>
  <c r="T324" i="5"/>
  <c r="R324" i="5"/>
  <c r="L324" i="5"/>
  <c r="Q324" i="5" s="1"/>
  <c r="V323" i="5"/>
  <c r="T323" i="5"/>
  <c r="Q323" i="5"/>
  <c r="L323" i="5"/>
  <c r="P323" i="5" s="1"/>
  <c r="V322" i="5"/>
  <c r="T322" i="5"/>
  <c r="Q322" i="5"/>
  <c r="P322" i="5"/>
  <c r="L322" i="5"/>
  <c r="R322" i="5" s="1"/>
  <c r="S322" i="5" s="1"/>
  <c r="V321" i="5"/>
  <c r="T321" i="5"/>
  <c r="Q321" i="5"/>
  <c r="L321" i="5"/>
  <c r="R321" i="5" s="1"/>
  <c r="V320" i="5"/>
  <c r="T320" i="5"/>
  <c r="R320" i="5"/>
  <c r="Q320" i="5"/>
  <c r="L320" i="5"/>
  <c r="P320" i="5" s="1"/>
  <c r="S320" i="5" s="1"/>
  <c r="V319" i="5"/>
  <c r="T319" i="5"/>
  <c r="S319" i="5"/>
  <c r="R319" i="5"/>
  <c r="Q319" i="5"/>
  <c r="P319" i="5"/>
  <c r="L319" i="5"/>
  <c r="V318" i="5"/>
  <c r="T318" i="5"/>
  <c r="L318" i="5"/>
  <c r="R318" i="5" s="1"/>
  <c r="V317" i="5"/>
  <c r="T317" i="5"/>
  <c r="R317" i="5"/>
  <c r="L317" i="5"/>
  <c r="Q317" i="5" s="1"/>
  <c r="V316" i="5"/>
  <c r="T316" i="5"/>
  <c r="R316" i="5"/>
  <c r="Q316" i="5"/>
  <c r="P316" i="5"/>
  <c r="S316" i="5" s="1"/>
  <c r="L316" i="5"/>
  <c r="V315" i="5"/>
  <c r="T315" i="5"/>
  <c r="Q315" i="5"/>
  <c r="L315" i="5"/>
  <c r="R315" i="5" s="1"/>
  <c r="V314" i="5"/>
  <c r="T314" i="5"/>
  <c r="L314" i="5"/>
  <c r="V313" i="5"/>
  <c r="T313" i="5"/>
  <c r="R313" i="5"/>
  <c r="L313" i="5"/>
  <c r="Q313" i="5" s="1"/>
  <c r="V312" i="5"/>
  <c r="T312" i="5"/>
  <c r="P312" i="5"/>
  <c r="L312" i="5"/>
  <c r="R312" i="5" s="1"/>
  <c r="V311" i="5"/>
  <c r="T311" i="5"/>
  <c r="Q311" i="5"/>
  <c r="P311" i="5"/>
  <c r="L311" i="5"/>
  <c r="R311" i="5" s="1"/>
  <c r="S311" i="5" s="1"/>
  <c r="V310" i="5"/>
  <c r="T310" i="5"/>
  <c r="Q310" i="5"/>
  <c r="L310" i="5"/>
  <c r="R310" i="5" s="1"/>
  <c r="V309" i="5"/>
  <c r="T309" i="5"/>
  <c r="Q309" i="5"/>
  <c r="L309" i="5"/>
  <c r="R309" i="5" s="1"/>
  <c r="V308" i="5"/>
  <c r="T308" i="5"/>
  <c r="R308" i="5"/>
  <c r="L308" i="5"/>
  <c r="Q308" i="5" s="1"/>
  <c r="V307" i="5"/>
  <c r="T307" i="5"/>
  <c r="R307" i="5"/>
  <c r="L307" i="5"/>
  <c r="P307" i="5" s="1"/>
  <c r="V306" i="5"/>
  <c r="T306" i="5"/>
  <c r="S306" i="5"/>
  <c r="R306" i="5"/>
  <c r="Q306" i="5"/>
  <c r="P306" i="5"/>
  <c r="L306" i="5"/>
  <c r="V305" i="5"/>
  <c r="T305" i="5"/>
  <c r="L305" i="5"/>
  <c r="R305" i="5" s="1"/>
  <c r="V304" i="5"/>
  <c r="T304" i="5"/>
  <c r="R304" i="5"/>
  <c r="Q304" i="5"/>
  <c r="L304" i="5"/>
  <c r="P304" i="5" s="1"/>
  <c r="S304" i="5" s="1"/>
  <c r="V303" i="5"/>
  <c r="T303" i="5"/>
  <c r="P303" i="5"/>
  <c r="L303" i="5"/>
  <c r="R303" i="5" s="1"/>
  <c r="V302" i="5"/>
  <c r="T302" i="5"/>
  <c r="Q302" i="5"/>
  <c r="P302" i="5"/>
  <c r="L302" i="5"/>
  <c r="R302" i="5" s="1"/>
  <c r="S302" i="5" s="1"/>
  <c r="V301" i="5"/>
  <c r="T301" i="5"/>
  <c r="L301" i="5"/>
  <c r="V300" i="5"/>
  <c r="T300" i="5"/>
  <c r="R300" i="5"/>
  <c r="Q300" i="5"/>
  <c r="P300" i="5"/>
  <c r="S300" i="5" s="1"/>
  <c r="L300" i="5"/>
  <c r="V299" i="5"/>
  <c r="T299" i="5"/>
  <c r="Q299" i="5"/>
  <c r="P299" i="5"/>
  <c r="S299" i="5" s="1"/>
  <c r="L299" i="5"/>
  <c r="R299" i="5" s="1"/>
  <c r="V298" i="5"/>
  <c r="T298" i="5"/>
  <c r="R298" i="5"/>
  <c r="P298" i="5"/>
  <c r="S298" i="5" s="1"/>
  <c r="L298" i="5"/>
  <c r="Q298" i="5" s="1"/>
  <c r="V297" i="5"/>
  <c r="T297" i="5"/>
  <c r="R297" i="5"/>
  <c r="L297" i="5"/>
  <c r="Q297" i="5" s="1"/>
  <c r="V296" i="5"/>
  <c r="T296" i="5"/>
  <c r="Q296" i="5"/>
  <c r="L296" i="5"/>
  <c r="R296" i="5" s="1"/>
  <c r="V295" i="5"/>
  <c r="T295" i="5"/>
  <c r="S295" i="5"/>
  <c r="R295" i="5"/>
  <c r="Q295" i="5"/>
  <c r="P295" i="5"/>
  <c r="L295" i="5"/>
  <c r="V294" i="5"/>
  <c r="T294" i="5"/>
  <c r="L294" i="5"/>
  <c r="R294" i="5" s="1"/>
  <c r="V293" i="5"/>
  <c r="T293" i="5"/>
  <c r="R293" i="5"/>
  <c r="Q293" i="5"/>
  <c r="L293" i="5"/>
  <c r="P293" i="5" s="1"/>
  <c r="S293" i="5" s="1"/>
  <c r="V292" i="5"/>
  <c r="T292" i="5"/>
  <c r="L292" i="5"/>
  <c r="R292" i="5" s="1"/>
  <c r="V291" i="5"/>
  <c r="T291" i="5"/>
  <c r="R291" i="5"/>
  <c r="L291" i="5"/>
  <c r="P291" i="5" s="1"/>
  <c r="V290" i="5"/>
  <c r="T290" i="5"/>
  <c r="P290" i="5"/>
  <c r="L290" i="5"/>
  <c r="R290" i="5" s="1"/>
  <c r="V289" i="5"/>
  <c r="T289" i="5"/>
  <c r="L289" i="5"/>
  <c r="R289" i="5" s="1"/>
  <c r="V288" i="5"/>
  <c r="T288" i="5"/>
  <c r="R288" i="5"/>
  <c r="Q288" i="5"/>
  <c r="P288" i="5"/>
  <c r="S288" i="5" s="1"/>
  <c r="L288" i="5"/>
  <c r="V287" i="5"/>
  <c r="T287" i="5"/>
  <c r="Q287" i="5"/>
  <c r="L287" i="5"/>
  <c r="R287" i="5" s="1"/>
  <c r="V286" i="5"/>
  <c r="T286" i="5"/>
  <c r="P286" i="5"/>
  <c r="L286" i="5"/>
  <c r="R286" i="5" s="1"/>
  <c r="V285" i="5"/>
  <c r="T285" i="5"/>
  <c r="Q285" i="5"/>
  <c r="P285" i="5"/>
  <c r="L285" i="5"/>
  <c r="R285" i="5" s="1"/>
  <c r="S285" i="5" s="1"/>
  <c r="V284" i="5"/>
  <c r="T284" i="5"/>
  <c r="R284" i="5"/>
  <c r="Q284" i="5"/>
  <c r="P284" i="5"/>
  <c r="S284" i="5" s="1"/>
  <c r="L284" i="5"/>
  <c r="V283" i="5"/>
  <c r="T283" i="5"/>
  <c r="L283" i="5"/>
  <c r="R283" i="5" s="1"/>
  <c r="V282" i="5"/>
  <c r="T282" i="5"/>
  <c r="R282" i="5"/>
  <c r="P282" i="5"/>
  <c r="S282" i="5" s="1"/>
  <c r="L282" i="5"/>
  <c r="Q282" i="5" s="1"/>
  <c r="V281" i="5"/>
  <c r="T281" i="5"/>
  <c r="L281" i="5"/>
  <c r="V280" i="5"/>
  <c r="T280" i="5"/>
  <c r="R280" i="5"/>
  <c r="Q280" i="5"/>
  <c r="L280" i="5"/>
  <c r="P280" i="5" s="1"/>
  <c r="S280" i="5" s="1"/>
  <c r="V279" i="5"/>
  <c r="T279" i="5"/>
  <c r="P279" i="5"/>
  <c r="L279" i="5"/>
  <c r="R279" i="5" s="1"/>
  <c r="V278" i="5"/>
  <c r="T278" i="5"/>
  <c r="R278" i="5"/>
  <c r="L278" i="5"/>
  <c r="Q278" i="5" s="1"/>
  <c r="V277" i="5"/>
  <c r="T277" i="5"/>
  <c r="Q277" i="5"/>
  <c r="P277" i="5"/>
  <c r="L277" i="5"/>
  <c r="R277" i="5" s="1"/>
  <c r="V276" i="5"/>
  <c r="T276" i="5"/>
  <c r="Q276" i="5"/>
  <c r="P276" i="5"/>
  <c r="L276" i="5"/>
  <c r="R276" i="5" s="1"/>
  <c r="S276" i="5" s="1"/>
  <c r="V275" i="5"/>
  <c r="T275" i="5"/>
  <c r="R275" i="5"/>
  <c r="L275" i="5"/>
  <c r="V274" i="5"/>
  <c r="T274" i="5"/>
  <c r="R274" i="5"/>
  <c r="L274" i="5"/>
  <c r="Q274" i="5" s="1"/>
  <c r="V273" i="5"/>
  <c r="T273" i="5"/>
  <c r="Q273" i="5"/>
  <c r="P273" i="5"/>
  <c r="L273" i="5"/>
  <c r="R273" i="5" s="1"/>
  <c r="V272" i="5"/>
  <c r="T272" i="5"/>
  <c r="R272" i="5"/>
  <c r="Q272" i="5"/>
  <c r="L272" i="5"/>
  <c r="P272" i="5" s="1"/>
  <c r="S272" i="5" s="1"/>
  <c r="V271" i="5"/>
  <c r="T271" i="5"/>
  <c r="S271" i="5"/>
  <c r="R271" i="5"/>
  <c r="Q271" i="5"/>
  <c r="P271" i="5"/>
  <c r="L271" i="5"/>
  <c r="V270" i="5"/>
  <c r="T270" i="5"/>
  <c r="L270" i="5"/>
  <c r="V269" i="5"/>
  <c r="T269" i="5"/>
  <c r="R269" i="5"/>
  <c r="L269" i="5"/>
  <c r="Q269" i="5" s="1"/>
  <c r="V268" i="5"/>
  <c r="T268" i="5"/>
  <c r="R268" i="5"/>
  <c r="Q268" i="5"/>
  <c r="P268" i="5"/>
  <c r="S268" i="5" s="1"/>
  <c r="L268" i="5"/>
  <c r="V267" i="5"/>
  <c r="T267" i="5"/>
  <c r="Q267" i="5"/>
  <c r="L267" i="5"/>
  <c r="R267" i="5" s="1"/>
  <c r="V266" i="5"/>
  <c r="T266" i="5"/>
  <c r="R266" i="5"/>
  <c r="P266" i="5"/>
  <c r="S266" i="5" s="1"/>
  <c r="L266" i="5"/>
  <c r="Q266" i="5" s="1"/>
  <c r="V265" i="5"/>
  <c r="T265" i="5"/>
  <c r="S265" i="5"/>
  <c r="R265" i="5"/>
  <c r="Q265" i="5"/>
  <c r="P265" i="5"/>
  <c r="L265" i="5"/>
  <c r="V264" i="5"/>
  <c r="T264" i="5"/>
  <c r="R264" i="5"/>
  <c r="L264" i="5"/>
  <c r="V263" i="5"/>
  <c r="T263" i="5"/>
  <c r="L263" i="5"/>
  <c r="R263" i="5" s="1"/>
  <c r="V262" i="5"/>
  <c r="T262" i="5"/>
  <c r="R262" i="5"/>
  <c r="Q262" i="5"/>
  <c r="L262" i="5"/>
  <c r="P262" i="5" s="1"/>
  <c r="V261" i="5"/>
  <c r="T261" i="5"/>
  <c r="L261" i="5"/>
  <c r="V260" i="5"/>
  <c r="T260" i="5"/>
  <c r="Q260" i="5"/>
  <c r="P260" i="5"/>
  <c r="S260" i="5" s="1"/>
  <c r="L260" i="5"/>
  <c r="R260" i="5" s="1"/>
  <c r="V259" i="5"/>
  <c r="T259" i="5"/>
  <c r="L259" i="5"/>
  <c r="V258" i="5"/>
  <c r="T258" i="5"/>
  <c r="R258" i="5"/>
  <c r="L258" i="5"/>
  <c r="Q258" i="5" s="1"/>
  <c r="V257" i="5"/>
  <c r="T257" i="5"/>
  <c r="L257" i="5"/>
  <c r="R257" i="5" s="1"/>
  <c r="V256" i="5"/>
  <c r="T256" i="5"/>
  <c r="R256" i="5"/>
  <c r="Q256" i="5"/>
  <c r="L256" i="5"/>
  <c r="P256" i="5" s="1"/>
  <c r="S256" i="5" s="1"/>
  <c r="V255" i="5"/>
  <c r="T255" i="5"/>
  <c r="R255" i="5"/>
  <c r="Q255" i="5"/>
  <c r="P255" i="5"/>
  <c r="S255" i="5" s="1"/>
  <c r="L255" i="5"/>
  <c r="V254" i="5"/>
  <c r="T254" i="5"/>
  <c r="L254" i="5"/>
  <c r="V253" i="5"/>
  <c r="T253" i="5"/>
  <c r="R253" i="5"/>
  <c r="L253" i="5"/>
  <c r="V252" i="5"/>
  <c r="T252" i="5"/>
  <c r="R252" i="5"/>
  <c r="Q252" i="5"/>
  <c r="P252" i="5"/>
  <c r="L252" i="5"/>
  <c r="V251" i="5"/>
  <c r="T251" i="5"/>
  <c r="Q251" i="5"/>
  <c r="L251" i="5"/>
  <c r="R251" i="5" s="1"/>
  <c r="V250" i="5"/>
  <c r="T250" i="5"/>
  <c r="L250" i="5"/>
  <c r="Q250" i="5" s="1"/>
  <c r="V249" i="5"/>
  <c r="T249" i="5"/>
  <c r="S249" i="5"/>
  <c r="R249" i="5"/>
  <c r="Q249" i="5"/>
  <c r="P249" i="5"/>
  <c r="L249" i="5"/>
  <c r="V248" i="5"/>
  <c r="T248" i="5"/>
  <c r="Q248" i="5"/>
  <c r="P248" i="5"/>
  <c r="L248" i="5"/>
  <c r="R248" i="5" s="1"/>
  <c r="V247" i="5"/>
  <c r="T247" i="5"/>
  <c r="L247" i="5"/>
  <c r="R247" i="5" s="1"/>
  <c r="V246" i="5"/>
  <c r="T246" i="5"/>
  <c r="S246" i="5"/>
  <c r="R246" i="5"/>
  <c r="Q246" i="5"/>
  <c r="L246" i="5"/>
  <c r="P246" i="5" s="1"/>
  <c r="V245" i="5"/>
  <c r="T245" i="5"/>
  <c r="P245" i="5"/>
  <c r="L245" i="5"/>
  <c r="V244" i="5"/>
  <c r="T244" i="5"/>
  <c r="Q244" i="5"/>
  <c r="P244" i="5"/>
  <c r="S244" i="5" s="1"/>
  <c r="L244" i="5"/>
  <c r="R244" i="5" s="1"/>
  <c r="V243" i="5"/>
  <c r="T243" i="5"/>
  <c r="L243" i="5"/>
  <c r="V242" i="5"/>
  <c r="T242" i="5"/>
  <c r="R242" i="5"/>
  <c r="L242" i="5"/>
  <c r="Q242" i="5" s="1"/>
  <c r="V241" i="5"/>
  <c r="T241" i="5"/>
  <c r="L241" i="5"/>
  <c r="R241" i="5" s="1"/>
  <c r="V240" i="5"/>
  <c r="T240" i="5"/>
  <c r="R240" i="5"/>
  <c r="Q240" i="5"/>
  <c r="L240" i="5"/>
  <c r="P240" i="5" s="1"/>
  <c r="S240" i="5" s="1"/>
  <c r="V239" i="5"/>
  <c r="T239" i="5"/>
  <c r="R239" i="5"/>
  <c r="S239" i="5" s="1"/>
  <c r="Q239" i="5"/>
  <c r="P239" i="5"/>
  <c r="L239" i="5"/>
  <c r="V238" i="5"/>
  <c r="T238" i="5"/>
  <c r="L238" i="5"/>
  <c r="V237" i="5"/>
  <c r="T237" i="5"/>
  <c r="R237" i="5"/>
  <c r="L237" i="5"/>
  <c r="V236" i="5"/>
  <c r="T236" i="5"/>
  <c r="R236" i="5"/>
  <c r="Q236" i="5"/>
  <c r="P236" i="5"/>
  <c r="S236" i="5" s="1"/>
  <c r="L236" i="5"/>
  <c r="V235" i="5"/>
  <c r="T235" i="5"/>
  <c r="Q235" i="5"/>
  <c r="L235" i="5"/>
  <c r="R235" i="5" s="1"/>
  <c r="V234" i="5"/>
  <c r="T234" i="5"/>
  <c r="L234" i="5"/>
  <c r="Q234" i="5" s="1"/>
  <c r="V233" i="5"/>
  <c r="T233" i="5"/>
  <c r="S233" i="5"/>
  <c r="R233" i="5"/>
  <c r="Q233" i="5"/>
  <c r="P233" i="5"/>
  <c r="L233" i="5"/>
  <c r="V232" i="5"/>
  <c r="T232" i="5"/>
  <c r="R232" i="5"/>
  <c r="L232" i="5"/>
  <c r="Q232" i="5" s="1"/>
  <c r="V231" i="5"/>
  <c r="T231" i="5"/>
  <c r="L231" i="5"/>
  <c r="R231" i="5" s="1"/>
  <c r="V230" i="5"/>
  <c r="T230" i="5"/>
  <c r="R230" i="5"/>
  <c r="Q230" i="5"/>
  <c r="L230" i="5"/>
  <c r="P230" i="5" s="1"/>
  <c r="S230" i="5" s="1"/>
  <c r="V229" i="5"/>
  <c r="T229" i="5"/>
  <c r="L229" i="5"/>
  <c r="V228" i="5"/>
  <c r="T228" i="5"/>
  <c r="Q228" i="5"/>
  <c r="P228" i="5"/>
  <c r="S228" i="5" s="1"/>
  <c r="L228" i="5"/>
  <c r="R228" i="5" s="1"/>
  <c r="V227" i="5"/>
  <c r="T227" i="5"/>
  <c r="R227" i="5"/>
  <c r="Q227" i="5"/>
  <c r="L227" i="5"/>
  <c r="P227" i="5" s="1"/>
  <c r="S227" i="5" s="1"/>
  <c r="V226" i="5"/>
  <c r="T226" i="5"/>
  <c r="R226" i="5"/>
  <c r="L226" i="5"/>
  <c r="Q226" i="5" s="1"/>
  <c r="V225" i="5"/>
  <c r="T225" i="5"/>
  <c r="R225" i="5"/>
  <c r="Q225" i="5"/>
  <c r="L225" i="5"/>
  <c r="P225" i="5" s="1"/>
  <c r="S225" i="5" s="1"/>
  <c r="V224" i="5"/>
  <c r="T224" i="5"/>
  <c r="R224" i="5"/>
  <c r="Q224" i="5"/>
  <c r="L224" i="5"/>
  <c r="P224" i="5" s="1"/>
  <c r="S224" i="5" s="1"/>
  <c r="V223" i="5"/>
  <c r="T223" i="5"/>
  <c r="R223" i="5"/>
  <c r="Q223" i="5"/>
  <c r="P223" i="5"/>
  <c r="S223" i="5" s="1"/>
  <c r="L223" i="5"/>
  <c r="V222" i="5"/>
  <c r="T222" i="5"/>
  <c r="P222" i="5"/>
  <c r="L222" i="5"/>
  <c r="V221" i="5"/>
  <c r="T221" i="5"/>
  <c r="R221" i="5"/>
  <c r="L221" i="5"/>
  <c r="V220" i="5"/>
  <c r="T220" i="5"/>
  <c r="Q220" i="5"/>
  <c r="P220" i="5"/>
  <c r="L220" i="5"/>
  <c r="R220" i="5" s="1"/>
  <c r="V219" i="5"/>
  <c r="T219" i="5"/>
  <c r="Q219" i="5"/>
  <c r="L219" i="5"/>
  <c r="R219" i="5" s="1"/>
  <c r="V218" i="5"/>
  <c r="T218" i="5"/>
  <c r="P218" i="5"/>
  <c r="L218" i="5"/>
  <c r="R218" i="5" s="1"/>
  <c r="V217" i="5"/>
  <c r="T217" i="5"/>
  <c r="S217" i="5"/>
  <c r="R217" i="5"/>
  <c r="Q217" i="5"/>
  <c r="P217" i="5"/>
  <c r="L217" i="5"/>
  <c r="V216" i="5"/>
  <c r="T216" i="5"/>
  <c r="P216" i="5"/>
  <c r="L216" i="5"/>
  <c r="R216" i="5" s="1"/>
  <c r="V215" i="5"/>
  <c r="T215" i="5"/>
  <c r="L215" i="5"/>
  <c r="V214" i="5"/>
  <c r="T214" i="5"/>
  <c r="R214" i="5"/>
  <c r="Q214" i="5"/>
  <c r="L214" i="5"/>
  <c r="P214" i="5" s="1"/>
  <c r="S214" i="5" s="1"/>
  <c r="V213" i="5"/>
  <c r="T213" i="5"/>
  <c r="Q213" i="5"/>
  <c r="P213" i="5"/>
  <c r="L213" i="5"/>
  <c r="R213" i="5" s="1"/>
  <c r="V212" i="5"/>
  <c r="T212" i="5"/>
  <c r="Q212" i="5"/>
  <c r="P212" i="5"/>
  <c r="L212" i="5"/>
  <c r="R212" i="5" s="1"/>
  <c r="S212" i="5" s="1"/>
  <c r="V211" i="5"/>
  <c r="T211" i="5"/>
  <c r="P211" i="5"/>
  <c r="L211" i="5"/>
  <c r="R211" i="5" s="1"/>
  <c r="V210" i="5"/>
  <c r="T210" i="5"/>
  <c r="R210" i="5"/>
  <c r="P210" i="5"/>
  <c r="L210" i="5"/>
  <c r="Q210" i="5" s="1"/>
  <c r="V209" i="5"/>
  <c r="T209" i="5"/>
  <c r="L209" i="5"/>
  <c r="R209" i="5" s="1"/>
  <c r="V208" i="5"/>
  <c r="T208" i="5"/>
  <c r="R208" i="5"/>
  <c r="Q208" i="5"/>
  <c r="L208" i="5"/>
  <c r="P208" i="5" s="1"/>
  <c r="V207" i="5"/>
  <c r="T207" i="5"/>
  <c r="S207" i="5"/>
  <c r="R207" i="5"/>
  <c r="Q207" i="5"/>
  <c r="P207" i="5"/>
  <c r="L207" i="5"/>
  <c r="V206" i="5"/>
  <c r="T206" i="5"/>
  <c r="L206" i="5"/>
  <c r="V205" i="5"/>
  <c r="T205" i="5"/>
  <c r="L205" i="5"/>
  <c r="V204" i="5"/>
  <c r="T204" i="5"/>
  <c r="Q204" i="5"/>
  <c r="P204" i="5"/>
  <c r="L204" i="5"/>
  <c r="R204" i="5" s="1"/>
  <c r="V203" i="5"/>
  <c r="T203" i="5"/>
  <c r="Q203" i="5"/>
  <c r="L203" i="5"/>
  <c r="V202" i="5"/>
  <c r="T202" i="5"/>
  <c r="L202" i="5"/>
  <c r="R202" i="5" s="1"/>
  <c r="V201" i="5"/>
  <c r="T201" i="5"/>
  <c r="S201" i="5"/>
  <c r="R201" i="5"/>
  <c r="Q201" i="5"/>
  <c r="P201" i="5"/>
  <c r="L201" i="5"/>
  <c r="V200" i="5"/>
  <c r="T200" i="5"/>
  <c r="L200" i="5"/>
  <c r="R200" i="5" s="1"/>
  <c r="V199" i="5"/>
  <c r="T199" i="5"/>
  <c r="P199" i="5"/>
  <c r="L199" i="5"/>
  <c r="Q199" i="5" s="1"/>
  <c r="V198" i="5"/>
  <c r="T198" i="5"/>
  <c r="R198" i="5"/>
  <c r="Q198" i="5"/>
  <c r="L198" i="5"/>
  <c r="P198" i="5" s="1"/>
  <c r="S198" i="5" s="1"/>
  <c r="V197" i="5"/>
  <c r="T197" i="5"/>
  <c r="R197" i="5"/>
  <c r="P197" i="5"/>
  <c r="L197" i="5"/>
  <c r="Q197" i="5" s="1"/>
  <c r="V196" i="5"/>
  <c r="T196" i="5"/>
  <c r="Q196" i="5"/>
  <c r="P196" i="5"/>
  <c r="S196" i="5" s="1"/>
  <c r="L196" i="5"/>
  <c r="R196" i="5" s="1"/>
  <c r="V195" i="5"/>
  <c r="T195" i="5"/>
  <c r="R195" i="5"/>
  <c r="P195" i="5"/>
  <c r="L195" i="5"/>
  <c r="Q195" i="5" s="1"/>
  <c r="S195" i="5" s="1"/>
  <c r="V194" i="5"/>
  <c r="T194" i="5"/>
  <c r="L194" i="5"/>
  <c r="Q194" i="5" s="1"/>
  <c r="V193" i="5"/>
  <c r="T193" i="5"/>
  <c r="R193" i="5"/>
  <c r="Q193" i="5"/>
  <c r="L193" i="5"/>
  <c r="P193" i="5" s="1"/>
  <c r="S193" i="5" s="1"/>
  <c r="V192" i="5"/>
  <c r="T192" i="5"/>
  <c r="R192" i="5"/>
  <c r="Q192" i="5"/>
  <c r="L192" i="5"/>
  <c r="P192" i="5" s="1"/>
  <c r="V191" i="5"/>
  <c r="T191" i="5"/>
  <c r="R191" i="5"/>
  <c r="Q191" i="5"/>
  <c r="P191" i="5"/>
  <c r="S191" i="5" s="1"/>
  <c r="L191" i="5"/>
  <c r="V190" i="5"/>
  <c r="T190" i="5"/>
  <c r="Q190" i="5"/>
  <c r="P190" i="5"/>
  <c r="S190" i="5" s="1"/>
  <c r="L190" i="5"/>
  <c r="R190" i="5" s="1"/>
  <c r="V189" i="5"/>
  <c r="T189" i="5"/>
  <c r="L189" i="5"/>
  <c r="V188" i="5"/>
  <c r="T188" i="5"/>
  <c r="Q188" i="5"/>
  <c r="P188" i="5"/>
  <c r="L188" i="5"/>
  <c r="R188" i="5" s="1"/>
  <c r="V187" i="5"/>
  <c r="T187" i="5"/>
  <c r="L187" i="5"/>
  <c r="V186" i="5"/>
  <c r="T186" i="5"/>
  <c r="Q186" i="5"/>
  <c r="L186" i="5"/>
  <c r="R186" i="5" s="1"/>
  <c r="V185" i="5"/>
  <c r="T185" i="5"/>
  <c r="R185" i="5"/>
  <c r="Q185" i="5"/>
  <c r="P185" i="5"/>
  <c r="S185" i="5" s="1"/>
  <c r="L185" i="5"/>
  <c r="V184" i="5"/>
  <c r="T184" i="5"/>
  <c r="R184" i="5"/>
  <c r="L184" i="5"/>
  <c r="Q184" i="5" s="1"/>
  <c r="V183" i="5"/>
  <c r="T183" i="5"/>
  <c r="R183" i="5"/>
  <c r="P183" i="5"/>
  <c r="S183" i="5" s="1"/>
  <c r="L183" i="5"/>
  <c r="Q183" i="5" s="1"/>
  <c r="V182" i="5"/>
  <c r="T182" i="5"/>
  <c r="R182" i="5"/>
  <c r="L182" i="5"/>
  <c r="P182" i="5" s="1"/>
  <c r="V181" i="5"/>
  <c r="T181" i="5"/>
  <c r="R181" i="5"/>
  <c r="Q181" i="5"/>
  <c r="P181" i="5"/>
  <c r="S181" i="5" s="1"/>
  <c r="L181" i="5"/>
  <c r="V180" i="5"/>
  <c r="T180" i="5"/>
  <c r="Q180" i="5"/>
  <c r="L180" i="5"/>
  <c r="R180" i="5" s="1"/>
  <c r="V179" i="5"/>
  <c r="T179" i="5"/>
  <c r="R179" i="5"/>
  <c r="Q179" i="5"/>
  <c r="P179" i="5"/>
  <c r="S179" i="5" s="1"/>
  <c r="L179" i="5"/>
  <c r="V178" i="5"/>
  <c r="T178" i="5"/>
  <c r="R178" i="5"/>
  <c r="L178" i="5"/>
  <c r="Q178" i="5" s="1"/>
  <c r="V177" i="5"/>
  <c r="T177" i="5"/>
  <c r="Q177" i="5"/>
  <c r="L177" i="5"/>
  <c r="P177" i="5" s="1"/>
  <c r="V176" i="5"/>
  <c r="T176" i="5"/>
  <c r="Q176" i="5"/>
  <c r="P176" i="5"/>
  <c r="L176" i="5"/>
  <c r="R176" i="5" s="1"/>
  <c r="S176" i="5" s="1"/>
  <c r="V175" i="5"/>
  <c r="T175" i="5"/>
  <c r="S175" i="5"/>
  <c r="R175" i="5"/>
  <c r="Q175" i="5"/>
  <c r="P175" i="5"/>
  <c r="L175" i="5"/>
  <c r="V174" i="5"/>
  <c r="T174" i="5"/>
  <c r="R174" i="5"/>
  <c r="P174" i="5"/>
  <c r="S174" i="5" s="1"/>
  <c r="L174" i="5"/>
  <c r="Q174" i="5" s="1"/>
  <c r="V173" i="5"/>
  <c r="T173" i="5"/>
  <c r="R173" i="5"/>
  <c r="L173" i="5"/>
  <c r="Q173" i="5" s="1"/>
  <c r="V172" i="5"/>
  <c r="T172" i="5"/>
  <c r="Q172" i="5"/>
  <c r="P172" i="5"/>
  <c r="L172" i="5"/>
  <c r="R172" i="5" s="1"/>
  <c r="V171" i="5"/>
  <c r="T171" i="5"/>
  <c r="L171" i="5"/>
  <c r="R171" i="5" s="1"/>
  <c r="V170" i="5"/>
  <c r="T170" i="5"/>
  <c r="R170" i="5"/>
  <c r="L170" i="5"/>
  <c r="Q170" i="5" s="1"/>
  <c r="V169" i="5"/>
  <c r="T169" i="5"/>
  <c r="L169" i="5"/>
  <c r="R169" i="5" s="1"/>
  <c r="V168" i="5"/>
  <c r="T168" i="5"/>
  <c r="L168" i="5"/>
  <c r="V167" i="5"/>
  <c r="T167" i="5"/>
  <c r="Q167" i="5"/>
  <c r="P167" i="5"/>
  <c r="S167" i="5" s="1"/>
  <c r="L167" i="5"/>
  <c r="R167" i="5" s="1"/>
  <c r="V166" i="5"/>
  <c r="T166" i="5"/>
  <c r="L166" i="5"/>
  <c r="V165" i="5"/>
  <c r="T165" i="5"/>
  <c r="Q165" i="5"/>
  <c r="L165" i="5"/>
  <c r="R165" i="5" s="1"/>
  <c r="V164" i="5"/>
  <c r="T164" i="5"/>
  <c r="Q164" i="5"/>
  <c r="P164" i="5"/>
  <c r="S164" i="5" s="1"/>
  <c r="L164" i="5"/>
  <c r="R164" i="5" s="1"/>
  <c r="V163" i="5"/>
  <c r="T163" i="5"/>
  <c r="L163" i="5"/>
  <c r="R163" i="5" s="1"/>
  <c r="V162" i="5"/>
  <c r="T162" i="5"/>
  <c r="R162" i="5"/>
  <c r="P162" i="5"/>
  <c r="L162" i="5"/>
  <c r="Q162" i="5" s="1"/>
  <c r="V161" i="5"/>
  <c r="T161" i="5"/>
  <c r="L161" i="5"/>
  <c r="V160" i="5"/>
  <c r="T160" i="5"/>
  <c r="R160" i="5"/>
  <c r="Q160" i="5"/>
  <c r="L160" i="5"/>
  <c r="P160" i="5" s="1"/>
  <c r="S160" i="5" s="1"/>
  <c r="V159" i="5"/>
  <c r="T159" i="5"/>
  <c r="R159" i="5"/>
  <c r="Q159" i="5"/>
  <c r="S159" i="5" s="1"/>
  <c r="P159" i="5"/>
  <c r="L159" i="5"/>
  <c r="V158" i="5"/>
  <c r="T158" i="5"/>
  <c r="L158" i="5"/>
  <c r="R158" i="5" s="1"/>
  <c r="V157" i="5"/>
  <c r="T157" i="5"/>
  <c r="L157" i="5"/>
  <c r="Q157" i="5" s="1"/>
  <c r="V156" i="5"/>
  <c r="T156" i="5"/>
  <c r="Q156" i="5"/>
  <c r="P156" i="5"/>
  <c r="S156" i="5" s="1"/>
  <c r="L156" i="5"/>
  <c r="R156" i="5" s="1"/>
  <c r="V155" i="5"/>
  <c r="T155" i="5"/>
  <c r="L155" i="5"/>
  <c r="V154" i="5"/>
  <c r="T154" i="5"/>
  <c r="Q154" i="5"/>
  <c r="L154" i="5"/>
  <c r="R154" i="5" s="1"/>
  <c r="V153" i="5"/>
  <c r="T153" i="5"/>
  <c r="R153" i="5"/>
  <c r="Q153" i="5"/>
  <c r="P153" i="5"/>
  <c r="S153" i="5" s="1"/>
  <c r="L153" i="5"/>
  <c r="V152" i="5"/>
  <c r="T152" i="5"/>
  <c r="L152" i="5"/>
  <c r="R152" i="5" s="1"/>
  <c r="V151" i="5"/>
  <c r="T151" i="5"/>
  <c r="Q151" i="5"/>
  <c r="L151" i="5"/>
  <c r="P151" i="5" s="1"/>
  <c r="V150" i="5"/>
  <c r="T150" i="5"/>
  <c r="L150" i="5"/>
  <c r="P150" i="5" s="1"/>
  <c r="V149" i="5"/>
  <c r="T149" i="5"/>
  <c r="R149" i="5"/>
  <c r="P149" i="5"/>
  <c r="L149" i="5"/>
  <c r="Q149" i="5" s="1"/>
  <c r="V148" i="5"/>
  <c r="T148" i="5"/>
  <c r="Q148" i="5"/>
  <c r="P148" i="5"/>
  <c r="S148" i="5" s="1"/>
  <c r="L148" i="5"/>
  <c r="R148" i="5" s="1"/>
  <c r="V147" i="5"/>
  <c r="T147" i="5"/>
  <c r="S147" i="5"/>
  <c r="R147" i="5"/>
  <c r="Q147" i="5"/>
  <c r="P147" i="5"/>
  <c r="L147" i="5"/>
  <c r="V146" i="5"/>
  <c r="T146" i="5"/>
  <c r="R146" i="5"/>
  <c r="P146" i="5"/>
  <c r="S146" i="5" s="1"/>
  <c r="L146" i="5"/>
  <c r="Q146" i="5" s="1"/>
  <c r="V145" i="5"/>
  <c r="T145" i="5"/>
  <c r="L145" i="5"/>
  <c r="R145" i="5" s="1"/>
  <c r="V144" i="5"/>
  <c r="T144" i="5"/>
  <c r="R144" i="5"/>
  <c r="L144" i="5"/>
  <c r="Q144" i="5" s="1"/>
  <c r="V143" i="5"/>
  <c r="T143" i="5"/>
  <c r="Q143" i="5"/>
  <c r="P143" i="5"/>
  <c r="L143" i="5"/>
  <c r="R143" i="5" s="1"/>
  <c r="V142" i="5"/>
  <c r="T142" i="5"/>
  <c r="R142" i="5"/>
  <c r="Q142" i="5"/>
  <c r="P142" i="5"/>
  <c r="S142" i="5" s="1"/>
  <c r="L142" i="5"/>
  <c r="V141" i="5"/>
  <c r="T141" i="5"/>
  <c r="L141" i="5"/>
  <c r="R141" i="5" s="1"/>
  <c r="V140" i="5"/>
  <c r="T140" i="5"/>
  <c r="R140" i="5"/>
  <c r="P140" i="5"/>
  <c r="L140" i="5"/>
  <c r="Q140" i="5" s="1"/>
  <c r="V139" i="5"/>
  <c r="T139" i="5"/>
  <c r="L139" i="5"/>
  <c r="V138" i="5"/>
  <c r="T138" i="5"/>
  <c r="R138" i="5"/>
  <c r="Q138" i="5"/>
  <c r="P138" i="5"/>
  <c r="L138" i="5"/>
  <c r="V137" i="5"/>
  <c r="T137" i="5"/>
  <c r="Q137" i="5"/>
  <c r="P137" i="5"/>
  <c r="L137" i="5"/>
  <c r="R137" i="5" s="1"/>
  <c r="V136" i="5"/>
  <c r="T136" i="5"/>
  <c r="L136" i="5"/>
  <c r="R136" i="5" s="1"/>
  <c r="V135" i="5"/>
  <c r="T135" i="5"/>
  <c r="L135" i="5"/>
  <c r="V134" i="5"/>
  <c r="T134" i="5"/>
  <c r="Q134" i="5"/>
  <c r="L134" i="5"/>
  <c r="R134" i="5" s="1"/>
  <c r="V133" i="5"/>
  <c r="T133" i="5"/>
  <c r="Q133" i="5"/>
  <c r="L133" i="5"/>
  <c r="V132" i="5"/>
  <c r="T132" i="5"/>
  <c r="Q132" i="5"/>
  <c r="P132" i="5"/>
  <c r="L132" i="5"/>
  <c r="R132" i="5" s="1"/>
  <c r="V131" i="5"/>
  <c r="T131" i="5"/>
  <c r="R131" i="5"/>
  <c r="Q131" i="5"/>
  <c r="S131" i="5" s="1"/>
  <c r="P131" i="5"/>
  <c r="L131" i="5"/>
  <c r="V130" i="5"/>
  <c r="T130" i="5"/>
  <c r="R130" i="5"/>
  <c r="P130" i="5"/>
  <c r="L130" i="5"/>
  <c r="Q130" i="5" s="1"/>
  <c r="V129" i="5"/>
  <c r="T129" i="5"/>
  <c r="L129" i="5"/>
  <c r="R129" i="5" s="1"/>
  <c r="V128" i="5"/>
  <c r="T128" i="5"/>
  <c r="L128" i="5"/>
  <c r="V127" i="5"/>
  <c r="T127" i="5"/>
  <c r="Q127" i="5"/>
  <c r="P127" i="5"/>
  <c r="L127" i="5"/>
  <c r="R127" i="5" s="1"/>
  <c r="V126" i="5"/>
  <c r="T126" i="5"/>
  <c r="R126" i="5"/>
  <c r="Q126" i="5"/>
  <c r="P126" i="5"/>
  <c r="L126" i="5"/>
  <c r="V125" i="5"/>
  <c r="T125" i="5"/>
  <c r="R125" i="5"/>
  <c r="L125" i="5"/>
  <c r="V124" i="5"/>
  <c r="T124" i="5"/>
  <c r="R124" i="5"/>
  <c r="P124" i="5"/>
  <c r="S124" i="5" s="1"/>
  <c r="L124" i="5"/>
  <c r="Q124" i="5" s="1"/>
  <c r="V123" i="5"/>
  <c r="T123" i="5"/>
  <c r="Q123" i="5"/>
  <c r="L123" i="5"/>
  <c r="V122" i="5"/>
  <c r="T122" i="5"/>
  <c r="R122" i="5"/>
  <c r="Q122" i="5"/>
  <c r="S122" i="5" s="1"/>
  <c r="P122" i="5"/>
  <c r="L122" i="5"/>
  <c r="V121" i="5"/>
  <c r="T121" i="5"/>
  <c r="Q121" i="5"/>
  <c r="S121" i="5" s="1"/>
  <c r="P121" i="5"/>
  <c r="L121" i="5"/>
  <c r="R121" i="5" s="1"/>
  <c r="V120" i="5"/>
  <c r="T120" i="5"/>
  <c r="L120" i="5"/>
  <c r="V119" i="5"/>
  <c r="T119" i="5"/>
  <c r="L119" i="5"/>
  <c r="V118" i="5"/>
  <c r="T118" i="5"/>
  <c r="Q118" i="5"/>
  <c r="L118" i="5"/>
  <c r="R118" i="5" s="1"/>
  <c r="V117" i="5"/>
  <c r="T117" i="5"/>
  <c r="L117" i="5"/>
  <c r="P117" i="5" s="1"/>
  <c r="V116" i="5"/>
  <c r="T116" i="5"/>
  <c r="S116" i="5"/>
  <c r="Q116" i="5"/>
  <c r="P116" i="5"/>
  <c r="L116" i="5"/>
  <c r="R116" i="5" s="1"/>
  <c r="V115" i="5"/>
  <c r="T115" i="5"/>
  <c r="R115" i="5"/>
  <c r="Q115" i="5"/>
  <c r="S115" i="5" s="1"/>
  <c r="P115" i="5"/>
  <c r="L115" i="5"/>
  <c r="V114" i="5"/>
  <c r="T114" i="5"/>
  <c r="R114" i="5"/>
  <c r="P114" i="5"/>
  <c r="S114" i="5" s="1"/>
  <c r="L114" i="5"/>
  <c r="Q114" i="5" s="1"/>
  <c r="V113" i="5"/>
  <c r="T113" i="5"/>
  <c r="L113" i="5"/>
  <c r="R113" i="5" s="1"/>
  <c r="V112" i="5"/>
  <c r="T112" i="5"/>
  <c r="R112" i="5"/>
  <c r="L112" i="5"/>
  <c r="V111" i="5"/>
  <c r="T111" i="5"/>
  <c r="R111" i="5"/>
  <c r="Q111" i="5"/>
  <c r="P111" i="5"/>
  <c r="S111" i="5" s="1"/>
  <c r="L111" i="5"/>
  <c r="V110" i="5"/>
  <c r="T110" i="5"/>
  <c r="R110" i="5"/>
  <c r="Q110" i="5"/>
  <c r="P110" i="5"/>
  <c r="L110" i="5"/>
  <c r="V109" i="5"/>
  <c r="T109" i="5"/>
  <c r="L109" i="5"/>
  <c r="V108" i="5"/>
  <c r="T108" i="5"/>
  <c r="R108" i="5"/>
  <c r="P108" i="5"/>
  <c r="S108" i="5" s="1"/>
  <c r="L108" i="5"/>
  <c r="Q108" i="5" s="1"/>
  <c r="V107" i="5"/>
  <c r="T107" i="5"/>
  <c r="Q107" i="5"/>
  <c r="L107" i="5"/>
  <c r="V106" i="5"/>
  <c r="T106" i="5"/>
  <c r="R106" i="5"/>
  <c r="Q106" i="5"/>
  <c r="P106" i="5"/>
  <c r="S106" i="5" s="1"/>
  <c r="L106" i="5"/>
  <c r="V105" i="5"/>
  <c r="T105" i="5"/>
  <c r="Q105" i="5"/>
  <c r="P105" i="5"/>
  <c r="S105" i="5" s="1"/>
  <c r="L105" i="5"/>
  <c r="R105" i="5" s="1"/>
  <c r="V104" i="5"/>
  <c r="T104" i="5"/>
  <c r="L104" i="5"/>
  <c r="V103" i="5"/>
  <c r="T103" i="5"/>
  <c r="L103" i="5"/>
  <c r="Q103" i="5" s="1"/>
  <c r="V102" i="5"/>
  <c r="T102" i="5"/>
  <c r="Q102" i="5"/>
  <c r="L102" i="5"/>
  <c r="R102" i="5" s="1"/>
  <c r="V101" i="5"/>
  <c r="T101" i="5"/>
  <c r="R101" i="5"/>
  <c r="Q101" i="5"/>
  <c r="L101" i="5"/>
  <c r="P101" i="5" s="1"/>
  <c r="V100" i="5"/>
  <c r="T100" i="5"/>
  <c r="Q100" i="5"/>
  <c r="P100" i="5"/>
  <c r="S100" i="5" s="1"/>
  <c r="L100" i="5"/>
  <c r="R100" i="5" s="1"/>
  <c r="V99" i="5"/>
  <c r="T99" i="5"/>
  <c r="R99" i="5"/>
  <c r="Q99" i="5"/>
  <c r="S99" i="5" s="1"/>
  <c r="P99" i="5"/>
  <c r="L99" i="5"/>
  <c r="V98" i="5"/>
  <c r="T98" i="5"/>
  <c r="L98" i="5"/>
  <c r="Q98" i="5" s="1"/>
  <c r="V97" i="5"/>
  <c r="T97" i="5"/>
  <c r="L97" i="5"/>
  <c r="R97" i="5" s="1"/>
  <c r="V96" i="5"/>
  <c r="T96" i="5"/>
  <c r="L96" i="5"/>
  <c r="R96" i="5" s="1"/>
  <c r="V95" i="5"/>
  <c r="T95" i="5"/>
  <c r="R95" i="5"/>
  <c r="Q95" i="5"/>
  <c r="P95" i="5"/>
  <c r="S95" i="5" s="1"/>
  <c r="L95" i="5"/>
  <c r="V94" i="5"/>
  <c r="T94" i="5"/>
  <c r="S94" i="5"/>
  <c r="R94" i="5"/>
  <c r="Q94" i="5"/>
  <c r="P94" i="5"/>
  <c r="L94" i="5"/>
  <c r="V93" i="5"/>
  <c r="T93" i="5"/>
  <c r="P93" i="5"/>
  <c r="L93" i="5"/>
  <c r="Q93" i="5" s="1"/>
  <c r="V92" i="5"/>
  <c r="T92" i="5"/>
  <c r="R92" i="5"/>
  <c r="P92" i="5"/>
  <c r="S92" i="5" s="1"/>
  <c r="L92" i="5"/>
  <c r="Q92" i="5" s="1"/>
  <c r="V91" i="5"/>
  <c r="T91" i="5"/>
  <c r="L91" i="5"/>
  <c r="P91" i="5" s="1"/>
  <c r="V90" i="5"/>
  <c r="T90" i="5"/>
  <c r="R90" i="5"/>
  <c r="Q90" i="5"/>
  <c r="P90" i="5"/>
  <c r="S90" i="5" s="1"/>
  <c r="L90" i="5"/>
  <c r="V89" i="5"/>
  <c r="T89" i="5"/>
  <c r="P89" i="5"/>
  <c r="L89" i="5"/>
  <c r="R89" i="5" s="1"/>
  <c r="V88" i="5"/>
  <c r="T88" i="5"/>
  <c r="L88" i="5"/>
  <c r="V87" i="5"/>
  <c r="T87" i="5"/>
  <c r="L87" i="5"/>
  <c r="V86" i="5"/>
  <c r="T86" i="5"/>
  <c r="Q86" i="5"/>
  <c r="L86" i="5"/>
  <c r="V85" i="5"/>
  <c r="T85" i="5"/>
  <c r="Q85" i="5"/>
  <c r="L85" i="5"/>
  <c r="P85" i="5" s="1"/>
  <c r="V84" i="5"/>
  <c r="T84" i="5"/>
  <c r="Q84" i="5"/>
  <c r="S84" i="5" s="1"/>
  <c r="P84" i="5"/>
  <c r="L84" i="5"/>
  <c r="R84" i="5" s="1"/>
  <c r="V83" i="5"/>
  <c r="T83" i="5"/>
  <c r="S83" i="5"/>
  <c r="R83" i="5"/>
  <c r="Q83" i="5"/>
  <c r="P83" i="5"/>
  <c r="L83" i="5"/>
  <c r="V82" i="5"/>
  <c r="T82" i="5"/>
  <c r="R82" i="5"/>
  <c r="S82" i="5" s="1"/>
  <c r="P82" i="5"/>
  <c r="L82" i="5"/>
  <c r="Q82" i="5" s="1"/>
  <c r="V81" i="5"/>
  <c r="T81" i="5"/>
  <c r="L81" i="5"/>
  <c r="R81" i="5" s="1"/>
  <c r="V80" i="5"/>
  <c r="T80" i="5"/>
  <c r="L80" i="5"/>
  <c r="V79" i="5"/>
  <c r="T79" i="5"/>
  <c r="R79" i="5"/>
  <c r="Q79" i="5"/>
  <c r="P79" i="5"/>
  <c r="S79" i="5" s="1"/>
  <c r="L79" i="5"/>
  <c r="V78" i="5"/>
  <c r="T78" i="5"/>
  <c r="R78" i="5"/>
  <c r="Q78" i="5"/>
  <c r="P78" i="5"/>
  <c r="S78" i="5" s="1"/>
  <c r="L78" i="5"/>
  <c r="V77" i="5"/>
  <c r="T77" i="5"/>
  <c r="P77" i="5"/>
  <c r="L77" i="5"/>
  <c r="Q77" i="5" s="1"/>
  <c r="V76" i="5"/>
  <c r="T76" i="5"/>
  <c r="R76" i="5"/>
  <c r="P76" i="5"/>
  <c r="S76" i="5" s="1"/>
  <c r="L76" i="5"/>
  <c r="Q76" i="5" s="1"/>
  <c r="V75" i="5"/>
  <c r="T75" i="5"/>
  <c r="R75" i="5"/>
  <c r="Q75" i="5"/>
  <c r="L75" i="5"/>
  <c r="P75" i="5" s="1"/>
  <c r="V74" i="5"/>
  <c r="T74" i="5"/>
  <c r="R74" i="5"/>
  <c r="Q74" i="5"/>
  <c r="P74" i="5"/>
  <c r="L74" i="5"/>
  <c r="V73" i="5"/>
  <c r="T73" i="5"/>
  <c r="L73" i="5"/>
  <c r="V72" i="5"/>
  <c r="T72" i="5"/>
  <c r="L72" i="5"/>
  <c r="V71" i="5"/>
  <c r="T71" i="5"/>
  <c r="L71" i="5"/>
  <c r="R71" i="5" s="1"/>
  <c r="V70" i="5"/>
  <c r="T70" i="5"/>
  <c r="R70" i="5"/>
  <c r="Q70" i="5"/>
  <c r="L70" i="5"/>
  <c r="P70" i="5" s="1"/>
  <c r="V69" i="5"/>
  <c r="T69" i="5"/>
  <c r="Q69" i="5"/>
  <c r="L69" i="5"/>
  <c r="P69" i="5" s="1"/>
  <c r="V68" i="5"/>
  <c r="T68" i="5"/>
  <c r="L68" i="5"/>
  <c r="V67" i="5"/>
  <c r="T67" i="5"/>
  <c r="R67" i="5"/>
  <c r="Q67" i="5"/>
  <c r="S67" i="5" s="1"/>
  <c r="P67" i="5"/>
  <c r="L67" i="5"/>
  <c r="V66" i="5"/>
  <c r="T66" i="5"/>
  <c r="R66" i="5"/>
  <c r="Q66" i="5"/>
  <c r="P66" i="5"/>
  <c r="S66" i="5" s="1"/>
  <c r="L66" i="5"/>
  <c r="V65" i="5"/>
  <c r="T65" i="5"/>
  <c r="L65" i="5"/>
  <c r="V64" i="5"/>
  <c r="T64" i="5"/>
  <c r="L64" i="5"/>
  <c r="V63" i="5"/>
  <c r="T63" i="5"/>
  <c r="Q63" i="5"/>
  <c r="P63" i="5"/>
  <c r="L63" i="5"/>
  <c r="R63" i="5" s="1"/>
  <c r="V62" i="5"/>
  <c r="T62" i="5"/>
  <c r="R62" i="5"/>
  <c r="Q62" i="5"/>
  <c r="P62" i="5"/>
  <c r="S62" i="5" s="1"/>
  <c r="L62" i="5"/>
  <c r="V61" i="5"/>
  <c r="T61" i="5"/>
  <c r="L61" i="5"/>
  <c r="Q61" i="5" s="1"/>
  <c r="V60" i="5"/>
  <c r="T60" i="5"/>
  <c r="R60" i="5"/>
  <c r="P60" i="5"/>
  <c r="S60" i="5" s="1"/>
  <c r="L60" i="5"/>
  <c r="Q60" i="5" s="1"/>
  <c r="V59" i="5"/>
  <c r="T59" i="5"/>
  <c r="P59" i="5"/>
  <c r="L59" i="5"/>
  <c r="R59" i="5" s="1"/>
  <c r="V58" i="5"/>
  <c r="T58" i="5"/>
  <c r="R58" i="5"/>
  <c r="Q58" i="5"/>
  <c r="P58" i="5"/>
  <c r="S58" i="5" s="1"/>
  <c r="L58" i="5"/>
  <c r="V57" i="5"/>
  <c r="T57" i="5"/>
  <c r="P57" i="5"/>
  <c r="L57" i="5"/>
  <c r="R57" i="5" s="1"/>
  <c r="V56" i="5"/>
  <c r="T56" i="5"/>
  <c r="L56" i="5"/>
  <c r="V55" i="5"/>
  <c r="T55" i="5"/>
  <c r="R55" i="5"/>
  <c r="Q55" i="5"/>
  <c r="L55" i="5"/>
  <c r="P55" i="5" s="1"/>
  <c r="V54" i="5"/>
  <c r="T54" i="5"/>
  <c r="R54" i="5"/>
  <c r="Q54" i="5"/>
  <c r="L54" i="5"/>
  <c r="P54" i="5" s="1"/>
  <c r="V53" i="5"/>
  <c r="T53" i="5"/>
  <c r="L53" i="5"/>
  <c r="V52" i="5"/>
  <c r="T52" i="5"/>
  <c r="P52" i="5"/>
  <c r="L52" i="5"/>
  <c r="R52" i="5" s="1"/>
  <c r="V51" i="5"/>
  <c r="T51" i="5"/>
  <c r="R51" i="5"/>
  <c r="Q51" i="5"/>
  <c r="S51" i="5" s="1"/>
  <c r="P51" i="5"/>
  <c r="L51" i="5"/>
  <c r="V50" i="5"/>
  <c r="T50" i="5"/>
  <c r="L50" i="5"/>
  <c r="R50" i="5" s="1"/>
  <c r="V49" i="5"/>
  <c r="T49" i="5"/>
  <c r="L49" i="5"/>
  <c r="V48" i="5"/>
  <c r="T48" i="5"/>
  <c r="P48" i="5"/>
  <c r="L48" i="5"/>
  <c r="R48" i="5" s="1"/>
  <c r="V47" i="5"/>
  <c r="T47" i="5"/>
  <c r="Q47" i="5"/>
  <c r="P47" i="5"/>
  <c r="L47" i="5"/>
  <c r="R47" i="5" s="1"/>
  <c r="V46" i="5"/>
  <c r="T46" i="5"/>
  <c r="R46" i="5"/>
  <c r="Q46" i="5"/>
  <c r="P46" i="5"/>
  <c r="S46" i="5" s="1"/>
  <c r="L46" i="5"/>
  <c r="V45" i="5"/>
  <c r="T45" i="5"/>
  <c r="L45" i="5"/>
  <c r="Q45" i="5" s="1"/>
  <c r="V44" i="5"/>
  <c r="T44" i="5"/>
  <c r="R44" i="5"/>
  <c r="P44" i="5"/>
  <c r="S44" i="5" s="1"/>
  <c r="L44" i="5"/>
  <c r="Q44" i="5" s="1"/>
  <c r="V43" i="5"/>
  <c r="T43" i="5"/>
  <c r="R43" i="5"/>
  <c r="Q43" i="5"/>
  <c r="P43" i="5"/>
  <c r="L43" i="5"/>
  <c r="V42" i="5"/>
  <c r="T42" i="5"/>
  <c r="R42" i="5"/>
  <c r="Q42" i="5"/>
  <c r="P42" i="5"/>
  <c r="L42" i="5"/>
  <c r="V41" i="5"/>
  <c r="T41" i="5"/>
  <c r="R41" i="5"/>
  <c r="Q41" i="5"/>
  <c r="P41" i="5"/>
  <c r="S41" i="5" s="1"/>
  <c r="L41" i="5"/>
  <c r="V40" i="5"/>
  <c r="T40" i="5"/>
  <c r="P40" i="5"/>
  <c r="L40" i="5"/>
  <c r="V39" i="5"/>
  <c r="T39" i="5"/>
  <c r="Q39" i="5"/>
  <c r="L39" i="5"/>
  <c r="R39" i="5" s="1"/>
  <c r="V38" i="5"/>
  <c r="T38" i="5"/>
  <c r="L38" i="5"/>
  <c r="P38" i="5" s="1"/>
  <c r="V37" i="5"/>
  <c r="T37" i="5"/>
  <c r="Q37" i="5"/>
  <c r="L37" i="5"/>
  <c r="P37" i="5" s="1"/>
  <c r="V36" i="5"/>
  <c r="T36" i="5"/>
  <c r="S36" i="5"/>
  <c r="Q36" i="5"/>
  <c r="P36" i="5"/>
  <c r="L36" i="5"/>
  <c r="R36" i="5" s="1"/>
  <c r="V35" i="5"/>
  <c r="T35" i="5"/>
  <c r="S35" i="5"/>
  <c r="R35" i="5"/>
  <c r="Q35" i="5"/>
  <c r="P35" i="5"/>
  <c r="L35" i="5"/>
  <c r="V34" i="5"/>
  <c r="T34" i="5"/>
  <c r="L34" i="5"/>
  <c r="R34" i="5" s="1"/>
  <c r="V33" i="5"/>
  <c r="T33" i="5"/>
  <c r="L33" i="5"/>
  <c r="V32" i="5"/>
  <c r="T32" i="5"/>
  <c r="R32" i="5"/>
  <c r="Q32" i="5"/>
  <c r="P32" i="5"/>
  <c r="S32" i="5" s="1"/>
  <c r="L32" i="5"/>
  <c r="V31" i="5"/>
  <c r="T31" i="5"/>
  <c r="Q31" i="5"/>
  <c r="P31" i="5"/>
  <c r="L31" i="5"/>
  <c r="R31" i="5" s="1"/>
  <c r="V30" i="5"/>
  <c r="T30" i="5"/>
  <c r="R30" i="5"/>
  <c r="Q30" i="5"/>
  <c r="P30" i="5"/>
  <c r="S30" i="5" s="1"/>
  <c r="L30" i="5"/>
  <c r="V29" i="5"/>
  <c r="T29" i="5"/>
  <c r="R29" i="5"/>
  <c r="L29" i="5"/>
  <c r="Q29" i="5" s="1"/>
  <c r="V28" i="5"/>
  <c r="T28" i="5"/>
  <c r="R28" i="5"/>
  <c r="L28" i="5"/>
  <c r="Q28" i="5" s="1"/>
  <c r="V27" i="5"/>
  <c r="T27" i="5"/>
  <c r="R27" i="5"/>
  <c r="Q27" i="5"/>
  <c r="P27" i="5"/>
  <c r="L27" i="5"/>
  <c r="V26" i="5"/>
  <c r="T26" i="5"/>
  <c r="R26" i="5"/>
  <c r="Q26" i="5"/>
  <c r="P26" i="5"/>
  <c r="L26" i="5"/>
  <c r="V25" i="5"/>
  <c r="T25" i="5"/>
  <c r="R25" i="5"/>
  <c r="Q25" i="5"/>
  <c r="S25" i="5" s="1"/>
  <c r="P25" i="5"/>
  <c r="L25" i="5"/>
  <c r="V24" i="5"/>
  <c r="T24" i="5"/>
  <c r="P24" i="5"/>
  <c r="L24" i="5"/>
  <c r="V23" i="5"/>
  <c r="T23" i="5"/>
  <c r="L23" i="5"/>
  <c r="V22" i="5"/>
  <c r="T22" i="5"/>
  <c r="Q22" i="5"/>
  <c r="L22" i="5"/>
  <c r="P22" i="5" s="1"/>
  <c r="V21" i="5"/>
  <c r="T21" i="5"/>
  <c r="L21" i="5"/>
  <c r="P21" i="5" s="1"/>
  <c r="V20" i="5"/>
  <c r="T20" i="5"/>
  <c r="L20" i="5"/>
  <c r="R20" i="5" s="1"/>
  <c r="V19" i="5"/>
  <c r="T19" i="5"/>
  <c r="R19" i="5"/>
  <c r="Q19" i="5"/>
  <c r="P19" i="5"/>
  <c r="S19" i="5" s="1"/>
  <c r="L19" i="5"/>
  <c r="V18" i="5"/>
  <c r="T18" i="5"/>
  <c r="P18" i="5"/>
  <c r="L18" i="5"/>
  <c r="R18" i="5" s="1"/>
  <c r="V17" i="5"/>
  <c r="T17" i="5"/>
  <c r="L17" i="5"/>
  <c r="V16" i="5"/>
  <c r="T16" i="5"/>
  <c r="P16" i="5"/>
  <c r="L16" i="5"/>
  <c r="R16" i="5" s="1"/>
  <c r="V15" i="5"/>
  <c r="T15" i="5"/>
  <c r="Q15" i="5"/>
  <c r="P15" i="5"/>
  <c r="L15" i="5"/>
  <c r="R15" i="5" s="1"/>
  <c r="V14" i="5"/>
  <c r="T14" i="5"/>
  <c r="R14" i="5"/>
  <c r="Q14" i="5"/>
  <c r="P14" i="5"/>
  <c r="S14" i="5" s="1"/>
  <c r="L14" i="5"/>
  <c r="V13" i="5"/>
  <c r="T13" i="5"/>
  <c r="L13" i="5"/>
  <c r="Q13" i="5" s="1"/>
  <c r="V12" i="5"/>
  <c r="T12" i="5"/>
  <c r="L12" i="5"/>
  <c r="Q12" i="5" s="1"/>
  <c r="V11" i="5"/>
  <c r="T11" i="5"/>
  <c r="R11" i="5"/>
  <c r="Q11" i="5"/>
  <c r="P11" i="5"/>
  <c r="L11" i="5"/>
  <c r="V10" i="5"/>
  <c r="T10" i="5"/>
  <c r="R10" i="5"/>
  <c r="Q10" i="5"/>
  <c r="P10" i="5"/>
  <c r="L10" i="5"/>
  <c r="V9" i="5"/>
  <c r="T9" i="5"/>
  <c r="R9" i="5"/>
  <c r="Q9" i="5"/>
  <c r="P9" i="5"/>
  <c r="S9" i="5" s="1"/>
  <c r="L9" i="5"/>
  <c r="V8" i="5"/>
  <c r="T8" i="5"/>
  <c r="P8" i="5"/>
  <c r="L8" i="5"/>
  <c r="V7" i="5"/>
  <c r="T7" i="5"/>
  <c r="R7" i="5"/>
  <c r="P7" i="5"/>
  <c r="L7" i="5"/>
  <c r="Q7" i="5" s="1"/>
  <c r="V6" i="5"/>
  <c r="T6" i="5"/>
  <c r="R6" i="5"/>
  <c r="Q6" i="5"/>
  <c r="P6" i="5"/>
  <c r="S6" i="5" s="1"/>
  <c r="L6" i="5"/>
  <c r="V5" i="5"/>
  <c r="T5" i="5"/>
  <c r="R5" i="5"/>
  <c r="P5" i="5"/>
  <c r="L5" i="5"/>
  <c r="Q5" i="5" s="1"/>
  <c r="Z100" i="3"/>
  <c r="X100" i="3"/>
  <c r="W100" i="3"/>
  <c r="V100" i="3"/>
  <c r="U100" i="3"/>
  <c r="T100" i="3"/>
  <c r="S100" i="3"/>
  <c r="R100" i="3"/>
  <c r="Q100" i="3"/>
  <c r="Y100" i="3" s="1"/>
  <c r="Z99" i="3"/>
  <c r="X99" i="3"/>
  <c r="W99" i="3"/>
  <c r="V99" i="3"/>
  <c r="U99" i="3"/>
  <c r="T99" i="3"/>
  <c r="S99" i="3"/>
  <c r="R99" i="3"/>
  <c r="Q99" i="3"/>
  <c r="Y99" i="3" s="1"/>
  <c r="Z98" i="3"/>
  <c r="X98" i="3"/>
  <c r="V98" i="3"/>
  <c r="U98" i="3"/>
  <c r="T98" i="3"/>
  <c r="S98" i="3"/>
  <c r="R98" i="3"/>
  <c r="Q98" i="3"/>
  <c r="Z97" i="3"/>
  <c r="Y97" i="3"/>
  <c r="X97" i="3"/>
  <c r="W97" i="3"/>
  <c r="V97" i="3"/>
  <c r="U97" i="3"/>
  <c r="T97" i="3"/>
  <c r="S97" i="3"/>
  <c r="R97" i="3"/>
  <c r="Q97" i="3"/>
  <c r="Z96" i="3"/>
  <c r="X96" i="3"/>
  <c r="W96" i="3"/>
  <c r="V96" i="3"/>
  <c r="U96" i="3"/>
  <c r="T96" i="3"/>
  <c r="S96" i="3"/>
  <c r="R96" i="3"/>
  <c r="Q96" i="3"/>
  <c r="Y96" i="3" s="1"/>
  <c r="Z95" i="3"/>
  <c r="Y95" i="3"/>
  <c r="X95" i="3"/>
  <c r="W95" i="3"/>
  <c r="V95" i="3"/>
  <c r="U95" i="3"/>
  <c r="T95" i="3"/>
  <c r="S95" i="3"/>
  <c r="R95" i="3"/>
  <c r="Q95" i="3"/>
  <c r="Z94" i="3"/>
  <c r="Y94" i="3"/>
  <c r="X94" i="3"/>
  <c r="V94" i="3"/>
  <c r="U94" i="3"/>
  <c r="T94" i="3"/>
  <c r="S94" i="3"/>
  <c r="R94" i="3"/>
  <c r="Q94" i="3"/>
  <c r="W94" i="3" s="1"/>
  <c r="Z93" i="3"/>
  <c r="X93" i="3"/>
  <c r="V93" i="3"/>
  <c r="U93" i="3"/>
  <c r="T93" i="3"/>
  <c r="S93" i="3"/>
  <c r="R93" i="3"/>
  <c r="Q93" i="3"/>
  <c r="Y93" i="3" s="1"/>
  <c r="Z92" i="3"/>
  <c r="Y92" i="3"/>
  <c r="X92" i="3"/>
  <c r="W92" i="3"/>
  <c r="V92" i="3"/>
  <c r="U92" i="3"/>
  <c r="T92" i="3"/>
  <c r="S92" i="3"/>
  <c r="R92" i="3"/>
  <c r="Q92" i="3"/>
  <c r="Z91" i="3"/>
  <c r="X91" i="3"/>
  <c r="W91" i="3"/>
  <c r="V91" i="3"/>
  <c r="U91" i="3"/>
  <c r="T91" i="3"/>
  <c r="S91" i="3"/>
  <c r="R91" i="3"/>
  <c r="Q91" i="3"/>
  <c r="Y91" i="3" s="1"/>
  <c r="Z90" i="3"/>
  <c r="X90" i="3"/>
  <c r="V90" i="3"/>
  <c r="U90" i="3"/>
  <c r="T90" i="3"/>
  <c r="S90" i="3"/>
  <c r="R90" i="3"/>
  <c r="Q90" i="3"/>
  <c r="Z89" i="3"/>
  <c r="Y89" i="3"/>
  <c r="X89" i="3"/>
  <c r="W89" i="3"/>
  <c r="V89" i="3"/>
  <c r="U89" i="3"/>
  <c r="T89" i="3"/>
  <c r="S89" i="3"/>
  <c r="R89" i="3"/>
  <c r="Q89" i="3"/>
  <c r="Z88" i="3"/>
  <c r="X88" i="3"/>
  <c r="W88" i="3"/>
  <c r="V88" i="3"/>
  <c r="U88" i="3"/>
  <c r="T88" i="3"/>
  <c r="S88" i="3"/>
  <c r="R88" i="3"/>
  <c r="Q88" i="3"/>
  <c r="Y88" i="3" s="1"/>
  <c r="Z87" i="3"/>
  <c r="Y87" i="3"/>
  <c r="X87" i="3"/>
  <c r="W87" i="3"/>
  <c r="V87" i="3"/>
  <c r="U87" i="3"/>
  <c r="T87" i="3"/>
  <c r="S87" i="3"/>
  <c r="R87" i="3"/>
  <c r="Q87" i="3"/>
  <c r="Z86" i="3"/>
  <c r="Y86" i="3"/>
  <c r="X86" i="3"/>
  <c r="V86" i="3"/>
  <c r="U86" i="3"/>
  <c r="T86" i="3"/>
  <c r="S86" i="3"/>
  <c r="R86" i="3"/>
  <c r="Q86" i="3"/>
  <c r="W86" i="3" s="1"/>
  <c r="Z85" i="3"/>
  <c r="X85" i="3"/>
  <c r="V85" i="3"/>
  <c r="U85" i="3"/>
  <c r="T85" i="3"/>
  <c r="S85" i="3"/>
  <c r="R85" i="3"/>
  <c r="Q85" i="3"/>
  <c r="Y85" i="3" s="1"/>
  <c r="Z84" i="3"/>
  <c r="Y84" i="3"/>
  <c r="X84" i="3"/>
  <c r="W84" i="3"/>
  <c r="V84" i="3"/>
  <c r="U84" i="3"/>
  <c r="T84" i="3"/>
  <c r="S84" i="3"/>
  <c r="R84" i="3"/>
  <c r="Q84" i="3"/>
  <c r="Z83" i="3"/>
  <c r="X83" i="3"/>
  <c r="W83" i="3"/>
  <c r="V83" i="3"/>
  <c r="U83" i="3"/>
  <c r="T83" i="3"/>
  <c r="S83" i="3"/>
  <c r="R83" i="3"/>
  <c r="Q83" i="3"/>
  <c r="Y83" i="3" s="1"/>
  <c r="Z82" i="3"/>
  <c r="X82" i="3"/>
  <c r="V82" i="3"/>
  <c r="U82" i="3"/>
  <c r="T82" i="3"/>
  <c r="S82" i="3"/>
  <c r="R82" i="3"/>
  <c r="Q82" i="3"/>
  <c r="Z81" i="3"/>
  <c r="Y81" i="3"/>
  <c r="X81" i="3"/>
  <c r="W81" i="3"/>
  <c r="V81" i="3"/>
  <c r="U81" i="3"/>
  <c r="T81" i="3"/>
  <c r="S81" i="3"/>
  <c r="R81" i="3"/>
  <c r="Q81" i="3"/>
  <c r="Z80" i="3"/>
  <c r="X80" i="3"/>
  <c r="W80" i="3"/>
  <c r="V80" i="3"/>
  <c r="U80" i="3"/>
  <c r="T80" i="3"/>
  <c r="S80" i="3"/>
  <c r="R80" i="3"/>
  <c r="Q80" i="3"/>
  <c r="Y80" i="3" s="1"/>
  <c r="Z79" i="3"/>
  <c r="Y79" i="3"/>
  <c r="X79" i="3"/>
  <c r="W79" i="3"/>
  <c r="V79" i="3"/>
  <c r="U79" i="3"/>
  <c r="T79" i="3"/>
  <c r="S79" i="3"/>
  <c r="R79" i="3"/>
  <c r="Q79" i="3"/>
  <c r="Z78" i="3"/>
  <c r="Y78" i="3"/>
  <c r="X78" i="3"/>
  <c r="V78" i="3"/>
  <c r="U78" i="3"/>
  <c r="T78" i="3"/>
  <c r="S78" i="3"/>
  <c r="R78" i="3"/>
  <c r="Q78" i="3"/>
  <c r="W78" i="3" s="1"/>
  <c r="Z77" i="3"/>
  <c r="X77" i="3"/>
  <c r="V77" i="3"/>
  <c r="U77" i="3"/>
  <c r="T77" i="3"/>
  <c r="S77" i="3"/>
  <c r="R77" i="3"/>
  <c r="Q77" i="3"/>
  <c r="Y77" i="3" s="1"/>
  <c r="Z76" i="3"/>
  <c r="Y76" i="3"/>
  <c r="X76" i="3"/>
  <c r="W76" i="3"/>
  <c r="V76" i="3"/>
  <c r="U76" i="3"/>
  <c r="T76" i="3"/>
  <c r="S76" i="3"/>
  <c r="R76" i="3"/>
  <c r="Q76" i="3"/>
  <c r="Z75" i="3"/>
  <c r="X75" i="3"/>
  <c r="W75" i="3"/>
  <c r="V75" i="3"/>
  <c r="U75" i="3"/>
  <c r="T75" i="3"/>
  <c r="S75" i="3"/>
  <c r="R75" i="3"/>
  <c r="Q75" i="3"/>
  <c r="Y75" i="3" s="1"/>
  <c r="V74" i="3"/>
  <c r="U74" i="3"/>
  <c r="T74" i="3"/>
  <c r="S74" i="3"/>
  <c r="R74" i="3"/>
  <c r="Q74" i="3"/>
  <c r="V73" i="3"/>
  <c r="U73" i="3"/>
  <c r="T73" i="3"/>
  <c r="S73" i="3"/>
  <c r="R73" i="3"/>
  <c r="Q73" i="3"/>
  <c r="V72" i="3"/>
  <c r="U72" i="3"/>
  <c r="T72" i="3"/>
  <c r="S72" i="3"/>
  <c r="R72" i="3"/>
  <c r="Q72" i="3"/>
  <c r="V71" i="3"/>
  <c r="U71" i="3"/>
  <c r="T71" i="3"/>
  <c r="S71" i="3"/>
  <c r="R71" i="3"/>
  <c r="Q71" i="3"/>
  <c r="V70" i="3"/>
  <c r="U70" i="3"/>
  <c r="T70" i="3"/>
  <c r="S70" i="3"/>
  <c r="R70" i="3"/>
  <c r="Q70" i="3"/>
  <c r="V69" i="3"/>
  <c r="U69" i="3"/>
  <c r="T69" i="3"/>
  <c r="S69" i="3"/>
  <c r="R69" i="3"/>
  <c r="Q69" i="3"/>
  <c r="V68" i="3"/>
  <c r="U68" i="3"/>
  <c r="T68" i="3"/>
  <c r="S68" i="3"/>
  <c r="R68" i="3"/>
  <c r="Q68" i="3"/>
  <c r="V67" i="3"/>
  <c r="U67" i="3"/>
  <c r="T67" i="3"/>
  <c r="S67" i="3"/>
  <c r="R67" i="3"/>
  <c r="Q67" i="3"/>
  <c r="V66" i="3"/>
  <c r="U66" i="3"/>
  <c r="T66" i="3"/>
  <c r="S66" i="3"/>
  <c r="R66" i="3"/>
  <c r="Q66" i="3"/>
  <c r="V65" i="3"/>
  <c r="U65" i="3"/>
  <c r="T65" i="3"/>
  <c r="S65" i="3"/>
  <c r="R65" i="3"/>
  <c r="Q65" i="3"/>
  <c r="V64" i="3"/>
  <c r="U64" i="3"/>
  <c r="T64" i="3"/>
  <c r="S64" i="3"/>
  <c r="R64" i="3"/>
  <c r="Q64" i="3"/>
  <c r="V63" i="3"/>
  <c r="U63" i="3"/>
  <c r="T63" i="3"/>
  <c r="S63" i="3"/>
  <c r="R63" i="3"/>
  <c r="Q63" i="3"/>
  <c r="V62" i="3"/>
  <c r="U62" i="3"/>
  <c r="T62" i="3"/>
  <c r="S62" i="3"/>
  <c r="R62" i="3"/>
  <c r="Q62" i="3"/>
  <c r="V61" i="3"/>
  <c r="U61" i="3"/>
  <c r="T61" i="3"/>
  <c r="S61" i="3"/>
  <c r="R61" i="3"/>
  <c r="Q61" i="3"/>
  <c r="V60" i="3"/>
  <c r="U60" i="3"/>
  <c r="T60" i="3"/>
  <c r="S60" i="3"/>
  <c r="R60" i="3"/>
  <c r="Q60" i="3"/>
  <c r="V59" i="3"/>
  <c r="U59" i="3"/>
  <c r="T59" i="3"/>
  <c r="S59" i="3"/>
  <c r="R59" i="3"/>
  <c r="Q59" i="3"/>
  <c r="Y59" i="3" s="1"/>
  <c r="V58" i="3"/>
  <c r="U58" i="3"/>
  <c r="T58" i="3"/>
  <c r="S58" i="3"/>
  <c r="R58" i="3"/>
  <c r="Q58" i="3"/>
  <c r="V57" i="3"/>
  <c r="U57" i="3"/>
  <c r="T57" i="3"/>
  <c r="S57" i="3"/>
  <c r="R57" i="3"/>
  <c r="Q57" i="3"/>
  <c r="V56" i="3"/>
  <c r="U56" i="3"/>
  <c r="T56" i="3"/>
  <c r="S56" i="3"/>
  <c r="R56" i="3"/>
  <c r="Q56" i="3"/>
  <c r="V55" i="3"/>
  <c r="U55" i="3"/>
  <c r="T55" i="3"/>
  <c r="S55" i="3"/>
  <c r="R55" i="3"/>
  <c r="Q55" i="3"/>
  <c r="V54" i="3"/>
  <c r="U54" i="3"/>
  <c r="T54" i="3"/>
  <c r="S54" i="3"/>
  <c r="R54" i="3"/>
  <c r="Q54" i="3"/>
  <c r="V53" i="3"/>
  <c r="U53" i="3"/>
  <c r="T53" i="3"/>
  <c r="S53" i="3"/>
  <c r="R53" i="3"/>
  <c r="Q53" i="3"/>
  <c r="V52" i="3"/>
  <c r="U52" i="3"/>
  <c r="T52" i="3"/>
  <c r="S52" i="3"/>
  <c r="R52" i="3"/>
  <c r="Q52" i="3"/>
  <c r="V51" i="3"/>
  <c r="U51" i="3"/>
  <c r="T51" i="3"/>
  <c r="S51" i="3"/>
  <c r="R51" i="3"/>
  <c r="Q51" i="3"/>
  <c r="V50" i="3"/>
  <c r="U50" i="3"/>
  <c r="T50" i="3"/>
  <c r="S50" i="3"/>
  <c r="R50" i="3"/>
  <c r="Q50" i="3"/>
  <c r="V49" i="3"/>
  <c r="U49" i="3"/>
  <c r="T49" i="3"/>
  <c r="S49" i="3"/>
  <c r="R49" i="3"/>
  <c r="Q49" i="3"/>
  <c r="V48" i="3"/>
  <c r="U48" i="3"/>
  <c r="T48" i="3"/>
  <c r="S48" i="3"/>
  <c r="R48" i="3"/>
  <c r="Q48" i="3"/>
  <c r="Y47" i="3"/>
  <c r="V47" i="3"/>
  <c r="U47" i="3"/>
  <c r="T47" i="3"/>
  <c r="S47" i="3"/>
  <c r="R47" i="3"/>
  <c r="Q47" i="3"/>
  <c r="V46" i="3"/>
  <c r="U46" i="3"/>
  <c r="T46" i="3"/>
  <c r="S46" i="3"/>
  <c r="R46" i="3"/>
  <c r="Q46" i="3"/>
  <c r="V45" i="3"/>
  <c r="U45" i="3"/>
  <c r="T45" i="3"/>
  <c r="S45" i="3"/>
  <c r="R45" i="3"/>
  <c r="Q45" i="3"/>
  <c r="V44" i="3"/>
  <c r="U44" i="3"/>
  <c r="T44" i="3"/>
  <c r="S44" i="3"/>
  <c r="R44" i="3"/>
  <c r="Q44" i="3"/>
  <c r="V43" i="3"/>
  <c r="U43" i="3"/>
  <c r="T43" i="3"/>
  <c r="S43" i="3"/>
  <c r="R43" i="3"/>
  <c r="Q43" i="3"/>
  <c r="V42" i="3"/>
  <c r="U42" i="3"/>
  <c r="T42" i="3"/>
  <c r="S42" i="3"/>
  <c r="R42" i="3"/>
  <c r="Q42" i="3"/>
  <c r="V41" i="3"/>
  <c r="U41" i="3"/>
  <c r="T41" i="3"/>
  <c r="S41" i="3"/>
  <c r="R41" i="3"/>
  <c r="Q41" i="3"/>
  <c r="V40" i="3"/>
  <c r="U40" i="3"/>
  <c r="T40" i="3"/>
  <c r="S40" i="3"/>
  <c r="R40" i="3"/>
  <c r="Q40" i="3"/>
  <c r="V39" i="3"/>
  <c r="U39" i="3"/>
  <c r="T39" i="3"/>
  <c r="S39" i="3"/>
  <c r="R39" i="3"/>
  <c r="Q39" i="3"/>
  <c r="V38" i="3"/>
  <c r="U38" i="3"/>
  <c r="T38" i="3"/>
  <c r="S38" i="3"/>
  <c r="R38" i="3"/>
  <c r="Q38" i="3"/>
  <c r="V37" i="3"/>
  <c r="U37" i="3"/>
  <c r="T37" i="3"/>
  <c r="S37" i="3"/>
  <c r="R37" i="3"/>
  <c r="Q37" i="3"/>
  <c r="Y37" i="3" s="1"/>
  <c r="V36" i="3"/>
  <c r="U36" i="3"/>
  <c r="T36" i="3"/>
  <c r="S36" i="3"/>
  <c r="R36" i="3"/>
  <c r="Q36" i="3"/>
  <c r="V35" i="3"/>
  <c r="U35" i="3"/>
  <c r="T35" i="3"/>
  <c r="S35" i="3"/>
  <c r="R35" i="3"/>
  <c r="Q35" i="3"/>
  <c r="V34" i="3"/>
  <c r="U34" i="3"/>
  <c r="T34" i="3"/>
  <c r="S34" i="3"/>
  <c r="R34" i="3"/>
  <c r="Q34" i="3"/>
  <c r="V33" i="3"/>
  <c r="U33" i="3"/>
  <c r="T33" i="3"/>
  <c r="S33" i="3"/>
  <c r="R33" i="3"/>
  <c r="Q33" i="3"/>
  <c r="V32" i="3"/>
  <c r="U32" i="3"/>
  <c r="T32" i="3"/>
  <c r="S32" i="3"/>
  <c r="R32" i="3"/>
  <c r="Q32" i="3"/>
  <c r="V31" i="3"/>
  <c r="U31" i="3"/>
  <c r="T31" i="3"/>
  <c r="S31" i="3"/>
  <c r="R31" i="3"/>
  <c r="Q31" i="3"/>
  <c r="V30" i="3"/>
  <c r="U30" i="3"/>
  <c r="T30" i="3"/>
  <c r="S30" i="3"/>
  <c r="R30" i="3"/>
  <c r="Q30" i="3"/>
  <c r="V29" i="3"/>
  <c r="U29" i="3"/>
  <c r="T29" i="3"/>
  <c r="S29" i="3"/>
  <c r="R29" i="3"/>
  <c r="Q29" i="3"/>
  <c r="V28" i="3"/>
  <c r="U28" i="3"/>
  <c r="T28" i="3"/>
  <c r="S28" i="3"/>
  <c r="R28" i="3"/>
  <c r="Q28" i="3"/>
  <c r="V27" i="3"/>
  <c r="U27" i="3"/>
  <c r="T27" i="3"/>
  <c r="S27" i="3"/>
  <c r="R27" i="3"/>
  <c r="Q27" i="3"/>
  <c r="V26" i="3"/>
  <c r="U26" i="3"/>
  <c r="T26" i="3"/>
  <c r="S26" i="3"/>
  <c r="R26" i="3"/>
  <c r="Q26" i="3"/>
  <c r="V25" i="3"/>
  <c r="U25" i="3"/>
  <c r="T25" i="3"/>
  <c r="S25" i="3"/>
  <c r="R25" i="3"/>
  <c r="Q25" i="3"/>
  <c r="Y25" i="3" s="1"/>
  <c r="V24" i="3"/>
  <c r="U24" i="3"/>
  <c r="T24" i="3"/>
  <c r="S24" i="3"/>
  <c r="R24" i="3"/>
  <c r="Q24" i="3"/>
  <c r="V23" i="3"/>
  <c r="U23" i="3"/>
  <c r="T23" i="3"/>
  <c r="S23" i="3"/>
  <c r="R23" i="3"/>
  <c r="Q23" i="3"/>
  <c r="V22" i="3"/>
  <c r="U22" i="3"/>
  <c r="T22" i="3"/>
  <c r="S22" i="3"/>
  <c r="R22" i="3"/>
  <c r="Q22" i="3"/>
  <c r="V21" i="3"/>
  <c r="U21" i="3"/>
  <c r="T21" i="3"/>
  <c r="S21" i="3"/>
  <c r="R21" i="3"/>
  <c r="Q21" i="3"/>
  <c r="V20" i="3"/>
  <c r="U20" i="3"/>
  <c r="T20" i="3"/>
  <c r="S20" i="3"/>
  <c r="R20" i="3"/>
  <c r="Q20" i="3"/>
  <c r="V19" i="3"/>
  <c r="U19" i="3"/>
  <c r="T19" i="3"/>
  <c r="S19" i="3"/>
  <c r="R19" i="3"/>
  <c r="Q19" i="3"/>
  <c r="V18" i="3"/>
  <c r="U18" i="3"/>
  <c r="T18" i="3"/>
  <c r="S18" i="3"/>
  <c r="R18" i="3"/>
  <c r="Q18" i="3"/>
  <c r="V17" i="3"/>
  <c r="U17" i="3"/>
  <c r="T17" i="3"/>
  <c r="S17" i="3"/>
  <c r="R17" i="3"/>
  <c r="Q17" i="3"/>
  <c r="Y17" i="3" s="1"/>
  <c r="V16" i="3"/>
  <c r="U16" i="3"/>
  <c r="T16" i="3"/>
  <c r="S16" i="3"/>
  <c r="R16" i="3"/>
  <c r="Q16" i="3"/>
  <c r="V15" i="3"/>
  <c r="U15" i="3"/>
  <c r="T15" i="3"/>
  <c r="S15" i="3"/>
  <c r="R15" i="3"/>
  <c r="Q15" i="3"/>
  <c r="V14" i="3"/>
  <c r="U14" i="3"/>
  <c r="T14" i="3"/>
  <c r="S14" i="3"/>
  <c r="R14" i="3"/>
  <c r="Q14" i="3"/>
  <c r="V13" i="3"/>
  <c r="U13" i="3"/>
  <c r="T13" i="3"/>
  <c r="S13" i="3"/>
  <c r="R13" i="3"/>
  <c r="Q13" i="3"/>
  <c r="V12" i="3"/>
  <c r="U12" i="3"/>
  <c r="T12" i="3"/>
  <c r="S12" i="3"/>
  <c r="R12" i="3"/>
  <c r="Q12" i="3"/>
  <c r="V11" i="3"/>
  <c r="U11" i="3"/>
  <c r="T11" i="3"/>
  <c r="S11" i="3"/>
  <c r="R11" i="3"/>
  <c r="Q11" i="3"/>
  <c r="V10" i="3"/>
  <c r="U10" i="3"/>
  <c r="T10" i="3"/>
  <c r="S10" i="3"/>
  <c r="R10" i="3"/>
  <c r="Q10" i="3"/>
  <c r="V9" i="3"/>
  <c r="U9" i="3"/>
  <c r="T9" i="3"/>
  <c r="S9" i="3"/>
  <c r="R9" i="3"/>
  <c r="Q9" i="3"/>
  <c r="Y28" i="3" s="1"/>
  <c r="V8" i="3"/>
  <c r="U8" i="3"/>
  <c r="T8" i="3"/>
  <c r="S8" i="3"/>
  <c r="R8" i="3"/>
  <c r="Q8" i="3"/>
  <c r="V7" i="3"/>
  <c r="U7" i="3"/>
  <c r="T7" i="3"/>
  <c r="S7" i="3"/>
  <c r="R7" i="3"/>
  <c r="Q7" i="3"/>
  <c r="V6" i="3"/>
  <c r="U6" i="3"/>
  <c r="T6" i="3"/>
  <c r="S6" i="3"/>
  <c r="R6" i="3"/>
  <c r="Q6" i="3"/>
  <c r="V5" i="3"/>
  <c r="U5" i="3"/>
  <c r="T5" i="3"/>
  <c r="S5" i="3"/>
  <c r="R5" i="3"/>
  <c r="Q5" i="3"/>
  <c r="U183" i="5" s="1"/>
  <c r="Z100" i="2"/>
  <c r="Y100" i="2"/>
  <c r="X100" i="2"/>
  <c r="W100" i="2"/>
  <c r="V100" i="2"/>
  <c r="U100" i="2"/>
  <c r="T100" i="2"/>
  <c r="S100" i="2"/>
  <c r="Z99" i="2"/>
  <c r="X99" i="2"/>
  <c r="W99" i="2"/>
  <c r="V99" i="2"/>
  <c r="T99" i="2"/>
  <c r="S99" i="2"/>
  <c r="Y99" i="2" s="1"/>
  <c r="Z98" i="2"/>
  <c r="Y98" i="2"/>
  <c r="X98" i="2"/>
  <c r="W98" i="2"/>
  <c r="V98" i="2"/>
  <c r="U98" i="2"/>
  <c r="T98" i="2"/>
  <c r="S98" i="2"/>
  <c r="Z97" i="2"/>
  <c r="X97" i="2"/>
  <c r="W97" i="2"/>
  <c r="V97" i="2"/>
  <c r="U97" i="2"/>
  <c r="T97" i="2"/>
  <c r="S97" i="2"/>
  <c r="Y97" i="2" s="1"/>
  <c r="Z96" i="2"/>
  <c r="Y96" i="2"/>
  <c r="X96" i="2"/>
  <c r="W96" i="2"/>
  <c r="V96" i="2"/>
  <c r="U96" i="2"/>
  <c r="T96" i="2"/>
  <c r="S96" i="2"/>
  <c r="Z95" i="2"/>
  <c r="X95" i="2"/>
  <c r="W95" i="2"/>
  <c r="V95" i="2"/>
  <c r="T95" i="2"/>
  <c r="S95" i="2"/>
  <c r="Y95" i="2" s="1"/>
  <c r="Z94" i="2"/>
  <c r="X94" i="2"/>
  <c r="W94" i="2"/>
  <c r="V94" i="2"/>
  <c r="U94" i="2"/>
  <c r="T94" i="2"/>
  <c r="S94" i="2"/>
  <c r="Y94" i="2" s="1"/>
  <c r="Z93" i="2"/>
  <c r="X93" i="2"/>
  <c r="W93" i="2"/>
  <c r="V93" i="2"/>
  <c r="T93" i="2"/>
  <c r="S93" i="2"/>
  <c r="Y93" i="2" s="1"/>
  <c r="Z92" i="2"/>
  <c r="X92" i="2"/>
  <c r="W92" i="2"/>
  <c r="V92" i="2"/>
  <c r="T92" i="2"/>
  <c r="S92" i="2"/>
  <c r="U92" i="2" s="1"/>
  <c r="Z91" i="2"/>
  <c r="X91" i="2"/>
  <c r="W91" i="2"/>
  <c r="V91" i="2"/>
  <c r="U91" i="2"/>
  <c r="T91" i="2"/>
  <c r="S91" i="2"/>
  <c r="Y91" i="2" s="1"/>
  <c r="Z90" i="2"/>
  <c r="X90" i="2"/>
  <c r="W90" i="2"/>
  <c r="V90" i="2"/>
  <c r="T90" i="2"/>
  <c r="S90" i="2"/>
  <c r="U90" i="2" s="1"/>
  <c r="Z89" i="2"/>
  <c r="X89" i="2"/>
  <c r="W89" i="2"/>
  <c r="V89" i="2"/>
  <c r="T89" i="2"/>
  <c r="S89" i="2"/>
  <c r="Y89" i="2" s="1"/>
  <c r="Z88" i="2"/>
  <c r="X88" i="2"/>
  <c r="W88" i="2"/>
  <c r="V88" i="2"/>
  <c r="T88" i="2"/>
  <c r="S88" i="2"/>
  <c r="Y88" i="2" s="1"/>
  <c r="Z87" i="2"/>
  <c r="X87" i="2"/>
  <c r="W87" i="2"/>
  <c r="V87" i="2"/>
  <c r="T87" i="2"/>
  <c r="S87" i="2"/>
  <c r="Y87" i="2" s="1"/>
  <c r="Z86" i="2"/>
  <c r="X86" i="2"/>
  <c r="W86" i="2"/>
  <c r="V86" i="2"/>
  <c r="T86" i="2"/>
  <c r="S86" i="2"/>
  <c r="Y86" i="2" s="1"/>
  <c r="Z85" i="2"/>
  <c r="X85" i="2"/>
  <c r="W85" i="2"/>
  <c r="V85" i="2"/>
  <c r="U85" i="2"/>
  <c r="T85" i="2"/>
  <c r="S85" i="2"/>
  <c r="Y85" i="2" s="1"/>
  <c r="Z84" i="2"/>
  <c r="X84" i="2"/>
  <c r="W84" i="2"/>
  <c r="V84" i="2"/>
  <c r="T84" i="2"/>
  <c r="S84" i="2"/>
  <c r="Y84" i="2" s="1"/>
  <c r="Z83" i="2"/>
  <c r="X83" i="2"/>
  <c r="W83" i="2"/>
  <c r="V83" i="2"/>
  <c r="U83" i="2"/>
  <c r="T83" i="2"/>
  <c r="S83" i="2"/>
  <c r="Y83" i="2" s="1"/>
  <c r="Z82" i="2"/>
  <c r="X82" i="2"/>
  <c r="W82" i="2"/>
  <c r="V82" i="2"/>
  <c r="T82" i="2"/>
  <c r="S82" i="2"/>
  <c r="Y82" i="2" s="1"/>
  <c r="Z81" i="2"/>
  <c r="X81" i="2"/>
  <c r="W81" i="2"/>
  <c r="V81" i="2"/>
  <c r="U81" i="2"/>
  <c r="T81" i="2"/>
  <c r="S81" i="2"/>
  <c r="Y81" i="2" s="1"/>
  <c r="Z80" i="2"/>
  <c r="X80" i="2"/>
  <c r="W80" i="2"/>
  <c r="V80" i="2"/>
  <c r="U80" i="2"/>
  <c r="T80" i="2"/>
  <c r="S80" i="2"/>
  <c r="Y80" i="2" s="1"/>
  <c r="Z79" i="2"/>
  <c r="X79" i="2"/>
  <c r="W79" i="2"/>
  <c r="V79" i="2"/>
  <c r="U79" i="2"/>
  <c r="T79" i="2"/>
  <c r="S79" i="2"/>
  <c r="Y79" i="2" s="1"/>
  <c r="Z78" i="2"/>
  <c r="X78" i="2"/>
  <c r="W78" i="2"/>
  <c r="V78" i="2"/>
  <c r="T78" i="2"/>
  <c r="S78" i="2"/>
  <c r="Y78" i="2" s="1"/>
  <c r="Z77" i="2"/>
  <c r="X77" i="2"/>
  <c r="W77" i="2"/>
  <c r="V77" i="2"/>
  <c r="T77" i="2"/>
  <c r="S77" i="2"/>
  <c r="Y77" i="2" s="1"/>
  <c r="Z76" i="2"/>
  <c r="X76" i="2"/>
  <c r="W76" i="2"/>
  <c r="V76" i="2"/>
  <c r="T76" i="2"/>
  <c r="S76" i="2"/>
  <c r="Y76" i="2" s="1"/>
  <c r="Z75" i="2"/>
  <c r="X75" i="2"/>
  <c r="W75" i="2"/>
  <c r="V75" i="2"/>
  <c r="T75" i="2"/>
  <c r="S75" i="2"/>
  <c r="Y75" i="2" s="1"/>
  <c r="Z74" i="2"/>
  <c r="Y74" i="2"/>
  <c r="X74" i="2"/>
  <c r="W74" i="2"/>
  <c r="V74" i="2"/>
  <c r="U74" i="2"/>
  <c r="T74" i="2"/>
  <c r="S74" i="2"/>
  <c r="Z73" i="2"/>
  <c r="X73" i="2"/>
  <c r="W73" i="2"/>
  <c r="V73" i="2"/>
  <c r="T73" i="2"/>
  <c r="S73" i="2"/>
  <c r="Y73" i="2" s="1"/>
  <c r="Z72" i="2"/>
  <c r="Y72" i="2"/>
  <c r="X72" i="2"/>
  <c r="W72" i="2"/>
  <c r="V72" i="2"/>
  <c r="T72" i="2"/>
  <c r="S72" i="2"/>
  <c r="U72" i="2" s="1"/>
  <c r="Z71" i="2"/>
  <c r="X71" i="2"/>
  <c r="W71" i="2"/>
  <c r="V71" i="2"/>
  <c r="T71" i="2"/>
  <c r="S71" i="2"/>
  <c r="Y71" i="2" s="1"/>
  <c r="Z70" i="2"/>
  <c r="Y70" i="2"/>
  <c r="X70" i="2"/>
  <c r="W70" i="2"/>
  <c r="V70" i="2"/>
  <c r="T70" i="2"/>
  <c r="S70" i="2"/>
  <c r="U70" i="2" s="1"/>
  <c r="Z69" i="2"/>
  <c r="X69" i="2"/>
  <c r="W69" i="2"/>
  <c r="V69" i="2"/>
  <c r="T69" i="2"/>
  <c r="S69" i="2"/>
  <c r="Y69" i="2" s="1"/>
  <c r="Z68" i="2"/>
  <c r="Y68" i="2"/>
  <c r="X68" i="2"/>
  <c r="W68" i="2"/>
  <c r="V68" i="2"/>
  <c r="U68" i="2"/>
  <c r="T68" i="2"/>
  <c r="S68" i="2"/>
  <c r="Z67" i="2"/>
  <c r="X67" i="2"/>
  <c r="W67" i="2"/>
  <c r="V67" i="2"/>
  <c r="T67" i="2"/>
  <c r="S67" i="2"/>
  <c r="Y67" i="2" s="1"/>
  <c r="Z66" i="2"/>
  <c r="Y66" i="2"/>
  <c r="X66" i="2"/>
  <c r="W66" i="2"/>
  <c r="V66" i="2"/>
  <c r="U66" i="2"/>
  <c r="T66" i="2"/>
  <c r="S66" i="2"/>
  <c r="Z65" i="2"/>
  <c r="X65" i="2"/>
  <c r="W65" i="2"/>
  <c r="V65" i="2"/>
  <c r="U65" i="2"/>
  <c r="T65" i="2"/>
  <c r="S65" i="2"/>
  <c r="Y65" i="2" s="1"/>
  <c r="Z64" i="2"/>
  <c r="Y64" i="2"/>
  <c r="X64" i="2"/>
  <c r="W64" i="2"/>
  <c r="V64" i="2"/>
  <c r="U64" i="2"/>
  <c r="T64" i="2"/>
  <c r="S64" i="2"/>
  <c r="Z63" i="2"/>
  <c r="X63" i="2"/>
  <c r="W63" i="2"/>
  <c r="V63" i="2"/>
  <c r="T63" i="2"/>
  <c r="S63" i="2"/>
  <c r="Y63" i="2" s="1"/>
  <c r="Z62" i="2"/>
  <c r="X62" i="2"/>
  <c r="W62" i="2"/>
  <c r="V62" i="2"/>
  <c r="U62" i="2"/>
  <c r="T62" i="2"/>
  <c r="S62" i="2"/>
  <c r="Y62" i="2" s="1"/>
  <c r="Z61" i="2"/>
  <c r="X61" i="2"/>
  <c r="W61" i="2"/>
  <c r="V61" i="2"/>
  <c r="T61" i="2"/>
  <c r="S61" i="2"/>
  <c r="Y61" i="2" s="1"/>
  <c r="Z60" i="2"/>
  <c r="X60" i="2"/>
  <c r="W60" i="2"/>
  <c r="V60" i="2"/>
  <c r="T60" i="2"/>
  <c r="S60" i="2"/>
  <c r="U60" i="2" s="1"/>
  <c r="Z59" i="2"/>
  <c r="X59" i="2"/>
  <c r="W59" i="2"/>
  <c r="V59" i="2"/>
  <c r="U59" i="2"/>
  <c r="T59" i="2"/>
  <c r="S59" i="2"/>
  <c r="Y59" i="2" s="1"/>
  <c r="Z58" i="2"/>
  <c r="X58" i="2"/>
  <c r="W58" i="2"/>
  <c r="V58" i="2"/>
  <c r="T58" i="2"/>
  <c r="S58" i="2"/>
  <c r="Y58" i="2" s="1"/>
  <c r="Z57" i="2"/>
  <c r="X57" i="2"/>
  <c r="W57" i="2"/>
  <c r="V57" i="2"/>
  <c r="T57" i="2"/>
  <c r="S57" i="2"/>
  <c r="Y57" i="2" s="1"/>
  <c r="Z56" i="2"/>
  <c r="X56" i="2"/>
  <c r="W56" i="2"/>
  <c r="V56" i="2"/>
  <c r="T56" i="2"/>
  <c r="S56" i="2"/>
  <c r="U56" i="2" s="1"/>
  <c r="Z55" i="2"/>
  <c r="X55" i="2"/>
  <c r="W55" i="2"/>
  <c r="V55" i="2"/>
  <c r="T55" i="2"/>
  <c r="S55" i="2"/>
  <c r="Y55" i="2" s="1"/>
  <c r="Z54" i="2"/>
  <c r="X54" i="2"/>
  <c r="W54" i="2"/>
  <c r="V54" i="2"/>
  <c r="T54" i="2"/>
  <c r="S54" i="2"/>
  <c r="Y54" i="2" s="1"/>
  <c r="Z53" i="2"/>
  <c r="X53" i="2"/>
  <c r="W53" i="2"/>
  <c r="V53" i="2"/>
  <c r="U53" i="2"/>
  <c r="T53" i="2"/>
  <c r="S53" i="2"/>
  <c r="Y53" i="2" s="1"/>
  <c r="Z52" i="2"/>
  <c r="X52" i="2"/>
  <c r="W52" i="2"/>
  <c r="V52" i="2"/>
  <c r="T52" i="2"/>
  <c r="S52" i="2"/>
  <c r="Y52" i="2" s="1"/>
  <c r="Z51" i="2"/>
  <c r="X51" i="2"/>
  <c r="W51" i="2"/>
  <c r="V51" i="2"/>
  <c r="U51" i="2"/>
  <c r="T51" i="2"/>
  <c r="S51" i="2"/>
  <c r="Y51" i="2" s="1"/>
  <c r="Z50" i="2"/>
  <c r="X50" i="2"/>
  <c r="W50" i="2"/>
  <c r="V50" i="2"/>
  <c r="T50" i="2"/>
  <c r="S50" i="2"/>
  <c r="Y50" i="2" s="1"/>
  <c r="Z49" i="2"/>
  <c r="X49" i="2"/>
  <c r="W49" i="2"/>
  <c r="V49" i="2"/>
  <c r="U49" i="2"/>
  <c r="T49" i="2"/>
  <c r="S49" i="2"/>
  <c r="Y49" i="2" s="1"/>
  <c r="Z48" i="2"/>
  <c r="X48" i="2"/>
  <c r="W48" i="2"/>
  <c r="V48" i="2"/>
  <c r="U48" i="2"/>
  <c r="T48" i="2"/>
  <c r="S48" i="2"/>
  <c r="Y48" i="2" s="1"/>
  <c r="Z47" i="2"/>
  <c r="X47" i="2"/>
  <c r="W47" i="2"/>
  <c r="V47" i="2"/>
  <c r="U47" i="2"/>
  <c r="T47" i="2"/>
  <c r="S47" i="2"/>
  <c r="Y47" i="2" s="1"/>
  <c r="Z46" i="2"/>
  <c r="X46" i="2"/>
  <c r="W46" i="2"/>
  <c r="V46" i="2"/>
  <c r="T46" i="2"/>
  <c r="S46" i="2"/>
  <c r="Y46" i="2" s="1"/>
  <c r="Z45" i="2"/>
  <c r="X45" i="2"/>
  <c r="W45" i="2"/>
  <c r="V45" i="2"/>
  <c r="T45" i="2"/>
  <c r="S45" i="2"/>
  <c r="Y45" i="2" s="1"/>
  <c r="Z44" i="2"/>
  <c r="X44" i="2"/>
  <c r="W44" i="2"/>
  <c r="V44" i="2"/>
  <c r="T44" i="2"/>
  <c r="S44" i="2"/>
  <c r="Y44" i="2" s="1"/>
  <c r="Z43" i="2"/>
  <c r="X43" i="2"/>
  <c r="W43" i="2"/>
  <c r="V43" i="2"/>
  <c r="T43" i="2"/>
  <c r="S43" i="2"/>
  <c r="Y43" i="2" s="1"/>
  <c r="Z42" i="2"/>
  <c r="Y42" i="2"/>
  <c r="X42" i="2"/>
  <c r="W42" i="2"/>
  <c r="V42" i="2"/>
  <c r="U42" i="2"/>
  <c r="T42" i="2"/>
  <c r="S42" i="2"/>
  <c r="Z41" i="2"/>
  <c r="X41" i="2"/>
  <c r="W41" i="2"/>
  <c r="V41" i="2"/>
  <c r="T41" i="2"/>
  <c r="S41" i="2"/>
  <c r="Y41" i="2" s="1"/>
  <c r="Z40" i="2"/>
  <c r="Y40" i="2"/>
  <c r="X40" i="2"/>
  <c r="W40" i="2"/>
  <c r="V40" i="2"/>
  <c r="T40" i="2"/>
  <c r="S40" i="2"/>
  <c r="U40" i="2" s="1"/>
  <c r="Z39" i="2"/>
  <c r="X39" i="2"/>
  <c r="W39" i="2"/>
  <c r="V39" i="2"/>
  <c r="T39" i="2"/>
  <c r="S39" i="2"/>
  <c r="Y39" i="2" s="1"/>
  <c r="Z38" i="2"/>
  <c r="Y38" i="2"/>
  <c r="X38" i="2"/>
  <c r="W38" i="2"/>
  <c r="V38" i="2"/>
  <c r="T38" i="2"/>
  <c r="S38" i="2"/>
  <c r="U38" i="2" s="1"/>
  <c r="Z37" i="2"/>
  <c r="X37" i="2"/>
  <c r="W37" i="2"/>
  <c r="V37" i="2"/>
  <c r="T37" i="2"/>
  <c r="S37" i="2"/>
  <c r="Y37" i="2" s="1"/>
  <c r="Z36" i="2"/>
  <c r="Y36" i="2"/>
  <c r="X36" i="2"/>
  <c r="W36" i="2"/>
  <c r="V36" i="2"/>
  <c r="U36" i="2"/>
  <c r="T36" i="2"/>
  <c r="S36" i="2"/>
  <c r="Z35" i="2"/>
  <c r="X35" i="2"/>
  <c r="W35" i="2"/>
  <c r="V35" i="2"/>
  <c r="T35" i="2"/>
  <c r="S35" i="2"/>
  <c r="Y35" i="2" s="1"/>
  <c r="Z34" i="2"/>
  <c r="Y34" i="2"/>
  <c r="X34" i="2"/>
  <c r="W34" i="2"/>
  <c r="V34" i="2"/>
  <c r="U34" i="2"/>
  <c r="T34" i="2"/>
  <c r="S34" i="2"/>
  <c r="Z33" i="2"/>
  <c r="X33" i="2"/>
  <c r="W33" i="2"/>
  <c r="V33" i="2"/>
  <c r="U33" i="2"/>
  <c r="T33" i="2"/>
  <c r="S33" i="2"/>
  <c r="Y33" i="2" s="1"/>
  <c r="Z32" i="2"/>
  <c r="Y32" i="2"/>
  <c r="X32" i="2"/>
  <c r="W32" i="2"/>
  <c r="V32" i="2"/>
  <c r="U32" i="2"/>
  <c r="T32" i="2"/>
  <c r="S32" i="2"/>
  <c r="Z31" i="2"/>
  <c r="X31" i="2"/>
  <c r="W31" i="2"/>
  <c r="V31" i="2"/>
  <c r="T31" i="2"/>
  <c r="S31" i="2"/>
  <c r="Y31" i="2" s="1"/>
  <c r="Z30" i="2"/>
  <c r="X30" i="2"/>
  <c r="W30" i="2"/>
  <c r="V30" i="2"/>
  <c r="U30" i="2"/>
  <c r="T30" i="2"/>
  <c r="S30" i="2"/>
  <c r="Y30" i="2" s="1"/>
  <c r="Z29" i="2"/>
  <c r="X29" i="2"/>
  <c r="W29" i="2"/>
  <c r="V29" i="2"/>
  <c r="T29" i="2"/>
  <c r="S29" i="2"/>
  <c r="Y29" i="2" s="1"/>
  <c r="Z28" i="2"/>
  <c r="X28" i="2"/>
  <c r="W28" i="2"/>
  <c r="V28" i="2"/>
  <c r="T28" i="2"/>
  <c r="S28" i="2"/>
  <c r="U28" i="2" s="1"/>
  <c r="Z27" i="2"/>
  <c r="X27" i="2"/>
  <c r="W27" i="2"/>
  <c r="V27" i="2"/>
  <c r="U27" i="2"/>
  <c r="T27" i="2"/>
  <c r="S27" i="2"/>
  <c r="Y27" i="2" s="1"/>
  <c r="Z26" i="2"/>
  <c r="X26" i="2"/>
  <c r="W26" i="2"/>
  <c r="V26" i="2"/>
  <c r="T26" i="2"/>
  <c r="S26" i="2"/>
  <c r="U26" i="2" s="1"/>
  <c r="Z25" i="2"/>
  <c r="X25" i="2"/>
  <c r="W25" i="2"/>
  <c r="V25" i="2"/>
  <c r="T25" i="2"/>
  <c r="S25" i="2"/>
  <c r="Y25" i="2" s="1"/>
  <c r="Z24" i="2"/>
  <c r="X24" i="2"/>
  <c r="W24" i="2"/>
  <c r="V24" i="2"/>
  <c r="T24" i="2"/>
  <c r="S24" i="2"/>
  <c r="Y24" i="2" s="1"/>
  <c r="Z23" i="2"/>
  <c r="X23" i="2"/>
  <c r="W23" i="2"/>
  <c r="V23" i="2"/>
  <c r="T23" i="2"/>
  <c r="S23" i="2"/>
  <c r="Y23" i="2" s="1"/>
  <c r="Z22" i="2"/>
  <c r="X22" i="2"/>
  <c r="W22" i="2"/>
  <c r="V22" i="2"/>
  <c r="T22" i="2"/>
  <c r="S22" i="2"/>
  <c r="Y22" i="2" s="1"/>
  <c r="Z21" i="2"/>
  <c r="X21" i="2"/>
  <c r="W21" i="2"/>
  <c r="V21" i="2"/>
  <c r="U21" i="2"/>
  <c r="T21" i="2"/>
  <c r="S21" i="2"/>
  <c r="Y21" i="2" s="1"/>
  <c r="Z20" i="2"/>
  <c r="X20" i="2"/>
  <c r="W20" i="2"/>
  <c r="V20" i="2"/>
  <c r="T20" i="2"/>
  <c r="S20" i="2"/>
  <c r="Y20" i="2" s="1"/>
  <c r="Z19" i="2"/>
  <c r="X19" i="2"/>
  <c r="W19" i="2"/>
  <c r="V19" i="2"/>
  <c r="U19" i="2"/>
  <c r="T19" i="2"/>
  <c r="S19" i="2"/>
  <c r="Y19" i="2" s="1"/>
  <c r="Z18" i="2"/>
  <c r="X18" i="2"/>
  <c r="W18" i="2"/>
  <c r="V18" i="2"/>
  <c r="T18" i="2"/>
  <c r="S18" i="2"/>
  <c r="Y18" i="2" s="1"/>
  <c r="Z17" i="2"/>
  <c r="X17" i="2"/>
  <c r="W17" i="2"/>
  <c r="V17" i="2"/>
  <c r="U17" i="2"/>
  <c r="T17" i="2"/>
  <c r="S17" i="2"/>
  <c r="Y17" i="2" s="1"/>
  <c r="Z16" i="2"/>
  <c r="X16" i="2"/>
  <c r="W16" i="2"/>
  <c r="V16" i="2"/>
  <c r="U16" i="2"/>
  <c r="T16" i="2"/>
  <c r="S16" i="2"/>
  <c r="Y16" i="2" s="1"/>
  <c r="Z15" i="2"/>
  <c r="X15" i="2"/>
  <c r="W15" i="2"/>
  <c r="V15" i="2"/>
  <c r="U15" i="2"/>
  <c r="T15" i="2"/>
  <c r="S15" i="2"/>
  <c r="Y15" i="2" s="1"/>
  <c r="Z14" i="2"/>
  <c r="X14" i="2"/>
  <c r="W14" i="2"/>
  <c r="V14" i="2"/>
  <c r="T14" i="2"/>
  <c r="S14" i="2"/>
  <c r="Y14" i="2" s="1"/>
  <c r="X13" i="2"/>
  <c r="W13" i="2"/>
  <c r="T13" i="2"/>
  <c r="S13" i="2"/>
  <c r="X12" i="2"/>
  <c r="W12" i="2"/>
  <c r="T12" i="2"/>
  <c r="S12" i="2"/>
  <c r="U12" i="2" s="1"/>
  <c r="V12" i="2" s="1"/>
  <c r="X11" i="2"/>
  <c r="W11" i="2"/>
  <c r="U11" i="2"/>
  <c r="V11" i="2" s="1"/>
  <c r="T11" i="2"/>
  <c r="S11" i="2"/>
  <c r="X10" i="2"/>
  <c r="W10" i="2"/>
  <c r="U10" i="2"/>
  <c r="T10" i="2"/>
  <c r="S10" i="2"/>
  <c r="Y10" i="2" s="1"/>
  <c r="X9" i="2"/>
  <c r="W9" i="2"/>
  <c r="T9" i="2"/>
  <c r="S9" i="2"/>
  <c r="X8" i="2"/>
  <c r="W8" i="2"/>
  <c r="T8" i="2"/>
  <c r="S8" i="2"/>
  <c r="Y8" i="2" s="1"/>
  <c r="X7" i="2"/>
  <c r="W7" i="2"/>
  <c r="U7" i="2"/>
  <c r="V7" i="2" s="1"/>
  <c r="T7" i="2"/>
  <c r="S7" i="2"/>
  <c r="X6" i="2"/>
  <c r="W6" i="2"/>
  <c r="T6" i="2"/>
  <c r="S6" i="2"/>
  <c r="Y6" i="2" s="1"/>
  <c r="X5" i="2"/>
  <c r="W5" i="2"/>
  <c r="T5" i="2"/>
  <c r="S5" i="2"/>
  <c r="U5" i="2" s="1"/>
  <c r="V5" i="2" s="1"/>
  <c r="V10" i="2" l="1"/>
  <c r="Z10" i="2" s="1"/>
  <c r="Y60" i="3"/>
  <c r="W82" i="3"/>
  <c r="Y82" i="3"/>
  <c r="Y30" i="3"/>
  <c r="Y33" i="3"/>
  <c r="Y35" i="3"/>
  <c r="Y58" i="3"/>
  <c r="Y61" i="3"/>
  <c r="U18" i="5"/>
  <c r="U58" i="2"/>
  <c r="Y48" i="3"/>
  <c r="R23" i="5"/>
  <c r="Q23" i="5"/>
  <c r="P23" i="5"/>
  <c r="S23" i="5" s="1"/>
  <c r="U48" i="5"/>
  <c r="Y29" i="3"/>
  <c r="Y54" i="3"/>
  <c r="R139" i="5"/>
  <c r="Q139" i="5"/>
  <c r="P139" i="5"/>
  <c r="Y73" i="3"/>
  <c r="Y10" i="3"/>
  <c r="Y26" i="3"/>
  <c r="U8" i="2"/>
  <c r="V8" i="2" s="1"/>
  <c r="Z8" i="2" s="1"/>
  <c r="U22" i="2"/>
  <c r="U71" i="2"/>
  <c r="U86" i="2"/>
  <c r="Y70" i="3"/>
  <c r="U12" i="5"/>
  <c r="P53" i="5"/>
  <c r="R53" i="5"/>
  <c r="Q53" i="5"/>
  <c r="R104" i="5"/>
  <c r="Q104" i="5"/>
  <c r="P104" i="5"/>
  <c r="U117" i="5"/>
  <c r="W98" i="3"/>
  <c r="Y98" i="3"/>
  <c r="Y6" i="3"/>
  <c r="Y18" i="3"/>
  <c r="U88" i="2"/>
  <c r="U39" i="2"/>
  <c r="U54" i="2"/>
  <c r="Y11" i="3"/>
  <c r="Y19" i="3"/>
  <c r="Y27" i="3"/>
  <c r="Y11" i="2"/>
  <c r="Z11" i="2" s="1"/>
  <c r="U20" i="2"/>
  <c r="Y28" i="2"/>
  <c r="U37" i="2"/>
  <c r="U52" i="2"/>
  <c r="Y60" i="2"/>
  <c r="U69" i="2"/>
  <c r="U84" i="2"/>
  <c r="Y92" i="2"/>
  <c r="Y39" i="3"/>
  <c r="Y52" i="3"/>
  <c r="Y63" i="3"/>
  <c r="S40" i="5"/>
  <c r="R64" i="5"/>
  <c r="Q64" i="5"/>
  <c r="P64" i="5"/>
  <c r="Y12" i="2"/>
  <c r="Z12" i="2" s="1"/>
  <c r="U24" i="2"/>
  <c r="U41" i="2"/>
  <c r="U18" i="2"/>
  <c r="Y26" i="2"/>
  <c r="U35" i="2"/>
  <c r="U50" i="2"/>
  <c r="U67" i="2"/>
  <c r="U82" i="2"/>
  <c r="Y90" i="2"/>
  <c r="U99" i="2"/>
  <c r="Y40" i="3"/>
  <c r="Y50" i="3"/>
  <c r="Y53" i="3"/>
  <c r="Y64" i="3"/>
  <c r="R187" i="5"/>
  <c r="Q187" i="5"/>
  <c r="P187" i="5"/>
  <c r="S187" i="5" s="1"/>
  <c r="U900" i="5"/>
  <c r="U884" i="5"/>
  <c r="U868" i="5"/>
  <c r="V30" i="6"/>
  <c r="V22" i="6"/>
  <c r="V14" i="6"/>
  <c r="V6" i="6"/>
  <c r="U907" i="5"/>
  <c r="U891" i="5"/>
  <c r="U875" i="5"/>
  <c r="U859" i="5"/>
  <c r="U843" i="5"/>
  <c r="U827" i="5"/>
  <c r="U914" i="5"/>
  <c r="U898" i="5"/>
  <c r="U882" i="5"/>
  <c r="U866" i="5"/>
  <c r="V33" i="6"/>
  <c r="V25" i="6"/>
  <c r="V17" i="6"/>
  <c r="V9" i="6"/>
  <c r="U905" i="5"/>
  <c r="U889" i="5"/>
  <c r="U873" i="5"/>
  <c r="U857" i="5"/>
  <c r="U841" i="5"/>
  <c r="U825" i="5"/>
  <c r="U809" i="5"/>
  <c r="U793" i="5"/>
  <c r="U912" i="5"/>
  <c r="U896" i="5"/>
  <c r="U880" i="5"/>
  <c r="U864" i="5"/>
  <c r="U848" i="5"/>
  <c r="V36" i="6"/>
  <c r="V28" i="6"/>
  <c r="V20" i="6"/>
  <c r="V12" i="6"/>
  <c r="U903" i="5"/>
  <c r="U887" i="5"/>
  <c r="U871" i="5"/>
  <c r="U855" i="5"/>
  <c r="U839" i="5"/>
  <c r="U823" i="5"/>
  <c r="U807" i="5"/>
  <c r="U791" i="5"/>
  <c r="U775" i="5"/>
  <c r="U759" i="5"/>
  <c r="U743" i="5"/>
  <c r="V31" i="6"/>
  <c r="V23" i="6"/>
  <c r="V15" i="6"/>
  <c r="V7" i="6"/>
  <c r="U901" i="5"/>
  <c r="U885" i="5"/>
  <c r="U869" i="5"/>
  <c r="U853" i="5"/>
  <c r="U837" i="5"/>
  <c r="U821" i="5"/>
  <c r="U805" i="5"/>
  <c r="U789" i="5"/>
  <c r="U773" i="5"/>
  <c r="U757" i="5"/>
  <c r="U908" i="5"/>
  <c r="U892" i="5"/>
  <c r="U876" i="5"/>
  <c r="U860" i="5"/>
  <c r="V34" i="6"/>
  <c r="V26" i="6"/>
  <c r="V18" i="6"/>
  <c r="V10" i="6"/>
  <c r="U899" i="5"/>
  <c r="U883" i="5"/>
  <c r="U867" i="5"/>
  <c r="U851" i="5"/>
  <c r="U835" i="5"/>
  <c r="U819" i="5"/>
  <c r="U906" i="5"/>
  <c r="U890" i="5"/>
  <c r="U874" i="5"/>
  <c r="U858" i="5"/>
  <c r="V37" i="6"/>
  <c r="V29" i="6"/>
  <c r="V21" i="6"/>
  <c r="V13" i="6"/>
  <c r="V5" i="6"/>
  <c r="U913" i="5"/>
  <c r="U897" i="5"/>
  <c r="U881" i="5"/>
  <c r="U865" i="5"/>
  <c r="U849" i="5"/>
  <c r="U833" i="5"/>
  <c r="U817" i="5"/>
  <c r="U801" i="5"/>
  <c r="U904" i="5"/>
  <c r="U888" i="5"/>
  <c r="U872" i="5"/>
  <c r="U856" i="5"/>
  <c r="V32" i="6"/>
  <c r="V24" i="6"/>
  <c r="V16" i="6"/>
  <c r="V8" i="6"/>
  <c r="U911" i="5"/>
  <c r="U895" i="5"/>
  <c r="U879" i="5"/>
  <c r="U902" i="5"/>
  <c r="U886" i="5"/>
  <c r="U870" i="5"/>
  <c r="U854" i="5"/>
  <c r="V35" i="6"/>
  <c r="V27" i="6"/>
  <c r="V19" i="6"/>
  <c r="V11" i="6"/>
  <c r="U909" i="5"/>
  <c r="U893" i="5"/>
  <c r="U834" i="5"/>
  <c r="U812" i="5"/>
  <c r="U781" i="5"/>
  <c r="U737" i="5"/>
  <c r="U719" i="5"/>
  <c r="U703" i="5"/>
  <c r="U687" i="5"/>
  <c r="U671" i="5"/>
  <c r="U655" i="5"/>
  <c r="U639" i="5"/>
  <c r="U818" i="5"/>
  <c r="U803" i="5"/>
  <c r="U797" i="5"/>
  <c r="U771" i="5"/>
  <c r="U769" i="5"/>
  <c r="U750" i="5"/>
  <c r="U726" i="5"/>
  <c r="U710" i="5"/>
  <c r="U694" i="5"/>
  <c r="U678" i="5"/>
  <c r="U662" i="5"/>
  <c r="U779" i="5"/>
  <c r="U767" i="5"/>
  <c r="U735" i="5"/>
  <c r="U717" i="5"/>
  <c r="U701" i="5"/>
  <c r="U878" i="5"/>
  <c r="U836" i="5"/>
  <c r="U795" i="5"/>
  <c r="U777" i="5"/>
  <c r="U748" i="5"/>
  <c r="U724" i="5"/>
  <c r="U708" i="5"/>
  <c r="U692" i="5"/>
  <c r="U676" i="5"/>
  <c r="U660" i="5"/>
  <c r="U644" i="5"/>
  <c r="U628" i="5"/>
  <c r="U862" i="5"/>
  <c r="U831" i="5"/>
  <c r="U829" i="5"/>
  <c r="U820" i="5"/>
  <c r="U765" i="5"/>
  <c r="U746" i="5"/>
  <c r="U733" i="5"/>
  <c r="U715" i="5"/>
  <c r="U699" i="5"/>
  <c r="U850" i="5"/>
  <c r="U755" i="5"/>
  <c r="U744" i="5"/>
  <c r="U845" i="5"/>
  <c r="U815" i="5"/>
  <c r="U786" i="5"/>
  <c r="U784" i="5"/>
  <c r="U763" i="5"/>
  <c r="U753" i="5"/>
  <c r="U742" i="5"/>
  <c r="U731" i="5"/>
  <c r="U713" i="5"/>
  <c r="U847" i="5"/>
  <c r="U838" i="5"/>
  <c r="U822" i="5"/>
  <c r="U813" i="5"/>
  <c r="U788" i="5"/>
  <c r="U782" i="5"/>
  <c r="U761" i="5"/>
  <c r="U740" i="5"/>
  <c r="U729" i="5"/>
  <c r="U720" i="5"/>
  <c r="U704" i="5"/>
  <c r="U688" i="5"/>
  <c r="U894" i="5"/>
  <c r="U824" i="5"/>
  <c r="U811" i="5"/>
  <c r="U800" i="5"/>
  <c r="U798" i="5"/>
  <c r="U790" i="5"/>
  <c r="U877" i="5"/>
  <c r="U840" i="5"/>
  <c r="U802" i="5"/>
  <c r="U792" i="5"/>
  <c r="U780" i="5"/>
  <c r="U736" i="5"/>
  <c r="U718" i="5"/>
  <c r="U702" i="5"/>
  <c r="U686" i="5"/>
  <c r="U670" i="5"/>
  <c r="U654" i="5"/>
  <c r="U861" i="5"/>
  <c r="U852" i="5"/>
  <c r="U826" i="5"/>
  <c r="U796" i="5"/>
  <c r="U794" i="5"/>
  <c r="U778" i="5"/>
  <c r="U776" i="5"/>
  <c r="U774" i="5"/>
  <c r="U772" i="5"/>
  <c r="U770" i="5"/>
  <c r="U768" i="5"/>
  <c r="U749" i="5"/>
  <c r="U725" i="5"/>
  <c r="U709" i="5"/>
  <c r="U693" i="5"/>
  <c r="U677" i="5"/>
  <c r="U661" i="5"/>
  <c r="U645" i="5"/>
  <c r="U629" i="5"/>
  <c r="U842" i="5"/>
  <c r="U804" i="5"/>
  <c r="U766" i="5"/>
  <c r="U734" i="5"/>
  <c r="U863" i="5"/>
  <c r="U828" i="5"/>
  <c r="U910" i="5"/>
  <c r="U830" i="5"/>
  <c r="U806" i="5"/>
  <c r="U787" i="5"/>
  <c r="U785" i="5"/>
  <c r="U764" i="5"/>
  <c r="U745" i="5"/>
  <c r="U732" i="5"/>
  <c r="U714" i="5"/>
  <c r="U698" i="5"/>
  <c r="U682" i="5"/>
  <c r="U844" i="5"/>
  <c r="U832" i="5"/>
  <c r="U808" i="5"/>
  <c r="U783" i="5"/>
  <c r="U762" i="5"/>
  <c r="U760" i="5"/>
  <c r="U758" i="5"/>
  <c r="U756" i="5"/>
  <c r="U754" i="5"/>
  <c r="U741" i="5"/>
  <c r="U730" i="5"/>
  <c r="U721" i="5"/>
  <c r="U705" i="5"/>
  <c r="U689" i="5"/>
  <c r="U673" i="5"/>
  <c r="U846" i="5"/>
  <c r="U816" i="5"/>
  <c r="U814" i="5"/>
  <c r="U810" i="5"/>
  <c r="U799" i="5"/>
  <c r="U752" i="5"/>
  <c r="U739" i="5"/>
  <c r="U728" i="5"/>
  <c r="U712" i="5"/>
  <c r="U696" i="5"/>
  <c r="U680" i="5"/>
  <c r="U675" i="5"/>
  <c r="U657" i="5"/>
  <c r="U621" i="5"/>
  <c r="U603" i="5"/>
  <c r="U587" i="5"/>
  <c r="U571" i="5"/>
  <c r="U555" i="5"/>
  <c r="U539" i="5"/>
  <c r="U697" i="5"/>
  <c r="U684" i="5"/>
  <c r="U672" i="5"/>
  <c r="U610" i="5"/>
  <c r="U594" i="5"/>
  <c r="U578" i="5"/>
  <c r="U562" i="5"/>
  <c r="U546" i="5"/>
  <c r="U530" i="5"/>
  <c r="U514" i="5"/>
  <c r="U498" i="5"/>
  <c r="U482" i="5"/>
  <c r="U659" i="5"/>
  <c r="U638" i="5"/>
  <c r="U619" i="5"/>
  <c r="U601" i="5"/>
  <c r="U585" i="5"/>
  <c r="U569" i="5"/>
  <c r="U553" i="5"/>
  <c r="U537" i="5"/>
  <c r="U521" i="5"/>
  <c r="U505" i="5"/>
  <c r="U489" i="5"/>
  <c r="U473" i="5"/>
  <c r="U723" i="5"/>
  <c r="U640" i="5"/>
  <c r="U636" i="5"/>
  <c r="U608" i="5"/>
  <c r="U592" i="5"/>
  <c r="U576" i="5"/>
  <c r="U738" i="5"/>
  <c r="U716" i="5"/>
  <c r="U679" i="5"/>
  <c r="U652" i="5"/>
  <c r="U642" i="5"/>
  <c r="U617" i="5"/>
  <c r="U599" i="5"/>
  <c r="U583" i="5"/>
  <c r="U567" i="5"/>
  <c r="U551" i="5"/>
  <c r="U674" i="5"/>
  <c r="U669" i="5"/>
  <c r="U667" i="5"/>
  <c r="U663" i="5"/>
  <c r="U650" i="5"/>
  <c r="U634" i="5"/>
  <c r="U626" i="5"/>
  <c r="U615" i="5"/>
  <c r="U606" i="5"/>
  <c r="U590" i="5"/>
  <c r="U574" i="5"/>
  <c r="U558" i="5"/>
  <c r="U542" i="5"/>
  <c r="U526" i="5"/>
  <c r="U510" i="5"/>
  <c r="U494" i="5"/>
  <c r="U751" i="5"/>
  <c r="U648" i="5"/>
  <c r="U646" i="5"/>
  <c r="U632" i="5"/>
  <c r="U630" i="5"/>
  <c r="U624" i="5"/>
  <c r="U613" i="5"/>
  <c r="U597" i="5"/>
  <c r="U581" i="5"/>
  <c r="U565" i="5"/>
  <c r="U549" i="5"/>
  <c r="U533" i="5"/>
  <c r="U517" i="5"/>
  <c r="U727" i="5"/>
  <c r="U722" i="5"/>
  <c r="U665" i="5"/>
  <c r="U656" i="5"/>
  <c r="U622" i="5"/>
  <c r="U604" i="5"/>
  <c r="U588" i="5"/>
  <c r="U572" i="5"/>
  <c r="U556" i="5"/>
  <c r="U540" i="5"/>
  <c r="U524" i="5"/>
  <c r="U508" i="5"/>
  <c r="U492" i="5"/>
  <c r="U476" i="5"/>
  <c r="U683" i="5"/>
  <c r="U681" i="5"/>
  <c r="U611" i="5"/>
  <c r="U595" i="5"/>
  <c r="U579" i="5"/>
  <c r="U563" i="5"/>
  <c r="U547" i="5"/>
  <c r="U531" i="5"/>
  <c r="U515" i="5"/>
  <c r="U499" i="5"/>
  <c r="U483" i="5"/>
  <c r="U467" i="5"/>
  <c r="U691" i="5"/>
  <c r="U685" i="5"/>
  <c r="U658" i="5"/>
  <c r="U620" i="5"/>
  <c r="U602" i="5"/>
  <c r="U586" i="5"/>
  <c r="U570" i="5"/>
  <c r="U554" i="5"/>
  <c r="U538" i="5"/>
  <c r="U522" i="5"/>
  <c r="U506" i="5"/>
  <c r="U637" i="5"/>
  <c r="U609" i="5"/>
  <c r="U593" i="5"/>
  <c r="U577" i="5"/>
  <c r="U561" i="5"/>
  <c r="U545" i="5"/>
  <c r="U529" i="5"/>
  <c r="U707" i="5"/>
  <c r="U618" i="5"/>
  <c r="U600" i="5"/>
  <c r="U584" i="5"/>
  <c r="U568" i="5"/>
  <c r="U552" i="5"/>
  <c r="U653" i="5"/>
  <c r="U651" i="5"/>
  <c r="U641" i="5"/>
  <c r="U635" i="5"/>
  <c r="U700" i="5"/>
  <c r="U695" i="5"/>
  <c r="U690" i="5"/>
  <c r="U668" i="5"/>
  <c r="U643" i="5"/>
  <c r="U627" i="5"/>
  <c r="U625" i="5"/>
  <c r="U614" i="5"/>
  <c r="U598" i="5"/>
  <c r="U582" i="5"/>
  <c r="U566" i="5"/>
  <c r="U550" i="5"/>
  <c r="U534" i="5"/>
  <c r="U518" i="5"/>
  <c r="U502" i="5"/>
  <c r="U486" i="5"/>
  <c r="U470" i="5"/>
  <c r="U666" i="5"/>
  <c r="U664" i="5"/>
  <c r="U649" i="5"/>
  <c r="U647" i="5"/>
  <c r="U633" i="5"/>
  <c r="U631" i="5"/>
  <c r="U623" i="5"/>
  <c r="U605" i="5"/>
  <c r="U589" i="5"/>
  <c r="U573" i="5"/>
  <c r="U557" i="5"/>
  <c r="U541" i="5"/>
  <c r="U525" i="5"/>
  <c r="U747" i="5"/>
  <c r="U706" i="5"/>
  <c r="U560" i="5"/>
  <c r="U512" i="5"/>
  <c r="U500" i="5"/>
  <c r="U449" i="5"/>
  <c r="U433" i="5"/>
  <c r="U417" i="5"/>
  <c r="U401" i="5"/>
  <c r="U385" i="5"/>
  <c r="U369" i="5"/>
  <c r="U607" i="5"/>
  <c r="U507" i="5"/>
  <c r="U493" i="5"/>
  <c r="U484" i="5"/>
  <c r="U456" i="5"/>
  <c r="U440" i="5"/>
  <c r="U424" i="5"/>
  <c r="U408" i="5"/>
  <c r="U392" i="5"/>
  <c r="U376" i="5"/>
  <c r="U360" i="5"/>
  <c r="U591" i="5"/>
  <c r="U527" i="5"/>
  <c r="U495" i="5"/>
  <c r="U471" i="5"/>
  <c r="U469" i="5"/>
  <c r="U465" i="5"/>
  <c r="U447" i="5"/>
  <c r="U431" i="5"/>
  <c r="U415" i="5"/>
  <c r="U399" i="5"/>
  <c r="U711" i="5"/>
  <c r="U575" i="5"/>
  <c r="U544" i="5"/>
  <c r="U463" i="5"/>
  <c r="U454" i="5"/>
  <c r="U438" i="5"/>
  <c r="U422" i="5"/>
  <c r="U406" i="5"/>
  <c r="U390" i="5"/>
  <c r="U374" i="5"/>
  <c r="U358" i="5"/>
  <c r="U342" i="5"/>
  <c r="U326" i="5"/>
  <c r="U310" i="5"/>
  <c r="U294" i="5"/>
  <c r="U278" i="5"/>
  <c r="U509" i="5"/>
  <c r="U479" i="5"/>
  <c r="U477" i="5"/>
  <c r="U475" i="5"/>
  <c r="U461" i="5"/>
  <c r="U445" i="5"/>
  <c r="U429" i="5"/>
  <c r="U413" i="5"/>
  <c r="U397" i="5"/>
  <c r="U381" i="5"/>
  <c r="U365" i="5"/>
  <c r="U349" i="5"/>
  <c r="U616" i="5"/>
  <c r="U612" i="5"/>
  <c r="U559" i="5"/>
  <c r="U532" i="5"/>
  <c r="U519" i="5"/>
  <c r="U516" i="5"/>
  <c r="U504" i="5"/>
  <c r="U497" i="5"/>
  <c r="U452" i="5"/>
  <c r="U436" i="5"/>
  <c r="U420" i="5"/>
  <c r="U404" i="5"/>
  <c r="U388" i="5"/>
  <c r="U596" i="5"/>
  <c r="U535" i="5"/>
  <c r="U511" i="5"/>
  <c r="U490" i="5"/>
  <c r="U488" i="5"/>
  <c r="U481" i="5"/>
  <c r="U459" i="5"/>
  <c r="U443" i="5"/>
  <c r="U427" i="5"/>
  <c r="U411" i="5"/>
  <c r="U395" i="5"/>
  <c r="U379" i="5"/>
  <c r="U363" i="5"/>
  <c r="U580" i="5"/>
  <c r="U450" i="5"/>
  <c r="U434" i="5"/>
  <c r="U418" i="5"/>
  <c r="U402" i="5"/>
  <c r="U386" i="5"/>
  <c r="U370" i="5"/>
  <c r="U354" i="5"/>
  <c r="U564" i="5"/>
  <c r="U543" i="5"/>
  <c r="U457" i="5"/>
  <c r="U441" i="5"/>
  <c r="U425" i="5"/>
  <c r="U409" i="5"/>
  <c r="U393" i="5"/>
  <c r="U513" i="5"/>
  <c r="U501" i="5"/>
  <c r="U468" i="5"/>
  <c r="U448" i="5"/>
  <c r="U432" i="5"/>
  <c r="U416" i="5"/>
  <c r="U400" i="5"/>
  <c r="U384" i="5"/>
  <c r="U368" i="5"/>
  <c r="U352" i="5"/>
  <c r="U523" i="5"/>
  <c r="U485" i="5"/>
  <c r="U466" i="5"/>
  <c r="U455" i="5"/>
  <c r="U439" i="5"/>
  <c r="U423" i="5"/>
  <c r="U407" i="5"/>
  <c r="U391" i="5"/>
  <c r="U548" i="5"/>
  <c r="U474" i="5"/>
  <c r="U472" i="5"/>
  <c r="U464" i="5"/>
  <c r="U446" i="5"/>
  <c r="U430" i="5"/>
  <c r="U414" i="5"/>
  <c r="U398" i="5"/>
  <c r="U382" i="5"/>
  <c r="U503" i="5"/>
  <c r="U496" i="5"/>
  <c r="U462" i="5"/>
  <c r="U453" i="5"/>
  <c r="U437" i="5"/>
  <c r="U421" i="5"/>
  <c r="U405" i="5"/>
  <c r="U389" i="5"/>
  <c r="U373" i="5"/>
  <c r="U528" i="5"/>
  <c r="U487" i="5"/>
  <c r="U480" i="5"/>
  <c r="U478" i="5"/>
  <c r="U460" i="5"/>
  <c r="U444" i="5"/>
  <c r="U428" i="5"/>
  <c r="U412" i="5"/>
  <c r="U396" i="5"/>
  <c r="U520" i="5"/>
  <c r="U451" i="5"/>
  <c r="U435" i="5"/>
  <c r="U419" i="5"/>
  <c r="U403" i="5"/>
  <c r="U387" i="5"/>
  <c r="U371" i="5"/>
  <c r="U364" i="5"/>
  <c r="U335" i="5"/>
  <c r="U322" i="5"/>
  <c r="U311" i="5"/>
  <c r="U285" i="5"/>
  <c r="U265" i="5"/>
  <c r="U249" i="5"/>
  <c r="U233" i="5"/>
  <c r="U217" i="5"/>
  <c r="U201" i="5"/>
  <c r="U185" i="5"/>
  <c r="U169" i="5"/>
  <c r="U153" i="5"/>
  <c r="U394" i="5"/>
  <c r="U353" i="5"/>
  <c r="U320" i="5"/>
  <c r="U309" i="5"/>
  <c r="U298" i="5"/>
  <c r="U272" i="5"/>
  <c r="U256" i="5"/>
  <c r="U240" i="5"/>
  <c r="U224" i="5"/>
  <c r="U208" i="5"/>
  <c r="U192" i="5"/>
  <c r="U366" i="5"/>
  <c r="U355" i="5"/>
  <c r="U333" i="5"/>
  <c r="U307" i="5"/>
  <c r="U296" i="5"/>
  <c r="U283" i="5"/>
  <c r="U263" i="5"/>
  <c r="U410" i="5"/>
  <c r="U357" i="5"/>
  <c r="U318" i="5"/>
  <c r="U305" i="5"/>
  <c r="U292" i="5"/>
  <c r="U281" i="5"/>
  <c r="U270" i="5"/>
  <c r="U254" i="5"/>
  <c r="U238" i="5"/>
  <c r="U222" i="5"/>
  <c r="U206" i="5"/>
  <c r="U190" i="5"/>
  <c r="U361" i="5"/>
  <c r="U359" i="5"/>
  <c r="U348" i="5"/>
  <c r="U346" i="5"/>
  <c r="U331" i="5"/>
  <c r="U303" i="5"/>
  <c r="U290" i="5"/>
  <c r="U279" i="5"/>
  <c r="U261" i="5"/>
  <c r="U245" i="5"/>
  <c r="U229" i="5"/>
  <c r="U213" i="5"/>
  <c r="U350" i="5"/>
  <c r="U344" i="5"/>
  <c r="U329" i="5"/>
  <c r="U316" i="5"/>
  <c r="U288" i="5"/>
  <c r="U277" i="5"/>
  <c r="U268" i="5"/>
  <c r="U252" i="5"/>
  <c r="U236" i="5"/>
  <c r="U220" i="5"/>
  <c r="U426" i="5"/>
  <c r="U340" i="5"/>
  <c r="U338" i="5"/>
  <c r="U327" i="5"/>
  <c r="U301" i="5"/>
  <c r="U275" i="5"/>
  <c r="U259" i="5"/>
  <c r="U243" i="5"/>
  <c r="U227" i="5"/>
  <c r="U211" i="5"/>
  <c r="U195" i="5"/>
  <c r="U179" i="5"/>
  <c r="U336" i="5"/>
  <c r="U325" i="5"/>
  <c r="U314" i="5"/>
  <c r="U286" i="5"/>
  <c r="U266" i="5"/>
  <c r="U250" i="5"/>
  <c r="U234" i="5"/>
  <c r="U218" i="5"/>
  <c r="U202" i="5"/>
  <c r="U383" i="5"/>
  <c r="U378" i="5"/>
  <c r="U323" i="5"/>
  <c r="U312" i="5"/>
  <c r="U299" i="5"/>
  <c r="U273" i="5"/>
  <c r="U257" i="5"/>
  <c r="U241" i="5"/>
  <c r="U225" i="5"/>
  <c r="U442" i="5"/>
  <c r="U380" i="5"/>
  <c r="U334" i="5"/>
  <c r="U321" i="5"/>
  <c r="U308" i="5"/>
  <c r="U297" i="5"/>
  <c r="U284" i="5"/>
  <c r="U319" i="5"/>
  <c r="U306" i="5"/>
  <c r="U295" i="5"/>
  <c r="U271" i="5"/>
  <c r="U356" i="5"/>
  <c r="U332" i="5"/>
  <c r="U304" i="5"/>
  <c r="U293" i="5"/>
  <c r="U282" i="5"/>
  <c r="U262" i="5"/>
  <c r="U246" i="5"/>
  <c r="U230" i="5"/>
  <c r="U377" i="5"/>
  <c r="U367" i="5"/>
  <c r="U343" i="5"/>
  <c r="U330" i="5"/>
  <c r="U302" i="5"/>
  <c r="U289" i="5"/>
  <c r="U276" i="5"/>
  <c r="U260" i="5"/>
  <c r="U536" i="5"/>
  <c r="U372" i="5"/>
  <c r="U341" i="5"/>
  <c r="U339" i="5"/>
  <c r="U328" i="5"/>
  <c r="U315" i="5"/>
  <c r="U287" i="5"/>
  <c r="U267" i="5"/>
  <c r="U362" i="5"/>
  <c r="U351" i="5"/>
  <c r="U337" i="5"/>
  <c r="U324" i="5"/>
  <c r="U313" i="5"/>
  <c r="U300" i="5"/>
  <c r="U274" i="5"/>
  <c r="U219" i="5"/>
  <c r="U212" i="5"/>
  <c r="U203" i="5"/>
  <c r="U171" i="5"/>
  <c r="U158" i="5"/>
  <c r="U136" i="5"/>
  <c r="U120" i="5"/>
  <c r="U104" i="5"/>
  <c r="U88" i="5"/>
  <c r="U72" i="5"/>
  <c r="U56" i="5"/>
  <c r="U40" i="5"/>
  <c r="U24" i="5"/>
  <c r="U8" i="5"/>
  <c r="U458" i="5"/>
  <c r="U291" i="5"/>
  <c r="U258" i="5"/>
  <c r="U188" i="5"/>
  <c r="U167" i="5"/>
  <c r="U156" i="5"/>
  <c r="U143" i="5"/>
  <c r="U280" i="5"/>
  <c r="U255" i="5"/>
  <c r="U242" i="5"/>
  <c r="U214" i="5"/>
  <c r="U205" i="5"/>
  <c r="U186" i="5"/>
  <c r="U165" i="5"/>
  <c r="U154" i="5"/>
  <c r="U134" i="5"/>
  <c r="U118" i="5"/>
  <c r="U102" i="5"/>
  <c r="U86" i="5"/>
  <c r="U70" i="5"/>
  <c r="U54" i="5"/>
  <c r="U38" i="5"/>
  <c r="U491" i="5"/>
  <c r="U239" i="5"/>
  <c r="U221" i="5"/>
  <c r="U184" i="5"/>
  <c r="U182" i="5"/>
  <c r="U180" i="5"/>
  <c r="U178" i="5"/>
  <c r="U163" i="5"/>
  <c r="U152" i="5"/>
  <c r="U141" i="5"/>
  <c r="U125" i="5"/>
  <c r="U109" i="5"/>
  <c r="U93" i="5"/>
  <c r="U77" i="5"/>
  <c r="U61" i="5"/>
  <c r="U45" i="5"/>
  <c r="U29" i="5"/>
  <c r="U13" i="5"/>
  <c r="U264" i="5"/>
  <c r="U226" i="5"/>
  <c r="U216" i="5"/>
  <c r="U207" i="5"/>
  <c r="U176" i="5"/>
  <c r="U150" i="5"/>
  <c r="U132" i="5"/>
  <c r="U116" i="5"/>
  <c r="U100" i="5"/>
  <c r="U84" i="5"/>
  <c r="U68" i="5"/>
  <c r="U52" i="5"/>
  <c r="U36" i="5"/>
  <c r="U20" i="5"/>
  <c r="U247" i="5"/>
  <c r="U244" i="5"/>
  <c r="U209" i="5"/>
  <c r="U200" i="5"/>
  <c r="U198" i="5"/>
  <c r="U196" i="5"/>
  <c r="U194" i="5"/>
  <c r="U161" i="5"/>
  <c r="U148" i="5"/>
  <c r="U139" i="5"/>
  <c r="U123" i="5"/>
  <c r="U107" i="5"/>
  <c r="U91" i="5"/>
  <c r="U75" i="5"/>
  <c r="U347" i="5"/>
  <c r="U231" i="5"/>
  <c r="U228" i="5"/>
  <c r="U223" i="5"/>
  <c r="U174" i="5"/>
  <c r="U146" i="5"/>
  <c r="U130" i="5"/>
  <c r="U269" i="5"/>
  <c r="U172" i="5"/>
  <c r="U159" i="5"/>
  <c r="U137" i="5"/>
  <c r="U121" i="5"/>
  <c r="U105" i="5"/>
  <c r="U89" i="5"/>
  <c r="U73" i="5"/>
  <c r="U57" i="5"/>
  <c r="U41" i="5"/>
  <c r="U25" i="5"/>
  <c r="U9" i="5"/>
  <c r="U204" i="5"/>
  <c r="U170" i="5"/>
  <c r="U144" i="5"/>
  <c r="U128" i="5"/>
  <c r="U112" i="5"/>
  <c r="U168" i="5"/>
  <c r="U157" i="5"/>
  <c r="U135" i="5"/>
  <c r="U375" i="5"/>
  <c r="U191" i="5"/>
  <c r="U189" i="5"/>
  <c r="U187" i="5"/>
  <c r="U166" i="5"/>
  <c r="U155" i="5"/>
  <c r="U142" i="5"/>
  <c r="U126" i="5"/>
  <c r="U110" i="5"/>
  <c r="U94" i="5"/>
  <c r="U78" i="5"/>
  <c r="U251" i="5"/>
  <c r="U317" i="5"/>
  <c r="U235" i="5"/>
  <c r="U215" i="5"/>
  <c r="U162" i="5"/>
  <c r="U149" i="5"/>
  <c r="U140" i="5"/>
  <c r="U124" i="5"/>
  <c r="U108" i="5"/>
  <c r="U199" i="5"/>
  <c r="U197" i="5"/>
  <c r="U175" i="5"/>
  <c r="U147" i="5"/>
  <c r="U131" i="5"/>
  <c r="U115" i="5"/>
  <c r="U99" i="5"/>
  <c r="U345" i="5"/>
  <c r="U253" i="5"/>
  <c r="U248" i="5"/>
  <c r="U160" i="5"/>
  <c r="U138" i="5"/>
  <c r="U193" i="5"/>
  <c r="U106" i="5"/>
  <c r="U59" i="5"/>
  <c r="U50" i="5"/>
  <c r="U37" i="5"/>
  <c r="U103" i="5"/>
  <c r="U98" i="5"/>
  <c r="U22" i="5"/>
  <c r="U145" i="5"/>
  <c r="U79" i="5"/>
  <c r="U67" i="5"/>
  <c r="U63" i="5"/>
  <c r="U39" i="5"/>
  <c r="U210" i="5"/>
  <c r="U151" i="5"/>
  <c r="U122" i="5"/>
  <c r="U114" i="5"/>
  <c r="U65" i="5"/>
  <c r="U7" i="5"/>
  <c r="U5" i="5"/>
  <c r="U119" i="5"/>
  <c r="U111" i="5"/>
  <c r="U83" i="5"/>
  <c r="U81" i="5"/>
  <c r="U74" i="5"/>
  <c r="U69" i="5"/>
  <c r="U26" i="5"/>
  <c r="U237" i="5"/>
  <c r="U173" i="5"/>
  <c r="U32" i="5"/>
  <c r="U30" i="5"/>
  <c r="U28" i="5"/>
  <c r="U95" i="5"/>
  <c r="U85" i="5"/>
  <c r="U71" i="5"/>
  <c r="U43" i="5"/>
  <c r="U34" i="5"/>
  <c r="U11" i="5"/>
  <c r="U133" i="5"/>
  <c r="U76" i="5"/>
  <c r="U19" i="5"/>
  <c r="Y49" i="3"/>
  <c r="Y41" i="3"/>
  <c r="U127" i="5"/>
  <c r="U97" i="5"/>
  <c r="U90" i="5"/>
  <c r="U58" i="5"/>
  <c r="U51" i="5"/>
  <c r="U47" i="5"/>
  <c r="U21" i="5"/>
  <c r="U17" i="5"/>
  <c r="U15" i="5"/>
  <c r="Y65" i="3"/>
  <c r="Y57" i="3"/>
  <c r="U181" i="5"/>
  <c r="U113" i="5"/>
  <c r="U87" i="5"/>
  <c r="U64" i="5"/>
  <c r="U62" i="5"/>
  <c r="U60" i="5"/>
  <c r="U49" i="5"/>
  <c r="U23" i="5"/>
  <c r="U164" i="5"/>
  <c r="U80" i="5"/>
  <c r="U66" i="5"/>
  <c r="U53" i="5"/>
  <c r="Y68" i="3"/>
  <c r="U92" i="5"/>
  <c r="U6" i="5"/>
  <c r="U82" i="5"/>
  <c r="U55" i="5"/>
  <c r="U27" i="5"/>
  <c r="Y71" i="3"/>
  <c r="U101" i="5"/>
  <c r="U232" i="5"/>
  <c r="U177" i="5"/>
  <c r="U129" i="5"/>
  <c r="U96" i="5"/>
  <c r="U42" i="5"/>
  <c r="U35" i="5"/>
  <c r="U31" i="5"/>
  <c r="U10" i="5"/>
  <c r="Y51" i="3"/>
  <c r="Y69" i="3"/>
  <c r="Y74" i="3"/>
  <c r="S7" i="5"/>
  <c r="U33" i="5"/>
  <c r="R68" i="5"/>
  <c r="Q68" i="5"/>
  <c r="P68" i="5"/>
  <c r="S68" i="5" s="1"/>
  <c r="Y56" i="2"/>
  <c r="U6" i="2"/>
  <c r="V6" i="2" s="1"/>
  <c r="Z6" i="2" s="1"/>
  <c r="U14" i="2"/>
  <c r="U31" i="2"/>
  <c r="U46" i="2"/>
  <c r="U63" i="2"/>
  <c r="U78" i="2"/>
  <c r="U95" i="2"/>
  <c r="Y46" i="3"/>
  <c r="W90" i="3"/>
  <c r="Y90" i="3"/>
  <c r="U16" i="5"/>
  <c r="U46" i="5"/>
  <c r="Y13" i="2"/>
  <c r="U45" i="2"/>
  <c r="U29" i="2"/>
  <c r="Y9" i="3"/>
  <c r="Y13" i="3"/>
  <c r="Y21" i="3"/>
  <c r="Y31" i="3"/>
  <c r="Y66" i="3"/>
  <c r="R73" i="5"/>
  <c r="Q73" i="5"/>
  <c r="P73" i="5"/>
  <c r="Y12" i="3"/>
  <c r="Y22" i="3"/>
  <c r="Y32" i="3"/>
  <c r="Y42" i="3"/>
  <c r="Y44" i="3"/>
  <c r="Y67" i="3"/>
  <c r="U13" i="2"/>
  <c r="V13" i="2" s="1"/>
  <c r="Z13" i="2" s="1"/>
  <c r="Y9" i="2"/>
  <c r="U44" i="2"/>
  <c r="U9" i="2"/>
  <c r="V9" i="2" s="1"/>
  <c r="Z9" i="2" s="1"/>
  <c r="U25" i="2"/>
  <c r="U57" i="2"/>
  <c r="U89" i="2"/>
  <c r="Y7" i="3"/>
  <c r="Y15" i="3"/>
  <c r="Y23" i="3"/>
  <c r="Y45" i="3"/>
  <c r="Y55" i="3"/>
  <c r="Y72" i="3"/>
  <c r="R87" i="5"/>
  <c r="Q87" i="5"/>
  <c r="P87" i="5"/>
  <c r="S87" i="5" s="1"/>
  <c r="Z7" i="2"/>
  <c r="U43" i="2"/>
  <c r="Y20" i="3"/>
  <c r="U73" i="2"/>
  <c r="U61" i="2"/>
  <c r="U76" i="2"/>
  <c r="U93" i="2"/>
  <c r="Y5" i="3"/>
  <c r="U23" i="2"/>
  <c r="U55" i="2"/>
  <c r="U87" i="2"/>
  <c r="Y8" i="3"/>
  <c r="Y16" i="3"/>
  <c r="Y24" i="3"/>
  <c r="Y38" i="3"/>
  <c r="Y43" i="3"/>
  <c r="Y56" i="3"/>
  <c r="S5" i="5"/>
  <c r="S55" i="5"/>
  <c r="R80" i="5"/>
  <c r="Q80" i="5"/>
  <c r="P80" i="5"/>
  <c r="U75" i="2"/>
  <c r="Y14" i="3"/>
  <c r="Y7" i="2"/>
  <c r="Y62" i="3"/>
  <c r="Y33" i="6"/>
  <c r="Y25" i="6"/>
  <c r="Y17" i="6"/>
  <c r="Y9" i="6"/>
  <c r="Y36" i="6"/>
  <c r="Y28" i="6"/>
  <c r="Y20" i="6"/>
  <c r="Y12" i="6"/>
  <c r="Y31" i="6"/>
  <c r="Y23" i="6"/>
  <c r="Y15" i="6"/>
  <c r="Y7" i="6"/>
  <c r="Y34" i="6"/>
  <c r="Y26" i="6"/>
  <c r="Y18" i="6"/>
  <c r="Y10" i="6"/>
  <c r="Y37" i="6"/>
  <c r="Y29" i="6"/>
  <c r="Y21" i="6"/>
  <c r="Y13" i="6"/>
  <c r="Y5" i="6"/>
  <c r="Y32" i="6"/>
  <c r="Y24" i="6"/>
  <c r="Y16" i="6"/>
  <c r="Y8" i="6"/>
  <c r="Y35" i="6"/>
  <c r="Y27" i="6"/>
  <c r="Y19" i="6"/>
  <c r="Y11" i="6"/>
  <c r="Y30" i="6"/>
  <c r="Y22" i="6"/>
  <c r="Y14" i="6"/>
  <c r="Y6" i="6"/>
  <c r="Y5" i="2"/>
  <c r="Z5" i="2" s="1"/>
  <c r="U77" i="2"/>
  <c r="Y34" i="3"/>
  <c r="Y36" i="3"/>
  <c r="U14" i="5"/>
  <c r="S18" i="5"/>
  <c r="U44" i="5"/>
  <c r="R107" i="5"/>
  <c r="P107" i="5"/>
  <c r="S107" i="5" s="1"/>
  <c r="S110" i="5"/>
  <c r="S132" i="5"/>
  <c r="Q215" i="5"/>
  <c r="P215" i="5"/>
  <c r="R215" i="5"/>
  <c r="P243" i="5"/>
  <c r="S243" i="5" s="1"/>
  <c r="R243" i="5"/>
  <c r="Q243" i="5"/>
  <c r="S143" i="5"/>
  <c r="S149" i="5"/>
  <c r="Q17" i="5"/>
  <c r="P17" i="5"/>
  <c r="S17" i="5" s="1"/>
  <c r="Q21" i="5"/>
  <c r="S21" i="5" s="1"/>
  <c r="Q38" i="5"/>
  <c r="S38" i="5" s="1"/>
  <c r="R49" i="5"/>
  <c r="Q49" i="5"/>
  <c r="P49" i="5"/>
  <c r="R168" i="5"/>
  <c r="Q168" i="5"/>
  <c r="P168" i="5"/>
  <c r="P13" i="5"/>
  <c r="S15" i="5"/>
  <c r="R17" i="5"/>
  <c r="R21" i="5"/>
  <c r="P34" i="5"/>
  <c r="R38" i="5"/>
  <c r="P45" i="5"/>
  <c r="S47" i="5"/>
  <c r="P71" i="5"/>
  <c r="S127" i="5"/>
  <c r="S130" i="5"/>
  <c r="S140" i="5"/>
  <c r="S172" i="5"/>
  <c r="S188" i="5"/>
  <c r="W19" i="3" s="1"/>
  <c r="X19" i="3" s="1"/>
  <c r="Z19" i="3" s="1"/>
  <c r="R352" i="5"/>
  <c r="Q352" i="5"/>
  <c r="P352" i="5"/>
  <c r="S11" i="5"/>
  <c r="R13" i="5"/>
  <c r="Q34" i="5"/>
  <c r="S43" i="5"/>
  <c r="R45" i="5"/>
  <c r="R56" i="5"/>
  <c r="Q56" i="5"/>
  <c r="Q71" i="5"/>
  <c r="P133" i="5"/>
  <c r="R133" i="5"/>
  <c r="P28" i="5"/>
  <c r="S28" i="5" s="1"/>
  <c r="P56" i="5"/>
  <c r="S56" i="5" s="1"/>
  <c r="R85" i="5"/>
  <c r="S85" i="5" s="1"/>
  <c r="R161" i="5"/>
  <c r="Q161" i="5"/>
  <c r="P161" i="5"/>
  <c r="R206" i="5"/>
  <c r="Q206" i="5"/>
  <c r="P206" i="5"/>
  <c r="S74" i="5"/>
  <c r="R119" i="5"/>
  <c r="Q119" i="5"/>
  <c r="S137" i="5"/>
  <c r="R24" i="5"/>
  <c r="Q24" i="5"/>
  <c r="S24" i="5" s="1"/>
  <c r="S26" i="5"/>
  <c r="P39" i="5"/>
  <c r="S39" i="5" s="1"/>
  <c r="S54" i="5"/>
  <c r="R69" i="5"/>
  <c r="S69" i="5" s="1"/>
  <c r="R88" i="5"/>
  <c r="Q88" i="5"/>
  <c r="P88" i="5"/>
  <c r="S88" i="5" s="1"/>
  <c r="R93" i="5"/>
  <c r="S93" i="5" s="1"/>
  <c r="P119" i="5"/>
  <c r="S119" i="5" s="1"/>
  <c r="Q125" i="5"/>
  <c r="P125" i="5"/>
  <c r="S125" i="5" s="1"/>
  <c r="Q189" i="5"/>
  <c r="R189" i="5"/>
  <c r="P189" i="5"/>
  <c r="S189" i="5" s="1"/>
  <c r="R65" i="5"/>
  <c r="Q65" i="5"/>
  <c r="P65" i="5"/>
  <c r="S65" i="5" s="1"/>
  <c r="P259" i="5"/>
  <c r="R259" i="5"/>
  <c r="Q259" i="5"/>
  <c r="S22" i="5"/>
  <c r="P50" i="5"/>
  <c r="P61" i="5"/>
  <c r="S61" i="5" s="1"/>
  <c r="S63" i="5"/>
  <c r="P98" i="5"/>
  <c r="S98" i="5" s="1"/>
  <c r="P103" i="5"/>
  <c r="Q128" i="5"/>
  <c r="P128" i="5"/>
  <c r="S162" i="5"/>
  <c r="Q50" i="5"/>
  <c r="R61" i="5"/>
  <c r="R72" i="5"/>
  <c r="Q72" i="5"/>
  <c r="S77" i="5"/>
  <c r="Q91" i="5"/>
  <c r="S91" i="5" s="1"/>
  <c r="R98" i="5"/>
  <c r="R103" i="5"/>
  <c r="Q109" i="5"/>
  <c r="P109" i="5"/>
  <c r="R128" i="5"/>
  <c r="R155" i="5"/>
  <c r="Q155" i="5"/>
  <c r="P155" i="5"/>
  <c r="P166" i="5"/>
  <c r="R166" i="5"/>
  <c r="Q166" i="5"/>
  <c r="P12" i="5"/>
  <c r="S12" i="5" s="1"/>
  <c r="Q16" i="5"/>
  <c r="S16" i="5" s="1"/>
  <c r="Q18" i="5"/>
  <c r="P20" i="5"/>
  <c r="S20" i="5" s="1"/>
  <c r="R22" i="5"/>
  <c r="R37" i="5"/>
  <c r="S37" i="5" s="1"/>
  <c r="Q48" i="5"/>
  <c r="S48" i="5" s="1"/>
  <c r="Q52" i="5"/>
  <c r="S52" i="5" s="1"/>
  <c r="Q57" i="5"/>
  <c r="S57" i="5" s="1"/>
  <c r="Q59" i="5"/>
  <c r="S59" i="5" s="1"/>
  <c r="P72" i="5"/>
  <c r="R77" i="5"/>
  <c r="R86" i="5"/>
  <c r="P86" i="5"/>
  <c r="S86" i="5" s="1"/>
  <c r="R91" i="5"/>
  <c r="R109" i="5"/>
  <c r="S138" i="5"/>
  <c r="W77" i="3"/>
  <c r="W85" i="3"/>
  <c r="W93" i="3"/>
  <c r="R12" i="5"/>
  <c r="Q20" i="5"/>
  <c r="R33" i="5"/>
  <c r="Q33" i="5"/>
  <c r="P33" i="5"/>
  <c r="P96" i="5"/>
  <c r="Q117" i="5"/>
  <c r="S117" i="5" s="1"/>
  <c r="R120" i="5"/>
  <c r="Q120" i="5"/>
  <c r="P120" i="5"/>
  <c r="R8" i="5"/>
  <c r="Q8" i="5"/>
  <c r="S8" i="5" s="1"/>
  <c r="S10" i="5"/>
  <c r="P29" i="5"/>
  <c r="S29" i="5" s="1"/>
  <c r="S31" i="5"/>
  <c r="S42" i="5"/>
  <c r="S70" i="5"/>
  <c r="S75" i="5"/>
  <c r="Q89" i="5"/>
  <c r="S89" i="5" s="1"/>
  <c r="Q96" i="5"/>
  <c r="S101" i="5"/>
  <c r="Q112" i="5"/>
  <c r="P112" i="5"/>
  <c r="S112" i="5" s="1"/>
  <c r="R117" i="5"/>
  <c r="R123" i="5"/>
  <c r="P123" i="5"/>
  <c r="S123" i="5" s="1"/>
  <c r="S126" i="5"/>
  <c r="R135" i="5"/>
  <c r="Q135" i="5"/>
  <c r="P135" i="5"/>
  <c r="S177" i="5"/>
  <c r="S27" i="5"/>
  <c r="R40" i="5"/>
  <c r="Q40" i="5"/>
  <c r="S211" i="5"/>
  <c r="R151" i="5"/>
  <c r="S151" i="5" s="1"/>
  <c r="R177" i="5"/>
  <c r="P144" i="5"/>
  <c r="S144" i="5" s="1"/>
  <c r="P157" i="5"/>
  <c r="P170" i="5"/>
  <c r="S170" i="5" s="1"/>
  <c r="Q314" i="5"/>
  <c r="R314" i="5"/>
  <c r="P314" i="5"/>
  <c r="R157" i="5"/>
  <c r="S204" i="5"/>
  <c r="S213" i="5"/>
  <c r="S220" i="5"/>
  <c r="R238" i="5"/>
  <c r="Q238" i="5"/>
  <c r="P238" i="5"/>
  <c r="Q275" i="5"/>
  <c r="P275" i="5"/>
  <c r="S275" i="5" s="1"/>
  <c r="R254" i="5"/>
  <c r="Q254" i="5"/>
  <c r="P254" i="5"/>
  <c r="S254" i="5" s="1"/>
  <c r="P200" i="5"/>
  <c r="P202" i="5"/>
  <c r="S202" i="5" s="1"/>
  <c r="P209" i="5"/>
  <c r="Q211" i="5"/>
  <c r="P241" i="5"/>
  <c r="S241" i="5" s="1"/>
  <c r="Q200" i="5"/>
  <c r="Q202" i="5"/>
  <c r="Q209" i="5"/>
  <c r="Q241" i="5"/>
  <c r="P257" i="5"/>
  <c r="S257" i="5" s="1"/>
  <c r="S329" i="5"/>
  <c r="P141" i="5"/>
  <c r="S141" i="5" s="1"/>
  <c r="Q150" i="5"/>
  <c r="S150" i="5" s="1"/>
  <c r="P152" i="5"/>
  <c r="S152" i="5" s="1"/>
  <c r="P163" i="5"/>
  <c r="S163" i="5" s="1"/>
  <c r="P178" i="5"/>
  <c r="S178" i="5" s="1"/>
  <c r="P184" i="5"/>
  <c r="S184" i="5" s="1"/>
  <c r="P194" i="5"/>
  <c r="S194" i="5" s="1"/>
  <c r="Q216" i="5"/>
  <c r="S216" i="5" s="1"/>
  <c r="Q218" i="5"/>
  <c r="S218" i="5" s="1"/>
  <c r="Q257" i="5"/>
  <c r="P102" i="5"/>
  <c r="S102" i="5" s="1"/>
  <c r="P118" i="5"/>
  <c r="S118" i="5" s="1"/>
  <c r="P134" i="5"/>
  <c r="S134" i="5" s="1"/>
  <c r="Q141" i="5"/>
  <c r="R150" i="5"/>
  <c r="Q152" i="5"/>
  <c r="P154" i="5"/>
  <c r="S154" i="5" s="1"/>
  <c r="Q163" i="5"/>
  <c r="P165" i="5"/>
  <c r="S165" i="5" s="1"/>
  <c r="P180" i="5"/>
  <c r="S180" i="5" s="1"/>
  <c r="Q182" i="5"/>
  <c r="S182" i="5" s="1"/>
  <c r="W183" i="5" s="1"/>
  <c r="P186" i="5"/>
  <c r="S186" i="5" s="1"/>
  <c r="S192" i="5"/>
  <c r="R194" i="5"/>
  <c r="Q221" i="5"/>
  <c r="P221" i="5"/>
  <c r="S252" i="5"/>
  <c r="Q264" i="5"/>
  <c r="P264" i="5"/>
  <c r="Q373" i="5"/>
  <c r="P373" i="5"/>
  <c r="S373" i="5" s="1"/>
  <c r="R373" i="5"/>
  <c r="Q205" i="5"/>
  <c r="P205" i="5"/>
  <c r="P136" i="5"/>
  <c r="S136" i="5" s="1"/>
  <c r="P158" i="5"/>
  <c r="S158" i="5" s="1"/>
  <c r="P169" i="5"/>
  <c r="S169" i="5" s="1"/>
  <c r="R205" i="5"/>
  <c r="R270" i="5"/>
  <c r="Q270" i="5"/>
  <c r="P270" i="5"/>
  <c r="R301" i="5"/>
  <c r="Q301" i="5"/>
  <c r="P301" i="5"/>
  <c r="P81" i="5"/>
  <c r="S81" i="5" s="1"/>
  <c r="P97" i="5"/>
  <c r="S97" i="5" s="1"/>
  <c r="P113" i="5"/>
  <c r="S113" i="5" s="1"/>
  <c r="P129" i="5"/>
  <c r="Q136" i="5"/>
  <c r="P145" i="5"/>
  <c r="Q158" i="5"/>
  <c r="Q169" i="5"/>
  <c r="P171" i="5"/>
  <c r="S171" i="5" s="1"/>
  <c r="R229" i="5"/>
  <c r="Q229" i="5"/>
  <c r="P234" i="5"/>
  <c r="R261" i="5"/>
  <c r="Q261" i="5"/>
  <c r="S273" i="5"/>
  <c r="R363" i="5"/>
  <c r="Q363" i="5"/>
  <c r="P363" i="5"/>
  <c r="Q81" i="5"/>
  <c r="Q97" i="5"/>
  <c r="Q113" i="5"/>
  <c r="Q129" i="5"/>
  <c r="Q145" i="5"/>
  <c r="Q171" i="5"/>
  <c r="P173" i="5"/>
  <c r="S173" i="5" s="1"/>
  <c r="R203" i="5"/>
  <c r="P203" i="5"/>
  <c r="S203" i="5" s="1"/>
  <c r="P229" i="5"/>
  <c r="P232" i="5"/>
  <c r="S232" i="5" s="1"/>
  <c r="R234" i="5"/>
  <c r="Q237" i="5"/>
  <c r="P237" i="5"/>
  <c r="S237" i="5" s="1"/>
  <c r="R245" i="5"/>
  <c r="Q245" i="5"/>
  <c r="P250" i="5"/>
  <c r="P261" i="5"/>
  <c r="R338" i="5"/>
  <c r="Q338" i="5"/>
  <c r="P338" i="5"/>
  <c r="S338" i="5" s="1"/>
  <c r="S210" i="5"/>
  <c r="S245" i="5"/>
  <c r="S248" i="5"/>
  <c r="R250" i="5"/>
  <c r="Q253" i="5"/>
  <c r="P253" i="5"/>
  <c r="S253" i="5" s="1"/>
  <c r="S277" i="5"/>
  <c r="R327" i="5"/>
  <c r="Q327" i="5"/>
  <c r="P327" i="5"/>
  <c r="S197" i="5"/>
  <c r="S208" i="5"/>
  <c r="R199" i="5"/>
  <c r="S199" i="5" s="1"/>
  <c r="R222" i="5"/>
  <c r="Q222" i="5"/>
  <c r="S222" i="5" s="1"/>
  <c r="S262" i="5"/>
  <c r="R281" i="5"/>
  <c r="Q281" i="5"/>
  <c r="P281" i="5"/>
  <c r="Q389" i="5"/>
  <c r="P389" i="5"/>
  <c r="P297" i="5"/>
  <c r="S297" i="5" s="1"/>
  <c r="P308" i="5"/>
  <c r="S308" i="5" s="1"/>
  <c r="P334" i="5"/>
  <c r="S334" i="5" s="1"/>
  <c r="P356" i="5"/>
  <c r="R389" i="5"/>
  <c r="R448" i="5"/>
  <c r="Q448" i="5"/>
  <c r="P448" i="5"/>
  <c r="S448" i="5" s="1"/>
  <c r="R468" i="5"/>
  <c r="Q468" i="5"/>
  <c r="P468" i="5"/>
  <c r="S468" i="5" s="1"/>
  <c r="P310" i="5"/>
  <c r="S310" i="5" s="1"/>
  <c r="P321" i="5"/>
  <c r="S321" i="5" s="1"/>
  <c r="P354" i="5"/>
  <c r="S354" i="5" s="1"/>
  <c r="R356" i="5"/>
  <c r="R365" i="5"/>
  <c r="P365" i="5"/>
  <c r="S365" i="5" s="1"/>
  <c r="P370" i="5"/>
  <c r="S370" i="5" s="1"/>
  <c r="Q386" i="5"/>
  <c r="P386" i="5"/>
  <c r="S395" i="5"/>
  <c r="S425" i="5"/>
  <c r="Q286" i="5"/>
  <c r="S286" i="5" s="1"/>
  <c r="Q312" i="5"/>
  <c r="S312" i="5" s="1"/>
  <c r="R323" i="5"/>
  <c r="S323" i="5" s="1"/>
  <c r="Q325" i="5"/>
  <c r="S325" i="5" s="1"/>
  <c r="R432" i="5"/>
  <c r="Q432" i="5"/>
  <c r="P432" i="5"/>
  <c r="S436" i="5"/>
  <c r="R485" i="5"/>
  <c r="Q485" i="5"/>
  <c r="P485" i="5"/>
  <c r="S485" i="5" s="1"/>
  <c r="R383" i="5"/>
  <c r="Q383" i="5"/>
  <c r="P383" i="5"/>
  <c r="Q279" i="5"/>
  <c r="S279" i="5" s="1"/>
  <c r="Q290" i="5"/>
  <c r="S290" i="5" s="1"/>
  <c r="P292" i="5"/>
  <c r="Q303" i="5"/>
  <c r="S303" i="5" s="1"/>
  <c r="P318" i="5"/>
  <c r="Q331" i="5"/>
  <c r="S331" i="5" s="1"/>
  <c r="Q344" i="5"/>
  <c r="S344" i="5" s="1"/>
  <c r="P346" i="5"/>
  <c r="P357" i="5"/>
  <c r="S357" i="5" s="1"/>
  <c r="Q359" i="5"/>
  <c r="S359" i="5" s="1"/>
  <c r="Q361" i="5"/>
  <c r="S361" i="5" s="1"/>
  <c r="S393" i="5"/>
  <c r="R416" i="5"/>
  <c r="Q416" i="5"/>
  <c r="P416" i="5"/>
  <c r="S416" i="5" s="1"/>
  <c r="S420" i="5"/>
  <c r="P231" i="5"/>
  <c r="S231" i="5" s="1"/>
  <c r="P247" i="5"/>
  <c r="S247" i="5" s="1"/>
  <c r="P263" i="5"/>
  <c r="P283" i="5"/>
  <c r="Q292" i="5"/>
  <c r="P294" i="5"/>
  <c r="P305" i="5"/>
  <c r="S305" i="5" s="1"/>
  <c r="Q318" i="5"/>
  <c r="P333" i="5"/>
  <c r="S333" i="5" s="1"/>
  <c r="R346" i="5"/>
  <c r="Q357" i="5"/>
  <c r="Q496" i="5"/>
  <c r="P496" i="5"/>
  <c r="R496" i="5"/>
  <c r="Q231" i="5"/>
  <c r="Q247" i="5"/>
  <c r="Q263" i="5"/>
  <c r="Q283" i="5"/>
  <c r="Q294" i="5"/>
  <c r="P296" i="5"/>
  <c r="S296" i="5" s="1"/>
  <c r="Q305" i="5"/>
  <c r="Q307" i="5"/>
  <c r="S307" i="5" s="1"/>
  <c r="P309" i="5"/>
  <c r="S309" i="5" s="1"/>
  <c r="Q333" i="5"/>
  <c r="R381" i="5"/>
  <c r="P381" i="5"/>
  <c r="S381" i="5" s="1"/>
  <c r="R384" i="5"/>
  <c r="P384" i="5"/>
  <c r="S443" i="5"/>
  <c r="R470" i="5"/>
  <c r="Q470" i="5"/>
  <c r="P470" i="5"/>
  <c r="R353" i="5"/>
  <c r="Q353" i="5"/>
  <c r="R400" i="5"/>
  <c r="Q400" i="5"/>
  <c r="P400" i="5"/>
  <c r="P226" i="5"/>
  <c r="S226" i="5" s="1"/>
  <c r="P242" i="5"/>
  <c r="S242" i="5" s="1"/>
  <c r="P258" i="5"/>
  <c r="S258" i="5" s="1"/>
  <c r="P274" i="5"/>
  <c r="S274" i="5" s="1"/>
  <c r="P313" i="5"/>
  <c r="S313" i="5" s="1"/>
  <c r="P324" i="5"/>
  <c r="S324" i="5" s="1"/>
  <c r="P353" i="5"/>
  <c r="P219" i="5"/>
  <c r="S219" i="5" s="1"/>
  <c r="P235" i="5"/>
  <c r="S235" i="5" s="1"/>
  <c r="P251" i="5"/>
  <c r="S251" i="5" s="1"/>
  <c r="P267" i="5"/>
  <c r="S267" i="5" s="1"/>
  <c r="P287" i="5"/>
  <c r="S287" i="5" s="1"/>
  <c r="P315" i="5"/>
  <c r="S315" i="5" s="1"/>
  <c r="P326" i="5"/>
  <c r="S326" i="5" s="1"/>
  <c r="P337" i="5"/>
  <c r="S337" i="5" s="1"/>
  <c r="P341" i="5"/>
  <c r="S341" i="5" s="1"/>
  <c r="S351" i="5"/>
  <c r="S388" i="5"/>
  <c r="S427" i="5"/>
  <c r="S457" i="5"/>
  <c r="P515" i="5"/>
  <c r="R515" i="5"/>
  <c r="Q515" i="5"/>
  <c r="S328" i="5"/>
  <c r="Q362" i="5"/>
  <c r="P362" i="5"/>
  <c r="S362" i="5" s="1"/>
  <c r="P269" i="5"/>
  <c r="S269" i="5" s="1"/>
  <c r="P278" i="5"/>
  <c r="S278" i="5" s="1"/>
  <c r="P289" i="5"/>
  <c r="P317" i="5"/>
  <c r="S317" i="5" s="1"/>
  <c r="Q328" i="5"/>
  <c r="P330" i="5"/>
  <c r="S330" i="5" s="1"/>
  <c r="P345" i="5"/>
  <c r="S345" i="5" s="1"/>
  <c r="R349" i="5"/>
  <c r="P349" i="5"/>
  <c r="R362" i="5"/>
  <c r="P372" i="5"/>
  <c r="Q289" i="5"/>
  <c r="Q291" i="5"/>
  <c r="S291" i="5" s="1"/>
  <c r="R330" i="5"/>
  <c r="P347" i="5"/>
  <c r="S347" i="5" s="1"/>
  <c r="Q349" i="5"/>
  <c r="S360" i="5"/>
  <c r="Q367" i="5"/>
  <c r="P367" i="5"/>
  <c r="R372" i="5"/>
  <c r="S375" i="5"/>
  <c r="S411" i="5"/>
  <c r="S441" i="5"/>
  <c r="Q570" i="5"/>
  <c r="P570" i="5"/>
  <c r="R570" i="5"/>
  <c r="Q534" i="5"/>
  <c r="P534" i="5"/>
  <c r="S548" i="5"/>
  <c r="Q586" i="5"/>
  <c r="P586" i="5"/>
  <c r="P494" i="5"/>
  <c r="S494" i="5" s="1"/>
  <c r="P501" i="5"/>
  <c r="S501" i="5" s="1"/>
  <c r="P513" i="5"/>
  <c r="Q518" i="5"/>
  <c r="P518" i="5"/>
  <c r="R534" i="5"/>
  <c r="R586" i="5"/>
  <c r="Q602" i="5"/>
  <c r="P602" i="5"/>
  <c r="P402" i="5"/>
  <c r="S402" i="5" s="1"/>
  <c r="P418" i="5"/>
  <c r="P434" i="5"/>
  <c r="P450" i="5"/>
  <c r="Q494" i="5"/>
  <c r="Q501" i="5"/>
  <c r="Q513" i="5"/>
  <c r="R518" i="5"/>
  <c r="R526" i="5"/>
  <c r="Q526" i="5"/>
  <c r="S526" i="5" s="1"/>
  <c r="R602" i="5"/>
  <c r="S653" i="5"/>
  <c r="Q402" i="5"/>
  <c r="Q418" i="5"/>
  <c r="Q434" i="5"/>
  <c r="Q450" i="5"/>
  <c r="Q483" i="5"/>
  <c r="R529" i="5"/>
  <c r="Q529" i="5"/>
  <c r="S564" i="5"/>
  <c r="S568" i="5"/>
  <c r="P481" i="5"/>
  <c r="S481" i="5" s="1"/>
  <c r="R483" i="5"/>
  <c r="S483" i="5" s="1"/>
  <c r="P490" i="5"/>
  <c r="Q499" i="5"/>
  <c r="S499" i="5" s="1"/>
  <c r="P506" i="5"/>
  <c r="P529" i="5"/>
  <c r="S529" i="5" s="1"/>
  <c r="P397" i="5"/>
  <c r="S397" i="5" s="1"/>
  <c r="P413" i="5"/>
  <c r="S413" i="5" s="1"/>
  <c r="P429" i="5"/>
  <c r="S429" i="5" s="1"/>
  <c r="P445" i="5"/>
  <c r="S445" i="5" s="1"/>
  <c r="P461" i="5"/>
  <c r="S461" i="5" s="1"/>
  <c r="Q481" i="5"/>
  <c r="R490" i="5"/>
  <c r="P497" i="5"/>
  <c r="R499" i="5"/>
  <c r="S504" i="5"/>
  <c r="R506" i="5"/>
  <c r="R549" i="5"/>
  <c r="Q549" i="5"/>
  <c r="P549" i="5"/>
  <c r="S596" i="5"/>
  <c r="S616" i="5"/>
  <c r="S626" i="5"/>
  <c r="S475" i="5"/>
  <c r="Q497" i="5"/>
  <c r="R509" i="5"/>
  <c r="Q509" i="5"/>
  <c r="S532" i="5"/>
  <c r="S559" i="5"/>
  <c r="S612" i="5"/>
  <c r="R678" i="5"/>
  <c r="Q678" i="5"/>
  <c r="P678" i="5"/>
  <c r="S678" i="5" s="1"/>
  <c r="P399" i="5"/>
  <c r="S399" i="5" s="1"/>
  <c r="P415" i="5"/>
  <c r="S415" i="5" s="1"/>
  <c r="P431" i="5"/>
  <c r="S431" i="5" s="1"/>
  <c r="P447" i="5"/>
  <c r="S447" i="5" s="1"/>
  <c r="Q463" i="5"/>
  <c r="S463" i="5" s="1"/>
  <c r="P465" i="5"/>
  <c r="Q486" i="5"/>
  <c r="P486" i="5"/>
  <c r="P509" i="5"/>
  <c r="S509" i="5" s="1"/>
  <c r="R519" i="5"/>
  <c r="Q519" i="5"/>
  <c r="P519" i="5"/>
  <c r="S519" i="5" s="1"/>
  <c r="S524" i="5"/>
  <c r="Q399" i="5"/>
  <c r="Q415" i="5"/>
  <c r="Q431" i="5"/>
  <c r="Q447" i="5"/>
  <c r="Q465" i="5"/>
  <c r="S469" i="5"/>
  <c r="R486" i="5"/>
  <c r="Q502" i="5"/>
  <c r="P502" i="5"/>
  <c r="Q538" i="5"/>
  <c r="P538" i="5"/>
  <c r="R541" i="5"/>
  <c r="Q541" i="5"/>
  <c r="R550" i="5"/>
  <c r="Q550" i="5"/>
  <c r="P550" i="5"/>
  <c r="R565" i="5"/>
  <c r="Q565" i="5"/>
  <c r="P565" i="5"/>
  <c r="S565" i="5" s="1"/>
  <c r="R493" i="5"/>
  <c r="Q493" i="5"/>
  <c r="R538" i="5"/>
  <c r="P541" i="5"/>
  <c r="S541" i="5" s="1"/>
  <c r="R581" i="5"/>
  <c r="Q581" i="5"/>
  <c r="P581" i="5"/>
  <c r="Q369" i="5"/>
  <c r="S369" i="5" s="1"/>
  <c r="P378" i="5"/>
  <c r="S378" i="5" s="1"/>
  <c r="Q385" i="5"/>
  <c r="S385" i="5" s="1"/>
  <c r="P394" i="5"/>
  <c r="S394" i="5" s="1"/>
  <c r="Q401" i="5"/>
  <c r="S401" i="5" s="1"/>
  <c r="P410" i="5"/>
  <c r="S410" i="5" s="1"/>
  <c r="Q417" i="5"/>
  <c r="S417" i="5" s="1"/>
  <c r="P426" i="5"/>
  <c r="S426" i="5" s="1"/>
  <c r="Q433" i="5"/>
  <c r="S433" i="5" s="1"/>
  <c r="P442" i="5"/>
  <c r="S442" i="5" s="1"/>
  <c r="Q449" i="5"/>
  <c r="S449" i="5" s="1"/>
  <c r="P458" i="5"/>
  <c r="S458" i="5" s="1"/>
  <c r="P484" i="5"/>
  <c r="S484" i="5" s="1"/>
  <c r="P493" i="5"/>
  <c r="Q507" i="5"/>
  <c r="R597" i="5"/>
  <c r="Q597" i="5"/>
  <c r="P597" i="5"/>
  <c r="R639" i="5"/>
  <c r="Q639" i="5"/>
  <c r="P639" i="5"/>
  <c r="R685" i="5"/>
  <c r="Q685" i="5"/>
  <c r="P685" i="5"/>
  <c r="S685" i="5" s="1"/>
  <c r="Q484" i="5"/>
  <c r="S500" i="5"/>
  <c r="R507" i="5"/>
  <c r="S507" i="5" s="1"/>
  <c r="P522" i="5"/>
  <c r="S522" i="5" s="1"/>
  <c r="R533" i="5"/>
  <c r="S533" i="5" s="1"/>
  <c r="Q533" i="5"/>
  <c r="S536" i="5"/>
  <c r="R566" i="5"/>
  <c r="Q566" i="5"/>
  <c r="P566" i="5"/>
  <c r="R613" i="5"/>
  <c r="Q613" i="5"/>
  <c r="P613" i="5"/>
  <c r="Q620" i="5"/>
  <c r="P620" i="5"/>
  <c r="R525" i="5"/>
  <c r="Q525" i="5"/>
  <c r="Q554" i="5"/>
  <c r="P554" i="5"/>
  <c r="S554" i="5" s="1"/>
  <c r="R620" i="5"/>
  <c r="P405" i="5"/>
  <c r="S405" i="5" s="1"/>
  <c r="P421" i="5"/>
  <c r="S421" i="5" s="1"/>
  <c r="P437" i="5"/>
  <c r="S437" i="5" s="1"/>
  <c r="P453" i="5"/>
  <c r="S453" i="5" s="1"/>
  <c r="Q480" i="5"/>
  <c r="P480" i="5"/>
  <c r="R487" i="5"/>
  <c r="Q487" i="5"/>
  <c r="S487" i="5" s="1"/>
  <c r="R510" i="5"/>
  <c r="Q510" i="5"/>
  <c r="P525" i="5"/>
  <c r="S525" i="5" s="1"/>
  <c r="S539" i="5"/>
  <c r="R542" i="5"/>
  <c r="Q542" i="5"/>
  <c r="P542" i="5"/>
  <c r="S478" i="5"/>
  <c r="R503" i="5"/>
  <c r="Q503" i="5"/>
  <c r="S503" i="5" s="1"/>
  <c r="S510" i="5"/>
  <c r="S579" i="5"/>
  <c r="P740" i="5"/>
  <c r="R740" i="5"/>
  <c r="Q740" i="5"/>
  <c r="Q545" i="5"/>
  <c r="S545" i="5" s="1"/>
  <c r="Q561" i="5"/>
  <c r="S561" i="5" s="1"/>
  <c r="Q577" i="5"/>
  <c r="S577" i="5" s="1"/>
  <c r="Q593" i="5"/>
  <c r="S593" i="5" s="1"/>
  <c r="Q609" i="5"/>
  <c r="S609" i="5" s="1"/>
  <c r="Q637" i="5"/>
  <c r="S637" i="5" s="1"/>
  <c r="R641" i="5"/>
  <c r="R673" i="5"/>
  <c r="P673" i="5"/>
  <c r="S673" i="5" s="1"/>
  <c r="S750" i="5"/>
  <c r="R767" i="5"/>
  <c r="Q767" i="5"/>
  <c r="P767" i="5"/>
  <c r="S771" i="5"/>
  <c r="Q658" i="5"/>
  <c r="P658" i="5"/>
  <c r="S658" i="5" s="1"/>
  <c r="Q673" i="5"/>
  <c r="R712" i="5"/>
  <c r="Q712" i="5"/>
  <c r="P712" i="5"/>
  <c r="R681" i="5"/>
  <c r="Q681" i="5"/>
  <c r="S681" i="5" s="1"/>
  <c r="S787" i="5"/>
  <c r="R665" i="5"/>
  <c r="Q665" i="5"/>
  <c r="Q691" i="5"/>
  <c r="P691" i="5"/>
  <c r="S691" i="5" s="1"/>
  <c r="R691" i="5"/>
  <c r="S727" i="5"/>
  <c r="P558" i="5"/>
  <c r="S558" i="5" s="1"/>
  <c r="P574" i="5"/>
  <c r="P590" i="5"/>
  <c r="S590" i="5" s="1"/>
  <c r="P606" i="5"/>
  <c r="S606" i="5" s="1"/>
  <c r="P624" i="5"/>
  <c r="P644" i="5"/>
  <c r="P646" i="5"/>
  <c r="P648" i="5"/>
  <c r="S648" i="5" s="1"/>
  <c r="P656" i="5"/>
  <c r="S656" i="5" s="1"/>
  <c r="P665" i="5"/>
  <c r="P669" i="5"/>
  <c r="S669" i="5" s="1"/>
  <c r="P671" i="5"/>
  <c r="S671" i="5" s="1"/>
  <c r="S688" i="5"/>
  <c r="Q701" i="5"/>
  <c r="S701" i="5" s="1"/>
  <c r="R713" i="5"/>
  <c r="Q713" i="5"/>
  <c r="Q722" i="5"/>
  <c r="P722" i="5"/>
  <c r="S751" i="5"/>
  <c r="P535" i="5"/>
  <c r="S535" i="5" s="1"/>
  <c r="P551" i="5"/>
  <c r="Q558" i="5"/>
  <c r="P567" i="5"/>
  <c r="Q574" i="5"/>
  <c r="P583" i="5"/>
  <c r="Q590" i="5"/>
  <c r="P599" i="5"/>
  <c r="S599" i="5" s="1"/>
  <c r="Q606" i="5"/>
  <c r="P615" i="5"/>
  <c r="S615" i="5" s="1"/>
  <c r="Q624" i="5"/>
  <c r="Q626" i="5"/>
  <c r="Q628" i="5"/>
  <c r="S628" i="5" s="1"/>
  <c r="Q630" i="5"/>
  <c r="S630" i="5" s="1"/>
  <c r="R632" i="5"/>
  <c r="S632" i="5" s="1"/>
  <c r="Q644" i="5"/>
  <c r="Q646" i="5"/>
  <c r="R648" i="5"/>
  <c r="Q656" i="5"/>
  <c r="S663" i="5"/>
  <c r="Q669" i="5"/>
  <c r="Q671" i="5"/>
  <c r="Q674" i="5"/>
  <c r="P674" i="5"/>
  <c r="P696" i="5"/>
  <c r="R701" i="5"/>
  <c r="S710" i="5"/>
  <c r="P713" i="5"/>
  <c r="R722" i="5"/>
  <c r="Q731" i="5"/>
  <c r="R731" i="5"/>
  <c r="P731" i="5"/>
  <c r="R742" i="5"/>
  <c r="Q742" i="5"/>
  <c r="P742" i="5"/>
  <c r="P512" i="5"/>
  <c r="S512" i="5" s="1"/>
  <c r="P528" i="5"/>
  <c r="S528" i="5" s="1"/>
  <c r="Q535" i="5"/>
  <c r="P544" i="5"/>
  <c r="S544" i="5" s="1"/>
  <c r="Q551" i="5"/>
  <c r="P560" i="5"/>
  <c r="S560" i="5" s="1"/>
  <c r="Q567" i="5"/>
  <c r="P576" i="5"/>
  <c r="S576" i="5" s="1"/>
  <c r="Q583" i="5"/>
  <c r="P592" i="5"/>
  <c r="S592" i="5" s="1"/>
  <c r="Q599" i="5"/>
  <c r="P608" i="5"/>
  <c r="S608" i="5" s="1"/>
  <c r="Q615" i="5"/>
  <c r="P617" i="5"/>
  <c r="S617" i="5" s="1"/>
  <c r="R626" i="5"/>
  <c r="P636" i="5"/>
  <c r="Q642" i="5"/>
  <c r="Q652" i="5"/>
  <c r="Q654" i="5"/>
  <c r="S654" i="5" s="1"/>
  <c r="Q663" i="5"/>
  <c r="R674" i="5"/>
  <c r="S679" i="5"/>
  <c r="R696" i="5"/>
  <c r="R617" i="5"/>
  <c r="Q636" i="5"/>
  <c r="P640" i="5"/>
  <c r="S640" i="5" s="1"/>
  <c r="R642" i="5"/>
  <c r="R652" i="5"/>
  <c r="W747" i="5"/>
  <c r="W750" i="5"/>
  <c r="R689" i="5"/>
  <c r="P689" i="5"/>
  <c r="S689" i="5" s="1"/>
  <c r="R697" i="5"/>
  <c r="Q697" i="5"/>
  <c r="R728" i="5"/>
  <c r="Q728" i="5"/>
  <c r="P728" i="5"/>
  <c r="S728" i="5" s="1"/>
  <c r="S773" i="5"/>
  <c r="S785" i="5"/>
  <c r="S657" i="5"/>
  <c r="P672" i="5"/>
  <c r="S672" i="5" s="1"/>
  <c r="Q689" i="5"/>
  <c r="P697" i="5"/>
  <c r="R735" i="5"/>
  <c r="Q735" i="5"/>
  <c r="P735" i="5"/>
  <c r="S735" i="5" s="1"/>
  <c r="S743" i="5"/>
  <c r="Q675" i="5"/>
  <c r="P675" i="5"/>
  <c r="Q557" i="5"/>
  <c r="S557" i="5" s="1"/>
  <c r="Q573" i="5"/>
  <c r="S573" i="5" s="1"/>
  <c r="P582" i="5"/>
  <c r="S582" i="5" s="1"/>
  <c r="Q589" i="5"/>
  <c r="S589" i="5" s="1"/>
  <c r="P598" i="5"/>
  <c r="S598" i="5" s="1"/>
  <c r="Q605" i="5"/>
  <c r="S605" i="5" s="1"/>
  <c r="P614" i="5"/>
  <c r="S614" i="5" s="1"/>
  <c r="Q623" i="5"/>
  <c r="S623" i="5" s="1"/>
  <c r="P625" i="5"/>
  <c r="P627" i="5"/>
  <c r="S627" i="5" s="1"/>
  <c r="P629" i="5"/>
  <c r="P631" i="5"/>
  <c r="S631" i="5" s="1"/>
  <c r="P633" i="5"/>
  <c r="P647" i="5"/>
  <c r="P649" i="5"/>
  <c r="P670" i="5"/>
  <c r="S670" i="5" s="1"/>
  <c r="R675" i="5"/>
  <c r="Q706" i="5"/>
  <c r="P706" i="5"/>
  <c r="S706" i="5" s="1"/>
  <c r="Q717" i="5"/>
  <c r="P717" i="5"/>
  <c r="S717" i="5" s="1"/>
  <c r="R729" i="5"/>
  <c r="Q729" i="5"/>
  <c r="Q582" i="5"/>
  <c r="Q598" i="5"/>
  <c r="Q614" i="5"/>
  <c r="Q625" i="5"/>
  <c r="Q627" i="5"/>
  <c r="Q629" i="5"/>
  <c r="Q631" i="5"/>
  <c r="R633" i="5"/>
  <c r="P643" i="5"/>
  <c r="S643" i="5" s="1"/>
  <c r="Q647" i="5"/>
  <c r="R649" i="5"/>
  <c r="P655" i="5"/>
  <c r="S655" i="5" s="1"/>
  <c r="P664" i="5"/>
  <c r="S664" i="5" s="1"/>
  <c r="S695" i="5"/>
  <c r="R706" i="5"/>
  <c r="R717" i="5"/>
  <c r="S726" i="5"/>
  <c r="P729" i="5"/>
  <c r="S736" i="5"/>
  <c r="R753" i="5"/>
  <c r="Q753" i="5"/>
  <c r="P753" i="5"/>
  <c r="S753" i="5" s="1"/>
  <c r="S782" i="5"/>
  <c r="S641" i="5"/>
  <c r="S662" i="5"/>
  <c r="S680" i="5"/>
  <c r="Q690" i="5"/>
  <c r="P690" i="5"/>
  <c r="R703" i="5"/>
  <c r="Q703" i="5"/>
  <c r="S703" i="5" s="1"/>
  <c r="S822" i="5"/>
  <c r="R707" i="5"/>
  <c r="R723" i="5"/>
  <c r="R745" i="5"/>
  <c r="R804" i="5"/>
  <c r="P804" i="5"/>
  <c r="S804" i="5" s="1"/>
  <c r="R770" i="5"/>
  <c r="P770" i="5"/>
  <c r="S855" i="5"/>
  <c r="P858" i="5"/>
  <c r="S858" i="5" s="1"/>
  <c r="S861" i="5"/>
  <c r="R900" i="5"/>
  <c r="Q900" i="5"/>
  <c r="P900" i="5"/>
  <c r="S900" i="5" s="1"/>
  <c r="Q768" i="5"/>
  <c r="S768" i="5" s="1"/>
  <c r="Q770" i="5"/>
  <c r="R772" i="5"/>
  <c r="S772" i="5" s="1"/>
  <c r="R802" i="5"/>
  <c r="P802" i="5"/>
  <c r="S802" i="5" s="1"/>
  <c r="Q840" i="5"/>
  <c r="S840" i="5" s="1"/>
  <c r="R852" i="5"/>
  <c r="Q852" i="5"/>
  <c r="P852" i="5"/>
  <c r="S852" i="5" s="1"/>
  <c r="R858" i="5"/>
  <c r="S874" i="5"/>
  <c r="S835" i="5"/>
  <c r="R883" i="5"/>
  <c r="Q883" i="5"/>
  <c r="P883" i="5"/>
  <c r="R788" i="5"/>
  <c r="P788" i="5"/>
  <c r="S811" i="5"/>
  <c r="P817" i="5"/>
  <c r="Q822" i="5"/>
  <c r="R838" i="5"/>
  <c r="P838" i="5"/>
  <c r="S838" i="5" s="1"/>
  <c r="R867" i="5"/>
  <c r="P867" i="5"/>
  <c r="S867" i="5" s="1"/>
  <c r="P744" i="5"/>
  <c r="S744" i="5" s="1"/>
  <c r="P755" i="5"/>
  <c r="S755" i="5" s="1"/>
  <c r="P757" i="5"/>
  <c r="S757" i="5" s="1"/>
  <c r="W751" i="5" s="1"/>
  <c r="P759" i="5"/>
  <c r="S759" i="5" s="1"/>
  <c r="P761" i="5"/>
  <c r="S761" i="5" s="1"/>
  <c r="P784" i="5"/>
  <c r="R786" i="5"/>
  <c r="P786" i="5"/>
  <c r="S786" i="5" s="1"/>
  <c r="Q788" i="5"/>
  <c r="P809" i="5"/>
  <c r="Q817" i="5"/>
  <c r="R822" i="5"/>
  <c r="Q838" i="5"/>
  <c r="S845" i="5"/>
  <c r="Q867" i="5"/>
  <c r="S891" i="5"/>
  <c r="S908" i="5"/>
  <c r="R761" i="5"/>
  <c r="Q784" i="5"/>
  <c r="S807" i="5"/>
  <c r="R809" i="5"/>
  <c r="S856" i="5"/>
  <c r="R884" i="5"/>
  <c r="Q884" i="5"/>
  <c r="P884" i="5"/>
  <c r="S884" i="5" s="1"/>
  <c r="R820" i="5"/>
  <c r="P820" i="5"/>
  <c r="S820" i="5" s="1"/>
  <c r="R850" i="5"/>
  <c r="P850" i="5"/>
  <c r="S850" i="5" s="1"/>
  <c r="Q853" i="5"/>
  <c r="P853" i="5"/>
  <c r="S853" i="5" s="1"/>
  <c r="S875" i="5"/>
  <c r="R836" i="5"/>
  <c r="P836" i="5"/>
  <c r="S836" i="5" s="1"/>
  <c r="R868" i="5"/>
  <c r="Q868" i="5"/>
  <c r="P868" i="5"/>
  <c r="S775" i="5"/>
  <c r="S777" i="5"/>
  <c r="S827" i="5"/>
  <c r="Q836" i="5"/>
  <c r="P793" i="5"/>
  <c r="S803" i="5"/>
  <c r="R818" i="5"/>
  <c r="P818" i="5"/>
  <c r="S818" i="5" s="1"/>
  <c r="S841" i="5"/>
  <c r="R848" i="5"/>
  <c r="P848" i="5"/>
  <c r="Q719" i="5"/>
  <c r="S719" i="5" s="1"/>
  <c r="Q737" i="5"/>
  <c r="S737" i="5" s="1"/>
  <c r="P739" i="5"/>
  <c r="S739" i="5" s="1"/>
  <c r="P752" i="5"/>
  <c r="S752" i="5" s="1"/>
  <c r="P791" i="5"/>
  <c r="S791" i="5" s="1"/>
  <c r="R793" i="5"/>
  <c r="P801" i="5"/>
  <c r="Q803" i="5"/>
  <c r="P810" i="5"/>
  <c r="P812" i="5"/>
  <c r="Q818" i="5"/>
  <c r="S825" i="5"/>
  <c r="R834" i="5"/>
  <c r="P834" i="5"/>
  <c r="S834" i="5" s="1"/>
  <c r="Q848" i="5"/>
  <c r="R869" i="5"/>
  <c r="Q869" i="5"/>
  <c r="P869" i="5"/>
  <c r="S889" i="5"/>
  <c r="S906" i="5"/>
  <c r="P705" i="5"/>
  <c r="P721" i="5"/>
  <c r="P730" i="5"/>
  <c r="Q739" i="5"/>
  <c r="P741" i="5"/>
  <c r="Q752" i="5"/>
  <c r="P758" i="5"/>
  <c r="S758" i="5" s="1"/>
  <c r="P760" i="5"/>
  <c r="S760" i="5" s="1"/>
  <c r="P762" i="5"/>
  <c r="S762" i="5" s="1"/>
  <c r="P783" i="5"/>
  <c r="S783" i="5" s="1"/>
  <c r="P789" i="5"/>
  <c r="S789" i="5" s="1"/>
  <c r="Q791" i="5"/>
  <c r="Q801" i="5"/>
  <c r="P808" i="5"/>
  <c r="S808" i="5" s="1"/>
  <c r="Q810" i="5"/>
  <c r="Q812" i="5"/>
  <c r="Q814" i="5"/>
  <c r="S814" i="5" s="1"/>
  <c r="P816" i="5"/>
  <c r="S816" i="5" s="1"/>
  <c r="Q834" i="5"/>
  <c r="S857" i="5"/>
  <c r="Q705" i="5"/>
  <c r="Q721" i="5"/>
  <c r="Q730" i="5"/>
  <c r="Q741" i="5"/>
  <c r="R832" i="5"/>
  <c r="P832" i="5"/>
  <c r="R844" i="5"/>
  <c r="Q844" i="5"/>
  <c r="S876" i="5"/>
  <c r="P707" i="5"/>
  <c r="S707" i="5" s="1"/>
  <c r="P723" i="5"/>
  <c r="S723" i="5" s="1"/>
  <c r="P745" i="5"/>
  <c r="S745" i="5" s="1"/>
  <c r="Q806" i="5"/>
  <c r="R830" i="5"/>
  <c r="P830" i="5"/>
  <c r="Q832" i="5"/>
  <c r="P844" i="5"/>
  <c r="P851" i="5"/>
  <c r="P747" i="5"/>
  <c r="S747" i="5" s="1"/>
  <c r="W752" i="5" s="1"/>
  <c r="R806" i="5"/>
  <c r="S806" i="5" s="1"/>
  <c r="S821" i="5"/>
  <c r="Q851" i="5"/>
  <c r="P899" i="5"/>
  <c r="Q899" i="5"/>
  <c r="Q860" i="5"/>
  <c r="S860" i="5" s="1"/>
  <c r="Q876" i="5"/>
  <c r="P885" i="5"/>
  <c r="Q892" i="5"/>
  <c r="S892" i="5" s="1"/>
  <c r="P901" i="5"/>
  <c r="Q908" i="5"/>
  <c r="P846" i="5"/>
  <c r="S846" i="5" s="1"/>
  <c r="P862" i="5"/>
  <c r="S862" i="5" s="1"/>
  <c r="P878" i="5"/>
  <c r="S878" i="5" s="1"/>
  <c r="Q885" i="5"/>
  <c r="P894" i="5"/>
  <c r="S894" i="5" s="1"/>
  <c r="Q901" i="5"/>
  <c r="P910" i="5"/>
  <c r="S910" i="5" s="1"/>
  <c r="P864" i="5"/>
  <c r="S864" i="5" s="1"/>
  <c r="P880" i="5"/>
  <c r="S880" i="5" s="1"/>
  <c r="P896" i="5"/>
  <c r="S896" i="5" s="1"/>
  <c r="P912" i="5"/>
  <c r="S912" i="5" s="1"/>
  <c r="Q864" i="5"/>
  <c r="Q880" i="5"/>
  <c r="Q896" i="5"/>
  <c r="Q912" i="5"/>
  <c r="P866" i="5"/>
  <c r="S866" i="5" s="1"/>
  <c r="P882" i="5"/>
  <c r="S882" i="5" s="1"/>
  <c r="P898" i="5"/>
  <c r="S898" i="5" s="1"/>
  <c r="P914" i="5"/>
  <c r="S914" i="5" s="1"/>
  <c r="P854" i="5"/>
  <c r="S854" i="5" s="1"/>
  <c r="P870" i="5"/>
  <c r="S870" i="5" s="1"/>
  <c r="P886" i="5"/>
  <c r="S886" i="5" s="1"/>
  <c r="P902" i="5"/>
  <c r="S902" i="5" s="1"/>
  <c r="W74" i="3" s="1"/>
  <c r="X74" i="3" s="1"/>
  <c r="Z74" i="3" s="1"/>
  <c r="P872" i="5"/>
  <c r="S872" i="5" s="1"/>
  <c r="P888" i="5"/>
  <c r="S888" i="5" s="1"/>
  <c r="P904" i="5"/>
  <c r="S904" i="5" s="1"/>
  <c r="W93" i="5" l="1"/>
  <c r="W94" i="5"/>
  <c r="W95" i="5"/>
  <c r="W86" i="5"/>
  <c r="W11" i="3"/>
  <c r="X11" i="3" s="1"/>
  <c r="Z11" i="3" s="1"/>
  <c r="W84" i="5"/>
  <c r="W91" i="5"/>
  <c r="W89" i="5"/>
  <c r="W87" i="5"/>
  <c r="W92" i="5"/>
  <c r="W90" i="5"/>
  <c r="W85" i="5"/>
  <c r="W83" i="5"/>
  <c r="W88" i="5"/>
  <c r="W686" i="5"/>
  <c r="W186" i="5"/>
  <c r="W309" i="5"/>
  <c r="W348" i="5"/>
  <c r="W9" i="3"/>
  <c r="X9" i="3" s="1"/>
  <c r="Z9" i="3" s="1"/>
  <c r="W148" i="5"/>
  <c r="W149" i="5"/>
  <c r="W468" i="5"/>
  <c r="W463" i="5"/>
  <c r="W185" i="5"/>
  <c r="W511" i="5"/>
  <c r="W505" i="5"/>
  <c r="S713" i="5"/>
  <c r="W718" i="5" s="1"/>
  <c r="W671" i="5"/>
  <c r="W456" i="5"/>
  <c r="S513" i="5"/>
  <c r="W512" i="5" s="1"/>
  <c r="S367" i="5"/>
  <c r="W479" i="5"/>
  <c r="S200" i="5"/>
  <c r="S96" i="5"/>
  <c r="S49" i="5"/>
  <c r="R14" i="6"/>
  <c r="S14" i="6" s="1"/>
  <c r="T14" i="6" s="1"/>
  <c r="U14" i="6" s="1"/>
  <c r="R12" i="6"/>
  <c r="S12" i="6" s="1"/>
  <c r="T12" i="6" s="1"/>
  <c r="U12" i="6" s="1"/>
  <c r="R15" i="6"/>
  <c r="S15" i="6" s="1"/>
  <c r="T15" i="6" s="1"/>
  <c r="U15" i="6" s="1"/>
  <c r="R13" i="6"/>
  <c r="S13" i="6" s="1"/>
  <c r="T13" i="6" s="1"/>
  <c r="U13" i="6" s="1"/>
  <c r="W199" i="5"/>
  <c r="W188" i="5"/>
  <c r="W193" i="5"/>
  <c r="W190" i="5"/>
  <c r="W192" i="5"/>
  <c r="W198" i="5"/>
  <c r="W196" i="5"/>
  <c r="W194" i="5"/>
  <c r="W191" i="5"/>
  <c r="W189" i="5"/>
  <c r="W187" i="5"/>
  <c r="W197" i="5"/>
  <c r="W195" i="5"/>
  <c r="R24" i="6"/>
  <c r="S24" i="6" s="1"/>
  <c r="T24" i="6" s="1"/>
  <c r="U24" i="6" s="1"/>
  <c r="R28" i="6"/>
  <c r="S28" i="6" s="1"/>
  <c r="T28" i="6" s="1"/>
  <c r="U28" i="6" s="1"/>
  <c r="W530" i="5"/>
  <c r="W61" i="3"/>
  <c r="X61" i="3" s="1"/>
  <c r="Z61" i="3" s="1"/>
  <c r="S50" i="5"/>
  <c r="W175" i="5"/>
  <c r="W567" i="5"/>
  <c r="W572" i="5"/>
  <c r="S157" i="5"/>
  <c r="S33" i="5"/>
  <c r="W7" i="3" s="1"/>
  <c r="X7" i="3" s="1"/>
  <c r="Z7" i="3" s="1"/>
  <c r="S133" i="5"/>
  <c r="W749" i="5"/>
  <c r="W758" i="5"/>
  <c r="W754" i="5"/>
  <c r="W756" i="5"/>
  <c r="S649" i="5"/>
  <c r="W753" i="5"/>
  <c r="S696" i="5"/>
  <c r="S497" i="5"/>
  <c r="S372" i="5"/>
  <c r="S470" i="5"/>
  <c r="W245" i="5"/>
  <c r="W22" i="5"/>
  <c r="W27" i="5"/>
  <c r="W18" i="5"/>
  <c r="W23" i="5"/>
  <c r="W26" i="5"/>
  <c r="W24" i="5"/>
  <c r="W30" i="5"/>
  <c r="W28" i="5"/>
  <c r="W19" i="5"/>
  <c r="W21" i="5"/>
  <c r="W25" i="5"/>
  <c r="W29" i="5"/>
  <c r="W20" i="5"/>
  <c r="W6" i="3"/>
  <c r="X6" i="3" s="1"/>
  <c r="Z6" i="3" s="1"/>
  <c r="S647" i="5"/>
  <c r="W746" i="5"/>
  <c r="S674" i="5"/>
  <c r="W675" i="5" s="1"/>
  <c r="W674" i="5"/>
  <c r="S450" i="5"/>
  <c r="W459" i="5" s="1"/>
  <c r="S586" i="5"/>
  <c r="W474" i="5"/>
  <c r="S261" i="5"/>
  <c r="S145" i="5"/>
  <c r="S205" i="5"/>
  <c r="W179" i="5"/>
  <c r="S166" i="5"/>
  <c r="S71" i="5"/>
  <c r="S848" i="5"/>
  <c r="S830" i="5"/>
  <c r="S741" i="5"/>
  <c r="W737" i="5" s="1"/>
  <c r="S810" i="5"/>
  <c r="S793" i="5"/>
  <c r="S817" i="5"/>
  <c r="R36" i="6" s="1"/>
  <c r="W781" i="5"/>
  <c r="S633" i="5"/>
  <c r="W748" i="5"/>
  <c r="S665" i="5"/>
  <c r="W657" i="5" s="1"/>
  <c r="S620" i="5"/>
  <c r="W624" i="5" s="1"/>
  <c r="S434" i="5"/>
  <c r="S349" i="5"/>
  <c r="S515" i="5"/>
  <c r="S353" i="5"/>
  <c r="W397" i="5"/>
  <c r="W402" i="5"/>
  <c r="S250" i="5"/>
  <c r="W241" i="5" s="1"/>
  <c r="W181" i="5"/>
  <c r="W157" i="5"/>
  <c r="S155" i="5"/>
  <c r="W156" i="5" s="1"/>
  <c r="S259" i="5"/>
  <c r="W24" i="3" s="1"/>
  <c r="X24" i="3" s="1"/>
  <c r="Z24" i="3" s="1"/>
  <c r="S809" i="5"/>
  <c r="R35" i="6"/>
  <c r="S35" i="6" s="1"/>
  <c r="T35" i="6" s="1"/>
  <c r="U35" i="6" s="1"/>
  <c r="W67" i="3"/>
  <c r="X67" i="3" s="1"/>
  <c r="Z67" i="3" s="1"/>
  <c r="W795" i="5"/>
  <c r="W797" i="5"/>
  <c r="W755" i="5"/>
  <c r="W704" i="5"/>
  <c r="S583" i="5"/>
  <c r="S480" i="5"/>
  <c r="W485" i="5" s="1"/>
  <c r="W408" i="5"/>
  <c r="W36" i="3"/>
  <c r="X36" i="3" s="1"/>
  <c r="Z36" i="3" s="1"/>
  <c r="S418" i="5"/>
  <c r="W420" i="5" s="1"/>
  <c r="W301" i="5"/>
  <c r="W295" i="5"/>
  <c r="S383" i="5"/>
  <c r="S386" i="5"/>
  <c r="S356" i="5"/>
  <c r="S327" i="5"/>
  <c r="S363" i="5"/>
  <c r="S129" i="5"/>
  <c r="W159" i="5"/>
  <c r="S72" i="5"/>
  <c r="S45" i="5"/>
  <c r="S80" i="5"/>
  <c r="S104" i="5"/>
  <c r="S697" i="5"/>
  <c r="S812" i="5"/>
  <c r="W817" i="5" s="1"/>
  <c r="S901" i="5"/>
  <c r="S801" i="5"/>
  <c r="S788" i="5"/>
  <c r="W793" i="5" s="1"/>
  <c r="S629" i="5"/>
  <c r="W757" i="5"/>
  <c r="S652" i="5"/>
  <c r="S712" i="5"/>
  <c r="S613" i="5"/>
  <c r="W611" i="5" s="1"/>
  <c r="S639" i="5"/>
  <c r="S550" i="5"/>
  <c r="S534" i="5"/>
  <c r="W535" i="5" s="1"/>
  <c r="W417" i="5"/>
  <c r="S384" i="5"/>
  <c r="S496" i="5"/>
  <c r="S264" i="5"/>
  <c r="S238" i="5"/>
  <c r="W174" i="5"/>
  <c r="S206" i="5"/>
  <c r="W240" i="5"/>
  <c r="S139" i="5"/>
  <c r="S851" i="5"/>
  <c r="W70" i="3" s="1"/>
  <c r="X70" i="3" s="1"/>
  <c r="Z70" i="3" s="1"/>
  <c r="S642" i="5"/>
  <c r="W514" i="5"/>
  <c r="W517" i="5"/>
  <c r="S567" i="5"/>
  <c r="S646" i="5"/>
  <c r="W577" i="5"/>
  <c r="W580" i="5"/>
  <c r="W340" i="5"/>
  <c r="W333" i="5"/>
  <c r="W331" i="5"/>
  <c r="W342" i="5"/>
  <c r="W338" i="5"/>
  <c r="W336" i="5"/>
  <c r="W334" i="5"/>
  <c r="W332" i="5"/>
  <c r="W330" i="5"/>
  <c r="W337" i="5"/>
  <c r="W335" i="5"/>
  <c r="W341" i="5"/>
  <c r="W339" i="5"/>
  <c r="W176" i="5"/>
  <c r="S34" i="5"/>
  <c r="W857" i="5"/>
  <c r="W855" i="5"/>
  <c r="W862" i="5"/>
  <c r="W853" i="5"/>
  <c r="W851" i="5"/>
  <c r="W858" i="5"/>
  <c r="W856" i="5"/>
  <c r="W854" i="5"/>
  <c r="W852" i="5"/>
  <c r="W860" i="5"/>
  <c r="W850" i="5"/>
  <c r="W859" i="5"/>
  <c r="W861" i="5"/>
  <c r="S844" i="5"/>
  <c r="S730" i="5"/>
  <c r="S885" i="5"/>
  <c r="S721" i="5"/>
  <c r="S729" i="5"/>
  <c r="S705" i="5"/>
  <c r="S883" i="5"/>
  <c r="W72" i="3" s="1"/>
  <c r="X72" i="3" s="1"/>
  <c r="Z72" i="3" s="1"/>
  <c r="S625" i="5"/>
  <c r="W627" i="5" s="1"/>
  <c r="S636" i="5"/>
  <c r="S742" i="5"/>
  <c r="S644" i="5"/>
  <c r="W419" i="5"/>
  <c r="W482" i="5"/>
  <c r="S346" i="5"/>
  <c r="R16" i="6" s="1"/>
  <c r="W259" i="5"/>
  <c r="W255" i="5"/>
  <c r="W178" i="5"/>
  <c r="S109" i="5"/>
  <c r="W246" i="5"/>
  <c r="W30" i="3"/>
  <c r="X30" i="3" s="1"/>
  <c r="Z30" i="3" s="1"/>
  <c r="W708" i="5"/>
  <c r="S868" i="5"/>
  <c r="W865" i="5" s="1"/>
  <c r="W842" i="5"/>
  <c r="S784" i="5"/>
  <c r="W64" i="3" s="1"/>
  <c r="X64" i="3" s="1"/>
  <c r="Z64" i="3" s="1"/>
  <c r="S551" i="5"/>
  <c r="S740" i="5"/>
  <c r="W743" i="5" s="1"/>
  <c r="W430" i="5"/>
  <c r="W426" i="5"/>
  <c r="S566" i="5"/>
  <c r="W566" i="5" s="1"/>
  <c r="S597" i="5"/>
  <c r="W50" i="3" s="1"/>
  <c r="X50" i="3" s="1"/>
  <c r="Z50" i="3" s="1"/>
  <c r="S602" i="5"/>
  <c r="S570" i="5"/>
  <c r="W412" i="5"/>
  <c r="W317" i="5"/>
  <c r="W478" i="5"/>
  <c r="S389" i="5"/>
  <c r="S301" i="5"/>
  <c r="S221" i="5"/>
  <c r="W75" i="5"/>
  <c r="W71" i="5"/>
  <c r="W180" i="5"/>
  <c r="W69" i="3"/>
  <c r="X69" i="3" s="1"/>
  <c r="Z69" i="3" s="1"/>
  <c r="S128" i="5"/>
  <c r="W14" i="3" s="1"/>
  <c r="X14" i="3" s="1"/>
  <c r="Z14" i="3" s="1"/>
  <c r="W124" i="5"/>
  <c r="S161" i="5"/>
  <c r="W249" i="5"/>
  <c r="W7" i="5"/>
  <c r="W14" i="5"/>
  <c r="S624" i="5"/>
  <c r="W374" i="5"/>
  <c r="W372" i="5"/>
  <c r="W379" i="5"/>
  <c r="W377" i="5"/>
  <c r="W371" i="5"/>
  <c r="W381" i="5"/>
  <c r="W376" i="5"/>
  <c r="W378" i="5"/>
  <c r="W380" i="5"/>
  <c r="W373" i="5"/>
  <c r="W370" i="5"/>
  <c r="W375" i="5"/>
  <c r="W369" i="5"/>
  <c r="W33" i="3"/>
  <c r="X33" i="3" s="1"/>
  <c r="Z33" i="3" s="1"/>
  <c r="W414" i="5"/>
  <c r="S289" i="5"/>
  <c r="W476" i="5"/>
  <c r="S294" i="5"/>
  <c r="W220" i="5"/>
  <c r="W218" i="5"/>
  <c r="W223" i="5"/>
  <c r="W217" i="5"/>
  <c r="W182" i="5"/>
  <c r="S215" i="5"/>
  <c r="W21" i="3" s="1"/>
  <c r="X21" i="3" s="1"/>
  <c r="Z21" i="3" s="1"/>
  <c r="S73" i="5"/>
  <c r="W72" i="5" s="1"/>
  <c r="S64" i="5"/>
  <c r="W63" i="5" s="1"/>
  <c r="S53" i="5"/>
  <c r="W898" i="5"/>
  <c r="W889" i="5"/>
  <c r="W896" i="5"/>
  <c r="W894" i="5"/>
  <c r="W901" i="5"/>
  <c r="W899" i="5"/>
  <c r="W890" i="5"/>
  <c r="W897" i="5"/>
  <c r="W893" i="5"/>
  <c r="W900" i="5"/>
  <c r="S899" i="5"/>
  <c r="W73" i="3" s="1"/>
  <c r="X73" i="3" s="1"/>
  <c r="Z73" i="3" s="1"/>
  <c r="S869" i="5"/>
  <c r="W875" i="5" s="1"/>
  <c r="W760" i="5"/>
  <c r="S675" i="5"/>
  <c r="W669" i="5" s="1"/>
  <c r="S731" i="5"/>
  <c r="S581" i="5"/>
  <c r="R30" i="6" s="1"/>
  <c r="S538" i="5"/>
  <c r="S486" i="5"/>
  <c r="S506" i="5"/>
  <c r="W416" i="5"/>
  <c r="W287" i="5"/>
  <c r="W238" i="5"/>
  <c r="S318" i="5"/>
  <c r="W328" i="5" s="1"/>
  <c r="S281" i="5"/>
  <c r="W26" i="3" s="1"/>
  <c r="X26" i="3" s="1"/>
  <c r="Z26" i="3" s="1"/>
  <c r="S229" i="5"/>
  <c r="W228" i="5" s="1"/>
  <c r="W312" i="5"/>
  <c r="W23" i="3"/>
  <c r="X23" i="3" s="1"/>
  <c r="Z23" i="3" s="1"/>
  <c r="W18" i="3"/>
  <c r="X18" i="3" s="1"/>
  <c r="Z18" i="3" s="1"/>
  <c r="W42" i="5"/>
  <c r="W31" i="5"/>
  <c r="W184" i="5"/>
  <c r="S120" i="5"/>
  <c r="W45" i="3"/>
  <c r="X45" i="3" s="1"/>
  <c r="Z45" i="3" s="1"/>
  <c r="S103" i="5"/>
  <c r="W126" i="5"/>
  <c r="S352" i="5"/>
  <c r="S13" i="5"/>
  <c r="W5" i="5" s="1"/>
  <c r="W244" i="5"/>
  <c r="W882" i="5"/>
  <c r="W880" i="5"/>
  <c r="W887" i="5"/>
  <c r="W878" i="5"/>
  <c r="W885" i="5"/>
  <c r="W883" i="5"/>
  <c r="W881" i="5"/>
  <c r="W888" i="5"/>
  <c r="W879" i="5"/>
  <c r="W886" i="5"/>
  <c r="W884" i="5"/>
  <c r="W877" i="5"/>
  <c r="W876" i="5"/>
  <c r="S722" i="5"/>
  <c r="W601" i="5"/>
  <c r="W592" i="5"/>
  <c r="W599" i="5"/>
  <c r="W590" i="5"/>
  <c r="W597" i="5"/>
  <c r="W595" i="5"/>
  <c r="W602" i="5"/>
  <c r="W593" i="5"/>
  <c r="W600" i="5"/>
  <c r="W591" i="5"/>
  <c r="W596" i="5"/>
  <c r="W594" i="5"/>
  <c r="S542" i="5"/>
  <c r="W41" i="3"/>
  <c r="X41" i="3" s="1"/>
  <c r="Z41" i="3" s="1"/>
  <c r="S549" i="5"/>
  <c r="S400" i="5"/>
  <c r="W405" i="5" s="1"/>
  <c r="W483" i="5"/>
  <c r="S283" i="5"/>
  <c r="W288" i="5" s="1"/>
  <c r="S432" i="5"/>
  <c r="R23" i="6" s="1"/>
  <c r="S270" i="5"/>
  <c r="W266" i="5" s="1"/>
  <c r="S135" i="5"/>
  <c r="W128" i="5"/>
  <c r="W267" i="5"/>
  <c r="S168" i="5"/>
  <c r="W239" i="5"/>
  <c r="W62" i="3"/>
  <c r="X62" i="3" s="1"/>
  <c r="Z62" i="3" s="1"/>
  <c r="W71" i="3"/>
  <c r="X71" i="3" s="1"/>
  <c r="Z71" i="3" s="1"/>
  <c r="W914" i="5"/>
  <c r="W905" i="5"/>
  <c r="W912" i="5"/>
  <c r="W903" i="5"/>
  <c r="W910" i="5"/>
  <c r="W906" i="5"/>
  <c r="W913" i="5"/>
  <c r="W904" i="5"/>
  <c r="W911" i="5"/>
  <c r="W902" i="5"/>
  <c r="W909" i="5"/>
  <c r="W907" i="5"/>
  <c r="W908" i="5"/>
  <c r="W848" i="5"/>
  <c r="S832" i="5"/>
  <c r="W68" i="3" s="1"/>
  <c r="X68" i="3" s="1"/>
  <c r="Z68" i="3" s="1"/>
  <c r="S770" i="5"/>
  <c r="S690" i="5"/>
  <c r="W681" i="5" s="1"/>
  <c r="W659" i="5"/>
  <c r="W663" i="5"/>
  <c r="W827" i="5"/>
  <c r="S574" i="5"/>
  <c r="S767" i="5"/>
  <c r="W771" i="5" s="1"/>
  <c r="W677" i="5"/>
  <c r="S493" i="5"/>
  <c r="S502" i="5"/>
  <c r="W503" i="5" s="1"/>
  <c r="S465" i="5"/>
  <c r="W465" i="5" s="1"/>
  <c r="S490" i="5"/>
  <c r="S518" i="5"/>
  <c r="W418" i="5"/>
  <c r="W475" i="5"/>
  <c r="S263" i="5"/>
  <c r="W256" i="5" s="1"/>
  <c r="S292" i="5"/>
  <c r="W300" i="5" s="1"/>
  <c r="S234" i="5"/>
  <c r="W229" i="5" s="1"/>
  <c r="S209" i="5"/>
  <c r="S314" i="5"/>
  <c r="W311" i="5" s="1"/>
  <c r="W177" i="5"/>
  <c r="W130" i="5"/>
  <c r="W248" i="5"/>
  <c r="W48" i="3"/>
  <c r="X48" i="3" s="1"/>
  <c r="Z48" i="3" s="1"/>
  <c r="W13" i="6" l="1"/>
  <c r="W12" i="6"/>
  <c r="AB12" i="6"/>
  <c r="W15" i="6"/>
  <c r="AB15" i="6"/>
  <c r="W14" i="6"/>
  <c r="AB14" i="6"/>
  <c r="S30" i="6"/>
  <c r="AB30" i="6"/>
  <c r="S16" i="6"/>
  <c r="AB16" i="6" s="1"/>
  <c r="S36" i="6"/>
  <c r="AB36" i="6" s="1"/>
  <c r="S23" i="6"/>
  <c r="AB23" i="6" s="1"/>
  <c r="W706" i="5"/>
  <c r="W701" i="5"/>
  <c r="W702" i="5"/>
  <c r="R7" i="6"/>
  <c r="W662" i="5"/>
  <c r="W290" i="5"/>
  <c r="W705" i="5"/>
  <c r="W213" i="5"/>
  <c r="W11" i="5"/>
  <c r="W77" i="5"/>
  <c r="W320" i="5"/>
  <c r="R20" i="6"/>
  <c r="W711" i="5"/>
  <c r="W262" i="5"/>
  <c r="W129" i="5"/>
  <c r="W589" i="5"/>
  <c r="W653" i="5"/>
  <c r="W642" i="5"/>
  <c r="W652" i="5"/>
  <c r="W643" i="5"/>
  <c r="W654" i="5"/>
  <c r="W650" i="5"/>
  <c r="W648" i="5"/>
  <c r="W646" i="5"/>
  <c r="W644" i="5"/>
  <c r="W651" i="5"/>
  <c r="W649" i="5"/>
  <c r="W647" i="5"/>
  <c r="W645" i="5"/>
  <c r="W54" i="3"/>
  <c r="X54" i="3" s="1"/>
  <c r="Z54" i="3" s="1"/>
  <c r="W27" i="3"/>
  <c r="X27" i="3" s="1"/>
  <c r="Z27" i="3" s="1"/>
  <c r="W302" i="5"/>
  <c r="W873" i="5"/>
  <c r="W787" i="5"/>
  <c r="W819" i="5"/>
  <c r="W398" i="5"/>
  <c r="W676" i="5"/>
  <c r="W777" i="5"/>
  <c r="W481" i="5"/>
  <c r="W35" i="6"/>
  <c r="W575" i="5"/>
  <c r="W243" i="5"/>
  <c r="W528" i="5"/>
  <c r="W269" i="5"/>
  <c r="W628" i="5"/>
  <c r="W452" i="5"/>
  <c r="W43" i="3"/>
  <c r="X43" i="3" s="1"/>
  <c r="Z43" i="3" s="1"/>
  <c r="W870" i="5"/>
  <c r="W409" i="5"/>
  <c r="W313" i="5"/>
  <c r="W67" i="5"/>
  <c r="W353" i="5"/>
  <c r="W683" i="5"/>
  <c r="W814" i="5"/>
  <c r="W655" i="5"/>
  <c r="W666" i="5"/>
  <c r="W232" i="5"/>
  <c r="W279" i="5"/>
  <c r="W59" i="3"/>
  <c r="X59" i="3" s="1"/>
  <c r="Z59" i="3" s="1"/>
  <c r="W656" i="5"/>
  <c r="W56" i="3"/>
  <c r="X56" i="3" s="1"/>
  <c r="Z56" i="3" s="1"/>
  <c r="W28" i="6"/>
  <c r="W37" i="5"/>
  <c r="W227" i="5"/>
  <c r="W281" i="5"/>
  <c r="W63" i="3"/>
  <c r="X63" i="3" s="1"/>
  <c r="Z63" i="3" s="1"/>
  <c r="W892" i="5"/>
  <c r="W221" i="5"/>
  <c r="W6" i="5"/>
  <c r="W79" i="5"/>
  <c r="W322" i="5"/>
  <c r="W424" i="5"/>
  <c r="R22" i="6"/>
  <c r="W713" i="5"/>
  <c r="W258" i="5"/>
  <c r="W696" i="5"/>
  <c r="W578" i="5"/>
  <c r="W703" i="5"/>
  <c r="W291" i="5"/>
  <c r="W741" i="5"/>
  <c r="W789" i="5"/>
  <c r="W821" i="5"/>
  <c r="W407" i="5"/>
  <c r="W864" i="5"/>
  <c r="W779" i="5"/>
  <c r="W568" i="5"/>
  <c r="W134" i="5"/>
  <c r="W537" i="5"/>
  <c r="W102" i="5"/>
  <c r="W100" i="5"/>
  <c r="W107" i="5"/>
  <c r="W98" i="5"/>
  <c r="W105" i="5"/>
  <c r="W103" i="5"/>
  <c r="W108" i="5"/>
  <c r="W106" i="5"/>
  <c r="W97" i="5"/>
  <c r="W99" i="5"/>
  <c r="W101" i="5"/>
  <c r="W104" i="5"/>
  <c r="W96" i="5"/>
  <c r="W12" i="3"/>
  <c r="X12" i="3" s="1"/>
  <c r="Z12" i="3" s="1"/>
  <c r="W617" i="5"/>
  <c r="W454" i="5"/>
  <c r="W507" i="5"/>
  <c r="W603" i="5"/>
  <c r="W461" i="5"/>
  <c r="W158" i="5"/>
  <c r="W304" i="5"/>
  <c r="W66" i="5"/>
  <c r="W351" i="5"/>
  <c r="W688" i="5"/>
  <c r="W698" i="5"/>
  <c r="R6" i="6"/>
  <c r="W234" i="5"/>
  <c r="W665" i="5"/>
  <c r="AB28" i="6"/>
  <c r="W745" i="5"/>
  <c r="W33" i="5"/>
  <c r="W236" i="5"/>
  <c r="W283" i="5"/>
  <c r="W769" i="5"/>
  <c r="W891" i="5"/>
  <c r="W214" i="5"/>
  <c r="W76" i="5"/>
  <c r="W326" i="5"/>
  <c r="W433" i="5"/>
  <c r="W715" i="5"/>
  <c r="W260" i="5"/>
  <c r="W832" i="5"/>
  <c r="W587" i="5"/>
  <c r="W44" i="3"/>
  <c r="X44" i="3" s="1"/>
  <c r="Z44" i="3" s="1"/>
  <c r="W293" i="5"/>
  <c r="W791" i="5"/>
  <c r="W823" i="5"/>
  <c r="W400" i="5"/>
  <c r="W735" i="5"/>
  <c r="W773" i="5"/>
  <c r="W570" i="5"/>
  <c r="R26" i="6"/>
  <c r="W206" i="5"/>
  <c r="W204" i="5"/>
  <c r="W211" i="5"/>
  <c r="W209" i="5"/>
  <c r="W200" i="5"/>
  <c r="W205" i="5"/>
  <c r="W207" i="5"/>
  <c r="W202" i="5"/>
  <c r="W208" i="5"/>
  <c r="W201" i="5"/>
  <c r="W210" i="5"/>
  <c r="W212" i="5"/>
  <c r="W203" i="5"/>
  <c r="W20" i="3"/>
  <c r="X20" i="3" s="1"/>
  <c r="Z20" i="3" s="1"/>
  <c r="W619" i="5"/>
  <c r="W447" i="5"/>
  <c r="W510" i="5"/>
  <c r="W612" i="5"/>
  <c r="W470" i="5"/>
  <c r="W160" i="5"/>
  <c r="W310" i="5"/>
  <c r="W59" i="5"/>
  <c r="W343" i="5"/>
  <c r="W689" i="5"/>
  <c r="W314" i="5"/>
  <c r="W68" i="5"/>
  <c r="W345" i="5"/>
  <c r="W687" i="5"/>
  <c r="W231" i="5"/>
  <c r="W762" i="5"/>
  <c r="W216" i="5"/>
  <c r="W73" i="5"/>
  <c r="W319" i="5"/>
  <c r="W428" i="5"/>
  <c r="W830" i="5"/>
  <c r="W717" i="5"/>
  <c r="W264" i="5"/>
  <c r="W582" i="5"/>
  <c r="W518" i="5"/>
  <c r="W25" i="3"/>
  <c r="X25" i="3" s="1"/>
  <c r="Z25" i="3" s="1"/>
  <c r="W866" i="5"/>
  <c r="W44" i="5"/>
  <c r="W46" i="5"/>
  <c r="W54" i="5"/>
  <c r="W8" i="3"/>
  <c r="X8" i="3" s="1"/>
  <c r="Z8" i="3" s="1"/>
  <c r="W52" i="5"/>
  <c r="W50" i="5"/>
  <c r="W55" i="5"/>
  <c r="W56" i="5"/>
  <c r="W51" i="5"/>
  <c r="W47" i="5"/>
  <c r="W45" i="5"/>
  <c r="W49" i="5"/>
  <c r="W53" i="5"/>
  <c r="W48" i="5"/>
  <c r="W297" i="5"/>
  <c r="W818" i="5"/>
  <c r="W395" i="5"/>
  <c r="W869" i="5"/>
  <c r="W247" i="5"/>
  <c r="W565" i="5"/>
  <c r="R25" i="6"/>
  <c r="W626" i="5"/>
  <c r="W501" i="5"/>
  <c r="W607" i="5"/>
  <c r="W467" i="5"/>
  <c r="W153" i="5"/>
  <c r="W251" i="5"/>
  <c r="W344" i="5"/>
  <c r="W31" i="3"/>
  <c r="X31" i="3" s="1"/>
  <c r="Z31" i="3" s="1"/>
  <c r="W691" i="5"/>
  <c r="W614" i="5"/>
  <c r="W667" i="5"/>
  <c r="W35" i="5"/>
  <c r="W863" i="5"/>
  <c r="W661" i="5"/>
  <c r="W598" i="5"/>
  <c r="W24" i="6"/>
  <c r="W40" i="5"/>
  <c r="W496" i="5"/>
  <c r="W487" i="5"/>
  <c r="W492" i="5"/>
  <c r="W490" i="5"/>
  <c r="W497" i="5"/>
  <c r="W495" i="5"/>
  <c r="W486" i="5"/>
  <c r="W488" i="5"/>
  <c r="W494" i="5"/>
  <c r="W498" i="5"/>
  <c r="W489" i="5"/>
  <c r="W491" i="5"/>
  <c r="W493" i="5"/>
  <c r="W42" i="3"/>
  <c r="X42" i="3" s="1"/>
  <c r="Z42" i="3" s="1"/>
  <c r="W764" i="5"/>
  <c r="W895" i="5"/>
  <c r="W225" i="5"/>
  <c r="W12" i="5"/>
  <c r="W167" i="5"/>
  <c r="W165" i="5"/>
  <c r="W163" i="5"/>
  <c r="W161" i="5"/>
  <c r="W172" i="5"/>
  <c r="W170" i="5"/>
  <c r="W168" i="5"/>
  <c r="W166" i="5"/>
  <c r="W164" i="5"/>
  <c r="W162" i="5"/>
  <c r="W173" i="5"/>
  <c r="W171" i="5"/>
  <c r="W169" i="5"/>
  <c r="W17" i="3"/>
  <c r="X17" i="3" s="1"/>
  <c r="Z17" i="3" s="1"/>
  <c r="W82" i="5"/>
  <c r="W321" i="5"/>
  <c r="W421" i="5"/>
  <c r="W257" i="5"/>
  <c r="W584" i="5"/>
  <c r="W521" i="5"/>
  <c r="W299" i="5"/>
  <c r="W65" i="3"/>
  <c r="X65" i="3" s="1"/>
  <c r="Z65" i="3" s="1"/>
  <c r="W812" i="5"/>
  <c r="W404" i="5"/>
  <c r="W744" i="5"/>
  <c r="W574" i="5"/>
  <c r="W533" i="5"/>
  <c r="R27" i="6"/>
  <c r="W39" i="3"/>
  <c r="X39" i="3" s="1"/>
  <c r="Z39" i="3" s="1"/>
  <c r="W738" i="5"/>
  <c r="W499" i="5"/>
  <c r="W609" i="5"/>
  <c r="W469" i="5"/>
  <c r="W155" i="5"/>
  <c r="W346" i="5"/>
  <c r="W349" i="5"/>
  <c r="W684" i="5"/>
  <c r="W658" i="5"/>
  <c r="AB24" i="6"/>
  <c r="W41" i="5"/>
  <c r="W22" i="3"/>
  <c r="X22" i="3" s="1"/>
  <c r="Z22" i="3" s="1"/>
  <c r="W285" i="5"/>
  <c r="W768" i="5"/>
  <c r="W16" i="5"/>
  <c r="W123" i="5"/>
  <c r="W125" i="5"/>
  <c r="W131" i="5"/>
  <c r="W70" i="5"/>
  <c r="W325" i="5"/>
  <c r="W423" i="5"/>
  <c r="W872" i="5"/>
  <c r="W252" i="5"/>
  <c r="W730" i="5"/>
  <c r="W721" i="5"/>
  <c r="W729" i="5"/>
  <c r="W720" i="5"/>
  <c r="W60" i="3"/>
  <c r="X60" i="3" s="1"/>
  <c r="Z60" i="3" s="1"/>
  <c r="W724" i="5"/>
  <c r="W722" i="5"/>
  <c r="W731" i="5"/>
  <c r="W727" i="5"/>
  <c r="W723" i="5"/>
  <c r="W732" i="5"/>
  <c r="W728" i="5"/>
  <c r="W726" i="5"/>
  <c r="W725" i="5"/>
  <c r="W586" i="5"/>
  <c r="W523" i="5"/>
  <c r="W694" i="5"/>
  <c r="W303" i="5"/>
  <c r="W785" i="5"/>
  <c r="W816" i="5"/>
  <c r="W406" i="5"/>
  <c r="W783" i="5"/>
  <c r="W824" i="5"/>
  <c r="W826" i="5"/>
  <c r="W828" i="5"/>
  <c r="W829" i="5"/>
  <c r="W831" i="5"/>
  <c r="W833" i="5"/>
  <c r="W871" i="5"/>
  <c r="W835" i="5"/>
  <c r="W576" i="5"/>
  <c r="W525" i="5"/>
  <c r="W680" i="5"/>
  <c r="W52" i="3"/>
  <c r="X52" i="3" s="1"/>
  <c r="Z52" i="3" s="1"/>
  <c r="W449" i="5"/>
  <c r="W836" i="5"/>
  <c r="W509" i="5"/>
  <c r="W604" i="5"/>
  <c r="W460" i="5"/>
  <c r="W16" i="3"/>
  <c r="X16" i="3" s="1"/>
  <c r="Z16" i="3" s="1"/>
  <c r="W57" i="5"/>
  <c r="W355" i="5"/>
  <c r="W40" i="3"/>
  <c r="X40" i="3" s="1"/>
  <c r="Z40" i="3" s="1"/>
  <c r="W690" i="5"/>
  <c r="W766" i="5"/>
  <c r="W323" i="5"/>
  <c r="W660" i="5"/>
  <c r="W29" i="3"/>
  <c r="X29" i="3" s="1"/>
  <c r="Z29" i="3" s="1"/>
  <c r="W32" i="5"/>
  <c r="W237" i="5"/>
  <c r="W278" i="5"/>
  <c r="W673" i="5"/>
  <c r="W770" i="5"/>
  <c r="W222" i="5"/>
  <c r="W8" i="5"/>
  <c r="W306" i="5"/>
  <c r="W327" i="5"/>
  <c r="W432" i="5"/>
  <c r="W714" i="5"/>
  <c r="W261" i="5"/>
  <c r="W579" i="5"/>
  <c r="W516" i="5"/>
  <c r="W294" i="5"/>
  <c r="W794" i="5"/>
  <c r="W811" i="5"/>
  <c r="W399" i="5"/>
  <c r="W772" i="5"/>
  <c r="W733" i="5"/>
  <c r="W484" i="5"/>
  <c r="W569" i="5"/>
  <c r="W534" i="5"/>
  <c r="W874" i="5"/>
  <c r="W621" i="5"/>
  <c r="W458" i="5"/>
  <c r="AB13" i="6"/>
  <c r="W502" i="5"/>
  <c r="W613" i="5"/>
  <c r="W462" i="5"/>
  <c r="W150" i="5"/>
  <c r="W60" i="5"/>
  <c r="W350" i="5"/>
  <c r="W692" i="5"/>
  <c r="W316" i="5"/>
  <c r="W699" i="5"/>
  <c r="R8" i="6"/>
  <c r="R11" i="6"/>
  <c r="R9" i="6"/>
  <c r="R10" i="6"/>
  <c r="W141" i="5"/>
  <c r="W139" i="5"/>
  <c r="W146" i="5"/>
  <c r="W137" i="5"/>
  <c r="W144" i="5"/>
  <c r="W135" i="5"/>
  <c r="W142" i="5"/>
  <c r="W140" i="5"/>
  <c r="W138" i="5"/>
  <c r="W145" i="5"/>
  <c r="W136" i="5"/>
  <c r="W147" i="5"/>
  <c r="W143" i="5"/>
  <c r="W15" i="3"/>
  <c r="X15" i="3" s="1"/>
  <c r="Z15" i="3" s="1"/>
  <c r="W39" i="5"/>
  <c r="W235" i="5"/>
  <c r="W289" i="5"/>
  <c r="W868" i="5"/>
  <c r="W759" i="5"/>
  <c r="W215" i="5"/>
  <c r="W10" i="5"/>
  <c r="W329" i="5"/>
  <c r="W425" i="5"/>
  <c r="W709" i="5"/>
  <c r="AB35" i="6"/>
  <c r="W254" i="5"/>
  <c r="W588" i="5"/>
  <c r="W520" i="5"/>
  <c r="W127" i="5"/>
  <c r="W637" i="5"/>
  <c r="W638" i="5"/>
  <c r="W640" i="5"/>
  <c r="W636" i="5"/>
  <c r="W634" i="5"/>
  <c r="W632" i="5"/>
  <c r="W630" i="5"/>
  <c r="W639" i="5"/>
  <c r="W641" i="5"/>
  <c r="W635" i="5"/>
  <c r="W633" i="5"/>
  <c r="W631" i="5"/>
  <c r="W629" i="5"/>
  <c r="W53" i="3"/>
  <c r="X53" i="3" s="1"/>
  <c r="Z53" i="3" s="1"/>
  <c r="W296" i="5"/>
  <c r="W796" i="5"/>
  <c r="W813" i="5"/>
  <c r="W480" i="5"/>
  <c r="W774" i="5"/>
  <c r="W672" i="5"/>
  <c r="W273" i="5"/>
  <c r="W526" i="5"/>
  <c r="W740" i="5"/>
  <c r="W623" i="5"/>
  <c r="W451" i="5"/>
  <c r="W242" i="5"/>
  <c r="W500" i="5"/>
  <c r="W51" i="3"/>
  <c r="X51" i="3" s="1"/>
  <c r="Z51" i="3" s="1"/>
  <c r="W464" i="5"/>
  <c r="W152" i="5"/>
  <c r="W62" i="5"/>
  <c r="W352" i="5"/>
  <c r="W742" i="5"/>
  <c r="W685" i="5"/>
  <c r="W734" i="5"/>
  <c r="W230" i="5"/>
  <c r="W739" i="5"/>
  <c r="W761" i="5"/>
  <c r="W13" i="5"/>
  <c r="W10" i="3"/>
  <c r="X10" i="3" s="1"/>
  <c r="Z10" i="3" s="1"/>
  <c r="W318" i="5"/>
  <c r="W427" i="5"/>
  <c r="W710" i="5"/>
  <c r="W263" i="5"/>
  <c r="W837" i="5"/>
  <c r="W843" i="5"/>
  <c r="W849" i="5"/>
  <c r="W839" i="5"/>
  <c r="W847" i="5"/>
  <c r="W581" i="5"/>
  <c r="W513" i="5"/>
  <c r="W367" i="5"/>
  <c r="W358" i="5"/>
  <c r="W356" i="5"/>
  <c r="W363" i="5"/>
  <c r="W361" i="5"/>
  <c r="W368" i="5"/>
  <c r="W366" i="5"/>
  <c r="W357" i="5"/>
  <c r="W359" i="5"/>
  <c r="W365" i="5"/>
  <c r="W360" i="5"/>
  <c r="W362" i="5"/>
  <c r="W364" i="5"/>
  <c r="W32" i="3"/>
  <c r="X32" i="3" s="1"/>
  <c r="Z32" i="3" s="1"/>
  <c r="W292" i="5"/>
  <c r="W792" i="5"/>
  <c r="W822" i="5"/>
  <c r="W776" i="5"/>
  <c r="W678" i="5"/>
  <c r="W867" i="5"/>
  <c r="W532" i="5"/>
  <c r="W625" i="5"/>
  <c r="W453" i="5"/>
  <c r="W504" i="5"/>
  <c r="W606" i="5"/>
  <c r="W472" i="5"/>
  <c r="W154" i="5"/>
  <c r="W64" i="5"/>
  <c r="W347" i="5"/>
  <c r="W736" i="5"/>
  <c r="R34" i="6"/>
  <c r="W270" i="5"/>
  <c r="W275" i="5"/>
  <c r="W268" i="5"/>
  <c r="W274" i="5"/>
  <c r="W276" i="5"/>
  <c r="W271" i="5"/>
  <c r="W34" i="5"/>
  <c r="W280" i="5"/>
  <c r="W55" i="3"/>
  <c r="X55" i="3" s="1"/>
  <c r="Z55" i="3" s="1"/>
  <c r="W272" i="5"/>
  <c r="W43" i="5"/>
  <c r="W233" i="5"/>
  <c r="W282" i="5"/>
  <c r="W763" i="5"/>
  <c r="W133" i="5"/>
  <c r="W15" i="5"/>
  <c r="W78" i="5"/>
  <c r="W324" i="5"/>
  <c r="W429" i="5"/>
  <c r="W719" i="5"/>
  <c r="W122" i="5"/>
  <c r="W844" i="5"/>
  <c r="W583" i="5"/>
  <c r="W522" i="5"/>
  <c r="W799" i="5"/>
  <c r="W66" i="3"/>
  <c r="X66" i="3" s="1"/>
  <c r="Z66" i="3" s="1"/>
  <c r="W809" i="5"/>
  <c r="W800" i="5"/>
  <c r="W798" i="5"/>
  <c r="W802" i="5"/>
  <c r="W804" i="5"/>
  <c r="W806" i="5"/>
  <c r="W808" i="5"/>
  <c r="W810" i="5"/>
  <c r="W801" i="5"/>
  <c r="W807" i="5"/>
  <c r="W805" i="5"/>
  <c r="W803" i="5"/>
  <c r="W411" i="5"/>
  <c r="W413" i="5"/>
  <c r="W790" i="5"/>
  <c r="W820" i="5"/>
  <c r="W778" i="5"/>
  <c r="W825" i="5"/>
  <c r="W415" i="5"/>
  <c r="W527" i="5"/>
  <c r="W616" i="5"/>
  <c r="W455" i="5"/>
  <c r="W410" i="5"/>
  <c r="W506" i="5"/>
  <c r="W615" i="5"/>
  <c r="W466" i="5"/>
  <c r="W151" i="5"/>
  <c r="W58" i="5"/>
  <c r="R18" i="6"/>
  <c r="R33" i="6"/>
  <c r="W544" i="5"/>
  <c r="W549" i="5"/>
  <c r="W540" i="5"/>
  <c r="W547" i="5"/>
  <c r="W538" i="5"/>
  <c r="W545" i="5"/>
  <c r="W543" i="5"/>
  <c r="W550" i="5"/>
  <c r="W548" i="5"/>
  <c r="W539" i="5"/>
  <c r="W541" i="5"/>
  <c r="W546" i="5"/>
  <c r="W542" i="5"/>
  <c r="W46" i="3"/>
  <c r="X46" i="3" s="1"/>
  <c r="Z46" i="3" s="1"/>
  <c r="W36" i="5"/>
  <c r="W226" i="5"/>
  <c r="W284" i="5"/>
  <c r="W697" i="5"/>
  <c r="W765" i="5"/>
  <c r="W670" i="5"/>
  <c r="W17" i="5"/>
  <c r="W80" i="5"/>
  <c r="W28" i="3"/>
  <c r="X28" i="3" s="1"/>
  <c r="Z28" i="3" s="1"/>
  <c r="W422" i="5"/>
  <c r="W712" i="5"/>
  <c r="W118" i="5"/>
  <c r="W116" i="5"/>
  <c r="W114" i="5"/>
  <c r="W121" i="5"/>
  <c r="W119" i="5"/>
  <c r="W110" i="5"/>
  <c r="W113" i="5"/>
  <c r="W109" i="5"/>
  <c r="W111" i="5"/>
  <c r="W115" i="5"/>
  <c r="W117" i="5"/>
  <c r="W112" i="5"/>
  <c r="W120" i="5"/>
  <c r="W13" i="3"/>
  <c r="X13" i="3" s="1"/>
  <c r="Z13" i="3" s="1"/>
  <c r="W840" i="5"/>
  <c r="W585" i="5"/>
  <c r="W515" i="5"/>
  <c r="W393" i="5"/>
  <c r="W384" i="5"/>
  <c r="W386" i="5"/>
  <c r="W391" i="5"/>
  <c r="W382" i="5"/>
  <c r="W389" i="5"/>
  <c r="W387" i="5"/>
  <c r="W385" i="5"/>
  <c r="W392" i="5"/>
  <c r="W394" i="5"/>
  <c r="W34" i="3"/>
  <c r="X34" i="3" s="1"/>
  <c r="Z34" i="3" s="1"/>
  <c r="W383" i="5"/>
  <c r="W390" i="5"/>
  <c r="W388" i="5"/>
  <c r="W788" i="5"/>
  <c r="R37" i="6"/>
  <c r="W401" i="5"/>
  <c r="W780" i="5"/>
  <c r="W573" i="5"/>
  <c r="W58" i="3"/>
  <c r="X58" i="3" s="1"/>
  <c r="Z58" i="3" s="1"/>
  <c r="W536" i="5"/>
  <c r="W618" i="5"/>
  <c r="W448" i="5"/>
  <c r="W668" i="5"/>
  <c r="W508" i="5"/>
  <c r="W608" i="5"/>
  <c r="W37" i="3"/>
  <c r="X37" i="3" s="1"/>
  <c r="Z37" i="3" s="1"/>
  <c r="W307" i="5"/>
  <c r="W69" i="5"/>
  <c r="R17" i="6"/>
  <c r="W57" i="3"/>
  <c r="X57" i="3" s="1"/>
  <c r="Z57" i="3" s="1"/>
  <c r="R32" i="6"/>
  <c r="W679" i="5"/>
  <c r="W553" i="5"/>
  <c r="W560" i="5"/>
  <c r="W551" i="5"/>
  <c r="W556" i="5"/>
  <c r="W563" i="5"/>
  <c r="W554" i="5"/>
  <c r="W561" i="5"/>
  <c r="W552" i="5"/>
  <c r="W559" i="5"/>
  <c r="W555" i="5"/>
  <c r="W562" i="5"/>
  <c r="W558" i="5"/>
  <c r="W557" i="5"/>
  <c r="W47" i="3"/>
  <c r="X47" i="3" s="1"/>
  <c r="Z47" i="3" s="1"/>
  <c r="W38" i="5"/>
  <c r="W286" i="5"/>
  <c r="W767" i="5"/>
  <c r="W224" i="5"/>
  <c r="W9" i="5"/>
  <c r="W74" i="5"/>
  <c r="W315" i="5"/>
  <c r="W431" i="5"/>
  <c r="W707" i="5"/>
  <c r="W838" i="5"/>
  <c r="R29" i="6"/>
  <c r="W524" i="5"/>
  <c r="W471" i="5"/>
  <c r="W786" i="5"/>
  <c r="W815" i="5"/>
  <c r="W403" i="5"/>
  <c r="W782" i="5"/>
  <c r="W571" i="5"/>
  <c r="W529" i="5"/>
  <c r="W620" i="5"/>
  <c r="W457" i="5"/>
  <c r="W5" i="3"/>
  <c r="X5" i="3" s="1"/>
  <c r="Z5" i="3" s="1"/>
  <c r="W610" i="5"/>
  <c r="W834" i="5"/>
  <c r="W308" i="5"/>
  <c r="W65" i="5"/>
  <c r="W354" i="5"/>
  <c r="W682" i="5"/>
  <c r="W664" i="5"/>
  <c r="W35" i="3"/>
  <c r="X35" i="3" s="1"/>
  <c r="Z35" i="3" s="1"/>
  <c r="R5" i="6"/>
  <c r="W695" i="5"/>
  <c r="W219" i="5"/>
  <c r="W81" i="5"/>
  <c r="R21" i="6"/>
  <c r="W716" i="5"/>
  <c r="W253" i="5"/>
  <c r="W845" i="5"/>
  <c r="R31" i="6"/>
  <c r="W519" i="5"/>
  <c r="W298" i="5"/>
  <c r="W477" i="5"/>
  <c r="W473" i="5"/>
  <c r="W396" i="5"/>
  <c r="W438" i="5"/>
  <c r="W445" i="5"/>
  <c r="W436" i="5"/>
  <c r="W443" i="5"/>
  <c r="W434" i="5"/>
  <c r="W441" i="5"/>
  <c r="W439" i="5"/>
  <c r="W446" i="5"/>
  <c r="W437" i="5"/>
  <c r="W444" i="5"/>
  <c r="W435" i="5"/>
  <c r="W442" i="5"/>
  <c r="W440" i="5"/>
  <c r="W38" i="3"/>
  <c r="X38" i="3" s="1"/>
  <c r="Z38" i="3" s="1"/>
  <c r="W784" i="5"/>
  <c r="W564" i="5"/>
  <c r="W531" i="5"/>
  <c r="W250" i="5"/>
  <c r="W622" i="5"/>
  <c r="W450" i="5"/>
  <c r="W700" i="5"/>
  <c r="W605" i="5"/>
  <c r="W846" i="5"/>
  <c r="W305" i="5"/>
  <c r="W61" i="5"/>
  <c r="R19" i="6"/>
  <c r="W693" i="5"/>
  <c r="W132" i="5"/>
  <c r="W49" i="3"/>
  <c r="X49" i="3" s="1"/>
  <c r="Z49" i="3" s="1"/>
  <c r="W775" i="5"/>
  <c r="W277" i="5"/>
  <c r="W265" i="5"/>
  <c r="W841" i="5"/>
  <c r="S5" i="6" l="1"/>
  <c r="AB5" i="6" s="1"/>
  <c r="S17" i="6"/>
  <c r="AB17" i="6" s="1"/>
  <c r="S34" i="6"/>
  <c r="AB34" i="6"/>
  <c r="S9" i="6"/>
  <c r="AB9" i="6" s="1"/>
  <c r="S11" i="6"/>
  <c r="AB11" i="6" s="1"/>
  <c r="S6" i="6"/>
  <c r="AB6" i="6" s="1"/>
  <c r="S8" i="6"/>
  <c r="AB8" i="6" s="1"/>
  <c r="S29" i="6"/>
  <c r="AB29" i="6" s="1"/>
  <c r="S7" i="6"/>
  <c r="AB7" i="6" s="1"/>
  <c r="S31" i="6"/>
  <c r="AB31" i="6" s="1"/>
  <c r="S33" i="6"/>
  <c r="AB33" i="6" s="1"/>
  <c r="S18" i="6"/>
  <c r="AB18" i="6" s="1"/>
  <c r="T23" i="6"/>
  <c r="U23" i="6" s="1"/>
  <c r="W23" i="6"/>
  <c r="S19" i="6"/>
  <c r="AB19" i="6" s="1"/>
  <c r="T36" i="6"/>
  <c r="U36" i="6" s="1"/>
  <c r="W36" i="6"/>
  <c r="S21" i="6"/>
  <c r="AB21" i="6" s="1"/>
  <c r="S26" i="6"/>
  <c r="AB26" i="6"/>
  <c r="S20" i="6"/>
  <c r="AB20" i="6"/>
  <c r="T16" i="6"/>
  <c r="U16" i="6" s="1"/>
  <c r="W16" i="6"/>
  <c r="S32" i="6"/>
  <c r="S37" i="6"/>
  <c r="AB37" i="6" s="1"/>
  <c r="S25" i="6"/>
  <c r="AB25" i="6" s="1"/>
  <c r="S10" i="6"/>
  <c r="AB10" i="6" s="1"/>
  <c r="S27" i="6"/>
  <c r="AB27" i="6" s="1"/>
  <c r="S22" i="6"/>
  <c r="AB22" i="6" s="1"/>
  <c r="T30" i="6"/>
  <c r="U30" i="6" s="1"/>
  <c r="W30" i="6"/>
  <c r="T21" i="6" l="1"/>
  <c r="U21" i="6" s="1"/>
  <c r="W21" i="6"/>
  <c r="T8" i="6"/>
  <c r="U8" i="6" s="1"/>
  <c r="W8" i="6"/>
  <c r="T6" i="6"/>
  <c r="U6" i="6" s="1"/>
  <c r="W6" i="6"/>
  <c r="T32" i="6"/>
  <c r="U32" i="6" s="1"/>
  <c r="W32" i="6"/>
  <c r="T29" i="6"/>
  <c r="U29" i="6" s="1"/>
  <c r="W29" i="6"/>
  <c r="T10" i="6"/>
  <c r="U10" i="6" s="1"/>
  <c r="W10" i="6"/>
  <c r="T25" i="6"/>
  <c r="U25" i="6" s="1"/>
  <c r="W25" i="6"/>
  <c r="T11" i="6"/>
  <c r="U11" i="6" s="1"/>
  <c r="W11" i="6"/>
  <c r="T18" i="6"/>
  <c r="U18" i="6" s="1"/>
  <c r="W18" i="6"/>
  <c r="T34" i="6"/>
  <c r="U34" i="6" s="1"/>
  <c r="W34" i="6"/>
  <c r="T27" i="6"/>
  <c r="U27" i="6" s="1"/>
  <c r="W27" i="6"/>
  <c r="T19" i="6"/>
  <c r="U19" i="6" s="1"/>
  <c r="W19" i="6"/>
  <c r="T37" i="6"/>
  <c r="U37" i="6" s="1"/>
  <c r="W37" i="6"/>
  <c r="AB32" i="6"/>
  <c r="T9" i="6"/>
  <c r="U9" i="6" s="1"/>
  <c r="W9" i="6"/>
  <c r="T33" i="6"/>
  <c r="U33" i="6" s="1"/>
  <c r="W33" i="6"/>
  <c r="T20" i="6"/>
  <c r="U20" i="6" s="1"/>
  <c r="W20" i="6"/>
  <c r="T31" i="6"/>
  <c r="U31" i="6" s="1"/>
  <c r="W31" i="6"/>
  <c r="T17" i="6"/>
  <c r="U17" i="6" s="1"/>
  <c r="W17" i="6"/>
  <c r="T22" i="6"/>
  <c r="U22" i="6" s="1"/>
  <c r="W22" i="6"/>
  <c r="T26" i="6"/>
  <c r="U26" i="6" s="1"/>
  <c r="W26" i="6"/>
  <c r="T7" i="6"/>
  <c r="U7" i="6" s="1"/>
  <c r="W7" i="6"/>
  <c r="T5" i="6"/>
  <c r="U5" i="6" s="1"/>
  <c r="W5" i="6"/>
</calcChain>
</file>

<file path=xl/sharedStrings.xml><?xml version="1.0" encoding="utf-8"?>
<sst xmlns="http://schemas.openxmlformats.org/spreadsheetml/2006/main" count="6672" uniqueCount="1436">
  <si>
    <t>SUPERVISOR LOG — Instructions</t>
  </si>
  <si>
    <t>Owner: Production Supervisors / Shift Leaders</t>
  </si>
  <si>
    <t>Sheets: JobChange + DailyProduction</t>
  </si>
  <si>
    <t>Rules:</t>
  </si>
  <si>
    <t>1. One row = one event</t>
  </si>
  <si>
    <t>2. Use dropdowns (yellow cells) — do not free-type coded fields</t>
  </si>
  <si>
    <t>3. Dates must be real Excel dates</t>
  </si>
  <si>
    <t>4. Save as 02_Supervisor_Log_YYYYMMDD.xlsx into the OneDrive Daily folder</t>
  </si>
  <si>
    <t>Dataset: one-week business-rule-consistent synthetic data (2025-10-20 to 2025-10-26) for DWH / Power BI testing.</t>
  </si>
  <si>
    <t>JOB CHANGE LOG</t>
  </si>
  <si>
    <t>Maps to STG_JOBCHANGE → FACT_JOBCHANGE</t>
  </si>
  <si>
    <t>Yellow=Dropdown | Green=Date | Blue=Hours. FromOrderNumber can be empty for first job of day.</t>
  </si>
  <si>
    <t>FactoryCode</t>
  </si>
  <si>
    <t>LineNumber</t>
  </si>
  <si>
    <t>EventDate</t>
  </si>
  <si>
    <t>ShiftCode</t>
  </si>
  <si>
    <t>CrewCode</t>
  </si>
  <si>
    <t>FromOrderNumber</t>
  </si>
  <si>
    <t>ToOrderNumber</t>
  </si>
  <si>
    <t>JobChangeTypeName</t>
  </si>
  <si>
    <t>MechanicalWorkT1_Hrs</t>
  </si>
  <si>
    <t>FormingTimeT2_Hrs</t>
  </si>
  <si>
    <t>TrialLosses_Hrs</t>
  </si>
  <si>
    <t>HE_Downtime_Hrs</t>
  </si>
  <si>
    <t>HE_DowntimeReason</t>
  </si>
  <si>
    <t>CE_Losses_Hrs</t>
  </si>
  <si>
    <t>CE_LossesReason</t>
  </si>
  <si>
    <t>PalletizerLosses_Hrs</t>
  </si>
  <si>
    <t>PalletizerReason</t>
  </si>
  <si>
    <t>Notes</t>
  </si>
  <si>
    <t>KG01</t>
  </si>
  <si>
    <t>AM</t>
  </si>
  <si>
    <t>A</t>
  </si>
  <si>
    <t>ORD-2025-00019</t>
  </si>
  <si>
    <t>ORD-2025-00020</t>
  </si>
  <si>
    <t>Medium</t>
  </si>
  <si>
    <t>Within target</t>
  </si>
  <si>
    <t>B</t>
  </si>
  <si>
    <t>ORD-2025-00021</t>
  </si>
  <si>
    <t>Gob Weight Adjustment</t>
  </si>
  <si>
    <t>Extended setup</t>
  </si>
  <si>
    <t>C</t>
  </si>
  <si>
    <t>ORD-2025-00055</t>
  </si>
  <si>
    <t>ORD-2025-00056</t>
  </si>
  <si>
    <t>Big</t>
  </si>
  <si>
    <t>Pallet Conveyor Jam</t>
  </si>
  <si>
    <t>Minor adjustment</t>
  </si>
  <si>
    <t>ORD-2025-00057</t>
  </si>
  <si>
    <t>ORD-2025-00058</t>
  </si>
  <si>
    <t>Neck Ring Issue</t>
  </si>
  <si>
    <t>ORD-2025-00092</t>
  </si>
  <si>
    <t>ORD-2025-00093</t>
  </si>
  <si>
    <t>Palletizer Robot Fault</t>
  </si>
  <si>
    <t>ORD-2025-00094</t>
  </si>
  <si>
    <t>Process</t>
  </si>
  <si>
    <t>Gob Distributor Jam</t>
  </si>
  <si>
    <t>Conveyor Speed Mismatch</t>
  </si>
  <si>
    <t>Stable restart</t>
  </si>
  <si>
    <t>ORD-2025-00124</t>
  </si>
  <si>
    <t>ORD-2025-00125</t>
  </si>
  <si>
    <t>ORD-2025-00126</t>
  </si>
  <si>
    <t>Small</t>
  </si>
  <si>
    <t>ORD-2025-00161</t>
  </si>
  <si>
    <t>ORD-2025-00162</t>
  </si>
  <si>
    <t>DAILY PRODUCTION LOG</t>
  </si>
  <si>
    <t>Maps to STG_PRODUCTION → FACT_PRODUCTION</t>
  </si>
  <si>
    <t>FactoryCode is required. DesignOutput = DesignedCutsPerHour × WorkingHours; TotalReject = DesignOutput − ActualPack − TotalHold.</t>
  </si>
  <si>
    <t>OrderNumber</t>
  </si>
  <si>
    <t>CaseName</t>
  </si>
  <si>
    <t>NoSections</t>
  </si>
  <si>
    <t>NoCavities</t>
  </si>
  <si>
    <t>DesignedCyclesPerMin</t>
  </si>
  <si>
    <t>DesignedCutsPerHour</t>
  </si>
  <si>
    <t>WorkingHours</t>
  </si>
  <si>
    <t>DesignOutput</t>
  </si>
  <si>
    <t>ActualPack</t>
  </si>
  <si>
    <t>TotalHold</t>
  </si>
  <si>
    <t>TotalReject</t>
  </si>
  <si>
    <t>Normal</t>
  </si>
  <si>
    <t>PM</t>
  </si>
  <si>
    <t>Trial</t>
  </si>
  <si>
    <t>NEW DETAIL MODEL — IMPORTANT</t>
  </si>
  <si>
    <t>JobChange and DailyProduction keep their original grain and original source columns.</t>
  </si>
  <si>
    <t>ProductionConfiguration is Event × Section with three cavity flags; unpivot Cavity1Active:Cavity3Active in Power Query for cavity grain.</t>
  </si>
  <si>
    <t>JobChangeImpact is a new child fact for Line / Section / Cavity loss scope.</t>
  </si>
  <si>
    <t>Use StartDateTime and EndDateTime for new detailed impacts whenever possible to detect overlaps.</t>
  </si>
  <si>
    <t>NoCavities &gt; 3 conflicts with the assumed physical capability and is flagged; existing source values are not silently changed.</t>
  </si>
  <si>
    <t>JobChangeEventID</t>
  </si>
  <si>
    <t>TotalJobChangeHours</t>
  </si>
  <si>
    <t>ImpactDurationHrs</t>
  </si>
  <si>
    <t>ImpactReconciliationCheck</t>
  </si>
  <si>
    <t>ReasonConsistencyCheck</t>
  </si>
  <si>
    <t>TransitionCheck</t>
  </si>
  <si>
    <t>EventIDUniquenessCheck</t>
  </si>
  <si>
    <t>DataQualityCheck</t>
  </si>
  <si>
    <t>ProductionEventID</t>
  </si>
  <si>
    <t>ActiveCavityCount</t>
  </si>
  <si>
    <t>PhysicalCapabilityCheck</t>
  </si>
  <si>
    <t>DesignCutsFormulaCheck</t>
  </si>
  <si>
    <t>DesignOutputCheck</t>
  </si>
  <si>
    <t>MaterialBalanceCheck</t>
  </si>
  <si>
    <t>ConfigActiveCavityCount</t>
  </si>
  <si>
    <t>ConfigurationReconciliationCheck</t>
  </si>
  <si>
    <t>AssetLevel</t>
  </si>
  <si>
    <t>LossArea</t>
  </si>
  <si>
    <t>ActiveOverride</t>
  </si>
  <si>
    <t>AssetScopeKey</t>
  </si>
  <si>
    <t>Line</t>
  </si>
  <si>
    <t>T1</t>
  </si>
  <si>
    <t>L21</t>
  </si>
  <si>
    <t>Section</t>
  </si>
  <si>
    <t>T2</t>
  </si>
  <si>
    <t>L21-S01</t>
  </si>
  <si>
    <t>Cavity</t>
  </si>
  <si>
    <t>L21-S01-C1</t>
  </si>
  <si>
    <t>HE</t>
  </si>
  <si>
    <t>L21-S01-C2</t>
  </si>
  <si>
    <t>CE</t>
  </si>
  <si>
    <t>L21-S01-C3</t>
  </si>
  <si>
    <t>Palletizer</t>
  </si>
  <si>
    <t>L21-S02</t>
  </si>
  <si>
    <t>L21-S02-C1</t>
  </si>
  <si>
    <t>L21-S02-C2</t>
  </si>
  <si>
    <t>L21-S02-C3</t>
  </si>
  <si>
    <t>L21-S03</t>
  </si>
  <si>
    <t>L21-S03-C1</t>
  </si>
  <si>
    <t>L21-S03-C2</t>
  </si>
  <si>
    <t>L21-S03-C3</t>
  </si>
  <si>
    <t>L21-S04</t>
  </si>
  <si>
    <t>L21-S04-C1</t>
  </si>
  <si>
    <t>L21-S04-C2</t>
  </si>
  <si>
    <t>L21-S04-C3</t>
  </si>
  <si>
    <t>L21-S05</t>
  </si>
  <si>
    <t>L21-S05-C1</t>
  </si>
  <si>
    <t>L21-S05-C2</t>
  </si>
  <si>
    <t>L21-S05-C3</t>
  </si>
  <si>
    <t>L21-S06</t>
  </si>
  <si>
    <t>L21-S06-C1</t>
  </si>
  <si>
    <t>L21-S06-C2</t>
  </si>
  <si>
    <t>L21-S06-C3</t>
  </si>
  <si>
    <t>L21-S07</t>
  </si>
  <si>
    <t>L21-S07-C1</t>
  </si>
  <si>
    <t>L21-S07-C2</t>
  </si>
  <si>
    <t>L21-S07-C3</t>
  </si>
  <si>
    <t>L21-S08</t>
  </si>
  <si>
    <t>L21-S08-C1</t>
  </si>
  <si>
    <t>L21-S08-C2</t>
  </si>
  <si>
    <t>L21-S08-C3</t>
  </si>
  <si>
    <t>L21-S09</t>
  </si>
  <si>
    <t>L21-S09-C1</t>
  </si>
  <si>
    <t>L21-S09-C2</t>
  </si>
  <si>
    <t>L21-S09-C3</t>
  </si>
  <si>
    <t>L21-S10</t>
  </si>
  <si>
    <t>L21-S10-C1</t>
  </si>
  <si>
    <t>L21-S10-C2</t>
  </si>
  <si>
    <t>L21-S10-C3</t>
  </si>
  <si>
    <t>L21-S11</t>
  </si>
  <si>
    <t>L21-S11-C1</t>
  </si>
  <si>
    <t>L21-S11-C2</t>
  </si>
  <si>
    <t>L21-S11-C3</t>
  </si>
  <si>
    <t>L21-S12</t>
  </si>
  <si>
    <t>L21-S12-C1</t>
  </si>
  <si>
    <t>L21-S12-C2</t>
  </si>
  <si>
    <t>L21-S12-C3</t>
  </si>
  <si>
    <t>L21-S13</t>
  </si>
  <si>
    <t>L21-S13-C1</t>
  </si>
  <si>
    <t>L21-S13-C2</t>
  </si>
  <si>
    <t>L21-S13-C3</t>
  </si>
  <si>
    <t>L22</t>
  </si>
  <si>
    <t>L22-S01</t>
  </si>
  <si>
    <t>L22-S01-C1</t>
  </si>
  <si>
    <t>L22-S01-C2</t>
  </si>
  <si>
    <t>L22-S01-C3</t>
  </si>
  <si>
    <t>L22-S02</t>
  </si>
  <si>
    <t>L22-S02-C1</t>
  </si>
  <si>
    <t>L22-S02-C2</t>
  </si>
  <si>
    <t>L22-S02-C3</t>
  </si>
  <si>
    <t>L22-S03</t>
  </si>
  <si>
    <t>L22-S03-C1</t>
  </si>
  <si>
    <t>L22-S03-C2</t>
  </si>
  <si>
    <t>L22-S03-C3</t>
  </si>
  <si>
    <t>L22-S04</t>
  </si>
  <si>
    <t>L22-S04-C1</t>
  </si>
  <si>
    <t>L22-S04-C2</t>
  </si>
  <si>
    <t>L22-S04-C3</t>
  </si>
  <si>
    <t>L22-S05</t>
  </si>
  <si>
    <t>L22-S05-C1</t>
  </si>
  <si>
    <t>L22-S05-C2</t>
  </si>
  <si>
    <t>L22-S05-C3</t>
  </si>
  <si>
    <t>L22-S06</t>
  </si>
  <si>
    <t>L22-S06-C1</t>
  </si>
  <si>
    <t>L22-S06-C2</t>
  </si>
  <si>
    <t>L22-S06-C3</t>
  </si>
  <si>
    <t>L22-S07</t>
  </si>
  <si>
    <t>L22-S07-C1</t>
  </si>
  <si>
    <t>L22-S07-C2</t>
  </si>
  <si>
    <t>L22-S07-C3</t>
  </si>
  <si>
    <t>L22-S08</t>
  </si>
  <si>
    <t>L22-S08-C1</t>
  </si>
  <si>
    <t>L22-S08-C2</t>
  </si>
  <si>
    <t>L22-S08-C3</t>
  </si>
  <si>
    <t>L22-S09</t>
  </si>
  <si>
    <t>L22-S09-C1</t>
  </si>
  <si>
    <t>L22-S09-C2</t>
  </si>
  <si>
    <t>L22-S09-C3</t>
  </si>
  <si>
    <t>L22-S10</t>
  </si>
  <si>
    <t>L22-S10-C1</t>
  </si>
  <si>
    <t>L22-S10-C2</t>
  </si>
  <si>
    <t>L22-S10-C3</t>
  </si>
  <si>
    <t>L22-S11</t>
  </si>
  <si>
    <t>L22-S11-C1</t>
  </si>
  <si>
    <t>L22-S11-C2</t>
  </si>
  <si>
    <t>L22-S11-C3</t>
  </si>
  <si>
    <t>L22-S12</t>
  </si>
  <si>
    <t>L22-S12-C1</t>
  </si>
  <si>
    <t>L22-S12-C2</t>
  </si>
  <si>
    <t>L22-S12-C3</t>
  </si>
  <si>
    <t>L22-S13</t>
  </si>
  <si>
    <t>L22-S13-C1</t>
  </si>
  <si>
    <t>L22-S13-C2</t>
  </si>
  <si>
    <t>L22-S13-C3</t>
  </si>
  <si>
    <t>L23</t>
  </si>
  <si>
    <t>L23-S01</t>
  </si>
  <si>
    <t>L23-S01-C1</t>
  </si>
  <si>
    <t>L23-S01-C2</t>
  </si>
  <si>
    <t>L23-S01-C3</t>
  </si>
  <si>
    <t>L23-S02</t>
  </si>
  <si>
    <t>L23-S02-C1</t>
  </si>
  <si>
    <t>L23-S02-C2</t>
  </si>
  <si>
    <t>L23-S02-C3</t>
  </si>
  <si>
    <t>L23-S03</t>
  </si>
  <si>
    <t>L23-S03-C1</t>
  </si>
  <si>
    <t>L23-S03-C2</t>
  </si>
  <si>
    <t>L23-S03-C3</t>
  </si>
  <si>
    <t>L23-S04</t>
  </si>
  <si>
    <t>L23-S04-C1</t>
  </si>
  <si>
    <t>L23-S04-C2</t>
  </si>
  <si>
    <t>L23-S04-C3</t>
  </si>
  <si>
    <t>L23-S05</t>
  </si>
  <si>
    <t>L23-S05-C1</t>
  </si>
  <si>
    <t>L23-S05-C2</t>
  </si>
  <si>
    <t>L23-S05-C3</t>
  </si>
  <si>
    <t>L23-S06</t>
  </si>
  <si>
    <t>L23-S06-C1</t>
  </si>
  <si>
    <t>L23-S06-C2</t>
  </si>
  <si>
    <t>L23-S06-C3</t>
  </si>
  <si>
    <t>L23-S07</t>
  </si>
  <si>
    <t>L23-S07-C1</t>
  </si>
  <si>
    <t>L23-S07-C2</t>
  </si>
  <si>
    <t>L23-S07-C3</t>
  </si>
  <si>
    <t>L23-S08</t>
  </si>
  <si>
    <t>L23-S08-C1</t>
  </si>
  <si>
    <t>L23-S08-C2</t>
  </si>
  <si>
    <t>L23-S08-C3</t>
  </si>
  <si>
    <t>L23-S09</t>
  </si>
  <si>
    <t>L23-S09-C1</t>
  </si>
  <si>
    <t>L23-S09-C2</t>
  </si>
  <si>
    <t>L23-S09-C3</t>
  </si>
  <si>
    <t>L23-S10</t>
  </si>
  <si>
    <t>L23-S10-C1</t>
  </si>
  <si>
    <t>L23-S10-C2</t>
  </si>
  <si>
    <t>L23-S10-C3</t>
  </si>
  <si>
    <t>L23-S11</t>
  </si>
  <si>
    <t>L23-S11-C1</t>
  </si>
  <si>
    <t>L23-S11-C2</t>
  </si>
  <si>
    <t>L23-S11-C3</t>
  </si>
  <si>
    <t>L23-S12</t>
  </si>
  <si>
    <t>L23-S12-C1</t>
  </si>
  <si>
    <t>L23-S12-C2</t>
  </si>
  <si>
    <t>L23-S12-C3</t>
  </si>
  <si>
    <t>L23-S13</t>
  </si>
  <si>
    <t>L23-S13-C1</t>
  </si>
  <si>
    <t>L23-S13-C2</t>
  </si>
  <si>
    <t>L23-S13-C3</t>
  </si>
  <si>
    <t>L24</t>
  </si>
  <si>
    <t>L24-S01</t>
  </si>
  <si>
    <t>L24-S01-C1</t>
  </si>
  <si>
    <t>L24-S01-C2</t>
  </si>
  <si>
    <t>L24-S01-C3</t>
  </si>
  <si>
    <t>L24-S02</t>
  </si>
  <si>
    <t>L24-S02-C1</t>
  </si>
  <si>
    <t>L24-S02-C2</t>
  </si>
  <si>
    <t>L24-S02-C3</t>
  </si>
  <si>
    <t>L24-S03</t>
  </si>
  <si>
    <t>L24-S03-C1</t>
  </si>
  <si>
    <t>L24-S03-C2</t>
  </si>
  <si>
    <t>L24-S03-C3</t>
  </si>
  <si>
    <t>L24-S04</t>
  </si>
  <si>
    <t>L24-S04-C1</t>
  </si>
  <si>
    <t>L24-S04-C2</t>
  </si>
  <si>
    <t>L24-S04-C3</t>
  </si>
  <si>
    <t>L24-S05</t>
  </si>
  <si>
    <t>L24-S05-C1</t>
  </si>
  <si>
    <t>L24-S05-C2</t>
  </si>
  <si>
    <t>L24-S05-C3</t>
  </si>
  <si>
    <t>L24-S06</t>
  </si>
  <si>
    <t>L24-S06-C1</t>
  </si>
  <si>
    <t>L24-S06-C2</t>
  </si>
  <si>
    <t>L24-S06-C3</t>
  </si>
  <si>
    <t>L24-S07</t>
  </si>
  <si>
    <t>L24-S07-C1</t>
  </si>
  <si>
    <t>L24-S07-C2</t>
  </si>
  <si>
    <t>L24-S07-C3</t>
  </si>
  <si>
    <t>L24-S08</t>
  </si>
  <si>
    <t>L24-S08-C1</t>
  </si>
  <si>
    <t>L24-S08-C2</t>
  </si>
  <si>
    <t>L24-S08-C3</t>
  </si>
  <si>
    <t>L24-S09</t>
  </si>
  <si>
    <t>L24-S09-C1</t>
  </si>
  <si>
    <t>L24-S09-C2</t>
  </si>
  <si>
    <t>L24-S09-C3</t>
  </si>
  <si>
    <t>L24-S10</t>
  </si>
  <si>
    <t>L24-S10-C1</t>
  </si>
  <si>
    <t>L24-S10-C2</t>
  </si>
  <si>
    <t>L24-S10-C3</t>
  </si>
  <si>
    <t>L24-S11</t>
  </si>
  <si>
    <t>L24-S11-C1</t>
  </si>
  <si>
    <t>L24-S11-C2</t>
  </si>
  <si>
    <t>L24-S11-C3</t>
  </si>
  <si>
    <t>L24-S12</t>
  </si>
  <si>
    <t>L24-S12-C1</t>
  </si>
  <si>
    <t>L24-S12-C2</t>
  </si>
  <si>
    <t>L24-S12-C3</t>
  </si>
  <si>
    <t>L24-S13</t>
  </si>
  <si>
    <t>L24-S13-C1</t>
  </si>
  <si>
    <t>L24-S13-C2</t>
  </si>
  <si>
    <t>L24-S13-C3</t>
  </si>
  <si>
    <t>L25</t>
  </si>
  <si>
    <t>L25-S01</t>
  </si>
  <si>
    <t>L25-S01-C1</t>
  </si>
  <si>
    <t>L25-S01-C2</t>
  </si>
  <si>
    <t>L25-S01-C3</t>
  </si>
  <si>
    <t>L25-S02</t>
  </si>
  <si>
    <t>L25-S02-C1</t>
  </si>
  <si>
    <t>L25-S02-C2</t>
  </si>
  <si>
    <t>L25-S02-C3</t>
  </si>
  <si>
    <t>L25-S03</t>
  </si>
  <si>
    <t>L25-S03-C1</t>
  </si>
  <si>
    <t>L25-S03-C2</t>
  </si>
  <si>
    <t>L25-S03-C3</t>
  </si>
  <si>
    <t>L25-S04</t>
  </si>
  <si>
    <t>L25-S04-C1</t>
  </si>
  <si>
    <t>L25-S04-C2</t>
  </si>
  <si>
    <t>L25-S04-C3</t>
  </si>
  <si>
    <t>L25-S05</t>
  </si>
  <si>
    <t>L25-S05-C1</t>
  </si>
  <si>
    <t>L25-S05-C2</t>
  </si>
  <si>
    <t>L25-S05-C3</t>
  </si>
  <si>
    <t>L25-S06</t>
  </si>
  <si>
    <t>L25-S06-C1</t>
  </si>
  <si>
    <t>L25-S06-C2</t>
  </si>
  <si>
    <t>L25-S06-C3</t>
  </si>
  <si>
    <t>L25-S07</t>
  </si>
  <si>
    <t>L25-S07-C1</t>
  </si>
  <si>
    <t>L25-S07-C2</t>
  </si>
  <si>
    <t>L25-S07-C3</t>
  </si>
  <si>
    <t>L25-S08</t>
  </si>
  <si>
    <t>L25-S08-C1</t>
  </si>
  <si>
    <t>L25-S08-C2</t>
  </si>
  <si>
    <t>L25-S08-C3</t>
  </si>
  <si>
    <t>L25-S09</t>
  </si>
  <si>
    <t>L25-S09-C1</t>
  </si>
  <si>
    <t>L25-S09-C2</t>
  </si>
  <si>
    <t>L25-S09-C3</t>
  </si>
  <si>
    <t>L25-S10</t>
  </si>
  <si>
    <t>L25-S10-C1</t>
  </si>
  <si>
    <t>L25-S10-C2</t>
  </si>
  <si>
    <t>L25-S10-C3</t>
  </si>
  <si>
    <t>L25-S11</t>
  </si>
  <si>
    <t>L25-S11-C1</t>
  </si>
  <si>
    <t>L25-S11-C2</t>
  </si>
  <si>
    <t>L25-S11-C3</t>
  </si>
  <si>
    <t>L25-S12</t>
  </si>
  <si>
    <t>L25-S12-C1</t>
  </si>
  <si>
    <t>L25-S12-C2</t>
  </si>
  <si>
    <t>L25-S12-C3</t>
  </si>
  <si>
    <t>L25-S13</t>
  </si>
  <si>
    <t>L25-S13-C1</t>
  </si>
  <si>
    <t>L25-S13-C2</t>
  </si>
  <si>
    <t>L25-S13-C3</t>
  </si>
  <si>
    <t>PRODUCTION CONFIGURATION — EVENT × SECTION</t>
  </si>
  <si>
    <t>Use Cavity1/2/3 overrides to record the exact active subset. Power Query can unpivot the three Active columns into cavity-grain rows.</t>
  </si>
  <si>
    <t>ProductionConfigID</t>
  </si>
  <si>
    <t>SectionNumber</t>
  </si>
  <si>
    <t>ParentNoSections</t>
  </si>
  <si>
    <t>ParentNoCavities</t>
  </si>
  <si>
    <t>DefaultSectionActive</t>
  </si>
  <si>
    <t>Cavity1Override</t>
  </si>
  <si>
    <t>Cavity2Override</t>
  </si>
  <si>
    <t>Cavity3Override</t>
  </si>
  <si>
    <t>Cavity1Active</t>
  </si>
  <si>
    <t>Cavity2Active</t>
  </si>
  <si>
    <t>Cavity3Active</t>
  </si>
  <si>
    <t>ConfigurationSource</t>
  </si>
  <si>
    <t>ParentEventCheck</t>
  </si>
  <si>
    <t>EventReconciliationCheck</t>
  </si>
  <si>
    <t>PC-PE-KG01-L21-20251020-AM-ORD-2025-00019-S01</t>
  </si>
  <si>
    <t>PE-KG01-L21-20251020-AM-ORD-2025-00019</t>
  </si>
  <si>
    <t>PC-PE-KG01-L21-20251020-AM-ORD-2025-00019-S02</t>
  </si>
  <si>
    <t>PC-PE-KG01-L21-20251020-AM-ORD-2025-00019-S03</t>
  </si>
  <si>
    <t>PC-PE-KG01-L21-20251020-AM-ORD-2025-00019-S04</t>
  </si>
  <si>
    <t>PC-PE-KG01-L21-20251020-AM-ORD-2025-00019-S05</t>
  </si>
  <si>
    <t>PC-PE-KG01-L21-20251020-AM-ORD-2025-00019-S06</t>
  </si>
  <si>
    <t>PC-PE-KG01-L21-20251020-AM-ORD-2025-00019-S07</t>
  </si>
  <si>
    <t>PC-PE-KG01-L21-20251020-AM-ORD-2025-00019-S08</t>
  </si>
  <si>
    <t>PC-PE-KG01-L21-20251020-AM-ORD-2025-00019-S09</t>
  </si>
  <si>
    <t>PC-PE-KG01-L21-20251020-AM-ORD-2025-00019-S10</t>
  </si>
  <si>
    <t>PC-PE-KG01-L21-20251020-AM-ORD-2025-00019-S11</t>
  </si>
  <si>
    <t>PC-PE-KG01-L21-20251020-AM-ORD-2025-00019-S12</t>
  </si>
  <si>
    <t>PC-PE-KG01-L21-20251020-AM-ORD-2025-00019-S13</t>
  </si>
  <si>
    <t>PC-PE-KG01-L21-20251020-PM-ORD-2025-00019-S01</t>
  </si>
  <si>
    <t>PE-KG01-L21-20251020-PM-ORD-2025-00019</t>
  </si>
  <si>
    <t>PC-PE-KG01-L21-20251020-PM-ORD-2025-00019-S02</t>
  </si>
  <si>
    <t>PC-PE-KG01-L21-20251020-PM-ORD-2025-00019-S03</t>
  </si>
  <si>
    <t>PC-PE-KG01-L21-20251020-PM-ORD-2025-00019-S04</t>
  </si>
  <si>
    <t>PC-PE-KG01-L21-20251020-PM-ORD-2025-00019-S05</t>
  </si>
  <si>
    <t>PC-PE-KG01-L21-20251020-PM-ORD-2025-00019-S06</t>
  </si>
  <si>
    <t>PC-PE-KG01-L21-20251020-PM-ORD-2025-00019-S07</t>
  </si>
  <si>
    <t>PC-PE-KG01-L21-20251020-PM-ORD-2025-00019-S08</t>
  </si>
  <si>
    <t>PC-PE-KG01-L21-20251020-PM-ORD-2025-00019-S09</t>
  </si>
  <si>
    <t>PC-PE-KG01-L21-20251020-PM-ORD-2025-00019-S10</t>
  </si>
  <si>
    <t>PC-PE-KG01-L21-20251020-PM-ORD-2025-00019-S11</t>
  </si>
  <si>
    <t>PC-PE-KG01-L21-20251020-PM-ORD-2025-00019-S12</t>
  </si>
  <si>
    <t>PC-PE-KG01-L21-20251020-PM-ORD-2025-00019-S13</t>
  </si>
  <si>
    <t>PC-PE-KG01-L21-20251021-AM-ORD-2025-00020-S01</t>
  </si>
  <si>
    <t>PE-KG01-L21-20251021-AM-ORD-2025-00020</t>
  </si>
  <si>
    <t>PC-PE-KG01-L21-20251021-AM-ORD-2025-00020-S02</t>
  </si>
  <si>
    <t>PC-PE-KG01-L21-20251021-AM-ORD-2025-00020-S03</t>
  </si>
  <si>
    <t>PC-PE-KG01-L21-20251021-AM-ORD-2025-00020-S04</t>
  </si>
  <si>
    <t>PC-PE-KG01-L21-20251021-AM-ORD-2025-00020-S05</t>
  </si>
  <si>
    <t>PC-PE-KG01-L21-20251021-AM-ORD-2025-00020-S06</t>
  </si>
  <si>
    <t>PC-PE-KG01-L21-20251021-AM-ORD-2025-00020-S07</t>
  </si>
  <si>
    <t>PC-PE-KG01-L21-20251021-AM-ORD-2025-00020-S08</t>
  </si>
  <si>
    <t>PC-PE-KG01-L21-20251021-AM-ORD-2025-00020-S09</t>
  </si>
  <si>
    <t>PC-PE-KG01-L21-20251021-AM-ORD-2025-00020-S10</t>
  </si>
  <si>
    <t>PC-PE-KG01-L21-20251021-AM-ORD-2025-00020-S11</t>
  </si>
  <si>
    <t>PC-PE-KG01-L21-20251021-AM-ORD-2025-00020-S12</t>
  </si>
  <si>
    <t>PC-PE-KG01-L21-20251021-AM-ORD-2025-00020-S13</t>
  </si>
  <si>
    <t>PC-PE-KG01-L21-20251021-PM-ORD-2025-00020-S01</t>
  </si>
  <si>
    <t>PE-KG01-L21-20251021-PM-ORD-2025-00020</t>
  </si>
  <si>
    <t>PC-PE-KG01-L21-20251021-PM-ORD-2025-00020-S02</t>
  </si>
  <si>
    <t>PC-PE-KG01-L21-20251021-PM-ORD-2025-00020-S03</t>
  </si>
  <si>
    <t>PC-PE-KG01-L21-20251021-PM-ORD-2025-00020-S04</t>
  </si>
  <si>
    <t>PC-PE-KG01-L21-20251021-PM-ORD-2025-00020-S05</t>
  </si>
  <si>
    <t>PC-PE-KG01-L21-20251021-PM-ORD-2025-00020-S06</t>
  </si>
  <si>
    <t>PC-PE-KG01-L21-20251021-PM-ORD-2025-00020-S07</t>
  </si>
  <si>
    <t>PC-PE-KG01-L21-20251021-PM-ORD-2025-00020-S08</t>
  </si>
  <si>
    <t>PC-PE-KG01-L21-20251021-PM-ORD-2025-00020-S09</t>
  </si>
  <si>
    <t>PC-PE-KG01-L21-20251021-PM-ORD-2025-00020-S10</t>
  </si>
  <si>
    <t>PC-PE-KG01-L21-20251021-PM-ORD-2025-00020-S11</t>
  </si>
  <si>
    <t>PC-PE-KG01-L21-20251021-PM-ORD-2025-00020-S12</t>
  </si>
  <si>
    <t>PC-PE-KG01-L21-20251021-PM-ORD-2025-00020-S13</t>
  </si>
  <si>
    <t>PC-PE-KG01-L21-20251022-AM-ORD-2025-00020-S01</t>
  </si>
  <si>
    <t>PE-KG01-L21-20251022-AM-ORD-2025-00020</t>
  </si>
  <si>
    <t>PC-PE-KG01-L21-20251022-AM-ORD-2025-00020-S02</t>
  </si>
  <si>
    <t>PC-PE-KG01-L21-20251022-AM-ORD-2025-00020-S03</t>
  </si>
  <si>
    <t>PC-PE-KG01-L21-20251022-AM-ORD-2025-00020-S04</t>
  </si>
  <si>
    <t>PC-PE-KG01-L21-20251022-AM-ORD-2025-00020-S05</t>
  </si>
  <si>
    <t>PC-PE-KG01-L21-20251022-AM-ORD-2025-00020-S06</t>
  </si>
  <si>
    <t>PC-PE-KG01-L21-20251022-AM-ORD-2025-00020-S07</t>
  </si>
  <si>
    <t>PC-PE-KG01-L21-20251022-AM-ORD-2025-00020-S08</t>
  </si>
  <si>
    <t>PC-PE-KG01-L21-20251022-AM-ORD-2025-00020-S09</t>
  </si>
  <si>
    <t>PC-PE-KG01-L21-20251022-AM-ORD-2025-00020-S10</t>
  </si>
  <si>
    <t>PC-PE-KG01-L21-20251022-AM-ORD-2025-00020-S11</t>
  </si>
  <si>
    <t>PC-PE-KG01-L21-20251022-AM-ORD-2025-00020-S12</t>
  </si>
  <si>
    <t>PC-PE-KG01-L21-20251022-AM-ORD-2025-00020-S13</t>
  </si>
  <si>
    <t>PC-PE-KG01-L21-20251022-PM-ORD-2025-00020-S01</t>
  </si>
  <si>
    <t>PE-KG01-L21-20251022-PM-ORD-2025-00020</t>
  </si>
  <si>
    <t>PC-PE-KG01-L21-20251022-PM-ORD-2025-00020-S02</t>
  </si>
  <si>
    <t>PC-PE-KG01-L21-20251022-PM-ORD-2025-00020-S03</t>
  </si>
  <si>
    <t>PC-PE-KG01-L21-20251022-PM-ORD-2025-00020-S04</t>
  </si>
  <si>
    <t>PC-PE-KG01-L21-20251022-PM-ORD-2025-00020-S05</t>
  </si>
  <si>
    <t>PC-PE-KG01-L21-20251022-PM-ORD-2025-00020-S06</t>
  </si>
  <si>
    <t>PC-PE-KG01-L21-20251022-PM-ORD-2025-00020-S07</t>
  </si>
  <si>
    <t>PC-PE-KG01-L21-20251022-PM-ORD-2025-00020-S08</t>
  </si>
  <si>
    <t>PC-PE-KG01-L21-20251022-PM-ORD-2025-00020-S09</t>
  </si>
  <si>
    <t>PC-PE-KG01-L21-20251022-PM-ORD-2025-00020-S10</t>
  </si>
  <si>
    <t>PC-PE-KG01-L21-20251022-PM-ORD-2025-00020-S11</t>
  </si>
  <si>
    <t>PC-PE-KG01-L21-20251022-PM-ORD-2025-00020-S12</t>
  </si>
  <si>
    <t>PC-PE-KG01-L21-20251022-PM-ORD-2025-00020-S13</t>
  </si>
  <si>
    <t>PC-PE-KG01-L21-20251023-AM-ORD-2025-00020-S01</t>
  </si>
  <si>
    <t>PE-KG01-L21-20251023-AM-ORD-2025-00020</t>
  </si>
  <si>
    <t>PC-PE-KG01-L21-20251023-AM-ORD-2025-00020-S02</t>
  </si>
  <si>
    <t>PC-PE-KG01-L21-20251023-AM-ORD-2025-00020-S03</t>
  </si>
  <si>
    <t>PC-PE-KG01-L21-20251023-AM-ORD-2025-00020-S04</t>
  </si>
  <si>
    <t>PC-PE-KG01-L21-20251023-AM-ORD-2025-00020-S05</t>
  </si>
  <si>
    <t>PC-PE-KG01-L21-20251023-AM-ORD-2025-00020-S06</t>
  </si>
  <si>
    <t>PC-PE-KG01-L21-20251023-AM-ORD-2025-00020-S07</t>
  </si>
  <si>
    <t>PC-PE-KG01-L21-20251023-AM-ORD-2025-00020-S08</t>
  </si>
  <si>
    <t>PC-PE-KG01-L21-20251023-AM-ORD-2025-00020-S09</t>
  </si>
  <si>
    <t>PC-PE-KG01-L21-20251023-AM-ORD-2025-00020-S10</t>
  </si>
  <si>
    <t>PC-PE-KG01-L21-20251023-AM-ORD-2025-00020-S11</t>
  </si>
  <si>
    <t>PC-PE-KG01-L21-20251023-AM-ORD-2025-00020-S12</t>
  </si>
  <si>
    <t>PC-PE-KG01-L21-20251023-AM-ORD-2025-00020-S13</t>
  </si>
  <si>
    <t>PC-PE-KG01-L21-20251023-PM-ORD-2025-00020-S01</t>
  </si>
  <si>
    <t>PE-KG01-L21-20251023-PM-ORD-2025-00020</t>
  </si>
  <si>
    <t>PC-PE-KG01-L21-20251023-PM-ORD-2025-00020-S02</t>
  </si>
  <si>
    <t>PC-PE-KG01-L21-20251023-PM-ORD-2025-00020-S03</t>
  </si>
  <si>
    <t>PC-PE-KG01-L21-20251023-PM-ORD-2025-00020-S04</t>
  </si>
  <si>
    <t>PC-PE-KG01-L21-20251023-PM-ORD-2025-00020-S05</t>
  </si>
  <si>
    <t>PC-PE-KG01-L21-20251023-PM-ORD-2025-00020-S06</t>
  </si>
  <si>
    <t>PC-PE-KG01-L21-20251023-PM-ORD-2025-00020-S07</t>
  </si>
  <si>
    <t>PC-PE-KG01-L21-20251023-PM-ORD-2025-00020-S08</t>
  </si>
  <si>
    <t>PC-PE-KG01-L21-20251023-PM-ORD-2025-00020-S09</t>
  </si>
  <si>
    <t>PC-PE-KG01-L21-20251023-PM-ORD-2025-00020-S10</t>
  </si>
  <si>
    <t>PC-PE-KG01-L21-20251023-PM-ORD-2025-00020-S11</t>
  </si>
  <si>
    <t>PC-PE-KG01-L21-20251023-PM-ORD-2025-00020-S12</t>
  </si>
  <si>
    <t>PC-PE-KG01-L21-20251023-PM-ORD-2025-00020-S13</t>
  </si>
  <si>
    <t>PC-PE-KG01-L21-20251024-AM-ORD-2025-00020-S01</t>
  </si>
  <si>
    <t>PE-KG01-L21-20251024-AM-ORD-2025-00020</t>
  </si>
  <si>
    <t>PC-PE-KG01-L21-20251024-AM-ORD-2025-00020-S02</t>
  </si>
  <si>
    <t>PC-PE-KG01-L21-20251024-AM-ORD-2025-00020-S03</t>
  </si>
  <si>
    <t>PC-PE-KG01-L21-20251024-AM-ORD-2025-00020-S04</t>
  </si>
  <si>
    <t>PC-PE-KG01-L21-20251024-AM-ORD-2025-00020-S05</t>
  </si>
  <si>
    <t>PC-PE-KG01-L21-20251024-AM-ORD-2025-00020-S06</t>
  </si>
  <si>
    <t>PC-PE-KG01-L21-20251024-AM-ORD-2025-00020-S07</t>
  </si>
  <si>
    <t>PC-PE-KG01-L21-20251024-AM-ORD-2025-00020-S08</t>
  </si>
  <si>
    <t>PC-PE-KG01-L21-20251024-AM-ORD-2025-00020-S09</t>
  </si>
  <si>
    <t>PC-PE-KG01-L21-20251024-AM-ORD-2025-00020-S10</t>
  </si>
  <si>
    <t>PC-PE-KG01-L21-20251024-AM-ORD-2025-00020-S11</t>
  </si>
  <si>
    <t>PC-PE-KG01-L21-20251024-AM-ORD-2025-00020-S12</t>
  </si>
  <si>
    <t>PC-PE-KG01-L21-20251024-AM-ORD-2025-00020-S13</t>
  </si>
  <si>
    <t>PC-PE-KG01-L21-20251024-PM-ORD-2025-00020-S01</t>
  </si>
  <si>
    <t>PE-KG01-L21-20251024-PM-ORD-2025-00020</t>
  </si>
  <si>
    <t>PC-PE-KG01-L21-20251024-PM-ORD-2025-00020-S02</t>
  </si>
  <si>
    <t>PC-PE-KG01-L21-20251024-PM-ORD-2025-00020-S03</t>
  </si>
  <si>
    <t>PC-PE-KG01-L21-20251024-PM-ORD-2025-00020-S04</t>
  </si>
  <si>
    <t>PC-PE-KG01-L21-20251024-PM-ORD-2025-00020-S05</t>
  </si>
  <si>
    <t>PC-PE-KG01-L21-20251024-PM-ORD-2025-00020-S06</t>
  </si>
  <si>
    <t>PC-PE-KG01-L21-20251024-PM-ORD-2025-00020-S07</t>
  </si>
  <si>
    <t>PC-PE-KG01-L21-20251024-PM-ORD-2025-00020-S08</t>
  </si>
  <si>
    <t>PC-PE-KG01-L21-20251024-PM-ORD-2025-00020-S09</t>
  </si>
  <si>
    <t>PC-PE-KG01-L21-20251024-PM-ORD-2025-00020-S10</t>
  </si>
  <si>
    <t>PC-PE-KG01-L21-20251024-PM-ORD-2025-00020-S11</t>
  </si>
  <si>
    <t>PC-PE-KG01-L21-20251024-PM-ORD-2025-00020-S12</t>
  </si>
  <si>
    <t>PC-PE-KG01-L21-20251024-PM-ORD-2025-00020-S13</t>
  </si>
  <si>
    <t>PC-PE-KG01-L21-20251025-AM-ORD-2025-00021-S01</t>
  </si>
  <si>
    <t>PE-KG01-L21-20251025-AM-ORD-2025-00021</t>
  </si>
  <si>
    <t>PC-PE-KG01-L21-20251025-AM-ORD-2025-00021-S02</t>
  </si>
  <si>
    <t>PC-PE-KG01-L21-20251025-AM-ORD-2025-00021-S03</t>
  </si>
  <si>
    <t>PC-PE-KG01-L21-20251025-AM-ORD-2025-00021-S04</t>
  </si>
  <si>
    <t>PC-PE-KG01-L21-20251025-AM-ORD-2025-00021-S05</t>
  </si>
  <si>
    <t>PC-PE-KG01-L21-20251025-AM-ORD-2025-00021-S06</t>
  </si>
  <si>
    <t>PC-PE-KG01-L21-20251025-AM-ORD-2025-00021-S07</t>
  </si>
  <si>
    <t>PC-PE-KG01-L21-20251025-AM-ORD-2025-00021-S08</t>
  </si>
  <si>
    <t>PC-PE-KG01-L21-20251025-AM-ORD-2025-00021-S09</t>
  </si>
  <si>
    <t>PC-PE-KG01-L21-20251025-AM-ORD-2025-00021-S10</t>
  </si>
  <si>
    <t>PC-PE-KG01-L21-20251025-AM-ORD-2025-00021-S11</t>
  </si>
  <si>
    <t>PC-PE-KG01-L21-20251025-AM-ORD-2025-00021-S12</t>
  </si>
  <si>
    <t>PC-PE-KG01-L21-20251025-AM-ORD-2025-00021-S13</t>
  </si>
  <si>
    <t>PC-PE-KG01-L21-20251025-PM-ORD-2025-00021-S01</t>
  </si>
  <si>
    <t>PE-KG01-L21-20251025-PM-ORD-2025-00021</t>
  </si>
  <si>
    <t>PC-PE-KG01-L21-20251025-PM-ORD-2025-00021-S02</t>
  </si>
  <si>
    <t>PC-PE-KG01-L21-20251025-PM-ORD-2025-00021-S03</t>
  </si>
  <si>
    <t>PC-PE-KG01-L21-20251025-PM-ORD-2025-00021-S04</t>
  </si>
  <si>
    <t>PC-PE-KG01-L21-20251025-PM-ORD-2025-00021-S05</t>
  </si>
  <si>
    <t>PC-PE-KG01-L21-20251025-PM-ORD-2025-00021-S06</t>
  </si>
  <si>
    <t>PC-PE-KG01-L21-20251025-PM-ORD-2025-00021-S07</t>
  </si>
  <si>
    <t>PC-PE-KG01-L21-20251025-PM-ORD-2025-00021-S08</t>
  </si>
  <si>
    <t>PC-PE-KG01-L21-20251025-PM-ORD-2025-00021-S09</t>
  </si>
  <si>
    <t>PC-PE-KG01-L21-20251025-PM-ORD-2025-00021-S10</t>
  </si>
  <si>
    <t>PC-PE-KG01-L21-20251025-PM-ORD-2025-00021-S11</t>
  </si>
  <si>
    <t>PC-PE-KG01-L21-20251025-PM-ORD-2025-00021-S12</t>
  </si>
  <si>
    <t>PC-PE-KG01-L21-20251025-PM-ORD-2025-00021-S13</t>
  </si>
  <si>
    <t>PC-PE-KG01-L21-20251026-AM-ORD-2025-00021-S01</t>
  </si>
  <si>
    <t>PE-KG01-L21-20251026-AM-ORD-2025-00021</t>
  </si>
  <si>
    <t>PC-PE-KG01-L21-20251026-AM-ORD-2025-00021-S02</t>
  </si>
  <si>
    <t>PC-PE-KG01-L21-20251026-AM-ORD-2025-00021-S03</t>
  </si>
  <si>
    <t>PC-PE-KG01-L21-20251026-AM-ORD-2025-00021-S04</t>
  </si>
  <si>
    <t>PC-PE-KG01-L21-20251026-AM-ORD-2025-00021-S05</t>
  </si>
  <si>
    <t>PC-PE-KG01-L21-20251026-AM-ORD-2025-00021-S06</t>
  </si>
  <si>
    <t>PC-PE-KG01-L21-20251026-AM-ORD-2025-00021-S07</t>
  </si>
  <si>
    <t>PC-PE-KG01-L21-20251026-AM-ORD-2025-00021-S08</t>
  </si>
  <si>
    <t>PC-PE-KG01-L21-20251026-AM-ORD-2025-00021-S09</t>
  </si>
  <si>
    <t>PC-PE-KG01-L21-20251026-AM-ORD-2025-00021-S10</t>
  </si>
  <si>
    <t>PC-PE-KG01-L21-20251026-AM-ORD-2025-00021-S11</t>
  </si>
  <si>
    <t>PC-PE-KG01-L21-20251026-AM-ORD-2025-00021-S12</t>
  </si>
  <si>
    <t>PC-PE-KG01-L21-20251026-AM-ORD-2025-00021-S13</t>
  </si>
  <si>
    <t>PC-PE-KG01-L21-20251026-PM-ORD-2025-00021-S01</t>
  </si>
  <si>
    <t>PE-KG01-L21-20251026-PM-ORD-2025-00021</t>
  </si>
  <si>
    <t>PC-PE-KG01-L21-20251026-PM-ORD-2025-00021-S02</t>
  </si>
  <si>
    <t>PC-PE-KG01-L21-20251026-PM-ORD-2025-00021-S03</t>
  </si>
  <si>
    <t>PC-PE-KG01-L21-20251026-PM-ORD-2025-00021-S04</t>
  </si>
  <si>
    <t>PC-PE-KG01-L21-20251026-PM-ORD-2025-00021-S05</t>
  </si>
  <si>
    <t>PC-PE-KG01-L21-20251026-PM-ORD-2025-00021-S06</t>
  </si>
  <si>
    <t>PC-PE-KG01-L21-20251026-PM-ORD-2025-00021-S07</t>
  </si>
  <si>
    <t>PC-PE-KG01-L21-20251026-PM-ORD-2025-00021-S08</t>
  </si>
  <si>
    <t>PC-PE-KG01-L21-20251026-PM-ORD-2025-00021-S09</t>
  </si>
  <si>
    <t>PC-PE-KG01-L21-20251026-PM-ORD-2025-00021-S10</t>
  </si>
  <si>
    <t>PC-PE-KG01-L21-20251026-PM-ORD-2025-00021-S11</t>
  </si>
  <si>
    <t>PC-PE-KG01-L21-20251026-PM-ORD-2025-00021-S12</t>
  </si>
  <si>
    <t>PC-PE-KG01-L21-20251026-PM-ORD-2025-00021-S13</t>
  </si>
  <si>
    <t>PC-PE-KG01-L22-20251020-AM-ORD-2025-00056-S01</t>
  </si>
  <si>
    <t>PE-KG01-L22-20251020-AM-ORD-2025-00056</t>
  </si>
  <si>
    <t>PC-PE-KG01-L22-20251020-AM-ORD-2025-00056-S02</t>
  </si>
  <si>
    <t>PC-PE-KG01-L22-20251020-AM-ORD-2025-00056-S03</t>
  </si>
  <si>
    <t>PC-PE-KG01-L22-20251020-AM-ORD-2025-00056-S04</t>
  </si>
  <si>
    <t>PC-PE-KG01-L22-20251020-AM-ORD-2025-00056-S05</t>
  </si>
  <si>
    <t>PC-PE-KG01-L22-20251020-AM-ORD-2025-00056-S06</t>
  </si>
  <si>
    <t>PC-PE-KG01-L22-20251020-AM-ORD-2025-00056-S07</t>
  </si>
  <si>
    <t>PC-PE-KG01-L22-20251020-AM-ORD-2025-00056-S08</t>
  </si>
  <si>
    <t>PC-PE-KG01-L22-20251020-AM-ORD-2025-00056-S09</t>
  </si>
  <si>
    <t>PC-PE-KG01-L22-20251020-AM-ORD-2025-00056-S10</t>
  </si>
  <si>
    <t>PC-PE-KG01-L22-20251020-AM-ORD-2025-00056-S11</t>
  </si>
  <si>
    <t>PC-PE-KG01-L22-20251020-AM-ORD-2025-00056-S12</t>
  </si>
  <si>
    <t>PC-PE-KG01-L22-20251020-AM-ORD-2025-00056-S13</t>
  </si>
  <si>
    <t>PC-PE-KG01-L22-20251020-PM-ORD-2025-00056-S01</t>
  </si>
  <si>
    <t>PE-KG01-L22-20251020-PM-ORD-2025-00056</t>
  </si>
  <si>
    <t>PC-PE-KG01-L22-20251020-PM-ORD-2025-00056-S02</t>
  </si>
  <si>
    <t>PC-PE-KG01-L22-20251020-PM-ORD-2025-00056-S03</t>
  </si>
  <si>
    <t>PC-PE-KG01-L22-20251020-PM-ORD-2025-00056-S04</t>
  </si>
  <si>
    <t>PC-PE-KG01-L22-20251020-PM-ORD-2025-00056-S05</t>
  </si>
  <si>
    <t>PC-PE-KG01-L22-20251020-PM-ORD-2025-00056-S06</t>
  </si>
  <si>
    <t>PC-PE-KG01-L22-20251020-PM-ORD-2025-00056-S07</t>
  </si>
  <si>
    <t>PC-PE-KG01-L22-20251020-PM-ORD-2025-00056-S08</t>
  </si>
  <si>
    <t>PC-PE-KG01-L22-20251020-PM-ORD-2025-00056-S09</t>
  </si>
  <si>
    <t>PC-PE-KG01-L22-20251020-PM-ORD-2025-00056-S10</t>
  </si>
  <si>
    <t>PC-PE-KG01-L22-20251020-PM-ORD-2025-00056-S11</t>
  </si>
  <si>
    <t>PC-PE-KG01-L22-20251020-PM-ORD-2025-00056-S12</t>
  </si>
  <si>
    <t>PC-PE-KG01-L22-20251020-PM-ORD-2025-00056-S13</t>
  </si>
  <si>
    <t>PC-PE-KG01-L22-20251021-AM-ORD-2025-00056-S01</t>
  </si>
  <si>
    <t>PE-KG01-L22-20251021-AM-ORD-2025-00056</t>
  </si>
  <si>
    <t>PC-PE-KG01-L22-20251021-AM-ORD-2025-00056-S02</t>
  </si>
  <si>
    <t>PC-PE-KG01-L22-20251021-AM-ORD-2025-00056-S03</t>
  </si>
  <si>
    <t>PC-PE-KG01-L22-20251021-AM-ORD-2025-00056-S04</t>
  </si>
  <si>
    <t>PC-PE-KG01-L22-20251021-AM-ORD-2025-00056-S05</t>
  </si>
  <si>
    <t>PC-PE-KG01-L22-20251021-AM-ORD-2025-00056-S06</t>
  </si>
  <si>
    <t>PC-PE-KG01-L22-20251021-AM-ORD-2025-00056-S07</t>
  </si>
  <si>
    <t>PC-PE-KG01-L22-20251021-AM-ORD-2025-00056-S08</t>
  </si>
  <si>
    <t>PC-PE-KG01-L22-20251021-AM-ORD-2025-00056-S09</t>
  </si>
  <si>
    <t>PC-PE-KG01-L22-20251021-AM-ORD-2025-00056-S10</t>
  </si>
  <si>
    <t>PC-PE-KG01-L22-20251021-AM-ORD-2025-00056-S11</t>
  </si>
  <si>
    <t>PC-PE-KG01-L22-20251021-AM-ORD-2025-00056-S12</t>
  </si>
  <si>
    <t>PC-PE-KG01-L22-20251021-AM-ORD-2025-00056-S13</t>
  </si>
  <si>
    <t>PC-PE-KG01-L22-20251021-PM-ORD-2025-00056-S01</t>
  </si>
  <si>
    <t>PE-KG01-L22-20251021-PM-ORD-2025-00056</t>
  </si>
  <si>
    <t>PC-PE-KG01-L22-20251021-PM-ORD-2025-00056-S02</t>
  </si>
  <si>
    <t>PC-PE-KG01-L22-20251021-PM-ORD-2025-00056-S03</t>
  </si>
  <si>
    <t>PC-PE-KG01-L22-20251021-PM-ORD-2025-00056-S04</t>
  </si>
  <si>
    <t>PC-PE-KG01-L22-20251021-PM-ORD-2025-00056-S05</t>
  </si>
  <si>
    <t>PC-PE-KG01-L22-20251021-PM-ORD-2025-00056-S06</t>
  </si>
  <si>
    <t>PC-PE-KG01-L22-20251021-PM-ORD-2025-00056-S07</t>
  </si>
  <si>
    <t>PC-PE-KG01-L22-20251021-PM-ORD-2025-00056-S08</t>
  </si>
  <si>
    <t>PC-PE-KG01-L22-20251021-PM-ORD-2025-00056-S09</t>
  </si>
  <si>
    <t>PC-PE-KG01-L22-20251021-PM-ORD-2025-00056-S10</t>
  </si>
  <si>
    <t>PC-PE-KG01-L22-20251021-PM-ORD-2025-00056-S11</t>
  </si>
  <si>
    <t>PC-PE-KG01-L22-20251021-PM-ORD-2025-00056-S12</t>
  </si>
  <si>
    <t>PC-PE-KG01-L22-20251021-PM-ORD-2025-00056-S13</t>
  </si>
  <si>
    <t>PC-PE-KG01-L22-20251022-AM-ORD-2025-00057-S01</t>
  </si>
  <si>
    <t>PE-KG01-L22-20251022-AM-ORD-2025-00057</t>
  </si>
  <si>
    <t>PC-PE-KG01-L22-20251022-AM-ORD-2025-00057-S02</t>
  </si>
  <si>
    <t>PC-PE-KG01-L22-20251022-AM-ORD-2025-00057-S03</t>
  </si>
  <si>
    <t>PC-PE-KG01-L22-20251022-AM-ORD-2025-00057-S04</t>
  </si>
  <si>
    <t>PC-PE-KG01-L22-20251022-AM-ORD-2025-00057-S05</t>
  </si>
  <si>
    <t>PC-PE-KG01-L22-20251022-AM-ORD-2025-00057-S06</t>
  </si>
  <si>
    <t>PC-PE-KG01-L22-20251022-AM-ORD-2025-00057-S07</t>
  </si>
  <si>
    <t>PC-PE-KG01-L22-20251022-AM-ORD-2025-00057-S08</t>
  </si>
  <si>
    <t>PC-PE-KG01-L22-20251022-AM-ORD-2025-00057-S09</t>
  </si>
  <si>
    <t>PC-PE-KG01-L22-20251022-AM-ORD-2025-00057-S10</t>
  </si>
  <si>
    <t>PC-PE-KG01-L22-20251022-AM-ORD-2025-00057-S11</t>
  </si>
  <si>
    <t>PC-PE-KG01-L22-20251022-AM-ORD-2025-00057-S12</t>
  </si>
  <si>
    <t>PC-PE-KG01-L22-20251022-AM-ORD-2025-00057-S13</t>
  </si>
  <si>
    <t>PC-PE-KG01-L22-20251022-PM-ORD-2025-00057-S01</t>
  </si>
  <si>
    <t>PE-KG01-L22-20251022-PM-ORD-2025-00057</t>
  </si>
  <si>
    <t>PC-PE-KG01-L22-20251022-PM-ORD-2025-00057-S02</t>
  </si>
  <si>
    <t>PC-PE-KG01-L22-20251022-PM-ORD-2025-00057-S03</t>
  </si>
  <si>
    <t>PC-PE-KG01-L22-20251022-PM-ORD-2025-00057-S04</t>
  </si>
  <si>
    <t>PC-PE-KG01-L22-20251022-PM-ORD-2025-00057-S05</t>
  </si>
  <si>
    <t>PC-PE-KG01-L22-20251022-PM-ORD-2025-00057-S06</t>
  </si>
  <si>
    <t>PC-PE-KG01-L22-20251022-PM-ORD-2025-00057-S07</t>
  </si>
  <si>
    <t>PC-PE-KG01-L22-20251022-PM-ORD-2025-00057-S08</t>
  </si>
  <si>
    <t>PC-PE-KG01-L22-20251022-PM-ORD-2025-00057-S09</t>
  </si>
  <si>
    <t>PC-PE-KG01-L22-20251022-PM-ORD-2025-00057-S10</t>
  </si>
  <si>
    <t>PC-PE-KG01-L22-20251022-PM-ORD-2025-00057-S11</t>
  </si>
  <si>
    <t>PC-PE-KG01-L22-20251022-PM-ORD-2025-00057-S12</t>
  </si>
  <si>
    <t>PC-PE-KG01-L22-20251022-PM-ORD-2025-00057-S13</t>
  </si>
  <si>
    <t>PC-PE-KG01-L22-20251023-AM-ORD-2025-00057-S01</t>
  </si>
  <si>
    <t>PE-KG01-L22-20251023-AM-ORD-2025-00057</t>
  </si>
  <si>
    <t>PC-PE-KG01-L22-20251023-AM-ORD-2025-00057-S02</t>
  </si>
  <si>
    <t>PC-PE-KG01-L22-20251023-AM-ORD-2025-00057-S03</t>
  </si>
  <si>
    <t>PC-PE-KG01-L22-20251023-AM-ORD-2025-00057-S04</t>
  </si>
  <si>
    <t>PC-PE-KG01-L22-20251023-AM-ORD-2025-00057-S05</t>
  </si>
  <si>
    <t>PC-PE-KG01-L22-20251023-AM-ORD-2025-00057-S06</t>
  </si>
  <si>
    <t>PC-PE-KG01-L22-20251023-AM-ORD-2025-00057-S07</t>
  </si>
  <si>
    <t>PC-PE-KG01-L22-20251023-AM-ORD-2025-00057-S08</t>
  </si>
  <si>
    <t>PC-PE-KG01-L22-20251023-AM-ORD-2025-00057-S09</t>
  </si>
  <si>
    <t>PC-PE-KG01-L22-20251023-AM-ORD-2025-00057-S10</t>
  </si>
  <si>
    <t>PC-PE-KG01-L22-20251023-AM-ORD-2025-00057-S11</t>
  </si>
  <si>
    <t>PC-PE-KG01-L22-20251023-AM-ORD-2025-00057-S12</t>
  </si>
  <si>
    <t>PC-PE-KG01-L22-20251023-AM-ORD-2025-00057-S13</t>
  </si>
  <si>
    <t>PC-PE-KG01-L22-20251023-PM-ORD-2025-00057-S01</t>
  </si>
  <si>
    <t>PE-KG01-L22-20251023-PM-ORD-2025-00057</t>
  </si>
  <si>
    <t>PC-PE-KG01-L22-20251023-PM-ORD-2025-00057-S02</t>
  </si>
  <si>
    <t>PC-PE-KG01-L22-20251023-PM-ORD-2025-00057-S03</t>
  </si>
  <si>
    <t>PC-PE-KG01-L22-20251023-PM-ORD-2025-00057-S04</t>
  </si>
  <si>
    <t>PC-PE-KG01-L22-20251023-PM-ORD-2025-00057-S05</t>
  </si>
  <si>
    <t>PC-PE-KG01-L22-20251023-PM-ORD-2025-00057-S06</t>
  </si>
  <si>
    <t>PC-PE-KG01-L22-20251023-PM-ORD-2025-00057-S07</t>
  </si>
  <si>
    <t>PC-PE-KG01-L22-20251023-PM-ORD-2025-00057-S08</t>
  </si>
  <si>
    <t>PC-PE-KG01-L22-20251023-PM-ORD-2025-00057-S09</t>
  </si>
  <si>
    <t>PC-PE-KG01-L22-20251023-PM-ORD-2025-00057-S10</t>
  </si>
  <si>
    <t>PC-PE-KG01-L22-20251023-PM-ORD-2025-00057-S11</t>
  </si>
  <si>
    <t>PC-PE-KG01-L22-20251023-PM-ORD-2025-00057-S12</t>
  </si>
  <si>
    <t>PC-PE-KG01-L22-20251023-PM-ORD-2025-00057-S13</t>
  </si>
  <si>
    <t>PC-PE-KG01-L22-20251024-AM-ORD-2025-00057-S01</t>
  </si>
  <si>
    <t>PE-KG01-L22-20251024-AM-ORD-2025-00057</t>
  </si>
  <si>
    <t>PC-PE-KG01-L22-20251024-AM-ORD-2025-00057-S02</t>
  </si>
  <si>
    <t>PC-PE-KG01-L22-20251024-AM-ORD-2025-00057-S03</t>
  </si>
  <si>
    <t>PC-PE-KG01-L22-20251024-AM-ORD-2025-00057-S04</t>
  </si>
  <si>
    <t>PC-PE-KG01-L22-20251024-AM-ORD-2025-00057-S05</t>
  </si>
  <si>
    <t>PC-PE-KG01-L22-20251024-AM-ORD-2025-00057-S06</t>
  </si>
  <si>
    <t>PC-PE-KG01-L22-20251024-AM-ORD-2025-00057-S07</t>
  </si>
  <si>
    <t>PC-PE-KG01-L22-20251024-AM-ORD-2025-00057-S08</t>
  </si>
  <si>
    <t>PC-PE-KG01-L22-20251024-AM-ORD-2025-00057-S09</t>
  </si>
  <si>
    <t>PC-PE-KG01-L22-20251024-AM-ORD-2025-00057-S10</t>
  </si>
  <si>
    <t>PC-PE-KG01-L22-20251024-AM-ORD-2025-00057-S11</t>
  </si>
  <si>
    <t>PC-PE-KG01-L22-20251024-AM-ORD-2025-00057-S12</t>
  </si>
  <si>
    <t>PC-PE-KG01-L22-20251024-AM-ORD-2025-00057-S13</t>
  </si>
  <si>
    <t>PC-PE-KG01-L22-20251024-PM-ORD-2025-00057-S01</t>
  </si>
  <si>
    <t>PE-KG01-L22-20251024-PM-ORD-2025-00057</t>
  </si>
  <si>
    <t>PC-PE-KG01-L22-20251024-PM-ORD-2025-00057-S02</t>
  </si>
  <si>
    <t>PC-PE-KG01-L22-20251024-PM-ORD-2025-00057-S03</t>
  </si>
  <si>
    <t>PC-PE-KG01-L22-20251024-PM-ORD-2025-00057-S04</t>
  </si>
  <si>
    <t>PC-PE-KG01-L22-20251024-PM-ORD-2025-00057-S05</t>
  </si>
  <si>
    <t>PC-PE-KG01-L22-20251024-PM-ORD-2025-00057-S06</t>
  </si>
  <si>
    <t>PC-PE-KG01-L22-20251024-PM-ORD-2025-00057-S07</t>
  </si>
  <si>
    <t>PC-PE-KG01-L22-20251024-PM-ORD-2025-00057-S08</t>
  </si>
  <si>
    <t>PC-PE-KG01-L22-20251024-PM-ORD-2025-00057-S09</t>
  </si>
  <si>
    <t>PC-PE-KG01-L22-20251024-PM-ORD-2025-00057-S10</t>
  </si>
  <si>
    <t>PC-PE-KG01-L22-20251024-PM-ORD-2025-00057-S11</t>
  </si>
  <si>
    <t>PC-PE-KG01-L22-20251024-PM-ORD-2025-00057-S12</t>
  </si>
  <si>
    <t>PC-PE-KG01-L22-20251024-PM-ORD-2025-00057-S13</t>
  </si>
  <si>
    <t>PC-PE-KG01-L22-20251025-AM-ORD-2025-00057-S01</t>
  </si>
  <si>
    <t>PE-KG01-L22-20251025-AM-ORD-2025-00057</t>
  </si>
  <si>
    <t>PC-PE-KG01-L22-20251025-AM-ORD-2025-00057-S02</t>
  </si>
  <si>
    <t>PC-PE-KG01-L22-20251025-AM-ORD-2025-00057-S03</t>
  </si>
  <si>
    <t>PC-PE-KG01-L22-20251025-AM-ORD-2025-00057-S04</t>
  </si>
  <si>
    <t>PC-PE-KG01-L22-20251025-AM-ORD-2025-00057-S05</t>
  </si>
  <si>
    <t>PC-PE-KG01-L22-20251025-AM-ORD-2025-00057-S06</t>
  </si>
  <si>
    <t>PC-PE-KG01-L22-20251025-AM-ORD-2025-00057-S07</t>
  </si>
  <si>
    <t>PC-PE-KG01-L22-20251025-AM-ORD-2025-00057-S08</t>
  </si>
  <si>
    <t>PC-PE-KG01-L22-20251025-AM-ORD-2025-00057-S09</t>
  </si>
  <si>
    <t>PC-PE-KG01-L22-20251025-AM-ORD-2025-00057-S10</t>
  </si>
  <si>
    <t>PC-PE-KG01-L22-20251025-AM-ORD-2025-00057-S11</t>
  </si>
  <si>
    <t>PC-PE-KG01-L22-20251025-AM-ORD-2025-00057-S12</t>
  </si>
  <si>
    <t>PC-PE-KG01-L22-20251025-AM-ORD-2025-00057-S13</t>
  </si>
  <si>
    <t>PC-PE-KG01-L22-20251025-PM-ORD-2025-00057-S01</t>
  </si>
  <si>
    <t>PE-KG01-L22-20251025-PM-ORD-2025-00057</t>
  </si>
  <si>
    <t>PC-PE-KG01-L22-20251025-PM-ORD-2025-00057-S02</t>
  </si>
  <si>
    <t>PC-PE-KG01-L22-20251025-PM-ORD-2025-00057-S03</t>
  </si>
  <si>
    <t>PC-PE-KG01-L22-20251025-PM-ORD-2025-00057-S04</t>
  </si>
  <si>
    <t>PC-PE-KG01-L22-20251025-PM-ORD-2025-00057-S05</t>
  </si>
  <si>
    <t>PC-PE-KG01-L22-20251025-PM-ORD-2025-00057-S06</t>
  </si>
  <si>
    <t>PC-PE-KG01-L22-20251025-PM-ORD-2025-00057-S07</t>
  </si>
  <si>
    <t>PC-PE-KG01-L22-20251025-PM-ORD-2025-00057-S08</t>
  </si>
  <si>
    <t>PC-PE-KG01-L22-20251025-PM-ORD-2025-00057-S09</t>
  </si>
  <si>
    <t>PC-PE-KG01-L22-20251025-PM-ORD-2025-00057-S10</t>
  </si>
  <si>
    <t>PC-PE-KG01-L22-20251025-PM-ORD-2025-00057-S11</t>
  </si>
  <si>
    <t>PC-PE-KG01-L22-20251025-PM-ORD-2025-00057-S12</t>
  </si>
  <si>
    <t>PC-PE-KG01-L22-20251025-PM-ORD-2025-00057-S13</t>
  </si>
  <si>
    <t>PC-PE-KG01-L22-20251026-AM-ORD-2025-00058-S01</t>
  </si>
  <si>
    <t>PE-KG01-L22-20251026-AM-ORD-2025-00058</t>
  </si>
  <si>
    <t>PC-PE-KG01-L22-20251026-AM-ORD-2025-00058-S02</t>
  </si>
  <si>
    <t>PC-PE-KG01-L22-20251026-AM-ORD-2025-00058-S03</t>
  </si>
  <si>
    <t>PC-PE-KG01-L22-20251026-AM-ORD-2025-00058-S04</t>
  </si>
  <si>
    <t>PC-PE-KG01-L22-20251026-AM-ORD-2025-00058-S05</t>
  </si>
  <si>
    <t>PC-PE-KG01-L22-20251026-AM-ORD-2025-00058-S06</t>
  </si>
  <si>
    <t>PC-PE-KG01-L22-20251026-AM-ORD-2025-00058-S07</t>
  </si>
  <si>
    <t>PC-PE-KG01-L22-20251026-AM-ORD-2025-00058-S08</t>
  </si>
  <si>
    <t>PC-PE-KG01-L22-20251026-AM-ORD-2025-00058-S09</t>
  </si>
  <si>
    <t>PC-PE-KG01-L22-20251026-AM-ORD-2025-00058-S10</t>
  </si>
  <si>
    <t>PC-PE-KG01-L22-20251026-AM-ORD-2025-00058-S11</t>
  </si>
  <si>
    <t>PC-PE-KG01-L22-20251026-AM-ORD-2025-00058-S12</t>
  </si>
  <si>
    <t>PC-PE-KG01-L22-20251026-AM-ORD-2025-00058-S13</t>
  </si>
  <si>
    <t>PC-PE-KG01-L22-20251026-PM-ORD-2025-00058-S01</t>
  </si>
  <si>
    <t>PE-KG01-L22-20251026-PM-ORD-2025-00058</t>
  </si>
  <si>
    <t>PC-PE-KG01-L22-20251026-PM-ORD-2025-00058-S02</t>
  </si>
  <si>
    <t>PC-PE-KG01-L22-20251026-PM-ORD-2025-00058-S03</t>
  </si>
  <si>
    <t>PC-PE-KG01-L22-20251026-PM-ORD-2025-00058-S04</t>
  </si>
  <si>
    <t>PC-PE-KG01-L22-20251026-PM-ORD-2025-00058-S05</t>
  </si>
  <si>
    <t>PC-PE-KG01-L22-20251026-PM-ORD-2025-00058-S06</t>
  </si>
  <si>
    <t>PC-PE-KG01-L22-20251026-PM-ORD-2025-00058-S07</t>
  </si>
  <si>
    <t>PC-PE-KG01-L22-20251026-PM-ORD-2025-00058-S08</t>
  </si>
  <si>
    <t>PC-PE-KG01-L22-20251026-PM-ORD-2025-00058-S09</t>
  </si>
  <si>
    <t>PC-PE-KG01-L22-20251026-PM-ORD-2025-00058-S10</t>
  </si>
  <si>
    <t>PC-PE-KG01-L22-20251026-PM-ORD-2025-00058-S11</t>
  </si>
  <si>
    <t>PC-PE-KG01-L22-20251026-PM-ORD-2025-00058-S12</t>
  </si>
  <si>
    <t>PC-PE-KG01-L22-20251026-PM-ORD-2025-00058-S13</t>
  </si>
  <si>
    <t>PC-PE-KG01-L23-20251020-AM-ORD-2025-00092-S01</t>
  </si>
  <si>
    <t>PE-KG01-L23-20251020-AM-ORD-2025-00092</t>
  </si>
  <si>
    <t>PC-PE-KG01-L23-20251020-AM-ORD-2025-00092-S02</t>
  </si>
  <si>
    <t>PC-PE-KG01-L23-20251020-AM-ORD-2025-00092-S03</t>
  </si>
  <si>
    <t>PC-PE-KG01-L23-20251020-AM-ORD-2025-00092-S04</t>
  </si>
  <si>
    <t>PC-PE-KG01-L23-20251020-AM-ORD-2025-00092-S05</t>
  </si>
  <si>
    <t>PC-PE-KG01-L23-20251020-AM-ORD-2025-00092-S06</t>
  </si>
  <si>
    <t>PC-PE-KG01-L23-20251020-AM-ORD-2025-00092-S07</t>
  </si>
  <si>
    <t>PC-PE-KG01-L23-20251020-AM-ORD-2025-00092-S08</t>
  </si>
  <si>
    <t>PC-PE-KG01-L23-20251020-AM-ORD-2025-00092-S09</t>
  </si>
  <si>
    <t>PC-PE-KG01-L23-20251020-AM-ORD-2025-00092-S10</t>
  </si>
  <si>
    <t>PC-PE-KG01-L23-20251020-AM-ORD-2025-00092-S11</t>
  </si>
  <si>
    <t>PC-PE-KG01-L23-20251020-AM-ORD-2025-00092-S12</t>
  </si>
  <si>
    <t>PC-PE-KG01-L23-20251020-AM-ORD-2025-00092-S13</t>
  </si>
  <si>
    <t>PC-PE-KG01-L23-20251020-PM-ORD-2025-00092-S01</t>
  </si>
  <si>
    <t>PE-KG01-L23-20251020-PM-ORD-2025-00092</t>
  </si>
  <si>
    <t>PC-PE-KG01-L23-20251020-PM-ORD-2025-00092-S02</t>
  </si>
  <si>
    <t>PC-PE-KG01-L23-20251020-PM-ORD-2025-00092-S03</t>
  </si>
  <si>
    <t>PC-PE-KG01-L23-20251020-PM-ORD-2025-00092-S04</t>
  </si>
  <si>
    <t>PC-PE-KG01-L23-20251020-PM-ORD-2025-00092-S05</t>
  </si>
  <si>
    <t>PC-PE-KG01-L23-20251020-PM-ORD-2025-00092-S06</t>
  </si>
  <si>
    <t>PC-PE-KG01-L23-20251020-PM-ORD-2025-00092-S07</t>
  </si>
  <si>
    <t>PC-PE-KG01-L23-20251020-PM-ORD-2025-00092-S08</t>
  </si>
  <si>
    <t>PC-PE-KG01-L23-20251020-PM-ORD-2025-00092-S09</t>
  </si>
  <si>
    <t>PC-PE-KG01-L23-20251020-PM-ORD-2025-00092-S10</t>
  </si>
  <si>
    <t>PC-PE-KG01-L23-20251020-PM-ORD-2025-00092-S11</t>
  </si>
  <si>
    <t>PC-PE-KG01-L23-20251020-PM-ORD-2025-00092-S12</t>
  </si>
  <si>
    <t>PC-PE-KG01-L23-20251020-PM-ORD-2025-00092-S13</t>
  </si>
  <si>
    <t>PC-PE-KG01-L23-20251021-AM-ORD-2025-00092-S01</t>
  </si>
  <si>
    <t>PE-KG01-L23-20251021-AM-ORD-2025-00092</t>
  </si>
  <si>
    <t>PC-PE-KG01-L23-20251021-AM-ORD-2025-00092-S02</t>
  </si>
  <si>
    <t>PC-PE-KG01-L23-20251021-AM-ORD-2025-00092-S03</t>
  </si>
  <si>
    <t>PC-PE-KG01-L23-20251021-AM-ORD-2025-00092-S04</t>
  </si>
  <si>
    <t>PC-PE-KG01-L23-20251021-AM-ORD-2025-00092-S05</t>
  </si>
  <si>
    <t>PC-PE-KG01-L23-20251021-AM-ORD-2025-00092-S06</t>
  </si>
  <si>
    <t>PC-PE-KG01-L23-20251021-AM-ORD-2025-00092-S07</t>
  </si>
  <si>
    <t>PC-PE-KG01-L23-20251021-AM-ORD-2025-00092-S08</t>
  </si>
  <si>
    <t>PC-PE-KG01-L23-20251021-AM-ORD-2025-00092-S09</t>
  </si>
  <si>
    <t>PC-PE-KG01-L23-20251021-AM-ORD-2025-00092-S10</t>
  </si>
  <si>
    <t>PC-PE-KG01-L23-20251021-AM-ORD-2025-00092-S11</t>
  </si>
  <si>
    <t>PC-PE-KG01-L23-20251021-AM-ORD-2025-00092-S12</t>
  </si>
  <si>
    <t>PC-PE-KG01-L23-20251021-AM-ORD-2025-00092-S13</t>
  </si>
  <si>
    <t>PC-PE-KG01-L23-20251021-PM-ORD-2025-00092-S01</t>
  </si>
  <si>
    <t>PE-KG01-L23-20251021-PM-ORD-2025-00092</t>
  </si>
  <si>
    <t>PC-PE-KG01-L23-20251021-PM-ORD-2025-00092-S02</t>
  </si>
  <si>
    <t>PC-PE-KG01-L23-20251021-PM-ORD-2025-00092-S03</t>
  </si>
  <si>
    <t>PC-PE-KG01-L23-20251021-PM-ORD-2025-00092-S04</t>
  </si>
  <si>
    <t>PC-PE-KG01-L23-20251021-PM-ORD-2025-00092-S05</t>
  </si>
  <si>
    <t>PC-PE-KG01-L23-20251021-PM-ORD-2025-00092-S06</t>
  </si>
  <si>
    <t>PC-PE-KG01-L23-20251021-PM-ORD-2025-00092-S07</t>
  </si>
  <si>
    <t>PC-PE-KG01-L23-20251021-PM-ORD-2025-00092-S08</t>
  </si>
  <si>
    <t>PC-PE-KG01-L23-20251021-PM-ORD-2025-00092-S09</t>
  </si>
  <si>
    <t>PC-PE-KG01-L23-20251021-PM-ORD-2025-00092-S10</t>
  </si>
  <si>
    <t>PC-PE-KG01-L23-20251021-PM-ORD-2025-00092-S11</t>
  </si>
  <si>
    <t>PC-PE-KG01-L23-20251021-PM-ORD-2025-00092-S12</t>
  </si>
  <si>
    <t>PC-PE-KG01-L23-20251021-PM-ORD-2025-00092-S13</t>
  </si>
  <si>
    <t>PC-PE-KG01-L23-20251022-AM-ORD-2025-00093-S01</t>
  </si>
  <si>
    <t>PE-KG01-L23-20251022-AM-ORD-2025-00093</t>
  </si>
  <si>
    <t>PC-PE-KG01-L23-20251022-AM-ORD-2025-00093-S02</t>
  </si>
  <si>
    <t>PC-PE-KG01-L23-20251022-AM-ORD-2025-00093-S03</t>
  </si>
  <si>
    <t>PC-PE-KG01-L23-20251022-AM-ORD-2025-00093-S04</t>
  </si>
  <si>
    <t>PC-PE-KG01-L23-20251022-AM-ORD-2025-00093-S05</t>
  </si>
  <si>
    <t>PC-PE-KG01-L23-20251022-AM-ORD-2025-00093-S06</t>
  </si>
  <si>
    <t>PC-PE-KG01-L23-20251022-AM-ORD-2025-00093-S07</t>
  </si>
  <si>
    <t>PC-PE-KG01-L23-20251022-AM-ORD-2025-00093-S08</t>
  </si>
  <si>
    <t>PC-PE-KG01-L23-20251022-AM-ORD-2025-00093-S09</t>
  </si>
  <si>
    <t>PC-PE-KG01-L23-20251022-AM-ORD-2025-00093-S10</t>
  </si>
  <si>
    <t>PC-PE-KG01-L23-20251022-AM-ORD-2025-00093-S11</t>
  </si>
  <si>
    <t>PC-PE-KG01-L23-20251022-AM-ORD-2025-00093-S12</t>
  </si>
  <si>
    <t>PC-PE-KG01-L23-20251022-AM-ORD-2025-00093-S13</t>
  </si>
  <si>
    <t>PC-PE-KG01-L23-20251022-PM-ORD-2025-00093-S01</t>
  </si>
  <si>
    <t>PE-KG01-L23-20251022-PM-ORD-2025-00093</t>
  </si>
  <si>
    <t>PC-PE-KG01-L23-20251022-PM-ORD-2025-00093-S02</t>
  </si>
  <si>
    <t>PC-PE-KG01-L23-20251022-PM-ORD-2025-00093-S03</t>
  </si>
  <si>
    <t>PC-PE-KG01-L23-20251022-PM-ORD-2025-00093-S04</t>
  </si>
  <si>
    <t>PC-PE-KG01-L23-20251022-PM-ORD-2025-00093-S05</t>
  </si>
  <si>
    <t>PC-PE-KG01-L23-20251022-PM-ORD-2025-00093-S06</t>
  </si>
  <si>
    <t>PC-PE-KG01-L23-20251022-PM-ORD-2025-00093-S07</t>
  </si>
  <si>
    <t>PC-PE-KG01-L23-20251022-PM-ORD-2025-00093-S08</t>
  </si>
  <si>
    <t>PC-PE-KG01-L23-20251022-PM-ORD-2025-00093-S09</t>
  </si>
  <si>
    <t>PC-PE-KG01-L23-20251022-PM-ORD-2025-00093-S10</t>
  </si>
  <si>
    <t>PC-PE-KG01-L23-20251022-PM-ORD-2025-00093-S11</t>
  </si>
  <si>
    <t>PC-PE-KG01-L23-20251022-PM-ORD-2025-00093-S12</t>
  </si>
  <si>
    <t>PC-PE-KG01-L23-20251022-PM-ORD-2025-00093-S13</t>
  </si>
  <si>
    <t>PC-PE-KG01-L23-20251023-AM-ORD-2025-00093-S01</t>
  </si>
  <si>
    <t>PE-KG01-L23-20251023-AM-ORD-2025-00093</t>
  </si>
  <si>
    <t>PC-PE-KG01-L23-20251023-AM-ORD-2025-00093-S02</t>
  </si>
  <si>
    <t>PC-PE-KG01-L23-20251023-AM-ORD-2025-00093-S03</t>
  </si>
  <si>
    <t>PC-PE-KG01-L23-20251023-AM-ORD-2025-00093-S04</t>
  </si>
  <si>
    <t>PC-PE-KG01-L23-20251023-AM-ORD-2025-00093-S05</t>
  </si>
  <si>
    <t>PC-PE-KG01-L23-20251023-AM-ORD-2025-00093-S06</t>
  </si>
  <si>
    <t>PC-PE-KG01-L23-20251023-AM-ORD-2025-00093-S07</t>
  </si>
  <si>
    <t>PC-PE-KG01-L23-20251023-AM-ORD-2025-00093-S08</t>
  </si>
  <si>
    <t>PC-PE-KG01-L23-20251023-AM-ORD-2025-00093-S09</t>
  </si>
  <si>
    <t>PC-PE-KG01-L23-20251023-AM-ORD-2025-00093-S10</t>
  </si>
  <si>
    <t>PC-PE-KG01-L23-20251023-AM-ORD-2025-00093-S11</t>
  </si>
  <si>
    <t>PC-PE-KG01-L23-20251023-AM-ORD-2025-00093-S12</t>
  </si>
  <si>
    <t>PC-PE-KG01-L23-20251023-AM-ORD-2025-00093-S13</t>
  </si>
  <si>
    <t>PC-PE-KG01-L23-20251023-PM-ORD-2025-00093-S01</t>
  </si>
  <si>
    <t>PE-KG01-L23-20251023-PM-ORD-2025-00093</t>
  </si>
  <si>
    <t>PC-PE-KG01-L23-20251023-PM-ORD-2025-00093-S02</t>
  </si>
  <si>
    <t>PC-PE-KG01-L23-20251023-PM-ORD-2025-00093-S03</t>
  </si>
  <si>
    <t>PC-PE-KG01-L23-20251023-PM-ORD-2025-00093-S04</t>
  </si>
  <si>
    <t>PC-PE-KG01-L23-20251023-PM-ORD-2025-00093-S05</t>
  </si>
  <si>
    <t>PC-PE-KG01-L23-20251023-PM-ORD-2025-00093-S06</t>
  </si>
  <si>
    <t>PC-PE-KG01-L23-20251023-PM-ORD-2025-00093-S07</t>
  </si>
  <si>
    <t>PC-PE-KG01-L23-20251023-PM-ORD-2025-00093-S08</t>
  </si>
  <si>
    <t>PC-PE-KG01-L23-20251023-PM-ORD-2025-00093-S09</t>
  </si>
  <si>
    <t>PC-PE-KG01-L23-20251023-PM-ORD-2025-00093-S10</t>
  </si>
  <si>
    <t>PC-PE-KG01-L23-20251023-PM-ORD-2025-00093-S11</t>
  </si>
  <si>
    <t>PC-PE-KG01-L23-20251023-PM-ORD-2025-00093-S12</t>
  </si>
  <si>
    <t>PC-PE-KG01-L23-20251023-PM-ORD-2025-00093-S13</t>
  </si>
  <si>
    <t>PC-PE-KG01-L23-20251024-AM-ORD-2025-00093-S01</t>
  </si>
  <si>
    <t>PE-KG01-L23-20251024-AM-ORD-2025-00093</t>
  </si>
  <si>
    <t>PC-PE-KG01-L23-20251024-AM-ORD-2025-00093-S02</t>
  </si>
  <si>
    <t>PC-PE-KG01-L23-20251024-AM-ORD-2025-00093-S03</t>
  </si>
  <si>
    <t>PC-PE-KG01-L23-20251024-AM-ORD-2025-00093-S04</t>
  </si>
  <si>
    <t>PC-PE-KG01-L23-20251024-AM-ORD-2025-00093-S05</t>
  </si>
  <si>
    <t>PC-PE-KG01-L23-20251024-AM-ORD-2025-00093-S06</t>
  </si>
  <si>
    <t>PC-PE-KG01-L23-20251024-AM-ORD-2025-00093-S07</t>
  </si>
  <si>
    <t>PC-PE-KG01-L23-20251024-AM-ORD-2025-00093-S08</t>
  </si>
  <si>
    <t>PC-PE-KG01-L23-20251024-AM-ORD-2025-00093-S09</t>
  </si>
  <si>
    <t>PC-PE-KG01-L23-20251024-AM-ORD-2025-00093-S10</t>
  </si>
  <si>
    <t>PC-PE-KG01-L23-20251024-AM-ORD-2025-00093-S11</t>
  </si>
  <si>
    <t>PC-PE-KG01-L23-20251024-AM-ORD-2025-00093-S12</t>
  </si>
  <si>
    <t>PC-PE-KG01-L23-20251024-AM-ORD-2025-00093-S13</t>
  </si>
  <si>
    <t>PC-PE-KG01-L23-20251024-PM-ORD-2025-00093-S01</t>
  </si>
  <si>
    <t>PE-KG01-L23-20251024-PM-ORD-2025-00093</t>
  </si>
  <si>
    <t>PC-PE-KG01-L23-20251024-PM-ORD-2025-00093-S02</t>
  </si>
  <si>
    <t>PC-PE-KG01-L23-20251024-PM-ORD-2025-00093-S03</t>
  </si>
  <si>
    <t>PC-PE-KG01-L23-20251024-PM-ORD-2025-00093-S04</t>
  </si>
  <si>
    <t>PC-PE-KG01-L23-20251024-PM-ORD-2025-00093-S05</t>
  </si>
  <si>
    <t>PC-PE-KG01-L23-20251024-PM-ORD-2025-00093-S06</t>
  </si>
  <si>
    <t>PC-PE-KG01-L23-20251024-PM-ORD-2025-00093-S07</t>
  </si>
  <si>
    <t>PC-PE-KG01-L23-20251024-PM-ORD-2025-00093-S08</t>
  </si>
  <si>
    <t>PC-PE-KG01-L23-20251024-PM-ORD-2025-00093-S09</t>
  </si>
  <si>
    <t>PC-PE-KG01-L23-20251024-PM-ORD-2025-00093-S10</t>
  </si>
  <si>
    <t>PC-PE-KG01-L23-20251024-PM-ORD-2025-00093-S11</t>
  </si>
  <si>
    <t>PC-PE-KG01-L23-20251024-PM-ORD-2025-00093-S12</t>
  </si>
  <si>
    <t>PC-PE-KG01-L23-20251024-PM-ORD-2025-00093-S13</t>
  </si>
  <si>
    <t>PC-PE-KG01-L23-20251025-AM-ORD-2025-00093-S01</t>
  </si>
  <si>
    <t>PE-KG01-L23-20251025-AM-ORD-2025-00093</t>
  </si>
  <si>
    <t>PC-PE-KG01-L23-20251025-AM-ORD-2025-00093-S02</t>
  </si>
  <si>
    <t>PC-PE-KG01-L23-20251025-AM-ORD-2025-00093-S03</t>
  </si>
  <si>
    <t>PC-PE-KG01-L23-20251025-AM-ORD-2025-00093-S04</t>
  </si>
  <si>
    <t>PC-PE-KG01-L23-20251025-AM-ORD-2025-00093-S05</t>
  </si>
  <si>
    <t>PC-PE-KG01-L23-20251025-AM-ORD-2025-00093-S06</t>
  </si>
  <si>
    <t>PC-PE-KG01-L23-20251025-AM-ORD-2025-00093-S07</t>
  </si>
  <si>
    <t>PC-PE-KG01-L23-20251025-AM-ORD-2025-00093-S08</t>
  </si>
  <si>
    <t>PC-PE-KG01-L23-20251025-AM-ORD-2025-00093-S09</t>
  </si>
  <si>
    <t>PC-PE-KG01-L23-20251025-AM-ORD-2025-00093-S10</t>
  </si>
  <si>
    <t>PC-PE-KG01-L23-20251025-AM-ORD-2025-00093-S11</t>
  </si>
  <si>
    <t>PC-PE-KG01-L23-20251025-AM-ORD-2025-00093-S12</t>
  </si>
  <si>
    <t>PC-PE-KG01-L23-20251025-AM-ORD-2025-00093-S13</t>
  </si>
  <si>
    <t>PC-PE-KG01-L23-20251025-PM-ORD-2025-00093-S01</t>
  </si>
  <si>
    <t>PE-KG01-L23-20251025-PM-ORD-2025-00093</t>
  </si>
  <si>
    <t>PC-PE-KG01-L23-20251025-PM-ORD-2025-00093-S02</t>
  </si>
  <si>
    <t>PC-PE-KG01-L23-20251025-PM-ORD-2025-00093-S03</t>
  </si>
  <si>
    <t>PC-PE-KG01-L23-20251025-PM-ORD-2025-00093-S04</t>
  </si>
  <si>
    <t>PC-PE-KG01-L23-20251025-PM-ORD-2025-00093-S05</t>
  </si>
  <si>
    <t>PC-PE-KG01-L23-20251025-PM-ORD-2025-00093-S06</t>
  </si>
  <si>
    <t>PC-PE-KG01-L23-20251025-PM-ORD-2025-00093-S07</t>
  </si>
  <si>
    <t>PC-PE-KG01-L23-20251025-PM-ORD-2025-00093-S08</t>
  </si>
  <si>
    <t>PC-PE-KG01-L23-20251025-PM-ORD-2025-00093-S09</t>
  </si>
  <si>
    <t>PC-PE-KG01-L23-20251025-PM-ORD-2025-00093-S10</t>
  </si>
  <si>
    <t>PC-PE-KG01-L23-20251025-PM-ORD-2025-00093-S11</t>
  </si>
  <si>
    <t>PC-PE-KG01-L23-20251025-PM-ORD-2025-00093-S12</t>
  </si>
  <si>
    <t>PC-PE-KG01-L23-20251025-PM-ORD-2025-00093-S13</t>
  </si>
  <si>
    <t>PC-PE-KG01-L23-20251026-AM-ORD-2025-00094-S01</t>
  </si>
  <si>
    <t>PE-KG01-L23-20251026-AM-ORD-2025-00094</t>
  </si>
  <si>
    <t>PC-PE-KG01-L23-20251026-AM-ORD-2025-00094-S02</t>
  </si>
  <si>
    <t>PC-PE-KG01-L23-20251026-AM-ORD-2025-00094-S03</t>
  </si>
  <si>
    <t>PC-PE-KG01-L23-20251026-AM-ORD-2025-00094-S04</t>
  </si>
  <si>
    <t>PC-PE-KG01-L23-20251026-AM-ORD-2025-00094-S05</t>
  </si>
  <si>
    <t>PC-PE-KG01-L23-20251026-AM-ORD-2025-00094-S06</t>
  </si>
  <si>
    <t>PC-PE-KG01-L23-20251026-AM-ORD-2025-00094-S07</t>
  </si>
  <si>
    <t>PC-PE-KG01-L23-20251026-AM-ORD-2025-00094-S08</t>
  </si>
  <si>
    <t>PC-PE-KG01-L23-20251026-AM-ORD-2025-00094-S09</t>
  </si>
  <si>
    <t>PC-PE-KG01-L23-20251026-AM-ORD-2025-00094-S10</t>
  </si>
  <si>
    <t>PC-PE-KG01-L23-20251026-AM-ORD-2025-00094-S11</t>
  </si>
  <si>
    <t>PC-PE-KG01-L23-20251026-AM-ORD-2025-00094-S12</t>
  </si>
  <si>
    <t>PC-PE-KG01-L23-20251026-AM-ORD-2025-00094-S13</t>
  </si>
  <si>
    <t>PC-PE-KG01-L23-20251026-PM-ORD-2025-00094-S01</t>
  </si>
  <si>
    <t>PE-KG01-L23-20251026-PM-ORD-2025-00094</t>
  </si>
  <si>
    <t>PC-PE-KG01-L23-20251026-PM-ORD-2025-00094-S02</t>
  </si>
  <si>
    <t>PC-PE-KG01-L23-20251026-PM-ORD-2025-00094-S03</t>
  </si>
  <si>
    <t>PC-PE-KG01-L23-20251026-PM-ORD-2025-00094-S04</t>
  </si>
  <si>
    <t>PC-PE-KG01-L23-20251026-PM-ORD-2025-00094-S05</t>
  </si>
  <si>
    <t>PC-PE-KG01-L23-20251026-PM-ORD-2025-00094-S06</t>
  </si>
  <si>
    <t>PC-PE-KG01-L23-20251026-PM-ORD-2025-00094-S07</t>
  </si>
  <si>
    <t>PC-PE-KG01-L23-20251026-PM-ORD-2025-00094-S08</t>
  </si>
  <si>
    <t>PC-PE-KG01-L23-20251026-PM-ORD-2025-00094-S09</t>
  </si>
  <si>
    <t>PC-PE-KG01-L23-20251026-PM-ORD-2025-00094-S10</t>
  </si>
  <si>
    <t>PC-PE-KG01-L23-20251026-PM-ORD-2025-00094-S11</t>
  </si>
  <si>
    <t>PC-PE-KG01-L23-20251026-PM-ORD-2025-00094-S12</t>
  </si>
  <si>
    <t>PC-PE-KG01-L23-20251026-PM-ORD-2025-00094-S13</t>
  </si>
  <si>
    <t>PC-PE-KG01-L24-20251020-AM-ORD-2025-00124-S01</t>
  </si>
  <si>
    <t>PE-KG01-L24-20251020-AM-ORD-2025-00124</t>
  </si>
  <si>
    <t>PC-PE-KG01-L24-20251020-AM-ORD-2025-00124-S02</t>
  </si>
  <si>
    <t>PC-PE-KG01-L24-20251020-AM-ORD-2025-00124-S03</t>
  </si>
  <si>
    <t>PC-PE-KG01-L24-20251020-AM-ORD-2025-00124-S04</t>
  </si>
  <si>
    <t>PC-PE-KG01-L24-20251020-AM-ORD-2025-00124-S05</t>
  </si>
  <si>
    <t>PC-PE-KG01-L24-20251020-AM-ORD-2025-00124-S06</t>
  </si>
  <si>
    <t>PC-PE-KG01-L24-20251020-AM-ORD-2025-00124-S07</t>
  </si>
  <si>
    <t>PC-PE-KG01-L24-20251020-AM-ORD-2025-00124-S08</t>
  </si>
  <si>
    <t>PC-PE-KG01-L24-20251020-AM-ORD-2025-00124-S09</t>
  </si>
  <si>
    <t>PC-PE-KG01-L24-20251020-AM-ORD-2025-00124-S10</t>
  </si>
  <si>
    <t>PC-PE-KG01-L24-20251020-AM-ORD-2025-00124-S11</t>
  </si>
  <si>
    <t>PC-PE-KG01-L24-20251020-AM-ORD-2025-00124-S12</t>
  </si>
  <si>
    <t>PC-PE-KG01-L24-20251020-AM-ORD-2025-00124-S13</t>
  </si>
  <si>
    <t>PC-PE-KG01-L24-20251020-PM-ORD-2025-00124-S01</t>
  </si>
  <si>
    <t>PE-KG01-L24-20251020-PM-ORD-2025-00124</t>
  </si>
  <si>
    <t>PC-PE-KG01-L24-20251020-PM-ORD-2025-00124-S02</t>
  </si>
  <si>
    <t>PC-PE-KG01-L24-20251020-PM-ORD-2025-00124-S03</t>
  </si>
  <si>
    <t>PC-PE-KG01-L24-20251020-PM-ORD-2025-00124-S04</t>
  </si>
  <si>
    <t>PC-PE-KG01-L24-20251020-PM-ORD-2025-00124-S05</t>
  </si>
  <si>
    <t>PC-PE-KG01-L24-20251020-PM-ORD-2025-00124-S06</t>
  </si>
  <si>
    <t>PC-PE-KG01-L24-20251020-PM-ORD-2025-00124-S07</t>
  </si>
  <si>
    <t>PC-PE-KG01-L24-20251020-PM-ORD-2025-00124-S08</t>
  </si>
  <si>
    <t>PC-PE-KG01-L24-20251020-PM-ORD-2025-00124-S09</t>
  </si>
  <si>
    <t>PC-PE-KG01-L24-20251020-PM-ORD-2025-00124-S10</t>
  </si>
  <si>
    <t>PC-PE-KG01-L24-20251020-PM-ORD-2025-00124-S11</t>
  </si>
  <si>
    <t>PC-PE-KG01-L24-20251020-PM-ORD-2025-00124-S12</t>
  </si>
  <si>
    <t>PC-PE-KG01-L24-20251020-PM-ORD-2025-00124-S13</t>
  </si>
  <si>
    <t>PC-PE-KG01-L24-20251021-AM-ORD-2025-00125-S01</t>
  </si>
  <si>
    <t>PE-KG01-L24-20251021-AM-ORD-2025-00125</t>
  </si>
  <si>
    <t>PC-PE-KG01-L24-20251021-AM-ORD-2025-00125-S02</t>
  </si>
  <si>
    <t>PC-PE-KG01-L24-20251021-AM-ORD-2025-00125-S03</t>
  </si>
  <si>
    <t>PC-PE-KG01-L24-20251021-AM-ORD-2025-00125-S04</t>
  </si>
  <si>
    <t>PC-PE-KG01-L24-20251021-AM-ORD-2025-00125-S05</t>
  </si>
  <si>
    <t>PC-PE-KG01-L24-20251021-AM-ORD-2025-00125-S06</t>
  </si>
  <si>
    <t>PC-PE-KG01-L24-20251021-AM-ORD-2025-00125-S07</t>
  </si>
  <si>
    <t>PC-PE-KG01-L24-20251021-AM-ORD-2025-00125-S08</t>
  </si>
  <si>
    <t>PC-PE-KG01-L24-20251021-AM-ORD-2025-00125-S09</t>
  </si>
  <si>
    <t>PC-PE-KG01-L24-20251021-AM-ORD-2025-00125-S10</t>
  </si>
  <si>
    <t>PC-PE-KG01-L24-20251021-AM-ORD-2025-00125-S11</t>
  </si>
  <si>
    <t>PC-PE-KG01-L24-20251021-AM-ORD-2025-00125-S12</t>
  </si>
  <si>
    <t>PC-PE-KG01-L24-20251021-AM-ORD-2025-00125-S13</t>
  </si>
  <si>
    <t>PC-PE-KG01-L24-20251021-PM-ORD-2025-00125-S01</t>
  </si>
  <si>
    <t>PE-KG01-L24-20251021-PM-ORD-2025-00125</t>
  </si>
  <si>
    <t>PC-PE-KG01-L24-20251021-PM-ORD-2025-00125-S02</t>
  </si>
  <si>
    <t>PC-PE-KG01-L24-20251021-PM-ORD-2025-00125-S03</t>
  </si>
  <si>
    <t>PC-PE-KG01-L24-20251021-PM-ORD-2025-00125-S04</t>
  </si>
  <si>
    <t>PC-PE-KG01-L24-20251021-PM-ORD-2025-00125-S05</t>
  </si>
  <si>
    <t>PC-PE-KG01-L24-20251021-PM-ORD-2025-00125-S06</t>
  </si>
  <si>
    <t>PC-PE-KG01-L24-20251021-PM-ORD-2025-00125-S07</t>
  </si>
  <si>
    <t>PC-PE-KG01-L24-20251021-PM-ORD-2025-00125-S08</t>
  </si>
  <si>
    <t>PC-PE-KG01-L24-20251021-PM-ORD-2025-00125-S09</t>
  </si>
  <si>
    <t>PC-PE-KG01-L24-20251021-PM-ORD-2025-00125-S10</t>
  </si>
  <si>
    <t>PC-PE-KG01-L24-20251021-PM-ORD-2025-00125-S11</t>
  </si>
  <si>
    <t>PC-PE-KG01-L24-20251021-PM-ORD-2025-00125-S12</t>
  </si>
  <si>
    <t>PC-PE-KG01-L24-20251021-PM-ORD-2025-00125-S13</t>
  </si>
  <si>
    <t>PC-PE-KG01-L24-20251022-AM-ORD-2025-00125-S01</t>
  </si>
  <si>
    <t>PE-KG01-L24-20251022-AM-ORD-2025-00125</t>
  </si>
  <si>
    <t>PC-PE-KG01-L24-20251022-AM-ORD-2025-00125-S02</t>
  </si>
  <si>
    <t>PC-PE-KG01-L24-20251022-AM-ORD-2025-00125-S03</t>
  </si>
  <si>
    <t>PC-PE-KG01-L24-20251022-AM-ORD-2025-00125-S04</t>
  </si>
  <si>
    <t>PC-PE-KG01-L24-20251022-AM-ORD-2025-00125-S05</t>
  </si>
  <si>
    <t>PC-PE-KG01-L24-20251022-AM-ORD-2025-00125-S06</t>
  </si>
  <si>
    <t>PC-PE-KG01-L24-20251022-AM-ORD-2025-00125-S07</t>
  </si>
  <si>
    <t>PC-PE-KG01-L24-20251022-AM-ORD-2025-00125-S08</t>
  </si>
  <si>
    <t>PC-PE-KG01-L24-20251022-AM-ORD-2025-00125-S09</t>
  </si>
  <si>
    <t>PC-PE-KG01-L24-20251022-AM-ORD-2025-00125-S10</t>
  </si>
  <si>
    <t>PC-PE-KG01-L24-20251022-AM-ORD-2025-00125-S11</t>
  </si>
  <si>
    <t>PC-PE-KG01-L24-20251022-AM-ORD-2025-00125-S12</t>
  </si>
  <si>
    <t>PC-PE-KG01-L24-20251022-AM-ORD-2025-00125-S13</t>
  </si>
  <si>
    <t>PC-PE-KG01-L24-20251022-PM-ORD-2025-00125-S01</t>
  </si>
  <si>
    <t>PE-KG01-L24-20251022-PM-ORD-2025-00125</t>
  </si>
  <si>
    <t>PC-PE-KG01-L24-20251022-PM-ORD-2025-00125-S02</t>
  </si>
  <si>
    <t>PC-PE-KG01-L24-20251022-PM-ORD-2025-00125-S03</t>
  </si>
  <si>
    <t>PC-PE-KG01-L24-20251022-PM-ORD-2025-00125-S04</t>
  </si>
  <si>
    <t>PC-PE-KG01-L24-20251022-PM-ORD-2025-00125-S05</t>
  </si>
  <si>
    <t>PC-PE-KG01-L24-20251022-PM-ORD-2025-00125-S06</t>
  </si>
  <si>
    <t>PC-PE-KG01-L24-20251022-PM-ORD-2025-00125-S07</t>
  </si>
  <si>
    <t>PC-PE-KG01-L24-20251022-PM-ORD-2025-00125-S08</t>
  </si>
  <si>
    <t>PC-PE-KG01-L24-20251022-PM-ORD-2025-00125-S09</t>
  </si>
  <si>
    <t>PC-PE-KG01-L24-20251022-PM-ORD-2025-00125-S10</t>
  </si>
  <si>
    <t>PC-PE-KG01-L24-20251022-PM-ORD-2025-00125-S11</t>
  </si>
  <si>
    <t>PC-PE-KG01-L24-20251022-PM-ORD-2025-00125-S12</t>
  </si>
  <si>
    <t>PC-PE-KG01-L24-20251022-PM-ORD-2025-00125-S13</t>
  </si>
  <si>
    <t>PC-PE-KG01-L24-20251023-AM-ORD-2025-00125-S01</t>
  </si>
  <si>
    <t>PE-KG01-L24-20251023-AM-ORD-2025-00125</t>
  </si>
  <si>
    <t>PC-PE-KG01-L24-20251023-AM-ORD-2025-00125-S02</t>
  </si>
  <si>
    <t>PC-PE-KG01-L24-20251023-AM-ORD-2025-00125-S03</t>
  </si>
  <si>
    <t>PC-PE-KG01-L24-20251023-AM-ORD-2025-00125-S04</t>
  </si>
  <si>
    <t>PC-PE-KG01-L24-20251023-AM-ORD-2025-00125-S05</t>
  </si>
  <si>
    <t>PC-PE-KG01-L24-20251023-AM-ORD-2025-00125-S06</t>
  </si>
  <si>
    <t>PC-PE-KG01-L24-20251023-AM-ORD-2025-00125-S07</t>
  </si>
  <si>
    <t>PC-PE-KG01-L24-20251023-AM-ORD-2025-00125-S08</t>
  </si>
  <si>
    <t>PC-PE-KG01-L24-20251023-AM-ORD-2025-00125-S09</t>
  </si>
  <si>
    <t>PC-PE-KG01-L24-20251023-AM-ORD-2025-00125-S10</t>
  </si>
  <si>
    <t>PC-PE-KG01-L24-20251023-AM-ORD-2025-00125-S11</t>
  </si>
  <si>
    <t>PC-PE-KG01-L24-20251023-AM-ORD-2025-00125-S12</t>
  </si>
  <si>
    <t>PC-PE-KG01-L24-20251023-AM-ORD-2025-00125-S13</t>
  </si>
  <si>
    <t>PC-PE-KG01-L24-20251023-PM-ORD-2025-00125-S01</t>
  </si>
  <si>
    <t>PE-KG01-L24-20251023-PM-ORD-2025-00125</t>
  </si>
  <si>
    <t>PC-PE-KG01-L24-20251023-PM-ORD-2025-00125-S02</t>
  </si>
  <si>
    <t>PC-PE-KG01-L24-20251023-PM-ORD-2025-00125-S03</t>
  </si>
  <si>
    <t>PC-PE-KG01-L24-20251023-PM-ORD-2025-00125-S04</t>
  </si>
  <si>
    <t>PC-PE-KG01-L24-20251023-PM-ORD-2025-00125-S05</t>
  </si>
  <si>
    <t>PC-PE-KG01-L24-20251023-PM-ORD-2025-00125-S06</t>
  </si>
  <si>
    <t>PC-PE-KG01-L24-20251023-PM-ORD-2025-00125-S07</t>
  </si>
  <si>
    <t>PC-PE-KG01-L24-20251023-PM-ORD-2025-00125-S08</t>
  </si>
  <si>
    <t>PC-PE-KG01-L24-20251023-PM-ORD-2025-00125-S09</t>
  </si>
  <si>
    <t>PC-PE-KG01-L24-20251023-PM-ORD-2025-00125-S10</t>
  </si>
  <si>
    <t>PC-PE-KG01-L24-20251023-PM-ORD-2025-00125-S11</t>
  </si>
  <si>
    <t>PC-PE-KG01-L24-20251023-PM-ORD-2025-00125-S12</t>
  </si>
  <si>
    <t>PC-PE-KG01-L24-20251023-PM-ORD-2025-00125-S13</t>
  </si>
  <si>
    <t>PC-PE-KG01-L24-20251024-AM-ORD-2025-00125-S01</t>
  </si>
  <si>
    <t>PE-KG01-L24-20251024-AM-ORD-2025-00125</t>
  </si>
  <si>
    <t>PC-PE-KG01-L24-20251024-AM-ORD-2025-00125-S02</t>
  </si>
  <si>
    <t>PC-PE-KG01-L24-20251024-AM-ORD-2025-00125-S03</t>
  </si>
  <si>
    <t>PC-PE-KG01-L24-20251024-AM-ORD-2025-00125-S04</t>
  </si>
  <si>
    <t>PC-PE-KG01-L24-20251024-AM-ORD-2025-00125-S05</t>
  </si>
  <si>
    <t>PC-PE-KG01-L24-20251024-AM-ORD-2025-00125-S06</t>
  </si>
  <si>
    <t>PC-PE-KG01-L24-20251024-AM-ORD-2025-00125-S07</t>
  </si>
  <si>
    <t>PC-PE-KG01-L24-20251024-AM-ORD-2025-00125-S08</t>
  </si>
  <si>
    <t>PC-PE-KG01-L24-20251024-AM-ORD-2025-00125-S09</t>
  </si>
  <si>
    <t>PC-PE-KG01-L24-20251024-AM-ORD-2025-00125-S10</t>
  </si>
  <si>
    <t>PC-PE-KG01-L24-20251024-AM-ORD-2025-00125-S11</t>
  </si>
  <si>
    <t>PC-PE-KG01-L24-20251024-AM-ORD-2025-00125-S12</t>
  </si>
  <si>
    <t>PC-PE-KG01-L24-20251024-AM-ORD-2025-00125-S13</t>
  </si>
  <si>
    <t>PC-PE-KG01-L24-20251024-PM-ORD-2025-00125-S01</t>
  </si>
  <si>
    <t>PE-KG01-L24-20251024-PM-ORD-2025-00125</t>
  </si>
  <si>
    <t>PC-PE-KG01-L24-20251024-PM-ORD-2025-00125-S02</t>
  </si>
  <si>
    <t>PC-PE-KG01-L24-20251024-PM-ORD-2025-00125-S03</t>
  </si>
  <si>
    <t>PC-PE-KG01-L24-20251024-PM-ORD-2025-00125-S04</t>
  </si>
  <si>
    <t>PC-PE-KG01-L24-20251024-PM-ORD-2025-00125-S05</t>
  </si>
  <si>
    <t>PC-PE-KG01-L24-20251024-PM-ORD-2025-00125-S06</t>
  </si>
  <si>
    <t>PC-PE-KG01-L24-20251024-PM-ORD-2025-00125-S07</t>
  </si>
  <si>
    <t>PC-PE-KG01-L24-20251024-PM-ORD-2025-00125-S08</t>
  </si>
  <si>
    <t>PC-PE-KG01-L24-20251024-PM-ORD-2025-00125-S09</t>
  </si>
  <si>
    <t>PC-PE-KG01-L24-20251024-PM-ORD-2025-00125-S10</t>
  </si>
  <si>
    <t>PC-PE-KG01-L24-20251024-PM-ORD-2025-00125-S11</t>
  </si>
  <si>
    <t>PC-PE-KG01-L24-20251024-PM-ORD-2025-00125-S12</t>
  </si>
  <si>
    <t>PC-PE-KG01-L24-20251024-PM-ORD-2025-00125-S13</t>
  </si>
  <si>
    <t>PC-PE-KG01-L24-20251025-AM-ORD-2025-00126-S01</t>
  </si>
  <si>
    <t>PE-KG01-L24-20251025-AM-ORD-2025-00126</t>
  </si>
  <si>
    <t>PC-PE-KG01-L24-20251025-AM-ORD-2025-00126-S02</t>
  </si>
  <si>
    <t>PC-PE-KG01-L24-20251025-AM-ORD-2025-00126-S03</t>
  </si>
  <si>
    <t>PC-PE-KG01-L24-20251025-AM-ORD-2025-00126-S04</t>
  </si>
  <si>
    <t>PC-PE-KG01-L24-20251025-AM-ORD-2025-00126-S05</t>
  </si>
  <si>
    <t>PC-PE-KG01-L24-20251025-AM-ORD-2025-00126-S06</t>
  </si>
  <si>
    <t>PC-PE-KG01-L24-20251025-AM-ORD-2025-00126-S07</t>
  </si>
  <si>
    <t>PC-PE-KG01-L24-20251025-AM-ORD-2025-00126-S08</t>
  </si>
  <si>
    <t>PC-PE-KG01-L24-20251025-AM-ORD-2025-00126-S09</t>
  </si>
  <si>
    <t>PC-PE-KG01-L24-20251025-AM-ORD-2025-00126-S10</t>
  </si>
  <si>
    <t>PC-PE-KG01-L24-20251025-AM-ORD-2025-00126-S11</t>
  </si>
  <si>
    <t>PC-PE-KG01-L24-20251025-AM-ORD-2025-00126-S12</t>
  </si>
  <si>
    <t>PC-PE-KG01-L24-20251025-AM-ORD-2025-00126-S13</t>
  </si>
  <si>
    <t>PC-PE-KG01-L24-20251025-PM-ORD-2025-00126-S01</t>
  </si>
  <si>
    <t>PE-KG01-L24-20251025-PM-ORD-2025-00126</t>
  </si>
  <si>
    <t>PC-PE-KG01-L24-20251025-PM-ORD-2025-00126-S02</t>
  </si>
  <si>
    <t>PC-PE-KG01-L24-20251025-PM-ORD-2025-00126-S03</t>
  </si>
  <si>
    <t>PC-PE-KG01-L24-20251025-PM-ORD-2025-00126-S04</t>
  </si>
  <si>
    <t>PC-PE-KG01-L24-20251025-PM-ORD-2025-00126-S05</t>
  </si>
  <si>
    <t>PC-PE-KG01-L24-20251025-PM-ORD-2025-00126-S06</t>
  </si>
  <si>
    <t>PC-PE-KG01-L24-20251025-PM-ORD-2025-00126-S07</t>
  </si>
  <si>
    <t>PC-PE-KG01-L24-20251025-PM-ORD-2025-00126-S08</t>
  </si>
  <si>
    <t>PC-PE-KG01-L24-20251025-PM-ORD-2025-00126-S09</t>
  </si>
  <si>
    <t>PC-PE-KG01-L24-20251025-PM-ORD-2025-00126-S10</t>
  </si>
  <si>
    <t>PC-PE-KG01-L24-20251025-PM-ORD-2025-00126-S11</t>
  </si>
  <si>
    <t>PC-PE-KG01-L24-20251025-PM-ORD-2025-00126-S12</t>
  </si>
  <si>
    <t>PC-PE-KG01-L24-20251025-PM-ORD-2025-00126-S13</t>
  </si>
  <si>
    <t>PC-PE-KG01-L24-20251026-AM-ORD-2025-00126-S01</t>
  </si>
  <si>
    <t>PE-KG01-L24-20251026-AM-ORD-2025-00126</t>
  </si>
  <si>
    <t>PC-PE-KG01-L24-20251026-AM-ORD-2025-00126-S02</t>
  </si>
  <si>
    <t>PC-PE-KG01-L24-20251026-AM-ORD-2025-00126-S03</t>
  </si>
  <si>
    <t>PC-PE-KG01-L24-20251026-AM-ORD-2025-00126-S04</t>
  </si>
  <si>
    <t>PC-PE-KG01-L24-20251026-AM-ORD-2025-00126-S05</t>
  </si>
  <si>
    <t>PC-PE-KG01-L24-20251026-AM-ORD-2025-00126-S06</t>
  </si>
  <si>
    <t>PC-PE-KG01-L24-20251026-AM-ORD-2025-00126-S07</t>
  </si>
  <si>
    <t>PC-PE-KG01-L24-20251026-AM-ORD-2025-00126-S08</t>
  </si>
  <si>
    <t>PC-PE-KG01-L24-20251026-AM-ORD-2025-00126-S09</t>
  </si>
  <si>
    <t>PC-PE-KG01-L24-20251026-AM-ORD-2025-00126-S10</t>
  </si>
  <si>
    <t>PC-PE-KG01-L24-20251026-AM-ORD-2025-00126-S11</t>
  </si>
  <si>
    <t>PC-PE-KG01-L24-20251026-AM-ORD-2025-00126-S12</t>
  </si>
  <si>
    <t>PC-PE-KG01-L24-20251026-AM-ORD-2025-00126-S13</t>
  </si>
  <si>
    <t>PC-PE-KG01-L24-20251026-PM-ORD-2025-00126-S01</t>
  </si>
  <si>
    <t>PE-KG01-L24-20251026-PM-ORD-2025-00126</t>
  </si>
  <si>
    <t>PC-PE-KG01-L24-20251026-PM-ORD-2025-00126-S02</t>
  </si>
  <si>
    <t>PC-PE-KG01-L24-20251026-PM-ORD-2025-00126-S03</t>
  </si>
  <si>
    <t>PC-PE-KG01-L24-20251026-PM-ORD-2025-00126-S04</t>
  </si>
  <si>
    <t>PC-PE-KG01-L24-20251026-PM-ORD-2025-00126-S05</t>
  </si>
  <si>
    <t>PC-PE-KG01-L24-20251026-PM-ORD-2025-00126-S06</t>
  </si>
  <si>
    <t>PC-PE-KG01-L24-20251026-PM-ORD-2025-00126-S07</t>
  </si>
  <si>
    <t>PC-PE-KG01-L24-20251026-PM-ORD-2025-00126-S08</t>
  </si>
  <si>
    <t>PC-PE-KG01-L24-20251026-PM-ORD-2025-00126-S09</t>
  </si>
  <si>
    <t>PC-PE-KG01-L24-20251026-PM-ORD-2025-00126-S10</t>
  </si>
  <si>
    <t>PC-PE-KG01-L24-20251026-PM-ORD-2025-00126-S11</t>
  </si>
  <si>
    <t>PC-PE-KG01-L24-20251026-PM-ORD-2025-00126-S12</t>
  </si>
  <si>
    <t>PC-PE-KG01-L24-20251026-PM-ORD-2025-00126-S13</t>
  </si>
  <si>
    <t>PC-PE-KG01-L25-20251020-AM-ORD-2025-00161-S01</t>
  </si>
  <si>
    <t>PE-KG01-L25-20251020-AM-ORD-2025-00161</t>
  </si>
  <si>
    <t>PC-PE-KG01-L25-20251020-AM-ORD-2025-00161-S02</t>
  </si>
  <si>
    <t>PC-PE-KG01-L25-20251020-AM-ORD-2025-00161-S03</t>
  </si>
  <si>
    <t>PC-PE-KG01-L25-20251020-AM-ORD-2025-00161-S04</t>
  </si>
  <si>
    <t>PC-PE-KG01-L25-20251020-AM-ORD-2025-00161-S05</t>
  </si>
  <si>
    <t>PC-PE-KG01-L25-20251020-AM-ORD-2025-00161-S06</t>
  </si>
  <si>
    <t>PC-PE-KG01-L25-20251020-AM-ORD-2025-00161-S07</t>
  </si>
  <si>
    <t>PC-PE-KG01-L25-20251020-AM-ORD-2025-00161-S08</t>
  </si>
  <si>
    <t>PC-PE-KG01-L25-20251020-AM-ORD-2025-00161-S09</t>
  </si>
  <si>
    <t>PC-PE-KG01-L25-20251020-AM-ORD-2025-00161-S10</t>
  </si>
  <si>
    <t>PC-PE-KG01-L25-20251020-AM-ORD-2025-00161-S11</t>
  </si>
  <si>
    <t>PC-PE-KG01-L25-20251020-AM-ORD-2025-00161-S12</t>
  </si>
  <si>
    <t>PC-PE-KG01-L25-20251020-AM-ORD-2025-00161-S13</t>
  </si>
  <si>
    <t>PC-PE-KG01-L25-20251020-PM-ORD-2025-00161-S01</t>
  </si>
  <si>
    <t>PE-KG01-L25-20251020-PM-ORD-2025-00161</t>
  </si>
  <si>
    <t>PC-PE-KG01-L25-20251020-PM-ORD-2025-00161-S02</t>
  </si>
  <si>
    <t>PC-PE-KG01-L25-20251020-PM-ORD-2025-00161-S03</t>
  </si>
  <si>
    <t>PC-PE-KG01-L25-20251020-PM-ORD-2025-00161-S04</t>
  </si>
  <si>
    <t>PC-PE-KG01-L25-20251020-PM-ORD-2025-00161-S05</t>
  </si>
  <si>
    <t>PC-PE-KG01-L25-20251020-PM-ORD-2025-00161-S06</t>
  </si>
  <si>
    <t>PC-PE-KG01-L25-20251020-PM-ORD-2025-00161-S07</t>
  </si>
  <si>
    <t>PC-PE-KG01-L25-20251020-PM-ORD-2025-00161-S08</t>
  </si>
  <si>
    <t>PC-PE-KG01-L25-20251020-PM-ORD-2025-00161-S09</t>
  </si>
  <si>
    <t>PC-PE-KG01-L25-20251020-PM-ORD-2025-00161-S10</t>
  </si>
  <si>
    <t>PC-PE-KG01-L25-20251020-PM-ORD-2025-00161-S11</t>
  </si>
  <si>
    <t>PC-PE-KG01-L25-20251020-PM-ORD-2025-00161-S12</t>
  </si>
  <si>
    <t>PC-PE-KG01-L25-20251020-PM-ORD-2025-00161-S13</t>
  </si>
  <si>
    <t>PC-PE-KG01-L25-20251021-AM-ORD-2025-00161-S01</t>
  </si>
  <si>
    <t>PE-KG01-L25-20251021-AM-ORD-2025-00161</t>
  </si>
  <si>
    <t>PC-PE-KG01-L25-20251021-AM-ORD-2025-00161-S02</t>
  </si>
  <si>
    <t>PC-PE-KG01-L25-20251021-AM-ORD-2025-00161-S03</t>
  </si>
  <si>
    <t>PC-PE-KG01-L25-20251021-AM-ORD-2025-00161-S04</t>
  </si>
  <si>
    <t>PC-PE-KG01-L25-20251021-AM-ORD-2025-00161-S05</t>
  </si>
  <si>
    <t>PC-PE-KG01-L25-20251021-AM-ORD-2025-00161-S06</t>
  </si>
  <si>
    <t>PC-PE-KG01-L25-20251021-AM-ORD-2025-00161-S07</t>
  </si>
  <si>
    <t>PC-PE-KG01-L25-20251021-AM-ORD-2025-00161-S08</t>
  </si>
  <si>
    <t>PC-PE-KG01-L25-20251021-AM-ORD-2025-00161-S09</t>
  </si>
  <si>
    <t>PC-PE-KG01-L25-20251021-AM-ORD-2025-00161-S10</t>
  </si>
  <si>
    <t>PC-PE-KG01-L25-20251021-AM-ORD-2025-00161-S11</t>
  </si>
  <si>
    <t>PC-PE-KG01-L25-20251021-AM-ORD-2025-00161-S12</t>
  </si>
  <si>
    <t>PC-PE-KG01-L25-20251021-AM-ORD-2025-00161-S13</t>
  </si>
  <si>
    <t>PC-PE-KG01-L25-20251021-PM-ORD-2025-00161-S01</t>
  </si>
  <si>
    <t>PE-KG01-L25-20251021-PM-ORD-2025-00161</t>
  </si>
  <si>
    <t>PC-PE-KG01-L25-20251021-PM-ORD-2025-00161-S02</t>
  </si>
  <si>
    <t>PC-PE-KG01-L25-20251021-PM-ORD-2025-00161-S03</t>
  </si>
  <si>
    <t>PC-PE-KG01-L25-20251021-PM-ORD-2025-00161-S04</t>
  </si>
  <si>
    <t>PC-PE-KG01-L25-20251021-PM-ORD-2025-00161-S05</t>
  </si>
  <si>
    <t>PC-PE-KG01-L25-20251021-PM-ORD-2025-00161-S06</t>
  </si>
  <si>
    <t>PC-PE-KG01-L25-20251021-PM-ORD-2025-00161-S07</t>
  </si>
  <si>
    <t>PC-PE-KG01-L25-20251021-PM-ORD-2025-00161-S08</t>
  </si>
  <si>
    <t>PC-PE-KG01-L25-20251021-PM-ORD-2025-00161-S09</t>
  </si>
  <si>
    <t>PC-PE-KG01-L25-20251021-PM-ORD-2025-00161-S10</t>
  </si>
  <si>
    <t>PC-PE-KG01-L25-20251021-PM-ORD-2025-00161-S11</t>
  </si>
  <si>
    <t>PC-PE-KG01-L25-20251021-PM-ORD-2025-00161-S12</t>
  </si>
  <si>
    <t>PC-PE-KG01-L25-20251021-PM-ORD-2025-00161-S13</t>
  </si>
  <si>
    <t>PC-PE-KG01-L25-20251022-AM-ORD-2025-00161-S01</t>
  </si>
  <si>
    <t>PE-KG01-L25-20251022-AM-ORD-2025-00161</t>
  </si>
  <si>
    <t>PC-PE-KG01-L25-20251022-AM-ORD-2025-00161-S02</t>
  </si>
  <si>
    <t>PC-PE-KG01-L25-20251022-AM-ORD-2025-00161-S03</t>
  </si>
  <si>
    <t>PC-PE-KG01-L25-20251022-AM-ORD-2025-00161-S04</t>
  </si>
  <si>
    <t>PC-PE-KG01-L25-20251022-AM-ORD-2025-00161-S05</t>
  </si>
  <si>
    <t>PC-PE-KG01-L25-20251022-AM-ORD-2025-00161-S06</t>
  </si>
  <si>
    <t>PC-PE-KG01-L25-20251022-AM-ORD-2025-00161-S07</t>
  </si>
  <si>
    <t>PC-PE-KG01-L25-20251022-AM-ORD-2025-00161-S08</t>
  </si>
  <si>
    <t>PC-PE-KG01-L25-20251022-AM-ORD-2025-00161-S09</t>
  </si>
  <si>
    <t>PC-PE-KG01-L25-20251022-AM-ORD-2025-00161-S10</t>
  </si>
  <si>
    <t>PC-PE-KG01-L25-20251022-AM-ORD-2025-00161-S11</t>
  </si>
  <si>
    <t>PC-PE-KG01-L25-20251022-AM-ORD-2025-00161-S12</t>
  </si>
  <si>
    <t>PC-PE-KG01-L25-20251022-AM-ORD-2025-00161-S13</t>
  </si>
  <si>
    <t>PC-PE-KG01-L25-20251022-PM-ORD-2025-00161-S01</t>
  </si>
  <si>
    <t>PE-KG01-L25-20251022-PM-ORD-2025-00161</t>
  </si>
  <si>
    <t>PC-PE-KG01-L25-20251022-PM-ORD-2025-00161-S02</t>
  </si>
  <si>
    <t>PC-PE-KG01-L25-20251022-PM-ORD-2025-00161-S03</t>
  </si>
  <si>
    <t>PC-PE-KG01-L25-20251022-PM-ORD-2025-00161-S04</t>
  </si>
  <si>
    <t>PC-PE-KG01-L25-20251022-PM-ORD-2025-00161-S05</t>
  </si>
  <si>
    <t>PC-PE-KG01-L25-20251022-PM-ORD-2025-00161-S06</t>
  </si>
  <si>
    <t>PC-PE-KG01-L25-20251022-PM-ORD-2025-00161-S07</t>
  </si>
  <si>
    <t>PC-PE-KG01-L25-20251022-PM-ORD-2025-00161-S08</t>
  </si>
  <si>
    <t>PC-PE-KG01-L25-20251022-PM-ORD-2025-00161-S09</t>
  </si>
  <si>
    <t>PC-PE-KG01-L25-20251022-PM-ORD-2025-00161-S10</t>
  </si>
  <si>
    <t>PC-PE-KG01-L25-20251022-PM-ORD-2025-00161-S11</t>
  </si>
  <si>
    <t>PC-PE-KG01-L25-20251022-PM-ORD-2025-00161-S12</t>
  </si>
  <si>
    <t>PC-PE-KG01-L25-20251022-PM-ORD-2025-00161-S13</t>
  </si>
  <si>
    <t>PC-PE-KG01-L25-20251023-AM-ORD-2025-00162-S01</t>
  </si>
  <si>
    <t>PE-KG01-L25-20251023-AM-ORD-2025-00162</t>
  </si>
  <si>
    <t>PC-PE-KG01-L25-20251023-AM-ORD-2025-00162-S02</t>
  </si>
  <si>
    <t>PC-PE-KG01-L25-20251023-AM-ORD-2025-00162-S03</t>
  </si>
  <si>
    <t>PC-PE-KG01-L25-20251023-AM-ORD-2025-00162-S04</t>
  </si>
  <si>
    <t>PC-PE-KG01-L25-20251023-AM-ORD-2025-00162-S05</t>
  </si>
  <si>
    <t>PC-PE-KG01-L25-20251023-AM-ORD-2025-00162-S06</t>
  </si>
  <si>
    <t>PC-PE-KG01-L25-20251023-AM-ORD-2025-00162-S07</t>
  </si>
  <si>
    <t>PC-PE-KG01-L25-20251023-AM-ORD-2025-00162-S08</t>
  </si>
  <si>
    <t>PC-PE-KG01-L25-20251023-AM-ORD-2025-00162-S09</t>
  </si>
  <si>
    <t>PC-PE-KG01-L25-20251023-AM-ORD-2025-00162-S10</t>
  </si>
  <si>
    <t>PC-PE-KG01-L25-20251023-AM-ORD-2025-00162-S11</t>
  </si>
  <si>
    <t>PC-PE-KG01-L25-20251023-AM-ORD-2025-00162-S12</t>
  </si>
  <si>
    <t>PC-PE-KG01-L25-20251023-AM-ORD-2025-00162-S13</t>
  </si>
  <si>
    <t>PC-PE-KG01-L25-20251023-PM-ORD-2025-00162-S01</t>
  </si>
  <si>
    <t>PE-KG01-L25-20251023-PM-ORD-2025-00162</t>
  </si>
  <si>
    <t>PC-PE-KG01-L25-20251023-PM-ORD-2025-00162-S02</t>
  </si>
  <si>
    <t>PC-PE-KG01-L25-20251023-PM-ORD-2025-00162-S03</t>
  </si>
  <si>
    <t>PC-PE-KG01-L25-20251023-PM-ORD-2025-00162-S04</t>
  </si>
  <si>
    <t>PC-PE-KG01-L25-20251023-PM-ORD-2025-00162-S05</t>
  </si>
  <si>
    <t>PC-PE-KG01-L25-20251023-PM-ORD-2025-00162-S06</t>
  </si>
  <si>
    <t>PC-PE-KG01-L25-20251023-PM-ORD-2025-00162-S07</t>
  </si>
  <si>
    <t>PC-PE-KG01-L25-20251023-PM-ORD-2025-00162-S08</t>
  </si>
  <si>
    <t>PC-PE-KG01-L25-20251023-PM-ORD-2025-00162-S09</t>
  </si>
  <si>
    <t>PC-PE-KG01-L25-20251023-PM-ORD-2025-00162-S10</t>
  </si>
  <si>
    <t>PC-PE-KG01-L25-20251023-PM-ORD-2025-00162-S11</t>
  </si>
  <si>
    <t>PC-PE-KG01-L25-20251023-PM-ORD-2025-00162-S12</t>
  </si>
  <si>
    <t>PC-PE-KG01-L25-20251023-PM-ORD-2025-00162-S13</t>
  </si>
  <si>
    <t>PC-PE-KG01-L25-20251024-AM-ORD-2025-00162-S01</t>
  </si>
  <si>
    <t>PE-KG01-L25-20251024-AM-ORD-2025-00162</t>
  </si>
  <si>
    <t>PC-PE-KG01-L25-20251024-AM-ORD-2025-00162-S02</t>
  </si>
  <si>
    <t>PC-PE-KG01-L25-20251024-AM-ORD-2025-00162-S03</t>
  </si>
  <si>
    <t>PC-PE-KG01-L25-20251024-AM-ORD-2025-00162-S04</t>
  </si>
  <si>
    <t>PC-PE-KG01-L25-20251024-AM-ORD-2025-00162-S05</t>
  </si>
  <si>
    <t>PC-PE-KG01-L25-20251024-AM-ORD-2025-00162-S06</t>
  </si>
  <si>
    <t>PC-PE-KG01-L25-20251024-AM-ORD-2025-00162-S07</t>
  </si>
  <si>
    <t>PC-PE-KG01-L25-20251024-AM-ORD-2025-00162-S08</t>
  </si>
  <si>
    <t>PC-PE-KG01-L25-20251024-AM-ORD-2025-00162-S09</t>
  </si>
  <si>
    <t>PC-PE-KG01-L25-20251024-AM-ORD-2025-00162-S10</t>
  </si>
  <si>
    <t>PC-PE-KG01-L25-20251024-AM-ORD-2025-00162-S11</t>
  </si>
  <si>
    <t>PC-PE-KG01-L25-20251024-AM-ORD-2025-00162-S12</t>
  </si>
  <si>
    <t>PC-PE-KG01-L25-20251024-AM-ORD-2025-00162-S13</t>
  </si>
  <si>
    <t>PC-PE-KG01-L25-20251024-PM-ORD-2025-00162-S01</t>
  </si>
  <si>
    <t>PE-KG01-L25-20251024-PM-ORD-2025-00162</t>
  </si>
  <si>
    <t>PC-PE-KG01-L25-20251024-PM-ORD-2025-00162-S02</t>
  </si>
  <si>
    <t>PC-PE-KG01-L25-20251024-PM-ORD-2025-00162-S03</t>
  </si>
  <si>
    <t>PC-PE-KG01-L25-20251024-PM-ORD-2025-00162-S04</t>
  </si>
  <si>
    <t>PC-PE-KG01-L25-20251024-PM-ORD-2025-00162-S05</t>
  </si>
  <si>
    <t>PC-PE-KG01-L25-20251024-PM-ORD-2025-00162-S06</t>
  </si>
  <si>
    <t>PC-PE-KG01-L25-20251024-PM-ORD-2025-00162-S07</t>
  </si>
  <si>
    <t>PC-PE-KG01-L25-20251024-PM-ORD-2025-00162-S08</t>
  </si>
  <si>
    <t>PC-PE-KG01-L25-20251024-PM-ORD-2025-00162-S09</t>
  </si>
  <si>
    <t>PC-PE-KG01-L25-20251024-PM-ORD-2025-00162-S10</t>
  </si>
  <si>
    <t>PC-PE-KG01-L25-20251024-PM-ORD-2025-00162-S11</t>
  </si>
  <si>
    <t>PC-PE-KG01-L25-20251024-PM-ORD-2025-00162-S12</t>
  </si>
  <si>
    <t>PC-PE-KG01-L25-20251024-PM-ORD-2025-00162-S13</t>
  </si>
  <si>
    <t>PC-PE-KG01-L25-20251025-AM-ORD-2025-00162-S01</t>
  </si>
  <si>
    <t>PE-KG01-L25-20251025-AM-ORD-2025-00162</t>
  </si>
  <si>
    <t>PC-PE-KG01-L25-20251025-AM-ORD-2025-00162-S02</t>
  </si>
  <si>
    <t>PC-PE-KG01-L25-20251025-AM-ORD-2025-00162-S03</t>
  </si>
  <si>
    <t>PC-PE-KG01-L25-20251025-AM-ORD-2025-00162-S04</t>
  </si>
  <si>
    <t>PC-PE-KG01-L25-20251025-AM-ORD-2025-00162-S05</t>
  </si>
  <si>
    <t>PC-PE-KG01-L25-20251025-AM-ORD-2025-00162-S06</t>
  </si>
  <si>
    <t>PC-PE-KG01-L25-20251025-AM-ORD-2025-00162-S07</t>
  </si>
  <si>
    <t>PC-PE-KG01-L25-20251025-AM-ORD-2025-00162-S08</t>
  </si>
  <si>
    <t>PC-PE-KG01-L25-20251025-AM-ORD-2025-00162-S09</t>
  </si>
  <si>
    <t>PC-PE-KG01-L25-20251025-AM-ORD-2025-00162-S10</t>
  </si>
  <si>
    <t>PC-PE-KG01-L25-20251025-AM-ORD-2025-00162-S11</t>
  </si>
  <si>
    <t>PC-PE-KG01-L25-20251025-AM-ORD-2025-00162-S12</t>
  </si>
  <si>
    <t>PC-PE-KG01-L25-20251025-AM-ORD-2025-00162-S13</t>
  </si>
  <si>
    <t>PC-PE-KG01-L25-20251025-PM-ORD-2025-00162-S01</t>
  </si>
  <si>
    <t>PE-KG01-L25-20251025-PM-ORD-2025-00162</t>
  </si>
  <si>
    <t>PC-PE-KG01-L25-20251025-PM-ORD-2025-00162-S02</t>
  </si>
  <si>
    <t>PC-PE-KG01-L25-20251025-PM-ORD-2025-00162-S03</t>
  </si>
  <si>
    <t>PC-PE-KG01-L25-20251025-PM-ORD-2025-00162-S04</t>
  </si>
  <si>
    <t>PC-PE-KG01-L25-20251025-PM-ORD-2025-00162-S05</t>
  </si>
  <si>
    <t>PC-PE-KG01-L25-20251025-PM-ORD-2025-00162-S06</t>
  </si>
  <si>
    <t>PC-PE-KG01-L25-20251025-PM-ORD-2025-00162-S07</t>
  </si>
  <si>
    <t>PC-PE-KG01-L25-20251025-PM-ORD-2025-00162-S08</t>
  </si>
  <si>
    <t>PC-PE-KG01-L25-20251025-PM-ORD-2025-00162-S09</t>
  </si>
  <si>
    <t>PC-PE-KG01-L25-20251025-PM-ORD-2025-00162-S10</t>
  </si>
  <si>
    <t>PC-PE-KG01-L25-20251025-PM-ORD-2025-00162-S11</t>
  </si>
  <si>
    <t>PC-PE-KG01-L25-20251025-PM-ORD-2025-00162-S12</t>
  </si>
  <si>
    <t>PC-PE-KG01-L25-20251025-PM-ORD-2025-00162-S13</t>
  </si>
  <si>
    <t>PC-PE-KG01-L25-20251026-AM-ORD-2025-00162-S01</t>
  </si>
  <si>
    <t>PE-KG01-L25-20251026-AM-ORD-2025-00162</t>
  </si>
  <si>
    <t>PC-PE-KG01-L25-20251026-AM-ORD-2025-00162-S02</t>
  </si>
  <si>
    <t>PC-PE-KG01-L25-20251026-AM-ORD-2025-00162-S03</t>
  </si>
  <si>
    <t>PC-PE-KG01-L25-20251026-AM-ORD-2025-00162-S04</t>
  </si>
  <si>
    <t>PC-PE-KG01-L25-20251026-AM-ORD-2025-00162-S05</t>
  </si>
  <si>
    <t>PC-PE-KG01-L25-20251026-AM-ORD-2025-00162-S06</t>
  </si>
  <si>
    <t>PC-PE-KG01-L25-20251026-AM-ORD-2025-00162-S07</t>
  </si>
  <si>
    <t>PC-PE-KG01-L25-20251026-AM-ORD-2025-00162-S08</t>
  </si>
  <si>
    <t>PC-PE-KG01-L25-20251026-AM-ORD-2025-00162-S09</t>
  </si>
  <si>
    <t>PC-PE-KG01-L25-20251026-AM-ORD-2025-00162-S10</t>
  </si>
  <si>
    <t>PC-PE-KG01-L25-20251026-AM-ORD-2025-00162-S11</t>
  </si>
  <si>
    <t>PC-PE-KG01-L25-20251026-AM-ORD-2025-00162-S12</t>
  </si>
  <si>
    <t>PC-PE-KG01-L25-20251026-AM-ORD-2025-00162-S13</t>
  </si>
  <si>
    <t>PC-PE-KG01-L25-20251026-PM-ORD-2025-00162-S01</t>
  </si>
  <si>
    <t>PE-KG01-L25-20251026-PM-ORD-2025-00162</t>
  </si>
  <si>
    <t>PC-PE-KG01-L25-20251026-PM-ORD-2025-00162-S02</t>
  </si>
  <si>
    <t>PC-PE-KG01-L25-20251026-PM-ORD-2025-00162-S03</t>
  </si>
  <si>
    <t>PC-PE-KG01-L25-20251026-PM-ORD-2025-00162-S04</t>
  </si>
  <si>
    <t>PC-PE-KG01-L25-20251026-PM-ORD-2025-00162-S05</t>
  </si>
  <si>
    <t>PC-PE-KG01-L25-20251026-PM-ORD-2025-00162-S06</t>
  </si>
  <si>
    <t>PC-PE-KG01-L25-20251026-PM-ORD-2025-00162-S07</t>
  </si>
  <si>
    <t>PC-PE-KG01-L25-20251026-PM-ORD-2025-00162-S08</t>
  </si>
  <si>
    <t>PC-PE-KG01-L25-20251026-PM-ORD-2025-00162-S09</t>
  </si>
  <si>
    <t>PC-PE-KG01-L25-20251026-PM-ORD-2025-00162-S10</t>
  </si>
  <si>
    <t>PC-PE-KG01-L25-20251026-PM-ORD-2025-00162-S11</t>
  </si>
  <si>
    <t>PC-PE-KG01-L25-20251026-PM-ORD-2025-00162-S12</t>
  </si>
  <si>
    <t>PC-PE-KG01-L25-20251026-PM-ORD-2025-00162-S13</t>
  </si>
  <si>
    <t>JOB CHANGE IMPACT — DETAILED ASSET LOSS</t>
  </si>
  <si>
    <t>Historical summary components are seeded at Line scope; enter new detail at Line, Section, or Cavity scope.</t>
  </si>
  <si>
    <t>JobChangeImpactID</t>
  </si>
  <si>
    <t>CavityNumber</t>
  </si>
  <si>
    <t>Reason</t>
  </si>
  <si>
    <t>StartDateTime</t>
  </si>
  <si>
    <t>EndDateTime</t>
  </si>
  <si>
    <t>DurationHrs</t>
  </si>
  <si>
    <t>TotalActiveCavities</t>
  </si>
  <si>
    <t>AffectedActiveCavities</t>
  </si>
  <si>
    <t>CapacityImpactPct</t>
  </si>
  <si>
    <t>LineEquivalentLossHrs</t>
  </si>
  <si>
    <t>EstimatedLostUnits</t>
  </si>
  <si>
    <t>ImpactSource</t>
  </si>
  <si>
    <t>ScopeCheck</t>
  </si>
  <si>
    <t>DurationCheck</t>
  </si>
  <si>
    <t>JCI-000001</t>
  </si>
  <si>
    <t>JC-KG01-L21-20251021-AM-ORD-2025-00019-ORD-2025-00020</t>
  </si>
  <si>
    <t>Historical summary</t>
  </si>
  <si>
    <t>HistoricalSummary</t>
  </si>
  <si>
    <t>JCI-000002</t>
  </si>
  <si>
    <t>JCI-000003</t>
  </si>
  <si>
    <t>JCI-000004</t>
  </si>
  <si>
    <t>JC-KG01-L21-20251025-AM-ORD-2025-00020-ORD-2025-00021</t>
  </si>
  <si>
    <t>JCI-000005</t>
  </si>
  <si>
    <t>JCI-000006</t>
  </si>
  <si>
    <t>JCI-000007</t>
  </si>
  <si>
    <t>JCI-000008</t>
  </si>
  <si>
    <t>JC-KG01-L22-20251020-AM-ORD-2025-00055-ORD-2025-00056</t>
  </si>
  <si>
    <t>JCI-000009</t>
  </si>
  <si>
    <t>JCI-000010</t>
  </si>
  <si>
    <t>JCI-000011</t>
  </si>
  <si>
    <t>JCI-000012</t>
  </si>
  <si>
    <t>JC-KG01-L22-20251026-AM-ORD-2025-00057-ORD-2025-00058</t>
  </si>
  <si>
    <t>JCI-000013</t>
  </si>
  <si>
    <t>JCI-000014</t>
  </si>
  <si>
    <t>JCI-000015</t>
  </si>
  <si>
    <t>JCI-000016</t>
  </si>
  <si>
    <t>JC-KG01-L23-20251022-AM-ORD-2025-00092-ORD-2025-00093</t>
  </si>
  <si>
    <t>JCI-000017</t>
  </si>
  <si>
    <t>JCI-000018</t>
  </si>
  <si>
    <t>JCI-000019</t>
  </si>
  <si>
    <t>JCI-000020</t>
  </si>
  <si>
    <t>JC-KG01-L23-20251026-AM-ORD-2025-00093-ORD-2025-00094</t>
  </si>
  <si>
    <t>JCI-000021</t>
  </si>
  <si>
    <t>JCI-000022</t>
  </si>
  <si>
    <t>JCI-000023</t>
  </si>
  <si>
    <t>JCI-000024</t>
  </si>
  <si>
    <t>JCI-000025</t>
  </si>
  <si>
    <t>JC-KG01-L24-20251021-AM-ORD-2025-00124-ORD-2025-00125</t>
  </si>
  <si>
    <t>JCI-000026</t>
  </si>
  <si>
    <t>JCI-000027</t>
  </si>
  <si>
    <t>JCI-000028</t>
  </si>
  <si>
    <t>JC-KG01-L24-20251025-AM-ORD-2025-00125-ORD-2025-00126</t>
  </si>
  <si>
    <t>JCI-000029</t>
  </si>
  <si>
    <t>JCI-000030</t>
  </si>
  <si>
    <t>JCI-000031</t>
  </si>
  <si>
    <t>JC-KG01-L25-20251023-AM-ORD-2025-00161-ORD-2025-00162</t>
  </si>
  <si>
    <t>JCI-000032</t>
  </si>
  <si>
    <t>JCI-000033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</si>
</sst>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7">
    <font>
      <sz val="11"/>
      <name val="Carlito"/>
    </font>
    <font>
      <b/>
      <sz val="16"/>
      <color rgb="FF1F4E78"/>
      <name val="Carlito"/>
    </font>
    <font>
      <b/>
      <sz val="11"/>
      <name val="Carlito"/>
    </font>
    <font>
      <b/>
      <sz val="11"/>
      <color rgb="FFC00000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02326"/>
      </patternFill>
    </fill>
    <fill>
      <patternFill patternType="solid">
        <fgColor rgb="FF3034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164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2" fontId="0" fillId="4" borderId="0" xfId="0" applyNumberFormat="1" applyFill="1" applyAlignment="1">
      <alignment vertical="center"/>
    </xf>
    <xf numFmtId="0" fontId="0" fillId="3" borderId="0" xfId="0" applyFill="1"/>
    <xf numFmtId="164" fontId="0" fillId="2" borderId="0" xfId="0" applyNumberFormat="1" applyFill="1"/>
    <xf numFmtId="0" fontId="0" fillId="4" borderId="0" xfId="0" applyFill="1"/>
    <xf numFmtId="3" fontId="0" fillId="4" borderId="0" xfId="0" applyNumberFormat="1" applyFill="1"/>
    <xf numFmtId="2" fontId="0" fillId="4" borderId="0" xfId="0" applyNumberFormat="1" applyFill="1"/>
    <xf numFmtId="0" fontId="6" fillId="5" borderId="0" xfId="0" applyFont="1" applyFill="1"/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/>
    <xf numFmtId="10" fontId="6" fillId="5" borderId="0" xfId="0" applyNumberFormat="1" applyFont="1" applyFill="1"/>
    <xf numFmtId="165" fontId="6" fillId="5" borderId="0" xfId="0" applyNumberFormat="1" applyFont="1" applyFill="1"/>
    <xf numFmtId="1" fontId="6" fillId="5" borderId="0" xfId="0" applyNumberFormat="1" applyFont="1" applyFill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30343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30343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Change_Fact" displayName="JobChange_Fact" ref="A4:Z13" totalsRowShown="0">
  <tableColumns count="26">
    <tableColumn id="1" xr3:uid="{00000000-0010-0000-0000-000001000000}" name="FactoryCode"/>
    <tableColumn id="2" xr3:uid="{00000000-0010-0000-0000-000002000000}" name="LineNumber"/>
    <tableColumn id="3" xr3:uid="{00000000-0010-0000-0000-000003000000}" name="EventDate"/>
    <tableColumn id="4" xr3:uid="{00000000-0010-0000-0000-000004000000}" name="ShiftCode"/>
    <tableColumn id="5" xr3:uid="{00000000-0010-0000-0000-000005000000}" name="CrewCode"/>
    <tableColumn id="6" xr3:uid="{00000000-0010-0000-0000-000006000000}" name="FromOrderNumber"/>
    <tableColumn id="7" xr3:uid="{00000000-0010-0000-0000-000007000000}" name="ToOrderNumber"/>
    <tableColumn id="8" xr3:uid="{00000000-0010-0000-0000-000008000000}" name="JobChangeTypeName"/>
    <tableColumn id="9" xr3:uid="{00000000-0010-0000-0000-000009000000}" name="MechanicalWorkT1_Hrs"/>
    <tableColumn id="10" xr3:uid="{00000000-0010-0000-0000-00000A000000}" name="FormingTimeT2_Hrs"/>
    <tableColumn id="11" xr3:uid="{00000000-0010-0000-0000-00000B000000}" name="TrialLosses_Hrs"/>
    <tableColumn id="12" xr3:uid="{00000000-0010-0000-0000-00000C000000}" name="HE_Downtime_Hrs"/>
    <tableColumn id="13" xr3:uid="{00000000-0010-0000-0000-00000D000000}" name="HE_DowntimeReason"/>
    <tableColumn id="14" xr3:uid="{00000000-0010-0000-0000-00000E000000}" name="CE_Losses_Hrs"/>
    <tableColumn id="15" xr3:uid="{00000000-0010-0000-0000-00000F000000}" name="CE_LossesReason"/>
    <tableColumn id="16" xr3:uid="{00000000-0010-0000-0000-000010000000}" name="PalletizerLosses_Hrs"/>
    <tableColumn id="17" xr3:uid="{00000000-0010-0000-0000-000011000000}" name="PalletizerReason"/>
    <tableColumn id="18" xr3:uid="{00000000-0010-0000-0000-000012000000}" name="Notes"/>
    <tableColumn id="19" xr3:uid="{1DCE40C3-18C2-402E-84F5-A29554D0BA28}" name="JobChangeEventID">
      <calculatedColumnFormula>IF(A5="","", "JC-"&amp;A5&amp;"-L"&amp;TEXT(B5,"00")&amp;"-"&amp;TEXT(C5,"yyyymmdd")&amp;"-"&amp;D5&amp;"-"&amp;IF(F5="","START",F5)&amp;"-"&amp;G5)</calculatedColumnFormula>
    </tableColumn>
    <tableColumn id="20" xr3:uid="{DB6FD5F7-C1F6-426A-B767-CEFE0ECA1557}" name="TotalJobChangeHours">
      <calculatedColumnFormula>IF(A5="","",SUM(I5:L5)+N5+P5)</calculatedColumnFormula>
    </tableColumn>
    <tableColumn id="21" xr3:uid="{CA99A9CF-A72F-4805-909D-3E79093F8462}" name="ImpactDurationHrs">
      <calculatedColumnFormula>IF(S5="","",SUMIF(JobChangeImpact!$B$5:$B$100,S5,JobChangeImpact!$Q$5:$Q$100))</calculatedColumnFormula>
    </tableColumn>
    <tableColumn id="22" xr3:uid="{0F6800F8-C58F-4A6B-BFCE-43537B04A525}" name="ImpactReconciliationCheck">
      <calculatedColumnFormula>IF(A5="","",IF(ABS(T5-U5)&lt;=0.001,"OK","CHECK"))</calculatedColumnFormula>
    </tableColumn>
    <tableColumn id="23" xr3:uid="{BEF909C2-0E3D-4672-9D82-F06CA081030E}" name="ReasonConsistencyCheck">
      <calculatedColumnFormula>IF(A5="","",IF(AND(IF(L5&gt;0,M5&lt;&gt;"",M5=""),IF(N5&gt;0,O5&lt;&gt;"",O5=""),IF(P5&gt;0,Q5&lt;&gt;"",Q5="")),"OK","CHECK"))</calculatedColumnFormula>
    </tableColumn>
    <tableColumn id="24" xr3:uid="{800F33C0-1978-45A7-8AC7-52F0D6F98059}" name="TransitionCheck">
      <calculatedColumnFormula>IF(A5="","",IF(OR(G5="",AND(F5&lt;&gt;"",F5=G5)),"CHECK","OK"))</calculatedColumnFormula>
    </tableColumn>
    <tableColumn id="25" xr3:uid="{DCF1AA24-E5BD-4E4B-B92B-B96FD7111EC8}" name="EventIDUniquenessCheck">
      <calculatedColumnFormula>IF(S5="","",IF(COUNTIF($S$5:$S$100,S5)=1,"OK","CHECK"))</calculatedColumnFormula>
    </tableColumn>
    <tableColumn id="26" xr3:uid="{B76AC812-79B0-4D6D-B62C-8F5E068EBEBD}" name="DataQualityCheck">
      <calculatedColumnFormula>IF(A5="","",IF(AND(V5="OK",W5="OK",X5="OK",Y5="OK",T5&gt;0),"OK","CHECK"))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EE4B1E-C42D-4365-AFA4-3F61F3AD5D90}" name="JobChangeImpact" displayName="JobChangeImpact" ref="A4:AB37" totalsRowShown="0" headerRowDxfId="1">
  <autoFilter ref="A4:AB37" xr:uid="{CCEE4B1E-C42D-4365-AFA4-3F61F3AD5D90}"/>
  <tableColumns count="28">
    <tableColumn id="1" xr3:uid="{D6A93219-BDF0-49CE-B133-856FAF3BD7CF}" name="JobChangeImpactID"/>
    <tableColumn id="2" xr3:uid="{AE4E60E3-2238-4C73-8D34-BA0D78FCCD51}" name="JobChangeEventID"/>
    <tableColumn id="3" xr3:uid="{82EBDD2B-3242-4440-B5B0-64DE1B8D1152}" name="ProductionEventID"/>
    <tableColumn id="4" xr3:uid="{953EBD6A-653E-4530-AABA-1B20565ADF38}" name="FactoryCode"/>
    <tableColumn id="5" xr3:uid="{20A7D846-4465-4885-BD9F-538CD47E5101}" name="LineNumber"/>
    <tableColumn id="6" xr3:uid="{387BD4C2-D572-4461-B5A1-BDF7269F42FE}" name="EventDate"/>
    <tableColumn id="7" xr3:uid="{D479C6FD-A5AB-47B8-9937-C706B2D62476}" name="ShiftCode"/>
    <tableColumn id="8" xr3:uid="{BADF486B-7413-44D1-8014-6CC6D0EA5328}" name="ToOrderNumber"/>
    <tableColumn id="9" xr3:uid="{24D7D918-FF5B-4ED8-985D-5F7671E3479F}" name="LossArea"/>
    <tableColumn id="10" xr3:uid="{D399160C-1F04-4E09-9AF3-568785B74617}" name="AssetScopeKey"/>
    <tableColumn id="11" xr3:uid="{5F06F633-9265-4B35-8AA0-743A40C47D57}" name="AssetLevel"/>
    <tableColumn id="12" xr3:uid="{A150201F-49D9-4623-B81B-A2106CBF3D02}" name="SectionNumber"/>
    <tableColumn id="13" xr3:uid="{AD1755D6-A7DE-49A0-9A0A-BBF2FEDECEC6}" name="CavityNumber"/>
    <tableColumn id="14" xr3:uid="{3A50169C-7CBE-45F2-B333-20D1655419A0}" name="Reason"/>
    <tableColumn id="15" xr3:uid="{2A0BC059-0A88-4A3C-A3BB-F30FBBCB9675}" name="StartDateTime"/>
    <tableColumn id="16" xr3:uid="{567A16DC-E729-49C4-94E1-588341345A19}" name="EndDateTime"/>
    <tableColumn id="17" xr3:uid="{7166B0CC-7038-4738-8614-E03D77CCCC03}" name="DurationHrs"/>
    <tableColumn id="18" xr3:uid="{F28E482E-84C7-4946-9096-48B947E71670}" name="TotalActiveCavities">
      <calculatedColumnFormula>IF(B5="","",SUMIF(ProductionConfiguration!$B$5:$B$914,C5,ProductionConfiguration!$S$5:$S$914))</calculatedColumnFormula>
    </tableColumn>
    <tableColumn id="19" xr3:uid="{84A6FF2A-710F-4446-9869-E8D19F335A82}" name="AffectedActiveCavities">
      <calculatedColumnFormula>IF(B5="","",IF(K5="Line",R5,IF(K5="Section",SUMIFS(ProductionConfiguration!$S$5:$S$914,ProductionConfiguration!$B$5:$B$914,C5,ProductionConfiguration!$I$5:$I$914,L5),IF(K5="Cavity",IF(M5=1,SUMIFS(ProductionConfiguration!$P$5:$P$914,ProductionConfiguration!$B$5:$B$914,C5,ProductionConfiguration!$I$5:$I$914,L5),IF(M5=2,SUMIFS(ProductionConfiguration!$Q$5:$Q$914,ProductionConfiguration!$B$5:$B$914,C5,ProductionConfiguration!$I$5:$I$914,L5),SUMIFS(ProductionConfiguration!$R$5:$R$914,ProductionConfiguration!$B$5:$B$914,C5,ProductionConfiguration!$I$5:$I$914,L5))),0))))</calculatedColumnFormula>
    </tableColumn>
    <tableColumn id="20" xr3:uid="{C713FD2A-4BE1-432D-A4A7-2B3AD7F4E15B}" name="CapacityImpactPct">
      <calculatedColumnFormula>IF(B5="","",IFERROR(S5/R5,0))</calculatedColumnFormula>
    </tableColumn>
    <tableColumn id="21" xr3:uid="{C56DC1D2-B09B-46BC-BBCF-369E60CB4479}" name="LineEquivalentLossHrs">
      <calculatedColumnFormula>IF(B5="","",Q5*T5)</calculatedColumnFormula>
    </tableColumn>
    <tableColumn id="22" xr3:uid="{D0E71973-91CF-4D45-B9F7-54582AD72920}" name="DesignedCyclesPerMin">
      <calculatedColumnFormula>IF(C5="","",SUMIF(DailyProduction!$Q$5:$Q$100,C5,DailyProduction!$J$5:$J$100))</calculatedColumnFormula>
    </tableColumn>
    <tableColumn id="23" xr3:uid="{608D65F3-610B-421D-921D-EC90DA697467}" name="EstimatedLostUnits">
      <calculatedColumnFormula>IF(B5="","",Q5*60*V5*S5)</calculatedColumnFormula>
    </tableColumn>
    <tableColumn id="24" xr3:uid="{A1D51017-123C-4254-8DB6-836E92FABED5}" name="ImpactSource"/>
    <tableColumn id="25" xr3:uid="{8392B67B-8F13-4EE6-BFEC-D5514455465B}" name="ParentEventCheck">
      <calculatedColumnFormula>IF(B5="","",IF(COUNTIF(JobChange!$S$5:$S$100,B5)=1,"OK","CHECK"))</calculatedColumnFormula>
    </tableColumn>
    <tableColumn id="26" xr3:uid="{A7C5B65A-C641-4253-BB8F-F5DC7F65DE8E}" name="ScopeCheck">
      <calculatedColumnFormula>IF(B5="","",IF(OR(AND(K5="Line",J5="L"&amp;E5),AND(K5="Section",J5="L"&amp;E5&amp;"-S"&amp;TEXT(L5,"00")),AND(K5="Cavity",J5="L"&amp;E5&amp;"-S"&amp;TEXT(L5,"00")&amp;"-C"&amp;M5)),"OK","CHECK"))</calculatedColumnFormula>
    </tableColumn>
    <tableColumn id="27" xr3:uid="{BEA80D24-D0B4-4391-A6E7-A8863B67EF01}" name="DurationCheck">
      <calculatedColumnFormula>IF(B5="","",IF(AND(Q5&gt;0,OR(AND(O5="",P5=""),AND(O5&lt;&gt;"",P5&lt;&gt;"",P5&gt;=O5,ABS(Q5-((P5-O5)*24))&lt;=0.01))),"OK","CHECK"))</calculatedColumnFormula>
    </tableColumn>
    <tableColumn id="28" xr3:uid="{40159E33-539D-40F1-ABA6-A437D7D8971D}" name="DataQualityCheck">
      <calculatedColumnFormula>IF(B5="","",IF(AND(Y5="OK",Z5="OK",AA5="OK",R5&gt;0,S5&gt;0),"OK","CHECK"))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Production_Fact" displayName="DailyProduction_Fact" ref="A4:Z74" totalsRowShown="0">
  <tableColumns count="26">
    <tableColumn id="1" xr3:uid="{00000000-0010-0000-0100-000001000000}" name="FactoryCode"/>
    <tableColumn id="2" xr3:uid="{00000000-0010-0000-0100-000002000000}" name="EventDate"/>
    <tableColumn id="3" xr3:uid="{00000000-0010-0000-0100-000003000000}" name="ShiftCode"/>
    <tableColumn id="4" xr3:uid="{00000000-0010-0000-0100-000004000000}" name="CrewCode"/>
    <tableColumn id="5" xr3:uid="{00000000-0010-0000-0100-000005000000}" name="LineNumber"/>
    <tableColumn id="6" xr3:uid="{00000000-0010-0000-0100-000006000000}" name="OrderNumber"/>
    <tableColumn id="7" xr3:uid="{00000000-0010-0000-0100-000007000000}" name="CaseName"/>
    <tableColumn id="8" xr3:uid="{00000000-0010-0000-0100-000008000000}" name="NoSections"/>
    <tableColumn id="9" xr3:uid="{00000000-0010-0000-0100-000009000000}" name="NoCavities"/>
    <tableColumn id="10" xr3:uid="{00000000-0010-0000-0100-00000A000000}" name="DesignedCyclesPerMin"/>
    <tableColumn id="11" xr3:uid="{00000000-0010-0000-0100-00000B000000}" name="DesignedCutsPerHour"/>
    <tableColumn id="12" xr3:uid="{00000000-0010-0000-0100-00000C000000}" name="WorkingHours"/>
    <tableColumn id="13" xr3:uid="{00000000-0010-0000-0100-00000D000000}" name="DesignOutput"/>
    <tableColumn id="14" xr3:uid="{00000000-0010-0000-0100-00000E000000}" name="ActualPack"/>
    <tableColumn id="15" xr3:uid="{00000000-0010-0000-0100-00000F000000}" name="TotalHold"/>
    <tableColumn id="16" xr3:uid="{00000000-0010-0000-0100-000010000000}" name="TotalReject"/>
    <tableColumn id="17" xr3:uid="{5E926FEC-7FA5-48A1-A957-BEE8E3216F3D}" name="ProductionEventID">
      <calculatedColumnFormula>IF(A5="","", "PE-"&amp;A5&amp;"-L"&amp;TEXT(E5,"00")&amp;"-"&amp;TEXT(B5,"yyyymmdd")&amp;"-"&amp;C5&amp;"-"&amp;F5)</calculatedColumnFormula>
    </tableColumn>
    <tableColumn id="18" xr3:uid="{2DE0CA85-7C41-4F3C-A3B3-4B4706AA5DD3}" name="ActiveCavityCount">
      <calculatedColumnFormula>IF(A5="","",H5*I5)</calculatedColumnFormula>
    </tableColumn>
    <tableColumn id="19" xr3:uid="{6DD7A50F-D35E-4A04-A78F-0FF74FD8E04B}" name="PhysicalCapabilityCheck">
      <calculatedColumnFormula>IF(A5="","",IF(AND(H5&gt;=1,H5&lt;=13,I5&gt;=1,I5&lt;=3),"OK","CHECK"))</calculatedColumnFormula>
    </tableColumn>
    <tableColumn id="20" xr3:uid="{3D2A28B0-F349-4B99-B802-4713AF1EC91D}" name="DesignCutsFormulaCheck">
      <calculatedColumnFormula>IF(A5="","",IF(ABS(K5-(J5*H5*I5*60))&lt;=0.5,"OK","CHECK"))</calculatedColumnFormula>
    </tableColumn>
    <tableColumn id="21" xr3:uid="{B10EE9D2-4A82-4027-A8C2-528F3C334A20}" name="DesignOutputCheck">
      <calculatedColumnFormula>IF(A5="","",IF(ABS(M5-(K5*L5))&lt;=1,"OK","CHECK"))</calculatedColumnFormula>
    </tableColumn>
    <tableColumn id="22" xr3:uid="{70F185BF-B8C6-4462-BAD0-DBFF8E64D8C1}" name="MaterialBalanceCheck">
      <calculatedColumnFormula>IF(A5="","",IF(ABS(M5-N5-O5-P5)&lt;=1,"OK","CHECK"))</calculatedColumnFormula>
    </tableColumn>
    <tableColumn id="23" xr3:uid="{F54B5149-A96F-4459-9656-178CB7BA00A8}" name="ConfigActiveCavityCount">
      <calculatedColumnFormula>IF(Q5="","",SUMIF(ProductionConfiguration!$B$5:$B$914,Q5,ProductionConfiguration!$S$5:$S$914))</calculatedColumnFormula>
    </tableColumn>
    <tableColumn id="24" xr3:uid="{41D88451-B186-4ECC-96FF-B076DD4B0944}" name="ConfigurationReconciliationCheck">
      <calculatedColumnFormula>IF(A5="","",IF(R5=W5,"OK","CHECK"))</calculatedColumnFormula>
    </tableColumn>
    <tableColumn id="25" xr3:uid="{F0369D2E-1CBC-48ED-94DB-3F5453E541F0}" name="EventIDUniquenessCheck">
      <calculatedColumnFormula>IF(Q5="","",IF(COUNTIF($Q$5:$Q$100,Q5)=1,"OK","CHECK"))</calculatedColumnFormula>
    </tableColumn>
    <tableColumn id="26" xr3:uid="{E2C5FC07-8056-44C3-97D4-A9311D0AAF50}" name="DataQualityCheck">
      <calculatedColumnFormula>IF(A5="","",IF(AND(S5="OK",T5="OK",U5="OK",V5="OK",X5="OK",Y5="OK"),"OK","CHECK"))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A26835-52F6-4A03-9D22-BC51EE81F72D}" name="ProductionConfiguration" displayName="ProductionConfiguration" ref="A4:W914" totalsRowShown="0" headerRowDxfId="0">
  <autoFilter ref="A4:W914" xr:uid="{F6A26835-52F6-4A03-9D22-BC51EE81F72D}"/>
  <tableColumns count="23">
    <tableColumn id="1" xr3:uid="{071DC49C-125C-44D9-8194-D46DE61C8042}" name="ProductionConfigID"/>
    <tableColumn id="2" xr3:uid="{15C4B5B3-E136-4727-B8B2-F3AF820B49D2}" name="ProductionEventID"/>
    <tableColumn id="3" xr3:uid="{6C6D51F0-3AAE-4C84-97FE-E6A8ED17B8E9}" name="FactoryCode"/>
    <tableColumn id="4" xr3:uid="{8488BBDC-6950-4D33-B5D6-054180613DCF}" name="EventDate"/>
    <tableColumn id="5" xr3:uid="{E1651626-9EBC-43DA-A333-B079E007BB5C}" name="ShiftCode"/>
    <tableColumn id="6" xr3:uid="{4A1A16A2-2FFD-4DB5-B8E9-B2F12445947B}" name="CrewCode"/>
    <tableColumn id="7" xr3:uid="{B93DAA9A-B438-41C5-820E-9EF9EF8ABD2F}" name="LineNumber"/>
    <tableColumn id="8" xr3:uid="{F9397742-4E48-4B32-95D7-F9A35187FE71}" name="OrderNumber"/>
    <tableColumn id="9" xr3:uid="{150FC402-7441-4A54-AEF3-999B56A6444D}" name="SectionNumber"/>
    <tableColumn id="10" xr3:uid="{2D406CC6-475A-47A0-A7FB-24F5CECF58BC}" name="ParentNoSections"/>
    <tableColumn id="11" xr3:uid="{880F46C2-A9C6-4A34-BCFA-1F1C7BF5728C}" name="ParentNoCavities"/>
    <tableColumn id="12" xr3:uid="{7946B6C7-180C-4025-B8D7-89972FAA85F4}" name="DefaultSectionActive">
      <calculatedColumnFormula>IF(I5&lt;=J5,1,0)</calculatedColumnFormula>
    </tableColumn>
    <tableColumn id="13" xr3:uid="{2F85C08D-4069-4109-9E6A-92653012B711}" name="Cavity1Override"/>
    <tableColumn id="14" xr3:uid="{6F784532-4BB0-431A-9E1E-1F13517CB0B2}" name="Cavity2Override"/>
    <tableColumn id="15" xr3:uid="{7BF96BFB-E068-42B7-B8A9-71CFC785C5C8}" name="Cavity3Override"/>
    <tableColumn id="16" xr3:uid="{0985800B-DBB0-487E-84E4-E95D33E27B6C}" name="Cavity1Active">
      <calculatedColumnFormula>IF(M5="",IF(AND(L5=1,K5&gt;=1),1,0),M5)</calculatedColumnFormula>
    </tableColumn>
    <tableColumn id="17" xr3:uid="{AA7C6785-CAFA-41A6-8179-BEDF53CBA3CD}" name="Cavity2Active">
      <calculatedColumnFormula>IF(N5="",IF(AND(L5=1,K5&gt;=2),1,0),N5)</calculatedColumnFormula>
    </tableColumn>
    <tableColumn id="18" xr3:uid="{3E4B1B2F-9E8C-4C26-817A-3072D7B369CA}" name="Cavity3Active">
      <calculatedColumnFormula>IF(O5="",IF(AND(L5=1,K5&gt;=3),1,0),O5)</calculatedColumnFormula>
    </tableColumn>
    <tableColumn id="19" xr3:uid="{3CD2C3E9-B5FD-42B8-9FC9-413814F55F27}" name="ActiveCavityCount">
      <calculatedColumnFormula>SUM(P5:R5)</calculatedColumnFormula>
    </tableColumn>
    <tableColumn id="20" xr3:uid="{F477E023-A361-4402-B181-5B294C2F5FCE}" name="ConfigurationSource">
      <calculatedColumnFormula>IF(COUNTA(M5:O5)=0,"DerivedFromCount","ManualOverride")</calculatedColumnFormula>
    </tableColumn>
    <tableColumn id="21" xr3:uid="{EE1921D0-3383-410C-B77C-75A30E3FBCB7}" name="ParentEventCheck">
      <calculatedColumnFormula>IF(COUNTIF(DailyProduction!$Q$5:$Q$100,B5)=1,"OK","CHECK")</calculatedColumnFormula>
    </tableColumn>
    <tableColumn id="22" xr3:uid="{6AF497EA-3F65-45E5-80C6-5315BFA73097}" name="PhysicalCapabilityCheck">
      <calculatedColumnFormula>IF(AND(I5&gt;=1,I5&lt;=13,K5&gt;=1,K5&lt;=3),"OK","CHECK")</calculatedColumnFormula>
    </tableColumn>
    <tableColumn id="23" xr3:uid="{89028158-16D7-46C0-B907-966D0AE7A953}" name="EventReconciliationCheck">
      <calculatedColumnFormula>IF(SUMIF($B$5:$B$914,B5,$S$5:$S$914)=SUMIF(DailyProduction!$Q$5:$Q$100,B5,DailyProduction!$R$5:$R$100),"OK","CHECK")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defaultRowHeight="14.25"/>
  <cols>
    <col min="1" max="1" width="120" customWidth="1"/>
  </cols>
  <sheetData>
    <row r="1" spans="1:1" ht="20.25">
      <c r="A1" s="1" t="s">
        <v>0</v>
      </c>
    </row>
    <row r="2" spans="1:1">
      <c r="A2" s="2"/>
    </row>
    <row r="3" spans="1:1">
      <c r="A3" s="2" t="s">
        <v>1</v>
      </c>
    </row>
    <row r="4" spans="1:1">
      <c r="A4" s="2"/>
    </row>
    <row r="5" spans="1:1">
      <c r="A5" s="2" t="s">
        <v>2</v>
      </c>
    </row>
    <row r="6" spans="1:1">
      <c r="A6" s="2"/>
    </row>
    <row r="7" spans="1:1" ht="15">
      <c r="A7" s="3" t="s">
        <v>3</v>
      </c>
    </row>
    <row r="8" spans="1:1">
      <c r="A8" s="2" t="s">
        <v>4</v>
      </c>
    </row>
    <row r="9" spans="1:1">
      <c r="A9" s="2" t="s">
        <v>5</v>
      </c>
    </row>
    <row r="10" spans="1:1">
      <c r="A10" s="2" t="s">
        <v>6</v>
      </c>
    </row>
    <row r="11" spans="1:1">
      <c r="A11" s="2" t="s">
        <v>7</v>
      </c>
    </row>
    <row r="12" spans="1:1">
      <c r="A12" s="2"/>
    </row>
    <row r="13" spans="1:1">
      <c r="A13" s="2" t="s">
        <v>8</v>
      </c>
    </row>
    <row r="15" spans="1:1">
      <c r="A15" t="s">
        <v>81</v>
      </c>
    </row>
    <row r="16" spans="1:1">
      <c r="A16" t="s">
        <v>82</v>
      </c>
    </row>
    <row r="17" spans="1:1">
      <c r="A17" t="s">
        <v>83</v>
      </c>
    </row>
    <row r="18" spans="1:1">
      <c r="A18" t="s">
        <v>84</v>
      </c>
    </row>
    <row r="19" spans="1:1">
      <c r="A19" t="s">
        <v>85</v>
      </c>
    </row>
    <row r="20" spans="1:1">
      <c r="A20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4"/>
  <sheetViews>
    <sheetView workbookViewId="0">
      <selection activeCell="C5" sqref="C5:C13"/>
    </sheetView>
  </sheetViews>
  <sheetFormatPr defaultRowHeight="14.25"/>
  <cols>
    <col min="1" max="1" width="14" customWidth="1"/>
    <col min="2" max="2" width="12" customWidth="1"/>
    <col min="3" max="3" width="14" customWidth="1"/>
    <col min="4" max="5" width="12" customWidth="1"/>
    <col min="6" max="8" width="20" customWidth="1"/>
    <col min="9" max="10" width="18" customWidth="1"/>
    <col min="11" max="12" width="17" customWidth="1"/>
    <col min="13" max="13" width="30" customWidth="1"/>
    <col min="14" max="14" width="16" customWidth="1"/>
    <col min="15" max="15" width="30" customWidth="1"/>
    <col min="16" max="16" width="20" customWidth="1"/>
    <col min="17" max="17" width="30" customWidth="1"/>
    <col min="18" max="18" width="20" customWidth="1"/>
    <col min="19" max="19" width="55.375" bestFit="1" customWidth="1"/>
    <col min="20" max="20" width="21.25" bestFit="1" customWidth="1"/>
    <col min="21" max="21" width="17.625" bestFit="1" customWidth="1"/>
    <col min="22" max="22" width="25.375" bestFit="1" customWidth="1"/>
    <col min="23" max="23" width="24.5" bestFit="1" customWidth="1"/>
    <col min="24" max="24" width="15.625" bestFit="1" customWidth="1"/>
    <col min="25" max="25" width="24.625" bestFit="1" customWidth="1"/>
    <col min="26" max="26" width="16.75" bestFit="1" customWidth="1"/>
  </cols>
  <sheetData>
    <row r="1" spans="1:26" ht="24" customHeight="1">
      <c r="A1" s="15" t="s">
        <v>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>
      <c r="A2" s="4" t="s">
        <v>10</v>
      </c>
    </row>
    <row r="3" spans="1:26">
      <c r="A3" s="5" t="s">
        <v>11</v>
      </c>
    </row>
    <row r="4" spans="1:26" ht="30" customHeight="1">
      <c r="A4" s="16" t="s">
        <v>12</v>
      </c>
      <c r="B4" s="16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16" t="s">
        <v>18</v>
      </c>
      <c r="H4" s="16" t="s">
        <v>19</v>
      </c>
      <c r="I4" s="16" t="s">
        <v>20</v>
      </c>
      <c r="J4" s="16" t="s">
        <v>21</v>
      </c>
      <c r="K4" s="16" t="s">
        <v>22</v>
      </c>
      <c r="L4" s="16" t="s">
        <v>23</v>
      </c>
      <c r="M4" s="16" t="s">
        <v>24</v>
      </c>
      <c r="N4" s="16" t="s">
        <v>25</v>
      </c>
      <c r="O4" s="16" t="s">
        <v>26</v>
      </c>
      <c r="P4" s="16" t="s">
        <v>27</v>
      </c>
      <c r="Q4" s="16" t="s">
        <v>28</v>
      </c>
      <c r="R4" s="16" t="s">
        <v>29</v>
      </c>
      <c r="S4" s="17" t="s">
        <v>87</v>
      </c>
      <c r="T4" s="17" t="s">
        <v>88</v>
      </c>
      <c r="U4" s="17" t="s">
        <v>89</v>
      </c>
      <c r="V4" s="17" t="s">
        <v>90</v>
      </c>
      <c r="W4" s="17" t="s">
        <v>91</v>
      </c>
      <c r="X4" s="17" t="s">
        <v>92</v>
      </c>
      <c r="Y4" s="17" t="s">
        <v>93</v>
      </c>
      <c r="Z4" s="17" t="s">
        <v>94</v>
      </c>
    </row>
    <row r="5" spans="1:26" ht="18" customHeight="1">
      <c r="A5" s="8" t="s">
        <v>30</v>
      </c>
      <c r="B5" s="8">
        <v>21</v>
      </c>
      <c r="C5" s="7">
        <v>45951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  <c r="I5" s="9">
        <v>3.08</v>
      </c>
      <c r="J5" s="9">
        <v>1</v>
      </c>
      <c r="K5" s="9">
        <v>0.19</v>
      </c>
      <c r="L5" s="9">
        <v>0</v>
      </c>
      <c r="M5" s="8"/>
      <c r="N5" s="9">
        <v>0</v>
      </c>
      <c r="O5" s="8"/>
      <c r="P5" s="9">
        <v>0</v>
      </c>
      <c r="Q5" s="8"/>
      <c r="R5" s="6" t="s">
        <v>36</v>
      </c>
      <c r="S5" t="str">
        <f t="shared" ref="S5:S36" si="0">IF(A5="","", "JC-"&amp;A5&amp;"-L"&amp;TEXT(B5,"00")&amp;"-"&amp;TEXT(C5,"yyyymmdd")&amp;"-"&amp;D5&amp;"-"&amp;IF(F5="","START",F5)&amp;"-"&amp;G5)</f>
        <v>JC-KG01-L21-20251021-AM-ORD-2025-00019-ORD-2025-00020</v>
      </c>
      <c r="T5">
        <f t="shared" ref="T5:T36" si="1">IF(A5="","",SUM(I5:L5)+N5+P5)</f>
        <v>4.2700000000000005</v>
      </c>
      <c r="U5">
        <f>IF(S5="","",SUMIF(JobChangeImpact!$B$5:$B$100,S5,JobChangeImpact!$Q$5:$Q$100))</f>
        <v>4.2700000000000005</v>
      </c>
      <c r="V5" t="str">
        <f t="shared" ref="V5:V36" si="2">IF(A5="","",IF(ABS(T5-U5)&lt;=0.001,"OK","CHECK"))</f>
        <v>OK</v>
      </c>
      <c r="W5" t="str">
        <f t="shared" ref="W5:W36" si="3">IF(A5="","",IF(AND(IF(L5&gt;0,M5&lt;&gt;"",M5=""),IF(N5&gt;0,O5&lt;&gt;"",O5=""),IF(P5&gt;0,Q5&lt;&gt;"",Q5="")),"OK","CHECK"))</f>
        <v>OK</v>
      </c>
      <c r="X5" t="str">
        <f t="shared" ref="X5:X36" si="4">IF(A5="","",IF(OR(G5="",AND(F5&lt;&gt;"",F5=G5)),"CHECK","OK"))</f>
        <v>OK</v>
      </c>
      <c r="Y5" t="str">
        <f t="shared" ref="Y5:Y36" si="5">IF(S5="","",IF(COUNTIF($S$5:$S$100,S5)=1,"OK","CHECK"))</f>
        <v>OK</v>
      </c>
      <c r="Z5" t="str">
        <f t="shared" ref="Z5:Z36" si="6">IF(A5="","",IF(AND(V5="OK",W5="OK",X5="OK",Y5="OK",T5&gt;0),"OK","CHECK"))</f>
        <v>OK</v>
      </c>
    </row>
    <row r="6" spans="1:26" ht="18" customHeight="1">
      <c r="A6" s="8" t="s">
        <v>30</v>
      </c>
      <c r="B6" s="8">
        <v>21</v>
      </c>
      <c r="C6" s="7">
        <v>45955</v>
      </c>
      <c r="D6" s="8" t="s">
        <v>31</v>
      </c>
      <c r="E6" s="8" t="s">
        <v>37</v>
      </c>
      <c r="F6" s="8" t="s">
        <v>34</v>
      </c>
      <c r="G6" s="8" t="s">
        <v>38</v>
      </c>
      <c r="H6" s="8" t="s">
        <v>35</v>
      </c>
      <c r="I6" s="9">
        <v>3.15</v>
      </c>
      <c r="J6" s="9">
        <v>1.2</v>
      </c>
      <c r="K6" s="9">
        <v>0.1</v>
      </c>
      <c r="L6" s="9">
        <v>0.51</v>
      </c>
      <c r="M6" s="8" t="s">
        <v>39</v>
      </c>
      <c r="N6" s="9">
        <v>0</v>
      </c>
      <c r="O6" s="8"/>
      <c r="P6" s="9">
        <v>0</v>
      </c>
      <c r="Q6" s="8"/>
      <c r="R6" s="6" t="s">
        <v>40</v>
      </c>
      <c r="S6" t="str">
        <f t="shared" si="0"/>
        <v>JC-KG01-L21-20251025-AM-ORD-2025-00020-ORD-2025-00021</v>
      </c>
      <c r="T6">
        <f t="shared" si="1"/>
        <v>4.9599999999999991</v>
      </c>
      <c r="U6">
        <f>IF(S6="","",SUMIF(JobChangeImpact!$B$5:$B$100,S6,JobChangeImpact!$Q$5:$Q$100))</f>
        <v>4.9599999999999991</v>
      </c>
      <c r="V6" t="str">
        <f t="shared" si="2"/>
        <v>OK</v>
      </c>
      <c r="W6" t="str">
        <f t="shared" si="3"/>
        <v>OK</v>
      </c>
      <c r="X6" t="str">
        <f t="shared" si="4"/>
        <v>OK</v>
      </c>
      <c r="Y6" t="str">
        <f t="shared" si="5"/>
        <v>OK</v>
      </c>
      <c r="Z6" t="str">
        <f t="shared" si="6"/>
        <v>OK</v>
      </c>
    </row>
    <row r="7" spans="1:26" ht="18" customHeight="1">
      <c r="A7" s="8" t="s">
        <v>30</v>
      </c>
      <c r="B7" s="8">
        <v>22</v>
      </c>
      <c r="C7" s="7">
        <v>45950</v>
      </c>
      <c r="D7" s="8" t="s">
        <v>31</v>
      </c>
      <c r="E7" s="8" t="s">
        <v>41</v>
      </c>
      <c r="F7" s="8" t="s">
        <v>42</v>
      </c>
      <c r="G7" s="8" t="s">
        <v>43</v>
      </c>
      <c r="H7" s="8" t="s">
        <v>44</v>
      </c>
      <c r="I7" s="9">
        <v>6.84</v>
      </c>
      <c r="J7" s="9">
        <v>1.63</v>
      </c>
      <c r="K7" s="9">
        <v>0.78</v>
      </c>
      <c r="L7" s="9">
        <v>0</v>
      </c>
      <c r="M7" s="8"/>
      <c r="N7" s="9">
        <v>0</v>
      </c>
      <c r="O7" s="8"/>
      <c r="P7" s="9">
        <v>0.24</v>
      </c>
      <c r="Q7" s="8" t="s">
        <v>45</v>
      </c>
      <c r="R7" s="6" t="s">
        <v>46</v>
      </c>
      <c r="S7" t="str">
        <f t="shared" si="0"/>
        <v>JC-KG01-L22-20251020-AM-ORD-2025-00055-ORD-2025-00056</v>
      </c>
      <c r="T7">
        <f t="shared" si="1"/>
        <v>9.4899999999999984</v>
      </c>
      <c r="U7">
        <f>IF(S7="","",SUMIF(JobChangeImpact!$B$5:$B$100,S7,JobChangeImpact!$Q$5:$Q$100))</f>
        <v>9.4899999999999984</v>
      </c>
      <c r="V7" t="str">
        <f t="shared" si="2"/>
        <v>OK</v>
      </c>
      <c r="W7" t="str">
        <f t="shared" si="3"/>
        <v>OK</v>
      </c>
      <c r="X7" t="str">
        <f t="shared" si="4"/>
        <v>OK</v>
      </c>
      <c r="Y7" t="str">
        <f t="shared" si="5"/>
        <v>OK</v>
      </c>
      <c r="Z7" t="str">
        <f t="shared" si="6"/>
        <v>OK</v>
      </c>
    </row>
    <row r="8" spans="1:26" ht="18" customHeight="1">
      <c r="A8" s="8" t="s">
        <v>30</v>
      </c>
      <c r="B8" s="8">
        <v>22</v>
      </c>
      <c r="C8" s="7">
        <v>45956</v>
      </c>
      <c r="D8" s="8" t="s">
        <v>31</v>
      </c>
      <c r="E8" s="8" t="s">
        <v>41</v>
      </c>
      <c r="F8" s="8" t="s">
        <v>47</v>
      </c>
      <c r="G8" s="8" t="s">
        <v>48</v>
      </c>
      <c r="H8" s="8" t="s">
        <v>44</v>
      </c>
      <c r="I8" s="9">
        <v>5.65</v>
      </c>
      <c r="J8" s="9">
        <v>1.35</v>
      </c>
      <c r="K8" s="9">
        <v>0.78</v>
      </c>
      <c r="L8" s="9">
        <v>0.69</v>
      </c>
      <c r="M8" s="8" t="s">
        <v>49</v>
      </c>
      <c r="N8" s="9">
        <v>0</v>
      </c>
      <c r="O8" s="8"/>
      <c r="P8" s="9">
        <v>0</v>
      </c>
      <c r="Q8" s="8"/>
      <c r="R8" s="6" t="s">
        <v>36</v>
      </c>
      <c r="S8" t="str">
        <f t="shared" si="0"/>
        <v>JC-KG01-L22-20251026-AM-ORD-2025-00057-ORD-2025-00058</v>
      </c>
      <c r="T8">
        <f t="shared" si="1"/>
        <v>8.4700000000000006</v>
      </c>
      <c r="U8">
        <f>IF(S8="","",SUMIF(JobChangeImpact!$B$5:$B$100,S8,JobChangeImpact!$Q$5:$Q$100))</f>
        <v>8.4700000000000006</v>
      </c>
      <c r="V8" t="str">
        <f t="shared" si="2"/>
        <v>OK</v>
      </c>
      <c r="W8" t="str">
        <f t="shared" si="3"/>
        <v>OK</v>
      </c>
      <c r="X8" t="str">
        <f t="shared" si="4"/>
        <v>OK</v>
      </c>
      <c r="Y8" t="str">
        <f t="shared" si="5"/>
        <v>OK</v>
      </c>
      <c r="Z8" t="str">
        <f t="shared" si="6"/>
        <v>OK</v>
      </c>
    </row>
    <row r="9" spans="1:26" ht="18" customHeight="1">
      <c r="A9" s="8" t="s">
        <v>30</v>
      </c>
      <c r="B9" s="8">
        <v>23</v>
      </c>
      <c r="C9" s="7">
        <v>45952</v>
      </c>
      <c r="D9" s="8" t="s">
        <v>31</v>
      </c>
      <c r="E9" s="8" t="s">
        <v>37</v>
      </c>
      <c r="F9" s="8" t="s">
        <v>50</v>
      </c>
      <c r="G9" s="8" t="s">
        <v>51</v>
      </c>
      <c r="H9" s="8" t="s">
        <v>35</v>
      </c>
      <c r="I9" s="9">
        <v>2.73</v>
      </c>
      <c r="J9" s="9">
        <v>1.06</v>
      </c>
      <c r="K9" s="9">
        <v>0.49</v>
      </c>
      <c r="L9" s="9">
        <v>0</v>
      </c>
      <c r="M9" s="8"/>
      <c r="N9" s="9">
        <v>0</v>
      </c>
      <c r="O9" s="8"/>
      <c r="P9" s="9">
        <v>0.4</v>
      </c>
      <c r="Q9" s="8" t="s">
        <v>52</v>
      </c>
      <c r="R9" s="6" t="s">
        <v>36</v>
      </c>
      <c r="S9" t="str">
        <f t="shared" si="0"/>
        <v>JC-KG01-L23-20251022-AM-ORD-2025-00092-ORD-2025-00093</v>
      </c>
      <c r="T9">
        <f t="shared" si="1"/>
        <v>4.6800000000000006</v>
      </c>
      <c r="U9">
        <f>IF(S9="","",SUMIF(JobChangeImpact!$B$5:$B$100,S9,JobChangeImpact!$Q$5:$Q$100))</f>
        <v>4.6800000000000006</v>
      </c>
      <c r="V9" t="str">
        <f t="shared" si="2"/>
        <v>OK</v>
      </c>
      <c r="W9" t="str">
        <f t="shared" si="3"/>
        <v>OK</v>
      </c>
      <c r="X9" t="str">
        <f t="shared" si="4"/>
        <v>OK</v>
      </c>
      <c r="Y9" t="str">
        <f t="shared" si="5"/>
        <v>OK</v>
      </c>
      <c r="Z9" t="str">
        <f t="shared" si="6"/>
        <v>OK</v>
      </c>
    </row>
    <row r="10" spans="1:26" ht="18" customHeight="1">
      <c r="A10" s="8" t="s">
        <v>30</v>
      </c>
      <c r="B10" s="8">
        <v>23</v>
      </c>
      <c r="C10" s="7">
        <v>45956</v>
      </c>
      <c r="D10" s="8" t="s">
        <v>31</v>
      </c>
      <c r="E10" s="8" t="s">
        <v>41</v>
      </c>
      <c r="F10" s="8" t="s">
        <v>51</v>
      </c>
      <c r="G10" s="8" t="s">
        <v>53</v>
      </c>
      <c r="H10" s="8" t="s">
        <v>54</v>
      </c>
      <c r="I10" s="9">
        <v>6.68</v>
      </c>
      <c r="J10" s="9">
        <v>2.81</v>
      </c>
      <c r="K10" s="9">
        <v>0.35</v>
      </c>
      <c r="L10" s="9">
        <v>0.47</v>
      </c>
      <c r="M10" s="8" t="s">
        <v>55</v>
      </c>
      <c r="N10" s="9">
        <v>0.39</v>
      </c>
      <c r="O10" s="8" t="s">
        <v>56</v>
      </c>
      <c r="P10" s="9">
        <v>0</v>
      </c>
      <c r="Q10" s="8"/>
      <c r="R10" s="6" t="s">
        <v>57</v>
      </c>
      <c r="S10" t="str">
        <f t="shared" si="0"/>
        <v>JC-KG01-L23-20251026-AM-ORD-2025-00093-ORD-2025-00094</v>
      </c>
      <c r="T10">
        <f t="shared" si="1"/>
        <v>10.700000000000001</v>
      </c>
      <c r="U10">
        <f>IF(S10="","",SUMIF(JobChangeImpact!$B$5:$B$100,S10,JobChangeImpact!$Q$5:$Q$100))</f>
        <v>10.700000000000001</v>
      </c>
      <c r="V10" t="str">
        <f t="shared" si="2"/>
        <v>OK</v>
      </c>
      <c r="W10" t="str">
        <f t="shared" si="3"/>
        <v>OK</v>
      </c>
      <c r="X10" t="str">
        <f t="shared" si="4"/>
        <v>OK</v>
      </c>
      <c r="Y10" t="str">
        <f t="shared" si="5"/>
        <v>OK</v>
      </c>
      <c r="Z10" t="str">
        <f t="shared" si="6"/>
        <v>OK</v>
      </c>
    </row>
    <row r="11" spans="1:26" ht="18" customHeight="1">
      <c r="A11" s="8" t="s">
        <v>30</v>
      </c>
      <c r="B11" s="8">
        <v>24</v>
      </c>
      <c r="C11" s="7">
        <v>45951</v>
      </c>
      <c r="D11" s="8" t="s">
        <v>31</v>
      </c>
      <c r="E11" s="8" t="s">
        <v>32</v>
      </c>
      <c r="F11" s="8" t="s">
        <v>58</v>
      </c>
      <c r="G11" s="8" t="s">
        <v>59</v>
      </c>
      <c r="H11" s="8" t="s">
        <v>35</v>
      </c>
      <c r="I11" s="9">
        <v>3.5</v>
      </c>
      <c r="J11" s="9">
        <v>0.76</v>
      </c>
      <c r="K11" s="9">
        <v>0.5</v>
      </c>
      <c r="L11" s="9">
        <v>0</v>
      </c>
      <c r="M11" s="8"/>
      <c r="N11" s="9">
        <v>0</v>
      </c>
      <c r="O11" s="8"/>
      <c r="P11" s="9">
        <v>0</v>
      </c>
      <c r="Q11" s="8"/>
      <c r="R11" s="6" t="s">
        <v>57</v>
      </c>
      <c r="S11" t="str">
        <f t="shared" si="0"/>
        <v>JC-KG01-L24-20251021-AM-ORD-2025-00124-ORD-2025-00125</v>
      </c>
      <c r="T11">
        <f t="shared" si="1"/>
        <v>4.76</v>
      </c>
      <c r="U11">
        <f>IF(S11="","",SUMIF(JobChangeImpact!$B$5:$B$100,S11,JobChangeImpact!$Q$5:$Q$100))</f>
        <v>4.76</v>
      </c>
      <c r="V11" t="str">
        <f t="shared" si="2"/>
        <v>OK</v>
      </c>
      <c r="W11" t="str">
        <f t="shared" si="3"/>
        <v>OK</v>
      </c>
      <c r="X11" t="str">
        <f t="shared" si="4"/>
        <v>OK</v>
      </c>
      <c r="Y11" t="str">
        <f t="shared" si="5"/>
        <v>OK</v>
      </c>
      <c r="Z11" t="str">
        <f t="shared" si="6"/>
        <v>OK</v>
      </c>
    </row>
    <row r="12" spans="1:26" ht="18" customHeight="1">
      <c r="A12" s="8" t="s">
        <v>30</v>
      </c>
      <c r="B12" s="8">
        <v>24</v>
      </c>
      <c r="C12" s="7">
        <v>45955</v>
      </c>
      <c r="D12" s="8" t="s">
        <v>31</v>
      </c>
      <c r="E12" s="8" t="s">
        <v>37</v>
      </c>
      <c r="F12" s="8" t="s">
        <v>59</v>
      </c>
      <c r="G12" s="8" t="s">
        <v>60</v>
      </c>
      <c r="H12" s="8" t="s">
        <v>61</v>
      </c>
      <c r="I12" s="9">
        <v>1.35</v>
      </c>
      <c r="J12" s="9">
        <v>0.42</v>
      </c>
      <c r="K12" s="9">
        <v>0.42</v>
      </c>
      <c r="L12" s="9">
        <v>0</v>
      </c>
      <c r="M12" s="8"/>
      <c r="N12" s="9">
        <v>0</v>
      </c>
      <c r="O12" s="8"/>
      <c r="P12" s="9">
        <v>0</v>
      </c>
      <c r="Q12" s="8"/>
      <c r="R12" s="6" t="s">
        <v>36</v>
      </c>
      <c r="S12" t="str">
        <f t="shared" si="0"/>
        <v>JC-KG01-L24-20251025-AM-ORD-2025-00125-ORD-2025-00126</v>
      </c>
      <c r="T12">
        <f t="shared" si="1"/>
        <v>2.19</v>
      </c>
      <c r="U12">
        <f>IF(S12="","",SUMIF(JobChangeImpact!$B$5:$B$100,S12,JobChangeImpact!$Q$5:$Q$100))</f>
        <v>2.19</v>
      </c>
      <c r="V12" t="str">
        <f t="shared" si="2"/>
        <v>OK</v>
      </c>
      <c r="W12" t="str">
        <f t="shared" si="3"/>
        <v>OK</v>
      </c>
      <c r="X12" t="str">
        <f t="shared" si="4"/>
        <v>OK</v>
      </c>
      <c r="Y12" t="str">
        <f t="shared" si="5"/>
        <v>OK</v>
      </c>
      <c r="Z12" t="str">
        <f t="shared" si="6"/>
        <v>OK</v>
      </c>
    </row>
    <row r="13" spans="1:26" ht="18" customHeight="1">
      <c r="A13" s="8" t="s">
        <v>30</v>
      </c>
      <c r="B13" s="8">
        <v>25</v>
      </c>
      <c r="C13" s="7">
        <v>45953</v>
      </c>
      <c r="D13" s="8" t="s">
        <v>31</v>
      </c>
      <c r="E13" s="8" t="s">
        <v>41</v>
      </c>
      <c r="F13" s="8" t="s">
        <v>62</v>
      </c>
      <c r="G13" s="8" t="s">
        <v>63</v>
      </c>
      <c r="H13" s="8" t="s">
        <v>35</v>
      </c>
      <c r="I13" s="9">
        <v>2.75</v>
      </c>
      <c r="J13" s="9">
        <v>0.89</v>
      </c>
      <c r="K13" s="9">
        <v>0.49</v>
      </c>
      <c r="L13" s="9">
        <v>0</v>
      </c>
      <c r="M13" s="8"/>
      <c r="N13" s="9">
        <v>0</v>
      </c>
      <c r="O13" s="8"/>
      <c r="P13" s="9">
        <v>0</v>
      </c>
      <c r="Q13" s="8"/>
      <c r="R13" s="6" t="s">
        <v>57</v>
      </c>
      <c r="S13" t="str">
        <f t="shared" si="0"/>
        <v>JC-KG01-L25-20251023-AM-ORD-2025-00161-ORD-2025-00162</v>
      </c>
      <c r="T13">
        <f t="shared" si="1"/>
        <v>4.13</v>
      </c>
      <c r="U13">
        <f>IF(S13="","",SUMIF(JobChangeImpact!$B$5:$B$100,S13,JobChangeImpact!$Q$5:$Q$100))</f>
        <v>4.13</v>
      </c>
      <c r="V13" t="str">
        <f t="shared" si="2"/>
        <v>OK</v>
      </c>
      <c r="W13" t="str">
        <f t="shared" si="3"/>
        <v>OK</v>
      </c>
      <c r="X13" t="str">
        <f t="shared" si="4"/>
        <v>OK</v>
      </c>
      <c r="Y13" t="str">
        <f t="shared" si="5"/>
        <v>OK</v>
      </c>
      <c r="Z13" t="str">
        <f t="shared" si="6"/>
        <v>OK</v>
      </c>
    </row>
    <row r="14" spans="1:26" ht="18" customHeight="1">
      <c r="S14" t="str">
        <f t="shared" si="0"/>
        <v/>
      </c>
      <c r="T14" t="str">
        <f t="shared" si="1"/>
        <v/>
      </c>
      <c r="U14" t="str">
        <f>IF(S14="","",SUMIF(JobChangeImpact!$B$5:$B$100,S14,JobChangeImpact!$Q$5:$Q$100))</f>
        <v/>
      </c>
      <c r="V14" t="str">
        <f t="shared" si="2"/>
        <v/>
      </c>
      <c r="W14" t="str">
        <f t="shared" si="3"/>
        <v/>
      </c>
      <c r="X14" t="str">
        <f t="shared" si="4"/>
        <v/>
      </c>
      <c r="Y14" t="str">
        <f t="shared" si="5"/>
        <v/>
      </c>
      <c r="Z14" t="str">
        <f t="shared" si="6"/>
        <v/>
      </c>
    </row>
    <row r="15" spans="1:26" ht="18" customHeight="1">
      <c r="S15" t="str">
        <f t="shared" si="0"/>
        <v/>
      </c>
      <c r="T15" t="str">
        <f t="shared" si="1"/>
        <v/>
      </c>
      <c r="U15" t="str">
        <f>IF(S15="","",SUMIF(JobChangeImpact!$B$5:$B$100,S15,JobChangeImpact!$Q$5:$Q$100))</f>
        <v/>
      </c>
      <c r="V15" t="str">
        <f t="shared" si="2"/>
        <v/>
      </c>
      <c r="W15" t="str">
        <f t="shared" si="3"/>
        <v/>
      </c>
      <c r="X15" t="str">
        <f t="shared" si="4"/>
        <v/>
      </c>
      <c r="Y15" t="str">
        <f t="shared" si="5"/>
        <v/>
      </c>
      <c r="Z15" t="str">
        <f t="shared" si="6"/>
        <v/>
      </c>
    </row>
    <row r="16" spans="1:26" ht="18" customHeight="1">
      <c r="S16" t="str">
        <f t="shared" si="0"/>
        <v/>
      </c>
      <c r="T16" t="str">
        <f t="shared" si="1"/>
        <v/>
      </c>
      <c r="U16" t="str">
        <f>IF(S16="","",SUMIF(JobChangeImpact!$B$5:$B$100,S16,JobChangeImpact!$Q$5:$Q$100))</f>
        <v/>
      </c>
      <c r="V16" t="str">
        <f t="shared" si="2"/>
        <v/>
      </c>
      <c r="W16" t="str">
        <f t="shared" si="3"/>
        <v/>
      </c>
      <c r="X16" t="str">
        <f t="shared" si="4"/>
        <v/>
      </c>
      <c r="Y16" t="str">
        <f t="shared" si="5"/>
        <v/>
      </c>
      <c r="Z16" t="str">
        <f t="shared" si="6"/>
        <v/>
      </c>
    </row>
    <row r="17" spans="19:26" ht="18" customHeight="1">
      <c r="S17" t="str">
        <f t="shared" si="0"/>
        <v/>
      </c>
      <c r="T17" t="str">
        <f t="shared" si="1"/>
        <v/>
      </c>
      <c r="U17" t="str">
        <f>IF(S17="","",SUMIF(JobChangeImpact!$B$5:$B$100,S17,JobChangeImpact!$Q$5:$Q$100))</f>
        <v/>
      </c>
      <c r="V17" t="str">
        <f t="shared" si="2"/>
        <v/>
      </c>
      <c r="W17" t="str">
        <f t="shared" si="3"/>
        <v/>
      </c>
      <c r="X17" t="str">
        <f t="shared" si="4"/>
        <v/>
      </c>
      <c r="Y17" t="str">
        <f t="shared" si="5"/>
        <v/>
      </c>
      <c r="Z17" t="str">
        <f t="shared" si="6"/>
        <v/>
      </c>
    </row>
    <row r="18" spans="19:26" ht="18" customHeight="1">
      <c r="S18" t="str">
        <f t="shared" si="0"/>
        <v/>
      </c>
      <c r="T18" t="str">
        <f t="shared" si="1"/>
        <v/>
      </c>
      <c r="U18" t="str">
        <f>IF(S18="","",SUMIF(JobChangeImpact!$B$5:$B$100,S18,JobChangeImpact!$Q$5:$Q$100))</f>
        <v/>
      </c>
      <c r="V18" t="str">
        <f t="shared" si="2"/>
        <v/>
      </c>
      <c r="W18" t="str">
        <f t="shared" si="3"/>
        <v/>
      </c>
      <c r="X18" t="str">
        <f t="shared" si="4"/>
        <v/>
      </c>
      <c r="Y18" t="str">
        <f t="shared" si="5"/>
        <v/>
      </c>
      <c r="Z18" t="str">
        <f t="shared" si="6"/>
        <v/>
      </c>
    </row>
    <row r="19" spans="19:26" ht="18" customHeight="1">
      <c r="S19" t="str">
        <f t="shared" si="0"/>
        <v/>
      </c>
      <c r="T19" t="str">
        <f t="shared" si="1"/>
        <v/>
      </c>
      <c r="U19" t="str">
        <f>IF(S19="","",SUMIF(JobChangeImpact!$B$5:$B$100,S19,JobChangeImpact!$Q$5:$Q$100))</f>
        <v/>
      </c>
      <c r="V19" t="str">
        <f t="shared" si="2"/>
        <v/>
      </c>
      <c r="W19" t="str">
        <f t="shared" si="3"/>
        <v/>
      </c>
      <c r="X19" t="str">
        <f t="shared" si="4"/>
        <v/>
      </c>
      <c r="Y19" t="str">
        <f t="shared" si="5"/>
        <v/>
      </c>
      <c r="Z19" t="str">
        <f t="shared" si="6"/>
        <v/>
      </c>
    </row>
    <row r="20" spans="19:26" ht="18" customHeight="1">
      <c r="S20" t="str">
        <f t="shared" si="0"/>
        <v/>
      </c>
      <c r="T20" t="str">
        <f t="shared" si="1"/>
        <v/>
      </c>
      <c r="U20" t="str">
        <f>IF(S20="","",SUMIF(JobChangeImpact!$B$5:$B$100,S20,JobChangeImpact!$Q$5:$Q$100))</f>
        <v/>
      </c>
      <c r="V20" t="str">
        <f t="shared" si="2"/>
        <v/>
      </c>
      <c r="W20" t="str">
        <f t="shared" si="3"/>
        <v/>
      </c>
      <c r="X20" t="str">
        <f t="shared" si="4"/>
        <v/>
      </c>
      <c r="Y20" t="str">
        <f t="shared" si="5"/>
        <v/>
      </c>
      <c r="Z20" t="str">
        <f t="shared" si="6"/>
        <v/>
      </c>
    </row>
    <row r="21" spans="19:26" ht="18" customHeight="1">
      <c r="S21" t="str">
        <f t="shared" si="0"/>
        <v/>
      </c>
      <c r="T21" t="str">
        <f t="shared" si="1"/>
        <v/>
      </c>
      <c r="U21" t="str">
        <f>IF(S21="","",SUMIF(JobChangeImpact!$B$5:$B$100,S21,JobChangeImpact!$Q$5:$Q$100))</f>
        <v/>
      </c>
      <c r="V21" t="str">
        <f t="shared" si="2"/>
        <v/>
      </c>
      <c r="W21" t="str">
        <f t="shared" si="3"/>
        <v/>
      </c>
      <c r="X21" t="str">
        <f t="shared" si="4"/>
        <v/>
      </c>
      <c r="Y21" t="str">
        <f t="shared" si="5"/>
        <v/>
      </c>
      <c r="Z21" t="str">
        <f t="shared" si="6"/>
        <v/>
      </c>
    </row>
    <row r="22" spans="19:26" ht="18" customHeight="1">
      <c r="S22" t="str">
        <f t="shared" si="0"/>
        <v/>
      </c>
      <c r="T22" t="str">
        <f t="shared" si="1"/>
        <v/>
      </c>
      <c r="U22" t="str">
        <f>IF(S22="","",SUMIF(JobChangeImpact!$B$5:$B$100,S22,JobChangeImpact!$Q$5:$Q$100))</f>
        <v/>
      </c>
      <c r="V22" t="str">
        <f t="shared" si="2"/>
        <v/>
      </c>
      <c r="W22" t="str">
        <f t="shared" si="3"/>
        <v/>
      </c>
      <c r="X22" t="str">
        <f t="shared" si="4"/>
        <v/>
      </c>
      <c r="Y22" t="str">
        <f t="shared" si="5"/>
        <v/>
      </c>
      <c r="Z22" t="str">
        <f t="shared" si="6"/>
        <v/>
      </c>
    </row>
    <row r="23" spans="19:26" ht="18" customHeight="1">
      <c r="S23" t="str">
        <f t="shared" si="0"/>
        <v/>
      </c>
      <c r="T23" t="str">
        <f t="shared" si="1"/>
        <v/>
      </c>
      <c r="U23" t="str">
        <f>IF(S23="","",SUMIF(JobChangeImpact!$B$5:$B$100,S23,JobChangeImpact!$Q$5:$Q$100))</f>
        <v/>
      </c>
      <c r="V23" t="str">
        <f t="shared" si="2"/>
        <v/>
      </c>
      <c r="W23" t="str">
        <f t="shared" si="3"/>
        <v/>
      </c>
      <c r="X23" t="str">
        <f t="shared" si="4"/>
        <v/>
      </c>
      <c r="Y23" t="str">
        <f t="shared" si="5"/>
        <v/>
      </c>
      <c r="Z23" t="str">
        <f t="shared" si="6"/>
        <v/>
      </c>
    </row>
    <row r="24" spans="19:26" ht="18" customHeight="1">
      <c r="S24" t="str">
        <f t="shared" si="0"/>
        <v/>
      </c>
      <c r="T24" t="str">
        <f t="shared" si="1"/>
        <v/>
      </c>
      <c r="U24" t="str">
        <f>IF(S24="","",SUMIF(JobChangeImpact!$B$5:$B$100,S24,JobChangeImpact!$Q$5:$Q$100))</f>
        <v/>
      </c>
      <c r="V24" t="str">
        <f t="shared" si="2"/>
        <v/>
      </c>
      <c r="W24" t="str">
        <f t="shared" si="3"/>
        <v/>
      </c>
      <c r="X24" t="str">
        <f t="shared" si="4"/>
        <v/>
      </c>
      <c r="Y24" t="str">
        <f t="shared" si="5"/>
        <v/>
      </c>
      <c r="Z24" t="str">
        <f t="shared" si="6"/>
        <v/>
      </c>
    </row>
    <row r="25" spans="19:26" ht="18" customHeight="1">
      <c r="S25" t="str">
        <f t="shared" si="0"/>
        <v/>
      </c>
      <c r="T25" t="str">
        <f t="shared" si="1"/>
        <v/>
      </c>
      <c r="U25" t="str">
        <f>IF(S25="","",SUMIF(JobChangeImpact!$B$5:$B$100,S25,JobChangeImpact!$Q$5:$Q$100))</f>
        <v/>
      </c>
      <c r="V25" t="str">
        <f t="shared" si="2"/>
        <v/>
      </c>
      <c r="W25" t="str">
        <f t="shared" si="3"/>
        <v/>
      </c>
      <c r="X25" t="str">
        <f t="shared" si="4"/>
        <v/>
      </c>
      <c r="Y25" t="str">
        <f t="shared" si="5"/>
        <v/>
      </c>
      <c r="Z25" t="str">
        <f t="shared" si="6"/>
        <v/>
      </c>
    </row>
    <row r="26" spans="19:26" ht="18" customHeight="1">
      <c r="S26" t="str">
        <f t="shared" si="0"/>
        <v/>
      </c>
      <c r="T26" t="str">
        <f t="shared" si="1"/>
        <v/>
      </c>
      <c r="U26" t="str">
        <f>IF(S26="","",SUMIF(JobChangeImpact!$B$5:$B$100,S26,JobChangeImpact!$Q$5:$Q$100))</f>
        <v/>
      </c>
      <c r="V26" t="str">
        <f t="shared" si="2"/>
        <v/>
      </c>
      <c r="W26" t="str">
        <f t="shared" si="3"/>
        <v/>
      </c>
      <c r="X26" t="str">
        <f t="shared" si="4"/>
        <v/>
      </c>
      <c r="Y26" t="str">
        <f t="shared" si="5"/>
        <v/>
      </c>
      <c r="Z26" t="str">
        <f t="shared" si="6"/>
        <v/>
      </c>
    </row>
    <row r="27" spans="19:26" ht="18" customHeight="1">
      <c r="S27" t="str">
        <f t="shared" si="0"/>
        <v/>
      </c>
      <c r="T27" t="str">
        <f t="shared" si="1"/>
        <v/>
      </c>
      <c r="U27" t="str">
        <f>IF(S27="","",SUMIF(JobChangeImpact!$B$5:$B$100,S27,JobChangeImpact!$Q$5:$Q$100))</f>
        <v/>
      </c>
      <c r="V27" t="str">
        <f t="shared" si="2"/>
        <v/>
      </c>
      <c r="W27" t="str">
        <f t="shared" si="3"/>
        <v/>
      </c>
      <c r="X27" t="str">
        <f t="shared" si="4"/>
        <v/>
      </c>
      <c r="Y27" t="str">
        <f t="shared" si="5"/>
        <v/>
      </c>
      <c r="Z27" t="str">
        <f t="shared" si="6"/>
        <v/>
      </c>
    </row>
    <row r="28" spans="19:26" ht="18" customHeight="1">
      <c r="S28" t="str">
        <f t="shared" si="0"/>
        <v/>
      </c>
      <c r="T28" t="str">
        <f t="shared" si="1"/>
        <v/>
      </c>
      <c r="U28" t="str">
        <f>IF(S28="","",SUMIF(JobChangeImpact!$B$5:$B$100,S28,JobChangeImpact!$Q$5:$Q$100))</f>
        <v/>
      </c>
      <c r="V28" t="str">
        <f t="shared" si="2"/>
        <v/>
      </c>
      <c r="W28" t="str">
        <f t="shared" si="3"/>
        <v/>
      </c>
      <c r="X28" t="str">
        <f t="shared" si="4"/>
        <v/>
      </c>
      <c r="Y28" t="str">
        <f t="shared" si="5"/>
        <v/>
      </c>
      <c r="Z28" t="str">
        <f t="shared" si="6"/>
        <v/>
      </c>
    </row>
    <row r="29" spans="19:26" ht="18" customHeight="1">
      <c r="S29" t="str">
        <f t="shared" si="0"/>
        <v/>
      </c>
      <c r="T29" t="str">
        <f t="shared" si="1"/>
        <v/>
      </c>
      <c r="U29" t="str">
        <f>IF(S29="","",SUMIF(JobChangeImpact!$B$5:$B$100,S29,JobChangeImpact!$Q$5:$Q$100))</f>
        <v/>
      </c>
      <c r="V29" t="str">
        <f t="shared" si="2"/>
        <v/>
      </c>
      <c r="W29" t="str">
        <f t="shared" si="3"/>
        <v/>
      </c>
      <c r="X29" t="str">
        <f t="shared" si="4"/>
        <v/>
      </c>
      <c r="Y29" t="str">
        <f t="shared" si="5"/>
        <v/>
      </c>
      <c r="Z29" t="str">
        <f t="shared" si="6"/>
        <v/>
      </c>
    </row>
    <row r="30" spans="19:26" ht="18" customHeight="1">
      <c r="S30" t="str">
        <f t="shared" si="0"/>
        <v/>
      </c>
      <c r="T30" t="str">
        <f t="shared" si="1"/>
        <v/>
      </c>
      <c r="U30" t="str">
        <f>IF(S30="","",SUMIF(JobChangeImpact!$B$5:$B$100,S30,JobChangeImpact!$Q$5:$Q$100))</f>
        <v/>
      </c>
      <c r="V30" t="str">
        <f t="shared" si="2"/>
        <v/>
      </c>
      <c r="W30" t="str">
        <f t="shared" si="3"/>
        <v/>
      </c>
      <c r="X30" t="str">
        <f t="shared" si="4"/>
        <v/>
      </c>
      <c r="Y30" t="str">
        <f t="shared" si="5"/>
        <v/>
      </c>
      <c r="Z30" t="str">
        <f t="shared" si="6"/>
        <v/>
      </c>
    </row>
    <row r="31" spans="19:26" ht="18" customHeight="1">
      <c r="S31" t="str">
        <f t="shared" si="0"/>
        <v/>
      </c>
      <c r="T31" t="str">
        <f t="shared" si="1"/>
        <v/>
      </c>
      <c r="U31" t="str">
        <f>IF(S31="","",SUMIF(JobChangeImpact!$B$5:$B$100,S31,JobChangeImpact!$Q$5:$Q$100))</f>
        <v/>
      </c>
      <c r="V31" t="str">
        <f t="shared" si="2"/>
        <v/>
      </c>
      <c r="W31" t="str">
        <f t="shared" si="3"/>
        <v/>
      </c>
      <c r="X31" t="str">
        <f t="shared" si="4"/>
        <v/>
      </c>
      <c r="Y31" t="str">
        <f t="shared" si="5"/>
        <v/>
      </c>
      <c r="Z31" t="str">
        <f t="shared" si="6"/>
        <v/>
      </c>
    </row>
    <row r="32" spans="19:26" ht="18" customHeight="1">
      <c r="S32" t="str">
        <f t="shared" si="0"/>
        <v/>
      </c>
      <c r="T32" t="str">
        <f t="shared" si="1"/>
        <v/>
      </c>
      <c r="U32" t="str">
        <f>IF(S32="","",SUMIF(JobChangeImpact!$B$5:$B$100,S32,JobChangeImpact!$Q$5:$Q$100))</f>
        <v/>
      </c>
      <c r="V32" t="str">
        <f t="shared" si="2"/>
        <v/>
      </c>
      <c r="W32" t="str">
        <f t="shared" si="3"/>
        <v/>
      </c>
      <c r="X32" t="str">
        <f t="shared" si="4"/>
        <v/>
      </c>
      <c r="Y32" t="str">
        <f t="shared" si="5"/>
        <v/>
      </c>
      <c r="Z32" t="str">
        <f t="shared" si="6"/>
        <v/>
      </c>
    </row>
    <row r="33" spans="19:26" ht="18" customHeight="1">
      <c r="S33" t="str">
        <f t="shared" si="0"/>
        <v/>
      </c>
      <c r="T33" t="str">
        <f t="shared" si="1"/>
        <v/>
      </c>
      <c r="U33" t="str">
        <f>IF(S33="","",SUMIF(JobChangeImpact!$B$5:$B$100,S33,JobChangeImpact!$Q$5:$Q$100))</f>
        <v/>
      </c>
      <c r="V33" t="str">
        <f t="shared" si="2"/>
        <v/>
      </c>
      <c r="W33" t="str">
        <f t="shared" si="3"/>
        <v/>
      </c>
      <c r="X33" t="str">
        <f t="shared" si="4"/>
        <v/>
      </c>
      <c r="Y33" t="str">
        <f t="shared" si="5"/>
        <v/>
      </c>
      <c r="Z33" t="str">
        <f t="shared" si="6"/>
        <v/>
      </c>
    </row>
    <row r="34" spans="19:26" ht="18" customHeight="1">
      <c r="S34" t="str">
        <f t="shared" si="0"/>
        <v/>
      </c>
      <c r="T34" t="str">
        <f t="shared" si="1"/>
        <v/>
      </c>
      <c r="U34" t="str">
        <f>IF(S34="","",SUMIF(JobChangeImpact!$B$5:$B$100,S34,JobChangeImpact!$Q$5:$Q$100))</f>
        <v/>
      </c>
      <c r="V34" t="str">
        <f t="shared" si="2"/>
        <v/>
      </c>
      <c r="W34" t="str">
        <f t="shared" si="3"/>
        <v/>
      </c>
      <c r="X34" t="str">
        <f t="shared" si="4"/>
        <v/>
      </c>
      <c r="Y34" t="str">
        <f t="shared" si="5"/>
        <v/>
      </c>
      <c r="Z34" t="str">
        <f t="shared" si="6"/>
        <v/>
      </c>
    </row>
    <row r="35" spans="19:26" ht="18" customHeight="1">
      <c r="S35" t="str">
        <f t="shared" si="0"/>
        <v/>
      </c>
      <c r="T35" t="str">
        <f t="shared" si="1"/>
        <v/>
      </c>
      <c r="U35" t="str">
        <f>IF(S35="","",SUMIF(JobChangeImpact!$B$5:$B$100,S35,JobChangeImpact!$Q$5:$Q$100))</f>
        <v/>
      </c>
      <c r="V35" t="str">
        <f t="shared" si="2"/>
        <v/>
      </c>
      <c r="W35" t="str">
        <f t="shared" si="3"/>
        <v/>
      </c>
      <c r="X35" t="str">
        <f t="shared" si="4"/>
        <v/>
      </c>
      <c r="Y35" t="str">
        <f t="shared" si="5"/>
        <v/>
      </c>
      <c r="Z35" t="str">
        <f t="shared" si="6"/>
        <v/>
      </c>
    </row>
    <row r="36" spans="19:26" ht="18" customHeight="1">
      <c r="S36" t="str">
        <f t="shared" si="0"/>
        <v/>
      </c>
      <c r="T36" t="str">
        <f t="shared" si="1"/>
        <v/>
      </c>
      <c r="U36" t="str">
        <f>IF(S36="","",SUMIF(JobChangeImpact!$B$5:$B$100,S36,JobChangeImpact!$Q$5:$Q$100))</f>
        <v/>
      </c>
      <c r="V36" t="str">
        <f t="shared" si="2"/>
        <v/>
      </c>
      <c r="W36" t="str">
        <f t="shared" si="3"/>
        <v/>
      </c>
      <c r="X36" t="str">
        <f t="shared" si="4"/>
        <v/>
      </c>
      <c r="Y36" t="str">
        <f t="shared" si="5"/>
        <v/>
      </c>
      <c r="Z36" t="str">
        <f t="shared" si="6"/>
        <v/>
      </c>
    </row>
    <row r="37" spans="19:26" ht="18" customHeight="1">
      <c r="S37" t="str">
        <f t="shared" ref="S37:S68" si="7">IF(A37="","", "JC-"&amp;A37&amp;"-L"&amp;TEXT(B37,"00")&amp;"-"&amp;TEXT(C37,"yyyymmdd")&amp;"-"&amp;D37&amp;"-"&amp;IF(F37="","START",F37)&amp;"-"&amp;G37)</f>
        <v/>
      </c>
      <c r="T37" t="str">
        <f t="shared" ref="T37:T68" si="8">IF(A37="","",SUM(I37:L37)+N37+P37)</f>
        <v/>
      </c>
      <c r="U37" t="str">
        <f>IF(S37="","",SUMIF(JobChangeImpact!$B$5:$B$100,S37,JobChangeImpact!$Q$5:$Q$100))</f>
        <v/>
      </c>
      <c r="V37" t="str">
        <f t="shared" ref="V37:V68" si="9">IF(A37="","",IF(ABS(T37-U37)&lt;=0.001,"OK","CHECK"))</f>
        <v/>
      </c>
      <c r="W37" t="str">
        <f t="shared" ref="W37:W68" si="10">IF(A37="","",IF(AND(IF(L37&gt;0,M37&lt;&gt;"",M37=""),IF(N37&gt;0,O37&lt;&gt;"",O37=""),IF(P37&gt;0,Q37&lt;&gt;"",Q37="")),"OK","CHECK"))</f>
        <v/>
      </c>
      <c r="X37" t="str">
        <f t="shared" ref="X37:X68" si="11">IF(A37="","",IF(OR(G37="",AND(F37&lt;&gt;"",F37=G37)),"CHECK","OK"))</f>
        <v/>
      </c>
      <c r="Y37" t="str">
        <f t="shared" ref="Y37:Y68" si="12">IF(S37="","",IF(COUNTIF($S$5:$S$100,S37)=1,"OK","CHECK"))</f>
        <v/>
      </c>
      <c r="Z37" t="str">
        <f t="shared" ref="Z37:Z68" si="13">IF(A37="","",IF(AND(V37="OK",W37="OK",X37="OK",Y37="OK",T37&gt;0),"OK","CHECK"))</f>
        <v/>
      </c>
    </row>
    <row r="38" spans="19:26" ht="18" customHeight="1">
      <c r="S38" t="str">
        <f t="shared" si="7"/>
        <v/>
      </c>
      <c r="T38" t="str">
        <f t="shared" si="8"/>
        <v/>
      </c>
      <c r="U38" t="str">
        <f>IF(S38="","",SUMIF(JobChangeImpact!$B$5:$B$100,S38,JobChangeImpact!$Q$5:$Q$100))</f>
        <v/>
      </c>
      <c r="V38" t="str">
        <f t="shared" si="9"/>
        <v/>
      </c>
      <c r="W38" t="str">
        <f t="shared" si="10"/>
        <v/>
      </c>
      <c r="X38" t="str">
        <f t="shared" si="11"/>
        <v/>
      </c>
      <c r="Y38" t="str">
        <f t="shared" si="12"/>
        <v/>
      </c>
      <c r="Z38" t="str">
        <f t="shared" si="13"/>
        <v/>
      </c>
    </row>
    <row r="39" spans="19:26" ht="18" customHeight="1">
      <c r="S39" t="str">
        <f t="shared" si="7"/>
        <v/>
      </c>
      <c r="T39" t="str">
        <f t="shared" si="8"/>
        <v/>
      </c>
      <c r="U39" t="str">
        <f>IF(S39="","",SUMIF(JobChangeImpact!$B$5:$B$100,S39,JobChangeImpact!$Q$5:$Q$100))</f>
        <v/>
      </c>
      <c r="V39" t="str">
        <f t="shared" si="9"/>
        <v/>
      </c>
      <c r="W39" t="str">
        <f t="shared" si="10"/>
        <v/>
      </c>
      <c r="X39" t="str">
        <f t="shared" si="11"/>
        <v/>
      </c>
      <c r="Y39" t="str">
        <f t="shared" si="12"/>
        <v/>
      </c>
      <c r="Z39" t="str">
        <f t="shared" si="13"/>
        <v/>
      </c>
    </row>
    <row r="40" spans="19:26" ht="18" customHeight="1">
      <c r="S40" t="str">
        <f t="shared" si="7"/>
        <v/>
      </c>
      <c r="T40" t="str">
        <f t="shared" si="8"/>
        <v/>
      </c>
      <c r="U40" t="str">
        <f>IF(S40="","",SUMIF(JobChangeImpact!$B$5:$B$100,S40,JobChangeImpact!$Q$5:$Q$100))</f>
        <v/>
      </c>
      <c r="V40" t="str">
        <f t="shared" si="9"/>
        <v/>
      </c>
      <c r="W40" t="str">
        <f t="shared" si="10"/>
        <v/>
      </c>
      <c r="X40" t="str">
        <f t="shared" si="11"/>
        <v/>
      </c>
      <c r="Y40" t="str">
        <f t="shared" si="12"/>
        <v/>
      </c>
      <c r="Z40" t="str">
        <f t="shared" si="13"/>
        <v/>
      </c>
    </row>
    <row r="41" spans="19:26" ht="18" customHeight="1">
      <c r="S41" t="str">
        <f t="shared" si="7"/>
        <v/>
      </c>
      <c r="T41" t="str">
        <f t="shared" si="8"/>
        <v/>
      </c>
      <c r="U41" t="str">
        <f>IF(S41="","",SUMIF(JobChangeImpact!$B$5:$B$100,S41,JobChangeImpact!$Q$5:$Q$100))</f>
        <v/>
      </c>
      <c r="V41" t="str">
        <f t="shared" si="9"/>
        <v/>
      </c>
      <c r="W41" t="str">
        <f t="shared" si="10"/>
        <v/>
      </c>
      <c r="X41" t="str">
        <f t="shared" si="11"/>
        <v/>
      </c>
      <c r="Y41" t="str">
        <f t="shared" si="12"/>
        <v/>
      </c>
      <c r="Z41" t="str">
        <f t="shared" si="13"/>
        <v/>
      </c>
    </row>
    <row r="42" spans="19:26" ht="18" customHeight="1">
      <c r="S42" t="str">
        <f t="shared" si="7"/>
        <v/>
      </c>
      <c r="T42" t="str">
        <f t="shared" si="8"/>
        <v/>
      </c>
      <c r="U42" t="str">
        <f>IF(S42="","",SUMIF(JobChangeImpact!$B$5:$B$100,S42,JobChangeImpact!$Q$5:$Q$100))</f>
        <v/>
      </c>
      <c r="V42" t="str">
        <f t="shared" si="9"/>
        <v/>
      </c>
      <c r="W42" t="str">
        <f t="shared" si="10"/>
        <v/>
      </c>
      <c r="X42" t="str">
        <f t="shared" si="11"/>
        <v/>
      </c>
      <c r="Y42" t="str">
        <f t="shared" si="12"/>
        <v/>
      </c>
      <c r="Z42" t="str">
        <f t="shared" si="13"/>
        <v/>
      </c>
    </row>
    <row r="43" spans="19:26" ht="18" customHeight="1">
      <c r="S43" t="str">
        <f t="shared" si="7"/>
        <v/>
      </c>
      <c r="T43" t="str">
        <f t="shared" si="8"/>
        <v/>
      </c>
      <c r="U43" t="str">
        <f>IF(S43="","",SUMIF(JobChangeImpact!$B$5:$B$100,S43,JobChangeImpact!$Q$5:$Q$100))</f>
        <v/>
      </c>
      <c r="V43" t="str">
        <f t="shared" si="9"/>
        <v/>
      </c>
      <c r="W43" t="str">
        <f t="shared" si="10"/>
        <v/>
      </c>
      <c r="X43" t="str">
        <f t="shared" si="11"/>
        <v/>
      </c>
      <c r="Y43" t="str">
        <f t="shared" si="12"/>
        <v/>
      </c>
      <c r="Z43" t="str">
        <f t="shared" si="13"/>
        <v/>
      </c>
    </row>
    <row r="44" spans="19:26" ht="18" customHeight="1">
      <c r="S44" t="str">
        <f t="shared" si="7"/>
        <v/>
      </c>
      <c r="T44" t="str">
        <f t="shared" si="8"/>
        <v/>
      </c>
      <c r="U44" t="str">
        <f>IF(S44="","",SUMIF(JobChangeImpact!$B$5:$B$100,S44,JobChangeImpact!$Q$5:$Q$100))</f>
        <v/>
      </c>
      <c r="V44" t="str">
        <f t="shared" si="9"/>
        <v/>
      </c>
      <c r="W44" t="str">
        <f t="shared" si="10"/>
        <v/>
      </c>
      <c r="X44" t="str">
        <f t="shared" si="11"/>
        <v/>
      </c>
      <c r="Y44" t="str">
        <f t="shared" si="12"/>
        <v/>
      </c>
      <c r="Z44" t="str">
        <f t="shared" si="13"/>
        <v/>
      </c>
    </row>
    <row r="45" spans="19:26" ht="18" customHeight="1">
      <c r="S45" t="str">
        <f t="shared" si="7"/>
        <v/>
      </c>
      <c r="T45" t="str">
        <f t="shared" si="8"/>
        <v/>
      </c>
      <c r="U45" t="str">
        <f>IF(S45="","",SUMIF(JobChangeImpact!$B$5:$B$100,S45,JobChangeImpact!$Q$5:$Q$100))</f>
        <v/>
      </c>
      <c r="V45" t="str">
        <f t="shared" si="9"/>
        <v/>
      </c>
      <c r="W45" t="str">
        <f t="shared" si="10"/>
        <v/>
      </c>
      <c r="X45" t="str">
        <f t="shared" si="11"/>
        <v/>
      </c>
      <c r="Y45" t="str">
        <f t="shared" si="12"/>
        <v/>
      </c>
      <c r="Z45" t="str">
        <f t="shared" si="13"/>
        <v/>
      </c>
    </row>
    <row r="46" spans="19:26" ht="18" customHeight="1">
      <c r="S46" t="str">
        <f t="shared" si="7"/>
        <v/>
      </c>
      <c r="T46" t="str">
        <f t="shared" si="8"/>
        <v/>
      </c>
      <c r="U46" t="str">
        <f>IF(S46="","",SUMIF(JobChangeImpact!$B$5:$B$100,S46,JobChangeImpact!$Q$5:$Q$100))</f>
        <v/>
      </c>
      <c r="V46" t="str">
        <f t="shared" si="9"/>
        <v/>
      </c>
      <c r="W46" t="str">
        <f t="shared" si="10"/>
        <v/>
      </c>
      <c r="X46" t="str">
        <f t="shared" si="11"/>
        <v/>
      </c>
      <c r="Y46" t="str">
        <f t="shared" si="12"/>
        <v/>
      </c>
      <c r="Z46" t="str">
        <f t="shared" si="13"/>
        <v/>
      </c>
    </row>
    <row r="47" spans="19:26" ht="18" customHeight="1">
      <c r="S47" t="str">
        <f t="shared" si="7"/>
        <v/>
      </c>
      <c r="T47" t="str">
        <f t="shared" si="8"/>
        <v/>
      </c>
      <c r="U47" t="str">
        <f>IF(S47="","",SUMIF(JobChangeImpact!$B$5:$B$100,S47,JobChangeImpact!$Q$5:$Q$100))</f>
        <v/>
      </c>
      <c r="V47" t="str">
        <f t="shared" si="9"/>
        <v/>
      </c>
      <c r="W47" t="str">
        <f t="shared" si="10"/>
        <v/>
      </c>
      <c r="X47" t="str">
        <f t="shared" si="11"/>
        <v/>
      </c>
      <c r="Y47" t="str">
        <f t="shared" si="12"/>
        <v/>
      </c>
      <c r="Z47" t="str">
        <f t="shared" si="13"/>
        <v/>
      </c>
    </row>
    <row r="48" spans="19:26" ht="18" customHeight="1">
      <c r="S48" t="str">
        <f t="shared" si="7"/>
        <v/>
      </c>
      <c r="T48" t="str">
        <f t="shared" si="8"/>
        <v/>
      </c>
      <c r="U48" t="str">
        <f>IF(S48="","",SUMIF(JobChangeImpact!$B$5:$B$100,S48,JobChangeImpact!$Q$5:$Q$100))</f>
        <v/>
      </c>
      <c r="V48" t="str">
        <f t="shared" si="9"/>
        <v/>
      </c>
      <c r="W48" t="str">
        <f t="shared" si="10"/>
        <v/>
      </c>
      <c r="X48" t="str">
        <f t="shared" si="11"/>
        <v/>
      </c>
      <c r="Y48" t="str">
        <f t="shared" si="12"/>
        <v/>
      </c>
      <c r="Z48" t="str">
        <f t="shared" si="13"/>
        <v/>
      </c>
    </row>
    <row r="49" spans="19:26" ht="18" customHeight="1">
      <c r="S49" t="str">
        <f t="shared" si="7"/>
        <v/>
      </c>
      <c r="T49" t="str">
        <f t="shared" si="8"/>
        <v/>
      </c>
      <c r="U49" t="str">
        <f>IF(S49="","",SUMIF(JobChangeImpact!$B$5:$B$100,S49,JobChangeImpact!$Q$5:$Q$100))</f>
        <v/>
      </c>
      <c r="V49" t="str">
        <f t="shared" si="9"/>
        <v/>
      </c>
      <c r="W49" t="str">
        <f t="shared" si="10"/>
        <v/>
      </c>
      <c r="X49" t="str">
        <f t="shared" si="11"/>
        <v/>
      </c>
      <c r="Y49" t="str">
        <f t="shared" si="12"/>
        <v/>
      </c>
      <c r="Z49" t="str">
        <f t="shared" si="13"/>
        <v/>
      </c>
    </row>
    <row r="50" spans="19:26" ht="18" customHeight="1">
      <c r="S50" t="str">
        <f t="shared" si="7"/>
        <v/>
      </c>
      <c r="T50" t="str">
        <f t="shared" si="8"/>
        <v/>
      </c>
      <c r="U50" t="str">
        <f>IF(S50="","",SUMIF(JobChangeImpact!$B$5:$B$100,S50,JobChangeImpact!$Q$5:$Q$100))</f>
        <v/>
      </c>
      <c r="V50" t="str">
        <f t="shared" si="9"/>
        <v/>
      </c>
      <c r="W50" t="str">
        <f t="shared" si="10"/>
        <v/>
      </c>
      <c r="X50" t="str">
        <f t="shared" si="11"/>
        <v/>
      </c>
      <c r="Y50" t="str">
        <f t="shared" si="12"/>
        <v/>
      </c>
      <c r="Z50" t="str">
        <f t="shared" si="13"/>
        <v/>
      </c>
    </row>
    <row r="51" spans="19:26" ht="18" customHeight="1">
      <c r="S51" t="str">
        <f t="shared" si="7"/>
        <v/>
      </c>
      <c r="T51" t="str">
        <f t="shared" si="8"/>
        <v/>
      </c>
      <c r="U51" t="str">
        <f>IF(S51="","",SUMIF(JobChangeImpact!$B$5:$B$100,S51,JobChangeImpact!$Q$5:$Q$100))</f>
        <v/>
      </c>
      <c r="V51" t="str">
        <f t="shared" si="9"/>
        <v/>
      </c>
      <c r="W51" t="str">
        <f t="shared" si="10"/>
        <v/>
      </c>
      <c r="X51" t="str">
        <f t="shared" si="11"/>
        <v/>
      </c>
      <c r="Y51" t="str">
        <f t="shared" si="12"/>
        <v/>
      </c>
      <c r="Z51" t="str">
        <f t="shared" si="13"/>
        <v/>
      </c>
    </row>
    <row r="52" spans="19:26" ht="18" customHeight="1">
      <c r="S52" t="str">
        <f t="shared" si="7"/>
        <v/>
      </c>
      <c r="T52" t="str">
        <f t="shared" si="8"/>
        <v/>
      </c>
      <c r="U52" t="str">
        <f>IF(S52="","",SUMIF(JobChangeImpact!$B$5:$B$100,S52,JobChangeImpact!$Q$5:$Q$100))</f>
        <v/>
      </c>
      <c r="V52" t="str">
        <f t="shared" si="9"/>
        <v/>
      </c>
      <c r="W52" t="str">
        <f t="shared" si="10"/>
        <v/>
      </c>
      <c r="X52" t="str">
        <f t="shared" si="11"/>
        <v/>
      </c>
      <c r="Y52" t="str">
        <f t="shared" si="12"/>
        <v/>
      </c>
      <c r="Z52" t="str">
        <f t="shared" si="13"/>
        <v/>
      </c>
    </row>
    <row r="53" spans="19:26" ht="18" customHeight="1">
      <c r="S53" t="str">
        <f t="shared" si="7"/>
        <v/>
      </c>
      <c r="T53" t="str">
        <f t="shared" si="8"/>
        <v/>
      </c>
      <c r="U53" t="str">
        <f>IF(S53="","",SUMIF(JobChangeImpact!$B$5:$B$100,S53,JobChangeImpact!$Q$5:$Q$100))</f>
        <v/>
      </c>
      <c r="V53" t="str">
        <f t="shared" si="9"/>
        <v/>
      </c>
      <c r="W53" t="str">
        <f t="shared" si="10"/>
        <v/>
      </c>
      <c r="X53" t="str">
        <f t="shared" si="11"/>
        <v/>
      </c>
      <c r="Y53" t="str">
        <f t="shared" si="12"/>
        <v/>
      </c>
      <c r="Z53" t="str">
        <f t="shared" si="13"/>
        <v/>
      </c>
    </row>
    <row r="54" spans="19:26" ht="18" customHeight="1">
      <c r="S54" t="str">
        <f t="shared" si="7"/>
        <v/>
      </c>
      <c r="T54" t="str">
        <f t="shared" si="8"/>
        <v/>
      </c>
      <c r="U54" t="str">
        <f>IF(S54="","",SUMIF(JobChangeImpact!$B$5:$B$100,S54,JobChangeImpact!$Q$5:$Q$100))</f>
        <v/>
      </c>
      <c r="V54" t="str">
        <f t="shared" si="9"/>
        <v/>
      </c>
      <c r="W54" t="str">
        <f t="shared" si="10"/>
        <v/>
      </c>
      <c r="X54" t="str">
        <f t="shared" si="11"/>
        <v/>
      </c>
      <c r="Y54" t="str">
        <f t="shared" si="12"/>
        <v/>
      </c>
      <c r="Z54" t="str">
        <f t="shared" si="13"/>
        <v/>
      </c>
    </row>
    <row r="55" spans="19:26" ht="18" customHeight="1">
      <c r="S55" t="str">
        <f t="shared" si="7"/>
        <v/>
      </c>
      <c r="T55" t="str">
        <f t="shared" si="8"/>
        <v/>
      </c>
      <c r="U55" t="str">
        <f>IF(S55="","",SUMIF(JobChangeImpact!$B$5:$B$100,S55,JobChangeImpact!$Q$5:$Q$100))</f>
        <v/>
      </c>
      <c r="V55" t="str">
        <f t="shared" si="9"/>
        <v/>
      </c>
      <c r="W55" t="str">
        <f t="shared" si="10"/>
        <v/>
      </c>
      <c r="X55" t="str">
        <f t="shared" si="11"/>
        <v/>
      </c>
      <c r="Y55" t="str">
        <f t="shared" si="12"/>
        <v/>
      </c>
      <c r="Z55" t="str">
        <f t="shared" si="13"/>
        <v/>
      </c>
    </row>
    <row r="56" spans="19:26" ht="18" customHeight="1">
      <c r="S56" t="str">
        <f t="shared" si="7"/>
        <v/>
      </c>
      <c r="T56" t="str">
        <f t="shared" si="8"/>
        <v/>
      </c>
      <c r="U56" t="str">
        <f>IF(S56="","",SUMIF(JobChangeImpact!$B$5:$B$100,S56,JobChangeImpact!$Q$5:$Q$100))</f>
        <v/>
      </c>
      <c r="V56" t="str">
        <f t="shared" si="9"/>
        <v/>
      </c>
      <c r="W56" t="str">
        <f t="shared" si="10"/>
        <v/>
      </c>
      <c r="X56" t="str">
        <f t="shared" si="11"/>
        <v/>
      </c>
      <c r="Y56" t="str">
        <f t="shared" si="12"/>
        <v/>
      </c>
      <c r="Z56" t="str">
        <f t="shared" si="13"/>
        <v/>
      </c>
    </row>
    <row r="57" spans="19:26" ht="18" customHeight="1">
      <c r="S57" t="str">
        <f t="shared" si="7"/>
        <v/>
      </c>
      <c r="T57" t="str">
        <f t="shared" si="8"/>
        <v/>
      </c>
      <c r="U57" t="str">
        <f>IF(S57="","",SUMIF(JobChangeImpact!$B$5:$B$100,S57,JobChangeImpact!$Q$5:$Q$100))</f>
        <v/>
      </c>
      <c r="V57" t="str">
        <f t="shared" si="9"/>
        <v/>
      </c>
      <c r="W57" t="str">
        <f t="shared" si="10"/>
        <v/>
      </c>
      <c r="X57" t="str">
        <f t="shared" si="11"/>
        <v/>
      </c>
      <c r="Y57" t="str">
        <f t="shared" si="12"/>
        <v/>
      </c>
      <c r="Z57" t="str">
        <f t="shared" si="13"/>
        <v/>
      </c>
    </row>
    <row r="58" spans="19:26" ht="18" customHeight="1">
      <c r="S58" t="str">
        <f t="shared" si="7"/>
        <v/>
      </c>
      <c r="T58" t="str">
        <f t="shared" si="8"/>
        <v/>
      </c>
      <c r="U58" t="str">
        <f>IF(S58="","",SUMIF(JobChangeImpact!$B$5:$B$100,S58,JobChangeImpact!$Q$5:$Q$100))</f>
        <v/>
      </c>
      <c r="V58" t="str">
        <f t="shared" si="9"/>
        <v/>
      </c>
      <c r="W58" t="str">
        <f t="shared" si="10"/>
        <v/>
      </c>
      <c r="X58" t="str">
        <f t="shared" si="11"/>
        <v/>
      </c>
      <c r="Y58" t="str">
        <f t="shared" si="12"/>
        <v/>
      </c>
      <c r="Z58" t="str">
        <f t="shared" si="13"/>
        <v/>
      </c>
    </row>
    <row r="59" spans="19:26" ht="18" customHeight="1">
      <c r="S59" t="str">
        <f t="shared" si="7"/>
        <v/>
      </c>
      <c r="T59" t="str">
        <f t="shared" si="8"/>
        <v/>
      </c>
      <c r="U59" t="str">
        <f>IF(S59="","",SUMIF(JobChangeImpact!$B$5:$B$100,S59,JobChangeImpact!$Q$5:$Q$100))</f>
        <v/>
      </c>
      <c r="V59" t="str">
        <f t="shared" si="9"/>
        <v/>
      </c>
      <c r="W59" t="str">
        <f t="shared" si="10"/>
        <v/>
      </c>
      <c r="X59" t="str">
        <f t="shared" si="11"/>
        <v/>
      </c>
      <c r="Y59" t="str">
        <f t="shared" si="12"/>
        <v/>
      </c>
      <c r="Z59" t="str">
        <f t="shared" si="13"/>
        <v/>
      </c>
    </row>
    <row r="60" spans="19:26" ht="18" customHeight="1">
      <c r="S60" t="str">
        <f t="shared" si="7"/>
        <v/>
      </c>
      <c r="T60" t="str">
        <f t="shared" si="8"/>
        <v/>
      </c>
      <c r="U60" t="str">
        <f>IF(S60="","",SUMIF(JobChangeImpact!$B$5:$B$100,S60,JobChangeImpact!$Q$5:$Q$100))</f>
        <v/>
      </c>
      <c r="V60" t="str">
        <f t="shared" si="9"/>
        <v/>
      </c>
      <c r="W60" t="str">
        <f t="shared" si="10"/>
        <v/>
      </c>
      <c r="X60" t="str">
        <f t="shared" si="11"/>
        <v/>
      </c>
      <c r="Y60" t="str">
        <f t="shared" si="12"/>
        <v/>
      </c>
      <c r="Z60" t="str">
        <f t="shared" si="13"/>
        <v/>
      </c>
    </row>
    <row r="61" spans="19:26" ht="18" customHeight="1">
      <c r="S61" t="str">
        <f t="shared" si="7"/>
        <v/>
      </c>
      <c r="T61" t="str">
        <f t="shared" si="8"/>
        <v/>
      </c>
      <c r="U61" t="str">
        <f>IF(S61="","",SUMIF(JobChangeImpact!$B$5:$B$100,S61,JobChangeImpact!$Q$5:$Q$100))</f>
        <v/>
      </c>
      <c r="V61" t="str">
        <f t="shared" si="9"/>
        <v/>
      </c>
      <c r="W61" t="str">
        <f t="shared" si="10"/>
        <v/>
      </c>
      <c r="X61" t="str">
        <f t="shared" si="11"/>
        <v/>
      </c>
      <c r="Y61" t="str">
        <f t="shared" si="12"/>
        <v/>
      </c>
      <c r="Z61" t="str">
        <f t="shared" si="13"/>
        <v/>
      </c>
    </row>
    <row r="62" spans="19:26" ht="18" customHeight="1">
      <c r="S62" t="str">
        <f t="shared" si="7"/>
        <v/>
      </c>
      <c r="T62" t="str">
        <f t="shared" si="8"/>
        <v/>
      </c>
      <c r="U62" t="str">
        <f>IF(S62="","",SUMIF(JobChangeImpact!$B$5:$B$100,S62,JobChangeImpact!$Q$5:$Q$100))</f>
        <v/>
      </c>
      <c r="V62" t="str">
        <f t="shared" si="9"/>
        <v/>
      </c>
      <c r="W62" t="str">
        <f t="shared" si="10"/>
        <v/>
      </c>
      <c r="X62" t="str">
        <f t="shared" si="11"/>
        <v/>
      </c>
      <c r="Y62" t="str">
        <f t="shared" si="12"/>
        <v/>
      </c>
      <c r="Z62" t="str">
        <f t="shared" si="13"/>
        <v/>
      </c>
    </row>
    <row r="63" spans="19:26" ht="18" customHeight="1">
      <c r="S63" t="str">
        <f t="shared" si="7"/>
        <v/>
      </c>
      <c r="T63" t="str">
        <f t="shared" si="8"/>
        <v/>
      </c>
      <c r="U63" t="str">
        <f>IF(S63="","",SUMIF(JobChangeImpact!$B$5:$B$100,S63,JobChangeImpact!$Q$5:$Q$100))</f>
        <v/>
      </c>
      <c r="V63" t="str">
        <f t="shared" si="9"/>
        <v/>
      </c>
      <c r="W63" t="str">
        <f t="shared" si="10"/>
        <v/>
      </c>
      <c r="X63" t="str">
        <f t="shared" si="11"/>
        <v/>
      </c>
      <c r="Y63" t="str">
        <f t="shared" si="12"/>
        <v/>
      </c>
      <c r="Z63" t="str">
        <f t="shared" si="13"/>
        <v/>
      </c>
    </row>
    <row r="64" spans="19:26" ht="18" customHeight="1">
      <c r="S64" t="str">
        <f t="shared" si="7"/>
        <v/>
      </c>
      <c r="T64" t="str">
        <f t="shared" si="8"/>
        <v/>
      </c>
      <c r="U64" t="str">
        <f>IF(S64="","",SUMIF(JobChangeImpact!$B$5:$B$100,S64,JobChangeImpact!$Q$5:$Q$100))</f>
        <v/>
      </c>
      <c r="V64" t="str">
        <f t="shared" si="9"/>
        <v/>
      </c>
      <c r="W64" t="str">
        <f t="shared" si="10"/>
        <v/>
      </c>
      <c r="X64" t="str">
        <f t="shared" si="11"/>
        <v/>
      </c>
      <c r="Y64" t="str">
        <f t="shared" si="12"/>
        <v/>
      </c>
      <c r="Z64" t="str">
        <f t="shared" si="13"/>
        <v/>
      </c>
    </row>
    <row r="65" spans="19:26" ht="18" customHeight="1">
      <c r="S65" t="str">
        <f t="shared" si="7"/>
        <v/>
      </c>
      <c r="T65" t="str">
        <f t="shared" si="8"/>
        <v/>
      </c>
      <c r="U65" t="str">
        <f>IF(S65="","",SUMIF(JobChangeImpact!$B$5:$B$100,S65,JobChangeImpact!$Q$5:$Q$100))</f>
        <v/>
      </c>
      <c r="V65" t="str">
        <f t="shared" si="9"/>
        <v/>
      </c>
      <c r="W65" t="str">
        <f t="shared" si="10"/>
        <v/>
      </c>
      <c r="X65" t="str">
        <f t="shared" si="11"/>
        <v/>
      </c>
      <c r="Y65" t="str">
        <f t="shared" si="12"/>
        <v/>
      </c>
      <c r="Z65" t="str">
        <f t="shared" si="13"/>
        <v/>
      </c>
    </row>
    <row r="66" spans="19:26" ht="18" customHeight="1">
      <c r="S66" t="str">
        <f t="shared" si="7"/>
        <v/>
      </c>
      <c r="T66" t="str">
        <f t="shared" si="8"/>
        <v/>
      </c>
      <c r="U66" t="str">
        <f>IF(S66="","",SUMIF(JobChangeImpact!$B$5:$B$100,S66,JobChangeImpact!$Q$5:$Q$100))</f>
        <v/>
      </c>
      <c r="V66" t="str">
        <f t="shared" si="9"/>
        <v/>
      </c>
      <c r="W66" t="str">
        <f t="shared" si="10"/>
        <v/>
      </c>
      <c r="X66" t="str">
        <f t="shared" si="11"/>
        <v/>
      </c>
      <c r="Y66" t="str">
        <f t="shared" si="12"/>
        <v/>
      </c>
      <c r="Z66" t="str">
        <f t="shared" si="13"/>
        <v/>
      </c>
    </row>
    <row r="67" spans="19:26" ht="18" customHeight="1">
      <c r="S67" t="str">
        <f t="shared" si="7"/>
        <v/>
      </c>
      <c r="T67" t="str">
        <f t="shared" si="8"/>
        <v/>
      </c>
      <c r="U67" t="str">
        <f>IF(S67="","",SUMIF(JobChangeImpact!$B$5:$B$100,S67,JobChangeImpact!$Q$5:$Q$100))</f>
        <v/>
      </c>
      <c r="V67" t="str">
        <f t="shared" si="9"/>
        <v/>
      </c>
      <c r="W67" t="str">
        <f t="shared" si="10"/>
        <v/>
      </c>
      <c r="X67" t="str">
        <f t="shared" si="11"/>
        <v/>
      </c>
      <c r="Y67" t="str">
        <f t="shared" si="12"/>
        <v/>
      </c>
      <c r="Z67" t="str">
        <f t="shared" si="13"/>
        <v/>
      </c>
    </row>
    <row r="68" spans="19:26" ht="18" customHeight="1">
      <c r="S68" t="str">
        <f t="shared" si="7"/>
        <v/>
      </c>
      <c r="T68" t="str">
        <f t="shared" si="8"/>
        <v/>
      </c>
      <c r="U68" t="str">
        <f>IF(S68="","",SUMIF(JobChangeImpact!$B$5:$B$100,S68,JobChangeImpact!$Q$5:$Q$100))</f>
        <v/>
      </c>
      <c r="V68" t="str">
        <f t="shared" si="9"/>
        <v/>
      </c>
      <c r="W68" t="str">
        <f t="shared" si="10"/>
        <v/>
      </c>
      <c r="X68" t="str">
        <f t="shared" si="11"/>
        <v/>
      </c>
      <c r="Y68" t="str">
        <f t="shared" si="12"/>
        <v/>
      </c>
      <c r="Z68" t="str">
        <f t="shared" si="13"/>
        <v/>
      </c>
    </row>
    <row r="69" spans="19:26" ht="18" customHeight="1">
      <c r="S69" t="str">
        <f t="shared" ref="S69:S100" si="14">IF(A69="","", "JC-"&amp;A69&amp;"-L"&amp;TEXT(B69,"00")&amp;"-"&amp;TEXT(C69,"yyyymmdd")&amp;"-"&amp;D69&amp;"-"&amp;IF(F69="","START",F69)&amp;"-"&amp;G69)</f>
        <v/>
      </c>
      <c r="T69" t="str">
        <f t="shared" ref="T69:T100" si="15">IF(A69="","",SUM(I69:L69)+N69+P69)</f>
        <v/>
      </c>
      <c r="U69" t="str">
        <f>IF(S69="","",SUMIF(JobChangeImpact!$B$5:$B$100,S69,JobChangeImpact!$Q$5:$Q$100))</f>
        <v/>
      </c>
      <c r="V69" t="str">
        <f t="shared" ref="V69:V100" si="16">IF(A69="","",IF(ABS(T69-U69)&lt;=0.001,"OK","CHECK"))</f>
        <v/>
      </c>
      <c r="W69" t="str">
        <f t="shared" ref="W69:W100" si="17">IF(A69="","",IF(AND(IF(L69&gt;0,M69&lt;&gt;"",M69=""),IF(N69&gt;0,O69&lt;&gt;"",O69=""),IF(P69&gt;0,Q69&lt;&gt;"",Q69="")),"OK","CHECK"))</f>
        <v/>
      </c>
      <c r="X69" t="str">
        <f t="shared" ref="X69:X100" si="18">IF(A69="","",IF(OR(G69="",AND(F69&lt;&gt;"",F69=G69)),"CHECK","OK"))</f>
        <v/>
      </c>
      <c r="Y69" t="str">
        <f t="shared" ref="Y69:Y100" si="19">IF(S69="","",IF(COUNTIF($S$5:$S$100,S69)=1,"OK","CHECK"))</f>
        <v/>
      </c>
      <c r="Z69" t="str">
        <f t="shared" ref="Z69:Z100" si="20">IF(A69="","",IF(AND(V69="OK",W69="OK",X69="OK",Y69="OK",T69&gt;0),"OK","CHECK"))</f>
        <v/>
      </c>
    </row>
    <row r="70" spans="19:26" ht="18" customHeight="1">
      <c r="S70" t="str">
        <f t="shared" si="14"/>
        <v/>
      </c>
      <c r="T70" t="str">
        <f t="shared" si="15"/>
        <v/>
      </c>
      <c r="U70" t="str">
        <f>IF(S70="","",SUMIF(JobChangeImpact!$B$5:$B$100,S70,JobChangeImpact!$Q$5:$Q$100))</f>
        <v/>
      </c>
      <c r="V70" t="str">
        <f t="shared" si="16"/>
        <v/>
      </c>
      <c r="W70" t="str">
        <f t="shared" si="17"/>
        <v/>
      </c>
      <c r="X70" t="str">
        <f t="shared" si="18"/>
        <v/>
      </c>
      <c r="Y70" t="str">
        <f t="shared" si="19"/>
        <v/>
      </c>
      <c r="Z70" t="str">
        <f t="shared" si="20"/>
        <v/>
      </c>
    </row>
    <row r="71" spans="19:26" ht="18" customHeight="1">
      <c r="S71" t="str">
        <f t="shared" si="14"/>
        <v/>
      </c>
      <c r="T71" t="str">
        <f t="shared" si="15"/>
        <v/>
      </c>
      <c r="U71" t="str">
        <f>IF(S71="","",SUMIF(JobChangeImpact!$B$5:$B$100,S71,JobChangeImpact!$Q$5:$Q$100))</f>
        <v/>
      </c>
      <c r="V71" t="str">
        <f t="shared" si="16"/>
        <v/>
      </c>
      <c r="W71" t="str">
        <f t="shared" si="17"/>
        <v/>
      </c>
      <c r="X71" t="str">
        <f t="shared" si="18"/>
        <v/>
      </c>
      <c r="Y71" t="str">
        <f t="shared" si="19"/>
        <v/>
      </c>
      <c r="Z71" t="str">
        <f t="shared" si="20"/>
        <v/>
      </c>
    </row>
    <row r="72" spans="19:26" ht="18" customHeight="1">
      <c r="S72" t="str">
        <f t="shared" si="14"/>
        <v/>
      </c>
      <c r="T72" t="str">
        <f t="shared" si="15"/>
        <v/>
      </c>
      <c r="U72" t="str">
        <f>IF(S72="","",SUMIF(JobChangeImpact!$B$5:$B$100,S72,JobChangeImpact!$Q$5:$Q$100))</f>
        <v/>
      </c>
      <c r="V72" t="str">
        <f t="shared" si="16"/>
        <v/>
      </c>
      <c r="W72" t="str">
        <f t="shared" si="17"/>
        <v/>
      </c>
      <c r="X72" t="str">
        <f t="shared" si="18"/>
        <v/>
      </c>
      <c r="Y72" t="str">
        <f t="shared" si="19"/>
        <v/>
      </c>
      <c r="Z72" t="str">
        <f t="shared" si="20"/>
        <v/>
      </c>
    </row>
    <row r="73" spans="19:26" ht="18" customHeight="1">
      <c r="S73" t="str">
        <f t="shared" si="14"/>
        <v/>
      </c>
      <c r="T73" t="str">
        <f t="shared" si="15"/>
        <v/>
      </c>
      <c r="U73" t="str">
        <f>IF(S73="","",SUMIF(JobChangeImpact!$B$5:$B$100,S73,JobChangeImpact!$Q$5:$Q$100))</f>
        <v/>
      </c>
      <c r="V73" t="str">
        <f t="shared" si="16"/>
        <v/>
      </c>
      <c r="W73" t="str">
        <f t="shared" si="17"/>
        <v/>
      </c>
      <c r="X73" t="str">
        <f t="shared" si="18"/>
        <v/>
      </c>
      <c r="Y73" t="str">
        <f t="shared" si="19"/>
        <v/>
      </c>
      <c r="Z73" t="str">
        <f t="shared" si="20"/>
        <v/>
      </c>
    </row>
    <row r="74" spans="19:26" ht="18" customHeight="1">
      <c r="S74" t="str">
        <f t="shared" si="14"/>
        <v/>
      </c>
      <c r="T74" t="str">
        <f t="shared" si="15"/>
        <v/>
      </c>
      <c r="U74" t="str">
        <f>IF(S74="","",SUMIF(JobChangeImpact!$B$5:$B$100,S74,JobChangeImpact!$Q$5:$Q$100))</f>
        <v/>
      </c>
      <c r="V74" t="str">
        <f t="shared" si="16"/>
        <v/>
      </c>
      <c r="W74" t="str">
        <f t="shared" si="17"/>
        <v/>
      </c>
      <c r="X74" t="str">
        <f t="shared" si="18"/>
        <v/>
      </c>
      <c r="Y74" t="str">
        <f t="shared" si="19"/>
        <v/>
      </c>
      <c r="Z74" t="str">
        <f t="shared" si="20"/>
        <v/>
      </c>
    </row>
    <row r="75" spans="19:26" ht="18" customHeight="1">
      <c r="S75" t="str">
        <f t="shared" si="14"/>
        <v/>
      </c>
      <c r="T75" t="str">
        <f t="shared" si="15"/>
        <v/>
      </c>
      <c r="U75" t="str">
        <f>IF(S75="","",SUMIF(JobChangeImpact!$B$5:$B$100,S75,JobChangeImpact!$Q$5:$Q$100))</f>
        <v/>
      </c>
      <c r="V75" t="str">
        <f t="shared" si="16"/>
        <v/>
      </c>
      <c r="W75" t="str">
        <f t="shared" si="17"/>
        <v/>
      </c>
      <c r="X75" t="str">
        <f t="shared" si="18"/>
        <v/>
      </c>
      <c r="Y75" t="str">
        <f t="shared" si="19"/>
        <v/>
      </c>
      <c r="Z75" t="str">
        <f t="shared" si="20"/>
        <v/>
      </c>
    </row>
    <row r="76" spans="19:26" ht="18" customHeight="1">
      <c r="S76" t="str">
        <f t="shared" si="14"/>
        <v/>
      </c>
      <c r="T76" t="str">
        <f t="shared" si="15"/>
        <v/>
      </c>
      <c r="U76" t="str">
        <f>IF(S76="","",SUMIF(JobChangeImpact!$B$5:$B$100,S76,JobChangeImpact!$Q$5:$Q$100))</f>
        <v/>
      </c>
      <c r="V76" t="str">
        <f t="shared" si="16"/>
        <v/>
      </c>
      <c r="W76" t="str">
        <f t="shared" si="17"/>
        <v/>
      </c>
      <c r="X76" t="str">
        <f t="shared" si="18"/>
        <v/>
      </c>
      <c r="Y76" t="str">
        <f t="shared" si="19"/>
        <v/>
      </c>
      <c r="Z76" t="str">
        <f t="shared" si="20"/>
        <v/>
      </c>
    </row>
    <row r="77" spans="19:26" ht="18" customHeight="1">
      <c r="S77" t="str">
        <f t="shared" si="14"/>
        <v/>
      </c>
      <c r="T77" t="str">
        <f t="shared" si="15"/>
        <v/>
      </c>
      <c r="U77" t="str">
        <f>IF(S77="","",SUMIF(JobChangeImpact!$B$5:$B$100,S77,JobChangeImpact!$Q$5:$Q$100))</f>
        <v/>
      </c>
      <c r="V77" t="str">
        <f t="shared" si="16"/>
        <v/>
      </c>
      <c r="W77" t="str">
        <f t="shared" si="17"/>
        <v/>
      </c>
      <c r="X77" t="str">
        <f t="shared" si="18"/>
        <v/>
      </c>
      <c r="Y77" t="str">
        <f t="shared" si="19"/>
        <v/>
      </c>
      <c r="Z77" t="str">
        <f t="shared" si="20"/>
        <v/>
      </c>
    </row>
    <row r="78" spans="19:26" ht="18" customHeight="1">
      <c r="S78" t="str">
        <f t="shared" si="14"/>
        <v/>
      </c>
      <c r="T78" t="str">
        <f t="shared" si="15"/>
        <v/>
      </c>
      <c r="U78" t="str">
        <f>IF(S78="","",SUMIF(JobChangeImpact!$B$5:$B$100,S78,JobChangeImpact!$Q$5:$Q$100))</f>
        <v/>
      </c>
      <c r="V78" t="str">
        <f t="shared" si="16"/>
        <v/>
      </c>
      <c r="W78" t="str">
        <f t="shared" si="17"/>
        <v/>
      </c>
      <c r="X78" t="str">
        <f t="shared" si="18"/>
        <v/>
      </c>
      <c r="Y78" t="str">
        <f t="shared" si="19"/>
        <v/>
      </c>
      <c r="Z78" t="str">
        <f t="shared" si="20"/>
        <v/>
      </c>
    </row>
    <row r="79" spans="19:26" ht="18" customHeight="1">
      <c r="S79" t="str">
        <f t="shared" si="14"/>
        <v/>
      </c>
      <c r="T79" t="str">
        <f t="shared" si="15"/>
        <v/>
      </c>
      <c r="U79" t="str">
        <f>IF(S79="","",SUMIF(JobChangeImpact!$B$5:$B$100,S79,JobChangeImpact!$Q$5:$Q$100))</f>
        <v/>
      </c>
      <c r="V79" t="str">
        <f t="shared" si="16"/>
        <v/>
      </c>
      <c r="W79" t="str">
        <f t="shared" si="17"/>
        <v/>
      </c>
      <c r="X79" t="str">
        <f t="shared" si="18"/>
        <v/>
      </c>
      <c r="Y79" t="str">
        <f t="shared" si="19"/>
        <v/>
      </c>
      <c r="Z79" t="str">
        <f t="shared" si="20"/>
        <v/>
      </c>
    </row>
    <row r="80" spans="19:26" ht="18" customHeight="1">
      <c r="S80" t="str">
        <f t="shared" si="14"/>
        <v/>
      </c>
      <c r="T80" t="str">
        <f t="shared" si="15"/>
        <v/>
      </c>
      <c r="U80" t="str">
        <f>IF(S80="","",SUMIF(JobChangeImpact!$B$5:$B$100,S80,JobChangeImpact!$Q$5:$Q$100))</f>
        <v/>
      </c>
      <c r="V80" t="str">
        <f t="shared" si="16"/>
        <v/>
      </c>
      <c r="W80" t="str">
        <f t="shared" si="17"/>
        <v/>
      </c>
      <c r="X80" t="str">
        <f t="shared" si="18"/>
        <v/>
      </c>
      <c r="Y80" t="str">
        <f t="shared" si="19"/>
        <v/>
      </c>
      <c r="Z80" t="str">
        <f t="shared" si="20"/>
        <v/>
      </c>
    </row>
    <row r="81" spans="19:26" ht="18" customHeight="1">
      <c r="S81" t="str">
        <f t="shared" si="14"/>
        <v/>
      </c>
      <c r="T81" t="str">
        <f t="shared" si="15"/>
        <v/>
      </c>
      <c r="U81" t="str">
        <f>IF(S81="","",SUMIF(JobChangeImpact!$B$5:$B$100,S81,JobChangeImpact!$Q$5:$Q$100))</f>
        <v/>
      </c>
      <c r="V81" t="str">
        <f t="shared" si="16"/>
        <v/>
      </c>
      <c r="W81" t="str">
        <f t="shared" si="17"/>
        <v/>
      </c>
      <c r="X81" t="str">
        <f t="shared" si="18"/>
        <v/>
      </c>
      <c r="Y81" t="str">
        <f t="shared" si="19"/>
        <v/>
      </c>
      <c r="Z81" t="str">
        <f t="shared" si="20"/>
        <v/>
      </c>
    </row>
    <row r="82" spans="19:26" ht="18" customHeight="1">
      <c r="S82" t="str">
        <f t="shared" si="14"/>
        <v/>
      </c>
      <c r="T82" t="str">
        <f t="shared" si="15"/>
        <v/>
      </c>
      <c r="U82" t="str">
        <f>IF(S82="","",SUMIF(JobChangeImpact!$B$5:$B$100,S82,JobChangeImpact!$Q$5:$Q$100))</f>
        <v/>
      </c>
      <c r="V82" t="str">
        <f t="shared" si="16"/>
        <v/>
      </c>
      <c r="W82" t="str">
        <f t="shared" si="17"/>
        <v/>
      </c>
      <c r="X82" t="str">
        <f t="shared" si="18"/>
        <v/>
      </c>
      <c r="Y82" t="str">
        <f t="shared" si="19"/>
        <v/>
      </c>
      <c r="Z82" t="str">
        <f t="shared" si="20"/>
        <v/>
      </c>
    </row>
    <row r="83" spans="19:26" ht="18" customHeight="1">
      <c r="S83" t="str">
        <f t="shared" si="14"/>
        <v/>
      </c>
      <c r="T83" t="str">
        <f t="shared" si="15"/>
        <v/>
      </c>
      <c r="U83" t="str">
        <f>IF(S83="","",SUMIF(JobChangeImpact!$B$5:$B$100,S83,JobChangeImpact!$Q$5:$Q$100))</f>
        <v/>
      </c>
      <c r="V83" t="str">
        <f t="shared" si="16"/>
        <v/>
      </c>
      <c r="W83" t="str">
        <f t="shared" si="17"/>
        <v/>
      </c>
      <c r="X83" t="str">
        <f t="shared" si="18"/>
        <v/>
      </c>
      <c r="Y83" t="str">
        <f t="shared" si="19"/>
        <v/>
      </c>
      <c r="Z83" t="str">
        <f t="shared" si="20"/>
        <v/>
      </c>
    </row>
    <row r="84" spans="19:26" ht="18" customHeight="1">
      <c r="S84" t="str">
        <f t="shared" si="14"/>
        <v/>
      </c>
      <c r="T84" t="str">
        <f t="shared" si="15"/>
        <v/>
      </c>
      <c r="U84" t="str">
        <f>IF(S84="","",SUMIF(JobChangeImpact!$B$5:$B$100,S84,JobChangeImpact!$Q$5:$Q$100))</f>
        <v/>
      </c>
      <c r="V84" t="str">
        <f t="shared" si="16"/>
        <v/>
      </c>
      <c r="W84" t="str">
        <f t="shared" si="17"/>
        <v/>
      </c>
      <c r="X84" t="str">
        <f t="shared" si="18"/>
        <v/>
      </c>
      <c r="Y84" t="str">
        <f t="shared" si="19"/>
        <v/>
      </c>
      <c r="Z84" t="str">
        <f t="shared" si="20"/>
        <v/>
      </c>
    </row>
    <row r="85" spans="19:26" ht="18" customHeight="1">
      <c r="S85" t="str">
        <f t="shared" si="14"/>
        <v/>
      </c>
      <c r="T85" t="str">
        <f t="shared" si="15"/>
        <v/>
      </c>
      <c r="U85" t="str">
        <f>IF(S85="","",SUMIF(JobChangeImpact!$B$5:$B$100,S85,JobChangeImpact!$Q$5:$Q$100))</f>
        <v/>
      </c>
      <c r="V85" t="str">
        <f t="shared" si="16"/>
        <v/>
      </c>
      <c r="W85" t="str">
        <f t="shared" si="17"/>
        <v/>
      </c>
      <c r="X85" t="str">
        <f t="shared" si="18"/>
        <v/>
      </c>
      <c r="Y85" t="str">
        <f t="shared" si="19"/>
        <v/>
      </c>
      <c r="Z85" t="str">
        <f t="shared" si="20"/>
        <v/>
      </c>
    </row>
    <row r="86" spans="19:26" ht="18" customHeight="1">
      <c r="S86" t="str">
        <f t="shared" si="14"/>
        <v/>
      </c>
      <c r="T86" t="str">
        <f t="shared" si="15"/>
        <v/>
      </c>
      <c r="U86" t="str">
        <f>IF(S86="","",SUMIF(JobChangeImpact!$B$5:$B$100,S86,JobChangeImpact!$Q$5:$Q$100))</f>
        <v/>
      </c>
      <c r="V86" t="str">
        <f t="shared" si="16"/>
        <v/>
      </c>
      <c r="W86" t="str">
        <f t="shared" si="17"/>
        <v/>
      </c>
      <c r="X86" t="str">
        <f t="shared" si="18"/>
        <v/>
      </c>
      <c r="Y86" t="str">
        <f t="shared" si="19"/>
        <v/>
      </c>
      <c r="Z86" t="str">
        <f t="shared" si="20"/>
        <v/>
      </c>
    </row>
    <row r="87" spans="19:26" ht="18" customHeight="1">
      <c r="S87" t="str">
        <f t="shared" si="14"/>
        <v/>
      </c>
      <c r="T87" t="str">
        <f t="shared" si="15"/>
        <v/>
      </c>
      <c r="U87" t="str">
        <f>IF(S87="","",SUMIF(JobChangeImpact!$B$5:$B$100,S87,JobChangeImpact!$Q$5:$Q$100))</f>
        <v/>
      </c>
      <c r="V87" t="str">
        <f t="shared" si="16"/>
        <v/>
      </c>
      <c r="W87" t="str">
        <f t="shared" si="17"/>
        <v/>
      </c>
      <c r="X87" t="str">
        <f t="shared" si="18"/>
        <v/>
      </c>
      <c r="Y87" t="str">
        <f t="shared" si="19"/>
        <v/>
      </c>
      <c r="Z87" t="str">
        <f t="shared" si="20"/>
        <v/>
      </c>
    </row>
    <row r="88" spans="19:26" ht="18" customHeight="1">
      <c r="S88" t="str">
        <f t="shared" si="14"/>
        <v/>
      </c>
      <c r="T88" t="str">
        <f t="shared" si="15"/>
        <v/>
      </c>
      <c r="U88" t="str">
        <f>IF(S88="","",SUMIF(JobChangeImpact!$B$5:$B$100,S88,JobChangeImpact!$Q$5:$Q$100))</f>
        <v/>
      </c>
      <c r="V88" t="str">
        <f t="shared" si="16"/>
        <v/>
      </c>
      <c r="W88" t="str">
        <f t="shared" si="17"/>
        <v/>
      </c>
      <c r="X88" t="str">
        <f t="shared" si="18"/>
        <v/>
      </c>
      <c r="Y88" t="str">
        <f t="shared" si="19"/>
        <v/>
      </c>
      <c r="Z88" t="str">
        <f t="shared" si="20"/>
        <v/>
      </c>
    </row>
    <row r="89" spans="19:26" ht="18" customHeight="1">
      <c r="S89" t="str">
        <f t="shared" si="14"/>
        <v/>
      </c>
      <c r="T89" t="str">
        <f t="shared" si="15"/>
        <v/>
      </c>
      <c r="U89" t="str">
        <f>IF(S89="","",SUMIF(JobChangeImpact!$B$5:$B$100,S89,JobChangeImpact!$Q$5:$Q$100))</f>
        <v/>
      </c>
      <c r="V89" t="str">
        <f t="shared" si="16"/>
        <v/>
      </c>
      <c r="W89" t="str">
        <f t="shared" si="17"/>
        <v/>
      </c>
      <c r="X89" t="str">
        <f t="shared" si="18"/>
        <v/>
      </c>
      <c r="Y89" t="str">
        <f t="shared" si="19"/>
        <v/>
      </c>
      <c r="Z89" t="str">
        <f t="shared" si="20"/>
        <v/>
      </c>
    </row>
    <row r="90" spans="19:26" ht="18" customHeight="1">
      <c r="S90" t="str">
        <f t="shared" si="14"/>
        <v/>
      </c>
      <c r="T90" t="str">
        <f t="shared" si="15"/>
        <v/>
      </c>
      <c r="U90" t="str">
        <f>IF(S90="","",SUMIF(JobChangeImpact!$B$5:$B$100,S90,JobChangeImpact!$Q$5:$Q$100))</f>
        <v/>
      </c>
      <c r="V90" t="str">
        <f t="shared" si="16"/>
        <v/>
      </c>
      <c r="W90" t="str">
        <f t="shared" si="17"/>
        <v/>
      </c>
      <c r="X90" t="str">
        <f t="shared" si="18"/>
        <v/>
      </c>
      <c r="Y90" t="str">
        <f t="shared" si="19"/>
        <v/>
      </c>
      <c r="Z90" t="str">
        <f t="shared" si="20"/>
        <v/>
      </c>
    </row>
    <row r="91" spans="19:26" ht="18" customHeight="1">
      <c r="S91" t="str">
        <f t="shared" si="14"/>
        <v/>
      </c>
      <c r="T91" t="str">
        <f t="shared" si="15"/>
        <v/>
      </c>
      <c r="U91" t="str">
        <f>IF(S91="","",SUMIF(JobChangeImpact!$B$5:$B$100,S91,JobChangeImpact!$Q$5:$Q$100))</f>
        <v/>
      </c>
      <c r="V91" t="str">
        <f t="shared" si="16"/>
        <v/>
      </c>
      <c r="W91" t="str">
        <f t="shared" si="17"/>
        <v/>
      </c>
      <c r="X91" t="str">
        <f t="shared" si="18"/>
        <v/>
      </c>
      <c r="Y91" t="str">
        <f t="shared" si="19"/>
        <v/>
      </c>
      <c r="Z91" t="str">
        <f t="shared" si="20"/>
        <v/>
      </c>
    </row>
    <row r="92" spans="19:26" ht="18" customHeight="1">
      <c r="S92" t="str">
        <f t="shared" si="14"/>
        <v/>
      </c>
      <c r="T92" t="str">
        <f t="shared" si="15"/>
        <v/>
      </c>
      <c r="U92" t="str">
        <f>IF(S92="","",SUMIF(JobChangeImpact!$B$5:$B$100,S92,JobChangeImpact!$Q$5:$Q$100))</f>
        <v/>
      </c>
      <c r="V92" t="str">
        <f t="shared" si="16"/>
        <v/>
      </c>
      <c r="W92" t="str">
        <f t="shared" si="17"/>
        <v/>
      </c>
      <c r="X92" t="str">
        <f t="shared" si="18"/>
        <v/>
      </c>
      <c r="Y92" t="str">
        <f t="shared" si="19"/>
        <v/>
      </c>
      <c r="Z92" t="str">
        <f t="shared" si="20"/>
        <v/>
      </c>
    </row>
    <row r="93" spans="19:26" ht="18" customHeight="1">
      <c r="S93" t="str">
        <f t="shared" si="14"/>
        <v/>
      </c>
      <c r="T93" t="str">
        <f t="shared" si="15"/>
        <v/>
      </c>
      <c r="U93" t="str">
        <f>IF(S93="","",SUMIF(JobChangeImpact!$B$5:$B$100,S93,JobChangeImpact!$Q$5:$Q$100))</f>
        <v/>
      </c>
      <c r="V93" t="str">
        <f t="shared" si="16"/>
        <v/>
      </c>
      <c r="W93" t="str">
        <f t="shared" si="17"/>
        <v/>
      </c>
      <c r="X93" t="str">
        <f t="shared" si="18"/>
        <v/>
      </c>
      <c r="Y93" t="str">
        <f t="shared" si="19"/>
        <v/>
      </c>
      <c r="Z93" t="str">
        <f t="shared" si="20"/>
        <v/>
      </c>
    </row>
    <row r="94" spans="19:26" ht="18" customHeight="1">
      <c r="S94" t="str">
        <f t="shared" si="14"/>
        <v/>
      </c>
      <c r="T94" t="str">
        <f t="shared" si="15"/>
        <v/>
      </c>
      <c r="U94" t="str">
        <f>IF(S94="","",SUMIF(JobChangeImpact!$B$5:$B$100,S94,JobChangeImpact!$Q$5:$Q$100))</f>
        <v/>
      </c>
      <c r="V94" t="str">
        <f t="shared" si="16"/>
        <v/>
      </c>
      <c r="W94" t="str">
        <f t="shared" si="17"/>
        <v/>
      </c>
      <c r="X94" t="str">
        <f t="shared" si="18"/>
        <v/>
      </c>
      <c r="Y94" t="str">
        <f t="shared" si="19"/>
        <v/>
      </c>
      <c r="Z94" t="str">
        <f t="shared" si="20"/>
        <v/>
      </c>
    </row>
    <row r="95" spans="19:26" ht="18" customHeight="1">
      <c r="S95" t="str">
        <f t="shared" si="14"/>
        <v/>
      </c>
      <c r="T95" t="str">
        <f t="shared" si="15"/>
        <v/>
      </c>
      <c r="U95" t="str">
        <f>IF(S95="","",SUMIF(JobChangeImpact!$B$5:$B$100,S95,JobChangeImpact!$Q$5:$Q$100))</f>
        <v/>
      </c>
      <c r="V95" t="str">
        <f t="shared" si="16"/>
        <v/>
      </c>
      <c r="W95" t="str">
        <f t="shared" si="17"/>
        <v/>
      </c>
      <c r="X95" t="str">
        <f t="shared" si="18"/>
        <v/>
      </c>
      <c r="Y95" t="str">
        <f t="shared" si="19"/>
        <v/>
      </c>
      <c r="Z95" t="str">
        <f t="shared" si="20"/>
        <v/>
      </c>
    </row>
    <row r="96" spans="19:26" ht="18" customHeight="1">
      <c r="S96" t="str">
        <f t="shared" si="14"/>
        <v/>
      </c>
      <c r="T96" t="str">
        <f t="shared" si="15"/>
        <v/>
      </c>
      <c r="U96" t="str">
        <f>IF(S96="","",SUMIF(JobChangeImpact!$B$5:$B$100,S96,JobChangeImpact!$Q$5:$Q$100))</f>
        <v/>
      </c>
      <c r="V96" t="str">
        <f t="shared" si="16"/>
        <v/>
      </c>
      <c r="W96" t="str">
        <f t="shared" si="17"/>
        <v/>
      </c>
      <c r="X96" t="str">
        <f t="shared" si="18"/>
        <v/>
      </c>
      <c r="Y96" t="str">
        <f t="shared" si="19"/>
        <v/>
      </c>
      <c r="Z96" t="str">
        <f t="shared" si="20"/>
        <v/>
      </c>
    </row>
    <row r="97" spans="19:26" ht="18" customHeight="1">
      <c r="S97" t="str">
        <f t="shared" si="14"/>
        <v/>
      </c>
      <c r="T97" t="str">
        <f t="shared" si="15"/>
        <v/>
      </c>
      <c r="U97" t="str">
        <f>IF(S97="","",SUMIF(JobChangeImpact!$B$5:$B$100,S97,JobChangeImpact!$Q$5:$Q$100))</f>
        <v/>
      </c>
      <c r="V97" t="str">
        <f t="shared" si="16"/>
        <v/>
      </c>
      <c r="W97" t="str">
        <f t="shared" si="17"/>
        <v/>
      </c>
      <c r="X97" t="str">
        <f t="shared" si="18"/>
        <v/>
      </c>
      <c r="Y97" t="str">
        <f t="shared" si="19"/>
        <v/>
      </c>
      <c r="Z97" t="str">
        <f t="shared" si="20"/>
        <v/>
      </c>
    </row>
    <row r="98" spans="19:26" ht="18" customHeight="1">
      <c r="S98" t="str">
        <f t="shared" si="14"/>
        <v/>
      </c>
      <c r="T98" t="str">
        <f t="shared" si="15"/>
        <v/>
      </c>
      <c r="U98" t="str">
        <f>IF(S98="","",SUMIF(JobChangeImpact!$B$5:$B$100,S98,JobChangeImpact!$Q$5:$Q$100))</f>
        <v/>
      </c>
      <c r="V98" t="str">
        <f t="shared" si="16"/>
        <v/>
      </c>
      <c r="W98" t="str">
        <f t="shared" si="17"/>
        <v/>
      </c>
      <c r="X98" t="str">
        <f t="shared" si="18"/>
        <v/>
      </c>
      <c r="Y98" t="str">
        <f t="shared" si="19"/>
        <v/>
      </c>
      <c r="Z98" t="str">
        <f t="shared" si="20"/>
        <v/>
      </c>
    </row>
    <row r="99" spans="19:26" ht="18" customHeight="1">
      <c r="S99" t="str">
        <f t="shared" si="14"/>
        <v/>
      </c>
      <c r="T99" t="str">
        <f t="shared" si="15"/>
        <v/>
      </c>
      <c r="U99" t="str">
        <f>IF(S99="","",SUMIF(JobChangeImpact!$B$5:$B$100,S99,JobChangeImpact!$Q$5:$Q$100))</f>
        <v/>
      </c>
      <c r="V99" t="str">
        <f t="shared" si="16"/>
        <v/>
      </c>
      <c r="W99" t="str">
        <f t="shared" si="17"/>
        <v/>
      </c>
      <c r="X99" t="str">
        <f t="shared" si="18"/>
        <v/>
      </c>
      <c r="Y99" t="str">
        <f t="shared" si="19"/>
        <v/>
      </c>
      <c r="Z99" t="str">
        <f t="shared" si="20"/>
        <v/>
      </c>
    </row>
    <row r="100" spans="19:26" ht="18" customHeight="1">
      <c r="S100" t="str">
        <f t="shared" si="14"/>
        <v/>
      </c>
      <c r="T100" t="str">
        <f t="shared" si="15"/>
        <v/>
      </c>
      <c r="U100" t="str">
        <f>IF(S100="","",SUMIF(JobChangeImpact!$B$5:$B$100,S100,JobChangeImpact!$Q$5:$Q$100))</f>
        <v/>
      </c>
      <c r="V100" t="str">
        <f t="shared" si="16"/>
        <v/>
      </c>
      <c r="W100" t="str">
        <f t="shared" si="17"/>
        <v/>
      </c>
      <c r="X100" t="str">
        <f t="shared" si="18"/>
        <v/>
      </c>
      <c r="Y100" t="str">
        <f t="shared" si="19"/>
        <v/>
      </c>
      <c r="Z100" t="str">
        <f t="shared" si="20"/>
        <v/>
      </c>
    </row>
    <row r="101" spans="19:26" ht="18" customHeight="1"/>
    <row r="102" spans="19:26" ht="18" customHeight="1"/>
    <row r="103" spans="19:26" ht="18" customHeight="1"/>
    <row r="104" spans="19:26" ht="18" customHeight="1"/>
    <row r="105" spans="19:26" ht="18" customHeight="1"/>
    <row r="106" spans="19:26" ht="18" customHeight="1"/>
    <row r="107" spans="19:26" ht="18" customHeight="1"/>
    <row r="108" spans="19:26" ht="18" customHeight="1"/>
    <row r="109" spans="19:26" ht="18" customHeight="1"/>
    <row r="110" spans="19:26" ht="18" customHeight="1"/>
    <row r="111" spans="19:26" ht="18" customHeight="1"/>
    <row r="112" spans="19:26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_ValidationLists!$A$2:$A$6</xm:f>
          </x14:formula1>
          <xm:sqref>B5:B100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"/>
  <sheetViews>
    <sheetView tabSelected="1" topLeftCell="C1" workbookViewId="0">
      <selection activeCell="K24" sqref="K24"/>
    </sheetView>
  </sheetViews>
  <sheetFormatPr defaultRowHeight="14.25"/>
  <cols>
    <col min="1" max="1" width="42" customWidth="1"/>
    <col min="2" max="2" width="55.375" bestFit="1" customWidth="1"/>
    <col min="3" max="3" width="40" bestFit="1" customWidth="1"/>
    <col min="4" max="4" width="14" customWidth="1"/>
    <col min="5" max="5" width="13.625" customWidth="1"/>
    <col min="6" max="6" width="12.125" customWidth="1"/>
    <col min="7" max="7" width="11.625" customWidth="1"/>
    <col min="8" max="8" width="17.375" customWidth="1"/>
    <col min="9" max="9" width="11" customWidth="1"/>
    <col min="10" max="10" width="16.625" customWidth="1"/>
    <col min="11" max="11" width="12.625" customWidth="1"/>
    <col min="12" max="12" width="16.5" customWidth="1"/>
    <col min="13" max="13" width="15.25" customWidth="1"/>
    <col min="14" max="14" width="30" customWidth="1"/>
    <col min="15" max="15" width="15.5" customWidth="1"/>
    <col min="16" max="16" width="14.75" customWidth="1"/>
    <col min="17" max="17" width="13.5" customWidth="1"/>
    <col min="18" max="18" width="20" customWidth="1"/>
    <col min="19" max="19" width="22.875" customWidth="1"/>
    <col min="20" max="20" width="19.25" bestFit="1" customWidth="1"/>
    <col min="21" max="22" width="23.5" customWidth="1"/>
    <col min="23" max="23" width="20" customWidth="1"/>
    <col min="24" max="24" width="14.875" customWidth="1"/>
    <col min="25" max="25" width="19.5" customWidth="1"/>
    <col min="26" max="26" width="14" customWidth="1"/>
    <col min="27" max="27" width="16" customWidth="1"/>
    <col min="28" max="28" width="18.5" customWidth="1"/>
  </cols>
  <sheetData>
    <row r="1" spans="1:28" ht="18">
      <c r="A1" s="15" t="s">
        <v>1376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8"/>
      <c r="U1" s="19"/>
      <c r="V1" s="15"/>
      <c r="W1" s="20"/>
      <c r="X1" s="15"/>
      <c r="Y1" s="15"/>
      <c r="Z1" s="15"/>
      <c r="AA1" s="15"/>
      <c r="AB1" s="15"/>
    </row>
    <row r="2" spans="1:28">
      <c r="A2" t="s">
        <v>1377</v>
      </c>
    </row>
    <row r="4" spans="1:28" ht="15">
      <c r="A4" s="17" t="s">
        <v>1378</v>
      </c>
      <c r="B4" s="17" t="s">
        <v>87</v>
      </c>
      <c r="C4" s="17" t="s">
        <v>95</v>
      </c>
      <c r="D4" s="17" t="s">
        <v>12</v>
      </c>
      <c r="E4" s="17" t="s">
        <v>13</v>
      </c>
      <c r="F4" s="17" t="s">
        <v>14</v>
      </c>
      <c r="G4" s="17" t="s">
        <v>15</v>
      </c>
      <c r="H4" s="17" t="s">
        <v>18</v>
      </c>
      <c r="I4" s="17" t="s">
        <v>104</v>
      </c>
      <c r="J4" s="17" t="s">
        <v>106</v>
      </c>
      <c r="K4" s="17" t="s">
        <v>103</v>
      </c>
      <c r="L4" s="17" t="s">
        <v>383</v>
      </c>
      <c r="M4" s="17" t="s">
        <v>1379</v>
      </c>
      <c r="N4" s="17" t="s">
        <v>1380</v>
      </c>
      <c r="O4" s="17" t="s">
        <v>1381</v>
      </c>
      <c r="P4" s="17" t="s">
        <v>1382</v>
      </c>
      <c r="Q4" s="17" t="s">
        <v>1383</v>
      </c>
      <c r="R4" s="17" t="s">
        <v>1384</v>
      </c>
      <c r="S4" s="17" t="s">
        <v>1385</v>
      </c>
      <c r="T4" s="17" t="s">
        <v>1386</v>
      </c>
      <c r="U4" s="17" t="s">
        <v>1387</v>
      </c>
      <c r="V4" s="17" t="s">
        <v>71</v>
      </c>
      <c r="W4" s="17" t="s">
        <v>1388</v>
      </c>
      <c r="X4" s="17" t="s">
        <v>1389</v>
      </c>
      <c r="Y4" s="17" t="s">
        <v>394</v>
      </c>
      <c r="Z4" s="17" t="s">
        <v>1390</v>
      </c>
      <c r="AA4" s="17" t="s">
        <v>1391</v>
      </c>
      <c r="AB4" s="17" t="s">
        <v>94</v>
      </c>
    </row>
    <row r="5" spans="1:28">
      <c r="A5" t="s">
        <v>1392</v>
      </c>
      <c r="B5" t="s">
        <v>1393</v>
      </c>
      <c r="C5" t="s">
        <v>425</v>
      </c>
      <c r="D5" t="s">
        <v>30</v>
      </c>
      <c r="E5">
        <v>21</v>
      </c>
      <c r="F5" s="7">
        <v>45951</v>
      </c>
      <c r="G5" t="s">
        <v>31</v>
      </c>
      <c r="H5" t="s">
        <v>34</v>
      </c>
      <c r="I5" t="s">
        <v>108</v>
      </c>
      <c r="J5" t="s">
        <v>114</v>
      </c>
      <c r="K5" t="s">
        <v>113</v>
      </c>
      <c r="L5">
        <v>1</v>
      </c>
      <c r="M5">
        <v>1</v>
      </c>
      <c r="N5" t="s">
        <v>1394</v>
      </c>
      <c r="Q5">
        <v>3.08</v>
      </c>
      <c r="R5">
        <f>IF(B5="","",SUMIF(ProductionConfiguration!$B$5:$B$914,C5,ProductionConfiguration!$S$5:$S$914))</f>
        <v>20</v>
      </c>
      <c r="S5">
        <f>IF(B5="","",IF(K5="Line",R5,IF(K5="Section",SUMIFS(ProductionConfiguration!$S$5:$S$914,ProductionConfiguration!$B$5:$B$914,C5,ProductionConfiguration!$I$5:$I$914,L5),IF(K5="Cavity",IF(M5=1,SUMIFS(ProductionConfiguration!$P$5:$P$914,ProductionConfiguration!$B$5:$B$914,C5,ProductionConfiguration!$I$5:$I$914,L5),IF(M5=2,SUMIFS(ProductionConfiguration!$Q$5:$Q$914,ProductionConfiguration!$B$5:$B$914,C5,ProductionConfiguration!$I$5:$I$914,L5),SUMIFS(ProductionConfiguration!$R$5:$R$914,ProductionConfiguration!$B$5:$B$914,C5,ProductionConfiguration!$I$5:$I$914,L5))),0))))</f>
        <v>1</v>
      </c>
      <c r="T5">
        <f t="shared" ref="T5:T36" si="0">IF(B5="","",IFERROR(S5/R5,0))</f>
        <v>0.05</v>
      </c>
      <c r="U5">
        <f t="shared" ref="U5:U36" si="1">IF(B5="","",Q5*T5)</f>
        <v>0.15400000000000003</v>
      </c>
      <c r="V5">
        <f>IF(C5="","",SUMIF(DailyProduction!$Q$5:$Q$100,C5,DailyProduction!$J$5:$J$100))</f>
        <v>10</v>
      </c>
      <c r="W5">
        <f t="shared" ref="W5:W36" si="2">IF(B5="","",Q5*60*V5*S5)</f>
        <v>1848</v>
      </c>
      <c r="X5" t="s">
        <v>1395</v>
      </c>
      <c r="Y5" t="str">
        <f>IF(B5="","",IF(COUNTIF(JobChange!$S$5:$S$100,B5)=1,"OK","CHECK"))</f>
        <v>OK</v>
      </c>
      <c r="Z5" t="str">
        <f t="shared" ref="Z5:Z36" si="3">IF(B5="","",IF(OR(AND(K5="Line",J5="L"&amp;E5),AND(K5="Section",J5="L"&amp;E5&amp;"-S"&amp;TEXT(L5,"00")),AND(K5="Cavity",J5="L"&amp;E5&amp;"-S"&amp;TEXT(L5,"00")&amp;"-C"&amp;M5)),"OK","CHECK"))</f>
        <v>OK</v>
      </c>
      <c r="AA5" t="str">
        <f t="shared" ref="AA5:AA36" si="4">IF(B5="","",IF(AND(Q5&gt;0,OR(AND(O5="",P5=""),AND(O5&lt;&gt;"",P5&lt;&gt;"",P5&gt;=O5,ABS(Q5-((P5-O5)*24))&lt;=0.01))),"OK","CHECK"))</f>
        <v>OK</v>
      </c>
      <c r="AB5" t="str">
        <f t="shared" ref="AB5:AB36" si="5">IF(B5="","",IF(AND(Y5="OK",Z5="OK",AA5="OK",R5&gt;0,S5&gt;0),"OK","CHECK"))</f>
        <v>OK</v>
      </c>
    </row>
    <row r="6" spans="1:28">
      <c r="A6" t="s">
        <v>1396</v>
      </c>
      <c r="B6" t="s">
        <v>1393</v>
      </c>
      <c r="C6" t="s">
        <v>425</v>
      </c>
      <c r="D6" t="s">
        <v>30</v>
      </c>
      <c r="E6">
        <v>21</v>
      </c>
      <c r="F6" s="7">
        <v>45951</v>
      </c>
      <c r="G6" t="s">
        <v>31</v>
      </c>
      <c r="H6" t="s">
        <v>34</v>
      </c>
      <c r="I6" t="s">
        <v>111</v>
      </c>
      <c r="J6" t="s">
        <v>120</v>
      </c>
      <c r="K6" t="s">
        <v>110</v>
      </c>
      <c r="L6">
        <v>2</v>
      </c>
      <c r="N6" t="s">
        <v>1394</v>
      </c>
      <c r="Q6">
        <v>1</v>
      </c>
      <c r="R6">
        <f>IF(B6="","",SUMIF(ProductionConfiguration!$B$5:$B$914,C6,ProductionConfiguration!$S$5:$S$914))</f>
        <v>20</v>
      </c>
      <c r="S6">
        <f>IF(B6="","",IF(K6="Line",R6,IF(K6="Section",SUMIFS(ProductionConfiguration!$S$5:$S$914,ProductionConfiguration!$B$5:$B$914,C6,ProductionConfiguration!$I$5:$I$914,L6),IF(K6="Cavity",IF(M6=1,SUMIFS(ProductionConfiguration!$P$5:$P$914,ProductionConfiguration!$B$5:$B$914,C6,ProductionConfiguration!$I$5:$I$914,L6),IF(M6=2,SUMIFS(ProductionConfiguration!$Q$5:$Q$914,ProductionConfiguration!$B$5:$B$914,C6,ProductionConfiguration!$I$5:$I$914,L6),SUMIFS(ProductionConfiguration!$R$5:$R$914,ProductionConfiguration!$B$5:$B$914,C6,ProductionConfiguration!$I$5:$I$914,L6))),0))))</f>
        <v>2</v>
      </c>
      <c r="T6">
        <f t="shared" si="0"/>
        <v>0.1</v>
      </c>
      <c r="U6">
        <f t="shared" si="1"/>
        <v>0.1</v>
      </c>
      <c r="V6">
        <f>IF(C6="","",SUMIF(DailyProduction!$Q$5:$Q$100,C6,DailyProduction!$J$5:$J$100))</f>
        <v>10</v>
      </c>
      <c r="W6">
        <f t="shared" si="2"/>
        <v>1200</v>
      </c>
      <c r="X6" t="s">
        <v>1395</v>
      </c>
      <c r="Y6" t="str">
        <f>IF(B6="","",IF(COUNTIF(JobChange!$S$5:$S$100,B6)=1,"OK","CHECK"))</f>
        <v>OK</v>
      </c>
      <c r="Z6" t="str">
        <f t="shared" si="3"/>
        <v>OK</v>
      </c>
      <c r="AA6" t="str">
        <f t="shared" si="4"/>
        <v>OK</v>
      </c>
      <c r="AB6" t="str">
        <f t="shared" si="5"/>
        <v>OK</v>
      </c>
    </row>
    <row r="7" spans="1:28">
      <c r="A7" t="s">
        <v>1397</v>
      </c>
      <c r="B7" t="s">
        <v>1393</v>
      </c>
      <c r="C7" t="s">
        <v>425</v>
      </c>
      <c r="D7" t="s">
        <v>30</v>
      </c>
      <c r="E7">
        <v>21</v>
      </c>
      <c r="F7" s="7">
        <v>45951</v>
      </c>
      <c r="G7" t="s">
        <v>31</v>
      </c>
      <c r="H7" t="s">
        <v>34</v>
      </c>
      <c r="I7" t="s">
        <v>80</v>
      </c>
      <c r="J7" t="s">
        <v>124</v>
      </c>
      <c r="K7" t="s">
        <v>110</v>
      </c>
      <c r="L7">
        <v>3</v>
      </c>
      <c r="N7" t="s">
        <v>1394</v>
      </c>
      <c r="Q7">
        <v>0.19</v>
      </c>
      <c r="R7">
        <f>IF(B7="","",SUMIF(ProductionConfiguration!$B$5:$B$914,C7,ProductionConfiguration!$S$5:$S$914))</f>
        <v>20</v>
      </c>
      <c r="S7">
        <f>IF(B7="","",IF(K7="Line",R7,IF(K7="Section",SUMIFS(ProductionConfiguration!$S$5:$S$914,ProductionConfiguration!$B$5:$B$914,C7,ProductionConfiguration!$I$5:$I$914,L7),IF(K7="Cavity",IF(M7=1,SUMIFS(ProductionConfiguration!$P$5:$P$914,ProductionConfiguration!$B$5:$B$914,C7,ProductionConfiguration!$I$5:$I$914,L7),IF(M7=2,SUMIFS(ProductionConfiguration!$Q$5:$Q$914,ProductionConfiguration!$B$5:$B$914,C7,ProductionConfiguration!$I$5:$I$914,L7),SUMIFS(ProductionConfiguration!$R$5:$R$914,ProductionConfiguration!$B$5:$B$914,C7,ProductionConfiguration!$I$5:$I$914,L7))),0))))</f>
        <v>2</v>
      </c>
      <c r="T7">
        <f t="shared" si="0"/>
        <v>0.1</v>
      </c>
      <c r="U7">
        <f t="shared" si="1"/>
        <v>1.9000000000000003E-2</v>
      </c>
      <c r="V7">
        <f>IF(C7="","",SUMIF(DailyProduction!$Q$5:$Q$100,C7,DailyProduction!$J$5:$J$100))</f>
        <v>10</v>
      </c>
      <c r="W7">
        <f t="shared" si="2"/>
        <v>228</v>
      </c>
      <c r="X7" t="s">
        <v>1395</v>
      </c>
      <c r="Y7" t="str">
        <f>IF(B7="","",IF(COUNTIF(JobChange!$S$5:$S$100,B7)=1,"OK","CHECK"))</f>
        <v>OK</v>
      </c>
      <c r="Z7" t="str">
        <f t="shared" si="3"/>
        <v>OK</v>
      </c>
      <c r="AA7" t="str">
        <f t="shared" si="4"/>
        <v>OK</v>
      </c>
      <c r="AB7" t="str">
        <f t="shared" si="5"/>
        <v>OK</v>
      </c>
    </row>
    <row r="8" spans="1:28">
      <c r="A8" t="s">
        <v>1398</v>
      </c>
      <c r="B8" t="s">
        <v>1399</v>
      </c>
      <c r="C8" t="s">
        <v>537</v>
      </c>
      <c r="D8" t="s">
        <v>30</v>
      </c>
      <c r="E8">
        <v>21</v>
      </c>
      <c r="F8" s="7">
        <v>45955</v>
      </c>
      <c r="G8" t="s">
        <v>31</v>
      </c>
      <c r="H8" t="s">
        <v>38</v>
      </c>
      <c r="I8" t="s">
        <v>108</v>
      </c>
      <c r="J8" t="s">
        <v>128</v>
      </c>
      <c r="K8" t="s">
        <v>110</v>
      </c>
      <c r="L8">
        <v>4</v>
      </c>
      <c r="N8" t="s">
        <v>1394</v>
      </c>
      <c r="Q8">
        <v>3.15</v>
      </c>
      <c r="R8">
        <f>IF(B8="","",SUMIF(ProductionConfiguration!$B$5:$B$914,C8,ProductionConfiguration!$S$5:$S$914))</f>
        <v>30</v>
      </c>
      <c r="S8">
        <f>IF(B8="","",IF(K8="Line",R8,IF(K8="Section",SUMIFS(ProductionConfiguration!$S$5:$S$914,ProductionConfiguration!$B$5:$B$914,C8,ProductionConfiguration!$I$5:$I$914,L8),IF(K8="Cavity",IF(M8=1,SUMIFS(ProductionConfiguration!$P$5:$P$914,ProductionConfiguration!$B$5:$B$914,C8,ProductionConfiguration!$I$5:$I$914,L8),IF(M8=2,SUMIFS(ProductionConfiguration!$Q$5:$Q$914,ProductionConfiguration!$B$5:$B$914,C8,ProductionConfiguration!$I$5:$I$914,L8),SUMIFS(ProductionConfiguration!$R$5:$R$914,ProductionConfiguration!$B$5:$B$914,C8,ProductionConfiguration!$I$5:$I$914,L8))),0))))</f>
        <v>3</v>
      </c>
      <c r="T8">
        <f t="shared" si="0"/>
        <v>0.1</v>
      </c>
      <c r="U8">
        <f t="shared" si="1"/>
        <v>0.315</v>
      </c>
      <c r="V8">
        <f>IF(C8="","",SUMIF(DailyProduction!$Q$5:$Q$100,C8,DailyProduction!$J$5:$J$100))</f>
        <v>11</v>
      </c>
      <c r="W8">
        <f t="shared" si="2"/>
        <v>6237</v>
      </c>
      <c r="X8" t="s">
        <v>1395</v>
      </c>
      <c r="Y8" t="str">
        <f>IF(B8="","",IF(COUNTIF(JobChange!$S$5:$S$100,B8)=1,"OK","CHECK"))</f>
        <v>OK</v>
      </c>
      <c r="Z8" t="str">
        <f t="shared" si="3"/>
        <v>OK</v>
      </c>
      <c r="AA8" t="str">
        <f t="shared" si="4"/>
        <v>OK</v>
      </c>
      <c r="AB8" t="str">
        <f t="shared" si="5"/>
        <v>OK</v>
      </c>
    </row>
    <row r="9" spans="1:28">
      <c r="A9" t="s">
        <v>1400</v>
      </c>
      <c r="B9" t="s">
        <v>1399</v>
      </c>
      <c r="C9" t="s">
        <v>537</v>
      </c>
      <c r="D9" t="s">
        <v>30</v>
      </c>
      <c r="E9">
        <v>21</v>
      </c>
      <c r="F9" s="7">
        <v>45955</v>
      </c>
      <c r="G9" t="s">
        <v>31</v>
      </c>
      <c r="H9" t="s">
        <v>38</v>
      </c>
      <c r="I9" t="s">
        <v>111</v>
      </c>
      <c r="J9" t="s">
        <v>132</v>
      </c>
      <c r="K9" t="s">
        <v>110</v>
      </c>
      <c r="L9">
        <v>5</v>
      </c>
      <c r="N9" t="s">
        <v>1394</v>
      </c>
      <c r="Q9">
        <v>1.2</v>
      </c>
      <c r="R9">
        <f>IF(B9="","",SUMIF(ProductionConfiguration!$B$5:$B$914,C9,ProductionConfiguration!$S$5:$S$914))</f>
        <v>30</v>
      </c>
      <c r="S9">
        <f>IF(B9="","",IF(K9="Line",R9,IF(K9="Section",SUMIFS(ProductionConfiguration!$S$5:$S$914,ProductionConfiguration!$B$5:$B$914,C9,ProductionConfiguration!$I$5:$I$914,L9),IF(K9="Cavity",IF(M9=1,SUMIFS(ProductionConfiguration!$P$5:$P$914,ProductionConfiguration!$B$5:$B$914,C9,ProductionConfiguration!$I$5:$I$914,L9),IF(M9=2,SUMIFS(ProductionConfiguration!$Q$5:$Q$914,ProductionConfiguration!$B$5:$B$914,C9,ProductionConfiguration!$I$5:$I$914,L9),SUMIFS(ProductionConfiguration!$R$5:$R$914,ProductionConfiguration!$B$5:$B$914,C9,ProductionConfiguration!$I$5:$I$914,L9))),0))))</f>
        <v>3</v>
      </c>
      <c r="T9">
        <f t="shared" si="0"/>
        <v>0.1</v>
      </c>
      <c r="U9">
        <f t="shared" si="1"/>
        <v>0.12</v>
      </c>
      <c r="V9">
        <f>IF(C9="","",SUMIF(DailyProduction!$Q$5:$Q$100,C9,DailyProduction!$J$5:$J$100))</f>
        <v>11</v>
      </c>
      <c r="W9">
        <f t="shared" si="2"/>
        <v>2376</v>
      </c>
      <c r="X9" t="s">
        <v>1395</v>
      </c>
      <c r="Y9" t="str">
        <f>IF(B9="","",IF(COUNTIF(JobChange!$S$5:$S$100,B9)=1,"OK","CHECK"))</f>
        <v>OK</v>
      </c>
      <c r="Z9" t="str">
        <f t="shared" si="3"/>
        <v>OK</v>
      </c>
      <c r="AA9" t="str">
        <f t="shared" si="4"/>
        <v>OK</v>
      </c>
      <c r="AB9" t="str">
        <f t="shared" si="5"/>
        <v>OK</v>
      </c>
    </row>
    <row r="10" spans="1:28">
      <c r="A10" t="s">
        <v>1401</v>
      </c>
      <c r="B10" t="s">
        <v>1399</v>
      </c>
      <c r="C10" t="s">
        <v>537</v>
      </c>
      <c r="D10" t="s">
        <v>30</v>
      </c>
      <c r="E10">
        <v>21</v>
      </c>
      <c r="F10" s="7">
        <v>45955</v>
      </c>
      <c r="G10" t="s">
        <v>31</v>
      </c>
      <c r="H10" t="s">
        <v>38</v>
      </c>
      <c r="I10" t="s">
        <v>80</v>
      </c>
      <c r="J10" t="s">
        <v>116</v>
      </c>
      <c r="K10" t="s">
        <v>113</v>
      </c>
      <c r="L10">
        <v>1</v>
      </c>
      <c r="M10">
        <v>2</v>
      </c>
      <c r="N10" t="s">
        <v>1394</v>
      </c>
      <c r="Q10">
        <v>0.1</v>
      </c>
      <c r="R10">
        <f>IF(B10="","",SUMIF(ProductionConfiguration!$B$5:$B$914,C10,ProductionConfiguration!$S$5:$S$914))</f>
        <v>30</v>
      </c>
      <c r="S10">
        <f>IF(B10="","",IF(K10="Line",R10,IF(K10="Section",SUMIFS(ProductionConfiguration!$S$5:$S$914,ProductionConfiguration!$B$5:$B$914,C10,ProductionConfiguration!$I$5:$I$914,L10),IF(K10="Cavity",IF(M10=1,SUMIFS(ProductionConfiguration!$P$5:$P$914,ProductionConfiguration!$B$5:$B$914,C10,ProductionConfiguration!$I$5:$I$914,L10),IF(M10=2,SUMIFS(ProductionConfiguration!$Q$5:$Q$914,ProductionConfiguration!$B$5:$B$914,C10,ProductionConfiguration!$I$5:$I$914,L10),SUMIFS(ProductionConfiguration!$R$5:$R$914,ProductionConfiguration!$B$5:$B$914,C10,ProductionConfiguration!$I$5:$I$914,L10))),0))))</f>
        <v>1</v>
      </c>
      <c r="T10">
        <f t="shared" si="0"/>
        <v>3.3333333333333333E-2</v>
      </c>
      <c r="U10">
        <f t="shared" si="1"/>
        <v>3.3333333333333335E-3</v>
      </c>
      <c r="V10">
        <f>IF(C10="","",SUMIF(DailyProduction!$Q$5:$Q$100,C10,DailyProduction!$J$5:$J$100))</f>
        <v>11</v>
      </c>
      <c r="W10">
        <f t="shared" si="2"/>
        <v>66</v>
      </c>
      <c r="X10" t="s">
        <v>1395</v>
      </c>
      <c r="Y10" t="str">
        <f>IF(B10="","",IF(COUNTIF(JobChange!$S$5:$S$100,B10)=1,"OK","CHECK"))</f>
        <v>OK</v>
      </c>
      <c r="Z10" t="str">
        <f t="shared" si="3"/>
        <v>OK</v>
      </c>
      <c r="AA10" t="str">
        <f t="shared" si="4"/>
        <v>OK</v>
      </c>
      <c r="AB10" t="str">
        <f t="shared" si="5"/>
        <v>OK</v>
      </c>
    </row>
    <row r="11" spans="1:28">
      <c r="A11" t="s">
        <v>1402</v>
      </c>
      <c r="B11" t="s">
        <v>1399</v>
      </c>
      <c r="C11" t="s">
        <v>537</v>
      </c>
      <c r="D11" t="s">
        <v>30</v>
      </c>
      <c r="E11">
        <v>21</v>
      </c>
      <c r="F11" s="7">
        <v>45955</v>
      </c>
      <c r="G11" t="s">
        <v>31</v>
      </c>
      <c r="H11" t="s">
        <v>38</v>
      </c>
      <c r="I11" t="s">
        <v>115</v>
      </c>
      <c r="J11" t="s">
        <v>114</v>
      </c>
      <c r="K11" t="s">
        <v>113</v>
      </c>
      <c r="L11">
        <v>1</v>
      </c>
      <c r="M11">
        <v>1</v>
      </c>
      <c r="N11" t="s">
        <v>39</v>
      </c>
      <c r="Q11">
        <v>0.51</v>
      </c>
      <c r="R11">
        <f>IF(B11="","",SUMIF(ProductionConfiguration!$B$5:$B$914,C11,ProductionConfiguration!$S$5:$S$914))</f>
        <v>30</v>
      </c>
      <c r="S11">
        <f>IF(B11="","",IF(K11="Line",R11,IF(K11="Section",SUMIFS(ProductionConfiguration!$S$5:$S$914,ProductionConfiguration!$B$5:$B$914,C11,ProductionConfiguration!$I$5:$I$914,L11),IF(K11="Cavity",IF(M11=1,SUMIFS(ProductionConfiguration!$P$5:$P$914,ProductionConfiguration!$B$5:$B$914,C11,ProductionConfiguration!$I$5:$I$914,L11),IF(M11=2,SUMIFS(ProductionConfiguration!$Q$5:$Q$914,ProductionConfiguration!$B$5:$B$914,C11,ProductionConfiguration!$I$5:$I$914,L11),SUMIFS(ProductionConfiguration!$R$5:$R$914,ProductionConfiguration!$B$5:$B$914,C11,ProductionConfiguration!$I$5:$I$914,L11))),0))))</f>
        <v>1</v>
      </c>
      <c r="T11">
        <f t="shared" si="0"/>
        <v>3.3333333333333333E-2</v>
      </c>
      <c r="U11">
        <f t="shared" si="1"/>
        <v>1.7000000000000001E-2</v>
      </c>
      <c r="V11">
        <f>IF(C11="","",SUMIF(DailyProduction!$Q$5:$Q$100,C11,DailyProduction!$J$5:$J$100))</f>
        <v>11</v>
      </c>
      <c r="W11">
        <f t="shared" si="2"/>
        <v>336.6</v>
      </c>
      <c r="X11" t="s">
        <v>1395</v>
      </c>
      <c r="Y11" t="str">
        <f>IF(B11="","",IF(COUNTIF(JobChange!$S$5:$S$100,B11)=1,"OK","CHECK"))</f>
        <v>OK</v>
      </c>
      <c r="Z11" t="str">
        <f t="shared" si="3"/>
        <v>OK</v>
      </c>
      <c r="AA11" t="str">
        <f t="shared" si="4"/>
        <v>OK</v>
      </c>
      <c r="AB11" t="str">
        <f t="shared" si="5"/>
        <v>OK</v>
      </c>
    </row>
    <row r="12" spans="1:28">
      <c r="A12" t="s">
        <v>1403</v>
      </c>
      <c r="B12" t="s">
        <v>1404</v>
      </c>
      <c r="C12" t="s">
        <v>593</v>
      </c>
      <c r="D12" t="s">
        <v>30</v>
      </c>
      <c r="E12">
        <v>22</v>
      </c>
      <c r="F12" s="7">
        <v>45950</v>
      </c>
      <c r="G12" t="s">
        <v>31</v>
      </c>
      <c r="H12" t="s">
        <v>43</v>
      </c>
      <c r="I12" t="s">
        <v>108</v>
      </c>
      <c r="J12" t="s">
        <v>173</v>
      </c>
      <c r="K12" t="s">
        <v>110</v>
      </c>
      <c r="L12">
        <v>2</v>
      </c>
      <c r="N12" t="s">
        <v>1394</v>
      </c>
      <c r="Q12">
        <v>6.84</v>
      </c>
      <c r="R12">
        <f>IF(B12="","",SUMIF(ProductionConfiguration!$B$5:$B$914,C12,ProductionConfiguration!$S$5:$S$914))</f>
        <v>20</v>
      </c>
      <c r="S12">
        <f>IF(B12="","",IF(K12="Line",R12,IF(K12="Section",SUMIFS(ProductionConfiguration!$S$5:$S$914,ProductionConfiguration!$B$5:$B$914,C12,ProductionConfiguration!$I$5:$I$914,L12),IF(K12="Cavity",IF(M12=1,SUMIFS(ProductionConfiguration!$P$5:$P$914,ProductionConfiguration!$B$5:$B$914,C12,ProductionConfiguration!$I$5:$I$914,L12),IF(M12=2,SUMIFS(ProductionConfiguration!$Q$5:$Q$914,ProductionConfiguration!$B$5:$B$914,C12,ProductionConfiguration!$I$5:$I$914,L12),SUMIFS(ProductionConfiguration!$R$5:$R$914,ProductionConfiguration!$B$5:$B$914,C12,ProductionConfiguration!$I$5:$I$914,L12))),0))))</f>
        <v>2</v>
      </c>
      <c r="T12">
        <f t="shared" si="0"/>
        <v>0.1</v>
      </c>
      <c r="U12">
        <f t="shared" si="1"/>
        <v>0.68400000000000005</v>
      </c>
      <c r="V12">
        <f>IF(C12="","",SUMIF(DailyProduction!$Q$5:$Q$100,C12,DailyProduction!$J$5:$J$100))</f>
        <v>10</v>
      </c>
      <c r="W12">
        <f t="shared" si="2"/>
        <v>8208</v>
      </c>
      <c r="X12" t="s">
        <v>1395</v>
      </c>
      <c r="Y12" t="str">
        <f>IF(B12="","",IF(COUNTIF(JobChange!$S$5:$S$100,B12)=1,"OK","CHECK"))</f>
        <v>OK</v>
      </c>
      <c r="Z12" t="str">
        <f t="shared" si="3"/>
        <v>OK</v>
      </c>
      <c r="AA12" t="str">
        <f t="shared" si="4"/>
        <v>OK</v>
      </c>
      <c r="AB12" t="str">
        <f t="shared" si="5"/>
        <v>OK</v>
      </c>
    </row>
    <row r="13" spans="1:28">
      <c r="A13" t="s">
        <v>1405</v>
      </c>
      <c r="B13" t="s">
        <v>1404</v>
      </c>
      <c r="C13" t="s">
        <v>593</v>
      </c>
      <c r="D13" t="s">
        <v>30</v>
      </c>
      <c r="E13">
        <v>22</v>
      </c>
      <c r="F13" s="7">
        <v>45950</v>
      </c>
      <c r="G13" t="s">
        <v>31</v>
      </c>
      <c r="H13" t="s">
        <v>43</v>
      </c>
      <c r="I13" t="s">
        <v>111</v>
      </c>
      <c r="J13" t="s">
        <v>177</v>
      </c>
      <c r="K13" t="s">
        <v>110</v>
      </c>
      <c r="L13">
        <v>3</v>
      </c>
      <c r="N13" t="s">
        <v>1394</v>
      </c>
      <c r="Q13">
        <v>1.63</v>
      </c>
      <c r="R13">
        <f>IF(B13="","",SUMIF(ProductionConfiguration!$B$5:$B$914,C13,ProductionConfiguration!$S$5:$S$914))</f>
        <v>20</v>
      </c>
      <c r="S13">
        <f>IF(B13="","",IF(K13="Line",R13,IF(K13="Section",SUMIFS(ProductionConfiguration!$S$5:$S$914,ProductionConfiguration!$B$5:$B$914,C13,ProductionConfiguration!$I$5:$I$914,L13),IF(K13="Cavity",IF(M13=1,SUMIFS(ProductionConfiguration!$P$5:$P$914,ProductionConfiguration!$B$5:$B$914,C13,ProductionConfiguration!$I$5:$I$914,L13),IF(M13=2,SUMIFS(ProductionConfiguration!$Q$5:$Q$914,ProductionConfiguration!$B$5:$B$914,C13,ProductionConfiguration!$I$5:$I$914,L13),SUMIFS(ProductionConfiguration!$R$5:$R$914,ProductionConfiguration!$B$5:$B$914,C13,ProductionConfiguration!$I$5:$I$914,L13))),0))))</f>
        <v>2</v>
      </c>
      <c r="T13">
        <f t="shared" si="0"/>
        <v>0.1</v>
      </c>
      <c r="U13">
        <f t="shared" si="1"/>
        <v>0.16300000000000001</v>
      </c>
      <c r="V13">
        <f>IF(C13="","",SUMIF(DailyProduction!$Q$5:$Q$100,C13,DailyProduction!$J$5:$J$100))</f>
        <v>10</v>
      </c>
      <c r="W13">
        <f t="shared" si="2"/>
        <v>1956</v>
      </c>
      <c r="X13" t="s">
        <v>1395</v>
      </c>
      <c r="Y13" t="str">
        <f>IF(B13="","",IF(COUNTIF(JobChange!$S$5:$S$100,B13)=1,"OK","CHECK"))</f>
        <v>OK</v>
      </c>
      <c r="Z13" t="str">
        <f t="shared" si="3"/>
        <v>OK</v>
      </c>
      <c r="AA13" t="str">
        <f t="shared" si="4"/>
        <v>OK</v>
      </c>
      <c r="AB13" t="str">
        <f t="shared" si="5"/>
        <v>OK</v>
      </c>
    </row>
    <row r="14" spans="1:28">
      <c r="A14" t="s">
        <v>1406</v>
      </c>
      <c r="B14" t="s">
        <v>1404</v>
      </c>
      <c r="C14" t="s">
        <v>593</v>
      </c>
      <c r="D14" t="s">
        <v>30</v>
      </c>
      <c r="E14">
        <v>22</v>
      </c>
      <c r="F14" s="7">
        <v>45950</v>
      </c>
      <c r="G14" t="s">
        <v>31</v>
      </c>
      <c r="H14" t="s">
        <v>43</v>
      </c>
      <c r="I14" t="s">
        <v>80</v>
      </c>
      <c r="J14" t="s">
        <v>178</v>
      </c>
      <c r="K14" t="s">
        <v>113</v>
      </c>
      <c r="L14">
        <v>3</v>
      </c>
      <c r="M14">
        <v>1</v>
      </c>
      <c r="N14" t="s">
        <v>1394</v>
      </c>
      <c r="Q14">
        <v>0.78</v>
      </c>
      <c r="R14">
        <f>IF(B14="","",SUMIF(ProductionConfiguration!$B$5:$B$914,C14,ProductionConfiguration!$S$5:$S$914))</f>
        <v>20</v>
      </c>
      <c r="S14">
        <f>IF(B14="","",IF(K14="Line",R14,IF(K14="Section",SUMIFS(ProductionConfiguration!$S$5:$S$914,ProductionConfiguration!$B$5:$B$914,C14,ProductionConfiguration!$I$5:$I$914,L14),IF(K14="Cavity",IF(M14=1,SUMIFS(ProductionConfiguration!$P$5:$P$914,ProductionConfiguration!$B$5:$B$914,C14,ProductionConfiguration!$I$5:$I$914,L14),IF(M14=2,SUMIFS(ProductionConfiguration!$Q$5:$Q$914,ProductionConfiguration!$B$5:$B$914,C14,ProductionConfiguration!$I$5:$I$914,L14),SUMIFS(ProductionConfiguration!$R$5:$R$914,ProductionConfiguration!$B$5:$B$914,C14,ProductionConfiguration!$I$5:$I$914,L14))),0))))</f>
        <v>1</v>
      </c>
      <c r="T14">
        <f t="shared" si="0"/>
        <v>0.05</v>
      </c>
      <c r="U14">
        <f t="shared" si="1"/>
        <v>3.9000000000000007E-2</v>
      </c>
      <c r="V14">
        <f>IF(C14="","",SUMIF(DailyProduction!$Q$5:$Q$100,C14,DailyProduction!$J$5:$J$100))</f>
        <v>10</v>
      </c>
      <c r="W14">
        <f t="shared" si="2"/>
        <v>468.00000000000006</v>
      </c>
      <c r="X14" t="s">
        <v>1395</v>
      </c>
      <c r="Y14" t="str">
        <f>IF(B14="","",IF(COUNTIF(JobChange!$S$5:$S$100,B14)=1,"OK","CHECK"))</f>
        <v>OK</v>
      </c>
      <c r="Z14" t="str">
        <f t="shared" si="3"/>
        <v>OK</v>
      </c>
      <c r="AA14" t="str">
        <f t="shared" si="4"/>
        <v>OK</v>
      </c>
      <c r="AB14" t="str">
        <f t="shared" si="5"/>
        <v>OK</v>
      </c>
    </row>
    <row r="15" spans="1:28">
      <c r="A15" t="s">
        <v>1407</v>
      </c>
      <c r="B15" t="s">
        <v>1404</v>
      </c>
      <c r="C15" t="s">
        <v>593</v>
      </c>
      <c r="D15" t="s">
        <v>30</v>
      </c>
      <c r="E15">
        <v>22</v>
      </c>
      <c r="F15" s="7">
        <v>45950</v>
      </c>
      <c r="G15" t="s">
        <v>31</v>
      </c>
      <c r="H15" t="s">
        <v>43</v>
      </c>
      <c r="I15" t="s">
        <v>119</v>
      </c>
      <c r="J15" t="s">
        <v>181</v>
      </c>
      <c r="K15" t="s">
        <v>110</v>
      </c>
      <c r="L15">
        <v>4</v>
      </c>
      <c r="N15" t="s">
        <v>45</v>
      </c>
      <c r="Q15">
        <v>0.24</v>
      </c>
      <c r="R15">
        <f>IF(B15="","",SUMIF(ProductionConfiguration!$B$5:$B$914,C15,ProductionConfiguration!$S$5:$S$914))</f>
        <v>20</v>
      </c>
      <c r="S15">
        <f>IF(B15="","",IF(K15="Line",R15,IF(K15="Section",SUMIFS(ProductionConfiguration!$S$5:$S$914,ProductionConfiguration!$B$5:$B$914,C15,ProductionConfiguration!$I$5:$I$914,L15),IF(K15="Cavity",IF(M15=1,SUMIFS(ProductionConfiguration!$P$5:$P$914,ProductionConfiguration!$B$5:$B$914,C15,ProductionConfiguration!$I$5:$I$914,L15),IF(M15=2,SUMIFS(ProductionConfiguration!$Q$5:$Q$914,ProductionConfiguration!$B$5:$B$914,C15,ProductionConfiguration!$I$5:$I$914,L15),SUMIFS(ProductionConfiguration!$R$5:$R$914,ProductionConfiguration!$B$5:$B$914,C15,ProductionConfiguration!$I$5:$I$914,L15))),0))))</f>
        <v>2</v>
      </c>
      <c r="T15">
        <f t="shared" si="0"/>
        <v>0.1</v>
      </c>
      <c r="U15">
        <f t="shared" si="1"/>
        <v>2.4E-2</v>
      </c>
      <c r="V15">
        <f>IF(C15="","",SUMIF(DailyProduction!$Q$5:$Q$100,C15,DailyProduction!$J$5:$J$100))</f>
        <v>10</v>
      </c>
      <c r="W15">
        <f t="shared" si="2"/>
        <v>288</v>
      </c>
      <c r="X15" t="s">
        <v>1395</v>
      </c>
      <c r="Y15" t="str">
        <f>IF(B15="","",IF(COUNTIF(JobChange!$S$5:$S$100,B15)=1,"OK","CHECK"))</f>
        <v>OK</v>
      </c>
      <c r="Z15" t="str">
        <f t="shared" si="3"/>
        <v>OK</v>
      </c>
      <c r="AA15" t="str">
        <f t="shared" si="4"/>
        <v>OK</v>
      </c>
      <c r="AB15" t="str">
        <f t="shared" si="5"/>
        <v>OK</v>
      </c>
    </row>
    <row r="16" spans="1:28">
      <c r="A16" t="s">
        <v>1408</v>
      </c>
      <c r="B16" t="s">
        <v>1409</v>
      </c>
      <c r="C16" t="s">
        <v>761</v>
      </c>
      <c r="D16" t="s">
        <v>30</v>
      </c>
      <c r="E16">
        <v>22</v>
      </c>
      <c r="F16" s="7">
        <v>45956</v>
      </c>
      <c r="G16" t="s">
        <v>31</v>
      </c>
      <c r="H16" t="s">
        <v>48</v>
      </c>
      <c r="I16" t="s">
        <v>108</v>
      </c>
      <c r="J16" t="s">
        <v>185</v>
      </c>
      <c r="K16" t="s">
        <v>110</v>
      </c>
      <c r="L16">
        <v>5</v>
      </c>
      <c r="N16" t="s">
        <v>1394</v>
      </c>
      <c r="Q16">
        <v>5.65</v>
      </c>
      <c r="R16">
        <f>IF(B16="","",SUMIF(ProductionConfiguration!$B$5:$B$914,C16,ProductionConfiguration!$S$5:$S$914))</f>
        <v>30</v>
      </c>
      <c r="S16">
        <f>IF(B16="","",IF(K16="Line",R16,IF(K16="Section",SUMIFS(ProductionConfiguration!$S$5:$S$914,ProductionConfiguration!$B$5:$B$914,C16,ProductionConfiguration!$I$5:$I$914,L16),IF(K16="Cavity",IF(M16=1,SUMIFS(ProductionConfiguration!$P$5:$P$914,ProductionConfiguration!$B$5:$B$914,C16,ProductionConfiguration!$I$5:$I$914,L16),IF(M16=2,SUMIFS(ProductionConfiguration!$Q$5:$Q$914,ProductionConfiguration!$B$5:$B$914,C16,ProductionConfiguration!$I$5:$I$914,L16),SUMIFS(ProductionConfiguration!$R$5:$R$914,ProductionConfiguration!$B$5:$B$914,C16,ProductionConfiguration!$I$5:$I$914,L16))),0))))</f>
        <v>3</v>
      </c>
      <c r="T16">
        <f t="shared" si="0"/>
        <v>0.1</v>
      </c>
      <c r="U16">
        <f t="shared" si="1"/>
        <v>0.56500000000000006</v>
      </c>
      <c r="V16">
        <f>IF(C16="","",SUMIF(DailyProduction!$Q$5:$Q$100,C16,DailyProduction!$J$5:$J$100))</f>
        <v>14</v>
      </c>
      <c r="W16">
        <f t="shared" si="2"/>
        <v>14238</v>
      </c>
      <c r="X16" t="s">
        <v>1395</v>
      </c>
      <c r="Y16" t="str">
        <f>IF(B16="","",IF(COUNTIF(JobChange!$S$5:$S$100,B16)=1,"OK","CHECK"))</f>
        <v>OK</v>
      </c>
      <c r="Z16" t="str">
        <f t="shared" si="3"/>
        <v>OK</v>
      </c>
      <c r="AA16" t="str">
        <f t="shared" si="4"/>
        <v>OK</v>
      </c>
      <c r="AB16" t="str">
        <f t="shared" si="5"/>
        <v>OK</v>
      </c>
    </row>
    <row r="17" spans="1:28">
      <c r="A17" t="s">
        <v>1410</v>
      </c>
      <c r="B17" t="s">
        <v>1409</v>
      </c>
      <c r="C17" t="s">
        <v>761</v>
      </c>
      <c r="D17" t="s">
        <v>30</v>
      </c>
      <c r="E17">
        <v>22</v>
      </c>
      <c r="F17" s="7">
        <v>45956</v>
      </c>
      <c r="G17" t="s">
        <v>31</v>
      </c>
      <c r="H17" t="s">
        <v>48</v>
      </c>
      <c r="I17" t="s">
        <v>111</v>
      </c>
      <c r="J17" t="s">
        <v>175</v>
      </c>
      <c r="K17" t="s">
        <v>113</v>
      </c>
      <c r="L17">
        <v>2</v>
      </c>
      <c r="M17">
        <v>2</v>
      </c>
      <c r="N17" t="s">
        <v>1394</v>
      </c>
      <c r="Q17">
        <v>1.35</v>
      </c>
      <c r="R17">
        <f>IF(B17="","",SUMIF(ProductionConfiguration!$B$5:$B$914,C17,ProductionConfiguration!$S$5:$S$914))</f>
        <v>30</v>
      </c>
      <c r="S17">
        <f>IF(B17="","",IF(K17="Line",R17,IF(K17="Section",SUMIFS(ProductionConfiguration!$S$5:$S$914,ProductionConfiguration!$B$5:$B$914,C17,ProductionConfiguration!$I$5:$I$914,L17),IF(K17="Cavity",IF(M17=1,SUMIFS(ProductionConfiguration!$P$5:$P$914,ProductionConfiguration!$B$5:$B$914,C17,ProductionConfiguration!$I$5:$I$914,L17),IF(M17=2,SUMIFS(ProductionConfiguration!$Q$5:$Q$914,ProductionConfiguration!$B$5:$B$914,C17,ProductionConfiguration!$I$5:$I$914,L17),SUMIFS(ProductionConfiguration!$R$5:$R$914,ProductionConfiguration!$B$5:$B$914,C17,ProductionConfiguration!$I$5:$I$914,L17))),0))))</f>
        <v>1</v>
      </c>
      <c r="T17">
        <f t="shared" si="0"/>
        <v>3.3333333333333333E-2</v>
      </c>
      <c r="U17">
        <f t="shared" si="1"/>
        <v>4.5000000000000005E-2</v>
      </c>
      <c r="V17">
        <f>IF(C17="","",SUMIF(DailyProduction!$Q$5:$Q$100,C17,DailyProduction!$J$5:$J$100))</f>
        <v>14</v>
      </c>
      <c r="W17">
        <f t="shared" si="2"/>
        <v>1134</v>
      </c>
      <c r="X17" t="s">
        <v>1395</v>
      </c>
      <c r="Y17" t="str">
        <f>IF(B17="","",IF(COUNTIF(JobChange!$S$5:$S$100,B17)=1,"OK","CHECK"))</f>
        <v>OK</v>
      </c>
      <c r="Z17" t="str">
        <f t="shared" si="3"/>
        <v>OK</v>
      </c>
      <c r="AA17" t="str">
        <f t="shared" si="4"/>
        <v>OK</v>
      </c>
      <c r="AB17" t="str">
        <f t="shared" si="5"/>
        <v>OK</v>
      </c>
    </row>
    <row r="18" spans="1:28">
      <c r="A18" t="s">
        <v>1411</v>
      </c>
      <c r="B18" t="s">
        <v>1409</v>
      </c>
      <c r="C18" t="s">
        <v>761</v>
      </c>
      <c r="D18" t="s">
        <v>30</v>
      </c>
      <c r="E18">
        <v>22</v>
      </c>
      <c r="F18" s="7">
        <v>45956</v>
      </c>
      <c r="G18" t="s">
        <v>31</v>
      </c>
      <c r="H18" t="s">
        <v>48</v>
      </c>
      <c r="I18" t="s">
        <v>80</v>
      </c>
      <c r="J18" t="s">
        <v>173</v>
      </c>
      <c r="K18" t="s">
        <v>110</v>
      </c>
      <c r="L18">
        <v>2</v>
      </c>
      <c r="N18" t="s">
        <v>1394</v>
      </c>
      <c r="Q18">
        <v>0.78</v>
      </c>
      <c r="R18">
        <f>IF(B18="","",SUMIF(ProductionConfiguration!$B$5:$B$914,C18,ProductionConfiguration!$S$5:$S$914))</f>
        <v>30</v>
      </c>
      <c r="S18">
        <f>IF(B18="","",IF(K18="Line",R18,IF(K18="Section",SUMIFS(ProductionConfiguration!$S$5:$S$914,ProductionConfiguration!$B$5:$B$914,C18,ProductionConfiguration!$I$5:$I$914,L18),IF(K18="Cavity",IF(M18=1,SUMIFS(ProductionConfiguration!$P$5:$P$914,ProductionConfiguration!$B$5:$B$914,C18,ProductionConfiguration!$I$5:$I$914,L18),IF(M18=2,SUMIFS(ProductionConfiguration!$Q$5:$Q$914,ProductionConfiguration!$B$5:$B$914,C18,ProductionConfiguration!$I$5:$I$914,L18),SUMIFS(ProductionConfiguration!$R$5:$R$914,ProductionConfiguration!$B$5:$B$914,C18,ProductionConfiguration!$I$5:$I$914,L18))),0))))</f>
        <v>3</v>
      </c>
      <c r="T18">
        <f t="shared" si="0"/>
        <v>0.1</v>
      </c>
      <c r="U18">
        <f t="shared" si="1"/>
        <v>7.8000000000000014E-2</v>
      </c>
      <c r="V18">
        <f>IF(C18="","",SUMIF(DailyProduction!$Q$5:$Q$100,C18,DailyProduction!$J$5:$J$100))</f>
        <v>14</v>
      </c>
      <c r="W18">
        <f t="shared" si="2"/>
        <v>1965.6000000000001</v>
      </c>
      <c r="X18" t="s">
        <v>1395</v>
      </c>
      <c r="Y18" t="str">
        <f>IF(B18="","",IF(COUNTIF(JobChange!$S$5:$S$100,B18)=1,"OK","CHECK"))</f>
        <v>OK</v>
      </c>
      <c r="Z18" t="str">
        <f t="shared" si="3"/>
        <v>OK</v>
      </c>
      <c r="AA18" t="str">
        <f t="shared" si="4"/>
        <v>OK</v>
      </c>
      <c r="AB18" t="str">
        <f t="shared" si="5"/>
        <v>OK</v>
      </c>
    </row>
    <row r="19" spans="1:28">
      <c r="A19" t="s">
        <v>1412</v>
      </c>
      <c r="B19" t="s">
        <v>1409</v>
      </c>
      <c r="C19" t="s">
        <v>761</v>
      </c>
      <c r="D19" t="s">
        <v>30</v>
      </c>
      <c r="E19">
        <v>22</v>
      </c>
      <c r="F19" s="7">
        <v>45956</v>
      </c>
      <c r="G19" t="s">
        <v>31</v>
      </c>
      <c r="H19" t="s">
        <v>48</v>
      </c>
      <c r="I19" t="s">
        <v>115</v>
      </c>
      <c r="J19" t="s">
        <v>177</v>
      </c>
      <c r="K19" t="s">
        <v>110</v>
      </c>
      <c r="L19">
        <v>3</v>
      </c>
      <c r="N19" t="s">
        <v>49</v>
      </c>
      <c r="Q19">
        <v>0.69</v>
      </c>
      <c r="R19">
        <f>IF(B19="","",SUMIF(ProductionConfiguration!$B$5:$B$914,C19,ProductionConfiguration!$S$5:$S$914))</f>
        <v>30</v>
      </c>
      <c r="S19">
        <f>IF(B19="","",IF(K19="Line",R19,IF(K19="Section",SUMIFS(ProductionConfiguration!$S$5:$S$914,ProductionConfiguration!$B$5:$B$914,C19,ProductionConfiguration!$I$5:$I$914,L19),IF(K19="Cavity",IF(M19=1,SUMIFS(ProductionConfiguration!$P$5:$P$914,ProductionConfiguration!$B$5:$B$914,C19,ProductionConfiguration!$I$5:$I$914,L19),IF(M19=2,SUMIFS(ProductionConfiguration!$Q$5:$Q$914,ProductionConfiguration!$B$5:$B$914,C19,ProductionConfiguration!$I$5:$I$914,L19),SUMIFS(ProductionConfiguration!$R$5:$R$914,ProductionConfiguration!$B$5:$B$914,C19,ProductionConfiguration!$I$5:$I$914,L19))),0))))</f>
        <v>3</v>
      </c>
      <c r="T19">
        <f t="shared" si="0"/>
        <v>0.1</v>
      </c>
      <c r="U19">
        <f t="shared" si="1"/>
        <v>6.8999999999999992E-2</v>
      </c>
      <c r="V19">
        <f>IF(C19="","",SUMIF(DailyProduction!$Q$5:$Q$100,C19,DailyProduction!$J$5:$J$100))</f>
        <v>14</v>
      </c>
      <c r="W19">
        <f t="shared" si="2"/>
        <v>1738.8000000000002</v>
      </c>
      <c r="X19" t="s">
        <v>1395</v>
      </c>
      <c r="Y19" t="str">
        <f>IF(B19="","",IF(COUNTIF(JobChange!$S$5:$S$100,B19)=1,"OK","CHECK"))</f>
        <v>OK</v>
      </c>
      <c r="Z19" t="str">
        <f t="shared" si="3"/>
        <v>OK</v>
      </c>
      <c r="AA19" t="str">
        <f t="shared" si="4"/>
        <v>OK</v>
      </c>
      <c r="AB19" t="str">
        <f t="shared" si="5"/>
        <v>OK</v>
      </c>
    </row>
    <row r="20" spans="1:28">
      <c r="A20" t="s">
        <v>1413</v>
      </c>
      <c r="B20" t="s">
        <v>1414</v>
      </c>
      <c r="C20" t="s">
        <v>845</v>
      </c>
      <c r="D20" t="s">
        <v>30</v>
      </c>
      <c r="E20">
        <v>23</v>
      </c>
      <c r="F20" s="7">
        <v>45952</v>
      </c>
      <c r="G20" t="s">
        <v>31</v>
      </c>
      <c r="H20" t="s">
        <v>51</v>
      </c>
      <c r="I20" t="s">
        <v>108</v>
      </c>
      <c r="J20" t="s">
        <v>221</v>
      </c>
      <c r="K20" t="s">
        <v>107</v>
      </c>
      <c r="N20" t="s">
        <v>1394</v>
      </c>
      <c r="Q20">
        <v>2.73</v>
      </c>
      <c r="R20">
        <f>IF(B20="","",SUMIF(ProductionConfiguration!$B$5:$B$914,C20,ProductionConfiguration!$S$5:$S$914))</f>
        <v>24</v>
      </c>
      <c r="S20">
        <f>IF(B20="","",IF(K20="Line",R20,IF(K20="Section",SUMIFS(ProductionConfiguration!$S$5:$S$914,ProductionConfiguration!$B$5:$B$914,C20,ProductionConfiguration!$I$5:$I$914,L20),IF(K20="Cavity",IF(M20=1,SUMIFS(ProductionConfiguration!$P$5:$P$914,ProductionConfiguration!$B$5:$B$914,C20,ProductionConfiguration!$I$5:$I$914,L20),IF(M20=2,SUMIFS(ProductionConfiguration!$Q$5:$Q$914,ProductionConfiguration!$B$5:$B$914,C20,ProductionConfiguration!$I$5:$I$914,L20),SUMIFS(ProductionConfiguration!$R$5:$R$914,ProductionConfiguration!$B$5:$B$914,C20,ProductionConfiguration!$I$5:$I$914,L20))),0))))</f>
        <v>24</v>
      </c>
      <c r="T20">
        <f t="shared" si="0"/>
        <v>1</v>
      </c>
      <c r="U20">
        <f t="shared" si="1"/>
        <v>2.73</v>
      </c>
      <c r="V20">
        <f>IF(C20="","",SUMIF(DailyProduction!$Q$5:$Q$100,C20,DailyProduction!$J$5:$J$100))</f>
        <v>9</v>
      </c>
      <c r="W20">
        <f t="shared" si="2"/>
        <v>35380.800000000003</v>
      </c>
      <c r="X20" t="s">
        <v>1395</v>
      </c>
      <c r="Y20" t="str">
        <f>IF(B20="","",IF(COUNTIF(JobChange!$S$5:$S$100,B20)=1,"OK","CHECK"))</f>
        <v>OK</v>
      </c>
      <c r="Z20" t="str">
        <f t="shared" si="3"/>
        <v>OK</v>
      </c>
      <c r="AA20" t="str">
        <f t="shared" si="4"/>
        <v>OK</v>
      </c>
      <c r="AB20" t="str">
        <f t="shared" si="5"/>
        <v>OK</v>
      </c>
    </row>
    <row r="21" spans="1:28">
      <c r="A21" t="s">
        <v>1415</v>
      </c>
      <c r="B21" t="s">
        <v>1414</v>
      </c>
      <c r="C21" t="s">
        <v>845</v>
      </c>
      <c r="D21" t="s">
        <v>30</v>
      </c>
      <c r="E21">
        <v>23</v>
      </c>
      <c r="F21" s="7">
        <v>45952</v>
      </c>
      <c r="G21" t="s">
        <v>31</v>
      </c>
      <c r="H21" t="s">
        <v>51</v>
      </c>
      <c r="I21" t="s">
        <v>111</v>
      </c>
      <c r="J21" t="s">
        <v>227</v>
      </c>
      <c r="K21" t="s">
        <v>113</v>
      </c>
      <c r="L21">
        <v>2</v>
      </c>
      <c r="M21">
        <v>1</v>
      </c>
      <c r="N21" t="s">
        <v>1394</v>
      </c>
      <c r="Q21">
        <v>1.06</v>
      </c>
      <c r="R21">
        <f>IF(B21="","",SUMIF(ProductionConfiguration!$B$5:$B$914,C21,ProductionConfiguration!$S$5:$S$914))</f>
        <v>24</v>
      </c>
      <c r="S21">
        <f>IF(B21="","",IF(K21="Line",R21,IF(K21="Section",SUMIFS(ProductionConfiguration!$S$5:$S$914,ProductionConfiguration!$B$5:$B$914,C21,ProductionConfiguration!$I$5:$I$914,L21),IF(K21="Cavity",IF(M21=1,SUMIFS(ProductionConfiguration!$P$5:$P$914,ProductionConfiguration!$B$5:$B$914,C21,ProductionConfiguration!$I$5:$I$914,L21),IF(M21=2,SUMIFS(ProductionConfiguration!$Q$5:$Q$914,ProductionConfiguration!$B$5:$B$914,C21,ProductionConfiguration!$I$5:$I$914,L21),SUMIFS(ProductionConfiguration!$R$5:$R$914,ProductionConfiguration!$B$5:$B$914,C21,ProductionConfiguration!$I$5:$I$914,L21))),0))))</f>
        <v>1</v>
      </c>
      <c r="T21">
        <f t="shared" si="0"/>
        <v>4.1666666666666664E-2</v>
      </c>
      <c r="U21">
        <f t="shared" si="1"/>
        <v>4.4166666666666667E-2</v>
      </c>
      <c r="V21">
        <f>IF(C21="","",SUMIF(DailyProduction!$Q$5:$Q$100,C21,DailyProduction!$J$5:$J$100))</f>
        <v>9</v>
      </c>
      <c r="W21">
        <f t="shared" si="2"/>
        <v>572.4</v>
      </c>
      <c r="X21" t="s">
        <v>1395</v>
      </c>
      <c r="Y21" t="str">
        <f>IF(B21="","",IF(COUNTIF(JobChange!$S$5:$S$100,B21)=1,"OK","CHECK"))</f>
        <v>OK</v>
      </c>
      <c r="Z21" t="str">
        <f t="shared" si="3"/>
        <v>OK</v>
      </c>
      <c r="AA21" t="str">
        <f t="shared" si="4"/>
        <v>OK</v>
      </c>
      <c r="AB21" t="str">
        <f t="shared" si="5"/>
        <v>OK</v>
      </c>
    </row>
    <row r="22" spans="1:28">
      <c r="A22" t="s">
        <v>1416</v>
      </c>
      <c r="B22" t="s">
        <v>1414</v>
      </c>
      <c r="C22" t="s">
        <v>845</v>
      </c>
      <c r="D22" t="s">
        <v>30</v>
      </c>
      <c r="E22">
        <v>23</v>
      </c>
      <c r="F22" s="7">
        <v>45952</v>
      </c>
      <c r="G22" t="s">
        <v>31</v>
      </c>
      <c r="H22" t="s">
        <v>51</v>
      </c>
      <c r="I22" t="s">
        <v>80</v>
      </c>
      <c r="J22" t="s">
        <v>223</v>
      </c>
      <c r="K22" t="s">
        <v>113</v>
      </c>
      <c r="L22">
        <v>1</v>
      </c>
      <c r="M22">
        <v>1</v>
      </c>
      <c r="N22" t="s">
        <v>1394</v>
      </c>
      <c r="Q22">
        <v>0.49</v>
      </c>
      <c r="R22">
        <f>IF(B22="","",SUMIF(ProductionConfiguration!$B$5:$B$914,C22,ProductionConfiguration!$S$5:$S$914))</f>
        <v>24</v>
      </c>
      <c r="S22">
        <f>IF(B22="","",IF(K22="Line",R22,IF(K22="Section",SUMIFS(ProductionConfiguration!$S$5:$S$914,ProductionConfiguration!$B$5:$B$914,C22,ProductionConfiguration!$I$5:$I$914,L22),IF(K22="Cavity",IF(M22=1,SUMIFS(ProductionConfiguration!$P$5:$P$914,ProductionConfiguration!$B$5:$B$914,C22,ProductionConfiguration!$I$5:$I$914,L22),IF(M22=2,SUMIFS(ProductionConfiguration!$Q$5:$Q$914,ProductionConfiguration!$B$5:$B$914,C22,ProductionConfiguration!$I$5:$I$914,L22),SUMIFS(ProductionConfiguration!$R$5:$R$914,ProductionConfiguration!$B$5:$B$914,C22,ProductionConfiguration!$I$5:$I$914,L22))),0))))</f>
        <v>1</v>
      </c>
      <c r="T22">
        <f t="shared" si="0"/>
        <v>4.1666666666666664E-2</v>
      </c>
      <c r="U22">
        <f t="shared" si="1"/>
        <v>2.0416666666666666E-2</v>
      </c>
      <c r="V22">
        <f>IF(C22="","",SUMIF(DailyProduction!$Q$5:$Q$100,C22,DailyProduction!$J$5:$J$100))</f>
        <v>9</v>
      </c>
      <c r="W22">
        <f t="shared" si="2"/>
        <v>264.59999999999997</v>
      </c>
      <c r="X22" t="s">
        <v>1395</v>
      </c>
      <c r="Y22" t="str">
        <f>IF(B22="","",IF(COUNTIF(JobChange!$S$5:$S$100,B22)=1,"OK","CHECK"))</f>
        <v>OK</v>
      </c>
      <c r="Z22" t="str">
        <f t="shared" si="3"/>
        <v>OK</v>
      </c>
      <c r="AA22" t="str">
        <f t="shared" si="4"/>
        <v>OK</v>
      </c>
      <c r="AB22" t="str">
        <f t="shared" si="5"/>
        <v>OK</v>
      </c>
    </row>
    <row r="23" spans="1:28">
      <c r="A23" t="s">
        <v>1417</v>
      </c>
      <c r="B23" t="s">
        <v>1414</v>
      </c>
      <c r="C23" t="s">
        <v>845</v>
      </c>
      <c r="D23" t="s">
        <v>30</v>
      </c>
      <c r="E23">
        <v>23</v>
      </c>
      <c r="F23" s="7">
        <v>45952</v>
      </c>
      <c r="G23" t="s">
        <v>31</v>
      </c>
      <c r="H23" t="s">
        <v>51</v>
      </c>
      <c r="I23" t="s">
        <v>119</v>
      </c>
      <c r="J23" t="s">
        <v>231</v>
      </c>
      <c r="K23" t="s">
        <v>113</v>
      </c>
      <c r="L23">
        <v>3</v>
      </c>
      <c r="M23">
        <v>1</v>
      </c>
      <c r="N23" t="s">
        <v>52</v>
      </c>
      <c r="Q23">
        <v>0.4</v>
      </c>
      <c r="R23">
        <f>IF(B23="","",SUMIF(ProductionConfiguration!$B$5:$B$914,C23,ProductionConfiguration!$S$5:$S$914))</f>
        <v>24</v>
      </c>
      <c r="S23">
        <f>IF(B23="","",IF(K23="Line",R23,IF(K23="Section",SUMIFS(ProductionConfiguration!$S$5:$S$914,ProductionConfiguration!$B$5:$B$914,C23,ProductionConfiguration!$I$5:$I$914,L23),IF(K23="Cavity",IF(M23=1,SUMIFS(ProductionConfiguration!$P$5:$P$914,ProductionConfiguration!$B$5:$B$914,C23,ProductionConfiguration!$I$5:$I$914,L23),IF(M23=2,SUMIFS(ProductionConfiguration!$Q$5:$Q$914,ProductionConfiguration!$B$5:$B$914,C23,ProductionConfiguration!$I$5:$I$914,L23),SUMIFS(ProductionConfiguration!$R$5:$R$914,ProductionConfiguration!$B$5:$B$914,C23,ProductionConfiguration!$I$5:$I$914,L23))),0))))</f>
        <v>1</v>
      </c>
      <c r="T23">
        <f t="shared" si="0"/>
        <v>4.1666666666666664E-2</v>
      </c>
      <c r="U23">
        <f t="shared" si="1"/>
        <v>1.6666666666666666E-2</v>
      </c>
      <c r="V23">
        <f>IF(C23="","",SUMIF(DailyProduction!$Q$5:$Q$100,C23,DailyProduction!$J$5:$J$100))</f>
        <v>9</v>
      </c>
      <c r="W23">
        <f t="shared" si="2"/>
        <v>216</v>
      </c>
      <c r="X23" t="s">
        <v>1395</v>
      </c>
      <c r="Y23" t="str">
        <f>IF(B23="","",IF(COUNTIF(JobChange!$S$5:$S$100,B23)=1,"OK","CHECK"))</f>
        <v>OK</v>
      </c>
      <c r="Z23" t="str">
        <f t="shared" si="3"/>
        <v>OK</v>
      </c>
      <c r="AA23" t="str">
        <f t="shared" si="4"/>
        <v>OK</v>
      </c>
      <c r="AB23" t="str">
        <f t="shared" si="5"/>
        <v>OK</v>
      </c>
    </row>
    <row r="24" spans="1:28">
      <c r="A24" t="s">
        <v>1418</v>
      </c>
      <c r="B24" t="s">
        <v>1419</v>
      </c>
      <c r="C24" t="s">
        <v>957</v>
      </c>
      <c r="D24" t="s">
        <v>30</v>
      </c>
      <c r="E24">
        <v>23</v>
      </c>
      <c r="F24" s="7">
        <v>45956</v>
      </c>
      <c r="G24" t="s">
        <v>31</v>
      </c>
      <c r="H24" t="s">
        <v>53</v>
      </c>
      <c r="I24" t="s">
        <v>108</v>
      </c>
      <c r="J24" t="s">
        <v>221</v>
      </c>
      <c r="K24" t="s">
        <v>107</v>
      </c>
      <c r="N24" t="s">
        <v>1394</v>
      </c>
      <c r="Q24">
        <v>6.68</v>
      </c>
      <c r="R24">
        <f>IF(B24="","",SUMIF(ProductionConfiguration!$B$5:$B$914,C24,ProductionConfiguration!$S$5:$S$914))</f>
        <v>24</v>
      </c>
      <c r="S24">
        <f>IF(B24="","",IF(K24="Line",R24,IF(K24="Section",SUMIFS(ProductionConfiguration!$S$5:$S$914,ProductionConfiguration!$B$5:$B$914,C24,ProductionConfiguration!$I$5:$I$914,L24),IF(K24="Cavity",IF(M24=1,SUMIFS(ProductionConfiguration!$P$5:$P$914,ProductionConfiguration!$B$5:$B$914,C24,ProductionConfiguration!$I$5:$I$914,L24),IF(M24=2,SUMIFS(ProductionConfiguration!$Q$5:$Q$914,ProductionConfiguration!$B$5:$B$914,C24,ProductionConfiguration!$I$5:$I$914,L24),SUMIFS(ProductionConfiguration!$R$5:$R$914,ProductionConfiguration!$B$5:$B$914,C24,ProductionConfiguration!$I$5:$I$914,L24))),0))))</f>
        <v>24</v>
      </c>
      <c r="T24">
        <f t="shared" si="0"/>
        <v>1</v>
      </c>
      <c r="U24">
        <f t="shared" si="1"/>
        <v>6.68</v>
      </c>
      <c r="V24">
        <f>IF(C24="","",SUMIF(DailyProduction!$Q$5:$Q$100,C24,DailyProduction!$J$5:$J$100))</f>
        <v>10</v>
      </c>
      <c r="W24">
        <f t="shared" si="2"/>
        <v>96191.999999999985</v>
      </c>
      <c r="X24" t="s">
        <v>1395</v>
      </c>
      <c r="Y24" t="str">
        <f>IF(B24="","",IF(COUNTIF(JobChange!$S$5:$S$100,B24)=1,"OK","CHECK"))</f>
        <v>OK</v>
      </c>
      <c r="Z24" t="str">
        <f t="shared" si="3"/>
        <v>OK</v>
      </c>
      <c r="AA24" t="str">
        <f t="shared" si="4"/>
        <v>OK</v>
      </c>
      <c r="AB24" t="str">
        <f t="shared" si="5"/>
        <v>OK</v>
      </c>
    </row>
    <row r="25" spans="1:28">
      <c r="A25" t="s">
        <v>1420</v>
      </c>
      <c r="B25" t="s">
        <v>1419</v>
      </c>
      <c r="C25" t="s">
        <v>957</v>
      </c>
      <c r="D25" t="s">
        <v>30</v>
      </c>
      <c r="E25">
        <v>23</v>
      </c>
      <c r="F25" s="7">
        <v>45956</v>
      </c>
      <c r="G25" t="s">
        <v>31</v>
      </c>
      <c r="H25" t="s">
        <v>53</v>
      </c>
      <c r="I25" t="s">
        <v>111</v>
      </c>
      <c r="J25" t="s">
        <v>222</v>
      </c>
      <c r="K25" t="s">
        <v>110</v>
      </c>
      <c r="L25">
        <v>1</v>
      </c>
      <c r="N25" t="s">
        <v>1394</v>
      </c>
      <c r="Q25">
        <v>2.81</v>
      </c>
      <c r="R25">
        <f>IF(B25="","",SUMIF(ProductionConfiguration!$B$5:$B$914,C25,ProductionConfiguration!$S$5:$S$914))</f>
        <v>24</v>
      </c>
      <c r="S25">
        <f>IF(B25="","",IF(K25="Line",R25,IF(K25="Section",SUMIFS(ProductionConfiguration!$S$5:$S$914,ProductionConfiguration!$B$5:$B$914,C25,ProductionConfiguration!$I$5:$I$914,L25),IF(K25="Cavity",IF(M25=1,SUMIFS(ProductionConfiguration!$P$5:$P$914,ProductionConfiguration!$B$5:$B$914,C25,ProductionConfiguration!$I$5:$I$914,L25),IF(M25=2,SUMIFS(ProductionConfiguration!$Q$5:$Q$914,ProductionConfiguration!$B$5:$B$914,C25,ProductionConfiguration!$I$5:$I$914,L25),SUMIFS(ProductionConfiguration!$R$5:$R$914,ProductionConfiguration!$B$5:$B$914,C25,ProductionConfiguration!$I$5:$I$914,L25))),0))))</f>
        <v>2</v>
      </c>
      <c r="T25">
        <f t="shared" si="0"/>
        <v>8.3333333333333329E-2</v>
      </c>
      <c r="U25">
        <f t="shared" si="1"/>
        <v>0.23416666666666666</v>
      </c>
      <c r="V25">
        <f>IF(C25="","",SUMIF(DailyProduction!$Q$5:$Q$100,C25,DailyProduction!$J$5:$J$100))</f>
        <v>10</v>
      </c>
      <c r="W25">
        <f t="shared" si="2"/>
        <v>3372</v>
      </c>
      <c r="X25" t="s">
        <v>1395</v>
      </c>
      <c r="Y25" t="str">
        <f>IF(B25="","",IF(COUNTIF(JobChange!$S$5:$S$100,B25)=1,"OK","CHECK"))</f>
        <v>OK</v>
      </c>
      <c r="Z25" t="str">
        <f t="shared" si="3"/>
        <v>OK</v>
      </c>
      <c r="AA25" t="str">
        <f t="shared" si="4"/>
        <v>OK</v>
      </c>
      <c r="AB25" t="str">
        <f t="shared" si="5"/>
        <v>OK</v>
      </c>
    </row>
    <row r="26" spans="1:28">
      <c r="A26" t="s">
        <v>1421</v>
      </c>
      <c r="B26" t="s">
        <v>1419</v>
      </c>
      <c r="C26" t="s">
        <v>957</v>
      </c>
      <c r="D26" t="s">
        <v>30</v>
      </c>
      <c r="E26">
        <v>23</v>
      </c>
      <c r="F26" s="7">
        <v>45956</v>
      </c>
      <c r="G26" t="s">
        <v>31</v>
      </c>
      <c r="H26" t="s">
        <v>53</v>
      </c>
      <c r="I26" t="s">
        <v>80</v>
      </c>
      <c r="J26" t="s">
        <v>221</v>
      </c>
      <c r="K26" t="s">
        <v>107</v>
      </c>
      <c r="N26" t="s">
        <v>1394</v>
      </c>
      <c r="Q26">
        <v>0.35</v>
      </c>
      <c r="R26">
        <f>IF(B26="","",SUMIF(ProductionConfiguration!$B$5:$B$914,C26,ProductionConfiguration!$S$5:$S$914))</f>
        <v>24</v>
      </c>
      <c r="S26">
        <f>IF(B26="","",IF(K26="Line",R26,IF(K26="Section",SUMIFS(ProductionConfiguration!$S$5:$S$914,ProductionConfiguration!$B$5:$B$914,C26,ProductionConfiguration!$I$5:$I$914,L26),IF(K26="Cavity",IF(M26=1,SUMIFS(ProductionConfiguration!$P$5:$P$914,ProductionConfiguration!$B$5:$B$914,C26,ProductionConfiguration!$I$5:$I$914,L26),IF(M26=2,SUMIFS(ProductionConfiguration!$Q$5:$Q$914,ProductionConfiguration!$B$5:$B$914,C26,ProductionConfiguration!$I$5:$I$914,L26),SUMIFS(ProductionConfiguration!$R$5:$R$914,ProductionConfiguration!$B$5:$B$914,C26,ProductionConfiguration!$I$5:$I$914,L26))),0))))</f>
        <v>24</v>
      </c>
      <c r="T26">
        <f t="shared" si="0"/>
        <v>1</v>
      </c>
      <c r="U26">
        <f t="shared" si="1"/>
        <v>0.35</v>
      </c>
      <c r="V26">
        <f>IF(C26="","",SUMIF(DailyProduction!$Q$5:$Q$100,C26,DailyProduction!$J$5:$J$100))</f>
        <v>10</v>
      </c>
      <c r="W26">
        <f t="shared" si="2"/>
        <v>5040</v>
      </c>
      <c r="X26" t="s">
        <v>1395</v>
      </c>
      <c r="Y26" t="str">
        <f>IF(B26="","",IF(COUNTIF(JobChange!$S$5:$S$100,B26)=1,"OK","CHECK"))</f>
        <v>OK</v>
      </c>
      <c r="Z26" t="str">
        <f t="shared" si="3"/>
        <v>OK</v>
      </c>
      <c r="AA26" t="str">
        <f t="shared" si="4"/>
        <v>OK</v>
      </c>
      <c r="AB26" t="str">
        <f t="shared" si="5"/>
        <v>OK</v>
      </c>
    </row>
    <row r="27" spans="1:28">
      <c r="A27" t="s">
        <v>1422</v>
      </c>
      <c r="B27" t="s">
        <v>1419</v>
      </c>
      <c r="C27" t="s">
        <v>957</v>
      </c>
      <c r="D27" t="s">
        <v>30</v>
      </c>
      <c r="E27">
        <v>23</v>
      </c>
      <c r="F27" s="7">
        <v>45956</v>
      </c>
      <c r="G27" t="s">
        <v>31</v>
      </c>
      <c r="H27" t="s">
        <v>53</v>
      </c>
      <c r="I27" t="s">
        <v>115</v>
      </c>
      <c r="J27" t="s">
        <v>242</v>
      </c>
      <c r="K27" t="s">
        <v>110</v>
      </c>
      <c r="L27">
        <v>6</v>
      </c>
      <c r="N27" t="s">
        <v>55</v>
      </c>
      <c r="Q27">
        <v>0.47</v>
      </c>
      <c r="R27">
        <f>IF(B27="","",SUMIF(ProductionConfiguration!$B$5:$B$914,C27,ProductionConfiguration!$S$5:$S$914))</f>
        <v>24</v>
      </c>
      <c r="S27">
        <f>IF(B27="","",IF(K27="Line",R27,IF(K27="Section",SUMIFS(ProductionConfiguration!$S$5:$S$914,ProductionConfiguration!$B$5:$B$914,C27,ProductionConfiguration!$I$5:$I$914,L27),IF(K27="Cavity",IF(M27=1,SUMIFS(ProductionConfiguration!$P$5:$P$914,ProductionConfiguration!$B$5:$B$914,C27,ProductionConfiguration!$I$5:$I$914,L27),IF(M27=2,SUMIFS(ProductionConfiguration!$Q$5:$Q$914,ProductionConfiguration!$B$5:$B$914,C27,ProductionConfiguration!$I$5:$I$914,L27),SUMIFS(ProductionConfiguration!$R$5:$R$914,ProductionConfiguration!$B$5:$B$914,C27,ProductionConfiguration!$I$5:$I$914,L27))),0))))</f>
        <v>2</v>
      </c>
      <c r="T27">
        <f t="shared" si="0"/>
        <v>8.3333333333333329E-2</v>
      </c>
      <c r="U27">
        <f t="shared" si="1"/>
        <v>3.9166666666666662E-2</v>
      </c>
      <c r="V27">
        <f>IF(C27="","",SUMIF(DailyProduction!$Q$5:$Q$100,C27,DailyProduction!$J$5:$J$100))</f>
        <v>10</v>
      </c>
      <c r="W27">
        <f t="shared" si="2"/>
        <v>564</v>
      </c>
      <c r="X27" t="s">
        <v>1395</v>
      </c>
      <c r="Y27" t="str">
        <f>IF(B27="","",IF(COUNTIF(JobChange!$S$5:$S$100,B27)=1,"OK","CHECK"))</f>
        <v>OK</v>
      </c>
      <c r="Z27" t="str">
        <f t="shared" si="3"/>
        <v>OK</v>
      </c>
      <c r="AA27" t="str">
        <f t="shared" si="4"/>
        <v>OK</v>
      </c>
      <c r="AB27" t="str">
        <f t="shared" si="5"/>
        <v>OK</v>
      </c>
    </row>
    <row r="28" spans="1:28">
      <c r="A28" t="s">
        <v>1423</v>
      </c>
      <c r="B28" t="s">
        <v>1419</v>
      </c>
      <c r="C28" t="s">
        <v>957</v>
      </c>
      <c r="D28" t="s">
        <v>30</v>
      </c>
      <c r="E28">
        <v>23</v>
      </c>
      <c r="F28" s="7">
        <v>45956</v>
      </c>
      <c r="G28" t="s">
        <v>31</v>
      </c>
      <c r="H28" t="s">
        <v>53</v>
      </c>
      <c r="I28" t="s">
        <v>117</v>
      </c>
      <c r="J28" t="s">
        <v>221</v>
      </c>
      <c r="K28" t="s">
        <v>107</v>
      </c>
      <c r="N28" t="s">
        <v>56</v>
      </c>
      <c r="Q28">
        <v>0.39</v>
      </c>
      <c r="R28">
        <f>IF(B28="","",SUMIF(ProductionConfiguration!$B$5:$B$914,C28,ProductionConfiguration!$S$5:$S$914))</f>
        <v>24</v>
      </c>
      <c r="S28">
        <f>IF(B28="","",IF(K28="Line",R28,IF(K28="Section",SUMIFS(ProductionConfiguration!$S$5:$S$914,ProductionConfiguration!$B$5:$B$914,C28,ProductionConfiguration!$I$5:$I$914,L28),IF(K28="Cavity",IF(M28=1,SUMIFS(ProductionConfiguration!$P$5:$P$914,ProductionConfiguration!$B$5:$B$914,C28,ProductionConfiguration!$I$5:$I$914,L28),IF(M28=2,SUMIFS(ProductionConfiguration!$Q$5:$Q$914,ProductionConfiguration!$B$5:$B$914,C28,ProductionConfiguration!$I$5:$I$914,L28),SUMIFS(ProductionConfiguration!$R$5:$R$914,ProductionConfiguration!$B$5:$B$914,C28,ProductionConfiguration!$I$5:$I$914,L28))),0))))</f>
        <v>24</v>
      </c>
      <c r="T28">
        <f t="shared" si="0"/>
        <v>1</v>
      </c>
      <c r="U28">
        <f t="shared" si="1"/>
        <v>0.39</v>
      </c>
      <c r="V28">
        <f>IF(C28="","",SUMIF(DailyProduction!$Q$5:$Q$100,C28,DailyProduction!$J$5:$J$100))</f>
        <v>10</v>
      </c>
      <c r="W28">
        <f t="shared" si="2"/>
        <v>5616.0000000000009</v>
      </c>
      <c r="X28" t="s">
        <v>1395</v>
      </c>
      <c r="Y28" t="str">
        <f>IF(B28="","",IF(COUNTIF(JobChange!$S$5:$S$100,B28)=1,"OK","CHECK"))</f>
        <v>OK</v>
      </c>
      <c r="Z28" t="str">
        <f t="shared" si="3"/>
        <v>OK</v>
      </c>
      <c r="AA28" t="str">
        <f t="shared" si="4"/>
        <v>OK</v>
      </c>
      <c r="AB28" t="str">
        <f t="shared" si="5"/>
        <v>OK</v>
      </c>
    </row>
    <row r="29" spans="1:28">
      <c r="A29" t="s">
        <v>1424</v>
      </c>
      <c r="B29" t="s">
        <v>1425</v>
      </c>
      <c r="C29" t="s">
        <v>1013</v>
      </c>
      <c r="D29" t="s">
        <v>30</v>
      </c>
      <c r="E29">
        <v>24</v>
      </c>
      <c r="F29" s="7">
        <v>45951</v>
      </c>
      <c r="G29" t="s">
        <v>31</v>
      </c>
      <c r="H29" t="s">
        <v>59</v>
      </c>
      <c r="I29" t="s">
        <v>108</v>
      </c>
      <c r="J29" t="s">
        <v>287</v>
      </c>
      <c r="K29" t="s">
        <v>110</v>
      </c>
      <c r="L29">
        <v>4</v>
      </c>
      <c r="N29" t="s">
        <v>1394</v>
      </c>
      <c r="Q29">
        <v>3.5</v>
      </c>
      <c r="R29">
        <f>IF(B29="","",SUMIF(ProductionConfiguration!$B$5:$B$914,C29,ProductionConfiguration!$S$5:$S$914))</f>
        <v>36</v>
      </c>
      <c r="S29">
        <f>IF(B29="","",IF(K29="Line",R29,IF(K29="Section",SUMIFS(ProductionConfiguration!$S$5:$S$914,ProductionConfiguration!$B$5:$B$914,C29,ProductionConfiguration!$I$5:$I$914,L29),IF(K29="Cavity",IF(M29=1,SUMIFS(ProductionConfiguration!$P$5:$P$914,ProductionConfiguration!$B$5:$B$914,C29,ProductionConfiguration!$I$5:$I$914,L29),IF(M29=2,SUMIFS(ProductionConfiguration!$Q$5:$Q$914,ProductionConfiguration!$B$5:$B$914,C29,ProductionConfiguration!$I$5:$I$914,L29),SUMIFS(ProductionConfiguration!$R$5:$R$914,ProductionConfiguration!$B$5:$B$914,C29,ProductionConfiguration!$I$5:$I$914,L29))),0))))</f>
        <v>3</v>
      </c>
      <c r="T29">
        <f t="shared" si="0"/>
        <v>8.3333333333333329E-2</v>
      </c>
      <c r="U29">
        <f t="shared" si="1"/>
        <v>0.29166666666666663</v>
      </c>
      <c r="V29">
        <f>IF(C29="","",SUMIF(DailyProduction!$Q$5:$Q$100,C29,DailyProduction!$J$5:$J$100))</f>
        <v>12</v>
      </c>
      <c r="W29">
        <f t="shared" si="2"/>
        <v>7560</v>
      </c>
      <c r="X29" t="s">
        <v>1395</v>
      </c>
      <c r="Y29" t="str">
        <f>IF(B29="","",IF(COUNTIF(JobChange!$S$5:$S$100,B29)=1,"OK","CHECK"))</f>
        <v>OK</v>
      </c>
      <c r="Z29" t="str">
        <f t="shared" si="3"/>
        <v>OK</v>
      </c>
      <c r="AA29" t="str">
        <f t="shared" si="4"/>
        <v>OK</v>
      </c>
      <c r="AB29" t="str">
        <f t="shared" si="5"/>
        <v>OK</v>
      </c>
    </row>
    <row r="30" spans="1:28">
      <c r="A30" t="s">
        <v>1426</v>
      </c>
      <c r="B30" t="s">
        <v>1425</v>
      </c>
      <c r="C30" t="s">
        <v>1013</v>
      </c>
      <c r="D30" t="s">
        <v>30</v>
      </c>
      <c r="E30">
        <v>24</v>
      </c>
      <c r="F30" s="7">
        <v>45951</v>
      </c>
      <c r="G30" t="s">
        <v>31</v>
      </c>
      <c r="H30" t="s">
        <v>59</v>
      </c>
      <c r="I30" t="s">
        <v>111</v>
      </c>
      <c r="J30" t="s">
        <v>274</v>
      </c>
      <c r="K30" t="s">
        <v>107</v>
      </c>
      <c r="N30" t="s">
        <v>1394</v>
      </c>
      <c r="Q30">
        <v>0.76</v>
      </c>
      <c r="R30">
        <f>IF(B30="","",SUMIF(ProductionConfiguration!$B$5:$B$914,C30,ProductionConfiguration!$S$5:$S$914))</f>
        <v>36</v>
      </c>
      <c r="S30">
        <f>IF(B30="","",IF(K30="Line",R30,IF(K30="Section",SUMIFS(ProductionConfiguration!$S$5:$S$914,ProductionConfiguration!$B$5:$B$914,C30,ProductionConfiguration!$I$5:$I$914,L30),IF(K30="Cavity",IF(M30=1,SUMIFS(ProductionConfiguration!$P$5:$P$914,ProductionConfiguration!$B$5:$B$914,C30,ProductionConfiguration!$I$5:$I$914,L30),IF(M30=2,SUMIFS(ProductionConfiguration!$Q$5:$Q$914,ProductionConfiguration!$B$5:$B$914,C30,ProductionConfiguration!$I$5:$I$914,L30),SUMIFS(ProductionConfiguration!$R$5:$R$914,ProductionConfiguration!$B$5:$B$914,C30,ProductionConfiguration!$I$5:$I$914,L30))),0))))</f>
        <v>36</v>
      </c>
      <c r="T30">
        <f t="shared" si="0"/>
        <v>1</v>
      </c>
      <c r="U30">
        <f t="shared" si="1"/>
        <v>0.76</v>
      </c>
      <c r="V30">
        <f>IF(C30="","",SUMIF(DailyProduction!$Q$5:$Q$100,C30,DailyProduction!$J$5:$J$100))</f>
        <v>12</v>
      </c>
      <c r="W30">
        <f t="shared" si="2"/>
        <v>19699.2</v>
      </c>
      <c r="X30" t="s">
        <v>1395</v>
      </c>
      <c r="Y30" t="str">
        <f>IF(B30="","",IF(COUNTIF(JobChange!$S$5:$S$100,B30)=1,"OK","CHECK"))</f>
        <v>OK</v>
      </c>
      <c r="Z30" t="str">
        <f t="shared" si="3"/>
        <v>OK</v>
      </c>
      <c r="AA30" t="str">
        <f t="shared" si="4"/>
        <v>OK</v>
      </c>
      <c r="AB30" t="str">
        <f t="shared" si="5"/>
        <v>OK</v>
      </c>
    </row>
    <row r="31" spans="1:28">
      <c r="A31" t="s">
        <v>1427</v>
      </c>
      <c r="B31" t="s">
        <v>1425</v>
      </c>
      <c r="C31" t="s">
        <v>1013</v>
      </c>
      <c r="D31" t="s">
        <v>30</v>
      </c>
      <c r="E31">
        <v>24</v>
      </c>
      <c r="F31" s="7">
        <v>45951</v>
      </c>
      <c r="G31" t="s">
        <v>31</v>
      </c>
      <c r="H31" t="s">
        <v>59</v>
      </c>
      <c r="I31" t="s">
        <v>80</v>
      </c>
      <c r="J31" t="s">
        <v>299</v>
      </c>
      <c r="K31" t="s">
        <v>110</v>
      </c>
      <c r="L31">
        <v>7</v>
      </c>
      <c r="N31" t="s">
        <v>1394</v>
      </c>
      <c r="Q31">
        <v>0.5</v>
      </c>
      <c r="R31">
        <f>IF(B31="","",SUMIF(ProductionConfiguration!$B$5:$B$914,C31,ProductionConfiguration!$S$5:$S$914))</f>
        <v>36</v>
      </c>
      <c r="S31">
        <f>IF(B31="","",IF(K31="Line",R31,IF(K31="Section",SUMIFS(ProductionConfiguration!$S$5:$S$914,ProductionConfiguration!$B$5:$B$914,C31,ProductionConfiguration!$I$5:$I$914,L31),IF(K31="Cavity",IF(M31=1,SUMIFS(ProductionConfiguration!$P$5:$P$914,ProductionConfiguration!$B$5:$B$914,C31,ProductionConfiguration!$I$5:$I$914,L31),IF(M31=2,SUMIFS(ProductionConfiguration!$Q$5:$Q$914,ProductionConfiguration!$B$5:$B$914,C31,ProductionConfiguration!$I$5:$I$914,L31),SUMIFS(ProductionConfiguration!$R$5:$R$914,ProductionConfiguration!$B$5:$B$914,C31,ProductionConfiguration!$I$5:$I$914,L31))),0))))</f>
        <v>3</v>
      </c>
      <c r="T31">
        <f t="shared" si="0"/>
        <v>8.3333333333333329E-2</v>
      </c>
      <c r="U31">
        <f t="shared" si="1"/>
        <v>4.1666666666666664E-2</v>
      </c>
      <c r="V31">
        <f>IF(C31="","",SUMIF(DailyProduction!$Q$5:$Q$100,C31,DailyProduction!$J$5:$J$100))</f>
        <v>12</v>
      </c>
      <c r="W31">
        <f t="shared" si="2"/>
        <v>1080</v>
      </c>
      <c r="X31" t="s">
        <v>1395</v>
      </c>
      <c r="Y31" t="str">
        <f>IF(B31="","",IF(COUNTIF(JobChange!$S$5:$S$100,B31)=1,"OK","CHECK"))</f>
        <v>OK</v>
      </c>
      <c r="Z31" t="str">
        <f t="shared" si="3"/>
        <v>OK</v>
      </c>
      <c r="AA31" t="str">
        <f t="shared" si="4"/>
        <v>OK</v>
      </c>
      <c r="AB31" t="str">
        <f t="shared" si="5"/>
        <v>OK</v>
      </c>
    </row>
    <row r="32" spans="1:28">
      <c r="A32" t="s">
        <v>1428</v>
      </c>
      <c r="B32" t="s">
        <v>1429</v>
      </c>
      <c r="C32" t="s">
        <v>1125</v>
      </c>
      <c r="D32" t="s">
        <v>30</v>
      </c>
      <c r="E32">
        <v>24</v>
      </c>
      <c r="F32" s="7">
        <v>45955</v>
      </c>
      <c r="G32" t="s">
        <v>31</v>
      </c>
      <c r="H32" t="s">
        <v>60</v>
      </c>
      <c r="I32" t="s">
        <v>108</v>
      </c>
      <c r="J32" t="s">
        <v>274</v>
      </c>
      <c r="K32" t="s">
        <v>107</v>
      </c>
      <c r="N32" t="s">
        <v>1394</v>
      </c>
      <c r="Q32">
        <v>1.35</v>
      </c>
      <c r="R32">
        <f>IF(B32="","",SUMIF(ProductionConfiguration!$B$5:$B$914,C32,ProductionConfiguration!$S$5:$S$914))</f>
        <v>24</v>
      </c>
      <c r="S32">
        <f>IF(B32="","",IF(K32="Line",R32,IF(K32="Section",SUMIFS(ProductionConfiguration!$S$5:$S$914,ProductionConfiguration!$B$5:$B$914,C32,ProductionConfiguration!$I$5:$I$914,L32),IF(K32="Cavity",IF(M32=1,SUMIFS(ProductionConfiguration!$P$5:$P$914,ProductionConfiguration!$B$5:$B$914,C32,ProductionConfiguration!$I$5:$I$914,L32),IF(M32=2,SUMIFS(ProductionConfiguration!$Q$5:$Q$914,ProductionConfiguration!$B$5:$B$914,C32,ProductionConfiguration!$I$5:$I$914,L32),SUMIFS(ProductionConfiguration!$R$5:$R$914,ProductionConfiguration!$B$5:$B$914,C32,ProductionConfiguration!$I$5:$I$914,L32))),0))))</f>
        <v>24</v>
      </c>
      <c r="T32">
        <f t="shared" si="0"/>
        <v>1</v>
      </c>
      <c r="U32">
        <f t="shared" si="1"/>
        <v>1.35</v>
      </c>
      <c r="V32">
        <f>IF(C32="","",SUMIF(DailyProduction!$Q$5:$Q$100,C32,DailyProduction!$J$5:$J$100))</f>
        <v>11</v>
      </c>
      <c r="W32">
        <f t="shared" si="2"/>
        <v>21384</v>
      </c>
      <c r="X32" t="s">
        <v>1395</v>
      </c>
      <c r="Y32" t="str">
        <f>IF(B32="","",IF(COUNTIF(JobChange!$S$5:$S$100,B32)=1,"OK","CHECK"))</f>
        <v>OK</v>
      </c>
      <c r="Z32" t="str">
        <f t="shared" si="3"/>
        <v>OK</v>
      </c>
      <c r="AA32" t="str">
        <f t="shared" si="4"/>
        <v>OK</v>
      </c>
      <c r="AB32" t="str">
        <f t="shared" si="5"/>
        <v>OK</v>
      </c>
    </row>
    <row r="33" spans="1:28">
      <c r="A33" t="s">
        <v>1430</v>
      </c>
      <c r="B33" t="s">
        <v>1429</v>
      </c>
      <c r="C33" t="s">
        <v>1125</v>
      </c>
      <c r="D33" t="s">
        <v>30</v>
      </c>
      <c r="E33">
        <v>24</v>
      </c>
      <c r="F33" s="7">
        <v>45955</v>
      </c>
      <c r="G33" t="s">
        <v>31</v>
      </c>
      <c r="H33" t="s">
        <v>60</v>
      </c>
      <c r="I33" t="s">
        <v>111</v>
      </c>
      <c r="J33" t="s">
        <v>287</v>
      </c>
      <c r="K33" t="s">
        <v>110</v>
      </c>
      <c r="L33">
        <v>4</v>
      </c>
      <c r="N33" t="s">
        <v>1394</v>
      </c>
      <c r="Q33">
        <v>0.42</v>
      </c>
      <c r="R33">
        <f>IF(B33="","",SUMIF(ProductionConfiguration!$B$5:$B$914,C33,ProductionConfiguration!$S$5:$S$914))</f>
        <v>24</v>
      </c>
      <c r="S33">
        <f>IF(B33="","",IF(K33="Line",R33,IF(K33="Section",SUMIFS(ProductionConfiguration!$S$5:$S$914,ProductionConfiguration!$B$5:$B$914,C33,ProductionConfiguration!$I$5:$I$914,L33),IF(K33="Cavity",IF(M33=1,SUMIFS(ProductionConfiguration!$P$5:$P$914,ProductionConfiguration!$B$5:$B$914,C33,ProductionConfiguration!$I$5:$I$914,L33),IF(M33=2,SUMIFS(ProductionConfiguration!$Q$5:$Q$914,ProductionConfiguration!$B$5:$B$914,C33,ProductionConfiguration!$I$5:$I$914,L33),SUMIFS(ProductionConfiguration!$R$5:$R$914,ProductionConfiguration!$B$5:$B$914,C33,ProductionConfiguration!$I$5:$I$914,L33))),0))))</f>
        <v>2</v>
      </c>
      <c r="T33">
        <f t="shared" si="0"/>
        <v>8.3333333333333329E-2</v>
      </c>
      <c r="U33">
        <f t="shared" si="1"/>
        <v>3.4999999999999996E-2</v>
      </c>
      <c r="V33">
        <f>IF(C33="","",SUMIF(DailyProduction!$Q$5:$Q$100,C33,DailyProduction!$J$5:$J$100))</f>
        <v>11</v>
      </c>
      <c r="W33">
        <f t="shared" si="2"/>
        <v>554.4</v>
      </c>
      <c r="X33" t="s">
        <v>1395</v>
      </c>
      <c r="Y33" t="str">
        <f>IF(B33="","",IF(COUNTIF(JobChange!$S$5:$S$100,B33)=1,"OK","CHECK"))</f>
        <v>OK</v>
      </c>
      <c r="Z33" t="str">
        <f t="shared" si="3"/>
        <v>OK</v>
      </c>
      <c r="AA33" t="str">
        <f t="shared" si="4"/>
        <v>OK</v>
      </c>
      <c r="AB33" t="str">
        <f t="shared" si="5"/>
        <v>OK</v>
      </c>
    </row>
    <row r="34" spans="1:28">
      <c r="A34" t="s">
        <v>1431</v>
      </c>
      <c r="B34" t="s">
        <v>1429</v>
      </c>
      <c r="C34" t="s">
        <v>1125</v>
      </c>
      <c r="D34" t="s">
        <v>30</v>
      </c>
      <c r="E34">
        <v>24</v>
      </c>
      <c r="F34" s="7">
        <v>45955</v>
      </c>
      <c r="G34" t="s">
        <v>31</v>
      </c>
      <c r="H34" t="s">
        <v>60</v>
      </c>
      <c r="I34" t="s">
        <v>80</v>
      </c>
      <c r="J34" t="s">
        <v>274</v>
      </c>
      <c r="K34" t="s">
        <v>107</v>
      </c>
      <c r="N34" t="s">
        <v>1394</v>
      </c>
      <c r="Q34">
        <v>0.42</v>
      </c>
      <c r="R34">
        <f>IF(B34="","",SUMIF(ProductionConfiguration!$B$5:$B$914,C34,ProductionConfiguration!$S$5:$S$914))</f>
        <v>24</v>
      </c>
      <c r="S34">
        <f>IF(B34="","",IF(K34="Line",R34,IF(K34="Section",SUMIFS(ProductionConfiguration!$S$5:$S$914,ProductionConfiguration!$B$5:$B$914,C34,ProductionConfiguration!$I$5:$I$914,L34),IF(K34="Cavity",IF(M34=1,SUMIFS(ProductionConfiguration!$P$5:$P$914,ProductionConfiguration!$B$5:$B$914,C34,ProductionConfiguration!$I$5:$I$914,L34),IF(M34=2,SUMIFS(ProductionConfiguration!$Q$5:$Q$914,ProductionConfiguration!$B$5:$B$914,C34,ProductionConfiguration!$I$5:$I$914,L34),SUMIFS(ProductionConfiguration!$R$5:$R$914,ProductionConfiguration!$B$5:$B$914,C34,ProductionConfiguration!$I$5:$I$914,L34))),0))))</f>
        <v>24</v>
      </c>
      <c r="T34">
        <f t="shared" si="0"/>
        <v>1</v>
      </c>
      <c r="U34">
        <f t="shared" si="1"/>
        <v>0.42</v>
      </c>
      <c r="V34">
        <f>IF(C34="","",SUMIF(DailyProduction!$Q$5:$Q$100,C34,DailyProduction!$J$5:$J$100))</f>
        <v>11</v>
      </c>
      <c r="W34">
        <f t="shared" si="2"/>
        <v>6652.7999999999993</v>
      </c>
      <c r="X34" t="s">
        <v>1395</v>
      </c>
      <c r="Y34" t="str">
        <f>IF(B34="","",IF(COUNTIF(JobChange!$S$5:$S$100,B34)=1,"OK","CHECK"))</f>
        <v>OK</v>
      </c>
      <c r="Z34" t="str">
        <f t="shared" si="3"/>
        <v>OK</v>
      </c>
      <c r="AA34" t="str">
        <f t="shared" si="4"/>
        <v>OK</v>
      </c>
      <c r="AB34" t="str">
        <f t="shared" si="5"/>
        <v>OK</v>
      </c>
    </row>
    <row r="35" spans="1:28">
      <c r="A35" t="s">
        <v>1432</v>
      </c>
      <c r="B35" t="s">
        <v>1433</v>
      </c>
      <c r="C35" t="s">
        <v>1265</v>
      </c>
      <c r="D35" t="s">
        <v>30</v>
      </c>
      <c r="E35">
        <v>25</v>
      </c>
      <c r="F35" s="7">
        <v>45953</v>
      </c>
      <c r="G35" t="s">
        <v>31</v>
      </c>
      <c r="H35" t="s">
        <v>63</v>
      </c>
      <c r="I35" t="s">
        <v>108</v>
      </c>
      <c r="J35" t="s">
        <v>327</v>
      </c>
      <c r="K35" t="s">
        <v>107</v>
      </c>
      <c r="N35" t="s">
        <v>1394</v>
      </c>
      <c r="Q35">
        <v>2.75</v>
      </c>
      <c r="R35">
        <f>IF(B35="","",SUMIF(ProductionConfiguration!$B$5:$B$914,C35,ProductionConfiguration!$S$5:$S$914))</f>
        <v>24</v>
      </c>
      <c r="S35">
        <f>IF(B35="","",IF(K35="Line",R35,IF(K35="Section",SUMIFS(ProductionConfiguration!$S$5:$S$914,ProductionConfiguration!$B$5:$B$914,C35,ProductionConfiguration!$I$5:$I$914,L35),IF(K35="Cavity",IF(M35=1,SUMIFS(ProductionConfiguration!$P$5:$P$914,ProductionConfiguration!$B$5:$B$914,C35,ProductionConfiguration!$I$5:$I$914,L35),IF(M35=2,SUMIFS(ProductionConfiguration!$Q$5:$Q$914,ProductionConfiguration!$B$5:$B$914,C35,ProductionConfiguration!$I$5:$I$914,L35),SUMIFS(ProductionConfiguration!$R$5:$R$914,ProductionConfiguration!$B$5:$B$914,C35,ProductionConfiguration!$I$5:$I$914,L35))),0))))</f>
        <v>24</v>
      </c>
      <c r="T35">
        <f t="shared" si="0"/>
        <v>1</v>
      </c>
      <c r="U35">
        <f t="shared" si="1"/>
        <v>2.75</v>
      </c>
      <c r="V35">
        <f>IF(C35="","",SUMIF(DailyProduction!$Q$5:$Q$100,C35,DailyProduction!$J$5:$J$100))</f>
        <v>12</v>
      </c>
      <c r="W35">
        <f t="shared" si="2"/>
        <v>47520</v>
      </c>
      <c r="X35" t="s">
        <v>1395</v>
      </c>
      <c r="Y35" t="str">
        <f>IF(B35="","",IF(COUNTIF(JobChange!$S$5:$S$100,B35)=1,"OK","CHECK"))</f>
        <v>OK</v>
      </c>
      <c r="Z35" t="str">
        <f t="shared" si="3"/>
        <v>OK</v>
      </c>
      <c r="AA35" t="str">
        <f t="shared" si="4"/>
        <v>OK</v>
      </c>
      <c r="AB35" t="str">
        <f t="shared" si="5"/>
        <v>OK</v>
      </c>
    </row>
    <row r="36" spans="1:28">
      <c r="A36" t="s">
        <v>1434</v>
      </c>
      <c r="B36" t="s">
        <v>1433</v>
      </c>
      <c r="C36" t="s">
        <v>1265</v>
      </c>
      <c r="D36" t="s">
        <v>30</v>
      </c>
      <c r="E36">
        <v>25</v>
      </c>
      <c r="F36" s="7">
        <v>45953</v>
      </c>
      <c r="G36" t="s">
        <v>31</v>
      </c>
      <c r="H36" t="s">
        <v>63</v>
      </c>
      <c r="I36" t="s">
        <v>111</v>
      </c>
      <c r="J36" t="s">
        <v>336</v>
      </c>
      <c r="K36" t="s">
        <v>110</v>
      </c>
      <c r="L36">
        <v>3</v>
      </c>
      <c r="N36" t="s">
        <v>1394</v>
      </c>
      <c r="Q36">
        <v>0.89</v>
      </c>
      <c r="R36">
        <f>IF(B36="","",SUMIF(ProductionConfiguration!$B$5:$B$914,C36,ProductionConfiguration!$S$5:$S$914))</f>
        <v>24</v>
      </c>
      <c r="S36">
        <f>IF(B36="","",IF(K36="Line",R36,IF(K36="Section",SUMIFS(ProductionConfiguration!$S$5:$S$914,ProductionConfiguration!$B$5:$B$914,C36,ProductionConfiguration!$I$5:$I$914,L36),IF(K36="Cavity",IF(M36=1,SUMIFS(ProductionConfiguration!$P$5:$P$914,ProductionConfiguration!$B$5:$B$914,C36,ProductionConfiguration!$I$5:$I$914,L36),IF(M36=2,SUMIFS(ProductionConfiguration!$Q$5:$Q$914,ProductionConfiguration!$B$5:$B$914,C36,ProductionConfiguration!$I$5:$I$914,L36),SUMIFS(ProductionConfiguration!$R$5:$R$914,ProductionConfiguration!$B$5:$B$914,C36,ProductionConfiguration!$I$5:$I$914,L36))),0))))</f>
        <v>3</v>
      </c>
      <c r="T36">
        <f t="shared" si="0"/>
        <v>0.125</v>
      </c>
      <c r="U36">
        <f t="shared" si="1"/>
        <v>0.11125</v>
      </c>
      <c r="V36">
        <f>IF(C36="","",SUMIF(DailyProduction!$Q$5:$Q$100,C36,DailyProduction!$J$5:$J$100))</f>
        <v>12</v>
      </c>
      <c r="W36">
        <f t="shared" si="2"/>
        <v>1922.3999999999999</v>
      </c>
      <c r="X36" t="s">
        <v>1395</v>
      </c>
      <c r="Y36" t="str">
        <f>IF(B36="","",IF(COUNTIF(JobChange!$S$5:$S$100,B36)=1,"OK","CHECK"))</f>
        <v>OK</v>
      </c>
      <c r="Z36" t="str">
        <f t="shared" si="3"/>
        <v>OK</v>
      </c>
      <c r="AA36" t="str">
        <f t="shared" si="4"/>
        <v>OK</v>
      </c>
      <c r="AB36" t="str">
        <f t="shared" si="5"/>
        <v>OK</v>
      </c>
    </row>
    <row r="37" spans="1:28">
      <c r="A37" t="s">
        <v>1435</v>
      </c>
      <c r="B37" t="s">
        <v>1433</v>
      </c>
      <c r="C37" t="s">
        <v>1265</v>
      </c>
      <c r="D37" t="s">
        <v>30</v>
      </c>
      <c r="E37">
        <v>25</v>
      </c>
      <c r="F37" s="7">
        <v>45953</v>
      </c>
      <c r="G37" t="s">
        <v>31</v>
      </c>
      <c r="H37" t="s">
        <v>63</v>
      </c>
      <c r="I37" t="s">
        <v>80</v>
      </c>
      <c r="J37" t="s">
        <v>332</v>
      </c>
      <c r="K37" t="s">
        <v>110</v>
      </c>
      <c r="L37">
        <v>2</v>
      </c>
      <c r="N37" t="s">
        <v>1394</v>
      </c>
      <c r="Q37">
        <v>0.49</v>
      </c>
      <c r="R37">
        <f>IF(B37="","",SUMIF(ProductionConfiguration!$B$5:$B$914,C37,ProductionConfiguration!$S$5:$S$914))</f>
        <v>24</v>
      </c>
      <c r="S37">
        <f>IF(B37="","",IF(K37="Line",R37,IF(K37="Section",SUMIFS(ProductionConfiguration!$S$5:$S$914,ProductionConfiguration!$B$5:$B$914,C37,ProductionConfiguration!$I$5:$I$914,L37),IF(K37="Cavity",IF(M37=1,SUMIFS(ProductionConfiguration!$P$5:$P$914,ProductionConfiguration!$B$5:$B$914,C37,ProductionConfiguration!$I$5:$I$914,L37),IF(M37=2,SUMIFS(ProductionConfiguration!$Q$5:$Q$914,ProductionConfiguration!$B$5:$B$914,C37,ProductionConfiguration!$I$5:$I$914,L37),SUMIFS(ProductionConfiguration!$R$5:$R$914,ProductionConfiguration!$B$5:$B$914,C37,ProductionConfiguration!$I$5:$I$914,L37))),0))))</f>
        <v>3</v>
      </c>
      <c r="T37">
        <f t="shared" ref="T37:T68" si="6">IF(B37="","",IFERROR(S37/R37,0))</f>
        <v>0.125</v>
      </c>
      <c r="U37">
        <f t="shared" ref="U37:U68" si="7">IF(B37="","",Q37*T37)</f>
        <v>6.1249999999999999E-2</v>
      </c>
      <c r="V37">
        <f>IF(C37="","",SUMIF(DailyProduction!$Q$5:$Q$100,C37,DailyProduction!$J$5:$J$100))</f>
        <v>12</v>
      </c>
      <c r="W37">
        <f t="shared" ref="W37:W68" si="8">IF(B37="","",Q37*60*V37*S37)</f>
        <v>1058.3999999999999</v>
      </c>
      <c r="X37" t="s">
        <v>1395</v>
      </c>
      <c r="Y37" t="str">
        <f>IF(B37="","",IF(COUNTIF(JobChange!$S$5:$S$100,B37)=1,"OK","CHECK"))</f>
        <v>OK</v>
      </c>
      <c r="Z37" t="str">
        <f t="shared" ref="Z37:Z68" si="9">IF(B37="","",IF(OR(AND(K37="Line",J37="L"&amp;E37),AND(K37="Section",J37="L"&amp;E37&amp;"-S"&amp;TEXT(L37,"00")),AND(K37="Cavity",J37="L"&amp;E37&amp;"-S"&amp;TEXT(L37,"00")&amp;"-C"&amp;M37)),"OK","CHECK"))</f>
        <v>OK</v>
      </c>
      <c r="AA37" t="str">
        <f t="shared" ref="AA37:AA68" si="10">IF(B37="","",IF(AND(Q37&gt;0,OR(AND(O37="",P37=""),AND(O37&lt;&gt;"",P37&lt;&gt;"",P37&gt;=O37,ABS(Q37-((P37-O37)*24))&lt;=0.01))),"OK","CHECK"))</f>
        <v>OK</v>
      </c>
      <c r="AB37" t="str">
        <f t="shared" ref="AB37:AB68" si="11">IF(B37="","",IF(AND(Y37="OK",Z37="OK",AA37="OK",R37&gt;0,S37&gt;0),"OK","CHECK"))</f>
        <v>OK</v>
      </c>
    </row>
    <row r="38" spans="1:28">
      <c r="R38" t="str">
        <f>IF(B38="","",SUMIF(ProductionConfiguration!$B$5:$B$914,C38,ProductionConfiguration!$S$5:$S$914))</f>
        <v/>
      </c>
      <c r="S38" t="str">
        <f>IF(B38="","",IF(K38="Line",R38,IF(K38="Section",SUMIFS(ProductionConfiguration!$S$5:$S$914,ProductionConfiguration!$B$5:$B$914,C38,ProductionConfiguration!$I$5:$I$914,L38),IF(K38="Cavity",IF(M38=1,SUMIFS(ProductionConfiguration!$P$5:$P$914,ProductionConfiguration!$B$5:$B$914,C38,ProductionConfiguration!$I$5:$I$914,L38),IF(M38=2,SUMIFS(ProductionConfiguration!$Q$5:$Q$914,ProductionConfiguration!$B$5:$B$914,C38,ProductionConfiguration!$I$5:$I$914,L38),SUMIFS(ProductionConfiguration!$R$5:$R$914,ProductionConfiguration!$B$5:$B$914,C38,ProductionConfiguration!$I$5:$I$914,L38))),0))))</f>
        <v/>
      </c>
      <c r="T38" t="str">
        <f t="shared" si="6"/>
        <v/>
      </c>
      <c r="U38" t="str">
        <f t="shared" si="7"/>
        <v/>
      </c>
      <c r="V38" t="str">
        <f>IF(C38="","",SUMIF(DailyProduction!$Q$5:$Q$100,C38,DailyProduction!$J$5:$J$100))</f>
        <v/>
      </c>
      <c r="W38" t="str">
        <f t="shared" si="8"/>
        <v/>
      </c>
      <c r="Y38" t="str">
        <f>IF(B38="","",IF(COUNTIF(JobChange!$S$5:$S$100,B38)=1,"OK","CHECK"))</f>
        <v/>
      </c>
      <c r="Z38" t="str">
        <f t="shared" si="9"/>
        <v/>
      </c>
      <c r="AA38" t="str">
        <f t="shared" si="10"/>
        <v/>
      </c>
      <c r="AB38" t="str">
        <f t="shared" si="11"/>
        <v/>
      </c>
    </row>
    <row r="39" spans="1:28">
      <c r="R39" t="str">
        <f>IF(B39="","",SUMIF(ProductionConfiguration!$B$5:$B$914,C39,ProductionConfiguration!$S$5:$S$914))</f>
        <v/>
      </c>
      <c r="S39" t="str">
        <f>IF(B39="","",IF(K39="Line",R39,IF(K39="Section",SUMIFS(ProductionConfiguration!$S$5:$S$914,ProductionConfiguration!$B$5:$B$914,C39,ProductionConfiguration!$I$5:$I$914,L39),IF(K39="Cavity",IF(M39=1,SUMIFS(ProductionConfiguration!$P$5:$P$914,ProductionConfiguration!$B$5:$B$914,C39,ProductionConfiguration!$I$5:$I$914,L39),IF(M39=2,SUMIFS(ProductionConfiguration!$Q$5:$Q$914,ProductionConfiguration!$B$5:$B$914,C39,ProductionConfiguration!$I$5:$I$914,L39),SUMIFS(ProductionConfiguration!$R$5:$R$914,ProductionConfiguration!$B$5:$B$914,C39,ProductionConfiguration!$I$5:$I$914,L39))),0))))</f>
        <v/>
      </c>
      <c r="T39" t="str">
        <f t="shared" si="6"/>
        <v/>
      </c>
      <c r="U39" t="str">
        <f t="shared" si="7"/>
        <v/>
      </c>
      <c r="V39" t="str">
        <f>IF(C39="","",SUMIF(DailyProduction!$Q$5:$Q$100,C39,DailyProduction!$J$5:$J$100))</f>
        <v/>
      </c>
      <c r="W39" t="str">
        <f t="shared" si="8"/>
        <v/>
      </c>
      <c r="Y39" t="str">
        <f>IF(B39="","",IF(COUNTIF(JobChange!$S$5:$S$100,B39)=1,"OK","CHECK"))</f>
        <v/>
      </c>
      <c r="Z39" t="str">
        <f t="shared" si="9"/>
        <v/>
      </c>
      <c r="AA39" t="str">
        <f t="shared" si="10"/>
        <v/>
      </c>
      <c r="AB39" t="str">
        <f t="shared" si="11"/>
        <v/>
      </c>
    </row>
    <row r="40" spans="1:28">
      <c r="R40" t="str">
        <f>IF(B40="","",SUMIF(ProductionConfiguration!$B$5:$B$914,C40,ProductionConfiguration!$S$5:$S$914))</f>
        <v/>
      </c>
      <c r="S40" t="str">
        <f>IF(B40="","",IF(K40="Line",R40,IF(K40="Section",SUMIFS(ProductionConfiguration!$S$5:$S$914,ProductionConfiguration!$B$5:$B$914,C40,ProductionConfiguration!$I$5:$I$914,L40),IF(K40="Cavity",IF(M40=1,SUMIFS(ProductionConfiguration!$P$5:$P$914,ProductionConfiguration!$B$5:$B$914,C40,ProductionConfiguration!$I$5:$I$914,L40),IF(M40=2,SUMIFS(ProductionConfiguration!$Q$5:$Q$914,ProductionConfiguration!$B$5:$B$914,C40,ProductionConfiguration!$I$5:$I$914,L40),SUMIFS(ProductionConfiguration!$R$5:$R$914,ProductionConfiguration!$B$5:$B$914,C40,ProductionConfiguration!$I$5:$I$914,L40))),0))))</f>
        <v/>
      </c>
      <c r="T40" t="str">
        <f t="shared" si="6"/>
        <v/>
      </c>
      <c r="U40" t="str">
        <f t="shared" si="7"/>
        <v/>
      </c>
      <c r="V40" t="str">
        <f>IF(C40="","",SUMIF(DailyProduction!$Q$5:$Q$100,C40,DailyProduction!$J$5:$J$100))</f>
        <v/>
      </c>
      <c r="W40" t="str">
        <f t="shared" si="8"/>
        <v/>
      </c>
      <c r="Y40" t="str">
        <f>IF(B40="","",IF(COUNTIF(JobChange!$S$5:$S$100,B40)=1,"OK","CHECK"))</f>
        <v/>
      </c>
      <c r="Z40" t="str">
        <f t="shared" si="9"/>
        <v/>
      </c>
      <c r="AA40" t="str">
        <f t="shared" si="10"/>
        <v/>
      </c>
      <c r="AB40" t="str">
        <f t="shared" si="11"/>
        <v/>
      </c>
    </row>
    <row r="41" spans="1:28">
      <c r="R41" t="str">
        <f>IF(B41="","",SUMIF(ProductionConfiguration!$B$5:$B$914,C41,ProductionConfiguration!$S$5:$S$914))</f>
        <v/>
      </c>
      <c r="S41" t="str">
        <f>IF(B41="","",IF(K41="Line",R41,IF(K41="Section",SUMIFS(ProductionConfiguration!$S$5:$S$914,ProductionConfiguration!$B$5:$B$914,C41,ProductionConfiguration!$I$5:$I$914,L41),IF(K41="Cavity",IF(M41=1,SUMIFS(ProductionConfiguration!$P$5:$P$914,ProductionConfiguration!$B$5:$B$914,C41,ProductionConfiguration!$I$5:$I$914,L41),IF(M41=2,SUMIFS(ProductionConfiguration!$Q$5:$Q$914,ProductionConfiguration!$B$5:$B$914,C41,ProductionConfiguration!$I$5:$I$914,L41),SUMIFS(ProductionConfiguration!$R$5:$R$914,ProductionConfiguration!$B$5:$B$914,C41,ProductionConfiguration!$I$5:$I$914,L41))),0))))</f>
        <v/>
      </c>
      <c r="T41" t="str">
        <f t="shared" si="6"/>
        <v/>
      </c>
      <c r="U41" t="str">
        <f t="shared" si="7"/>
        <v/>
      </c>
      <c r="V41" t="str">
        <f>IF(C41="","",SUMIF(DailyProduction!$Q$5:$Q$100,C41,DailyProduction!$J$5:$J$100))</f>
        <v/>
      </c>
      <c r="W41" t="str">
        <f t="shared" si="8"/>
        <v/>
      </c>
      <c r="Y41" t="str">
        <f>IF(B41="","",IF(COUNTIF(JobChange!$S$5:$S$100,B41)=1,"OK","CHECK"))</f>
        <v/>
      </c>
      <c r="Z41" t="str">
        <f t="shared" si="9"/>
        <v/>
      </c>
      <c r="AA41" t="str">
        <f t="shared" si="10"/>
        <v/>
      </c>
      <c r="AB41" t="str">
        <f t="shared" si="11"/>
        <v/>
      </c>
    </row>
    <row r="42" spans="1:28">
      <c r="R42" t="str">
        <f>IF(B42="","",SUMIF(ProductionConfiguration!$B$5:$B$914,C42,ProductionConfiguration!$S$5:$S$914))</f>
        <v/>
      </c>
      <c r="S42" t="str">
        <f>IF(B42="","",IF(K42="Line",R42,IF(K42="Section",SUMIFS(ProductionConfiguration!$S$5:$S$914,ProductionConfiguration!$B$5:$B$914,C42,ProductionConfiguration!$I$5:$I$914,L42),IF(K42="Cavity",IF(M42=1,SUMIFS(ProductionConfiguration!$P$5:$P$914,ProductionConfiguration!$B$5:$B$914,C42,ProductionConfiguration!$I$5:$I$914,L42),IF(M42=2,SUMIFS(ProductionConfiguration!$Q$5:$Q$914,ProductionConfiguration!$B$5:$B$914,C42,ProductionConfiguration!$I$5:$I$914,L42),SUMIFS(ProductionConfiguration!$R$5:$R$914,ProductionConfiguration!$B$5:$B$914,C42,ProductionConfiguration!$I$5:$I$914,L42))),0))))</f>
        <v/>
      </c>
      <c r="T42" t="str">
        <f t="shared" si="6"/>
        <v/>
      </c>
      <c r="U42" t="str">
        <f t="shared" si="7"/>
        <v/>
      </c>
      <c r="V42" t="str">
        <f>IF(C42="","",SUMIF(DailyProduction!$Q$5:$Q$100,C42,DailyProduction!$J$5:$J$100))</f>
        <v/>
      </c>
      <c r="W42" t="str">
        <f t="shared" si="8"/>
        <v/>
      </c>
      <c r="Y42" t="str">
        <f>IF(B42="","",IF(COUNTIF(JobChange!$S$5:$S$100,B42)=1,"OK","CHECK"))</f>
        <v/>
      </c>
      <c r="Z42" t="str">
        <f t="shared" si="9"/>
        <v/>
      </c>
      <c r="AA42" t="str">
        <f t="shared" si="10"/>
        <v/>
      </c>
      <c r="AB42" t="str">
        <f t="shared" si="11"/>
        <v/>
      </c>
    </row>
    <row r="43" spans="1:28">
      <c r="R43" t="str">
        <f>IF(B43="","",SUMIF(ProductionConfiguration!$B$5:$B$914,C43,ProductionConfiguration!$S$5:$S$914))</f>
        <v/>
      </c>
      <c r="S43" t="str">
        <f>IF(B43="","",IF(K43="Line",R43,IF(K43="Section",SUMIFS(ProductionConfiguration!$S$5:$S$914,ProductionConfiguration!$B$5:$B$914,C43,ProductionConfiguration!$I$5:$I$914,L43),IF(K43="Cavity",IF(M43=1,SUMIFS(ProductionConfiguration!$P$5:$P$914,ProductionConfiguration!$B$5:$B$914,C43,ProductionConfiguration!$I$5:$I$914,L43),IF(M43=2,SUMIFS(ProductionConfiguration!$Q$5:$Q$914,ProductionConfiguration!$B$5:$B$914,C43,ProductionConfiguration!$I$5:$I$914,L43),SUMIFS(ProductionConfiguration!$R$5:$R$914,ProductionConfiguration!$B$5:$B$914,C43,ProductionConfiguration!$I$5:$I$914,L43))),0))))</f>
        <v/>
      </c>
      <c r="T43" t="str">
        <f t="shared" si="6"/>
        <v/>
      </c>
      <c r="U43" t="str">
        <f t="shared" si="7"/>
        <v/>
      </c>
      <c r="V43" t="str">
        <f>IF(C43="","",SUMIF(DailyProduction!$Q$5:$Q$100,C43,DailyProduction!$J$5:$J$100))</f>
        <v/>
      </c>
      <c r="W43" t="str">
        <f t="shared" si="8"/>
        <v/>
      </c>
      <c r="Y43" t="str">
        <f>IF(B43="","",IF(COUNTIF(JobChange!$S$5:$S$100,B43)=1,"OK","CHECK"))</f>
        <v/>
      </c>
      <c r="Z43" t="str">
        <f t="shared" si="9"/>
        <v/>
      </c>
      <c r="AA43" t="str">
        <f t="shared" si="10"/>
        <v/>
      </c>
      <c r="AB43" t="str">
        <f t="shared" si="11"/>
        <v/>
      </c>
    </row>
    <row r="44" spans="1:28">
      <c r="R44" t="str">
        <f>IF(B44="","",SUMIF(ProductionConfiguration!$B$5:$B$914,C44,ProductionConfiguration!$S$5:$S$914))</f>
        <v/>
      </c>
      <c r="S44" t="str">
        <f>IF(B44="","",IF(K44="Line",R44,IF(K44="Section",SUMIFS(ProductionConfiguration!$S$5:$S$914,ProductionConfiguration!$B$5:$B$914,C44,ProductionConfiguration!$I$5:$I$914,L44),IF(K44="Cavity",IF(M44=1,SUMIFS(ProductionConfiguration!$P$5:$P$914,ProductionConfiguration!$B$5:$B$914,C44,ProductionConfiguration!$I$5:$I$914,L44),IF(M44=2,SUMIFS(ProductionConfiguration!$Q$5:$Q$914,ProductionConfiguration!$B$5:$B$914,C44,ProductionConfiguration!$I$5:$I$914,L44),SUMIFS(ProductionConfiguration!$R$5:$R$914,ProductionConfiguration!$B$5:$B$914,C44,ProductionConfiguration!$I$5:$I$914,L44))),0))))</f>
        <v/>
      </c>
      <c r="T44" t="str">
        <f t="shared" si="6"/>
        <v/>
      </c>
      <c r="U44" t="str">
        <f t="shared" si="7"/>
        <v/>
      </c>
      <c r="V44" t="str">
        <f>IF(C44="","",SUMIF(DailyProduction!$Q$5:$Q$100,C44,DailyProduction!$J$5:$J$100))</f>
        <v/>
      </c>
      <c r="W44" t="str">
        <f t="shared" si="8"/>
        <v/>
      </c>
      <c r="Y44" t="str">
        <f>IF(B44="","",IF(COUNTIF(JobChange!$S$5:$S$100,B44)=1,"OK","CHECK"))</f>
        <v/>
      </c>
      <c r="Z44" t="str">
        <f t="shared" si="9"/>
        <v/>
      </c>
      <c r="AA44" t="str">
        <f t="shared" si="10"/>
        <v/>
      </c>
      <c r="AB44" t="str">
        <f t="shared" si="11"/>
        <v/>
      </c>
    </row>
    <row r="45" spans="1:28">
      <c r="R45" t="str">
        <f>IF(B45="","",SUMIF(ProductionConfiguration!$B$5:$B$914,C45,ProductionConfiguration!$S$5:$S$914))</f>
        <v/>
      </c>
      <c r="S45" t="str">
        <f>IF(B45="","",IF(K45="Line",R45,IF(K45="Section",SUMIFS(ProductionConfiguration!$S$5:$S$914,ProductionConfiguration!$B$5:$B$914,C45,ProductionConfiguration!$I$5:$I$914,L45),IF(K45="Cavity",IF(M45=1,SUMIFS(ProductionConfiguration!$P$5:$P$914,ProductionConfiguration!$B$5:$B$914,C45,ProductionConfiguration!$I$5:$I$914,L45),IF(M45=2,SUMIFS(ProductionConfiguration!$Q$5:$Q$914,ProductionConfiguration!$B$5:$B$914,C45,ProductionConfiguration!$I$5:$I$914,L45),SUMIFS(ProductionConfiguration!$R$5:$R$914,ProductionConfiguration!$B$5:$B$914,C45,ProductionConfiguration!$I$5:$I$914,L45))),0))))</f>
        <v/>
      </c>
      <c r="T45" t="str">
        <f t="shared" si="6"/>
        <v/>
      </c>
      <c r="U45" t="str">
        <f t="shared" si="7"/>
        <v/>
      </c>
      <c r="V45" t="str">
        <f>IF(C45="","",SUMIF(DailyProduction!$Q$5:$Q$100,C45,DailyProduction!$J$5:$J$100))</f>
        <v/>
      </c>
      <c r="W45" t="str">
        <f t="shared" si="8"/>
        <v/>
      </c>
      <c r="Y45" t="str">
        <f>IF(B45="","",IF(COUNTIF(JobChange!$S$5:$S$100,B45)=1,"OK","CHECK"))</f>
        <v/>
      </c>
      <c r="Z45" t="str">
        <f t="shared" si="9"/>
        <v/>
      </c>
      <c r="AA45" t="str">
        <f t="shared" si="10"/>
        <v/>
      </c>
      <c r="AB45" t="str">
        <f t="shared" si="11"/>
        <v/>
      </c>
    </row>
    <row r="46" spans="1:28">
      <c r="R46" t="str">
        <f>IF(B46="","",SUMIF(ProductionConfiguration!$B$5:$B$914,C46,ProductionConfiguration!$S$5:$S$914))</f>
        <v/>
      </c>
      <c r="S46" t="str">
        <f>IF(B46="","",IF(K46="Line",R46,IF(K46="Section",SUMIFS(ProductionConfiguration!$S$5:$S$914,ProductionConfiguration!$B$5:$B$914,C46,ProductionConfiguration!$I$5:$I$914,L46),IF(K46="Cavity",IF(M46=1,SUMIFS(ProductionConfiguration!$P$5:$P$914,ProductionConfiguration!$B$5:$B$914,C46,ProductionConfiguration!$I$5:$I$914,L46),IF(M46=2,SUMIFS(ProductionConfiguration!$Q$5:$Q$914,ProductionConfiguration!$B$5:$B$914,C46,ProductionConfiguration!$I$5:$I$914,L46),SUMIFS(ProductionConfiguration!$R$5:$R$914,ProductionConfiguration!$B$5:$B$914,C46,ProductionConfiguration!$I$5:$I$914,L46))),0))))</f>
        <v/>
      </c>
      <c r="T46" t="str">
        <f t="shared" si="6"/>
        <v/>
      </c>
      <c r="U46" t="str">
        <f t="shared" si="7"/>
        <v/>
      </c>
      <c r="V46" t="str">
        <f>IF(C46="","",SUMIF(DailyProduction!$Q$5:$Q$100,C46,DailyProduction!$J$5:$J$100))</f>
        <v/>
      </c>
      <c r="W46" t="str">
        <f t="shared" si="8"/>
        <v/>
      </c>
      <c r="Y46" t="str">
        <f>IF(B46="","",IF(COUNTIF(JobChange!$S$5:$S$100,B46)=1,"OK","CHECK"))</f>
        <v/>
      </c>
      <c r="Z46" t="str">
        <f t="shared" si="9"/>
        <v/>
      </c>
      <c r="AA46" t="str">
        <f t="shared" si="10"/>
        <v/>
      </c>
      <c r="AB46" t="str">
        <f t="shared" si="11"/>
        <v/>
      </c>
    </row>
    <row r="47" spans="1:28">
      <c r="R47" t="str">
        <f>IF(B47="","",SUMIF(ProductionConfiguration!$B$5:$B$914,C47,ProductionConfiguration!$S$5:$S$914))</f>
        <v/>
      </c>
      <c r="S47" t="str">
        <f>IF(B47="","",IF(K47="Line",R47,IF(K47="Section",SUMIFS(ProductionConfiguration!$S$5:$S$914,ProductionConfiguration!$B$5:$B$914,C47,ProductionConfiguration!$I$5:$I$914,L47),IF(K47="Cavity",IF(M47=1,SUMIFS(ProductionConfiguration!$P$5:$P$914,ProductionConfiguration!$B$5:$B$914,C47,ProductionConfiguration!$I$5:$I$914,L47),IF(M47=2,SUMIFS(ProductionConfiguration!$Q$5:$Q$914,ProductionConfiguration!$B$5:$B$914,C47,ProductionConfiguration!$I$5:$I$914,L47),SUMIFS(ProductionConfiguration!$R$5:$R$914,ProductionConfiguration!$B$5:$B$914,C47,ProductionConfiguration!$I$5:$I$914,L47))),0))))</f>
        <v/>
      </c>
      <c r="T47" t="str">
        <f t="shared" si="6"/>
        <v/>
      </c>
      <c r="U47" t="str">
        <f t="shared" si="7"/>
        <v/>
      </c>
      <c r="V47" t="str">
        <f>IF(C47="","",SUMIF(DailyProduction!$Q$5:$Q$100,C47,DailyProduction!$J$5:$J$100))</f>
        <v/>
      </c>
      <c r="W47" t="str">
        <f t="shared" si="8"/>
        <v/>
      </c>
      <c r="Y47" t="str">
        <f>IF(B47="","",IF(COUNTIF(JobChange!$S$5:$S$100,B47)=1,"OK","CHECK"))</f>
        <v/>
      </c>
      <c r="Z47" t="str">
        <f t="shared" si="9"/>
        <v/>
      </c>
      <c r="AA47" t="str">
        <f t="shared" si="10"/>
        <v/>
      </c>
      <c r="AB47" t="str">
        <f t="shared" si="11"/>
        <v/>
      </c>
    </row>
    <row r="48" spans="1:28">
      <c r="R48" t="str">
        <f>IF(B48="","",SUMIF(ProductionConfiguration!$B$5:$B$914,C48,ProductionConfiguration!$S$5:$S$914))</f>
        <v/>
      </c>
      <c r="S48" t="str">
        <f>IF(B48="","",IF(K48="Line",R48,IF(K48="Section",SUMIFS(ProductionConfiguration!$S$5:$S$914,ProductionConfiguration!$B$5:$B$914,C48,ProductionConfiguration!$I$5:$I$914,L48),IF(K48="Cavity",IF(M48=1,SUMIFS(ProductionConfiguration!$P$5:$P$914,ProductionConfiguration!$B$5:$B$914,C48,ProductionConfiguration!$I$5:$I$914,L48),IF(M48=2,SUMIFS(ProductionConfiguration!$Q$5:$Q$914,ProductionConfiguration!$B$5:$B$914,C48,ProductionConfiguration!$I$5:$I$914,L48),SUMIFS(ProductionConfiguration!$R$5:$R$914,ProductionConfiguration!$B$5:$B$914,C48,ProductionConfiguration!$I$5:$I$914,L48))),0))))</f>
        <v/>
      </c>
      <c r="T48" t="str">
        <f t="shared" si="6"/>
        <v/>
      </c>
      <c r="U48" t="str">
        <f t="shared" si="7"/>
        <v/>
      </c>
      <c r="V48" t="str">
        <f>IF(C48="","",SUMIF(DailyProduction!$Q$5:$Q$100,C48,DailyProduction!$J$5:$J$100))</f>
        <v/>
      </c>
      <c r="W48" t="str">
        <f t="shared" si="8"/>
        <v/>
      </c>
      <c r="Y48" t="str">
        <f>IF(B48="","",IF(COUNTIF(JobChange!$S$5:$S$100,B48)=1,"OK","CHECK"))</f>
        <v/>
      </c>
      <c r="Z48" t="str">
        <f t="shared" si="9"/>
        <v/>
      </c>
      <c r="AA48" t="str">
        <f t="shared" si="10"/>
        <v/>
      </c>
      <c r="AB48" t="str">
        <f t="shared" si="11"/>
        <v/>
      </c>
    </row>
    <row r="49" spans="18:28">
      <c r="R49" t="str">
        <f>IF(B49="","",SUMIF(ProductionConfiguration!$B$5:$B$914,C49,ProductionConfiguration!$S$5:$S$914))</f>
        <v/>
      </c>
      <c r="S49" t="str">
        <f>IF(B49="","",IF(K49="Line",R49,IF(K49="Section",SUMIFS(ProductionConfiguration!$S$5:$S$914,ProductionConfiguration!$B$5:$B$914,C49,ProductionConfiguration!$I$5:$I$914,L49),IF(K49="Cavity",IF(M49=1,SUMIFS(ProductionConfiguration!$P$5:$P$914,ProductionConfiguration!$B$5:$B$914,C49,ProductionConfiguration!$I$5:$I$914,L49),IF(M49=2,SUMIFS(ProductionConfiguration!$Q$5:$Q$914,ProductionConfiguration!$B$5:$B$914,C49,ProductionConfiguration!$I$5:$I$914,L49),SUMIFS(ProductionConfiguration!$R$5:$R$914,ProductionConfiguration!$B$5:$B$914,C49,ProductionConfiguration!$I$5:$I$914,L49))),0))))</f>
        <v/>
      </c>
      <c r="T49" t="str">
        <f t="shared" si="6"/>
        <v/>
      </c>
      <c r="U49" t="str">
        <f t="shared" si="7"/>
        <v/>
      </c>
      <c r="V49" t="str">
        <f>IF(C49="","",SUMIF(DailyProduction!$Q$5:$Q$100,C49,DailyProduction!$J$5:$J$100))</f>
        <v/>
      </c>
      <c r="W49" t="str">
        <f t="shared" si="8"/>
        <v/>
      </c>
      <c r="Y49" t="str">
        <f>IF(B49="","",IF(COUNTIF(JobChange!$S$5:$S$100,B49)=1,"OK","CHECK"))</f>
        <v/>
      </c>
      <c r="Z49" t="str">
        <f t="shared" si="9"/>
        <v/>
      </c>
      <c r="AA49" t="str">
        <f t="shared" si="10"/>
        <v/>
      </c>
      <c r="AB49" t="str">
        <f t="shared" si="11"/>
        <v/>
      </c>
    </row>
    <row r="50" spans="18:28">
      <c r="R50" t="str">
        <f>IF(B50="","",SUMIF(ProductionConfiguration!$B$5:$B$914,C50,ProductionConfiguration!$S$5:$S$914))</f>
        <v/>
      </c>
      <c r="S50" t="str">
        <f>IF(B50="","",IF(K50="Line",R50,IF(K50="Section",SUMIFS(ProductionConfiguration!$S$5:$S$914,ProductionConfiguration!$B$5:$B$914,C50,ProductionConfiguration!$I$5:$I$914,L50),IF(K50="Cavity",IF(M50=1,SUMIFS(ProductionConfiguration!$P$5:$P$914,ProductionConfiguration!$B$5:$B$914,C50,ProductionConfiguration!$I$5:$I$914,L50),IF(M50=2,SUMIFS(ProductionConfiguration!$Q$5:$Q$914,ProductionConfiguration!$B$5:$B$914,C50,ProductionConfiguration!$I$5:$I$914,L50),SUMIFS(ProductionConfiguration!$R$5:$R$914,ProductionConfiguration!$B$5:$B$914,C50,ProductionConfiguration!$I$5:$I$914,L50))),0))))</f>
        <v/>
      </c>
      <c r="T50" t="str">
        <f t="shared" si="6"/>
        <v/>
      </c>
      <c r="U50" t="str">
        <f t="shared" si="7"/>
        <v/>
      </c>
      <c r="V50" t="str">
        <f>IF(C50="","",SUMIF(DailyProduction!$Q$5:$Q$100,C50,DailyProduction!$J$5:$J$100))</f>
        <v/>
      </c>
      <c r="W50" t="str">
        <f t="shared" si="8"/>
        <v/>
      </c>
      <c r="Y50" t="str">
        <f>IF(B50="","",IF(COUNTIF(JobChange!$S$5:$S$100,B50)=1,"OK","CHECK"))</f>
        <v/>
      </c>
      <c r="Z50" t="str">
        <f t="shared" si="9"/>
        <v/>
      </c>
      <c r="AA50" t="str">
        <f t="shared" si="10"/>
        <v/>
      </c>
      <c r="AB50" t="str">
        <f t="shared" si="11"/>
        <v/>
      </c>
    </row>
    <row r="51" spans="18:28">
      <c r="R51" t="str">
        <f>IF(B51="","",SUMIF(ProductionConfiguration!$B$5:$B$914,C51,ProductionConfiguration!$S$5:$S$914))</f>
        <v/>
      </c>
      <c r="S51" t="str">
        <f>IF(B51="","",IF(K51="Line",R51,IF(K51="Section",SUMIFS(ProductionConfiguration!$S$5:$S$914,ProductionConfiguration!$B$5:$B$914,C51,ProductionConfiguration!$I$5:$I$914,L51),IF(K51="Cavity",IF(M51=1,SUMIFS(ProductionConfiguration!$P$5:$P$914,ProductionConfiguration!$B$5:$B$914,C51,ProductionConfiguration!$I$5:$I$914,L51),IF(M51=2,SUMIFS(ProductionConfiguration!$Q$5:$Q$914,ProductionConfiguration!$B$5:$B$914,C51,ProductionConfiguration!$I$5:$I$914,L51),SUMIFS(ProductionConfiguration!$R$5:$R$914,ProductionConfiguration!$B$5:$B$914,C51,ProductionConfiguration!$I$5:$I$914,L51))),0))))</f>
        <v/>
      </c>
      <c r="T51" t="str">
        <f t="shared" si="6"/>
        <v/>
      </c>
      <c r="U51" t="str">
        <f t="shared" si="7"/>
        <v/>
      </c>
      <c r="V51" t="str">
        <f>IF(C51="","",SUMIF(DailyProduction!$Q$5:$Q$100,C51,DailyProduction!$J$5:$J$100))</f>
        <v/>
      </c>
      <c r="W51" t="str">
        <f t="shared" si="8"/>
        <v/>
      </c>
      <c r="Y51" t="str">
        <f>IF(B51="","",IF(COUNTIF(JobChange!$S$5:$S$100,B51)=1,"OK","CHECK"))</f>
        <v/>
      </c>
      <c r="Z51" t="str">
        <f t="shared" si="9"/>
        <v/>
      </c>
      <c r="AA51" t="str">
        <f t="shared" si="10"/>
        <v/>
      </c>
      <c r="AB51" t="str">
        <f t="shared" si="11"/>
        <v/>
      </c>
    </row>
    <row r="52" spans="18:28">
      <c r="R52" t="str">
        <f>IF(B52="","",SUMIF(ProductionConfiguration!$B$5:$B$914,C52,ProductionConfiguration!$S$5:$S$914))</f>
        <v/>
      </c>
      <c r="S52" t="str">
        <f>IF(B52="","",IF(K52="Line",R52,IF(K52="Section",SUMIFS(ProductionConfiguration!$S$5:$S$914,ProductionConfiguration!$B$5:$B$914,C52,ProductionConfiguration!$I$5:$I$914,L52),IF(K52="Cavity",IF(M52=1,SUMIFS(ProductionConfiguration!$P$5:$P$914,ProductionConfiguration!$B$5:$B$914,C52,ProductionConfiguration!$I$5:$I$914,L52),IF(M52=2,SUMIFS(ProductionConfiguration!$Q$5:$Q$914,ProductionConfiguration!$B$5:$B$914,C52,ProductionConfiguration!$I$5:$I$914,L52),SUMIFS(ProductionConfiguration!$R$5:$R$914,ProductionConfiguration!$B$5:$B$914,C52,ProductionConfiguration!$I$5:$I$914,L52))),0))))</f>
        <v/>
      </c>
      <c r="T52" t="str">
        <f t="shared" si="6"/>
        <v/>
      </c>
      <c r="U52" t="str">
        <f t="shared" si="7"/>
        <v/>
      </c>
      <c r="V52" t="str">
        <f>IF(C52="","",SUMIF(DailyProduction!$Q$5:$Q$100,C52,DailyProduction!$J$5:$J$100))</f>
        <v/>
      </c>
      <c r="W52" t="str">
        <f t="shared" si="8"/>
        <v/>
      </c>
      <c r="Y52" t="str">
        <f>IF(B52="","",IF(COUNTIF(JobChange!$S$5:$S$100,B52)=1,"OK","CHECK"))</f>
        <v/>
      </c>
      <c r="Z52" t="str">
        <f t="shared" si="9"/>
        <v/>
      </c>
      <c r="AA52" t="str">
        <f t="shared" si="10"/>
        <v/>
      </c>
      <c r="AB52" t="str">
        <f t="shared" si="11"/>
        <v/>
      </c>
    </row>
    <row r="53" spans="18:28">
      <c r="R53" t="str">
        <f>IF(B53="","",SUMIF(ProductionConfiguration!$B$5:$B$914,C53,ProductionConfiguration!$S$5:$S$914))</f>
        <v/>
      </c>
      <c r="S53" t="str">
        <f>IF(B53="","",IF(K53="Line",R53,IF(K53="Section",SUMIFS(ProductionConfiguration!$S$5:$S$914,ProductionConfiguration!$B$5:$B$914,C53,ProductionConfiguration!$I$5:$I$914,L53),IF(K53="Cavity",IF(M53=1,SUMIFS(ProductionConfiguration!$P$5:$P$914,ProductionConfiguration!$B$5:$B$914,C53,ProductionConfiguration!$I$5:$I$914,L53),IF(M53=2,SUMIFS(ProductionConfiguration!$Q$5:$Q$914,ProductionConfiguration!$B$5:$B$914,C53,ProductionConfiguration!$I$5:$I$914,L53),SUMIFS(ProductionConfiguration!$R$5:$R$914,ProductionConfiguration!$B$5:$B$914,C53,ProductionConfiguration!$I$5:$I$914,L53))),0))))</f>
        <v/>
      </c>
      <c r="T53" t="str">
        <f t="shared" si="6"/>
        <v/>
      </c>
      <c r="U53" t="str">
        <f t="shared" si="7"/>
        <v/>
      </c>
      <c r="V53" t="str">
        <f>IF(C53="","",SUMIF(DailyProduction!$Q$5:$Q$100,C53,DailyProduction!$J$5:$J$100))</f>
        <v/>
      </c>
      <c r="W53" t="str">
        <f t="shared" si="8"/>
        <v/>
      </c>
      <c r="Y53" t="str">
        <f>IF(B53="","",IF(COUNTIF(JobChange!$S$5:$S$100,B53)=1,"OK","CHECK"))</f>
        <v/>
      </c>
      <c r="Z53" t="str">
        <f t="shared" si="9"/>
        <v/>
      </c>
      <c r="AA53" t="str">
        <f t="shared" si="10"/>
        <v/>
      </c>
      <c r="AB53" t="str">
        <f t="shared" si="11"/>
        <v/>
      </c>
    </row>
    <row r="54" spans="18:28">
      <c r="R54" t="str">
        <f>IF(B54="","",SUMIF(ProductionConfiguration!$B$5:$B$914,C54,ProductionConfiguration!$S$5:$S$914))</f>
        <v/>
      </c>
      <c r="S54" t="str">
        <f>IF(B54="","",IF(K54="Line",R54,IF(K54="Section",SUMIFS(ProductionConfiguration!$S$5:$S$914,ProductionConfiguration!$B$5:$B$914,C54,ProductionConfiguration!$I$5:$I$914,L54),IF(K54="Cavity",IF(M54=1,SUMIFS(ProductionConfiguration!$P$5:$P$914,ProductionConfiguration!$B$5:$B$914,C54,ProductionConfiguration!$I$5:$I$914,L54),IF(M54=2,SUMIFS(ProductionConfiguration!$Q$5:$Q$914,ProductionConfiguration!$B$5:$B$914,C54,ProductionConfiguration!$I$5:$I$914,L54),SUMIFS(ProductionConfiguration!$R$5:$R$914,ProductionConfiguration!$B$5:$B$914,C54,ProductionConfiguration!$I$5:$I$914,L54))),0))))</f>
        <v/>
      </c>
      <c r="T54" t="str">
        <f t="shared" si="6"/>
        <v/>
      </c>
      <c r="U54" t="str">
        <f t="shared" si="7"/>
        <v/>
      </c>
      <c r="V54" t="str">
        <f>IF(C54="","",SUMIF(DailyProduction!$Q$5:$Q$100,C54,DailyProduction!$J$5:$J$100))</f>
        <v/>
      </c>
      <c r="W54" t="str">
        <f t="shared" si="8"/>
        <v/>
      </c>
      <c r="Y54" t="str">
        <f>IF(B54="","",IF(COUNTIF(JobChange!$S$5:$S$100,B54)=1,"OK","CHECK"))</f>
        <v/>
      </c>
      <c r="Z54" t="str">
        <f t="shared" si="9"/>
        <v/>
      </c>
      <c r="AA54" t="str">
        <f t="shared" si="10"/>
        <v/>
      </c>
      <c r="AB54" t="str">
        <f t="shared" si="11"/>
        <v/>
      </c>
    </row>
    <row r="55" spans="18:28">
      <c r="R55" t="str">
        <f>IF(B55="","",SUMIF(ProductionConfiguration!$B$5:$B$914,C55,ProductionConfiguration!$S$5:$S$914))</f>
        <v/>
      </c>
      <c r="S55" t="str">
        <f>IF(B55="","",IF(K55="Line",R55,IF(K55="Section",SUMIFS(ProductionConfiguration!$S$5:$S$914,ProductionConfiguration!$B$5:$B$914,C55,ProductionConfiguration!$I$5:$I$914,L55),IF(K55="Cavity",IF(M55=1,SUMIFS(ProductionConfiguration!$P$5:$P$914,ProductionConfiguration!$B$5:$B$914,C55,ProductionConfiguration!$I$5:$I$914,L55),IF(M55=2,SUMIFS(ProductionConfiguration!$Q$5:$Q$914,ProductionConfiguration!$B$5:$B$914,C55,ProductionConfiguration!$I$5:$I$914,L55),SUMIFS(ProductionConfiguration!$R$5:$R$914,ProductionConfiguration!$B$5:$B$914,C55,ProductionConfiguration!$I$5:$I$914,L55))),0))))</f>
        <v/>
      </c>
      <c r="T55" t="str">
        <f t="shared" si="6"/>
        <v/>
      </c>
      <c r="U55" t="str">
        <f t="shared" si="7"/>
        <v/>
      </c>
      <c r="V55" t="str">
        <f>IF(C55="","",SUMIF(DailyProduction!$Q$5:$Q$100,C55,DailyProduction!$J$5:$J$100))</f>
        <v/>
      </c>
      <c r="W55" t="str">
        <f t="shared" si="8"/>
        <v/>
      </c>
      <c r="Y55" t="str">
        <f>IF(B55="","",IF(COUNTIF(JobChange!$S$5:$S$100,B55)=1,"OK","CHECK"))</f>
        <v/>
      </c>
      <c r="Z55" t="str">
        <f t="shared" si="9"/>
        <v/>
      </c>
      <c r="AA55" t="str">
        <f t="shared" si="10"/>
        <v/>
      </c>
      <c r="AB55" t="str">
        <f t="shared" si="11"/>
        <v/>
      </c>
    </row>
    <row r="56" spans="18:28">
      <c r="R56" t="str">
        <f>IF(B56="","",SUMIF(ProductionConfiguration!$B$5:$B$914,C56,ProductionConfiguration!$S$5:$S$914))</f>
        <v/>
      </c>
      <c r="S56" t="str">
        <f>IF(B56="","",IF(K56="Line",R56,IF(K56="Section",SUMIFS(ProductionConfiguration!$S$5:$S$914,ProductionConfiguration!$B$5:$B$914,C56,ProductionConfiguration!$I$5:$I$914,L56),IF(K56="Cavity",IF(M56=1,SUMIFS(ProductionConfiguration!$P$5:$P$914,ProductionConfiguration!$B$5:$B$914,C56,ProductionConfiguration!$I$5:$I$914,L56),IF(M56=2,SUMIFS(ProductionConfiguration!$Q$5:$Q$914,ProductionConfiguration!$B$5:$B$914,C56,ProductionConfiguration!$I$5:$I$914,L56),SUMIFS(ProductionConfiguration!$R$5:$R$914,ProductionConfiguration!$B$5:$B$914,C56,ProductionConfiguration!$I$5:$I$914,L56))),0))))</f>
        <v/>
      </c>
      <c r="T56" t="str">
        <f t="shared" si="6"/>
        <v/>
      </c>
      <c r="U56" t="str">
        <f t="shared" si="7"/>
        <v/>
      </c>
      <c r="V56" t="str">
        <f>IF(C56="","",SUMIF(DailyProduction!$Q$5:$Q$100,C56,DailyProduction!$J$5:$J$100))</f>
        <v/>
      </c>
      <c r="W56" t="str">
        <f t="shared" si="8"/>
        <v/>
      </c>
      <c r="Y56" t="str">
        <f>IF(B56="","",IF(COUNTIF(JobChange!$S$5:$S$100,B56)=1,"OK","CHECK"))</f>
        <v/>
      </c>
      <c r="Z56" t="str">
        <f t="shared" si="9"/>
        <v/>
      </c>
      <c r="AA56" t="str">
        <f t="shared" si="10"/>
        <v/>
      </c>
      <c r="AB56" t="str">
        <f t="shared" si="11"/>
        <v/>
      </c>
    </row>
    <row r="57" spans="18:28">
      <c r="R57" t="str">
        <f>IF(B57="","",SUMIF(ProductionConfiguration!$B$5:$B$914,C57,ProductionConfiguration!$S$5:$S$914))</f>
        <v/>
      </c>
      <c r="S57" t="str">
        <f>IF(B57="","",IF(K57="Line",R57,IF(K57="Section",SUMIFS(ProductionConfiguration!$S$5:$S$914,ProductionConfiguration!$B$5:$B$914,C57,ProductionConfiguration!$I$5:$I$914,L57),IF(K57="Cavity",IF(M57=1,SUMIFS(ProductionConfiguration!$P$5:$P$914,ProductionConfiguration!$B$5:$B$914,C57,ProductionConfiguration!$I$5:$I$914,L57),IF(M57=2,SUMIFS(ProductionConfiguration!$Q$5:$Q$914,ProductionConfiguration!$B$5:$B$914,C57,ProductionConfiguration!$I$5:$I$914,L57),SUMIFS(ProductionConfiguration!$R$5:$R$914,ProductionConfiguration!$B$5:$B$914,C57,ProductionConfiguration!$I$5:$I$914,L57))),0))))</f>
        <v/>
      </c>
      <c r="T57" t="str">
        <f t="shared" si="6"/>
        <v/>
      </c>
      <c r="U57" t="str">
        <f t="shared" si="7"/>
        <v/>
      </c>
      <c r="V57" t="str">
        <f>IF(C57="","",SUMIF(DailyProduction!$Q$5:$Q$100,C57,DailyProduction!$J$5:$J$100))</f>
        <v/>
      </c>
      <c r="W57" t="str">
        <f t="shared" si="8"/>
        <v/>
      </c>
      <c r="Y57" t="str">
        <f>IF(B57="","",IF(COUNTIF(JobChange!$S$5:$S$100,B57)=1,"OK","CHECK"))</f>
        <v/>
      </c>
      <c r="Z57" t="str">
        <f t="shared" si="9"/>
        <v/>
      </c>
      <c r="AA57" t="str">
        <f t="shared" si="10"/>
        <v/>
      </c>
      <c r="AB57" t="str">
        <f t="shared" si="11"/>
        <v/>
      </c>
    </row>
    <row r="58" spans="18:28">
      <c r="R58" t="str">
        <f>IF(B58="","",SUMIF(ProductionConfiguration!$B$5:$B$914,C58,ProductionConfiguration!$S$5:$S$914))</f>
        <v/>
      </c>
      <c r="S58" t="str">
        <f>IF(B58="","",IF(K58="Line",R58,IF(K58="Section",SUMIFS(ProductionConfiguration!$S$5:$S$914,ProductionConfiguration!$B$5:$B$914,C58,ProductionConfiguration!$I$5:$I$914,L58),IF(K58="Cavity",IF(M58=1,SUMIFS(ProductionConfiguration!$P$5:$P$914,ProductionConfiguration!$B$5:$B$914,C58,ProductionConfiguration!$I$5:$I$914,L58),IF(M58=2,SUMIFS(ProductionConfiguration!$Q$5:$Q$914,ProductionConfiguration!$B$5:$B$914,C58,ProductionConfiguration!$I$5:$I$914,L58),SUMIFS(ProductionConfiguration!$R$5:$R$914,ProductionConfiguration!$B$5:$B$914,C58,ProductionConfiguration!$I$5:$I$914,L58))),0))))</f>
        <v/>
      </c>
      <c r="T58" t="str">
        <f t="shared" si="6"/>
        <v/>
      </c>
      <c r="U58" t="str">
        <f t="shared" si="7"/>
        <v/>
      </c>
      <c r="V58" t="str">
        <f>IF(C58="","",SUMIF(DailyProduction!$Q$5:$Q$100,C58,DailyProduction!$J$5:$J$100))</f>
        <v/>
      </c>
      <c r="W58" t="str">
        <f t="shared" si="8"/>
        <v/>
      </c>
      <c r="Y58" t="str">
        <f>IF(B58="","",IF(COUNTIF(JobChange!$S$5:$S$100,B58)=1,"OK","CHECK"))</f>
        <v/>
      </c>
      <c r="Z58" t="str">
        <f t="shared" si="9"/>
        <v/>
      </c>
      <c r="AA58" t="str">
        <f t="shared" si="10"/>
        <v/>
      </c>
      <c r="AB58" t="str">
        <f t="shared" si="11"/>
        <v/>
      </c>
    </row>
    <row r="59" spans="18:28">
      <c r="R59" t="str">
        <f>IF(B59="","",SUMIF(ProductionConfiguration!$B$5:$B$914,C59,ProductionConfiguration!$S$5:$S$914))</f>
        <v/>
      </c>
      <c r="S59" t="str">
        <f>IF(B59="","",IF(K59="Line",R59,IF(K59="Section",SUMIFS(ProductionConfiguration!$S$5:$S$914,ProductionConfiguration!$B$5:$B$914,C59,ProductionConfiguration!$I$5:$I$914,L59),IF(K59="Cavity",IF(M59=1,SUMIFS(ProductionConfiguration!$P$5:$P$914,ProductionConfiguration!$B$5:$B$914,C59,ProductionConfiguration!$I$5:$I$914,L59),IF(M59=2,SUMIFS(ProductionConfiguration!$Q$5:$Q$914,ProductionConfiguration!$B$5:$B$914,C59,ProductionConfiguration!$I$5:$I$914,L59),SUMIFS(ProductionConfiguration!$R$5:$R$914,ProductionConfiguration!$B$5:$B$914,C59,ProductionConfiguration!$I$5:$I$914,L59))),0))))</f>
        <v/>
      </c>
      <c r="T59" t="str">
        <f t="shared" si="6"/>
        <v/>
      </c>
      <c r="U59" t="str">
        <f t="shared" si="7"/>
        <v/>
      </c>
      <c r="V59" t="str">
        <f>IF(C59="","",SUMIF(DailyProduction!$Q$5:$Q$100,C59,DailyProduction!$J$5:$J$100))</f>
        <v/>
      </c>
      <c r="W59" t="str">
        <f t="shared" si="8"/>
        <v/>
      </c>
      <c r="Y59" t="str">
        <f>IF(B59="","",IF(COUNTIF(JobChange!$S$5:$S$100,B59)=1,"OK","CHECK"))</f>
        <v/>
      </c>
      <c r="Z59" t="str">
        <f t="shared" si="9"/>
        <v/>
      </c>
      <c r="AA59" t="str">
        <f t="shared" si="10"/>
        <v/>
      </c>
      <c r="AB59" t="str">
        <f t="shared" si="11"/>
        <v/>
      </c>
    </row>
    <row r="60" spans="18:28">
      <c r="R60" t="str">
        <f>IF(B60="","",SUMIF(ProductionConfiguration!$B$5:$B$914,C60,ProductionConfiguration!$S$5:$S$914))</f>
        <v/>
      </c>
      <c r="S60" t="str">
        <f>IF(B60="","",IF(K60="Line",R60,IF(K60="Section",SUMIFS(ProductionConfiguration!$S$5:$S$914,ProductionConfiguration!$B$5:$B$914,C60,ProductionConfiguration!$I$5:$I$914,L60),IF(K60="Cavity",IF(M60=1,SUMIFS(ProductionConfiguration!$P$5:$P$914,ProductionConfiguration!$B$5:$B$914,C60,ProductionConfiguration!$I$5:$I$914,L60),IF(M60=2,SUMIFS(ProductionConfiguration!$Q$5:$Q$914,ProductionConfiguration!$B$5:$B$914,C60,ProductionConfiguration!$I$5:$I$914,L60),SUMIFS(ProductionConfiguration!$R$5:$R$914,ProductionConfiguration!$B$5:$B$914,C60,ProductionConfiguration!$I$5:$I$914,L60))),0))))</f>
        <v/>
      </c>
      <c r="T60" t="str">
        <f t="shared" si="6"/>
        <v/>
      </c>
      <c r="U60" t="str">
        <f t="shared" si="7"/>
        <v/>
      </c>
      <c r="V60" t="str">
        <f>IF(C60="","",SUMIF(DailyProduction!$Q$5:$Q$100,C60,DailyProduction!$J$5:$J$100))</f>
        <v/>
      </c>
      <c r="W60" t="str">
        <f t="shared" si="8"/>
        <v/>
      </c>
      <c r="Y60" t="str">
        <f>IF(B60="","",IF(COUNTIF(JobChange!$S$5:$S$100,B60)=1,"OK","CHECK"))</f>
        <v/>
      </c>
      <c r="Z60" t="str">
        <f t="shared" si="9"/>
        <v/>
      </c>
      <c r="AA60" t="str">
        <f t="shared" si="10"/>
        <v/>
      </c>
      <c r="AB60" t="str">
        <f t="shared" si="11"/>
        <v/>
      </c>
    </row>
    <row r="61" spans="18:28">
      <c r="R61" t="str">
        <f>IF(B61="","",SUMIF(ProductionConfiguration!$B$5:$B$914,C61,ProductionConfiguration!$S$5:$S$914))</f>
        <v/>
      </c>
      <c r="S61" t="str">
        <f>IF(B61="","",IF(K61="Line",R61,IF(K61="Section",SUMIFS(ProductionConfiguration!$S$5:$S$914,ProductionConfiguration!$B$5:$B$914,C61,ProductionConfiguration!$I$5:$I$914,L61),IF(K61="Cavity",IF(M61=1,SUMIFS(ProductionConfiguration!$P$5:$P$914,ProductionConfiguration!$B$5:$B$914,C61,ProductionConfiguration!$I$5:$I$914,L61),IF(M61=2,SUMIFS(ProductionConfiguration!$Q$5:$Q$914,ProductionConfiguration!$B$5:$B$914,C61,ProductionConfiguration!$I$5:$I$914,L61),SUMIFS(ProductionConfiguration!$R$5:$R$914,ProductionConfiguration!$B$5:$B$914,C61,ProductionConfiguration!$I$5:$I$914,L61))),0))))</f>
        <v/>
      </c>
      <c r="T61" t="str">
        <f t="shared" si="6"/>
        <v/>
      </c>
      <c r="U61" t="str">
        <f t="shared" si="7"/>
        <v/>
      </c>
      <c r="V61" t="str">
        <f>IF(C61="","",SUMIF(DailyProduction!$Q$5:$Q$100,C61,DailyProduction!$J$5:$J$100))</f>
        <v/>
      </c>
      <c r="W61" t="str">
        <f t="shared" si="8"/>
        <v/>
      </c>
      <c r="Y61" t="str">
        <f>IF(B61="","",IF(COUNTIF(JobChange!$S$5:$S$100,B61)=1,"OK","CHECK"))</f>
        <v/>
      </c>
      <c r="Z61" t="str">
        <f t="shared" si="9"/>
        <v/>
      </c>
      <c r="AA61" t="str">
        <f t="shared" si="10"/>
        <v/>
      </c>
      <c r="AB61" t="str">
        <f t="shared" si="11"/>
        <v/>
      </c>
    </row>
    <row r="62" spans="18:28">
      <c r="R62" t="str">
        <f>IF(B62="","",SUMIF(ProductionConfiguration!$B$5:$B$914,C62,ProductionConfiguration!$S$5:$S$914))</f>
        <v/>
      </c>
      <c r="S62" t="str">
        <f>IF(B62="","",IF(K62="Line",R62,IF(K62="Section",SUMIFS(ProductionConfiguration!$S$5:$S$914,ProductionConfiguration!$B$5:$B$914,C62,ProductionConfiguration!$I$5:$I$914,L62),IF(K62="Cavity",IF(M62=1,SUMIFS(ProductionConfiguration!$P$5:$P$914,ProductionConfiguration!$B$5:$B$914,C62,ProductionConfiguration!$I$5:$I$914,L62),IF(M62=2,SUMIFS(ProductionConfiguration!$Q$5:$Q$914,ProductionConfiguration!$B$5:$B$914,C62,ProductionConfiguration!$I$5:$I$914,L62),SUMIFS(ProductionConfiguration!$R$5:$R$914,ProductionConfiguration!$B$5:$B$914,C62,ProductionConfiguration!$I$5:$I$914,L62))),0))))</f>
        <v/>
      </c>
      <c r="T62" t="str">
        <f t="shared" si="6"/>
        <v/>
      </c>
      <c r="U62" t="str">
        <f t="shared" si="7"/>
        <v/>
      </c>
      <c r="V62" t="str">
        <f>IF(C62="","",SUMIF(DailyProduction!$Q$5:$Q$100,C62,DailyProduction!$J$5:$J$100))</f>
        <v/>
      </c>
      <c r="W62" t="str">
        <f t="shared" si="8"/>
        <v/>
      </c>
      <c r="Y62" t="str">
        <f>IF(B62="","",IF(COUNTIF(JobChange!$S$5:$S$100,B62)=1,"OK","CHECK"))</f>
        <v/>
      </c>
      <c r="Z62" t="str">
        <f t="shared" si="9"/>
        <v/>
      </c>
      <c r="AA62" t="str">
        <f t="shared" si="10"/>
        <v/>
      </c>
      <c r="AB62" t="str">
        <f t="shared" si="11"/>
        <v/>
      </c>
    </row>
    <row r="63" spans="18:28">
      <c r="R63" t="str">
        <f>IF(B63="","",SUMIF(ProductionConfiguration!$B$5:$B$914,C63,ProductionConfiguration!$S$5:$S$914))</f>
        <v/>
      </c>
      <c r="S63" t="str">
        <f>IF(B63="","",IF(K63="Line",R63,IF(K63="Section",SUMIFS(ProductionConfiguration!$S$5:$S$914,ProductionConfiguration!$B$5:$B$914,C63,ProductionConfiguration!$I$5:$I$914,L63),IF(K63="Cavity",IF(M63=1,SUMIFS(ProductionConfiguration!$P$5:$P$914,ProductionConfiguration!$B$5:$B$914,C63,ProductionConfiguration!$I$5:$I$914,L63),IF(M63=2,SUMIFS(ProductionConfiguration!$Q$5:$Q$914,ProductionConfiguration!$B$5:$B$914,C63,ProductionConfiguration!$I$5:$I$914,L63),SUMIFS(ProductionConfiguration!$R$5:$R$914,ProductionConfiguration!$B$5:$B$914,C63,ProductionConfiguration!$I$5:$I$914,L63))),0))))</f>
        <v/>
      </c>
      <c r="T63" t="str">
        <f t="shared" si="6"/>
        <v/>
      </c>
      <c r="U63" t="str">
        <f t="shared" si="7"/>
        <v/>
      </c>
      <c r="V63" t="str">
        <f>IF(C63="","",SUMIF(DailyProduction!$Q$5:$Q$100,C63,DailyProduction!$J$5:$J$100))</f>
        <v/>
      </c>
      <c r="W63" t="str">
        <f t="shared" si="8"/>
        <v/>
      </c>
      <c r="Y63" t="str">
        <f>IF(B63="","",IF(COUNTIF(JobChange!$S$5:$S$100,B63)=1,"OK","CHECK"))</f>
        <v/>
      </c>
      <c r="Z63" t="str">
        <f t="shared" si="9"/>
        <v/>
      </c>
      <c r="AA63" t="str">
        <f t="shared" si="10"/>
        <v/>
      </c>
      <c r="AB63" t="str">
        <f t="shared" si="11"/>
        <v/>
      </c>
    </row>
    <row r="64" spans="18:28">
      <c r="R64" t="str">
        <f>IF(B64="","",SUMIF(ProductionConfiguration!$B$5:$B$914,C64,ProductionConfiguration!$S$5:$S$914))</f>
        <v/>
      </c>
      <c r="S64" t="str">
        <f>IF(B64="","",IF(K64="Line",R64,IF(K64="Section",SUMIFS(ProductionConfiguration!$S$5:$S$914,ProductionConfiguration!$B$5:$B$914,C64,ProductionConfiguration!$I$5:$I$914,L64),IF(K64="Cavity",IF(M64=1,SUMIFS(ProductionConfiguration!$P$5:$P$914,ProductionConfiguration!$B$5:$B$914,C64,ProductionConfiguration!$I$5:$I$914,L64),IF(M64=2,SUMIFS(ProductionConfiguration!$Q$5:$Q$914,ProductionConfiguration!$B$5:$B$914,C64,ProductionConfiguration!$I$5:$I$914,L64),SUMIFS(ProductionConfiguration!$R$5:$R$914,ProductionConfiguration!$B$5:$B$914,C64,ProductionConfiguration!$I$5:$I$914,L64))),0))))</f>
        <v/>
      </c>
      <c r="T64" t="str">
        <f t="shared" si="6"/>
        <v/>
      </c>
      <c r="U64" t="str">
        <f t="shared" si="7"/>
        <v/>
      </c>
      <c r="V64" t="str">
        <f>IF(C64="","",SUMIF(DailyProduction!$Q$5:$Q$100,C64,DailyProduction!$J$5:$J$100))</f>
        <v/>
      </c>
      <c r="W64" t="str">
        <f t="shared" si="8"/>
        <v/>
      </c>
      <c r="Y64" t="str">
        <f>IF(B64="","",IF(COUNTIF(JobChange!$S$5:$S$100,B64)=1,"OK","CHECK"))</f>
        <v/>
      </c>
      <c r="Z64" t="str">
        <f t="shared" si="9"/>
        <v/>
      </c>
      <c r="AA64" t="str">
        <f t="shared" si="10"/>
        <v/>
      </c>
      <c r="AB64" t="str">
        <f t="shared" si="11"/>
        <v/>
      </c>
    </row>
    <row r="65" spans="18:28">
      <c r="R65" t="str">
        <f>IF(B65="","",SUMIF(ProductionConfiguration!$B$5:$B$914,C65,ProductionConfiguration!$S$5:$S$914))</f>
        <v/>
      </c>
      <c r="S65" t="str">
        <f>IF(B65="","",IF(K65="Line",R65,IF(K65="Section",SUMIFS(ProductionConfiguration!$S$5:$S$914,ProductionConfiguration!$B$5:$B$914,C65,ProductionConfiguration!$I$5:$I$914,L65),IF(K65="Cavity",IF(M65=1,SUMIFS(ProductionConfiguration!$P$5:$P$914,ProductionConfiguration!$B$5:$B$914,C65,ProductionConfiguration!$I$5:$I$914,L65),IF(M65=2,SUMIFS(ProductionConfiguration!$Q$5:$Q$914,ProductionConfiguration!$B$5:$B$914,C65,ProductionConfiguration!$I$5:$I$914,L65),SUMIFS(ProductionConfiguration!$R$5:$R$914,ProductionConfiguration!$B$5:$B$914,C65,ProductionConfiguration!$I$5:$I$914,L65))),0))))</f>
        <v/>
      </c>
      <c r="T65" t="str">
        <f t="shared" si="6"/>
        <v/>
      </c>
      <c r="U65" t="str">
        <f t="shared" si="7"/>
        <v/>
      </c>
      <c r="V65" t="str">
        <f>IF(C65="","",SUMIF(DailyProduction!$Q$5:$Q$100,C65,DailyProduction!$J$5:$J$100))</f>
        <v/>
      </c>
      <c r="W65" t="str">
        <f t="shared" si="8"/>
        <v/>
      </c>
      <c r="Y65" t="str">
        <f>IF(B65="","",IF(COUNTIF(JobChange!$S$5:$S$100,B65)=1,"OK","CHECK"))</f>
        <v/>
      </c>
      <c r="Z65" t="str">
        <f t="shared" si="9"/>
        <v/>
      </c>
      <c r="AA65" t="str">
        <f t="shared" si="10"/>
        <v/>
      </c>
      <c r="AB65" t="str">
        <f t="shared" si="11"/>
        <v/>
      </c>
    </row>
    <row r="66" spans="18:28">
      <c r="R66" t="str">
        <f>IF(B66="","",SUMIF(ProductionConfiguration!$B$5:$B$914,C66,ProductionConfiguration!$S$5:$S$914))</f>
        <v/>
      </c>
      <c r="S66" t="str">
        <f>IF(B66="","",IF(K66="Line",R66,IF(K66="Section",SUMIFS(ProductionConfiguration!$S$5:$S$914,ProductionConfiguration!$B$5:$B$914,C66,ProductionConfiguration!$I$5:$I$914,L66),IF(K66="Cavity",IF(M66=1,SUMIFS(ProductionConfiguration!$P$5:$P$914,ProductionConfiguration!$B$5:$B$914,C66,ProductionConfiguration!$I$5:$I$914,L66),IF(M66=2,SUMIFS(ProductionConfiguration!$Q$5:$Q$914,ProductionConfiguration!$B$5:$B$914,C66,ProductionConfiguration!$I$5:$I$914,L66),SUMIFS(ProductionConfiguration!$R$5:$R$914,ProductionConfiguration!$B$5:$B$914,C66,ProductionConfiguration!$I$5:$I$914,L66))),0))))</f>
        <v/>
      </c>
      <c r="T66" t="str">
        <f t="shared" si="6"/>
        <v/>
      </c>
      <c r="U66" t="str">
        <f t="shared" si="7"/>
        <v/>
      </c>
      <c r="V66" t="str">
        <f>IF(C66="","",SUMIF(DailyProduction!$Q$5:$Q$100,C66,DailyProduction!$J$5:$J$100))</f>
        <v/>
      </c>
      <c r="W66" t="str">
        <f t="shared" si="8"/>
        <v/>
      </c>
      <c r="Y66" t="str">
        <f>IF(B66="","",IF(COUNTIF(JobChange!$S$5:$S$100,B66)=1,"OK","CHECK"))</f>
        <v/>
      </c>
      <c r="Z66" t="str">
        <f t="shared" si="9"/>
        <v/>
      </c>
      <c r="AA66" t="str">
        <f t="shared" si="10"/>
        <v/>
      </c>
      <c r="AB66" t="str">
        <f t="shared" si="11"/>
        <v/>
      </c>
    </row>
    <row r="67" spans="18:28">
      <c r="R67" t="str">
        <f>IF(B67="","",SUMIF(ProductionConfiguration!$B$5:$B$914,C67,ProductionConfiguration!$S$5:$S$914))</f>
        <v/>
      </c>
      <c r="S67" t="str">
        <f>IF(B67="","",IF(K67="Line",R67,IF(K67="Section",SUMIFS(ProductionConfiguration!$S$5:$S$914,ProductionConfiguration!$B$5:$B$914,C67,ProductionConfiguration!$I$5:$I$914,L67),IF(K67="Cavity",IF(M67=1,SUMIFS(ProductionConfiguration!$P$5:$P$914,ProductionConfiguration!$B$5:$B$914,C67,ProductionConfiguration!$I$5:$I$914,L67),IF(M67=2,SUMIFS(ProductionConfiguration!$Q$5:$Q$914,ProductionConfiguration!$B$5:$B$914,C67,ProductionConfiguration!$I$5:$I$914,L67),SUMIFS(ProductionConfiguration!$R$5:$R$914,ProductionConfiguration!$B$5:$B$914,C67,ProductionConfiguration!$I$5:$I$914,L67))),0))))</f>
        <v/>
      </c>
      <c r="T67" t="str">
        <f t="shared" si="6"/>
        <v/>
      </c>
      <c r="U67" t="str">
        <f t="shared" si="7"/>
        <v/>
      </c>
      <c r="V67" t="str">
        <f>IF(C67="","",SUMIF(DailyProduction!$Q$5:$Q$100,C67,DailyProduction!$J$5:$J$100))</f>
        <v/>
      </c>
      <c r="W67" t="str">
        <f t="shared" si="8"/>
        <v/>
      </c>
      <c r="Y67" t="str">
        <f>IF(B67="","",IF(COUNTIF(JobChange!$S$5:$S$100,B67)=1,"OK","CHECK"))</f>
        <v/>
      </c>
      <c r="Z67" t="str">
        <f t="shared" si="9"/>
        <v/>
      </c>
      <c r="AA67" t="str">
        <f t="shared" si="10"/>
        <v/>
      </c>
      <c r="AB67" t="str">
        <f t="shared" si="11"/>
        <v/>
      </c>
    </row>
    <row r="68" spans="18:28">
      <c r="R68" t="str">
        <f>IF(B68="","",SUMIF(ProductionConfiguration!$B$5:$B$914,C68,ProductionConfiguration!$S$5:$S$914))</f>
        <v/>
      </c>
      <c r="S68" t="str">
        <f>IF(B68="","",IF(K68="Line",R68,IF(K68="Section",SUMIFS(ProductionConfiguration!$S$5:$S$914,ProductionConfiguration!$B$5:$B$914,C68,ProductionConfiguration!$I$5:$I$914,L68),IF(K68="Cavity",IF(M68=1,SUMIFS(ProductionConfiguration!$P$5:$P$914,ProductionConfiguration!$B$5:$B$914,C68,ProductionConfiguration!$I$5:$I$914,L68),IF(M68=2,SUMIFS(ProductionConfiguration!$Q$5:$Q$914,ProductionConfiguration!$B$5:$B$914,C68,ProductionConfiguration!$I$5:$I$914,L68),SUMIFS(ProductionConfiguration!$R$5:$R$914,ProductionConfiguration!$B$5:$B$914,C68,ProductionConfiguration!$I$5:$I$914,L68))),0))))</f>
        <v/>
      </c>
      <c r="T68" t="str">
        <f t="shared" si="6"/>
        <v/>
      </c>
      <c r="U68" t="str">
        <f t="shared" si="7"/>
        <v/>
      </c>
      <c r="V68" t="str">
        <f>IF(C68="","",SUMIF(DailyProduction!$Q$5:$Q$100,C68,DailyProduction!$J$5:$J$100))</f>
        <v/>
      </c>
      <c r="W68" t="str">
        <f t="shared" si="8"/>
        <v/>
      </c>
      <c r="Y68" t="str">
        <f>IF(B68="","",IF(COUNTIF(JobChange!$S$5:$S$100,B68)=1,"OK","CHECK"))</f>
        <v/>
      </c>
      <c r="Z68" t="str">
        <f t="shared" si="9"/>
        <v/>
      </c>
      <c r="AA68" t="str">
        <f t="shared" si="10"/>
        <v/>
      </c>
      <c r="AB68" t="str">
        <f t="shared" si="11"/>
        <v/>
      </c>
    </row>
    <row r="69" spans="18:28">
      <c r="R69" t="str">
        <f>IF(B69="","",SUMIF(ProductionConfiguration!$B$5:$B$914,C69,ProductionConfiguration!$S$5:$S$914))</f>
        <v/>
      </c>
      <c r="S69" t="str">
        <f>IF(B69="","",IF(K69="Line",R69,IF(K69="Section",SUMIFS(ProductionConfiguration!$S$5:$S$914,ProductionConfiguration!$B$5:$B$914,C69,ProductionConfiguration!$I$5:$I$914,L69),IF(K69="Cavity",IF(M69=1,SUMIFS(ProductionConfiguration!$P$5:$P$914,ProductionConfiguration!$B$5:$B$914,C69,ProductionConfiguration!$I$5:$I$914,L69),IF(M69=2,SUMIFS(ProductionConfiguration!$Q$5:$Q$914,ProductionConfiguration!$B$5:$B$914,C69,ProductionConfiguration!$I$5:$I$914,L69),SUMIFS(ProductionConfiguration!$R$5:$R$914,ProductionConfiguration!$B$5:$B$914,C69,ProductionConfiguration!$I$5:$I$914,L69))),0))))</f>
        <v/>
      </c>
      <c r="T69" t="str">
        <f t="shared" ref="T69:T100" si="12">IF(B69="","",IFERROR(S69/R69,0))</f>
        <v/>
      </c>
      <c r="U69" t="str">
        <f t="shared" ref="U69:U100" si="13">IF(B69="","",Q69*T69)</f>
        <v/>
      </c>
      <c r="V69" t="str">
        <f>IF(C69="","",SUMIF(DailyProduction!$Q$5:$Q$100,C69,DailyProduction!$J$5:$J$100))</f>
        <v/>
      </c>
      <c r="W69" t="str">
        <f t="shared" ref="W69:W100" si="14">IF(B69="","",Q69*60*V69*S69)</f>
        <v/>
      </c>
      <c r="Y69" t="str">
        <f>IF(B69="","",IF(COUNTIF(JobChange!$S$5:$S$100,B69)=1,"OK","CHECK"))</f>
        <v/>
      </c>
      <c r="Z69" t="str">
        <f t="shared" ref="Z69:Z100" si="15">IF(B69="","",IF(OR(AND(K69="Line",J69="L"&amp;E69),AND(K69="Section",J69="L"&amp;E69&amp;"-S"&amp;TEXT(L69,"00")),AND(K69="Cavity",J69="L"&amp;E69&amp;"-S"&amp;TEXT(L69,"00")&amp;"-C"&amp;M69)),"OK","CHECK"))</f>
        <v/>
      </c>
      <c r="AA69" t="str">
        <f t="shared" ref="AA69:AA100" si="16">IF(B69="","",IF(AND(Q69&gt;0,OR(AND(O69="",P69=""),AND(O69&lt;&gt;"",P69&lt;&gt;"",P69&gt;=O69,ABS(Q69-((P69-O69)*24))&lt;=0.01))),"OK","CHECK"))</f>
        <v/>
      </c>
      <c r="AB69" t="str">
        <f t="shared" ref="AB69:AB100" si="17">IF(B69="","",IF(AND(Y69="OK",Z69="OK",AA69="OK",R69&gt;0,S69&gt;0),"OK","CHECK"))</f>
        <v/>
      </c>
    </row>
    <row r="70" spans="18:28">
      <c r="R70" t="str">
        <f>IF(B70="","",SUMIF(ProductionConfiguration!$B$5:$B$914,C70,ProductionConfiguration!$S$5:$S$914))</f>
        <v/>
      </c>
      <c r="S70" t="str">
        <f>IF(B70="","",IF(K70="Line",R70,IF(K70="Section",SUMIFS(ProductionConfiguration!$S$5:$S$914,ProductionConfiguration!$B$5:$B$914,C70,ProductionConfiguration!$I$5:$I$914,L70),IF(K70="Cavity",IF(M70=1,SUMIFS(ProductionConfiguration!$P$5:$P$914,ProductionConfiguration!$B$5:$B$914,C70,ProductionConfiguration!$I$5:$I$914,L70),IF(M70=2,SUMIFS(ProductionConfiguration!$Q$5:$Q$914,ProductionConfiguration!$B$5:$B$914,C70,ProductionConfiguration!$I$5:$I$914,L70),SUMIFS(ProductionConfiguration!$R$5:$R$914,ProductionConfiguration!$B$5:$B$914,C70,ProductionConfiguration!$I$5:$I$914,L70))),0))))</f>
        <v/>
      </c>
      <c r="T70" t="str">
        <f t="shared" si="12"/>
        <v/>
      </c>
      <c r="U70" t="str">
        <f t="shared" si="13"/>
        <v/>
      </c>
      <c r="V70" t="str">
        <f>IF(C70="","",SUMIF(DailyProduction!$Q$5:$Q$100,C70,DailyProduction!$J$5:$J$100))</f>
        <v/>
      </c>
      <c r="W70" t="str">
        <f t="shared" si="14"/>
        <v/>
      </c>
      <c r="Y70" t="str">
        <f>IF(B70="","",IF(COUNTIF(JobChange!$S$5:$S$100,B70)=1,"OK","CHECK"))</f>
        <v/>
      </c>
      <c r="Z70" t="str">
        <f t="shared" si="15"/>
        <v/>
      </c>
      <c r="AA70" t="str">
        <f t="shared" si="16"/>
        <v/>
      </c>
      <c r="AB70" t="str">
        <f t="shared" si="17"/>
        <v/>
      </c>
    </row>
    <row r="71" spans="18:28">
      <c r="R71" t="str">
        <f>IF(B71="","",SUMIF(ProductionConfiguration!$B$5:$B$914,C71,ProductionConfiguration!$S$5:$S$914))</f>
        <v/>
      </c>
      <c r="S71" t="str">
        <f>IF(B71="","",IF(K71="Line",R71,IF(K71="Section",SUMIFS(ProductionConfiguration!$S$5:$S$914,ProductionConfiguration!$B$5:$B$914,C71,ProductionConfiguration!$I$5:$I$914,L71),IF(K71="Cavity",IF(M71=1,SUMIFS(ProductionConfiguration!$P$5:$P$914,ProductionConfiguration!$B$5:$B$914,C71,ProductionConfiguration!$I$5:$I$914,L71),IF(M71=2,SUMIFS(ProductionConfiguration!$Q$5:$Q$914,ProductionConfiguration!$B$5:$B$914,C71,ProductionConfiguration!$I$5:$I$914,L71),SUMIFS(ProductionConfiguration!$R$5:$R$914,ProductionConfiguration!$B$5:$B$914,C71,ProductionConfiguration!$I$5:$I$914,L71))),0))))</f>
        <v/>
      </c>
      <c r="T71" t="str">
        <f t="shared" si="12"/>
        <v/>
      </c>
      <c r="U71" t="str">
        <f t="shared" si="13"/>
        <v/>
      </c>
      <c r="V71" t="str">
        <f>IF(C71="","",SUMIF(DailyProduction!$Q$5:$Q$100,C71,DailyProduction!$J$5:$J$100))</f>
        <v/>
      </c>
      <c r="W71" t="str">
        <f t="shared" si="14"/>
        <v/>
      </c>
      <c r="Y71" t="str">
        <f>IF(B71="","",IF(COUNTIF(JobChange!$S$5:$S$100,B71)=1,"OK","CHECK"))</f>
        <v/>
      </c>
      <c r="Z71" t="str">
        <f t="shared" si="15"/>
        <v/>
      </c>
      <c r="AA71" t="str">
        <f t="shared" si="16"/>
        <v/>
      </c>
      <c r="AB71" t="str">
        <f t="shared" si="17"/>
        <v/>
      </c>
    </row>
    <row r="72" spans="18:28">
      <c r="R72" t="str">
        <f>IF(B72="","",SUMIF(ProductionConfiguration!$B$5:$B$914,C72,ProductionConfiguration!$S$5:$S$914))</f>
        <v/>
      </c>
      <c r="S72" t="str">
        <f>IF(B72="","",IF(K72="Line",R72,IF(K72="Section",SUMIFS(ProductionConfiguration!$S$5:$S$914,ProductionConfiguration!$B$5:$B$914,C72,ProductionConfiguration!$I$5:$I$914,L72),IF(K72="Cavity",IF(M72=1,SUMIFS(ProductionConfiguration!$P$5:$P$914,ProductionConfiguration!$B$5:$B$914,C72,ProductionConfiguration!$I$5:$I$914,L72),IF(M72=2,SUMIFS(ProductionConfiguration!$Q$5:$Q$914,ProductionConfiguration!$B$5:$B$914,C72,ProductionConfiguration!$I$5:$I$914,L72),SUMIFS(ProductionConfiguration!$R$5:$R$914,ProductionConfiguration!$B$5:$B$914,C72,ProductionConfiguration!$I$5:$I$914,L72))),0))))</f>
        <v/>
      </c>
      <c r="T72" t="str">
        <f t="shared" si="12"/>
        <v/>
      </c>
      <c r="U72" t="str">
        <f t="shared" si="13"/>
        <v/>
      </c>
      <c r="V72" t="str">
        <f>IF(C72="","",SUMIF(DailyProduction!$Q$5:$Q$100,C72,DailyProduction!$J$5:$J$100))</f>
        <v/>
      </c>
      <c r="W72" t="str">
        <f t="shared" si="14"/>
        <v/>
      </c>
      <c r="Y72" t="str">
        <f>IF(B72="","",IF(COUNTIF(JobChange!$S$5:$S$100,B72)=1,"OK","CHECK"))</f>
        <v/>
      </c>
      <c r="Z72" t="str">
        <f t="shared" si="15"/>
        <v/>
      </c>
      <c r="AA72" t="str">
        <f t="shared" si="16"/>
        <v/>
      </c>
      <c r="AB72" t="str">
        <f t="shared" si="17"/>
        <v/>
      </c>
    </row>
    <row r="73" spans="18:28">
      <c r="R73" t="str">
        <f>IF(B73="","",SUMIF(ProductionConfiguration!$B$5:$B$914,C73,ProductionConfiguration!$S$5:$S$914))</f>
        <v/>
      </c>
      <c r="S73" t="str">
        <f>IF(B73="","",IF(K73="Line",R73,IF(K73="Section",SUMIFS(ProductionConfiguration!$S$5:$S$914,ProductionConfiguration!$B$5:$B$914,C73,ProductionConfiguration!$I$5:$I$914,L73),IF(K73="Cavity",IF(M73=1,SUMIFS(ProductionConfiguration!$P$5:$P$914,ProductionConfiguration!$B$5:$B$914,C73,ProductionConfiguration!$I$5:$I$914,L73),IF(M73=2,SUMIFS(ProductionConfiguration!$Q$5:$Q$914,ProductionConfiguration!$B$5:$B$914,C73,ProductionConfiguration!$I$5:$I$914,L73),SUMIFS(ProductionConfiguration!$R$5:$R$914,ProductionConfiguration!$B$5:$B$914,C73,ProductionConfiguration!$I$5:$I$914,L73))),0))))</f>
        <v/>
      </c>
      <c r="T73" t="str">
        <f t="shared" si="12"/>
        <v/>
      </c>
      <c r="U73" t="str">
        <f t="shared" si="13"/>
        <v/>
      </c>
      <c r="V73" t="str">
        <f>IF(C73="","",SUMIF(DailyProduction!$Q$5:$Q$100,C73,DailyProduction!$J$5:$J$100))</f>
        <v/>
      </c>
      <c r="W73" t="str">
        <f t="shared" si="14"/>
        <v/>
      </c>
      <c r="Y73" t="str">
        <f>IF(B73="","",IF(COUNTIF(JobChange!$S$5:$S$100,B73)=1,"OK","CHECK"))</f>
        <v/>
      </c>
      <c r="Z73" t="str">
        <f t="shared" si="15"/>
        <v/>
      </c>
      <c r="AA73" t="str">
        <f t="shared" si="16"/>
        <v/>
      </c>
      <c r="AB73" t="str">
        <f t="shared" si="17"/>
        <v/>
      </c>
    </row>
    <row r="74" spans="18:28">
      <c r="R74" t="str">
        <f>IF(B74="","",SUMIF(ProductionConfiguration!$B$5:$B$914,C74,ProductionConfiguration!$S$5:$S$914))</f>
        <v/>
      </c>
      <c r="S74" t="str">
        <f>IF(B74="","",IF(K74="Line",R74,IF(K74="Section",SUMIFS(ProductionConfiguration!$S$5:$S$914,ProductionConfiguration!$B$5:$B$914,C74,ProductionConfiguration!$I$5:$I$914,L74),IF(K74="Cavity",IF(M74=1,SUMIFS(ProductionConfiguration!$P$5:$P$914,ProductionConfiguration!$B$5:$B$914,C74,ProductionConfiguration!$I$5:$I$914,L74),IF(M74=2,SUMIFS(ProductionConfiguration!$Q$5:$Q$914,ProductionConfiguration!$B$5:$B$914,C74,ProductionConfiguration!$I$5:$I$914,L74),SUMIFS(ProductionConfiguration!$R$5:$R$914,ProductionConfiguration!$B$5:$B$914,C74,ProductionConfiguration!$I$5:$I$914,L74))),0))))</f>
        <v/>
      </c>
      <c r="T74" t="str">
        <f t="shared" si="12"/>
        <v/>
      </c>
      <c r="U74" t="str">
        <f t="shared" si="13"/>
        <v/>
      </c>
      <c r="V74" t="str">
        <f>IF(C74="","",SUMIF(DailyProduction!$Q$5:$Q$100,C74,DailyProduction!$J$5:$J$100))</f>
        <v/>
      </c>
      <c r="W74" t="str">
        <f t="shared" si="14"/>
        <v/>
      </c>
      <c r="Y74" t="str">
        <f>IF(B74="","",IF(COUNTIF(JobChange!$S$5:$S$100,B74)=1,"OK","CHECK"))</f>
        <v/>
      </c>
      <c r="Z74" t="str">
        <f t="shared" si="15"/>
        <v/>
      </c>
      <c r="AA74" t="str">
        <f t="shared" si="16"/>
        <v/>
      </c>
      <c r="AB74" t="str">
        <f t="shared" si="17"/>
        <v/>
      </c>
    </row>
    <row r="75" spans="18:28">
      <c r="R75" t="str">
        <f>IF(B75="","",SUMIF(ProductionConfiguration!$B$5:$B$914,C75,ProductionConfiguration!$S$5:$S$914))</f>
        <v/>
      </c>
      <c r="S75" t="str">
        <f>IF(B75="","",IF(K75="Line",R75,IF(K75="Section",SUMIFS(ProductionConfiguration!$S$5:$S$914,ProductionConfiguration!$B$5:$B$914,C75,ProductionConfiguration!$I$5:$I$914,L75),IF(K75="Cavity",IF(M75=1,SUMIFS(ProductionConfiguration!$P$5:$P$914,ProductionConfiguration!$B$5:$B$914,C75,ProductionConfiguration!$I$5:$I$914,L75),IF(M75=2,SUMIFS(ProductionConfiguration!$Q$5:$Q$914,ProductionConfiguration!$B$5:$B$914,C75,ProductionConfiguration!$I$5:$I$914,L75),SUMIFS(ProductionConfiguration!$R$5:$R$914,ProductionConfiguration!$B$5:$B$914,C75,ProductionConfiguration!$I$5:$I$914,L75))),0))))</f>
        <v/>
      </c>
      <c r="T75" t="str">
        <f t="shared" si="12"/>
        <v/>
      </c>
      <c r="U75" t="str">
        <f t="shared" si="13"/>
        <v/>
      </c>
      <c r="V75" t="str">
        <f>IF(C75="","",SUMIF(DailyProduction!$Q$5:$Q$100,C75,DailyProduction!$J$5:$J$100))</f>
        <v/>
      </c>
      <c r="W75" t="str">
        <f t="shared" si="14"/>
        <v/>
      </c>
      <c r="Y75" t="str">
        <f>IF(B75="","",IF(COUNTIF(JobChange!$S$5:$S$100,B75)=1,"OK","CHECK"))</f>
        <v/>
      </c>
      <c r="Z75" t="str">
        <f t="shared" si="15"/>
        <v/>
      </c>
      <c r="AA75" t="str">
        <f t="shared" si="16"/>
        <v/>
      </c>
      <c r="AB75" t="str">
        <f t="shared" si="17"/>
        <v/>
      </c>
    </row>
    <row r="76" spans="18:28">
      <c r="R76" t="str">
        <f>IF(B76="","",SUMIF(ProductionConfiguration!$B$5:$B$914,C76,ProductionConfiguration!$S$5:$S$914))</f>
        <v/>
      </c>
      <c r="S76" t="str">
        <f>IF(B76="","",IF(K76="Line",R76,IF(K76="Section",SUMIFS(ProductionConfiguration!$S$5:$S$914,ProductionConfiguration!$B$5:$B$914,C76,ProductionConfiguration!$I$5:$I$914,L76),IF(K76="Cavity",IF(M76=1,SUMIFS(ProductionConfiguration!$P$5:$P$914,ProductionConfiguration!$B$5:$B$914,C76,ProductionConfiguration!$I$5:$I$914,L76),IF(M76=2,SUMIFS(ProductionConfiguration!$Q$5:$Q$914,ProductionConfiguration!$B$5:$B$914,C76,ProductionConfiguration!$I$5:$I$914,L76),SUMIFS(ProductionConfiguration!$R$5:$R$914,ProductionConfiguration!$B$5:$B$914,C76,ProductionConfiguration!$I$5:$I$914,L76))),0))))</f>
        <v/>
      </c>
      <c r="T76" t="str">
        <f t="shared" si="12"/>
        <v/>
      </c>
      <c r="U76" t="str">
        <f t="shared" si="13"/>
        <v/>
      </c>
      <c r="V76" t="str">
        <f>IF(C76="","",SUMIF(DailyProduction!$Q$5:$Q$100,C76,DailyProduction!$J$5:$J$100))</f>
        <v/>
      </c>
      <c r="W76" t="str">
        <f t="shared" si="14"/>
        <v/>
      </c>
      <c r="Y76" t="str">
        <f>IF(B76="","",IF(COUNTIF(JobChange!$S$5:$S$100,B76)=1,"OK","CHECK"))</f>
        <v/>
      </c>
      <c r="Z76" t="str">
        <f t="shared" si="15"/>
        <v/>
      </c>
      <c r="AA76" t="str">
        <f t="shared" si="16"/>
        <v/>
      </c>
      <c r="AB76" t="str">
        <f t="shared" si="17"/>
        <v/>
      </c>
    </row>
    <row r="77" spans="18:28">
      <c r="R77" t="str">
        <f>IF(B77="","",SUMIF(ProductionConfiguration!$B$5:$B$914,C77,ProductionConfiguration!$S$5:$S$914))</f>
        <v/>
      </c>
      <c r="S77" t="str">
        <f>IF(B77="","",IF(K77="Line",R77,IF(K77="Section",SUMIFS(ProductionConfiguration!$S$5:$S$914,ProductionConfiguration!$B$5:$B$914,C77,ProductionConfiguration!$I$5:$I$914,L77),IF(K77="Cavity",IF(M77=1,SUMIFS(ProductionConfiguration!$P$5:$P$914,ProductionConfiguration!$B$5:$B$914,C77,ProductionConfiguration!$I$5:$I$914,L77),IF(M77=2,SUMIFS(ProductionConfiguration!$Q$5:$Q$914,ProductionConfiguration!$B$5:$B$914,C77,ProductionConfiguration!$I$5:$I$914,L77),SUMIFS(ProductionConfiguration!$R$5:$R$914,ProductionConfiguration!$B$5:$B$914,C77,ProductionConfiguration!$I$5:$I$914,L77))),0))))</f>
        <v/>
      </c>
      <c r="T77" t="str">
        <f t="shared" si="12"/>
        <v/>
      </c>
      <c r="U77" t="str">
        <f t="shared" si="13"/>
        <v/>
      </c>
      <c r="V77" t="str">
        <f>IF(C77="","",SUMIF(DailyProduction!$Q$5:$Q$100,C77,DailyProduction!$J$5:$J$100))</f>
        <v/>
      </c>
      <c r="W77" t="str">
        <f t="shared" si="14"/>
        <v/>
      </c>
      <c r="Y77" t="str">
        <f>IF(B77="","",IF(COUNTIF(JobChange!$S$5:$S$100,B77)=1,"OK","CHECK"))</f>
        <v/>
      </c>
      <c r="Z77" t="str">
        <f t="shared" si="15"/>
        <v/>
      </c>
      <c r="AA77" t="str">
        <f t="shared" si="16"/>
        <v/>
      </c>
      <c r="AB77" t="str">
        <f t="shared" si="17"/>
        <v/>
      </c>
    </row>
    <row r="78" spans="18:28">
      <c r="R78" t="str">
        <f>IF(B78="","",SUMIF(ProductionConfiguration!$B$5:$B$914,C78,ProductionConfiguration!$S$5:$S$914))</f>
        <v/>
      </c>
      <c r="S78" t="str">
        <f>IF(B78="","",IF(K78="Line",R78,IF(K78="Section",SUMIFS(ProductionConfiguration!$S$5:$S$914,ProductionConfiguration!$B$5:$B$914,C78,ProductionConfiguration!$I$5:$I$914,L78),IF(K78="Cavity",IF(M78=1,SUMIFS(ProductionConfiguration!$P$5:$P$914,ProductionConfiguration!$B$5:$B$914,C78,ProductionConfiguration!$I$5:$I$914,L78),IF(M78=2,SUMIFS(ProductionConfiguration!$Q$5:$Q$914,ProductionConfiguration!$B$5:$B$914,C78,ProductionConfiguration!$I$5:$I$914,L78),SUMIFS(ProductionConfiguration!$R$5:$R$914,ProductionConfiguration!$B$5:$B$914,C78,ProductionConfiguration!$I$5:$I$914,L78))),0))))</f>
        <v/>
      </c>
      <c r="T78" t="str">
        <f t="shared" si="12"/>
        <v/>
      </c>
      <c r="U78" t="str">
        <f t="shared" si="13"/>
        <v/>
      </c>
      <c r="V78" t="str">
        <f>IF(C78="","",SUMIF(DailyProduction!$Q$5:$Q$100,C78,DailyProduction!$J$5:$J$100))</f>
        <v/>
      </c>
      <c r="W78" t="str">
        <f t="shared" si="14"/>
        <v/>
      </c>
      <c r="Y78" t="str">
        <f>IF(B78="","",IF(COUNTIF(JobChange!$S$5:$S$100,B78)=1,"OK","CHECK"))</f>
        <v/>
      </c>
      <c r="Z78" t="str">
        <f t="shared" si="15"/>
        <v/>
      </c>
      <c r="AA78" t="str">
        <f t="shared" si="16"/>
        <v/>
      </c>
      <c r="AB78" t="str">
        <f t="shared" si="17"/>
        <v/>
      </c>
    </row>
    <row r="79" spans="18:28">
      <c r="R79" t="str">
        <f>IF(B79="","",SUMIF(ProductionConfiguration!$B$5:$B$914,C79,ProductionConfiguration!$S$5:$S$914))</f>
        <v/>
      </c>
      <c r="S79" t="str">
        <f>IF(B79="","",IF(K79="Line",R79,IF(K79="Section",SUMIFS(ProductionConfiguration!$S$5:$S$914,ProductionConfiguration!$B$5:$B$914,C79,ProductionConfiguration!$I$5:$I$914,L79),IF(K79="Cavity",IF(M79=1,SUMIFS(ProductionConfiguration!$P$5:$P$914,ProductionConfiguration!$B$5:$B$914,C79,ProductionConfiguration!$I$5:$I$914,L79),IF(M79=2,SUMIFS(ProductionConfiguration!$Q$5:$Q$914,ProductionConfiguration!$B$5:$B$914,C79,ProductionConfiguration!$I$5:$I$914,L79),SUMIFS(ProductionConfiguration!$R$5:$R$914,ProductionConfiguration!$B$5:$B$914,C79,ProductionConfiguration!$I$5:$I$914,L79))),0))))</f>
        <v/>
      </c>
      <c r="T79" t="str">
        <f t="shared" si="12"/>
        <v/>
      </c>
      <c r="U79" t="str">
        <f t="shared" si="13"/>
        <v/>
      </c>
      <c r="V79" t="str">
        <f>IF(C79="","",SUMIF(DailyProduction!$Q$5:$Q$100,C79,DailyProduction!$J$5:$J$100))</f>
        <v/>
      </c>
      <c r="W79" t="str">
        <f t="shared" si="14"/>
        <v/>
      </c>
      <c r="Y79" t="str">
        <f>IF(B79="","",IF(COUNTIF(JobChange!$S$5:$S$100,B79)=1,"OK","CHECK"))</f>
        <v/>
      </c>
      <c r="Z79" t="str">
        <f t="shared" si="15"/>
        <v/>
      </c>
      <c r="AA79" t="str">
        <f t="shared" si="16"/>
        <v/>
      </c>
      <c r="AB79" t="str">
        <f t="shared" si="17"/>
        <v/>
      </c>
    </row>
    <row r="80" spans="18:28">
      <c r="R80" t="str">
        <f>IF(B80="","",SUMIF(ProductionConfiguration!$B$5:$B$914,C80,ProductionConfiguration!$S$5:$S$914))</f>
        <v/>
      </c>
      <c r="S80" t="str">
        <f>IF(B80="","",IF(K80="Line",R80,IF(K80="Section",SUMIFS(ProductionConfiguration!$S$5:$S$914,ProductionConfiguration!$B$5:$B$914,C80,ProductionConfiguration!$I$5:$I$914,L80),IF(K80="Cavity",IF(M80=1,SUMIFS(ProductionConfiguration!$P$5:$P$914,ProductionConfiguration!$B$5:$B$914,C80,ProductionConfiguration!$I$5:$I$914,L80),IF(M80=2,SUMIFS(ProductionConfiguration!$Q$5:$Q$914,ProductionConfiguration!$B$5:$B$914,C80,ProductionConfiguration!$I$5:$I$914,L80),SUMIFS(ProductionConfiguration!$R$5:$R$914,ProductionConfiguration!$B$5:$B$914,C80,ProductionConfiguration!$I$5:$I$914,L80))),0))))</f>
        <v/>
      </c>
      <c r="T80" t="str">
        <f t="shared" si="12"/>
        <v/>
      </c>
      <c r="U80" t="str">
        <f t="shared" si="13"/>
        <v/>
      </c>
      <c r="V80" t="str">
        <f>IF(C80="","",SUMIF(DailyProduction!$Q$5:$Q$100,C80,DailyProduction!$J$5:$J$100))</f>
        <v/>
      </c>
      <c r="W80" t="str">
        <f t="shared" si="14"/>
        <v/>
      </c>
      <c r="Y80" t="str">
        <f>IF(B80="","",IF(COUNTIF(JobChange!$S$5:$S$100,B80)=1,"OK","CHECK"))</f>
        <v/>
      </c>
      <c r="Z80" t="str">
        <f t="shared" si="15"/>
        <v/>
      </c>
      <c r="AA80" t="str">
        <f t="shared" si="16"/>
        <v/>
      </c>
      <c r="AB80" t="str">
        <f t="shared" si="17"/>
        <v/>
      </c>
    </row>
    <row r="81" spans="18:28">
      <c r="R81" t="str">
        <f>IF(B81="","",SUMIF(ProductionConfiguration!$B$5:$B$914,C81,ProductionConfiguration!$S$5:$S$914))</f>
        <v/>
      </c>
      <c r="S81" t="str">
        <f>IF(B81="","",IF(K81="Line",R81,IF(K81="Section",SUMIFS(ProductionConfiguration!$S$5:$S$914,ProductionConfiguration!$B$5:$B$914,C81,ProductionConfiguration!$I$5:$I$914,L81),IF(K81="Cavity",IF(M81=1,SUMIFS(ProductionConfiguration!$P$5:$P$914,ProductionConfiguration!$B$5:$B$914,C81,ProductionConfiguration!$I$5:$I$914,L81),IF(M81=2,SUMIFS(ProductionConfiguration!$Q$5:$Q$914,ProductionConfiguration!$B$5:$B$914,C81,ProductionConfiguration!$I$5:$I$914,L81),SUMIFS(ProductionConfiguration!$R$5:$R$914,ProductionConfiguration!$B$5:$B$914,C81,ProductionConfiguration!$I$5:$I$914,L81))),0))))</f>
        <v/>
      </c>
      <c r="T81" t="str">
        <f t="shared" si="12"/>
        <v/>
      </c>
      <c r="U81" t="str">
        <f t="shared" si="13"/>
        <v/>
      </c>
      <c r="V81" t="str">
        <f>IF(C81="","",SUMIF(DailyProduction!$Q$5:$Q$100,C81,DailyProduction!$J$5:$J$100))</f>
        <v/>
      </c>
      <c r="W81" t="str">
        <f t="shared" si="14"/>
        <v/>
      </c>
      <c r="Y81" t="str">
        <f>IF(B81="","",IF(COUNTIF(JobChange!$S$5:$S$100,B81)=1,"OK","CHECK"))</f>
        <v/>
      </c>
      <c r="Z81" t="str">
        <f t="shared" si="15"/>
        <v/>
      </c>
      <c r="AA81" t="str">
        <f t="shared" si="16"/>
        <v/>
      </c>
      <c r="AB81" t="str">
        <f t="shared" si="17"/>
        <v/>
      </c>
    </row>
    <row r="82" spans="18:28">
      <c r="R82" t="str">
        <f>IF(B82="","",SUMIF(ProductionConfiguration!$B$5:$B$914,C82,ProductionConfiguration!$S$5:$S$914))</f>
        <v/>
      </c>
      <c r="S82" t="str">
        <f>IF(B82="","",IF(K82="Line",R82,IF(K82="Section",SUMIFS(ProductionConfiguration!$S$5:$S$914,ProductionConfiguration!$B$5:$B$914,C82,ProductionConfiguration!$I$5:$I$914,L82),IF(K82="Cavity",IF(M82=1,SUMIFS(ProductionConfiguration!$P$5:$P$914,ProductionConfiguration!$B$5:$B$914,C82,ProductionConfiguration!$I$5:$I$914,L82),IF(M82=2,SUMIFS(ProductionConfiguration!$Q$5:$Q$914,ProductionConfiguration!$B$5:$B$914,C82,ProductionConfiguration!$I$5:$I$914,L82),SUMIFS(ProductionConfiguration!$R$5:$R$914,ProductionConfiguration!$B$5:$B$914,C82,ProductionConfiguration!$I$5:$I$914,L82))),0))))</f>
        <v/>
      </c>
      <c r="T82" t="str">
        <f t="shared" si="12"/>
        <v/>
      </c>
      <c r="U82" t="str">
        <f t="shared" si="13"/>
        <v/>
      </c>
      <c r="V82" t="str">
        <f>IF(C82="","",SUMIF(DailyProduction!$Q$5:$Q$100,C82,DailyProduction!$J$5:$J$100))</f>
        <v/>
      </c>
      <c r="W82" t="str">
        <f t="shared" si="14"/>
        <v/>
      </c>
      <c r="Y82" t="str">
        <f>IF(B82="","",IF(COUNTIF(JobChange!$S$5:$S$100,B82)=1,"OK","CHECK"))</f>
        <v/>
      </c>
      <c r="Z82" t="str">
        <f t="shared" si="15"/>
        <v/>
      </c>
      <c r="AA82" t="str">
        <f t="shared" si="16"/>
        <v/>
      </c>
      <c r="AB82" t="str">
        <f t="shared" si="17"/>
        <v/>
      </c>
    </row>
    <row r="83" spans="18:28">
      <c r="R83" t="str">
        <f>IF(B83="","",SUMIF(ProductionConfiguration!$B$5:$B$914,C83,ProductionConfiguration!$S$5:$S$914))</f>
        <v/>
      </c>
      <c r="S83" t="str">
        <f>IF(B83="","",IF(K83="Line",R83,IF(K83="Section",SUMIFS(ProductionConfiguration!$S$5:$S$914,ProductionConfiguration!$B$5:$B$914,C83,ProductionConfiguration!$I$5:$I$914,L83),IF(K83="Cavity",IF(M83=1,SUMIFS(ProductionConfiguration!$P$5:$P$914,ProductionConfiguration!$B$5:$B$914,C83,ProductionConfiguration!$I$5:$I$914,L83),IF(M83=2,SUMIFS(ProductionConfiguration!$Q$5:$Q$914,ProductionConfiguration!$B$5:$B$914,C83,ProductionConfiguration!$I$5:$I$914,L83),SUMIFS(ProductionConfiguration!$R$5:$R$914,ProductionConfiguration!$B$5:$B$914,C83,ProductionConfiguration!$I$5:$I$914,L83))),0))))</f>
        <v/>
      </c>
      <c r="T83" t="str">
        <f t="shared" si="12"/>
        <v/>
      </c>
      <c r="U83" t="str">
        <f t="shared" si="13"/>
        <v/>
      </c>
      <c r="V83" t="str">
        <f>IF(C83="","",SUMIF(DailyProduction!$Q$5:$Q$100,C83,DailyProduction!$J$5:$J$100))</f>
        <v/>
      </c>
      <c r="W83" t="str">
        <f t="shared" si="14"/>
        <v/>
      </c>
      <c r="Y83" t="str">
        <f>IF(B83="","",IF(COUNTIF(JobChange!$S$5:$S$100,B83)=1,"OK","CHECK"))</f>
        <v/>
      </c>
      <c r="Z83" t="str">
        <f t="shared" si="15"/>
        <v/>
      </c>
      <c r="AA83" t="str">
        <f t="shared" si="16"/>
        <v/>
      </c>
      <c r="AB83" t="str">
        <f t="shared" si="17"/>
        <v/>
      </c>
    </row>
    <row r="84" spans="18:28">
      <c r="R84" t="str">
        <f>IF(B84="","",SUMIF(ProductionConfiguration!$B$5:$B$914,C84,ProductionConfiguration!$S$5:$S$914))</f>
        <v/>
      </c>
      <c r="S84" t="str">
        <f>IF(B84="","",IF(K84="Line",R84,IF(K84="Section",SUMIFS(ProductionConfiguration!$S$5:$S$914,ProductionConfiguration!$B$5:$B$914,C84,ProductionConfiguration!$I$5:$I$914,L84),IF(K84="Cavity",IF(M84=1,SUMIFS(ProductionConfiguration!$P$5:$P$914,ProductionConfiguration!$B$5:$B$914,C84,ProductionConfiguration!$I$5:$I$914,L84),IF(M84=2,SUMIFS(ProductionConfiguration!$Q$5:$Q$914,ProductionConfiguration!$B$5:$B$914,C84,ProductionConfiguration!$I$5:$I$914,L84),SUMIFS(ProductionConfiguration!$R$5:$R$914,ProductionConfiguration!$B$5:$B$914,C84,ProductionConfiguration!$I$5:$I$914,L84))),0))))</f>
        <v/>
      </c>
      <c r="T84" t="str">
        <f t="shared" si="12"/>
        <v/>
      </c>
      <c r="U84" t="str">
        <f t="shared" si="13"/>
        <v/>
      </c>
      <c r="V84" t="str">
        <f>IF(C84="","",SUMIF(DailyProduction!$Q$5:$Q$100,C84,DailyProduction!$J$5:$J$100))</f>
        <v/>
      </c>
      <c r="W84" t="str">
        <f t="shared" si="14"/>
        <v/>
      </c>
      <c r="Y84" t="str">
        <f>IF(B84="","",IF(COUNTIF(JobChange!$S$5:$S$100,B84)=1,"OK","CHECK"))</f>
        <v/>
      </c>
      <c r="Z84" t="str">
        <f t="shared" si="15"/>
        <v/>
      </c>
      <c r="AA84" t="str">
        <f t="shared" si="16"/>
        <v/>
      </c>
      <c r="AB84" t="str">
        <f t="shared" si="17"/>
        <v/>
      </c>
    </row>
    <row r="85" spans="18:28">
      <c r="R85" t="str">
        <f>IF(B85="","",SUMIF(ProductionConfiguration!$B$5:$B$914,C85,ProductionConfiguration!$S$5:$S$914))</f>
        <v/>
      </c>
      <c r="S85" t="str">
        <f>IF(B85="","",IF(K85="Line",R85,IF(K85="Section",SUMIFS(ProductionConfiguration!$S$5:$S$914,ProductionConfiguration!$B$5:$B$914,C85,ProductionConfiguration!$I$5:$I$914,L85),IF(K85="Cavity",IF(M85=1,SUMIFS(ProductionConfiguration!$P$5:$P$914,ProductionConfiguration!$B$5:$B$914,C85,ProductionConfiguration!$I$5:$I$914,L85),IF(M85=2,SUMIFS(ProductionConfiguration!$Q$5:$Q$914,ProductionConfiguration!$B$5:$B$914,C85,ProductionConfiguration!$I$5:$I$914,L85),SUMIFS(ProductionConfiguration!$R$5:$R$914,ProductionConfiguration!$B$5:$B$914,C85,ProductionConfiguration!$I$5:$I$914,L85))),0))))</f>
        <v/>
      </c>
      <c r="T85" t="str">
        <f t="shared" si="12"/>
        <v/>
      </c>
      <c r="U85" t="str">
        <f t="shared" si="13"/>
        <v/>
      </c>
      <c r="V85" t="str">
        <f>IF(C85="","",SUMIF(DailyProduction!$Q$5:$Q$100,C85,DailyProduction!$J$5:$J$100))</f>
        <v/>
      </c>
      <c r="W85" t="str">
        <f t="shared" si="14"/>
        <v/>
      </c>
      <c r="Y85" t="str">
        <f>IF(B85="","",IF(COUNTIF(JobChange!$S$5:$S$100,B85)=1,"OK","CHECK"))</f>
        <v/>
      </c>
      <c r="Z85" t="str">
        <f t="shared" si="15"/>
        <v/>
      </c>
      <c r="AA85" t="str">
        <f t="shared" si="16"/>
        <v/>
      </c>
      <c r="AB85" t="str">
        <f t="shared" si="17"/>
        <v/>
      </c>
    </row>
    <row r="86" spans="18:28">
      <c r="R86" t="str">
        <f>IF(B86="","",SUMIF(ProductionConfiguration!$B$5:$B$914,C86,ProductionConfiguration!$S$5:$S$914))</f>
        <v/>
      </c>
      <c r="S86" t="str">
        <f>IF(B86="","",IF(K86="Line",R86,IF(K86="Section",SUMIFS(ProductionConfiguration!$S$5:$S$914,ProductionConfiguration!$B$5:$B$914,C86,ProductionConfiguration!$I$5:$I$914,L86),IF(K86="Cavity",IF(M86=1,SUMIFS(ProductionConfiguration!$P$5:$P$914,ProductionConfiguration!$B$5:$B$914,C86,ProductionConfiguration!$I$5:$I$914,L86),IF(M86=2,SUMIFS(ProductionConfiguration!$Q$5:$Q$914,ProductionConfiguration!$B$5:$B$914,C86,ProductionConfiguration!$I$5:$I$914,L86),SUMIFS(ProductionConfiguration!$R$5:$R$914,ProductionConfiguration!$B$5:$B$914,C86,ProductionConfiguration!$I$5:$I$914,L86))),0))))</f>
        <v/>
      </c>
      <c r="T86" t="str">
        <f t="shared" si="12"/>
        <v/>
      </c>
      <c r="U86" t="str">
        <f t="shared" si="13"/>
        <v/>
      </c>
      <c r="V86" t="str">
        <f>IF(C86="","",SUMIF(DailyProduction!$Q$5:$Q$100,C86,DailyProduction!$J$5:$J$100))</f>
        <v/>
      </c>
      <c r="W86" t="str">
        <f t="shared" si="14"/>
        <v/>
      </c>
      <c r="Y86" t="str">
        <f>IF(B86="","",IF(COUNTIF(JobChange!$S$5:$S$100,B86)=1,"OK","CHECK"))</f>
        <v/>
      </c>
      <c r="Z86" t="str">
        <f t="shared" si="15"/>
        <v/>
      </c>
      <c r="AA86" t="str">
        <f t="shared" si="16"/>
        <v/>
      </c>
      <c r="AB86" t="str">
        <f t="shared" si="17"/>
        <v/>
      </c>
    </row>
    <row r="87" spans="18:28">
      <c r="R87" t="str">
        <f>IF(B87="","",SUMIF(ProductionConfiguration!$B$5:$B$914,C87,ProductionConfiguration!$S$5:$S$914))</f>
        <v/>
      </c>
      <c r="S87" t="str">
        <f>IF(B87="","",IF(K87="Line",R87,IF(K87="Section",SUMIFS(ProductionConfiguration!$S$5:$S$914,ProductionConfiguration!$B$5:$B$914,C87,ProductionConfiguration!$I$5:$I$914,L87),IF(K87="Cavity",IF(M87=1,SUMIFS(ProductionConfiguration!$P$5:$P$914,ProductionConfiguration!$B$5:$B$914,C87,ProductionConfiguration!$I$5:$I$914,L87),IF(M87=2,SUMIFS(ProductionConfiguration!$Q$5:$Q$914,ProductionConfiguration!$B$5:$B$914,C87,ProductionConfiguration!$I$5:$I$914,L87),SUMIFS(ProductionConfiguration!$R$5:$R$914,ProductionConfiguration!$B$5:$B$914,C87,ProductionConfiguration!$I$5:$I$914,L87))),0))))</f>
        <v/>
      </c>
      <c r="T87" t="str">
        <f t="shared" si="12"/>
        <v/>
      </c>
      <c r="U87" t="str">
        <f t="shared" si="13"/>
        <v/>
      </c>
      <c r="V87" t="str">
        <f>IF(C87="","",SUMIF(DailyProduction!$Q$5:$Q$100,C87,DailyProduction!$J$5:$J$100))</f>
        <v/>
      </c>
      <c r="W87" t="str">
        <f t="shared" si="14"/>
        <v/>
      </c>
      <c r="Y87" t="str">
        <f>IF(B87="","",IF(COUNTIF(JobChange!$S$5:$S$100,B87)=1,"OK","CHECK"))</f>
        <v/>
      </c>
      <c r="Z87" t="str">
        <f t="shared" si="15"/>
        <v/>
      </c>
      <c r="AA87" t="str">
        <f t="shared" si="16"/>
        <v/>
      </c>
      <c r="AB87" t="str">
        <f t="shared" si="17"/>
        <v/>
      </c>
    </row>
    <row r="88" spans="18:28">
      <c r="R88" t="str">
        <f>IF(B88="","",SUMIF(ProductionConfiguration!$B$5:$B$914,C88,ProductionConfiguration!$S$5:$S$914))</f>
        <v/>
      </c>
      <c r="S88" t="str">
        <f>IF(B88="","",IF(K88="Line",R88,IF(K88="Section",SUMIFS(ProductionConfiguration!$S$5:$S$914,ProductionConfiguration!$B$5:$B$914,C88,ProductionConfiguration!$I$5:$I$914,L88),IF(K88="Cavity",IF(M88=1,SUMIFS(ProductionConfiguration!$P$5:$P$914,ProductionConfiguration!$B$5:$B$914,C88,ProductionConfiguration!$I$5:$I$914,L88),IF(M88=2,SUMIFS(ProductionConfiguration!$Q$5:$Q$914,ProductionConfiguration!$B$5:$B$914,C88,ProductionConfiguration!$I$5:$I$914,L88),SUMIFS(ProductionConfiguration!$R$5:$R$914,ProductionConfiguration!$B$5:$B$914,C88,ProductionConfiguration!$I$5:$I$914,L88))),0))))</f>
        <v/>
      </c>
      <c r="T88" t="str">
        <f t="shared" si="12"/>
        <v/>
      </c>
      <c r="U88" t="str">
        <f t="shared" si="13"/>
        <v/>
      </c>
      <c r="V88" t="str">
        <f>IF(C88="","",SUMIF(DailyProduction!$Q$5:$Q$100,C88,DailyProduction!$J$5:$J$100))</f>
        <v/>
      </c>
      <c r="W88" t="str">
        <f t="shared" si="14"/>
        <v/>
      </c>
      <c r="Y88" t="str">
        <f>IF(B88="","",IF(COUNTIF(JobChange!$S$5:$S$100,B88)=1,"OK","CHECK"))</f>
        <v/>
      </c>
      <c r="Z88" t="str">
        <f t="shared" si="15"/>
        <v/>
      </c>
      <c r="AA88" t="str">
        <f t="shared" si="16"/>
        <v/>
      </c>
      <c r="AB88" t="str">
        <f t="shared" si="17"/>
        <v/>
      </c>
    </row>
    <row r="89" spans="18:28">
      <c r="R89" t="str">
        <f>IF(B89="","",SUMIF(ProductionConfiguration!$B$5:$B$914,C89,ProductionConfiguration!$S$5:$S$914))</f>
        <v/>
      </c>
      <c r="S89" t="str">
        <f>IF(B89="","",IF(K89="Line",R89,IF(K89="Section",SUMIFS(ProductionConfiguration!$S$5:$S$914,ProductionConfiguration!$B$5:$B$914,C89,ProductionConfiguration!$I$5:$I$914,L89),IF(K89="Cavity",IF(M89=1,SUMIFS(ProductionConfiguration!$P$5:$P$914,ProductionConfiguration!$B$5:$B$914,C89,ProductionConfiguration!$I$5:$I$914,L89),IF(M89=2,SUMIFS(ProductionConfiguration!$Q$5:$Q$914,ProductionConfiguration!$B$5:$B$914,C89,ProductionConfiguration!$I$5:$I$914,L89),SUMIFS(ProductionConfiguration!$R$5:$R$914,ProductionConfiguration!$B$5:$B$914,C89,ProductionConfiguration!$I$5:$I$914,L89))),0))))</f>
        <v/>
      </c>
      <c r="T89" t="str">
        <f t="shared" si="12"/>
        <v/>
      </c>
      <c r="U89" t="str">
        <f t="shared" si="13"/>
        <v/>
      </c>
      <c r="V89" t="str">
        <f>IF(C89="","",SUMIF(DailyProduction!$Q$5:$Q$100,C89,DailyProduction!$J$5:$J$100))</f>
        <v/>
      </c>
      <c r="W89" t="str">
        <f t="shared" si="14"/>
        <v/>
      </c>
      <c r="Y89" t="str">
        <f>IF(B89="","",IF(COUNTIF(JobChange!$S$5:$S$100,B89)=1,"OK","CHECK"))</f>
        <v/>
      </c>
      <c r="Z89" t="str">
        <f t="shared" si="15"/>
        <v/>
      </c>
      <c r="AA89" t="str">
        <f t="shared" si="16"/>
        <v/>
      </c>
      <c r="AB89" t="str">
        <f t="shared" si="17"/>
        <v/>
      </c>
    </row>
    <row r="90" spans="18:28">
      <c r="R90" t="str">
        <f>IF(B90="","",SUMIF(ProductionConfiguration!$B$5:$B$914,C90,ProductionConfiguration!$S$5:$S$914))</f>
        <v/>
      </c>
      <c r="S90" t="str">
        <f>IF(B90="","",IF(K90="Line",R90,IF(K90="Section",SUMIFS(ProductionConfiguration!$S$5:$S$914,ProductionConfiguration!$B$5:$B$914,C90,ProductionConfiguration!$I$5:$I$914,L90),IF(K90="Cavity",IF(M90=1,SUMIFS(ProductionConfiguration!$P$5:$P$914,ProductionConfiguration!$B$5:$B$914,C90,ProductionConfiguration!$I$5:$I$914,L90),IF(M90=2,SUMIFS(ProductionConfiguration!$Q$5:$Q$914,ProductionConfiguration!$B$5:$B$914,C90,ProductionConfiguration!$I$5:$I$914,L90),SUMIFS(ProductionConfiguration!$R$5:$R$914,ProductionConfiguration!$B$5:$B$914,C90,ProductionConfiguration!$I$5:$I$914,L90))),0))))</f>
        <v/>
      </c>
      <c r="T90" t="str">
        <f t="shared" si="12"/>
        <v/>
      </c>
      <c r="U90" t="str">
        <f t="shared" si="13"/>
        <v/>
      </c>
      <c r="V90" t="str">
        <f>IF(C90="","",SUMIF(DailyProduction!$Q$5:$Q$100,C90,DailyProduction!$J$5:$J$100))</f>
        <v/>
      </c>
      <c r="W90" t="str">
        <f t="shared" si="14"/>
        <v/>
      </c>
      <c r="Y90" t="str">
        <f>IF(B90="","",IF(COUNTIF(JobChange!$S$5:$S$100,B90)=1,"OK","CHECK"))</f>
        <v/>
      </c>
      <c r="Z90" t="str">
        <f t="shared" si="15"/>
        <v/>
      </c>
      <c r="AA90" t="str">
        <f t="shared" si="16"/>
        <v/>
      </c>
      <c r="AB90" t="str">
        <f t="shared" si="17"/>
        <v/>
      </c>
    </row>
    <row r="91" spans="18:28">
      <c r="R91" t="str">
        <f>IF(B91="","",SUMIF(ProductionConfiguration!$B$5:$B$914,C91,ProductionConfiguration!$S$5:$S$914))</f>
        <v/>
      </c>
      <c r="S91" t="str">
        <f>IF(B91="","",IF(K91="Line",R91,IF(K91="Section",SUMIFS(ProductionConfiguration!$S$5:$S$914,ProductionConfiguration!$B$5:$B$914,C91,ProductionConfiguration!$I$5:$I$914,L91),IF(K91="Cavity",IF(M91=1,SUMIFS(ProductionConfiguration!$P$5:$P$914,ProductionConfiguration!$B$5:$B$914,C91,ProductionConfiguration!$I$5:$I$914,L91),IF(M91=2,SUMIFS(ProductionConfiguration!$Q$5:$Q$914,ProductionConfiguration!$B$5:$B$914,C91,ProductionConfiguration!$I$5:$I$914,L91),SUMIFS(ProductionConfiguration!$R$5:$R$914,ProductionConfiguration!$B$5:$B$914,C91,ProductionConfiguration!$I$5:$I$914,L91))),0))))</f>
        <v/>
      </c>
      <c r="T91" t="str">
        <f t="shared" si="12"/>
        <v/>
      </c>
      <c r="U91" t="str">
        <f t="shared" si="13"/>
        <v/>
      </c>
      <c r="V91" t="str">
        <f>IF(C91="","",SUMIF(DailyProduction!$Q$5:$Q$100,C91,DailyProduction!$J$5:$J$100))</f>
        <v/>
      </c>
      <c r="W91" t="str">
        <f t="shared" si="14"/>
        <v/>
      </c>
      <c r="Y91" t="str">
        <f>IF(B91="","",IF(COUNTIF(JobChange!$S$5:$S$100,B91)=1,"OK","CHECK"))</f>
        <v/>
      </c>
      <c r="Z91" t="str">
        <f t="shared" si="15"/>
        <v/>
      </c>
      <c r="AA91" t="str">
        <f t="shared" si="16"/>
        <v/>
      </c>
      <c r="AB91" t="str">
        <f t="shared" si="17"/>
        <v/>
      </c>
    </row>
    <row r="92" spans="18:28">
      <c r="R92" t="str">
        <f>IF(B92="","",SUMIF(ProductionConfiguration!$B$5:$B$914,C92,ProductionConfiguration!$S$5:$S$914))</f>
        <v/>
      </c>
      <c r="S92" t="str">
        <f>IF(B92="","",IF(K92="Line",R92,IF(K92="Section",SUMIFS(ProductionConfiguration!$S$5:$S$914,ProductionConfiguration!$B$5:$B$914,C92,ProductionConfiguration!$I$5:$I$914,L92),IF(K92="Cavity",IF(M92=1,SUMIFS(ProductionConfiguration!$P$5:$P$914,ProductionConfiguration!$B$5:$B$914,C92,ProductionConfiguration!$I$5:$I$914,L92),IF(M92=2,SUMIFS(ProductionConfiguration!$Q$5:$Q$914,ProductionConfiguration!$B$5:$B$914,C92,ProductionConfiguration!$I$5:$I$914,L92),SUMIFS(ProductionConfiguration!$R$5:$R$914,ProductionConfiguration!$B$5:$B$914,C92,ProductionConfiguration!$I$5:$I$914,L92))),0))))</f>
        <v/>
      </c>
      <c r="T92" t="str">
        <f t="shared" si="12"/>
        <v/>
      </c>
      <c r="U92" t="str">
        <f t="shared" si="13"/>
        <v/>
      </c>
      <c r="V92" t="str">
        <f>IF(C92="","",SUMIF(DailyProduction!$Q$5:$Q$100,C92,DailyProduction!$J$5:$J$100))</f>
        <v/>
      </c>
      <c r="W92" t="str">
        <f t="shared" si="14"/>
        <v/>
      </c>
      <c r="Y92" t="str">
        <f>IF(B92="","",IF(COUNTIF(JobChange!$S$5:$S$100,B92)=1,"OK","CHECK"))</f>
        <v/>
      </c>
      <c r="Z92" t="str">
        <f t="shared" si="15"/>
        <v/>
      </c>
      <c r="AA92" t="str">
        <f t="shared" si="16"/>
        <v/>
      </c>
      <c r="AB92" t="str">
        <f t="shared" si="17"/>
        <v/>
      </c>
    </row>
    <row r="93" spans="18:28">
      <c r="R93" t="str">
        <f>IF(B93="","",SUMIF(ProductionConfiguration!$B$5:$B$914,C93,ProductionConfiguration!$S$5:$S$914))</f>
        <v/>
      </c>
      <c r="S93" t="str">
        <f>IF(B93="","",IF(K93="Line",R93,IF(K93="Section",SUMIFS(ProductionConfiguration!$S$5:$S$914,ProductionConfiguration!$B$5:$B$914,C93,ProductionConfiguration!$I$5:$I$914,L93),IF(K93="Cavity",IF(M93=1,SUMIFS(ProductionConfiguration!$P$5:$P$914,ProductionConfiguration!$B$5:$B$914,C93,ProductionConfiguration!$I$5:$I$914,L93),IF(M93=2,SUMIFS(ProductionConfiguration!$Q$5:$Q$914,ProductionConfiguration!$B$5:$B$914,C93,ProductionConfiguration!$I$5:$I$914,L93),SUMIFS(ProductionConfiguration!$R$5:$R$914,ProductionConfiguration!$B$5:$B$914,C93,ProductionConfiguration!$I$5:$I$914,L93))),0))))</f>
        <v/>
      </c>
      <c r="T93" t="str">
        <f t="shared" si="12"/>
        <v/>
      </c>
      <c r="U93" t="str">
        <f t="shared" si="13"/>
        <v/>
      </c>
      <c r="V93" t="str">
        <f>IF(C93="","",SUMIF(DailyProduction!$Q$5:$Q$100,C93,DailyProduction!$J$5:$J$100))</f>
        <v/>
      </c>
      <c r="W93" t="str">
        <f t="shared" si="14"/>
        <v/>
      </c>
      <c r="Y93" t="str">
        <f>IF(B93="","",IF(COUNTIF(JobChange!$S$5:$S$100,B93)=1,"OK","CHECK"))</f>
        <v/>
      </c>
      <c r="Z93" t="str">
        <f t="shared" si="15"/>
        <v/>
      </c>
      <c r="AA93" t="str">
        <f t="shared" si="16"/>
        <v/>
      </c>
      <c r="AB93" t="str">
        <f t="shared" si="17"/>
        <v/>
      </c>
    </row>
    <row r="94" spans="18:28">
      <c r="R94" t="str">
        <f>IF(B94="","",SUMIF(ProductionConfiguration!$B$5:$B$914,C94,ProductionConfiguration!$S$5:$S$914))</f>
        <v/>
      </c>
      <c r="S94" t="str">
        <f>IF(B94="","",IF(K94="Line",R94,IF(K94="Section",SUMIFS(ProductionConfiguration!$S$5:$S$914,ProductionConfiguration!$B$5:$B$914,C94,ProductionConfiguration!$I$5:$I$914,L94),IF(K94="Cavity",IF(M94=1,SUMIFS(ProductionConfiguration!$P$5:$P$914,ProductionConfiguration!$B$5:$B$914,C94,ProductionConfiguration!$I$5:$I$914,L94),IF(M94=2,SUMIFS(ProductionConfiguration!$Q$5:$Q$914,ProductionConfiguration!$B$5:$B$914,C94,ProductionConfiguration!$I$5:$I$914,L94),SUMIFS(ProductionConfiguration!$R$5:$R$914,ProductionConfiguration!$B$5:$B$914,C94,ProductionConfiguration!$I$5:$I$914,L94))),0))))</f>
        <v/>
      </c>
      <c r="T94" t="str">
        <f t="shared" si="12"/>
        <v/>
      </c>
      <c r="U94" t="str">
        <f t="shared" si="13"/>
        <v/>
      </c>
      <c r="V94" t="str">
        <f>IF(C94="","",SUMIF(DailyProduction!$Q$5:$Q$100,C94,DailyProduction!$J$5:$J$100))</f>
        <v/>
      </c>
      <c r="W94" t="str">
        <f t="shared" si="14"/>
        <v/>
      </c>
      <c r="Y94" t="str">
        <f>IF(B94="","",IF(COUNTIF(JobChange!$S$5:$S$100,B94)=1,"OK","CHECK"))</f>
        <v/>
      </c>
      <c r="Z94" t="str">
        <f t="shared" si="15"/>
        <v/>
      </c>
      <c r="AA94" t="str">
        <f t="shared" si="16"/>
        <v/>
      </c>
      <c r="AB94" t="str">
        <f t="shared" si="17"/>
        <v/>
      </c>
    </row>
    <row r="95" spans="18:28">
      <c r="R95" t="str">
        <f>IF(B95="","",SUMIF(ProductionConfiguration!$B$5:$B$914,C95,ProductionConfiguration!$S$5:$S$914))</f>
        <v/>
      </c>
      <c r="S95" t="str">
        <f>IF(B95="","",IF(K95="Line",R95,IF(K95="Section",SUMIFS(ProductionConfiguration!$S$5:$S$914,ProductionConfiguration!$B$5:$B$914,C95,ProductionConfiguration!$I$5:$I$914,L95),IF(K95="Cavity",IF(M95=1,SUMIFS(ProductionConfiguration!$P$5:$P$914,ProductionConfiguration!$B$5:$B$914,C95,ProductionConfiguration!$I$5:$I$914,L95),IF(M95=2,SUMIFS(ProductionConfiguration!$Q$5:$Q$914,ProductionConfiguration!$B$5:$B$914,C95,ProductionConfiguration!$I$5:$I$914,L95),SUMIFS(ProductionConfiguration!$R$5:$R$914,ProductionConfiguration!$B$5:$B$914,C95,ProductionConfiguration!$I$5:$I$914,L95))),0))))</f>
        <v/>
      </c>
      <c r="T95" t="str">
        <f t="shared" si="12"/>
        <v/>
      </c>
      <c r="U95" t="str">
        <f t="shared" si="13"/>
        <v/>
      </c>
      <c r="V95" t="str">
        <f>IF(C95="","",SUMIF(DailyProduction!$Q$5:$Q$100,C95,DailyProduction!$J$5:$J$100))</f>
        <v/>
      </c>
      <c r="W95" t="str">
        <f t="shared" si="14"/>
        <v/>
      </c>
      <c r="Y95" t="str">
        <f>IF(B95="","",IF(COUNTIF(JobChange!$S$5:$S$100,B95)=1,"OK","CHECK"))</f>
        <v/>
      </c>
      <c r="Z95" t="str">
        <f t="shared" si="15"/>
        <v/>
      </c>
      <c r="AA95" t="str">
        <f t="shared" si="16"/>
        <v/>
      </c>
      <c r="AB95" t="str">
        <f t="shared" si="17"/>
        <v/>
      </c>
    </row>
    <row r="96" spans="18:28">
      <c r="R96" t="str">
        <f>IF(B96="","",SUMIF(ProductionConfiguration!$B$5:$B$914,C96,ProductionConfiguration!$S$5:$S$914))</f>
        <v/>
      </c>
      <c r="S96" t="str">
        <f>IF(B96="","",IF(K96="Line",R96,IF(K96="Section",SUMIFS(ProductionConfiguration!$S$5:$S$914,ProductionConfiguration!$B$5:$B$914,C96,ProductionConfiguration!$I$5:$I$914,L96),IF(K96="Cavity",IF(M96=1,SUMIFS(ProductionConfiguration!$P$5:$P$914,ProductionConfiguration!$B$5:$B$914,C96,ProductionConfiguration!$I$5:$I$914,L96),IF(M96=2,SUMIFS(ProductionConfiguration!$Q$5:$Q$914,ProductionConfiguration!$B$5:$B$914,C96,ProductionConfiguration!$I$5:$I$914,L96),SUMIFS(ProductionConfiguration!$R$5:$R$914,ProductionConfiguration!$B$5:$B$914,C96,ProductionConfiguration!$I$5:$I$914,L96))),0))))</f>
        <v/>
      </c>
      <c r="T96" t="str">
        <f t="shared" si="12"/>
        <v/>
      </c>
      <c r="U96" t="str">
        <f t="shared" si="13"/>
        <v/>
      </c>
      <c r="V96" t="str">
        <f>IF(C96="","",SUMIF(DailyProduction!$Q$5:$Q$100,C96,DailyProduction!$J$5:$J$100))</f>
        <v/>
      </c>
      <c r="W96" t="str">
        <f t="shared" si="14"/>
        <v/>
      </c>
      <c r="Y96" t="str">
        <f>IF(B96="","",IF(COUNTIF(JobChange!$S$5:$S$100,B96)=1,"OK","CHECK"))</f>
        <v/>
      </c>
      <c r="Z96" t="str">
        <f t="shared" si="15"/>
        <v/>
      </c>
      <c r="AA96" t="str">
        <f t="shared" si="16"/>
        <v/>
      </c>
      <c r="AB96" t="str">
        <f t="shared" si="17"/>
        <v/>
      </c>
    </row>
    <row r="97" spans="18:28">
      <c r="R97" t="str">
        <f>IF(B97="","",SUMIF(ProductionConfiguration!$B$5:$B$914,C97,ProductionConfiguration!$S$5:$S$914))</f>
        <v/>
      </c>
      <c r="S97" t="str">
        <f>IF(B97="","",IF(K97="Line",R97,IF(K97="Section",SUMIFS(ProductionConfiguration!$S$5:$S$914,ProductionConfiguration!$B$5:$B$914,C97,ProductionConfiguration!$I$5:$I$914,L97),IF(K97="Cavity",IF(M97=1,SUMIFS(ProductionConfiguration!$P$5:$P$914,ProductionConfiguration!$B$5:$B$914,C97,ProductionConfiguration!$I$5:$I$914,L97),IF(M97=2,SUMIFS(ProductionConfiguration!$Q$5:$Q$914,ProductionConfiguration!$B$5:$B$914,C97,ProductionConfiguration!$I$5:$I$914,L97),SUMIFS(ProductionConfiguration!$R$5:$R$914,ProductionConfiguration!$B$5:$B$914,C97,ProductionConfiguration!$I$5:$I$914,L97))),0))))</f>
        <v/>
      </c>
      <c r="T97" t="str">
        <f t="shared" si="12"/>
        <v/>
      </c>
      <c r="U97" t="str">
        <f t="shared" si="13"/>
        <v/>
      </c>
      <c r="V97" t="str">
        <f>IF(C97="","",SUMIF(DailyProduction!$Q$5:$Q$100,C97,DailyProduction!$J$5:$J$100))</f>
        <v/>
      </c>
      <c r="W97" t="str">
        <f t="shared" si="14"/>
        <v/>
      </c>
      <c r="Y97" t="str">
        <f>IF(B97="","",IF(COUNTIF(JobChange!$S$5:$S$100,B97)=1,"OK","CHECK"))</f>
        <v/>
      </c>
      <c r="Z97" t="str">
        <f t="shared" si="15"/>
        <v/>
      </c>
      <c r="AA97" t="str">
        <f t="shared" si="16"/>
        <v/>
      </c>
      <c r="AB97" t="str">
        <f t="shared" si="17"/>
        <v/>
      </c>
    </row>
    <row r="98" spans="18:28">
      <c r="R98" t="str">
        <f>IF(B98="","",SUMIF(ProductionConfiguration!$B$5:$B$914,C98,ProductionConfiguration!$S$5:$S$914))</f>
        <v/>
      </c>
      <c r="S98" t="str">
        <f>IF(B98="","",IF(K98="Line",R98,IF(K98="Section",SUMIFS(ProductionConfiguration!$S$5:$S$914,ProductionConfiguration!$B$5:$B$914,C98,ProductionConfiguration!$I$5:$I$914,L98),IF(K98="Cavity",IF(M98=1,SUMIFS(ProductionConfiguration!$P$5:$P$914,ProductionConfiguration!$B$5:$B$914,C98,ProductionConfiguration!$I$5:$I$914,L98),IF(M98=2,SUMIFS(ProductionConfiguration!$Q$5:$Q$914,ProductionConfiguration!$B$5:$B$914,C98,ProductionConfiguration!$I$5:$I$914,L98),SUMIFS(ProductionConfiguration!$R$5:$R$914,ProductionConfiguration!$B$5:$B$914,C98,ProductionConfiguration!$I$5:$I$914,L98))),0))))</f>
        <v/>
      </c>
      <c r="T98" t="str">
        <f t="shared" si="12"/>
        <v/>
      </c>
      <c r="U98" t="str">
        <f t="shared" si="13"/>
        <v/>
      </c>
      <c r="V98" t="str">
        <f>IF(C98="","",SUMIF(DailyProduction!$Q$5:$Q$100,C98,DailyProduction!$J$5:$J$100))</f>
        <v/>
      </c>
      <c r="W98" t="str">
        <f t="shared" si="14"/>
        <v/>
      </c>
      <c r="Y98" t="str">
        <f>IF(B98="","",IF(COUNTIF(JobChange!$S$5:$S$100,B98)=1,"OK","CHECK"))</f>
        <v/>
      </c>
      <c r="Z98" t="str">
        <f t="shared" si="15"/>
        <v/>
      </c>
      <c r="AA98" t="str">
        <f t="shared" si="16"/>
        <v/>
      </c>
      <c r="AB98" t="str">
        <f t="shared" si="17"/>
        <v/>
      </c>
    </row>
    <row r="99" spans="18:28">
      <c r="R99" t="str">
        <f>IF(B99="","",SUMIF(ProductionConfiguration!$B$5:$B$914,C99,ProductionConfiguration!$S$5:$S$914))</f>
        <v/>
      </c>
      <c r="S99" t="str">
        <f>IF(B99="","",IF(K99="Line",R99,IF(K99="Section",SUMIFS(ProductionConfiguration!$S$5:$S$914,ProductionConfiguration!$B$5:$B$914,C99,ProductionConfiguration!$I$5:$I$914,L99),IF(K99="Cavity",IF(M99=1,SUMIFS(ProductionConfiguration!$P$5:$P$914,ProductionConfiguration!$B$5:$B$914,C99,ProductionConfiguration!$I$5:$I$914,L99),IF(M99=2,SUMIFS(ProductionConfiguration!$Q$5:$Q$914,ProductionConfiguration!$B$5:$B$914,C99,ProductionConfiguration!$I$5:$I$914,L99),SUMIFS(ProductionConfiguration!$R$5:$R$914,ProductionConfiguration!$B$5:$B$914,C99,ProductionConfiguration!$I$5:$I$914,L99))),0))))</f>
        <v/>
      </c>
      <c r="T99" t="str">
        <f t="shared" si="12"/>
        <v/>
      </c>
      <c r="U99" t="str">
        <f t="shared" si="13"/>
        <v/>
      </c>
      <c r="V99" t="str">
        <f>IF(C99="","",SUMIF(DailyProduction!$Q$5:$Q$100,C99,DailyProduction!$J$5:$J$100))</f>
        <v/>
      </c>
      <c r="W99" t="str">
        <f t="shared" si="14"/>
        <v/>
      </c>
      <c r="Y99" t="str">
        <f>IF(B99="","",IF(COUNTIF(JobChange!$S$5:$S$100,B99)=1,"OK","CHECK"))</f>
        <v/>
      </c>
      <c r="Z99" t="str">
        <f t="shared" si="15"/>
        <v/>
      </c>
      <c r="AA99" t="str">
        <f t="shared" si="16"/>
        <v/>
      </c>
      <c r="AB99" t="str">
        <f t="shared" si="17"/>
        <v/>
      </c>
    </row>
    <row r="100" spans="18:28">
      <c r="R100" t="str">
        <f>IF(B100="","",SUMIF(ProductionConfiguration!$B$5:$B$914,C100,ProductionConfiguration!$S$5:$S$914))</f>
        <v/>
      </c>
      <c r="S100" t="str">
        <f>IF(B100="","",IF(K100="Line",R100,IF(K100="Section",SUMIFS(ProductionConfiguration!$S$5:$S$914,ProductionConfiguration!$B$5:$B$914,C100,ProductionConfiguration!$I$5:$I$914,L100),IF(K100="Cavity",IF(M100=1,SUMIFS(ProductionConfiguration!$P$5:$P$914,ProductionConfiguration!$B$5:$B$914,C100,ProductionConfiguration!$I$5:$I$914,L100),IF(M100=2,SUMIFS(ProductionConfiguration!$Q$5:$Q$914,ProductionConfiguration!$B$5:$B$914,C100,ProductionConfiguration!$I$5:$I$914,L100),SUMIFS(ProductionConfiguration!$R$5:$R$914,ProductionConfiguration!$B$5:$B$914,C100,ProductionConfiguration!$I$5:$I$914,L100))),0))))</f>
        <v/>
      </c>
      <c r="T100" t="str">
        <f t="shared" si="12"/>
        <v/>
      </c>
      <c r="U100" t="str">
        <f t="shared" si="13"/>
        <v/>
      </c>
      <c r="V100" t="str">
        <f>IF(C100="","",SUMIF(DailyProduction!$Q$5:$Q$100,C100,DailyProduction!$J$5:$J$100))</f>
        <v/>
      </c>
      <c r="W100" t="str">
        <f t="shared" si="14"/>
        <v/>
      </c>
      <c r="Y100" t="str">
        <f>IF(B100="","",IF(COUNTIF(JobChange!$S$5:$S$100,B100)=1,"OK","CHECK"))</f>
        <v/>
      </c>
      <c r="Z100" t="str">
        <f t="shared" si="15"/>
        <v/>
      </c>
      <c r="AA100" t="str">
        <f t="shared" si="16"/>
        <v/>
      </c>
      <c r="AB100" t="str">
        <f t="shared" si="17"/>
        <v/>
      </c>
    </row>
  </sheetData>
  <dataValidations count="2">
    <dataValidation sqref="L5:L100" xr:uid="{00000000-0002-0000-0500-000003000000}">
      <formula1>1</formula1>
      <formula2>13</formula2>
    </dataValidation>
    <dataValidation sqref="M5:M100" xr:uid="{00000000-0002-0000-0500-000004000000}">
      <formula1>1</formula1>
      <formula2>3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_ValidationLists!$F$2:$F$7</xm:f>
          </x14:formula1>
          <xm:sqref>I5:I100</xm:sqref>
        </x14:dataValidation>
        <x14:dataValidation type="list" xr:uid="{00000000-0002-0000-0500-000001000000}">
          <x14:formula1>
            <xm:f>_ValidationLists!$H$2:$H$266</xm:f>
          </x14:formula1>
          <xm:sqref>J5:J100</xm:sqref>
        </x14:dataValidation>
        <x14:dataValidation type="list" xr:uid="{00000000-0002-0000-0500-000002000000}">
          <x14:formula1>
            <xm:f>_ValidationLists!$E$2:$E$4</xm:f>
          </x14:formula1>
          <xm:sqref>K5:K100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654"/>
  <sheetViews>
    <sheetView topLeftCell="M32" zoomScale="70" zoomScaleNormal="70" workbookViewId="0">
      <selection activeCell="AA79" sqref="AA79"/>
    </sheetView>
  </sheetViews>
  <sheetFormatPr defaultRowHeight="14.25"/>
  <cols>
    <col min="1" max="2" width="14" customWidth="1"/>
    <col min="3" max="5" width="12" customWidth="1"/>
    <col min="6" max="6" width="20" customWidth="1"/>
    <col min="7" max="7" width="14" customWidth="1"/>
    <col min="8" max="9" width="12" customWidth="1"/>
    <col min="10" max="11" width="22" customWidth="1"/>
    <col min="12" max="12" width="14" customWidth="1"/>
    <col min="13" max="13" width="18" customWidth="1"/>
    <col min="14" max="14" width="16" customWidth="1"/>
    <col min="15" max="15" width="14" customWidth="1"/>
    <col min="16" max="16" width="16" customWidth="1"/>
    <col min="17" max="17" width="40" customWidth="1"/>
    <col min="18" max="18" width="17.5" bestFit="1" customWidth="1"/>
    <col min="19" max="19" width="26.5" bestFit="1" customWidth="1"/>
    <col min="23" max="23" width="23.5" bestFit="1" customWidth="1"/>
    <col min="25" max="25" width="27.5" bestFit="1" customWidth="1"/>
    <col min="26" max="26" width="19.75" bestFit="1" customWidth="1"/>
  </cols>
  <sheetData>
    <row r="1" spans="1:26" ht="24" customHeight="1">
      <c r="A1" s="15" t="s">
        <v>64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>
      <c r="A2" s="4" t="s">
        <v>65</v>
      </c>
    </row>
    <row r="3" spans="1:26">
      <c r="A3" s="5" t="s">
        <v>66</v>
      </c>
    </row>
    <row r="4" spans="1:26" ht="32.1" customHeight="1">
      <c r="A4" s="16" t="s">
        <v>12</v>
      </c>
      <c r="B4" s="16" t="s">
        <v>14</v>
      </c>
      <c r="C4" s="16" t="s">
        <v>15</v>
      </c>
      <c r="D4" s="16" t="s">
        <v>16</v>
      </c>
      <c r="E4" s="16" t="s">
        <v>13</v>
      </c>
      <c r="F4" s="16" t="s">
        <v>67</v>
      </c>
      <c r="G4" s="16" t="s">
        <v>68</v>
      </c>
      <c r="H4" s="16" t="s">
        <v>69</v>
      </c>
      <c r="I4" s="16" t="s">
        <v>70</v>
      </c>
      <c r="J4" s="16" t="s">
        <v>71</v>
      </c>
      <c r="K4" s="16" t="s">
        <v>72</v>
      </c>
      <c r="L4" s="16" t="s">
        <v>73</v>
      </c>
      <c r="M4" s="16" t="s">
        <v>74</v>
      </c>
      <c r="N4" s="16" t="s">
        <v>75</v>
      </c>
      <c r="O4" s="16" t="s">
        <v>76</v>
      </c>
      <c r="P4" s="16" t="s">
        <v>77</v>
      </c>
      <c r="Q4" s="17" t="s">
        <v>95</v>
      </c>
      <c r="R4" s="17" t="s">
        <v>96</v>
      </c>
      <c r="S4" s="17" t="s">
        <v>97</v>
      </c>
      <c r="T4" s="17" t="s">
        <v>98</v>
      </c>
      <c r="U4" s="17" t="s">
        <v>99</v>
      </c>
      <c r="V4" s="17" t="s">
        <v>100</v>
      </c>
      <c r="W4" s="17" t="s">
        <v>101</v>
      </c>
      <c r="X4" s="17" t="s">
        <v>102</v>
      </c>
      <c r="Y4" s="17" t="s">
        <v>93</v>
      </c>
      <c r="Z4" s="17" t="s">
        <v>94</v>
      </c>
    </row>
    <row r="5" spans="1:26" ht="18" customHeight="1">
      <c r="A5" s="10" t="s">
        <v>30</v>
      </c>
      <c r="B5" s="11">
        <v>45950</v>
      </c>
      <c r="C5" s="10" t="s">
        <v>31</v>
      </c>
      <c r="D5" s="10" t="s">
        <v>41</v>
      </c>
      <c r="E5" s="12">
        <v>21</v>
      </c>
      <c r="F5" s="10" t="s">
        <v>33</v>
      </c>
      <c r="G5" s="10" t="s">
        <v>78</v>
      </c>
      <c r="H5" s="12">
        <v>10</v>
      </c>
      <c r="I5" s="12">
        <v>3</v>
      </c>
      <c r="J5" s="12">
        <v>12</v>
      </c>
      <c r="K5" s="13">
        <v>21600</v>
      </c>
      <c r="L5" s="14">
        <v>11.73</v>
      </c>
      <c r="M5" s="13">
        <v>253368</v>
      </c>
      <c r="N5" s="13">
        <v>238067</v>
      </c>
      <c r="O5" s="13">
        <v>2140</v>
      </c>
      <c r="P5" s="13">
        <v>13161</v>
      </c>
      <c r="Q5" t="str">
        <f t="shared" ref="Q5:Q36" si="0">IF(A5="","", "PE-"&amp;A5&amp;"-L"&amp;TEXT(E5,"00")&amp;"-"&amp;TEXT(B5,"yyyymmdd")&amp;"-"&amp;C5&amp;"-"&amp;F5)</f>
        <v>PE-KG01-L21-20251020-AM-ORD-2025-00019</v>
      </c>
      <c r="R5">
        <f t="shared" ref="R5:R36" si="1">IF(A5="","",H5*I5)</f>
        <v>30</v>
      </c>
      <c r="S5" t="str">
        <f t="shared" ref="S5:S36" si="2">IF(A5="","",IF(AND(H5&gt;=1,H5&lt;=13,I5&gt;=1,I5&lt;=3),"OK","CHECK"))</f>
        <v>OK</v>
      </c>
      <c r="T5" t="str">
        <f t="shared" ref="T5:T36" si="3">IF(A5="","",IF(ABS(K5-(J5*H5*I5*60))&lt;=0.5,"OK","CHECK"))</f>
        <v>OK</v>
      </c>
      <c r="U5" t="str">
        <f t="shared" ref="U5:U36" si="4">IF(A5="","",IF(ABS(M5-(K5*L5))&lt;=1,"OK","CHECK"))</f>
        <v>OK</v>
      </c>
      <c r="V5" t="str">
        <f t="shared" ref="V5:V36" si="5">IF(A5="","",IF(ABS(M5-N5-O5-P5)&lt;=1,"OK","CHECK"))</f>
        <v>OK</v>
      </c>
      <c r="W5">
        <f>IF(Q5="","",SUMIF(ProductionConfiguration!$B$5:$B$914,Q5,ProductionConfiguration!$S$5:$S$914))</f>
        <v>30</v>
      </c>
      <c r="X5" t="str">
        <f t="shared" ref="X5:X36" si="6">IF(A5="","",IF(R5=W5,"OK","CHECK"))</f>
        <v>OK</v>
      </c>
      <c r="Y5" t="str">
        <f t="shared" ref="Y5:Y36" si="7">IF(Q5="","",IF(COUNTIF($Q$5:$Q$100,Q5)=1,"OK","CHECK"))</f>
        <v>OK</v>
      </c>
      <c r="Z5" t="str">
        <f t="shared" ref="Z5:Z36" si="8">IF(A5="","",IF(AND(S5="OK",T5="OK",U5="OK",V5="OK",X5="OK",Y5="OK"),"OK","CHECK"))</f>
        <v>OK</v>
      </c>
    </row>
    <row r="6" spans="1:26" ht="18" customHeight="1">
      <c r="A6" s="10" t="s">
        <v>30</v>
      </c>
      <c r="B6" s="11">
        <v>45950</v>
      </c>
      <c r="C6" s="10" t="s">
        <v>79</v>
      </c>
      <c r="D6" s="10" t="s">
        <v>32</v>
      </c>
      <c r="E6" s="12">
        <v>21</v>
      </c>
      <c r="F6" s="10" t="s">
        <v>33</v>
      </c>
      <c r="G6" s="10" t="s">
        <v>78</v>
      </c>
      <c r="H6" s="12">
        <v>10</v>
      </c>
      <c r="I6" s="12">
        <v>3</v>
      </c>
      <c r="J6" s="12">
        <v>11</v>
      </c>
      <c r="K6" s="13">
        <v>19800</v>
      </c>
      <c r="L6" s="14">
        <v>11.55</v>
      </c>
      <c r="M6" s="13">
        <v>228690</v>
      </c>
      <c r="N6" s="13">
        <v>215868</v>
      </c>
      <c r="O6" s="13">
        <v>2247</v>
      </c>
      <c r="P6" s="13">
        <v>10575</v>
      </c>
      <c r="Q6" t="str">
        <f t="shared" si="0"/>
        <v>PE-KG01-L21-20251020-PM-ORD-2025-00019</v>
      </c>
      <c r="R6">
        <f t="shared" si="1"/>
        <v>30</v>
      </c>
      <c r="S6" t="str">
        <f t="shared" si="2"/>
        <v>OK</v>
      </c>
      <c r="T6" t="str">
        <f t="shared" si="3"/>
        <v>OK</v>
      </c>
      <c r="U6" t="str">
        <f t="shared" si="4"/>
        <v>OK</v>
      </c>
      <c r="V6" t="str">
        <f t="shared" si="5"/>
        <v>OK</v>
      </c>
      <c r="W6">
        <f>IF(Q6="","",SUMIF(ProductionConfiguration!$B$5:$B$914,Q6,ProductionConfiguration!$S$5:$S$914))</f>
        <v>30</v>
      </c>
      <c r="X6" t="str">
        <f t="shared" si="6"/>
        <v>OK</v>
      </c>
      <c r="Y6" t="str">
        <f t="shared" si="7"/>
        <v>OK</v>
      </c>
      <c r="Z6" t="str">
        <f t="shared" si="8"/>
        <v>OK</v>
      </c>
    </row>
    <row r="7" spans="1:26" ht="18" customHeight="1">
      <c r="A7" s="10" t="s">
        <v>30</v>
      </c>
      <c r="B7" s="11">
        <v>45951</v>
      </c>
      <c r="C7" s="10" t="s">
        <v>31</v>
      </c>
      <c r="D7" s="10" t="s">
        <v>32</v>
      </c>
      <c r="E7" s="12">
        <v>21</v>
      </c>
      <c r="F7" s="10" t="s">
        <v>34</v>
      </c>
      <c r="G7" s="10" t="s">
        <v>80</v>
      </c>
      <c r="H7" s="12">
        <v>10</v>
      </c>
      <c r="I7" s="12">
        <v>2</v>
      </c>
      <c r="J7" s="12">
        <v>10</v>
      </c>
      <c r="K7" s="13">
        <v>12000</v>
      </c>
      <c r="L7" s="14">
        <v>7.49</v>
      </c>
      <c r="M7" s="13">
        <v>89880</v>
      </c>
      <c r="N7" s="13">
        <v>79298</v>
      </c>
      <c r="O7" s="13">
        <v>1528</v>
      </c>
      <c r="P7" s="13">
        <v>9054</v>
      </c>
      <c r="Q7" t="str">
        <f t="shared" si="0"/>
        <v>PE-KG01-L21-20251021-AM-ORD-2025-00020</v>
      </c>
      <c r="R7">
        <f t="shared" si="1"/>
        <v>20</v>
      </c>
      <c r="S7" t="str">
        <f t="shared" si="2"/>
        <v>OK</v>
      </c>
      <c r="T7" t="str">
        <f t="shared" si="3"/>
        <v>OK</v>
      </c>
      <c r="U7" t="str">
        <f t="shared" si="4"/>
        <v>OK</v>
      </c>
      <c r="V7" t="str">
        <f t="shared" si="5"/>
        <v>OK</v>
      </c>
      <c r="W7">
        <f>IF(Q7="","",SUMIF(ProductionConfiguration!$B$5:$B$914,Q7,ProductionConfiguration!$S$5:$S$914))</f>
        <v>20</v>
      </c>
      <c r="X7" t="str">
        <f t="shared" si="6"/>
        <v>OK</v>
      </c>
      <c r="Y7" t="str">
        <f t="shared" si="7"/>
        <v>OK</v>
      </c>
      <c r="Z7" t="str">
        <f t="shared" si="8"/>
        <v>OK</v>
      </c>
    </row>
    <row r="8" spans="1:26" ht="18" customHeight="1">
      <c r="A8" s="10" t="s">
        <v>30</v>
      </c>
      <c r="B8" s="11">
        <v>45951</v>
      </c>
      <c r="C8" s="10" t="s">
        <v>79</v>
      </c>
      <c r="D8" s="10" t="s">
        <v>37</v>
      </c>
      <c r="E8" s="12">
        <v>21</v>
      </c>
      <c r="F8" s="10" t="s">
        <v>34</v>
      </c>
      <c r="G8" s="10" t="s">
        <v>78</v>
      </c>
      <c r="H8" s="12">
        <v>10</v>
      </c>
      <c r="I8" s="12">
        <v>2</v>
      </c>
      <c r="J8" s="12">
        <v>10</v>
      </c>
      <c r="K8" s="13">
        <v>12000</v>
      </c>
      <c r="L8" s="14">
        <v>11.62</v>
      </c>
      <c r="M8" s="13">
        <v>139440</v>
      </c>
      <c r="N8" s="13">
        <v>132234</v>
      </c>
      <c r="O8" s="13">
        <v>560</v>
      </c>
      <c r="P8" s="13">
        <v>6646</v>
      </c>
      <c r="Q8" t="str">
        <f t="shared" si="0"/>
        <v>PE-KG01-L21-20251021-PM-ORD-2025-00020</v>
      </c>
      <c r="R8">
        <f t="shared" si="1"/>
        <v>20</v>
      </c>
      <c r="S8" t="str">
        <f t="shared" si="2"/>
        <v>OK</v>
      </c>
      <c r="T8" t="str">
        <f t="shared" si="3"/>
        <v>OK</v>
      </c>
      <c r="U8" t="str">
        <f t="shared" si="4"/>
        <v>OK</v>
      </c>
      <c r="V8" t="str">
        <f t="shared" si="5"/>
        <v>OK</v>
      </c>
      <c r="W8">
        <f>IF(Q8="","",SUMIF(ProductionConfiguration!$B$5:$B$914,Q8,ProductionConfiguration!$S$5:$S$914))</f>
        <v>20</v>
      </c>
      <c r="X8" t="str">
        <f t="shared" si="6"/>
        <v>OK</v>
      </c>
      <c r="Y8" t="str">
        <f t="shared" si="7"/>
        <v>OK</v>
      </c>
      <c r="Z8" t="str">
        <f t="shared" si="8"/>
        <v>OK</v>
      </c>
    </row>
    <row r="9" spans="1:26" ht="18" customHeight="1">
      <c r="A9" s="10" t="s">
        <v>30</v>
      </c>
      <c r="B9" s="11">
        <v>45952</v>
      </c>
      <c r="C9" s="10" t="s">
        <v>31</v>
      </c>
      <c r="D9" s="10" t="s">
        <v>37</v>
      </c>
      <c r="E9" s="12">
        <v>21</v>
      </c>
      <c r="F9" s="10" t="s">
        <v>34</v>
      </c>
      <c r="G9" s="10" t="s">
        <v>78</v>
      </c>
      <c r="H9" s="12">
        <v>10</v>
      </c>
      <c r="I9" s="12">
        <v>2</v>
      </c>
      <c r="J9" s="12">
        <v>9</v>
      </c>
      <c r="K9" s="13">
        <v>10800</v>
      </c>
      <c r="L9" s="14">
        <v>11.54</v>
      </c>
      <c r="M9" s="13">
        <v>124632</v>
      </c>
      <c r="N9" s="13">
        <v>116395</v>
      </c>
      <c r="O9" s="13">
        <v>1286</v>
      </c>
      <c r="P9" s="13">
        <v>6951</v>
      </c>
      <c r="Q9" t="str">
        <f t="shared" si="0"/>
        <v>PE-KG01-L21-20251022-AM-ORD-2025-00020</v>
      </c>
      <c r="R9">
        <f t="shared" si="1"/>
        <v>20</v>
      </c>
      <c r="S9" t="str">
        <f t="shared" si="2"/>
        <v>OK</v>
      </c>
      <c r="T9" t="str">
        <f t="shared" si="3"/>
        <v>OK</v>
      </c>
      <c r="U9" t="str">
        <f t="shared" si="4"/>
        <v>OK</v>
      </c>
      <c r="V9" t="str">
        <f t="shared" si="5"/>
        <v>OK</v>
      </c>
      <c r="W9">
        <f>IF(Q9="","",SUMIF(ProductionConfiguration!$B$5:$B$914,Q9,ProductionConfiguration!$S$5:$S$914))</f>
        <v>20</v>
      </c>
      <c r="X9" t="str">
        <f t="shared" si="6"/>
        <v>OK</v>
      </c>
      <c r="Y9" t="str">
        <f t="shared" si="7"/>
        <v>OK</v>
      </c>
      <c r="Z9" t="str">
        <f t="shared" si="8"/>
        <v>OK</v>
      </c>
    </row>
    <row r="10" spans="1:26" ht="18" customHeight="1">
      <c r="A10" s="10" t="s">
        <v>30</v>
      </c>
      <c r="B10" s="11">
        <v>45952</v>
      </c>
      <c r="C10" s="10" t="s">
        <v>79</v>
      </c>
      <c r="D10" s="10" t="s">
        <v>41</v>
      </c>
      <c r="E10" s="12">
        <v>21</v>
      </c>
      <c r="F10" s="10" t="s">
        <v>34</v>
      </c>
      <c r="G10" s="10" t="s">
        <v>78</v>
      </c>
      <c r="H10" s="12">
        <v>10</v>
      </c>
      <c r="I10" s="12">
        <v>2</v>
      </c>
      <c r="J10" s="12">
        <v>11</v>
      </c>
      <c r="K10" s="13">
        <v>13200</v>
      </c>
      <c r="L10" s="14">
        <v>11.68</v>
      </c>
      <c r="M10" s="13">
        <v>154176</v>
      </c>
      <c r="N10" s="13">
        <v>146166</v>
      </c>
      <c r="O10" s="13">
        <v>1622</v>
      </c>
      <c r="P10" s="13">
        <v>6388</v>
      </c>
      <c r="Q10" t="str">
        <f t="shared" si="0"/>
        <v>PE-KG01-L21-20251022-PM-ORD-2025-00020</v>
      </c>
      <c r="R10">
        <f t="shared" si="1"/>
        <v>20</v>
      </c>
      <c r="S10" t="str">
        <f t="shared" si="2"/>
        <v>OK</v>
      </c>
      <c r="T10" t="str">
        <f t="shared" si="3"/>
        <v>OK</v>
      </c>
      <c r="U10" t="str">
        <f t="shared" si="4"/>
        <v>OK</v>
      </c>
      <c r="V10" t="str">
        <f t="shared" si="5"/>
        <v>OK</v>
      </c>
      <c r="W10">
        <f>IF(Q10="","",SUMIF(ProductionConfiguration!$B$5:$B$914,Q10,ProductionConfiguration!$S$5:$S$914))</f>
        <v>20</v>
      </c>
      <c r="X10" t="str">
        <f t="shared" si="6"/>
        <v>OK</v>
      </c>
      <c r="Y10" t="str">
        <f t="shared" si="7"/>
        <v>OK</v>
      </c>
      <c r="Z10" t="str">
        <f t="shared" si="8"/>
        <v>OK</v>
      </c>
    </row>
    <row r="11" spans="1:26" ht="18" customHeight="1">
      <c r="A11" s="10" t="s">
        <v>30</v>
      </c>
      <c r="B11" s="11">
        <v>45953</v>
      </c>
      <c r="C11" s="10" t="s">
        <v>31</v>
      </c>
      <c r="D11" s="10" t="s">
        <v>41</v>
      </c>
      <c r="E11" s="12">
        <v>21</v>
      </c>
      <c r="F11" s="10" t="s">
        <v>34</v>
      </c>
      <c r="G11" s="10" t="s">
        <v>78</v>
      </c>
      <c r="H11" s="12">
        <v>10</v>
      </c>
      <c r="I11" s="12">
        <v>2</v>
      </c>
      <c r="J11" s="12">
        <v>10</v>
      </c>
      <c r="K11" s="13">
        <v>12000</v>
      </c>
      <c r="L11" s="14">
        <v>11.45</v>
      </c>
      <c r="M11" s="13">
        <v>137400</v>
      </c>
      <c r="N11" s="13">
        <v>130459</v>
      </c>
      <c r="O11" s="13">
        <v>1515</v>
      </c>
      <c r="P11" s="13">
        <v>5426</v>
      </c>
      <c r="Q11" t="str">
        <f t="shared" si="0"/>
        <v>PE-KG01-L21-20251023-AM-ORD-2025-00020</v>
      </c>
      <c r="R11">
        <f t="shared" si="1"/>
        <v>20</v>
      </c>
      <c r="S11" t="str">
        <f t="shared" si="2"/>
        <v>OK</v>
      </c>
      <c r="T11" t="str">
        <f t="shared" si="3"/>
        <v>OK</v>
      </c>
      <c r="U11" t="str">
        <f t="shared" si="4"/>
        <v>OK</v>
      </c>
      <c r="V11" t="str">
        <f t="shared" si="5"/>
        <v>OK</v>
      </c>
      <c r="W11">
        <f>IF(Q11="","",SUMIF(ProductionConfiguration!$B$5:$B$914,Q11,ProductionConfiguration!$S$5:$S$914))</f>
        <v>20</v>
      </c>
      <c r="X11" t="str">
        <f t="shared" si="6"/>
        <v>OK</v>
      </c>
      <c r="Y11" t="str">
        <f t="shared" si="7"/>
        <v>OK</v>
      </c>
      <c r="Z11" t="str">
        <f t="shared" si="8"/>
        <v>OK</v>
      </c>
    </row>
    <row r="12" spans="1:26" ht="18" customHeight="1">
      <c r="A12" s="10" t="s">
        <v>30</v>
      </c>
      <c r="B12" s="11">
        <v>45953</v>
      </c>
      <c r="C12" s="10" t="s">
        <v>79</v>
      </c>
      <c r="D12" s="10" t="s">
        <v>32</v>
      </c>
      <c r="E12" s="12">
        <v>21</v>
      </c>
      <c r="F12" s="10" t="s">
        <v>34</v>
      </c>
      <c r="G12" s="10" t="s">
        <v>78</v>
      </c>
      <c r="H12" s="12">
        <v>10</v>
      </c>
      <c r="I12" s="12">
        <v>2</v>
      </c>
      <c r="J12" s="12">
        <v>9</v>
      </c>
      <c r="K12" s="13">
        <v>10800</v>
      </c>
      <c r="L12" s="14">
        <v>11.69</v>
      </c>
      <c r="M12" s="13">
        <v>126252</v>
      </c>
      <c r="N12" s="13">
        <v>121745</v>
      </c>
      <c r="O12" s="13">
        <v>957</v>
      </c>
      <c r="P12" s="13">
        <v>3550</v>
      </c>
      <c r="Q12" t="str">
        <f t="shared" si="0"/>
        <v>PE-KG01-L21-20251023-PM-ORD-2025-00020</v>
      </c>
      <c r="R12">
        <f t="shared" si="1"/>
        <v>20</v>
      </c>
      <c r="S12" t="str">
        <f t="shared" si="2"/>
        <v>OK</v>
      </c>
      <c r="T12" t="str">
        <f t="shared" si="3"/>
        <v>OK</v>
      </c>
      <c r="U12" t="str">
        <f t="shared" si="4"/>
        <v>OK</v>
      </c>
      <c r="V12" t="str">
        <f t="shared" si="5"/>
        <v>OK</v>
      </c>
      <c r="W12">
        <f>IF(Q12="","",SUMIF(ProductionConfiguration!$B$5:$B$914,Q12,ProductionConfiguration!$S$5:$S$914))</f>
        <v>20</v>
      </c>
      <c r="X12" t="str">
        <f t="shared" si="6"/>
        <v>OK</v>
      </c>
      <c r="Y12" t="str">
        <f t="shared" si="7"/>
        <v>OK</v>
      </c>
      <c r="Z12" t="str">
        <f t="shared" si="8"/>
        <v>OK</v>
      </c>
    </row>
    <row r="13" spans="1:26" ht="18" customHeight="1">
      <c r="A13" s="10" t="s">
        <v>30</v>
      </c>
      <c r="B13" s="11">
        <v>45954</v>
      </c>
      <c r="C13" s="10" t="s">
        <v>31</v>
      </c>
      <c r="D13" s="10" t="s">
        <v>32</v>
      </c>
      <c r="E13" s="12">
        <v>21</v>
      </c>
      <c r="F13" s="10" t="s">
        <v>34</v>
      </c>
      <c r="G13" s="10" t="s">
        <v>78</v>
      </c>
      <c r="H13" s="12">
        <v>10</v>
      </c>
      <c r="I13" s="12">
        <v>2</v>
      </c>
      <c r="J13" s="12">
        <v>11</v>
      </c>
      <c r="K13" s="13">
        <v>13200</v>
      </c>
      <c r="L13" s="14">
        <v>11.74</v>
      </c>
      <c r="M13" s="13">
        <v>154968</v>
      </c>
      <c r="N13" s="13">
        <v>147296</v>
      </c>
      <c r="O13" s="13">
        <v>3173</v>
      </c>
      <c r="P13" s="13">
        <v>4499</v>
      </c>
      <c r="Q13" t="str">
        <f t="shared" si="0"/>
        <v>PE-KG01-L21-20251024-AM-ORD-2025-00020</v>
      </c>
      <c r="R13">
        <f t="shared" si="1"/>
        <v>20</v>
      </c>
      <c r="S13" t="str">
        <f t="shared" si="2"/>
        <v>OK</v>
      </c>
      <c r="T13" t="str">
        <f t="shared" si="3"/>
        <v>OK</v>
      </c>
      <c r="U13" t="str">
        <f t="shared" si="4"/>
        <v>OK</v>
      </c>
      <c r="V13" t="str">
        <f t="shared" si="5"/>
        <v>OK</v>
      </c>
      <c r="W13">
        <f>IF(Q13="","",SUMIF(ProductionConfiguration!$B$5:$B$914,Q13,ProductionConfiguration!$S$5:$S$914))</f>
        <v>20</v>
      </c>
      <c r="X13" t="str">
        <f t="shared" si="6"/>
        <v>OK</v>
      </c>
      <c r="Y13" t="str">
        <f t="shared" si="7"/>
        <v>OK</v>
      </c>
      <c r="Z13" t="str">
        <f t="shared" si="8"/>
        <v>OK</v>
      </c>
    </row>
    <row r="14" spans="1:26" ht="18" customHeight="1">
      <c r="A14" s="10" t="s">
        <v>30</v>
      </c>
      <c r="B14" s="11">
        <v>45954</v>
      </c>
      <c r="C14" s="10" t="s">
        <v>79</v>
      </c>
      <c r="D14" s="10" t="s">
        <v>37</v>
      </c>
      <c r="E14" s="12">
        <v>21</v>
      </c>
      <c r="F14" s="10" t="s">
        <v>34</v>
      </c>
      <c r="G14" s="10" t="s">
        <v>78</v>
      </c>
      <c r="H14" s="12">
        <v>10</v>
      </c>
      <c r="I14" s="12">
        <v>2</v>
      </c>
      <c r="J14" s="12">
        <v>9</v>
      </c>
      <c r="K14" s="13">
        <v>10800</v>
      </c>
      <c r="L14" s="14">
        <v>11.45</v>
      </c>
      <c r="M14" s="13">
        <v>123660</v>
      </c>
      <c r="N14" s="13">
        <v>119226</v>
      </c>
      <c r="O14" s="13">
        <v>675</v>
      </c>
      <c r="P14" s="13">
        <v>3759</v>
      </c>
      <c r="Q14" t="str">
        <f t="shared" si="0"/>
        <v>PE-KG01-L21-20251024-PM-ORD-2025-00020</v>
      </c>
      <c r="R14">
        <f t="shared" si="1"/>
        <v>20</v>
      </c>
      <c r="S14" t="str">
        <f t="shared" si="2"/>
        <v>OK</v>
      </c>
      <c r="T14" t="str">
        <f t="shared" si="3"/>
        <v>OK</v>
      </c>
      <c r="U14" t="str">
        <f t="shared" si="4"/>
        <v>OK</v>
      </c>
      <c r="V14" t="str">
        <f t="shared" si="5"/>
        <v>OK</v>
      </c>
      <c r="W14">
        <f>IF(Q14="","",SUMIF(ProductionConfiguration!$B$5:$B$914,Q14,ProductionConfiguration!$S$5:$S$914))</f>
        <v>20</v>
      </c>
      <c r="X14" t="str">
        <f t="shared" si="6"/>
        <v>OK</v>
      </c>
      <c r="Y14" t="str">
        <f t="shared" si="7"/>
        <v>OK</v>
      </c>
      <c r="Z14" t="str">
        <f t="shared" si="8"/>
        <v>OK</v>
      </c>
    </row>
    <row r="15" spans="1:26" ht="18" customHeight="1">
      <c r="A15" s="10" t="s">
        <v>30</v>
      </c>
      <c r="B15" s="11">
        <v>45955</v>
      </c>
      <c r="C15" s="10" t="s">
        <v>31</v>
      </c>
      <c r="D15" s="10" t="s">
        <v>37</v>
      </c>
      <c r="E15" s="12">
        <v>21</v>
      </c>
      <c r="F15" s="10" t="s">
        <v>38</v>
      </c>
      <c r="G15" s="10" t="s">
        <v>80</v>
      </c>
      <c r="H15" s="12">
        <v>10</v>
      </c>
      <c r="I15" s="12">
        <v>3</v>
      </c>
      <c r="J15" s="12">
        <v>11</v>
      </c>
      <c r="K15" s="13">
        <v>19800</v>
      </c>
      <c r="L15" s="14">
        <v>6.62</v>
      </c>
      <c r="M15" s="13">
        <v>131076</v>
      </c>
      <c r="N15" s="13">
        <v>114150</v>
      </c>
      <c r="O15" s="13">
        <v>2878</v>
      </c>
      <c r="P15" s="13">
        <v>14048</v>
      </c>
      <c r="Q15" t="str">
        <f t="shared" si="0"/>
        <v>PE-KG01-L21-20251025-AM-ORD-2025-00021</v>
      </c>
      <c r="R15">
        <f t="shared" si="1"/>
        <v>30</v>
      </c>
      <c r="S15" t="str">
        <f t="shared" si="2"/>
        <v>OK</v>
      </c>
      <c r="T15" t="str">
        <f t="shared" si="3"/>
        <v>OK</v>
      </c>
      <c r="U15" t="str">
        <f t="shared" si="4"/>
        <v>OK</v>
      </c>
      <c r="V15" t="str">
        <f t="shared" si="5"/>
        <v>OK</v>
      </c>
      <c r="W15">
        <f>IF(Q15="","",SUMIF(ProductionConfiguration!$B$5:$B$914,Q15,ProductionConfiguration!$S$5:$S$914))</f>
        <v>30</v>
      </c>
      <c r="X15" t="str">
        <f t="shared" si="6"/>
        <v>OK</v>
      </c>
      <c r="Y15" t="str">
        <f t="shared" si="7"/>
        <v>OK</v>
      </c>
      <c r="Z15" t="str">
        <f t="shared" si="8"/>
        <v>OK</v>
      </c>
    </row>
    <row r="16" spans="1:26" ht="18" customHeight="1">
      <c r="A16" s="10" t="s">
        <v>30</v>
      </c>
      <c r="B16" s="11">
        <v>45955</v>
      </c>
      <c r="C16" s="10" t="s">
        <v>79</v>
      </c>
      <c r="D16" s="10" t="s">
        <v>41</v>
      </c>
      <c r="E16" s="12">
        <v>21</v>
      </c>
      <c r="F16" s="10" t="s">
        <v>38</v>
      </c>
      <c r="G16" s="10" t="s">
        <v>78</v>
      </c>
      <c r="H16" s="12">
        <v>10</v>
      </c>
      <c r="I16" s="12">
        <v>3</v>
      </c>
      <c r="J16" s="12">
        <v>13</v>
      </c>
      <c r="K16" s="13">
        <v>23400</v>
      </c>
      <c r="L16" s="14">
        <v>11.64</v>
      </c>
      <c r="M16" s="13">
        <v>272376</v>
      </c>
      <c r="N16" s="13">
        <v>255880</v>
      </c>
      <c r="O16" s="13">
        <v>2961</v>
      </c>
      <c r="P16" s="13">
        <v>13535</v>
      </c>
      <c r="Q16" t="str">
        <f t="shared" si="0"/>
        <v>PE-KG01-L21-20251025-PM-ORD-2025-00021</v>
      </c>
      <c r="R16">
        <f t="shared" si="1"/>
        <v>30</v>
      </c>
      <c r="S16" t="str">
        <f t="shared" si="2"/>
        <v>OK</v>
      </c>
      <c r="T16" t="str">
        <f t="shared" si="3"/>
        <v>OK</v>
      </c>
      <c r="U16" t="str">
        <f t="shared" si="4"/>
        <v>OK</v>
      </c>
      <c r="V16" t="str">
        <f t="shared" si="5"/>
        <v>OK</v>
      </c>
      <c r="W16">
        <f>IF(Q16="","",SUMIF(ProductionConfiguration!$B$5:$B$914,Q16,ProductionConfiguration!$S$5:$S$914))</f>
        <v>30</v>
      </c>
      <c r="X16" t="str">
        <f t="shared" si="6"/>
        <v>OK</v>
      </c>
      <c r="Y16" t="str">
        <f t="shared" si="7"/>
        <v>OK</v>
      </c>
      <c r="Z16" t="str">
        <f t="shared" si="8"/>
        <v>OK</v>
      </c>
    </row>
    <row r="17" spans="1:26" ht="18" customHeight="1">
      <c r="A17" s="10" t="s">
        <v>30</v>
      </c>
      <c r="B17" s="11">
        <v>45956</v>
      </c>
      <c r="C17" s="10" t="s">
        <v>31</v>
      </c>
      <c r="D17" s="10" t="s">
        <v>41</v>
      </c>
      <c r="E17" s="12">
        <v>21</v>
      </c>
      <c r="F17" s="10" t="s">
        <v>38</v>
      </c>
      <c r="G17" s="10" t="s">
        <v>78</v>
      </c>
      <c r="H17" s="12">
        <v>10</v>
      </c>
      <c r="I17" s="12">
        <v>3</v>
      </c>
      <c r="J17" s="12">
        <v>13</v>
      </c>
      <c r="K17" s="13">
        <v>23400</v>
      </c>
      <c r="L17" s="14">
        <v>11.79</v>
      </c>
      <c r="M17" s="13">
        <v>275886</v>
      </c>
      <c r="N17" s="13">
        <v>261076</v>
      </c>
      <c r="O17" s="13">
        <v>1888</v>
      </c>
      <c r="P17" s="13">
        <v>12922</v>
      </c>
      <c r="Q17" t="str">
        <f t="shared" si="0"/>
        <v>PE-KG01-L21-20251026-AM-ORD-2025-00021</v>
      </c>
      <c r="R17">
        <f t="shared" si="1"/>
        <v>30</v>
      </c>
      <c r="S17" t="str">
        <f t="shared" si="2"/>
        <v>OK</v>
      </c>
      <c r="T17" t="str">
        <f t="shared" si="3"/>
        <v>OK</v>
      </c>
      <c r="U17" t="str">
        <f t="shared" si="4"/>
        <v>OK</v>
      </c>
      <c r="V17" t="str">
        <f t="shared" si="5"/>
        <v>OK</v>
      </c>
      <c r="W17">
        <f>IF(Q17="","",SUMIF(ProductionConfiguration!$B$5:$B$914,Q17,ProductionConfiguration!$S$5:$S$914))</f>
        <v>30</v>
      </c>
      <c r="X17" t="str">
        <f t="shared" si="6"/>
        <v>OK</v>
      </c>
      <c r="Y17" t="str">
        <f t="shared" si="7"/>
        <v>OK</v>
      </c>
      <c r="Z17" t="str">
        <f t="shared" si="8"/>
        <v>OK</v>
      </c>
    </row>
    <row r="18" spans="1:26" ht="18" customHeight="1">
      <c r="A18" s="10" t="s">
        <v>30</v>
      </c>
      <c r="B18" s="11">
        <v>45956</v>
      </c>
      <c r="C18" s="10" t="s">
        <v>79</v>
      </c>
      <c r="D18" s="10" t="s">
        <v>32</v>
      </c>
      <c r="E18" s="12">
        <v>21</v>
      </c>
      <c r="F18" s="10" t="s">
        <v>38</v>
      </c>
      <c r="G18" s="10" t="s">
        <v>78</v>
      </c>
      <c r="H18" s="12">
        <v>10</v>
      </c>
      <c r="I18" s="12">
        <v>3</v>
      </c>
      <c r="J18" s="12">
        <v>13</v>
      </c>
      <c r="K18" s="13">
        <v>23400</v>
      </c>
      <c r="L18" s="14">
        <v>11.82</v>
      </c>
      <c r="M18" s="13">
        <v>276588</v>
      </c>
      <c r="N18" s="13">
        <v>265080</v>
      </c>
      <c r="O18" s="13">
        <v>553</v>
      </c>
      <c r="P18" s="13">
        <v>10955</v>
      </c>
      <c r="Q18" t="str">
        <f t="shared" si="0"/>
        <v>PE-KG01-L21-20251026-PM-ORD-2025-00021</v>
      </c>
      <c r="R18">
        <f t="shared" si="1"/>
        <v>30</v>
      </c>
      <c r="S18" t="str">
        <f t="shared" si="2"/>
        <v>OK</v>
      </c>
      <c r="T18" t="str">
        <f t="shared" si="3"/>
        <v>OK</v>
      </c>
      <c r="U18" t="str">
        <f t="shared" si="4"/>
        <v>OK</v>
      </c>
      <c r="V18" t="str">
        <f t="shared" si="5"/>
        <v>OK</v>
      </c>
      <c r="W18">
        <f>IF(Q18="","",SUMIF(ProductionConfiguration!$B$5:$B$914,Q18,ProductionConfiguration!$S$5:$S$914))</f>
        <v>30</v>
      </c>
      <c r="X18" t="str">
        <f t="shared" si="6"/>
        <v>OK</v>
      </c>
      <c r="Y18" t="str">
        <f t="shared" si="7"/>
        <v>OK</v>
      </c>
      <c r="Z18" t="str">
        <f t="shared" si="8"/>
        <v>OK</v>
      </c>
    </row>
    <row r="19" spans="1:26" ht="18" customHeight="1">
      <c r="A19" s="10" t="s">
        <v>30</v>
      </c>
      <c r="B19" s="11">
        <v>45950</v>
      </c>
      <c r="C19" s="10" t="s">
        <v>31</v>
      </c>
      <c r="D19" s="10" t="s">
        <v>41</v>
      </c>
      <c r="E19" s="12">
        <v>22</v>
      </c>
      <c r="F19" s="10" t="s">
        <v>43</v>
      </c>
      <c r="G19" s="10" t="s">
        <v>80</v>
      </c>
      <c r="H19" s="12">
        <v>10</v>
      </c>
      <c r="I19" s="12">
        <v>2</v>
      </c>
      <c r="J19" s="12">
        <v>10</v>
      </c>
      <c r="K19" s="13">
        <v>12000</v>
      </c>
      <c r="L19" s="14">
        <v>2.2400000000000002</v>
      </c>
      <c r="M19" s="13">
        <v>26880</v>
      </c>
      <c r="N19" s="13">
        <v>23318</v>
      </c>
      <c r="O19" s="13">
        <v>538</v>
      </c>
      <c r="P19" s="13">
        <v>3024</v>
      </c>
      <c r="Q19" t="str">
        <f t="shared" si="0"/>
        <v>PE-KG01-L22-20251020-AM-ORD-2025-00056</v>
      </c>
      <c r="R19">
        <f t="shared" si="1"/>
        <v>20</v>
      </c>
      <c r="S19" t="str">
        <f t="shared" si="2"/>
        <v>OK</v>
      </c>
      <c r="T19" t="str">
        <f t="shared" si="3"/>
        <v>OK</v>
      </c>
      <c r="U19" t="str">
        <f t="shared" si="4"/>
        <v>OK</v>
      </c>
      <c r="V19" t="str">
        <f t="shared" si="5"/>
        <v>OK</v>
      </c>
      <c r="W19">
        <f>IF(Q19="","",SUMIF(ProductionConfiguration!$B$5:$B$914,Q19,ProductionConfiguration!$S$5:$S$914))</f>
        <v>20</v>
      </c>
      <c r="X19" t="str">
        <f t="shared" si="6"/>
        <v>OK</v>
      </c>
      <c r="Y19" t="str">
        <f t="shared" si="7"/>
        <v>OK</v>
      </c>
      <c r="Z19" t="str">
        <f t="shared" si="8"/>
        <v>OK</v>
      </c>
    </row>
    <row r="20" spans="1:26" ht="18" customHeight="1">
      <c r="A20" s="10" t="s">
        <v>30</v>
      </c>
      <c r="B20" s="11">
        <v>45950</v>
      </c>
      <c r="C20" s="10" t="s">
        <v>79</v>
      </c>
      <c r="D20" s="10" t="s">
        <v>32</v>
      </c>
      <c r="E20" s="12">
        <v>22</v>
      </c>
      <c r="F20" s="10" t="s">
        <v>43</v>
      </c>
      <c r="G20" s="10" t="s">
        <v>78</v>
      </c>
      <c r="H20" s="12">
        <v>10</v>
      </c>
      <c r="I20" s="12">
        <v>2</v>
      </c>
      <c r="J20" s="12">
        <v>11</v>
      </c>
      <c r="K20" s="13">
        <v>13200</v>
      </c>
      <c r="L20" s="14">
        <v>11.84</v>
      </c>
      <c r="M20" s="13">
        <v>156288</v>
      </c>
      <c r="N20" s="13">
        <v>145803</v>
      </c>
      <c r="O20" s="13">
        <v>1982</v>
      </c>
      <c r="P20" s="13">
        <v>8503</v>
      </c>
      <c r="Q20" t="str">
        <f t="shared" si="0"/>
        <v>PE-KG01-L22-20251020-PM-ORD-2025-00056</v>
      </c>
      <c r="R20">
        <f t="shared" si="1"/>
        <v>20</v>
      </c>
      <c r="S20" t="str">
        <f t="shared" si="2"/>
        <v>OK</v>
      </c>
      <c r="T20" t="str">
        <f t="shared" si="3"/>
        <v>OK</v>
      </c>
      <c r="U20" t="str">
        <f t="shared" si="4"/>
        <v>OK</v>
      </c>
      <c r="V20" t="str">
        <f t="shared" si="5"/>
        <v>OK</v>
      </c>
      <c r="W20">
        <f>IF(Q20="","",SUMIF(ProductionConfiguration!$B$5:$B$914,Q20,ProductionConfiguration!$S$5:$S$914))</f>
        <v>20</v>
      </c>
      <c r="X20" t="str">
        <f t="shared" si="6"/>
        <v>OK</v>
      </c>
      <c r="Y20" t="str">
        <f t="shared" si="7"/>
        <v>OK</v>
      </c>
      <c r="Z20" t="str">
        <f t="shared" si="8"/>
        <v>OK</v>
      </c>
    </row>
    <row r="21" spans="1:26" ht="18" customHeight="1">
      <c r="A21" s="10" t="s">
        <v>30</v>
      </c>
      <c r="B21" s="11">
        <v>45951</v>
      </c>
      <c r="C21" s="10" t="s">
        <v>31</v>
      </c>
      <c r="D21" s="10" t="s">
        <v>32</v>
      </c>
      <c r="E21" s="12">
        <v>22</v>
      </c>
      <c r="F21" s="10" t="s">
        <v>43</v>
      </c>
      <c r="G21" s="10" t="s">
        <v>78</v>
      </c>
      <c r="H21" s="12">
        <v>10</v>
      </c>
      <c r="I21" s="12">
        <v>2</v>
      </c>
      <c r="J21" s="12">
        <v>10</v>
      </c>
      <c r="K21" s="13">
        <v>12000</v>
      </c>
      <c r="L21" s="14">
        <v>11.68</v>
      </c>
      <c r="M21" s="13">
        <v>140160</v>
      </c>
      <c r="N21" s="13">
        <v>133671</v>
      </c>
      <c r="O21" s="13">
        <v>938</v>
      </c>
      <c r="P21" s="13">
        <v>5551</v>
      </c>
      <c r="Q21" t="str">
        <f t="shared" si="0"/>
        <v>PE-KG01-L22-20251021-AM-ORD-2025-00056</v>
      </c>
      <c r="R21">
        <f t="shared" si="1"/>
        <v>20</v>
      </c>
      <c r="S21" t="str">
        <f t="shared" si="2"/>
        <v>OK</v>
      </c>
      <c r="T21" t="str">
        <f t="shared" si="3"/>
        <v>OK</v>
      </c>
      <c r="U21" t="str">
        <f t="shared" si="4"/>
        <v>OK</v>
      </c>
      <c r="V21" t="str">
        <f t="shared" si="5"/>
        <v>OK</v>
      </c>
      <c r="W21">
        <f>IF(Q21="","",SUMIF(ProductionConfiguration!$B$5:$B$914,Q21,ProductionConfiguration!$S$5:$S$914))</f>
        <v>20</v>
      </c>
      <c r="X21" t="str">
        <f t="shared" si="6"/>
        <v>OK</v>
      </c>
      <c r="Y21" t="str">
        <f t="shared" si="7"/>
        <v>OK</v>
      </c>
      <c r="Z21" t="str">
        <f t="shared" si="8"/>
        <v>OK</v>
      </c>
    </row>
    <row r="22" spans="1:26" ht="18" customHeight="1">
      <c r="A22" s="10" t="s">
        <v>30</v>
      </c>
      <c r="B22" s="11">
        <v>45951</v>
      </c>
      <c r="C22" s="10" t="s">
        <v>79</v>
      </c>
      <c r="D22" s="10" t="s">
        <v>37</v>
      </c>
      <c r="E22" s="12">
        <v>22</v>
      </c>
      <c r="F22" s="10" t="s">
        <v>43</v>
      </c>
      <c r="G22" s="10" t="s">
        <v>78</v>
      </c>
      <c r="H22" s="12">
        <v>10</v>
      </c>
      <c r="I22" s="12">
        <v>2</v>
      </c>
      <c r="J22" s="12">
        <v>10</v>
      </c>
      <c r="K22" s="13">
        <v>12000</v>
      </c>
      <c r="L22" s="14">
        <v>11.57</v>
      </c>
      <c r="M22" s="13">
        <v>138840</v>
      </c>
      <c r="N22" s="13">
        <v>131761</v>
      </c>
      <c r="O22" s="13">
        <v>744</v>
      </c>
      <c r="P22" s="13">
        <v>6335</v>
      </c>
      <c r="Q22" t="str">
        <f t="shared" si="0"/>
        <v>PE-KG01-L22-20251021-PM-ORD-2025-00056</v>
      </c>
      <c r="R22">
        <f t="shared" si="1"/>
        <v>20</v>
      </c>
      <c r="S22" t="str">
        <f t="shared" si="2"/>
        <v>OK</v>
      </c>
      <c r="T22" t="str">
        <f t="shared" si="3"/>
        <v>OK</v>
      </c>
      <c r="U22" t="str">
        <f t="shared" si="4"/>
        <v>OK</v>
      </c>
      <c r="V22" t="str">
        <f t="shared" si="5"/>
        <v>OK</v>
      </c>
      <c r="W22">
        <f>IF(Q22="","",SUMIF(ProductionConfiguration!$B$5:$B$914,Q22,ProductionConfiguration!$S$5:$S$914))</f>
        <v>20</v>
      </c>
      <c r="X22" t="str">
        <f t="shared" si="6"/>
        <v>OK</v>
      </c>
      <c r="Y22" t="str">
        <f t="shared" si="7"/>
        <v>OK</v>
      </c>
      <c r="Z22" t="str">
        <f t="shared" si="8"/>
        <v>OK</v>
      </c>
    </row>
    <row r="23" spans="1:26" ht="18" customHeight="1">
      <c r="A23" s="10" t="s">
        <v>30</v>
      </c>
      <c r="B23" s="11">
        <v>45952</v>
      </c>
      <c r="C23" s="10" t="s">
        <v>31</v>
      </c>
      <c r="D23" s="10" t="s">
        <v>37</v>
      </c>
      <c r="E23" s="12">
        <v>22</v>
      </c>
      <c r="F23" s="10" t="s">
        <v>47</v>
      </c>
      <c r="G23" s="10" t="s">
        <v>78</v>
      </c>
      <c r="H23" s="12">
        <v>10</v>
      </c>
      <c r="I23" s="12">
        <v>2</v>
      </c>
      <c r="J23" s="12">
        <v>9</v>
      </c>
      <c r="K23" s="13">
        <v>10800</v>
      </c>
      <c r="L23" s="14">
        <v>11.69</v>
      </c>
      <c r="M23" s="13">
        <v>126252</v>
      </c>
      <c r="N23" s="13">
        <v>118103</v>
      </c>
      <c r="O23" s="13">
        <v>957</v>
      </c>
      <c r="P23" s="13">
        <v>7192</v>
      </c>
      <c r="Q23" t="str">
        <f t="shared" si="0"/>
        <v>PE-KG01-L22-20251022-AM-ORD-2025-00057</v>
      </c>
      <c r="R23">
        <f t="shared" si="1"/>
        <v>20</v>
      </c>
      <c r="S23" t="str">
        <f t="shared" si="2"/>
        <v>OK</v>
      </c>
      <c r="T23" t="str">
        <f t="shared" si="3"/>
        <v>OK</v>
      </c>
      <c r="U23" t="str">
        <f t="shared" si="4"/>
        <v>OK</v>
      </c>
      <c r="V23" t="str">
        <f t="shared" si="5"/>
        <v>OK</v>
      </c>
      <c r="W23">
        <f>IF(Q23="","",SUMIF(ProductionConfiguration!$B$5:$B$914,Q23,ProductionConfiguration!$S$5:$S$914))</f>
        <v>20</v>
      </c>
      <c r="X23" t="str">
        <f t="shared" si="6"/>
        <v>OK</v>
      </c>
      <c r="Y23" t="str">
        <f t="shared" si="7"/>
        <v>OK</v>
      </c>
      <c r="Z23" t="str">
        <f t="shared" si="8"/>
        <v>OK</v>
      </c>
    </row>
    <row r="24" spans="1:26" ht="18" customHeight="1">
      <c r="A24" s="10" t="s">
        <v>30</v>
      </c>
      <c r="B24" s="11">
        <v>45952</v>
      </c>
      <c r="C24" s="10" t="s">
        <v>79</v>
      </c>
      <c r="D24" s="10" t="s">
        <v>41</v>
      </c>
      <c r="E24" s="12">
        <v>22</v>
      </c>
      <c r="F24" s="10" t="s">
        <v>47</v>
      </c>
      <c r="G24" s="10" t="s">
        <v>78</v>
      </c>
      <c r="H24" s="12">
        <v>10</v>
      </c>
      <c r="I24" s="12">
        <v>2</v>
      </c>
      <c r="J24" s="12">
        <v>10</v>
      </c>
      <c r="K24" s="13">
        <v>12000</v>
      </c>
      <c r="L24" s="14">
        <v>11.56</v>
      </c>
      <c r="M24" s="13">
        <v>138720</v>
      </c>
      <c r="N24" s="13">
        <v>132396</v>
      </c>
      <c r="O24" s="13">
        <v>949</v>
      </c>
      <c r="P24" s="13">
        <v>5375</v>
      </c>
      <c r="Q24" t="str">
        <f t="shared" si="0"/>
        <v>PE-KG01-L22-20251022-PM-ORD-2025-00057</v>
      </c>
      <c r="R24">
        <f t="shared" si="1"/>
        <v>20</v>
      </c>
      <c r="S24" t="str">
        <f t="shared" si="2"/>
        <v>OK</v>
      </c>
      <c r="T24" t="str">
        <f t="shared" si="3"/>
        <v>OK</v>
      </c>
      <c r="U24" t="str">
        <f t="shared" si="4"/>
        <v>OK</v>
      </c>
      <c r="V24" t="str">
        <f t="shared" si="5"/>
        <v>OK</v>
      </c>
      <c r="W24">
        <f>IF(Q24="","",SUMIF(ProductionConfiguration!$B$5:$B$914,Q24,ProductionConfiguration!$S$5:$S$914))</f>
        <v>20</v>
      </c>
      <c r="X24" t="str">
        <f t="shared" si="6"/>
        <v>OK</v>
      </c>
      <c r="Y24" t="str">
        <f t="shared" si="7"/>
        <v>OK</v>
      </c>
      <c r="Z24" t="str">
        <f t="shared" si="8"/>
        <v>OK</v>
      </c>
    </row>
    <row r="25" spans="1:26" ht="18" customHeight="1">
      <c r="A25" s="10" t="s">
        <v>30</v>
      </c>
      <c r="B25" s="11">
        <v>45953</v>
      </c>
      <c r="C25" s="10" t="s">
        <v>31</v>
      </c>
      <c r="D25" s="10" t="s">
        <v>41</v>
      </c>
      <c r="E25" s="12">
        <v>22</v>
      </c>
      <c r="F25" s="10" t="s">
        <v>47</v>
      </c>
      <c r="G25" s="10" t="s">
        <v>78</v>
      </c>
      <c r="H25" s="12">
        <v>10</v>
      </c>
      <c r="I25" s="12">
        <v>2</v>
      </c>
      <c r="J25" s="12">
        <v>10</v>
      </c>
      <c r="K25" s="13">
        <v>12000</v>
      </c>
      <c r="L25" s="14">
        <v>11.7</v>
      </c>
      <c r="M25" s="13">
        <v>140400</v>
      </c>
      <c r="N25" s="13">
        <v>131376</v>
      </c>
      <c r="O25" s="13">
        <v>2097</v>
      </c>
      <c r="P25" s="13">
        <v>6927</v>
      </c>
      <c r="Q25" t="str">
        <f t="shared" si="0"/>
        <v>PE-KG01-L22-20251023-AM-ORD-2025-00057</v>
      </c>
      <c r="R25">
        <f t="shared" si="1"/>
        <v>20</v>
      </c>
      <c r="S25" t="str">
        <f t="shared" si="2"/>
        <v>OK</v>
      </c>
      <c r="T25" t="str">
        <f t="shared" si="3"/>
        <v>OK</v>
      </c>
      <c r="U25" t="str">
        <f t="shared" si="4"/>
        <v>OK</v>
      </c>
      <c r="V25" t="str">
        <f t="shared" si="5"/>
        <v>OK</v>
      </c>
      <c r="W25">
        <f>IF(Q25="","",SUMIF(ProductionConfiguration!$B$5:$B$914,Q25,ProductionConfiguration!$S$5:$S$914))</f>
        <v>20</v>
      </c>
      <c r="X25" t="str">
        <f t="shared" si="6"/>
        <v>OK</v>
      </c>
      <c r="Y25" t="str">
        <f t="shared" si="7"/>
        <v>OK</v>
      </c>
      <c r="Z25" t="str">
        <f t="shared" si="8"/>
        <v>OK</v>
      </c>
    </row>
    <row r="26" spans="1:26" ht="18" customHeight="1">
      <c r="A26" s="10" t="s">
        <v>30</v>
      </c>
      <c r="B26" s="11">
        <v>45953</v>
      </c>
      <c r="C26" s="10" t="s">
        <v>79</v>
      </c>
      <c r="D26" s="10" t="s">
        <v>32</v>
      </c>
      <c r="E26" s="12">
        <v>22</v>
      </c>
      <c r="F26" s="10" t="s">
        <v>47</v>
      </c>
      <c r="G26" s="10" t="s">
        <v>78</v>
      </c>
      <c r="H26" s="12">
        <v>10</v>
      </c>
      <c r="I26" s="12">
        <v>2</v>
      </c>
      <c r="J26" s="12">
        <v>10</v>
      </c>
      <c r="K26" s="13">
        <v>12000</v>
      </c>
      <c r="L26" s="14">
        <v>11.77</v>
      </c>
      <c r="M26" s="13">
        <v>141240</v>
      </c>
      <c r="N26" s="13">
        <v>132228</v>
      </c>
      <c r="O26" s="13">
        <v>992</v>
      </c>
      <c r="P26" s="13">
        <v>8020</v>
      </c>
      <c r="Q26" t="str">
        <f t="shared" si="0"/>
        <v>PE-KG01-L22-20251023-PM-ORD-2025-00057</v>
      </c>
      <c r="R26">
        <f t="shared" si="1"/>
        <v>20</v>
      </c>
      <c r="S26" t="str">
        <f t="shared" si="2"/>
        <v>OK</v>
      </c>
      <c r="T26" t="str">
        <f t="shared" si="3"/>
        <v>OK</v>
      </c>
      <c r="U26" t="str">
        <f t="shared" si="4"/>
        <v>OK</v>
      </c>
      <c r="V26" t="str">
        <f t="shared" si="5"/>
        <v>OK</v>
      </c>
      <c r="W26">
        <f>IF(Q26="","",SUMIF(ProductionConfiguration!$B$5:$B$914,Q26,ProductionConfiguration!$S$5:$S$914))</f>
        <v>20</v>
      </c>
      <c r="X26" t="str">
        <f t="shared" si="6"/>
        <v>OK</v>
      </c>
      <c r="Y26" t="str">
        <f t="shared" si="7"/>
        <v>OK</v>
      </c>
      <c r="Z26" t="str">
        <f t="shared" si="8"/>
        <v>OK</v>
      </c>
    </row>
    <row r="27" spans="1:26" ht="18" customHeight="1">
      <c r="A27" s="10" t="s">
        <v>30</v>
      </c>
      <c r="B27" s="11">
        <v>45954</v>
      </c>
      <c r="C27" s="10" t="s">
        <v>31</v>
      </c>
      <c r="D27" s="10" t="s">
        <v>32</v>
      </c>
      <c r="E27" s="12">
        <v>22</v>
      </c>
      <c r="F27" s="10" t="s">
        <v>47</v>
      </c>
      <c r="G27" s="10" t="s">
        <v>78</v>
      </c>
      <c r="H27" s="12">
        <v>10</v>
      </c>
      <c r="I27" s="12">
        <v>2</v>
      </c>
      <c r="J27" s="12">
        <v>10</v>
      </c>
      <c r="K27" s="13">
        <v>12000</v>
      </c>
      <c r="L27" s="14">
        <v>11.75</v>
      </c>
      <c r="M27" s="13">
        <v>141000</v>
      </c>
      <c r="N27" s="13">
        <v>134393</v>
      </c>
      <c r="O27" s="13">
        <v>1515</v>
      </c>
      <c r="P27" s="13">
        <v>5092</v>
      </c>
      <c r="Q27" t="str">
        <f t="shared" si="0"/>
        <v>PE-KG01-L22-20251024-AM-ORD-2025-00057</v>
      </c>
      <c r="R27">
        <f t="shared" si="1"/>
        <v>20</v>
      </c>
      <c r="S27" t="str">
        <f t="shared" si="2"/>
        <v>OK</v>
      </c>
      <c r="T27" t="str">
        <f t="shared" si="3"/>
        <v>OK</v>
      </c>
      <c r="U27" t="str">
        <f t="shared" si="4"/>
        <v>OK</v>
      </c>
      <c r="V27" t="str">
        <f t="shared" si="5"/>
        <v>OK</v>
      </c>
      <c r="W27">
        <f>IF(Q27="","",SUMIF(ProductionConfiguration!$B$5:$B$914,Q27,ProductionConfiguration!$S$5:$S$914))</f>
        <v>20</v>
      </c>
      <c r="X27" t="str">
        <f t="shared" si="6"/>
        <v>OK</v>
      </c>
      <c r="Y27" t="str">
        <f t="shared" si="7"/>
        <v>OK</v>
      </c>
      <c r="Z27" t="str">
        <f t="shared" si="8"/>
        <v>OK</v>
      </c>
    </row>
    <row r="28" spans="1:26" ht="18" customHeight="1">
      <c r="A28" s="10" t="s">
        <v>30</v>
      </c>
      <c r="B28" s="11">
        <v>45954</v>
      </c>
      <c r="C28" s="10" t="s">
        <v>79</v>
      </c>
      <c r="D28" s="10" t="s">
        <v>37</v>
      </c>
      <c r="E28" s="12">
        <v>22</v>
      </c>
      <c r="F28" s="10" t="s">
        <v>47</v>
      </c>
      <c r="G28" s="10" t="s">
        <v>78</v>
      </c>
      <c r="H28" s="12">
        <v>10</v>
      </c>
      <c r="I28" s="12">
        <v>2</v>
      </c>
      <c r="J28" s="12">
        <v>9</v>
      </c>
      <c r="K28" s="13">
        <v>10800</v>
      </c>
      <c r="L28" s="14">
        <v>11.67</v>
      </c>
      <c r="M28" s="13">
        <v>126036</v>
      </c>
      <c r="N28" s="13">
        <v>120197</v>
      </c>
      <c r="O28" s="13">
        <v>530</v>
      </c>
      <c r="P28" s="13">
        <v>5309</v>
      </c>
      <c r="Q28" t="str">
        <f t="shared" si="0"/>
        <v>PE-KG01-L22-20251024-PM-ORD-2025-00057</v>
      </c>
      <c r="R28">
        <f t="shared" si="1"/>
        <v>20</v>
      </c>
      <c r="S28" t="str">
        <f t="shared" si="2"/>
        <v>OK</v>
      </c>
      <c r="T28" t="str">
        <f t="shared" si="3"/>
        <v>OK</v>
      </c>
      <c r="U28" t="str">
        <f t="shared" si="4"/>
        <v>OK</v>
      </c>
      <c r="V28" t="str">
        <f t="shared" si="5"/>
        <v>OK</v>
      </c>
      <c r="W28">
        <f>IF(Q28="","",SUMIF(ProductionConfiguration!$B$5:$B$914,Q28,ProductionConfiguration!$S$5:$S$914))</f>
        <v>20</v>
      </c>
      <c r="X28" t="str">
        <f t="shared" si="6"/>
        <v>OK</v>
      </c>
      <c r="Y28" t="str">
        <f t="shared" si="7"/>
        <v>OK</v>
      </c>
      <c r="Z28" t="str">
        <f t="shared" si="8"/>
        <v>OK</v>
      </c>
    </row>
    <row r="29" spans="1:26" ht="18" customHeight="1">
      <c r="A29" s="10" t="s">
        <v>30</v>
      </c>
      <c r="B29" s="11">
        <v>45955</v>
      </c>
      <c r="C29" s="10" t="s">
        <v>31</v>
      </c>
      <c r="D29" s="10" t="s">
        <v>37</v>
      </c>
      <c r="E29" s="12">
        <v>22</v>
      </c>
      <c r="F29" s="10" t="s">
        <v>47</v>
      </c>
      <c r="G29" s="10" t="s">
        <v>78</v>
      </c>
      <c r="H29" s="12">
        <v>10</v>
      </c>
      <c r="I29" s="12">
        <v>2</v>
      </c>
      <c r="J29" s="12">
        <v>10</v>
      </c>
      <c r="K29" s="13">
        <v>12000</v>
      </c>
      <c r="L29" s="14">
        <v>11.85</v>
      </c>
      <c r="M29" s="13">
        <v>142200</v>
      </c>
      <c r="N29" s="13">
        <v>134803</v>
      </c>
      <c r="O29" s="13">
        <v>1209</v>
      </c>
      <c r="P29" s="13">
        <v>6188</v>
      </c>
      <c r="Q29" t="str">
        <f t="shared" si="0"/>
        <v>PE-KG01-L22-20251025-AM-ORD-2025-00057</v>
      </c>
      <c r="R29">
        <f t="shared" si="1"/>
        <v>20</v>
      </c>
      <c r="S29" t="str">
        <f t="shared" si="2"/>
        <v>OK</v>
      </c>
      <c r="T29" t="str">
        <f t="shared" si="3"/>
        <v>OK</v>
      </c>
      <c r="U29" t="str">
        <f t="shared" si="4"/>
        <v>OK</v>
      </c>
      <c r="V29" t="str">
        <f t="shared" si="5"/>
        <v>OK</v>
      </c>
      <c r="W29">
        <f>IF(Q29="","",SUMIF(ProductionConfiguration!$B$5:$B$914,Q29,ProductionConfiguration!$S$5:$S$914))</f>
        <v>20</v>
      </c>
      <c r="X29" t="str">
        <f t="shared" si="6"/>
        <v>OK</v>
      </c>
      <c r="Y29" t="str">
        <f t="shared" si="7"/>
        <v>OK</v>
      </c>
      <c r="Z29" t="str">
        <f t="shared" si="8"/>
        <v>OK</v>
      </c>
    </row>
    <row r="30" spans="1:26" ht="18" customHeight="1">
      <c r="A30" s="10" t="s">
        <v>30</v>
      </c>
      <c r="B30" s="11">
        <v>45955</v>
      </c>
      <c r="C30" s="10" t="s">
        <v>79</v>
      </c>
      <c r="D30" s="10" t="s">
        <v>41</v>
      </c>
      <c r="E30" s="12">
        <v>22</v>
      </c>
      <c r="F30" s="10" t="s">
        <v>47</v>
      </c>
      <c r="G30" s="10" t="s">
        <v>78</v>
      </c>
      <c r="H30" s="12">
        <v>10</v>
      </c>
      <c r="I30" s="12">
        <v>2</v>
      </c>
      <c r="J30" s="12">
        <v>11</v>
      </c>
      <c r="K30" s="13">
        <v>13200</v>
      </c>
      <c r="L30" s="14">
        <v>11.79</v>
      </c>
      <c r="M30" s="13">
        <v>155628</v>
      </c>
      <c r="N30" s="13">
        <v>148447</v>
      </c>
      <c r="O30" s="13">
        <v>1436</v>
      </c>
      <c r="P30" s="13">
        <v>5745</v>
      </c>
      <c r="Q30" t="str">
        <f t="shared" si="0"/>
        <v>PE-KG01-L22-20251025-PM-ORD-2025-00057</v>
      </c>
      <c r="R30">
        <f t="shared" si="1"/>
        <v>20</v>
      </c>
      <c r="S30" t="str">
        <f t="shared" si="2"/>
        <v>OK</v>
      </c>
      <c r="T30" t="str">
        <f t="shared" si="3"/>
        <v>OK</v>
      </c>
      <c r="U30" t="str">
        <f t="shared" si="4"/>
        <v>OK</v>
      </c>
      <c r="V30" t="str">
        <f t="shared" si="5"/>
        <v>OK</v>
      </c>
      <c r="W30">
        <f>IF(Q30="","",SUMIF(ProductionConfiguration!$B$5:$B$914,Q30,ProductionConfiguration!$S$5:$S$914))</f>
        <v>20</v>
      </c>
      <c r="X30" t="str">
        <f t="shared" si="6"/>
        <v>OK</v>
      </c>
      <c r="Y30" t="str">
        <f t="shared" si="7"/>
        <v>OK</v>
      </c>
      <c r="Z30" t="str">
        <f t="shared" si="8"/>
        <v>OK</v>
      </c>
    </row>
    <row r="31" spans="1:26" ht="18" customHeight="1">
      <c r="A31" s="10" t="s">
        <v>30</v>
      </c>
      <c r="B31" s="11">
        <v>45956</v>
      </c>
      <c r="C31" s="10" t="s">
        <v>31</v>
      </c>
      <c r="D31" s="10" t="s">
        <v>41</v>
      </c>
      <c r="E31" s="12">
        <v>22</v>
      </c>
      <c r="F31" s="10" t="s">
        <v>48</v>
      </c>
      <c r="G31" s="10" t="s">
        <v>80</v>
      </c>
      <c r="H31" s="12">
        <v>10</v>
      </c>
      <c r="I31" s="12">
        <v>4</v>
      </c>
      <c r="J31" s="12">
        <v>14</v>
      </c>
      <c r="K31" s="13">
        <v>33600</v>
      </c>
      <c r="L31" s="14">
        <v>3.11</v>
      </c>
      <c r="M31" s="13">
        <v>104496</v>
      </c>
      <c r="N31" s="13">
        <v>85016</v>
      </c>
      <c r="O31" s="13">
        <v>3901</v>
      </c>
      <c r="P31" s="13">
        <v>15579</v>
      </c>
      <c r="Q31" t="str">
        <f t="shared" si="0"/>
        <v>PE-KG01-L22-20251026-AM-ORD-2025-00058</v>
      </c>
      <c r="R31">
        <f t="shared" si="1"/>
        <v>40</v>
      </c>
      <c r="S31" t="str">
        <f t="shared" si="2"/>
        <v>CHECK</v>
      </c>
      <c r="T31" t="str">
        <f t="shared" si="3"/>
        <v>OK</v>
      </c>
      <c r="U31" t="str">
        <f t="shared" si="4"/>
        <v>OK</v>
      </c>
      <c r="V31" t="str">
        <f t="shared" si="5"/>
        <v>OK</v>
      </c>
      <c r="W31">
        <f>IF(Q31="","",SUMIF(ProductionConfiguration!$B$5:$B$914,Q31,ProductionConfiguration!$S$5:$S$914))</f>
        <v>30</v>
      </c>
      <c r="X31" t="str">
        <f t="shared" si="6"/>
        <v>CHECK</v>
      </c>
      <c r="Y31" t="str">
        <f t="shared" si="7"/>
        <v>OK</v>
      </c>
      <c r="Z31" t="str">
        <f t="shared" si="8"/>
        <v>CHECK</v>
      </c>
    </row>
    <row r="32" spans="1:26" ht="18" customHeight="1">
      <c r="A32" s="10" t="s">
        <v>30</v>
      </c>
      <c r="B32" s="11">
        <v>45956</v>
      </c>
      <c r="C32" s="10" t="s">
        <v>79</v>
      </c>
      <c r="D32" s="10" t="s">
        <v>32</v>
      </c>
      <c r="E32" s="12">
        <v>22</v>
      </c>
      <c r="F32" s="10" t="s">
        <v>48</v>
      </c>
      <c r="G32" s="10" t="s">
        <v>78</v>
      </c>
      <c r="H32" s="12">
        <v>10</v>
      </c>
      <c r="I32" s="12">
        <v>4</v>
      </c>
      <c r="J32" s="12">
        <v>12</v>
      </c>
      <c r="K32" s="13">
        <v>28800</v>
      </c>
      <c r="L32" s="14">
        <v>11.77</v>
      </c>
      <c r="M32" s="13">
        <v>338976</v>
      </c>
      <c r="N32" s="13">
        <v>323477</v>
      </c>
      <c r="O32" s="13">
        <v>7094</v>
      </c>
      <c r="P32" s="13">
        <v>8405</v>
      </c>
      <c r="Q32" t="str">
        <f t="shared" si="0"/>
        <v>PE-KG01-L22-20251026-PM-ORD-2025-00058</v>
      </c>
      <c r="R32">
        <f t="shared" si="1"/>
        <v>40</v>
      </c>
      <c r="S32" t="str">
        <f t="shared" si="2"/>
        <v>CHECK</v>
      </c>
      <c r="T32" t="str">
        <f t="shared" si="3"/>
        <v>OK</v>
      </c>
      <c r="U32" t="str">
        <f t="shared" si="4"/>
        <v>OK</v>
      </c>
      <c r="V32" t="str">
        <f t="shared" si="5"/>
        <v>OK</v>
      </c>
      <c r="W32">
        <f>IF(Q32="","",SUMIF(ProductionConfiguration!$B$5:$B$914,Q32,ProductionConfiguration!$S$5:$S$914))</f>
        <v>30</v>
      </c>
      <c r="X32" t="str">
        <f t="shared" si="6"/>
        <v>CHECK</v>
      </c>
      <c r="Y32" t="str">
        <f t="shared" si="7"/>
        <v>OK</v>
      </c>
      <c r="Z32" t="str">
        <f t="shared" si="8"/>
        <v>CHECK</v>
      </c>
    </row>
    <row r="33" spans="1:26" ht="18" customHeight="1">
      <c r="A33" s="10" t="s">
        <v>30</v>
      </c>
      <c r="B33" s="11">
        <v>45950</v>
      </c>
      <c r="C33" s="10" t="s">
        <v>31</v>
      </c>
      <c r="D33" s="10" t="s">
        <v>41</v>
      </c>
      <c r="E33" s="12">
        <v>23</v>
      </c>
      <c r="F33" s="10" t="s">
        <v>50</v>
      </c>
      <c r="G33" s="10" t="s">
        <v>78</v>
      </c>
      <c r="H33" s="12">
        <v>12</v>
      </c>
      <c r="I33" s="12">
        <v>3</v>
      </c>
      <c r="J33" s="12">
        <v>11</v>
      </c>
      <c r="K33" s="13">
        <v>23760</v>
      </c>
      <c r="L33" s="14">
        <v>11.72</v>
      </c>
      <c r="M33" s="13">
        <v>278467</v>
      </c>
      <c r="N33" s="13">
        <v>254485</v>
      </c>
      <c r="O33" s="13">
        <v>5704</v>
      </c>
      <c r="P33" s="13">
        <v>18278</v>
      </c>
      <c r="Q33" t="str">
        <f t="shared" si="0"/>
        <v>PE-KG01-L23-20251020-AM-ORD-2025-00092</v>
      </c>
      <c r="R33">
        <f t="shared" si="1"/>
        <v>36</v>
      </c>
      <c r="S33" t="str">
        <f t="shared" si="2"/>
        <v>OK</v>
      </c>
      <c r="T33" t="str">
        <f t="shared" si="3"/>
        <v>OK</v>
      </c>
      <c r="U33" t="str">
        <f t="shared" si="4"/>
        <v>OK</v>
      </c>
      <c r="V33" t="str">
        <f t="shared" si="5"/>
        <v>OK</v>
      </c>
      <c r="W33">
        <f>IF(Q33="","",SUMIF(ProductionConfiguration!$B$5:$B$914,Q33,ProductionConfiguration!$S$5:$S$914))</f>
        <v>36</v>
      </c>
      <c r="X33" t="str">
        <f t="shared" si="6"/>
        <v>OK</v>
      </c>
      <c r="Y33" t="str">
        <f t="shared" si="7"/>
        <v>OK</v>
      </c>
      <c r="Z33" t="str">
        <f t="shared" si="8"/>
        <v>OK</v>
      </c>
    </row>
    <row r="34" spans="1:26" ht="18" customHeight="1">
      <c r="A34" s="10" t="s">
        <v>30</v>
      </c>
      <c r="B34" s="11">
        <v>45950</v>
      </c>
      <c r="C34" s="10" t="s">
        <v>79</v>
      </c>
      <c r="D34" s="10" t="s">
        <v>32</v>
      </c>
      <c r="E34" s="12">
        <v>23</v>
      </c>
      <c r="F34" s="10" t="s">
        <v>50</v>
      </c>
      <c r="G34" s="10" t="s">
        <v>78</v>
      </c>
      <c r="H34" s="12">
        <v>12</v>
      </c>
      <c r="I34" s="12">
        <v>3</v>
      </c>
      <c r="J34" s="12">
        <v>11</v>
      </c>
      <c r="K34" s="13">
        <v>23760</v>
      </c>
      <c r="L34" s="14">
        <v>11.76</v>
      </c>
      <c r="M34" s="13">
        <v>279418</v>
      </c>
      <c r="N34" s="13">
        <v>261773</v>
      </c>
      <c r="O34" s="13">
        <v>2249</v>
      </c>
      <c r="P34" s="13">
        <v>15396</v>
      </c>
      <c r="Q34" t="str">
        <f t="shared" si="0"/>
        <v>PE-KG01-L23-20251020-PM-ORD-2025-00092</v>
      </c>
      <c r="R34">
        <f t="shared" si="1"/>
        <v>36</v>
      </c>
      <c r="S34" t="str">
        <f t="shared" si="2"/>
        <v>OK</v>
      </c>
      <c r="T34" t="str">
        <f t="shared" si="3"/>
        <v>OK</v>
      </c>
      <c r="U34" t="str">
        <f t="shared" si="4"/>
        <v>OK</v>
      </c>
      <c r="V34" t="str">
        <f t="shared" si="5"/>
        <v>OK</v>
      </c>
      <c r="W34">
        <f>IF(Q34="","",SUMIF(ProductionConfiguration!$B$5:$B$914,Q34,ProductionConfiguration!$S$5:$S$914))</f>
        <v>36</v>
      </c>
      <c r="X34" t="str">
        <f t="shared" si="6"/>
        <v>OK</v>
      </c>
      <c r="Y34" t="str">
        <f t="shared" si="7"/>
        <v>OK</v>
      </c>
      <c r="Z34" t="str">
        <f t="shared" si="8"/>
        <v>OK</v>
      </c>
    </row>
    <row r="35" spans="1:26" ht="18" customHeight="1">
      <c r="A35" s="10" t="s">
        <v>30</v>
      </c>
      <c r="B35" s="11">
        <v>45951</v>
      </c>
      <c r="C35" s="10" t="s">
        <v>31</v>
      </c>
      <c r="D35" s="10" t="s">
        <v>32</v>
      </c>
      <c r="E35" s="12">
        <v>23</v>
      </c>
      <c r="F35" s="10" t="s">
        <v>50</v>
      </c>
      <c r="G35" s="10" t="s">
        <v>78</v>
      </c>
      <c r="H35" s="12">
        <v>12</v>
      </c>
      <c r="I35" s="12">
        <v>3</v>
      </c>
      <c r="J35" s="12">
        <v>13</v>
      </c>
      <c r="K35" s="13">
        <v>28080</v>
      </c>
      <c r="L35" s="14">
        <v>11.54</v>
      </c>
      <c r="M35" s="13">
        <v>324043</v>
      </c>
      <c r="N35" s="13">
        <v>302269</v>
      </c>
      <c r="O35" s="13">
        <v>4074</v>
      </c>
      <c r="P35" s="13">
        <v>17700</v>
      </c>
      <c r="Q35" t="str">
        <f t="shared" si="0"/>
        <v>PE-KG01-L23-20251021-AM-ORD-2025-00092</v>
      </c>
      <c r="R35">
        <f t="shared" si="1"/>
        <v>36</v>
      </c>
      <c r="S35" t="str">
        <f t="shared" si="2"/>
        <v>OK</v>
      </c>
      <c r="T35" t="str">
        <f t="shared" si="3"/>
        <v>OK</v>
      </c>
      <c r="U35" t="str">
        <f t="shared" si="4"/>
        <v>OK</v>
      </c>
      <c r="V35" t="str">
        <f t="shared" si="5"/>
        <v>OK</v>
      </c>
      <c r="W35">
        <f>IF(Q35="","",SUMIF(ProductionConfiguration!$B$5:$B$914,Q35,ProductionConfiguration!$S$5:$S$914))</f>
        <v>36</v>
      </c>
      <c r="X35" t="str">
        <f t="shared" si="6"/>
        <v>OK</v>
      </c>
      <c r="Y35" t="str">
        <f t="shared" si="7"/>
        <v>OK</v>
      </c>
      <c r="Z35" t="str">
        <f t="shared" si="8"/>
        <v>OK</v>
      </c>
    </row>
    <row r="36" spans="1:26" ht="18" customHeight="1">
      <c r="A36" s="10" t="s">
        <v>30</v>
      </c>
      <c r="B36" s="11">
        <v>45951</v>
      </c>
      <c r="C36" s="10" t="s">
        <v>79</v>
      </c>
      <c r="D36" s="10" t="s">
        <v>37</v>
      </c>
      <c r="E36" s="12">
        <v>23</v>
      </c>
      <c r="F36" s="10" t="s">
        <v>50</v>
      </c>
      <c r="G36" s="10" t="s">
        <v>78</v>
      </c>
      <c r="H36" s="12">
        <v>12</v>
      </c>
      <c r="I36" s="12">
        <v>3</v>
      </c>
      <c r="J36" s="12">
        <v>13</v>
      </c>
      <c r="K36" s="13">
        <v>28080</v>
      </c>
      <c r="L36" s="14">
        <v>11.55</v>
      </c>
      <c r="M36" s="13">
        <v>324324</v>
      </c>
      <c r="N36" s="13">
        <v>298076</v>
      </c>
      <c r="O36" s="13">
        <v>5731</v>
      </c>
      <c r="P36" s="13">
        <v>20517</v>
      </c>
      <c r="Q36" t="str">
        <f t="shared" si="0"/>
        <v>PE-KG01-L23-20251021-PM-ORD-2025-00092</v>
      </c>
      <c r="R36">
        <f t="shared" si="1"/>
        <v>36</v>
      </c>
      <c r="S36" t="str">
        <f t="shared" si="2"/>
        <v>OK</v>
      </c>
      <c r="T36" t="str">
        <f t="shared" si="3"/>
        <v>OK</v>
      </c>
      <c r="U36" t="str">
        <f t="shared" si="4"/>
        <v>OK</v>
      </c>
      <c r="V36" t="str">
        <f t="shared" si="5"/>
        <v>OK</v>
      </c>
      <c r="W36">
        <f>IF(Q36="","",SUMIF(ProductionConfiguration!$B$5:$B$914,Q36,ProductionConfiguration!$S$5:$S$914))</f>
        <v>36</v>
      </c>
      <c r="X36" t="str">
        <f t="shared" si="6"/>
        <v>OK</v>
      </c>
      <c r="Y36" t="str">
        <f t="shared" si="7"/>
        <v>OK</v>
      </c>
      <c r="Z36" t="str">
        <f t="shared" si="8"/>
        <v>OK</v>
      </c>
    </row>
    <row r="37" spans="1:26" ht="18" customHeight="1">
      <c r="A37" s="10" t="s">
        <v>30</v>
      </c>
      <c r="B37" s="11">
        <v>45952</v>
      </c>
      <c r="C37" s="10" t="s">
        <v>31</v>
      </c>
      <c r="D37" s="10" t="s">
        <v>37</v>
      </c>
      <c r="E37" s="12">
        <v>23</v>
      </c>
      <c r="F37" s="10" t="s">
        <v>51</v>
      </c>
      <c r="G37" s="10" t="s">
        <v>78</v>
      </c>
      <c r="H37" s="12">
        <v>12</v>
      </c>
      <c r="I37" s="12">
        <v>2</v>
      </c>
      <c r="J37" s="12">
        <v>9</v>
      </c>
      <c r="K37" s="13">
        <v>12960</v>
      </c>
      <c r="L37" s="14">
        <v>6.88</v>
      </c>
      <c r="M37" s="13">
        <v>89165</v>
      </c>
      <c r="N37" s="13">
        <v>83448</v>
      </c>
      <c r="O37" s="13">
        <v>822</v>
      </c>
      <c r="P37" s="13">
        <v>4895</v>
      </c>
      <c r="Q37" t="str">
        <f t="shared" ref="Q37:Q68" si="9">IF(A37="","", "PE-"&amp;A37&amp;"-L"&amp;TEXT(E37,"00")&amp;"-"&amp;TEXT(B37,"yyyymmdd")&amp;"-"&amp;C37&amp;"-"&amp;F37)</f>
        <v>PE-KG01-L23-20251022-AM-ORD-2025-00093</v>
      </c>
      <c r="R37">
        <f t="shared" ref="R37:R68" si="10">IF(A37="","",H37*I37)</f>
        <v>24</v>
      </c>
      <c r="S37" t="str">
        <f t="shared" ref="S37:S68" si="11">IF(A37="","",IF(AND(H37&gt;=1,H37&lt;=13,I37&gt;=1,I37&lt;=3),"OK","CHECK"))</f>
        <v>OK</v>
      </c>
      <c r="T37" t="str">
        <f t="shared" ref="T37:T68" si="12">IF(A37="","",IF(ABS(K37-(J37*H37*I37*60))&lt;=0.5,"OK","CHECK"))</f>
        <v>OK</v>
      </c>
      <c r="U37" t="str">
        <f t="shared" ref="U37:U68" si="13">IF(A37="","",IF(ABS(M37-(K37*L37))&lt;=1,"OK","CHECK"))</f>
        <v>OK</v>
      </c>
      <c r="V37" t="str">
        <f t="shared" ref="V37:V68" si="14">IF(A37="","",IF(ABS(M37-N37-O37-P37)&lt;=1,"OK","CHECK"))</f>
        <v>OK</v>
      </c>
      <c r="W37">
        <f>IF(Q37="","",SUMIF(ProductionConfiguration!$B$5:$B$914,Q37,ProductionConfiguration!$S$5:$S$914))</f>
        <v>24</v>
      </c>
      <c r="X37" t="str">
        <f t="shared" ref="X37:X68" si="15">IF(A37="","",IF(R37=W37,"OK","CHECK"))</f>
        <v>OK</v>
      </c>
      <c r="Y37" t="str">
        <f t="shared" ref="Y37:Y68" si="16">IF(Q37="","",IF(COUNTIF($Q$5:$Q$100,Q37)=1,"OK","CHECK"))</f>
        <v>OK</v>
      </c>
      <c r="Z37" t="str">
        <f t="shared" ref="Z37:Z68" si="17">IF(A37="","",IF(AND(S37="OK",T37="OK",U37="OK",V37="OK",X37="OK",Y37="OK"),"OK","CHECK"))</f>
        <v>OK</v>
      </c>
    </row>
    <row r="38" spans="1:26" ht="18" customHeight="1">
      <c r="A38" s="10" t="s">
        <v>30</v>
      </c>
      <c r="B38" s="11">
        <v>45952</v>
      </c>
      <c r="C38" s="10" t="s">
        <v>79</v>
      </c>
      <c r="D38" s="10" t="s">
        <v>41</v>
      </c>
      <c r="E38" s="12">
        <v>23</v>
      </c>
      <c r="F38" s="10" t="s">
        <v>51</v>
      </c>
      <c r="G38" s="10" t="s">
        <v>78</v>
      </c>
      <c r="H38" s="12">
        <v>12</v>
      </c>
      <c r="I38" s="12">
        <v>2</v>
      </c>
      <c r="J38" s="12">
        <v>10</v>
      </c>
      <c r="K38" s="13">
        <v>14400</v>
      </c>
      <c r="L38" s="14">
        <v>11.5</v>
      </c>
      <c r="M38" s="13">
        <v>165600</v>
      </c>
      <c r="N38" s="13">
        <v>152167</v>
      </c>
      <c r="O38" s="13">
        <v>3335</v>
      </c>
      <c r="P38" s="13">
        <v>10098</v>
      </c>
      <c r="Q38" t="str">
        <f t="shared" si="9"/>
        <v>PE-KG01-L23-20251022-PM-ORD-2025-00093</v>
      </c>
      <c r="R38">
        <f t="shared" si="10"/>
        <v>24</v>
      </c>
      <c r="S38" t="str">
        <f t="shared" si="11"/>
        <v>OK</v>
      </c>
      <c r="T38" t="str">
        <f t="shared" si="12"/>
        <v>OK</v>
      </c>
      <c r="U38" t="str">
        <f t="shared" si="13"/>
        <v>OK</v>
      </c>
      <c r="V38" t="str">
        <f t="shared" si="14"/>
        <v>OK</v>
      </c>
      <c r="W38">
        <f>IF(Q38="","",SUMIF(ProductionConfiguration!$B$5:$B$914,Q38,ProductionConfiguration!$S$5:$S$914))</f>
        <v>24</v>
      </c>
      <c r="X38" t="str">
        <f t="shared" si="15"/>
        <v>OK</v>
      </c>
      <c r="Y38" t="str">
        <f t="shared" si="16"/>
        <v>OK</v>
      </c>
      <c r="Z38" t="str">
        <f t="shared" si="17"/>
        <v>OK</v>
      </c>
    </row>
    <row r="39" spans="1:26" ht="18" customHeight="1">
      <c r="A39" s="10" t="s">
        <v>30</v>
      </c>
      <c r="B39" s="11">
        <v>45953</v>
      </c>
      <c r="C39" s="10" t="s">
        <v>31</v>
      </c>
      <c r="D39" s="10" t="s">
        <v>41</v>
      </c>
      <c r="E39" s="12">
        <v>23</v>
      </c>
      <c r="F39" s="10" t="s">
        <v>51</v>
      </c>
      <c r="G39" s="10" t="s">
        <v>78</v>
      </c>
      <c r="H39" s="12">
        <v>12</v>
      </c>
      <c r="I39" s="12">
        <v>2</v>
      </c>
      <c r="J39" s="12">
        <v>11</v>
      </c>
      <c r="K39" s="13">
        <v>15840</v>
      </c>
      <c r="L39" s="14">
        <v>11.71</v>
      </c>
      <c r="M39" s="13">
        <v>185486</v>
      </c>
      <c r="N39" s="13">
        <v>176967</v>
      </c>
      <c r="O39" s="13">
        <v>650</v>
      </c>
      <c r="P39" s="13">
        <v>7869</v>
      </c>
      <c r="Q39" t="str">
        <f t="shared" si="9"/>
        <v>PE-KG01-L23-20251023-AM-ORD-2025-00093</v>
      </c>
      <c r="R39">
        <f t="shared" si="10"/>
        <v>24</v>
      </c>
      <c r="S39" t="str">
        <f t="shared" si="11"/>
        <v>OK</v>
      </c>
      <c r="T39" t="str">
        <f t="shared" si="12"/>
        <v>OK</v>
      </c>
      <c r="U39" t="str">
        <f t="shared" si="13"/>
        <v>OK</v>
      </c>
      <c r="V39" t="str">
        <f t="shared" si="14"/>
        <v>OK</v>
      </c>
      <c r="W39">
        <f>IF(Q39="","",SUMIF(ProductionConfiguration!$B$5:$B$914,Q39,ProductionConfiguration!$S$5:$S$914))</f>
        <v>24</v>
      </c>
      <c r="X39" t="str">
        <f t="shared" si="15"/>
        <v>OK</v>
      </c>
      <c r="Y39" t="str">
        <f t="shared" si="16"/>
        <v>OK</v>
      </c>
      <c r="Z39" t="str">
        <f t="shared" si="17"/>
        <v>OK</v>
      </c>
    </row>
    <row r="40" spans="1:26" ht="18" customHeight="1">
      <c r="A40" s="10" t="s">
        <v>30</v>
      </c>
      <c r="B40" s="11">
        <v>45953</v>
      </c>
      <c r="C40" s="10" t="s">
        <v>79</v>
      </c>
      <c r="D40" s="10" t="s">
        <v>32</v>
      </c>
      <c r="E40" s="12">
        <v>23</v>
      </c>
      <c r="F40" s="10" t="s">
        <v>51</v>
      </c>
      <c r="G40" s="10" t="s">
        <v>78</v>
      </c>
      <c r="H40" s="12">
        <v>12</v>
      </c>
      <c r="I40" s="12">
        <v>2</v>
      </c>
      <c r="J40" s="12">
        <v>9</v>
      </c>
      <c r="K40" s="13">
        <v>12960</v>
      </c>
      <c r="L40" s="14">
        <v>11.62</v>
      </c>
      <c r="M40" s="13">
        <v>150595</v>
      </c>
      <c r="N40" s="13">
        <v>142535</v>
      </c>
      <c r="O40" s="13">
        <v>2900</v>
      </c>
      <c r="P40" s="13">
        <v>5160</v>
      </c>
      <c r="Q40" t="str">
        <f t="shared" si="9"/>
        <v>PE-KG01-L23-20251023-PM-ORD-2025-00093</v>
      </c>
      <c r="R40">
        <f t="shared" si="10"/>
        <v>24</v>
      </c>
      <c r="S40" t="str">
        <f t="shared" si="11"/>
        <v>OK</v>
      </c>
      <c r="T40" t="str">
        <f t="shared" si="12"/>
        <v>OK</v>
      </c>
      <c r="U40" t="str">
        <f t="shared" si="13"/>
        <v>OK</v>
      </c>
      <c r="V40" t="str">
        <f t="shared" si="14"/>
        <v>OK</v>
      </c>
      <c r="W40">
        <f>IF(Q40="","",SUMIF(ProductionConfiguration!$B$5:$B$914,Q40,ProductionConfiguration!$S$5:$S$914))</f>
        <v>24</v>
      </c>
      <c r="X40" t="str">
        <f t="shared" si="15"/>
        <v>OK</v>
      </c>
      <c r="Y40" t="str">
        <f t="shared" si="16"/>
        <v>OK</v>
      </c>
      <c r="Z40" t="str">
        <f t="shared" si="17"/>
        <v>OK</v>
      </c>
    </row>
    <row r="41" spans="1:26" ht="18" customHeight="1">
      <c r="A41" s="10" t="s">
        <v>30</v>
      </c>
      <c r="B41" s="11">
        <v>45954</v>
      </c>
      <c r="C41" s="10" t="s">
        <v>31</v>
      </c>
      <c r="D41" s="10" t="s">
        <v>32</v>
      </c>
      <c r="E41" s="12">
        <v>23</v>
      </c>
      <c r="F41" s="10" t="s">
        <v>51</v>
      </c>
      <c r="G41" s="10" t="s">
        <v>78</v>
      </c>
      <c r="H41" s="12">
        <v>12</v>
      </c>
      <c r="I41" s="12">
        <v>2</v>
      </c>
      <c r="J41" s="12">
        <v>9</v>
      </c>
      <c r="K41" s="13">
        <v>12960</v>
      </c>
      <c r="L41" s="14">
        <v>11.48</v>
      </c>
      <c r="M41" s="13">
        <v>148781</v>
      </c>
      <c r="N41" s="13">
        <v>141422</v>
      </c>
      <c r="O41" s="13">
        <v>1705</v>
      </c>
      <c r="P41" s="13">
        <v>5654</v>
      </c>
      <c r="Q41" t="str">
        <f t="shared" si="9"/>
        <v>PE-KG01-L23-20251024-AM-ORD-2025-00093</v>
      </c>
      <c r="R41">
        <f t="shared" si="10"/>
        <v>24</v>
      </c>
      <c r="S41" t="str">
        <f t="shared" si="11"/>
        <v>OK</v>
      </c>
      <c r="T41" t="str">
        <f t="shared" si="12"/>
        <v>OK</v>
      </c>
      <c r="U41" t="str">
        <f t="shared" si="13"/>
        <v>OK</v>
      </c>
      <c r="V41" t="str">
        <f t="shared" si="14"/>
        <v>OK</v>
      </c>
      <c r="W41">
        <f>IF(Q41="","",SUMIF(ProductionConfiguration!$B$5:$B$914,Q41,ProductionConfiguration!$S$5:$S$914))</f>
        <v>24</v>
      </c>
      <c r="X41" t="str">
        <f t="shared" si="15"/>
        <v>OK</v>
      </c>
      <c r="Y41" t="str">
        <f t="shared" si="16"/>
        <v>OK</v>
      </c>
      <c r="Z41" t="str">
        <f t="shared" si="17"/>
        <v>OK</v>
      </c>
    </row>
    <row r="42" spans="1:26" ht="18" customHeight="1">
      <c r="A42" s="10" t="s">
        <v>30</v>
      </c>
      <c r="B42" s="11">
        <v>45954</v>
      </c>
      <c r="C42" s="10" t="s">
        <v>79</v>
      </c>
      <c r="D42" s="10" t="s">
        <v>37</v>
      </c>
      <c r="E42" s="12">
        <v>23</v>
      </c>
      <c r="F42" s="10" t="s">
        <v>51</v>
      </c>
      <c r="G42" s="10" t="s">
        <v>78</v>
      </c>
      <c r="H42" s="12">
        <v>12</v>
      </c>
      <c r="I42" s="12">
        <v>2</v>
      </c>
      <c r="J42" s="12">
        <v>11</v>
      </c>
      <c r="K42" s="13">
        <v>15840</v>
      </c>
      <c r="L42" s="14">
        <v>11.66</v>
      </c>
      <c r="M42" s="13">
        <v>184694</v>
      </c>
      <c r="N42" s="13">
        <v>177515</v>
      </c>
      <c r="O42" s="13">
        <v>1983</v>
      </c>
      <c r="P42" s="13">
        <v>5196</v>
      </c>
      <c r="Q42" t="str">
        <f t="shared" si="9"/>
        <v>PE-KG01-L23-20251024-PM-ORD-2025-00093</v>
      </c>
      <c r="R42">
        <f t="shared" si="10"/>
        <v>24</v>
      </c>
      <c r="S42" t="str">
        <f t="shared" si="11"/>
        <v>OK</v>
      </c>
      <c r="T42" t="str">
        <f t="shared" si="12"/>
        <v>OK</v>
      </c>
      <c r="U42" t="str">
        <f t="shared" si="13"/>
        <v>OK</v>
      </c>
      <c r="V42" t="str">
        <f t="shared" si="14"/>
        <v>OK</v>
      </c>
      <c r="W42">
        <f>IF(Q42="","",SUMIF(ProductionConfiguration!$B$5:$B$914,Q42,ProductionConfiguration!$S$5:$S$914))</f>
        <v>24</v>
      </c>
      <c r="X42" t="str">
        <f t="shared" si="15"/>
        <v>OK</v>
      </c>
      <c r="Y42" t="str">
        <f t="shared" si="16"/>
        <v>OK</v>
      </c>
      <c r="Z42" t="str">
        <f t="shared" si="17"/>
        <v>OK</v>
      </c>
    </row>
    <row r="43" spans="1:26" ht="18" customHeight="1">
      <c r="A43" s="10" t="s">
        <v>30</v>
      </c>
      <c r="B43" s="11">
        <v>45955</v>
      </c>
      <c r="C43" s="10" t="s">
        <v>31</v>
      </c>
      <c r="D43" s="10" t="s">
        <v>37</v>
      </c>
      <c r="E43" s="12">
        <v>23</v>
      </c>
      <c r="F43" s="10" t="s">
        <v>51</v>
      </c>
      <c r="G43" s="10" t="s">
        <v>78</v>
      </c>
      <c r="H43" s="12">
        <v>12</v>
      </c>
      <c r="I43" s="12">
        <v>2</v>
      </c>
      <c r="J43" s="12">
        <v>10</v>
      </c>
      <c r="K43" s="13">
        <v>14400</v>
      </c>
      <c r="L43" s="14">
        <v>11.85</v>
      </c>
      <c r="M43" s="13">
        <v>170640</v>
      </c>
      <c r="N43" s="13">
        <v>160575</v>
      </c>
      <c r="O43" s="13">
        <v>1191</v>
      </c>
      <c r="P43" s="13">
        <v>8874</v>
      </c>
      <c r="Q43" t="str">
        <f t="shared" si="9"/>
        <v>PE-KG01-L23-20251025-AM-ORD-2025-00093</v>
      </c>
      <c r="R43">
        <f t="shared" si="10"/>
        <v>24</v>
      </c>
      <c r="S43" t="str">
        <f t="shared" si="11"/>
        <v>OK</v>
      </c>
      <c r="T43" t="str">
        <f t="shared" si="12"/>
        <v>OK</v>
      </c>
      <c r="U43" t="str">
        <f t="shared" si="13"/>
        <v>OK</v>
      </c>
      <c r="V43" t="str">
        <f t="shared" si="14"/>
        <v>OK</v>
      </c>
      <c r="W43">
        <f>IF(Q43="","",SUMIF(ProductionConfiguration!$B$5:$B$914,Q43,ProductionConfiguration!$S$5:$S$914))</f>
        <v>24</v>
      </c>
      <c r="X43" t="str">
        <f t="shared" si="15"/>
        <v>OK</v>
      </c>
      <c r="Y43" t="str">
        <f t="shared" si="16"/>
        <v>OK</v>
      </c>
      <c r="Z43" t="str">
        <f t="shared" si="17"/>
        <v>OK</v>
      </c>
    </row>
    <row r="44" spans="1:26" ht="18" customHeight="1">
      <c r="A44" s="10" t="s">
        <v>30</v>
      </c>
      <c r="B44" s="11">
        <v>45955</v>
      </c>
      <c r="C44" s="10" t="s">
        <v>79</v>
      </c>
      <c r="D44" s="10" t="s">
        <v>41</v>
      </c>
      <c r="E44" s="12">
        <v>23</v>
      </c>
      <c r="F44" s="10" t="s">
        <v>51</v>
      </c>
      <c r="G44" s="10" t="s">
        <v>78</v>
      </c>
      <c r="H44" s="12">
        <v>12</v>
      </c>
      <c r="I44" s="12">
        <v>2</v>
      </c>
      <c r="J44" s="12">
        <v>9</v>
      </c>
      <c r="K44" s="13">
        <v>12960</v>
      </c>
      <c r="L44" s="14">
        <v>11.49</v>
      </c>
      <c r="M44" s="13">
        <v>148910</v>
      </c>
      <c r="N44" s="13">
        <v>141115</v>
      </c>
      <c r="O44" s="13">
        <v>298</v>
      </c>
      <c r="P44" s="13">
        <v>7497</v>
      </c>
      <c r="Q44" t="str">
        <f t="shared" si="9"/>
        <v>PE-KG01-L23-20251025-PM-ORD-2025-00093</v>
      </c>
      <c r="R44">
        <f t="shared" si="10"/>
        <v>24</v>
      </c>
      <c r="S44" t="str">
        <f t="shared" si="11"/>
        <v>OK</v>
      </c>
      <c r="T44" t="str">
        <f t="shared" si="12"/>
        <v>OK</v>
      </c>
      <c r="U44" t="str">
        <f t="shared" si="13"/>
        <v>OK</v>
      </c>
      <c r="V44" t="str">
        <f t="shared" si="14"/>
        <v>OK</v>
      </c>
      <c r="W44">
        <f>IF(Q44="","",SUMIF(ProductionConfiguration!$B$5:$B$914,Q44,ProductionConfiguration!$S$5:$S$914))</f>
        <v>24</v>
      </c>
      <c r="X44" t="str">
        <f t="shared" si="15"/>
        <v>OK</v>
      </c>
      <c r="Y44" t="str">
        <f t="shared" si="16"/>
        <v>OK</v>
      </c>
      <c r="Z44" t="str">
        <f t="shared" si="17"/>
        <v>OK</v>
      </c>
    </row>
    <row r="45" spans="1:26" ht="18" customHeight="1">
      <c r="A45" s="10" t="s">
        <v>30</v>
      </c>
      <c r="B45" s="11">
        <v>45956</v>
      </c>
      <c r="C45" s="10" t="s">
        <v>31</v>
      </c>
      <c r="D45" s="10" t="s">
        <v>41</v>
      </c>
      <c r="E45" s="12">
        <v>23</v>
      </c>
      <c r="F45" s="10" t="s">
        <v>53</v>
      </c>
      <c r="G45" s="10" t="s">
        <v>80</v>
      </c>
      <c r="H45" s="12">
        <v>12</v>
      </c>
      <c r="I45" s="12">
        <v>2</v>
      </c>
      <c r="J45" s="12">
        <v>10</v>
      </c>
      <c r="K45" s="13">
        <v>14400</v>
      </c>
      <c r="L45" s="14">
        <v>0.91</v>
      </c>
      <c r="M45" s="13">
        <v>13104</v>
      </c>
      <c r="N45" s="13">
        <v>11478</v>
      </c>
      <c r="O45" s="13">
        <v>465</v>
      </c>
      <c r="P45" s="13">
        <v>1161</v>
      </c>
      <c r="Q45" t="str">
        <f t="shared" si="9"/>
        <v>PE-KG01-L23-20251026-AM-ORD-2025-00094</v>
      </c>
      <c r="R45">
        <f t="shared" si="10"/>
        <v>24</v>
      </c>
      <c r="S45" t="str">
        <f t="shared" si="11"/>
        <v>OK</v>
      </c>
      <c r="T45" t="str">
        <f t="shared" si="12"/>
        <v>OK</v>
      </c>
      <c r="U45" t="str">
        <f t="shared" si="13"/>
        <v>OK</v>
      </c>
      <c r="V45" t="str">
        <f t="shared" si="14"/>
        <v>OK</v>
      </c>
      <c r="W45">
        <f>IF(Q45="","",SUMIF(ProductionConfiguration!$B$5:$B$914,Q45,ProductionConfiguration!$S$5:$S$914))</f>
        <v>24</v>
      </c>
      <c r="X45" t="str">
        <f t="shared" si="15"/>
        <v>OK</v>
      </c>
      <c r="Y45" t="str">
        <f t="shared" si="16"/>
        <v>OK</v>
      </c>
      <c r="Z45" t="str">
        <f t="shared" si="17"/>
        <v>OK</v>
      </c>
    </row>
    <row r="46" spans="1:26" ht="18" customHeight="1">
      <c r="A46" s="10" t="s">
        <v>30</v>
      </c>
      <c r="B46" s="11">
        <v>45956</v>
      </c>
      <c r="C46" s="10" t="s">
        <v>79</v>
      </c>
      <c r="D46" s="10" t="s">
        <v>32</v>
      </c>
      <c r="E46" s="12">
        <v>23</v>
      </c>
      <c r="F46" s="10" t="s">
        <v>53</v>
      </c>
      <c r="G46" s="10" t="s">
        <v>78</v>
      </c>
      <c r="H46" s="12">
        <v>12</v>
      </c>
      <c r="I46" s="12">
        <v>2</v>
      </c>
      <c r="J46" s="12">
        <v>11</v>
      </c>
      <c r="K46" s="13">
        <v>15840</v>
      </c>
      <c r="L46" s="14">
        <v>11.55</v>
      </c>
      <c r="M46" s="13">
        <v>182952</v>
      </c>
      <c r="N46" s="13">
        <v>170721</v>
      </c>
      <c r="O46" s="13">
        <v>366</v>
      </c>
      <c r="P46" s="13">
        <v>11865</v>
      </c>
      <c r="Q46" t="str">
        <f t="shared" si="9"/>
        <v>PE-KG01-L23-20251026-PM-ORD-2025-00094</v>
      </c>
      <c r="R46">
        <f t="shared" si="10"/>
        <v>24</v>
      </c>
      <c r="S46" t="str">
        <f t="shared" si="11"/>
        <v>OK</v>
      </c>
      <c r="T46" t="str">
        <f t="shared" si="12"/>
        <v>OK</v>
      </c>
      <c r="U46" t="str">
        <f t="shared" si="13"/>
        <v>OK</v>
      </c>
      <c r="V46" t="str">
        <f t="shared" si="14"/>
        <v>OK</v>
      </c>
      <c r="W46">
        <f>IF(Q46="","",SUMIF(ProductionConfiguration!$B$5:$B$914,Q46,ProductionConfiguration!$S$5:$S$914))</f>
        <v>24</v>
      </c>
      <c r="X46" t="str">
        <f t="shared" si="15"/>
        <v>OK</v>
      </c>
      <c r="Y46" t="str">
        <f t="shared" si="16"/>
        <v>OK</v>
      </c>
      <c r="Z46" t="str">
        <f t="shared" si="17"/>
        <v>OK</v>
      </c>
    </row>
    <row r="47" spans="1:26" ht="18" customHeight="1">
      <c r="A47" s="10" t="s">
        <v>30</v>
      </c>
      <c r="B47" s="11">
        <v>45950</v>
      </c>
      <c r="C47" s="10" t="s">
        <v>31</v>
      </c>
      <c r="D47" s="10" t="s">
        <v>41</v>
      </c>
      <c r="E47" s="12">
        <v>24</v>
      </c>
      <c r="F47" s="10" t="s">
        <v>58</v>
      </c>
      <c r="G47" s="10" t="s">
        <v>78</v>
      </c>
      <c r="H47" s="12">
        <v>12</v>
      </c>
      <c r="I47" s="12">
        <v>4</v>
      </c>
      <c r="J47" s="12">
        <v>13</v>
      </c>
      <c r="K47" s="13">
        <v>37440</v>
      </c>
      <c r="L47" s="14">
        <v>11.8</v>
      </c>
      <c r="M47" s="13">
        <v>441792</v>
      </c>
      <c r="N47" s="13">
        <v>421509</v>
      </c>
      <c r="O47" s="13">
        <v>5885</v>
      </c>
      <c r="P47" s="13">
        <v>14398</v>
      </c>
      <c r="Q47" t="str">
        <f t="shared" si="9"/>
        <v>PE-KG01-L24-20251020-AM-ORD-2025-00124</v>
      </c>
      <c r="R47">
        <f t="shared" si="10"/>
        <v>48</v>
      </c>
      <c r="S47" t="str">
        <f t="shared" si="11"/>
        <v>CHECK</v>
      </c>
      <c r="T47" t="str">
        <f t="shared" si="12"/>
        <v>OK</v>
      </c>
      <c r="U47" t="str">
        <f t="shared" si="13"/>
        <v>OK</v>
      </c>
      <c r="V47" t="str">
        <f t="shared" si="14"/>
        <v>OK</v>
      </c>
      <c r="W47">
        <f>IF(Q47="","",SUMIF(ProductionConfiguration!$B$5:$B$914,Q47,ProductionConfiguration!$S$5:$S$914))</f>
        <v>36</v>
      </c>
      <c r="X47" t="str">
        <f t="shared" si="15"/>
        <v>CHECK</v>
      </c>
      <c r="Y47" t="str">
        <f t="shared" si="16"/>
        <v>OK</v>
      </c>
      <c r="Z47" t="str">
        <f t="shared" si="17"/>
        <v>CHECK</v>
      </c>
    </row>
    <row r="48" spans="1:26" ht="18" customHeight="1">
      <c r="A48" s="10" t="s">
        <v>30</v>
      </c>
      <c r="B48" s="11">
        <v>45950</v>
      </c>
      <c r="C48" s="10" t="s">
        <v>79</v>
      </c>
      <c r="D48" s="10" t="s">
        <v>32</v>
      </c>
      <c r="E48" s="12">
        <v>24</v>
      </c>
      <c r="F48" s="10" t="s">
        <v>58</v>
      </c>
      <c r="G48" s="10" t="s">
        <v>78</v>
      </c>
      <c r="H48" s="12">
        <v>12</v>
      </c>
      <c r="I48" s="12">
        <v>4</v>
      </c>
      <c r="J48" s="12">
        <v>13</v>
      </c>
      <c r="K48" s="13">
        <v>37440</v>
      </c>
      <c r="L48" s="14">
        <v>11.76</v>
      </c>
      <c r="M48" s="13">
        <v>440294</v>
      </c>
      <c r="N48" s="13">
        <v>415224</v>
      </c>
      <c r="O48" s="13">
        <v>7274</v>
      </c>
      <c r="P48" s="13">
        <v>17796</v>
      </c>
      <c r="Q48" t="str">
        <f t="shared" si="9"/>
        <v>PE-KG01-L24-20251020-PM-ORD-2025-00124</v>
      </c>
      <c r="R48">
        <f t="shared" si="10"/>
        <v>48</v>
      </c>
      <c r="S48" t="str">
        <f t="shared" si="11"/>
        <v>CHECK</v>
      </c>
      <c r="T48" t="str">
        <f t="shared" si="12"/>
        <v>OK</v>
      </c>
      <c r="U48" t="str">
        <f t="shared" si="13"/>
        <v>OK</v>
      </c>
      <c r="V48" t="str">
        <f t="shared" si="14"/>
        <v>OK</v>
      </c>
      <c r="W48">
        <f>IF(Q48="","",SUMIF(ProductionConfiguration!$B$5:$B$914,Q48,ProductionConfiguration!$S$5:$S$914))</f>
        <v>36</v>
      </c>
      <c r="X48" t="str">
        <f t="shared" si="15"/>
        <v>CHECK</v>
      </c>
      <c r="Y48" t="str">
        <f t="shared" si="16"/>
        <v>OK</v>
      </c>
      <c r="Z48" t="str">
        <f t="shared" si="17"/>
        <v>CHECK</v>
      </c>
    </row>
    <row r="49" spans="1:26" ht="18" customHeight="1">
      <c r="A49" s="10" t="s">
        <v>30</v>
      </c>
      <c r="B49" s="11">
        <v>45951</v>
      </c>
      <c r="C49" s="10" t="s">
        <v>31</v>
      </c>
      <c r="D49" s="10" t="s">
        <v>32</v>
      </c>
      <c r="E49" s="12">
        <v>24</v>
      </c>
      <c r="F49" s="10" t="s">
        <v>59</v>
      </c>
      <c r="G49" s="10" t="s">
        <v>78</v>
      </c>
      <c r="H49" s="12">
        <v>12</v>
      </c>
      <c r="I49" s="12">
        <v>3</v>
      </c>
      <c r="J49" s="12">
        <v>12</v>
      </c>
      <c r="K49" s="13">
        <v>25920</v>
      </c>
      <c r="L49" s="14">
        <v>6.82</v>
      </c>
      <c r="M49" s="13">
        <v>176774</v>
      </c>
      <c r="N49" s="13">
        <v>168566</v>
      </c>
      <c r="O49" s="13">
        <v>1269</v>
      </c>
      <c r="P49" s="13">
        <v>6939</v>
      </c>
      <c r="Q49" t="str">
        <f t="shared" si="9"/>
        <v>PE-KG01-L24-20251021-AM-ORD-2025-00125</v>
      </c>
      <c r="R49">
        <f t="shared" si="10"/>
        <v>36</v>
      </c>
      <c r="S49" t="str">
        <f t="shared" si="11"/>
        <v>OK</v>
      </c>
      <c r="T49" t="str">
        <f t="shared" si="12"/>
        <v>OK</v>
      </c>
      <c r="U49" t="str">
        <f t="shared" si="13"/>
        <v>OK</v>
      </c>
      <c r="V49" t="str">
        <f t="shared" si="14"/>
        <v>OK</v>
      </c>
      <c r="W49">
        <f>IF(Q49="","",SUMIF(ProductionConfiguration!$B$5:$B$914,Q49,ProductionConfiguration!$S$5:$S$914))</f>
        <v>36</v>
      </c>
      <c r="X49" t="str">
        <f t="shared" si="15"/>
        <v>OK</v>
      </c>
      <c r="Y49" t="str">
        <f t="shared" si="16"/>
        <v>OK</v>
      </c>
      <c r="Z49" t="str">
        <f t="shared" si="17"/>
        <v>OK</v>
      </c>
    </row>
    <row r="50" spans="1:26" ht="18" customHeight="1">
      <c r="A50" s="10" t="s">
        <v>30</v>
      </c>
      <c r="B50" s="11">
        <v>45951</v>
      </c>
      <c r="C50" s="10" t="s">
        <v>79</v>
      </c>
      <c r="D50" s="10" t="s">
        <v>37</v>
      </c>
      <c r="E50" s="12">
        <v>24</v>
      </c>
      <c r="F50" s="10" t="s">
        <v>59</v>
      </c>
      <c r="G50" s="10" t="s">
        <v>78</v>
      </c>
      <c r="H50" s="12">
        <v>12</v>
      </c>
      <c r="I50" s="12">
        <v>3</v>
      </c>
      <c r="J50" s="12">
        <v>12</v>
      </c>
      <c r="K50" s="13">
        <v>25920</v>
      </c>
      <c r="L50" s="14">
        <v>11.71</v>
      </c>
      <c r="M50" s="13">
        <v>303523</v>
      </c>
      <c r="N50" s="13">
        <v>291686</v>
      </c>
      <c r="O50" s="13">
        <v>607</v>
      </c>
      <c r="P50" s="13">
        <v>11230</v>
      </c>
      <c r="Q50" t="str">
        <f t="shared" si="9"/>
        <v>PE-KG01-L24-20251021-PM-ORD-2025-00125</v>
      </c>
      <c r="R50">
        <f t="shared" si="10"/>
        <v>36</v>
      </c>
      <c r="S50" t="str">
        <f t="shared" si="11"/>
        <v>OK</v>
      </c>
      <c r="T50" t="str">
        <f t="shared" si="12"/>
        <v>OK</v>
      </c>
      <c r="U50" t="str">
        <f t="shared" si="13"/>
        <v>OK</v>
      </c>
      <c r="V50" t="str">
        <f t="shared" si="14"/>
        <v>OK</v>
      </c>
      <c r="W50">
        <f>IF(Q50="","",SUMIF(ProductionConfiguration!$B$5:$B$914,Q50,ProductionConfiguration!$S$5:$S$914))</f>
        <v>36</v>
      </c>
      <c r="X50" t="str">
        <f t="shared" si="15"/>
        <v>OK</v>
      </c>
      <c r="Y50" t="str">
        <f t="shared" si="16"/>
        <v>OK</v>
      </c>
      <c r="Z50" t="str">
        <f t="shared" si="17"/>
        <v>OK</v>
      </c>
    </row>
    <row r="51" spans="1:26" ht="18" customHeight="1">
      <c r="A51" s="10" t="s">
        <v>30</v>
      </c>
      <c r="B51" s="11">
        <v>45952</v>
      </c>
      <c r="C51" s="10" t="s">
        <v>31</v>
      </c>
      <c r="D51" s="10" t="s">
        <v>37</v>
      </c>
      <c r="E51" s="12">
        <v>24</v>
      </c>
      <c r="F51" s="10" t="s">
        <v>59</v>
      </c>
      <c r="G51" s="10" t="s">
        <v>78</v>
      </c>
      <c r="H51" s="12">
        <v>12</v>
      </c>
      <c r="I51" s="12">
        <v>3</v>
      </c>
      <c r="J51" s="12">
        <v>12</v>
      </c>
      <c r="K51" s="13">
        <v>25920</v>
      </c>
      <c r="L51" s="14">
        <v>11.7</v>
      </c>
      <c r="M51" s="13">
        <v>303264</v>
      </c>
      <c r="N51" s="13">
        <v>294129</v>
      </c>
      <c r="O51" s="13">
        <v>2804</v>
      </c>
      <c r="P51" s="13">
        <v>6331</v>
      </c>
      <c r="Q51" t="str">
        <f t="shared" si="9"/>
        <v>PE-KG01-L24-20251022-AM-ORD-2025-00125</v>
      </c>
      <c r="R51">
        <f t="shared" si="10"/>
        <v>36</v>
      </c>
      <c r="S51" t="str">
        <f t="shared" si="11"/>
        <v>OK</v>
      </c>
      <c r="T51" t="str">
        <f t="shared" si="12"/>
        <v>OK</v>
      </c>
      <c r="U51" t="str">
        <f t="shared" si="13"/>
        <v>OK</v>
      </c>
      <c r="V51" t="str">
        <f t="shared" si="14"/>
        <v>OK</v>
      </c>
      <c r="W51">
        <f>IF(Q51="","",SUMIF(ProductionConfiguration!$B$5:$B$914,Q51,ProductionConfiguration!$S$5:$S$914))</f>
        <v>36</v>
      </c>
      <c r="X51" t="str">
        <f t="shared" si="15"/>
        <v>OK</v>
      </c>
      <c r="Y51" t="str">
        <f t="shared" si="16"/>
        <v>OK</v>
      </c>
      <c r="Z51" t="str">
        <f t="shared" si="17"/>
        <v>OK</v>
      </c>
    </row>
    <row r="52" spans="1:26" ht="18" customHeight="1">
      <c r="A52" s="10" t="s">
        <v>30</v>
      </c>
      <c r="B52" s="11">
        <v>45952</v>
      </c>
      <c r="C52" s="10" t="s">
        <v>79</v>
      </c>
      <c r="D52" s="10" t="s">
        <v>41</v>
      </c>
      <c r="E52" s="12">
        <v>24</v>
      </c>
      <c r="F52" s="10" t="s">
        <v>59</v>
      </c>
      <c r="G52" s="10" t="s">
        <v>78</v>
      </c>
      <c r="H52" s="12">
        <v>12</v>
      </c>
      <c r="I52" s="12">
        <v>3</v>
      </c>
      <c r="J52" s="12">
        <v>12</v>
      </c>
      <c r="K52" s="13">
        <v>25920</v>
      </c>
      <c r="L52" s="14">
        <v>11.62</v>
      </c>
      <c r="M52" s="13">
        <v>301190</v>
      </c>
      <c r="N52" s="13">
        <v>284220</v>
      </c>
      <c r="O52" s="13">
        <v>4444</v>
      </c>
      <c r="P52" s="13">
        <v>12526</v>
      </c>
      <c r="Q52" t="str">
        <f t="shared" si="9"/>
        <v>PE-KG01-L24-20251022-PM-ORD-2025-00125</v>
      </c>
      <c r="R52">
        <f t="shared" si="10"/>
        <v>36</v>
      </c>
      <c r="S52" t="str">
        <f t="shared" si="11"/>
        <v>OK</v>
      </c>
      <c r="T52" t="str">
        <f t="shared" si="12"/>
        <v>OK</v>
      </c>
      <c r="U52" t="str">
        <f t="shared" si="13"/>
        <v>OK</v>
      </c>
      <c r="V52" t="str">
        <f t="shared" si="14"/>
        <v>OK</v>
      </c>
      <c r="W52">
        <f>IF(Q52="","",SUMIF(ProductionConfiguration!$B$5:$B$914,Q52,ProductionConfiguration!$S$5:$S$914))</f>
        <v>36</v>
      </c>
      <c r="X52" t="str">
        <f t="shared" si="15"/>
        <v>OK</v>
      </c>
      <c r="Y52" t="str">
        <f t="shared" si="16"/>
        <v>OK</v>
      </c>
      <c r="Z52" t="str">
        <f t="shared" si="17"/>
        <v>OK</v>
      </c>
    </row>
    <row r="53" spans="1:26" ht="18" customHeight="1">
      <c r="A53" s="10" t="s">
        <v>30</v>
      </c>
      <c r="B53" s="11">
        <v>45953</v>
      </c>
      <c r="C53" s="10" t="s">
        <v>31</v>
      </c>
      <c r="D53" s="10" t="s">
        <v>41</v>
      </c>
      <c r="E53" s="12">
        <v>24</v>
      </c>
      <c r="F53" s="10" t="s">
        <v>59</v>
      </c>
      <c r="G53" s="10" t="s">
        <v>78</v>
      </c>
      <c r="H53" s="12">
        <v>12</v>
      </c>
      <c r="I53" s="12">
        <v>3</v>
      </c>
      <c r="J53" s="12">
        <v>13</v>
      </c>
      <c r="K53" s="13">
        <v>28080</v>
      </c>
      <c r="L53" s="14">
        <v>11.67</v>
      </c>
      <c r="M53" s="13">
        <v>327694</v>
      </c>
      <c r="N53" s="13">
        <v>308507</v>
      </c>
      <c r="O53" s="13">
        <v>2710</v>
      </c>
      <c r="P53" s="13">
        <v>16477</v>
      </c>
      <c r="Q53" t="str">
        <f t="shared" si="9"/>
        <v>PE-KG01-L24-20251023-AM-ORD-2025-00125</v>
      </c>
      <c r="R53">
        <f t="shared" si="10"/>
        <v>36</v>
      </c>
      <c r="S53" t="str">
        <f t="shared" si="11"/>
        <v>OK</v>
      </c>
      <c r="T53" t="str">
        <f t="shared" si="12"/>
        <v>OK</v>
      </c>
      <c r="U53" t="str">
        <f t="shared" si="13"/>
        <v>OK</v>
      </c>
      <c r="V53" t="str">
        <f t="shared" si="14"/>
        <v>OK</v>
      </c>
      <c r="W53">
        <f>IF(Q53="","",SUMIF(ProductionConfiguration!$B$5:$B$914,Q53,ProductionConfiguration!$S$5:$S$914))</f>
        <v>36</v>
      </c>
      <c r="X53" t="str">
        <f t="shared" si="15"/>
        <v>OK</v>
      </c>
      <c r="Y53" t="str">
        <f t="shared" si="16"/>
        <v>OK</v>
      </c>
      <c r="Z53" t="str">
        <f t="shared" si="17"/>
        <v>OK</v>
      </c>
    </row>
    <row r="54" spans="1:26" ht="18" customHeight="1">
      <c r="A54" s="10" t="s">
        <v>30</v>
      </c>
      <c r="B54" s="11">
        <v>45953</v>
      </c>
      <c r="C54" s="10" t="s">
        <v>79</v>
      </c>
      <c r="D54" s="10" t="s">
        <v>32</v>
      </c>
      <c r="E54" s="12">
        <v>24</v>
      </c>
      <c r="F54" s="10" t="s">
        <v>59</v>
      </c>
      <c r="G54" s="10" t="s">
        <v>78</v>
      </c>
      <c r="H54" s="12">
        <v>12</v>
      </c>
      <c r="I54" s="12">
        <v>3</v>
      </c>
      <c r="J54" s="12">
        <v>11</v>
      </c>
      <c r="K54" s="13">
        <v>23760</v>
      </c>
      <c r="L54" s="14">
        <v>11.73</v>
      </c>
      <c r="M54" s="13">
        <v>278705</v>
      </c>
      <c r="N54" s="13">
        <v>265847</v>
      </c>
      <c r="O54" s="13">
        <v>3481</v>
      </c>
      <c r="P54" s="13">
        <v>9377</v>
      </c>
      <c r="Q54" t="str">
        <f t="shared" si="9"/>
        <v>PE-KG01-L24-20251023-PM-ORD-2025-00125</v>
      </c>
      <c r="R54">
        <f t="shared" si="10"/>
        <v>36</v>
      </c>
      <c r="S54" t="str">
        <f t="shared" si="11"/>
        <v>OK</v>
      </c>
      <c r="T54" t="str">
        <f t="shared" si="12"/>
        <v>OK</v>
      </c>
      <c r="U54" t="str">
        <f t="shared" si="13"/>
        <v>OK</v>
      </c>
      <c r="V54" t="str">
        <f t="shared" si="14"/>
        <v>OK</v>
      </c>
      <c r="W54">
        <f>IF(Q54="","",SUMIF(ProductionConfiguration!$B$5:$B$914,Q54,ProductionConfiguration!$S$5:$S$914))</f>
        <v>36</v>
      </c>
      <c r="X54" t="str">
        <f t="shared" si="15"/>
        <v>OK</v>
      </c>
      <c r="Y54" t="str">
        <f t="shared" si="16"/>
        <v>OK</v>
      </c>
      <c r="Z54" t="str">
        <f t="shared" si="17"/>
        <v>OK</v>
      </c>
    </row>
    <row r="55" spans="1:26" ht="18" customHeight="1">
      <c r="A55" s="10" t="s">
        <v>30</v>
      </c>
      <c r="B55" s="11">
        <v>45954</v>
      </c>
      <c r="C55" s="10" t="s">
        <v>31</v>
      </c>
      <c r="D55" s="10" t="s">
        <v>32</v>
      </c>
      <c r="E55" s="12">
        <v>24</v>
      </c>
      <c r="F55" s="10" t="s">
        <v>59</v>
      </c>
      <c r="G55" s="10" t="s">
        <v>78</v>
      </c>
      <c r="H55" s="12">
        <v>12</v>
      </c>
      <c r="I55" s="12">
        <v>3</v>
      </c>
      <c r="J55" s="12">
        <v>11</v>
      </c>
      <c r="K55" s="13">
        <v>23760</v>
      </c>
      <c r="L55" s="14">
        <v>11.59</v>
      </c>
      <c r="M55" s="13">
        <v>275378</v>
      </c>
      <c r="N55" s="13">
        <v>260344</v>
      </c>
      <c r="O55" s="13">
        <v>1963</v>
      </c>
      <c r="P55" s="13">
        <v>13071</v>
      </c>
      <c r="Q55" t="str">
        <f t="shared" si="9"/>
        <v>PE-KG01-L24-20251024-AM-ORD-2025-00125</v>
      </c>
      <c r="R55">
        <f t="shared" si="10"/>
        <v>36</v>
      </c>
      <c r="S55" t="str">
        <f t="shared" si="11"/>
        <v>OK</v>
      </c>
      <c r="T55" t="str">
        <f t="shared" si="12"/>
        <v>OK</v>
      </c>
      <c r="U55" t="str">
        <f t="shared" si="13"/>
        <v>OK</v>
      </c>
      <c r="V55" t="str">
        <f t="shared" si="14"/>
        <v>OK</v>
      </c>
      <c r="W55">
        <f>IF(Q55="","",SUMIF(ProductionConfiguration!$B$5:$B$914,Q55,ProductionConfiguration!$S$5:$S$914))</f>
        <v>36</v>
      </c>
      <c r="X55" t="str">
        <f t="shared" si="15"/>
        <v>OK</v>
      </c>
      <c r="Y55" t="str">
        <f t="shared" si="16"/>
        <v>OK</v>
      </c>
      <c r="Z55" t="str">
        <f t="shared" si="17"/>
        <v>OK</v>
      </c>
    </row>
    <row r="56" spans="1:26" ht="18" customHeight="1">
      <c r="A56" s="10" t="s">
        <v>30</v>
      </c>
      <c r="B56" s="11">
        <v>45954</v>
      </c>
      <c r="C56" s="10" t="s">
        <v>79</v>
      </c>
      <c r="D56" s="10" t="s">
        <v>37</v>
      </c>
      <c r="E56" s="12">
        <v>24</v>
      </c>
      <c r="F56" s="10" t="s">
        <v>59</v>
      </c>
      <c r="G56" s="10" t="s">
        <v>78</v>
      </c>
      <c r="H56" s="12">
        <v>12</v>
      </c>
      <c r="I56" s="12">
        <v>3</v>
      </c>
      <c r="J56" s="12">
        <v>13</v>
      </c>
      <c r="K56" s="13">
        <v>28080</v>
      </c>
      <c r="L56" s="14">
        <v>11.76</v>
      </c>
      <c r="M56" s="13">
        <v>330221</v>
      </c>
      <c r="N56" s="13">
        <v>313862</v>
      </c>
      <c r="O56" s="13">
        <v>2205</v>
      </c>
      <c r="P56" s="13">
        <v>14154</v>
      </c>
      <c r="Q56" t="str">
        <f t="shared" si="9"/>
        <v>PE-KG01-L24-20251024-PM-ORD-2025-00125</v>
      </c>
      <c r="R56">
        <f t="shared" si="10"/>
        <v>36</v>
      </c>
      <c r="S56" t="str">
        <f t="shared" si="11"/>
        <v>OK</v>
      </c>
      <c r="T56" t="str">
        <f t="shared" si="12"/>
        <v>OK</v>
      </c>
      <c r="U56" t="str">
        <f t="shared" si="13"/>
        <v>OK</v>
      </c>
      <c r="V56" t="str">
        <f t="shared" si="14"/>
        <v>OK</v>
      </c>
      <c r="W56">
        <f>IF(Q56="","",SUMIF(ProductionConfiguration!$B$5:$B$914,Q56,ProductionConfiguration!$S$5:$S$914))</f>
        <v>36</v>
      </c>
      <c r="X56" t="str">
        <f t="shared" si="15"/>
        <v>OK</v>
      </c>
      <c r="Y56" t="str">
        <f t="shared" si="16"/>
        <v>OK</v>
      </c>
      <c r="Z56" t="str">
        <f t="shared" si="17"/>
        <v>OK</v>
      </c>
    </row>
    <row r="57" spans="1:26" ht="18" customHeight="1">
      <c r="A57" s="10" t="s">
        <v>30</v>
      </c>
      <c r="B57" s="11">
        <v>45955</v>
      </c>
      <c r="C57" s="10" t="s">
        <v>31</v>
      </c>
      <c r="D57" s="10" t="s">
        <v>37</v>
      </c>
      <c r="E57" s="12">
        <v>24</v>
      </c>
      <c r="F57" s="10" t="s">
        <v>60</v>
      </c>
      <c r="G57" s="10" t="s">
        <v>78</v>
      </c>
      <c r="H57" s="12">
        <v>12</v>
      </c>
      <c r="I57" s="12">
        <v>2</v>
      </c>
      <c r="J57" s="12">
        <v>11</v>
      </c>
      <c r="K57" s="13">
        <v>15840</v>
      </c>
      <c r="L57" s="14">
        <v>9.41</v>
      </c>
      <c r="M57" s="13">
        <v>149054</v>
      </c>
      <c r="N57" s="13">
        <v>141989</v>
      </c>
      <c r="O57" s="13">
        <v>2249</v>
      </c>
      <c r="P57" s="13">
        <v>4816</v>
      </c>
      <c r="Q57" t="str">
        <f t="shared" si="9"/>
        <v>PE-KG01-L24-20251025-AM-ORD-2025-00126</v>
      </c>
      <c r="R57">
        <f t="shared" si="10"/>
        <v>24</v>
      </c>
      <c r="S57" t="str">
        <f t="shared" si="11"/>
        <v>OK</v>
      </c>
      <c r="T57" t="str">
        <f t="shared" si="12"/>
        <v>OK</v>
      </c>
      <c r="U57" t="str">
        <f t="shared" si="13"/>
        <v>OK</v>
      </c>
      <c r="V57" t="str">
        <f t="shared" si="14"/>
        <v>OK</v>
      </c>
      <c r="W57">
        <f>IF(Q57="","",SUMIF(ProductionConfiguration!$B$5:$B$914,Q57,ProductionConfiguration!$S$5:$S$914))</f>
        <v>24</v>
      </c>
      <c r="X57" t="str">
        <f t="shared" si="15"/>
        <v>OK</v>
      </c>
      <c r="Y57" t="str">
        <f t="shared" si="16"/>
        <v>OK</v>
      </c>
      <c r="Z57" t="str">
        <f t="shared" si="17"/>
        <v>OK</v>
      </c>
    </row>
    <row r="58" spans="1:26" ht="18" customHeight="1">
      <c r="A58" s="10" t="s">
        <v>30</v>
      </c>
      <c r="B58" s="11">
        <v>45955</v>
      </c>
      <c r="C58" s="10" t="s">
        <v>79</v>
      </c>
      <c r="D58" s="10" t="s">
        <v>41</v>
      </c>
      <c r="E58" s="12">
        <v>24</v>
      </c>
      <c r="F58" s="10" t="s">
        <v>60</v>
      </c>
      <c r="G58" s="10" t="s">
        <v>78</v>
      </c>
      <c r="H58" s="12">
        <v>12</v>
      </c>
      <c r="I58" s="12">
        <v>2</v>
      </c>
      <c r="J58" s="12">
        <v>9</v>
      </c>
      <c r="K58" s="13">
        <v>12960</v>
      </c>
      <c r="L58" s="14">
        <v>11.61</v>
      </c>
      <c r="M58" s="13">
        <v>150466</v>
      </c>
      <c r="N58" s="13">
        <v>141511</v>
      </c>
      <c r="O58" s="13">
        <v>2176</v>
      </c>
      <c r="P58" s="13">
        <v>6779</v>
      </c>
      <c r="Q58" t="str">
        <f t="shared" si="9"/>
        <v>PE-KG01-L24-20251025-PM-ORD-2025-00126</v>
      </c>
      <c r="R58">
        <f t="shared" si="10"/>
        <v>24</v>
      </c>
      <c r="S58" t="str">
        <f t="shared" si="11"/>
        <v>OK</v>
      </c>
      <c r="T58" t="str">
        <f t="shared" si="12"/>
        <v>OK</v>
      </c>
      <c r="U58" t="str">
        <f t="shared" si="13"/>
        <v>OK</v>
      </c>
      <c r="V58" t="str">
        <f t="shared" si="14"/>
        <v>OK</v>
      </c>
      <c r="W58">
        <f>IF(Q58="","",SUMIF(ProductionConfiguration!$B$5:$B$914,Q58,ProductionConfiguration!$S$5:$S$914))</f>
        <v>24</v>
      </c>
      <c r="X58" t="str">
        <f t="shared" si="15"/>
        <v>OK</v>
      </c>
      <c r="Y58" t="str">
        <f t="shared" si="16"/>
        <v>OK</v>
      </c>
      <c r="Z58" t="str">
        <f t="shared" si="17"/>
        <v>OK</v>
      </c>
    </row>
    <row r="59" spans="1:26" ht="18" customHeight="1">
      <c r="A59" s="10" t="s">
        <v>30</v>
      </c>
      <c r="B59" s="11">
        <v>45956</v>
      </c>
      <c r="C59" s="10" t="s">
        <v>31</v>
      </c>
      <c r="D59" s="10" t="s">
        <v>41</v>
      </c>
      <c r="E59" s="12">
        <v>24</v>
      </c>
      <c r="F59" s="10" t="s">
        <v>60</v>
      </c>
      <c r="G59" s="10" t="s">
        <v>78</v>
      </c>
      <c r="H59" s="12">
        <v>12</v>
      </c>
      <c r="I59" s="12">
        <v>2</v>
      </c>
      <c r="J59" s="12">
        <v>11</v>
      </c>
      <c r="K59" s="13">
        <v>15840</v>
      </c>
      <c r="L59" s="14">
        <v>11.72</v>
      </c>
      <c r="M59" s="13">
        <v>185645</v>
      </c>
      <c r="N59" s="13">
        <v>177055</v>
      </c>
      <c r="O59" s="13">
        <v>1268</v>
      </c>
      <c r="P59" s="13">
        <v>7322</v>
      </c>
      <c r="Q59" t="str">
        <f t="shared" si="9"/>
        <v>PE-KG01-L24-20251026-AM-ORD-2025-00126</v>
      </c>
      <c r="R59">
        <f t="shared" si="10"/>
        <v>24</v>
      </c>
      <c r="S59" t="str">
        <f t="shared" si="11"/>
        <v>OK</v>
      </c>
      <c r="T59" t="str">
        <f t="shared" si="12"/>
        <v>OK</v>
      </c>
      <c r="U59" t="str">
        <f t="shared" si="13"/>
        <v>OK</v>
      </c>
      <c r="V59" t="str">
        <f t="shared" si="14"/>
        <v>OK</v>
      </c>
      <c r="W59">
        <f>IF(Q59="","",SUMIF(ProductionConfiguration!$B$5:$B$914,Q59,ProductionConfiguration!$S$5:$S$914))</f>
        <v>24</v>
      </c>
      <c r="X59" t="str">
        <f t="shared" si="15"/>
        <v>OK</v>
      </c>
      <c r="Y59" t="str">
        <f t="shared" si="16"/>
        <v>OK</v>
      </c>
      <c r="Z59" t="str">
        <f t="shared" si="17"/>
        <v>OK</v>
      </c>
    </row>
    <row r="60" spans="1:26" ht="18" customHeight="1">
      <c r="A60" s="10" t="s">
        <v>30</v>
      </c>
      <c r="B60" s="11">
        <v>45956</v>
      </c>
      <c r="C60" s="10" t="s">
        <v>79</v>
      </c>
      <c r="D60" s="10" t="s">
        <v>32</v>
      </c>
      <c r="E60" s="12">
        <v>24</v>
      </c>
      <c r="F60" s="10" t="s">
        <v>60</v>
      </c>
      <c r="G60" s="10" t="s">
        <v>78</v>
      </c>
      <c r="H60" s="12">
        <v>12</v>
      </c>
      <c r="I60" s="12">
        <v>2</v>
      </c>
      <c r="J60" s="12">
        <v>9</v>
      </c>
      <c r="K60" s="13">
        <v>12960</v>
      </c>
      <c r="L60" s="14">
        <v>11.7</v>
      </c>
      <c r="M60" s="13">
        <v>151632</v>
      </c>
      <c r="N60" s="13">
        <v>144154</v>
      </c>
      <c r="O60" s="13">
        <v>393</v>
      </c>
      <c r="P60" s="13">
        <v>7085</v>
      </c>
      <c r="Q60" t="str">
        <f t="shared" si="9"/>
        <v>PE-KG01-L24-20251026-PM-ORD-2025-00126</v>
      </c>
      <c r="R60">
        <f t="shared" si="10"/>
        <v>24</v>
      </c>
      <c r="S60" t="str">
        <f t="shared" si="11"/>
        <v>OK</v>
      </c>
      <c r="T60" t="str">
        <f t="shared" si="12"/>
        <v>OK</v>
      </c>
      <c r="U60" t="str">
        <f t="shared" si="13"/>
        <v>OK</v>
      </c>
      <c r="V60" t="str">
        <f t="shared" si="14"/>
        <v>OK</v>
      </c>
      <c r="W60">
        <f>IF(Q60="","",SUMIF(ProductionConfiguration!$B$5:$B$914,Q60,ProductionConfiguration!$S$5:$S$914))</f>
        <v>24</v>
      </c>
      <c r="X60" t="str">
        <f t="shared" si="15"/>
        <v>OK</v>
      </c>
      <c r="Y60" t="str">
        <f t="shared" si="16"/>
        <v>OK</v>
      </c>
      <c r="Z60" t="str">
        <f t="shared" si="17"/>
        <v>OK</v>
      </c>
    </row>
    <row r="61" spans="1:26" ht="18" customHeight="1">
      <c r="A61" s="10" t="s">
        <v>30</v>
      </c>
      <c r="B61" s="11">
        <v>45950</v>
      </c>
      <c r="C61" s="10" t="s">
        <v>31</v>
      </c>
      <c r="D61" s="10" t="s">
        <v>41</v>
      </c>
      <c r="E61" s="12">
        <v>25</v>
      </c>
      <c r="F61" s="10" t="s">
        <v>62</v>
      </c>
      <c r="G61" s="10" t="s">
        <v>78</v>
      </c>
      <c r="H61" s="12">
        <v>8</v>
      </c>
      <c r="I61" s="12">
        <v>2</v>
      </c>
      <c r="J61" s="12">
        <v>10</v>
      </c>
      <c r="K61" s="13">
        <v>9600</v>
      </c>
      <c r="L61" s="14">
        <v>11.77</v>
      </c>
      <c r="M61" s="13">
        <v>112992</v>
      </c>
      <c r="N61" s="13">
        <v>109631</v>
      </c>
      <c r="O61" s="13">
        <v>612</v>
      </c>
      <c r="P61" s="13">
        <v>2749</v>
      </c>
      <c r="Q61" t="str">
        <f t="shared" si="9"/>
        <v>PE-KG01-L25-20251020-AM-ORD-2025-00161</v>
      </c>
      <c r="R61">
        <f t="shared" si="10"/>
        <v>16</v>
      </c>
      <c r="S61" t="str">
        <f t="shared" si="11"/>
        <v>OK</v>
      </c>
      <c r="T61" t="str">
        <f t="shared" si="12"/>
        <v>OK</v>
      </c>
      <c r="U61" t="str">
        <f t="shared" si="13"/>
        <v>OK</v>
      </c>
      <c r="V61" t="str">
        <f t="shared" si="14"/>
        <v>OK</v>
      </c>
      <c r="W61">
        <f>IF(Q61="","",SUMIF(ProductionConfiguration!$B$5:$B$914,Q61,ProductionConfiguration!$S$5:$S$914))</f>
        <v>16</v>
      </c>
      <c r="X61" t="str">
        <f t="shared" si="15"/>
        <v>OK</v>
      </c>
      <c r="Y61" t="str">
        <f t="shared" si="16"/>
        <v>OK</v>
      </c>
      <c r="Z61" t="str">
        <f t="shared" si="17"/>
        <v>OK</v>
      </c>
    </row>
    <row r="62" spans="1:26" ht="18" customHeight="1">
      <c r="A62" s="10" t="s">
        <v>30</v>
      </c>
      <c r="B62" s="11">
        <v>45950</v>
      </c>
      <c r="C62" s="10" t="s">
        <v>79</v>
      </c>
      <c r="D62" s="10" t="s">
        <v>32</v>
      </c>
      <c r="E62" s="12">
        <v>25</v>
      </c>
      <c r="F62" s="10" t="s">
        <v>62</v>
      </c>
      <c r="G62" s="10" t="s">
        <v>78</v>
      </c>
      <c r="H62" s="12">
        <v>8</v>
      </c>
      <c r="I62" s="12">
        <v>2</v>
      </c>
      <c r="J62" s="12">
        <v>10</v>
      </c>
      <c r="K62" s="13">
        <v>9600</v>
      </c>
      <c r="L62" s="14">
        <v>11.59</v>
      </c>
      <c r="M62" s="13">
        <v>111264</v>
      </c>
      <c r="N62" s="13">
        <v>104059</v>
      </c>
      <c r="O62" s="13">
        <v>1289</v>
      </c>
      <c r="P62" s="13">
        <v>5916</v>
      </c>
      <c r="Q62" t="str">
        <f t="shared" si="9"/>
        <v>PE-KG01-L25-20251020-PM-ORD-2025-00161</v>
      </c>
      <c r="R62">
        <f t="shared" si="10"/>
        <v>16</v>
      </c>
      <c r="S62" t="str">
        <f t="shared" si="11"/>
        <v>OK</v>
      </c>
      <c r="T62" t="str">
        <f t="shared" si="12"/>
        <v>OK</v>
      </c>
      <c r="U62" t="str">
        <f t="shared" si="13"/>
        <v>OK</v>
      </c>
      <c r="V62" t="str">
        <f t="shared" si="14"/>
        <v>OK</v>
      </c>
      <c r="W62">
        <f>IF(Q62="","",SUMIF(ProductionConfiguration!$B$5:$B$914,Q62,ProductionConfiguration!$S$5:$S$914))</f>
        <v>16</v>
      </c>
      <c r="X62" t="str">
        <f t="shared" si="15"/>
        <v>OK</v>
      </c>
      <c r="Y62" t="str">
        <f t="shared" si="16"/>
        <v>OK</v>
      </c>
      <c r="Z62" t="str">
        <f t="shared" si="17"/>
        <v>OK</v>
      </c>
    </row>
    <row r="63" spans="1:26" ht="18" customHeight="1">
      <c r="A63" s="10" t="s">
        <v>30</v>
      </c>
      <c r="B63" s="11">
        <v>45951</v>
      </c>
      <c r="C63" s="10" t="s">
        <v>31</v>
      </c>
      <c r="D63" s="10" t="s">
        <v>32</v>
      </c>
      <c r="E63" s="12">
        <v>25</v>
      </c>
      <c r="F63" s="10" t="s">
        <v>62</v>
      </c>
      <c r="G63" s="10" t="s">
        <v>78</v>
      </c>
      <c r="H63" s="12">
        <v>8</v>
      </c>
      <c r="I63" s="12">
        <v>2</v>
      </c>
      <c r="J63" s="12">
        <v>9</v>
      </c>
      <c r="K63" s="13">
        <v>8640</v>
      </c>
      <c r="L63" s="14">
        <v>11.85</v>
      </c>
      <c r="M63" s="13">
        <v>102384</v>
      </c>
      <c r="N63" s="13">
        <v>95758</v>
      </c>
      <c r="O63" s="13">
        <v>1358</v>
      </c>
      <c r="P63" s="13">
        <v>5268</v>
      </c>
      <c r="Q63" t="str">
        <f t="shared" si="9"/>
        <v>PE-KG01-L25-20251021-AM-ORD-2025-00161</v>
      </c>
      <c r="R63">
        <f t="shared" si="10"/>
        <v>16</v>
      </c>
      <c r="S63" t="str">
        <f t="shared" si="11"/>
        <v>OK</v>
      </c>
      <c r="T63" t="str">
        <f t="shared" si="12"/>
        <v>OK</v>
      </c>
      <c r="U63" t="str">
        <f t="shared" si="13"/>
        <v>OK</v>
      </c>
      <c r="V63" t="str">
        <f t="shared" si="14"/>
        <v>OK</v>
      </c>
      <c r="W63">
        <f>IF(Q63="","",SUMIF(ProductionConfiguration!$B$5:$B$914,Q63,ProductionConfiguration!$S$5:$S$914))</f>
        <v>16</v>
      </c>
      <c r="X63" t="str">
        <f t="shared" si="15"/>
        <v>OK</v>
      </c>
      <c r="Y63" t="str">
        <f t="shared" si="16"/>
        <v>OK</v>
      </c>
      <c r="Z63" t="str">
        <f t="shared" si="17"/>
        <v>OK</v>
      </c>
    </row>
    <row r="64" spans="1:26" ht="18" customHeight="1">
      <c r="A64" s="10" t="s">
        <v>30</v>
      </c>
      <c r="B64" s="11">
        <v>45951</v>
      </c>
      <c r="C64" s="10" t="s">
        <v>79</v>
      </c>
      <c r="D64" s="10" t="s">
        <v>37</v>
      </c>
      <c r="E64" s="12">
        <v>25</v>
      </c>
      <c r="F64" s="10" t="s">
        <v>62</v>
      </c>
      <c r="G64" s="10" t="s">
        <v>78</v>
      </c>
      <c r="H64" s="12">
        <v>8</v>
      </c>
      <c r="I64" s="12">
        <v>2</v>
      </c>
      <c r="J64" s="12">
        <v>9</v>
      </c>
      <c r="K64" s="13">
        <v>8640</v>
      </c>
      <c r="L64" s="14">
        <v>11.78</v>
      </c>
      <c r="M64" s="13">
        <v>101779</v>
      </c>
      <c r="N64" s="13">
        <v>95783</v>
      </c>
      <c r="O64" s="13">
        <v>204</v>
      </c>
      <c r="P64" s="13">
        <v>5792</v>
      </c>
      <c r="Q64" t="str">
        <f t="shared" si="9"/>
        <v>PE-KG01-L25-20251021-PM-ORD-2025-00161</v>
      </c>
      <c r="R64">
        <f t="shared" si="10"/>
        <v>16</v>
      </c>
      <c r="S64" t="str">
        <f t="shared" si="11"/>
        <v>OK</v>
      </c>
      <c r="T64" t="str">
        <f t="shared" si="12"/>
        <v>OK</v>
      </c>
      <c r="U64" t="str">
        <f t="shared" si="13"/>
        <v>OK</v>
      </c>
      <c r="V64" t="str">
        <f t="shared" si="14"/>
        <v>OK</v>
      </c>
      <c r="W64">
        <f>IF(Q64="","",SUMIF(ProductionConfiguration!$B$5:$B$914,Q64,ProductionConfiguration!$S$5:$S$914))</f>
        <v>16</v>
      </c>
      <c r="X64" t="str">
        <f t="shared" si="15"/>
        <v>OK</v>
      </c>
      <c r="Y64" t="str">
        <f t="shared" si="16"/>
        <v>OK</v>
      </c>
      <c r="Z64" t="str">
        <f t="shared" si="17"/>
        <v>OK</v>
      </c>
    </row>
    <row r="65" spans="1:26" ht="18" customHeight="1">
      <c r="A65" s="10" t="s">
        <v>30</v>
      </c>
      <c r="B65" s="11">
        <v>45952</v>
      </c>
      <c r="C65" s="10" t="s">
        <v>31</v>
      </c>
      <c r="D65" s="10" t="s">
        <v>37</v>
      </c>
      <c r="E65" s="12">
        <v>25</v>
      </c>
      <c r="F65" s="10" t="s">
        <v>62</v>
      </c>
      <c r="G65" s="10" t="s">
        <v>78</v>
      </c>
      <c r="H65" s="12">
        <v>8</v>
      </c>
      <c r="I65" s="12">
        <v>2</v>
      </c>
      <c r="J65" s="12">
        <v>9</v>
      </c>
      <c r="K65" s="13">
        <v>8640</v>
      </c>
      <c r="L65" s="14">
        <v>11.48</v>
      </c>
      <c r="M65" s="13">
        <v>99187</v>
      </c>
      <c r="N65" s="13">
        <v>93893</v>
      </c>
      <c r="O65" s="13">
        <v>1024</v>
      </c>
      <c r="P65" s="13">
        <v>4270</v>
      </c>
      <c r="Q65" t="str">
        <f t="shared" si="9"/>
        <v>PE-KG01-L25-20251022-AM-ORD-2025-00161</v>
      </c>
      <c r="R65">
        <f t="shared" si="10"/>
        <v>16</v>
      </c>
      <c r="S65" t="str">
        <f t="shared" si="11"/>
        <v>OK</v>
      </c>
      <c r="T65" t="str">
        <f t="shared" si="12"/>
        <v>OK</v>
      </c>
      <c r="U65" t="str">
        <f t="shared" si="13"/>
        <v>OK</v>
      </c>
      <c r="V65" t="str">
        <f t="shared" si="14"/>
        <v>OK</v>
      </c>
      <c r="W65">
        <f>IF(Q65="","",SUMIF(ProductionConfiguration!$B$5:$B$914,Q65,ProductionConfiguration!$S$5:$S$914))</f>
        <v>16</v>
      </c>
      <c r="X65" t="str">
        <f t="shared" si="15"/>
        <v>OK</v>
      </c>
      <c r="Y65" t="str">
        <f t="shared" si="16"/>
        <v>OK</v>
      </c>
      <c r="Z65" t="str">
        <f t="shared" si="17"/>
        <v>OK</v>
      </c>
    </row>
    <row r="66" spans="1:26" ht="18" customHeight="1">
      <c r="A66" s="10" t="s">
        <v>30</v>
      </c>
      <c r="B66" s="11">
        <v>45952</v>
      </c>
      <c r="C66" s="10" t="s">
        <v>79</v>
      </c>
      <c r="D66" s="10" t="s">
        <v>41</v>
      </c>
      <c r="E66" s="12">
        <v>25</v>
      </c>
      <c r="F66" s="10" t="s">
        <v>62</v>
      </c>
      <c r="G66" s="10" t="s">
        <v>78</v>
      </c>
      <c r="H66" s="12">
        <v>8</v>
      </c>
      <c r="I66" s="12">
        <v>2</v>
      </c>
      <c r="J66" s="12">
        <v>9</v>
      </c>
      <c r="K66" s="13">
        <v>8640</v>
      </c>
      <c r="L66" s="14">
        <v>11.52</v>
      </c>
      <c r="M66" s="13">
        <v>99533</v>
      </c>
      <c r="N66" s="13">
        <v>92090</v>
      </c>
      <c r="O66" s="13">
        <v>1260</v>
      </c>
      <c r="P66" s="13">
        <v>6183</v>
      </c>
      <c r="Q66" t="str">
        <f t="shared" si="9"/>
        <v>PE-KG01-L25-20251022-PM-ORD-2025-00161</v>
      </c>
      <c r="R66">
        <f t="shared" si="10"/>
        <v>16</v>
      </c>
      <c r="S66" t="str">
        <f t="shared" si="11"/>
        <v>OK</v>
      </c>
      <c r="T66" t="str">
        <f t="shared" si="12"/>
        <v>OK</v>
      </c>
      <c r="U66" t="str">
        <f t="shared" si="13"/>
        <v>OK</v>
      </c>
      <c r="V66" t="str">
        <f t="shared" si="14"/>
        <v>OK</v>
      </c>
      <c r="W66">
        <f>IF(Q66="","",SUMIF(ProductionConfiguration!$B$5:$B$914,Q66,ProductionConfiguration!$S$5:$S$914))</f>
        <v>16</v>
      </c>
      <c r="X66" t="str">
        <f t="shared" si="15"/>
        <v>OK</v>
      </c>
      <c r="Y66" t="str">
        <f t="shared" si="16"/>
        <v>OK</v>
      </c>
      <c r="Z66" t="str">
        <f t="shared" si="17"/>
        <v>OK</v>
      </c>
    </row>
    <row r="67" spans="1:26" ht="18" customHeight="1">
      <c r="A67" s="10" t="s">
        <v>30</v>
      </c>
      <c r="B67" s="11">
        <v>45953</v>
      </c>
      <c r="C67" s="10" t="s">
        <v>31</v>
      </c>
      <c r="D67" s="10" t="s">
        <v>41</v>
      </c>
      <c r="E67" s="12">
        <v>25</v>
      </c>
      <c r="F67" s="10" t="s">
        <v>63</v>
      </c>
      <c r="G67" s="10" t="s">
        <v>78</v>
      </c>
      <c r="H67" s="12">
        <v>8</v>
      </c>
      <c r="I67" s="12">
        <v>3</v>
      </c>
      <c r="J67" s="12">
        <v>12</v>
      </c>
      <c r="K67" s="13">
        <v>17280</v>
      </c>
      <c r="L67" s="14">
        <v>7.46</v>
      </c>
      <c r="M67" s="13">
        <v>128909</v>
      </c>
      <c r="N67" s="13">
        <v>121585</v>
      </c>
      <c r="O67" s="13">
        <v>711</v>
      </c>
      <c r="P67" s="13">
        <v>6613</v>
      </c>
      <c r="Q67" t="str">
        <f t="shared" si="9"/>
        <v>PE-KG01-L25-20251023-AM-ORD-2025-00162</v>
      </c>
      <c r="R67">
        <f t="shared" si="10"/>
        <v>24</v>
      </c>
      <c r="S67" t="str">
        <f t="shared" si="11"/>
        <v>OK</v>
      </c>
      <c r="T67" t="str">
        <f t="shared" si="12"/>
        <v>OK</v>
      </c>
      <c r="U67" t="str">
        <f t="shared" si="13"/>
        <v>OK</v>
      </c>
      <c r="V67" t="str">
        <f t="shared" si="14"/>
        <v>OK</v>
      </c>
      <c r="W67">
        <f>IF(Q67="","",SUMIF(ProductionConfiguration!$B$5:$B$914,Q67,ProductionConfiguration!$S$5:$S$914))</f>
        <v>24</v>
      </c>
      <c r="X67" t="str">
        <f t="shared" si="15"/>
        <v>OK</v>
      </c>
      <c r="Y67" t="str">
        <f t="shared" si="16"/>
        <v>OK</v>
      </c>
      <c r="Z67" t="str">
        <f t="shared" si="17"/>
        <v>OK</v>
      </c>
    </row>
    <row r="68" spans="1:26" ht="18" customHeight="1">
      <c r="A68" s="10" t="s">
        <v>30</v>
      </c>
      <c r="B68" s="11">
        <v>45953</v>
      </c>
      <c r="C68" s="10" t="s">
        <v>79</v>
      </c>
      <c r="D68" s="10" t="s">
        <v>32</v>
      </c>
      <c r="E68" s="12">
        <v>25</v>
      </c>
      <c r="F68" s="10" t="s">
        <v>63</v>
      </c>
      <c r="G68" s="10" t="s">
        <v>78</v>
      </c>
      <c r="H68" s="12">
        <v>8</v>
      </c>
      <c r="I68" s="12">
        <v>3</v>
      </c>
      <c r="J68" s="12">
        <v>12</v>
      </c>
      <c r="K68" s="13">
        <v>17280</v>
      </c>
      <c r="L68" s="14">
        <v>11.49</v>
      </c>
      <c r="M68" s="13">
        <v>198547</v>
      </c>
      <c r="N68" s="13">
        <v>182198</v>
      </c>
      <c r="O68" s="13">
        <v>3631</v>
      </c>
      <c r="P68" s="13">
        <v>12718</v>
      </c>
      <c r="Q68" t="str">
        <f t="shared" si="9"/>
        <v>PE-KG01-L25-20251023-PM-ORD-2025-00162</v>
      </c>
      <c r="R68">
        <f t="shared" si="10"/>
        <v>24</v>
      </c>
      <c r="S68" t="str">
        <f t="shared" si="11"/>
        <v>OK</v>
      </c>
      <c r="T68" t="str">
        <f t="shared" si="12"/>
        <v>OK</v>
      </c>
      <c r="U68" t="str">
        <f t="shared" si="13"/>
        <v>OK</v>
      </c>
      <c r="V68" t="str">
        <f t="shared" si="14"/>
        <v>OK</v>
      </c>
      <c r="W68">
        <f>IF(Q68="","",SUMIF(ProductionConfiguration!$B$5:$B$914,Q68,ProductionConfiguration!$S$5:$S$914))</f>
        <v>24</v>
      </c>
      <c r="X68" t="str">
        <f t="shared" si="15"/>
        <v>OK</v>
      </c>
      <c r="Y68" t="str">
        <f t="shared" si="16"/>
        <v>OK</v>
      </c>
      <c r="Z68" t="str">
        <f t="shared" si="17"/>
        <v>OK</v>
      </c>
    </row>
    <row r="69" spans="1:26" ht="18" customHeight="1">
      <c r="A69" s="10" t="s">
        <v>30</v>
      </c>
      <c r="B69" s="11">
        <v>45954</v>
      </c>
      <c r="C69" s="10" t="s">
        <v>31</v>
      </c>
      <c r="D69" s="10" t="s">
        <v>32</v>
      </c>
      <c r="E69" s="12">
        <v>25</v>
      </c>
      <c r="F69" s="10" t="s">
        <v>63</v>
      </c>
      <c r="G69" s="10" t="s">
        <v>78</v>
      </c>
      <c r="H69" s="12">
        <v>8</v>
      </c>
      <c r="I69" s="12">
        <v>3</v>
      </c>
      <c r="J69" s="12">
        <v>11</v>
      </c>
      <c r="K69" s="13">
        <v>15840</v>
      </c>
      <c r="L69" s="14">
        <v>11.63</v>
      </c>
      <c r="M69" s="13">
        <v>184219</v>
      </c>
      <c r="N69" s="13">
        <v>172194</v>
      </c>
      <c r="O69" s="13">
        <v>1886</v>
      </c>
      <c r="P69" s="13">
        <v>10139</v>
      </c>
      <c r="Q69" t="str">
        <f t="shared" ref="Q69:Q100" si="18">IF(A69="","", "PE-"&amp;A69&amp;"-L"&amp;TEXT(E69,"00")&amp;"-"&amp;TEXT(B69,"yyyymmdd")&amp;"-"&amp;C69&amp;"-"&amp;F69)</f>
        <v>PE-KG01-L25-20251024-AM-ORD-2025-00162</v>
      </c>
      <c r="R69">
        <f t="shared" ref="R69:R100" si="19">IF(A69="","",H69*I69)</f>
        <v>24</v>
      </c>
      <c r="S69" t="str">
        <f t="shared" ref="S69:S100" si="20">IF(A69="","",IF(AND(H69&gt;=1,H69&lt;=13,I69&gt;=1,I69&lt;=3),"OK","CHECK"))</f>
        <v>OK</v>
      </c>
      <c r="T69" t="str">
        <f t="shared" ref="T69:T100" si="21">IF(A69="","",IF(ABS(K69-(J69*H69*I69*60))&lt;=0.5,"OK","CHECK"))</f>
        <v>OK</v>
      </c>
      <c r="U69" t="str">
        <f t="shared" ref="U69:U100" si="22">IF(A69="","",IF(ABS(M69-(K69*L69))&lt;=1,"OK","CHECK"))</f>
        <v>OK</v>
      </c>
      <c r="V69" t="str">
        <f t="shared" ref="V69:V100" si="23">IF(A69="","",IF(ABS(M69-N69-O69-P69)&lt;=1,"OK","CHECK"))</f>
        <v>OK</v>
      </c>
      <c r="W69">
        <f>IF(Q69="","",SUMIF(ProductionConfiguration!$B$5:$B$914,Q69,ProductionConfiguration!$S$5:$S$914))</f>
        <v>24</v>
      </c>
      <c r="X69" t="str">
        <f t="shared" ref="X69:X100" si="24">IF(A69="","",IF(R69=W69,"OK","CHECK"))</f>
        <v>OK</v>
      </c>
      <c r="Y69" t="str">
        <f t="shared" ref="Y69:Y100" si="25">IF(Q69="","",IF(COUNTIF($Q$5:$Q$100,Q69)=1,"OK","CHECK"))</f>
        <v>OK</v>
      </c>
      <c r="Z69" t="str">
        <f t="shared" ref="Z69:Z100" si="26">IF(A69="","",IF(AND(S69="OK",T69="OK",U69="OK",V69="OK",X69="OK",Y69="OK"),"OK","CHECK"))</f>
        <v>OK</v>
      </c>
    </row>
    <row r="70" spans="1:26" ht="18" customHeight="1">
      <c r="A70" s="10" t="s">
        <v>30</v>
      </c>
      <c r="B70" s="11">
        <v>45954</v>
      </c>
      <c r="C70" s="10" t="s">
        <v>79</v>
      </c>
      <c r="D70" s="10" t="s">
        <v>37</v>
      </c>
      <c r="E70" s="12">
        <v>25</v>
      </c>
      <c r="F70" s="10" t="s">
        <v>63</v>
      </c>
      <c r="G70" s="10" t="s">
        <v>78</v>
      </c>
      <c r="H70" s="12">
        <v>8</v>
      </c>
      <c r="I70" s="12">
        <v>3</v>
      </c>
      <c r="J70" s="12">
        <v>11</v>
      </c>
      <c r="K70" s="13">
        <v>15840</v>
      </c>
      <c r="L70" s="14">
        <v>11.59</v>
      </c>
      <c r="M70" s="13">
        <v>183586</v>
      </c>
      <c r="N70" s="13">
        <v>171431</v>
      </c>
      <c r="O70" s="13">
        <v>813</v>
      </c>
      <c r="P70" s="13">
        <v>11342</v>
      </c>
      <c r="Q70" t="str">
        <f t="shared" si="18"/>
        <v>PE-KG01-L25-20251024-PM-ORD-2025-00162</v>
      </c>
      <c r="R70">
        <f t="shared" si="19"/>
        <v>24</v>
      </c>
      <c r="S70" t="str">
        <f t="shared" si="20"/>
        <v>OK</v>
      </c>
      <c r="T70" t="str">
        <f t="shared" si="21"/>
        <v>OK</v>
      </c>
      <c r="U70" t="str">
        <f t="shared" si="22"/>
        <v>OK</v>
      </c>
      <c r="V70" t="str">
        <f t="shared" si="23"/>
        <v>OK</v>
      </c>
      <c r="W70">
        <f>IF(Q70="","",SUMIF(ProductionConfiguration!$B$5:$B$914,Q70,ProductionConfiguration!$S$5:$S$914))</f>
        <v>24</v>
      </c>
      <c r="X70" t="str">
        <f t="shared" si="24"/>
        <v>OK</v>
      </c>
      <c r="Y70" t="str">
        <f t="shared" si="25"/>
        <v>OK</v>
      </c>
      <c r="Z70" t="str">
        <f t="shared" si="26"/>
        <v>OK</v>
      </c>
    </row>
    <row r="71" spans="1:26" ht="18" customHeight="1">
      <c r="A71" s="10" t="s">
        <v>30</v>
      </c>
      <c r="B71" s="11">
        <v>45955</v>
      </c>
      <c r="C71" s="10" t="s">
        <v>31</v>
      </c>
      <c r="D71" s="10" t="s">
        <v>37</v>
      </c>
      <c r="E71" s="12">
        <v>25</v>
      </c>
      <c r="F71" s="10" t="s">
        <v>63</v>
      </c>
      <c r="G71" s="10" t="s">
        <v>78</v>
      </c>
      <c r="H71" s="12">
        <v>8</v>
      </c>
      <c r="I71" s="12">
        <v>3</v>
      </c>
      <c r="J71" s="12">
        <v>11</v>
      </c>
      <c r="K71" s="13">
        <v>15840</v>
      </c>
      <c r="L71" s="14">
        <v>11.54</v>
      </c>
      <c r="M71" s="13">
        <v>182794</v>
      </c>
      <c r="N71" s="13">
        <v>172785</v>
      </c>
      <c r="O71" s="13">
        <v>679</v>
      </c>
      <c r="P71" s="13">
        <v>9330</v>
      </c>
      <c r="Q71" t="str">
        <f t="shared" si="18"/>
        <v>PE-KG01-L25-20251025-AM-ORD-2025-00162</v>
      </c>
      <c r="R71">
        <f t="shared" si="19"/>
        <v>24</v>
      </c>
      <c r="S71" t="str">
        <f t="shared" si="20"/>
        <v>OK</v>
      </c>
      <c r="T71" t="str">
        <f t="shared" si="21"/>
        <v>OK</v>
      </c>
      <c r="U71" t="str">
        <f t="shared" si="22"/>
        <v>OK</v>
      </c>
      <c r="V71" t="str">
        <f t="shared" si="23"/>
        <v>OK</v>
      </c>
      <c r="W71">
        <f>IF(Q71="","",SUMIF(ProductionConfiguration!$B$5:$B$914,Q71,ProductionConfiguration!$S$5:$S$914))</f>
        <v>24</v>
      </c>
      <c r="X71" t="str">
        <f t="shared" si="24"/>
        <v>OK</v>
      </c>
      <c r="Y71" t="str">
        <f t="shared" si="25"/>
        <v>OK</v>
      </c>
      <c r="Z71" t="str">
        <f t="shared" si="26"/>
        <v>OK</v>
      </c>
    </row>
    <row r="72" spans="1:26" ht="18" customHeight="1">
      <c r="A72" s="10" t="s">
        <v>30</v>
      </c>
      <c r="B72" s="11">
        <v>45955</v>
      </c>
      <c r="C72" s="10" t="s">
        <v>79</v>
      </c>
      <c r="D72" s="10" t="s">
        <v>41</v>
      </c>
      <c r="E72" s="12">
        <v>25</v>
      </c>
      <c r="F72" s="10" t="s">
        <v>63</v>
      </c>
      <c r="G72" s="10" t="s">
        <v>78</v>
      </c>
      <c r="H72" s="12">
        <v>8</v>
      </c>
      <c r="I72" s="12">
        <v>3</v>
      </c>
      <c r="J72" s="12">
        <v>12</v>
      </c>
      <c r="K72" s="13">
        <v>17280</v>
      </c>
      <c r="L72" s="14">
        <v>11.73</v>
      </c>
      <c r="M72" s="13">
        <v>202694</v>
      </c>
      <c r="N72" s="13">
        <v>195769</v>
      </c>
      <c r="O72" s="13">
        <v>922</v>
      </c>
      <c r="P72" s="13">
        <v>6003</v>
      </c>
      <c r="Q72" t="str">
        <f t="shared" si="18"/>
        <v>PE-KG01-L25-20251025-PM-ORD-2025-00162</v>
      </c>
      <c r="R72">
        <f t="shared" si="19"/>
        <v>24</v>
      </c>
      <c r="S72" t="str">
        <f t="shared" si="20"/>
        <v>OK</v>
      </c>
      <c r="T72" t="str">
        <f t="shared" si="21"/>
        <v>OK</v>
      </c>
      <c r="U72" t="str">
        <f t="shared" si="22"/>
        <v>OK</v>
      </c>
      <c r="V72" t="str">
        <f t="shared" si="23"/>
        <v>OK</v>
      </c>
      <c r="W72">
        <f>IF(Q72="","",SUMIF(ProductionConfiguration!$B$5:$B$914,Q72,ProductionConfiguration!$S$5:$S$914))</f>
        <v>24</v>
      </c>
      <c r="X72" t="str">
        <f t="shared" si="24"/>
        <v>OK</v>
      </c>
      <c r="Y72" t="str">
        <f t="shared" si="25"/>
        <v>OK</v>
      </c>
      <c r="Z72" t="str">
        <f t="shared" si="26"/>
        <v>OK</v>
      </c>
    </row>
    <row r="73" spans="1:26" ht="18" customHeight="1">
      <c r="A73" s="10" t="s">
        <v>30</v>
      </c>
      <c r="B73" s="11">
        <v>45956</v>
      </c>
      <c r="C73" s="10" t="s">
        <v>31</v>
      </c>
      <c r="D73" s="10" t="s">
        <v>41</v>
      </c>
      <c r="E73" s="12">
        <v>25</v>
      </c>
      <c r="F73" s="10" t="s">
        <v>63</v>
      </c>
      <c r="G73" s="10" t="s">
        <v>78</v>
      </c>
      <c r="H73" s="12">
        <v>8</v>
      </c>
      <c r="I73" s="12">
        <v>3</v>
      </c>
      <c r="J73" s="12">
        <v>12</v>
      </c>
      <c r="K73" s="13">
        <v>17280</v>
      </c>
      <c r="L73" s="14">
        <v>11.63</v>
      </c>
      <c r="M73" s="13">
        <v>200966</v>
      </c>
      <c r="N73" s="13">
        <v>186889</v>
      </c>
      <c r="O73" s="13">
        <v>1031</v>
      </c>
      <c r="P73" s="13">
        <v>13046</v>
      </c>
      <c r="Q73" t="str">
        <f t="shared" si="18"/>
        <v>PE-KG01-L25-20251026-AM-ORD-2025-00162</v>
      </c>
      <c r="R73">
        <f t="shared" si="19"/>
        <v>24</v>
      </c>
      <c r="S73" t="str">
        <f t="shared" si="20"/>
        <v>OK</v>
      </c>
      <c r="T73" t="str">
        <f t="shared" si="21"/>
        <v>OK</v>
      </c>
      <c r="U73" t="str">
        <f t="shared" si="22"/>
        <v>OK</v>
      </c>
      <c r="V73" t="str">
        <f t="shared" si="23"/>
        <v>OK</v>
      </c>
      <c r="W73">
        <f>IF(Q73="","",SUMIF(ProductionConfiguration!$B$5:$B$914,Q73,ProductionConfiguration!$S$5:$S$914))</f>
        <v>24</v>
      </c>
      <c r="X73" t="str">
        <f t="shared" si="24"/>
        <v>OK</v>
      </c>
      <c r="Y73" t="str">
        <f t="shared" si="25"/>
        <v>OK</v>
      </c>
      <c r="Z73" t="str">
        <f t="shared" si="26"/>
        <v>OK</v>
      </c>
    </row>
    <row r="74" spans="1:26" ht="18" customHeight="1">
      <c r="A74" s="10" t="s">
        <v>30</v>
      </c>
      <c r="B74" s="11">
        <v>45956</v>
      </c>
      <c r="C74" s="10" t="s">
        <v>79</v>
      </c>
      <c r="D74" s="10" t="s">
        <v>32</v>
      </c>
      <c r="E74" s="12">
        <v>25</v>
      </c>
      <c r="F74" s="10" t="s">
        <v>63</v>
      </c>
      <c r="G74" s="10" t="s">
        <v>78</v>
      </c>
      <c r="H74" s="12">
        <v>8</v>
      </c>
      <c r="I74" s="12">
        <v>3</v>
      </c>
      <c r="J74" s="12">
        <v>11</v>
      </c>
      <c r="K74" s="13">
        <v>15840</v>
      </c>
      <c r="L74" s="14">
        <v>11.74</v>
      </c>
      <c r="M74" s="13">
        <v>185962</v>
      </c>
      <c r="N74" s="13">
        <v>176117</v>
      </c>
      <c r="O74" s="13">
        <v>1546</v>
      </c>
      <c r="P74" s="13">
        <v>8299</v>
      </c>
      <c r="Q74" t="str">
        <f t="shared" si="18"/>
        <v>PE-KG01-L25-20251026-PM-ORD-2025-00162</v>
      </c>
      <c r="R74">
        <f t="shared" si="19"/>
        <v>24</v>
      </c>
      <c r="S74" t="str">
        <f t="shared" si="20"/>
        <v>OK</v>
      </c>
      <c r="T74" t="str">
        <f t="shared" si="21"/>
        <v>OK</v>
      </c>
      <c r="U74" t="str">
        <f t="shared" si="22"/>
        <v>OK</v>
      </c>
      <c r="V74" t="str">
        <f t="shared" si="23"/>
        <v>OK</v>
      </c>
      <c r="W74">
        <f>IF(Q74="","",SUMIF(ProductionConfiguration!$B$5:$B$914,Q74,ProductionConfiguration!$S$5:$S$914))</f>
        <v>24</v>
      </c>
      <c r="X74" t="str">
        <f t="shared" si="24"/>
        <v>OK</v>
      </c>
      <c r="Y74" t="str">
        <f t="shared" si="25"/>
        <v>OK</v>
      </c>
      <c r="Z74" t="str">
        <f t="shared" si="26"/>
        <v>OK</v>
      </c>
    </row>
    <row r="75" spans="1:26" ht="18" customHeight="1">
      <c r="Q75" t="str">
        <f t="shared" si="18"/>
        <v/>
      </c>
      <c r="R75" t="str">
        <f t="shared" si="19"/>
        <v/>
      </c>
      <c r="S75" t="str">
        <f t="shared" si="20"/>
        <v/>
      </c>
      <c r="T75" t="str">
        <f t="shared" si="21"/>
        <v/>
      </c>
      <c r="U75" t="str">
        <f t="shared" si="22"/>
        <v/>
      </c>
      <c r="V75" t="str">
        <f t="shared" si="23"/>
        <v/>
      </c>
      <c r="W75" t="str">
        <f>IF(Q75="","",SUMIF(ProductionConfiguration!$B$5:$B$914,Q75,ProductionConfiguration!$S$5:$S$914))</f>
        <v/>
      </c>
      <c r="X75" t="str">
        <f t="shared" si="24"/>
        <v/>
      </c>
      <c r="Y75" t="str">
        <f t="shared" si="25"/>
        <v/>
      </c>
      <c r="Z75" t="str">
        <f t="shared" si="26"/>
        <v/>
      </c>
    </row>
    <row r="76" spans="1:26" ht="18" customHeight="1">
      <c r="Q76" t="str">
        <f t="shared" si="18"/>
        <v/>
      </c>
      <c r="R76" t="str">
        <f t="shared" si="19"/>
        <v/>
      </c>
      <c r="S76" t="str">
        <f t="shared" si="20"/>
        <v/>
      </c>
      <c r="T76" t="str">
        <f t="shared" si="21"/>
        <v/>
      </c>
      <c r="U76" t="str">
        <f t="shared" si="22"/>
        <v/>
      </c>
      <c r="V76" t="str">
        <f t="shared" si="23"/>
        <v/>
      </c>
      <c r="W76" t="str">
        <f>IF(Q76="","",SUMIF(ProductionConfiguration!$B$5:$B$914,Q76,ProductionConfiguration!$S$5:$S$914))</f>
        <v/>
      </c>
      <c r="X76" t="str">
        <f t="shared" si="24"/>
        <v/>
      </c>
      <c r="Y76" t="str">
        <f t="shared" si="25"/>
        <v/>
      </c>
      <c r="Z76" t="str">
        <f t="shared" si="26"/>
        <v/>
      </c>
    </row>
    <row r="77" spans="1:26" ht="18" customHeight="1">
      <c r="Q77" t="str">
        <f t="shared" si="18"/>
        <v/>
      </c>
      <c r="R77" t="str">
        <f t="shared" si="19"/>
        <v/>
      </c>
      <c r="S77" t="str">
        <f t="shared" si="20"/>
        <v/>
      </c>
      <c r="T77" t="str">
        <f t="shared" si="21"/>
        <v/>
      </c>
      <c r="U77" t="str">
        <f t="shared" si="22"/>
        <v/>
      </c>
      <c r="V77" t="str">
        <f t="shared" si="23"/>
        <v/>
      </c>
      <c r="W77" t="str">
        <f>IF(Q77="","",SUMIF(ProductionConfiguration!$B$5:$B$914,Q77,ProductionConfiguration!$S$5:$S$914))</f>
        <v/>
      </c>
      <c r="X77" t="str">
        <f t="shared" si="24"/>
        <v/>
      </c>
      <c r="Y77" t="str">
        <f t="shared" si="25"/>
        <v/>
      </c>
      <c r="Z77" t="str">
        <f t="shared" si="26"/>
        <v/>
      </c>
    </row>
    <row r="78" spans="1:26" ht="18" customHeight="1">
      <c r="Q78" t="str">
        <f t="shared" si="18"/>
        <v/>
      </c>
      <c r="R78" t="str">
        <f t="shared" si="19"/>
        <v/>
      </c>
      <c r="S78" t="str">
        <f t="shared" si="20"/>
        <v/>
      </c>
      <c r="T78" t="str">
        <f t="shared" si="21"/>
        <v/>
      </c>
      <c r="U78" t="str">
        <f t="shared" si="22"/>
        <v/>
      </c>
      <c r="V78" t="str">
        <f t="shared" si="23"/>
        <v/>
      </c>
      <c r="W78" t="str">
        <f>IF(Q78="","",SUMIF(ProductionConfiguration!$B$5:$B$914,Q78,ProductionConfiguration!$S$5:$S$914))</f>
        <v/>
      </c>
      <c r="X78" t="str">
        <f t="shared" si="24"/>
        <v/>
      </c>
      <c r="Y78" t="str">
        <f t="shared" si="25"/>
        <v/>
      </c>
      <c r="Z78" t="str">
        <f t="shared" si="26"/>
        <v/>
      </c>
    </row>
    <row r="79" spans="1:26" ht="18" customHeight="1">
      <c r="Q79" t="str">
        <f t="shared" si="18"/>
        <v/>
      </c>
      <c r="R79" t="str">
        <f t="shared" si="19"/>
        <v/>
      </c>
      <c r="S79" t="str">
        <f t="shared" si="20"/>
        <v/>
      </c>
      <c r="T79" t="str">
        <f t="shared" si="21"/>
        <v/>
      </c>
      <c r="U79" t="str">
        <f t="shared" si="22"/>
        <v/>
      </c>
      <c r="V79" t="str">
        <f t="shared" si="23"/>
        <v/>
      </c>
      <c r="W79" t="str">
        <f>IF(Q79="","",SUMIF(ProductionConfiguration!$B$5:$B$914,Q79,ProductionConfiguration!$S$5:$S$914))</f>
        <v/>
      </c>
      <c r="X79" t="str">
        <f t="shared" si="24"/>
        <v/>
      </c>
      <c r="Y79" t="str">
        <f t="shared" si="25"/>
        <v/>
      </c>
      <c r="Z79" t="str">
        <f t="shared" si="26"/>
        <v/>
      </c>
    </row>
    <row r="80" spans="1:26" ht="18" customHeight="1">
      <c r="Q80" t="str">
        <f t="shared" si="18"/>
        <v/>
      </c>
      <c r="R80" t="str">
        <f t="shared" si="19"/>
        <v/>
      </c>
      <c r="S80" t="str">
        <f t="shared" si="20"/>
        <v/>
      </c>
      <c r="T80" t="str">
        <f t="shared" si="21"/>
        <v/>
      </c>
      <c r="U80" t="str">
        <f t="shared" si="22"/>
        <v/>
      </c>
      <c r="V80" t="str">
        <f t="shared" si="23"/>
        <v/>
      </c>
      <c r="W80" t="str">
        <f>IF(Q80="","",SUMIF(ProductionConfiguration!$B$5:$B$914,Q80,ProductionConfiguration!$S$5:$S$914))</f>
        <v/>
      </c>
      <c r="X80" t="str">
        <f t="shared" si="24"/>
        <v/>
      </c>
      <c r="Y80" t="str">
        <f t="shared" si="25"/>
        <v/>
      </c>
      <c r="Z80" t="str">
        <f t="shared" si="26"/>
        <v/>
      </c>
    </row>
    <row r="81" spans="17:26" ht="18" customHeight="1">
      <c r="Q81" t="str">
        <f t="shared" si="18"/>
        <v/>
      </c>
      <c r="R81" t="str">
        <f t="shared" si="19"/>
        <v/>
      </c>
      <c r="S81" t="str">
        <f t="shared" si="20"/>
        <v/>
      </c>
      <c r="T81" t="str">
        <f t="shared" si="21"/>
        <v/>
      </c>
      <c r="U81" t="str">
        <f t="shared" si="22"/>
        <v/>
      </c>
      <c r="V81" t="str">
        <f t="shared" si="23"/>
        <v/>
      </c>
      <c r="W81" t="str">
        <f>IF(Q81="","",SUMIF(ProductionConfiguration!$B$5:$B$914,Q81,ProductionConfiguration!$S$5:$S$914))</f>
        <v/>
      </c>
      <c r="X81" t="str">
        <f t="shared" si="24"/>
        <v/>
      </c>
      <c r="Y81" t="str">
        <f t="shared" si="25"/>
        <v/>
      </c>
      <c r="Z81" t="str">
        <f t="shared" si="26"/>
        <v/>
      </c>
    </row>
    <row r="82" spans="17:26" ht="18" customHeight="1">
      <c r="Q82" t="str">
        <f t="shared" si="18"/>
        <v/>
      </c>
      <c r="R82" t="str">
        <f t="shared" si="19"/>
        <v/>
      </c>
      <c r="S82" t="str">
        <f t="shared" si="20"/>
        <v/>
      </c>
      <c r="T82" t="str">
        <f t="shared" si="21"/>
        <v/>
      </c>
      <c r="U82" t="str">
        <f t="shared" si="22"/>
        <v/>
      </c>
      <c r="V82" t="str">
        <f t="shared" si="23"/>
        <v/>
      </c>
      <c r="W82" t="str">
        <f>IF(Q82="","",SUMIF(ProductionConfiguration!$B$5:$B$914,Q82,ProductionConfiguration!$S$5:$S$914))</f>
        <v/>
      </c>
      <c r="X82" t="str">
        <f t="shared" si="24"/>
        <v/>
      </c>
      <c r="Y82" t="str">
        <f t="shared" si="25"/>
        <v/>
      </c>
      <c r="Z82" t="str">
        <f t="shared" si="26"/>
        <v/>
      </c>
    </row>
    <row r="83" spans="17:26" ht="18" customHeight="1">
      <c r="Q83" t="str">
        <f t="shared" si="18"/>
        <v/>
      </c>
      <c r="R83" t="str">
        <f t="shared" si="19"/>
        <v/>
      </c>
      <c r="S83" t="str">
        <f t="shared" si="20"/>
        <v/>
      </c>
      <c r="T83" t="str">
        <f t="shared" si="21"/>
        <v/>
      </c>
      <c r="U83" t="str">
        <f t="shared" si="22"/>
        <v/>
      </c>
      <c r="V83" t="str">
        <f t="shared" si="23"/>
        <v/>
      </c>
      <c r="W83" t="str">
        <f>IF(Q83="","",SUMIF(ProductionConfiguration!$B$5:$B$914,Q83,ProductionConfiguration!$S$5:$S$914))</f>
        <v/>
      </c>
      <c r="X83" t="str">
        <f t="shared" si="24"/>
        <v/>
      </c>
      <c r="Y83" t="str">
        <f t="shared" si="25"/>
        <v/>
      </c>
      <c r="Z83" t="str">
        <f t="shared" si="26"/>
        <v/>
      </c>
    </row>
    <row r="84" spans="17:26" ht="18" customHeight="1">
      <c r="Q84" t="str">
        <f t="shared" si="18"/>
        <v/>
      </c>
      <c r="R84" t="str">
        <f t="shared" si="19"/>
        <v/>
      </c>
      <c r="S84" t="str">
        <f t="shared" si="20"/>
        <v/>
      </c>
      <c r="T84" t="str">
        <f t="shared" si="21"/>
        <v/>
      </c>
      <c r="U84" t="str">
        <f t="shared" si="22"/>
        <v/>
      </c>
      <c r="V84" t="str">
        <f t="shared" si="23"/>
        <v/>
      </c>
      <c r="W84" t="str">
        <f>IF(Q84="","",SUMIF(ProductionConfiguration!$B$5:$B$914,Q84,ProductionConfiguration!$S$5:$S$914))</f>
        <v/>
      </c>
      <c r="X84" t="str">
        <f t="shared" si="24"/>
        <v/>
      </c>
      <c r="Y84" t="str">
        <f t="shared" si="25"/>
        <v/>
      </c>
      <c r="Z84" t="str">
        <f t="shared" si="26"/>
        <v/>
      </c>
    </row>
    <row r="85" spans="17:26" ht="18" customHeight="1">
      <c r="Q85" t="str">
        <f t="shared" si="18"/>
        <v/>
      </c>
      <c r="R85" t="str">
        <f t="shared" si="19"/>
        <v/>
      </c>
      <c r="S85" t="str">
        <f t="shared" si="20"/>
        <v/>
      </c>
      <c r="T85" t="str">
        <f t="shared" si="21"/>
        <v/>
      </c>
      <c r="U85" t="str">
        <f t="shared" si="22"/>
        <v/>
      </c>
      <c r="V85" t="str">
        <f t="shared" si="23"/>
        <v/>
      </c>
      <c r="W85" t="str">
        <f>IF(Q85="","",SUMIF(ProductionConfiguration!$B$5:$B$914,Q85,ProductionConfiguration!$S$5:$S$914))</f>
        <v/>
      </c>
      <c r="X85" t="str">
        <f t="shared" si="24"/>
        <v/>
      </c>
      <c r="Y85" t="str">
        <f t="shared" si="25"/>
        <v/>
      </c>
      <c r="Z85" t="str">
        <f t="shared" si="26"/>
        <v/>
      </c>
    </row>
    <row r="86" spans="17:26" ht="18" customHeight="1">
      <c r="Q86" t="str">
        <f t="shared" si="18"/>
        <v/>
      </c>
      <c r="R86" t="str">
        <f t="shared" si="19"/>
        <v/>
      </c>
      <c r="S86" t="str">
        <f t="shared" si="20"/>
        <v/>
      </c>
      <c r="T86" t="str">
        <f t="shared" si="21"/>
        <v/>
      </c>
      <c r="U86" t="str">
        <f t="shared" si="22"/>
        <v/>
      </c>
      <c r="V86" t="str">
        <f t="shared" si="23"/>
        <v/>
      </c>
      <c r="W86" t="str">
        <f>IF(Q86="","",SUMIF(ProductionConfiguration!$B$5:$B$914,Q86,ProductionConfiguration!$S$5:$S$914))</f>
        <v/>
      </c>
      <c r="X86" t="str">
        <f t="shared" si="24"/>
        <v/>
      </c>
      <c r="Y86" t="str">
        <f t="shared" si="25"/>
        <v/>
      </c>
      <c r="Z86" t="str">
        <f t="shared" si="26"/>
        <v/>
      </c>
    </row>
    <row r="87" spans="17:26" ht="18" customHeight="1">
      <c r="Q87" t="str">
        <f t="shared" si="18"/>
        <v/>
      </c>
      <c r="R87" t="str">
        <f t="shared" si="19"/>
        <v/>
      </c>
      <c r="S87" t="str">
        <f t="shared" si="20"/>
        <v/>
      </c>
      <c r="T87" t="str">
        <f t="shared" si="21"/>
        <v/>
      </c>
      <c r="U87" t="str">
        <f t="shared" si="22"/>
        <v/>
      </c>
      <c r="V87" t="str">
        <f t="shared" si="23"/>
        <v/>
      </c>
      <c r="W87" t="str">
        <f>IF(Q87="","",SUMIF(ProductionConfiguration!$B$5:$B$914,Q87,ProductionConfiguration!$S$5:$S$914))</f>
        <v/>
      </c>
      <c r="X87" t="str">
        <f t="shared" si="24"/>
        <v/>
      </c>
      <c r="Y87" t="str">
        <f t="shared" si="25"/>
        <v/>
      </c>
      <c r="Z87" t="str">
        <f t="shared" si="26"/>
        <v/>
      </c>
    </row>
    <row r="88" spans="17:26" ht="18" customHeight="1">
      <c r="Q88" t="str">
        <f t="shared" si="18"/>
        <v/>
      </c>
      <c r="R88" t="str">
        <f t="shared" si="19"/>
        <v/>
      </c>
      <c r="S88" t="str">
        <f t="shared" si="20"/>
        <v/>
      </c>
      <c r="T88" t="str">
        <f t="shared" si="21"/>
        <v/>
      </c>
      <c r="U88" t="str">
        <f t="shared" si="22"/>
        <v/>
      </c>
      <c r="V88" t="str">
        <f t="shared" si="23"/>
        <v/>
      </c>
      <c r="W88" t="str">
        <f>IF(Q88="","",SUMIF(ProductionConfiguration!$B$5:$B$914,Q88,ProductionConfiguration!$S$5:$S$914))</f>
        <v/>
      </c>
      <c r="X88" t="str">
        <f t="shared" si="24"/>
        <v/>
      </c>
      <c r="Y88" t="str">
        <f t="shared" si="25"/>
        <v/>
      </c>
      <c r="Z88" t="str">
        <f t="shared" si="26"/>
        <v/>
      </c>
    </row>
    <row r="89" spans="17:26" ht="18" customHeight="1">
      <c r="Q89" t="str">
        <f t="shared" si="18"/>
        <v/>
      </c>
      <c r="R89" t="str">
        <f t="shared" si="19"/>
        <v/>
      </c>
      <c r="S89" t="str">
        <f t="shared" si="20"/>
        <v/>
      </c>
      <c r="T89" t="str">
        <f t="shared" si="21"/>
        <v/>
      </c>
      <c r="U89" t="str">
        <f t="shared" si="22"/>
        <v/>
      </c>
      <c r="V89" t="str">
        <f t="shared" si="23"/>
        <v/>
      </c>
      <c r="W89" t="str">
        <f>IF(Q89="","",SUMIF(ProductionConfiguration!$B$5:$B$914,Q89,ProductionConfiguration!$S$5:$S$914))</f>
        <v/>
      </c>
      <c r="X89" t="str">
        <f t="shared" si="24"/>
        <v/>
      </c>
      <c r="Y89" t="str">
        <f t="shared" si="25"/>
        <v/>
      </c>
      <c r="Z89" t="str">
        <f t="shared" si="26"/>
        <v/>
      </c>
    </row>
    <row r="90" spans="17:26" ht="18" customHeight="1">
      <c r="Q90" t="str">
        <f t="shared" si="18"/>
        <v/>
      </c>
      <c r="R90" t="str">
        <f t="shared" si="19"/>
        <v/>
      </c>
      <c r="S90" t="str">
        <f t="shared" si="20"/>
        <v/>
      </c>
      <c r="T90" t="str">
        <f t="shared" si="21"/>
        <v/>
      </c>
      <c r="U90" t="str">
        <f t="shared" si="22"/>
        <v/>
      </c>
      <c r="V90" t="str">
        <f t="shared" si="23"/>
        <v/>
      </c>
      <c r="W90" t="str">
        <f>IF(Q90="","",SUMIF(ProductionConfiguration!$B$5:$B$914,Q90,ProductionConfiguration!$S$5:$S$914))</f>
        <v/>
      </c>
      <c r="X90" t="str">
        <f t="shared" si="24"/>
        <v/>
      </c>
      <c r="Y90" t="str">
        <f t="shared" si="25"/>
        <v/>
      </c>
      <c r="Z90" t="str">
        <f t="shared" si="26"/>
        <v/>
      </c>
    </row>
    <row r="91" spans="17:26" ht="18" customHeight="1">
      <c r="Q91" t="str">
        <f t="shared" si="18"/>
        <v/>
      </c>
      <c r="R91" t="str">
        <f t="shared" si="19"/>
        <v/>
      </c>
      <c r="S91" t="str">
        <f t="shared" si="20"/>
        <v/>
      </c>
      <c r="T91" t="str">
        <f t="shared" si="21"/>
        <v/>
      </c>
      <c r="U91" t="str">
        <f t="shared" si="22"/>
        <v/>
      </c>
      <c r="V91" t="str">
        <f t="shared" si="23"/>
        <v/>
      </c>
      <c r="W91" t="str">
        <f>IF(Q91="","",SUMIF(ProductionConfiguration!$B$5:$B$914,Q91,ProductionConfiguration!$S$5:$S$914))</f>
        <v/>
      </c>
      <c r="X91" t="str">
        <f t="shared" si="24"/>
        <v/>
      </c>
      <c r="Y91" t="str">
        <f t="shared" si="25"/>
        <v/>
      </c>
      <c r="Z91" t="str">
        <f t="shared" si="26"/>
        <v/>
      </c>
    </row>
    <row r="92" spans="17:26" ht="18" customHeight="1">
      <c r="Q92" t="str">
        <f t="shared" si="18"/>
        <v/>
      </c>
      <c r="R92" t="str">
        <f t="shared" si="19"/>
        <v/>
      </c>
      <c r="S92" t="str">
        <f t="shared" si="20"/>
        <v/>
      </c>
      <c r="T92" t="str">
        <f t="shared" si="21"/>
        <v/>
      </c>
      <c r="U92" t="str">
        <f t="shared" si="22"/>
        <v/>
      </c>
      <c r="V92" t="str">
        <f t="shared" si="23"/>
        <v/>
      </c>
      <c r="W92" t="str">
        <f>IF(Q92="","",SUMIF(ProductionConfiguration!$B$5:$B$914,Q92,ProductionConfiguration!$S$5:$S$914))</f>
        <v/>
      </c>
      <c r="X92" t="str">
        <f t="shared" si="24"/>
        <v/>
      </c>
      <c r="Y92" t="str">
        <f t="shared" si="25"/>
        <v/>
      </c>
      <c r="Z92" t="str">
        <f t="shared" si="26"/>
        <v/>
      </c>
    </row>
    <row r="93" spans="17:26" ht="18" customHeight="1">
      <c r="Q93" t="str">
        <f t="shared" si="18"/>
        <v/>
      </c>
      <c r="R93" t="str">
        <f t="shared" si="19"/>
        <v/>
      </c>
      <c r="S93" t="str">
        <f t="shared" si="20"/>
        <v/>
      </c>
      <c r="T93" t="str">
        <f t="shared" si="21"/>
        <v/>
      </c>
      <c r="U93" t="str">
        <f t="shared" si="22"/>
        <v/>
      </c>
      <c r="V93" t="str">
        <f t="shared" si="23"/>
        <v/>
      </c>
      <c r="W93" t="str">
        <f>IF(Q93="","",SUMIF(ProductionConfiguration!$B$5:$B$914,Q93,ProductionConfiguration!$S$5:$S$914))</f>
        <v/>
      </c>
      <c r="X93" t="str">
        <f t="shared" si="24"/>
        <v/>
      </c>
      <c r="Y93" t="str">
        <f t="shared" si="25"/>
        <v/>
      </c>
      <c r="Z93" t="str">
        <f t="shared" si="26"/>
        <v/>
      </c>
    </row>
    <row r="94" spans="17:26" ht="18" customHeight="1">
      <c r="Q94" t="str">
        <f t="shared" si="18"/>
        <v/>
      </c>
      <c r="R94" t="str">
        <f t="shared" si="19"/>
        <v/>
      </c>
      <c r="S94" t="str">
        <f t="shared" si="20"/>
        <v/>
      </c>
      <c r="T94" t="str">
        <f t="shared" si="21"/>
        <v/>
      </c>
      <c r="U94" t="str">
        <f t="shared" si="22"/>
        <v/>
      </c>
      <c r="V94" t="str">
        <f t="shared" si="23"/>
        <v/>
      </c>
      <c r="W94" t="str">
        <f>IF(Q94="","",SUMIF(ProductionConfiguration!$B$5:$B$914,Q94,ProductionConfiguration!$S$5:$S$914))</f>
        <v/>
      </c>
      <c r="X94" t="str">
        <f t="shared" si="24"/>
        <v/>
      </c>
      <c r="Y94" t="str">
        <f t="shared" si="25"/>
        <v/>
      </c>
      <c r="Z94" t="str">
        <f t="shared" si="26"/>
        <v/>
      </c>
    </row>
    <row r="95" spans="17:26" ht="18" customHeight="1">
      <c r="Q95" t="str">
        <f t="shared" si="18"/>
        <v/>
      </c>
      <c r="R95" t="str">
        <f t="shared" si="19"/>
        <v/>
      </c>
      <c r="S95" t="str">
        <f t="shared" si="20"/>
        <v/>
      </c>
      <c r="T95" t="str">
        <f t="shared" si="21"/>
        <v/>
      </c>
      <c r="U95" t="str">
        <f t="shared" si="22"/>
        <v/>
      </c>
      <c r="V95" t="str">
        <f t="shared" si="23"/>
        <v/>
      </c>
      <c r="W95" t="str">
        <f>IF(Q95="","",SUMIF(ProductionConfiguration!$B$5:$B$914,Q95,ProductionConfiguration!$S$5:$S$914))</f>
        <v/>
      </c>
      <c r="X95" t="str">
        <f t="shared" si="24"/>
        <v/>
      </c>
      <c r="Y95" t="str">
        <f t="shared" si="25"/>
        <v/>
      </c>
      <c r="Z95" t="str">
        <f t="shared" si="26"/>
        <v/>
      </c>
    </row>
    <row r="96" spans="17:26" ht="18" customHeight="1">
      <c r="Q96" t="str">
        <f t="shared" si="18"/>
        <v/>
      </c>
      <c r="R96" t="str">
        <f t="shared" si="19"/>
        <v/>
      </c>
      <c r="S96" t="str">
        <f t="shared" si="20"/>
        <v/>
      </c>
      <c r="T96" t="str">
        <f t="shared" si="21"/>
        <v/>
      </c>
      <c r="U96" t="str">
        <f t="shared" si="22"/>
        <v/>
      </c>
      <c r="V96" t="str">
        <f t="shared" si="23"/>
        <v/>
      </c>
      <c r="W96" t="str">
        <f>IF(Q96="","",SUMIF(ProductionConfiguration!$B$5:$B$914,Q96,ProductionConfiguration!$S$5:$S$914))</f>
        <v/>
      </c>
      <c r="X96" t="str">
        <f t="shared" si="24"/>
        <v/>
      </c>
      <c r="Y96" t="str">
        <f t="shared" si="25"/>
        <v/>
      </c>
      <c r="Z96" t="str">
        <f t="shared" si="26"/>
        <v/>
      </c>
    </row>
    <row r="97" spans="17:26" ht="18" customHeight="1">
      <c r="Q97" t="str">
        <f t="shared" si="18"/>
        <v/>
      </c>
      <c r="R97" t="str">
        <f t="shared" si="19"/>
        <v/>
      </c>
      <c r="S97" t="str">
        <f t="shared" si="20"/>
        <v/>
      </c>
      <c r="T97" t="str">
        <f t="shared" si="21"/>
        <v/>
      </c>
      <c r="U97" t="str">
        <f t="shared" si="22"/>
        <v/>
      </c>
      <c r="V97" t="str">
        <f t="shared" si="23"/>
        <v/>
      </c>
      <c r="W97" t="str">
        <f>IF(Q97="","",SUMIF(ProductionConfiguration!$B$5:$B$914,Q97,ProductionConfiguration!$S$5:$S$914))</f>
        <v/>
      </c>
      <c r="X97" t="str">
        <f t="shared" si="24"/>
        <v/>
      </c>
      <c r="Y97" t="str">
        <f t="shared" si="25"/>
        <v/>
      </c>
      <c r="Z97" t="str">
        <f t="shared" si="26"/>
        <v/>
      </c>
    </row>
    <row r="98" spans="17:26" ht="18" customHeight="1">
      <c r="Q98" t="str">
        <f t="shared" si="18"/>
        <v/>
      </c>
      <c r="R98" t="str">
        <f t="shared" si="19"/>
        <v/>
      </c>
      <c r="S98" t="str">
        <f t="shared" si="20"/>
        <v/>
      </c>
      <c r="T98" t="str">
        <f t="shared" si="21"/>
        <v/>
      </c>
      <c r="U98" t="str">
        <f t="shared" si="22"/>
        <v/>
      </c>
      <c r="V98" t="str">
        <f t="shared" si="23"/>
        <v/>
      </c>
      <c r="W98" t="str">
        <f>IF(Q98="","",SUMIF(ProductionConfiguration!$B$5:$B$914,Q98,ProductionConfiguration!$S$5:$S$914))</f>
        <v/>
      </c>
      <c r="X98" t="str">
        <f t="shared" si="24"/>
        <v/>
      </c>
      <c r="Y98" t="str">
        <f t="shared" si="25"/>
        <v/>
      </c>
      <c r="Z98" t="str">
        <f t="shared" si="26"/>
        <v/>
      </c>
    </row>
    <row r="99" spans="17:26" ht="18" customHeight="1">
      <c r="Q99" t="str">
        <f t="shared" si="18"/>
        <v/>
      </c>
      <c r="R99" t="str">
        <f t="shared" si="19"/>
        <v/>
      </c>
      <c r="S99" t="str">
        <f t="shared" si="20"/>
        <v/>
      </c>
      <c r="T99" t="str">
        <f t="shared" si="21"/>
        <v/>
      </c>
      <c r="U99" t="str">
        <f t="shared" si="22"/>
        <v/>
      </c>
      <c r="V99" t="str">
        <f t="shared" si="23"/>
        <v/>
      </c>
      <c r="W99" t="str">
        <f>IF(Q99="","",SUMIF(ProductionConfiguration!$B$5:$B$914,Q99,ProductionConfiguration!$S$5:$S$914))</f>
        <v/>
      </c>
      <c r="X99" t="str">
        <f t="shared" si="24"/>
        <v/>
      </c>
      <c r="Y99" t="str">
        <f t="shared" si="25"/>
        <v/>
      </c>
      <c r="Z99" t="str">
        <f t="shared" si="26"/>
        <v/>
      </c>
    </row>
    <row r="100" spans="17:26" ht="18" customHeight="1">
      <c r="Q100" t="str">
        <f t="shared" si="18"/>
        <v/>
      </c>
      <c r="R100" t="str">
        <f t="shared" si="19"/>
        <v/>
      </c>
      <c r="S100" t="str">
        <f t="shared" si="20"/>
        <v/>
      </c>
      <c r="T100" t="str">
        <f t="shared" si="21"/>
        <v/>
      </c>
      <c r="U100" t="str">
        <f t="shared" si="22"/>
        <v/>
      </c>
      <c r="V100" t="str">
        <f t="shared" si="23"/>
        <v/>
      </c>
      <c r="W100" t="str">
        <f>IF(Q100="","",SUMIF(ProductionConfiguration!$B$5:$B$914,Q100,ProductionConfiguration!$S$5:$S$914))</f>
        <v/>
      </c>
      <c r="X100" t="str">
        <f t="shared" si="24"/>
        <v/>
      </c>
      <c r="Y100" t="str">
        <f t="shared" si="25"/>
        <v/>
      </c>
      <c r="Z100" t="str">
        <f t="shared" si="26"/>
        <v/>
      </c>
    </row>
    <row r="101" spans="17:26" ht="18" customHeight="1"/>
    <row r="102" spans="17:26" ht="18" customHeight="1"/>
    <row r="103" spans="17:26" ht="18" customHeight="1"/>
    <row r="104" spans="17:26" ht="18" customHeight="1"/>
    <row r="105" spans="17:26" ht="18" customHeight="1"/>
    <row r="106" spans="17:26" ht="18" customHeight="1"/>
    <row r="107" spans="17:26" ht="18" customHeight="1"/>
    <row r="108" spans="17:26" ht="18" customHeight="1"/>
    <row r="109" spans="17:26" ht="18" customHeight="1"/>
    <row r="110" spans="17:26" ht="18" customHeight="1"/>
    <row r="111" spans="17:26" ht="18" customHeight="1"/>
    <row r="112" spans="17:26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</sheetData>
  <dataValidations count="2">
    <dataValidation sqref="H5:H100" xr:uid="{00000000-0002-0000-0200-000001000000}">
      <formula1>1</formula1>
      <formula2>13</formula2>
    </dataValidation>
    <dataValidation sqref="I5:I100" xr:uid="{00000000-0002-0000-0200-000002000000}">
      <formula1>1</formula1>
      <formula2>3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_ValidationLists!$A$2:$A$6</xm:f>
          </x14:formula1>
          <xm:sqref>E5:E100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14"/>
  <sheetViews>
    <sheetView workbookViewId="0">
      <selection activeCell="D14" sqref="D14"/>
    </sheetView>
  </sheetViews>
  <sheetFormatPr defaultRowHeight="14.25"/>
  <cols>
    <col min="1" max="1" width="42" customWidth="1"/>
    <col min="2" max="2" width="40.125" bestFit="1" customWidth="1"/>
    <col min="3" max="3" width="14" customWidth="1"/>
    <col min="4" max="4" width="12.125" customWidth="1"/>
    <col min="5" max="5" width="11.625" customWidth="1"/>
    <col min="6" max="6" width="12.125" customWidth="1"/>
    <col min="7" max="7" width="13.625" customWidth="1"/>
    <col min="8" max="8" width="15.5" bestFit="1" customWidth="1"/>
    <col min="9" max="9" width="16.5" customWidth="1"/>
    <col min="10" max="10" width="18.875" customWidth="1"/>
    <col min="11" max="11" width="18.375" customWidth="1"/>
    <col min="12" max="12" width="21.375" customWidth="1"/>
    <col min="13" max="15" width="17.25" customWidth="1"/>
    <col min="16" max="18" width="14.75" customWidth="1"/>
    <col min="19" max="19" width="19.125" customWidth="1"/>
    <col min="20" max="20" width="21.25" customWidth="1"/>
    <col min="21" max="21" width="19.5" customWidth="1"/>
    <col min="22" max="22" width="24.25" customWidth="1"/>
    <col min="23" max="23" width="26.25" customWidth="1"/>
  </cols>
  <sheetData>
    <row r="1" spans="1:23" ht="18">
      <c r="A1" s="15" t="s">
        <v>380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>
      <c r="A2" t="s">
        <v>381</v>
      </c>
    </row>
    <row r="4" spans="1:23" ht="15">
      <c r="A4" s="17" t="s">
        <v>382</v>
      </c>
      <c r="B4" s="17" t="s">
        <v>95</v>
      </c>
      <c r="C4" s="17" t="s">
        <v>12</v>
      </c>
      <c r="D4" s="17" t="s">
        <v>14</v>
      </c>
      <c r="E4" s="17" t="s">
        <v>15</v>
      </c>
      <c r="F4" s="17" t="s">
        <v>16</v>
      </c>
      <c r="G4" s="17" t="s">
        <v>13</v>
      </c>
      <c r="H4" s="17" t="s">
        <v>67</v>
      </c>
      <c r="I4" s="17" t="s">
        <v>383</v>
      </c>
      <c r="J4" s="17" t="s">
        <v>384</v>
      </c>
      <c r="K4" s="17" t="s">
        <v>385</v>
      </c>
      <c r="L4" s="17" t="s">
        <v>386</v>
      </c>
      <c r="M4" s="17" t="s">
        <v>387</v>
      </c>
      <c r="N4" s="17" t="s">
        <v>388</v>
      </c>
      <c r="O4" s="17" t="s">
        <v>389</v>
      </c>
      <c r="P4" s="17" t="s">
        <v>390</v>
      </c>
      <c r="Q4" s="17" t="s">
        <v>391</v>
      </c>
      <c r="R4" s="17" t="s">
        <v>392</v>
      </c>
      <c r="S4" s="17" t="s">
        <v>96</v>
      </c>
      <c r="T4" s="17" t="s">
        <v>393</v>
      </c>
      <c r="U4" s="17" t="s">
        <v>394</v>
      </c>
      <c r="V4" s="17" t="s">
        <v>97</v>
      </c>
      <c r="W4" s="17" t="s">
        <v>395</v>
      </c>
    </row>
    <row r="5" spans="1:23">
      <c r="A5" t="s">
        <v>396</v>
      </c>
      <c r="B5" t="s">
        <v>397</v>
      </c>
      <c r="C5" t="s">
        <v>30</v>
      </c>
      <c r="D5" s="7">
        <v>45950</v>
      </c>
      <c r="E5" t="s">
        <v>31</v>
      </c>
      <c r="F5" t="s">
        <v>41</v>
      </c>
      <c r="G5">
        <v>21</v>
      </c>
      <c r="H5" t="s">
        <v>33</v>
      </c>
      <c r="I5">
        <v>1</v>
      </c>
      <c r="J5">
        <v>10</v>
      </c>
      <c r="K5">
        <v>3</v>
      </c>
      <c r="L5">
        <f t="shared" ref="L5:L68" si="0">IF(I5&lt;=J5,1,0)</f>
        <v>1</v>
      </c>
      <c r="P5">
        <f t="shared" ref="P5:P68" si="1">IF(M5="",IF(AND(L5=1,K5&gt;=1),1,0),M5)</f>
        <v>1</v>
      </c>
      <c r="Q5">
        <f t="shared" ref="Q5:Q68" si="2">IF(N5="",IF(AND(L5=1,K5&gt;=2),1,0),N5)</f>
        <v>1</v>
      </c>
      <c r="R5">
        <f t="shared" ref="R5:R68" si="3">IF(O5="",IF(AND(L5=1,K5&gt;=3),1,0),O5)</f>
        <v>1</v>
      </c>
      <c r="S5">
        <f t="shared" ref="S5:S68" si="4">SUM(P5:R5)</f>
        <v>3</v>
      </c>
      <c r="T5" t="str">
        <f t="shared" ref="T5:T68" si="5">IF(COUNTA(M5:O5)=0,"DerivedFromCount","ManualOverride")</f>
        <v>DerivedFromCount</v>
      </c>
      <c r="U5" t="str">
        <f>IF(COUNTIF(DailyProduction!$Q$5:$Q$100,B5)=1,"OK","CHECK")</f>
        <v>OK</v>
      </c>
      <c r="V5" t="str">
        <f t="shared" ref="V5:V68" si="6">IF(AND(I5&gt;=1,I5&lt;=13,K5&gt;=1,K5&lt;=3),"OK","CHECK")</f>
        <v>OK</v>
      </c>
      <c r="W5" t="str">
        <f>IF(SUMIF($B$5:$B$914,B5,$S$5:$S$914)=SUMIF(DailyProduction!$Q$5:$Q$100,B5,DailyProduction!$R$5:$R$100),"OK","CHECK")</f>
        <v>OK</v>
      </c>
    </row>
    <row r="6" spans="1:23">
      <c r="A6" t="s">
        <v>398</v>
      </c>
      <c r="B6" t="s">
        <v>397</v>
      </c>
      <c r="C6" t="s">
        <v>30</v>
      </c>
      <c r="D6" s="7">
        <v>45950</v>
      </c>
      <c r="E6" t="s">
        <v>31</v>
      </c>
      <c r="F6" t="s">
        <v>41</v>
      </c>
      <c r="G6">
        <v>21</v>
      </c>
      <c r="H6" t="s">
        <v>33</v>
      </c>
      <c r="I6">
        <v>2</v>
      </c>
      <c r="J6">
        <v>10</v>
      </c>
      <c r="K6">
        <v>3</v>
      </c>
      <c r="L6">
        <f t="shared" si="0"/>
        <v>1</v>
      </c>
      <c r="P6">
        <f t="shared" si="1"/>
        <v>1</v>
      </c>
      <c r="Q6">
        <f t="shared" si="2"/>
        <v>1</v>
      </c>
      <c r="R6">
        <f t="shared" si="3"/>
        <v>1</v>
      </c>
      <c r="S6">
        <f t="shared" si="4"/>
        <v>3</v>
      </c>
      <c r="T6" t="str">
        <f t="shared" si="5"/>
        <v>DerivedFromCount</v>
      </c>
      <c r="U6" t="str">
        <f>IF(COUNTIF(DailyProduction!$Q$5:$Q$100,B6)=1,"OK","CHECK")</f>
        <v>OK</v>
      </c>
      <c r="V6" t="str">
        <f t="shared" si="6"/>
        <v>OK</v>
      </c>
      <c r="W6" t="str">
        <f>IF(SUMIF($B$5:$B$914,B6,$S$5:$S$914)=SUMIF(DailyProduction!$Q$5:$Q$100,B6,DailyProduction!$R$5:$R$100),"OK","CHECK")</f>
        <v>OK</v>
      </c>
    </row>
    <row r="7" spans="1:23">
      <c r="A7" t="s">
        <v>399</v>
      </c>
      <c r="B7" t="s">
        <v>397</v>
      </c>
      <c r="C7" t="s">
        <v>30</v>
      </c>
      <c r="D7" s="7">
        <v>45950</v>
      </c>
      <c r="E7" t="s">
        <v>31</v>
      </c>
      <c r="F7" t="s">
        <v>41</v>
      </c>
      <c r="G7">
        <v>21</v>
      </c>
      <c r="H7" t="s">
        <v>33</v>
      </c>
      <c r="I7">
        <v>3</v>
      </c>
      <c r="J7">
        <v>10</v>
      </c>
      <c r="K7">
        <v>3</v>
      </c>
      <c r="L7">
        <f t="shared" si="0"/>
        <v>1</v>
      </c>
      <c r="P7">
        <f t="shared" si="1"/>
        <v>1</v>
      </c>
      <c r="Q7">
        <f t="shared" si="2"/>
        <v>1</v>
      </c>
      <c r="R7">
        <f t="shared" si="3"/>
        <v>1</v>
      </c>
      <c r="S7">
        <f t="shared" si="4"/>
        <v>3</v>
      </c>
      <c r="T7" t="str">
        <f t="shared" si="5"/>
        <v>DerivedFromCount</v>
      </c>
      <c r="U7" t="str">
        <f>IF(COUNTIF(DailyProduction!$Q$5:$Q$100,B7)=1,"OK","CHECK")</f>
        <v>OK</v>
      </c>
      <c r="V7" t="str">
        <f t="shared" si="6"/>
        <v>OK</v>
      </c>
      <c r="W7" t="str">
        <f>IF(SUMIF($B$5:$B$914,B7,$S$5:$S$914)=SUMIF(DailyProduction!$Q$5:$Q$100,B7,DailyProduction!$R$5:$R$100),"OK","CHECK")</f>
        <v>OK</v>
      </c>
    </row>
    <row r="8" spans="1:23">
      <c r="A8" t="s">
        <v>400</v>
      </c>
      <c r="B8" t="s">
        <v>397</v>
      </c>
      <c r="C8" t="s">
        <v>30</v>
      </c>
      <c r="D8" s="7">
        <v>45950</v>
      </c>
      <c r="E8" t="s">
        <v>31</v>
      </c>
      <c r="F8" t="s">
        <v>41</v>
      </c>
      <c r="G8">
        <v>21</v>
      </c>
      <c r="H8" t="s">
        <v>33</v>
      </c>
      <c r="I8">
        <v>4</v>
      </c>
      <c r="J8">
        <v>10</v>
      </c>
      <c r="K8">
        <v>3</v>
      </c>
      <c r="L8">
        <f t="shared" si="0"/>
        <v>1</v>
      </c>
      <c r="P8">
        <f t="shared" si="1"/>
        <v>1</v>
      </c>
      <c r="Q8">
        <f t="shared" si="2"/>
        <v>1</v>
      </c>
      <c r="R8">
        <f t="shared" si="3"/>
        <v>1</v>
      </c>
      <c r="S8">
        <f t="shared" si="4"/>
        <v>3</v>
      </c>
      <c r="T8" t="str">
        <f t="shared" si="5"/>
        <v>DerivedFromCount</v>
      </c>
      <c r="U8" t="str">
        <f>IF(COUNTIF(DailyProduction!$Q$5:$Q$100,B8)=1,"OK","CHECK")</f>
        <v>OK</v>
      </c>
      <c r="V8" t="str">
        <f t="shared" si="6"/>
        <v>OK</v>
      </c>
      <c r="W8" t="str">
        <f>IF(SUMIF($B$5:$B$914,B8,$S$5:$S$914)=SUMIF(DailyProduction!$Q$5:$Q$100,B8,DailyProduction!$R$5:$R$100),"OK","CHECK")</f>
        <v>OK</v>
      </c>
    </row>
    <row r="9" spans="1:23">
      <c r="A9" t="s">
        <v>401</v>
      </c>
      <c r="B9" t="s">
        <v>397</v>
      </c>
      <c r="C9" t="s">
        <v>30</v>
      </c>
      <c r="D9" s="7">
        <v>45950</v>
      </c>
      <c r="E9" t="s">
        <v>31</v>
      </c>
      <c r="F9" t="s">
        <v>41</v>
      </c>
      <c r="G9">
        <v>21</v>
      </c>
      <c r="H9" t="s">
        <v>33</v>
      </c>
      <c r="I9">
        <v>5</v>
      </c>
      <c r="J9">
        <v>10</v>
      </c>
      <c r="K9">
        <v>3</v>
      </c>
      <c r="L9">
        <f t="shared" si="0"/>
        <v>1</v>
      </c>
      <c r="P9">
        <f t="shared" si="1"/>
        <v>1</v>
      </c>
      <c r="Q9">
        <f t="shared" si="2"/>
        <v>1</v>
      </c>
      <c r="R9">
        <f t="shared" si="3"/>
        <v>1</v>
      </c>
      <c r="S9">
        <f t="shared" si="4"/>
        <v>3</v>
      </c>
      <c r="T9" t="str">
        <f t="shared" si="5"/>
        <v>DerivedFromCount</v>
      </c>
      <c r="U9" t="str">
        <f>IF(COUNTIF(DailyProduction!$Q$5:$Q$100,B9)=1,"OK","CHECK")</f>
        <v>OK</v>
      </c>
      <c r="V9" t="str">
        <f t="shared" si="6"/>
        <v>OK</v>
      </c>
      <c r="W9" t="str">
        <f>IF(SUMIF($B$5:$B$914,B9,$S$5:$S$914)=SUMIF(DailyProduction!$Q$5:$Q$100,B9,DailyProduction!$R$5:$R$100),"OK","CHECK")</f>
        <v>OK</v>
      </c>
    </row>
    <row r="10" spans="1:23">
      <c r="A10" t="s">
        <v>402</v>
      </c>
      <c r="B10" t="s">
        <v>397</v>
      </c>
      <c r="C10" t="s">
        <v>30</v>
      </c>
      <c r="D10" s="7">
        <v>45950</v>
      </c>
      <c r="E10" t="s">
        <v>31</v>
      </c>
      <c r="F10" t="s">
        <v>41</v>
      </c>
      <c r="G10">
        <v>21</v>
      </c>
      <c r="H10" t="s">
        <v>33</v>
      </c>
      <c r="I10">
        <v>6</v>
      </c>
      <c r="J10">
        <v>10</v>
      </c>
      <c r="K10">
        <v>3</v>
      </c>
      <c r="L10">
        <f t="shared" si="0"/>
        <v>1</v>
      </c>
      <c r="P10">
        <f t="shared" si="1"/>
        <v>1</v>
      </c>
      <c r="Q10">
        <f t="shared" si="2"/>
        <v>1</v>
      </c>
      <c r="R10">
        <f t="shared" si="3"/>
        <v>1</v>
      </c>
      <c r="S10">
        <f t="shared" si="4"/>
        <v>3</v>
      </c>
      <c r="T10" t="str">
        <f t="shared" si="5"/>
        <v>DerivedFromCount</v>
      </c>
      <c r="U10" t="str">
        <f>IF(COUNTIF(DailyProduction!$Q$5:$Q$100,B10)=1,"OK","CHECK")</f>
        <v>OK</v>
      </c>
      <c r="V10" t="str">
        <f t="shared" si="6"/>
        <v>OK</v>
      </c>
      <c r="W10" t="str">
        <f>IF(SUMIF($B$5:$B$914,B10,$S$5:$S$914)=SUMIF(DailyProduction!$Q$5:$Q$100,B10,DailyProduction!$R$5:$R$100),"OK","CHECK")</f>
        <v>OK</v>
      </c>
    </row>
    <row r="11" spans="1:23">
      <c r="A11" t="s">
        <v>403</v>
      </c>
      <c r="B11" t="s">
        <v>397</v>
      </c>
      <c r="C11" t="s">
        <v>30</v>
      </c>
      <c r="D11" s="7">
        <v>45950</v>
      </c>
      <c r="E11" t="s">
        <v>31</v>
      </c>
      <c r="F11" t="s">
        <v>41</v>
      </c>
      <c r="G11">
        <v>21</v>
      </c>
      <c r="H11" t="s">
        <v>33</v>
      </c>
      <c r="I11">
        <v>7</v>
      </c>
      <c r="J11">
        <v>10</v>
      </c>
      <c r="K11">
        <v>3</v>
      </c>
      <c r="L11">
        <f t="shared" si="0"/>
        <v>1</v>
      </c>
      <c r="P11">
        <f t="shared" si="1"/>
        <v>1</v>
      </c>
      <c r="Q11">
        <f t="shared" si="2"/>
        <v>1</v>
      </c>
      <c r="R11">
        <f t="shared" si="3"/>
        <v>1</v>
      </c>
      <c r="S11">
        <f t="shared" si="4"/>
        <v>3</v>
      </c>
      <c r="T11" t="str">
        <f t="shared" si="5"/>
        <v>DerivedFromCount</v>
      </c>
      <c r="U11" t="str">
        <f>IF(COUNTIF(DailyProduction!$Q$5:$Q$100,B11)=1,"OK","CHECK")</f>
        <v>OK</v>
      </c>
      <c r="V11" t="str">
        <f t="shared" si="6"/>
        <v>OK</v>
      </c>
      <c r="W11" t="str">
        <f>IF(SUMIF($B$5:$B$914,B11,$S$5:$S$914)=SUMIF(DailyProduction!$Q$5:$Q$100,B11,DailyProduction!$R$5:$R$100),"OK","CHECK")</f>
        <v>OK</v>
      </c>
    </row>
    <row r="12" spans="1:23">
      <c r="A12" t="s">
        <v>404</v>
      </c>
      <c r="B12" t="s">
        <v>397</v>
      </c>
      <c r="C12" t="s">
        <v>30</v>
      </c>
      <c r="D12" s="7">
        <v>45950</v>
      </c>
      <c r="E12" t="s">
        <v>31</v>
      </c>
      <c r="F12" t="s">
        <v>41</v>
      </c>
      <c r="G12">
        <v>21</v>
      </c>
      <c r="H12" t="s">
        <v>33</v>
      </c>
      <c r="I12">
        <v>8</v>
      </c>
      <c r="J12">
        <v>10</v>
      </c>
      <c r="K12">
        <v>3</v>
      </c>
      <c r="L12">
        <f t="shared" si="0"/>
        <v>1</v>
      </c>
      <c r="P12">
        <f t="shared" si="1"/>
        <v>1</v>
      </c>
      <c r="Q12">
        <f t="shared" si="2"/>
        <v>1</v>
      </c>
      <c r="R12">
        <f t="shared" si="3"/>
        <v>1</v>
      </c>
      <c r="S12">
        <f t="shared" si="4"/>
        <v>3</v>
      </c>
      <c r="T12" t="str">
        <f t="shared" si="5"/>
        <v>DerivedFromCount</v>
      </c>
      <c r="U12" t="str">
        <f>IF(COUNTIF(DailyProduction!$Q$5:$Q$100,B12)=1,"OK","CHECK")</f>
        <v>OK</v>
      </c>
      <c r="V12" t="str">
        <f t="shared" si="6"/>
        <v>OK</v>
      </c>
      <c r="W12" t="str">
        <f>IF(SUMIF($B$5:$B$914,B12,$S$5:$S$914)=SUMIF(DailyProduction!$Q$5:$Q$100,B12,DailyProduction!$R$5:$R$100),"OK","CHECK")</f>
        <v>OK</v>
      </c>
    </row>
    <row r="13" spans="1:23">
      <c r="A13" t="s">
        <v>405</v>
      </c>
      <c r="B13" t="s">
        <v>397</v>
      </c>
      <c r="C13" t="s">
        <v>30</v>
      </c>
      <c r="D13" s="7">
        <v>45950</v>
      </c>
      <c r="E13" t="s">
        <v>31</v>
      </c>
      <c r="F13" t="s">
        <v>41</v>
      </c>
      <c r="G13">
        <v>21</v>
      </c>
      <c r="H13" t="s">
        <v>33</v>
      </c>
      <c r="I13">
        <v>9</v>
      </c>
      <c r="J13">
        <v>10</v>
      </c>
      <c r="K13">
        <v>3</v>
      </c>
      <c r="L13">
        <f t="shared" si="0"/>
        <v>1</v>
      </c>
      <c r="P13">
        <f t="shared" si="1"/>
        <v>1</v>
      </c>
      <c r="Q13">
        <f t="shared" si="2"/>
        <v>1</v>
      </c>
      <c r="R13">
        <f t="shared" si="3"/>
        <v>1</v>
      </c>
      <c r="S13">
        <f t="shared" si="4"/>
        <v>3</v>
      </c>
      <c r="T13" t="str">
        <f t="shared" si="5"/>
        <v>DerivedFromCount</v>
      </c>
      <c r="U13" t="str">
        <f>IF(COUNTIF(DailyProduction!$Q$5:$Q$100,B13)=1,"OK","CHECK")</f>
        <v>OK</v>
      </c>
      <c r="V13" t="str">
        <f t="shared" si="6"/>
        <v>OK</v>
      </c>
      <c r="W13" t="str">
        <f>IF(SUMIF($B$5:$B$914,B13,$S$5:$S$914)=SUMIF(DailyProduction!$Q$5:$Q$100,B13,DailyProduction!$R$5:$R$100),"OK","CHECK")</f>
        <v>OK</v>
      </c>
    </row>
    <row r="14" spans="1:23">
      <c r="A14" t="s">
        <v>406</v>
      </c>
      <c r="B14" t="s">
        <v>397</v>
      </c>
      <c r="C14" t="s">
        <v>30</v>
      </c>
      <c r="D14" s="7">
        <v>45950</v>
      </c>
      <c r="E14" t="s">
        <v>31</v>
      </c>
      <c r="F14" t="s">
        <v>41</v>
      </c>
      <c r="G14">
        <v>21</v>
      </c>
      <c r="H14" t="s">
        <v>33</v>
      </c>
      <c r="I14">
        <v>10</v>
      </c>
      <c r="J14">
        <v>10</v>
      </c>
      <c r="K14">
        <v>3</v>
      </c>
      <c r="L14">
        <f t="shared" si="0"/>
        <v>1</v>
      </c>
      <c r="P14">
        <f t="shared" si="1"/>
        <v>1</v>
      </c>
      <c r="Q14">
        <f t="shared" si="2"/>
        <v>1</v>
      </c>
      <c r="R14">
        <f t="shared" si="3"/>
        <v>1</v>
      </c>
      <c r="S14">
        <f t="shared" si="4"/>
        <v>3</v>
      </c>
      <c r="T14" t="str">
        <f t="shared" si="5"/>
        <v>DerivedFromCount</v>
      </c>
      <c r="U14" t="str">
        <f>IF(COUNTIF(DailyProduction!$Q$5:$Q$100,B14)=1,"OK","CHECK")</f>
        <v>OK</v>
      </c>
      <c r="V14" t="str">
        <f t="shared" si="6"/>
        <v>OK</v>
      </c>
      <c r="W14" t="str">
        <f>IF(SUMIF($B$5:$B$914,B14,$S$5:$S$914)=SUMIF(DailyProduction!$Q$5:$Q$100,B14,DailyProduction!$R$5:$R$100),"OK","CHECK")</f>
        <v>OK</v>
      </c>
    </row>
    <row r="15" spans="1:23">
      <c r="A15" t="s">
        <v>407</v>
      </c>
      <c r="B15" t="s">
        <v>397</v>
      </c>
      <c r="C15" t="s">
        <v>30</v>
      </c>
      <c r="D15" s="7">
        <v>45950</v>
      </c>
      <c r="E15" t="s">
        <v>31</v>
      </c>
      <c r="F15" t="s">
        <v>41</v>
      </c>
      <c r="G15">
        <v>21</v>
      </c>
      <c r="H15" t="s">
        <v>33</v>
      </c>
      <c r="I15">
        <v>11</v>
      </c>
      <c r="J15">
        <v>10</v>
      </c>
      <c r="K15">
        <v>3</v>
      </c>
      <c r="L15">
        <f t="shared" si="0"/>
        <v>0</v>
      </c>
      <c r="P15">
        <f t="shared" si="1"/>
        <v>0</v>
      </c>
      <c r="Q15">
        <f t="shared" si="2"/>
        <v>0</v>
      </c>
      <c r="R15">
        <f t="shared" si="3"/>
        <v>0</v>
      </c>
      <c r="S15">
        <f t="shared" si="4"/>
        <v>0</v>
      </c>
      <c r="T15" t="str">
        <f t="shared" si="5"/>
        <v>DerivedFromCount</v>
      </c>
      <c r="U15" t="str">
        <f>IF(COUNTIF(DailyProduction!$Q$5:$Q$100,B15)=1,"OK","CHECK")</f>
        <v>OK</v>
      </c>
      <c r="V15" t="str">
        <f t="shared" si="6"/>
        <v>OK</v>
      </c>
      <c r="W15" t="str">
        <f>IF(SUMIF($B$5:$B$914,B15,$S$5:$S$914)=SUMIF(DailyProduction!$Q$5:$Q$100,B15,DailyProduction!$R$5:$R$100),"OK","CHECK")</f>
        <v>OK</v>
      </c>
    </row>
    <row r="16" spans="1:23">
      <c r="A16" t="s">
        <v>408</v>
      </c>
      <c r="B16" t="s">
        <v>397</v>
      </c>
      <c r="C16" t="s">
        <v>30</v>
      </c>
      <c r="D16" s="7">
        <v>45950</v>
      </c>
      <c r="E16" t="s">
        <v>31</v>
      </c>
      <c r="F16" t="s">
        <v>41</v>
      </c>
      <c r="G16">
        <v>21</v>
      </c>
      <c r="H16" t="s">
        <v>33</v>
      </c>
      <c r="I16">
        <v>12</v>
      </c>
      <c r="J16">
        <v>10</v>
      </c>
      <c r="K16">
        <v>3</v>
      </c>
      <c r="L16">
        <f t="shared" si="0"/>
        <v>0</v>
      </c>
      <c r="P16">
        <f t="shared" si="1"/>
        <v>0</v>
      </c>
      <c r="Q16">
        <f t="shared" si="2"/>
        <v>0</v>
      </c>
      <c r="R16">
        <f t="shared" si="3"/>
        <v>0</v>
      </c>
      <c r="S16">
        <f t="shared" si="4"/>
        <v>0</v>
      </c>
      <c r="T16" t="str">
        <f t="shared" si="5"/>
        <v>DerivedFromCount</v>
      </c>
      <c r="U16" t="str">
        <f>IF(COUNTIF(DailyProduction!$Q$5:$Q$100,B16)=1,"OK","CHECK")</f>
        <v>OK</v>
      </c>
      <c r="V16" t="str">
        <f t="shared" si="6"/>
        <v>OK</v>
      </c>
      <c r="W16" t="str">
        <f>IF(SUMIF($B$5:$B$914,B16,$S$5:$S$914)=SUMIF(DailyProduction!$Q$5:$Q$100,B16,DailyProduction!$R$5:$R$100),"OK","CHECK")</f>
        <v>OK</v>
      </c>
    </row>
    <row r="17" spans="1:23">
      <c r="A17" t="s">
        <v>409</v>
      </c>
      <c r="B17" t="s">
        <v>397</v>
      </c>
      <c r="C17" t="s">
        <v>30</v>
      </c>
      <c r="D17" s="7">
        <v>45950</v>
      </c>
      <c r="E17" t="s">
        <v>31</v>
      </c>
      <c r="F17" t="s">
        <v>41</v>
      </c>
      <c r="G17">
        <v>21</v>
      </c>
      <c r="H17" t="s">
        <v>33</v>
      </c>
      <c r="I17">
        <v>13</v>
      </c>
      <c r="J17">
        <v>10</v>
      </c>
      <c r="K17">
        <v>3</v>
      </c>
      <c r="L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0</v>
      </c>
      <c r="T17" t="str">
        <f t="shared" si="5"/>
        <v>DerivedFromCount</v>
      </c>
      <c r="U17" t="str">
        <f>IF(COUNTIF(DailyProduction!$Q$5:$Q$100,B17)=1,"OK","CHECK")</f>
        <v>OK</v>
      </c>
      <c r="V17" t="str">
        <f t="shared" si="6"/>
        <v>OK</v>
      </c>
      <c r="W17" t="str">
        <f>IF(SUMIF($B$5:$B$914,B17,$S$5:$S$914)=SUMIF(DailyProduction!$Q$5:$Q$100,B17,DailyProduction!$R$5:$R$100),"OK","CHECK")</f>
        <v>OK</v>
      </c>
    </row>
    <row r="18" spans="1:23">
      <c r="A18" t="s">
        <v>410</v>
      </c>
      <c r="B18" t="s">
        <v>411</v>
      </c>
      <c r="C18" t="s">
        <v>30</v>
      </c>
      <c r="D18" s="7">
        <v>45950</v>
      </c>
      <c r="E18" t="s">
        <v>79</v>
      </c>
      <c r="F18" t="s">
        <v>32</v>
      </c>
      <c r="G18">
        <v>21</v>
      </c>
      <c r="H18" t="s">
        <v>33</v>
      </c>
      <c r="I18">
        <v>1</v>
      </c>
      <c r="J18">
        <v>10</v>
      </c>
      <c r="K18">
        <v>3</v>
      </c>
      <c r="L18">
        <f t="shared" si="0"/>
        <v>1</v>
      </c>
      <c r="P18">
        <f t="shared" si="1"/>
        <v>1</v>
      </c>
      <c r="Q18">
        <f t="shared" si="2"/>
        <v>1</v>
      </c>
      <c r="R18">
        <f t="shared" si="3"/>
        <v>1</v>
      </c>
      <c r="S18">
        <f t="shared" si="4"/>
        <v>3</v>
      </c>
      <c r="T18" t="str">
        <f t="shared" si="5"/>
        <v>DerivedFromCount</v>
      </c>
      <c r="U18" t="str">
        <f>IF(COUNTIF(DailyProduction!$Q$5:$Q$100,B18)=1,"OK","CHECK")</f>
        <v>OK</v>
      </c>
      <c r="V18" t="str">
        <f t="shared" si="6"/>
        <v>OK</v>
      </c>
      <c r="W18" t="str">
        <f>IF(SUMIF($B$5:$B$914,B18,$S$5:$S$914)=SUMIF(DailyProduction!$Q$5:$Q$100,B18,DailyProduction!$R$5:$R$100),"OK","CHECK")</f>
        <v>OK</v>
      </c>
    </row>
    <row r="19" spans="1:23">
      <c r="A19" t="s">
        <v>412</v>
      </c>
      <c r="B19" t="s">
        <v>411</v>
      </c>
      <c r="C19" t="s">
        <v>30</v>
      </c>
      <c r="D19" s="7">
        <v>45950</v>
      </c>
      <c r="E19" t="s">
        <v>79</v>
      </c>
      <c r="F19" t="s">
        <v>32</v>
      </c>
      <c r="G19">
        <v>21</v>
      </c>
      <c r="H19" t="s">
        <v>33</v>
      </c>
      <c r="I19">
        <v>2</v>
      </c>
      <c r="J19">
        <v>10</v>
      </c>
      <c r="K19">
        <v>3</v>
      </c>
      <c r="L19">
        <f t="shared" si="0"/>
        <v>1</v>
      </c>
      <c r="P19">
        <f t="shared" si="1"/>
        <v>1</v>
      </c>
      <c r="Q19">
        <f t="shared" si="2"/>
        <v>1</v>
      </c>
      <c r="R19">
        <f t="shared" si="3"/>
        <v>1</v>
      </c>
      <c r="S19">
        <f t="shared" si="4"/>
        <v>3</v>
      </c>
      <c r="T19" t="str">
        <f t="shared" si="5"/>
        <v>DerivedFromCount</v>
      </c>
      <c r="U19" t="str">
        <f>IF(COUNTIF(DailyProduction!$Q$5:$Q$100,B19)=1,"OK","CHECK")</f>
        <v>OK</v>
      </c>
      <c r="V19" t="str">
        <f t="shared" si="6"/>
        <v>OK</v>
      </c>
      <c r="W19" t="str">
        <f>IF(SUMIF($B$5:$B$914,B19,$S$5:$S$914)=SUMIF(DailyProduction!$Q$5:$Q$100,B19,DailyProduction!$R$5:$R$100),"OK","CHECK")</f>
        <v>OK</v>
      </c>
    </row>
    <row r="20" spans="1:23">
      <c r="A20" t="s">
        <v>413</v>
      </c>
      <c r="B20" t="s">
        <v>411</v>
      </c>
      <c r="C20" t="s">
        <v>30</v>
      </c>
      <c r="D20" s="7">
        <v>45950</v>
      </c>
      <c r="E20" t="s">
        <v>79</v>
      </c>
      <c r="F20" t="s">
        <v>32</v>
      </c>
      <c r="G20">
        <v>21</v>
      </c>
      <c r="H20" t="s">
        <v>33</v>
      </c>
      <c r="I20">
        <v>3</v>
      </c>
      <c r="J20">
        <v>10</v>
      </c>
      <c r="K20">
        <v>3</v>
      </c>
      <c r="L20">
        <f t="shared" si="0"/>
        <v>1</v>
      </c>
      <c r="P20">
        <f t="shared" si="1"/>
        <v>1</v>
      </c>
      <c r="Q20">
        <f t="shared" si="2"/>
        <v>1</v>
      </c>
      <c r="R20">
        <f t="shared" si="3"/>
        <v>1</v>
      </c>
      <c r="S20">
        <f t="shared" si="4"/>
        <v>3</v>
      </c>
      <c r="T20" t="str">
        <f t="shared" si="5"/>
        <v>DerivedFromCount</v>
      </c>
      <c r="U20" t="str">
        <f>IF(COUNTIF(DailyProduction!$Q$5:$Q$100,B20)=1,"OK","CHECK")</f>
        <v>OK</v>
      </c>
      <c r="V20" t="str">
        <f t="shared" si="6"/>
        <v>OK</v>
      </c>
      <c r="W20" t="str">
        <f>IF(SUMIF($B$5:$B$914,B20,$S$5:$S$914)=SUMIF(DailyProduction!$Q$5:$Q$100,B20,DailyProduction!$R$5:$R$100),"OK","CHECK")</f>
        <v>OK</v>
      </c>
    </row>
    <row r="21" spans="1:23">
      <c r="A21" t="s">
        <v>414</v>
      </c>
      <c r="B21" t="s">
        <v>411</v>
      </c>
      <c r="C21" t="s">
        <v>30</v>
      </c>
      <c r="D21" s="7">
        <v>45950</v>
      </c>
      <c r="E21" t="s">
        <v>79</v>
      </c>
      <c r="F21" t="s">
        <v>32</v>
      </c>
      <c r="G21">
        <v>21</v>
      </c>
      <c r="H21" t="s">
        <v>33</v>
      </c>
      <c r="I21">
        <v>4</v>
      </c>
      <c r="J21">
        <v>10</v>
      </c>
      <c r="K21">
        <v>3</v>
      </c>
      <c r="L21">
        <f t="shared" si="0"/>
        <v>1</v>
      </c>
      <c r="P21">
        <f t="shared" si="1"/>
        <v>1</v>
      </c>
      <c r="Q21">
        <f t="shared" si="2"/>
        <v>1</v>
      </c>
      <c r="R21">
        <f t="shared" si="3"/>
        <v>1</v>
      </c>
      <c r="S21">
        <f t="shared" si="4"/>
        <v>3</v>
      </c>
      <c r="T21" t="str">
        <f t="shared" si="5"/>
        <v>DerivedFromCount</v>
      </c>
      <c r="U21" t="str">
        <f>IF(COUNTIF(DailyProduction!$Q$5:$Q$100,B21)=1,"OK","CHECK")</f>
        <v>OK</v>
      </c>
      <c r="V21" t="str">
        <f t="shared" si="6"/>
        <v>OK</v>
      </c>
      <c r="W21" t="str">
        <f>IF(SUMIF($B$5:$B$914,B21,$S$5:$S$914)=SUMIF(DailyProduction!$Q$5:$Q$100,B21,DailyProduction!$R$5:$R$100),"OK","CHECK")</f>
        <v>OK</v>
      </c>
    </row>
    <row r="22" spans="1:23">
      <c r="A22" t="s">
        <v>415</v>
      </c>
      <c r="B22" t="s">
        <v>411</v>
      </c>
      <c r="C22" t="s">
        <v>30</v>
      </c>
      <c r="D22" s="7">
        <v>45950</v>
      </c>
      <c r="E22" t="s">
        <v>79</v>
      </c>
      <c r="F22" t="s">
        <v>32</v>
      </c>
      <c r="G22">
        <v>21</v>
      </c>
      <c r="H22" t="s">
        <v>33</v>
      </c>
      <c r="I22">
        <v>5</v>
      </c>
      <c r="J22">
        <v>10</v>
      </c>
      <c r="K22">
        <v>3</v>
      </c>
      <c r="L22">
        <f t="shared" si="0"/>
        <v>1</v>
      </c>
      <c r="P22">
        <f t="shared" si="1"/>
        <v>1</v>
      </c>
      <c r="Q22">
        <f t="shared" si="2"/>
        <v>1</v>
      </c>
      <c r="R22">
        <f t="shared" si="3"/>
        <v>1</v>
      </c>
      <c r="S22">
        <f t="shared" si="4"/>
        <v>3</v>
      </c>
      <c r="T22" t="str">
        <f t="shared" si="5"/>
        <v>DerivedFromCount</v>
      </c>
      <c r="U22" t="str">
        <f>IF(COUNTIF(DailyProduction!$Q$5:$Q$100,B22)=1,"OK","CHECK")</f>
        <v>OK</v>
      </c>
      <c r="V22" t="str">
        <f t="shared" si="6"/>
        <v>OK</v>
      </c>
      <c r="W22" t="str">
        <f>IF(SUMIF($B$5:$B$914,B22,$S$5:$S$914)=SUMIF(DailyProduction!$Q$5:$Q$100,B22,DailyProduction!$R$5:$R$100),"OK","CHECK")</f>
        <v>OK</v>
      </c>
    </row>
    <row r="23" spans="1:23">
      <c r="A23" t="s">
        <v>416</v>
      </c>
      <c r="B23" t="s">
        <v>411</v>
      </c>
      <c r="C23" t="s">
        <v>30</v>
      </c>
      <c r="D23" s="7">
        <v>45950</v>
      </c>
      <c r="E23" t="s">
        <v>79</v>
      </c>
      <c r="F23" t="s">
        <v>32</v>
      </c>
      <c r="G23">
        <v>21</v>
      </c>
      <c r="H23" t="s">
        <v>33</v>
      </c>
      <c r="I23">
        <v>6</v>
      </c>
      <c r="J23">
        <v>10</v>
      </c>
      <c r="K23">
        <v>3</v>
      </c>
      <c r="L23">
        <f t="shared" si="0"/>
        <v>1</v>
      </c>
      <c r="P23">
        <f t="shared" si="1"/>
        <v>1</v>
      </c>
      <c r="Q23">
        <f t="shared" si="2"/>
        <v>1</v>
      </c>
      <c r="R23">
        <f t="shared" si="3"/>
        <v>1</v>
      </c>
      <c r="S23">
        <f t="shared" si="4"/>
        <v>3</v>
      </c>
      <c r="T23" t="str">
        <f t="shared" si="5"/>
        <v>DerivedFromCount</v>
      </c>
      <c r="U23" t="str">
        <f>IF(COUNTIF(DailyProduction!$Q$5:$Q$100,B23)=1,"OK","CHECK")</f>
        <v>OK</v>
      </c>
      <c r="V23" t="str">
        <f t="shared" si="6"/>
        <v>OK</v>
      </c>
      <c r="W23" t="str">
        <f>IF(SUMIF($B$5:$B$914,B23,$S$5:$S$914)=SUMIF(DailyProduction!$Q$5:$Q$100,B23,DailyProduction!$R$5:$R$100),"OK","CHECK")</f>
        <v>OK</v>
      </c>
    </row>
    <row r="24" spans="1:23">
      <c r="A24" t="s">
        <v>417</v>
      </c>
      <c r="B24" t="s">
        <v>411</v>
      </c>
      <c r="C24" t="s">
        <v>30</v>
      </c>
      <c r="D24" s="7">
        <v>45950</v>
      </c>
      <c r="E24" t="s">
        <v>79</v>
      </c>
      <c r="F24" t="s">
        <v>32</v>
      </c>
      <c r="G24">
        <v>21</v>
      </c>
      <c r="H24" t="s">
        <v>33</v>
      </c>
      <c r="I24">
        <v>7</v>
      </c>
      <c r="J24">
        <v>10</v>
      </c>
      <c r="K24">
        <v>3</v>
      </c>
      <c r="L24">
        <f t="shared" si="0"/>
        <v>1</v>
      </c>
      <c r="P24">
        <f t="shared" si="1"/>
        <v>1</v>
      </c>
      <c r="Q24">
        <f t="shared" si="2"/>
        <v>1</v>
      </c>
      <c r="R24">
        <f t="shared" si="3"/>
        <v>1</v>
      </c>
      <c r="S24">
        <f t="shared" si="4"/>
        <v>3</v>
      </c>
      <c r="T24" t="str">
        <f t="shared" si="5"/>
        <v>DerivedFromCount</v>
      </c>
      <c r="U24" t="str">
        <f>IF(COUNTIF(DailyProduction!$Q$5:$Q$100,B24)=1,"OK","CHECK")</f>
        <v>OK</v>
      </c>
      <c r="V24" t="str">
        <f t="shared" si="6"/>
        <v>OK</v>
      </c>
      <c r="W24" t="str">
        <f>IF(SUMIF($B$5:$B$914,B24,$S$5:$S$914)=SUMIF(DailyProduction!$Q$5:$Q$100,B24,DailyProduction!$R$5:$R$100),"OK","CHECK")</f>
        <v>OK</v>
      </c>
    </row>
    <row r="25" spans="1:23">
      <c r="A25" t="s">
        <v>418</v>
      </c>
      <c r="B25" t="s">
        <v>411</v>
      </c>
      <c r="C25" t="s">
        <v>30</v>
      </c>
      <c r="D25" s="7">
        <v>45950</v>
      </c>
      <c r="E25" t="s">
        <v>79</v>
      </c>
      <c r="F25" t="s">
        <v>32</v>
      </c>
      <c r="G25">
        <v>21</v>
      </c>
      <c r="H25" t="s">
        <v>33</v>
      </c>
      <c r="I25">
        <v>8</v>
      </c>
      <c r="J25">
        <v>10</v>
      </c>
      <c r="K25">
        <v>3</v>
      </c>
      <c r="L25">
        <f t="shared" si="0"/>
        <v>1</v>
      </c>
      <c r="P25">
        <f t="shared" si="1"/>
        <v>1</v>
      </c>
      <c r="Q25">
        <f t="shared" si="2"/>
        <v>1</v>
      </c>
      <c r="R25">
        <f t="shared" si="3"/>
        <v>1</v>
      </c>
      <c r="S25">
        <f t="shared" si="4"/>
        <v>3</v>
      </c>
      <c r="T25" t="str">
        <f t="shared" si="5"/>
        <v>DerivedFromCount</v>
      </c>
      <c r="U25" t="str">
        <f>IF(COUNTIF(DailyProduction!$Q$5:$Q$100,B25)=1,"OK","CHECK")</f>
        <v>OK</v>
      </c>
      <c r="V25" t="str">
        <f t="shared" si="6"/>
        <v>OK</v>
      </c>
      <c r="W25" t="str">
        <f>IF(SUMIF($B$5:$B$914,B25,$S$5:$S$914)=SUMIF(DailyProduction!$Q$5:$Q$100,B25,DailyProduction!$R$5:$R$100),"OK","CHECK")</f>
        <v>OK</v>
      </c>
    </row>
    <row r="26" spans="1:23">
      <c r="A26" t="s">
        <v>419</v>
      </c>
      <c r="B26" t="s">
        <v>411</v>
      </c>
      <c r="C26" t="s">
        <v>30</v>
      </c>
      <c r="D26" s="7">
        <v>45950</v>
      </c>
      <c r="E26" t="s">
        <v>79</v>
      </c>
      <c r="F26" t="s">
        <v>32</v>
      </c>
      <c r="G26">
        <v>21</v>
      </c>
      <c r="H26" t="s">
        <v>33</v>
      </c>
      <c r="I26">
        <v>9</v>
      </c>
      <c r="J26">
        <v>10</v>
      </c>
      <c r="K26">
        <v>3</v>
      </c>
      <c r="L26">
        <f t="shared" si="0"/>
        <v>1</v>
      </c>
      <c r="P26">
        <f t="shared" si="1"/>
        <v>1</v>
      </c>
      <c r="Q26">
        <f t="shared" si="2"/>
        <v>1</v>
      </c>
      <c r="R26">
        <f t="shared" si="3"/>
        <v>1</v>
      </c>
      <c r="S26">
        <f t="shared" si="4"/>
        <v>3</v>
      </c>
      <c r="T26" t="str">
        <f t="shared" si="5"/>
        <v>DerivedFromCount</v>
      </c>
      <c r="U26" t="str">
        <f>IF(COUNTIF(DailyProduction!$Q$5:$Q$100,B26)=1,"OK","CHECK")</f>
        <v>OK</v>
      </c>
      <c r="V26" t="str">
        <f t="shared" si="6"/>
        <v>OK</v>
      </c>
      <c r="W26" t="str">
        <f>IF(SUMIF($B$5:$B$914,B26,$S$5:$S$914)=SUMIF(DailyProduction!$Q$5:$Q$100,B26,DailyProduction!$R$5:$R$100),"OK","CHECK")</f>
        <v>OK</v>
      </c>
    </row>
    <row r="27" spans="1:23">
      <c r="A27" t="s">
        <v>420</v>
      </c>
      <c r="B27" t="s">
        <v>411</v>
      </c>
      <c r="C27" t="s">
        <v>30</v>
      </c>
      <c r="D27" s="7">
        <v>45950</v>
      </c>
      <c r="E27" t="s">
        <v>79</v>
      </c>
      <c r="F27" t="s">
        <v>32</v>
      </c>
      <c r="G27">
        <v>21</v>
      </c>
      <c r="H27" t="s">
        <v>33</v>
      </c>
      <c r="I27">
        <v>10</v>
      </c>
      <c r="J27">
        <v>10</v>
      </c>
      <c r="K27">
        <v>3</v>
      </c>
      <c r="L27">
        <f t="shared" si="0"/>
        <v>1</v>
      </c>
      <c r="P27">
        <f t="shared" si="1"/>
        <v>1</v>
      </c>
      <c r="Q27">
        <f t="shared" si="2"/>
        <v>1</v>
      </c>
      <c r="R27">
        <f t="shared" si="3"/>
        <v>1</v>
      </c>
      <c r="S27">
        <f t="shared" si="4"/>
        <v>3</v>
      </c>
      <c r="T27" t="str">
        <f t="shared" si="5"/>
        <v>DerivedFromCount</v>
      </c>
      <c r="U27" t="str">
        <f>IF(COUNTIF(DailyProduction!$Q$5:$Q$100,B27)=1,"OK","CHECK")</f>
        <v>OK</v>
      </c>
      <c r="V27" t="str">
        <f t="shared" si="6"/>
        <v>OK</v>
      </c>
      <c r="W27" t="str">
        <f>IF(SUMIF($B$5:$B$914,B27,$S$5:$S$914)=SUMIF(DailyProduction!$Q$5:$Q$100,B27,DailyProduction!$R$5:$R$100),"OK","CHECK")</f>
        <v>OK</v>
      </c>
    </row>
    <row r="28" spans="1:23">
      <c r="A28" t="s">
        <v>421</v>
      </c>
      <c r="B28" t="s">
        <v>411</v>
      </c>
      <c r="C28" t="s">
        <v>30</v>
      </c>
      <c r="D28" s="7">
        <v>45950</v>
      </c>
      <c r="E28" t="s">
        <v>79</v>
      </c>
      <c r="F28" t="s">
        <v>32</v>
      </c>
      <c r="G28">
        <v>21</v>
      </c>
      <c r="H28" t="s">
        <v>33</v>
      </c>
      <c r="I28">
        <v>11</v>
      </c>
      <c r="J28">
        <v>10</v>
      </c>
      <c r="K28">
        <v>3</v>
      </c>
      <c r="L28">
        <f t="shared" si="0"/>
        <v>0</v>
      </c>
      <c r="P28">
        <f t="shared" si="1"/>
        <v>0</v>
      </c>
      <c r="Q28">
        <f t="shared" si="2"/>
        <v>0</v>
      </c>
      <c r="R28">
        <f t="shared" si="3"/>
        <v>0</v>
      </c>
      <c r="S28">
        <f t="shared" si="4"/>
        <v>0</v>
      </c>
      <c r="T28" t="str">
        <f t="shared" si="5"/>
        <v>DerivedFromCount</v>
      </c>
      <c r="U28" t="str">
        <f>IF(COUNTIF(DailyProduction!$Q$5:$Q$100,B28)=1,"OK","CHECK")</f>
        <v>OK</v>
      </c>
      <c r="V28" t="str">
        <f t="shared" si="6"/>
        <v>OK</v>
      </c>
      <c r="W28" t="str">
        <f>IF(SUMIF($B$5:$B$914,B28,$S$5:$S$914)=SUMIF(DailyProduction!$Q$5:$Q$100,B28,DailyProduction!$R$5:$R$100),"OK","CHECK")</f>
        <v>OK</v>
      </c>
    </row>
    <row r="29" spans="1:23">
      <c r="A29" t="s">
        <v>422</v>
      </c>
      <c r="B29" t="s">
        <v>411</v>
      </c>
      <c r="C29" t="s">
        <v>30</v>
      </c>
      <c r="D29" s="7">
        <v>45950</v>
      </c>
      <c r="E29" t="s">
        <v>79</v>
      </c>
      <c r="F29" t="s">
        <v>32</v>
      </c>
      <c r="G29">
        <v>21</v>
      </c>
      <c r="H29" t="s">
        <v>33</v>
      </c>
      <c r="I29">
        <v>12</v>
      </c>
      <c r="J29">
        <v>10</v>
      </c>
      <c r="K29">
        <v>3</v>
      </c>
      <c r="L29">
        <f t="shared" si="0"/>
        <v>0</v>
      </c>
      <c r="P29">
        <f t="shared" si="1"/>
        <v>0</v>
      </c>
      <c r="Q29">
        <f t="shared" si="2"/>
        <v>0</v>
      </c>
      <c r="R29">
        <f t="shared" si="3"/>
        <v>0</v>
      </c>
      <c r="S29">
        <f t="shared" si="4"/>
        <v>0</v>
      </c>
      <c r="T29" t="str">
        <f t="shared" si="5"/>
        <v>DerivedFromCount</v>
      </c>
      <c r="U29" t="str">
        <f>IF(COUNTIF(DailyProduction!$Q$5:$Q$100,B29)=1,"OK","CHECK")</f>
        <v>OK</v>
      </c>
      <c r="V29" t="str">
        <f t="shared" si="6"/>
        <v>OK</v>
      </c>
      <c r="W29" t="str">
        <f>IF(SUMIF($B$5:$B$914,B29,$S$5:$S$914)=SUMIF(DailyProduction!$Q$5:$Q$100,B29,DailyProduction!$R$5:$R$100),"OK","CHECK")</f>
        <v>OK</v>
      </c>
    </row>
    <row r="30" spans="1:23">
      <c r="A30" t="s">
        <v>423</v>
      </c>
      <c r="B30" t="s">
        <v>411</v>
      </c>
      <c r="C30" t="s">
        <v>30</v>
      </c>
      <c r="D30" s="7">
        <v>45950</v>
      </c>
      <c r="E30" t="s">
        <v>79</v>
      </c>
      <c r="F30" t="s">
        <v>32</v>
      </c>
      <c r="G30">
        <v>21</v>
      </c>
      <c r="H30" t="s">
        <v>33</v>
      </c>
      <c r="I30">
        <v>13</v>
      </c>
      <c r="J30">
        <v>10</v>
      </c>
      <c r="K30">
        <v>3</v>
      </c>
      <c r="L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0</v>
      </c>
      <c r="T30" t="str">
        <f t="shared" si="5"/>
        <v>DerivedFromCount</v>
      </c>
      <c r="U30" t="str">
        <f>IF(COUNTIF(DailyProduction!$Q$5:$Q$100,B30)=1,"OK","CHECK")</f>
        <v>OK</v>
      </c>
      <c r="V30" t="str">
        <f t="shared" si="6"/>
        <v>OK</v>
      </c>
      <c r="W30" t="str">
        <f>IF(SUMIF($B$5:$B$914,B30,$S$5:$S$914)=SUMIF(DailyProduction!$Q$5:$Q$100,B30,DailyProduction!$R$5:$R$100),"OK","CHECK")</f>
        <v>OK</v>
      </c>
    </row>
    <row r="31" spans="1:23">
      <c r="A31" t="s">
        <v>424</v>
      </c>
      <c r="B31" t="s">
        <v>425</v>
      </c>
      <c r="C31" t="s">
        <v>30</v>
      </c>
      <c r="D31" s="7">
        <v>45951</v>
      </c>
      <c r="E31" t="s">
        <v>31</v>
      </c>
      <c r="F31" t="s">
        <v>32</v>
      </c>
      <c r="G31">
        <v>21</v>
      </c>
      <c r="H31" t="s">
        <v>34</v>
      </c>
      <c r="I31">
        <v>1</v>
      </c>
      <c r="J31">
        <v>10</v>
      </c>
      <c r="K31">
        <v>2</v>
      </c>
      <c r="L31">
        <f t="shared" si="0"/>
        <v>1</v>
      </c>
      <c r="P31">
        <f t="shared" si="1"/>
        <v>1</v>
      </c>
      <c r="Q31">
        <f t="shared" si="2"/>
        <v>1</v>
      </c>
      <c r="R31">
        <f t="shared" si="3"/>
        <v>0</v>
      </c>
      <c r="S31">
        <f t="shared" si="4"/>
        <v>2</v>
      </c>
      <c r="T31" t="str">
        <f t="shared" si="5"/>
        <v>DerivedFromCount</v>
      </c>
      <c r="U31" t="str">
        <f>IF(COUNTIF(DailyProduction!$Q$5:$Q$100,B31)=1,"OK","CHECK")</f>
        <v>OK</v>
      </c>
      <c r="V31" t="str">
        <f t="shared" si="6"/>
        <v>OK</v>
      </c>
      <c r="W31" t="str">
        <f>IF(SUMIF($B$5:$B$914,B31,$S$5:$S$914)=SUMIF(DailyProduction!$Q$5:$Q$100,B31,DailyProduction!$R$5:$R$100),"OK","CHECK")</f>
        <v>OK</v>
      </c>
    </row>
    <row r="32" spans="1:23">
      <c r="A32" t="s">
        <v>426</v>
      </c>
      <c r="B32" t="s">
        <v>425</v>
      </c>
      <c r="C32" t="s">
        <v>30</v>
      </c>
      <c r="D32" s="7">
        <v>45951</v>
      </c>
      <c r="E32" t="s">
        <v>31</v>
      </c>
      <c r="F32" t="s">
        <v>32</v>
      </c>
      <c r="G32">
        <v>21</v>
      </c>
      <c r="H32" t="s">
        <v>34</v>
      </c>
      <c r="I32">
        <v>2</v>
      </c>
      <c r="J32">
        <v>10</v>
      </c>
      <c r="K32">
        <v>2</v>
      </c>
      <c r="L32">
        <f t="shared" si="0"/>
        <v>1</v>
      </c>
      <c r="P32">
        <f t="shared" si="1"/>
        <v>1</v>
      </c>
      <c r="Q32">
        <f t="shared" si="2"/>
        <v>1</v>
      </c>
      <c r="R32">
        <f t="shared" si="3"/>
        <v>0</v>
      </c>
      <c r="S32">
        <f t="shared" si="4"/>
        <v>2</v>
      </c>
      <c r="T32" t="str">
        <f t="shared" si="5"/>
        <v>DerivedFromCount</v>
      </c>
      <c r="U32" t="str">
        <f>IF(COUNTIF(DailyProduction!$Q$5:$Q$100,B32)=1,"OK","CHECK")</f>
        <v>OK</v>
      </c>
      <c r="V32" t="str">
        <f t="shared" si="6"/>
        <v>OK</v>
      </c>
      <c r="W32" t="str">
        <f>IF(SUMIF($B$5:$B$914,B32,$S$5:$S$914)=SUMIF(DailyProduction!$Q$5:$Q$100,B32,DailyProduction!$R$5:$R$100),"OK","CHECK")</f>
        <v>OK</v>
      </c>
    </row>
    <row r="33" spans="1:23">
      <c r="A33" t="s">
        <v>427</v>
      </c>
      <c r="B33" t="s">
        <v>425</v>
      </c>
      <c r="C33" t="s">
        <v>30</v>
      </c>
      <c r="D33" s="7">
        <v>45951</v>
      </c>
      <c r="E33" t="s">
        <v>31</v>
      </c>
      <c r="F33" t="s">
        <v>32</v>
      </c>
      <c r="G33">
        <v>21</v>
      </c>
      <c r="H33" t="s">
        <v>34</v>
      </c>
      <c r="I33">
        <v>3</v>
      </c>
      <c r="J33">
        <v>10</v>
      </c>
      <c r="K33">
        <v>2</v>
      </c>
      <c r="L33">
        <f t="shared" si="0"/>
        <v>1</v>
      </c>
      <c r="P33">
        <f t="shared" si="1"/>
        <v>1</v>
      </c>
      <c r="Q33">
        <f t="shared" si="2"/>
        <v>1</v>
      </c>
      <c r="R33">
        <f t="shared" si="3"/>
        <v>0</v>
      </c>
      <c r="S33">
        <f t="shared" si="4"/>
        <v>2</v>
      </c>
      <c r="T33" t="str">
        <f t="shared" si="5"/>
        <v>DerivedFromCount</v>
      </c>
      <c r="U33" t="str">
        <f>IF(COUNTIF(DailyProduction!$Q$5:$Q$100,B33)=1,"OK","CHECK")</f>
        <v>OK</v>
      </c>
      <c r="V33" t="str">
        <f t="shared" si="6"/>
        <v>OK</v>
      </c>
      <c r="W33" t="str">
        <f>IF(SUMIF($B$5:$B$914,B33,$S$5:$S$914)=SUMIF(DailyProduction!$Q$5:$Q$100,B33,DailyProduction!$R$5:$R$100),"OK","CHECK")</f>
        <v>OK</v>
      </c>
    </row>
    <row r="34" spans="1:23">
      <c r="A34" t="s">
        <v>428</v>
      </c>
      <c r="B34" t="s">
        <v>425</v>
      </c>
      <c r="C34" t="s">
        <v>30</v>
      </c>
      <c r="D34" s="7">
        <v>45951</v>
      </c>
      <c r="E34" t="s">
        <v>31</v>
      </c>
      <c r="F34" t="s">
        <v>32</v>
      </c>
      <c r="G34">
        <v>21</v>
      </c>
      <c r="H34" t="s">
        <v>34</v>
      </c>
      <c r="I34">
        <v>4</v>
      </c>
      <c r="J34">
        <v>10</v>
      </c>
      <c r="K34">
        <v>2</v>
      </c>
      <c r="L34">
        <f t="shared" si="0"/>
        <v>1</v>
      </c>
      <c r="P34">
        <f t="shared" si="1"/>
        <v>1</v>
      </c>
      <c r="Q34">
        <f t="shared" si="2"/>
        <v>1</v>
      </c>
      <c r="R34">
        <f t="shared" si="3"/>
        <v>0</v>
      </c>
      <c r="S34">
        <f t="shared" si="4"/>
        <v>2</v>
      </c>
      <c r="T34" t="str">
        <f t="shared" si="5"/>
        <v>DerivedFromCount</v>
      </c>
      <c r="U34" t="str">
        <f>IF(COUNTIF(DailyProduction!$Q$5:$Q$100,B34)=1,"OK","CHECK")</f>
        <v>OK</v>
      </c>
      <c r="V34" t="str">
        <f t="shared" si="6"/>
        <v>OK</v>
      </c>
      <c r="W34" t="str">
        <f>IF(SUMIF($B$5:$B$914,B34,$S$5:$S$914)=SUMIF(DailyProduction!$Q$5:$Q$100,B34,DailyProduction!$R$5:$R$100),"OK","CHECK")</f>
        <v>OK</v>
      </c>
    </row>
    <row r="35" spans="1:23">
      <c r="A35" t="s">
        <v>429</v>
      </c>
      <c r="B35" t="s">
        <v>425</v>
      </c>
      <c r="C35" t="s">
        <v>30</v>
      </c>
      <c r="D35" s="7">
        <v>45951</v>
      </c>
      <c r="E35" t="s">
        <v>31</v>
      </c>
      <c r="F35" t="s">
        <v>32</v>
      </c>
      <c r="G35">
        <v>21</v>
      </c>
      <c r="H35" t="s">
        <v>34</v>
      </c>
      <c r="I35">
        <v>5</v>
      </c>
      <c r="J35">
        <v>10</v>
      </c>
      <c r="K35">
        <v>2</v>
      </c>
      <c r="L35">
        <f t="shared" si="0"/>
        <v>1</v>
      </c>
      <c r="P35">
        <f t="shared" si="1"/>
        <v>1</v>
      </c>
      <c r="Q35">
        <f t="shared" si="2"/>
        <v>1</v>
      </c>
      <c r="R35">
        <f t="shared" si="3"/>
        <v>0</v>
      </c>
      <c r="S35">
        <f t="shared" si="4"/>
        <v>2</v>
      </c>
      <c r="T35" t="str">
        <f t="shared" si="5"/>
        <v>DerivedFromCount</v>
      </c>
      <c r="U35" t="str">
        <f>IF(COUNTIF(DailyProduction!$Q$5:$Q$100,B35)=1,"OK","CHECK")</f>
        <v>OK</v>
      </c>
      <c r="V35" t="str">
        <f t="shared" si="6"/>
        <v>OK</v>
      </c>
      <c r="W35" t="str">
        <f>IF(SUMIF($B$5:$B$914,B35,$S$5:$S$914)=SUMIF(DailyProduction!$Q$5:$Q$100,B35,DailyProduction!$R$5:$R$100),"OK","CHECK")</f>
        <v>OK</v>
      </c>
    </row>
    <row r="36" spans="1:23">
      <c r="A36" t="s">
        <v>430</v>
      </c>
      <c r="B36" t="s">
        <v>425</v>
      </c>
      <c r="C36" t="s">
        <v>30</v>
      </c>
      <c r="D36" s="7">
        <v>45951</v>
      </c>
      <c r="E36" t="s">
        <v>31</v>
      </c>
      <c r="F36" t="s">
        <v>32</v>
      </c>
      <c r="G36">
        <v>21</v>
      </c>
      <c r="H36" t="s">
        <v>34</v>
      </c>
      <c r="I36">
        <v>6</v>
      </c>
      <c r="J36">
        <v>10</v>
      </c>
      <c r="K36">
        <v>2</v>
      </c>
      <c r="L36">
        <f t="shared" si="0"/>
        <v>1</v>
      </c>
      <c r="P36">
        <f t="shared" si="1"/>
        <v>1</v>
      </c>
      <c r="Q36">
        <f t="shared" si="2"/>
        <v>1</v>
      </c>
      <c r="R36">
        <f t="shared" si="3"/>
        <v>0</v>
      </c>
      <c r="S36">
        <f t="shared" si="4"/>
        <v>2</v>
      </c>
      <c r="T36" t="str">
        <f t="shared" si="5"/>
        <v>DerivedFromCount</v>
      </c>
      <c r="U36" t="str">
        <f>IF(COUNTIF(DailyProduction!$Q$5:$Q$100,B36)=1,"OK","CHECK")</f>
        <v>OK</v>
      </c>
      <c r="V36" t="str">
        <f t="shared" si="6"/>
        <v>OK</v>
      </c>
      <c r="W36" t="str">
        <f>IF(SUMIF($B$5:$B$914,B36,$S$5:$S$914)=SUMIF(DailyProduction!$Q$5:$Q$100,B36,DailyProduction!$R$5:$R$100),"OK","CHECK")</f>
        <v>OK</v>
      </c>
    </row>
    <row r="37" spans="1:23">
      <c r="A37" t="s">
        <v>431</v>
      </c>
      <c r="B37" t="s">
        <v>425</v>
      </c>
      <c r="C37" t="s">
        <v>30</v>
      </c>
      <c r="D37" s="7">
        <v>45951</v>
      </c>
      <c r="E37" t="s">
        <v>31</v>
      </c>
      <c r="F37" t="s">
        <v>32</v>
      </c>
      <c r="G37">
        <v>21</v>
      </c>
      <c r="H37" t="s">
        <v>34</v>
      </c>
      <c r="I37">
        <v>7</v>
      </c>
      <c r="J37">
        <v>10</v>
      </c>
      <c r="K37">
        <v>2</v>
      </c>
      <c r="L37">
        <f t="shared" si="0"/>
        <v>1</v>
      </c>
      <c r="P37">
        <f t="shared" si="1"/>
        <v>1</v>
      </c>
      <c r="Q37">
        <f t="shared" si="2"/>
        <v>1</v>
      </c>
      <c r="R37">
        <f t="shared" si="3"/>
        <v>0</v>
      </c>
      <c r="S37">
        <f t="shared" si="4"/>
        <v>2</v>
      </c>
      <c r="T37" t="str">
        <f t="shared" si="5"/>
        <v>DerivedFromCount</v>
      </c>
      <c r="U37" t="str">
        <f>IF(COUNTIF(DailyProduction!$Q$5:$Q$100,B37)=1,"OK","CHECK")</f>
        <v>OK</v>
      </c>
      <c r="V37" t="str">
        <f t="shared" si="6"/>
        <v>OK</v>
      </c>
      <c r="W37" t="str">
        <f>IF(SUMIF($B$5:$B$914,B37,$S$5:$S$914)=SUMIF(DailyProduction!$Q$5:$Q$100,B37,DailyProduction!$R$5:$R$100),"OK","CHECK")</f>
        <v>OK</v>
      </c>
    </row>
    <row r="38" spans="1:23">
      <c r="A38" t="s">
        <v>432</v>
      </c>
      <c r="B38" t="s">
        <v>425</v>
      </c>
      <c r="C38" t="s">
        <v>30</v>
      </c>
      <c r="D38" s="7">
        <v>45951</v>
      </c>
      <c r="E38" t="s">
        <v>31</v>
      </c>
      <c r="F38" t="s">
        <v>32</v>
      </c>
      <c r="G38">
        <v>21</v>
      </c>
      <c r="H38" t="s">
        <v>34</v>
      </c>
      <c r="I38">
        <v>8</v>
      </c>
      <c r="J38">
        <v>10</v>
      </c>
      <c r="K38">
        <v>2</v>
      </c>
      <c r="L38">
        <f t="shared" si="0"/>
        <v>1</v>
      </c>
      <c r="P38">
        <f t="shared" si="1"/>
        <v>1</v>
      </c>
      <c r="Q38">
        <f t="shared" si="2"/>
        <v>1</v>
      </c>
      <c r="R38">
        <f t="shared" si="3"/>
        <v>0</v>
      </c>
      <c r="S38">
        <f t="shared" si="4"/>
        <v>2</v>
      </c>
      <c r="T38" t="str">
        <f t="shared" si="5"/>
        <v>DerivedFromCount</v>
      </c>
      <c r="U38" t="str">
        <f>IF(COUNTIF(DailyProduction!$Q$5:$Q$100,B38)=1,"OK","CHECK")</f>
        <v>OK</v>
      </c>
      <c r="V38" t="str">
        <f t="shared" si="6"/>
        <v>OK</v>
      </c>
      <c r="W38" t="str">
        <f>IF(SUMIF($B$5:$B$914,B38,$S$5:$S$914)=SUMIF(DailyProduction!$Q$5:$Q$100,B38,DailyProduction!$R$5:$R$100),"OK","CHECK")</f>
        <v>OK</v>
      </c>
    </row>
    <row r="39" spans="1:23">
      <c r="A39" t="s">
        <v>433</v>
      </c>
      <c r="B39" t="s">
        <v>425</v>
      </c>
      <c r="C39" t="s">
        <v>30</v>
      </c>
      <c r="D39" s="7">
        <v>45951</v>
      </c>
      <c r="E39" t="s">
        <v>31</v>
      </c>
      <c r="F39" t="s">
        <v>32</v>
      </c>
      <c r="G39">
        <v>21</v>
      </c>
      <c r="H39" t="s">
        <v>34</v>
      </c>
      <c r="I39">
        <v>9</v>
      </c>
      <c r="J39">
        <v>10</v>
      </c>
      <c r="K39">
        <v>2</v>
      </c>
      <c r="L39">
        <f t="shared" si="0"/>
        <v>1</v>
      </c>
      <c r="P39">
        <f t="shared" si="1"/>
        <v>1</v>
      </c>
      <c r="Q39">
        <f t="shared" si="2"/>
        <v>1</v>
      </c>
      <c r="R39">
        <f t="shared" si="3"/>
        <v>0</v>
      </c>
      <c r="S39">
        <f t="shared" si="4"/>
        <v>2</v>
      </c>
      <c r="T39" t="str">
        <f t="shared" si="5"/>
        <v>DerivedFromCount</v>
      </c>
      <c r="U39" t="str">
        <f>IF(COUNTIF(DailyProduction!$Q$5:$Q$100,B39)=1,"OK","CHECK")</f>
        <v>OK</v>
      </c>
      <c r="V39" t="str">
        <f t="shared" si="6"/>
        <v>OK</v>
      </c>
      <c r="W39" t="str">
        <f>IF(SUMIF($B$5:$B$914,B39,$S$5:$S$914)=SUMIF(DailyProduction!$Q$5:$Q$100,B39,DailyProduction!$R$5:$R$100),"OK","CHECK")</f>
        <v>OK</v>
      </c>
    </row>
    <row r="40" spans="1:23">
      <c r="A40" t="s">
        <v>434</v>
      </c>
      <c r="B40" t="s">
        <v>425</v>
      </c>
      <c r="C40" t="s">
        <v>30</v>
      </c>
      <c r="D40" s="7">
        <v>45951</v>
      </c>
      <c r="E40" t="s">
        <v>31</v>
      </c>
      <c r="F40" t="s">
        <v>32</v>
      </c>
      <c r="G40">
        <v>21</v>
      </c>
      <c r="H40" t="s">
        <v>34</v>
      </c>
      <c r="I40">
        <v>10</v>
      </c>
      <c r="J40">
        <v>10</v>
      </c>
      <c r="K40">
        <v>2</v>
      </c>
      <c r="L40">
        <f t="shared" si="0"/>
        <v>1</v>
      </c>
      <c r="P40">
        <f t="shared" si="1"/>
        <v>1</v>
      </c>
      <c r="Q40">
        <f t="shared" si="2"/>
        <v>1</v>
      </c>
      <c r="R40">
        <f t="shared" si="3"/>
        <v>0</v>
      </c>
      <c r="S40">
        <f t="shared" si="4"/>
        <v>2</v>
      </c>
      <c r="T40" t="str">
        <f t="shared" si="5"/>
        <v>DerivedFromCount</v>
      </c>
      <c r="U40" t="str">
        <f>IF(COUNTIF(DailyProduction!$Q$5:$Q$100,B40)=1,"OK","CHECK")</f>
        <v>OK</v>
      </c>
      <c r="V40" t="str">
        <f t="shared" si="6"/>
        <v>OK</v>
      </c>
      <c r="W40" t="str">
        <f>IF(SUMIF($B$5:$B$914,B40,$S$5:$S$914)=SUMIF(DailyProduction!$Q$5:$Q$100,B40,DailyProduction!$R$5:$R$100),"OK","CHECK")</f>
        <v>OK</v>
      </c>
    </row>
    <row r="41" spans="1:23">
      <c r="A41" t="s">
        <v>435</v>
      </c>
      <c r="B41" t="s">
        <v>425</v>
      </c>
      <c r="C41" t="s">
        <v>30</v>
      </c>
      <c r="D41" s="7">
        <v>45951</v>
      </c>
      <c r="E41" t="s">
        <v>31</v>
      </c>
      <c r="F41" t="s">
        <v>32</v>
      </c>
      <c r="G41">
        <v>21</v>
      </c>
      <c r="H41" t="s">
        <v>34</v>
      </c>
      <c r="I41">
        <v>11</v>
      </c>
      <c r="J41">
        <v>10</v>
      </c>
      <c r="K41">
        <v>2</v>
      </c>
      <c r="L41">
        <f t="shared" si="0"/>
        <v>0</v>
      </c>
      <c r="P41">
        <f t="shared" si="1"/>
        <v>0</v>
      </c>
      <c r="Q41">
        <f t="shared" si="2"/>
        <v>0</v>
      </c>
      <c r="R41">
        <f t="shared" si="3"/>
        <v>0</v>
      </c>
      <c r="S41">
        <f t="shared" si="4"/>
        <v>0</v>
      </c>
      <c r="T41" t="str">
        <f t="shared" si="5"/>
        <v>DerivedFromCount</v>
      </c>
      <c r="U41" t="str">
        <f>IF(COUNTIF(DailyProduction!$Q$5:$Q$100,B41)=1,"OK","CHECK")</f>
        <v>OK</v>
      </c>
      <c r="V41" t="str">
        <f t="shared" si="6"/>
        <v>OK</v>
      </c>
      <c r="W41" t="str">
        <f>IF(SUMIF($B$5:$B$914,B41,$S$5:$S$914)=SUMIF(DailyProduction!$Q$5:$Q$100,B41,DailyProduction!$R$5:$R$100),"OK","CHECK")</f>
        <v>OK</v>
      </c>
    </row>
    <row r="42" spans="1:23">
      <c r="A42" t="s">
        <v>436</v>
      </c>
      <c r="B42" t="s">
        <v>425</v>
      </c>
      <c r="C42" t="s">
        <v>30</v>
      </c>
      <c r="D42" s="7">
        <v>45951</v>
      </c>
      <c r="E42" t="s">
        <v>31</v>
      </c>
      <c r="F42" t="s">
        <v>32</v>
      </c>
      <c r="G42">
        <v>21</v>
      </c>
      <c r="H42" t="s">
        <v>34</v>
      </c>
      <c r="I42">
        <v>12</v>
      </c>
      <c r="J42">
        <v>10</v>
      </c>
      <c r="K42">
        <v>2</v>
      </c>
      <c r="L42">
        <f t="shared" si="0"/>
        <v>0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0</v>
      </c>
      <c r="T42" t="str">
        <f t="shared" si="5"/>
        <v>DerivedFromCount</v>
      </c>
      <c r="U42" t="str">
        <f>IF(COUNTIF(DailyProduction!$Q$5:$Q$100,B42)=1,"OK","CHECK")</f>
        <v>OK</v>
      </c>
      <c r="V42" t="str">
        <f t="shared" si="6"/>
        <v>OK</v>
      </c>
      <c r="W42" t="str">
        <f>IF(SUMIF($B$5:$B$914,B42,$S$5:$S$914)=SUMIF(DailyProduction!$Q$5:$Q$100,B42,DailyProduction!$R$5:$R$100),"OK","CHECK")</f>
        <v>OK</v>
      </c>
    </row>
    <row r="43" spans="1:23">
      <c r="A43" t="s">
        <v>437</v>
      </c>
      <c r="B43" t="s">
        <v>425</v>
      </c>
      <c r="C43" t="s">
        <v>30</v>
      </c>
      <c r="D43" s="7">
        <v>45951</v>
      </c>
      <c r="E43" t="s">
        <v>31</v>
      </c>
      <c r="F43" t="s">
        <v>32</v>
      </c>
      <c r="G43">
        <v>21</v>
      </c>
      <c r="H43" t="s">
        <v>34</v>
      </c>
      <c r="I43">
        <v>13</v>
      </c>
      <c r="J43">
        <v>10</v>
      </c>
      <c r="K43">
        <v>2</v>
      </c>
      <c r="L43">
        <f t="shared" si="0"/>
        <v>0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0</v>
      </c>
      <c r="T43" t="str">
        <f t="shared" si="5"/>
        <v>DerivedFromCount</v>
      </c>
      <c r="U43" t="str">
        <f>IF(COUNTIF(DailyProduction!$Q$5:$Q$100,B43)=1,"OK","CHECK")</f>
        <v>OK</v>
      </c>
      <c r="V43" t="str">
        <f t="shared" si="6"/>
        <v>OK</v>
      </c>
      <c r="W43" t="str">
        <f>IF(SUMIF($B$5:$B$914,B43,$S$5:$S$914)=SUMIF(DailyProduction!$Q$5:$Q$100,B43,DailyProduction!$R$5:$R$100),"OK","CHECK")</f>
        <v>OK</v>
      </c>
    </row>
    <row r="44" spans="1:23">
      <c r="A44" t="s">
        <v>438</v>
      </c>
      <c r="B44" t="s">
        <v>439</v>
      </c>
      <c r="C44" t="s">
        <v>30</v>
      </c>
      <c r="D44" s="7">
        <v>45951</v>
      </c>
      <c r="E44" t="s">
        <v>79</v>
      </c>
      <c r="F44" t="s">
        <v>37</v>
      </c>
      <c r="G44">
        <v>21</v>
      </c>
      <c r="H44" t="s">
        <v>34</v>
      </c>
      <c r="I44">
        <v>1</v>
      </c>
      <c r="J44">
        <v>10</v>
      </c>
      <c r="K44">
        <v>2</v>
      </c>
      <c r="L44">
        <f t="shared" si="0"/>
        <v>1</v>
      </c>
      <c r="P44">
        <f t="shared" si="1"/>
        <v>1</v>
      </c>
      <c r="Q44">
        <f t="shared" si="2"/>
        <v>1</v>
      </c>
      <c r="R44">
        <f t="shared" si="3"/>
        <v>0</v>
      </c>
      <c r="S44">
        <f t="shared" si="4"/>
        <v>2</v>
      </c>
      <c r="T44" t="str">
        <f t="shared" si="5"/>
        <v>DerivedFromCount</v>
      </c>
      <c r="U44" t="str">
        <f>IF(COUNTIF(DailyProduction!$Q$5:$Q$100,B44)=1,"OK","CHECK")</f>
        <v>OK</v>
      </c>
      <c r="V44" t="str">
        <f t="shared" si="6"/>
        <v>OK</v>
      </c>
      <c r="W44" t="str">
        <f>IF(SUMIF($B$5:$B$914,B44,$S$5:$S$914)=SUMIF(DailyProduction!$Q$5:$Q$100,B44,DailyProduction!$R$5:$R$100),"OK","CHECK")</f>
        <v>OK</v>
      </c>
    </row>
    <row r="45" spans="1:23">
      <c r="A45" t="s">
        <v>440</v>
      </c>
      <c r="B45" t="s">
        <v>439</v>
      </c>
      <c r="C45" t="s">
        <v>30</v>
      </c>
      <c r="D45" s="7">
        <v>45951</v>
      </c>
      <c r="E45" t="s">
        <v>79</v>
      </c>
      <c r="F45" t="s">
        <v>37</v>
      </c>
      <c r="G45">
        <v>21</v>
      </c>
      <c r="H45" t="s">
        <v>34</v>
      </c>
      <c r="I45">
        <v>2</v>
      </c>
      <c r="J45">
        <v>10</v>
      </c>
      <c r="K45">
        <v>2</v>
      </c>
      <c r="L45">
        <f t="shared" si="0"/>
        <v>1</v>
      </c>
      <c r="P45">
        <f t="shared" si="1"/>
        <v>1</v>
      </c>
      <c r="Q45">
        <f t="shared" si="2"/>
        <v>1</v>
      </c>
      <c r="R45">
        <f t="shared" si="3"/>
        <v>0</v>
      </c>
      <c r="S45">
        <f t="shared" si="4"/>
        <v>2</v>
      </c>
      <c r="T45" t="str">
        <f t="shared" si="5"/>
        <v>DerivedFromCount</v>
      </c>
      <c r="U45" t="str">
        <f>IF(COUNTIF(DailyProduction!$Q$5:$Q$100,B45)=1,"OK","CHECK")</f>
        <v>OK</v>
      </c>
      <c r="V45" t="str">
        <f t="shared" si="6"/>
        <v>OK</v>
      </c>
      <c r="W45" t="str">
        <f>IF(SUMIF($B$5:$B$914,B45,$S$5:$S$914)=SUMIF(DailyProduction!$Q$5:$Q$100,B45,DailyProduction!$R$5:$R$100),"OK","CHECK")</f>
        <v>OK</v>
      </c>
    </row>
    <row r="46" spans="1:23">
      <c r="A46" t="s">
        <v>441</v>
      </c>
      <c r="B46" t="s">
        <v>439</v>
      </c>
      <c r="C46" t="s">
        <v>30</v>
      </c>
      <c r="D46" s="7">
        <v>45951</v>
      </c>
      <c r="E46" t="s">
        <v>79</v>
      </c>
      <c r="F46" t="s">
        <v>37</v>
      </c>
      <c r="G46">
        <v>21</v>
      </c>
      <c r="H46" t="s">
        <v>34</v>
      </c>
      <c r="I46">
        <v>3</v>
      </c>
      <c r="J46">
        <v>10</v>
      </c>
      <c r="K46">
        <v>2</v>
      </c>
      <c r="L46">
        <f t="shared" si="0"/>
        <v>1</v>
      </c>
      <c r="P46">
        <f t="shared" si="1"/>
        <v>1</v>
      </c>
      <c r="Q46">
        <f t="shared" si="2"/>
        <v>1</v>
      </c>
      <c r="R46">
        <f t="shared" si="3"/>
        <v>0</v>
      </c>
      <c r="S46">
        <f t="shared" si="4"/>
        <v>2</v>
      </c>
      <c r="T46" t="str">
        <f t="shared" si="5"/>
        <v>DerivedFromCount</v>
      </c>
      <c r="U46" t="str">
        <f>IF(COUNTIF(DailyProduction!$Q$5:$Q$100,B46)=1,"OK","CHECK")</f>
        <v>OK</v>
      </c>
      <c r="V46" t="str">
        <f t="shared" si="6"/>
        <v>OK</v>
      </c>
      <c r="W46" t="str">
        <f>IF(SUMIF($B$5:$B$914,B46,$S$5:$S$914)=SUMIF(DailyProduction!$Q$5:$Q$100,B46,DailyProduction!$R$5:$R$100),"OK","CHECK")</f>
        <v>OK</v>
      </c>
    </row>
    <row r="47" spans="1:23">
      <c r="A47" t="s">
        <v>442</v>
      </c>
      <c r="B47" t="s">
        <v>439</v>
      </c>
      <c r="C47" t="s">
        <v>30</v>
      </c>
      <c r="D47" s="7">
        <v>45951</v>
      </c>
      <c r="E47" t="s">
        <v>79</v>
      </c>
      <c r="F47" t="s">
        <v>37</v>
      </c>
      <c r="G47">
        <v>21</v>
      </c>
      <c r="H47" t="s">
        <v>34</v>
      </c>
      <c r="I47">
        <v>4</v>
      </c>
      <c r="J47">
        <v>10</v>
      </c>
      <c r="K47">
        <v>2</v>
      </c>
      <c r="L47">
        <f t="shared" si="0"/>
        <v>1</v>
      </c>
      <c r="P47">
        <f t="shared" si="1"/>
        <v>1</v>
      </c>
      <c r="Q47">
        <f t="shared" si="2"/>
        <v>1</v>
      </c>
      <c r="R47">
        <f t="shared" si="3"/>
        <v>0</v>
      </c>
      <c r="S47">
        <f t="shared" si="4"/>
        <v>2</v>
      </c>
      <c r="T47" t="str">
        <f t="shared" si="5"/>
        <v>DerivedFromCount</v>
      </c>
      <c r="U47" t="str">
        <f>IF(COUNTIF(DailyProduction!$Q$5:$Q$100,B47)=1,"OK","CHECK")</f>
        <v>OK</v>
      </c>
      <c r="V47" t="str">
        <f t="shared" si="6"/>
        <v>OK</v>
      </c>
      <c r="W47" t="str">
        <f>IF(SUMIF($B$5:$B$914,B47,$S$5:$S$914)=SUMIF(DailyProduction!$Q$5:$Q$100,B47,DailyProduction!$R$5:$R$100),"OK","CHECK")</f>
        <v>OK</v>
      </c>
    </row>
    <row r="48" spans="1:23">
      <c r="A48" t="s">
        <v>443</v>
      </c>
      <c r="B48" t="s">
        <v>439</v>
      </c>
      <c r="C48" t="s">
        <v>30</v>
      </c>
      <c r="D48" s="7">
        <v>45951</v>
      </c>
      <c r="E48" t="s">
        <v>79</v>
      </c>
      <c r="F48" t="s">
        <v>37</v>
      </c>
      <c r="G48">
        <v>21</v>
      </c>
      <c r="H48" t="s">
        <v>34</v>
      </c>
      <c r="I48">
        <v>5</v>
      </c>
      <c r="J48">
        <v>10</v>
      </c>
      <c r="K48">
        <v>2</v>
      </c>
      <c r="L48">
        <f t="shared" si="0"/>
        <v>1</v>
      </c>
      <c r="P48">
        <f t="shared" si="1"/>
        <v>1</v>
      </c>
      <c r="Q48">
        <f t="shared" si="2"/>
        <v>1</v>
      </c>
      <c r="R48">
        <f t="shared" si="3"/>
        <v>0</v>
      </c>
      <c r="S48">
        <f t="shared" si="4"/>
        <v>2</v>
      </c>
      <c r="T48" t="str">
        <f t="shared" si="5"/>
        <v>DerivedFromCount</v>
      </c>
      <c r="U48" t="str">
        <f>IF(COUNTIF(DailyProduction!$Q$5:$Q$100,B48)=1,"OK","CHECK")</f>
        <v>OK</v>
      </c>
      <c r="V48" t="str">
        <f t="shared" si="6"/>
        <v>OK</v>
      </c>
      <c r="W48" t="str">
        <f>IF(SUMIF($B$5:$B$914,B48,$S$5:$S$914)=SUMIF(DailyProduction!$Q$5:$Q$100,B48,DailyProduction!$R$5:$R$100),"OK","CHECK")</f>
        <v>OK</v>
      </c>
    </row>
    <row r="49" spans="1:23">
      <c r="A49" t="s">
        <v>444</v>
      </c>
      <c r="B49" t="s">
        <v>439</v>
      </c>
      <c r="C49" t="s">
        <v>30</v>
      </c>
      <c r="D49" s="7">
        <v>45951</v>
      </c>
      <c r="E49" t="s">
        <v>79</v>
      </c>
      <c r="F49" t="s">
        <v>37</v>
      </c>
      <c r="G49">
        <v>21</v>
      </c>
      <c r="H49" t="s">
        <v>34</v>
      </c>
      <c r="I49">
        <v>6</v>
      </c>
      <c r="J49">
        <v>10</v>
      </c>
      <c r="K49">
        <v>2</v>
      </c>
      <c r="L49">
        <f t="shared" si="0"/>
        <v>1</v>
      </c>
      <c r="P49">
        <f t="shared" si="1"/>
        <v>1</v>
      </c>
      <c r="Q49">
        <f t="shared" si="2"/>
        <v>1</v>
      </c>
      <c r="R49">
        <f t="shared" si="3"/>
        <v>0</v>
      </c>
      <c r="S49">
        <f t="shared" si="4"/>
        <v>2</v>
      </c>
      <c r="T49" t="str">
        <f t="shared" si="5"/>
        <v>DerivedFromCount</v>
      </c>
      <c r="U49" t="str">
        <f>IF(COUNTIF(DailyProduction!$Q$5:$Q$100,B49)=1,"OK","CHECK")</f>
        <v>OK</v>
      </c>
      <c r="V49" t="str">
        <f t="shared" si="6"/>
        <v>OK</v>
      </c>
      <c r="W49" t="str">
        <f>IF(SUMIF($B$5:$B$914,B49,$S$5:$S$914)=SUMIF(DailyProduction!$Q$5:$Q$100,B49,DailyProduction!$R$5:$R$100),"OK","CHECK")</f>
        <v>OK</v>
      </c>
    </row>
    <row r="50" spans="1:23">
      <c r="A50" t="s">
        <v>445</v>
      </c>
      <c r="B50" t="s">
        <v>439</v>
      </c>
      <c r="C50" t="s">
        <v>30</v>
      </c>
      <c r="D50" s="7">
        <v>45951</v>
      </c>
      <c r="E50" t="s">
        <v>79</v>
      </c>
      <c r="F50" t="s">
        <v>37</v>
      </c>
      <c r="G50">
        <v>21</v>
      </c>
      <c r="H50" t="s">
        <v>34</v>
      </c>
      <c r="I50">
        <v>7</v>
      </c>
      <c r="J50">
        <v>10</v>
      </c>
      <c r="K50">
        <v>2</v>
      </c>
      <c r="L50">
        <f t="shared" si="0"/>
        <v>1</v>
      </c>
      <c r="P50">
        <f t="shared" si="1"/>
        <v>1</v>
      </c>
      <c r="Q50">
        <f t="shared" si="2"/>
        <v>1</v>
      </c>
      <c r="R50">
        <f t="shared" si="3"/>
        <v>0</v>
      </c>
      <c r="S50">
        <f t="shared" si="4"/>
        <v>2</v>
      </c>
      <c r="T50" t="str">
        <f t="shared" si="5"/>
        <v>DerivedFromCount</v>
      </c>
      <c r="U50" t="str">
        <f>IF(COUNTIF(DailyProduction!$Q$5:$Q$100,B50)=1,"OK","CHECK")</f>
        <v>OK</v>
      </c>
      <c r="V50" t="str">
        <f t="shared" si="6"/>
        <v>OK</v>
      </c>
      <c r="W50" t="str">
        <f>IF(SUMIF($B$5:$B$914,B50,$S$5:$S$914)=SUMIF(DailyProduction!$Q$5:$Q$100,B50,DailyProduction!$R$5:$R$100),"OK","CHECK")</f>
        <v>OK</v>
      </c>
    </row>
    <row r="51" spans="1:23">
      <c r="A51" t="s">
        <v>446</v>
      </c>
      <c r="B51" t="s">
        <v>439</v>
      </c>
      <c r="C51" t="s">
        <v>30</v>
      </c>
      <c r="D51" s="7">
        <v>45951</v>
      </c>
      <c r="E51" t="s">
        <v>79</v>
      </c>
      <c r="F51" t="s">
        <v>37</v>
      </c>
      <c r="G51">
        <v>21</v>
      </c>
      <c r="H51" t="s">
        <v>34</v>
      </c>
      <c r="I51">
        <v>8</v>
      </c>
      <c r="J51">
        <v>10</v>
      </c>
      <c r="K51">
        <v>2</v>
      </c>
      <c r="L51">
        <f t="shared" si="0"/>
        <v>1</v>
      </c>
      <c r="P51">
        <f t="shared" si="1"/>
        <v>1</v>
      </c>
      <c r="Q51">
        <f t="shared" si="2"/>
        <v>1</v>
      </c>
      <c r="R51">
        <f t="shared" si="3"/>
        <v>0</v>
      </c>
      <c r="S51">
        <f t="shared" si="4"/>
        <v>2</v>
      </c>
      <c r="T51" t="str">
        <f t="shared" si="5"/>
        <v>DerivedFromCount</v>
      </c>
      <c r="U51" t="str">
        <f>IF(COUNTIF(DailyProduction!$Q$5:$Q$100,B51)=1,"OK","CHECK")</f>
        <v>OK</v>
      </c>
      <c r="V51" t="str">
        <f t="shared" si="6"/>
        <v>OK</v>
      </c>
      <c r="W51" t="str">
        <f>IF(SUMIF($B$5:$B$914,B51,$S$5:$S$914)=SUMIF(DailyProduction!$Q$5:$Q$100,B51,DailyProduction!$R$5:$R$100),"OK","CHECK")</f>
        <v>OK</v>
      </c>
    </row>
    <row r="52" spans="1:23">
      <c r="A52" t="s">
        <v>447</v>
      </c>
      <c r="B52" t="s">
        <v>439</v>
      </c>
      <c r="C52" t="s">
        <v>30</v>
      </c>
      <c r="D52" s="7">
        <v>45951</v>
      </c>
      <c r="E52" t="s">
        <v>79</v>
      </c>
      <c r="F52" t="s">
        <v>37</v>
      </c>
      <c r="G52">
        <v>21</v>
      </c>
      <c r="H52" t="s">
        <v>34</v>
      </c>
      <c r="I52">
        <v>9</v>
      </c>
      <c r="J52">
        <v>10</v>
      </c>
      <c r="K52">
        <v>2</v>
      </c>
      <c r="L52">
        <f t="shared" si="0"/>
        <v>1</v>
      </c>
      <c r="P52">
        <f t="shared" si="1"/>
        <v>1</v>
      </c>
      <c r="Q52">
        <f t="shared" si="2"/>
        <v>1</v>
      </c>
      <c r="R52">
        <f t="shared" si="3"/>
        <v>0</v>
      </c>
      <c r="S52">
        <f t="shared" si="4"/>
        <v>2</v>
      </c>
      <c r="T52" t="str">
        <f t="shared" si="5"/>
        <v>DerivedFromCount</v>
      </c>
      <c r="U52" t="str">
        <f>IF(COUNTIF(DailyProduction!$Q$5:$Q$100,B52)=1,"OK","CHECK")</f>
        <v>OK</v>
      </c>
      <c r="V52" t="str">
        <f t="shared" si="6"/>
        <v>OK</v>
      </c>
      <c r="W52" t="str">
        <f>IF(SUMIF($B$5:$B$914,B52,$S$5:$S$914)=SUMIF(DailyProduction!$Q$5:$Q$100,B52,DailyProduction!$R$5:$R$100),"OK","CHECK")</f>
        <v>OK</v>
      </c>
    </row>
    <row r="53" spans="1:23">
      <c r="A53" t="s">
        <v>448</v>
      </c>
      <c r="B53" t="s">
        <v>439</v>
      </c>
      <c r="C53" t="s">
        <v>30</v>
      </c>
      <c r="D53" s="7">
        <v>45951</v>
      </c>
      <c r="E53" t="s">
        <v>79</v>
      </c>
      <c r="F53" t="s">
        <v>37</v>
      </c>
      <c r="G53">
        <v>21</v>
      </c>
      <c r="H53" t="s">
        <v>34</v>
      </c>
      <c r="I53">
        <v>10</v>
      </c>
      <c r="J53">
        <v>10</v>
      </c>
      <c r="K53">
        <v>2</v>
      </c>
      <c r="L53">
        <f t="shared" si="0"/>
        <v>1</v>
      </c>
      <c r="P53">
        <f t="shared" si="1"/>
        <v>1</v>
      </c>
      <c r="Q53">
        <f t="shared" si="2"/>
        <v>1</v>
      </c>
      <c r="R53">
        <f t="shared" si="3"/>
        <v>0</v>
      </c>
      <c r="S53">
        <f t="shared" si="4"/>
        <v>2</v>
      </c>
      <c r="T53" t="str">
        <f t="shared" si="5"/>
        <v>DerivedFromCount</v>
      </c>
      <c r="U53" t="str">
        <f>IF(COUNTIF(DailyProduction!$Q$5:$Q$100,B53)=1,"OK","CHECK")</f>
        <v>OK</v>
      </c>
      <c r="V53" t="str">
        <f t="shared" si="6"/>
        <v>OK</v>
      </c>
      <c r="W53" t="str">
        <f>IF(SUMIF($B$5:$B$914,B53,$S$5:$S$914)=SUMIF(DailyProduction!$Q$5:$Q$100,B53,DailyProduction!$R$5:$R$100),"OK","CHECK")</f>
        <v>OK</v>
      </c>
    </row>
    <row r="54" spans="1:23">
      <c r="A54" t="s">
        <v>449</v>
      </c>
      <c r="B54" t="s">
        <v>439</v>
      </c>
      <c r="C54" t="s">
        <v>30</v>
      </c>
      <c r="D54" s="7">
        <v>45951</v>
      </c>
      <c r="E54" t="s">
        <v>79</v>
      </c>
      <c r="F54" t="s">
        <v>37</v>
      </c>
      <c r="G54">
        <v>21</v>
      </c>
      <c r="H54" t="s">
        <v>34</v>
      </c>
      <c r="I54">
        <v>11</v>
      </c>
      <c r="J54">
        <v>10</v>
      </c>
      <c r="K54">
        <v>2</v>
      </c>
      <c r="L54">
        <f t="shared" si="0"/>
        <v>0</v>
      </c>
      <c r="P54">
        <f t="shared" si="1"/>
        <v>0</v>
      </c>
      <c r="Q54">
        <f t="shared" si="2"/>
        <v>0</v>
      </c>
      <c r="R54">
        <f t="shared" si="3"/>
        <v>0</v>
      </c>
      <c r="S54">
        <f t="shared" si="4"/>
        <v>0</v>
      </c>
      <c r="T54" t="str">
        <f t="shared" si="5"/>
        <v>DerivedFromCount</v>
      </c>
      <c r="U54" t="str">
        <f>IF(COUNTIF(DailyProduction!$Q$5:$Q$100,B54)=1,"OK","CHECK")</f>
        <v>OK</v>
      </c>
      <c r="V54" t="str">
        <f t="shared" si="6"/>
        <v>OK</v>
      </c>
      <c r="W54" t="str">
        <f>IF(SUMIF($B$5:$B$914,B54,$S$5:$S$914)=SUMIF(DailyProduction!$Q$5:$Q$100,B54,DailyProduction!$R$5:$R$100),"OK","CHECK")</f>
        <v>OK</v>
      </c>
    </row>
    <row r="55" spans="1:23">
      <c r="A55" t="s">
        <v>450</v>
      </c>
      <c r="B55" t="s">
        <v>439</v>
      </c>
      <c r="C55" t="s">
        <v>30</v>
      </c>
      <c r="D55" s="7">
        <v>45951</v>
      </c>
      <c r="E55" t="s">
        <v>79</v>
      </c>
      <c r="F55" t="s">
        <v>37</v>
      </c>
      <c r="G55">
        <v>21</v>
      </c>
      <c r="H55" t="s">
        <v>34</v>
      </c>
      <c r="I55">
        <v>12</v>
      </c>
      <c r="J55">
        <v>10</v>
      </c>
      <c r="K55">
        <v>2</v>
      </c>
      <c r="L55">
        <f t="shared" si="0"/>
        <v>0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0</v>
      </c>
      <c r="T55" t="str">
        <f t="shared" si="5"/>
        <v>DerivedFromCount</v>
      </c>
      <c r="U55" t="str">
        <f>IF(COUNTIF(DailyProduction!$Q$5:$Q$100,B55)=1,"OK","CHECK")</f>
        <v>OK</v>
      </c>
      <c r="V55" t="str">
        <f t="shared" si="6"/>
        <v>OK</v>
      </c>
      <c r="W55" t="str">
        <f>IF(SUMIF($B$5:$B$914,B55,$S$5:$S$914)=SUMIF(DailyProduction!$Q$5:$Q$100,B55,DailyProduction!$R$5:$R$100),"OK","CHECK")</f>
        <v>OK</v>
      </c>
    </row>
    <row r="56" spans="1:23">
      <c r="A56" t="s">
        <v>451</v>
      </c>
      <c r="B56" t="s">
        <v>439</v>
      </c>
      <c r="C56" t="s">
        <v>30</v>
      </c>
      <c r="D56" s="7">
        <v>45951</v>
      </c>
      <c r="E56" t="s">
        <v>79</v>
      </c>
      <c r="F56" t="s">
        <v>37</v>
      </c>
      <c r="G56">
        <v>21</v>
      </c>
      <c r="H56" t="s">
        <v>34</v>
      </c>
      <c r="I56">
        <v>13</v>
      </c>
      <c r="J56">
        <v>10</v>
      </c>
      <c r="K56">
        <v>2</v>
      </c>
      <c r="L56">
        <f t="shared" si="0"/>
        <v>0</v>
      </c>
      <c r="P56">
        <f t="shared" si="1"/>
        <v>0</v>
      </c>
      <c r="Q56">
        <f t="shared" si="2"/>
        <v>0</v>
      </c>
      <c r="R56">
        <f t="shared" si="3"/>
        <v>0</v>
      </c>
      <c r="S56">
        <f t="shared" si="4"/>
        <v>0</v>
      </c>
      <c r="T56" t="str">
        <f t="shared" si="5"/>
        <v>DerivedFromCount</v>
      </c>
      <c r="U56" t="str">
        <f>IF(COUNTIF(DailyProduction!$Q$5:$Q$100,B56)=1,"OK","CHECK")</f>
        <v>OK</v>
      </c>
      <c r="V56" t="str">
        <f t="shared" si="6"/>
        <v>OK</v>
      </c>
      <c r="W56" t="str">
        <f>IF(SUMIF($B$5:$B$914,B56,$S$5:$S$914)=SUMIF(DailyProduction!$Q$5:$Q$100,B56,DailyProduction!$R$5:$R$100),"OK","CHECK")</f>
        <v>OK</v>
      </c>
    </row>
    <row r="57" spans="1:23">
      <c r="A57" t="s">
        <v>452</v>
      </c>
      <c r="B57" t="s">
        <v>453</v>
      </c>
      <c r="C57" t="s">
        <v>30</v>
      </c>
      <c r="D57" s="7">
        <v>45952</v>
      </c>
      <c r="E57" t="s">
        <v>31</v>
      </c>
      <c r="F57" t="s">
        <v>37</v>
      </c>
      <c r="G57">
        <v>21</v>
      </c>
      <c r="H57" t="s">
        <v>34</v>
      </c>
      <c r="I57">
        <v>1</v>
      </c>
      <c r="J57">
        <v>10</v>
      </c>
      <c r="K57">
        <v>2</v>
      </c>
      <c r="L57">
        <f t="shared" si="0"/>
        <v>1</v>
      </c>
      <c r="P57">
        <f t="shared" si="1"/>
        <v>1</v>
      </c>
      <c r="Q57">
        <f t="shared" si="2"/>
        <v>1</v>
      </c>
      <c r="R57">
        <f t="shared" si="3"/>
        <v>0</v>
      </c>
      <c r="S57">
        <f t="shared" si="4"/>
        <v>2</v>
      </c>
      <c r="T57" t="str">
        <f t="shared" si="5"/>
        <v>DerivedFromCount</v>
      </c>
      <c r="U57" t="str">
        <f>IF(COUNTIF(DailyProduction!$Q$5:$Q$100,B57)=1,"OK","CHECK")</f>
        <v>OK</v>
      </c>
      <c r="V57" t="str">
        <f t="shared" si="6"/>
        <v>OK</v>
      </c>
      <c r="W57" t="str">
        <f>IF(SUMIF($B$5:$B$914,B57,$S$5:$S$914)=SUMIF(DailyProduction!$Q$5:$Q$100,B57,DailyProduction!$R$5:$R$100),"OK","CHECK")</f>
        <v>OK</v>
      </c>
    </row>
    <row r="58" spans="1:23">
      <c r="A58" t="s">
        <v>454</v>
      </c>
      <c r="B58" t="s">
        <v>453</v>
      </c>
      <c r="C58" t="s">
        <v>30</v>
      </c>
      <c r="D58" s="7">
        <v>45952</v>
      </c>
      <c r="E58" t="s">
        <v>31</v>
      </c>
      <c r="F58" t="s">
        <v>37</v>
      </c>
      <c r="G58">
        <v>21</v>
      </c>
      <c r="H58" t="s">
        <v>34</v>
      </c>
      <c r="I58">
        <v>2</v>
      </c>
      <c r="J58">
        <v>10</v>
      </c>
      <c r="K58">
        <v>2</v>
      </c>
      <c r="L58">
        <f t="shared" si="0"/>
        <v>1</v>
      </c>
      <c r="P58">
        <f t="shared" si="1"/>
        <v>1</v>
      </c>
      <c r="Q58">
        <f t="shared" si="2"/>
        <v>1</v>
      </c>
      <c r="R58">
        <f t="shared" si="3"/>
        <v>0</v>
      </c>
      <c r="S58">
        <f t="shared" si="4"/>
        <v>2</v>
      </c>
      <c r="T58" t="str">
        <f t="shared" si="5"/>
        <v>DerivedFromCount</v>
      </c>
      <c r="U58" t="str">
        <f>IF(COUNTIF(DailyProduction!$Q$5:$Q$100,B58)=1,"OK","CHECK")</f>
        <v>OK</v>
      </c>
      <c r="V58" t="str">
        <f t="shared" si="6"/>
        <v>OK</v>
      </c>
      <c r="W58" t="str">
        <f>IF(SUMIF($B$5:$B$914,B58,$S$5:$S$914)=SUMIF(DailyProduction!$Q$5:$Q$100,B58,DailyProduction!$R$5:$R$100),"OK","CHECK")</f>
        <v>OK</v>
      </c>
    </row>
    <row r="59" spans="1:23">
      <c r="A59" t="s">
        <v>455</v>
      </c>
      <c r="B59" t="s">
        <v>453</v>
      </c>
      <c r="C59" t="s">
        <v>30</v>
      </c>
      <c r="D59" s="7">
        <v>45952</v>
      </c>
      <c r="E59" t="s">
        <v>31</v>
      </c>
      <c r="F59" t="s">
        <v>37</v>
      </c>
      <c r="G59">
        <v>21</v>
      </c>
      <c r="H59" t="s">
        <v>34</v>
      </c>
      <c r="I59">
        <v>3</v>
      </c>
      <c r="J59">
        <v>10</v>
      </c>
      <c r="K59">
        <v>2</v>
      </c>
      <c r="L59">
        <f t="shared" si="0"/>
        <v>1</v>
      </c>
      <c r="P59">
        <f t="shared" si="1"/>
        <v>1</v>
      </c>
      <c r="Q59">
        <f t="shared" si="2"/>
        <v>1</v>
      </c>
      <c r="R59">
        <f t="shared" si="3"/>
        <v>0</v>
      </c>
      <c r="S59">
        <f t="shared" si="4"/>
        <v>2</v>
      </c>
      <c r="T59" t="str">
        <f t="shared" si="5"/>
        <v>DerivedFromCount</v>
      </c>
      <c r="U59" t="str">
        <f>IF(COUNTIF(DailyProduction!$Q$5:$Q$100,B59)=1,"OK","CHECK")</f>
        <v>OK</v>
      </c>
      <c r="V59" t="str">
        <f t="shared" si="6"/>
        <v>OK</v>
      </c>
      <c r="W59" t="str">
        <f>IF(SUMIF($B$5:$B$914,B59,$S$5:$S$914)=SUMIF(DailyProduction!$Q$5:$Q$100,B59,DailyProduction!$R$5:$R$100),"OK","CHECK")</f>
        <v>OK</v>
      </c>
    </row>
    <row r="60" spans="1:23">
      <c r="A60" t="s">
        <v>456</v>
      </c>
      <c r="B60" t="s">
        <v>453</v>
      </c>
      <c r="C60" t="s">
        <v>30</v>
      </c>
      <c r="D60" s="7">
        <v>45952</v>
      </c>
      <c r="E60" t="s">
        <v>31</v>
      </c>
      <c r="F60" t="s">
        <v>37</v>
      </c>
      <c r="G60">
        <v>21</v>
      </c>
      <c r="H60" t="s">
        <v>34</v>
      </c>
      <c r="I60">
        <v>4</v>
      </c>
      <c r="J60">
        <v>10</v>
      </c>
      <c r="K60">
        <v>2</v>
      </c>
      <c r="L60">
        <f t="shared" si="0"/>
        <v>1</v>
      </c>
      <c r="P60">
        <f t="shared" si="1"/>
        <v>1</v>
      </c>
      <c r="Q60">
        <f t="shared" si="2"/>
        <v>1</v>
      </c>
      <c r="R60">
        <f t="shared" si="3"/>
        <v>0</v>
      </c>
      <c r="S60">
        <f t="shared" si="4"/>
        <v>2</v>
      </c>
      <c r="T60" t="str">
        <f t="shared" si="5"/>
        <v>DerivedFromCount</v>
      </c>
      <c r="U60" t="str">
        <f>IF(COUNTIF(DailyProduction!$Q$5:$Q$100,B60)=1,"OK","CHECK")</f>
        <v>OK</v>
      </c>
      <c r="V60" t="str">
        <f t="shared" si="6"/>
        <v>OK</v>
      </c>
      <c r="W60" t="str">
        <f>IF(SUMIF($B$5:$B$914,B60,$S$5:$S$914)=SUMIF(DailyProduction!$Q$5:$Q$100,B60,DailyProduction!$R$5:$R$100),"OK","CHECK")</f>
        <v>OK</v>
      </c>
    </row>
    <row r="61" spans="1:23">
      <c r="A61" t="s">
        <v>457</v>
      </c>
      <c r="B61" t="s">
        <v>453</v>
      </c>
      <c r="C61" t="s">
        <v>30</v>
      </c>
      <c r="D61" s="7">
        <v>45952</v>
      </c>
      <c r="E61" t="s">
        <v>31</v>
      </c>
      <c r="F61" t="s">
        <v>37</v>
      </c>
      <c r="G61">
        <v>21</v>
      </c>
      <c r="H61" t="s">
        <v>34</v>
      </c>
      <c r="I61">
        <v>5</v>
      </c>
      <c r="J61">
        <v>10</v>
      </c>
      <c r="K61">
        <v>2</v>
      </c>
      <c r="L61">
        <f t="shared" si="0"/>
        <v>1</v>
      </c>
      <c r="P61">
        <f t="shared" si="1"/>
        <v>1</v>
      </c>
      <c r="Q61">
        <f t="shared" si="2"/>
        <v>1</v>
      </c>
      <c r="R61">
        <f t="shared" si="3"/>
        <v>0</v>
      </c>
      <c r="S61">
        <f t="shared" si="4"/>
        <v>2</v>
      </c>
      <c r="T61" t="str">
        <f t="shared" si="5"/>
        <v>DerivedFromCount</v>
      </c>
      <c r="U61" t="str">
        <f>IF(COUNTIF(DailyProduction!$Q$5:$Q$100,B61)=1,"OK","CHECK")</f>
        <v>OK</v>
      </c>
      <c r="V61" t="str">
        <f t="shared" si="6"/>
        <v>OK</v>
      </c>
      <c r="W61" t="str">
        <f>IF(SUMIF($B$5:$B$914,B61,$S$5:$S$914)=SUMIF(DailyProduction!$Q$5:$Q$100,B61,DailyProduction!$R$5:$R$100),"OK","CHECK")</f>
        <v>OK</v>
      </c>
    </row>
    <row r="62" spans="1:23">
      <c r="A62" t="s">
        <v>458</v>
      </c>
      <c r="B62" t="s">
        <v>453</v>
      </c>
      <c r="C62" t="s">
        <v>30</v>
      </c>
      <c r="D62" s="7">
        <v>45952</v>
      </c>
      <c r="E62" t="s">
        <v>31</v>
      </c>
      <c r="F62" t="s">
        <v>37</v>
      </c>
      <c r="G62">
        <v>21</v>
      </c>
      <c r="H62" t="s">
        <v>34</v>
      </c>
      <c r="I62">
        <v>6</v>
      </c>
      <c r="J62">
        <v>10</v>
      </c>
      <c r="K62">
        <v>2</v>
      </c>
      <c r="L62">
        <f t="shared" si="0"/>
        <v>1</v>
      </c>
      <c r="P62">
        <f t="shared" si="1"/>
        <v>1</v>
      </c>
      <c r="Q62">
        <f t="shared" si="2"/>
        <v>1</v>
      </c>
      <c r="R62">
        <f t="shared" si="3"/>
        <v>0</v>
      </c>
      <c r="S62">
        <f t="shared" si="4"/>
        <v>2</v>
      </c>
      <c r="T62" t="str">
        <f t="shared" si="5"/>
        <v>DerivedFromCount</v>
      </c>
      <c r="U62" t="str">
        <f>IF(COUNTIF(DailyProduction!$Q$5:$Q$100,B62)=1,"OK","CHECK")</f>
        <v>OK</v>
      </c>
      <c r="V62" t="str">
        <f t="shared" si="6"/>
        <v>OK</v>
      </c>
      <c r="W62" t="str">
        <f>IF(SUMIF($B$5:$B$914,B62,$S$5:$S$914)=SUMIF(DailyProduction!$Q$5:$Q$100,B62,DailyProduction!$R$5:$R$100),"OK","CHECK")</f>
        <v>OK</v>
      </c>
    </row>
    <row r="63" spans="1:23">
      <c r="A63" t="s">
        <v>459</v>
      </c>
      <c r="B63" t="s">
        <v>453</v>
      </c>
      <c r="C63" t="s">
        <v>30</v>
      </c>
      <c r="D63" s="7">
        <v>45952</v>
      </c>
      <c r="E63" t="s">
        <v>31</v>
      </c>
      <c r="F63" t="s">
        <v>37</v>
      </c>
      <c r="G63">
        <v>21</v>
      </c>
      <c r="H63" t="s">
        <v>34</v>
      </c>
      <c r="I63">
        <v>7</v>
      </c>
      <c r="J63">
        <v>10</v>
      </c>
      <c r="K63">
        <v>2</v>
      </c>
      <c r="L63">
        <f t="shared" si="0"/>
        <v>1</v>
      </c>
      <c r="P63">
        <f t="shared" si="1"/>
        <v>1</v>
      </c>
      <c r="Q63">
        <f t="shared" si="2"/>
        <v>1</v>
      </c>
      <c r="R63">
        <f t="shared" si="3"/>
        <v>0</v>
      </c>
      <c r="S63">
        <f t="shared" si="4"/>
        <v>2</v>
      </c>
      <c r="T63" t="str">
        <f t="shared" si="5"/>
        <v>DerivedFromCount</v>
      </c>
      <c r="U63" t="str">
        <f>IF(COUNTIF(DailyProduction!$Q$5:$Q$100,B63)=1,"OK","CHECK")</f>
        <v>OK</v>
      </c>
      <c r="V63" t="str">
        <f t="shared" si="6"/>
        <v>OK</v>
      </c>
      <c r="W63" t="str">
        <f>IF(SUMIF($B$5:$B$914,B63,$S$5:$S$914)=SUMIF(DailyProduction!$Q$5:$Q$100,B63,DailyProduction!$R$5:$R$100),"OK","CHECK")</f>
        <v>OK</v>
      </c>
    </row>
    <row r="64" spans="1:23">
      <c r="A64" t="s">
        <v>460</v>
      </c>
      <c r="B64" t="s">
        <v>453</v>
      </c>
      <c r="C64" t="s">
        <v>30</v>
      </c>
      <c r="D64" s="7">
        <v>45952</v>
      </c>
      <c r="E64" t="s">
        <v>31</v>
      </c>
      <c r="F64" t="s">
        <v>37</v>
      </c>
      <c r="G64">
        <v>21</v>
      </c>
      <c r="H64" t="s">
        <v>34</v>
      </c>
      <c r="I64">
        <v>8</v>
      </c>
      <c r="J64">
        <v>10</v>
      </c>
      <c r="K64">
        <v>2</v>
      </c>
      <c r="L64">
        <f t="shared" si="0"/>
        <v>1</v>
      </c>
      <c r="P64">
        <f t="shared" si="1"/>
        <v>1</v>
      </c>
      <c r="Q64">
        <f t="shared" si="2"/>
        <v>1</v>
      </c>
      <c r="R64">
        <f t="shared" si="3"/>
        <v>0</v>
      </c>
      <c r="S64">
        <f t="shared" si="4"/>
        <v>2</v>
      </c>
      <c r="T64" t="str">
        <f t="shared" si="5"/>
        <v>DerivedFromCount</v>
      </c>
      <c r="U64" t="str">
        <f>IF(COUNTIF(DailyProduction!$Q$5:$Q$100,B64)=1,"OK","CHECK")</f>
        <v>OK</v>
      </c>
      <c r="V64" t="str">
        <f t="shared" si="6"/>
        <v>OK</v>
      </c>
      <c r="W64" t="str">
        <f>IF(SUMIF($B$5:$B$914,B64,$S$5:$S$914)=SUMIF(DailyProduction!$Q$5:$Q$100,B64,DailyProduction!$R$5:$R$100),"OK","CHECK")</f>
        <v>OK</v>
      </c>
    </row>
    <row r="65" spans="1:23">
      <c r="A65" t="s">
        <v>461</v>
      </c>
      <c r="B65" t="s">
        <v>453</v>
      </c>
      <c r="C65" t="s">
        <v>30</v>
      </c>
      <c r="D65" s="7">
        <v>45952</v>
      </c>
      <c r="E65" t="s">
        <v>31</v>
      </c>
      <c r="F65" t="s">
        <v>37</v>
      </c>
      <c r="G65">
        <v>21</v>
      </c>
      <c r="H65" t="s">
        <v>34</v>
      </c>
      <c r="I65">
        <v>9</v>
      </c>
      <c r="J65">
        <v>10</v>
      </c>
      <c r="K65">
        <v>2</v>
      </c>
      <c r="L65">
        <f t="shared" si="0"/>
        <v>1</v>
      </c>
      <c r="P65">
        <f t="shared" si="1"/>
        <v>1</v>
      </c>
      <c r="Q65">
        <f t="shared" si="2"/>
        <v>1</v>
      </c>
      <c r="R65">
        <f t="shared" si="3"/>
        <v>0</v>
      </c>
      <c r="S65">
        <f t="shared" si="4"/>
        <v>2</v>
      </c>
      <c r="T65" t="str">
        <f t="shared" si="5"/>
        <v>DerivedFromCount</v>
      </c>
      <c r="U65" t="str">
        <f>IF(COUNTIF(DailyProduction!$Q$5:$Q$100,B65)=1,"OK","CHECK")</f>
        <v>OK</v>
      </c>
      <c r="V65" t="str">
        <f t="shared" si="6"/>
        <v>OK</v>
      </c>
      <c r="W65" t="str">
        <f>IF(SUMIF($B$5:$B$914,B65,$S$5:$S$914)=SUMIF(DailyProduction!$Q$5:$Q$100,B65,DailyProduction!$R$5:$R$100),"OK","CHECK")</f>
        <v>OK</v>
      </c>
    </row>
    <row r="66" spans="1:23">
      <c r="A66" t="s">
        <v>462</v>
      </c>
      <c r="B66" t="s">
        <v>453</v>
      </c>
      <c r="C66" t="s">
        <v>30</v>
      </c>
      <c r="D66" s="7">
        <v>45952</v>
      </c>
      <c r="E66" t="s">
        <v>31</v>
      </c>
      <c r="F66" t="s">
        <v>37</v>
      </c>
      <c r="G66">
        <v>21</v>
      </c>
      <c r="H66" t="s">
        <v>34</v>
      </c>
      <c r="I66">
        <v>10</v>
      </c>
      <c r="J66">
        <v>10</v>
      </c>
      <c r="K66">
        <v>2</v>
      </c>
      <c r="L66">
        <f t="shared" si="0"/>
        <v>1</v>
      </c>
      <c r="P66">
        <f t="shared" si="1"/>
        <v>1</v>
      </c>
      <c r="Q66">
        <f t="shared" si="2"/>
        <v>1</v>
      </c>
      <c r="R66">
        <f t="shared" si="3"/>
        <v>0</v>
      </c>
      <c r="S66">
        <f t="shared" si="4"/>
        <v>2</v>
      </c>
      <c r="T66" t="str">
        <f t="shared" si="5"/>
        <v>DerivedFromCount</v>
      </c>
      <c r="U66" t="str">
        <f>IF(COUNTIF(DailyProduction!$Q$5:$Q$100,B66)=1,"OK","CHECK")</f>
        <v>OK</v>
      </c>
      <c r="V66" t="str">
        <f t="shared" si="6"/>
        <v>OK</v>
      </c>
      <c r="W66" t="str">
        <f>IF(SUMIF($B$5:$B$914,B66,$S$5:$S$914)=SUMIF(DailyProduction!$Q$5:$Q$100,B66,DailyProduction!$R$5:$R$100),"OK","CHECK")</f>
        <v>OK</v>
      </c>
    </row>
    <row r="67" spans="1:23">
      <c r="A67" t="s">
        <v>463</v>
      </c>
      <c r="B67" t="s">
        <v>453</v>
      </c>
      <c r="C67" t="s">
        <v>30</v>
      </c>
      <c r="D67" s="7">
        <v>45952</v>
      </c>
      <c r="E67" t="s">
        <v>31</v>
      </c>
      <c r="F67" t="s">
        <v>37</v>
      </c>
      <c r="G67">
        <v>21</v>
      </c>
      <c r="H67" t="s">
        <v>34</v>
      </c>
      <c r="I67">
        <v>11</v>
      </c>
      <c r="J67">
        <v>10</v>
      </c>
      <c r="K67">
        <v>2</v>
      </c>
      <c r="L67">
        <f t="shared" si="0"/>
        <v>0</v>
      </c>
      <c r="P67">
        <f t="shared" si="1"/>
        <v>0</v>
      </c>
      <c r="Q67">
        <f t="shared" si="2"/>
        <v>0</v>
      </c>
      <c r="R67">
        <f t="shared" si="3"/>
        <v>0</v>
      </c>
      <c r="S67">
        <f t="shared" si="4"/>
        <v>0</v>
      </c>
      <c r="T67" t="str">
        <f t="shared" si="5"/>
        <v>DerivedFromCount</v>
      </c>
      <c r="U67" t="str">
        <f>IF(COUNTIF(DailyProduction!$Q$5:$Q$100,B67)=1,"OK","CHECK")</f>
        <v>OK</v>
      </c>
      <c r="V67" t="str">
        <f t="shared" si="6"/>
        <v>OK</v>
      </c>
      <c r="W67" t="str">
        <f>IF(SUMIF($B$5:$B$914,B67,$S$5:$S$914)=SUMIF(DailyProduction!$Q$5:$Q$100,B67,DailyProduction!$R$5:$R$100),"OK","CHECK")</f>
        <v>OK</v>
      </c>
    </row>
    <row r="68" spans="1:23">
      <c r="A68" t="s">
        <v>464</v>
      </c>
      <c r="B68" t="s">
        <v>453</v>
      </c>
      <c r="C68" t="s">
        <v>30</v>
      </c>
      <c r="D68" s="7">
        <v>45952</v>
      </c>
      <c r="E68" t="s">
        <v>31</v>
      </c>
      <c r="F68" t="s">
        <v>37</v>
      </c>
      <c r="G68">
        <v>21</v>
      </c>
      <c r="H68" t="s">
        <v>34</v>
      </c>
      <c r="I68">
        <v>12</v>
      </c>
      <c r="J68">
        <v>10</v>
      </c>
      <c r="K68">
        <v>2</v>
      </c>
      <c r="L68">
        <f t="shared" si="0"/>
        <v>0</v>
      </c>
      <c r="P68">
        <f t="shared" si="1"/>
        <v>0</v>
      </c>
      <c r="Q68">
        <f t="shared" si="2"/>
        <v>0</v>
      </c>
      <c r="R68">
        <f t="shared" si="3"/>
        <v>0</v>
      </c>
      <c r="S68">
        <f t="shared" si="4"/>
        <v>0</v>
      </c>
      <c r="T68" t="str">
        <f t="shared" si="5"/>
        <v>DerivedFromCount</v>
      </c>
      <c r="U68" t="str">
        <f>IF(COUNTIF(DailyProduction!$Q$5:$Q$100,B68)=1,"OK","CHECK")</f>
        <v>OK</v>
      </c>
      <c r="V68" t="str">
        <f t="shared" si="6"/>
        <v>OK</v>
      </c>
      <c r="W68" t="str">
        <f>IF(SUMIF($B$5:$B$914,B68,$S$5:$S$914)=SUMIF(DailyProduction!$Q$5:$Q$100,B68,DailyProduction!$R$5:$R$100),"OK","CHECK")</f>
        <v>OK</v>
      </c>
    </row>
    <row r="69" spans="1:23">
      <c r="A69" t="s">
        <v>465</v>
      </c>
      <c r="B69" t="s">
        <v>453</v>
      </c>
      <c r="C69" t="s">
        <v>30</v>
      </c>
      <c r="D69" s="7">
        <v>45952</v>
      </c>
      <c r="E69" t="s">
        <v>31</v>
      </c>
      <c r="F69" t="s">
        <v>37</v>
      </c>
      <c r="G69">
        <v>21</v>
      </c>
      <c r="H69" t="s">
        <v>34</v>
      </c>
      <c r="I69">
        <v>13</v>
      </c>
      <c r="J69">
        <v>10</v>
      </c>
      <c r="K69">
        <v>2</v>
      </c>
      <c r="L69">
        <f t="shared" ref="L69:L132" si="7">IF(I69&lt;=J69,1,0)</f>
        <v>0</v>
      </c>
      <c r="P69">
        <f t="shared" ref="P69:P132" si="8">IF(M69="",IF(AND(L69=1,K69&gt;=1),1,0),M69)</f>
        <v>0</v>
      </c>
      <c r="Q69">
        <f t="shared" ref="Q69:Q132" si="9">IF(N69="",IF(AND(L69=1,K69&gt;=2),1,0),N69)</f>
        <v>0</v>
      </c>
      <c r="R69">
        <f t="shared" ref="R69:R132" si="10">IF(O69="",IF(AND(L69=1,K69&gt;=3),1,0),O69)</f>
        <v>0</v>
      </c>
      <c r="S69">
        <f t="shared" ref="S69:S132" si="11">SUM(P69:R69)</f>
        <v>0</v>
      </c>
      <c r="T69" t="str">
        <f t="shared" ref="T69:T132" si="12">IF(COUNTA(M69:O69)=0,"DerivedFromCount","ManualOverride")</f>
        <v>DerivedFromCount</v>
      </c>
      <c r="U69" t="str">
        <f>IF(COUNTIF(DailyProduction!$Q$5:$Q$100,B69)=1,"OK","CHECK")</f>
        <v>OK</v>
      </c>
      <c r="V69" t="str">
        <f t="shared" ref="V69:V132" si="13">IF(AND(I69&gt;=1,I69&lt;=13,K69&gt;=1,K69&lt;=3),"OK","CHECK")</f>
        <v>OK</v>
      </c>
      <c r="W69" t="str">
        <f>IF(SUMIF($B$5:$B$914,B69,$S$5:$S$914)=SUMIF(DailyProduction!$Q$5:$Q$100,B69,DailyProduction!$R$5:$R$100),"OK","CHECK")</f>
        <v>OK</v>
      </c>
    </row>
    <row r="70" spans="1:23">
      <c r="A70" t="s">
        <v>466</v>
      </c>
      <c r="B70" t="s">
        <v>467</v>
      </c>
      <c r="C70" t="s">
        <v>30</v>
      </c>
      <c r="D70" s="7">
        <v>45952</v>
      </c>
      <c r="E70" t="s">
        <v>79</v>
      </c>
      <c r="F70" t="s">
        <v>41</v>
      </c>
      <c r="G70">
        <v>21</v>
      </c>
      <c r="H70" t="s">
        <v>34</v>
      </c>
      <c r="I70">
        <v>1</v>
      </c>
      <c r="J70">
        <v>10</v>
      </c>
      <c r="K70">
        <v>2</v>
      </c>
      <c r="L70">
        <f t="shared" si="7"/>
        <v>1</v>
      </c>
      <c r="P70">
        <f t="shared" si="8"/>
        <v>1</v>
      </c>
      <c r="Q70">
        <f t="shared" si="9"/>
        <v>1</v>
      </c>
      <c r="R70">
        <f t="shared" si="10"/>
        <v>0</v>
      </c>
      <c r="S70">
        <f t="shared" si="11"/>
        <v>2</v>
      </c>
      <c r="T70" t="str">
        <f t="shared" si="12"/>
        <v>DerivedFromCount</v>
      </c>
      <c r="U70" t="str">
        <f>IF(COUNTIF(DailyProduction!$Q$5:$Q$100,B70)=1,"OK","CHECK")</f>
        <v>OK</v>
      </c>
      <c r="V70" t="str">
        <f t="shared" si="13"/>
        <v>OK</v>
      </c>
      <c r="W70" t="str">
        <f>IF(SUMIF($B$5:$B$914,B70,$S$5:$S$914)=SUMIF(DailyProduction!$Q$5:$Q$100,B70,DailyProduction!$R$5:$R$100),"OK","CHECK")</f>
        <v>OK</v>
      </c>
    </row>
    <row r="71" spans="1:23">
      <c r="A71" t="s">
        <v>468</v>
      </c>
      <c r="B71" t="s">
        <v>467</v>
      </c>
      <c r="C71" t="s">
        <v>30</v>
      </c>
      <c r="D71" s="7">
        <v>45952</v>
      </c>
      <c r="E71" t="s">
        <v>79</v>
      </c>
      <c r="F71" t="s">
        <v>41</v>
      </c>
      <c r="G71">
        <v>21</v>
      </c>
      <c r="H71" t="s">
        <v>34</v>
      </c>
      <c r="I71">
        <v>2</v>
      </c>
      <c r="J71">
        <v>10</v>
      </c>
      <c r="K71">
        <v>2</v>
      </c>
      <c r="L71">
        <f t="shared" si="7"/>
        <v>1</v>
      </c>
      <c r="P71">
        <f t="shared" si="8"/>
        <v>1</v>
      </c>
      <c r="Q71">
        <f t="shared" si="9"/>
        <v>1</v>
      </c>
      <c r="R71">
        <f t="shared" si="10"/>
        <v>0</v>
      </c>
      <c r="S71">
        <f t="shared" si="11"/>
        <v>2</v>
      </c>
      <c r="T71" t="str">
        <f t="shared" si="12"/>
        <v>DerivedFromCount</v>
      </c>
      <c r="U71" t="str">
        <f>IF(COUNTIF(DailyProduction!$Q$5:$Q$100,B71)=1,"OK","CHECK")</f>
        <v>OK</v>
      </c>
      <c r="V71" t="str">
        <f t="shared" si="13"/>
        <v>OK</v>
      </c>
      <c r="W71" t="str">
        <f>IF(SUMIF($B$5:$B$914,B71,$S$5:$S$914)=SUMIF(DailyProduction!$Q$5:$Q$100,B71,DailyProduction!$R$5:$R$100),"OK","CHECK")</f>
        <v>OK</v>
      </c>
    </row>
    <row r="72" spans="1:23">
      <c r="A72" t="s">
        <v>469</v>
      </c>
      <c r="B72" t="s">
        <v>467</v>
      </c>
      <c r="C72" t="s">
        <v>30</v>
      </c>
      <c r="D72" s="7">
        <v>45952</v>
      </c>
      <c r="E72" t="s">
        <v>79</v>
      </c>
      <c r="F72" t="s">
        <v>41</v>
      </c>
      <c r="G72">
        <v>21</v>
      </c>
      <c r="H72" t="s">
        <v>34</v>
      </c>
      <c r="I72">
        <v>3</v>
      </c>
      <c r="J72">
        <v>10</v>
      </c>
      <c r="K72">
        <v>2</v>
      </c>
      <c r="L72">
        <f t="shared" si="7"/>
        <v>1</v>
      </c>
      <c r="P72">
        <f t="shared" si="8"/>
        <v>1</v>
      </c>
      <c r="Q72">
        <f t="shared" si="9"/>
        <v>1</v>
      </c>
      <c r="R72">
        <f t="shared" si="10"/>
        <v>0</v>
      </c>
      <c r="S72">
        <f t="shared" si="11"/>
        <v>2</v>
      </c>
      <c r="T72" t="str">
        <f t="shared" si="12"/>
        <v>DerivedFromCount</v>
      </c>
      <c r="U72" t="str">
        <f>IF(COUNTIF(DailyProduction!$Q$5:$Q$100,B72)=1,"OK","CHECK")</f>
        <v>OK</v>
      </c>
      <c r="V72" t="str">
        <f t="shared" si="13"/>
        <v>OK</v>
      </c>
      <c r="W72" t="str">
        <f>IF(SUMIF($B$5:$B$914,B72,$S$5:$S$914)=SUMIF(DailyProduction!$Q$5:$Q$100,B72,DailyProduction!$R$5:$R$100),"OK","CHECK")</f>
        <v>OK</v>
      </c>
    </row>
    <row r="73" spans="1:23">
      <c r="A73" t="s">
        <v>470</v>
      </c>
      <c r="B73" t="s">
        <v>467</v>
      </c>
      <c r="C73" t="s">
        <v>30</v>
      </c>
      <c r="D73" s="7">
        <v>45952</v>
      </c>
      <c r="E73" t="s">
        <v>79</v>
      </c>
      <c r="F73" t="s">
        <v>41</v>
      </c>
      <c r="G73">
        <v>21</v>
      </c>
      <c r="H73" t="s">
        <v>34</v>
      </c>
      <c r="I73">
        <v>4</v>
      </c>
      <c r="J73">
        <v>10</v>
      </c>
      <c r="K73">
        <v>2</v>
      </c>
      <c r="L73">
        <f t="shared" si="7"/>
        <v>1</v>
      </c>
      <c r="P73">
        <f t="shared" si="8"/>
        <v>1</v>
      </c>
      <c r="Q73">
        <f t="shared" si="9"/>
        <v>1</v>
      </c>
      <c r="R73">
        <f t="shared" si="10"/>
        <v>0</v>
      </c>
      <c r="S73">
        <f t="shared" si="11"/>
        <v>2</v>
      </c>
      <c r="T73" t="str">
        <f t="shared" si="12"/>
        <v>DerivedFromCount</v>
      </c>
      <c r="U73" t="str">
        <f>IF(COUNTIF(DailyProduction!$Q$5:$Q$100,B73)=1,"OK","CHECK")</f>
        <v>OK</v>
      </c>
      <c r="V73" t="str">
        <f t="shared" si="13"/>
        <v>OK</v>
      </c>
      <c r="W73" t="str">
        <f>IF(SUMIF($B$5:$B$914,B73,$S$5:$S$914)=SUMIF(DailyProduction!$Q$5:$Q$100,B73,DailyProduction!$R$5:$R$100),"OK","CHECK")</f>
        <v>OK</v>
      </c>
    </row>
    <row r="74" spans="1:23">
      <c r="A74" t="s">
        <v>471</v>
      </c>
      <c r="B74" t="s">
        <v>467</v>
      </c>
      <c r="C74" t="s">
        <v>30</v>
      </c>
      <c r="D74" s="7">
        <v>45952</v>
      </c>
      <c r="E74" t="s">
        <v>79</v>
      </c>
      <c r="F74" t="s">
        <v>41</v>
      </c>
      <c r="G74">
        <v>21</v>
      </c>
      <c r="H74" t="s">
        <v>34</v>
      </c>
      <c r="I74">
        <v>5</v>
      </c>
      <c r="J74">
        <v>10</v>
      </c>
      <c r="K74">
        <v>2</v>
      </c>
      <c r="L74">
        <f t="shared" si="7"/>
        <v>1</v>
      </c>
      <c r="P74">
        <f t="shared" si="8"/>
        <v>1</v>
      </c>
      <c r="Q74">
        <f t="shared" si="9"/>
        <v>1</v>
      </c>
      <c r="R74">
        <f t="shared" si="10"/>
        <v>0</v>
      </c>
      <c r="S74">
        <f t="shared" si="11"/>
        <v>2</v>
      </c>
      <c r="T74" t="str">
        <f t="shared" si="12"/>
        <v>DerivedFromCount</v>
      </c>
      <c r="U74" t="str">
        <f>IF(COUNTIF(DailyProduction!$Q$5:$Q$100,B74)=1,"OK","CHECK")</f>
        <v>OK</v>
      </c>
      <c r="V74" t="str">
        <f t="shared" si="13"/>
        <v>OK</v>
      </c>
      <c r="W74" t="str">
        <f>IF(SUMIF($B$5:$B$914,B74,$S$5:$S$914)=SUMIF(DailyProduction!$Q$5:$Q$100,B74,DailyProduction!$R$5:$R$100),"OK","CHECK")</f>
        <v>OK</v>
      </c>
    </row>
    <row r="75" spans="1:23">
      <c r="A75" t="s">
        <v>472</v>
      </c>
      <c r="B75" t="s">
        <v>467</v>
      </c>
      <c r="C75" t="s">
        <v>30</v>
      </c>
      <c r="D75" s="7">
        <v>45952</v>
      </c>
      <c r="E75" t="s">
        <v>79</v>
      </c>
      <c r="F75" t="s">
        <v>41</v>
      </c>
      <c r="G75">
        <v>21</v>
      </c>
      <c r="H75" t="s">
        <v>34</v>
      </c>
      <c r="I75">
        <v>6</v>
      </c>
      <c r="J75">
        <v>10</v>
      </c>
      <c r="K75">
        <v>2</v>
      </c>
      <c r="L75">
        <f t="shared" si="7"/>
        <v>1</v>
      </c>
      <c r="P75">
        <f t="shared" si="8"/>
        <v>1</v>
      </c>
      <c r="Q75">
        <f t="shared" si="9"/>
        <v>1</v>
      </c>
      <c r="R75">
        <f t="shared" si="10"/>
        <v>0</v>
      </c>
      <c r="S75">
        <f t="shared" si="11"/>
        <v>2</v>
      </c>
      <c r="T75" t="str">
        <f t="shared" si="12"/>
        <v>DerivedFromCount</v>
      </c>
      <c r="U75" t="str">
        <f>IF(COUNTIF(DailyProduction!$Q$5:$Q$100,B75)=1,"OK","CHECK")</f>
        <v>OK</v>
      </c>
      <c r="V75" t="str">
        <f t="shared" si="13"/>
        <v>OK</v>
      </c>
      <c r="W75" t="str">
        <f>IF(SUMIF($B$5:$B$914,B75,$S$5:$S$914)=SUMIF(DailyProduction!$Q$5:$Q$100,B75,DailyProduction!$R$5:$R$100),"OK","CHECK")</f>
        <v>OK</v>
      </c>
    </row>
    <row r="76" spans="1:23">
      <c r="A76" t="s">
        <v>473</v>
      </c>
      <c r="B76" t="s">
        <v>467</v>
      </c>
      <c r="C76" t="s">
        <v>30</v>
      </c>
      <c r="D76" s="7">
        <v>45952</v>
      </c>
      <c r="E76" t="s">
        <v>79</v>
      </c>
      <c r="F76" t="s">
        <v>41</v>
      </c>
      <c r="G76">
        <v>21</v>
      </c>
      <c r="H76" t="s">
        <v>34</v>
      </c>
      <c r="I76">
        <v>7</v>
      </c>
      <c r="J76">
        <v>10</v>
      </c>
      <c r="K76">
        <v>2</v>
      </c>
      <c r="L76">
        <f t="shared" si="7"/>
        <v>1</v>
      </c>
      <c r="P76">
        <f t="shared" si="8"/>
        <v>1</v>
      </c>
      <c r="Q76">
        <f t="shared" si="9"/>
        <v>1</v>
      </c>
      <c r="R76">
        <f t="shared" si="10"/>
        <v>0</v>
      </c>
      <c r="S76">
        <f t="shared" si="11"/>
        <v>2</v>
      </c>
      <c r="T76" t="str">
        <f t="shared" si="12"/>
        <v>DerivedFromCount</v>
      </c>
      <c r="U76" t="str">
        <f>IF(COUNTIF(DailyProduction!$Q$5:$Q$100,B76)=1,"OK","CHECK")</f>
        <v>OK</v>
      </c>
      <c r="V76" t="str">
        <f t="shared" si="13"/>
        <v>OK</v>
      </c>
      <c r="W76" t="str">
        <f>IF(SUMIF($B$5:$B$914,B76,$S$5:$S$914)=SUMIF(DailyProduction!$Q$5:$Q$100,B76,DailyProduction!$R$5:$R$100),"OK","CHECK")</f>
        <v>OK</v>
      </c>
    </row>
    <row r="77" spans="1:23">
      <c r="A77" t="s">
        <v>474</v>
      </c>
      <c r="B77" t="s">
        <v>467</v>
      </c>
      <c r="C77" t="s">
        <v>30</v>
      </c>
      <c r="D77" s="7">
        <v>45952</v>
      </c>
      <c r="E77" t="s">
        <v>79</v>
      </c>
      <c r="F77" t="s">
        <v>41</v>
      </c>
      <c r="G77">
        <v>21</v>
      </c>
      <c r="H77" t="s">
        <v>34</v>
      </c>
      <c r="I77">
        <v>8</v>
      </c>
      <c r="J77">
        <v>10</v>
      </c>
      <c r="K77">
        <v>2</v>
      </c>
      <c r="L77">
        <f t="shared" si="7"/>
        <v>1</v>
      </c>
      <c r="P77">
        <f t="shared" si="8"/>
        <v>1</v>
      </c>
      <c r="Q77">
        <f t="shared" si="9"/>
        <v>1</v>
      </c>
      <c r="R77">
        <f t="shared" si="10"/>
        <v>0</v>
      </c>
      <c r="S77">
        <f t="shared" si="11"/>
        <v>2</v>
      </c>
      <c r="T77" t="str">
        <f t="shared" si="12"/>
        <v>DerivedFromCount</v>
      </c>
      <c r="U77" t="str">
        <f>IF(COUNTIF(DailyProduction!$Q$5:$Q$100,B77)=1,"OK","CHECK")</f>
        <v>OK</v>
      </c>
      <c r="V77" t="str">
        <f t="shared" si="13"/>
        <v>OK</v>
      </c>
      <c r="W77" t="str">
        <f>IF(SUMIF($B$5:$B$914,B77,$S$5:$S$914)=SUMIF(DailyProduction!$Q$5:$Q$100,B77,DailyProduction!$R$5:$R$100),"OK","CHECK")</f>
        <v>OK</v>
      </c>
    </row>
    <row r="78" spans="1:23">
      <c r="A78" t="s">
        <v>475</v>
      </c>
      <c r="B78" t="s">
        <v>467</v>
      </c>
      <c r="C78" t="s">
        <v>30</v>
      </c>
      <c r="D78" s="7">
        <v>45952</v>
      </c>
      <c r="E78" t="s">
        <v>79</v>
      </c>
      <c r="F78" t="s">
        <v>41</v>
      </c>
      <c r="G78">
        <v>21</v>
      </c>
      <c r="H78" t="s">
        <v>34</v>
      </c>
      <c r="I78">
        <v>9</v>
      </c>
      <c r="J78">
        <v>10</v>
      </c>
      <c r="K78">
        <v>2</v>
      </c>
      <c r="L78">
        <f t="shared" si="7"/>
        <v>1</v>
      </c>
      <c r="P78">
        <f t="shared" si="8"/>
        <v>1</v>
      </c>
      <c r="Q78">
        <f t="shared" si="9"/>
        <v>1</v>
      </c>
      <c r="R78">
        <f t="shared" si="10"/>
        <v>0</v>
      </c>
      <c r="S78">
        <f t="shared" si="11"/>
        <v>2</v>
      </c>
      <c r="T78" t="str">
        <f t="shared" si="12"/>
        <v>DerivedFromCount</v>
      </c>
      <c r="U78" t="str">
        <f>IF(COUNTIF(DailyProduction!$Q$5:$Q$100,B78)=1,"OK","CHECK")</f>
        <v>OK</v>
      </c>
      <c r="V78" t="str">
        <f t="shared" si="13"/>
        <v>OK</v>
      </c>
      <c r="W78" t="str">
        <f>IF(SUMIF($B$5:$B$914,B78,$S$5:$S$914)=SUMIF(DailyProduction!$Q$5:$Q$100,B78,DailyProduction!$R$5:$R$100),"OK","CHECK")</f>
        <v>OK</v>
      </c>
    </row>
    <row r="79" spans="1:23">
      <c r="A79" t="s">
        <v>476</v>
      </c>
      <c r="B79" t="s">
        <v>467</v>
      </c>
      <c r="C79" t="s">
        <v>30</v>
      </c>
      <c r="D79" s="7">
        <v>45952</v>
      </c>
      <c r="E79" t="s">
        <v>79</v>
      </c>
      <c r="F79" t="s">
        <v>41</v>
      </c>
      <c r="G79">
        <v>21</v>
      </c>
      <c r="H79" t="s">
        <v>34</v>
      </c>
      <c r="I79">
        <v>10</v>
      </c>
      <c r="J79">
        <v>10</v>
      </c>
      <c r="K79">
        <v>2</v>
      </c>
      <c r="L79">
        <f t="shared" si="7"/>
        <v>1</v>
      </c>
      <c r="P79">
        <f t="shared" si="8"/>
        <v>1</v>
      </c>
      <c r="Q79">
        <f t="shared" si="9"/>
        <v>1</v>
      </c>
      <c r="R79">
        <f t="shared" si="10"/>
        <v>0</v>
      </c>
      <c r="S79">
        <f t="shared" si="11"/>
        <v>2</v>
      </c>
      <c r="T79" t="str">
        <f t="shared" si="12"/>
        <v>DerivedFromCount</v>
      </c>
      <c r="U79" t="str">
        <f>IF(COUNTIF(DailyProduction!$Q$5:$Q$100,B79)=1,"OK","CHECK")</f>
        <v>OK</v>
      </c>
      <c r="V79" t="str">
        <f t="shared" si="13"/>
        <v>OK</v>
      </c>
      <c r="W79" t="str">
        <f>IF(SUMIF($B$5:$B$914,B79,$S$5:$S$914)=SUMIF(DailyProduction!$Q$5:$Q$100,B79,DailyProduction!$R$5:$R$100),"OK","CHECK")</f>
        <v>OK</v>
      </c>
    </row>
    <row r="80" spans="1:23">
      <c r="A80" t="s">
        <v>477</v>
      </c>
      <c r="B80" t="s">
        <v>467</v>
      </c>
      <c r="C80" t="s">
        <v>30</v>
      </c>
      <c r="D80" s="7">
        <v>45952</v>
      </c>
      <c r="E80" t="s">
        <v>79</v>
      </c>
      <c r="F80" t="s">
        <v>41</v>
      </c>
      <c r="G80">
        <v>21</v>
      </c>
      <c r="H80" t="s">
        <v>34</v>
      </c>
      <c r="I80">
        <v>11</v>
      </c>
      <c r="J80">
        <v>10</v>
      </c>
      <c r="K80">
        <v>2</v>
      </c>
      <c r="L80">
        <f t="shared" si="7"/>
        <v>0</v>
      </c>
      <c r="P80">
        <f t="shared" si="8"/>
        <v>0</v>
      </c>
      <c r="Q80">
        <f t="shared" si="9"/>
        <v>0</v>
      </c>
      <c r="R80">
        <f t="shared" si="10"/>
        <v>0</v>
      </c>
      <c r="S80">
        <f t="shared" si="11"/>
        <v>0</v>
      </c>
      <c r="T80" t="str">
        <f t="shared" si="12"/>
        <v>DerivedFromCount</v>
      </c>
      <c r="U80" t="str">
        <f>IF(COUNTIF(DailyProduction!$Q$5:$Q$100,B80)=1,"OK","CHECK")</f>
        <v>OK</v>
      </c>
      <c r="V80" t="str">
        <f t="shared" si="13"/>
        <v>OK</v>
      </c>
      <c r="W80" t="str">
        <f>IF(SUMIF($B$5:$B$914,B80,$S$5:$S$914)=SUMIF(DailyProduction!$Q$5:$Q$100,B80,DailyProduction!$R$5:$R$100),"OK","CHECK")</f>
        <v>OK</v>
      </c>
    </row>
    <row r="81" spans="1:23">
      <c r="A81" t="s">
        <v>478</v>
      </c>
      <c r="B81" t="s">
        <v>467</v>
      </c>
      <c r="C81" t="s">
        <v>30</v>
      </c>
      <c r="D81" s="7">
        <v>45952</v>
      </c>
      <c r="E81" t="s">
        <v>79</v>
      </c>
      <c r="F81" t="s">
        <v>41</v>
      </c>
      <c r="G81">
        <v>21</v>
      </c>
      <c r="H81" t="s">
        <v>34</v>
      </c>
      <c r="I81">
        <v>12</v>
      </c>
      <c r="J81">
        <v>10</v>
      </c>
      <c r="K81">
        <v>2</v>
      </c>
      <c r="L81">
        <f t="shared" si="7"/>
        <v>0</v>
      </c>
      <c r="P81">
        <f t="shared" si="8"/>
        <v>0</v>
      </c>
      <c r="Q81">
        <f t="shared" si="9"/>
        <v>0</v>
      </c>
      <c r="R81">
        <f t="shared" si="10"/>
        <v>0</v>
      </c>
      <c r="S81">
        <f t="shared" si="11"/>
        <v>0</v>
      </c>
      <c r="T81" t="str">
        <f t="shared" si="12"/>
        <v>DerivedFromCount</v>
      </c>
      <c r="U81" t="str">
        <f>IF(COUNTIF(DailyProduction!$Q$5:$Q$100,B81)=1,"OK","CHECK")</f>
        <v>OK</v>
      </c>
      <c r="V81" t="str">
        <f t="shared" si="13"/>
        <v>OK</v>
      </c>
      <c r="W81" t="str">
        <f>IF(SUMIF($B$5:$B$914,B81,$S$5:$S$914)=SUMIF(DailyProduction!$Q$5:$Q$100,B81,DailyProduction!$R$5:$R$100),"OK","CHECK")</f>
        <v>OK</v>
      </c>
    </row>
    <row r="82" spans="1:23">
      <c r="A82" t="s">
        <v>479</v>
      </c>
      <c r="B82" t="s">
        <v>467</v>
      </c>
      <c r="C82" t="s">
        <v>30</v>
      </c>
      <c r="D82" s="7">
        <v>45952</v>
      </c>
      <c r="E82" t="s">
        <v>79</v>
      </c>
      <c r="F82" t="s">
        <v>41</v>
      </c>
      <c r="G82">
        <v>21</v>
      </c>
      <c r="H82" t="s">
        <v>34</v>
      </c>
      <c r="I82">
        <v>13</v>
      </c>
      <c r="J82">
        <v>10</v>
      </c>
      <c r="K82">
        <v>2</v>
      </c>
      <c r="L82">
        <f t="shared" si="7"/>
        <v>0</v>
      </c>
      <c r="P82">
        <f t="shared" si="8"/>
        <v>0</v>
      </c>
      <c r="Q82">
        <f t="shared" si="9"/>
        <v>0</v>
      </c>
      <c r="R82">
        <f t="shared" si="10"/>
        <v>0</v>
      </c>
      <c r="S82">
        <f t="shared" si="11"/>
        <v>0</v>
      </c>
      <c r="T82" t="str">
        <f t="shared" si="12"/>
        <v>DerivedFromCount</v>
      </c>
      <c r="U82" t="str">
        <f>IF(COUNTIF(DailyProduction!$Q$5:$Q$100,B82)=1,"OK","CHECK")</f>
        <v>OK</v>
      </c>
      <c r="V82" t="str">
        <f t="shared" si="13"/>
        <v>OK</v>
      </c>
      <c r="W82" t="str">
        <f>IF(SUMIF($B$5:$B$914,B82,$S$5:$S$914)=SUMIF(DailyProduction!$Q$5:$Q$100,B82,DailyProduction!$R$5:$R$100),"OK","CHECK")</f>
        <v>OK</v>
      </c>
    </row>
    <row r="83" spans="1:23">
      <c r="A83" t="s">
        <v>480</v>
      </c>
      <c r="B83" t="s">
        <v>481</v>
      </c>
      <c r="C83" t="s">
        <v>30</v>
      </c>
      <c r="D83" s="7">
        <v>45953</v>
      </c>
      <c r="E83" t="s">
        <v>31</v>
      </c>
      <c r="F83" t="s">
        <v>41</v>
      </c>
      <c r="G83">
        <v>21</v>
      </c>
      <c r="H83" t="s">
        <v>34</v>
      </c>
      <c r="I83">
        <v>1</v>
      </c>
      <c r="J83">
        <v>10</v>
      </c>
      <c r="K83">
        <v>2</v>
      </c>
      <c r="L83">
        <f t="shared" si="7"/>
        <v>1</v>
      </c>
      <c r="P83">
        <f t="shared" si="8"/>
        <v>1</v>
      </c>
      <c r="Q83">
        <f t="shared" si="9"/>
        <v>1</v>
      </c>
      <c r="R83">
        <f t="shared" si="10"/>
        <v>0</v>
      </c>
      <c r="S83">
        <f t="shared" si="11"/>
        <v>2</v>
      </c>
      <c r="T83" t="str">
        <f t="shared" si="12"/>
        <v>DerivedFromCount</v>
      </c>
      <c r="U83" t="str">
        <f>IF(COUNTIF(DailyProduction!$Q$5:$Q$100,B83)=1,"OK","CHECK")</f>
        <v>OK</v>
      </c>
      <c r="V83" t="str">
        <f t="shared" si="13"/>
        <v>OK</v>
      </c>
      <c r="W83" t="str">
        <f>IF(SUMIF($B$5:$B$914,B83,$S$5:$S$914)=SUMIF(DailyProduction!$Q$5:$Q$100,B83,DailyProduction!$R$5:$R$100),"OK","CHECK")</f>
        <v>OK</v>
      </c>
    </row>
    <row r="84" spans="1:23">
      <c r="A84" t="s">
        <v>482</v>
      </c>
      <c r="B84" t="s">
        <v>481</v>
      </c>
      <c r="C84" t="s">
        <v>30</v>
      </c>
      <c r="D84" s="7">
        <v>45953</v>
      </c>
      <c r="E84" t="s">
        <v>31</v>
      </c>
      <c r="F84" t="s">
        <v>41</v>
      </c>
      <c r="G84">
        <v>21</v>
      </c>
      <c r="H84" t="s">
        <v>34</v>
      </c>
      <c r="I84">
        <v>2</v>
      </c>
      <c r="J84">
        <v>10</v>
      </c>
      <c r="K84">
        <v>2</v>
      </c>
      <c r="L84">
        <f t="shared" si="7"/>
        <v>1</v>
      </c>
      <c r="P84">
        <f t="shared" si="8"/>
        <v>1</v>
      </c>
      <c r="Q84">
        <f t="shared" si="9"/>
        <v>1</v>
      </c>
      <c r="R84">
        <f t="shared" si="10"/>
        <v>0</v>
      </c>
      <c r="S84">
        <f t="shared" si="11"/>
        <v>2</v>
      </c>
      <c r="T84" t="str">
        <f t="shared" si="12"/>
        <v>DerivedFromCount</v>
      </c>
      <c r="U84" t="str">
        <f>IF(COUNTIF(DailyProduction!$Q$5:$Q$100,B84)=1,"OK","CHECK")</f>
        <v>OK</v>
      </c>
      <c r="V84" t="str">
        <f t="shared" si="13"/>
        <v>OK</v>
      </c>
      <c r="W84" t="str">
        <f>IF(SUMIF($B$5:$B$914,B84,$S$5:$S$914)=SUMIF(DailyProduction!$Q$5:$Q$100,B84,DailyProduction!$R$5:$R$100),"OK","CHECK")</f>
        <v>OK</v>
      </c>
    </row>
    <row r="85" spans="1:23">
      <c r="A85" t="s">
        <v>483</v>
      </c>
      <c r="B85" t="s">
        <v>481</v>
      </c>
      <c r="C85" t="s">
        <v>30</v>
      </c>
      <c r="D85" s="7">
        <v>45953</v>
      </c>
      <c r="E85" t="s">
        <v>31</v>
      </c>
      <c r="F85" t="s">
        <v>41</v>
      </c>
      <c r="G85">
        <v>21</v>
      </c>
      <c r="H85" t="s">
        <v>34</v>
      </c>
      <c r="I85">
        <v>3</v>
      </c>
      <c r="J85">
        <v>10</v>
      </c>
      <c r="K85">
        <v>2</v>
      </c>
      <c r="L85">
        <f t="shared" si="7"/>
        <v>1</v>
      </c>
      <c r="P85">
        <f t="shared" si="8"/>
        <v>1</v>
      </c>
      <c r="Q85">
        <f t="shared" si="9"/>
        <v>1</v>
      </c>
      <c r="R85">
        <f t="shared" si="10"/>
        <v>0</v>
      </c>
      <c r="S85">
        <f t="shared" si="11"/>
        <v>2</v>
      </c>
      <c r="T85" t="str">
        <f t="shared" si="12"/>
        <v>DerivedFromCount</v>
      </c>
      <c r="U85" t="str">
        <f>IF(COUNTIF(DailyProduction!$Q$5:$Q$100,B85)=1,"OK","CHECK")</f>
        <v>OK</v>
      </c>
      <c r="V85" t="str">
        <f t="shared" si="13"/>
        <v>OK</v>
      </c>
      <c r="W85" t="str">
        <f>IF(SUMIF($B$5:$B$914,B85,$S$5:$S$914)=SUMIF(DailyProduction!$Q$5:$Q$100,B85,DailyProduction!$R$5:$R$100),"OK","CHECK")</f>
        <v>OK</v>
      </c>
    </row>
    <row r="86" spans="1:23">
      <c r="A86" t="s">
        <v>484</v>
      </c>
      <c r="B86" t="s">
        <v>481</v>
      </c>
      <c r="C86" t="s">
        <v>30</v>
      </c>
      <c r="D86" s="7">
        <v>45953</v>
      </c>
      <c r="E86" t="s">
        <v>31</v>
      </c>
      <c r="F86" t="s">
        <v>41</v>
      </c>
      <c r="G86">
        <v>21</v>
      </c>
      <c r="H86" t="s">
        <v>34</v>
      </c>
      <c r="I86">
        <v>4</v>
      </c>
      <c r="J86">
        <v>10</v>
      </c>
      <c r="K86">
        <v>2</v>
      </c>
      <c r="L86">
        <f t="shared" si="7"/>
        <v>1</v>
      </c>
      <c r="P86">
        <f t="shared" si="8"/>
        <v>1</v>
      </c>
      <c r="Q86">
        <f t="shared" si="9"/>
        <v>1</v>
      </c>
      <c r="R86">
        <f t="shared" si="10"/>
        <v>0</v>
      </c>
      <c r="S86">
        <f t="shared" si="11"/>
        <v>2</v>
      </c>
      <c r="T86" t="str">
        <f t="shared" si="12"/>
        <v>DerivedFromCount</v>
      </c>
      <c r="U86" t="str">
        <f>IF(COUNTIF(DailyProduction!$Q$5:$Q$100,B86)=1,"OK","CHECK")</f>
        <v>OK</v>
      </c>
      <c r="V86" t="str">
        <f t="shared" si="13"/>
        <v>OK</v>
      </c>
      <c r="W86" t="str">
        <f>IF(SUMIF($B$5:$B$914,B86,$S$5:$S$914)=SUMIF(DailyProduction!$Q$5:$Q$100,B86,DailyProduction!$R$5:$R$100),"OK","CHECK")</f>
        <v>OK</v>
      </c>
    </row>
    <row r="87" spans="1:23">
      <c r="A87" t="s">
        <v>485</v>
      </c>
      <c r="B87" t="s">
        <v>481</v>
      </c>
      <c r="C87" t="s">
        <v>30</v>
      </c>
      <c r="D87" s="7">
        <v>45953</v>
      </c>
      <c r="E87" t="s">
        <v>31</v>
      </c>
      <c r="F87" t="s">
        <v>41</v>
      </c>
      <c r="G87">
        <v>21</v>
      </c>
      <c r="H87" t="s">
        <v>34</v>
      </c>
      <c r="I87">
        <v>5</v>
      </c>
      <c r="J87">
        <v>10</v>
      </c>
      <c r="K87">
        <v>2</v>
      </c>
      <c r="L87">
        <f t="shared" si="7"/>
        <v>1</v>
      </c>
      <c r="P87">
        <f t="shared" si="8"/>
        <v>1</v>
      </c>
      <c r="Q87">
        <f t="shared" si="9"/>
        <v>1</v>
      </c>
      <c r="R87">
        <f t="shared" si="10"/>
        <v>0</v>
      </c>
      <c r="S87">
        <f t="shared" si="11"/>
        <v>2</v>
      </c>
      <c r="T87" t="str">
        <f t="shared" si="12"/>
        <v>DerivedFromCount</v>
      </c>
      <c r="U87" t="str">
        <f>IF(COUNTIF(DailyProduction!$Q$5:$Q$100,B87)=1,"OK","CHECK")</f>
        <v>OK</v>
      </c>
      <c r="V87" t="str">
        <f t="shared" si="13"/>
        <v>OK</v>
      </c>
      <c r="W87" t="str">
        <f>IF(SUMIF($B$5:$B$914,B87,$S$5:$S$914)=SUMIF(DailyProduction!$Q$5:$Q$100,B87,DailyProduction!$R$5:$R$100),"OK","CHECK")</f>
        <v>OK</v>
      </c>
    </row>
    <row r="88" spans="1:23">
      <c r="A88" t="s">
        <v>486</v>
      </c>
      <c r="B88" t="s">
        <v>481</v>
      </c>
      <c r="C88" t="s">
        <v>30</v>
      </c>
      <c r="D88" s="7">
        <v>45953</v>
      </c>
      <c r="E88" t="s">
        <v>31</v>
      </c>
      <c r="F88" t="s">
        <v>41</v>
      </c>
      <c r="G88">
        <v>21</v>
      </c>
      <c r="H88" t="s">
        <v>34</v>
      </c>
      <c r="I88">
        <v>6</v>
      </c>
      <c r="J88">
        <v>10</v>
      </c>
      <c r="K88">
        <v>2</v>
      </c>
      <c r="L88">
        <f t="shared" si="7"/>
        <v>1</v>
      </c>
      <c r="P88">
        <f t="shared" si="8"/>
        <v>1</v>
      </c>
      <c r="Q88">
        <f t="shared" si="9"/>
        <v>1</v>
      </c>
      <c r="R88">
        <f t="shared" si="10"/>
        <v>0</v>
      </c>
      <c r="S88">
        <f t="shared" si="11"/>
        <v>2</v>
      </c>
      <c r="T88" t="str">
        <f t="shared" si="12"/>
        <v>DerivedFromCount</v>
      </c>
      <c r="U88" t="str">
        <f>IF(COUNTIF(DailyProduction!$Q$5:$Q$100,B88)=1,"OK","CHECK")</f>
        <v>OK</v>
      </c>
      <c r="V88" t="str">
        <f t="shared" si="13"/>
        <v>OK</v>
      </c>
      <c r="W88" t="str">
        <f>IF(SUMIF($B$5:$B$914,B88,$S$5:$S$914)=SUMIF(DailyProduction!$Q$5:$Q$100,B88,DailyProduction!$R$5:$R$100),"OK","CHECK")</f>
        <v>OK</v>
      </c>
    </row>
    <row r="89" spans="1:23">
      <c r="A89" t="s">
        <v>487</v>
      </c>
      <c r="B89" t="s">
        <v>481</v>
      </c>
      <c r="C89" t="s">
        <v>30</v>
      </c>
      <c r="D89" s="7">
        <v>45953</v>
      </c>
      <c r="E89" t="s">
        <v>31</v>
      </c>
      <c r="F89" t="s">
        <v>41</v>
      </c>
      <c r="G89">
        <v>21</v>
      </c>
      <c r="H89" t="s">
        <v>34</v>
      </c>
      <c r="I89">
        <v>7</v>
      </c>
      <c r="J89">
        <v>10</v>
      </c>
      <c r="K89">
        <v>2</v>
      </c>
      <c r="L89">
        <f t="shared" si="7"/>
        <v>1</v>
      </c>
      <c r="P89">
        <f t="shared" si="8"/>
        <v>1</v>
      </c>
      <c r="Q89">
        <f t="shared" si="9"/>
        <v>1</v>
      </c>
      <c r="R89">
        <f t="shared" si="10"/>
        <v>0</v>
      </c>
      <c r="S89">
        <f t="shared" si="11"/>
        <v>2</v>
      </c>
      <c r="T89" t="str">
        <f t="shared" si="12"/>
        <v>DerivedFromCount</v>
      </c>
      <c r="U89" t="str">
        <f>IF(COUNTIF(DailyProduction!$Q$5:$Q$100,B89)=1,"OK","CHECK")</f>
        <v>OK</v>
      </c>
      <c r="V89" t="str">
        <f t="shared" si="13"/>
        <v>OK</v>
      </c>
      <c r="W89" t="str">
        <f>IF(SUMIF($B$5:$B$914,B89,$S$5:$S$914)=SUMIF(DailyProduction!$Q$5:$Q$100,B89,DailyProduction!$R$5:$R$100),"OK","CHECK")</f>
        <v>OK</v>
      </c>
    </row>
    <row r="90" spans="1:23">
      <c r="A90" t="s">
        <v>488</v>
      </c>
      <c r="B90" t="s">
        <v>481</v>
      </c>
      <c r="C90" t="s">
        <v>30</v>
      </c>
      <c r="D90" s="7">
        <v>45953</v>
      </c>
      <c r="E90" t="s">
        <v>31</v>
      </c>
      <c r="F90" t="s">
        <v>41</v>
      </c>
      <c r="G90">
        <v>21</v>
      </c>
      <c r="H90" t="s">
        <v>34</v>
      </c>
      <c r="I90">
        <v>8</v>
      </c>
      <c r="J90">
        <v>10</v>
      </c>
      <c r="K90">
        <v>2</v>
      </c>
      <c r="L90">
        <f t="shared" si="7"/>
        <v>1</v>
      </c>
      <c r="P90">
        <f t="shared" si="8"/>
        <v>1</v>
      </c>
      <c r="Q90">
        <f t="shared" si="9"/>
        <v>1</v>
      </c>
      <c r="R90">
        <f t="shared" si="10"/>
        <v>0</v>
      </c>
      <c r="S90">
        <f t="shared" si="11"/>
        <v>2</v>
      </c>
      <c r="T90" t="str">
        <f t="shared" si="12"/>
        <v>DerivedFromCount</v>
      </c>
      <c r="U90" t="str">
        <f>IF(COUNTIF(DailyProduction!$Q$5:$Q$100,B90)=1,"OK","CHECK")</f>
        <v>OK</v>
      </c>
      <c r="V90" t="str">
        <f t="shared" si="13"/>
        <v>OK</v>
      </c>
      <c r="W90" t="str">
        <f>IF(SUMIF($B$5:$B$914,B90,$S$5:$S$914)=SUMIF(DailyProduction!$Q$5:$Q$100,B90,DailyProduction!$R$5:$R$100),"OK","CHECK")</f>
        <v>OK</v>
      </c>
    </row>
    <row r="91" spans="1:23">
      <c r="A91" t="s">
        <v>489</v>
      </c>
      <c r="B91" t="s">
        <v>481</v>
      </c>
      <c r="C91" t="s">
        <v>30</v>
      </c>
      <c r="D91" s="7">
        <v>45953</v>
      </c>
      <c r="E91" t="s">
        <v>31</v>
      </c>
      <c r="F91" t="s">
        <v>41</v>
      </c>
      <c r="G91">
        <v>21</v>
      </c>
      <c r="H91" t="s">
        <v>34</v>
      </c>
      <c r="I91">
        <v>9</v>
      </c>
      <c r="J91">
        <v>10</v>
      </c>
      <c r="K91">
        <v>2</v>
      </c>
      <c r="L91">
        <f t="shared" si="7"/>
        <v>1</v>
      </c>
      <c r="P91">
        <f t="shared" si="8"/>
        <v>1</v>
      </c>
      <c r="Q91">
        <f t="shared" si="9"/>
        <v>1</v>
      </c>
      <c r="R91">
        <f t="shared" si="10"/>
        <v>0</v>
      </c>
      <c r="S91">
        <f t="shared" si="11"/>
        <v>2</v>
      </c>
      <c r="T91" t="str">
        <f t="shared" si="12"/>
        <v>DerivedFromCount</v>
      </c>
      <c r="U91" t="str">
        <f>IF(COUNTIF(DailyProduction!$Q$5:$Q$100,B91)=1,"OK","CHECK")</f>
        <v>OK</v>
      </c>
      <c r="V91" t="str">
        <f t="shared" si="13"/>
        <v>OK</v>
      </c>
      <c r="W91" t="str">
        <f>IF(SUMIF($B$5:$B$914,B91,$S$5:$S$914)=SUMIF(DailyProduction!$Q$5:$Q$100,B91,DailyProduction!$R$5:$R$100),"OK","CHECK")</f>
        <v>OK</v>
      </c>
    </row>
    <row r="92" spans="1:23">
      <c r="A92" t="s">
        <v>490</v>
      </c>
      <c r="B92" t="s">
        <v>481</v>
      </c>
      <c r="C92" t="s">
        <v>30</v>
      </c>
      <c r="D92" s="7">
        <v>45953</v>
      </c>
      <c r="E92" t="s">
        <v>31</v>
      </c>
      <c r="F92" t="s">
        <v>41</v>
      </c>
      <c r="G92">
        <v>21</v>
      </c>
      <c r="H92" t="s">
        <v>34</v>
      </c>
      <c r="I92">
        <v>10</v>
      </c>
      <c r="J92">
        <v>10</v>
      </c>
      <c r="K92">
        <v>2</v>
      </c>
      <c r="L92">
        <f t="shared" si="7"/>
        <v>1</v>
      </c>
      <c r="P92">
        <f t="shared" si="8"/>
        <v>1</v>
      </c>
      <c r="Q92">
        <f t="shared" si="9"/>
        <v>1</v>
      </c>
      <c r="R92">
        <f t="shared" si="10"/>
        <v>0</v>
      </c>
      <c r="S92">
        <f t="shared" si="11"/>
        <v>2</v>
      </c>
      <c r="T92" t="str">
        <f t="shared" si="12"/>
        <v>DerivedFromCount</v>
      </c>
      <c r="U92" t="str">
        <f>IF(COUNTIF(DailyProduction!$Q$5:$Q$100,B92)=1,"OK","CHECK")</f>
        <v>OK</v>
      </c>
      <c r="V92" t="str">
        <f t="shared" si="13"/>
        <v>OK</v>
      </c>
      <c r="W92" t="str">
        <f>IF(SUMIF($B$5:$B$914,B92,$S$5:$S$914)=SUMIF(DailyProduction!$Q$5:$Q$100,B92,DailyProduction!$R$5:$R$100),"OK","CHECK")</f>
        <v>OK</v>
      </c>
    </row>
    <row r="93" spans="1:23">
      <c r="A93" t="s">
        <v>491</v>
      </c>
      <c r="B93" t="s">
        <v>481</v>
      </c>
      <c r="C93" t="s">
        <v>30</v>
      </c>
      <c r="D93" s="7">
        <v>45953</v>
      </c>
      <c r="E93" t="s">
        <v>31</v>
      </c>
      <c r="F93" t="s">
        <v>41</v>
      </c>
      <c r="G93">
        <v>21</v>
      </c>
      <c r="H93" t="s">
        <v>34</v>
      </c>
      <c r="I93">
        <v>11</v>
      </c>
      <c r="J93">
        <v>10</v>
      </c>
      <c r="K93">
        <v>2</v>
      </c>
      <c r="L93">
        <f t="shared" si="7"/>
        <v>0</v>
      </c>
      <c r="P93">
        <f t="shared" si="8"/>
        <v>0</v>
      </c>
      <c r="Q93">
        <f t="shared" si="9"/>
        <v>0</v>
      </c>
      <c r="R93">
        <f t="shared" si="10"/>
        <v>0</v>
      </c>
      <c r="S93">
        <f t="shared" si="11"/>
        <v>0</v>
      </c>
      <c r="T93" t="str">
        <f t="shared" si="12"/>
        <v>DerivedFromCount</v>
      </c>
      <c r="U93" t="str">
        <f>IF(COUNTIF(DailyProduction!$Q$5:$Q$100,B93)=1,"OK","CHECK")</f>
        <v>OK</v>
      </c>
      <c r="V93" t="str">
        <f t="shared" si="13"/>
        <v>OK</v>
      </c>
      <c r="W93" t="str">
        <f>IF(SUMIF($B$5:$B$914,B93,$S$5:$S$914)=SUMIF(DailyProduction!$Q$5:$Q$100,B93,DailyProduction!$R$5:$R$100),"OK","CHECK")</f>
        <v>OK</v>
      </c>
    </row>
    <row r="94" spans="1:23">
      <c r="A94" t="s">
        <v>492</v>
      </c>
      <c r="B94" t="s">
        <v>481</v>
      </c>
      <c r="C94" t="s">
        <v>30</v>
      </c>
      <c r="D94" s="7">
        <v>45953</v>
      </c>
      <c r="E94" t="s">
        <v>31</v>
      </c>
      <c r="F94" t="s">
        <v>41</v>
      </c>
      <c r="G94">
        <v>21</v>
      </c>
      <c r="H94" t="s">
        <v>34</v>
      </c>
      <c r="I94">
        <v>12</v>
      </c>
      <c r="J94">
        <v>10</v>
      </c>
      <c r="K94">
        <v>2</v>
      </c>
      <c r="L94">
        <f t="shared" si="7"/>
        <v>0</v>
      </c>
      <c r="P94">
        <f t="shared" si="8"/>
        <v>0</v>
      </c>
      <c r="Q94">
        <f t="shared" si="9"/>
        <v>0</v>
      </c>
      <c r="R94">
        <f t="shared" si="10"/>
        <v>0</v>
      </c>
      <c r="S94">
        <f t="shared" si="11"/>
        <v>0</v>
      </c>
      <c r="T94" t="str">
        <f t="shared" si="12"/>
        <v>DerivedFromCount</v>
      </c>
      <c r="U94" t="str">
        <f>IF(COUNTIF(DailyProduction!$Q$5:$Q$100,B94)=1,"OK","CHECK")</f>
        <v>OK</v>
      </c>
      <c r="V94" t="str">
        <f t="shared" si="13"/>
        <v>OK</v>
      </c>
      <c r="W94" t="str">
        <f>IF(SUMIF($B$5:$B$914,B94,$S$5:$S$914)=SUMIF(DailyProduction!$Q$5:$Q$100,B94,DailyProduction!$R$5:$R$100),"OK","CHECK")</f>
        <v>OK</v>
      </c>
    </row>
    <row r="95" spans="1:23">
      <c r="A95" t="s">
        <v>493</v>
      </c>
      <c r="B95" t="s">
        <v>481</v>
      </c>
      <c r="C95" t="s">
        <v>30</v>
      </c>
      <c r="D95" s="7">
        <v>45953</v>
      </c>
      <c r="E95" t="s">
        <v>31</v>
      </c>
      <c r="F95" t="s">
        <v>41</v>
      </c>
      <c r="G95">
        <v>21</v>
      </c>
      <c r="H95" t="s">
        <v>34</v>
      </c>
      <c r="I95">
        <v>13</v>
      </c>
      <c r="J95">
        <v>10</v>
      </c>
      <c r="K95">
        <v>2</v>
      </c>
      <c r="L95">
        <f t="shared" si="7"/>
        <v>0</v>
      </c>
      <c r="P95">
        <f t="shared" si="8"/>
        <v>0</v>
      </c>
      <c r="Q95">
        <f t="shared" si="9"/>
        <v>0</v>
      </c>
      <c r="R95">
        <f t="shared" si="10"/>
        <v>0</v>
      </c>
      <c r="S95">
        <f t="shared" si="11"/>
        <v>0</v>
      </c>
      <c r="T95" t="str">
        <f t="shared" si="12"/>
        <v>DerivedFromCount</v>
      </c>
      <c r="U95" t="str">
        <f>IF(COUNTIF(DailyProduction!$Q$5:$Q$100,B95)=1,"OK","CHECK")</f>
        <v>OK</v>
      </c>
      <c r="V95" t="str">
        <f t="shared" si="13"/>
        <v>OK</v>
      </c>
      <c r="W95" t="str">
        <f>IF(SUMIF($B$5:$B$914,B95,$S$5:$S$914)=SUMIF(DailyProduction!$Q$5:$Q$100,B95,DailyProduction!$R$5:$R$100),"OK","CHECK")</f>
        <v>OK</v>
      </c>
    </row>
    <row r="96" spans="1:23">
      <c r="A96" t="s">
        <v>494</v>
      </c>
      <c r="B96" t="s">
        <v>495</v>
      </c>
      <c r="C96" t="s">
        <v>30</v>
      </c>
      <c r="D96" s="7">
        <v>45953</v>
      </c>
      <c r="E96" t="s">
        <v>79</v>
      </c>
      <c r="F96" t="s">
        <v>32</v>
      </c>
      <c r="G96">
        <v>21</v>
      </c>
      <c r="H96" t="s">
        <v>34</v>
      </c>
      <c r="I96">
        <v>1</v>
      </c>
      <c r="J96">
        <v>10</v>
      </c>
      <c r="K96">
        <v>2</v>
      </c>
      <c r="L96">
        <f t="shared" si="7"/>
        <v>1</v>
      </c>
      <c r="P96">
        <f t="shared" si="8"/>
        <v>1</v>
      </c>
      <c r="Q96">
        <f t="shared" si="9"/>
        <v>1</v>
      </c>
      <c r="R96">
        <f t="shared" si="10"/>
        <v>0</v>
      </c>
      <c r="S96">
        <f t="shared" si="11"/>
        <v>2</v>
      </c>
      <c r="T96" t="str">
        <f t="shared" si="12"/>
        <v>DerivedFromCount</v>
      </c>
      <c r="U96" t="str">
        <f>IF(COUNTIF(DailyProduction!$Q$5:$Q$100,B96)=1,"OK","CHECK")</f>
        <v>OK</v>
      </c>
      <c r="V96" t="str">
        <f t="shared" si="13"/>
        <v>OK</v>
      </c>
      <c r="W96" t="str">
        <f>IF(SUMIF($B$5:$B$914,B96,$S$5:$S$914)=SUMIF(DailyProduction!$Q$5:$Q$100,B96,DailyProduction!$R$5:$R$100),"OK","CHECK")</f>
        <v>OK</v>
      </c>
    </row>
    <row r="97" spans="1:23">
      <c r="A97" t="s">
        <v>496</v>
      </c>
      <c r="B97" t="s">
        <v>495</v>
      </c>
      <c r="C97" t="s">
        <v>30</v>
      </c>
      <c r="D97" s="7">
        <v>45953</v>
      </c>
      <c r="E97" t="s">
        <v>79</v>
      </c>
      <c r="F97" t="s">
        <v>32</v>
      </c>
      <c r="G97">
        <v>21</v>
      </c>
      <c r="H97" t="s">
        <v>34</v>
      </c>
      <c r="I97">
        <v>2</v>
      </c>
      <c r="J97">
        <v>10</v>
      </c>
      <c r="K97">
        <v>2</v>
      </c>
      <c r="L97">
        <f t="shared" si="7"/>
        <v>1</v>
      </c>
      <c r="P97">
        <f t="shared" si="8"/>
        <v>1</v>
      </c>
      <c r="Q97">
        <f t="shared" si="9"/>
        <v>1</v>
      </c>
      <c r="R97">
        <f t="shared" si="10"/>
        <v>0</v>
      </c>
      <c r="S97">
        <f t="shared" si="11"/>
        <v>2</v>
      </c>
      <c r="T97" t="str">
        <f t="shared" si="12"/>
        <v>DerivedFromCount</v>
      </c>
      <c r="U97" t="str">
        <f>IF(COUNTIF(DailyProduction!$Q$5:$Q$100,B97)=1,"OK","CHECK")</f>
        <v>OK</v>
      </c>
      <c r="V97" t="str">
        <f t="shared" si="13"/>
        <v>OK</v>
      </c>
      <c r="W97" t="str">
        <f>IF(SUMIF($B$5:$B$914,B97,$S$5:$S$914)=SUMIF(DailyProduction!$Q$5:$Q$100,B97,DailyProduction!$R$5:$R$100),"OK","CHECK")</f>
        <v>OK</v>
      </c>
    </row>
    <row r="98" spans="1:23">
      <c r="A98" t="s">
        <v>497</v>
      </c>
      <c r="B98" t="s">
        <v>495</v>
      </c>
      <c r="C98" t="s">
        <v>30</v>
      </c>
      <c r="D98" s="7">
        <v>45953</v>
      </c>
      <c r="E98" t="s">
        <v>79</v>
      </c>
      <c r="F98" t="s">
        <v>32</v>
      </c>
      <c r="G98">
        <v>21</v>
      </c>
      <c r="H98" t="s">
        <v>34</v>
      </c>
      <c r="I98">
        <v>3</v>
      </c>
      <c r="J98">
        <v>10</v>
      </c>
      <c r="K98">
        <v>2</v>
      </c>
      <c r="L98">
        <f t="shared" si="7"/>
        <v>1</v>
      </c>
      <c r="P98">
        <f t="shared" si="8"/>
        <v>1</v>
      </c>
      <c r="Q98">
        <f t="shared" si="9"/>
        <v>1</v>
      </c>
      <c r="R98">
        <f t="shared" si="10"/>
        <v>0</v>
      </c>
      <c r="S98">
        <f t="shared" si="11"/>
        <v>2</v>
      </c>
      <c r="T98" t="str">
        <f t="shared" si="12"/>
        <v>DerivedFromCount</v>
      </c>
      <c r="U98" t="str">
        <f>IF(COUNTIF(DailyProduction!$Q$5:$Q$100,B98)=1,"OK","CHECK")</f>
        <v>OK</v>
      </c>
      <c r="V98" t="str">
        <f t="shared" si="13"/>
        <v>OK</v>
      </c>
      <c r="W98" t="str">
        <f>IF(SUMIF($B$5:$B$914,B98,$S$5:$S$914)=SUMIF(DailyProduction!$Q$5:$Q$100,B98,DailyProduction!$R$5:$R$100),"OK","CHECK")</f>
        <v>OK</v>
      </c>
    </row>
    <row r="99" spans="1:23">
      <c r="A99" t="s">
        <v>498</v>
      </c>
      <c r="B99" t="s">
        <v>495</v>
      </c>
      <c r="C99" t="s">
        <v>30</v>
      </c>
      <c r="D99" s="7">
        <v>45953</v>
      </c>
      <c r="E99" t="s">
        <v>79</v>
      </c>
      <c r="F99" t="s">
        <v>32</v>
      </c>
      <c r="G99">
        <v>21</v>
      </c>
      <c r="H99" t="s">
        <v>34</v>
      </c>
      <c r="I99">
        <v>4</v>
      </c>
      <c r="J99">
        <v>10</v>
      </c>
      <c r="K99">
        <v>2</v>
      </c>
      <c r="L99">
        <f t="shared" si="7"/>
        <v>1</v>
      </c>
      <c r="P99">
        <f t="shared" si="8"/>
        <v>1</v>
      </c>
      <c r="Q99">
        <f t="shared" si="9"/>
        <v>1</v>
      </c>
      <c r="R99">
        <f t="shared" si="10"/>
        <v>0</v>
      </c>
      <c r="S99">
        <f t="shared" si="11"/>
        <v>2</v>
      </c>
      <c r="T99" t="str">
        <f t="shared" si="12"/>
        <v>DerivedFromCount</v>
      </c>
      <c r="U99" t="str">
        <f>IF(COUNTIF(DailyProduction!$Q$5:$Q$100,B99)=1,"OK","CHECK")</f>
        <v>OK</v>
      </c>
      <c r="V99" t="str">
        <f t="shared" si="13"/>
        <v>OK</v>
      </c>
      <c r="W99" t="str">
        <f>IF(SUMIF($B$5:$B$914,B99,$S$5:$S$914)=SUMIF(DailyProduction!$Q$5:$Q$100,B99,DailyProduction!$R$5:$R$100),"OK","CHECK")</f>
        <v>OK</v>
      </c>
    </row>
    <row r="100" spans="1:23">
      <c r="A100" t="s">
        <v>499</v>
      </c>
      <c r="B100" t="s">
        <v>495</v>
      </c>
      <c r="C100" t="s">
        <v>30</v>
      </c>
      <c r="D100" s="7">
        <v>45953</v>
      </c>
      <c r="E100" t="s">
        <v>79</v>
      </c>
      <c r="F100" t="s">
        <v>32</v>
      </c>
      <c r="G100">
        <v>21</v>
      </c>
      <c r="H100" t="s">
        <v>34</v>
      </c>
      <c r="I100">
        <v>5</v>
      </c>
      <c r="J100">
        <v>10</v>
      </c>
      <c r="K100">
        <v>2</v>
      </c>
      <c r="L100">
        <f t="shared" si="7"/>
        <v>1</v>
      </c>
      <c r="P100">
        <f t="shared" si="8"/>
        <v>1</v>
      </c>
      <c r="Q100">
        <f t="shared" si="9"/>
        <v>1</v>
      </c>
      <c r="R100">
        <f t="shared" si="10"/>
        <v>0</v>
      </c>
      <c r="S100">
        <f t="shared" si="11"/>
        <v>2</v>
      </c>
      <c r="T100" t="str">
        <f t="shared" si="12"/>
        <v>DerivedFromCount</v>
      </c>
      <c r="U100" t="str">
        <f>IF(COUNTIF(DailyProduction!$Q$5:$Q$100,B100)=1,"OK","CHECK")</f>
        <v>OK</v>
      </c>
      <c r="V100" t="str">
        <f t="shared" si="13"/>
        <v>OK</v>
      </c>
      <c r="W100" t="str">
        <f>IF(SUMIF($B$5:$B$914,B100,$S$5:$S$914)=SUMIF(DailyProduction!$Q$5:$Q$100,B100,DailyProduction!$R$5:$R$100),"OK","CHECK")</f>
        <v>OK</v>
      </c>
    </row>
    <row r="101" spans="1:23">
      <c r="A101" t="s">
        <v>500</v>
      </c>
      <c r="B101" t="s">
        <v>495</v>
      </c>
      <c r="C101" t="s">
        <v>30</v>
      </c>
      <c r="D101" s="7">
        <v>45953</v>
      </c>
      <c r="E101" t="s">
        <v>79</v>
      </c>
      <c r="F101" t="s">
        <v>32</v>
      </c>
      <c r="G101">
        <v>21</v>
      </c>
      <c r="H101" t="s">
        <v>34</v>
      </c>
      <c r="I101">
        <v>6</v>
      </c>
      <c r="J101">
        <v>10</v>
      </c>
      <c r="K101">
        <v>2</v>
      </c>
      <c r="L101">
        <f t="shared" si="7"/>
        <v>1</v>
      </c>
      <c r="P101">
        <f t="shared" si="8"/>
        <v>1</v>
      </c>
      <c r="Q101">
        <f t="shared" si="9"/>
        <v>1</v>
      </c>
      <c r="R101">
        <f t="shared" si="10"/>
        <v>0</v>
      </c>
      <c r="S101">
        <f t="shared" si="11"/>
        <v>2</v>
      </c>
      <c r="T101" t="str">
        <f t="shared" si="12"/>
        <v>DerivedFromCount</v>
      </c>
      <c r="U101" t="str">
        <f>IF(COUNTIF(DailyProduction!$Q$5:$Q$100,B101)=1,"OK","CHECK")</f>
        <v>OK</v>
      </c>
      <c r="V101" t="str">
        <f t="shared" si="13"/>
        <v>OK</v>
      </c>
      <c r="W101" t="str">
        <f>IF(SUMIF($B$5:$B$914,B101,$S$5:$S$914)=SUMIF(DailyProduction!$Q$5:$Q$100,B101,DailyProduction!$R$5:$R$100),"OK","CHECK")</f>
        <v>OK</v>
      </c>
    </row>
    <row r="102" spans="1:23">
      <c r="A102" t="s">
        <v>501</v>
      </c>
      <c r="B102" t="s">
        <v>495</v>
      </c>
      <c r="C102" t="s">
        <v>30</v>
      </c>
      <c r="D102" s="7">
        <v>45953</v>
      </c>
      <c r="E102" t="s">
        <v>79</v>
      </c>
      <c r="F102" t="s">
        <v>32</v>
      </c>
      <c r="G102">
        <v>21</v>
      </c>
      <c r="H102" t="s">
        <v>34</v>
      </c>
      <c r="I102">
        <v>7</v>
      </c>
      <c r="J102">
        <v>10</v>
      </c>
      <c r="K102">
        <v>2</v>
      </c>
      <c r="L102">
        <f t="shared" si="7"/>
        <v>1</v>
      </c>
      <c r="P102">
        <f t="shared" si="8"/>
        <v>1</v>
      </c>
      <c r="Q102">
        <f t="shared" si="9"/>
        <v>1</v>
      </c>
      <c r="R102">
        <f t="shared" si="10"/>
        <v>0</v>
      </c>
      <c r="S102">
        <f t="shared" si="11"/>
        <v>2</v>
      </c>
      <c r="T102" t="str">
        <f t="shared" si="12"/>
        <v>DerivedFromCount</v>
      </c>
      <c r="U102" t="str">
        <f>IF(COUNTIF(DailyProduction!$Q$5:$Q$100,B102)=1,"OK","CHECK")</f>
        <v>OK</v>
      </c>
      <c r="V102" t="str">
        <f t="shared" si="13"/>
        <v>OK</v>
      </c>
      <c r="W102" t="str">
        <f>IF(SUMIF($B$5:$B$914,B102,$S$5:$S$914)=SUMIF(DailyProduction!$Q$5:$Q$100,B102,DailyProduction!$R$5:$R$100),"OK","CHECK")</f>
        <v>OK</v>
      </c>
    </row>
    <row r="103" spans="1:23">
      <c r="A103" t="s">
        <v>502</v>
      </c>
      <c r="B103" t="s">
        <v>495</v>
      </c>
      <c r="C103" t="s">
        <v>30</v>
      </c>
      <c r="D103" s="7">
        <v>45953</v>
      </c>
      <c r="E103" t="s">
        <v>79</v>
      </c>
      <c r="F103" t="s">
        <v>32</v>
      </c>
      <c r="G103">
        <v>21</v>
      </c>
      <c r="H103" t="s">
        <v>34</v>
      </c>
      <c r="I103">
        <v>8</v>
      </c>
      <c r="J103">
        <v>10</v>
      </c>
      <c r="K103">
        <v>2</v>
      </c>
      <c r="L103">
        <f t="shared" si="7"/>
        <v>1</v>
      </c>
      <c r="P103">
        <f t="shared" si="8"/>
        <v>1</v>
      </c>
      <c r="Q103">
        <f t="shared" si="9"/>
        <v>1</v>
      </c>
      <c r="R103">
        <f t="shared" si="10"/>
        <v>0</v>
      </c>
      <c r="S103">
        <f t="shared" si="11"/>
        <v>2</v>
      </c>
      <c r="T103" t="str">
        <f t="shared" si="12"/>
        <v>DerivedFromCount</v>
      </c>
      <c r="U103" t="str">
        <f>IF(COUNTIF(DailyProduction!$Q$5:$Q$100,B103)=1,"OK","CHECK")</f>
        <v>OK</v>
      </c>
      <c r="V103" t="str">
        <f t="shared" si="13"/>
        <v>OK</v>
      </c>
      <c r="W103" t="str">
        <f>IF(SUMIF($B$5:$B$914,B103,$S$5:$S$914)=SUMIF(DailyProduction!$Q$5:$Q$100,B103,DailyProduction!$R$5:$R$100),"OK","CHECK")</f>
        <v>OK</v>
      </c>
    </row>
    <row r="104" spans="1:23">
      <c r="A104" t="s">
        <v>503</v>
      </c>
      <c r="B104" t="s">
        <v>495</v>
      </c>
      <c r="C104" t="s">
        <v>30</v>
      </c>
      <c r="D104" s="7">
        <v>45953</v>
      </c>
      <c r="E104" t="s">
        <v>79</v>
      </c>
      <c r="F104" t="s">
        <v>32</v>
      </c>
      <c r="G104">
        <v>21</v>
      </c>
      <c r="H104" t="s">
        <v>34</v>
      </c>
      <c r="I104">
        <v>9</v>
      </c>
      <c r="J104">
        <v>10</v>
      </c>
      <c r="K104">
        <v>2</v>
      </c>
      <c r="L104">
        <f t="shared" si="7"/>
        <v>1</v>
      </c>
      <c r="P104">
        <f t="shared" si="8"/>
        <v>1</v>
      </c>
      <c r="Q104">
        <f t="shared" si="9"/>
        <v>1</v>
      </c>
      <c r="R104">
        <f t="shared" si="10"/>
        <v>0</v>
      </c>
      <c r="S104">
        <f t="shared" si="11"/>
        <v>2</v>
      </c>
      <c r="T104" t="str">
        <f t="shared" si="12"/>
        <v>DerivedFromCount</v>
      </c>
      <c r="U104" t="str">
        <f>IF(COUNTIF(DailyProduction!$Q$5:$Q$100,B104)=1,"OK","CHECK")</f>
        <v>OK</v>
      </c>
      <c r="V104" t="str">
        <f t="shared" si="13"/>
        <v>OK</v>
      </c>
      <c r="W104" t="str">
        <f>IF(SUMIF($B$5:$B$914,B104,$S$5:$S$914)=SUMIF(DailyProduction!$Q$5:$Q$100,B104,DailyProduction!$R$5:$R$100),"OK","CHECK")</f>
        <v>OK</v>
      </c>
    </row>
    <row r="105" spans="1:23">
      <c r="A105" t="s">
        <v>504</v>
      </c>
      <c r="B105" t="s">
        <v>495</v>
      </c>
      <c r="C105" t="s">
        <v>30</v>
      </c>
      <c r="D105" s="7">
        <v>45953</v>
      </c>
      <c r="E105" t="s">
        <v>79</v>
      </c>
      <c r="F105" t="s">
        <v>32</v>
      </c>
      <c r="G105">
        <v>21</v>
      </c>
      <c r="H105" t="s">
        <v>34</v>
      </c>
      <c r="I105">
        <v>10</v>
      </c>
      <c r="J105">
        <v>10</v>
      </c>
      <c r="K105">
        <v>2</v>
      </c>
      <c r="L105">
        <f t="shared" si="7"/>
        <v>1</v>
      </c>
      <c r="P105">
        <f t="shared" si="8"/>
        <v>1</v>
      </c>
      <c r="Q105">
        <f t="shared" si="9"/>
        <v>1</v>
      </c>
      <c r="R105">
        <f t="shared" si="10"/>
        <v>0</v>
      </c>
      <c r="S105">
        <f t="shared" si="11"/>
        <v>2</v>
      </c>
      <c r="T105" t="str">
        <f t="shared" si="12"/>
        <v>DerivedFromCount</v>
      </c>
      <c r="U105" t="str">
        <f>IF(COUNTIF(DailyProduction!$Q$5:$Q$100,B105)=1,"OK","CHECK")</f>
        <v>OK</v>
      </c>
      <c r="V105" t="str">
        <f t="shared" si="13"/>
        <v>OK</v>
      </c>
      <c r="W105" t="str">
        <f>IF(SUMIF($B$5:$B$914,B105,$S$5:$S$914)=SUMIF(DailyProduction!$Q$5:$Q$100,B105,DailyProduction!$R$5:$R$100),"OK","CHECK")</f>
        <v>OK</v>
      </c>
    </row>
    <row r="106" spans="1:23">
      <c r="A106" t="s">
        <v>505</v>
      </c>
      <c r="B106" t="s">
        <v>495</v>
      </c>
      <c r="C106" t="s">
        <v>30</v>
      </c>
      <c r="D106" s="7">
        <v>45953</v>
      </c>
      <c r="E106" t="s">
        <v>79</v>
      </c>
      <c r="F106" t="s">
        <v>32</v>
      </c>
      <c r="G106">
        <v>21</v>
      </c>
      <c r="H106" t="s">
        <v>34</v>
      </c>
      <c r="I106">
        <v>11</v>
      </c>
      <c r="J106">
        <v>10</v>
      </c>
      <c r="K106">
        <v>2</v>
      </c>
      <c r="L106">
        <f t="shared" si="7"/>
        <v>0</v>
      </c>
      <c r="P106">
        <f t="shared" si="8"/>
        <v>0</v>
      </c>
      <c r="Q106">
        <f t="shared" si="9"/>
        <v>0</v>
      </c>
      <c r="R106">
        <f t="shared" si="10"/>
        <v>0</v>
      </c>
      <c r="S106">
        <f t="shared" si="11"/>
        <v>0</v>
      </c>
      <c r="T106" t="str">
        <f t="shared" si="12"/>
        <v>DerivedFromCount</v>
      </c>
      <c r="U106" t="str">
        <f>IF(COUNTIF(DailyProduction!$Q$5:$Q$100,B106)=1,"OK","CHECK")</f>
        <v>OK</v>
      </c>
      <c r="V106" t="str">
        <f t="shared" si="13"/>
        <v>OK</v>
      </c>
      <c r="W106" t="str">
        <f>IF(SUMIF($B$5:$B$914,B106,$S$5:$S$914)=SUMIF(DailyProduction!$Q$5:$Q$100,B106,DailyProduction!$R$5:$R$100),"OK","CHECK")</f>
        <v>OK</v>
      </c>
    </row>
    <row r="107" spans="1:23">
      <c r="A107" t="s">
        <v>506</v>
      </c>
      <c r="B107" t="s">
        <v>495</v>
      </c>
      <c r="C107" t="s">
        <v>30</v>
      </c>
      <c r="D107" s="7">
        <v>45953</v>
      </c>
      <c r="E107" t="s">
        <v>79</v>
      </c>
      <c r="F107" t="s">
        <v>32</v>
      </c>
      <c r="G107">
        <v>21</v>
      </c>
      <c r="H107" t="s">
        <v>34</v>
      </c>
      <c r="I107">
        <v>12</v>
      </c>
      <c r="J107">
        <v>10</v>
      </c>
      <c r="K107">
        <v>2</v>
      </c>
      <c r="L107">
        <f t="shared" si="7"/>
        <v>0</v>
      </c>
      <c r="P107">
        <f t="shared" si="8"/>
        <v>0</v>
      </c>
      <c r="Q107">
        <f t="shared" si="9"/>
        <v>0</v>
      </c>
      <c r="R107">
        <f t="shared" si="10"/>
        <v>0</v>
      </c>
      <c r="S107">
        <f t="shared" si="11"/>
        <v>0</v>
      </c>
      <c r="T107" t="str">
        <f t="shared" si="12"/>
        <v>DerivedFromCount</v>
      </c>
      <c r="U107" t="str">
        <f>IF(COUNTIF(DailyProduction!$Q$5:$Q$100,B107)=1,"OK","CHECK")</f>
        <v>OK</v>
      </c>
      <c r="V107" t="str">
        <f t="shared" si="13"/>
        <v>OK</v>
      </c>
      <c r="W107" t="str">
        <f>IF(SUMIF($B$5:$B$914,B107,$S$5:$S$914)=SUMIF(DailyProduction!$Q$5:$Q$100,B107,DailyProduction!$R$5:$R$100),"OK","CHECK")</f>
        <v>OK</v>
      </c>
    </row>
    <row r="108" spans="1:23">
      <c r="A108" t="s">
        <v>507</v>
      </c>
      <c r="B108" t="s">
        <v>495</v>
      </c>
      <c r="C108" t="s">
        <v>30</v>
      </c>
      <c r="D108" s="7">
        <v>45953</v>
      </c>
      <c r="E108" t="s">
        <v>79</v>
      </c>
      <c r="F108" t="s">
        <v>32</v>
      </c>
      <c r="G108">
        <v>21</v>
      </c>
      <c r="H108" t="s">
        <v>34</v>
      </c>
      <c r="I108">
        <v>13</v>
      </c>
      <c r="J108">
        <v>10</v>
      </c>
      <c r="K108">
        <v>2</v>
      </c>
      <c r="L108">
        <f t="shared" si="7"/>
        <v>0</v>
      </c>
      <c r="P108">
        <f t="shared" si="8"/>
        <v>0</v>
      </c>
      <c r="Q108">
        <f t="shared" si="9"/>
        <v>0</v>
      </c>
      <c r="R108">
        <f t="shared" si="10"/>
        <v>0</v>
      </c>
      <c r="S108">
        <f t="shared" si="11"/>
        <v>0</v>
      </c>
      <c r="T108" t="str">
        <f t="shared" si="12"/>
        <v>DerivedFromCount</v>
      </c>
      <c r="U108" t="str">
        <f>IF(COUNTIF(DailyProduction!$Q$5:$Q$100,B108)=1,"OK","CHECK")</f>
        <v>OK</v>
      </c>
      <c r="V108" t="str">
        <f t="shared" si="13"/>
        <v>OK</v>
      </c>
      <c r="W108" t="str">
        <f>IF(SUMIF($B$5:$B$914,B108,$S$5:$S$914)=SUMIF(DailyProduction!$Q$5:$Q$100,B108,DailyProduction!$R$5:$R$100),"OK","CHECK")</f>
        <v>OK</v>
      </c>
    </row>
    <row r="109" spans="1:23">
      <c r="A109" t="s">
        <v>508</v>
      </c>
      <c r="B109" t="s">
        <v>509</v>
      </c>
      <c r="C109" t="s">
        <v>30</v>
      </c>
      <c r="D109" s="7">
        <v>45954</v>
      </c>
      <c r="E109" t="s">
        <v>31</v>
      </c>
      <c r="F109" t="s">
        <v>32</v>
      </c>
      <c r="G109">
        <v>21</v>
      </c>
      <c r="H109" t="s">
        <v>34</v>
      </c>
      <c r="I109">
        <v>1</v>
      </c>
      <c r="J109">
        <v>10</v>
      </c>
      <c r="K109">
        <v>2</v>
      </c>
      <c r="L109">
        <f t="shared" si="7"/>
        <v>1</v>
      </c>
      <c r="P109">
        <f t="shared" si="8"/>
        <v>1</v>
      </c>
      <c r="Q109">
        <f t="shared" si="9"/>
        <v>1</v>
      </c>
      <c r="R109">
        <f t="shared" si="10"/>
        <v>0</v>
      </c>
      <c r="S109">
        <f t="shared" si="11"/>
        <v>2</v>
      </c>
      <c r="T109" t="str">
        <f t="shared" si="12"/>
        <v>DerivedFromCount</v>
      </c>
      <c r="U109" t="str">
        <f>IF(COUNTIF(DailyProduction!$Q$5:$Q$100,B109)=1,"OK","CHECK")</f>
        <v>OK</v>
      </c>
      <c r="V109" t="str">
        <f t="shared" si="13"/>
        <v>OK</v>
      </c>
      <c r="W109" t="str">
        <f>IF(SUMIF($B$5:$B$914,B109,$S$5:$S$914)=SUMIF(DailyProduction!$Q$5:$Q$100,B109,DailyProduction!$R$5:$R$100),"OK","CHECK")</f>
        <v>OK</v>
      </c>
    </row>
    <row r="110" spans="1:23">
      <c r="A110" t="s">
        <v>510</v>
      </c>
      <c r="B110" t="s">
        <v>509</v>
      </c>
      <c r="C110" t="s">
        <v>30</v>
      </c>
      <c r="D110" s="7">
        <v>45954</v>
      </c>
      <c r="E110" t="s">
        <v>31</v>
      </c>
      <c r="F110" t="s">
        <v>32</v>
      </c>
      <c r="G110">
        <v>21</v>
      </c>
      <c r="H110" t="s">
        <v>34</v>
      </c>
      <c r="I110">
        <v>2</v>
      </c>
      <c r="J110">
        <v>10</v>
      </c>
      <c r="K110">
        <v>2</v>
      </c>
      <c r="L110">
        <f t="shared" si="7"/>
        <v>1</v>
      </c>
      <c r="P110">
        <f t="shared" si="8"/>
        <v>1</v>
      </c>
      <c r="Q110">
        <f t="shared" si="9"/>
        <v>1</v>
      </c>
      <c r="R110">
        <f t="shared" si="10"/>
        <v>0</v>
      </c>
      <c r="S110">
        <f t="shared" si="11"/>
        <v>2</v>
      </c>
      <c r="T110" t="str">
        <f t="shared" si="12"/>
        <v>DerivedFromCount</v>
      </c>
      <c r="U110" t="str">
        <f>IF(COUNTIF(DailyProduction!$Q$5:$Q$100,B110)=1,"OK","CHECK")</f>
        <v>OK</v>
      </c>
      <c r="V110" t="str">
        <f t="shared" si="13"/>
        <v>OK</v>
      </c>
      <c r="W110" t="str">
        <f>IF(SUMIF($B$5:$B$914,B110,$S$5:$S$914)=SUMIF(DailyProduction!$Q$5:$Q$100,B110,DailyProduction!$R$5:$R$100),"OK","CHECK")</f>
        <v>OK</v>
      </c>
    </row>
    <row r="111" spans="1:23">
      <c r="A111" t="s">
        <v>511</v>
      </c>
      <c r="B111" t="s">
        <v>509</v>
      </c>
      <c r="C111" t="s">
        <v>30</v>
      </c>
      <c r="D111" s="7">
        <v>45954</v>
      </c>
      <c r="E111" t="s">
        <v>31</v>
      </c>
      <c r="F111" t="s">
        <v>32</v>
      </c>
      <c r="G111">
        <v>21</v>
      </c>
      <c r="H111" t="s">
        <v>34</v>
      </c>
      <c r="I111">
        <v>3</v>
      </c>
      <c r="J111">
        <v>10</v>
      </c>
      <c r="K111">
        <v>2</v>
      </c>
      <c r="L111">
        <f t="shared" si="7"/>
        <v>1</v>
      </c>
      <c r="P111">
        <f t="shared" si="8"/>
        <v>1</v>
      </c>
      <c r="Q111">
        <f t="shared" si="9"/>
        <v>1</v>
      </c>
      <c r="R111">
        <f t="shared" si="10"/>
        <v>0</v>
      </c>
      <c r="S111">
        <f t="shared" si="11"/>
        <v>2</v>
      </c>
      <c r="T111" t="str">
        <f t="shared" si="12"/>
        <v>DerivedFromCount</v>
      </c>
      <c r="U111" t="str">
        <f>IF(COUNTIF(DailyProduction!$Q$5:$Q$100,B111)=1,"OK","CHECK")</f>
        <v>OK</v>
      </c>
      <c r="V111" t="str">
        <f t="shared" si="13"/>
        <v>OK</v>
      </c>
      <c r="W111" t="str">
        <f>IF(SUMIF($B$5:$B$914,B111,$S$5:$S$914)=SUMIF(DailyProduction!$Q$5:$Q$100,B111,DailyProduction!$R$5:$R$100),"OK","CHECK")</f>
        <v>OK</v>
      </c>
    </row>
    <row r="112" spans="1:23">
      <c r="A112" t="s">
        <v>512</v>
      </c>
      <c r="B112" t="s">
        <v>509</v>
      </c>
      <c r="C112" t="s">
        <v>30</v>
      </c>
      <c r="D112" s="7">
        <v>45954</v>
      </c>
      <c r="E112" t="s">
        <v>31</v>
      </c>
      <c r="F112" t="s">
        <v>32</v>
      </c>
      <c r="G112">
        <v>21</v>
      </c>
      <c r="H112" t="s">
        <v>34</v>
      </c>
      <c r="I112">
        <v>4</v>
      </c>
      <c r="J112">
        <v>10</v>
      </c>
      <c r="K112">
        <v>2</v>
      </c>
      <c r="L112">
        <f t="shared" si="7"/>
        <v>1</v>
      </c>
      <c r="P112">
        <f t="shared" si="8"/>
        <v>1</v>
      </c>
      <c r="Q112">
        <f t="shared" si="9"/>
        <v>1</v>
      </c>
      <c r="R112">
        <f t="shared" si="10"/>
        <v>0</v>
      </c>
      <c r="S112">
        <f t="shared" si="11"/>
        <v>2</v>
      </c>
      <c r="T112" t="str">
        <f t="shared" si="12"/>
        <v>DerivedFromCount</v>
      </c>
      <c r="U112" t="str">
        <f>IF(COUNTIF(DailyProduction!$Q$5:$Q$100,B112)=1,"OK","CHECK")</f>
        <v>OK</v>
      </c>
      <c r="V112" t="str">
        <f t="shared" si="13"/>
        <v>OK</v>
      </c>
      <c r="W112" t="str">
        <f>IF(SUMIF($B$5:$B$914,B112,$S$5:$S$914)=SUMIF(DailyProduction!$Q$5:$Q$100,B112,DailyProduction!$R$5:$R$100),"OK","CHECK")</f>
        <v>OK</v>
      </c>
    </row>
    <row r="113" spans="1:23">
      <c r="A113" t="s">
        <v>513</v>
      </c>
      <c r="B113" t="s">
        <v>509</v>
      </c>
      <c r="C113" t="s">
        <v>30</v>
      </c>
      <c r="D113" s="7">
        <v>45954</v>
      </c>
      <c r="E113" t="s">
        <v>31</v>
      </c>
      <c r="F113" t="s">
        <v>32</v>
      </c>
      <c r="G113">
        <v>21</v>
      </c>
      <c r="H113" t="s">
        <v>34</v>
      </c>
      <c r="I113">
        <v>5</v>
      </c>
      <c r="J113">
        <v>10</v>
      </c>
      <c r="K113">
        <v>2</v>
      </c>
      <c r="L113">
        <f t="shared" si="7"/>
        <v>1</v>
      </c>
      <c r="P113">
        <f t="shared" si="8"/>
        <v>1</v>
      </c>
      <c r="Q113">
        <f t="shared" si="9"/>
        <v>1</v>
      </c>
      <c r="R113">
        <f t="shared" si="10"/>
        <v>0</v>
      </c>
      <c r="S113">
        <f t="shared" si="11"/>
        <v>2</v>
      </c>
      <c r="T113" t="str">
        <f t="shared" si="12"/>
        <v>DerivedFromCount</v>
      </c>
      <c r="U113" t="str">
        <f>IF(COUNTIF(DailyProduction!$Q$5:$Q$100,B113)=1,"OK","CHECK")</f>
        <v>OK</v>
      </c>
      <c r="V113" t="str">
        <f t="shared" si="13"/>
        <v>OK</v>
      </c>
      <c r="W113" t="str">
        <f>IF(SUMIF($B$5:$B$914,B113,$S$5:$S$914)=SUMIF(DailyProduction!$Q$5:$Q$100,B113,DailyProduction!$R$5:$R$100),"OK","CHECK")</f>
        <v>OK</v>
      </c>
    </row>
    <row r="114" spans="1:23">
      <c r="A114" t="s">
        <v>514</v>
      </c>
      <c r="B114" t="s">
        <v>509</v>
      </c>
      <c r="C114" t="s">
        <v>30</v>
      </c>
      <c r="D114" s="7">
        <v>45954</v>
      </c>
      <c r="E114" t="s">
        <v>31</v>
      </c>
      <c r="F114" t="s">
        <v>32</v>
      </c>
      <c r="G114">
        <v>21</v>
      </c>
      <c r="H114" t="s">
        <v>34</v>
      </c>
      <c r="I114">
        <v>6</v>
      </c>
      <c r="J114">
        <v>10</v>
      </c>
      <c r="K114">
        <v>2</v>
      </c>
      <c r="L114">
        <f t="shared" si="7"/>
        <v>1</v>
      </c>
      <c r="P114">
        <f t="shared" si="8"/>
        <v>1</v>
      </c>
      <c r="Q114">
        <f t="shared" si="9"/>
        <v>1</v>
      </c>
      <c r="R114">
        <f t="shared" si="10"/>
        <v>0</v>
      </c>
      <c r="S114">
        <f t="shared" si="11"/>
        <v>2</v>
      </c>
      <c r="T114" t="str">
        <f t="shared" si="12"/>
        <v>DerivedFromCount</v>
      </c>
      <c r="U114" t="str">
        <f>IF(COUNTIF(DailyProduction!$Q$5:$Q$100,B114)=1,"OK","CHECK")</f>
        <v>OK</v>
      </c>
      <c r="V114" t="str">
        <f t="shared" si="13"/>
        <v>OK</v>
      </c>
      <c r="W114" t="str">
        <f>IF(SUMIF($B$5:$B$914,B114,$S$5:$S$914)=SUMIF(DailyProduction!$Q$5:$Q$100,B114,DailyProduction!$R$5:$R$100),"OK","CHECK")</f>
        <v>OK</v>
      </c>
    </row>
    <row r="115" spans="1:23">
      <c r="A115" t="s">
        <v>515</v>
      </c>
      <c r="B115" t="s">
        <v>509</v>
      </c>
      <c r="C115" t="s">
        <v>30</v>
      </c>
      <c r="D115" s="7">
        <v>45954</v>
      </c>
      <c r="E115" t="s">
        <v>31</v>
      </c>
      <c r="F115" t="s">
        <v>32</v>
      </c>
      <c r="G115">
        <v>21</v>
      </c>
      <c r="H115" t="s">
        <v>34</v>
      </c>
      <c r="I115">
        <v>7</v>
      </c>
      <c r="J115">
        <v>10</v>
      </c>
      <c r="K115">
        <v>2</v>
      </c>
      <c r="L115">
        <f t="shared" si="7"/>
        <v>1</v>
      </c>
      <c r="P115">
        <f t="shared" si="8"/>
        <v>1</v>
      </c>
      <c r="Q115">
        <f t="shared" si="9"/>
        <v>1</v>
      </c>
      <c r="R115">
        <f t="shared" si="10"/>
        <v>0</v>
      </c>
      <c r="S115">
        <f t="shared" si="11"/>
        <v>2</v>
      </c>
      <c r="T115" t="str">
        <f t="shared" si="12"/>
        <v>DerivedFromCount</v>
      </c>
      <c r="U115" t="str">
        <f>IF(COUNTIF(DailyProduction!$Q$5:$Q$100,B115)=1,"OK","CHECK")</f>
        <v>OK</v>
      </c>
      <c r="V115" t="str">
        <f t="shared" si="13"/>
        <v>OK</v>
      </c>
      <c r="W115" t="str">
        <f>IF(SUMIF($B$5:$B$914,B115,$S$5:$S$914)=SUMIF(DailyProduction!$Q$5:$Q$100,B115,DailyProduction!$R$5:$R$100),"OK","CHECK")</f>
        <v>OK</v>
      </c>
    </row>
    <row r="116" spans="1:23">
      <c r="A116" t="s">
        <v>516</v>
      </c>
      <c r="B116" t="s">
        <v>509</v>
      </c>
      <c r="C116" t="s">
        <v>30</v>
      </c>
      <c r="D116" s="7">
        <v>45954</v>
      </c>
      <c r="E116" t="s">
        <v>31</v>
      </c>
      <c r="F116" t="s">
        <v>32</v>
      </c>
      <c r="G116">
        <v>21</v>
      </c>
      <c r="H116" t="s">
        <v>34</v>
      </c>
      <c r="I116">
        <v>8</v>
      </c>
      <c r="J116">
        <v>10</v>
      </c>
      <c r="K116">
        <v>2</v>
      </c>
      <c r="L116">
        <f t="shared" si="7"/>
        <v>1</v>
      </c>
      <c r="P116">
        <f t="shared" si="8"/>
        <v>1</v>
      </c>
      <c r="Q116">
        <f t="shared" si="9"/>
        <v>1</v>
      </c>
      <c r="R116">
        <f t="shared" si="10"/>
        <v>0</v>
      </c>
      <c r="S116">
        <f t="shared" si="11"/>
        <v>2</v>
      </c>
      <c r="T116" t="str">
        <f t="shared" si="12"/>
        <v>DerivedFromCount</v>
      </c>
      <c r="U116" t="str">
        <f>IF(COUNTIF(DailyProduction!$Q$5:$Q$100,B116)=1,"OK","CHECK")</f>
        <v>OK</v>
      </c>
      <c r="V116" t="str">
        <f t="shared" si="13"/>
        <v>OK</v>
      </c>
      <c r="W116" t="str">
        <f>IF(SUMIF($B$5:$B$914,B116,$S$5:$S$914)=SUMIF(DailyProduction!$Q$5:$Q$100,B116,DailyProduction!$R$5:$R$100),"OK","CHECK")</f>
        <v>OK</v>
      </c>
    </row>
    <row r="117" spans="1:23">
      <c r="A117" t="s">
        <v>517</v>
      </c>
      <c r="B117" t="s">
        <v>509</v>
      </c>
      <c r="C117" t="s">
        <v>30</v>
      </c>
      <c r="D117" s="7">
        <v>45954</v>
      </c>
      <c r="E117" t="s">
        <v>31</v>
      </c>
      <c r="F117" t="s">
        <v>32</v>
      </c>
      <c r="G117">
        <v>21</v>
      </c>
      <c r="H117" t="s">
        <v>34</v>
      </c>
      <c r="I117">
        <v>9</v>
      </c>
      <c r="J117">
        <v>10</v>
      </c>
      <c r="K117">
        <v>2</v>
      </c>
      <c r="L117">
        <f t="shared" si="7"/>
        <v>1</v>
      </c>
      <c r="P117">
        <f t="shared" si="8"/>
        <v>1</v>
      </c>
      <c r="Q117">
        <f t="shared" si="9"/>
        <v>1</v>
      </c>
      <c r="R117">
        <f t="shared" si="10"/>
        <v>0</v>
      </c>
      <c r="S117">
        <f t="shared" si="11"/>
        <v>2</v>
      </c>
      <c r="T117" t="str">
        <f t="shared" si="12"/>
        <v>DerivedFromCount</v>
      </c>
      <c r="U117" t="str">
        <f>IF(COUNTIF(DailyProduction!$Q$5:$Q$100,B117)=1,"OK","CHECK")</f>
        <v>OK</v>
      </c>
      <c r="V117" t="str">
        <f t="shared" si="13"/>
        <v>OK</v>
      </c>
      <c r="W117" t="str">
        <f>IF(SUMIF($B$5:$B$914,B117,$S$5:$S$914)=SUMIF(DailyProduction!$Q$5:$Q$100,B117,DailyProduction!$R$5:$R$100),"OK","CHECK")</f>
        <v>OK</v>
      </c>
    </row>
    <row r="118" spans="1:23">
      <c r="A118" t="s">
        <v>518</v>
      </c>
      <c r="B118" t="s">
        <v>509</v>
      </c>
      <c r="C118" t="s">
        <v>30</v>
      </c>
      <c r="D118" s="7">
        <v>45954</v>
      </c>
      <c r="E118" t="s">
        <v>31</v>
      </c>
      <c r="F118" t="s">
        <v>32</v>
      </c>
      <c r="G118">
        <v>21</v>
      </c>
      <c r="H118" t="s">
        <v>34</v>
      </c>
      <c r="I118">
        <v>10</v>
      </c>
      <c r="J118">
        <v>10</v>
      </c>
      <c r="K118">
        <v>2</v>
      </c>
      <c r="L118">
        <f t="shared" si="7"/>
        <v>1</v>
      </c>
      <c r="P118">
        <f t="shared" si="8"/>
        <v>1</v>
      </c>
      <c r="Q118">
        <f t="shared" si="9"/>
        <v>1</v>
      </c>
      <c r="R118">
        <f t="shared" si="10"/>
        <v>0</v>
      </c>
      <c r="S118">
        <f t="shared" si="11"/>
        <v>2</v>
      </c>
      <c r="T118" t="str">
        <f t="shared" si="12"/>
        <v>DerivedFromCount</v>
      </c>
      <c r="U118" t="str">
        <f>IF(COUNTIF(DailyProduction!$Q$5:$Q$100,B118)=1,"OK","CHECK")</f>
        <v>OK</v>
      </c>
      <c r="V118" t="str">
        <f t="shared" si="13"/>
        <v>OK</v>
      </c>
      <c r="W118" t="str">
        <f>IF(SUMIF($B$5:$B$914,B118,$S$5:$S$914)=SUMIF(DailyProduction!$Q$5:$Q$100,B118,DailyProduction!$R$5:$R$100),"OK","CHECK")</f>
        <v>OK</v>
      </c>
    </row>
    <row r="119" spans="1:23">
      <c r="A119" t="s">
        <v>519</v>
      </c>
      <c r="B119" t="s">
        <v>509</v>
      </c>
      <c r="C119" t="s">
        <v>30</v>
      </c>
      <c r="D119" s="7">
        <v>45954</v>
      </c>
      <c r="E119" t="s">
        <v>31</v>
      </c>
      <c r="F119" t="s">
        <v>32</v>
      </c>
      <c r="G119">
        <v>21</v>
      </c>
      <c r="H119" t="s">
        <v>34</v>
      </c>
      <c r="I119">
        <v>11</v>
      </c>
      <c r="J119">
        <v>10</v>
      </c>
      <c r="K119">
        <v>2</v>
      </c>
      <c r="L119">
        <f t="shared" si="7"/>
        <v>0</v>
      </c>
      <c r="P119">
        <f t="shared" si="8"/>
        <v>0</v>
      </c>
      <c r="Q119">
        <f t="shared" si="9"/>
        <v>0</v>
      </c>
      <c r="R119">
        <f t="shared" si="10"/>
        <v>0</v>
      </c>
      <c r="S119">
        <f t="shared" si="11"/>
        <v>0</v>
      </c>
      <c r="T119" t="str">
        <f t="shared" si="12"/>
        <v>DerivedFromCount</v>
      </c>
      <c r="U119" t="str">
        <f>IF(COUNTIF(DailyProduction!$Q$5:$Q$100,B119)=1,"OK","CHECK")</f>
        <v>OK</v>
      </c>
      <c r="V119" t="str">
        <f t="shared" si="13"/>
        <v>OK</v>
      </c>
      <c r="W119" t="str">
        <f>IF(SUMIF($B$5:$B$914,B119,$S$5:$S$914)=SUMIF(DailyProduction!$Q$5:$Q$100,B119,DailyProduction!$R$5:$R$100),"OK","CHECK")</f>
        <v>OK</v>
      </c>
    </row>
    <row r="120" spans="1:23">
      <c r="A120" t="s">
        <v>520</v>
      </c>
      <c r="B120" t="s">
        <v>509</v>
      </c>
      <c r="C120" t="s">
        <v>30</v>
      </c>
      <c r="D120" s="7">
        <v>45954</v>
      </c>
      <c r="E120" t="s">
        <v>31</v>
      </c>
      <c r="F120" t="s">
        <v>32</v>
      </c>
      <c r="G120">
        <v>21</v>
      </c>
      <c r="H120" t="s">
        <v>34</v>
      </c>
      <c r="I120">
        <v>12</v>
      </c>
      <c r="J120">
        <v>10</v>
      </c>
      <c r="K120">
        <v>2</v>
      </c>
      <c r="L120">
        <f t="shared" si="7"/>
        <v>0</v>
      </c>
      <c r="P120">
        <f t="shared" si="8"/>
        <v>0</v>
      </c>
      <c r="Q120">
        <f t="shared" si="9"/>
        <v>0</v>
      </c>
      <c r="R120">
        <f t="shared" si="10"/>
        <v>0</v>
      </c>
      <c r="S120">
        <f t="shared" si="11"/>
        <v>0</v>
      </c>
      <c r="T120" t="str">
        <f t="shared" si="12"/>
        <v>DerivedFromCount</v>
      </c>
      <c r="U120" t="str">
        <f>IF(COUNTIF(DailyProduction!$Q$5:$Q$100,B120)=1,"OK","CHECK")</f>
        <v>OK</v>
      </c>
      <c r="V120" t="str">
        <f t="shared" si="13"/>
        <v>OK</v>
      </c>
      <c r="W120" t="str">
        <f>IF(SUMIF($B$5:$B$914,B120,$S$5:$S$914)=SUMIF(DailyProduction!$Q$5:$Q$100,B120,DailyProduction!$R$5:$R$100),"OK","CHECK")</f>
        <v>OK</v>
      </c>
    </row>
    <row r="121" spans="1:23">
      <c r="A121" t="s">
        <v>521</v>
      </c>
      <c r="B121" t="s">
        <v>509</v>
      </c>
      <c r="C121" t="s">
        <v>30</v>
      </c>
      <c r="D121" s="7">
        <v>45954</v>
      </c>
      <c r="E121" t="s">
        <v>31</v>
      </c>
      <c r="F121" t="s">
        <v>32</v>
      </c>
      <c r="G121">
        <v>21</v>
      </c>
      <c r="H121" t="s">
        <v>34</v>
      </c>
      <c r="I121">
        <v>13</v>
      </c>
      <c r="J121">
        <v>10</v>
      </c>
      <c r="K121">
        <v>2</v>
      </c>
      <c r="L121">
        <f t="shared" si="7"/>
        <v>0</v>
      </c>
      <c r="P121">
        <f t="shared" si="8"/>
        <v>0</v>
      </c>
      <c r="Q121">
        <f t="shared" si="9"/>
        <v>0</v>
      </c>
      <c r="R121">
        <f t="shared" si="10"/>
        <v>0</v>
      </c>
      <c r="S121">
        <f t="shared" si="11"/>
        <v>0</v>
      </c>
      <c r="T121" t="str">
        <f t="shared" si="12"/>
        <v>DerivedFromCount</v>
      </c>
      <c r="U121" t="str">
        <f>IF(COUNTIF(DailyProduction!$Q$5:$Q$100,B121)=1,"OK","CHECK")</f>
        <v>OK</v>
      </c>
      <c r="V121" t="str">
        <f t="shared" si="13"/>
        <v>OK</v>
      </c>
      <c r="W121" t="str">
        <f>IF(SUMIF($B$5:$B$914,B121,$S$5:$S$914)=SUMIF(DailyProduction!$Q$5:$Q$100,B121,DailyProduction!$R$5:$R$100),"OK","CHECK")</f>
        <v>OK</v>
      </c>
    </row>
    <row r="122" spans="1:23">
      <c r="A122" t="s">
        <v>522</v>
      </c>
      <c r="B122" t="s">
        <v>523</v>
      </c>
      <c r="C122" t="s">
        <v>30</v>
      </c>
      <c r="D122" s="7">
        <v>45954</v>
      </c>
      <c r="E122" t="s">
        <v>79</v>
      </c>
      <c r="F122" t="s">
        <v>37</v>
      </c>
      <c r="G122">
        <v>21</v>
      </c>
      <c r="H122" t="s">
        <v>34</v>
      </c>
      <c r="I122">
        <v>1</v>
      </c>
      <c r="J122">
        <v>10</v>
      </c>
      <c r="K122">
        <v>2</v>
      </c>
      <c r="L122">
        <f t="shared" si="7"/>
        <v>1</v>
      </c>
      <c r="P122">
        <f t="shared" si="8"/>
        <v>1</v>
      </c>
      <c r="Q122">
        <f t="shared" si="9"/>
        <v>1</v>
      </c>
      <c r="R122">
        <f t="shared" si="10"/>
        <v>0</v>
      </c>
      <c r="S122">
        <f t="shared" si="11"/>
        <v>2</v>
      </c>
      <c r="T122" t="str">
        <f t="shared" si="12"/>
        <v>DerivedFromCount</v>
      </c>
      <c r="U122" t="str">
        <f>IF(COUNTIF(DailyProduction!$Q$5:$Q$100,B122)=1,"OK","CHECK")</f>
        <v>OK</v>
      </c>
      <c r="V122" t="str">
        <f t="shared" si="13"/>
        <v>OK</v>
      </c>
      <c r="W122" t="str">
        <f>IF(SUMIF($B$5:$B$914,B122,$S$5:$S$914)=SUMIF(DailyProduction!$Q$5:$Q$100,B122,DailyProduction!$R$5:$R$100),"OK","CHECK")</f>
        <v>OK</v>
      </c>
    </row>
    <row r="123" spans="1:23">
      <c r="A123" t="s">
        <v>524</v>
      </c>
      <c r="B123" t="s">
        <v>523</v>
      </c>
      <c r="C123" t="s">
        <v>30</v>
      </c>
      <c r="D123" s="7">
        <v>45954</v>
      </c>
      <c r="E123" t="s">
        <v>79</v>
      </c>
      <c r="F123" t="s">
        <v>37</v>
      </c>
      <c r="G123">
        <v>21</v>
      </c>
      <c r="H123" t="s">
        <v>34</v>
      </c>
      <c r="I123">
        <v>2</v>
      </c>
      <c r="J123">
        <v>10</v>
      </c>
      <c r="K123">
        <v>2</v>
      </c>
      <c r="L123">
        <f t="shared" si="7"/>
        <v>1</v>
      </c>
      <c r="P123">
        <f t="shared" si="8"/>
        <v>1</v>
      </c>
      <c r="Q123">
        <f t="shared" si="9"/>
        <v>1</v>
      </c>
      <c r="R123">
        <f t="shared" si="10"/>
        <v>0</v>
      </c>
      <c r="S123">
        <f t="shared" si="11"/>
        <v>2</v>
      </c>
      <c r="T123" t="str">
        <f t="shared" si="12"/>
        <v>DerivedFromCount</v>
      </c>
      <c r="U123" t="str">
        <f>IF(COUNTIF(DailyProduction!$Q$5:$Q$100,B123)=1,"OK","CHECK")</f>
        <v>OK</v>
      </c>
      <c r="V123" t="str">
        <f t="shared" si="13"/>
        <v>OK</v>
      </c>
      <c r="W123" t="str">
        <f>IF(SUMIF($B$5:$B$914,B123,$S$5:$S$914)=SUMIF(DailyProduction!$Q$5:$Q$100,B123,DailyProduction!$R$5:$R$100),"OK","CHECK")</f>
        <v>OK</v>
      </c>
    </row>
    <row r="124" spans="1:23">
      <c r="A124" t="s">
        <v>525</v>
      </c>
      <c r="B124" t="s">
        <v>523</v>
      </c>
      <c r="C124" t="s">
        <v>30</v>
      </c>
      <c r="D124" s="7">
        <v>45954</v>
      </c>
      <c r="E124" t="s">
        <v>79</v>
      </c>
      <c r="F124" t="s">
        <v>37</v>
      </c>
      <c r="G124">
        <v>21</v>
      </c>
      <c r="H124" t="s">
        <v>34</v>
      </c>
      <c r="I124">
        <v>3</v>
      </c>
      <c r="J124">
        <v>10</v>
      </c>
      <c r="K124">
        <v>2</v>
      </c>
      <c r="L124">
        <f t="shared" si="7"/>
        <v>1</v>
      </c>
      <c r="P124">
        <f t="shared" si="8"/>
        <v>1</v>
      </c>
      <c r="Q124">
        <f t="shared" si="9"/>
        <v>1</v>
      </c>
      <c r="R124">
        <f t="shared" si="10"/>
        <v>0</v>
      </c>
      <c r="S124">
        <f t="shared" si="11"/>
        <v>2</v>
      </c>
      <c r="T124" t="str">
        <f t="shared" si="12"/>
        <v>DerivedFromCount</v>
      </c>
      <c r="U124" t="str">
        <f>IF(COUNTIF(DailyProduction!$Q$5:$Q$100,B124)=1,"OK","CHECK")</f>
        <v>OK</v>
      </c>
      <c r="V124" t="str">
        <f t="shared" si="13"/>
        <v>OK</v>
      </c>
      <c r="W124" t="str">
        <f>IF(SUMIF($B$5:$B$914,B124,$S$5:$S$914)=SUMIF(DailyProduction!$Q$5:$Q$100,B124,DailyProduction!$R$5:$R$100),"OK","CHECK")</f>
        <v>OK</v>
      </c>
    </row>
    <row r="125" spans="1:23">
      <c r="A125" t="s">
        <v>526</v>
      </c>
      <c r="B125" t="s">
        <v>523</v>
      </c>
      <c r="C125" t="s">
        <v>30</v>
      </c>
      <c r="D125" s="7">
        <v>45954</v>
      </c>
      <c r="E125" t="s">
        <v>79</v>
      </c>
      <c r="F125" t="s">
        <v>37</v>
      </c>
      <c r="G125">
        <v>21</v>
      </c>
      <c r="H125" t="s">
        <v>34</v>
      </c>
      <c r="I125">
        <v>4</v>
      </c>
      <c r="J125">
        <v>10</v>
      </c>
      <c r="K125">
        <v>2</v>
      </c>
      <c r="L125">
        <f t="shared" si="7"/>
        <v>1</v>
      </c>
      <c r="P125">
        <f t="shared" si="8"/>
        <v>1</v>
      </c>
      <c r="Q125">
        <f t="shared" si="9"/>
        <v>1</v>
      </c>
      <c r="R125">
        <f t="shared" si="10"/>
        <v>0</v>
      </c>
      <c r="S125">
        <f t="shared" si="11"/>
        <v>2</v>
      </c>
      <c r="T125" t="str">
        <f t="shared" si="12"/>
        <v>DerivedFromCount</v>
      </c>
      <c r="U125" t="str">
        <f>IF(COUNTIF(DailyProduction!$Q$5:$Q$100,B125)=1,"OK","CHECK")</f>
        <v>OK</v>
      </c>
      <c r="V125" t="str">
        <f t="shared" si="13"/>
        <v>OK</v>
      </c>
      <c r="W125" t="str">
        <f>IF(SUMIF($B$5:$B$914,B125,$S$5:$S$914)=SUMIF(DailyProduction!$Q$5:$Q$100,B125,DailyProduction!$R$5:$R$100),"OK","CHECK")</f>
        <v>OK</v>
      </c>
    </row>
    <row r="126" spans="1:23">
      <c r="A126" t="s">
        <v>527</v>
      </c>
      <c r="B126" t="s">
        <v>523</v>
      </c>
      <c r="C126" t="s">
        <v>30</v>
      </c>
      <c r="D126" s="7">
        <v>45954</v>
      </c>
      <c r="E126" t="s">
        <v>79</v>
      </c>
      <c r="F126" t="s">
        <v>37</v>
      </c>
      <c r="G126">
        <v>21</v>
      </c>
      <c r="H126" t="s">
        <v>34</v>
      </c>
      <c r="I126">
        <v>5</v>
      </c>
      <c r="J126">
        <v>10</v>
      </c>
      <c r="K126">
        <v>2</v>
      </c>
      <c r="L126">
        <f t="shared" si="7"/>
        <v>1</v>
      </c>
      <c r="P126">
        <f t="shared" si="8"/>
        <v>1</v>
      </c>
      <c r="Q126">
        <f t="shared" si="9"/>
        <v>1</v>
      </c>
      <c r="R126">
        <f t="shared" si="10"/>
        <v>0</v>
      </c>
      <c r="S126">
        <f t="shared" si="11"/>
        <v>2</v>
      </c>
      <c r="T126" t="str">
        <f t="shared" si="12"/>
        <v>DerivedFromCount</v>
      </c>
      <c r="U126" t="str">
        <f>IF(COUNTIF(DailyProduction!$Q$5:$Q$100,B126)=1,"OK","CHECK")</f>
        <v>OK</v>
      </c>
      <c r="V126" t="str">
        <f t="shared" si="13"/>
        <v>OK</v>
      </c>
      <c r="W126" t="str">
        <f>IF(SUMIF($B$5:$B$914,B126,$S$5:$S$914)=SUMIF(DailyProduction!$Q$5:$Q$100,B126,DailyProduction!$R$5:$R$100),"OK","CHECK")</f>
        <v>OK</v>
      </c>
    </row>
    <row r="127" spans="1:23">
      <c r="A127" t="s">
        <v>528</v>
      </c>
      <c r="B127" t="s">
        <v>523</v>
      </c>
      <c r="C127" t="s">
        <v>30</v>
      </c>
      <c r="D127" s="7">
        <v>45954</v>
      </c>
      <c r="E127" t="s">
        <v>79</v>
      </c>
      <c r="F127" t="s">
        <v>37</v>
      </c>
      <c r="G127">
        <v>21</v>
      </c>
      <c r="H127" t="s">
        <v>34</v>
      </c>
      <c r="I127">
        <v>6</v>
      </c>
      <c r="J127">
        <v>10</v>
      </c>
      <c r="K127">
        <v>2</v>
      </c>
      <c r="L127">
        <f t="shared" si="7"/>
        <v>1</v>
      </c>
      <c r="P127">
        <f t="shared" si="8"/>
        <v>1</v>
      </c>
      <c r="Q127">
        <f t="shared" si="9"/>
        <v>1</v>
      </c>
      <c r="R127">
        <f t="shared" si="10"/>
        <v>0</v>
      </c>
      <c r="S127">
        <f t="shared" si="11"/>
        <v>2</v>
      </c>
      <c r="T127" t="str">
        <f t="shared" si="12"/>
        <v>DerivedFromCount</v>
      </c>
      <c r="U127" t="str">
        <f>IF(COUNTIF(DailyProduction!$Q$5:$Q$100,B127)=1,"OK","CHECK")</f>
        <v>OK</v>
      </c>
      <c r="V127" t="str">
        <f t="shared" si="13"/>
        <v>OK</v>
      </c>
      <c r="W127" t="str">
        <f>IF(SUMIF($B$5:$B$914,B127,$S$5:$S$914)=SUMIF(DailyProduction!$Q$5:$Q$100,B127,DailyProduction!$R$5:$R$100),"OK","CHECK")</f>
        <v>OK</v>
      </c>
    </row>
    <row r="128" spans="1:23">
      <c r="A128" t="s">
        <v>529</v>
      </c>
      <c r="B128" t="s">
        <v>523</v>
      </c>
      <c r="C128" t="s">
        <v>30</v>
      </c>
      <c r="D128" s="7">
        <v>45954</v>
      </c>
      <c r="E128" t="s">
        <v>79</v>
      </c>
      <c r="F128" t="s">
        <v>37</v>
      </c>
      <c r="G128">
        <v>21</v>
      </c>
      <c r="H128" t="s">
        <v>34</v>
      </c>
      <c r="I128">
        <v>7</v>
      </c>
      <c r="J128">
        <v>10</v>
      </c>
      <c r="K128">
        <v>2</v>
      </c>
      <c r="L128">
        <f t="shared" si="7"/>
        <v>1</v>
      </c>
      <c r="P128">
        <f t="shared" si="8"/>
        <v>1</v>
      </c>
      <c r="Q128">
        <f t="shared" si="9"/>
        <v>1</v>
      </c>
      <c r="R128">
        <f t="shared" si="10"/>
        <v>0</v>
      </c>
      <c r="S128">
        <f t="shared" si="11"/>
        <v>2</v>
      </c>
      <c r="T128" t="str">
        <f t="shared" si="12"/>
        <v>DerivedFromCount</v>
      </c>
      <c r="U128" t="str">
        <f>IF(COUNTIF(DailyProduction!$Q$5:$Q$100,B128)=1,"OK","CHECK")</f>
        <v>OK</v>
      </c>
      <c r="V128" t="str">
        <f t="shared" si="13"/>
        <v>OK</v>
      </c>
      <c r="W128" t="str">
        <f>IF(SUMIF($B$5:$B$914,B128,$S$5:$S$914)=SUMIF(DailyProduction!$Q$5:$Q$100,B128,DailyProduction!$R$5:$R$100),"OK","CHECK")</f>
        <v>OK</v>
      </c>
    </row>
    <row r="129" spans="1:23">
      <c r="A129" t="s">
        <v>530</v>
      </c>
      <c r="B129" t="s">
        <v>523</v>
      </c>
      <c r="C129" t="s">
        <v>30</v>
      </c>
      <c r="D129" s="7">
        <v>45954</v>
      </c>
      <c r="E129" t="s">
        <v>79</v>
      </c>
      <c r="F129" t="s">
        <v>37</v>
      </c>
      <c r="G129">
        <v>21</v>
      </c>
      <c r="H129" t="s">
        <v>34</v>
      </c>
      <c r="I129">
        <v>8</v>
      </c>
      <c r="J129">
        <v>10</v>
      </c>
      <c r="K129">
        <v>2</v>
      </c>
      <c r="L129">
        <f t="shared" si="7"/>
        <v>1</v>
      </c>
      <c r="P129">
        <f t="shared" si="8"/>
        <v>1</v>
      </c>
      <c r="Q129">
        <f t="shared" si="9"/>
        <v>1</v>
      </c>
      <c r="R129">
        <f t="shared" si="10"/>
        <v>0</v>
      </c>
      <c r="S129">
        <f t="shared" si="11"/>
        <v>2</v>
      </c>
      <c r="T129" t="str">
        <f t="shared" si="12"/>
        <v>DerivedFromCount</v>
      </c>
      <c r="U129" t="str">
        <f>IF(COUNTIF(DailyProduction!$Q$5:$Q$100,B129)=1,"OK","CHECK")</f>
        <v>OK</v>
      </c>
      <c r="V129" t="str">
        <f t="shared" si="13"/>
        <v>OK</v>
      </c>
      <c r="W129" t="str">
        <f>IF(SUMIF($B$5:$B$914,B129,$S$5:$S$914)=SUMIF(DailyProduction!$Q$5:$Q$100,B129,DailyProduction!$R$5:$R$100),"OK","CHECK")</f>
        <v>OK</v>
      </c>
    </row>
    <row r="130" spans="1:23">
      <c r="A130" t="s">
        <v>531</v>
      </c>
      <c r="B130" t="s">
        <v>523</v>
      </c>
      <c r="C130" t="s">
        <v>30</v>
      </c>
      <c r="D130" s="7">
        <v>45954</v>
      </c>
      <c r="E130" t="s">
        <v>79</v>
      </c>
      <c r="F130" t="s">
        <v>37</v>
      </c>
      <c r="G130">
        <v>21</v>
      </c>
      <c r="H130" t="s">
        <v>34</v>
      </c>
      <c r="I130">
        <v>9</v>
      </c>
      <c r="J130">
        <v>10</v>
      </c>
      <c r="K130">
        <v>2</v>
      </c>
      <c r="L130">
        <f t="shared" si="7"/>
        <v>1</v>
      </c>
      <c r="P130">
        <f t="shared" si="8"/>
        <v>1</v>
      </c>
      <c r="Q130">
        <f t="shared" si="9"/>
        <v>1</v>
      </c>
      <c r="R130">
        <f t="shared" si="10"/>
        <v>0</v>
      </c>
      <c r="S130">
        <f t="shared" si="11"/>
        <v>2</v>
      </c>
      <c r="T130" t="str">
        <f t="shared" si="12"/>
        <v>DerivedFromCount</v>
      </c>
      <c r="U130" t="str">
        <f>IF(COUNTIF(DailyProduction!$Q$5:$Q$100,B130)=1,"OK","CHECK")</f>
        <v>OK</v>
      </c>
      <c r="V130" t="str">
        <f t="shared" si="13"/>
        <v>OK</v>
      </c>
      <c r="W130" t="str">
        <f>IF(SUMIF($B$5:$B$914,B130,$S$5:$S$914)=SUMIF(DailyProduction!$Q$5:$Q$100,B130,DailyProduction!$R$5:$R$100),"OK","CHECK")</f>
        <v>OK</v>
      </c>
    </row>
    <row r="131" spans="1:23">
      <c r="A131" t="s">
        <v>532</v>
      </c>
      <c r="B131" t="s">
        <v>523</v>
      </c>
      <c r="C131" t="s">
        <v>30</v>
      </c>
      <c r="D131" s="7">
        <v>45954</v>
      </c>
      <c r="E131" t="s">
        <v>79</v>
      </c>
      <c r="F131" t="s">
        <v>37</v>
      </c>
      <c r="G131">
        <v>21</v>
      </c>
      <c r="H131" t="s">
        <v>34</v>
      </c>
      <c r="I131">
        <v>10</v>
      </c>
      <c r="J131">
        <v>10</v>
      </c>
      <c r="K131">
        <v>2</v>
      </c>
      <c r="L131">
        <f t="shared" si="7"/>
        <v>1</v>
      </c>
      <c r="P131">
        <f t="shared" si="8"/>
        <v>1</v>
      </c>
      <c r="Q131">
        <f t="shared" si="9"/>
        <v>1</v>
      </c>
      <c r="R131">
        <f t="shared" si="10"/>
        <v>0</v>
      </c>
      <c r="S131">
        <f t="shared" si="11"/>
        <v>2</v>
      </c>
      <c r="T131" t="str">
        <f t="shared" si="12"/>
        <v>DerivedFromCount</v>
      </c>
      <c r="U131" t="str">
        <f>IF(COUNTIF(DailyProduction!$Q$5:$Q$100,B131)=1,"OK","CHECK")</f>
        <v>OK</v>
      </c>
      <c r="V131" t="str">
        <f t="shared" si="13"/>
        <v>OK</v>
      </c>
      <c r="W131" t="str">
        <f>IF(SUMIF($B$5:$B$914,B131,$S$5:$S$914)=SUMIF(DailyProduction!$Q$5:$Q$100,B131,DailyProduction!$R$5:$R$100),"OK","CHECK")</f>
        <v>OK</v>
      </c>
    </row>
    <row r="132" spans="1:23">
      <c r="A132" t="s">
        <v>533</v>
      </c>
      <c r="B132" t="s">
        <v>523</v>
      </c>
      <c r="C132" t="s">
        <v>30</v>
      </c>
      <c r="D132" s="7">
        <v>45954</v>
      </c>
      <c r="E132" t="s">
        <v>79</v>
      </c>
      <c r="F132" t="s">
        <v>37</v>
      </c>
      <c r="G132">
        <v>21</v>
      </c>
      <c r="H132" t="s">
        <v>34</v>
      </c>
      <c r="I132">
        <v>11</v>
      </c>
      <c r="J132">
        <v>10</v>
      </c>
      <c r="K132">
        <v>2</v>
      </c>
      <c r="L132">
        <f t="shared" si="7"/>
        <v>0</v>
      </c>
      <c r="P132">
        <f t="shared" si="8"/>
        <v>0</v>
      </c>
      <c r="Q132">
        <f t="shared" si="9"/>
        <v>0</v>
      </c>
      <c r="R132">
        <f t="shared" si="10"/>
        <v>0</v>
      </c>
      <c r="S132">
        <f t="shared" si="11"/>
        <v>0</v>
      </c>
      <c r="T132" t="str">
        <f t="shared" si="12"/>
        <v>DerivedFromCount</v>
      </c>
      <c r="U132" t="str">
        <f>IF(COUNTIF(DailyProduction!$Q$5:$Q$100,B132)=1,"OK","CHECK")</f>
        <v>OK</v>
      </c>
      <c r="V132" t="str">
        <f t="shared" si="13"/>
        <v>OK</v>
      </c>
      <c r="W132" t="str">
        <f>IF(SUMIF($B$5:$B$914,B132,$S$5:$S$914)=SUMIF(DailyProduction!$Q$5:$Q$100,B132,DailyProduction!$R$5:$R$100),"OK","CHECK")</f>
        <v>OK</v>
      </c>
    </row>
    <row r="133" spans="1:23">
      <c r="A133" t="s">
        <v>534</v>
      </c>
      <c r="B133" t="s">
        <v>523</v>
      </c>
      <c r="C133" t="s">
        <v>30</v>
      </c>
      <c r="D133" s="7">
        <v>45954</v>
      </c>
      <c r="E133" t="s">
        <v>79</v>
      </c>
      <c r="F133" t="s">
        <v>37</v>
      </c>
      <c r="G133">
        <v>21</v>
      </c>
      <c r="H133" t="s">
        <v>34</v>
      </c>
      <c r="I133">
        <v>12</v>
      </c>
      <c r="J133">
        <v>10</v>
      </c>
      <c r="K133">
        <v>2</v>
      </c>
      <c r="L133">
        <f t="shared" ref="L133:L196" si="14">IF(I133&lt;=J133,1,0)</f>
        <v>0</v>
      </c>
      <c r="P133">
        <f t="shared" ref="P133:P196" si="15">IF(M133="",IF(AND(L133=1,K133&gt;=1),1,0),M133)</f>
        <v>0</v>
      </c>
      <c r="Q133">
        <f t="shared" ref="Q133:Q196" si="16">IF(N133="",IF(AND(L133=1,K133&gt;=2),1,0),N133)</f>
        <v>0</v>
      </c>
      <c r="R133">
        <f t="shared" ref="R133:R196" si="17">IF(O133="",IF(AND(L133=1,K133&gt;=3),1,0),O133)</f>
        <v>0</v>
      </c>
      <c r="S133">
        <f t="shared" ref="S133:S196" si="18">SUM(P133:R133)</f>
        <v>0</v>
      </c>
      <c r="T133" t="str">
        <f t="shared" ref="T133:T196" si="19">IF(COUNTA(M133:O133)=0,"DerivedFromCount","ManualOverride")</f>
        <v>DerivedFromCount</v>
      </c>
      <c r="U133" t="str">
        <f>IF(COUNTIF(DailyProduction!$Q$5:$Q$100,B133)=1,"OK","CHECK")</f>
        <v>OK</v>
      </c>
      <c r="V133" t="str">
        <f t="shared" ref="V133:V196" si="20">IF(AND(I133&gt;=1,I133&lt;=13,K133&gt;=1,K133&lt;=3),"OK","CHECK")</f>
        <v>OK</v>
      </c>
      <c r="W133" t="str">
        <f>IF(SUMIF($B$5:$B$914,B133,$S$5:$S$914)=SUMIF(DailyProduction!$Q$5:$Q$100,B133,DailyProduction!$R$5:$R$100),"OK","CHECK")</f>
        <v>OK</v>
      </c>
    </row>
    <row r="134" spans="1:23">
      <c r="A134" t="s">
        <v>535</v>
      </c>
      <c r="B134" t="s">
        <v>523</v>
      </c>
      <c r="C134" t="s">
        <v>30</v>
      </c>
      <c r="D134" s="7">
        <v>45954</v>
      </c>
      <c r="E134" t="s">
        <v>79</v>
      </c>
      <c r="F134" t="s">
        <v>37</v>
      </c>
      <c r="G134">
        <v>21</v>
      </c>
      <c r="H134" t="s">
        <v>34</v>
      </c>
      <c r="I134">
        <v>13</v>
      </c>
      <c r="J134">
        <v>10</v>
      </c>
      <c r="K134">
        <v>2</v>
      </c>
      <c r="L134">
        <f t="shared" si="14"/>
        <v>0</v>
      </c>
      <c r="P134">
        <f t="shared" si="15"/>
        <v>0</v>
      </c>
      <c r="Q134">
        <f t="shared" si="16"/>
        <v>0</v>
      </c>
      <c r="R134">
        <f t="shared" si="17"/>
        <v>0</v>
      </c>
      <c r="S134">
        <f t="shared" si="18"/>
        <v>0</v>
      </c>
      <c r="T134" t="str">
        <f t="shared" si="19"/>
        <v>DerivedFromCount</v>
      </c>
      <c r="U134" t="str">
        <f>IF(COUNTIF(DailyProduction!$Q$5:$Q$100,B134)=1,"OK","CHECK")</f>
        <v>OK</v>
      </c>
      <c r="V134" t="str">
        <f t="shared" si="20"/>
        <v>OK</v>
      </c>
      <c r="W134" t="str">
        <f>IF(SUMIF($B$5:$B$914,B134,$S$5:$S$914)=SUMIF(DailyProduction!$Q$5:$Q$100,B134,DailyProduction!$R$5:$R$100),"OK","CHECK")</f>
        <v>OK</v>
      </c>
    </row>
    <row r="135" spans="1:23">
      <c r="A135" t="s">
        <v>536</v>
      </c>
      <c r="B135" t="s">
        <v>537</v>
      </c>
      <c r="C135" t="s">
        <v>30</v>
      </c>
      <c r="D135" s="7">
        <v>45955</v>
      </c>
      <c r="E135" t="s">
        <v>31</v>
      </c>
      <c r="F135" t="s">
        <v>37</v>
      </c>
      <c r="G135">
        <v>21</v>
      </c>
      <c r="H135" t="s">
        <v>38</v>
      </c>
      <c r="I135">
        <v>1</v>
      </c>
      <c r="J135">
        <v>10</v>
      </c>
      <c r="K135">
        <v>3</v>
      </c>
      <c r="L135">
        <f t="shared" si="14"/>
        <v>1</v>
      </c>
      <c r="P135">
        <f t="shared" si="15"/>
        <v>1</v>
      </c>
      <c r="Q135">
        <f t="shared" si="16"/>
        <v>1</v>
      </c>
      <c r="R135">
        <f t="shared" si="17"/>
        <v>1</v>
      </c>
      <c r="S135">
        <f t="shared" si="18"/>
        <v>3</v>
      </c>
      <c r="T135" t="str">
        <f t="shared" si="19"/>
        <v>DerivedFromCount</v>
      </c>
      <c r="U135" t="str">
        <f>IF(COUNTIF(DailyProduction!$Q$5:$Q$100,B135)=1,"OK","CHECK")</f>
        <v>OK</v>
      </c>
      <c r="V135" t="str">
        <f t="shared" si="20"/>
        <v>OK</v>
      </c>
      <c r="W135" t="str">
        <f>IF(SUMIF($B$5:$B$914,B135,$S$5:$S$914)=SUMIF(DailyProduction!$Q$5:$Q$100,B135,DailyProduction!$R$5:$R$100),"OK","CHECK")</f>
        <v>OK</v>
      </c>
    </row>
    <row r="136" spans="1:23">
      <c r="A136" t="s">
        <v>538</v>
      </c>
      <c r="B136" t="s">
        <v>537</v>
      </c>
      <c r="C136" t="s">
        <v>30</v>
      </c>
      <c r="D136" s="7">
        <v>45955</v>
      </c>
      <c r="E136" t="s">
        <v>31</v>
      </c>
      <c r="F136" t="s">
        <v>37</v>
      </c>
      <c r="G136">
        <v>21</v>
      </c>
      <c r="H136" t="s">
        <v>38</v>
      </c>
      <c r="I136">
        <v>2</v>
      </c>
      <c r="J136">
        <v>10</v>
      </c>
      <c r="K136">
        <v>3</v>
      </c>
      <c r="L136">
        <f t="shared" si="14"/>
        <v>1</v>
      </c>
      <c r="P136">
        <f t="shared" si="15"/>
        <v>1</v>
      </c>
      <c r="Q136">
        <f t="shared" si="16"/>
        <v>1</v>
      </c>
      <c r="R136">
        <f t="shared" si="17"/>
        <v>1</v>
      </c>
      <c r="S136">
        <f t="shared" si="18"/>
        <v>3</v>
      </c>
      <c r="T136" t="str">
        <f t="shared" si="19"/>
        <v>DerivedFromCount</v>
      </c>
      <c r="U136" t="str">
        <f>IF(COUNTIF(DailyProduction!$Q$5:$Q$100,B136)=1,"OK","CHECK")</f>
        <v>OK</v>
      </c>
      <c r="V136" t="str">
        <f t="shared" si="20"/>
        <v>OK</v>
      </c>
      <c r="W136" t="str">
        <f>IF(SUMIF($B$5:$B$914,B136,$S$5:$S$914)=SUMIF(DailyProduction!$Q$5:$Q$100,B136,DailyProduction!$R$5:$R$100),"OK","CHECK")</f>
        <v>OK</v>
      </c>
    </row>
    <row r="137" spans="1:23">
      <c r="A137" t="s">
        <v>539</v>
      </c>
      <c r="B137" t="s">
        <v>537</v>
      </c>
      <c r="C137" t="s">
        <v>30</v>
      </c>
      <c r="D137" s="7">
        <v>45955</v>
      </c>
      <c r="E137" t="s">
        <v>31</v>
      </c>
      <c r="F137" t="s">
        <v>37</v>
      </c>
      <c r="G137">
        <v>21</v>
      </c>
      <c r="H137" t="s">
        <v>38</v>
      </c>
      <c r="I137">
        <v>3</v>
      </c>
      <c r="J137">
        <v>10</v>
      </c>
      <c r="K137">
        <v>3</v>
      </c>
      <c r="L137">
        <f t="shared" si="14"/>
        <v>1</v>
      </c>
      <c r="P137">
        <f t="shared" si="15"/>
        <v>1</v>
      </c>
      <c r="Q137">
        <f t="shared" si="16"/>
        <v>1</v>
      </c>
      <c r="R137">
        <f t="shared" si="17"/>
        <v>1</v>
      </c>
      <c r="S137">
        <f t="shared" si="18"/>
        <v>3</v>
      </c>
      <c r="T137" t="str">
        <f t="shared" si="19"/>
        <v>DerivedFromCount</v>
      </c>
      <c r="U137" t="str">
        <f>IF(COUNTIF(DailyProduction!$Q$5:$Q$100,B137)=1,"OK","CHECK")</f>
        <v>OK</v>
      </c>
      <c r="V137" t="str">
        <f t="shared" si="20"/>
        <v>OK</v>
      </c>
      <c r="W137" t="str">
        <f>IF(SUMIF($B$5:$B$914,B137,$S$5:$S$914)=SUMIF(DailyProduction!$Q$5:$Q$100,B137,DailyProduction!$R$5:$R$100),"OK","CHECK")</f>
        <v>OK</v>
      </c>
    </row>
    <row r="138" spans="1:23">
      <c r="A138" t="s">
        <v>540</v>
      </c>
      <c r="B138" t="s">
        <v>537</v>
      </c>
      <c r="C138" t="s">
        <v>30</v>
      </c>
      <c r="D138" s="7">
        <v>45955</v>
      </c>
      <c r="E138" t="s">
        <v>31</v>
      </c>
      <c r="F138" t="s">
        <v>37</v>
      </c>
      <c r="G138">
        <v>21</v>
      </c>
      <c r="H138" t="s">
        <v>38</v>
      </c>
      <c r="I138">
        <v>4</v>
      </c>
      <c r="J138">
        <v>10</v>
      </c>
      <c r="K138">
        <v>3</v>
      </c>
      <c r="L138">
        <f t="shared" si="14"/>
        <v>1</v>
      </c>
      <c r="P138">
        <f t="shared" si="15"/>
        <v>1</v>
      </c>
      <c r="Q138">
        <f t="shared" si="16"/>
        <v>1</v>
      </c>
      <c r="R138">
        <f t="shared" si="17"/>
        <v>1</v>
      </c>
      <c r="S138">
        <f t="shared" si="18"/>
        <v>3</v>
      </c>
      <c r="T138" t="str">
        <f t="shared" si="19"/>
        <v>DerivedFromCount</v>
      </c>
      <c r="U138" t="str">
        <f>IF(COUNTIF(DailyProduction!$Q$5:$Q$100,B138)=1,"OK","CHECK")</f>
        <v>OK</v>
      </c>
      <c r="V138" t="str">
        <f t="shared" si="20"/>
        <v>OK</v>
      </c>
      <c r="W138" t="str">
        <f>IF(SUMIF($B$5:$B$914,B138,$S$5:$S$914)=SUMIF(DailyProduction!$Q$5:$Q$100,B138,DailyProduction!$R$5:$R$100),"OK","CHECK")</f>
        <v>OK</v>
      </c>
    </row>
    <row r="139" spans="1:23">
      <c r="A139" t="s">
        <v>541</v>
      </c>
      <c r="B139" t="s">
        <v>537</v>
      </c>
      <c r="C139" t="s">
        <v>30</v>
      </c>
      <c r="D139" s="7">
        <v>45955</v>
      </c>
      <c r="E139" t="s">
        <v>31</v>
      </c>
      <c r="F139" t="s">
        <v>37</v>
      </c>
      <c r="G139">
        <v>21</v>
      </c>
      <c r="H139" t="s">
        <v>38</v>
      </c>
      <c r="I139">
        <v>5</v>
      </c>
      <c r="J139">
        <v>10</v>
      </c>
      <c r="K139">
        <v>3</v>
      </c>
      <c r="L139">
        <f t="shared" si="14"/>
        <v>1</v>
      </c>
      <c r="P139">
        <f t="shared" si="15"/>
        <v>1</v>
      </c>
      <c r="Q139">
        <f t="shared" si="16"/>
        <v>1</v>
      </c>
      <c r="R139">
        <f t="shared" si="17"/>
        <v>1</v>
      </c>
      <c r="S139">
        <f t="shared" si="18"/>
        <v>3</v>
      </c>
      <c r="T139" t="str">
        <f t="shared" si="19"/>
        <v>DerivedFromCount</v>
      </c>
      <c r="U139" t="str">
        <f>IF(COUNTIF(DailyProduction!$Q$5:$Q$100,B139)=1,"OK","CHECK")</f>
        <v>OK</v>
      </c>
      <c r="V139" t="str">
        <f t="shared" si="20"/>
        <v>OK</v>
      </c>
      <c r="W139" t="str">
        <f>IF(SUMIF($B$5:$B$914,B139,$S$5:$S$914)=SUMIF(DailyProduction!$Q$5:$Q$100,B139,DailyProduction!$R$5:$R$100),"OK","CHECK")</f>
        <v>OK</v>
      </c>
    </row>
    <row r="140" spans="1:23">
      <c r="A140" t="s">
        <v>542</v>
      </c>
      <c r="B140" t="s">
        <v>537</v>
      </c>
      <c r="C140" t="s">
        <v>30</v>
      </c>
      <c r="D140" s="7">
        <v>45955</v>
      </c>
      <c r="E140" t="s">
        <v>31</v>
      </c>
      <c r="F140" t="s">
        <v>37</v>
      </c>
      <c r="G140">
        <v>21</v>
      </c>
      <c r="H140" t="s">
        <v>38</v>
      </c>
      <c r="I140">
        <v>6</v>
      </c>
      <c r="J140">
        <v>10</v>
      </c>
      <c r="K140">
        <v>3</v>
      </c>
      <c r="L140">
        <f t="shared" si="14"/>
        <v>1</v>
      </c>
      <c r="P140">
        <f t="shared" si="15"/>
        <v>1</v>
      </c>
      <c r="Q140">
        <f t="shared" si="16"/>
        <v>1</v>
      </c>
      <c r="R140">
        <f t="shared" si="17"/>
        <v>1</v>
      </c>
      <c r="S140">
        <f t="shared" si="18"/>
        <v>3</v>
      </c>
      <c r="T140" t="str">
        <f t="shared" si="19"/>
        <v>DerivedFromCount</v>
      </c>
      <c r="U140" t="str">
        <f>IF(COUNTIF(DailyProduction!$Q$5:$Q$100,B140)=1,"OK","CHECK")</f>
        <v>OK</v>
      </c>
      <c r="V140" t="str">
        <f t="shared" si="20"/>
        <v>OK</v>
      </c>
      <c r="W140" t="str">
        <f>IF(SUMIF($B$5:$B$914,B140,$S$5:$S$914)=SUMIF(DailyProduction!$Q$5:$Q$100,B140,DailyProduction!$R$5:$R$100),"OK","CHECK")</f>
        <v>OK</v>
      </c>
    </row>
    <row r="141" spans="1:23">
      <c r="A141" t="s">
        <v>543</v>
      </c>
      <c r="B141" t="s">
        <v>537</v>
      </c>
      <c r="C141" t="s">
        <v>30</v>
      </c>
      <c r="D141" s="7">
        <v>45955</v>
      </c>
      <c r="E141" t="s">
        <v>31</v>
      </c>
      <c r="F141" t="s">
        <v>37</v>
      </c>
      <c r="G141">
        <v>21</v>
      </c>
      <c r="H141" t="s">
        <v>38</v>
      </c>
      <c r="I141">
        <v>7</v>
      </c>
      <c r="J141">
        <v>10</v>
      </c>
      <c r="K141">
        <v>3</v>
      </c>
      <c r="L141">
        <f t="shared" si="14"/>
        <v>1</v>
      </c>
      <c r="P141">
        <f t="shared" si="15"/>
        <v>1</v>
      </c>
      <c r="Q141">
        <f t="shared" si="16"/>
        <v>1</v>
      </c>
      <c r="R141">
        <f t="shared" si="17"/>
        <v>1</v>
      </c>
      <c r="S141">
        <f t="shared" si="18"/>
        <v>3</v>
      </c>
      <c r="T141" t="str">
        <f t="shared" si="19"/>
        <v>DerivedFromCount</v>
      </c>
      <c r="U141" t="str">
        <f>IF(COUNTIF(DailyProduction!$Q$5:$Q$100,B141)=1,"OK","CHECK")</f>
        <v>OK</v>
      </c>
      <c r="V141" t="str">
        <f t="shared" si="20"/>
        <v>OK</v>
      </c>
      <c r="W141" t="str">
        <f>IF(SUMIF($B$5:$B$914,B141,$S$5:$S$914)=SUMIF(DailyProduction!$Q$5:$Q$100,B141,DailyProduction!$R$5:$R$100),"OK","CHECK")</f>
        <v>OK</v>
      </c>
    </row>
    <row r="142" spans="1:23">
      <c r="A142" t="s">
        <v>544</v>
      </c>
      <c r="B142" t="s">
        <v>537</v>
      </c>
      <c r="C142" t="s">
        <v>30</v>
      </c>
      <c r="D142" s="7">
        <v>45955</v>
      </c>
      <c r="E142" t="s">
        <v>31</v>
      </c>
      <c r="F142" t="s">
        <v>37</v>
      </c>
      <c r="G142">
        <v>21</v>
      </c>
      <c r="H142" t="s">
        <v>38</v>
      </c>
      <c r="I142">
        <v>8</v>
      </c>
      <c r="J142">
        <v>10</v>
      </c>
      <c r="K142">
        <v>3</v>
      </c>
      <c r="L142">
        <f t="shared" si="14"/>
        <v>1</v>
      </c>
      <c r="P142">
        <f t="shared" si="15"/>
        <v>1</v>
      </c>
      <c r="Q142">
        <f t="shared" si="16"/>
        <v>1</v>
      </c>
      <c r="R142">
        <f t="shared" si="17"/>
        <v>1</v>
      </c>
      <c r="S142">
        <f t="shared" si="18"/>
        <v>3</v>
      </c>
      <c r="T142" t="str">
        <f t="shared" si="19"/>
        <v>DerivedFromCount</v>
      </c>
      <c r="U142" t="str">
        <f>IF(COUNTIF(DailyProduction!$Q$5:$Q$100,B142)=1,"OK","CHECK")</f>
        <v>OK</v>
      </c>
      <c r="V142" t="str">
        <f t="shared" si="20"/>
        <v>OK</v>
      </c>
      <c r="W142" t="str">
        <f>IF(SUMIF($B$5:$B$914,B142,$S$5:$S$914)=SUMIF(DailyProduction!$Q$5:$Q$100,B142,DailyProduction!$R$5:$R$100),"OK","CHECK")</f>
        <v>OK</v>
      </c>
    </row>
    <row r="143" spans="1:23">
      <c r="A143" t="s">
        <v>545</v>
      </c>
      <c r="B143" t="s">
        <v>537</v>
      </c>
      <c r="C143" t="s">
        <v>30</v>
      </c>
      <c r="D143" s="7">
        <v>45955</v>
      </c>
      <c r="E143" t="s">
        <v>31</v>
      </c>
      <c r="F143" t="s">
        <v>37</v>
      </c>
      <c r="G143">
        <v>21</v>
      </c>
      <c r="H143" t="s">
        <v>38</v>
      </c>
      <c r="I143">
        <v>9</v>
      </c>
      <c r="J143">
        <v>10</v>
      </c>
      <c r="K143">
        <v>3</v>
      </c>
      <c r="L143">
        <f t="shared" si="14"/>
        <v>1</v>
      </c>
      <c r="P143">
        <f t="shared" si="15"/>
        <v>1</v>
      </c>
      <c r="Q143">
        <f t="shared" si="16"/>
        <v>1</v>
      </c>
      <c r="R143">
        <f t="shared" si="17"/>
        <v>1</v>
      </c>
      <c r="S143">
        <f t="shared" si="18"/>
        <v>3</v>
      </c>
      <c r="T143" t="str">
        <f t="shared" si="19"/>
        <v>DerivedFromCount</v>
      </c>
      <c r="U143" t="str">
        <f>IF(COUNTIF(DailyProduction!$Q$5:$Q$100,B143)=1,"OK","CHECK")</f>
        <v>OK</v>
      </c>
      <c r="V143" t="str">
        <f t="shared" si="20"/>
        <v>OK</v>
      </c>
      <c r="W143" t="str">
        <f>IF(SUMIF($B$5:$B$914,B143,$S$5:$S$914)=SUMIF(DailyProduction!$Q$5:$Q$100,B143,DailyProduction!$R$5:$R$100),"OK","CHECK")</f>
        <v>OK</v>
      </c>
    </row>
    <row r="144" spans="1:23">
      <c r="A144" t="s">
        <v>546</v>
      </c>
      <c r="B144" t="s">
        <v>537</v>
      </c>
      <c r="C144" t="s">
        <v>30</v>
      </c>
      <c r="D144" s="7">
        <v>45955</v>
      </c>
      <c r="E144" t="s">
        <v>31</v>
      </c>
      <c r="F144" t="s">
        <v>37</v>
      </c>
      <c r="G144">
        <v>21</v>
      </c>
      <c r="H144" t="s">
        <v>38</v>
      </c>
      <c r="I144">
        <v>10</v>
      </c>
      <c r="J144">
        <v>10</v>
      </c>
      <c r="K144">
        <v>3</v>
      </c>
      <c r="L144">
        <f t="shared" si="14"/>
        <v>1</v>
      </c>
      <c r="P144">
        <f t="shared" si="15"/>
        <v>1</v>
      </c>
      <c r="Q144">
        <f t="shared" si="16"/>
        <v>1</v>
      </c>
      <c r="R144">
        <f t="shared" si="17"/>
        <v>1</v>
      </c>
      <c r="S144">
        <f t="shared" si="18"/>
        <v>3</v>
      </c>
      <c r="T144" t="str">
        <f t="shared" si="19"/>
        <v>DerivedFromCount</v>
      </c>
      <c r="U144" t="str">
        <f>IF(COUNTIF(DailyProduction!$Q$5:$Q$100,B144)=1,"OK","CHECK")</f>
        <v>OK</v>
      </c>
      <c r="V144" t="str">
        <f t="shared" si="20"/>
        <v>OK</v>
      </c>
      <c r="W144" t="str">
        <f>IF(SUMIF($B$5:$B$914,B144,$S$5:$S$914)=SUMIF(DailyProduction!$Q$5:$Q$100,B144,DailyProduction!$R$5:$R$100),"OK","CHECK")</f>
        <v>OK</v>
      </c>
    </row>
    <row r="145" spans="1:23">
      <c r="A145" t="s">
        <v>547</v>
      </c>
      <c r="B145" t="s">
        <v>537</v>
      </c>
      <c r="C145" t="s">
        <v>30</v>
      </c>
      <c r="D145" s="7">
        <v>45955</v>
      </c>
      <c r="E145" t="s">
        <v>31</v>
      </c>
      <c r="F145" t="s">
        <v>37</v>
      </c>
      <c r="G145">
        <v>21</v>
      </c>
      <c r="H145" t="s">
        <v>38</v>
      </c>
      <c r="I145">
        <v>11</v>
      </c>
      <c r="J145">
        <v>10</v>
      </c>
      <c r="K145">
        <v>3</v>
      </c>
      <c r="L145">
        <f t="shared" si="14"/>
        <v>0</v>
      </c>
      <c r="P145">
        <f t="shared" si="15"/>
        <v>0</v>
      </c>
      <c r="Q145">
        <f t="shared" si="16"/>
        <v>0</v>
      </c>
      <c r="R145">
        <f t="shared" si="17"/>
        <v>0</v>
      </c>
      <c r="S145">
        <f t="shared" si="18"/>
        <v>0</v>
      </c>
      <c r="T145" t="str">
        <f t="shared" si="19"/>
        <v>DerivedFromCount</v>
      </c>
      <c r="U145" t="str">
        <f>IF(COUNTIF(DailyProduction!$Q$5:$Q$100,B145)=1,"OK","CHECK")</f>
        <v>OK</v>
      </c>
      <c r="V145" t="str">
        <f t="shared" si="20"/>
        <v>OK</v>
      </c>
      <c r="W145" t="str">
        <f>IF(SUMIF($B$5:$B$914,B145,$S$5:$S$914)=SUMIF(DailyProduction!$Q$5:$Q$100,B145,DailyProduction!$R$5:$R$100),"OK","CHECK")</f>
        <v>OK</v>
      </c>
    </row>
    <row r="146" spans="1:23">
      <c r="A146" t="s">
        <v>548</v>
      </c>
      <c r="B146" t="s">
        <v>537</v>
      </c>
      <c r="C146" t="s">
        <v>30</v>
      </c>
      <c r="D146" s="7">
        <v>45955</v>
      </c>
      <c r="E146" t="s">
        <v>31</v>
      </c>
      <c r="F146" t="s">
        <v>37</v>
      </c>
      <c r="G146">
        <v>21</v>
      </c>
      <c r="H146" t="s">
        <v>38</v>
      </c>
      <c r="I146">
        <v>12</v>
      </c>
      <c r="J146">
        <v>10</v>
      </c>
      <c r="K146">
        <v>3</v>
      </c>
      <c r="L146">
        <f t="shared" si="14"/>
        <v>0</v>
      </c>
      <c r="P146">
        <f t="shared" si="15"/>
        <v>0</v>
      </c>
      <c r="Q146">
        <f t="shared" si="16"/>
        <v>0</v>
      </c>
      <c r="R146">
        <f t="shared" si="17"/>
        <v>0</v>
      </c>
      <c r="S146">
        <f t="shared" si="18"/>
        <v>0</v>
      </c>
      <c r="T146" t="str">
        <f t="shared" si="19"/>
        <v>DerivedFromCount</v>
      </c>
      <c r="U146" t="str">
        <f>IF(COUNTIF(DailyProduction!$Q$5:$Q$100,B146)=1,"OK","CHECK")</f>
        <v>OK</v>
      </c>
      <c r="V146" t="str">
        <f t="shared" si="20"/>
        <v>OK</v>
      </c>
      <c r="W146" t="str">
        <f>IF(SUMIF($B$5:$B$914,B146,$S$5:$S$914)=SUMIF(DailyProduction!$Q$5:$Q$100,B146,DailyProduction!$R$5:$R$100),"OK","CHECK")</f>
        <v>OK</v>
      </c>
    </row>
    <row r="147" spans="1:23">
      <c r="A147" t="s">
        <v>549</v>
      </c>
      <c r="B147" t="s">
        <v>537</v>
      </c>
      <c r="C147" t="s">
        <v>30</v>
      </c>
      <c r="D147" s="7">
        <v>45955</v>
      </c>
      <c r="E147" t="s">
        <v>31</v>
      </c>
      <c r="F147" t="s">
        <v>37</v>
      </c>
      <c r="G147">
        <v>21</v>
      </c>
      <c r="H147" t="s">
        <v>38</v>
      </c>
      <c r="I147">
        <v>13</v>
      </c>
      <c r="J147">
        <v>10</v>
      </c>
      <c r="K147">
        <v>3</v>
      </c>
      <c r="L147">
        <f t="shared" si="14"/>
        <v>0</v>
      </c>
      <c r="P147">
        <f t="shared" si="15"/>
        <v>0</v>
      </c>
      <c r="Q147">
        <f t="shared" si="16"/>
        <v>0</v>
      </c>
      <c r="R147">
        <f t="shared" si="17"/>
        <v>0</v>
      </c>
      <c r="S147">
        <f t="shared" si="18"/>
        <v>0</v>
      </c>
      <c r="T147" t="str">
        <f t="shared" si="19"/>
        <v>DerivedFromCount</v>
      </c>
      <c r="U147" t="str">
        <f>IF(COUNTIF(DailyProduction!$Q$5:$Q$100,B147)=1,"OK","CHECK")</f>
        <v>OK</v>
      </c>
      <c r="V147" t="str">
        <f t="shared" si="20"/>
        <v>OK</v>
      </c>
      <c r="W147" t="str">
        <f>IF(SUMIF($B$5:$B$914,B147,$S$5:$S$914)=SUMIF(DailyProduction!$Q$5:$Q$100,B147,DailyProduction!$R$5:$R$100),"OK","CHECK")</f>
        <v>OK</v>
      </c>
    </row>
    <row r="148" spans="1:23">
      <c r="A148" t="s">
        <v>550</v>
      </c>
      <c r="B148" t="s">
        <v>551</v>
      </c>
      <c r="C148" t="s">
        <v>30</v>
      </c>
      <c r="D148" s="7">
        <v>45955</v>
      </c>
      <c r="E148" t="s">
        <v>79</v>
      </c>
      <c r="F148" t="s">
        <v>41</v>
      </c>
      <c r="G148">
        <v>21</v>
      </c>
      <c r="H148" t="s">
        <v>38</v>
      </c>
      <c r="I148">
        <v>1</v>
      </c>
      <c r="J148">
        <v>10</v>
      </c>
      <c r="K148">
        <v>3</v>
      </c>
      <c r="L148">
        <f t="shared" si="14"/>
        <v>1</v>
      </c>
      <c r="P148">
        <f t="shared" si="15"/>
        <v>1</v>
      </c>
      <c r="Q148">
        <f t="shared" si="16"/>
        <v>1</v>
      </c>
      <c r="R148">
        <f t="shared" si="17"/>
        <v>1</v>
      </c>
      <c r="S148">
        <f t="shared" si="18"/>
        <v>3</v>
      </c>
      <c r="T148" t="str">
        <f t="shared" si="19"/>
        <v>DerivedFromCount</v>
      </c>
      <c r="U148" t="str">
        <f>IF(COUNTIF(DailyProduction!$Q$5:$Q$100,B148)=1,"OK","CHECK")</f>
        <v>OK</v>
      </c>
      <c r="V148" t="str">
        <f t="shared" si="20"/>
        <v>OK</v>
      </c>
      <c r="W148" t="str">
        <f>IF(SUMIF($B$5:$B$914,B148,$S$5:$S$914)=SUMIF(DailyProduction!$Q$5:$Q$100,B148,DailyProduction!$R$5:$R$100),"OK","CHECK")</f>
        <v>OK</v>
      </c>
    </row>
    <row r="149" spans="1:23">
      <c r="A149" t="s">
        <v>552</v>
      </c>
      <c r="B149" t="s">
        <v>551</v>
      </c>
      <c r="C149" t="s">
        <v>30</v>
      </c>
      <c r="D149" s="7">
        <v>45955</v>
      </c>
      <c r="E149" t="s">
        <v>79</v>
      </c>
      <c r="F149" t="s">
        <v>41</v>
      </c>
      <c r="G149">
        <v>21</v>
      </c>
      <c r="H149" t="s">
        <v>38</v>
      </c>
      <c r="I149">
        <v>2</v>
      </c>
      <c r="J149">
        <v>10</v>
      </c>
      <c r="K149">
        <v>3</v>
      </c>
      <c r="L149">
        <f t="shared" si="14"/>
        <v>1</v>
      </c>
      <c r="P149">
        <f t="shared" si="15"/>
        <v>1</v>
      </c>
      <c r="Q149">
        <f t="shared" si="16"/>
        <v>1</v>
      </c>
      <c r="R149">
        <f t="shared" si="17"/>
        <v>1</v>
      </c>
      <c r="S149">
        <f t="shared" si="18"/>
        <v>3</v>
      </c>
      <c r="T149" t="str">
        <f t="shared" si="19"/>
        <v>DerivedFromCount</v>
      </c>
      <c r="U149" t="str">
        <f>IF(COUNTIF(DailyProduction!$Q$5:$Q$100,B149)=1,"OK","CHECK")</f>
        <v>OK</v>
      </c>
      <c r="V149" t="str">
        <f t="shared" si="20"/>
        <v>OK</v>
      </c>
      <c r="W149" t="str">
        <f>IF(SUMIF($B$5:$B$914,B149,$S$5:$S$914)=SUMIF(DailyProduction!$Q$5:$Q$100,B149,DailyProduction!$R$5:$R$100),"OK","CHECK")</f>
        <v>OK</v>
      </c>
    </row>
    <row r="150" spans="1:23">
      <c r="A150" t="s">
        <v>553</v>
      </c>
      <c r="B150" t="s">
        <v>551</v>
      </c>
      <c r="C150" t="s">
        <v>30</v>
      </c>
      <c r="D150" s="7">
        <v>45955</v>
      </c>
      <c r="E150" t="s">
        <v>79</v>
      </c>
      <c r="F150" t="s">
        <v>41</v>
      </c>
      <c r="G150">
        <v>21</v>
      </c>
      <c r="H150" t="s">
        <v>38</v>
      </c>
      <c r="I150">
        <v>3</v>
      </c>
      <c r="J150">
        <v>10</v>
      </c>
      <c r="K150">
        <v>3</v>
      </c>
      <c r="L150">
        <f t="shared" si="14"/>
        <v>1</v>
      </c>
      <c r="P150">
        <f t="shared" si="15"/>
        <v>1</v>
      </c>
      <c r="Q150">
        <f t="shared" si="16"/>
        <v>1</v>
      </c>
      <c r="R150">
        <f t="shared" si="17"/>
        <v>1</v>
      </c>
      <c r="S150">
        <f t="shared" si="18"/>
        <v>3</v>
      </c>
      <c r="T150" t="str">
        <f t="shared" si="19"/>
        <v>DerivedFromCount</v>
      </c>
      <c r="U150" t="str">
        <f>IF(COUNTIF(DailyProduction!$Q$5:$Q$100,B150)=1,"OK","CHECK")</f>
        <v>OK</v>
      </c>
      <c r="V150" t="str">
        <f t="shared" si="20"/>
        <v>OK</v>
      </c>
      <c r="W150" t="str">
        <f>IF(SUMIF($B$5:$B$914,B150,$S$5:$S$914)=SUMIF(DailyProduction!$Q$5:$Q$100,B150,DailyProduction!$R$5:$R$100),"OK","CHECK")</f>
        <v>OK</v>
      </c>
    </row>
    <row r="151" spans="1:23">
      <c r="A151" t="s">
        <v>554</v>
      </c>
      <c r="B151" t="s">
        <v>551</v>
      </c>
      <c r="C151" t="s">
        <v>30</v>
      </c>
      <c r="D151" s="7">
        <v>45955</v>
      </c>
      <c r="E151" t="s">
        <v>79</v>
      </c>
      <c r="F151" t="s">
        <v>41</v>
      </c>
      <c r="G151">
        <v>21</v>
      </c>
      <c r="H151" t="s">
        <v>38</v>
      </c>
      <c r="I151">
        <v>4</v>
      </c>
      <c r="J151">
        <v>10</v>
      </c>
      <c r="K151">
        <v>3</v>
      </c>
      <c r="L151">
        <f t="shared" si="14"/>
        <v>1</v>
      </c>
      <c r="P151">
        <f t="shared" si="15"/>
        <v>1</v>
      </c>
      <c r="Q151">
        <f t="shared" si="16"/>
        <v>1</v>
      </c>
      <c r="R151">
        <f t="shared" si="17"/>
        <v>1</v>
      </c>
      <c r="S151">
        <f t="shared" si="18"/>
        <v>3</v>
      </c>
      <c r="T151" t="str">
        <f t="shared" si="19"/>
        <v>DerivedFromCount</v>
      </c>
      <c r="U151" t="str">
        <f>IF(COUNTIF(DailyProduction!$Q$5:$Q$100,B151)=1,"OK","CHECK")</f>
        <v>OK</v>
      </c>
      <c r="V151" t="str">
        <f t="shared" si="20"/>
        <v>OK</v>
      </c>
      <c r="W151" t="str">
        <f>IF(SUMIF($B$5:$B$914,B151,$S$5:$S$914)=SUMIF(DailyProduction!$Q$5:$Q$100,B151,DailyProduction!$R$5:$R$100),"OK","CHECK")</f>
        <v>OK</v>
      </c>
    </row>
    <row r="152" spans="1:23">
      <c r="A152" t="s">
        <v>555</v>
      </c>
      <c r="B152" t="s">
        <v>551</v>
      </c>
      <c r="C152" t="s">
        <v>30</v>
      </c>
      <c r="D152" s="7">
        <v>45955</v>
      </c>
      <c r="E152" t="s">
        <v>79</v>
      </c>
      <c r="F152" t="s">
        <v>41</v>
      </c>
      <c r="G152">
        <v>21</v>
      </c>
      <c r="H152" t="s">
        <v>38</v>
      </c>
      <c r="I152">
        <v>5</v>
      </c>
      <c r="J152">
        <v>10</v>
      </c>
      <c r="K152">
        <v>3</v>
      </c>
      <c r="L152">
        <f t="shared" si="14"/>
        <v>1</v>
      </c>
      <c r="P152">
        <f t="shared" si="15"/>
        <v>1</v>
      </c>
      <c r="Q152">
        <f t="shared" si="16"/>
        <v>1</v>
      </c>
      <c r="R152">
        <f t="shared" si="17"/>
        <v>1</v>
      </c>
      <c r="S152">
        <f t="shared" si="18"/>
        <v>3</v>
      </c>
      <c r="T152" t="str">
        <f t="shared" si="19"/>
        <v>DerivedFromCount</v>
      </c>
      <c r="U152" t="str">
        <f>IF(COUNTIF(DailyProduction!$Q$5:$Q$100,B152)=1,"OK","CHECK")</f>
        <v>OK</v>
      </c>
      <c r="V152" t="str">
        <f t="shared" si="20"/>
        <v>OK</v>
      </c>
      <c r="W152" t="str">
        <f>IF(SUMIF($B$5:$B$914,B152,$S$5:$S$914)=SUMIF(DailyProduction!$Q$5:$Q$100,B152,DailyProduction!$R$5:$R$100),"OK","CHECK")</f>
        <v>OK</v>
      </c>
    </row>
    <row r="153" spans="1:23">
      <c r="A153" t="s">
        <v>556</v>
      </c>
      <c r="B153" t="s">
        <v>551</v>
      </c>
      <c r="C153" t="s">
        <v>30</v>
      </c>
      <c r="D153" s="7">
        <v>45955</v>
      </c>
      <c r="E153" t="s">
        <v>79</v>
      </c>
      <c r="F153" t="s">
        <v>41</v>
      </c>
      <c r="G153">
        <v>21</v>
      </c>
      <c r="H153" t="s">
        <v>38</v>
      </c>
      <c r="I153">
        <v>6</v>
      </c>
      <c r="J153">
        <v>10</v>
      </c>
      <c r="K153">
        <v>3</v>
      </c>
      <c r="L153">
        <f t="shared" si="14"/>
        <v>1</v>
      </c>
      <c r="P153">
        <f t="shared" si="15"/>
        <v>1</v>
      </c>
      <c r="Q153">
        <f t="shared" si="16"/>
        <v>1</v>
      </c>
      <c r="R153">
        <f t="shared" si="17"/>
        <v>1</v>
      </c>
      <c r="S153">
        <f t="shared" si="18"/>
        <v>3</v>
      </c>
      <c r="T153" t="str">
        <f t="shared" si="19"/>
        <v>DerivedFromCount</v>
      </c>
      <c r="U153" t="str">
        <f>IF(COUNTIF(DailyProduction!$Q$5:$Q$100,B153)=1,"OK","CHECK")</f>
        <v>OK</v>
      </c>
      <c r="V153" t="str">
        <f t="shared" si="20"/>
        <v>OK</v>
      </c>
      <c r="W153" t="str">
        <f>IF(SUMIF($B$5:$B$914,B153,$S$5:$S$914)=SUMIF(DailyProduction!$Q$5:$Q$100,B153,DailyProduction!$R$5:$R$100),"OK","CHECK")</f>
        <v>OK</v>
      </c>
    </row>
    <row r="154" spans="1:23">
      <c r="A154" t="s">
        <v>557</v>
      </c>
      <c r="B154" t="s">
        <v>551</v>
      </c>
      <c r="C154" t="s">
        <v>30</v>
      </c>
      <c r="D154" s="7">
        <v>45955</v>
      </c>
      <c r="E154" t="s">
        <v>79</v>
      </c>
      <c r="F154" t="s">
        <v>41</v>
      </c>
      <c r="G154">
        <v>21</v>
      </c>
      <c r="H154" t="s">
        <v>38</v>
      </c>
      <c r="I154">
        <v>7</v>
      </c>
      <c r="J154">
        <v>10</v>
      </c>
      <c r="K154">
        <v>3</v>
      </c>
      <c r="L154">
        <f t="shared" si="14"/>
        <v>1</v>
      </c>
      <c r="P154">
        <f t="shared" si="15"/>
        <v>1</v>
      </c>
      <c r="Q154">
        <f t="shared" si="16"/>
        <v>1</v>
      </c>
      <c r="R154">
        <f t="shared" si="17"/>
        <v>1</v>
      </c>
      <c r="S154">
        <f t="shared" si="18"/>
        <v>3</v>
      </c>
      <c r="T154" t="str">
        <f t="shared" si="19"/>
        <v>DerivedFromCount</v>
      </c>
      <c r="U154" t="str">
        <f>IF(COUNTIF(DailyProduction!$Q$5:$Q$100,B154)=1,"OK","CHECK")</f>
        <v>OK</v>
      </c>
      <c r="V154" t="str">
        <f t="shared" si="20"/>
        <v>OK</v>
      </c>
      <c r="W154" t="str">
        <f>IF(SUMIF($B$5:$B$914,B154,$S$5:$S$914)=SUMIF(DailyProduction!$Q$5:$Q$100,B154,DailyProduction!$R$5:$R$100),"OK","CHECK")</f>
        <v>OK</v>
      </c>
    </row>
    <row r="155" spans="1:23">
      <c r="A155" t="s">
        <v>558</v>
      </c>
      <c r="B155" t="s">
        <v>551</v>
      </c>
      <c r="C155" t="s">
        <v>30</v>
      </c>
      <c r="D155" s="7">
        <v>45955</v>
      </c>
      <c r="E155" t="s">
        <v>79</v>
      </c>
      <c r="F155" t="s">
        <v>41</v>
      </c>
      <c r="G155">
        <v>21</v>
      </c>
      <c r="H155" t="s">
        <v>38</v>
      </c>
      <c r="I155">
        <v>8</v>
      </c>
      <c r="J155">
        <v>10</v>
      </c>
      <c r="K155">
        <v>3</v>
      </c>
      <c r="L155">
        <f t="shared" si="14"/>
        <v>1</v>
      </c>
      <c r="P155">
        <f t="shared" si="15"/>
        <v>1</v>
      </c>
      <c r="Q155">
        <f t="shared" si="16"/>
        <v>1</v>
      </c>
      <c r="R155">
        <f t="shared" si="17"/>
        <v>1</v>
      </c>
      <c r="S155">
        <f t="shared" si="18"/>
        <v>3</v>
      </c>
      <c r="T155" t="str">
        <f t="shared" si="19"/>
        <v>DerivedFromCount</v>
      </c>
      <c r="U155" t="str">
        <f>IF(COUNTIF(DailyProduction!$Q$5:$Q$100,B155)=1,"OK","CHECK")</f>
        <v>OK</v>
      </c>
      <c r="V155" t="str">
        <f t="shared" si="20"/>
        <v>OK</v>
      </c>
      <c r="W155" t="str">
        <f>IF(SUMIF($B$5:$B$914,B155,$S$5:$S$914)=SUMIF(DailyProduction!$Q$5:$Q$100,B155,DailyProduction!$R$5:$R$100),"OK","CHECK")</f>
        <v>OK</v>
      </c>
    </row>
    <row r="156" spans="1:23">
      <c r="A156" t="s">
        <v>559</v>
      </c>
      <c r="B156" t="s">
        <v>551</v>
      </c>
      <c r="C156" t="s">
        <v>30</v>
      </c>
      <c r="D156" s="7">
        <v>45955</v>
      </c>
      <c r="E156" t="s">
        <v>79</v>
      </c>
      <c r="F156" t="s">
        <v>41</v>
      </c>
      <c r="G156">
        <v>21</v>
      </c>
      <c r="H156" t="s">
        <v>38</v>
      </c>
      <c r="I156">
        <v>9</v>
      </c>
      <c r="J156">
        <v>10</v>
      </c>
      <c r="K156">
        <v>3</v>
      </c>
      <c r="L156">
        <f t="shared" si="14"/>
        <v>1</v>
      </c>
      <c r="P156">
        <f t="shared" si="15"/>
        <v>1</v>
      </c>
      <c r="Q156">
        <f t="shared" si="16"/>
        <v>1</v>
      </c>
      <c r="R156">
        <f t="shared" si="17"/>
        <v>1</v>
      </c>
      <c r="S156">
        <f t="shared" si="18"/>
        <v>3</v>
      </c>
      <c r="T156" t="str">
        <f t="shared" si="19"/>
        <v>DerivedFromCount</v>
      </c>
      <c r="U156" t="str">
        <f>IF(COUNTIF(DailyProduction!$Q$5:$Q$100,B156)=1,"OK","CHECK")</f>
        <v>OK</v>
      </c>
      <c r="V156" t="str">
        <f t="shared" si="20"/>
        <v>OK</v>
      </c>
      <c r="W156" t="str">
        <f>IF(SUMIF($B$5:$B$914,B156,$S$5:$S$914)=SUMIF(DailyProduction!$Q$5:$Q$100,B156,DailyProduction!$R$5:$R$100),"OK","CHECK")</f>
        <v>OK</v>
      </c>
    </row>
    <row r="157" spans="1:23">
      <c r="A157" t="s">
        <v>560</v>
      </c>
      <c r="B157" t="s">
        <v>551</v>
      </c>
      <c r="C157" t="s">
        <v>30</v>
      </c>
      <c r="D157" s="7">
        <v>45955</v>
      </c>
      <c r="E157" t="s">
        <v>79</v>
      </c>
      <c r="F157" t="s">
        <v>41</v>
      </c>
      <c r="G157">
        <v>21</v>
      </c>
      <c r="H157" t="s">
        <v>38</v>
      </c>
      <c r="I157">
        <v>10</v>
      </c>
      <c r="J157">
        <v>10</v>
      </c>
      <c r="K157">
        <v>3</v>
      </c>
      <c r="L157">
        <f t="shared" si="14"/>
        <v>1</v>
      </c>
      <c r="P157">
        <f t="shared" si="15"/>
        <v>1</v>
      </c>
      <c r="Q157">
        <f t="shared" si="16"/>
        <v>1</v>
      </c>
      <c r="R157">
        <f t="shared" si="17"/>
        <v>1</v>
      </c>
      <c r="S157">
        <f t="shared" si="18"/>
        <v>3</v>
      </c>
      <c r="T157" t="str">
        <f t="shared" si="19"/>
        <v>DerivedFromCount</v>
      </c>
      <c r="U157" t="str">
        <f>IF(COUNTIF(DailyProduction!$Q$5:$Q$100,B157)=1,"OK","CHECK")</f>
        <v>OK</v>
      </c>
      <c r="V157" t="str">
        <f t="shared" si="20"/>
        <v>OK</v>
      </c>
      <c r="W157" t="str">
        <f>IF(SUMIF($B$5:$B$914,B157,$S$5:$S$914)=SUMIF(DailyProduction!$Q$5:$Q$100,B157,DailyProduction!$R$5:$R$100),"OK","CHECK")</f>
        <v>OK</v>
      </c>
    </row>
    <row r="158" spans="1:23">
      <c r="A158" t="s">
        <v>561</v>
      </c>
      <c r="B158" t="s">
        <v>551</v>
      </c>
      <c r="C158" t="s">
        <v>30</v>
      </c>
      <c r="D158" s="7">
        <v>45955</v>
      </c>
      <c r="E158" t="s">
        <v>79</v>
      </c>
      <c r="F158" t="s">
        <v>41</v>
      </c>
      <c r="G158">
        <v>21</v>
      </c>
      <c r="H158" t="s">
        <v>38</v>
      </c>
      <c r="I158">
        <v>11</v>
      </c>
      <c r="J158">
        <v>10</v>
      </c>
      <c r="K158">
        <v>3</v>
      </c>
      <c r="L158">
        <f t="shared" si="14"/>
        <v>0</v>
      </c>
      <c r="P158">
        <f t="shared" si="15"/>
        <v>0</v>
      </c>
      <c r="Q158">
        <f t="shared" si="16"/>
        <v>0</v>
      </c>
      <c r="R158">
        <f t="shared" si="17"/>
        <v>0</v>
      </c>
      <c r="S158">
        <f t="shared" si="18"/>
        <v>0</v>
      </c>
      <c r="T158" t="str">
        <f t="shared" si="19"/>
        <v>DerivedFromCount</v>
      </c>
      <c r="U158" t="str">
        <f>IF(COUNTIF(DailyProduction!$Q$5:$Q$100,B158)=1,"OK","CHECK")</f>
        <v>OK</v>
      </c>
      <c r="V158" t="str">
        <f t="shared" si="20"/>
        <v>OK</v>
      </c>
      <c r="W158" t="str">
        <f>IF(SUMIF($B$5:$B$914,B158,$S$5:$S$914)=SUMIF(DailyProduction!$Q$5:$Q$100,B158,DailyProduction!$R$5:$R$100),"OK","CHECK")</f>
        <v>OK</v>
      </c>
    </row>
    <row r="159" spans="1:23">
      <c r="A159" t="s">
        <v>562</v>
      </c>
      <c r="B159" t="s">
        <v>551</v>
      </c>
      <c r="C159" t="s">
        <v>30</v>
      </c>
      <c r="D159" s="7">
        <v>45955</v>
      </c>
      <c r="E159" t="s">
        <v>79</v>
      </c>
      <c r="F159" t="s">
        <v>41</v>
      </c>
      <c r="G159">
        <v>21</v>
      </c>
      <c r="H159" t="s">
        <v>38</v>
      </c>
      <c r="I159">
        <v>12</v>
      </c>
      <c r="J159">
        <v>10</v>
      </c>
      <c r="K159">
        <v>3</v>
      </c>
      <c r="L159">
        <f t="shared" si="14"/>
        <v>0</v>
      </c>
      <c r="P159">
        <f t="shared" si="15"/>
        <v>0</v>
      </c>
      <c r="Q159">
        <f t="shared" si="16"/>
        <v>0</v>
      </c>
      <c r="R159">
        <f t="shared" si="17"/>
        <v>0</v>
      </c>
      <c r="S159">
        <f t="shared" si="18"/>
        <v>0</v>
      </c>
      <c r="T159" t="str">
        <f t="shared" si="19"/>
        <v>DerivedFromCount</v>
      </c>
      <c r="U159" t="str">
        <f>IF(COUNTIF(DailyProduction!$Q$5:$Q$100,B159)=1,"OK","CHECK")</f>
        <v>OK</v>
      </c>
      <c r="V159" t="str">
        <f t="shared" si="20"/>
        <v>OK</v>
      </c>
      <c r="W159" t="str">
        <f>IF(SUMIF($B$5:$B$914,B159,$S$5:$S$914)=SUMIF(DailyProduction!$Q$5:$Q$100,B159,DailyProduction!$R$5:$R$100),"OK","CHECK")</f>
        <v>OK</v>
      </c>
    </row>
    <row r="160" spans="1:23">
      <c r="A160" t="s">
        <v>563</v>
      </c>
      <c r="B160" t="s">
        <v>551</v>
      </c>
      <c r="C160" t="s">
        <v>30</v>
      </c>
      <c r="D160" s="7">
        <v>45955</v>
      </c>
      <c r="E160" t="s">
        <v>79</v>
      </c>
      <c r="F160" t="s">
        <v>41</v>
      </c>
      <c r="G160">
        <v>21</v>
      </c>
      <c r="H160" t="s">
        <v>38</v>
      </c>
      <c r="I160">
        <v>13</v>
      </c>
      <c r="J160">
        <v>10</v>
      </c>
      <c r="K160">
        <v>3</v>
      </c>
      <c r="L160">
        <f t="shared" si="14"/>
        <v>0</v>
      </c>
      <c r="P160">
        <f t="shared" si="15"/>
        <v>0</v>
      </c>
      <c r="Q160">
        <f t="shared" si="16"/>
        <v>0</v>
      </c>
      <c r="R160">
        <f t="shared" si="17"/>
        <v>0</v>
      </c>
      <c r="S160">
        <f t="shared" si="18"/>
        <v>0</v>
      </c>
      <c r="T160" t="str">
        <f t="shared" si="19"/>
        <v>DerivedFromCount</v>
      </c>
      <c r="U160" t="str">
        <f>IF(COUNTIF(DailyProduction!$Q$5:$Q$100,B160)=1,"OK","CHECK")</f>
        <v>OK</v>
      </c>
      <c r="V160" t="str">
        <f t="shared" si="20"/>
        <v>OK</v>
      </c>
      <c r="W160" t="str">
        <f>IF(SUMIF($B$5:$B$914,B160,$S$5:$S$914)=SUMIF(DailyProduction!$Q$5:$Q$100,B160,DailyProduction!$R$5:$R$100),"OK","CHECK")</f>
        <v>OK</v>
      </c>
    </row>
    <row r="161" spans="1:23">
      <c r="A161" t="s">
        <v>564</v>
      </c>
      <c r="B161" t="s">
        <v>565</v>
      </c>
      <c r="C161" t="s">
        <v>30</v>
      </c>
      <c r="D161" s="7">
        <v>45956</v>
      </c>
      <c r="E161" t="s">
        <v>31</v>
      </c>
      <c r="F161" t="s">
        <v>41</v>
      </c>
      <c r="G161">
        <v>21</v>
      </c>
      <c r="H161" t="s">
        <v>38</v>
      </c>
      <c r="I161">
        <v>1</v>
      </c>
      <c r="J161">
        <v>10</v>
      </c>
      <c r="K161">
        <v>3</v>
      </c>
      <c r="L161">
        <f t="shared" si="14"/>
        <v>1</v>
      </c>
      <c r="P161">
        <f t="shared" si="15"/>
        <v>1</v>
      </c>
      <c r="Q161">
        <f t="shared" si="16"/>
        <v>1</v>
      </c>
      <c r="R161">
        <f t="shared" si="17"/>
        <v>1</v>
      </c>
      <c r="S161">
        <f t="shared" si="18"/>
        <v>3</v>
      </c>
      <c r="T161" t="str">
        <f t="shared" si="19"/>
        <v>DerivedFromCount</v>
      </c>
      <c r="U161" t="str">
        <f>IF(COUNTIF(DailyProduction!$Q$5:$Q$100,B161)=1,"OK","CHECK")</f>
        <v>OK</v>
      </c>
      <c r="V161" t="str">
        <f t="shared" si="20"/>
        <v>OK</v>
      </c>
      <c r="W161" t="str">
        <f>IF(SUMIF($B$5:$B$914,B161,$S$5:$S$914)=SUMIF(DailyProduction!$Q$5:$Q$100,B161,DailyProduction!$R$5:$R$100),"OK","CHECK")</f>
        <v>OK</v>
      </c>
    </row>
    <row r="162" spans="1:23">
      <c r="A162" t="s">
        <v>566</v>
      </c>
      <c r="B162" t="s">
        <v>565</v>
      </c>
      <c r="C162" t="s">
        <v>30</v>
      </c>
      <c r="D162" s="7">
        <v>45956</v>
      </c>
      <c r="E162" t="s">
        <v>31</v>
      </c>
      <c r="F162" t="s">
        <v>41</v>
      </c>
      <c r="G162">
        <v>21</v>
      </c>
      <c r="H162" t="s">
        <v>38</v>
      </c>
      <c r="I162">
        <v>2</v>
      </c>
      <c r="J162">
        <v>10</v>
      </c>
      <c r="K162">
        <v>3</v>
      </c>
      <c r="L162">
        <f t="shared" si="14"/>
        <v>1</v>
      </c>
      <c r="P162">
        <f t="shared" si="15"/>
        <v>1</v>
      </c>
      <c r="Q162">
        <f t="shared" si="16"/>
        <v>1</v>
      </c>
      <c r="R162">
        <f t="shared" si="17"/>
        <v>1</v>
      </c>
      <c r="S162">
        <f t="shared" si="18"/>
        <v>3</v>
      </c>
      <c r="T162" t="str">
        <f t="shared" si="19"/>
        <v>DerivedFromCount</v>
      </c>
      <c r="U162" t="str">
        <f>IF(COUNTIF(DailyProduction!$Q$5:$Q$100,B162)=1,"OK","CHECK")</f>
        <v>OK</v>
      </c>
      <c r="V162" t="str">
        <f t="shared" si="20"/>
        <v>OK</v>
      </c>
      <c r="W162" t="str">
        <f>IF(SUMIF($B$5:$B$914,B162,$S$5:$S$914)=SUMIF(DailyProduction!$Q$5:$Q$100,B162,DailyProduction!$R$5:$R$100),"OK","CHECK")</f>
        <v>OK</v>
      </c>
    </row>
    <row r="163" spans="1:23">
      <c r="A163" t="s">
        <v>567</v>
      </c>
      <c r="B163" t="s">
        <v>565</v>
      </c>
      <c r="C163" t="s">
        <v>30</v>
      </c>
      <c r="D163" s="7">
        <v>45956</v>
      </c>
      <c r="E163" t="s">
        <v>31</v>
      </c>
      <c r="F163" t="s">
        <v>41</v>
      </c>
      <c r="G163">
        <v>21</v>
      </c>
      <c r="H163" t="s">
        <v>38</v>
      </c>
      <c r="I163">
        <v>3</v>
      </c>
      <c r="J163">
        <v>10</v>
      </c>
      <c r="K163">
        <v>3</v>
      </c>
      <c r="L163">
        <f t="shared" si="14"/>
        <v>1</v>
      </c>
      <c r="P163">
        <f t="shared" si="15"/>
        <v>1</v>
      </c>
      <c r="Q163">
        <f t="shared" si="16"/>
        <v>1</v>
      </c>
      <c r="R163">
        <f t="shared" si="17"/>
        <v>1</v>
      </c>
      <c r="S163">
        <f t="shared" si="18"/>
        <v>3</v>
      </c>
      <c r="T163" t="str">
        <f t="shared" si="19"/>
        <v>DerivedFromCount</v>
      </c>
      <c r="U163" t="str">
        <f>IF(COUNTIF(DailyProduction!$Q$5:$Q$100,B163)=1,"OK","CHECK")</f>
        <v>OK</v>
      </c>
      <c r="V163" t="str">
        <f t="shared" si="20"/>
        <v>OK</v>
      </c>
      <c r="W163" t="str">
        <f>IF(SUMIF($B$5:$B$914,B163,$S$5:$S$914)=SUMIF(DailyProduction!$Q$5:$Q$100,B163,DailyProduction!$R$5:$R$100),"OK","CHECK")</f>
        <v>OK</v>
      </c>
    </row>
    <row r="164" spans="1:23">
      <c r="A164" t="s">
        <v>568</v>
      </c>
      <c r="B164" t="s">
        <v>565</v>
      </c>
      <c r="C164" t="s">
        <v>30</v>
      </c>
      <c r="D164" s="7">
        <v>45956</v>
      </c>
      <c r="E164" t="s">
        <v>31</v>
      </c>
      <c r="F164" t="s">
        <v>41</v>
      </c>
      <c r="G164">
        <v>21</v>
      </c>
      <c r="H164" t="s">
        <v>38</v>
      </c>
      <c r="I164">
        <v>4</v>
      </c>
      <c r="J164">
        <v>10</v>
      </c>
      <c r="K164">
        <v>3</v>
      </c>
      <c r="L164">
        <f t="shared" si="14"/>
        <v>1</v>
      </c>
      <c r="P164">
        <f t="shared" si="15"/>
        <v>1</v>
      </c>
      <c r="Q164">
        <f t="shared" si="16"/>
        <v>1</v>
      </c>
      <c r="R164">
        <f t="shared" si="17"/>
        <v>1</v>
      </c>
      <c r="S164">
        <f t="shared" si="18"/>
        <v>3</v>
      </c>
      <c r="T164" t="str">
        <f t="shared" si="19"/>
        <v>DerivedFromCount</v>
      </c>
      <c r="U164" t="str">
        <f>IF(COUNTIF(DailyProduction!$Q$5:$Q$100,B164)=1,"OK","CHECK")</f>
        <v>OK</v>
      </c>
      <c r="V164" t="str">
        <f t="shared" si="20"/>
        <v>OK</v>
      </c>
      <c r="W164" t="str">
        <f>IF(SUMIF($B$5:$B$914,B164,$S$5:$S$914)=SUMIF(DailyProduction!$Q$5:$Q$100,B164,DailyProduction!$R$5:$R$100),"OK","CHECK")</f>
        <v>OK</v>
      </c>
    </row>
    <row r="165" spans="1:23">
      <c r="A165" t="s">
        <v>569</v>
      </c>
      <c r="B165" t="s">
        <v>565</v>
      </c>
      <c r="C165" t="s">
        <v>30</v>
      </c>
      <c r="D165" s="7">
        <v>45956</v>
      </c>
      <c r="E165" t="s">
        <v>31</v>
      </c>
      <c r="F165" t="s">
        <v>41</v>
      </c>
      <c r="G165">
        <v>21</v>
      </c>
      <c r="H165" t="s">
        <v>38</v>
      </c>
      <c r="I165">
        <v>5</v>
      </c>
      <c r="J165">
        <v>10</v>
      </c>
      <c r="K165">
        <v>3</v>
      </c>
      <c r="L165">
        <f t="shared" si="14"/>
        <v>1</v>
      </c>
      <c r="P165">
        <f t="shared" si="15"/>
        <v>1</v>
      </c>
      <c r="Q165">
        <f t="shared" si="16"/>
        <v>1</v>
      </c>
      <c r="R165">
        <f t="shared" si="17"/>
        <v>1</v>
      </c>
      <c r="S165">
        <f t="shared" si="18"/>
        <v>3</v>
      </c>
      <c r="T165" t="str">
        <f t="shared" si="19"/>
        <v>DerivedFromCount</v>
      </c>
      <c r="U165" t="str">
        <f>IF(COUNTIF(DailyProduction!$Q$5:$Q$100,B165)=1,"OK","CHECK")</f>
        <v>OK</v>
      </c>
      <c r="V165" t="str">
        <f t="shared" si="20"/>
        <v>OK</v>
      </c>
      <c r="W165" t="str">
        <f>IF(SUMIF($B$5:$B$914,B165,$S$5:$S$914)=SUMIF(DailyProduction!$Q$5:$Q$100,B165,DailyProduction!$R$5:$R$100),"OK","CHECK")</f>
        <v>OK</v>
      </c>
    </row>
    <row r="166" spans="1:23">
      <c r="A166" t="s">
        <v>570</v>
      </c>
      <c r="B166" t="s">
        <v>565</v>
      </c>
      <c r="C166" t="s">
        <v>30</v>
      </c>
      <c r="D166" s="7">
        <v>45956</v>
      </c>
      <c r="E166" t="s">
        <v>31</v>
      </c>
      <c r="F166" t="s">
        <v>41</v>
      </c>
      <c r="G166">
        <v>21</v>
      </c>
      <c r="H166" t="s">
        <v>38</v>
      </c>
      <c r="I166">
        <v>6</v>
      </c>
      <c r="J166">
        <v>10</v>
      </c>
      <c r="K166">
        <v>3</v>
      </c>
      <c r="L166">
        <f t="shared" si="14"/>
        <v>1</v>
      </c>
      <c r="P166">
        <f t="shared" si="15"/>
        <v>1</v>
      </c>
      <c r="Q166">
        <f t="shared" si="16"/>
        <v>1</v>
      </c>
      <c r="R166">
        <f t="shared" si="17"/>
        <v>1</v>
      </c>
      <c r="S166">
        <f t="shared" si="18"/>
        <v>3</v>
      </c>
      <c r="T166" t="str">
        <f t="shared" si="19"/>
        <v>DerivedFromCount</v>
      </c>
      <c r="U166" t="str">
        <f>IF(COUNTIF(DailyProduction!$Q$5:$Q$100,B166)=1,"OK","CHECK")</f>
        <v>OK</v>
      </c>
      <c r="V166" t="str">
        <f t="shared" si="20"/>
        <v>OK</v>
      </c>
      <c r="W166" t="str">
        <f>IF(SUMIF($B$5:$B$914,B166,$S$5:$S$914)=SUMIF(DailyProduction!$Q$5:$Q$100,B166,DailyProduction!$R$5:$R$100),"OK","CHECK")</f>
        <v>OK</v>
      </c>
    </row>
    <row r="167" spans="1:23">
      <c r="A167" t="s">
        <v>571</v>
      </c>
      <c r="B167" t="s">
        <v>565</v>
      </c>
      <c r="C167" t="s">
        <v>30</v>
      </c>
      <c r="D167" s="7">
        <v>45956</v>
      </c>
      <c r="E167" t="s">
        <v>31</v>
      </c>
      <c r="F167" t="s">
        <v>41</v>
      </c>
      <c r="G167">
        <v>21</v>
      </c>
      <c r="H167" t="s">
        <v>38</v>
      </c>
      <c r="I167">
        <v>7</v>
      </c>
      <c r="J167">
        <v>10</v>
      </c>
      <c r="K167">
        <v>3</v>
      </c>
      <c r="L167">
        <f t="shared" si="14"/>
        <v>1</v>
      </c>
      <c r="P167">
        <f t="shared" si="15"/>
        <v>1</v>
      </c>
      <c r="Q167">
        <f t="shared" si="16"/>
        <v>1</v>
      </c>
      <c r="R167">
        <f t="shared" si="17"/>
        <v>1</v>
      </c>
      <c r="S167">
        <f t="shared" si="18"/>
        <v>3</v>
      </c>
      <c r="T167" t="str">
        <f t="shared" si="19"/>
        <v>DerivedFromCount</v>
      </c>
      <c r="U167" t="str">
        <f>IF(COUNTIF(DailyProduction!$Q$5:$Q$100,B167)=1,"OK","CHECK")</f>
        <v>OK</v>
      </c>
      <c r="V167" t="str">
        <f t="shared" si="20"/>
        <v>OK</v>
      </c>
      <c r="W167" t="str">
        <f>IF(SUMIF($B$5:$B$914,B167,$S$5:$S$914)=SUMIF(DailyProduction!$Q$5:$Q$100,B167,DailyProduction!$R$5:$R$100),"OK","CHECK")</f>
        <v>OK</v>
      </c>
    </row>
    <row r="168" spans="1:23">
      <c r="A168" t="s">
        <v>572</v>
      </c>
      <c r="B168" t="s">
        <v>565</v>
      </c>
      <c r="C168" t="s">
        <v>30</v>
      </c>
      <c r="D168" s="7">
        <v>45956</v>
      </c>
      <c r="E168" t="s">
        <v>31</v>
      </c>
      <c r="F168" t="s">
        <v>41</v>
      </c>
      <c r="G168">
        <v>21</v>
      </c>
      <c r="H168" t="s">
        <v>38</v>
      </c>
      <c r="I168">
        <v>8</v>
      </c>
      <c r="J168">
        <v>10</v>
      </c>
      <c r="K168">
        <v>3</v>
      </c>
      <c r="L168">
        <f t="shared" si="14"/>
        <v>1</v>
      </c>
      <c r="P168">
        <f t="shared" si="15"/>
        <v>1</v>
      </c>
      <c r="Q168">
        <f t="shared" si="16"/>
        <v>1</v>
      </c>
      <c r="R168">
        <f t="shared" si="17"/>
        <v>1</v>
      </c>
      <c r="S168">
        <f t="shared" si="18"/>
        <v>3</v>
      </c>
      <c r="T168" t="str">
        <f t="shared" si="19"/>
        <v>DerivedFromCount</v>
      </c>
      <c r="U168" t="str">
        <f>IF(COUNTIF(DailyProduction!$Q$5:$Q$100,B168)=1,"OK","CHECK")</f>
        <v>OK</v>
      </c>
      <c r="V168" t="str">
        <f t="shared" si="20"/>
        <v>OK</v>
      </c>
      <c r="W168" t="str">
        <f>IF(SUMIF($B$5:$B$914,B168,$S$5:$S$914)=SUMIF(DailyProduction!$Q$5:$Q$100,B168,DailyProduction!$R$5:$R$100),"OK","CHECK")</f>
        <v>OK</v>
      </c>
    </row>
    <row r="169" spans="1:23">
      <c r="A169" t="s">
        <v>573</v>
      </c>
      <c r="B169" t="s">
        <v>565</v>
      </c>
      <c r="C169" t="s">
        <v>30</v>
      </c>
      <c r="D169" s="7">
        <v>45956</v>
      </c>
      <c r="E169" t="s">
        <v>31</v>
      </c>
      <c r="F169" t="s">
        <v>41</v>
      </c>
      <c r="G169">
        <v>21</v>
      </c>
      <c r="H169" t="s">
        <v>38</v>
      </c>
      <c r="I169">
        <v>9</v>
      </c>
      <c r="J169">
        <v>10</v>
      </c>
      <c r="K169">
        <v>3</v>
      </c>
      <c r="L169">
        <f t="shared" si="14"/>
        <v>1</v>
      </c>
      <c r="P169">
        <f t="shared" si="15"/>
        <v>1</v>
      </c>
      <c r="Q169">
        <f t="shared" si="16"/>
        <v>1</v>
      </c>
      <c r="R169">
        <f t="shared" si="17"/>
        <v>1</v>
      </c>
      <c r="S169">
        <f t="shared" si="18"/>
        <v>3</v>
      </c>
      <c r="T169" t="str">
        <f t="shared" si="19"/>
        <v>DerivedFromCount</v>
      </c>
      <c r="U169" t="str">
        <f>IF(COUNTIF(DailyProduction!$Q$5:$Q$100,B169)=1,"OK","CHECK")</f>
        <v>OK</v>
      </c>
      <c r="V169" t="str">
        <f t="shared" si="20"/>
        <v>OK</v>
      </c>
      <c r="W169" t="str">
        <f>IF(SUMIF($B$5:$B$914,B169,$S$5:$S$914)=SUMIF(DailyProduction!$Q$5:$Q$100,B169,DailyProduction!$R$5:$R$100),"OK","CHECK")</f>
        <v>OK</v>
      </c>
    </row>
    <row r="170" spans="1:23">
      <c r="A170" t="s">
        <v>574</v>
      </c>
      <c r="B170" t="s">
        <v>565</v>
      </c>
      <c r="C170" t="s">
        <v>30</v>
      </c>
      <c r="D170" s="7">
        <v>45956</v>
      </c>
      <c r="E170" t="s">
        <v>31</v>
      </c>
      <c r="F170" t="s">
        <v>41</v>
      </c>
      <c r="G170">
        <v>21</v>
      </c>
      <c r="H170" t="s">
        <v>38</v>
      </c>
      <c r="I170">
        <v>10</v>
      </c>
      <c r="J170">
        <v>10</v>
      </c>
      <c r="K170">
        <v>3</v>
      </c>
      <c r="L170">
        <f t="shared" si="14"/>
        <v>1</v>
      </c>
      <c r="P170">
        <f t="shared" si="15"/>
        <v>1</v>
      </c>
      <c r="Q170">
        <f t="shared" si="16"/>
        <v>1</v>
      </c>
      <c r="R170">
        <f t="shared" si="17"/>
        <v>1</v>
      </c>
      <c r="S170">
        <f t="shared" si="18"/>
        <v>3</v>
      </c>
      <c r="T170" t="str">
        <f t="shared" si="19"/>
        <v>DerivedFromCount</v>
      </c>
      <c r="U170" t="str">
        <f>IF(COUNTIF(DailyProduction!$Q$5:$Q$100,B170)=1,"OK","CHECK")</f>
        <v>OK</v>
      </c>
      <c r="V170" t="str">
        <f t="shared" si="20"/>
        <v>OK</v>
      </c>
      <c r="W170" t="str">
        <f>IF(SUMIF($B$5:$B$914,B170,$S$5:$S$914)=SUMIF(DailyProduction!$Q$5:$Q$100,B170,DailyProduction!$R$5:$R$100),"OK","CHECK")</f>
        <v>OK</v>
      </c>
    </row>
    <row r="171" spans="1:23">
      <c r="A171" t="s">
        <v>575</v>
      </c>
      <c r="B171" t="s">
        <v>565</v>
      </c>
      <c r="C171" t="s">
        <v>30</v>
      </c>
      <c r="D171" s="7">
        <v>45956</v>
      </c>
      <c r="E171" t="s">
        <v>31</v>
      </c>
      <c r="F171" t="s">
        <v>41</v>
      </c>
      <c r="G171">
        <v>21</v>
      </c>
      <c r="H171" t="s">
        <v>38</v>
      </c>
      <c r="I171">
        <v>11</v>
      </c>
      <c r="J171">
        <v>10</v>
      </c>
      <c r="K171">
        <v>3</v>
      </c>
      <c r="L171">
        <f t="shared" si="14"/>
        <v>0</v>
      </c>
      <c r="P171">
        <f t="shared" si="15"/>
        <v>0</v>
      </c>
      <c r="Q171">
        <f t="shared" si="16"/>
        <v>0</v>
      </c>
      <c r="R171">
        <f t="shared" si="17"/>
        <v>0</v>
      </c>
      <c r="S171">
        <f t="shared" si="18"/>
        <v>0</v>
      </c>
      <c r="T171" t="str">
        <f t="shared" si="19"/>
        <v>DerivedFromCount</v>
      </c>
      <c r="U171" t="str">
        <f>IF(COUNTIF(DailyProduction!$Q$5:$Q$100,B171)=1,"OK","CHECK")</f>
        <v>OK</v>
      </c>
      <c r="V171" t="str">
        <f t="shared" si="20"/>
        <v>OK</v>
      </c>
      <c r="W171" t="str">
        <f>IF(SUMIF($B$5:$B$914,B171,$S$5:$S$914)=SUMIF(DailyProduction!$Q$5:$Q$100,B171,DailyProduction!$R$5:$R$100),"OK","CHECK")</f>
        <v>OK</v>
      </c>
    </row>
    <row r="172" spans="1:23">
      <c r="A172" t="s">
        <v>576</v>
      </c>
      <c r="B172" t="s">
        <v>565</v>
      </c>
      <c r="C172" t="s">
        <v>30</v>
      </c>
      <c r="D172" s="7">
        <v>45956</v>
      </c>
      <c r="E172" t="s">
        <v>31</v>
      </c>
      <c r="F172" t="s">
        <v>41</v>
      </c>
      <c r="G172">
        <v>21</v>
      </c>
      <c r="H172" t="s">
        <v>38</v>
      </c>
      <c r="I172">
        <v>12</v>
      </c>
      <c r="J172">
        <v>10</v>
      </c>
      <c r="K172">
        <v>3</v>
      </c>
      <c r="L172">
        <f t="shared" si="14"/>
        <v>0</v>
      </c>
      <c r="P172">
        <f t="shared" si="15"/>
        <v>0</v>
      </c>
      <c r="Q172">
        <f t="shared" si="16"/>
        <v>0</v>
      </c>
      <c r="R172">
        <f t="shared" si="17"/>
        <v>0</v>
      </c>
      <c r="S172">
        <f t="shared" si="18"/>
        <v>0</v>
      </c>
      <c r="T172" t="str">
        <f t="shared" si="19"/>
        <v>DerivedFromCount</v>
      </c>
      <c r="U172" t="str">
        <f>IF(COUNTIF(DailyProduction!$Q$5:$Q$100,B172)=1,"OK","CHECK")</f>
        <v>OK</v>
      </c>
      <c r="V172" t="str">
        <f t="shared" si="20"/>
        <v>OK</v>
      </c>
      <c r="W172" t="str">
        <f>IF(SUMIF($B$5:$B$914,B172,$S$5:$S$914)=SUMIF(DailyProduction!$Q$5:$Q$100,B172,DailyProduction!$R$5:$R$100),"OK","CHECK")</f>
        <v>OK</v>
      </c>
    </row>
    <row r="173" spans="1:23">
      <c r="A173" t="s">
        <v>577</v>
      </c>
      <c r="B173" t="s">
        <v>565</v>
      </c>
      <c r="C173" t="s">
        <v>30</v>
      </c>
      <c r="D173" s="7">
        <v>45956</v>
      </c>
      <c r="E173" t="s">
        <v>31</v>
      </c>
      <c r="F173" t="s">
        <v>41</v>
      </c>
      <c r="G173">
        <v>21</v>
      </c>
      <c r="H173" t="s">
        <v>38</v>
      </c>
      <c r="I173">
        <v>13</v>
      </c>
      <c r="J173">
        <v>10</v>
      </c>
      <c r="K173">
        <v>3</v>
      </c>
      <c r="L173">
        <f t="shared" si="14"/>
        <v>0</v>
      </c>
      <c r="P173">
        <f t="shared" si="15"/>
        <v>0</v>
      </c>
      <c r="Q173">
        <f t="shared" si="16"/>
        <v>0</v>
      </c>
      <c r="R173">
        <f t="shared" si="17"/>
        <v>0</v>
      </c>
      <c r="S173">
        <f t="shared" si="18"/>
        <v>0</v>
      </c>
      <c r="T173" t="str">
        <f t="shared" si="19"/>
        <v>DerivedFromCount</v>
      </c>
      <c r="U173" t="str">
        <f>IF(COUNTIF(DailyProduction!$Q$5:$Q$100,B173)=1,"OK","CHECK")</f>
        <v>OK</v>
      </c>
      <c r="V173" t="str">
        <f t="shared" si="20"/>
        <v>OK</v>
      </c>
      <c r="W173" t="str">
        <f>IF(SUMIF($B$5:$B$914,B173,$S$5:$S$914)=SUMIF(DailyProduction!$Q$5:$Q$100,B173,DailyProduction!$R$5:$R$100),"OK","CHECK")</f>
        <v>OK</v>
      </c>
    </row>
    <row r="174" spans="1:23">
      <c r="A174" t="s">
        <v>578</v>
      </c>
      <c r="B174" t="s">
        <v>579</v>
      </c>
      <c r="C174" t="s">
        <v>30</v>
      </c>
      <c r="D174" s="7">
        <v>45956</v>
      </c>
      <c r="E174" t="s">
        <v>79</v>
      </c>
      <c r="F174" t="s">
        <v>32</v>
      </c>
      <c r="G174">
        <v>21</v>
      </c>
      <c r="H174" t="s">
        <v>38</v>
      </c>
      <c r="I174">
        <v>1</v>
      </c>
      <c r="J174">
        <v>10</v>
      </c>
      <c r="K174">
        <v>3</v>
      </c>
      <c r="L174">
        <f t="shared" si="14"/>
        <v>1</v>
      </c>
      <c r="P174">
        <f t="shared" si="15"/>
        <v>1</v>
      </c>
      <c r="Q174">
        <f t="shared" si="16"/>
        <v>1</v>
      </c>
      <c r="R174">
        <f t="shared" si="17"/>
        <v>1</v>
      </c>
      <c r="S174">
        <f t="shared" si="18"/>
        <v>3</v>
      </c>
      <c r="T174" t="str">
        <f t="shared" si="19"/>
        <v>DerivedFromCount</v>
      </c>
      <c r="U174" t="str">
        <f>IF(COUNTIF(DailyProduction!$Q$5:$Q$100,B174)=1,"OK","CHECK")</f>
        <v>OK</v>
      </c>
      <c r="V174" t="str">
        <f t="shared" si="20"/>
        <v>OK</v>
      </c>
      <c r="W174" t="str">
        <f>IF(SUMIF($B$5:$B$914,B174,$S$5:$S$914)=SUMIF(DailyProduction!$Q$5:$Q$100,B174,DailyProduction!$R$5:$R$100),"OK","CHECK")</f>
        <v>OK</v>
      </c>
    </row>
    <row r="175" spans="1:23">
      <c r="A175" t="s">
        <v>580</v>
      </c>
      <c r="B175" t="s">
        <v>579</v>
      </c>
      <c r="C175" t="s">
        <v>30</v>
      </c>
      <c r="D175" s="7">
        <v>45956</v>
      </c>
      <c r="E175" t="s">
        <v>79</v>
      </c>
      <c r="F175" t="s">
        <v>32</v>
      </c>
      <c r="G175">
        <v>21</v>
      </c>
      <c r="H175" t="s">
        <v>38</v>
      </c>
      <c r="I175">
        <v>2</v>
      </c>
      <c r="J175">
        <v>10</v>
      </c>
      <c r="K175">
        <v>3</v>
      </c>
      <c r="L175">
        <f t="shared" si="14"/>
        <v>1</v>
      </c>
      <c r="P175">
        <f t="shared" si="15"/>
        <v>1</v>
      </c>
      <c r="Q175">
        <f t="shared" si="16"/>
        <v>1</v>
      </c>
      <c r="R175">
        <f t="shared" si="17"/>
        <v>1</v>
      </c>
      <c r="S175">
        <f t="shared" si="18"/>
        <v>3</v>
      </c>
      <c r="T175" t="str">
        <f t="shared" si="19"/>
        <v>DerivedFromCount</v>
      </c>
      <c r="U175" t="str">
        <f>IF(COUNTIF(DailyProduction!$Q$5:$Q$100,B175)=1,"OK","CHECK")</f>
        <v>OK</v>
      </c>
      <c r="V175" t="str">
        <f t="shared" si="20"/>
        <v>OK</v>
      </c>
      <c r="W175" t="str">
        <f>IF(SUMIF($B$5:$B$914,B175,$S$5:$S$914)=SUMIF(DailyProduction!$Q$5:$Q$100,B175,DailyProduction!$R$5:$R$100),"OK","CHECK")</f>
        <v>OK</v>
      </c>
    </row>
    <row r="176" spans="1:23">
      <c r="A176" t="s">
        <v>581</v>
      </c>
      <c r="B176" t="s">
        <v>579</v>
      </c>
      <c r="C176" t="s">
        <v>30</v>
      </c>
      <c r="D176" s="7">
        <v>45956</v>
      </c>
      <c r="E176" t="s">
        <v>79</v>
      </c>
      <c r="F176" t="s">
        <v>32</v>
      </c>
      <c r="G176">
        <v>21</v>
      </c>
      <c r="H176" t="s">
        <v>38</v>
      </c>
      <c r="I176">
        <v>3</v>
      </c>
      <c r="J176">
        <v>10</v>
      </c>
      <c r="K176">
        <v>3</v>
      </c>
      <c r="L176">
        <f t="shared" si="14"/>
        <v>1</v>
      </c>
      <c r="P176">
        <f t="shared" si="15"/>
        <v>1</v>
      </c>
      <c r="Q176">
        <f t="shared" si="16"/>
        <v>1</v>
      </c>
      <c r="R176">
        <f t="shared" si="17"/>
        <v>1</v>
      </c>
      <c r="S176">
        <f t="shared" si="18"/>
        <v>3</v>
      </c>
      <c r="T176" t="str">
        <f t="shared" si="19"/>
        <v>DerivedFromCount</v>
      </c>
      <c r="U176" t="str">
        <f>IF(COUNTIF(DailyProduction!$Q$5:$Q$100,B176)=1,"OK","CHECK")</f>
        <v>OK</v>
      </c>
      <c r="V176" t="str">
        <f t="shared" si="20"/>
        <v>OK</v>
      </c>
      <c r="W176" t="str">
        <f>IF(SUMIF($B$5:$B$914,B176,$S$5:$S$914)=SUMIF(DailyProduction!$Q$5:$Q$100,B176,DailyProduction!$R$5:$R$100),"OK","CHECK")</f>
        <v>OK</v>
      </c>
    </row>
    <row r="177" spans="1:23">
      <c r="A177" t="s">
        <v>582</v>
      </c>
      <c r="B177" t="s">
        <v>579</v>
      </c>
      <c r="C177" t="s">
        <v>30</v>
      </c>
      <c r="D177" s="7">
        <v>45956</v>
      </c>
      <c r="E177" t="s">
        <v>79</v>
      </c>
      <c r="F177" t="s">
        <v>32</v>
      </c>
      <c r="G177">
        <v>21</v>
      </c>
      <c r="H177" t="s">
        <v>38</v>
      </c>
      <c r="I177">
        <v>4</v>
      </c>
      <c r="J177">
        <v>10</v>
      </c>
      <c r="K177">
        <v>3</v>
      </c>
      <c r="L177">
        <f t="shared" si="14"/>
        <v>1</v>
      </c>
      <c r="P177">
        <f t="shared" si="15"/>
        <v>1</v>
      </c>
      <c r="Q177">
        <f t="shared" si="16"/>
        <v>1</v>
      </c>
      <c r="R177">
        <f t="shared" si="17"/>
        <v>1</v>
      </c>
      <c r="S177">
        <f t="shared" si="18"/>
        <v>3</v>
      </c>
      <c r="T177" t="str">
        <f t="shared" si="19"/>
        <v>DerivedFromCount</v>
      </c>
      <c r="U177" t="str">
        <f>IF(COUNTIF(DailyProduction!$Q$5:$Q$100,B177)=1,"OK","CHECK")</f>
        <v>OK</v>
      </c>
      <c r="V177" t="str">
        <f t="shared" si="20"/>
        <v>OK</v>
      </c>
      <c r="W177" t="str">
        <f>IF(SUMIF($B$5:$B$914,B177,$S$5:$S$914)=SUMIF(DailyProduction!$Q$5:$Q$100,B177,DailyProduction!$R$5:$R$100),"OK","CHECK")</f>
        <v>OK</v>
      </c>
    </row>
    <row r="178" spans="1:23">
      <c r="A178" t="s">
        <v>583</v>
      </c>
      <c r="B178" t="s">
        <v>579</v>
      </c>
      <c r="C178" t="s">
        <v>30</v>
      </c>
      <c r="D178" s="7">
        <v>45956</v>
      </c>
      <c r="E178" t="s">
        <v>79</v>
      </c>
      <c r="F178" t="s">
        <v>32</v>
      </c>
      <c r="G178">
        <v>21</v>
      </c>
      <c r="H178" t="s">
        <v>38</v>
      </c>
      <c r="I178">
        <v>5</v>
      </c>
      <c r="J178">
        <v>10</v>
      </c>
      <c r="K178">
        <v>3</v>
      </c>
      <c r="L178">
        <f t="shared" si="14"/>
        <v>1</v>
      </c>
      <c r="P178">
        <f t="shared" si="15"/>
        <v>1</v>
      </c>
      <c r="Q178">
        <f t="shared" si="16"/>
        <v>1</v>
      </c>
      <c r="R178">
        <f t="shared" si="17"/>
        <v>1</v>
      </c>
      <c r="S178">
        <f t="shared" si="18"/>
        <v>3</v>
      </c>
      <c r="T178" t="str">
        <f t="shared" si="19"/>
        <v>DerivedFromCount</v>
      </c>
      <c r="U178" t="str">
        <f>IF(COUNTIF(DailyProduction!$Q$5:$Q$100,B178)=1,"OK","CHECK")</f>
        <v>OK</v>
      </c>
      <c r="V178" t="str">
        <f t="shared" si="20"/>
        <v>OK</v>
      </c>
      <c r="W178" t="str">
        <f>IF(SUMIF($B$5:$B$914,B178,$S$5:$S$914)=SUMIF(DailyProduction!$Q$5:$Q$100,B178,DailyProduction!$R$5:$R$100),"OK","CHECK")</f>
        <v>OK</v>
      </c>
    </row>
    <row r="179" spans="1:23">
      <c r="A179" t="s">
        <v>584</v>
      </c>
      <c r="B179" t="s">
        <v>579</v>
      </c>
      <c r="C179" t="s">
        <v>30</v>
      </c>
      <c r="D179" s="7">
        <v>45956</v>
      </c>
      <c r="E179" t="s">
        <v>79</v>
      </c>
      <c r="F179" t="s">
        <v>32</v>
      </c>
      <c r="G179">
        <v>21</v>
      </c>
      <c r="H179" t="s">
        <v>38</v>
      </c>
      <c r="I179">
        <v>6</v>
      </c>
      <c r="J179">
        <v>10</v>
      </c>
      <c r="K179">
        <v>3</v>
      </c>
      <c r="L179">
        <f t="shared" si="14"/>
        <v>1</v>
      </c>
      <c r="P179">
        <f t="shared" si="15"/>
        <v>1</v>
      </c>
      <c r="Q179">
        <f t="shared" si="16"/>
        <v>1</v>
      </c>
      <c r="R179">
        <f t="shared" si="17"/>
        <v>1</v>
      </c>
      <c r="S179">
        <f t="shared" si="18"/>
        <v>3</v>
      </c>
      <c r="T179" t="str">
        <f t="shared" si="19"/>
        <v>DerivedFromCount</v>
      </c>
      <c r="U179" t="str">
        <f>IF(COUNTIF(DailyProduction!$Q$5:$Q$100,B179)=1,"OK","CHECK")</f>
        <v>OK</v>
      </c>
      <c r="V179" t="str">
        <f t="shared" si="20"/>
        <v>OK</v>
      </c>
      <c r="W179" t="str">
        <f>IF(SUMIF($B$5:$B$914,B179,$S$5:$S$914)=SUMIF(DailyProduction!$Q$5:$Q$100,B179,DailyProduction!$R$5:$R$100),"OK","CHECK")</f>
        <v>OK</v>
      </c>
    </row>
    <row r="180" spans="1:23">
      <c r="A180" t="s">
        <v>585</v>
      </c>
      <c r="B180" t="s">
        <v>579</v>
      </c>
      <c r="C180" t="s">
        <v>30</v>
      </c>
      <c r="D180" s="7">
        <v>45956</v>
      </c>
      <c r="E180" t="s">
        <v>79</v>
      </c>
      <c r="F180" t="s">
        <v>32</v>
      </c>
      <c r="G180">
        <v>21</v>
      </c>
      <c r="H180" t="s">
        <v>38</v>
      </c>
      <c r="I180">
        <v>7</v>
      </c>
      <c r="J180">
        <v>10</v>
      </c>
      <c r="K180">
        <v>3</v>
      </c>
      <c r="L180">
        <f t="shared" si="14"/>
        <v>1</v>
      </c>
      <c r="P180">
        <f t="shared" si="15"/>
        <v>1</v>
      </c>
      <c r="Q180">
        <f t="shared" si="16"/>
        <v>1</v>
      </c>
      <c r="R180">
        <f t="shared" si="17"/>
        <v>1</v>
      </c>
      <c r="S180">
        <f t="shared" si="18"/>
        <v>3</v>
      </c>
      <c r="T180" t="str">
        <f t="shared" si="19"/>
        <v>DerivedFromCount</v>
      </c>
      <c r="U180" t="str">
        <f>IF(COUNTIF(DailyProduction!$Q$5:$Q$100,B180)=1,"OK","CHECK")</f>
        <v>OK</v>
      </c>
      <c r="V180" t="str">
        <f t="shared" si="20"/>
        <v>OK</v>
      </c>
      <c r="W180" t="str">
        <f>IF(SUMIF($B$5:$B$914,B180,$S$5:$S$914)=SUMIF(DailyProduction!$Q$5:$Q$100,B180,DailyProduction!$R$5:$R$100),"OK","CHECK")</f>
        <v>OK</v>
      </c>
    </row>
    <row r="181" spans="1:23">
      <c r="A181" t="s">
        <v>586</v>
      </c>
      <c r="B181" t="s">
        <v>579</v>
      </c>
      <c r="C181" t="s">
        <v>30</v>
      </c>
      <c r="D181" s="7">
        <v>45956</v>
      </c>
      <c r="E181" t="s">
        <v>79</v>
      </c>
      <c r="F181" t="s">
        <v>32</v>
      </c>
      <c r="G181">
        <v>21</v>
      </c>
      <c r="H181" t="s">
        <v>38</v>
      </c>
      <c r="I181">
        <v>8</v>
      </c>
      <c r="J181">
        <v>10</v>
      </c>
      <c r="K181">
        <v>3</v>
      </c>
      <c r="L181">
        <f t="shared" si="14"/>
        <v>1</v>
      </c>
      <c r="P181">
        <f t="shared" si="15"/>
        <v>1</v>
      </c>
      <c r="Q181">
        <f t="shared" si="16"/>
        <v>1</v>
      </c>
      <c r="R181">
        <f t="shared" si="17"/>
        <v>1</v>
      </c>
      <c r="S181">
        <f t="shared" si="18"/>
        <v>3</v>
      </c>
      <c r="T181" t="str">
        <f t="shared" si="19"/>
        <v>DerivedFromCount</v>
      </c>
      <c r="U181" t="str">
        <f>IF(COUNTIF(DailyProduction!$Q$5:$Q$100,B181)=1,"OK","CHECK")</f>
        <v>OK</v>
      </c>
      <c r="V181" t="str">
        <f t="shared" si="20"/>
        <v>OK</v>
      </c>
      <c r="W181" t="str">
        <f>IF(SUMIF($B$5:$B$914,B181,$S$5:$S$914)=SUMIF(DailyProduction!$Q$5:$Q$100,B181,DailyProduction!$R$5:$R$100),"OK","CHECK")</f>
        <v>OK</v>
      </c>
    </row>
    <row r="182" spans="1:23">
      <c r="A182" t="s">
        <v>587</v>
      </c>
      <c r="B182" t="s">
        <v>579</v>
      </c>
      <c r="C182" t="s">
        <v>30</v>
      </c>
      <c r="D182" s="7">
        <v>45956</v>
      </c>
      <c r="E182" t="s">
        <v>79</v>
      </c>
      <c r="F182" t="s">
        <v>32</v>
      </c>
      <c r="G182">
        <v>21</v>
      </c>
      <c r="H182" t="s">
        <v>38</v>
      </c>
      <c r="I182">
        <v>9</v>
      </c>
      <c r="J182">
        <v>10</v>
      </c>
      <c r="K182">
        <v>3</v>
      </c>
      <c r="L182">
        <f t="shared" si="14"/>
        <v>1</v>
      </c>
      <c r="P182">
        <f t="shared" si="15"/>
        <v>1</v>
      </c>
      <c r="Q182">
        <f t="shared" si="16"/>
        <v>1</v>
      </c>
      <c r="R182">
        <f t="shared" si="17"/>
        <v>1</v>
      </c>
      <c r="S182">
        <f t="shared" si="18"/>
        <v>3</v>
      </c>
      <c r="T182" t="str">
        <f t="shared" si="19"/>
        <v>DerivedFromCount</v>
      </c>
      <c r="U182" t="str">
        <f>IF(COUNTIF(DailyProduction!$Q$5:$Q$100,B182)=1,"OK","CHECK")</f>
        <v>OK</v>
      </c>
      <c r="V182" t="str">
        <f t="shared" si="20"/>
        <v>OK</v>
      </c>
      <c r="W182" t="str">
        <f>IF(SUMIF($B$5:$B$914,B182,$S$5:$S$914)=SUMIF(DailyProduction!$Q$5:$Q$100,B182,DailyProduction!$R$5:$R$100),"OK","CHECK")</f>
        <v>OK</v>
      </c>
    </row>
    <row r="183" spans="1:23">
      <c r="A183" t="s">
        <v>588</v>
      </c>
      <c r="B183" t="s">
        <v>579</v>
      </c>
      <c r="C183" t="s">
        <v>30</v>
      </c>
      <c r="D183" s="7">
        <v>45956</v>
      </c>
      <c r="E183" t="s">
        <v>79</v>
      </c>
      <c r="F183" t="s">
        <v>32</v>
      </c>
      <c r="G183">
        <v>21</v>
      </c>
      <c r="H183" t="s">
        <v>38</v>
      </c>
      <c r="I183">
        <v>10</v>
      </c>
      <c r="J183">
        <v>10</v>
      </c>
      <c r="K183">
        <v>3</v>
      </c>
      <c r="L183">
        <f t="shared" si="14"/>
        <v>1</v>
      </c>
      <c r="P183">
        <f t="shared" si="15"/>
        <v>1</v>
      </c>
      <c r="Q183">
        <f t="shared" si="16"/>
        <v>1</v>
      </c>
      <c r="R183">
        <f t="shared" si="17"/>
        <v>1</v>
      </c>
      <c r="S183">
        <f t="shared" si="18"/>
        <v>3</v>
      </c>
      <c r="T183" t="str">
        <f t="shared" si="19"/>
        <v>DerivedFromCount</v>
      </c>
      <c r="U183" t="str">
        <f>IF(COUNTIF(DailyProduction!$Q$5:$Q$100,B183)=1,"OK","CHECK")</f>
        <v>OK</v>
      </c>
      <c r="V183" t="str">
        <f t="shared" si="20"/>
        <v>OK</v>
      </c>
      <c r="W183" t="str">
        <f>IF(SUMIF($B$5:$B$914,B183,$S$5:$S$914)=SUMIF(DailyProduction!$Q$5:$Q$100,B183,DailyProduction!$R$5:$R$100),"OK","CHECK")</f>
        <v>OK</v>
      </c>
    </row>
    <row r="184" spans="1:23">
      <c r="A184" t="s">
        <v>589</v>
      </c>
      <c r="B184" t="s">
        <v>579</v>
      </c>
      <c r="C184" t="s">
        <v>30</v>
      </c>
      <c r="D184" s="7">
        <v>45956</v>
      </c>
      <c r="E184" t="s">
        <v>79</v>
      </c>
      <c r="F184" t="s">
        <v>32</v>
      </c>
      <c r="G184">
        <v>21</v>
      </c>
      <c r="H184" t="s">
        <v>38</v>
      </c>
      <c r="I184">
        <v>11</v>
      </c>
      <c r="J184">
        <v>10</v>
      </c>
      <c r="K184">
        <v>3</v>
      </c>
      <c r="L184">
        <f t="shared" si="14"/>
        <v>0</v>
      </c>
      <c r="P184">
        <f t="shared" si="15"/>
        <v>0</v>
      </c>
      <c r="Q184">
        <f t="shared" si="16"/>
        <v>0</v>
      </c>
      <c r="R184">
        <f t="shared" si="17"/>
        <v>0</v>
      </c>
      <c r="S184">
        <f t="shared" si="18"/>
        <v>0</v>
      </c>
      <c r="T184" t="str">
        <f t="shared" si="19"/>
        <v>DerivedFromCount</v>
      </c>
      <c r="U184" t="str">
        <f>IF(COUNTIF(DailyProduction!$Q$5:$Q$100,B184)=1,"OK","CHECK")</f>
        <v>OK</v>
      </c>
      <c r="V184" t="str">
        <f t="shared" si="20"/>
        <v>OK</v>
      </c>
      <c r="W184" t="str">
        <f>IF(SUMIF($B$5:$B$914,B184,$S$5:$S$914)=SUMIF(DailyProduction!$Q$5:$Q$100,B184,DailyProduction!$R$5:$R$100),"OK","CHECK")</f>
        <v>OK</v>
      </c>
    </row>
    <row r="185" spans="1:23">
      <c r="A185" t="s">
        <v>590</v>
      </c>
      <c r="B185" t="s">
        <v>579</v>
      </c>
      <c r="C185" t="s">
        <v>30</v>
      </c>
      <c r="D185" s="7">
        <v>45956</v>
      </c>
      <c r="E185" t="s">
        <v>79</v>
      </c>
      <c r="F185" t="s">
        <v>32</v>
      </c>
      <c r="G185">
        <v>21</v>
      </c>
      <c r="H185" t="s">
        <v>38</v>
      </c>
      <c r="I185">
        <v>12</v>
      </c>
      <c r="J185">
        <v>10</v>
      </c>
      <c r="K185">
        <v>3</v>
      </c>
      <c r="L185">
        <f t="shared" si="14"/>
        <v>0</v>
      </c>
      <c r="P185">
        <f t="shared" si="15"/>
        <v>0</v>
      </c>
      <c r="Q185">
        <f t="shared" si="16"/>
        <v>0</v>
      </c>
      <c r="R185">
        <f t="shared" si="17"/>
        <v>0</v>
      </c>
      <c r="S185">
        <f t="shared" si="18"/>
        <v>0</v>
      </c>
      <c r="T185" t="str">
        <f t="shared" si="19"/>
        <v>DerivedFromCount</v>
      </c>
      <c r="U185" t="str">
        <f>IF(COUNTIF(DailyProduction!$Q$5:$Q$100,B185)=1,"OK","CHECK")</f>
        <v>OK</v>
      </c>
      <c r="V185" t="str">
        <f t="shared" si="20"/>
        <v>OK</v>
      </c>
      <c r="W185" t="str">
        <f>IF(SUMIF($B$5:$B$914,B185,$S$5:$S$914)=SUMIF(DailyProduction!$Q$5:$Q$100,B185,DailyProduction!$R$5:$R$100),"OK","CHECK")</f>
        <v>OK</v>
      </c>
    </row>
    <row r="186" spans="1:23">
      <c r="A186" t="s">
        <v>591</v>
      </c>
      <c r="B186" t="s">
        <v>579</v>
      </c>
      <c r="C186" t="s">
        <v>30</v>
      </c>
      <c r="D186" s="7">
        <v>45956</v>
      </c>
      <c r="E186" t="s">
        <v>79</v>
      </c>
      <c r="F186" t="s">
        <v>32</v>
      </c>
      <c r="G186">
        <v>21</v>
      </c>
      <c r="H186" t="s">
        <v>38</v>
      </c>
      <c r="I186">
        <v>13</v>
      </c>
      <c r="J186">
        <v>10</v>
      </c>
      <c r="K186">
        <v>3</v>
      </c>
      <c r="L186">
        <f t="shared" si="14"/>
        <v>0</v>
      </c>
      <c r="P186">
        <f t="shared" si="15"/>
        <v>0</v>
      </c>
      <c r="Q186">
        <f t="shared" si="16"/>
        <v>0</v>
      </c>
      <c r="R186">
        <f t="shared" si="17"/>
        <v>0</v>
      </c>
      <c r="S186">
        <f t="shared" si="18"/>
        <v>0</v>
      </c>
      <c r="T186" t="str">
        <f t="shared" si="19"/>
        <v>DerivedFromCount</v>
      </c>
      <c r="U186" t="str">
        <f>IF(COUNTIF(DailyProduction!$Q$5:$Q$100,B186)=1,"OK","CHECK")</f>
        <v>OK</v>
      </c>
      <c r="V186" t="str">
        <f t="shared" si="20"/>
        <v>OK</v>
      </c>
      <c r="W186" t="str">
        <f>IF(SUMIF($B$5:$B$914,B186,$S$5:$S$914)=SUMIF(DailyProduction!$Q$5:$Q$100,B186,DailyProduction!$R$5:$R$100),"OK","CHECK")</f>
        <v>OK</v>
      </c>
    </row>
    <row r="187" spans="1:23">
      <c r="A187" t="s">
        <v>592</v>
      </c>
      <c r="B187" t="s">
        <v>593</v>
      </c>
      <c r="C187" t="s">
        <v>30</v>
      </c>
      <c r="D187" s="7">
        <v>45950</v>
      </c>
      <c r="E187" t="s">
        <v>31</v>
      </c>
      <c r="F187" t="s">
        <v>41</v>
      </c>
      <c r="G187">
        <v>22</v>
      </c>
      <c r="H187" t="s">
        <v>43</v>
      </c>
      <c r="I187">
        <v>1</v>
      </c>
      <c r="J187">
        <v>10</v>
      </c>
      <c r="K187">
        <v>2</v>
      </c>
      <c r="L187">
        <f t="shared" si="14"/>
        <v>1</v>
      </c>
      <c r="P187">
        <f t="shared" si="15"/>
        <v>1</v>
      </c>
      <c r="Q187">
        <f t="shared" si="16"/>
        <v>1</v>
      </c>
      <c r="R187">
        <f t="shared" si="17"/>
        <v>0</v>
      </c>
      <c r="S187">
        <f t="shared" si="18"/>
        <v>2</v>
      </c>
      <c r="T187" t="str">
        <f t="shared" si="19"/>
        <v>DerivedFromCount</v>
      </c>
      <c r="U187" t="str">
        <f>IF(COUNTIF(DailyProduction!$Q$5:$Q$100,B187)=1,"OK","CHECK")</f>
        <v>OK</v>
      </c>
      <c r="V187" t="str">
        <f t="shared" si="20"/>
        <v>OK</v>
      </c>
      <c r="W187" t="str">
        <f>IF(SUMIF($B$5:$B$914,B187,$S$5:$S$914)=SUMIF(DailyProduction!$Q$5:$Q$100,B187,DailyProduction!$R$5:$R$100),"OK","CHECK")</f>
        <v>OK</v>
      </c>
    </row>
    <row r="188" spans="1:23">
      <c r="A188" t="s">
        <v>594</v>
      </c>
      <c r="B188" t="s">
        <v>593</v>
      </c>
      <c r="C188" t="s">
        <v>30</v>
      </c>
      <c r="D188" s="7">
        <v>45950</v>
      </c>
      <c r="E188" t="s">
        <v>31</v>
      </c>
      <c r="F188" t="s">
        <v>41</v>
      </c>
      <c r="G188">
        <v>22</v>
      </c>
      <c r="H188" t="s">
        <v>43</v>
      </c>
      <c r="I188">
        <v>2</v>
      </c>
      <c r="J188">
        <v>10</v>
      </c>
      <c r="K188">
        <v>2</v>
      </c>
      <c r="L188">
        <f t="shared" si="14"/>
        <v>1</v>
      </c>
      <c r="P188">
        <f t="shared" si="15"/>
        <v>1</v>
      </c>
      <c r="Q188">
        <f t="shared" si="16"/>
        <v>1</v>
      </c>
      <c r="R188">
        <f t="shared" si="17"/>
        <v>0</v>
      </c>
      <c r="S188">
        <f t="shared" si="18"/>
        <v>2</v>
      </c>
      <c r="T188" t="str">
        <f t="shared" si="19"/>
        <v>DerivedFromCount</v>
      </c>
      <c r="U188" t="str">
        <f>IF(COUNTIF(DailyProduction!$Q$5:$Q$100,B188)=1,"OK","CHECK")</f>
        <v>OK</v>
      </c>
      <c r="V188" t="str">
        <f t="shared" si="20"/>
        <v>OK</v>
      </c>
      <c r="W188" t="str">
        <f>IF(SUMIF($B$5:$B$914,B188,$S$5:$S$914)=SUMIF(DailyProduction!$Q$5:$Q$100,B188,DailyProduction!$R$5:$R$100),"OK","CHECK")</f>
        <v>OK</v>
      </c>
    </row>
    <row r="189" spans="1:23">
      <c r="A189" t="s">
        <v>595</v>
      </c>
      <c r="B189" t="s">
        <v>593</v>
      </c>
      <c r="C189" t="s">
        <v>30</v>
      </c>
      <c r="D189" s="7">
        <v>45950</v>
      </c>
      <c r="E189" t="s">
        <v>31</v>
      </c>
      <c r="F189" t="s">
        <v>41</v>
      </c>
      <c r="G189">
        <v>22</v>
      </c>
      <c r="H189" t="s">
        <v>43</v>
      </c>
      <c r="I189">
        <v>3</v>
      </c>
      <c r="J189">
        <v>10</v>
      </c>
      <c r="K189">
        <v>2</v>
      </c>
      <c r="L189">
        <f t="shared" si="14"/>
        <v>1</v>
      </c>
      <c r="P189">
        <f t="shared" si="15"/>
        <v>1</v>
      </c>
      <c r="Q189">
        <f t="shared" si="16"/>
        <v>1</v>
      </c>
      <c r="R189">
        <f t="shared" si="17"/>
        <v>0</v>
      </c>
      <c r="S189">
        <f t="shared" si="18"/>
        <v>2</v>
      </c>
      <c r="T189" t="str">
        <f t="shared" si="19"/>
        <v>DerivedFromCount</v>
      </c>
      <c r="U189" t="str">
        <f>IF(COUNTIF(DailyProduction!$Q$5:$Q$100,B189)=1,"OK","CHECK")</f>
        <v>OK</v>
      </c>
      <c r="V189" t="str">
        <f t="shared" si="20"/>
        <v>OK</v>
      </c>
      <c r="W189" t="str">
        <f>IF(SUMIF($B$5:$B$914,B189,$S$5:$S$914)=SUMIF(DailyProduction!$Q$5:$Q$100,B189,DailyProduction!$R$5:$R$100),"OK","CHECK")</f>
        <v>OK</v>
      </c>
    </row>
    <row r="190" spans="1:23">
      <c r="A190" t="s">
        <v>596</v>
      </c>
      <c r="B190" t="s">
        <v>593</v>
      </c>
      <c r="C190" t="s">
        <v>30</v>
      </c>
      <c r="D190" s="7">
        <v>45950</v>
      </c>
      <c r="E190" t="s">
        <v>31</v>
      </c>
      <c r="F190" t="s">
        <v>41</v>
      </c>
      <c r="G190">
        <v>22</v>
      </c>
      <c r="H190" t="s">
        <v>43</v>
      </c>
      <c r="I190">
        <v>4</v>
      </c>
      <c r="J190">
        <v>10</v>
      </c>
      <c r="K190">
        <v>2</v>
      </c>
      <c r="L190">
        <f t="shared" si="14"/>
        <v>1</v>
      </c>
      <c r="P190">
        <f t="shared" si="15"/>
        <v>1</v>
      </c>
      <c r="Q190">
        <f t="shared" si="16"/>
        <v>1</v>
      </c>
      <c r="R190">
        <f t="shared" si="17"/>
        <v>0</v>
      </c>
      <c r="S190">
        <f t="shared" si="18"/>
        <v>2</v>
      </c>
      <c r="T190" t="str">
        <f t="shared" si="19"/>
        <v>DerivedFromCount</v>
      </c>
      <c r="U190" t="str">
        <f>IF(COUNTIF(DailyProduction!$Q$5:$Q$100,B190)=1,"OK","CHECK")</f>
        <v>OK</v>
      </c>
      <c r="V190" t="str">
        <f t="shared" si="20"/>
        <v>OK</v>
      </c>
      <c r="W190" t="str">
        <f>IF(SUMIF($B$5:$B$914,B190,$S$5:$S$914)=SUMIF(DailyProduction!$Q$5:$Q$100,B190,DailyProduction!$R$5:$R$100),"OK","CHECK")</f>
        <v>OK</v>
      </c>
    </row>
    <row r="191" spans="1:23">
      <c r="A191" t="s">
        <v>597</v>
      </c>
      <c r="B191" t="s">
        <v>593</v>
      </c>
      <c r="C191" t="s">
        <v>30</v>
      </c>
      <c r="D191" s="7">
        <v>45950</v>
      </c>
      <c r="E191" t="s">
        <v>31</v>
      </c>
      <c r="F191" t="s">
        <v>41</v>
      </c>
      <c r="G191">
        <v>22</v>
      </c>
      <c r="H191" t="s">
        <v>43</v>
      </c>
      <c r="I191">
        <v>5</v>
      </c>
      <c r="J191">
        <v>10</v>
      </c>
      <c r="K191">
        <v>2</v>
      </c>
      <c r="L191">
        <f t="shared" si="14"/>
        <v>1</v>
      </c>
      <c r="P191">
        <f t="shared" si="15"/>
        <v>1</v>
      </c>
      <c r="Q191">
        <f t="shared" si="16"/>
        <v>1</v>
      </c>
      <c r="R191">
        <f t="shared" si="17"/>
        <v>0</v>
      </c>
      <c r="S191">
        <f t="shared" si="18"/>
        <v>2</v>
      </c>
      <c r="T191" t="str">
        <f t="shared" si="19"/>
        <v>DerivedFromCount</v>
      </c>
      <c r="U191" t="str">
        <f>IF(COUNTIF(DailyProduction!$Q$5:$Q$100,B191)=1,"OK","CHECK")</f>
        <v>OK</v>
      </c>
      <c r="V191" t="str">
        <f t="shared" si="20"/>
        <v>OK</v>
      </c>
      <c r="W191" t="str">
        <f>IF(SUMIF($B$5:$B$914,B191,$S$5:$S$914)=SUMIF(DailyProduction!$Q$5:$Q$100,B191,DailyProduction!$R$5:$R$100),"OK","CHECK")</f>
        <v>OK</v>
      </c>
    </row>
    <row r="192" spans="1:23">
      <c r="A192" t="s">
        <v>598</v>
      </c>
      <c r="B192" t="s">
        <v>593</v>
      </c>
      <c r="C192" t="s">
        <v>30</v>
      </c>
      <c r="D192" s="7">
        <v>45950</v>
      </c>
      <c r="E192" t="s">
        <v>31</v>
      </c>
      <c r="F192" t="s">
        <v>41</v>
      </c>
      <c r="G192">
        <v>22</v>
      </c>
      <c r="H192" t="s">
        <v>43</v>
      </c>
      <c r="I192">
        <v>6</v>
      </c>
      <c r="J192">
        <v>10</v>
      </c>
      <c r="K192">
        <v>2</v>
      </c>
      <c r="L192">
        <f t="shared" si="14"/>
        <v>1</v>
      </c>
      <c r="P192">
        <f t="shared" si="15"/>
        <v>1</v>
      </c>
      <c r="Q192">
        <f t="shared" si="16"/>
        <v>1</v>
      </c>
      <c r="R192">
        <f t="shared" si="17"/>
        <v>0</v>
      </c>
      <c r="S192">
        <f t="shared" si="18"/>
        <v>2</v>
      </c>
      <c r="T192" t="str">
        <f t="shared" si="19"/>
        <v>DerivedFromCount</v>
      </c>
      <c r="U192" t="str">
        <f>IF(COUNTIF(DailyProduction!$Q$5:$Q$100,B192)=1,"OK","CHECK")</f>
        <v>OK</v>
      </c>
      <c r="V192" t="str">
        <f t="shared" si="20"/>
        <v>OK</v>
      </c>
      <c r="W192" t="str">
        <f>IF(SUMIF($B$5:$B$914,B192,$S$5:$S$914)=SUMIF(DailyProduction!$Q$5:$Q$100,B192,DailyProduction!$R$5:$R$100),"OK","CHECK")</f>
        <v>OK</v>
      </c>
    </row>
    <row r="193" spans="1:23">
      <c r="A193" t="s">
        <v>599</v>
      </c>
      <c r="B193" t="s">
        <v>593</v>
      </c>
      <c r="C193" t="s">
        <v>30</v>
      </c>
      <c r="D193" s="7">
        <v>45950</v>
      </c>
      <c r="E193" t="s">
        <v>31</v>
      </c>
      <c r="F193" t="s">
        <v>41</v>
      </c>
      <c r="G193">
        <v>22</v>
      </c>
      <c r="H193" t="s">
        <v>43</v>
      </c>
      <c r="I193">
        <v>7</v>
      </c>
      <c r="J193">
        <v>10</v>
      </c>
      <c r="K193">
        <v>2</v>
      </c>
      <c r="L193">
        <f t="shared" si="14"/>
        <v>1</v>
      </c>
      <c r="P193">
        <f t="shared" si="15"/>
        <v>1</v>
      </c>
      <c r="Q193">
        <f t="shared" si="16"/>
        <v>1</v>
      </c>
      <c r="R193">
        <f t="shared" si="17"/>
        <v>0</v>
      </c>
      <c r="S193">
        <f t="shared" si="18"/>
        <v>2</v>
      </c>
      <c r="T193" t="str">
        <f t="shared" si="19"/>
        <v>DerivedFromCount</v>
      </c>
      <c r="U193" t="str">
        <f>IF(COUNTIF(DailyProduction!$Q$5:$Q$100,B193)=1,"OK","CHECK")</f>
        <v>OK</v>
      </c>
      <c r="V193" t="str">
        <f t="shared" si="20"/>
        <v>OK</v>
      </c>
      <c r="W193" t="str">
        <f>IF(SUMIF($B$5:$B$914,B193,$S$5:$S$914)=SUMIF(DailyProduction!$Q$5:$Q$100,B193,DailyProduction!$R$5:$R$100),"OK","CHECK")</f>
        <v>OK</v>
      </c>
    </row>
    <row r="194" spans="1:23">
      <c r="A194" t="s">
        <v>600</v>
      </c>
      <c r="B194" t="s">
        <v>593</v>
      </c>
      <c r="C194" t="s">
        <v>30</v>
      </c>
      <c r="D194" s="7">
        <v>45950</v>
      </c>
      <c r="E194" t="s">
        <v>31</v>
      </c>
      <c r="F194" t="s">
        <v>41</v>
      </c>
      <c r="G194">
        <v>22</v>
      </c>
      <c r="H194" t="s">
        <v>43</v>
      </c>
      <c r="I194">
        <v>8</v>
      </c>
      <c r="J194">
        <v>10</v>
      </c>
      <c r="K194">
        <v>2</v>
      </c>
      <c r="L194">
        <f t="shared" si="14"/>
        <v>1</v>
      </c>
      <c r="P194">
        <f t="shared" si="15"/>
        <v>1</v>
      </c>
      <c r="Q194">
        <f t="shared" si="16"/>
        <v>1</v>
      </c>
      <c r="R194">
        <f t="shared" si="17"/>
        <v>0</v>
      </c>
      <c r="S194">
        <f t="shared" si="18"/>
        <v>2</v>
      </c>
      <c r="T194" t="str">
        <f t="shared" si="19"/>
        <v>DerivedFromCount</v>
      </c>
      <c r="U194" t="str">
        <f>IF(COUNTIF(DailyProduction!$Q$5:$Q$100,B194)=1,"OK","CHECK")</f>
        <v>OK</v>
      </c>
      <c r="V194" t="str">
        <f t="shared" si="20"/>
        <v>OK</v>
      </c>
      <c r="W194" t="str">
        <f>IF(SUMIF($B$5:$B$914,B194,$S$5:$S$914)=SUMIF(DailyProduction!$Q$5:$Q$100,B194,DailyProduction!$R$5:$R$100),"OK","CHECK")</f>
        <v>OK</v>
      </c>
    </row>
    <row r="195" spans="1:23">
      <c r="A195" t="s">
        <v>601</v>
      </c>
      <c r="B195" t="s">
        <v>593</v>
      </c>
      <c r="C195" t="s">
        <v>30</v>
      </c>
      <c r="D195" s="7">
        <v>45950</v>
      </c>
      <c r="E195" t="s">
        <v>31</v>
      </c>
      <c r="F195" t="s">
        <v>41</v>
      </c>
      <c r="G195">
        <v>22</v>
      </c>
      <c r="H195" t="s">
        <v>43</v>
      </c>
      <c r="I195">
        <v>9</v>
      </c>
      <c r="J195">
        <v>10</v>
      </c>
      <c r="K195">
        <v>2</v>
      </c>
      <c r="L195">
        <f t="shared" si="14"/>
        <v>1</v>
      </c>
      <c r="P195">
        <f t="shared" si="15"/>
        <v>1</v>
      </c>
      <c r="Q195">
        <f t="shared" si="16"/>
        <v>1</v>
      </c>
      <c r="R195">
        <f t="shared" si="17"/>
        <v>0</v>
      </c>
      <c r="S195">
        <f t="shared" si="18"/>
        <v>2</v>
      </c>
      <c r="T195" t="str">
        <f t="shared" si="19"/>
        <v>DerivedFromCount</v>
      </c>
      <c r="U195" t="str">
        <f>IF(COUNTIF(DailyProduction!$Q$5:$Q$100,B195)=1,"OK","CHECK")</f>
        <v>OK</v>
      </c>
      <c r="V195" t="str">
        <f t="shared" si="20"/>
        <v>OK</v>
      </c>
      <c r="W195" t="str">
        <f>IF(SUMIF($B$5:$B$914,B195,$S$5:$S$914)=SUMIF(DailyProduction!$Q$5:$Q$100,B195,DailyProduction!$R$5:$R$100),"OK","CHECK")</f>
        <v>OK</v>
      </c>
    </row>
    <row r="196" spans="1:23">
      <c r="A196" t="s">
        <v>602</v>
      </c>
      <c r="B196" t="s">
        <v>593</v>
      </c>
      <c r="C196" t="s">
        <v>30</v>
      </c>
      <c r="D196" s="7">
        <v>45950</v>
      </c>
      <c r="E196" t="s">
        <v>31</v>
      </c>
      <c r="F196" t="s">
        <v>41</v>
      </c>
      <c r="G196">
        <v>22</v>
      </c>
      <c r="H196" t="s">
        <v>43</v>
      </c>
      <c r="I196">
        <v>10</v>
      </c>
      <c r="J196">
        <v>10</v>
      </c>
      <c r="K196">
        <v>2</v>
      </c>
      <c r="L196">
        <f t="shared" si="14"/>
        <v>1</v>
      </c>
      <c r="P196">
        <f t="shared" si="15"/>
        <v>1</v>
      </c>
      <c r="Q196">
        <f t="shared" si="16"/>
        <v>1</v>
      </c>
      <c r="R196">
        <f t="shared" si="17"/>
        <v>0</v>
      </c>
      <c r="S196">
        <f t="shared" si="18"/>
        <v>2</v>
      </c>
      <c r="T196" t="str">
        <f t="shared" si="19"/>
        <v>DerivedFromCount</v>
      </c>
      <c r="U196" t="str">
        <f>IF(COUNTIF(DailyProduction!$Q$5:$Q$100,B196)=1,"OK","CHECK")</f>
        <v>OK</v>
      </c>
      <c r="V196" t="str">
        <f t="shared" si="20"/>
        <v>OK</v>
      </c>
      <c r="W196" t="str">
        <f>IF(SUMIF($B$5:$B$914,B196,$S$5:$S$914)=SUMIF(DailyProduction!$Q$5:$Q$100,B196,DailyProduction!$R$5:$R$100),"OK","CHECK")</f>
        <v>OK</v>
      </c>
    </row>
    <row r="197" spans="1:23">
      <c r="A197" t="s">
        <v>603</v>
      </c>
      <c r="B197" t="s">
        <v>593</v>
      </c>
      <c r="C197" t="s">
        <v>30</v>
      </c>
      <c r="D197" s="7">
        <v>45950</v>
      </c>
      <c r="E197" t="s">
        <v>31</v>
      </c>
      <c r="F197" t="s">
        <v>41</v>
      </c>
      <c r="G197">
        <v>22</v>
      </c>
      <c r="H197" t="s">
        <v>43</v>
      </c>
      <c r="I197">
        <v>11</v>
      </c>
      <c r="J197">
        <v>10</v>
      </c>
      <c r="K197">
        <v>2</v>
      </c>
      <c r="L197">
        <f t="shared" ref="L197:L260" si="21">IF(I197&lt;=J197,1,0)</f>
        <v>0</v>
      </c>
      <c r="P197">
        <f t="shared" ref="P197:P260" si="22">IF(M197="",IF(AND(L197=1,K197&gt;=1),1,0),M197)</f>
        <v>0</v>
      </c>
      <c r="Q197">
        <f t="shared" ref="Q197:Q260" si="23">IF(N197="",IF(AND(L197=1,K197&gt;=2),1,0),N197)</f>
        <v>0</v>
      </c>
      <c r="R197">
        <f t="shared" ref="R197:R260" si="24">IF(O197="",IF(AND(L197=1,K197&gt;=3),1,0),O197)</f>
        <v>0</v>
      </c>
      <c r="S197">
        <f t="shared" ref="S197:S260" si="25">SUM(P197:R197)</f>
        <v>0</v>
      </c>
      <c r="T197" t="str">
        <f t="shared" ref="T197:T260" si="26">IF(COUNTA(M197:O197)=0,"DerivedFromCount","ManualOverride")</f>
        <v>DerivedFromCount</v>
      </c>
      <c r="U197" t="str">
        <f>IF(COUNTIF(DailyProduction!$Q$5:$Q$100,B197)=1,"OK","CHECK")</f>
        <v>OK</v>
      </c>
      <c r="V197" t="str">
        <f t="shared" ref="V197:V260" si="27">IF(AND(I197&gt;=1,I197&lt;=13,K197&gt;=1,K197&lt;=3),"OK","CHECK")</f>
        <v>OK</v>
      </c>
      <c r="W197" t="str">
        <f>IF(SUMIF($B$5:$B$914,B197,$S$5:$S$914)=SUMIF(DailyProduction!$Q$5:$Q$100,B197,DailyProduction!$R$5:$R$100),"OK","CHECK")</f>
        <v>OK</v>
      </c>
    </row>
    <row r="198" spans="1:23">
      <c r="A198" t="s">
        <v>604</v>
      </c>
      <c r="B198" t="s">
        <v>593</v>
      </c>
      <c r="C198" t="s">
        <v>30</v>
      </c>
      <c r="D198" s="7">
        <v>45950</v>
      </c>
      <c r="E198" t="s">
        <v>31</v>
      </c>
      <c r="F198" t="s">
        <v>41</v>
      </c>
      <c r="G198">
        <v>22</v>
      </c>
      <c r="H198" t="s">
        <v>43</v>
      </c>
      <c r="I198">
        <v>12</v>
      </c>
      <c r="J198">
        <v>10</v>
      </c>
      <c r="K198">
        <v>2</v>
      </c>
      <c r="L198">
        <f t="shared" si="21"/>
        <v>0</v>
      </c>
      <c r="P198">
        <f t="shared" si="22"/>
        <v>0</v>
      </c>
      <c r="Q198">
        <f t="shared" si="23"/>
        <v>0</v>
      </c>
      <c r="R198">
        <f t="shared" si="24"/>
        <v>0</v>
      </c>
      <c r="S198">
        <f t="shared" si="25"/>
        <v>0</v>
      </c>
      <c r="T198" t="str">
        <f t="shared" si="26"/>
        <v>DerivedFromCount</v>
      </c>
      <c r="U198" t="str">
        <f>IF(COUNTIF(DailyProduction!$Q$5:$Q$100,B198)=1,"OK","CHECK")</f>
        <v>OK</v>
      </c>
      <c r="V198" t="str">
        <f t="shared" si="27"/>
        <v>OK</v>
      </c>
      <c r="W198" t="str">
        <f>IF(SUMIF($B$5:$B$914,B198,$S$5:$S$914)=SUMIF(DailyProduction!$Q$5:$Q$100,B198,DailyProduction!$R$5:$R$100),"OK","CHECK")</f>
        <v>OK</v>
      </c>
    </row>
    <row r="199" spans="1:23">
      <c r="A199" t="s">
        <v>605</v>
      </c>
      <c r="B199" t="s">
        <v>593</v>
      </c>
      <c r="C199" t="s">
        <v>30</v>
      </c>
      <c r="D199" s="7">
        <v>45950</v>
      </c>
      <c r="E199" t="s">
        <v>31</v>
      </c>
      <c r="F199" t="s">
        <v>41</v>
      </c>
      <c r="G199">
        <v>22</v>
      </c>
      <c r="H199" t="s">
        <v>43</v>
      </c>
      <c r="I199">
        <v>13</v>
      </c>
      <c r="J199">
        <v>10</v>
      </c>
      <c r="K199">
        <v>2</v>
      </c>
      <c r="L199">
        <f t="shared" si="21"/>
        <v>0</v>
      </c>
      <c r="P199">
        <f t="shared" si="22"/>
        <v>0</v>
      </c>
      <c r="Q199">
        <f t="shared" si="23"/>
        <v>0</v>
      </c>
      <c r="R199">
        <f t="shared" si="24"/>
        <v>0</v>
      </c>
      <c r="S199">
        <f t="shared" si="25"/>
        <v>0</v>
      </c>
      <c r="T199" t="str">
        <f t="shared" si="26"/>
        <v>DerivedFromCount</v>
      </c>
      <c r="U199" t="str">
        <f>IF(COUNTIF(DailyProduction!$Q$5:$Q$100,B199)=1,"OK","CHECK")</f>
        <v>OK</v>
      </c>
      <c r="V199" t="str">
        <f t="shared" si="27"/>
        <v>OK</v>
      </c>
      <c r="W199" t="str">
        <f>IF(SUMIF($B$5:$B$914,B199,$S$5:$S$914)=SUMIF(DailyProduction!$Q$5:$Q$100,B199,DailyProduction!$R$5:$R$100),"OK","CHECK")</f>
        <v>OK</v>
      </c>
    </row>
    <row r="200" spans="1:23">
      <c r="A200" t="s">
        <v>606</v>
      </c>
      <c r="B200" t="s">
        <v>607</v>
      </c>
      <c r="C200" t="s">
        <v>30</v>
      </c>
      <c r="D200" s="7">
        <v>45950</v>
      </c>
      <c r="E200" t="s">
        <v>79</v>
      </c>
      <c r="F200" t="s">
        <v>32</v>
      </c>
      <c r="G200">
        <v>22</v>
      </c>
      <c r="H200" t="s">
        <v>43</v>
      </c>
      <c r="I200">
        <v>1</v>
      </c>
      <c r="J200">
        <v>10</v>
      </c>
      <c r="K200">
        <v>2</v>
      </c>
      <c r="L200">
        <f t="shared" si="21"/>
        <v>1</v>
      </c>
      <c r="P200">
        <f t="shared" si="22"/>
        <v>1</v>
      </c>
      <c r="Q200">
        <f t="shared" si="23"/>
        <v>1</v>
      </c>
      <c r="R200">
        <f t="shared" si="24"/>
        <v>0</v>
      </c>
      <c r="S200">
        <f t="shared" si="25"/>
        <v>2</v>
      </c>
      <c r="T200" t="str">
        <f t="shared" si="26"/>
        <v>DerivedFromCount</v>
      </c>
      <c r="U200" t="str">
        <f>IF(COUNTIF(DailyProduction!$Q$5:$Q$100,B200)=1,"OK","CHECK")</f>
        <v>OK</v>
      </c>
      <c r="V200" t="str">
        <f t="shared" si="27"/>
        <v>OK</v>
      </c>
      <c r="W200" t="str">
        <f>IF(SUMIF($B$5:$B$914,B200,$S$5:$S$914)=SUMIF(DailyProduction!$Q$5:$Q$100,B200,DailyProduction!$R$5:$R$100),"OK","CHECK")</f>
        <v>OK</v>
      </c>
    </row>
    <row r="201" spans="1:23">
      <c r="A201" t="s">
        <v>608</v>
      </c>
      <c r="B201" t="s">
        <v>607</v>
      </c>
      <c r="C201" t="s">
        <v>30</v>
      </c>
      <c r="D201" s="7">
        <v>45950</v>
      </c>
      <c r="E201" t="s">
        <v>79</v>
      </c>
      <c r="F201" t="s">
        <v>32</v>
      </c>
      <c r="G201">
        <v>22</v>
      </c>
      <c r="H201" t="s">
        <v>43</v>
      </c>
      <c r="I201">
        <v>2</v>
      </c>
      <c r="J201">
        <v>10</v>
      </c>
      <c r="K201">
        <v>2</v>
      </c>
      <c r="L201">
        <f t="shared" si="21"/>
        <v>1</v>
      </c>
      <c r="P201">
        <f t="shared" si="22"/>
        <v>1</v>
      </c>
      <c r="Q201">
        <f t="shared" si="23"/>
        <v>1</v>
      </c>
      <c r="R201">
        <f t="shared" si="24"/>
        <v>0</v>
      </c>
      <c r="S201">
        <f t="shared" si="25"/>
        <v>2</v>
      </c>
      <c r="T201" t="str">
        <f t="shared" si="26"/>
        <v>DerivedFromCount</v>
      </c>
      <c r="U201" t="str">
        <f>IF(COUNTIF(DailyProduction!$Q$5:$Q$100,B201)=1,"OK","CHECK")</f>
        <v>OK</v>
      </c>
      <c r="V201" t="str">
        <f t="shared" si="27"/>
        <v>OK</v>
      </c>
      <c r="W201" t="str">
        <f>IF(SUMIF($B$5:$B$914,B201,$S$5:$S$914)=SUMIF(DailyProduction!$Q$5:$Q$100,B201,DailyProduction!$R$5:$R$100),"OK","CHECK")</f>
        <v>OK</v>
      </c>
    </row>
    <row r="202" spans="1:23">
      <c r="A202" t="s">
        <v>609</v>
      </c>
      <c r="B202" t="s">
        <v>607</v>
      </c>
      <c r="C202" t="s">
        <v>30</v>
      </c>
      <c r="D202" s="7">
        <v>45950</v>
      </c>
      <c r="E202" t="s">
        <v>79</v>
      </c>
      <c r="F202" t="s">
        <v>32</v>
      </c>
      <c r="G202">
        <v>22</v>
      </c>
      <c r="H202" t="s">
        <v>43</v>
      </c>
      <c r="I202">
        <v>3</v>
      </c>
      <c r="J202">
        <v>10</v>
      </c>
      <c r="K202">
        <v>2</v>
      </c>
      <c r="L202">
        <f t="shared" si="21"/>
        <v>1</v>
      </c>
      <c r="P202">
        <f t="shared" si="22"/>
        <v>1</v>
      </c>
      <c r="Q202">
        <f t="shared" si="23"/>
        <v>1</v>
      </c>
      <c r="R202">
        <f t="shared" si="24"/>
        <v>0</v>
      </c>
      <c r="S202">
        <f t="shared" si="25"/>
        <v>2</v>
      </c>
      <c r="T202" t="str">
        <f t="shared" si="26"/>
        <v>DerivedFromCount</v>
      </c>
      <c r="U202" t="str">
        <f>IF(COUNTIF(DailyProduction!$Q$5:$Q$100,B202)=1,"OK","CHECK")</f>
        <v>OK</v>
      </c>
      <c r="V202" t="str">
        <f t="shared" si="27"/>
        <v>OK</v>
      </c>
      <c r="W202" t="str">
        <f>IF(SUMIF($B$5:$B$914,B202,$S$5:$S$914)=SUMIF(DailyProduction!$Q$5:$Q$100,B202,DailyProduction!$R$5:$R$100),"OK","CHECK")</f>
        <v>OK</v>
      </c>
    </row>
    <row r="203" spans="1:23">
      <c r="A203" t="s">
        <v>610</v>
      </c>
      <c r="B203" t="s">
        <v>607</v>
      </c>
      <c r="C203" t="s">
        <v>30</v>
      </c>
      <c r="D203" s="7">
        <v>45950</v>
      </c>
      <c r="E203" t="s">
        <v>79</v>
      </c>
      <c r="F203" t="s">
        <v>32</v>
      </c>
      <c r="G203">
        <v>22</v>
      </c>
      <c r="H203" t="s">
        <v>43</v>
      </c>
      <c r="I203">
        <v>4</v>
      </c>
      <c r="J203">
        <v>10</v>
      </c>
      <c r="K203">
        <v>2</v>
      </c>
      <c r="L203">
        <f t="shared" si="21"/>
        <v>1</v>
      </c>
      <c r="P203">
        <f t="shared" si="22"/>
        <v>1</v>
      </c>
      <c r="Q203">
        <f t="shared" si="23"/>
        <v>1</v>
      </c>
      <c r="R203">
        <f t="shared" si="24"/>
        <v>0</v>
      </c>
      <c r="S203">
        <f t="shared" si="25"/>
        <v>2</v>
      </c>
      <c r="T203" t="str">
        <f t="shared" si="26"/>
        <v>DerivedFromCount</v>
      </c>
      <c r="U203" t="str">
        <f>IF(COUNTIF(DailyProduction!$Q$5:$Q$100,B203)=1,"OK","CHECK")</f>
        <v>OK</v>
      </c>
      <c r="V203" t="str">
        <f t="shared" si="27"/>
        <v>OK</v>
      </c>
      <c r="W203" t="str">
        <f>IF(SUMIF($B$5:$B$914,B203,$S$5:$S$914)=SUMIF(DailyProduction!$Q$5:$Q$100,B203,DailyProduction!$R$5:$R$100),"OK","CHECK")</f>
        <v>OK</v>
      </c>
    </row>
    <row r="204" spans="1:23">
      <c r="A204" t="s">
        <v>611</v>
      </c>
      <c r="B204" t="s">
        <v>607</v>
      </c>
      <c r="C204" t="s">
        <v>30</v>
      </c>
      <c r="D204" s="7">
        <v>45950</v>
      </c>
      <c r="E204" t="s">
        <v>79</v>
      </c>
      <c r="F204" t="s">
        <v>32</v>
      </c>
      <c r="G204">
        <v>22</v>
      </c>
      <c r="H204" t="s">
        <v>43</v>
      </c>
      <c r="I204">
        <v>5</v>
      </c>
      <c r="J204">
        <v>10</v>
      </c>
      <c r="K204">
        <v>2</v>
      </c>
      <c r="L204">
        <f t="shared" si="21"/>
        <v>1</v>
      </c>
      <c r="P204">
        <f t="shared" si="22"/>
        <v>1</v>
      </c>
      <c r="Q204">
        <f t="shared" si="23"/>
        <v>1</v>
      </c>
      <c r="R204">
        <f t="shared" si="24"/>
        <v>0</v>
      </c>
      <c r="S204">
        <f t="shared" si="25"/>
        <v>2</v>
      </c>
      <c r="T204" t="str">
        <f t="shared" si="26"/>
        <v>DerivedFromCount</v>
      </c>
      <c r="U204" t="str">
        <f>IF(COUNTIF(DailyProduction!$Q$5:$Q$100,B204)=1,"OK","CHECK")</f>
        <v>OK</v>
      </c>
      <c r="V204" t="str">
        <f t="shared" si="27"/>
        <v>OK</v>
      </c>
      <c r="W204" t="str">
        <f>IF(SUMIF($B$5:$B$914,B204,$S$5:$S$914)=SUMIF(DailyProduction!$Q$5:$Q$100,B204,DailyProduction!$R$5:$R$100),"OK","CHECK")</f>
        <v>OK</v>
      </c>
    </row>
    <row r="205" spans="1:23">
      <c r="A205" t="s">
        <v>612</v>
      </c>
      <c r="B205" t="s">
        <v>607</v>
      </c>
      <c r="C205" t="s">
        <v>30</v>
      </c>
      <c r="D205" s="7">
        <v>45950</v>
      </c>
      <c r="E205" t="s">
        <v>79</v>
      </c>
      <c r="F205" t="s">
        <v>32</v>
      </c>
      <c r="G205">
        <v>22</v>
      </c>
      <c r="H205" t="s">
        <v>43</v>
      </c>
      <c r="I205">
        <v>6</v>
      </c>
      <c r="J205">
        <v>10</v>
      </c>
      <c r="K205">
        <v>2</v>
      </c>
      <c r="L205">
        <f t="shared" si="21"/>
        <v>1</v>
      </c>
      <c r="P205">
        <f t="shared" si="22"/>
        <v>1</v>
      </c>
      <c r="Q205">
        <f t="shared" si="23"/>
        <v>1</v>
      </c>
      <c r="R205">
        <f t="shared" si="24"/>
        <v>0</v>
      </c>
      <c r="S205">
        <f t="shared" si="25"/>
        <v>2</v>
      </c>
      <c r="T205" t="str">
        <f t="shared" si="26"/>
        <v>DerivedFromCount</v>
      </c>
      <c r="U205" t="str">
        <f>IF(COUNTIF(DailyProduction!$Q$5:$Q$100,B205)=1,"OK","CHECK")</f>
        <v>OK</v>
      </c>
      <c r="V205" t="str">
        <f t="shared" si="27"/>
        <v>OK</v>
      </c>
      <c r="W205" t="str">
        <f>IF(SUMIF($B$5:$B$914,B205,$S$5:$S$914)=SUMIF(DailyProduction!$Q$5:$Q$100,B205,DailyProduction!$R$5:$R$100),"OK","CHECK")</f>
        <v>OK</v>
      </c>
    </row>
    <row r="206" spans="1:23">
      <c r="A206" t="s">
        <v>613</v>
      </c>
      <c r="B206" t="s">
        <v>607</v>
      </c>
      <c r="C206" t="s">
        <v>30</v>
      </c>
      <c r="D206" s="7">
        <v>45950</v>
      </c>
      <c r="E206" t="s">
        <v>79</v>
      </c>
      <c r="F206" t="s">
        <v>32</v>
      </c>
      <c r="G206">
        <v>22</v>
      </c>
      <c r="H206" t="s">
        <v>43</v>
      </c>
      <c r="I206">
        <v>7</v>
      </c>
      <c r="J206">
        <v>10</v>
      </c>
      <c r="K206">
        <v>2</v>
      </c>
      <c r="L206">
        <f t="shared" si="21"/>
        <v>1</v>
      </c>
      <c r="P206">
        <f t="shared" si="22"/>
        <v>1</v>
      </c>
      <c r="Q206">
        <f t="shared" si="23"/>
        <v>1</v>
      </c>
      <c r="R206">
        <f t="shared" si="24"/>
        <v>0</v>
      </c>
      <c r="S206">
        <f t="shared" si="25"/>
        <v>2</v>
      </c>
      <c r="T206" t="str">
        <f t="shared" si="26"/>
        <v>DerivedFromCount</v>
      </c>
      <c r="U206" t="str">
        <f>IF(COUNTIF(DailyProduction!$Q$5:$Q$100,B206)=1,"OK","CHECK")</f>
        <v>OK</v>
      </c>
      <c r="V206" t="str">
        <f t="shared" si="27"/>
        <v>OK</v>
      </c>
      <c r="W206" t="str">
        <f>IF(SUMIF($B$5:$B$914,B206,$S$5:$S$914)=SUMIF(DailyProduction!$Q$5:$Q$100,B206,DailyProduction!$R$5:$R$100),"OK","CHECK")</f>
        <v>OK</v>
      </c>
    </row>
    <row r="207" spans="1:23">
      <c r="A207" t="s">
        <v>614</v>
      </c>
      <c r="B207" t="s">
        <v>607</v>
      </c>
      <c r="C207" t="s">
        <v>30</v>
      </c>
      <c r="D207" s="7">
        <v>45950</v>
      </c>
      <c r="E207" t="s">
        <v>79</v>
      </c>
      <c r="F207" t="s">
        <v>32</v>
      </c>
      <c r="G207">
        <v>22</v>
      </c>
      <c r="H207" t="s">
        <v>43</v>
      </c>
      <c r="I207">
        <v>8</v>
      </c>
      <c r="J207">
        <v>10</v>
      </c>
      <c r="K207">
        <v>2</v>
      </c>
      <c r="L207">
        <f t="shared" si="21"/>
        <v>1</v>
      </c>
      <c r="P207">
        <f t="shared" si="22"/>
        <v>1</v>
      </c>
      <c r="Q207">
        <f t="shared" si="23"/>
        <v>1</v>
      </c>
      <c r="R207">
        <f t="shared" si="24"/>
        <v>0</v>
      </c>
      <c r="S207">
        <f t="shared" si="25"/>
        <v>2</v>
      </c>
      <c r="T207" t="str">
        <f t="shared" si="26"/>
        <v>DerivedFromCount</v>
      </c>
      <c r="U207" t="str">
        <f>IF(COUNTIF(DailyProduction!$Q$5:$Q$100,B207)=1,"OK","CHECK")</f>
        <v>OK</v>
      </c>
      <c r="V207" t="str">
        <f t="shared" si="27"/>
        <v>OK</v>
      </c>
      <c r="W207" t="str">
        <f>IF(SUMIF($B$5:$B$914,B207,$S$5:$S$914)=SUMIF(DailyProduction!$Q$5:$Q$100,B207,DailyProduction!$R$5:$R$100),"OK","CHECK")</f>
        <v>OK</v>
      </c>
    </row>
    <row r="208" spans="1:23">
      <c r="A208" t="s">
        <v>615</v>
      </c>
      <c r="B208" t="s">
        <v>607</v>
      </c>
      <c r="C208" t="s">
        <v>30</v>
      </c>
      <c r="D208" s="7">
        <v>45950</v>
      </c>
      <c r="E208" t="s">
        <v>79</v>
      </c>
      <c r="F208" t="s">
        <v>32</v>
      </c>
      <c r="G208">
        <v>22</v>
      </c>
      <c r="H208" t="s">
        <v>43</v>
      </c>
      <c r="I208">
        <v>9</v>
      </c>
      <c r="J208">
        <v>10</v>
      </c>
      <c r="K208">
        <v>2</v>
      </c>
      <c r="L208">
        <f t="shared" si="21"/>
        <v>1</v>
      </c>
      <c r="P208">
        <f t="shared" si="22"/>
        <v>1</v>
      </c>
      <c r="Q208">
        <f t="shared" si="23"/>
        <v>1</v>
      </c>
      <c r="R208">
        <f t="shared" si="24"/>
        <v>0</v>
      </c>
      <c r="S208">
        <f t="shared" si="25"/>
        <v>2</v>
      </c>
      <c r="T208" t="str">
        <f t="shared" si="26"/>
        <v>DerivedFromCount</v>
      </c>
      <c r="U208" t="str">
        <f>IF(COUNTIF(DailyProduction!$Q$5:$Q$100,B208)=1,"OK","CHECK")</f>
        <v>OK</v>
      </c>
      <c r="V208" t="str">
        <f t="shared" si="27"/>
        <v>OK</v>
      </c>
      <c r="W208" t="str">
        <f>IF(SUMIF($B$5:$B$914,B208,$S$5:$S$914)=SUMIF(DailyProduction!$Q$5:$Q$100,B208,DailyProduction!$R$5:$R$100),"OK","CHECK")</f>
        <v>OK</v>
      </c>
    </row>
    <row r="209" spans="1:23">
      <c r="A209" t="s">
        <v>616</v>
      </c>
      <c r="B209" t="s">
        <v>607</v>
      </c>
      <c r="C209" t="s">
        <v>30</v>
      </c>
      <c r="D209" s="7">
        <v>45950</v>
      </c>
      <c r="E209" t="s">
        <v>79</v>
      </c>
      <c r="F209" t="s">
        <v>32</v>
      </c>
      <c r="G209">
        <v>22</v>
      </c>
      <c r="H209" t="s">
        <v>43</v>
      </c>
      <c r="I209">
        <v>10</v>
      </c>
      <c r="J209">
        <v>10</v>
      </c>
      <c r="K209">
        <v>2</v>
      </c>
      <c r="L209">
        <f t="shared" si="21"/>
        <v>1</v>
      </c>
      <c r="P209">
        <f t="shared" si="22"/>
        <v>1</v>
      </c>
      <c r="Q209">
        <f t="shared" si="23"/>
        <v>1</v>
      </c>
      <c r="R209">
        <f t="shared" si="24"/>
        <v>0</v>
      </c>
      <c r="S209">
        <f t="shared" si="25"/>
        <v>2</v>
      </c>
      <c r="T209" t="str">
        <f t="shared" si="26"/>
        <v>DerivedFromCount</v>
      </c>
      <c r="U209" t="str">
        <f>IF(COUNTIF(DailyProduction!$Q$5:$Q$100,B209)=1,"OK","CHECK")</f>
        <v>OK</v>
      </c>
      <c r="V209" t="str">
        <f t="shared" si="27"/>
        <v>OK</v>
      </c>
      <c r="W209" t="str">
        <f>IF(SUMIF($B$5:$B$914,B209,$S$5:$S$914)=SUMIF(DailyProduction!$Q$5:$Q$100,B209,DailyProduction!$R$5:$R$100),"OK","CHECK")</f>
        <v>OK</v>
      </c>
    </row>
    <row r="210" spans="1:23">
      <c r="A210" t="s">
        <v>617</v>
      </c>
      <c r="B210" t="s">
        <v>607</v>
      </c>
      <c r="C210" t="s">
        <v>30</v>
      </c>
      <c r="D210" s="7">
        <v>45950</v>
      </c>
      <c r="E210" t="s">
        <v>79</v>
      </c>
      <c r="F210" t="s">
        <v>32</v>
      </c>
      <c r="G210">
        <v>22</v>
      </c>
      <c r="H210" t="s">
        <v>43</v>
      </c>
      <c r="I210">
        <v>11</v>
      </c>
      <c r="J210">
        <v>10</v>
      </c>
      <c r="K210">
        <v>2</v>
      </c>
      <c r="L210">
        <f t="shared" si="21"/>
        <v>0</v>
      </c>
      <c r="P210">
        <f t="shared" si="22"/>
        <v>0</v>
      </c>
      <c r="Q210">
        <f t="shared" si="23"/>
        <v>0</v>
      </c>
      <c r="R210">
        <f t="shared" si="24"/>
        <v>0</v>
      </c>
      <c r="S210">
        <f t="shared" si="25"/>
        <v>0</v>
      </c>
      <c r="T210" t="str">
        <f t="shared" si="26"/>
        <v>DerivedFromCount</v>
      </c>
      <c r="U210" t="str">
        <f>IF(COUNTIF(DailyProduction!$Q$5:$Q$100,B210)=1,"OK","CHECK")</f>
        <v>OK</v>
      </c>
      <c r="V210" t="str">
        <f t="shared" si="27"/>
        <v>OK</v>
      </c>
      <c r="W210" t="str">
        <f>IF(SUMIF($B$5:$B$914,B210,$S$5:$S$914)=SUMIF(DailyProduction!$Q$5:$Q$100,B210,DailyProduction!$R$5:$R$100),"OK","CHECK")</f>
        <v>OK</v>
      </c>
    </row>
    <row r="211" spans="1:23">
      <c r="A211" t="s">
        <v>618</v>
      </c>
      <c r="B211" t="s">
        <v>607</v>
      </c>
      <c r="C211" t="s">
        <v>30</v>
      </c>
      <c r="D211" s="7">
        <v>45950</v>
      </c>
      <c r="E211" t="s">
        <v>79</v>
      </c>
      <c r="F211" t="s">
        <v>32</v>
      </c>
      <c r="G211">
        <v>22</v>
      </c>
      <c r="H211" t="s">
        <v>43</v>
      </c>
      <c r="I211">
        <v>12</v>
      </c>
      <c r="J211">
        <v>10</v>
      </c>
      <c r="K211">
        <v>2</v>
      </c>
      <c r="L211">
        <f t="shared" si="21"/>
        <v>0</v>
      </c>
      <c r="P211">
        <f t="shared" si="22"/>
        <v>0</v>
      </c>
      <c r="Q211">
        <f t="shared" si="23"/>
        <v>0</v>
      </c>
      <c r="R211">
        <f t="shared" si="24"/>
        <v>0</v>
      </c>
      <c r="S211">
        <f t="shared" si="25"/>
        <v>0</v>
      </c>
      <c r="T211" t="str">
        <f t="shared" si="26"/>
        <v>DerivedFromCount</v>
      </c>
      <c r="U211" t="str">
        <f>IF(COUNTIF(DailyProduction!$Q$5:$Q$100,B211)=1,"OK","CHECK")</f>
        <v>OK</v>
      </c>
      <c r="V211" t="str">
        <f t="shared" si="27"/>
        <v>OK</v>
      </c>
      <c r="W211" t="str">
        <f>IF(SUMIF($B$5:$B$914,B211,$S$5:$S$914)=SUMIF(DailyProduction!$Q$5:$Q$100,B211,DailyProduction!$R$5:$R$100),"OK","CHECK")</f>
        <v>OK</v>
      </c>
    </row>
    <row r="212" spans="1:23">
      <c r="A212" t="s">
        <v>619</v>
      </c>
      <c r="B212" t="s">
        <v>607</v>
      </c>
      <c r="C212" t="s">
        <v>30</v>
      </c>
      <c r="D212" s="7">
        <v>45950</v>
      </c>
      <c r="E212" t="s">
        <v>79</v>
      </c>
      <c r="F212" t="s">
        <v>32</v>
      </c>
      <c r="G212">
        <v>22</v>
      </c>
      <c r="H212" t="s">
        <v>43</v>
      </c>
      <c r="I212">
        <v>13</v>
      </c>
      <c r="J212">
        <v>10</v>
      </c>
      <c r="K212">
        <v>2</v>
      </c>
      <c r="L212">
        <f t="shared" si="21"/>
        <v>0</v>
      </c>
      <c r="P212">
        <f t="shared" si="22"/>
        <v>0</v>
      </c>
      <c r="Q212">
        <f t="shared" si="23"/>
        <v>0</v>
      </c>
      <c r="R212">
        <f t="shared" si="24"/>
        <v>0</v>
      </c>
      <c r="S212">
        <f t="shared" si="25"/>
        <v>0</v>
      </c>
      <c r="T212" t="str">
        <f t="shared" si="26"/>
        <v>DerivedFromCount</v>
      </c>
      <c r="U212" t="str">
        <f>IF(COUNTIF(DailyProduction!$Q$5:$Q$100,B212)=1,"OK","CHECK")</f>
        <v>OK</v>
      </c>
      <c r="V212" t="str">
        <f t="shared" si="27"/>
        <v>OK</v>
      </c>
      <c r="W212" t="str">
        <f>IF(SUMIF($B$5:$B$914,B212,$S$5:$S$914)=SUMIF(DailyProduction!$Q$5:$Q$100,B212,DailyProduction!$R$5:$R$100),"OK","CHECK")</f>
        <v>OK</v>
      </c>
    </row>
    <row r="213" spans="1:23">
      <c r="A213" t="s">
        <v>620</v>
      </c>
      <c r="B213" t="s">
        <v>621</v>
      </c>
      <c r="C213" t="s">
        <v>30</v>
      </c>
      <c r="D213" s="7">
        <v>45951</v>
      </c>
      <c r="E213" t="s">
        <v>31</v>
      </c>
      <c r="F213" t="s">
        <v>32</v>
      </c>
      <c r="G213">
        <v>22</v>
      </c>
      <c r="H213" t="s">
        <v>43</v>
      </c>
      <c r="I213">
        <v>1</v>
      </c>
      <c r="J213">
        <v>10</v>
      </c>
      <c r="K213">
        <v>2</v>
      </c>
      <c r="L213">
        <f t="shared" si="21"/>
        <v>1</v>
      </c>
      <c r="P213">
        <f t="shared" si="22"/>
        <v>1</v>
      </c>
      <c r="Q213">
        <f t="shared" si="23"/>
        <v>1</v>
      </c>
      <c r="R213">
        <f t="shared" si="24"/>
        <v>0</v>
      </c>
      <c r="S213">
        <f t="shared" si="25"/>
        <v>2</v>
      </c>
      <c r="T213" t="str">
        <f t="shared" si="26"/>
        <v>DerivedFromCount</v>
      </c>
      <c r="U213" t="str">
        <f>IF(COUNTIF(DailyProduction!$Q$5:$Q$100,B213)=1,"OK","CHECK")</f>
        <v>OK</v>
      </c>
      <c r="V213" t="str">
        <f t="shared" si="27"/>
        <v>OK</v>
      </c>
      <c r="W213" t="str">
        <f>IF(SUMIF($B$5:$B$914,B213,$S$5:$S$914)=SUMIF(DailyProduction!$Q$5:$Q$100,B213,DailyProduction!$R$5:$R$100),"OK","CHECK")</f>
        <v>OK</v>
      </c>
    </row>
    <row r="214" spans="1:23">
      <c r="A214" t="s">
        <v>622</v>
      </c>
      <c r="B214" t="s">
        <v>621</v>
      </c>
      <c r="C214" t="s">
        <v>30</v>
      </c>
      <c r="D214" s="7">
        <v>45951</v>
      </c>
      <c r="E214" t="s">
        <v>31</v>
      </c>
      <c r="F214" t="s">
        <v>32</v>
      </c>
      <c r="G214">
        <v>22</v>
      </c>
      <c r="H214" t="s">
        <v>43</v>
      </c>
      <c r="I214">
        <v>2</v>
      </c>
      <c r="J214">
        <v>10</v>
      </c>
      <c r="K214">
        <v>2</v>
      </c>
      <c r="L214">
        <f t="shared" si="21"/>
        <v>1</v>
      </c>
      <c r="P214">
        <f t="shared" si="22"/>
        <v>1</v>
      </c>
      <c r="Q214">
        <f t="shared" si="23"/>
        <v>1</v>
      </c>
      <c r="R214">
        <f t="shared" si="24"/>
        <v>0</v>
      </c>
      <c r="S214">
        <f t="shared" si="25"/>
        <v>2</v>
      </c>
      <c r="T214" t="str">
        <f t="shared" si="26"/>
        <v>DerivedFromCount</v>
      </c>
      <c r="U214" t="str">
        <f>IF(COUNTIF(DailyProduction!$Q$5:$Q$100,B214)=1,"OK","CHECK")</f>
        <v>OK</v>
      </c>
      <c r="V214" t="str">
        <f t="shared" si="27"/>
        <v>OK</v>
      </c>
      <c r="W214" t="str">
        <f>IF(SUMIF($B$5:$B$914,B214,$S$5:$S$914)=SUMIF(DailyProduction!$Q$5:$Q$100,B214,DailyProduction!$R$5:$R$100),"OK","CHECK")</f>
        <v>OK</v>
      </c>
    </row>
    <row r="215" spans="1:23">
      <c r="A215" t="s">
        <v>623</v>
      </c>
      <c r="B215" t="s">
        <v>621</v>
      </c>
      <c r="C215" t="s">
        <v>30</v>
      </c>
      <c r="D215" s="7">
        <v>45951</v>
      </c>
      <c r="E215" t="s">
        <v>31</v>
      </c>
      <c r="F215" t="s">
        <v>32</v>
      </c>
      <c r="G215">
        <v>22</v>
      </c>
      <c r="H215" t="s">
        <v>43</v>
      </c>
      <c r="I215">
        <v>3</v>
      </c>
      <c r="J215">
        <v>10</v>
      </c>
      <c r="K215">
        <v>2</v>
      </c>
      <c r="L215">
        <f t="shared" si="21"/>
        <v>1</v>
      </c>
      <c r="P215">
        <f t="shared" si="22"/>
        <v>1</v>
      </c>
      <c r="Q215">
        <f t="shared" si="23"/>
        <v>1</v>
      </c>
      <c r="R215">
        <f t="shared" si="24"/>
        <v>0</v>
      </c>
      <c r="S215">
        <f t="shared" si="25"/>
        <v>2</v>
      </c>
      <c r="T215" t="str">
        <f t="shared" si="26"/>
        <v>DerivedFromCount</v>
      </c>
      <c r="U215" t="str">
        <f>IF(COUNTIF(DailyProduction!$Q$5:$Q$100,B215)=1,"OK","CHECK")</f>
        <v>OK</v>
      </c>
      <c r="V215" t="str">
        <f t="shared" si="27"/>
        <v>OK</v>
      </c>
      <c r="W215" t="str">
        <f>IF(SUMIF($B$5:$B$914,B215,$S$5:$S$914)=SUMIF(DailyProduction!$Q$5:$Q$100,B215,DailyProduction!$R$5:$R$100),"OK","CHECK")</f>
        <v>OK</v>
      </c>
    </row>
    <row r="216" spans="1:23">
      <c r="A216" t="s">
        <v>624</v>
      </c>
      <c r="B216" t="s">
        <v>621</v>
      </c>
      <c r="C216" t="s">
        <v>30</v>
      </c>
      <c r="D216" s="7">
        <v>45951</v>
      </c>
      <c r="E216" t="s">
        <v>31</v>
      </c>
      <c r="F216" t="s">
        <v>32</v>
      </c>
      <c r="G216">
        <v>22</v>
      </c>
      <c r="H216" t="s">
        <v>43</v>
      </c>
      <c r="I216">
        <v>4</v>
      </c>
      <c r="J216">
        <v>10</v>
      </c>
      <c r="K216">
        <v>2</v>
      </c>
      <c r="L216">
        <f t="shared" si="21"/>
        <v>1</v>
      </c>
      <c r="P216">
        <f t="shared" si="22"/>
        <v>1</v>
      </c>
      <c r="Q216">
        <f t="shared" si="23"/>
        <v>1</v>
      </c>
      <c r="R216">
        <f t="shared" si="24"/>
        <v>0</v>
      </c>
      <c r="S216">
        <f t="shared" si="25"/>
        <v>2</v>
      </c>
      <c r="T216" t="str">
        <f t="shared" si="26"/>
        <v>DerivedFromCount</v>
      </c>
      <c r="U216" t="str">
        <f>IF(COUNTIF(DailyProduction!$Q$5:$Q$100,B216)=1,"OK","CHECK")</f>
        <v>OK</v>
      </c>
      <c r="V216" t="str">
        <f t="shared" si="27"/>
        <v>OK</v>
      </c>
      <c r="W216" t="str">
        <f>IF(SUMIF($B$5:$B$914,B216,$S$5:$S$914)=SUMIF(DailyProduction!$Q$5:$Q$100,B216,DailyProduction!$R$5:$R$100),"OK","CHECK")</f>
        <v>OK</v>
      </c>
    </row>
    <row r="217" spans="1:23">
      <c r="A217" t="s">
        <v>625</v>
      </c>
      <c r="B217" t="s">
        <v>621</v>
      </c>
      <c r="C217" t="s">
        <v>30</v>
      </c>
      <c r="D217" s="7">
        <v>45951</v>
      </c>
      <c r="E217" t="s">
        <v>31</v>
      </c>
      <c r="F217" t="s">
        <v>32</v>
      </c>
      <c r="G217">
        <v>22</v>
      </c>
      <c r="H217" t="s">
        <v>43</v>
      </c>
      <c r="I217">
        <v>5</v>
      </c>
      <c r="J217">
        <v>10</v>
      </c>
      <c r="K217">
        <v>2</v>
      </c>
      <c r="L217">
        <f t="shared" si="21"/>
        <v>1</v>
      </c>
      <c r="P217">
        <f t="shared" si="22"/>
        <v>1</v>
      </c>
      <c r="Q217">
        <f t="shared" si="23"/>
        <v>1</v>
      </c>
      <c r="R217">
        <f t="shared" si="24"/>
        <v>0</v>
      </c>
      <c r="S217">
        <f t="shared" si="25"/>
        <v>2</v>
      </c>
      <c r="T217" t="str">
        <f t="shared" si="26"/>
        <v>DerivedFromCount</v>
      </c>
      <c r="U217" t="str">
        <f>IF(COUNTIF(DailyProduction!$Q$5:$Q$100,B217)=1,"OK","CHECK")</f>
        <v>OK</v>
      </c>
      <c r="V217" t="str">
        <f t="shared" si="27"/>
        <v>OK</v>
      </c>
      <c r="W217" t="str">
        <f>IF(SUMIF($B$5:$B$914,B217,$S$5:$S$914)=SUMIF(DailyProduction!$Q$5:$Q$100,B217,DailyProduction!$R$5:$R$100),"OK","CHECK")</f>
        <v>OK</v>
      </c>
    </row>
    <row r="218" spans="1:23">
      <c r="A218" t="s">
        <v>626</v>
      </c>
      <c r="B218" t="s">
        <v>621</v>
      </c>
      <c r="C218" t="s">
        <v>30</v>
      </c>
      <c r="D218" s="7">
        <v>45951</v>
      </c>
      <c r="E218" t="s">
        <v>31</v>
      </c>
      <c r="F218" t="s">
        <v>32</v>
      </c>
      <c r="G218">
        <v>22</v>
      </c>
      <c r="H218" t="s">
        <v>43</v>
      </c>
      <c r="I218">
        <v>6</v>
      </c>
      <c r="J218">
        <v>10</v>
      </c>
      <c r="K218">
        <v>2</v>
      </c>
      <c r="L218">
        <f t="shared" si="21"/>
        <v>1</v>
      </c>
      <c r="P218">
        <f t="shared" si="22"/>
        <v>1</v>
      </c>
      <c r="Q218">
        <f t="shared" si="23"/>
        <v>1</v>
      </c>
      <c r="R218">
        <f t="shared" si="24"/>
        <v>0</v>
      </c>
      <c r="S218">
        <f t="shared" si="25"/>
        <v>2</v>
      </c>
      <c r="T218" t="str">
        <f t="shared" si="26"/>
        <v>DerivedFromCount</v>
      </c>
      <c r="U218" t="str">
        <f>IF(COUNTIF(DailyProduction!$Q$5:$Q$100,B218)=1,"OK","CHECK")</f>
        <v>OK</v>
      </c>
      <c r="V218" t="str">
        <f t="shared" si="27"/>
        <v>OK</v>
      </c>
      <c r="W218" t="str">
        <f>IF(SUMIF($B$5:$B$914,B218,$S$5:$S$914)=SUMIF(DailyProduction!$Q$5:$Q$100,B218,DailyProduction!$R$5:$R$100),"OK","CHECK")</f>
        <v>OK</v>
      </c>
    </row>
    <row r="219" spans="1:23">
      <c r="A219" t="s">
        <v>627</v>
      </c>
      <c r="B219" t="s">
        <v>621</v>
      </c>
      <c r="C219" t="s">
        <v>30</v>
      </c>
      <c r="D219" s="7">
        <v>45951</v>
      </c>
      <c r="E219" t="s">
        <v>31</v>
      </c>
      <c r="F219" t="s">
        <v>32</v>
      </c>
      <c r="G219">
        <v>22</v>
      </c>
      <c r="H219" t="s">
        <v>43</v>
      </c>
      <c r="I219">
        <v>7</v>
      </c>
      <c r="J219">
        <v>10</v>
      </c>
      <c r="K219">
        <v>2</v>
      </c>
      <c r="L219">
        <f t="shared" si="21"/>
        <v>1</v>
      </c>
      <c r="P219">
        <f t="shared" si="22"/>
        <v>1</v>
      </c>
      <c r="Q219">
        <f t="shared" si="23"/>
        <v>1</v>
      </c>
      <c r="R219">
        <f t="shared" si="24"/>
        <v>0</v>
      </c>
      <c r="S219">
        <f t="shared" si="25"/>
        <v>2</v>
      </c>
      <c r="T219" t="str">
        <f t="shared" si="26"/>
        <v>DerivedFromCount</v>
      </c>
      <c r="U219" t="str">
        <f>IF(COUNTIF(DailyProduction!$Q$5:$Q$100,B219)=1,"OK","CHECK")</f>
        <v>OK</v>
      </c>
      <c r="V219" t="str">
        <f t="shared" si="27"/>
        <v>OK</v>
      </c>
      <c r="W219" t="str">
        <f>IF(SUMIF($B$5:$B$914,B219,$S$5:$S$914)=SUMIF(DailyProduction!$Q$5:$Q$100,B219,DailyProduction!$R$5:$R$100),"OK","CHECK")</f>
        <v>OK</v>
      </c>
    </row>
    <row r="220" spans="1:23">
      <c r="A220" t="s">
        <v>628</v>
      </c>
      <c r="B220" t="s">
        <v>621</v>
      </c>
      <c r="C220" t="s">
        <v>30</v>
      </c>
      <c r="D220" s="7">
        <v>45951</v>
      </c>
      <c r="E220" t="s">
        <v>31</v>
      </c>
      <c r="F220" t="s">
        <v>32</v>
      </c>
      <c r="G220">
        <v>22</v>
      </c>
      <c r="H220" t="s">
        <v>43</v>
      </c>
      <c r="I220">
        <v>8</v>
      </c>
      <c r="J220">
        <v>10</v>
      </c>
      <c r="K220">
        <v>2</v>
      </c>
      <c r="L220">
        <f t="shared" si="21"/>
        <v>1</v>
      </c>
      <c r="P220">
        <f t="shared" si="22"/>
        <v>1</v>
      </c>
      <c r="Q220">
        <f t="shared" si="23"/>
        <v>1</v>
      </c>
      <c r="R220">
        <f t="shared" si="24"/>
        <v>0</v>
      </c>
      <c r="S220">
        <f t="shared" si="25"/>
        <v>2</v>
      </c>
      <c r="T220" t="str">
        <f t="shared" si="26"/>
        <v>DerivedFromCount</v>
      </c>
      <c r="U220" t="str">
        <f>IF(COUNTIF(DailyProduction!$Q$5:$Q$100,B220)=1,"OK","CHECK")</f>
        <v>OK</v>
      </c>
      <c r="V220" t="str">
        <f t="shared" si="27"/>
        <v>OK</v>
      </c>
      <c r="W220" t="str">
        <f>IF(SUMIF($B$5:$B$914,B220,$S$5:$S$914)=SUMIF(DailyProduction!$Q$5:$Q$100,B220,DailyProduction!$R$5:$R$100),"OK","CHECK")</f>
        <v>OK</v>
      </c>
    </row>
    <row r="221" spans="1:23">
      <c r="A221" t="s">
        <v>629</v>
      </c>
      <c r="B221" t="s">
        <v>621</v>
      </c>
      <c r="C221" t="s">
        <v>30</v>
      </c>
      <c r="D221" s="7">
        <v>45951</v>
      </c>
      <c r="E221" t="s">
        <v>31</v>
      </c>
      <c r="F221" t="s">
        <v>32</v>
      </c>
      <c r="G221">
        <v>22</v>
      </c>
      <c r="H221" t="s">
        <v>43</v>
      </c>
      <c r="I221">
        <v>9</v>
      </c>
      <c r="J221">
        <v>10</v>
      </c>
      <c r="K221">
        <v>2</v>
      </c>
      <c r="L221">
        <f t="shared" si="21"/>
        <v>1</v>
      </c>
      <c r="P221">
        <f t="shared" si="22"/>
        <v>1</v>
      </c>
      <c r="Q221">
        <f t="shared" si="23"/>
        <v>1</v>
      </c>
      <c r="R221">
        <f t="shared" si="24"/>
        <v>0</v>
      </c>
      <c r="S221">
        <f t="shared" si="25"/>
        <v>2</v>
      </c>
      <c r="T221" t="str">
        <f t="shared" si="26"/>
        <v>DerivedFromCount</v>
      </c>
      <c r="U221" t="str">
        <f>IF(COUNTIF(DailyProduction!$Q$5:$Q$100,B221)=1,"OK","CHECK")</f>
        <v>OK</v>
      </c>
      <c r="V221" t="str">
        <f t="shared" si="27"/>
        <v>OK</v>
      </c>
      <c r="W221" t="str">
        <f>IF(SUMIF($B$5:$B$914,B221,$S$5:$S$914)=SUMIF(DailyProduction!$Q$5:$Q$100,B221,DailyProduction!$R$5:$R$100),"OK","CHECK")</f>
        <v>OK</v>
      </c>
    </row>
    <row r="222" spans="1:23">
      <c r="A222" t="s">
        <v>630</v>
      </c>
      <c r="B222" t="s">
        <v>621</v>
      </c>
      <c r="C222" t="s">
        <v>30</v>
      </c>
      <c r="D222" s="7">
        <v>45951</v>
      </c>
      <c r="E222" t="s">
        <v>31</v>
      </c>
      <c r="F222" t="s">
        <v>32</v>
      </c>
      <c r="G222">
        <v>22</v>
      </c>
      <c r="H222" t="s">
        <v>43</v>
      </c>
      <c r="I222">
        <v>10</v>
      </c>
      <c r="J222">
        <v>10</v>
      </c>
      <c r="K222">
        <v>2</v>
      </c>
      <c r="L222">
        <f t="shared" si="21"/>
        <v>1</v>
      </c>
      <c r="P222">
        <f t="shared" si="22"/>
        <v>1</v>
      </c>
      <c r="Q222">
        <f t="shared" si="23"/>
        <v>1</v>
      </c>
      <c r="R222">
        <f t="shared" si="24"/>
        <v>0</v>
      </c>
      <c r="S222">
        <f t="shared" si="25"/>
        <v>2</v>
      </c>
      <c r="T222" t="str">
        <f t="shared" si="26"/>
        <v>DerivedFromCount</v>
      </c>
      <c r="U222" t="str">
        <f>IF(COUNTIF(DailyProduction!$Q$5:$Q$100,B222)=1,"OK","CHECK")</f>
        <v>OK</v>
      </c>
      <c r="V222" t="str">
        <f t="shared" si="27"/>
        <v>OK</v>
      </c>
      <c r="W222" t="str">
        <f>IF(SUMIF($B$5:$B$914,B222,$S$5:$S$914)=SUMIF(DailyProduction!$Q$5:$Q$100,B222,DailyProduction!$R$5:$R$100),"OK","CHECK")</f>
        <v>OK</v>
      </c>
    </row>
    <row r="223" spans="1:23">
      <c r="A223" t="s">
        <v>631</v>
      </c>
      <c r="B223" t="s">
        <v>621</v>
      </c>
      <c r="C223" t="s">
        <v>30</v>
      </c>
      <c r="D223" s="7">
        <v>45951</v>
      </c>
      <c r="E223" t="s">
        <v>31</v>
      </c>
      <c r="F223" t="s">
        <v>32</v>
      </c>
      <c r="G223">
        <v>22</v>
      </c>
      <c r="H223" t="s">
        <v>43</v>
      </c>
      <c r="I223">
        <v>11</v>
      </c>
      <c r="J223">
        <v>10</v>
      </c>
      <c r="K223">
        <v>2</v>
      </c>
      <c r="L223">
        <f t="shared" si="21"/>
        <v>0</v>
      </c>
      <c r="P223">
        <f t="shared" si="22"/>
        <v>0</v>
      </c>
      <c r="Q223">
        <f t="shared" si="23"/>
        <v>0</v>
      </c>
      <c r="R223">
        <f t="shared" si="24"/>
        <v>0</v>
      </c>
      <c r="S223">
        <f t="shared" si="25"/>
        <v>0</v>
      </c>
      <c r="T223" t="str">
        <f t="shared" si="26"/>
        <v>DerivedFromCount</v>
      </c>
      <c r="U223" t="str">
        <f>IF(COUNTIF(DailyProduction!$Q$5:$Q$100,B223)=1,"OK","CHECK")</f>
        <v>OK</v>
      </c>
      <c r="V223" t="str">
        <f t="shared" si="27"/>
        <v>OK</v>
      </c>
      <c r="W223" t="str">
        <f>IF(SUMIF($B$5:$B$914,B223,$S$5:$S$914)=SUMIF(DailyProduction!$Q$5:$Q$100,B223,DailyProduction!$R$5:$R$100),"OK","CHECK")</f>
        <v>OK</v>
      </c>
    </row>
    <row r="224" spans="1:23">
      <c r="A224" t="s">
        <v>632</v>
      </c>
      <c r="B224" t="s">
        <v>621</v>
      </c>
      <c r="C224" t="s">
        <v>30</v>
      </c>
      <c r="D224" s="7">
        <v>45951</v>
      </c>
      <c r="E224" t="s">
        <v>31</v>
      </c>
      <c r="F224" t="s">
        <v>32</v>
      </c>
      <c r="G224">
        <v>22</v>
      </c>
      <c r="H224" t="s">
        <v>43</v>
      </c>
      <c r="I224">
        <v>12</v>
      </c>
      <c r="J224">
        <v>10</v>
      </c>
      <c r="K224">
        <v>2</v>
      </c>
      <c r="L224">
        <f t="shared" si="21"/>
        <v>0</v>
      </c>
      <c r="P224">
        <f t="shared" si="22"/>
        <v>0</v>
      </c>
      <c r="Q224">
        <f t="shared" si="23"/>
        <v>0</v>
      </c>
      <c r="R224">
        <f t="shared" si="24"/>
        <v>0</v>
      </c>
      <c r="S224">
        <f t="shared" si="25"/>
        <v>0</v>
      </c>
      <c r="T224" t="str">
        <f t="shared" si="26"/>
        <v>DerivedFromCount</v>
      </c>
      <c r="U224" t="str">
        <f>IF(COUNTIF(DailyProduction!$Q$5:$Q$100,B224)=1,"OK","CHECK")</f>
        <v>OK</v>
      </c>
      <c r="V224" t="str">
        <f t="shared" si="27"/>
        <v>OK</v>
      </c>
      <c r="W224" t="str">
        <f>IF(SUMIF($B$5:$B$914,B224,$S$5:$S$914)=SUMIF(DailyProduction!$Q$5:$Q$100,B224,DailyProduction!$R$5:$R$100),"OK","CHECK")</f>
        <v>OK</v>
      </c>
    </row>
    <row r="225" spans="1:23">
      <c r="A225" t="s">
        <v>633</v>
      </c>
      <c r="B225" t="s">
        <v>621</v>
      </c>
      <c r="C225" t="s">
        <v>30</v>
      </c>
      <c r="D225" s="7">
        <v>45951</v>
      </c>
      <c r="E225" t="s">
        <v>31</v>
      </c>
      <c r="F225" t="s">
        <v>32</v>
      </c>
      <c r="G225">
        <v>22</v>
      </c>
      <c r="H225" t="s">
        <v>43</v>
      </c>
      <c r="I225">
        <v>13</v>
      </c>
      <c r="J225">
        <v>10</v>
      </c>
      <c r="K225">
        <v>2</v>
      </c>
      <c r="L225">
        <f t="shared" si="21"/>
        <v>0</v>
      </c>
      <c r="P225">
        <f t="shared" si="22"/>
        <v>0</v>
      </c>
      <c r="Q225">
        <f t="shared" si="23"/>
        <v>0</v>
      </c>
      <c r="R225">
        <f t="shared" si="24"/>
        <v>0</v>
      </c>
      <c r="S225">
        <f t="shared" si="25"/>
        <v>0</v>
      </c>
      <c r="T225" t="str">
        <f t="shared" si="26"/>
        <v>DerivedFromCount</v>
      </c>
      <c r="U225" t="str">
        <f>IF(COUNTIF(DailyProduction!$Q$5:$Q$100,B225)=1,"OK","CHECK")</f>
        <v>OK</v>
      </c>
      <c r="V225" t="str">
        <f t="shared" si="27"/>
        <v>OK</v>
      </c>
      <c r="W225" t="str">
        <f>IF(SUMIF($B$5:$B$914,B225,$S$5:$S$914)=SUMIF(DailyProduction!$Q$5:$Q$100,B225,DailyProduction!$R$5:$R$100),"OK","CHECK")</f>
        <v>OK</v>
      </c>
    </row>
    <row r="226" spans="1:23">
      <c r="A226" t="s">
        <v>634</v>
      </c>
      <c r="B226" t="s">
        <v>635</v>
      </c>
      <c r="C226" t="s">
        <v>30</v>
      </c>
      <c r="D226" s="7">
        <v>45951</v>
      </c>
      <c r="E226" t="s">
        <v>79</v>
      </c>
      <c r="F226" t="s">
        <v>37</v>
      </c>
      <c r="G226">
        <v>22</v>
      </c>
      <c r="H226" t="s">
        <v>43</v>
      </c>
      <c r="I226">
        <v>1</v>
      </c>
      <c r="J226">
        <v>10</v>
      </c>
      <c r="K226">
        <v>2</v>
      </c>
      <c r="L226">
        <f t="shared" si="21"/>
        <v>1</v>
      </c>
      <c r="P226">
        <f t="shared" si="22"/>
        <v>1</v>
      </c>
      <c r="Q226">
        <f t="shared" si="23"/>
        <v>1</v>
      </c>
      <c r="R226">
        <f t="shared" si="24"/>
        <v>0</v>
      </c>
      <c r="S226">
        <f t="shared" si="25"/>
        <v>2</v>
      </c>
      <c r="T226" t="str">
        <f t="shared" si="26"/>
        <v>DerivedFromCount</v>
      </c>
      <c r="U226" t="str">
        <f>IF(COUNTIF(DailyProduction!$Q$5:$Q$100,B226)=1,"OK","CHECK")</f>
        <v>OK</v>
      </c>
      <c r="V226" t="str">
        <f t="shared" si="27"/>
        <v>OK</v>
      </c>
      <c r="W226" t="str">
        <f>IF(SUMIF($B$5:$B$914,B226,$S$5:$S$914)=SUMIF(DailyProduction!$Q$5:$Q$100,B226,DailyProduction!$R$5:$R$100),"OK","CHECK")</f>
        <v>OK</v>
      </c>
    </row>
    <row r="227" spans="1:23">
      <c r="A227" t="s">
        <v>636</v>
      </c>
      <c r="B227" t="s">
        <v>635</v>
      </c>
      <c r="C227" t="s">
        <v>30</v>
      </c>
      <c r="D227" s="7">
        <v>45951</v>
      </c>
      <c r="E227" t="s">
        <v>79</v>
      </c>
      <c r="F227" t="s">
        <v>37</v>
      </c>
      <c r="G227">
        <v>22</v>
      </c>
      <c r="H227" t="s">
        <v>43</v>
      </c>
      <c r="I227">
        <v>2</v>
      </c>
      <c r="J227">
        <v>10</v>
      </c>
      <c r="K227">
        <v>2</v>
      </c>
      <c r="L227">
        <f t="shared" si="21"/>
        <v>1</v>
      </c>
      <c r="P227">
        <f t="shared" si="22"/>
        <v>1</v>
      </c>
      <c r="Q227">
        <f t="shared" si="23"/>
        <v>1</v>
      </c>
      <c r="R227">
        <f t="shared" si="24"/>
        <v>0</v>
      </c>
      <c r="S227">
        <f t="shared" si="25"/>
        <v>2</v>
      </c>
      <c r="T227" t="str">
        <f t="shared" si="26"/>
        <v>DerivedFromCount</v>
      </c>
      <c r="U227" t="str">
        <f>IF(COUNTIF(DailyProduction!$Q$5:$Q$100,B227)=1,"OK","CHECK")</f>
        <v>OK</v>
      </c>
      <c r="V227" t="str">
        <f t="shared" si="27"/>
        <v>OK</v>
      </c>
      <c r="W227" t="str">
        <f>IF(SUMIF($B$5:$B$914,B227,$S$5:$S$914)=SUMIF(DailyProduction!$Q$5:$Q$100,B227,DailyProduction!$R$5:$R$100),"OK","CHECK")</f>
        <v>OK</v>
      </c>
    </row>
    <row r="228" spans="1:23">
      <c r="A228" t="s">
        <v>637</v>
      </c>
      <c r="B228" t="s">
        <v>635</v>
      </c>
      <c r="C228" t="s">
        <v>30</v>
      </c>
      <c r="D228" s="7">
        <v>45951</v>
      </c>
      <c r="E228" t="s">
        <v>79</v>
      </c>
      <c r="F228" t="s">
        <v>37</v>
      </c>
      <c r="G228">
        <v>22</v>
      </c>
      <c r="H228" t="s">
        <v>43</v>
      </c>
      <c r="I228">
        <v>3</v>
      </c>
      <c r="J228">
        <v>10</v>
      </c>
      <c r="K228">
        <v>2</v>
      </c>
      <c r="L228">
        <f t="shared" si="21"/>
        <v>1</v>
      </c>
      <c r="P228">
        <f t="shared" si="22"/>
        <v>1</v>
      </c>
      <c r="Q228">
        <f t="shared" si="23"/>
        <v>1</v>
      </c>
      <c r="R228">
        <f t="shared" si="24"/>
        <v>0</v>
      </c>
      <c r="S228">
        <f t="shared" si="25"/>
        <v>2</v>
      </c>
      <c r="T228" t="str">
        <f t="shared" si="26"/>
        <v>DerivedFromCount</v>
      </c>
      <c r="U228" t="str">
        <f>IF(COUNTIF(DailyProduction!$Q$5:$Q$100,B228)=1,"OK","CHECK")</f>
        <v>OK</v>
      </c>
      <c r="V228" t="str">
        <f t="shared" si="27"/>
        <v>OK</v>
      </c>
      <c r="W228" t="str">
        <f>IF(SUMIF($B$5:$B$914,B228,$S$5:$S$914)=SUMIF(DailyProduction!$Q$5:$Q$100,B228,DailyProduction!$R$5:$R$100),"OK","CHECK")</f>
        <v>OK</v>
      </c>
    </row>
    <row r="229" spans="1:23">
      <c r="A229" t="s">
        <v>638</v>
      </c>
      <c r="B229" t="s">
        <v>635</v>
      </c>
      <c r="C229" t="s">
        <v>30</v>
      </c>
      <c r="D229" s="7">
        <v>45951</v>
      </c>
      <c r="E229" t="s">
        <v>79</v>
      </c>
      <c r="F229" t="s">
        <v>37</v>
      </c>
      <c r="G229">
        <v>22</v>
      </c>
      <c r="H229" t="s">
        <v>43</v>
      </c>
      <c r="I229">
        <v>4</v>
      </c>
      <c r="J229">
        <v>10</v>
      </c>
      <c r="K229">
        <v>2</v>
      </c>
      <c r="L229">
        <f t="shared" si="21"/>
        <v>1</v>
      </c>
      <c r="P229">
        <f t="shared" si="22"/>
        <v>1</v>
      </c>
      <c r="Q229">
        <f t="shared" si="23"/>
        <v>1</v>
      </c>
      <c r="R229">
        <f t="shared" si="24"/>
        <v>0</v>
      </c>
      <c r="S229">
        <f t="shared" si="25"/>
        <v>2</v>
      </c>
      <c r="T229" t="str">
        <f t="shared" si="26"/>
        <v>DerivedFromCount</v>
      </c>
      <c r="U229" t="str">
        <f>IF(COUNTIF(DailyProduction!$Q$5:$Q$100,B229)=1,"OK","CHECK")</f>
        <v>OK</v>
      </c>
      <c r="V229" t="str">
        <f t="shared" si="27"/>
        <v>OK</v>
      </c>
      <c r="W229" t="str">
        <f>IF(SUMIF($B$5:$B$914,B229,$S$5:$S$914)=SUMIF(DailyProduction!$Q$5:$Q$100,B229,DailyProduction!$R$5:$R$100),"OK","CHECK")</f>
        <v>OK</v>
      </c>
    </row>
    <row r="230" spans="1:23">
      <c r="A230" t="s">
        <v>639</v>
      </c>
      <c r="B230" t="s">
        <v>635</v>
      </c>
      <c r="C230" t="s">
        <v>30</v>
      </c>
      <c r="D230" s="7">
        <v>45951</v>
      </c>
      <c r="E230" t="s">
        <v>79</v>
      </c>
      <c r="F230" t="s">
        <v>37</v>
      </c>
      <c r="G230">
        <v>22</v>
      </c>
      <c r="H230" t="s">
        <v>43</v>
      </c>
      <c r="I230">
        <v>5</v>
      </c>
      <c r="J230">
        <v>10</v>
      </c>
      <c r="K230">
        <v>2</v>
      </c>
      <c r="L230">
        <f t="shared" si="21"/>
        <v>1</v>
      </c>
      <c r="P230">
        <f t="shared" si="22"/>
        <v>1</v>
      </c>
      <c r="Q230">
        <f t="shared" si="23"/>
        <v>1</v>
      </c>
      <c r="R230">
        <f t="shared" si="24"/>
        <v>0</v>
      </c>
      <c r="S230">
        <f t="shared" si="25"/>
        <v>2</v>
      </c>
      <c r="T230" t="str">
        <f t="shared" si="26"/>
        <v>DerivedFromCount</v>
      </c>
      <c r="U230" t="str">
        <f>IF(COUNTIF(DailyProduction!$Q$5:$Q$100,B230)=1,"OK","CHECK")</f>
        <v>OK</v>
      </c>
      <c r="V230" t="str">
        <f t="shared" si="27"/>
        <v>OK</v>
      </c>
      <c r="W230" t="str">
        <f>IF(SUMIF($B$5:$B$914,B230,$S$5:$S$914)=SUMIF(DailyProduction!$Q$5:$Q$100,B230,DailyProduction!$R$5:$R$100),"OK","CHECK")</f>
        <v>OK</v>
      </c>
    </row>
    <row r="231" spans="1:23">
      <c r="A231" t="s">
        <v>640</v>
      </c>
      <c r="B231" t="s">
        <v>635</v>
      </c>
      <c r="C231" t="s">
        <v>30</v>
      </c>
      <c r="D231" s="7">
        <v>45951</v>
      </c>
      <c r="E231" t="s">
        <v>79</v>
      </c>
      <c r="F231" t="s">
        <v>37</v>
      </c>
      <c r="G231">
        <v>22</v>
      </c>
      <c r="H231" t="s">
        <v>43</v>
      </c>
      <c r="I231">
        <v>6</v>
      </c>
      <c r="J231">
        <v>10</v>
      </c>
      <c r="K231">
        <v>2</v>
      </c>
      <c r="L231">
        <f t="shared" si="21"/>
        <v>1</v>
      </c>
      <c r="P231">
        <f t="shared" si="22"/>
        <v>1</v>
      </c>
      <c r="Q231">
        <f t="shared" si="23"/>
        <v>1</v>
      </c>
      <c r="R231">
        <f t="shared" si="24"/>
        <v>0</v>
      </c>
      <c r="S231">
        <f t="shared" si="25"/>
        <v>2</v>
      </c>
      <c r="T231" t="str">
        <f t="shared" si="26"/>
        <v>DerivedFromCount</v>
      </c>
      <c r="U231" t="str">
        <f>IF(COUNTIF(DailyProduction!$Q$5:$Q$100,B231)=1,"OK","CHECK")</f>
        <v>OK</v>
      </c>
      <c r="V231" t="str">
        <f t="shared" si="27"/>
        <v>OK</v>
      </c>
      <c r="W231" t="str">
        <f>IF(SUMIF($B$5:$B$914,B231,$S$5:$S$914)=SUMIF(DailyProduction!$Q$5:$Q$100,B231,DailyProduction!$R$5:$R$100),"OK","CHECK")</f>
        <v>OK</v>
      </c>
    </row>
    <row r="232" spans="1:23">
      <c r="A232" t="s">
        <v>641</v>
      </c>
      <c r="B232" t="s">
        <v>635</v>
      </c>
      <c r="C232" t="s">
        <v>30</v>
      </c>
      <c r="D232" s="7">
        <v>45951</v>
      </c>
      <c r="E232" t="s">
        <v>79</v>
      </c>
      <c r="F232" t="s">
        <v>37</v>
      </c>
      <c r="G232">
        <v>22</v>
      </c>
      <c r="H232" t="s">
        <v>43</v>
      </c>
      <c r="I232">
        <v>7</v>
      </c>
      <c r="J232">
        <v>10</v>
      </c>
      <c r="K232">
        <v>2</v>
      </c>
      <c r="L232">
        <f t="shared" si="21"/>
        <v>1</v>
      </c>
      <c r="P232">
        <f t="shared" si="22"/>
        <v>1</v>
      </c>
      <c r="Q232">
        <f t="shared" si="23"/>
        <v>1</v>
      </c>
      <c r="R232">
        <f t="shared" si="24"/>
        <v>0</v>
      </c>
      <c r="S232">
        <f t="shared" si="25"/>
        <v>2</v>
      </c>
      <c r="T232" t="str">
        <f t="shared" si="26"/>
        <v>DerivedFromCount</v>
      </c>
      <c r="U232" t="str">
        <f>IF(COUNTIF(DailyProduction!$Q$5:$Q$100,B232)=1,"OK","CHECK")</f>
        <v>OK</v>
      </c>
      <c r="V232" t="str">
        <f t="shared" si="27"/>
        <v>OK</v>
      </c>
      <c r="W232" t="str">
        <f>IF(SUMIF($B$5:$B$914,B232,$S$5:$S$914)=SUMIF(DailyProduction!$Q$5:$Q$100,B232,DailyProduction!$R$5:$R$100),"OK","CHECK")</f>
        <v>OK</v>
      </c>
    </row>
    <row r="233" spans="1:23">
      <c r="A233" t="s">
        <v>642</v>
      </c>
      <c r="B233" t="s">
        <v>635</v>
      </c>
      <c r="C233" t="s">
        <v>30</v>
      </c>
      <c r="D233" s="7">
        <v>45951</v>
      </c>
      <c r="E233" t="s">
        <v>79</v>
      </c>
      <c r="F233" t="s">
        <v>37</v>
      </c>
      <c r="G233">
        <v>22</v>
      </c>
      <c r="H233" t="s">
        <v>43</v>
      </c>
      <c r="I233">
        <v>8</v>
      </c>
      <c r="J233">
        <v>10</v>
      </c>
      <c r="K233">
        <v>2</v>
      </c>
      <c r="L233">
        <f t="shared" si="21"/>
        <v>1</v>
      </c>
      <c r="P233">
        <f t="shared" si="22"/>
        <v>1</v>
      </c>
      <c r="Q233">
        <f t="shared" si="23"/>
        <v>1</v>
      </c>
      <c r="R233">
        <f t="shared" si="24"/>
        <v>0</v>
      </c>
      <c r="S233">
        <f t="shared" si="25"/>
        <v>2</v>
      </c>
      <c r="T233" t="str">
        <f t="shared" si="26"/>
        <v>DerivedFromCount</v>
      </c>
      <c r="U233" t="str">
        <f>IF(COUNTIF(DailyProduction!$Q$5:$Q$100,B233)=1,"OK","CHECK")</f>
        <v>OK</v>
      </c>
      <c r="V233" t="str">
        <f t="shared" si="27"/>
        <v>OK</v>
      </c>
      <c r="W233" t="str">
        <f>IF(SUMIF($B$5:$B$914,B233,$S$5:$S$914)=SUMIF(DailyProduction!$Q$5:$Q$100,B233,DailyProduction!$R$5:$R$100),"OK","CHECK")</f>
        <v>OK</v>
      </c>
    </row>
    <row r="234" spans="1:23">
      <c r="A234" t="s">
        <v>643</v>
      </c>
      <c r="B234" t="s">
        <v>635</v>
      </c>
      <c r="C234" t="s">
        <v>30</v>
      </c>
      <c r="D234" s="7">
        <v>45951</v>
      </c>
      <c r="E234" t="s">
        <v>79</v>
      </c>
      <c r="F234" t="s">
        <v>37</v>
      </c>
      <c r="G234">
        <v>22</v>
      </c>
      <c r="H234" t="s">
        <v>43</v>
      </c>
      <c r="I234">
        <v>9</v>
      </c>
      <c r="J234">
        <v>10</v>
      </c>
      <c r="K234">
        <v>2</v>
      </c>
      <c r="L234">
        <f t="shared" si="21"/>
        <v>1</v>
      </c>
      <c r="P234">
        <f t="shared" si="22"/>
        <v>1</v>
      </c>
      <c r="Q234">
        <f t="shared" si="23"/>
        <v>1</v>
      </c>
      <c r="R234">
        <f t="shared" si="24"/>
        <v>0</v>
      </c>
      <c r="S234">
        <f t="shared" si="25"/>
        <v>2</v>
      </c>
      <c r="T234" t="str">
        <f t="shared" si="26"/>
        <v>DerivedFromCount</v>
      </c>
      <c r="U234" t="str">
        <f>IF(COUNTIF(DailyProduction!$Q$5:$Q$100,B234)=1,"OK","CHECK")</f>
        <v>OK</v>
      </c>
      <c r="V234" t="str">
        <f t="shared" si="27"/>
        <v>OK</v>
      </c>
      <c r="W234" t="str">
        <f>IF(SUMIF($B$5:$B$914,B234,$S$5:$S$914)=SUMIF(DailyProduction!$Q$5:$Q$100,B234,DailyProduction!$R$5:$R$100),"OK","CHECK")</f>
        <v>OK</v>
      </c>
    </row>
    <row r="235" spans="1:23">
      <c r="A235" t="s">
        <v>644</v>
      </c>
      <c r="B235" t="s">
        <v>635</v>
      </c>
      <c r="C235" t="s">
        <v>30</v>
      </c>
      <c r="D235" s="7">
        <v>45951</v>
      </c>
      <c r="E235" t="s">
        <v>79</v>
      </c>
      <c r="F235" t="s">
        <v>37</v>
      </c>
      <c r="G235">
        <v>22</v>
      </c>
      <c r="H235" t="s">
        <v>43</v>
      </c>
      <c r="I235">
        <v>10</v>
      </c>
      <c r="J235">
        <v>10</v>
      </c>
      <c r="K235">
        <v>2</v>
      </c>
      <c r="L235">
        <f t="shared" si="21"/>
        <v>1</v>
      </c>
      <c r="P235">
        <f t="shared" si="22"/>
        <v>1</v>
      </c>
      <c r="Q235">
        <f t="shared" si="23"/>
        <v>1</v>
      </c>
      <c r="R235">
        <f t="shared" si="24"/>
        <v>0</v>
      </c>
      <c r="S235">
        <f t="shared" si="25"/>
        <v>2</v>
      </c>
      <c r="T235" t="str">
        <f t="shared" si="26"/>
        <v>DerivedFromCount</v>
      </c>
      <c r="U235" t="str">
        <f>IF(COUNTIF(DailyProduction!$Q$5:$Q$100,B235)=1,"OK","CHECK")</f>
        <v>OK</v>
      </c>
      <c r="V235" t="str">
        <f t="shared" si="27"/>
        <v>OK</v>
      </c>
      <c r="W235" t="str">
        <f>IF(SUMIF($B$5:$B$914,B235,$S$5:$S$914)=SUMIF(DailyProduction!$Q$5:$Q$100,B235,DailyProduction!$R$5:$R$100),"OK","CHECK")</f>
        <v>OK</v>
      </c>
    </row>
    <row r="236" spans="1:23">
      <c r="A236" t="s">
        <v>645</v>
      </c>
      <c r="B236" t="s">
        <v>635</v>
      </c>
      <c r="C236" t="s">
        <v>30</v>
      </c>
      <c r="D236" s="7">
        <v>45951</v>
      </c>
      <c r="E236" t="s">
        <v>79</v>
      </c>
      <c r="F236" t="s">
        <v>37</v>
      </c>
      <c r="G236">
        <v>22</v>
      </c>
      <c r="H236" t="s">
        <v>43</v>
      </c>
      <c r="I236">
        <v>11</v>
      </c>
      <c r="J236">
        <v>10</v>
      </c>
      <c r="K236">
        <v>2</v>
      </c>
      <c r="L236">
        <f t="shared" si="21"/>
        <v>0</v>
      </c>
      <c r="P236">
        <f t="shared" si="22"/>
        <v>0</v>
      </c>
      <c r="Q236">
        <f t="shared" si="23"/>
        <v>0</v>
      </c>
      <c r="R236">
        <f t="shared" si="24"/>
        <v>0</v>
      </c>
      <c r="S236">
        <f t="shared" si="25"/>
        <v>0</v>
      </c>
      <c r="T236" t="str">
        <f t="shared" si="26"/>
        <v>DerivedFromCount</v>
      </c>
      <c r="U236" t="str">
        <f>IF(COUNTIF(DailyProduction!$Q$5:$Q$100,B236)=1,"OK","CHECK")</f>
        <v>OK</v>
      </c>
      <c r="V236" t="str">
        <f t="shared" si="27"/>
        <v>OK</v>
      </c>
      <c r="W236" t="str">
        <f>IF(SUMIF($B$5:$B$914,B236,$S$5:$S$914)=SUMIF(DailyProduction!$Q$5:$Q$100,B236,DailyProduction!$R$5:$R$100),"OK","CHECK")</f>
        <v>OK</v>
      </c>
    </row>
    <row r="237" spans="1:23">
      <c r="A237" t="s">
        <v>646</v>
      </c>
      <c r="B237" t="s">
        <v>635</v>
      </c>
      <c r="C237" t="s">
        <v>30</v>
      </c>
      <c r="D237" s="7">
        <v>45951</v>
      </c>
      <c r="E237" t="s">
        <v>79</v>
      </c>
      <c r="F237" t="s">
        <v>37</v>
      </c>
      <c r="G237">
        <v>22</v>
      </c>
      <c r="H237" t="s">
        <v>43</v>
      </c>
      <c r="I237">
        <v>12</v>
      </c>
      <c r="J237">
        <v>10</v>
      </c>
      <c r="K237">
        <v>2</v>
      </c>
      <c r="L237">
        <f t="shared" si="21"/>
        <v>0</v>
      </c>
      <c r="P237">
        <f t="shared" si="22"/>
        <v>0</v>
      </c>
      <c r="Q237">
        <f t="shared" si="23"/>
        <v>0</v>
      </c>
      <c r="R237">
        <f t="shared" si="24"/>
        <v>0</v>
      </c>
      <c r="S237">
        <f t="shared" si="25"/>
        <v>0</v>
      </c>
      <c r="T237" t="str">
        <f t="shared" si="26"/>
        <v>DerivedFromCount</v>
      </c>
      <c r="U237" t="str">
        <f>IF(COUNTIF(DailyProduction!$Q$5:$Q$100,B237)=1,"OK","CHECK")</f>
        <v>OK</v>
      </c>
      <c r="V237" t="str">
        <f t="shared" si="27"/>
        <v>OK</v>
      </c>
      <c r="W237" t="str">
        <f>IF(SUMIF($B$5:$B$914,B237,$S$5:$S$914)=SUMIF(DailyProduction!$Q$5:$Q$100,B237,DailyProduction!$R$5:$R$100),"OK","CHECK")</f>
        <v>OK</v>
      </c>
    </row>
    <row r="238" spans="1:23">
      <c r="A238" t="s">
        <v>647</v>
      </c>
      <c r="B238" t="s">
        <v>635</v>
      </c>
      <c r="C238" t="s">
        <v>30</v>
      </c>
      <c r="D238" s="7">
        <v>45951</v>
      </c>
      <c r="E238" t="s">
        <v>79</v>
      </c>
      <c r="F238" t="s">
        <v>37</v>
      </c>
      <c r="G238">
        <v>22</v>
      </c>
      <c r="H238" t="s">
        <v>43</v>
      </c>
      <c r="I238">
        <v>13</v>
      </c>
      <c r="J238">
        <v>10</v>
      </c>
      <c r="K238">
        <v>2</v>
      </c>
      <c r="L238">
        <f t="shared" si="21"/>
        <v>0</v>
      </c>
      <c r="P238">
        <f t="shared" si="22"/>
        <v>0</v>
      </c>
      <c r="Q238">
        <f t="shared" si="23"/>
        <v>0</v>
      </c>
      <c r="R238">
        <f t="shared" si="24"/>
        <v>0</v>
      </c>
      <c r="S238">
        <f t="shared" si="25"/>
        <v>0</v>
      </c>
      <c r="T238" t="str">
        <f t="shared" si="26"/>
        <v>DerivedFromCount</v>
      </c>
      <c r="U238" t="str">
        <f>IF(COUNTIF(DailyProduction!$Q$5:$Q$100,B238)=1,"OK","CHECK")</f>
        <v>OK</v>
      </c>
      <c r="V238" t="str">
        <f t="shared" si="27"/>
        <v>OK</v>
      </c>
      <c r="W238" t="str">
        <f>IF(SUMIF($B$5:$B$914,B238,$S$5:$S$914)=SUMIF(DailyProduction!$Q$5:$Q$100,B238,DailyProduction!$R$5:$R$100),"OK","CHECK")</f>
        <v>OK</v>
      </c>
    </row>
    <row r="239" spans="1:23">
      <c r="A239" t="s">
        <v>648</v>
      </c>
      <c r="B239" t="s">
        <v>649</v>
      </c>
      <c r="C239" t="s">
        <v>30</v>
      </c>
      <c r="D239" s="7">
        <v>45952</v>
      </c>
      <c r="E239" t="s">
        <v>31</v>
      </c>
      <c r="F239" t="s">
        <v>37</v>
      </c>
      <c r="G239">
        <v>22</v>
      </c>
      <c r="H239" t="s">
        <v>47</v>
      </c>
      <c r="I239">
        <v>1</v>
      </c>
      <c r="J239">
        <v>10</v>
      </c>
      <c r="K239">
        <v>2</v>
      </c>
      <c r="L239">
        <f t="shared" si="21"/>
        <v>1</v>
      </c>
      <c r="P239">
        <f t="shared" si="22"/>
        <v>1</v>
      </c>
      <c r="Q239">
        <f t="shared" si="23"/>
        <v>1</v>
      </c>
      <c r="R239">
        <f t="shared" si="24"/>
        <v>0</v>
      </c>
      <c r="S239">
        <f t="shared" si="25"/>
        <v>2</v>
      </c>
      <c r="T239" t="str">
        <f t="shared" si="26"/>
        <v>DerivedFromCount</v>
      </c>
      <c r="U239" t="str">
        <f>IF(COUNTIF(DailyProduction!$Q$5:$Q$100,B239)=1,"OK","CHECK")</f>
        <v>OK</v>
      </c>
      <c r="V239" t="str">
        <f t="shared" si="27"/>
        <v>OK</v>
      </c>
      <c r="W239" t="str">
        <f>IF(SUMIF($B$5:$B$914,B239,$S$5:$S$914)=SUMIF(DailyProduction!$Q$5:$Q$100,B239,DailyProduction!$R$5:$R$100),"OK","CHECK")</f>
        <v>OK</v>
      </c>
    </row>
    <row r="240" spans="1:23">
      <c r="A240" t="s">
        <v>650</v>
      </c>
      <c r="B240" t="s">
        <v>649</v>
      </c>
      <c r="C240" t="s">
        <v>30</v>
      </c>
      <c r="D240" s="7">
        <v>45952</v>
      </c>
      <c r="E240" t="s">
        <v>31</v>
      </c>
      <c r="F240" t="s">
        <v>37</v>
      </c>
      <c r="G240">
        <v>22</v>
      </c>
      <c r="H240" t="s">
        <v>47</v>
      </c>
      <c r="I240">
        <v>2</v>
      </c>
      <c r="J240">
        <v>10</v>
      </c>
      <c r="K240">
        <v>2</v>
      </c>
      <c r="L240">
        <f t="shared" si="21"/>
        <v>1</v>
      </c>
      <c r="P240">
        <f t="shared" si="22"/>
        <v>1</v>
      </c>
      <c r="Q240">
        <f t="shared" si="23"/>
        <v>1</v>
      </c>
      <c r="R240">
        <f t="shared" si="24"/>
        <v>0</v>
      </c>
      <c r="S240">
        <f t="shared" si="25"/>
        <v>2</v>
      </c>
      <c r="T240" t="str">
        <f t="shared" si="26"/>
        <v>DerivedFromCount</v>
      </c>
      <c r="U240" t="str">
        <f>IF(COUNTIF(DailyProduction!$Q$5:$Q$100,B240)=1,"OK","CHECK")</f>
        <v>OK</v>
      </c>
      <c r="V240" t="str">
        <f t="shared" si="27"/>
        <v>OK</v>
      </c>
      <c r="W240" t="str">
        <f>IF(SUMIF($B$5:$B$914,B240,$S$5:$S$914)=SUMIF(DailyProduction!$Q$5:$Q$100,B240,DailyProduction!$R$5:$R$100),"OK","CHECK")</f>
        <v>OK</v>
      </c>
    </row>
    <row r="241" spans="1:23">
      <c r="A241" t="s">
        <v>651</v>
      </c>
      <c r="B241" t="s">
        <v>649</v>
      </c>
      <c r="C241" t="s">
        <v>30</v>
      </c>
      <c r="D241" s="7">
        <v>45952</v>
      </c>
      <c r="E241" t="s">
        <v>31</v>
      </c>
      <c r="F241" t="s">
        <v>37</v>
      </c>
      <c r="G241">
        <v>22</v>
      </c>
      <c r="H241" t="s">
        <v>47</v>
      </c>
      <c r="I241">
        <v>3</v>
      </c>
      <c r="J241">
        <v>10</v>
      </c>
      <c r="K241">
        <v>2</v>
      </c>
      <c r="L241">
        <f t="shared" si="21"/>
        <v>1</v>
      </c>
      <c r="P241">
        <f t="shared" si="22"/>
        <v>1</v>
      </c>
      <c r="Q241">
        <f t="shared" si="23"/>
        <v>1</v>
      </c>
      <c r="R241">
        <f t="shared" si="24"/>
        <v>0</v>
      </c>
      <c r="S241">
        <f t="shared" si="25"/>
        <v>2</v>
      </c>
      <c r="T241" t="str">
        <f t="shared" si="26"/>
        <v>DerivedFromCount</v>
      </c>
      <c r="U241" t="str">
        <f>IF(COUNTIF(DailyProduction!$Q$5:$Q$100,B241)=1,"OK","CHECK")</f>
        <v>OK</v>
      </c>
      <c r="V241" t="str">
        <f t="shared" si="27"/>
        <v>OK</v>
      </c>
      <c r="W241" t="str">
        <f>IF(SUMIF($B$5:$B$914,B241,$S$5:$S$914)=SUMIF(DailyProduction!$Q$5:$Q$100,B241,DailyProduction!$R$5:$R$100),"OK","CHECK")</f>
        <v>OK</v>
      </c>
    </row>
    <row r="242" spans="1:23">
      <c r="A242" t="s">
        <v>652</v>
      </c>
      <c r="B242" t="s">
        <v>649</v>
      </c>
      <c r="C242" t="s">
        <v>30</v>
      </c>
      <c r="D242" s="7">
        <v>45952</v>
      </c>
      <c r="E242" t="s">
        <v>31</v>
      </c>
      <c r="F242" t="s">
        <v>37</v>
      </c>
      <c r="G242">
        <v>22</v>
      </c>
      <c r="H242" t="s">
        <v>47</v>
      </c>
      <c r="I242">
        <v>4</v>
      </c>
      <c r="J242">
        <v>10</v>
      </c>
      <c r="K242">
        <v>2</v>
      </c>
      <c r="L242">
        <f t="shared" si="21"/>
        <v>1</v>
      </c>
      <c r="P242">
        <f t="shared" si="22"/>
        <v>1</v>
      </c>
      <c r="Q242">
        <f t="shared" si="23"/>
        <v>1</v>
      </c>
      <c r="R242">
        <f t="shared" si="24"/>
        <v>0</v>
      </c>
      <c r="S242">
        <f t="shared" si="25"/>
        <v>2</v>
      </c>
      <c r="T242" t="str">
        <f t="shared" si="26"/>
        <v>DerivedFromCount</v>
      </c>
      <c r="U242" t="str">
        <f>IF(COUNTIF(DailyProduction!$Q$5:$Q$100,B242)=1,"OK","CHECK")</f>
        <v>OK</v>
      </c>
      <c r="V242" t="str">
        <f t="shared" si="27"/>
        <v>OK</v>
      </c>
      <c r="W242" t="str">
        <f>IF(SUMIF($B$5:$B$914,B242,$S$5:$S$914)=SUMIF(DailyProduction!$Q$5:$Q$100,B242,DailyProduction!$R$5:$R$100),"OK","CHECK")</f>
        <v>OK</v>
      </c>
    </row>
    <row r="243" spans="1:23">
      <c r="A243" t="s">
        <v>653</v>
      </c>
      <c r="B243" t="s">
        <v>649</v>
      </c>
      <c r="C243" t="s">
        <v>30</v>
      </c>
      <c r="D243" s="7">
        <v>45952</v>
      </c>
      <c r="E243" t="s">
        <v>31</v>
      </c>
      <c r="F243" t="s">
        <v>37</v>
      </c>
      <c r="G243">
        <v>22</v>
      </c>
      <c r="H243" t="s">
        <v>47</v>
      </c>
      <c r="I243">
        <v>5</v>
      </c>
      <c r="J243">
        <v>10</v>
      </c>
      <c r="K243">
        <v>2</v>
      </c>
      <c r="L243">
        <f t="shared" si="21"/>
        <v>1</v>
      </c>
      <c r="P243">
        <f t="shared" si="22"/>
        <v>1</v>
      </c>
      <c r="Q243">
        <f t="shared" si="23"/>
        <v>1</v>
      </c>
      <c r="R243">
        <f t="shared" si="24"/>
        <v>0</v>
      </c>
      <c r="S243">
        <f t="shared" si="25"/>
        <v>2</v>
      </c>
      <c r="T243" t="str">
        <f t="shared" si="26"/>
        <v>DerivedFromCount</v>
      </c>
      <c r="U243" t="str">
        <f>IF(COUNTIF(DailyProduction!$Q$5:$Q$100,B243)=1,"OK","CHECK")</f>
        <v>OK</v>
      </c>
      <c r="V243" t="str">
        <f t="shared" si="27"/>
        <v>OK</v>
      </c>
      <c r="W243" t="str">
        <f>IF(SUMIF($B$5:$B$914,B243,$S$5:$S$914)=SUMIF(DailyProduction!$Q$5:$Q$100,B243,DailyProduction!$R$5:$R$100),"OK","CHECK")</f>
        <v>OK</v>
      </c>
    </row>
    <row r="244" spans="1:23">
      <c r="A244" t="s">
        <v>654</v>
      </c>
      <c r="B244" t="s">
        <v>649</v>
      </c>
      <c r="C244" t="s">
        <v>30</v>
      </c>
      <c r="D244" s="7">
        <v>45952</v>
      </c>
      <c r="E244" t="s">
        <v>31</v>
      </c>
      <c r="F244" t="s">
        <v>37</v>
      </c>
      <c r="G244">
        <v>22</v>
      </c>
      <c r="H244" t="s">
        <v>47</v>
      </c>
      <c r="I244">
        <v>6</v>
      </c>
      <c r="J244">
        <v>10</v>
      </c>
      <c r="K244">
        <v>2</v>
      </c>
      <c r="L244">
        <f t="shared" si="21"/>
        <v>1</v>
      </c>
      <c r="P244">
        <f t="shared" si="22"/>
        <v>1</v>
      </c>
      <c r="Q244">
        <f t="shared" si="23"/>
        <v>1</v>
      </c>
      <c r="R244">
        <f t="shared" si="24"/>
        <v>0</v>
      </c>
      <c r="S244">
        <f t="shared" si="25"/>
        <v>2</v>
      </c>
      <c r="T244" t="str">
        <f t="shared" si="26"/>
        <v>DerivedFromCount</v>
      </c>
      <c r="U244" t="str">
        <f>IF(COUNTIF(DailyProduction!$Q$5:$Q$100,B244)=1,"OK","CHECK")</f>
        <v>OK</v>
      </c>
      <c r="V244" t="str">
        <f t="shared" si="27"/>
        <v>OK</v>
      </c>
      <c r="W244" t="str">
        <f>IF(SUMIF($B$5:$B$914,B244,$S$5:$S$914)=SUMIF(DailyProduction!$Q$5:$Q$100,B244,DailyProduction!$R$5:$R$100),"OK","CHECK")</f>
        <v>OK</v>
      </c>
    </row>
    <row r="245" spans="1:23">
      <c r="A245" t="s">
        <v>655</v>
      </c>
      <c r="B245" t="s">
        <v>649</v>
      </c>
      <c r="C245" t="s">
        <v>30</v>
      </c>
      <c r="D245" s="7">
        <v>45952</v>
      </c>
      <c r="E245" t="s">
        <v>31</v>
      </c>
      <c r="F245" t="s">
        <v>37</v>
      </c>
      <c r="G245">
        <v>22</v>
      </c>
      <c r="H245" t="s">
        <v>47</v>
      </c>
      <c r="I245">
        <v>7</v>
      </c>
      <c r="J245">
        <v>10</v>
      </c>
      <c r="K245">
        <v>2</v>
      </c>
      <c r="L245">
        <f t="shared" si="21"/>
        <v>1</v>
      </c>
      <c r="P245">
        <f t="shared" si="22"/>
        <v>1</v>
      </c>
      <c r="Q245">
        <f t="shared" si="23"/>
        <v>1</v>
      </c>
      <c r="R245">
        <f t="shared" si="24"/>
        <v>0</v>
      </c>
      <c r="S245">
        <f t="shared" si="25"/>
        <v>2</v>
      </c>
      <c r="T245" t="str">
        <f t="shared" si="26"/>
        <v>DerivedFromCount</v>
      </c>
      <c r="U245" t="str">
        <f>IF(COUNTIF(DailyProduction!$Q$5:$Q$100,B245)=1,"OK","CHECK")</f>
        <v>OK</v>
      </c>
      <c r="V245" t="str">
        <f t="shared" si="27"/>
        <v>OK</v>
      </c>
      <c r="W245" t="str">
        <f>IF(SUMIF($B$5:$B$914,B245,$S$5:$S$914)=SUMIF(DailyProduction!$Q$5:$Q$100,B245,DailyProduction!$R$5:$R$100),"OK","CHECK")</f>
        <v>OK</v>
      </c>
    </row>
    <row r="246" spans="1:23">
      <c r="A246" t="s">
        <v>656</v>
      </c>
      <c r="B246" t="s">
        <v>649</v>
      </c>
      <c r="C246" t="s">
        <v>30</v>
      </c>
      <c r="D246" s="7">
        <v>45952</v>
      </c>
      <c r="E246" t="s">
        <v>31</v>
      </c>
      <c r="F246" t="s">
        <v>37</v>
      </c>
      <c r="G246">
        <v>22</v>
      </c>
      <c r="H246" t="s">
        <v>47</v>
      </c>
      <c r="I246">
        <v>8</v>
      </c>
      <c r="J246">
        <v>10</v>
      </c>
      <c r="K246">
        <v>2</v>
      </c>
      <c r="L246">
        <f t="shared" si="21"/>
        <v>1</v>
      </c>
      <c r="P246">
        <f t="shared" si="22"/>
        <v>1</v>
      </c>
      <c r="Q246">
        <f t="shared" si="23"/>
        <v>1</v>
      </c>
      <c r="R246">
        <f t="shared" si="24"/>
        <v>0</v>
      </c>
      <c r="S246">
        <f t="shared" si="25"/>
        <v>2</v>
      </c>
      <c r="T246" t="str">
        <f t="shared" si="26"/>
        <v>DerivedFromCount</v>
      </c>
      <c r="U246" t="str">
        <f>IF(COUNTIF(DailyProduction!$Q$5:$Q$100,B246)=1,"OK","CHECK")</f>
        <v>OK</v>
      </c>
      <c r="V246" t="str">
        <f t="shared" si="27"/>
        <v>OK</v>
      </c>
      <c r="W246" t="str">
        <f>IF(SUMIF($B$5:$B$914,B246,$S$5:$S$914)=SUMIF(DailyProduction!$Q$5:$Q$100,B246,DailyProduction!$R$5:$R$100),"OK","CHECK")</f>
        <v>OK</v>
      </c>
    </row>
    <row r="247" spans="1:23">
      <c r="A247" t="s">
        <v>657</v>
      </c>
      <c r="B247" t="s">
        <v>649</v>
      </c>
      <c r="C247" t="s">
        <v>30</v>
      </c>
      <c r="D247" s="7">
        <v>45952</v>
      </c>
      <c r="E247" t="s">
        <v>31</v>
      </c>
      <c r="F247" t="s">
        <v>37</v>
      </c>
      <c r="G247">
        <v>22</v>
      </c>
      <c r="H247" t="s">
        <v>47</v>
      </c>
      <c r="I247">
        <v>9</v>
      </c>
      <c r="J247">
        <v>10</v>
      </c>
      <c r="K247">
        <v>2</v>
      </c>
      <c r="L247">
        <f t="shared" si="21"/>
        <v>1</v>
      </c>
      <c r="P247">
        <f t="shared" si="22"/>
        <v>1</v>
      </c>
      <c r="Q247">
        <f t="shared" si="23"/>
        <v>1</v>
      </c>
      <c r="R247">
        <f t="shared" si="24"/>
        <v>0</v>
      </c>
      <c r="S247">
        <f t="shared" si="25"/>
        <v>2</v>
      </c>
      <c r="T247" t="str">
        <f t="shared" si="26"/>
        <v>DerivedFromCount</v>
      </c>
      <c r="U247" t="str">
        <f>IF(COUNTIF(DailyProduction!$Q$5:$Q$100,B247)=1,"OK","CHECK")</f>
        <v>OK</v>
      </c>
      <c r="V247" t="str">
        <f t="shared" si="27"/>
        <v>OK</v>
      </c>
      <c r="W247" t="str">
        <f>IF(SUMIF($B$5:$B$914,B247,$S$5:$S$914)=SUMIF(DailyProduction!$Q$5:$Q$100,B247,DailyProduction!$R$5:$R$100),"OK","CHECK")</f>
        <v>OK</v>
      </c>
    </row>
    <row r="248" spans="1:23">
      <c r="A248" t="s">
        <v>658</v>
      </c>
      <c r="B248" t="s">
        <v>649</v>
      </c>
      <c r="C248" t="s">
        <v>30</v>
      </c>
      <c r="D248" s="7">
        <v>45952</v>
      </c>
      <c r="E248" t="s">
        <v>31</v>
      </c>
      <c r="F248" t="s">
        <v>37</v>
      </c>
      <c r="G248">
        <v>22</v>
      </c>
      <c r="H248" t="s">
        <v>47</v>
      </c>
      <c r="I248">
        <v>10</v>
      </c>
      <c r="J248">
        <v>10</v>
      </c>
      <c r="K248">
        <v>2</v>
      </c>
      <c r="L248">
        <f t="shared" si="21"/>
        <v>1</v>
      </c>
      <c r="P248">
        <f t="shared" si="22"/>
        <v>1</v>
      </c>
      <c r="Q248">
        <f t="shared" si="23"/>
        <v>1</v>
      </c>
      <c r="R248">
        <f t="shared" si="24"/>
        <v>0</v>
      </c>
      <c r="S248">
        <f t="shared" si="25"/>
        <v>2</v>
      </c>
      <c r="T248" t="str">
        <f t="shared" si="26"/>
        <v>DerivedFromCount</v>
      </c>
      <c r="U248" t="str">
        <f>IF(COUNTIF(DailyProduction!$Q$5:$Q$100,B248)=1,"OK","CHECK")</f>
        <v>OK</v>
      </c>
      <c r="V248" t="str">
        <f t="shared" si="27"/>
        <v>OK</v>
      </c>
      <c r="W248" t="str">
        <f>IF(SUMIF($B$5:$B$914,B248,$S$5:$S$914)=SUMIF(DailyProduction!$Q$5:$Q$100,B248,DailyProduction!$R$5:$R$100),"OK","CHECK")</f>
        <v>OK</v>
      </c>
    </row>
    <row r="249" spans="1:23">
      <c r="A249" t="s">
        <v>659</v>
      </c>
      <c r="B249" t="s">
        <v>649</v>
      </c>
      <c r="C249" t="s">
        <v>30</v>
      </c>
      <c r="D249" s="7">
        <v>45952</v>
      </c>
      <c r="E249" t="s">
        <v>31</v>
      </c>
      <c r="F249" t="s">
        <v>37</v>
      </c>
      <c r="G249">
        <v>22</v>
      </c>
      <c r="H249" t="s">
        <v>47</v>
      </c>
      <c r="I249">
        <v>11</v>
      </c>
      <c r="J249">
        <v>10</v>
      </c>
      <c r="K249">
        <v>2</v>
      </c>
      <c r="L249">
        <f t="shared" si="21"/>
        <v>0</v>
      </c>
      <c r="P249">
        <f t="shared" si="22"/>
        <v>0</v>
      </c>
      <c r="Q249">
        <f t="shared" si="23"/>
        <v>0</v>
      </c>
      <c r="R249">
        <f t="shared" si="24"/>
        <v>0</v>
      </c>
      <c r="S249">
        <f t="shared" si="25"/>
        <v>0</v>
      </c>
      <c r="T249" t="str">
        <f t="shared" si="26"/>
        <v>DerivedFromCount</v>
      </c>
      <c r="U249" t="str">
        <f>IF(COUNTIF(DailyProduction!$Q$5:$Q$100,B249)=1,"OK","CHECK")</f>
        <v>OK</v>
      </c>
      <c r="V249" t="str">
        <f t="shared" si="27"/>
        <v>OK</v>
      </c>
      <c r="W249" t="str">
        <f>IF(SUMIF($B$5:$B$914,B249,$S$5:$S$914)=SUMIF(DailyProduction!$Q$5:$Q$100,B249,DailyProduction!$R$5:$R$100),"OK","CHECK")</f>
        <v>OK</v>
      </c>
    </row>
    <row r="250" spans="1:23">
      <c r="A250" t="s">
        <v>660</v>
      </c>
      <c r="B250" t="s">
        <v>649</v>
      </c>
      <c r="C250" t="s">
        <v>30</v>
      </c>
      <c r="D250" s="7">
        <v>45952</v>
      </c>
      <c r="E250" t="s">
        <v>31</v>
      </c>
      <c r="F250" t="s">
        <v>37</v>
      </c>
      <c r="G250">
        <v>22</v>
      </c>
      <c r="H250" t="s">
        <v>47</v>
      </c>
      <c r="I250">
        <v>12</v>
      </c>
      <c r="J250">
        <v>10</v>
      </c>
      <c r="K250">
        <v>2</v>
      </c>
      <c r="L250">
        <f t="shared" si="21"/>
        <v>0</v>
      </c>
      <c r="P250">
        <f t="shared" si="22"/>
        <v>0</v>
      </c>
      <c r="Q250">
        <f t="shared" si="23"/>
        <v>0</v>
      </c>
      <c r="R250">
        <f t="shared" si="24"/>
        <v>0</v>
      </c>
      <c r="S250">
        <f t="shared" si="25"/>
        <v>0</v>
      </c>
      <c r="T250" t="str">
        <f t="shared" si="26"/>
        <v>DerivedFromCount</v>
      </c>
      <c r="U250" t="str">
        <f>IF(COUNTIF(DailyProduction!$Q$5:$Q$100,B250)=1,"OK","CHECK")</f>
        <v>OK</v>
      </c>
      <c r="V250" t="str">
        <f t="shared" si="27"/>
        <v>OK</v>
      </c>
      <c r="W250" t="str">
        <f>IF(SUMIF($B$5:$B$914,B250,$S$5:$S$914)=SUMIF(DailyProduction!$Q$5:$Q$100,B250,DailyProduction!$R$5:$R$100),"OK","CHECK")</f>
        <v>OK</v>
      </c>
    </row>
    <row r="251" spans="1:23">
      <c r="A251" t="s">
        <v>661</v>
      </c>
      <c r="B251" t="s">
        <v>649</v>
      </c>
      <c r="C251" t="s">
        <v>30</v>
      </c>
      <c r="D251" s="7">
        <v>45952</v>
      </c>
      <c r="E251" t="s">
        <v>31</v>
      </c>
      <c r="F251" t="s">
        <v>37</v>
      </c>
      <c r="G251">
        <v>22</v>
      </c>
      <c r="H251" t="s">
        <v>47</v>
      </c>
      <c r="I251">
        <v>13</v>
      </c>
      <c r="J251">
        <v>10</v>
      </c>
      <c r="K251">
        <v>2</v>
      </c>
      <c r="L251">
        <f t="shared" si="21"/>
        <v>0</v>
      </c>
      <c r="P251">
        <f t="shared" si="22"/>
        <v>0</v>
      </c>
      <c r="Q251">
        <f t="shared" si="23"/>
        <v>0</v>
      </c>
      <c r="R251">
        <f t="shared" si="24"/>
        <v>0</v>
      </c>
      <c r="S251">
        <f t="shared" si="25"/>
        <v>0</v>
      </c>
      <c r="T251" t="str">
        <f t="shared" si="26"/>
        <v>DerivedFromCount</v>
      </c>
      <c r="U251" t="str">
        <f>IF(COUNTIF(DailyProduction!$Q$5:$Q$100,B251)=1,"OK","CHECK")</f>
        <v>OK</v>
      </c>
      <c r="V251" t="str">
        <f t="shared" si="27"/>
        <v>OK</v>
      </c>
      <c r="W251" t="str">
        <f>IF(SUMIF($B$5:$B$914,B251,$S$5:$S$914)=SUMIF(DailyProduction!$Q$5:$Q$100,B251,DailyProduction!$R$5:$R$100),"OK","CHECK")</f>
        <v>OK</v>
      </c>
    </row>
    <row r="252" spans="1:23">
      <c r="A252" t="s">
        <v>662</v>
      </c>
      <c r="B252" t="s">
        <v>663</v>
      </c>
      <c r="C252" t="s">
        <v>30</v>
      </c>
      <c r="D252" s="7">
        <v>45952</v>
      </c>
      <c r="E252" t="s">
        <v>79</v>
      </c>
      <c r="F252" t="s">
        <v>41</v>
      </c>
      <c r="G252">
        <v>22</v>
      </c>
      <c r="H252" t="s">
        <v>47</v>
      </c>
      <c r="I252">
        <v>1</v>
      </c>
      <c r="J252">
        <v>10</v>
      </c>
      <c r="K252">
        <v>2</v>
      </c>
      <c r="L252">
        <f t="shared" si="21"/>
        <v>1</v>
      </c>
      <c r="P252">
        <f t="shared" si="22"/>
        <v>1</v>
      </c>
      <c r="Q252">
        <f t="shared" si="23"/>
        <v>1</v>
      </c>
      <c r="R252">
        <f t="shared" si="24"/>
        <v>0</v>
      </c>
      <c r="S252">
        <f t="shared" si="25"/>
        <v>2</v>
      </c>
      <c r="T252" t="str">
        <f t="shared" si="26"/>
        <v>DerivedFromCount</v>
      </c>
      <c r="U252" t="str">
        <f>IF(COUNTIF(DailyProduction!$Q$5:$Q$100,B252)=1,"OK","CHECK")</f>
        <v>OK</v>
      </c>
      <c r="V252" t="str">
        <f t="shared" si="27"/>
        <v>OK</v>
      </c>
      <c r="W252" t="str">
        <f>IF(SUMIF($B$5:$B$914,B252,$S$5:$S$914)=SUMIF(DailyProduction!$Q$5:$Q$100,B252,DailyProduction!$R$5:$R$100),"OK","CHECK")</f>
        <v>OK</v>
      </c>
    </row>
    <row r="253" spans="1:23">
      <c r="A253" t="s">
        <v>664</v>
      </c>
      <c r="B253" t="s">
        <v>663</v>
      </c>
      <c r="C253" t="s">
        <v>30</v>
      </c>
      <c r="D253" s="7">
        <v>45952</v>
      </c>
      <c r="E253" t="s">
        <v>79</v>
      </c>
      <c r="F253" t="s">
        <v>41</v>
      </c>
      <c r="G253">
        <v>22</v>
      </c>
      <c r="H253" t="s">
        <v>47</v>
      </c>
      <c r="I253">
        <v>2</v>
      </c>
      <c r="J253">
        <v>10</v>
      </c>
      <c r="K253">
        <v>2</v>
      </c>
      <c r="L253">
        <f t="shared" si="21"/>
        <v>1</v>
      </c>
      <c r="P253">
        <f t="shared" si="22"/>
        <v>1</v>
      </c>
      <c r="Q253">
        <f t="shared" si="23"/>
        <v>1</v>
      </c>
      <c r="R253">
        <f t="shared" si="24"/>
        <v>0</v>
      </c>
      <c r="S253">
        <f t="shared" si="25"/>
        <v>2</v>
      </c>
      <c r="T253" t="str">
        <f t="shared" si="26"/>
        <v>DerivedFromCount</v>
      </c>
      <c r="U253" t="str">
        <f>IF(COUNTIF(DailyProduction!$Q$5:$Q$100,B253)=1,"OK","CHECK")</f>
        <v>OK</v>
      </c>
      <c r="V253" t="str">
        <f t="shared" si="27"/>
        <v>OK</v>
      </c>
      <c r="W253" t="str">
        <f>IF(SUMIF($B$5:$B$914,B253,$S$5:$S$914)=SUMIF(DailyProduction!$Q$5:$Q$100,B253,DailyProduction!$R$5:$R$100),"OK","CHECK")</f>
        <v>OK</v>
      </c>
    </row>
    <row r="254" spans="1:23">
      <c r="A254" t="s">
        <v>665</v>
      </c>
      <c r="B254" t="s">
        <v>663</v>
      </c>
      <c r="C254" t="s">
        <v>30</v>
      </c>
      <c r="D254" s="7">
        <v>45952</v>
      </c>
      <c r="E254" t="s">
        <v>79</v>
      </c>
      <c r="F254" t="s">
        <v>41</v>
      </c>
      <c r="G254">
        <v>22</v>
      </c>
      <c r="H254" t="s">
        <v>47</v>
      </c>
      <c r="I254">
        <v>3</v>
      </c>
      <c r="J254">
        <v>10</v>
      </c>
      <c r="K254">
        <v>2</v>
      </c>
      <c r="L254">
        <f t="shared" si="21"/>
        <v>1</v>
      </c>
      <c r="P254">
        <f t="shared" si="22"/>
        <v>1</v>
      </c>
      <c r="Q254">
        <f t="shared" si="23"/>
        <v>1</v>
      </c>
      <c r="R254">
        <f t="shared" si="24"/>
        <v>0</v>
      </c>
      <c r="S254">
        <f t="shared" si="25"/>
        <v>2</v>
      </c>
      <c r="T254" t="str">
        <f t="shared" si="26"/>
        <v>DerivedFromCount</v>
      </c>
      <c r="U254" t="str">
        <f>IF(COUNTIF(DailyProduction!$Q$5:$Q$100,B254)=1,"OK","CHECK")</f>
        <v>OK</v>
      </c>
      <c r="V254" t="str">
        <f t="shared" si="27"/>
        <v>OK</v>
      </c>
      <c r="W254" t="str">
        <f>IF(SUMIF($B$5:$B$914,B254,$S$5:$S$914)=SUMIF(DailyProduction!$Q$5:$Q$100,B254,DailyProduction!$R$5:$R$100),"OK","CHECK")</f>
        <v>OK</v>
      </c>
    </row>
    <row r="255" spans="1:23">
      <c r="A255" t="s">
        <v>666</v>
      </c>
      <c r="B255" t="s">
        <v>663</v>
      </c>
      <c r="C255" t="s">
        <v>30</v>
      </c>
      <c r="D255" s="7">
        <v>45952</v>
      </c>
      <c r="E255" t="s">
        <v>79</v>
      </c>
      <c r="F255" t="s">
        <v>41</v>
      </c>
      <c r="G255">
        <v>22</v>
      </c>
      <c r="H255" t="s">
        <v>47</v>
      </c>
      <c r="I255">
        <v>4</v>
      </c>
      <c r="J255">
        <v>10</v>
      </c>
      <c r="K255">
        <v>2</v>
      </c>
      <c r="L255">
        <f t="shared" si="21"/>
        <v>1</v>
      </c>
      <c r="P255">
        <f t="shared" si="22"/>
        <v>1</v>
      </c>
      <c r="Q255">
        <f t="shared" si="23"/>
        <v>1</v>
      </c>
      <c r="R255">
        <f t="shared" si="24"/>
        <v>0</v>
      </c>
      <c r="S255">
        <f t="shared" si="25"/>
        <v>2</v>
      </c>
      <c r="T255" t="str">
        <f t="shared" si="26"/>
        <v>DerivedFromCount</v>
      </c>
      <c r="U255" t="str">
        <f>IF(COUNTIF(DailyProduction!$Q$5:$Q$100,B255)=1,"OK","CHECK")</f>
        <v>OK</v>
      </c>
      <c r="V255" t="str">
        <f t="shared" si="27"/>
        <v>OK</v>
      </c>
      <c r="W255" t="str">
        <f>IF(SUMIF($B$5:$B$914,B255,$S$5:$S$914)=SUMIF(DailyProduction!$Q$5:$Q$100,B255,DailyProduction!$R$5:$R$100),"OK","CHECK")</f>
        <v>OK</v>
      </c>
    </row>
    <row r="256" spans="1:23">
      <c r="A256" t="s">
        <v>667</v>
      </c>
      <c r="B256" t="s">
        <v>663</v>
      </c>
      <c r="C256" t="s">
        <v>30</v>
      </c>
      <c r="D256" s="7">
        <v>45952</v>
      </c>
      <c r="E256" t="s">
        <v>79</v>
      </c>
      <c r="F256" t="s">
        <v>41</v>
      </c>
      <c r="G256">
        <v>22</v>
      </c>
      <c r="H256" t="s">
        <v>47</v>
      </c>
      <c r="I256">
        <v>5</v>
      </c>
      <c r="J256">
        <v>10</v>
      </c>
      <c r="K256">
        <v>2</v>
      </c>
      <c r="L256">
        <f t="shared" si="21"/>
        <v>1</v>
      </c>
      <c r="P256">
        <f t="shared" si="22"/>
        <v>1</v>
      </c>
      <c r="Q256">
        <f t="shared" si="23"/>
        <v>1</v>
      </c>
      <c r="R256">
        <f t="shared" si="24"/>
        <v>0</v>
      </c>
      <c r="S256">
        <f t="shared" si="25"/>
        <v>2</v>
      </c>
      <c r="T256" t="str">
        <f t="shared" si="26"/>
        <v>DerivedFromCount</v>
      </c>
      <c r="U256" t="str">
        <f>IF(COUNTIF(DailyProduction!$Q$5:$Q$100,B256)=1,"OK","CHECK")</f>
        <v>OK</v>
      </c>
      <c r="V256" t="str">
        <f t="shared" si="27"/>
        <v>OK</v>
      </c>
      <c r="W256" t="str">
        <f>IF(SUMIF($B$5:$B$914,B256,$S$5:$S$914)=SUMIF(DailyProduction!$Q$5:$Q$100,B256,DailyProduction!$R$5:$R$100),"OK","CHECK")</f>
        <v>OK</v>
      </c>
    </row>
    <row r="257" spans="1:23">
      <c r="A257" t="s">
        <v>668</v>
      </c>
      <c r="B257" t="s">
        <v>663</v>
      </c>
      <c r="C257" t="s">
        <v>30</v>
      </c>
      <c r="D257" s="7">
        <v>45952</v>
      </c>
      <c r="E257" t="s">
        <v>79</v>
      </c>
      <c r="F257" t="s">
        <v>41</v>
      </c>
      <c r="G257">
        <v>22</v>
      </c>
      <c r="H257" t="s">
        <v>47</v>
      </c>
      <c r="I257">
        <v>6</v>
      </c>
      <c r="J257">
        <v>10</v>
      </c>
      <c r="K257">
        <v>2</v>
      </c>
      <c r="L257">
        <f t="shared" si="21"/>
        <v>1</v>
      </c>
      <c r="P257">
        <f t="shared" si="22"/>
        <v>1</v>
      </c>
      <c r="Q257">
        <f t="shared" si="23"/>
        <v>1</v>
      </c>
      <c r="R257">
        <f t="shared" si="24"/>
        <v>0</v>
      </c>
      <c r="S257">
        <f t="shared" si="25"/>
        <v>2</v>
      </c>
      <c r="T257" t="str">
        <f t="shared" si="26"/>
        <v>DerivedFromCount</v>
      </c>
      <c r="U257" t="str">
        <f>IF(COUNTIF(DailyProduction!$Q$5:$Q$100,B257)=1,"OK","CHECK")</f>
        <v>OK</v>
      </c>
      <c r="V257" t="str">
        <f t="shared" si="27"/>
        <v>OK</v>
      </c>
      <c r="W257" t="str">
        <f>IF(SUMIF($B$5:$B$914,B257,$S$5:$S$914)=SUMIF(DailyProduction!$Q$5:$Q$100,B257,DailyProduction!$R$5:$R$100),"OK","CHECK")</f>
        <v>OK</v>
      </c>
    </row>
    <row r="258" spans="1:23">
      <c r="A258" t="s">
        <v>669</v>
      </c>
      <c r="B258" t="s">
        <v>663</v>
      </c>
      <c r="C258" t="s">
        <v>30</v>
      </c>
      <c r="D258" s="7">
        <v>45952</v>
      </c>
      <c r="E258" t="s">
        <v>79</v>
      </c>
      <c r="F258" t="s">
        <v>41</v>
      </c>
      <c r="G258">
        <v>22</v>
      </c>
      <c r="H258" t="s">
        <v>47</v>
      </c>
      <c r="I258">
        <v>7</v>
      </c>
      <c r="J258">
        <v>10</v>
      </c>
      <c r="K258">
        <v>2</v>
      </c>
      <c r="L258">
        <f t="shared" si="21"/>
        <v>1</v>
      </c>
      <c r="P258">
        <f t="shared" si="22"/>
        <v>1</v>
      </c>
      <c r="Q258">
        <f t="shared" si="23"/>
        <v>1</v>
      </c>
      <c r="R258">
        <f t="shared" si="24"/>
        <v>0</v>
      </c>
      <c r="S258">
        <f t="shared" si="25"/>
        <v>2</v>
      </c>
      <c r="T258" t="str">
        <f t="shared" si="26"/>
        <v>DerivedFromCount</v>
      </c>
      <c r="U258" t="str">
        <f>IF(COUNTIF(DailyProduction!$Q$5:$Q$100,B258)=1,"OK","CHECK")</f>
        <v>OK</v>
      </c>
      <c r="V258" t="str">
        <f t="shared" si="27"/>
        <v>OK</v>
      </c>
      <c r="W258" t="str">
        <f>IF(SUMIF($B$5:$B$914,B258,$S$5:$S$914)=SUMIF(DailyProduction!$Q$5:$Q$100,B258,DailyProduction!$R$5:$R$100),"OK","CHECK")</f>
        <v>OK</v>
      </c>
    </row>
    <row r="259" spans="1:23">
      <c r="A259" t="s">
        <v>670</v>
      </c>
      <c r="B259" t="s">
        <v>663</v>
      </c>
      <c r="C259" t="s">
        <v>30</v>
      </c>
      <c r="D259" s="7">
        <v>45952</v>
      </c>
      <c r="E259" t="s">
        <v>79</v>
      </c>
      <c r="F259" t="s">
        <v>41</v>
      </c>
      <c r="G259">
        <v>22</v>
      </c>
      <c r="H259" t="s">
        <v>47</v>
      </c>
      <c r="I259">
        <v>8</v>
      </c>
      <c r="J259">
        <v>10</v>
      </c>
      <c r="K259">
        <v>2</v>
      </c>
      <c r="L259">
        <f t="shared" si="21"/>
        <v>1</v>
      </c>
      <c r="P259">
        <f t="shared" si="22"/>
        <v>1</v>
      </c>
      <c r="Q259">
        <f t="shared" si="23"/>
        <v>1</v>
      </c>
      <c r="R259">
        <f t="shared" si="24"/>
        <v>0</v>
      </c>
      <c r="S259">
        <f t="shared" si="25"/>
        <v>2</v>
      </c>
      <c r="T259" t="str">
        <f t="shared" si="26"/>
        <v>DerivedFromCount</v>
      </c>
      <c r="U259" t="str">
        <f>IF(COUNTIF(DailyProduction!$Q$5:$Q$100,B259)=1,"OK","CHECK")</f>
        <v>OK</v>
      </c>
      <c r="V259" t="str">
        <f t="shared" si="27"/>
        <v>OK</v>
      </c>
      <c r="W259" t="str">
        <f>IF(SUMIF($B$5:$B$914,B259,$S$5:$S$914)=SUMIF(DailyProduction!$Q$5:$Q$100,B259,DailyProduction!$R$5:$R$100),"OK","CHECK")</f>
        <v>OK</v>
      </c>
    </row>
    <row r="260" spans="1:23">
      <c r="A260" t="s">
        <v>671</v>
      </c>
      <c r="B260" t="s">
        <v>663</v>
      </c>
      <c r="C260" t="s">
        <v>30</v>
      </c>
      <c r="D260" s="7">
        <v>45952</v>
      </c>
      <c r="E260" t="s">
        <v>79</v>
      </c>
      <c r="F260" t="s">
        <v>41</v>
      </c>
      <c r="G260">
        <v>22</v>
      </c>
      <c r="H260" t="s">
        <v>47</v>
      </c>
      <c r="I260">
        <v>9</v>
      </c>
      <c r="J260">
        <v>10</v>
      </c>
      <c r="K260">
        <v>2</v>
      </c>
      <c r="L260">
        <f t="shared" si="21"/>
        <v>1</v>
      </c>
      <c r="P260">
        <f t="shared" si="22"/>
        <v>1</v>
      </c>
      <c r="Q260">
        <f t="shared" si="23"/>
        <v>1</v>
      </c>
      <c r="R260">
        <f t="shared" si="24"/>
        <v>0</v>
      </c>
      <c r="S260">
        <f t="shared" si="25"/>
        <v>2</v>
      </c>
      <c r="T260" t="str">
        <f t="shared" si="26"/>
        <v>DerivedFromCount</v>
      </c>
      <c r="U260" t="str">
        <f>IF(COUNTIF(DailyProduction!$Q$5:$Q$100,B260)=1,"OK","CHECK")</f>
        <v>OK</v>
      </c>
      <c r="V260" t="str">
        <f t="shared" si="27"/>
        <v>OK</v>
      </c>
      <c r="W260" t="str">
        <f>IF(SUMIF($B$5:$B$914,B260,$S$5:$S$914)=SUMIF(DailyProduction!$Q$5:$Q$100,B260,DailyProduction!$R$5:$R$100),"OK","CHECK")</f>
        <v>OK</v>
      </c>
    </row>
    <row r="261" spans="1:23">
      <c r="A261" t="s">
        <v>672</v>
      </c>
      <c r="B261" t="s">
        <v>663</v>
      </c>
      <c r="C261" t="s">
        <v>30</v>
      </c>
      <c r="D261" s="7">
        <v>45952</v>
      </c>
      <c r="E261" t="s">
        <v>79</v>
      </c>
      <c r="F261" t="s">
        <v>41</v>
      </c>
      <c r="G261">
        <v>22</v>
      </c>
      <c r="H261" t="s">
        <v>47</v>
      </c>
      <c r="I261">
        <v>10</v>
      </c>
      <c r="J261">
        <v>10</v>
      </c>
      <c r="K261">
        <v>2</v>
      </c>
      <c r="L261">
        <f t="shared" ref="L261:L324" si="28">IF(I261&lt;=J261,1,0)</f>
        <v>1</v>
      </c>
      <c r="P261">
        <f t="shared" ref="P261:P324" si="29">IF(M261="",IF(AND(L261=1,K261&gt;=1),1,0),M261)</f>
        <v>1</v>
      </c>
      <c r="Q261">
        <f t="shared" ref="Q261:Q324" si="30">IF(N261="",IF(AND(L261=1,K261&gt;=2),1,0),N261)</f>
        <v>1</v>
      </c>
      <c r="R261">
        <f t="shared" ref="R261:R324" si="31">IF(O261="",IF(AND(L261=1,K261&gt;=3),1,0),O261)</f>
        <v>0</v>
      </c>
      <c r="S261">
        <f t="shared" ref="S261:S324" si="32">SUM(P261:R261)</f>
        <v>2</v>
      </c>
      <c r="T261" t="str">
        <f t="shared" ref="T261:T324" si="33">IF(COUNTA(M261:O261)=0,"DerivedFromCount","ManualOverride")</f>
        <v>DerivedFromCount</v>
      </c>
      <c r="U261" t="str">
        <f>IF(COUNTIF(DailyProduction!$Q$5:$Q$100,B261)=1,"OK","CHECK")</f>
        <v>OK</v>
      </c>
      <c r="V261" t="str">
        <f t="shared" ref="V261:V324" si="34">IF(AND(I261&gt;=1,I261&lt;=13,K261&gt;=1,K261&lt;=3),"OK","CHECK")</f>
        <v>OK</v>
      </c>
      <c r="W261" t="str">
        <f>IF(SUMIF($B$5:$B$914,B261,$S$5:$S$914)=SUMIF(DailyProduction!$Q$5:$Q$100,B261,DailyProduction!$R$5:$R$100),"OK","CHECK")</f>
        <v>OK</v>
      </c>
    </row>
    <row r="262" spans="1:23">
      <c r="A262" t="s">
        <v>673</v>
      </c>
      <c r="B262" t="s">
        <v>663</v>
      </c>
      <c r="C262" t="s">
        <v>30</v>
      </c>
      <c r="D262" s="7">
        <v>45952</v>
      </c>
      <c r="E262" t="s">
        <v>79</v>
      </c>
      <c r="F262" t="s">
        <v>41</v>
      </c>
      <c r="G262">
        <v>22</v>
      </c>
      <c r="H262" t="s">
        <v>47</v>
      </c>
      <c r="I262">
        <v>11</v>
      </c>
      <c r="J262">
        <v>10</v>
      </c>
      <c r="K262">
        <v>2</v>
      </c>
      <c r="L262">
        <f t="shared" si="28"/>
        <v>0</v>
      </c>
      <c r="P262">
        <f t="shared" si="29"/>
        <v>0</v>
      </c>
      <c r="Q262">
        <f t="shared" si="30"/>
        <v>0</v>
      </c>
      <c r="R262">
        <f t="shared" si="31"/>
        <v>0</v>
      </c>
      <c r="S262">
        <f t="shared" si="32"/>
        <v>0</v>
      </c>
      <c r="T262" t="str">
        <f t="shared" si="33"/>
        <v>DerivedFromCount</v>
      </c>
      <c r="U262" t="str">
        <f>IF(COUNTIF(DailyProduction!$Q$5:$Q$100,B262)=1,"OK","CHECK")</f>
        <v>OK</v>
      </c>
      <c r="V262" t="str">
        <f t="shared" si="34"/>
        <v>OK</v>
      </c>
      <c r="W262" t="str">
        <f>IF(SUMIF($B$5:$B$914,B262,$S$5:$S$914)=SUMIF(DailyProduction!$Q$5:$Q$100,B262,DailyProduction!$R$5:$R$100),"OK","CHECK")</f>
        <v>OK</v>
      </c>
    </row>
    <row r="263" spans="1:23">
      <c r="A263" t="s">
        <v>674</v>
      </c>
      <c r="B263" t="s">
        <v>663</v>
      </c>
      <c r="C263" t="s">
        <v>30</v>
      </c>
      <c r="D263" s="7">
        <v>45952</v>
      </c>
      <c r="E263" t="s">
        <v>79</v>
      </c>
      <c r="F263" t="s">
        <v>41</v>
      </c>
      <c r="G263">
        <v>22</v>
      </c>
      <c r="H263" t="s">
        <v>47</v>
      </c>
      <c r="I263">
        <v>12</v>
      </c>
      <c r="J263">
        <v>10</v>
      </c>
      <c r="K263">
        <v>2</v>
      </c>
      <c r="L263">
        <f t="shared" si="28"/>
        <v>0</v>
      </c>
      <c r="P263">
        <f t="shared" si="29"/>
        <v>0</v>
      </c>
      <c r="Q263">
        <f t="shared" si="30"/>
        <v>0</v>
      </c>
      <c r="R263">
        <f t="shared" si="31"/>
        <v>0</v>
      </c>
      <c r="S263">
        <f t="shared" si="32"/>
        <v>0</v>
      </c>
      <c r="T263" t="str">
        <f t="shared" si="33"/>
        <v>DerivedFromCount</v>
      </c>
      <c r="U263" t="str">
        <f>IF(COUNTIF(DailyProduction!$Q$5:$Q$100,B263)=1,"OK","CHECK")</f>
        <v>OK</v>
      </c>
      <c r="V263" t="str">
        <f t="shared" si="34"/>
        <v>OK</v>
      </c>
      <c r="W263" t="str">
        <f>IF(SUMIF($B$5:$B$914,B263,$S$5:$S$914)=SUMIF(DailyProduction!$Q$5:$Q$100,B263,DailyProduction!$R$5:$R$100),"OK","CHECK")</f>
        <v>OK</v>
      </c>
    </row>
    <row r="264" spans="1:23">
      <c r="A264" t="s">
        <v>675</v>
      </c>
      <c r="B264" t="s">
        <v>663</v>
      </c>
      <c r="C264" t="s">
        <v>30</v>
      </c>
      <c r="D264" s="7">
        <v>45952</v>
      </c>
      <c r="E264" t="s">
        <v>79</v>
      </c>
      <c r="F264" t="s">
        <v>41</v>
      </c>
      <c r="G264">
        <v>22</v>
      </c>
      <c r="H264" t="s">
        <v>47</v>
      </c>
      <c r="I264">
        <v>13</v>
      </c>
      <c r="J264">
        <v>10</v>
      </c>
      <c r="K264">
        <v>2</v>
      </c>
      <c r="L264">
        <f t="shared" si="28"/>
        <v>0</v>
      </c>
      <c r="P264">
        <f t="shared" si="29"/>
        <v>0</v>
      </c>
      <c r="Q264">
        <f t="shared" si="30"/>
        <v>0</v>
      </c>
      <c r="R264">
        <f t="shared" si="31"/>
        <v>0</v>
      </c>
      <c r="S264">
        <f t="shared" si="32"/>
        <v>0</v>
      </c>
      <c r="T264" t="str">
        <f t="shared" si="33"/>
        <v>DerivedFromCount</v>
      </c>
      <c r="U264" t="str">
        <f>IF(COUNTIF(DailyProduction!$Q$5:$Q$100,B264)=1,"OK","CHECK")</f>
        <v>OK</v>
      </c>
      <c r="V264" t="str">
        <f t="shared" si="34"/>
        <v>OK</v>
      </c>
      <c r="W264" t="str">
        <f>IF(SUMIF($B$5:$B$914,B264,$S$5:$S$914)=SUMIF(DailyProduction!$Q$5:$Q$100,B264,DailyProduction!$R$5:$R$100),"OK","CHECK")</f>
        <v>OK</v>
      </c>
    </row>
    <row r="265" spans="1:23">
      <c r="A265" t="s">
        <v>676</v>
      </c>
      <c r="B265" t="s">
        <v>677</v>
      </c>
      <c r="C265" t="s">
        <v>30</v>
      </c>
      <c r="D265" s="7">
        <v>45953</v>
      </c>
      <c r="E265" t="s">
        <v>31</v>
      </c>
      <c r="F265" t="s">
        <v>41</v>
      </c>
      <c r="G265">
        <v>22</v>
      </c>
      <c r="H265" t="s">
        <v>47</v>
      </c>
      <c r="I265">
        <v>1</v>
      </c>
      <c r="J265">
        <v>10</v>
      </c>
      <c r="K265">
        <v>2</v>
      </c>
      <c r="L265">
        <f t="shared" si="28"/>
        <v>1</v>
      </c>
      <c r="P265">
        <f t="shared" si="29"/>
        <v>1</v>
      </c>
      <c r="Q265">
        <f t="shared" si="30"/>
        <v>1</v>
      </c>
      <c r="R265">
        <f t="shared" si="31"/>
        <v>0</v>
      </c>
      <c r="S265">
        <f t="shared" si="32"/>
        <v>2</v>
      </c>
      <c r="T265" t="str">
        <f t="shared" si="33"/>
        <v>DerivedFromCount</v>
      </c>
      <c r="U265" t="str">
        <f>IF(COUNTIF(DailyProduction!$Q$5:$Q$100,B265)=1,"OK","CHECK")</f>
        <v>OK</v>
      </c>
      <c r="V265" t="str">
        <f t="shared" si="34"/>
        <v>OK</v>
      </c>
      <c r="W265" t="str">
        <f>IF(SUMIF($B$5:$B$914,B265,$S$5:$S$914)=SUMIF(DailyProduction!$Q$5:$Q$100,B265,DailyProduction!$R$5:$R$100),"OK","CHECK")</f>
        <v>OK</v>
      </c>
    </row>
    <row r="266" spans="1:23">
      <c r="A266" t="s">
        <v>678</v>
      </c>
      <c r="B266" t="s">
        <v>677</v>
      </c>
      <c r="C266" t="s">
        <v>30</v>
      </c>
      <c r="D266" s="7">
        <v>45953</v>
      </c>
      <c r="E266" t="s">
        <v>31</v>
      </c>
      <c r="F266" t="s">
        <v>41</v>
      </c>
      <c r="G266">
        <v>22</v>
      </c>
      <c r="H266" t="s">
        <v>47</v>
      </c>
      <c r="I266">
        <v>2</v>
      </c>
      <c r="J266">
        <v>10</v>
      </c>
      <c r="K266">
        <v>2</v>
      </c>
      <c r="L266">
        <f t="shared" si="28"/>
        <v>1</v>
      </c>
      <c r="P266">
        <f t="shared" si="29"/>
        <v>1</v>
      </c>
      <c r="Q266">
        <f t="shared" si="30"/>
        <v>1</v>
      </c>
      <c r="R266">
        <f t="shared" si="31"/>
        <v>0</v>
      </c>
      <c r="S266">
        <f t="shared" si="32"/>
        <v>2</v>
      </c>
      <c r="T266" t="str">
        <f t="shared" si="33"/>
        <v>DerivedFromCount</v>
      </c>
      <c r="U266" t="str">
        <f>IF(COUNTIF(DailyProduction!$Q$5:$Q$100,B266)=1,"OK","CHECK")</f>
        <v>OK</v>
      </c>
      <c r="V266" t="str">
        <f t="shared" si="34"/>
        <v>OK</v>
      </c>
      <c r="W266" t="str">
        <f>IF(SUMIF($B$5:$B$914,B266,$S$5:$S$914)=SUMIF(DailyProduction!$Q$5:$Q$100,B266,DailyProduction!$R$5:$R$100),"OK","CHECK")</f>
        <v>OK</v>
      </c>
    </row>
    <row r="267" spans="1:23">
      <c r="A267" t="s">
        <v>679</v>
      </c>
      <c r="B267" t="s">
        <v>677</v>
      </c>
      <c r="C267" t="s">
        <v>30</v>
      </c>
      <c r="D267" s="7">
        <v>45953</v>
      </c>
      <c r="E267" t="s">
        <v>31</v>
      </c>
      <c r="F267" t="s">
        <v>41</v>
      </c>
      <c r="G267">
        <v>22</v>
      </c>
      <c r="H267" t="s">
        <v>47</v>
      </c>
      <c r="I267">
        <v>3</v>
      </c>
      <c r="J267">
        <v>10</v>
      </c>
      <c r="K267">
        <v>2</v>
      </c>
      <c r="L267">
        <f t="shared" si="28"/>
        <v>1</v>
      </c>
      <c r="P267">
        <f t="shared" si="29"/>
        <v>1</v>
      </c>
      <c r="Q267">
        <f t="shared" si="30"/>
        <v>1</v>
      </c>
      <c r="R267">
        <f t="shared" si="31"/>
        <v>0</v>
      </c>
      <c r="S267">
        <f t="shared" si="32"/>
        <v>2</v>
      </c>
      <c r="T267" t="str">
        <f t="shared" si="33"/>
        <v>DerivedFromCount</v>
      </c>
      <c r="U267" t="str">
        <f>IF(COUNTIF(DailyProduction!$Q$5:$Q$100,B267)=1,"OK","CHECK")</f>
        <v>OK</v>
      </c>
      <c r="V267" t="str">
        <f t="shared" si="34"/>
        <v>OK</v>
      </c>
      <c r="W267" t="str">
        <f>IF(SUMIF($B$5:$B$914,B267,$S$5:$S$914)=SUMIF(DailyProduction!$Q$5:$Q$100,B267,DailyProduction!$R$5:$R$100),"OK","CHECK")</f>
        <v>OK</v>
      </c>
    </row>
    <row r="268" spans="1:23">
      <c r="A268" t="s">
        <v>680</v>
      </c>
      <c r="B268" t="s">
        <v>677</v>
      </c>
      <c r="C268" t="s">
        <v>30</v>
      </c>
      <c r="D268" s="7">
        <v>45953</v>
      </c>
      <c r="E268" t="s">
        <v>31</v>
      </c>
      <c r="F268" t="s">
        <v>41</v>
      </c>
      <c r="G268">
        <v>22</v>
      </c>
      <c r="H268" t="s">
        <v>47</v>
      </c>
      <c r="I268">
        <v>4</v>
      </c>
      <c r="J268">
        <v>10</v>
      </c>
      <c r="K268">
        <v>2</v>
      </c>
      <c r="L268">
        <f t="shared" si="28"/>
        <v>1</v>
      </c>
      <c r="P268">
        <f t="shared" si="29"/>
        <v>1</v>
      </c>
      <c r="Q268">
        <f t="shared" si="30"/>
        <v>1</v>
      </c>
      <c r="R268">
        <f t="shared" si="31"/>
        <v>0</v>
      </c>
      <c r="S268">
        <f t="shared" si="32"/>
        <v>2</v>
      </c>
      <c r="T268" t="str">
        <f t="shared" si="33"/>
        <v>DerivedFromCount</v>
      </c>
      <c r="U268" t="str">
        <f>IF(COUNTIF(DailyProduction!$Q$5:$Q$100,B268)=1,"OK","CHECK")</f>
        <v>OK</v>
      </c>
      <c r="V268" t="str">
        <f t="shared" si="34"/>
        <v>OK</v>
      </c>
      <c r="W268" t="str">
        <f>IF(SUMIF($B$5:$B$914,B268,$S$5:$S$914)=SUMIF(DailyProduction!$Q$5:$Q$100,B268,DailyProduction!$R$5:$R$100),"OK","CHECK")</f>
        <v>OK</v>
      </c>
    </row>
    <row r="269" spans="1:23">
      <c r="A269" t="s">
        <v>681</v>
      </c>
      <c r="B269" t="s">
        <v>677</v>
      </c>
      <c r="C269" t="s">
        <v>30</v>
      </c>
      <c r="D269" s="7">
        <v>45953</v>
      </c>
      <c r="E269" t="s">
        <v>31</v>
      </c>
      <c r="F269" t="s">
        <v>41</v>
      </c>
      <c r="G269">
        <v>22</v>
      </c>
      <c r="H269" t="s">
        <v>47</v>
      </c>
      <c r="I269">
        <v>5</v>
      </c>
      <c r="J269">
        <v>10</v>
      </c>
      <c r="K269">
        <v>2</v>
      </c>
      <c r="L269">
        <f t="shared" si="28"/>
        <v>1</v>
      </c>
      <c r="P269">
        <f t="shared" si="29"/>
        <v>1</v>
      </c>
      <c r="Q269">
        <f t="shared" si="30"/>
        <v>1</v>
      </c>
      <c r="R269">
        <f t="shared" si="31"/>
        <v>0</v>
      </c>
      <c r="S269">
        <f t="shared" si="32"/>
        <v>2</v>
      </c>
      <c r="T269" t="str">
        <f t="shared" si="33"/>
        <v>DerivedFromCount</v>
      </c>
      <c r="U269" t="str">
        <f>IF(COUNTIF(DailyProduction!$Q$5:$Q$100,B269)=1,"OK","CHECK")</f>
        <v>OK</v>
      </c>
      <c r="V269" t="str">
        <f t="shared" si="34"/>
        <v>OK</v>
      </c>
      <c r="W269" t="str">
        <f>IF(SUMIF($B$5:$B$914,B269,$S$5:$S$914)=SUMIF(DailyProduction!$Q$5:$Q$100,B269,DailyProduction!$R$5:$R$100),"OK","CHECK")</f>
        <v>OK</v>
      </c>
    </row>
    <row r="270" spans="1:23">
      <c r="A270" t="s">
        <v>682</v>
      </c>
      <c r="B270" t="s">
        <v>677</v>
      </c>
      <c r="C270" t="s">
        <v>30</v>
      </c>
      <c r="D270" s="7">
        <v>45953</v>
      </c>
      <c r="E270" t="s">
        <v>31</v>
      </c>
      <c r="F270" t="s">
        <v>41</v>
      </c>
      <c r="G270">
        <v>22</v>
      </c>
      <c r="H270" t="s">
        <v>47</v>
      </c>
      <c r="I270">
        <v>6</v>
      </c>
      <c r="J270">
        <v>10</v>
      </c>
      <c r="K270">
        <v>2</v>
      </c>
      <c r="L270">
        <f t="shared" si="28"/>
        <v>1</v>
      </c>
      <c r="P270">
        <f t="shared" si="29"/>
        <v>1</v>
      </c>
      <c r="Q270">
        <f t="shared" si="30"/>
        <v>1</v>
      </c>
      <c r="R270">
        <f t="shared" si="31"/>
        <v>0</v>
      </c>
      <c r="S270">
        <f t="shared" si="32"/>
        <v>2</v>
      </c>
      <c r="T270" t="str">
        <f t="shared" si="33"/>
        <v>DerivedFromCount</v>
      </c>
      <c r="U270" t="str">
        <f>IF(COUNTIF(DailyProduction!$Q$5:$Q$100,B270)=1,"OK","CHECK")</f>
        <v>OK</v>
      </c>
      <c r="V270" t="str">
        <f t="shared" si="34"/>
        <v>OK</v>
      </c>
      <c r="W270" t="str">
        <f>IF(SUMIF($B$5:$B$914,B270,$S$5:$S$914)=SUMIF(DailyProduction!$Q$5:$Q$100,B270,DailyProduction!$R$5:$R$100),"OK","CHECK")</f>
        <v>OK</v>
      </c>
    </row>
    <row r="271" spans="1:23">
      <c r="A271" t="s">
        <v>683</v>
      </c>
      <c r="B271" t="s">
        <v>677</v>
      </c>
      <c r="C271" t="s">
        <v>30</v>
      </c>
      <c r="D271" s="7">
        <v>45953</v>
      </c>
      <c r="E271" t="s">
        <v>31</v>
      </c>
      <c r="F271" t="s">
        <v>41</v>
      </c>
      <c r="G271">
        <v>22</v>
      </c>
      <c r="H271" t="s">
        <v>47</v>
      </c>
      <c r="I271">
        <v>7</v>
      </c>
      <c r="J271">
        <v>10</v>
      </c>
      <c r="K271">
        <v>2</v>
      </c>
      <c r="L271">
        <f t="shared" si="28"/>
        <v>1</v>
      </c>
      <c r="P271">
        <f t="shared" si="29"/>
        <v>1</v>
      </c>
      <c r="Q271">
        <f t="shared" si="30"/>
        <v>1</v>
      </c>
      <c r="R271">
        <f t="shared" si="31"/>
        <v>0</v>
      </c>
      <c r="S271">
        <f t="shared" si="32"/>
        <v>2</v>
      </c>
      <c r="T271" t="str">
        <f t="shared" si="33"/>
        <v>DerivedFromCount</v>
      </c>
      <c r="U271" t="str">
        <f>IF(COUNTIF(DailyProduction!$Q$5:$Q$100,B271)=1,"OK","CHECK")</f>
        <v>OK</v>
      </c>
      <c r="V271" t="str">
        <f t="shared" si="34"/>
        <v>OK</v>
      </c>
      <c r="W271" t="str">
        <f>IF(SUMIF($B$5:$B$914,B271,$S$5:$S$914)=SUMIF(DailyProduction!$Q$5:$Q$100,B271,DailyProduction!$R$5:$R$100),"OK","CHECK")</f>
        <v>OK</v>
      </c>
    </row>
    <row r="272" spans="1:23">
      <c r="A272" t="s">
        <v>684</v>
      </c>
      <c r="B272" t="s">
        <v>677</v>
      </c>
      <c r="C272" t="s">
        <v>30</v>
      </c>
      <c r="D272" s="7">
        <v>45953</v>
      </c>
      <c r="E272" t="s">
        <v>31</v>
      </c>
      <c r="F272" t="s">
        <v>41</v>
      </c>
      <c r="G272">
        <v>22</v>
      </c>
      <c r="H272" t="s">
        <v>47</v>
      </c>
      <c r="I272">
        <v>8</v>
      </c>
      <c r="J272">
        <v>10</v>
      </c>
      <c r="K272">
        <v>2</v>
      </c>
      <c r="L272">
        <f t="shared" si="28"/>
        <v>1</v>
      </c>
      <c r="P272">
        <f t="shared" si="29"/>
        <v>1</v>
      </c>
      <c r="Q272">
        <f t="shared" si="30"/>
        <v>1</v>
      </c>
      <c r="R272">
        <f t="shared" si="31"/>
        <v>0</v>
      </c>
      <c r="S272">
        <f t="shared" si="32"/>
        <v>2</v>
      </c>
      <c r="T272" t="str">
        <f t="shared" si="33"/>
        <v>DerivedFromCount</v>
      </c>
      <c r="U272" t="str">
        <f>IF(COUNTIF(DailyProduction!$Q$5:$Q$100,B272)=1,"OK","CHECK")</f>
        <v>OK</v>
      </c>
      <c r="V272" t="str">
        <f t="shared" si="34"/>
        <v>OK</v>
      </c>
      <c r="W272" t="str">
        <f>IF(SUMIF($B$5:$B$914,B272,$S$5:$S$914)=SUMIF(DailyProduction!$Q$5:$Q$100,B272,DailyProduction!$R$5:$R$100),"OK","CHECK")</f>
        <v>OK</v>
      </c>
    </row>
    <row r="273" spans="1:23">
      <c r="A273" t="s">
        <v>685</v>
      </c>
      <c r="B273" t="s">
        <v>677</v>
      </c>
      <c r="C273" t="s">
        <v>30</v>
      </c>
      <c r="D273" s="7">
        <v>45953</v>
      </c>
      <c r="E273" t="s">
        <v>31</v>
      </c>
      <c r="F273" t="s">
        <v>41</v>
      </c>
      <c r="G273">
        <v>22</v>
      </c>
      <c r="H273" t="s">
        <v>47</v>
      </c>
      <c r="I273">
        <v>9</v>
      </c>
      <c r="J273">
        <v>10</v>
      </c>
      <c r="K273">
        <v>2</v>
      </c>
      <c r="L273">
        <f t="shared" si="28"/>
        <v>1</v>
      </c>
      <c r="P273">
        <f t="shared" si="29"/>
        <v>1</v>
      </c>
      <c r="Q273">
        <f t="shared" si="30"/>
        <v>1</v>
      </c>
      <c r="R273">
        <f t="shared" si="31"/>
        <v>0</v>
      </c>
      <c r="S273">
        <f t="shared" si="32"/>
        <v>2</v>
      </c>
      <c r="T273" t="str">
        <f t="shared" si="33"/>
        <v>DerivedFromCount</v>
      </c>
      <c r="U273" t="str">
        <f>IF(COUNTIF(DailyProduction!$Q$5:$Q$100,B273)=1,"OK","CHECK")</f>
        <v>OK</v>
      </c>
      <c r="V273" t="str">
        <f t="shared" si="34"/>
        <v>OK</v>
      </c>
      <c r="W273" t="str">
        <f>IF(SUMIF($B$5:$B$914,B273,$S$5:$S$914)=SUMIF(DailyProduction!$Q$5:$Q$100,B273,DailyProduction!$R$5:$R$100),"OK","CHECK")</f>
        <v>OK</v>
      </c>
    </row>
    <row r="274" spans="1:23">
      <c r="A274" t="s">
        <v>686</v>
      </c>
      <c r="B274" t="s">
        <v>677</v>
      </c>
      <c r="C274" t="s">
        <v>30</v>
      </c>
      <c r="D274" s="7">
        <v>45953</v>
      </c>
      <c r="E274" t="s">
        <v>31</v>
      </c>
      <c r="F274" t="s">
        <v>41</v>
      </c>
      <c r="G274">
        <v>22</v>
      </c>
      <c r="H274" t="s">
        <v>47</v>
      </c>
      <c r="I274">
        <v>10</v>
      </c>
      <c r="J274">
        <v>10</v>
      </c>
      <c r="K274">
        <v>2</v>
      </c>
      <c r="L274">
        <f t="shared" si="28"/>
        <v>1</v>
      </c>
      <c r="P274">
        <f t="shared" si="29"/>
        <v>1</v>
      </c>
      <c r="Q274">
        <f t="shared" si="30"/>
        <v>1</v>
      </c>
      <c r="R274">
        <f t="shared" si="31"/>
        <v>0</v>
      </c>
      <c r="S274">
        <f t="shared" si="32"/>
        <v>2</v>
      </c>
      <c r="T274" t="str">
        <f t="shared" si="33"/>
        <v>DerivedFromCount</v>
      </c>
      <c r="U274" t="str">
        <f>IF(COUNTIF(DailyProduction!$Q$5:$Q$100,B274)=1,"OK","CHECK")</f>
        <v>OK</v>
      </c>
      <c r="V274" t="str">
        <f t="shared" si="34"/>
        <v>OK</v>
      </c>
      <c r="W274" t="str">
        <f>IF(SUMIF($B$5:$B$914,B274,$S$5:$S$914)=SUMIF(DailyProduction!$Q$5:$Q$100,B274,DailyProduction!$R$5:$R$100),"OK","CHECK")</f>
        <v>OK</v>
      </c>
    </row>
    <row r="275" spans="1:23">
      <c r="A275" t="s">
        <v>687</v>
      </c>
      <c r="B275" t="s">
        <v>677</v>
      </c>
      <c r="C275" t="s">
        <v>30</v>
      </c>
      <c r="D275" s="7">
        <v>45953</v>
      </c>
      <c r="E275" t="s">
        <v>31</v>
      </c>
      <c r="F275" t="s">
        <v>41</v>
      </c>
      <c r="G275">
        <v>22</v>
      </c>
      <c r="H275" t="s">
        <v>47</v>
      </c>
      <c r="I275">
        <v>11</v>
      </c>
      <c r="J275">
        <v>10</v>
      </c>
      <c r="K275">
        <v>2</v>
      </c>
      <c r="L275">
        <f t="shared" si="28"/>
        <v>0</v>
      </c>
      <c r="P275">
        <f t="shared" si="29"/>
        <v>0</v>
      </c>
      <c r="Q275">
        <f t="shared" si="30"/>
        <v>0</v>
      </c>
      <c r="R275">
        <f t="shared" si="31"/>
        <v>0</v>
      </c>
      <c r="S275">
        <f t="shared" si="32"/>
        <v>0</v>
      </c>
      <c r="T275" t="str">
        <f t="shared" si="33"/>
        <v>DerivedFromCount</v>
      </c>
      <c r="U275" t="str">
        <f>IF(COUNTIF(DailyProduction!$Q$5:$Q$100,B275)=1,"OK","CHECK")</f>
        <v>OK</v>
      </c>
      <c r="V275" t="str">
        <f t="shared" si="34"/>
        <v>OK</v>
      </c>
      <c r="W275" t="str">
        <f>IF(SUMIF($B$5:$B$914,B275,$S$5:$S$914)=SUMIF(DailyProduction!$Q$5:$Q$100,B275,DailyProduction!$R$5:$R$100),"OK","CHECK")</f>
        <v>OK</v>
      </c>
    </row>
    <row r="276" spans="1:23">
      <c r="A276" t="s">
        <v>688</v>
      </c>
      <c r="B276" t="s">
        <v>677</v>
      </c>
      <c r="C276" t="s">
        <v>30</v>
      </c>
      <c r="D276" s="7">
        <v>45953</v>
      </c>
      <c r="E276" t="s">
        <v>31</v>
      </c>
      <c r="F276" t="s">
        <v>41</v>
      </c>
      <c r="G276">
        <v>22</v>
      </c>
      <c r="H276" t="s">
        <v>47</v>
      </c>
      <c r="I276">
        <v>12</v>
      </c>
      <c r="J276">
        <v>10</v>
      </c>
      <c r="K276">
        <v>2</v>
      </c>
      <c r="L276">
        <f t="shared" si="28"/>
        <v>0</v>
      </c>
      <c r="P276">
        <f t="shared" si="29"/>
        <v>0</v>
      </c>
      <c r="Q276">
        <f t="shared" si="30"/>
        <v>0</v>
      </c>
      <c r="R276">
        <f t="shared" si="31"/>
        <v>0</v>
      </c>
      <c r="S276">
        <f t="shared" si="32"/>
        <v>0</v>
      </c>
      <c r="T276" t="str">
        <f t="shared" si="33"/>
        <v>DerivedFromCount</v>
      </c>
      <c r="U276" t="str">
        <f>IF(COUNTIF(DailyProduction!$Q$5:$Q$100,B276)=1,"OK","CHECK")</f>
        <v>OK</v>
      </c>
      <c r="V276" t="str">
        <f t="shared" si="34"/>
        <v>OK</v>
      </c>
      <c r="W276" t="str">
        <f>IF(SUMIF($B$5:$B$914,B276,$S$5:$S$914)=SUMIF(DailyProduction!$Q$5:$Q$100,B276,DailyProduction!$R$5:$R$100),"OK","CHECK")</f>
        <v>OK</v>
      </c>
    </row>
    <row r="277" spans="1:23">
      <c r="A277" t="s">
        <v>689</v>
      </c>
      <c r="B277" t="s">
        <v>677</v>
      </c>
      <c r="C277" t="s">
        <v>30</v>
      </c>
      <c r="D277" s="7">
        <v>45953</v>
      </c>
      <c r="E277" t="s">
        <v>31</v>
      </c>
      <c r="F277" t="s">
        <v>41</v>
      </c>
      <c r="G277">
        <v>22</v>
      </c>
      <c r="H277" t="s">
        <v>47</v>
      </c>
      <c r="I277">
        <v>13</v>
      </c>
      <c r="J277">
        <v>10</v>
      </c>
      <c r="K277">
        <v>2</v>
      </c>
      <c r="L277">
        <f t="shared" si="28"/>
        <v>0</v>
      </c>
      <c r="P277">
        <f t="shared" si="29"/>
        <v>0</v>
      </c>
      <c r="Q277">
        <f t="shared" si="30"/>
        <v>0</v>
      </c>
      <c r="R277">
        <f t="shared" si="31"/>
        <v>0</v>
      </c>
      <c r="S277">
        <f t="shared" si="32"/>
        <v>0</v>
      </c>
      <c r="T277" t="str">
        <f t="shared" si="33"/>
        <v>DerivedFromCount</v>
      </c>
      <c r="U277" t="str">
        <f>IF(COUNTIF(DailyProduction!$Q$5:$Q$100,B277)=1,"OK","CHECK")</f>
        <v>OK</v>
      </c>
      <c r="V277" t="str">
        <f t="shared" si="34"/>
        <v>OK</v>
      </c>
      <c r="W277" t="str">
        <f>IF(SUMIF($B$5:$B$914,B277,$S$5:$S$914)=SUMIF(DailyProduction!$Q$5:$Q$100,B277,DailyProduction!$R$5:$R$100),"OK","CHECK")</f>
        <v>OK</v>
      </c>
    </row>
    <row r="278" spans="1:23">
      <c r="A278" t="s">
        <v>690</v>
      </c>
      <c r="B278" t="s">
        <v>691</v>
      </c>
      <c r="C278" t="s">
        <v>30</v>
      </c>
      <c r="D278" s="7">
        <v>45953</v>
      </c>
      <c r="E278" t="s">
        <v>79</v>
      </c>
      <c r="F278" t="s">
        <v>32</v>
      </c>
      <c r="G278">
        <v>22</v>
      </c>
      <c r="H278" t="s">
        <v>47</v>
      </c>
      <c r="I278">
        <v>1</v>
      </c>
      <c r="J278">
        <v>10</v>
      </c>
      <c r="K278">
        <v>2</v>
      </c>
      <c r="L278">
        <f t="shared" si="28"/>
        <v>1</v>
      </c>
      <c r="P278">
        <f t="shared" si="29"/>
        <v>1</v>
      </c>
      <c r="Q278">
        <f t="shared" si="30"/>
        <v>1</v>
      </c>
      <c r="R278">
        <f t="shared" si="31"/>
        <v>0</v>
      </c>
      <c r="S278">
        <f t="shared" si="32"/>
        <v>2</v>
      </c>
      <c r="T278" t="str">
        <f t="shared" si="33"/>
        <v>DerivedFromCount</v>
      </c>
      <c r="U278" t="str">
        <f>IF(COUNTIF(DailyProduction!$Q$5:$Q$100,B278)=1,"OK","CHECK")</f>
        <v>OK</v>
      </c>
      <c r="V278" t="str">
        <f t="shared" si="34"/>
        <v>OK</v>
      </c>
      <c r="W278" t="str">
        <f>IF(SUMIF($B$5:$B$914,B278,$S$5:$S$914)=SUMIF(DailyProduction!$Q$5:$Q$100,B278,DailyProduction!$R$5:$R$100),"OK","CHECK")</f>
        <v>OK</v>
      </c>
    </row>
    <row r="279" spans="1:23">
      <c r="A279" t="s">
        <v>692</v>
      </c>
      <c r="B279" t="s">
        <v>691</v>
      </c>
      <c r="C279" t="s">
        <v>30</v>
      </c>
      <c r="D279" s="7">
        <v>45953</v>
      </c>
      <c r="E279" t="s">
        <v>79</v>
      </c>
      <c r="F279" t="s">
        <v>32</v>
      </c>
      <c r="G279">
        <v>22</v>
      </c>
      <c r="H279" t="s">
        <v>47</v>
      </c>
      <c r="I279">
        <v>2</v>
      </c>
      <c r="J279">
        <v>10</v>
      </c>
      <c r="K279">
        <v>2</v>
      </c>
      <c r="L279">
        <f t="shared" si="28"/>
        <v>1</v>
      </c>
      <c r="P279">
        <f t="shared" si="29"/>
        <v>1</v>
      </c>
      <c r="Q279">
        <f t="shared" si="30"/>
        <v>1</v>
      </c>
      <c r="R279">
        <f t="shared" si="31"/>
        <v>0</v>
      </c>
      <c r="S279">
        <f t="shared" si="32"/>
        <v>2</v>
      </c>
      <c r="T279" t="str">
        <f t="shared" si="33"/>
        <v>DerivedFromCount</v>
      </c>
      <c r="U279" t="str">
        <f>IF(COUNTIF(DailyProduction!$Q$5:$Q$100,B279)=1,"OK","CHECK")</f>
        <v>OK</v>
      </c>
      <c r="V279" t="str">
        <f t="shared" si="34"/>
        <v>OK</v>
      </c>
      <c r="W279" t="str">
        <f>IF(SUMIF($B$5:$B$914,B279,$S$5:$S$914)=SUMIF(DailyProduction!$Q$5:$Q$100,B279,DailyProduction!$R$5:$R$100),"OK","CHECK")</f>
        <v>OK</v>
      </c>
    </row>
    <row r="280" spans="1:23">
      <c r="A280" t="s">
        <v>693</v>
      </c>
      <c r="B280" t="s">
        <v>691</v>
      </c>
      <c r="C280" t="s">
        <v>30</v>
      </c>
      <c r="D280" s="7">
        <v>45953</v>
      </c>
      <c r="E280" t="s">
        <v>79</v>
      </c>
      <c r="F280" t="s">
        <v>32</v>
      </c>
      <c r="G280">
        <v>22</v>
      </c>
      <c r="H280" t="s">
        <v>47</v>
      </c>
      <c r="I280">
        <v>3</v>
      </c>
      <c r="J280">
        <v>10</v>
      </c>
      <c r="K280">
        <v>2</v>
      </c>
      <c r="L280">
        <f t="shared" si="28"/>
        <v>1</v>
      </c>
      <c r="P280">
        <f t="shared" si="29"/>
        <v>1</v>
      </c>
      <c r="Q280">
        <f t="shared" si="30"/>
        <v>1</v>
      </c>
      <c r="R280">
        <f t="shared" si="31"/>
        <v>0</v>
      </c>
      <c r="S280">
        <f t="shared" si="32"/>
        <v>2</v>
      </c>
      <c r="T280" t="str">
        <f t="shared" si="33"/>
        <v>DerivedFromCount</v>
      </c>
      <c r="U280" t="str">
        <f>IF(COUNTIF(DailyProduction!$Q$5:$Q$100,B280)=1,"OK","CHECK")</f>
        <v>OK</v>
      </c>
      <c r="V280" t="str">
        <f t="shared" si="34"/>
        <v>OK</v>
      </c>
      <c r="W280" t="str">
        <f>IF(SUMIF($B$5:$B$914,B280,$S$5:$S$914)=SUMIF(DailyProduction!$Q$5:$Q$100,B280,DailyProduction!$R$5:$R$100),"OK","CHECK")</f>
        <v>OK</v>
      </c>
    </row>
    <row r="281" spans="1:23">
      <c r="A281" t="s">
        <v>694</v>
      </c>
      <c r="B281" t="s">
        <v>691</v>
      </c>
      <c r="C281" t="s">
        <v>30</v>
      </c>
      <c r="D281" s="7">
        <v>45953</v>
      </c>
      <c r="E281" t="s">
        <v>79</v>
      </c>
      <c r="F281" t="s">
        <v>32</v>
      </c>
      <c r="G281">
        <v>22</v>
      </c>
      <c r="H281" t="s">
        <v>47</v>
      </c>
      <c r="I281">
        <v>4</v>
      </c>
      <c r="J281">
        <v>10</v>
      </c>
      <c r="K281">
        <v>2</v>
      </c>
      <c r="L281">
        <f t="shared" si="28"/>
        <v>1</v>
      </c>
      <c r="P281">
        <f t="shared" si="29"/>
        <v>1</v>
      </c>
      <c r="Q281">
        <f t="shared" si="30"/>
        <v>1</v>
      </c>
      <c r="R281">
        <f t="shared" si="31"/>
        <v>0</v>
      </c>
      <c r="S281">
        <f t="shared" si="32"/>
        <v>2</v>
      </c>
      <c r="T281" t="str">
        <f t="shared" si="33"/>
        <v>DerivedFromCount</v>
      </c>
      <c r="U281" t="str">
        <f>IF(COUNTIF(DailyProduction!$Q$5:$Q$100,B281)=1,"OK","CHECK")</f>
        <v>OK</v>
      </c>
      <c r="V281" t="str">
        <f t="shared" si="34"/>
        <v>OK</v>
      </c>
      <c r="W281" t="str">
        <f>IF(SUMIF($B$5:$B$914,B281,$S$5:$S$914)=SUMIF(DailyProduction!$Q$5:$Q$100,B281,DailyProduction!$R$5:$R$100),"OK","CHECK")</f>
        <v>OK</v>
      </c>
    </row>
    <row r="282" spans="1:23">
      <c r="A282" t="s">
        <v>695</v>
      </c>
      <c r="B282" t="s">
        <v>691</v>
      </c>
      <c r="C282" t="s">
        <v>30</v>
      </c>
      <c r="D282" s="7">
        <v>45953</v>
      </c>
      <c r="E282" t="s">
        <v>79</v>
      </c>
      <c r="F282" t="s">
        <v>32</v>
      </c>
      <c r="G282">
        <v>22</v>
      </c>
      <c r="H282" t="s">
        <v>47</v>
      </c>
      <c r="I282">
        <v>5</v>
      </c>
      <c r="J282">
        <v>10</v>
      </c>
      <c r="K282">
        <v>2</v>
      </c>
      <c r="L282">
        <f t="shared" si="28"/>
        <v>1</v>
      </c>
      <c r="P282">
        <f t="shared" si="29"/>
        <v>1</v>
      </c>
      <c r="Q282">
        <f t="shared" si="30"/>
        <v>1</v>
      </c>
      <c r="R282">
        <f t="shared" si="31"/>
        <v>0</v>
      </c>
      <c r="S282">
        <f t="shared" si="32"/>
        <v>2</v>
      </c>
      <c r="T282" t="str">
        <f t="shared" si="33"/>
        <v>DerivedFromCount</v>
      </c>
      <c r="U282" t="str">
        <f>IF(COUNTIF(DailyProduction!$Q$5:$Q$100,B282)=1,"OK","CHECK")</f>
        <v>OK</v>
      </c>
      <c r="V282" t="str">
        <f t="shared" si="34"/>
        <v>OK</v>
      </c>
      <c r="W282" t="str">
        <f>IF(SUMIF($B$5:$B$914,B282,$S$5:$S$914)=SUMIF(DailyProduction!$Q$5:$Q$100,B282,DailyProduction!$R$5:$R$100),"OK","CHECK")</f>
        <v>OK</v>
      </c>
    </row>
    <row r="283" spans="1:23">
      <c r="A283" t="s">
        <v>696</v>
      </c>
      <c r="B283" t="s">
        <v>691</v>
      </c>
      <c r="C283" t="s">
        <v>30</v>
      </c>
      <c r="D283" s="7">
        <v>45953</v>
      </c>
      <c r="E283" t="s">
        <v>79</v>
      </c>
      <c r="F283" t="s">
        <v>32</v>
      </c>
      <c r="G283">
        <v>22</v>
      </c>
      <c r="H283" t="s">
        <v>47</v>
      </c>
      <c r="I283">
        <v>6</v>
      </c>
      <c r="J283">
        <v>10</v>
      </c>
      <c r="K283">
        <v>2</v>
      </c>
      <c r="L283">
        <f t="shared" si="28"/>
        <v>1</v>
      </c>
      <c r="P283">
        <f t="shared" si="29"/>
        <v>1</v>
      </c>
      <c r="Q283">
        <f t="shared" si="30"/>
        <v>1</v>
      </c>
      <c r="R283">
        <f t="shared" si="31"/>
        <v>0</v>
      </c>
      <c r="S283">
        <f t="shared" si="32"/>
        <v>2</v>
      </c>
      <c r="T283" t="str">
        <f t="shared" si="33"/>
        <v>DerivedFromCount</v>
      </c>
      <c r="U283" t="str">
        <f>IF(COUNTIF(DailyProduction!$Q$5:$Q$100,B283)=1,"OK","CHECK")</f>
        <v>OK</v>
      </c>
      <c r="V283" t="str">
        <f t="shared" si="34"/>
        <v>OK</v>
      </c>
      <c r="W283" t="str">
        <f>IF(SUMIF($B$5:$B$914,B283,$S$5:$S$914)=SUMIF(DailyProduction!$Q$5:$Q$100,B283,DailyProduction!$R$5:$R$100),"OK","CHECK")</f>
        <v>OK</v>
      </c>
    </row>
    <row r="284" spans="1:23">
      <c r="A284" t="s">
        <v>697</v>
      </c>
      <c r="B284" t="s">
        <v>691</v>
      </c>
      <c r="C284" t="s">
        <v>30</v>
      </c>
      <c r="D284" s="7">
        <v>45953</v>
      </c>
      <c r="E284" t="s">
        <v>79</v>
      </c>
      <c r="F284" t="s">
        <v>32</v>
      </c>
      <c r="G284">
        <v>22</v>
      </c>
      <c r="H284" t="s">
        <v>47</v>
      </c>
      <c r="I284">
        <v>7</v>
      </c>
      <c r="J284">
        <v>10</v>
      </c>
      <c r="K284">
        <v>2</v>
      </c>
      <c r="L284">
        <f t="shared" si="28"/>
        <v>1</v>
      </c>
      <c r="P284">
        <f t="shared" si="29"/>
        <v>1</v>
      </c>
      <c r="Q284">
        <f t="shared" si="30"/>
        <v>1</v>
      </c>
      <c r="R284">
        <f t="shared" si="31"/>
        <v>0</v>
      </c>
      <c r="S284">
        <f t="shared" si="32"/>
        <v>2</v>
      </c>
      <c r="T284" t="str">
        <f t="shared" si="33"/>
        <v>DerivedFromCount</v>
      </c>
      <c r="U284" t="str">
        <f>IF(COUNTIF(DailyProduction!$Q$5:$Q$100,B284)=1,"OK","CHECK")</f>
        <v>OK</v>
      </c>
      <c r="V284" t="str">
        <f t="shared" si="34"/>
        <v>OK</v>
      </c>
      <c r="W284" t="str">
        <f>IF(SUMIF($B$5:$B$914,B284,$S$5:$S$914)=SUMIF(DailyProduction!$Q$5:$Q$100,B284,DailyProduction!$R$5:$R$100),"OK","CHECK")</f>
        <v>OK</v>
      </c>
    </row>
    <row r="285" spans="1:23">
      <c r="A285" t="s">
        <v>698</v>
      </c>
      <c r="B285" t="s">
        <v>691</v>
      </c>
      <c r="C285" t="s">
        <v>30</v>
      </c>
      <c r="D285" s="7">
        <v>45953</v>
      </c>
      <c r="E285" t="s">
        <v>79</v>
      </c>
      <c r="F285" t="s">
        <v>32</v>
      </c>
      <c r="G285">
        <v>22</v>
      </c>
      <c r="H285" t="s">
        <v>47</v>
      </c>
      <c r="I285">
        <v>8</v>
      </c>
      <c r="J285">
        <v>10</v>
      </c>
      <c r="K285">
        <v>2</v>
      </c>
      <c r="L285">
        <f t="shared" si="28"/>
        <v>1</v>
      </c>
      <c r="P285">
        <f t="shared" si="29"/>
        <v>1</v>
      </c>
      <c r="Q285">
        <f t="shared" si="30"/>
        <v>1</v>
      </c>
      <c r="R285">
        <f t="shared" si="31"/>
        <v>0</v>
      </c>
      <c r="S285">
        <f t="shared" si="32"/>
        <v>2</v>
      </c>
      <c r="T285" t="str">
        <f t="shared" si="33"/>
        <v>DerivedFromCount</v>
      </c>
      <c r="U285" t="str">
        <f>IF(COUNTIF(DailyProduction!$Q$5:$Q$100,B285)=1,"OK","CHECK")</f>
        <v>OK</v>
      </c>
      <c r="V285" t="str">
        <f t="shared" si="34"/>
        <v>OK</v>
      </c>
      <c r="W285" t="str">
        <f>IF(SUMIF($B$5:$B$914,B285,$S$5:$S$914)=SUMIF(DailyProduction!$Q$5:$Q$100,B285,DailyProduction!$R$5:$R$100),"OK","CHECK")</f>
        <v>OK</v>
      </c>
    </row>
    <row r="286" spans="1:23">
      <c r="A286" t="s">
        <v>699</v>
      </c>
      <c r="B286" t="s">
        <v>691</v>
      </c>
      <c r="C286" t="s">
        <v>30</v>
      </c>
      <c r="D286" s="7">
        <v>45953</v>
      </c>
      <c r="E286" t="s">
        <v>79</v>
      </c>
      <c r="F286" t="s">
        <v>32</v>
      </c>
      <c r="G286">
        <v>22</v>
      </c>
      <c r="H286" t="s">
        <v>47</v>
      </c>
      <c r="I286">
        <v>9</v>
      </c>
      <c r="J286">
        <v>10</v>
      </c>
      <c r="K286">
        <v>2</v>
      </c>
      <c r="L286">
        <f t="shared" si="28"/>
        <v>1</v>
      </c>
      <c r="P286">
        <f t="shared" si="29"/>
        <v>1</v>
      </c>
      <c r="Q286">
        <f t="shared" si="30"/>
        <v>1</v>
      </c>
      <c r="R286">
        <f t="shared" si="31"/>
        <v>0</v>
      </c>
      <c r="S286">
        <f t="shared" si="32"/>
        <v>2</v>
      </c>
      <c r="T286" t="str">
        <f t="shared" si="33"/>
        <v>DerivedFromCount</v>
      </c>
      <c r="U286" t="str">
        <f>IF(COUNTIF(DailyProduction!$Q$5:$Q$100,B286)=1,"OK","CHECK")</f>
        <v>OK</v>
      </c>
      <c r="V286" t="str">
        <f t="shared" si="34"/>
        <v>OK</v>
      </c>
      <c r="W286" t="str">
        <f>IF(SUMIF($B$5:$B$914,B286,$S$5:$S$914)=SUMIF(DailyProduction!$Q$5:$Q$100,B286,DailyProduction!$R$5:$R$100),"OK","CHECK")</f>
        <v>OK</v>
      </c>
    </row>
    <row r="287" spans="1:23">
      <c r="A287" t="s">
        <v>700</v>
      </c>
      <c r="B287" t="s">
        <v>691</v>
      </c>
      <c r="C287" t="s">
        <v>30</v>
      </c>
      <c r="D287" s="7">
        <v>45953</v>
      </c>
      <c r="E287" t="s">
        <v>79</v>
      </c>
      <c r="F287" t="s">
        <v>32</v>
      </c>
      <c r="G287">
        <v>22</v>
      </c>
      <c r="H287" t="s">
        <v>47</v>
      </c>
      <c r="I287">
        <v>10</v>
      </c>
      <c r="J287">
        <v>10</v>
      </c>
      <c r="K287">
        <v>2</v>
      </c>
      <c r="L287">
        <f t="shared" si="28"/>
        <v>1</v>
      </c>
      <c r="P287">
        <f t="shared" si="29"/>
        <v>1</v>
      </c>
      <c r="Q287">
        <f t="shared" si="30"/>
        <v>1</v>
      </c>
      <c r="R287">
        <f t="shared" si="31"/>
        <v>0</v>
      </c>
      <c r="S287">
        <f t="shared" si="32"/>
        <v>2</v>
      </c>
      <c r="T287" t="str">
        <f t="shared" si="33"/>
        <v>DerivedFromCount</v>
      </c>
      <c r="U287" t="str">
        <f>IF(COUNTIF(DailyProduction!$Q$5:$Q$100,B287)=1,"OK","CHECK")</f>
        <v>OK</v>
      </c>
      <c r="V287" t="str">
        <f t="shared" si="34"/>
        <v>OK</v>
      </c>
      <c r="W287" t="str">
        <f>IF(SUMIF($B$5:$B$914,B287,$S$5:$S$914)=SUMIF(DailyProduction!$Q$5:$Q$100,B287,DailyProduction!$R$5:$R$100),"OK","CHECK")</f>
        <v>OK</v>
      </c>
    </row>
    <row r="288" spans="1:23">
      <c r="A288" t="s">
        <v>701</v>
      </c>
      <c r="B288" t="s">
        <v>691</v>
      </c>
      <c r="C288" t="s">
        <v>30</v>
      </c>
      <c r="D288" s="7">
        <v>45953</v>
      </c>
      <c r="E288" t="s">
        <v>79</v>
      </c>
      <c r="F288" t="s">
        <v>32</v>
      </c>
      <c r="G288">
        <v>22</v>
      </c>
      <c r="H288" t="s">
        <v>47</v>
      </c>
      <c r="I288">
        <v>11</v>
      </c>
      <c r="J288">
        <v>10</v>
      </c>
      <c r="K288">
        <v>2</v>
      </c>
      <c r="L288">
        <f t="shared" si="28"/>
        <v>0</v>
      </c>
      <c r="P288">
        <f t="shared" si="29"/>
        <v>0</v>
      </c>
      <c r="Q288">
        <f t="shared" si="30"/>
        <v>0</v>
      </c>
      <c r="R288">
        <f t="shared" si="31"/>
        <v>0</v>
      </c>
      <c r="S288">
        <f t="shared" si="32"/>
        <v>0</v>
      </c>
      <c r="T288" t="str">
        <f t="shared" si="33"/>
        <v>DerivedFromCount</v>
      </c>
      <c r="U288" t="str">
        <f>IF(COUNTIF(DailyProduction!$Q$5:$Q$100,B288)=1,"OK","CHECK")</f>
        <v>OK</v>
      </c>
      <c r="V288" t="str">
        <f t="shared" si="34"/>
        <v>OK</v>
      </c>
      <c r="W288" t="str">
        <f>IF(SUMIF($B$5:$B$914,B288,$S$5:$S$914)=SUMIF(DailyProduction!$Q$5:$Q$100,B288,DailyProduction!$R$5:$R$100),"OK","CHECK")</f>
        <v>OK</v>
      </c>
    </row>
    <row r="289" spans="1:23">
      <c r="A289" t="s">
        <v>702</v>
      </c>
      <c r="B289" t="s">
        <v>691</v>
      </c>
      <c r="C289" t="s">
        <v>30</v>
      </c>
      <c r="D289" s="7">
        <v>45953</v>
      </c>
      <c r="E289" t="s">
        <v>79</v>
      </c>
      <c r="F289" t="s">
        <v>32</v>
      </c>
      <c r="G289">
        <v>22</v>
      </c>
      <c r="H289" t="s">
        <v>47</v>
      </c>
      <c r="I289">
        <v>12</v>
      </c>
      <c r="J289">
        <v>10</v>
      </c>
      <c r="K289">
        <v>2</v>
      </c>
      <c r="L289">
        <f t="shared" si="28"/>
        <v>0</v>
      </c>
      <c r="P289">
        <f t="shared" si="29"/>
        <v>0</v>
      </c>
      <c r="Q289">
        <f t="shared" si="30"/>
        <v>0</v>
      </c>
      <c r="R289">
        <f t="shared" si="31"/>
        <v>0</v>
      </c>
      <c r="S289">
        <f t="shared" si="32"/>
        <v>0</v>
      </c>
      <c r="T289" t="str">
        <f t="shared" si="33"/>
        <v>DerivedFromCount</v>
      </c>
      <c r="U289" t="str">
        <f>IF(COUNTIF(DailyProduction!$Q$5:$Q$100,B289)=1,"OK","CHECK")</f>
        <v>OK</v>
      </c>
      <c r="V289" t="str">
        <f t="shared" si="34"/>
        <v>OK</v>
      </c>
      <c r="W289" t="str">
        <f>IF(SUMIF($B$5:$B$914,B289,$S$5:$S$914)=SUMIF(DailyProduction!$Q$5:$Q$100,B289,DailyProduction!$R$5:$R$100),"OK","CHECK")</f>
        <v>OK</v>
      </c>
    </row>
    <row r="290" spans="1:23">
      <c r="A290" t="s">
        <v>703</v>
      </c>
      <c r="B290" t="s">
        <v>691</v>
      </c>
      <c r="C290" t="s">
        <v>30</v>
      </c>
      <c r="D290" s="7">
        <v>45953</v>
      </c>
      <c r="E290" t="s">
        <v>79</v>
      </c>
      <c r="F290" t="s">
        <v>32</v>
      </c>
      <c r="G290">
        <v>22</v>
      </c>
      <c r="H290" t="s">
        <v>47</v>
      </c>
      <c r="I290">
        <v>13</v>
      </c>
      <c r="J290">
        <v>10</v>
      </c>
      <c r="K290">
        <v>2</v>
      </c>
      <c r="L290">
        <f t="shared" si="28"/>
        <v>0</v>
      </c>
      <c r="P290">
        <f t="shared" si="29"/>
        <v>0</v>
      </c>
      <c r="Q290">
        <f t="shared" si="30"/>
        <v>0</v>
      </c>
      <c r="R290">
        <f t="shared" si="31"/>
        <v>0</v>
      </c>
      <c r="S290">
        <f t="shared" si="32"/>
        <v>0</v>
      </c>
      <c r="T290" t="str">
        <f t="shared" si="33"/>
        <v>DerivedFromCount</v>
      </c>
      <c r="U290" t="str">
        <f>IF(COUNTIF(DailyProduction!$Q$5:$Q$100,B290)=1,"OK","CHECK")</f>
        <v>OK</v>
      </c>
      <c r="V290" t="str">
        <f t="shared" si="34"/>
        <v>OK</v>
      </c>
      <c r="W290" t="str">
        <f>IF(SUMIF($B$5:$B$914,B290,$S$5:$S$914)=SUMIF(DailyProduction!$Q$5:$Q$100,B290,DailyProduction!$R$5:$R$100),"OK","CHECK")</f>
        <v>OK</v>
      </c>
    </row>
    <row r="291" spans="1:23">
      <c r="A291" t="s">
        <v>704</v>
      </c>
      <c r="B291" t="s">
        <v>705</v>
      </c>
      <c r="C291" t="s">
        <v>30</v>
      </c>
      <c r="D291" s="7">
        <v>45954</v>
      </c>
      <c r="E291" t="s">
        <v>31</v>
      </c>
      <c r="F291" t="s">
        <v>32</v>
      </c>
      <c r="G291">
        <v>22</v>
      </c>
      <c r="H291" t="s">
        <v>47</v>
      </c>
      <c r="I291">
        <v>1</v>
      </c>
      <c r="J291">
        <v>10</v>
      </c>
      <c r="K291">
        <v>2</v>
      </c>
      <c r="L291">
        <f t="shared" si="28"/>
        <v>1</v>
      </c>
      <c r="P291">
        <f t="shared" si="29"/>
        <v>1</v>
      </c>
      <c r="Q291">
        <f t="shared" si="30"/>
        <v>1</v>
      </c>
      <c r="R291">
        <f t="shared" si="31"/>
        <v>0</v>
      </c>
      <c r="S291">
        <f t="shared" si="32"/>
        <v>2</v>
      </c>
      <c r="T291" t="str">
        <f t="shared" si="33"/>
        <v>DerivedFromCount</v>
      </c>
      <c r="U291" t="str">
        <f>IF(COUNTIF(DailyProduction!$Q$5:$Q$100,B291)=1,"OK","CHECK")</f>
        <v>OK</v>
      </c>
      <c r="V291" t="str">
        <f t="shared" si="34"/>
        <v>OK</v>
      </c>
      <c r="W291" t="str">
        <f>IF(SUMIF($B$5:$B$914,B291,$S$5:$S$914)=SUMIF(DailyProduction!$Q$5:$Q$100,B291,DailyProduction!$R$5:$R$100),"OK","CHECK")</f>
        <v>OK</v>
      </c>
    </row>
    <row r="292" spans="1:23">
      <c r="A292" t="s">
        <v>706</v>
      </c>
      <c r="B292" t="s">
        <v>705</v>
      </c>
      <c r="C292" t="s">
        <v>30</v>
      </c>
      <c r="D292" s="7">
        <v>45954</v>
      </c>
      <c r="E292" t="s">
        <v>31</v>
      </c>
      <c r="F292" t="s">
        <v>32</v>
      </c>
      <c r="G292">
        <v>22</v>
      </c>
      <c r="H292" t="s">
        <v>47</v>
      </c>
      <c r="I292">
        <v>2</v>
      </c>
      <c r="J292">
        <v>10</v>
      </c>
      <c r="K292">
        <v>2</v>
      </c>
      <c r="L292">
        <f t="shared" si="28"/>
        <v>1</v>
      </c>
      <c r="P292">
        <f t="shared" si="29"/>
        <v>1</v>
      </c>
      <c r="Q292">
        <f t="shared" si="30"/>
        <v>1</v>
      </c>
      <c r="R292">
        <f t="shared" si="31"/>
        <v>0</v>
      </c>
      <c r="S292">
        <f t="shared" si="32"/>
        <v>2</v>
      </c>
      <c r="T292" t="str">
        <f t="shared" si="33"/>
        <v>DerivedFromCount</v>
      </c>
      <c r="U292" t="str">
        <f>IF(COUNTIF(DailyProduction!$Q$5:$Q$100,B292)=1,"OK","CHECK")</f>
        <v>OK</v>
      </c>
      <c r="V292" t="str">
        <f t="shared" si="34"/>
        <v>OK</v>
      </c>
      <c r="W292" t="str">
        <f>IF(SUMIF($B$5:$B$914,B292,$S$5:$S$914)=SUMIF(DailyProduction!$Q$5:$Q$100,B292,DailyProduction!$R$5:$R$100),"OK","CHECK")</f>
        <v>OK</v>
      </c>
    </row>
    <row r="293" spans="1:23">
      <c r="A293" t="s">
        <v>707</v>
      </c>
      <c r="B293" t="s">
        <v>705</v>
      </c>
      <c r="C293" t="s">
        <v>30</v>
      </c>
      <c r="D293" s="7">
        <v>45954</v>
      </c>
      <c r="E293" t="s">
        <v>31</v>
      </c>
      <c r="F293" t="s">
        <v>32</v>
      </c>
      <c r="G293">
        <v>22</v>
      </c>
      <c r="H293" t="s">
        <v>47</v>
      </c>
      <c r="I293">
        <v>3</v>
      </c>
      <c r="J293">
        <v>10</v>
      </c>
      <c r="K293">
        <v>2</v>
      </c>
      <c r="L293">
        <f t="shared" si="28"/>
        <v>1</v>
      </c>
      <c r="P293">
        <f t="shared" si="29"/>
        <v>1</v>
      </c>
      <c r="Q293">
        <f t="shared" si="30"/>
        <v>1</v>
      </c>
      <c r="R293">
        <f t="shared" si="31"/>
        <v>0</v>
      </c>
      <c r="S293">
        <f t="shared" si="32"/>
        <v>2</v>
      </c>
      <c r="T293" t="str">
        <f t="shared" si="33"/>
        <v>DerivedFromCount</v>
      </c>
      <c r="U293" t="str">
        <f>IF(COUNTIF(DailyProduction!$Q$5:$Q$100,B293)=1,"OK","CHECK")</f>
        <v>OK</v>
      </c>
      <c r="V293" t="str">
        <f t="shared" si="34"/>
        <v>OK</v>
      </c>
      <c r="W293" t="str">
        <f>IF(SUMIF($B$5:$B$914,B293,$S$5:$S$914)=SUMIF(DailyProduction!$Q$5:$Q$100,B293,DailyProduction!$R$5:$R$100),"OK","CHECK")</f>
        <v>OK</v>
      </c>
    </row>
    <row r="294" spans="1:23">
      <c r="A294" t="s">
        <v>708</v>
      </c>
      <c r="B294" t="s">
        <v>705</v>
      </c>
      <c r="C294" t="s">
        <v>30</v>
      </c>
      <c r="D294" s="7">
        <v>45954</v>
      </c>
      <c r="E294" t="s">
        <v>31</v>
      </c>
      <c r="F294" t="s">
        <v>32</v>
      </c>
      <c r="G294">
        <v>22</v>
      </c>
      <c r="H294" t="s">
        <v>47</v>
      </c>
      <c r="I294">
        <v>4</v>
      </c>
      <c r="J294">
        <v>10</v>
      </c>
      <c r="K294">
        <v>2</v>
      </c>
      <c r="L294">
        <f t="shared" si="28"/>
        <v>1</v>
      </c>
      <c r="P294">
        <f t="shared" si="29"/>
        <v>1</v>
      </c>
      <c r="Q294">
        <f t="shared" si="30"/>
        <v>1</v>
      </c>
      <c r="R294">
        <f t="shared" si="31"/>
        <v>0</v>
      </c>
      <c r="S294">
        <f t="shared" si="32"/>
        <v>2</v>
      </c>
      <c r="T294" t="str">
        <f t="shared" si="33"/>
        <v>DerivedFromCount</v>
      </c>
      <c r="U294" t="str">
        <f>IF(COUNTIF(DailyProduction!$Q$5:$Q$100,B294)=1,"OK","CHECK")</f>
        <v>OK</v>
      </c>
      <c r="V294" t="str">
        <f t="shared" si="34"/>
        <v>OK</v>
      </c>
      <c r="W294" t="str">
        <f>IF(SUMIF($B$5:$B$914,B294,$S$5:$S$914)=SUMIF(DailyProduction!$Q$5:$Q$100,B294,DailyProduction!$R$5:$R$100),"OK","CHECK")</f>
        <v>OK</v>
      </c>
    </row>
    <row r="295" spans="1:23">
      <c r="A295" t="s">
        <v>709</v>
      </c>
      <c r="B295" t="s">
        <v>705</v>
      </c>
      <c r="C295" t="s">
        <v>30</v>
      </c>
      <c r="D295" s="7">
        <v>45954</v>
      </c>
      <c r="E295" t="s">
        <v>31</v>
      </c>
      <c r="F295" t="s">
        <v>32</v>
      </c>
      <c r="G295">
        <v>22</v>
      </c>
      <c r="H295" t="s">
        <v>47</v>
      </c>
      <c r="I295">
        <v>5</v>
      </c>
      <c r="J295">
        <v>10</v>
      </c>
      <c r="K295">
        <v>2</v>
      </c>
      <c r="L295">
        <f t="shared" si="28"/>
        <v>1</v>
      </c>
      <c r="P295">
        <f t="shared" si="29"/>
        <v>1</v>
      </c>
      <c r="Q295">
        <f t="shared" si="30"/>
        <v>1</v>
      </c>
      <c r="R295">
        <f t="shared" si="31"/>
        <v>0</v>
      </c>
      <c r="S295">
        <f t="shared" si="32"/>
        <v>2</v>
      </c>
      <c r="T295" t="str">
        <f t="shared" si="33"/>
        <v>DerivedFromCount</v>
      </c>
      <c r="U295" t="str">
        <f>IF(COUNTIF(DailyProduction!$Q$5:$Q$100,B295)=1,"OK","CHECK")</f>
        <v>OK</v>
      </c>
      <c r="V295" t="str">
        <f t="shared" si="34"/>
        <v>OK</v>
      </c>
      <c r="W295" t="str">
        <f>IF(SUMIF($B$5:$B$914,B295,$S$5:$S$914)=SUMIF(DailyProduction!$Q$5:$Q$100,B295,DailyProduction!$R$5:$R$100),"OK","CHECK")</f>
        <v>OK</v>
      </c>
    </row>
    <row r="296" spans="1:23">
      <c r="A296" t="s">
        <v>710</v>
      </c>
      <c r="B296" t="s">
        <v>705</v>
      </c>
      <c r="C296" t="s">
        <v>30</v>
      </c>
      <c r="D296" s="7">
        <v>45954</v>
      </c>
      <c r="E296" t="s">
        <v>31</v>
      </c>
      <c r="F296" t="s">
        <v>32</v>
      </c>
      <c r="G296">
        <v>22</v>
      </c>
      <c r="H296" t="s">
        <v>47</v>
      </c>
      <c r="I296">
        <v>6</v>
      </c>
      <c r="J296">
        <v>10</v>
      </c>
      <c r="K296">
        <v>2</v>
      </c>
      <c r="L296">
        <f t="shared" si="28"/>
        <v>1</v>
      </c>
      <c r="P296">
        <f t="shared" si="29"/>
        <v>1</v>
      </c>
      <c r="Q296">
        <f t="shared" si="30"/>
        <v>1</v>
      </c>
      <c r="R296">
        <f t="shared" si="31"/>
        <v>0</v>
      </c>
      <c r="S296">
        <f t="shared" si="32"/>
        <v>2</v>
      </c>
      <c r="T296" t="str">
        <f t="shared" si="33"/>
        <v>DerivedFromCount</v>
      </c>
      <c r="U296" t="str">
        <f>IF(COUNTIF(DailyProduction!$Q$5:$Q$100,B296)=1,"OK","CHECK")</f>
        <v>OK</v>
      </c>
      <c r="V296" t="str">
        <f t="shared" si="34"/>
        <v>OK</v>
      </c>
      <c r="W296" t="str">
        <f>IF(SUMIF($B$5:$B$914,B296,$S$5:$S$914)=SUMIF(DailyProduction!$Q$5:$Q$100,B296,DailyProduction!$R$5:$R$100),"OK","CHECK")</f>
        <v>OK</v>
      </c>
    </row>
    <row r="297" spans="1:23">
      <c r="A297" t="s">
        <v>711</v>
      </c>
      <c r="B297" t="s">
        <v>705</v>
      </c>
      <c r="C297" t="s">
        <v>30</v>
      </c>
      <c r="D297" s="7">
        <v>45954</v>
      </c>
      <c r="E297" t="s">
        <v>31</v>
      </c>
      <c r="F297" t="s">
        <v>32</v>
      </c>
      <c r="G297">
        <v>22</v>
      </c>
      <c r="H297" t="s">
        <v>47</v>
      </c>
      <c r="I297">
        <v>7</v>
      </c>
      <c r="J297">
        <v>10</v>
      </c>
      <c r="K297">
        <v>2</v>
      </c>
      <c r="L297">
        <f t="shared" si="28"/>
        <v>1</v>
      </c>
      <c r="P297">
        <f t="shared" si="29"/>
        <v>1</v>
      </c>
      <c r="Q297">
        <f t="shared" si="30"/>
        <v>1</v>
      </c>
      <c r="R297">
        <f t="shared" si="31"/>
        <v>0</v>
      </c>
      <c r="S297">
        <f t="shared" si="32"/>
        <v>2</v>
      </c>
      <c r="T297" t="str">
        <f t="shared" si="33"/>
        <v>DerivedFromCount</v>
      </c>
      <c r="U297" t="str">
        <f>IF(COUNTIF(DailyProduction!$Q$5:$Q$100,B297)=1,"OK","CHECK")</f>
        <v>OK</v>
      </c>
      <c r="V297" t="str">
        <f t="shared" si="34"/>
        <v>OK</v>
      </c>
      <c r="W297" t="str">
        <f>IF(SUMIF($B$5:$B$914,B297,$S$5:$S$914)=SUMIF(DailyProduction!$Q$5:$Q$100,B297,DailyProduction!$R$5:$R$100),"OK","CHECK")</f>
        <v>OK</v>
      </c>
    </row>
    <row r="298" spans="1:23">
      <c r="A298" t="s">
        <v>712</v>
      </c>
      <c r="B298" t="s">
        <v>705</v>
      </c>
      <c r="C298" t="s">
        <v>30</v>
      </c>
      <c r="D298" s="7">
        <v>45954</v>
      </c>
      <c r="E298" t="s">
        <v>31</v>
      </c>
      <c r="F298" t="s">
        <v>32</v>
      </c>
      <c r="G298">
        <v>22</v>
      </c>
      <c r="H298" t="s">
        <v>47</v>
      </c>
      <c r="I298">
        <v>8</v>
      </c>
      <c r="J298">
        <v>10</v>
      </c>
      <c r="K298">
        <v>2</v>
      </c>
      <c r="L298">
        <f t="shared" si="28"/>
        <v>1</v>
      </c>
      <c r="P298">
        <f t="shared" si="29"/>
        <v>1</v>
      </c>
      <c r="Q298">
        <f t="shared" si="30"/>
        <v>1</v>
      </c>
      <c r="R298">
        <f t="shared" si="31"/>
        <v>0</v>
      </c>
      <c r="S298">
        <f t="shared" si="32"/>
        <v>2</v>
      </c>
      <c r="T298" t="str">
        <f t="shared" si="33"/>
        <v>DerivedFromCount</v>
      </c>
      <c r="U298" t="str">
        <f>IF(COUNTIF(DailyProduction!$Q$5:$Q$100,B298)=1,"OK","CHECK")</f>
        <v>OK</v>
      </c>
      <c r="V298" t="str">
        <f t="shared" si="34"/>
        <v>OK</v>
      </c>
      <c r="W298" t="str">
        <f>IF(SUMIF($B$5:$B$914,B298,$S$5:$S$914)=SUMIF(DailyProduction!$Q$5:$Q$100,B298,DailyProduction!$R$5:$R$100),"OK","CHECK")</f>
        <v>OK</v>
      </c>
    </row>
    <row r="299" spans="1:23">
      <c r="A299" t="s">
        <v>713</v>
      </c>
      <c r="B299" t="s">
        <v>705</v>
      </c>
      <c r="C299" t="s">
        <v>30</v>
      </c>
      <c r="D299" s="7">
        <v>45954</v>
      </c>
      <c r="E299" t="s">
        <v>31</v>
      </c>
      <c r="F299" t="s">
        <v>32</v>
      </c>
      <c r="G299">
        <v>22</v>
      </c>
      <c r="H299" t="s">
        <v>47</v>
      </c>
      <c r="I299">
        <v>9</v>
      </c>
      <c r="J299">
        <v>10</v>
      </c>
      <c r="K299">
        <v>2</v>
      </c>
      <c r="L299">
        <f t="shared" si="28"/>
        <v>1</v>
      </c>
      <c r="P299">
        <f t="shared" si="29"/>
        <v>1</v>
      </c>
      <c r="Q299">
        <f t="shared" si="30"/>
        <v>1</v>
      </c>
      <c r="R299">
        <f t="shared" si="31"/>
        <v>0</v>
      </c>
      <c r="S299">
        <f t="shared" si="32"/>
        <v>2</v>
      </c>
      <c r="T299" t="str">
        <f t="shared" si="33"/>
        <v>DerivedFromCount</v>
      </c>
      <c r="U299" t="str">
        <f>IF(COUNTIF(DailyProduction!$Q$5:$Q$100,B299)=1,"OK","CHECK")</f>
        <v>OK</v>
      </c>
      <c r="V299" t="str">
        <f t="shared" si="34"/>
        <v>OK</v>
      </c>
      <c r="W299" t="str">
        <f>IF(SUMIF($B$5:$B$914,B299,$S$5:$S$914)=SUMIF(DailyProduction!$Q$5:$Q$100,B299,DailyProduction!$R$5:$R$100),"OK","CHECK")</f>
        <v>OK</v>
      </c>
    </row>
    <row r="300" spans="1:23">
      <c r="A300" t="s">
        <v>714</v>
      </c>
      <c r="B300" t="s">
        <v>705</v>
      </c>
      <c r="C300" t="s">
        <v>30</v>
      </c>
      <c r="D300" s="7">
        <v>45954</v>
      </c>
      <c r="E300" t="s">
        <v>31</v>
      </c>
      <c r="F300" t="s">
        <v>32</v>
      </c>
      <c r="G300">
        <v>22</v>
      </c>
      <c r="H300" t="s">
        <v>47</v>
      </c>
      <c r="I300">
        <v>10</v>
      </c>
      <c r="J300">
        <v>10</v>
      </c>
      <c r="K300">
        <v>2</v>
      </c>
      <c r="L300">
        <f t="shared" si="28"/>
        <v>1</v>
      </c>
      <c r="P300">
        <f t="shared" si="29"/>
        <v>1</v>
      </c>
      <c r="Q300">
        <f t="shared" si="30"/>
        <v>1</v>
      </c>
      <c r="R300">
        <f t="shared" si="31"/>
        <v>0</v>
      </c>
      <c r="S300">
        <f t="shared" si="32"/>
        <v>2</v>
      </c>
      <c r="T300" t="str">
        <f t="shared" si="33"/>
        <v>DerivedFromCount</v>
      </c>
      <c r="U300" t="str">
        <f>IF(COUNTIF(DailyProduction!$Q$5:$Q$100,B300)=1,"OK","CHECK")</f>
        <v>OK</v>
      </c>
      <c r="V300" t="str">
        <f t="shared" si="34"/>
        <v>OK</v>
      </c>
      <c r="W300" t="str">
        <f>IF(SUMIF($B$5:$B$914,B300,$S$5:$S$914)=SUMIF(DailyProduction!$Q$5:$Q$100,B300,DailyProduction!$R$5:$R$100),"OK","CHECK")</f>
        <v>OK</v>
      </c>
    </row>
    <row r="301" spans="1:23">
      <c r="A301" t="s">
        <v>715</v>
      </c>
      <c r="B301" t="s">
        <v>705</v>
      </c>
      <c r="C301" t="s">
        <v>30</v>
      </c>
      <c r="D301" s="7">
        <v>45954</v>
      </c>
      <c r="E301" t="s">
        <v>31</v>
      </c>
      <c r="F301" t="s">
        <v>32</v>
      </c>
      <c r="G301">
        <v>22</v>
      </c>
      <c r="H301" t="s">
        <v>47</v>
      </c>
      <c r="I301">
        <v>11</v>
      </c>
      <c r="J301">
        <v>10</v>
      </c>
      <c r="K301">
        <v>2</v>
      </c>
      <c r="L301">
        <f t="shared" si="28"/>
        <v>0</v>
      </c>
      <c r="P301">
        <f t="shared" si="29"/>
        <v>0</v>
      </c>
      <c r="Q301">
        <f t="shared" si="30"/>
        <v>0</v>
      </c>
      <c r="R301">
        <f t="shared" si="31"/>
        <v>0</v>
      </c>
      <c r="S301">
        <f t="shared" si="32"/>
        <v>0</v>
      </c>
      <c r="T301" t="str">
        <f t="shared" si="33"/>
        <v>DerivedFromCount</v>
      </c>
      <c r="U301" t="str">
        <f>IF(COUNTIF(DailyProduction!$Q$5:$Q$100,B301)=1,"OK","CHECK")</f>
        <v>OK</v>
      </c>
      <c r="V301" t="str">
        <f t="shared" si="34"/>
        <v>OK</v>
      </c>
      <c r="W301" t="str">
        <f>IF(SUMIF($B$5:$B$914,B301,$S$5:$S$914)=SUMIF(DailyProduction!$Q$5:$Q$100,B301,DailyProduction!$R$5:$R$100),"OK","CHECK")</f>
        <v>OK</v>
      </c>
    </row>
    <row r="302" spans="1:23">
      <c r="A302" t="s">
        <v>716</v>
      </c>
      <c r="B302" t="s">
        <v>705</v>
      </c>
      <c r="C302" t="s">
        <v>30</v>
      </c>
      <c r="D302" s="7">
        <v>45954</v>
      </c>
      <c r="E302" t="s">
        <v>31</v>
      </c>
      <c r="F302" t="s">
        <v>32</v>
      </c>
      <c r="G302">
        <v>22</v>
      </c>
      <c r="H302" t="s">
        <v>47</v>
      </c>
      <c r="I302">
        <v>12</v>
      </c>
      <c r="J302">
        <v>10</v>
      </c>
      <c r="K302">
        <v>2</v>
      </c>
      <c r="L302">
        <f t="shared" si="28"/>
        <v>0</v>
      </c>
      <c r="P302">
        <f t="shared" si="29"/>
        <v>0</v>
      </c>
      <c r="Q302">
        <f t="shared" si="30"/>
        <v>0</v>
      </c>
      <c r="R302">
        <f t="shared" si="31"/>
        <v>0</v>
      </c>
      <c r="S302">
        <f t="shared" si="32"/>
        <v>0</v>
      </c>
      <c r="T302" t="str">
        <f t="shared" si="33"/>
        <v>DerivedFromCount</v>
      </c>
      <c r="U302" t="str">
        <f>IF(COUNTIF(DailyProduction!$Q$5:$Q$100,B302)=1,"OK","CHECK")</f>
        <v>OK</v>
      </c>
      <c r="V302" t="str">
        <f t="shared" si="34"/>
        <v>OK</v>
      </c>
      <c r="W302" t="str">
        <f>IF(SUMIF($B$5:$B$914,B302,$S$5:$S$914)=SUMIF(DailyProduction!$Q$5:$Q$100,B302,DailyProduction!$R$5:$R$100),"OK","CHECK")</f>
        <v>OK</v>
      </c>
    </row>
    <row r="303" spans="1:23">
      <c r="A303" t="s">
        <v>717</v>
      </c>
      <c r="B303" t="s">
        <v>705</v>
      </c>
      <c r="C303" t="s">
        <v>30</v>
      </c>
      <c r="D303" s="7">
        <v>45954</v>
      </c>
      <c r="E303" t="s">
        <v>31</v>
      </c>
      <c r="F303" t="s">
        <v>32</v>
      </c>
      <c r="G303">
        <v>22</v>
      </c>
      <c r="H303" t="s">
        <v>47</v>
      </c>
      <c r="I303">
        <v>13</v>
      </c>
      <c r="J303">
        <v>10</v>
      </c>
      <c r="K303">
        <v>2</v>
      </c>
      <c r="L303">
        <f t="shared" si="28"/>
        <v>0</v>
      </c>
      <c r="P303">
        <f t="shared" si="29"/>
        <v>0</v>
      </c>
      <c r="Q303">
        <f t="shared" si="30"/>
        <v>0</v>
      </c>
      <c r="R303">
        <f t="shared" si="31"/>
        <v>0</v>
      </c>
      <c r="S303">
        <f t="shared" si="32"/>
        <v>0</v>
      </c>
      <c r="T303" t="str">
        <f t="shared" si="33"/>
        <v>DerivedFromCount</v>
      </c>
      <c r="U303" t="str">
        <f>IF(COUNTIF(DailyProduction!$Q$5:$Q$100,B303)=1,"OK","CHECK")</f>
        <v>OK</v>
      </c>
      <c r="V303" t="str">
        <f t="shared" si="34"/>
        <v>OK</v>
      </c>
      <c r="W303" t="str">
        <f>IF(SUMIF($B$5:$B$914,B303,$S$5:$S$914)=SUMIF(DailyProduction!$Q$5:$Q$100,B303,DailyProduction!$R$5:$R$100),"OK","CHECK")</f>
        <v>OK</v>
      </c>
    </row>
    <row r="304" spans="1:23">
      <c r="A304" t="s">
        <v>718</v>
      </c>
      <c r="B304" t="s">
        <v>719</v>
      </c>
      <c r="C304" t="s">
        <v>30</v>
      </c>
      <c r="D304" s="7">
        <v>45954</v>
      </c>
      <c r="E304" t="s">
        <v>79</v>
      </c>
      <c r="F304" t="s">
        <v>37</v>
      </c>
      <c r="G304">
        <v>22</v>
      </c>
      <c r="H304" t="s">
        <v>47</v>
      </c>
      <c r="I304">
        <v>1</v>
      </c>
      <c r="J304">
        <v>10</v>
      </c>
      <c r="K304">
        <v>2</v>
      </c>
      <c r="L304">
        <f t="shared" si="28"/>
        <v>1</v>
      </c>
      <c r="P304">
        <f t="shared" si="29"/>
        <v>1</v>
      </c>
      <c r="Q304">
        <f t="shared" si="30"/>
        <v>1</v>
      </c>
      <c r="R304">
        <f t="shared" si="31"/>
        <v>0</v>
      </c>
      <c r="S304">
        <f t="shared" si="32"/>
        <v>2</v>
      </c>
      <c r="T304" t="str">
        <f t="shared" si="33"/>
        <v>DerivedFromCount</v>
      </c>
      <c r="U304" t="str">
        <f>IF(COUNTIF(DailyProduction!$Q$5:$Q$100,B304)=1,"OK","CHECK")</f>
        <v>OK</v>
      </c>
      <c r="V304" t="str">
        <f t="shared" si="34"/>
        <v>OK</v>
      </c>
      <c r="W304" t="str">
        <f>IF(SUMIF($B$5:$B$914,B304,$S$5:$S$914)=SUMIF(DailyProduction!$Q$5:$Q$100,B304,DailyProduction!$R$5:$R$100),"OK","CHECK")</f>
        <v>OK</v>
      </c>
    </row>
    <row r="305" spans="1:23">
      <c r="A305" t="s">
        <v>720</v>
      </c>
      <c r="B305" t="s">
        <v>719</v>
      </c>
      <c r="C305" t="s">
        <v>30</v>
      </c>
      <c r="D305" s="7">
        <v>45954</v>
      </c>
      <c r="E305" t="s">
        <v>79</v>
      </c>
      <c r="F305" t="s">
        <v>37</v>
      </c>
      <c r="G305">
        <v>22</v>
      </c>
      <c r="H305" t="s">
        <v>47</v>
      </c>
      <c r="I305">
        <v>2</v>
      </c>
      <c r="J305">
        <v>10</v>
      </c>
      <c r="K305">
        <v>2</v>
      </c>
      <c r="L305">
        <f t="shared" si="28"/>
        <v>1</v>
      </c>
      <c r="P305">
        <f t="shared" si="29"/>
        <v>1</v>
      </c>
      <c r="Q305">
        <f t="shared" si="30"/>
        <v>1</v>
      </c>
      <c r="R305">
        <f t="shared" si="31"/>
        <v>0</v>
      </c>
      <c r="S305">
        <f t="shared" si="32"/>
        <v>2</v>
      </c>
      <c r="T305" t="str">
        <f t="shared" si="33"/>
        <v>DerivedFromCount</v>
      </c>
      <c r="U305" t="str">
        <f>IF(COUNTIF(DailyProduction!$Q$5:$Q$100,B305)=1,"OK","CHECK")</f>
        <v>OK</v>
      </c>
      <c r="V305" t="str">
        <f t="shared" si="34"/>
        <v>OK</v>
      </c>
      <c r="W305" t="str">
        <f>IF(SUMIF($B$5:$B$914,B305,$S$5:$S$914)=SUMIF(DailyProduction!$Q$5:$Q$100,B305,DailyProduction!$R$5:$R$100),"OK","CHECK")</f>
        <v>OK</v>
      </c>
    </row>
    <row r="306" spans="1:23">
      <c r="A306" t="s">
        <v>721</v>
      </c>
      <c r="B306" t="s">
        <v>719</v>
      </c>
      <c r="C306" t="s">
        <v>30</v>
      </c>
      <c r="D306" s="7">
        <v>45954</v>
      </c>
      <c r="E306" t="s">
        <v>79</v>
      </c>
      <c r="F306" t="s">
        <v>37</v>
      </c>
      <c r="G306">
        <v>22</v>
      </c>
      <c r="H306" t="s">
        <v>47</v>
      </c>
      <c r="I306">
        <v>3</v>
      </c>
      <c r="J306">
        <v>10</v>
      </c>
      <c r="K306">
        <v>2</v>
      </c>
      <c r="L306">
        <f t="shared" si="28"/>
        <v>1</v>
      </c>
      <c r="P306">
        <f t="shared" si="29"/>
        <v>1</v>
      </c>
      <c r="Q306">
        <f t="shared" si="30"/>
        <v>1</v>
      </c>
      <c r="R306">
        <f t="shared" si="31"/>
        <v>0</v>
      </c>
      <c r="S306">
        <f t="shared" si="32"/>
        <v>2</v>
      </c>
      <c r="T306" t="str">
        <f t="shared" si="33"/>
        <v>DerivedFromCount</v>
      </c>
      <c r="U306" t="str">
        <f>IF(COUNTIF(DailyProduction!$Q$5:$Q$100,B306)=1,"OK","CHECK")</f>
        <v>OK</v>
      </c>
      <c r="V306" t="str">
        <f t="shared" si="34"/>
        <v>OK</v>
      </c>
      <c r="W306" t="str">
        <f>IF(SUMIF($B$5:$B$914,B306,$S$5:$S$914)=SUMIF(DailyProduction!$Q$5:$Q$100,B306,DailyProduction!$R$5:$R$100),"OK","CHECK")</f>
        <v>OK</v>
      </c>
    </row>
    <row r="307" spans="1:23">
      <c r="A307" t="s">
        <v>722</v>
      </c>
      <c r="B307" t="s">
        <v>719</v>
      </c>
      <c r="C307" t="s">
        <v>30</v>
      </c>
      <c r="D307" s="7">
        <v>45954</v>
      </c>
      <c r="E307" t="s">
        <v>79</v>
      </c>
      <c r="F307" t="s">
        <v>37</v>
      </c>
      <c r="G307">
        <v>22</v>
      </c>
      <c r="H307" t="s">
        <v>47</v>
      </c>
      <c r="I307">
        <v>4</v>
      </c>
      <c r="J307">
        <v>10</v>
      </c>
      <c r="K307">
        <v>2</v>
      </c>
      <c r="L307">
        <f t="shared" si="28"/>
        <v>1</v>
      </c>
      <c r="P307">
        <f t="shared" si="29"/>
        <v>1</v>
      </c>
      <c r="Q307">
        <f t="shared" si="30"/>
        <v>1</v>
      </c>
      <c r="R307">
        <f t="shared" si="31"/>
        <v>0</v>
      </c>
      <c r="S307">
        <f t="shared" si="32"/>
        <v>2</v>
      </c>
      <c r="T307" t="str">
        <f t="shared" si="33"/>
        <v>DerivedFromCount</v>
      </c>
      <c r="U307" t="str">
        <f>IF(COUNTIF(DailyProduction!$Q$5:$Q$100,B307)=1,"OK","CHECK")</f>
        <v>OK</v>
      </c>
      <c r="V307" t="str">
        <f t="shared" si="34"/>
        <v>OK</v>
      </c>
      <c r="W307" t="str">
        <f>IF(SUMIF($B$5:$B$914,B307,$S$5:$S$914)=SUMIF(DailyProduction!$Q$5:$Q$100,B307,DailyProduction!$R$5:$R$100),"OK","CHECK")</f>
        <v>OK</v>
      </c>
    </row>
    <row r="308" spans="1:23">
      <c r="A308" t="s">
        <v>723</v>
      </c>
      <c r="B308" t="s">
        <v>719</v>
      </c>
      <c r="C308" t="s">
        <v>30</v>
      </c>
      <c r="D308" s="7">
        <v>45954</v>
      </c>
      <c r="E308" t="s">
        <v>79</v>
      </c>
      <c r="F308" t="s">
        <v>37</v>
      </c>
      <c r="G308">
        <v>22</v>
      </c>
      <c r="H308" t="s">
        <v>47</v>
      </c>
      <c r="I308">
        <v>5</v>
      </c>
      <c r="J308">
        <v>10</v>
      </c>
      <c r="K308">
        <v>2</v>
      </c>
      <c r="L308">
        <f t="shared" si="28"/>
        <v>1</v>
      </c>
      <c r="P308">
        <f t="shared" si="29"/>
        <v>1</v>
      </c>
      <c r="Q308">
        <f t="shared" si="30"/>
        <v>1</v>
      </c>
      <c r="R308">
        <f t="shared" si="31"/>
        <v>0</v>
      </c>
      <c r="S308">
        <f t="shared" si="32"/>
        <v>2</v>
      </c>
      <c r="T308" t="str">
        <f t="shared" si="33"/>
        <v>DerivedFromCount</v>
      </c>
      <c r="U308" t="str">
        <f>IF(COUNTIF(DailyProduction!$Q$5:$Q$100,B308)=1,"OK","CHECK")</f>
        <v>OK</v>
      </c>
      <c r="V308" t="str">
        <f t="shared" si="34"/>
        <v>OK</v>
      </c>
      <c r="W308" t="str">
        <f>IF(SUMIF($B$5:$B$914,B308,$S$5:$S$914)=SUMIF(DailyProduction!$Q$5:$Q$100,B308,DailyProduction!$R$5:$R$100),"OK","CHECK")</f>
        <v>OK</v>
      </c>
    </row>
    <row r="309" spans="1:23">
      <c r="A309" t="s">
        <v>724</v>
      </c>
      <c r="B309" t="s">
        <v>719</v>
      </c>
      <c r="C309" t="s">
        <v>30</v>
      </c>
      <c r="D309" s="7">
        <v>45954</v>
      </c>
      <c r="E309" t="s">
        <v>79</v>
      </c>
      <c r="F309" t="s">
        <v>37</v>
      </c>
      <c r="G309">
        <v>22</v>
      </c>
      <c r="H309" t="s">
        <v>47</v>
      </c>
      <c r="I309">
        <v>6</v>
      </c>
      <c r="J309">
        <v>10</v>
      </c>
      <c r="K309">
        <v>2</v>
      </c>
      <c r="L309">
        <f t="shared" si="28"/>
        <v>1</v>
      </c>
      <c r="P309">
        <f t="shared" si="29"/>
        <v>1</v>
      </c>
      <c r="Q309">
        <f t="shared" si="30"/>
        <v>1</v>
      </c>
      <c r="R309">
        <f t="shared" si="31"/>
        <v>0</v>
      </c>
      <c r="S309">
        <f t="shared" si="32"/>
        <v>2</v>
      </c>
      <c r="T309" t="str">
        <f t="shared" si="33"/>
        <v>DerivedFromCount</v>
      </c>
      <c r="U309" t="str">
        <f>IF(COUNTIF(DailyProduction!$Q$5:$Q$100,B309)=1,"OK","CHECK")</f>
        <v>OK</v>
      </c>
      <c r="V309" t="str">
        <f t="shared" si="34"/>
        <v>OK</v>
      </c>
      <c r="W309" t="str">
        <f>IF(SUMIF($B$5:$B$914,B309,$S$5:$S$914)=SUMIF(DailyProduction!$Q$5:$Q$100,B309,DailyProduction!$R$5:$R$100),"OK","CHECK")</f>
        <v>OK</v>
      </c>
    </row>
    <row r="310" spans="1:23">
      <c r="A310" t="s">
        <v>725</v>
      </c>
      <c r="B310" t="s">
        <v>719</v>
      </c>
      <c r="C310" t="s">
        <v>30</v>
      </c>
      <c r="D310" s="7">
        <v>45954</v>
      </c>
      <c r="E310" t="s">
        <v>79</v>
      </c>
      <c r="F310" t="s">
        <v>37</v>
      </c>
      <c r="G310">
        <v>22</v>
      </c>
      <c r="H310" t="s">
        <v>47</v>
      </c>
      <c r="I310">
        <v>7</v>
      </c>
      <c r="J310">
        <v>10</v>
      </c>
      <c r="K310">
        <v>2</v>
      </c>
      <c r="L310">
        <f t="shared" si="28"/>
        <v>1</v>
      </c>
      <c r="P310">
        <f t="shared" si="29"/>
        <v>1</v>
      </c>
      <c r="Q310">
        <f t="shared" si="30"/>
        <v>1</v>
      </c>
      <c r="R310">
        <f t="shared" si="31"/>
        <v>0</v>
      </c>
      <c r="S310">
        <f t="shared" si="32"/>
        <v>2</v>
      </c>
      <c r="T310" t="str">
        <f t="shared" si="33"/>
        <v>DerivedFromCount</v>
      </c>
      <c r="U310" t="str">
        <f>IF(COUNTIF(DailyProduction!$Q$5:$Q$100,B310)=1,"OK","CHECK")</f>
        <v>OK</v>
      </c>
      <c r="V310" t="str">
        <f t="shared" si="34"/>
        <v>OK</v>
      </c>
      <c r="W310" t="str">
        <f>IF(SUMIF($B$5:$B$914,B310,$S$5:$S$914)=SUMIF(DailyProduction!$Q$5:$Q$100,B310,DailyProduction!$R$5:$R$100),"OK","CHECK")</f>
        <v>OK</v>
      </c>
    </row>
    <row r="311" spans="1:23">
      <c r="A311" t="s">
        <v>726</v>
      </c>
      <c r="B311" t="s">
        <v>719</v>
      </c>
      <c r="C311" t="s">
        <v>30</v>
      </c>
      <c r="D311" s="7">
        <v>45954</v>
      </c>
      <c r="E311" t="s">
        <v>79</v>
      </c>
      <c r="F311" t="s">
        <v>37</v>
      </c>
      <c r="G311">
        <v>22</v>
      </c>
      <c r="H311" t="s">
        <v>47</v>
      </c>
      <c r="I311">
        <v>8</v>
      </c>
      <c r="J311">
        <v>10</v>
      </c>
      <c r="K311">
        <v>2</v>
      </c>
      <c r="L311">
        <f t="shared" si="28"/>
        <v>1</v>
      </c>
      <c r="P311">
        <f t="shared" si="29"/>
        <v>1</v>
      </c>
      <c r="Q311">
        <f t="shared" si="30"/>
        <v>1</v>
      </c>
      <c r="R311">
        <f t="shared" si="31"/>
        <v>0</v>
      </c>
      <c r="S311">
        <f t="shared" si="32"/>
        <v>2</v>
      </c>
      <c r="T311" t="str">
        <f t="shared" si="33"/>
        <v>DerivedFromCount</v>
      </c>
      <c r="U311" t="str">
        <f>IF(COUNTIF(DailyProduction!$Q$5:$Q$100,B311)=1,"OK","CHECK")</f>
        <v>OK</v>
      </c>
      <c r="V311" t="str">
        <f t="shared" si="34"/>
        <v>OK</v>
      </c>
      <c r="W311" t="str">
        <f>IF(SUMIF($B$5:$B$914,B311,$S$5:$S$914)=SUMIF(DailyProduction!$Q$5:$Q$100,B311,DailyProduction!$R$5:$R$100),"OK","CHECK")</f>
        <v>OK</v>
      </c>
    </row>
    <row r="312" spans="1:23">
      <c r="A312" t="s">
        <v>727</v>
      </c>
      <c r="B312" t="s">
        <v>719</v>
      </c>
      <c r="C312" t="s">
        <v>30</v>
      </c>
      <c r="D312" s="7">
        <v>45954</v>
      </c>
      <c r="E312" t="s">
        <v>79</v>
      </c>
      <c r="F312" t="s">
        <v>37</v>
      </c>
      <c r="G312">
        <v>22</v>
      </c>
      <c r="H312" t="s">
        <v>47</v>
      </c>
      <c r="I312">
        <v>9</v>
      </c>
      <c r="J312">
        <v>10</v>
      </c>
      <c r="K312">
        <v>2</v>
      </c>
      <c r="L312">
        <f t="shared" si="28"/>
        <v>1</v>
      </c>
      <c r="P312">
        <f t="shared" si="29"/>
        <v>1</v>
      </c>
      <c r="Q312">
        <f t="shared" si="30"/>
        <v>1</v>
      </c>
      <c r="R312">
        <f t="shared" si="31"/>
        <v>0</v>
      </c>
      <c r="S312">
        <f t="shared" si="32"/>
        <v>2</v>
      </c>
      <c r="T312" t="str">
        <f t="shared" si="33"/>
        <v>DerivedFromCount</v>
      </c>
      <c r="U312" t="str">
        <f>IF(COUNTIF(DailyProduction!$Q$5:$Q$100,B312)=1,"OK","CHECK")</f>
        <v>OK</v>
      </c>
      <c r="V312" t="str">
        <f t="shared" si="34"/>
        <v>OK</v>
      </c>
      <c r="W312" t="str">
        <f>IF(SUMIF($B$5:$B$914,B312,$S$5:$S$914)=SUMIF(DailyProduction!$Q$5:$Q$100,B312,DailyProduction!$R$5:$R$100),"OK","CHECK")</f>
        <v>OK</v>
      </c>
    </row>
    <row r="313" spans="1:23">
      <c r="A313" t="s">
        <v>728</v>
      </c>
      <c r="B313" t="s">
        <v>719</v>
      </c>
      <c r="C313" t="s">
        <v>30</v>
      </c>
      <c r="D313" s="7">
        <v>45954</v>
      </c>
      <c r="E313" t="s">
        <v>79</v>
      </c>
      <c r="F313" t="s">
        <v>37</v>
      </c>
      <c r="G313">
        <v>22</v>
      </c>
      <c r="H313" t="s">
        <v>47</v>
      </c>
      <c r="I313">
        <v>10</v>
      </c>
      <c r="J313">
        <v>10</v>
      </c>
      <c r="K313">
        <v>2</v>
      </c>
      <c r="L313">
        <f t="shared" si="28"/>
        <v>1</v>
      </c>
      <c r="P313">
        <f t="shared" si="29"/>
        <v>1</v>
      </c>
      <c r="Q313">
        <f t="shared" si="30"/>
        <v>1</v>
      </c>
      <c r="R313">
        <f t="shared" si="31"/>
        <v>0</v>
      </c>
      <c r="S313">
        <f t="shared" si="32"/>
        <v>2</v>
      </c>
      <c r="T313" t="str">
        <f t="shared" si="33"/>
        <v>DerivedFromCount</v>
      </c>
      <c r="U313" t="str">
        <f>IF(COUNTIF(DailyProduction!$Q$5:$Q$100,B313)=1,"OK","CHECK")</f>
        <v>OK</v>
      </c>
      <c r="V313" t="str">
        <f t="shared" si="34"/>
        <v>OK</v>
      </c>
      <c r="W313" t="str">
        <f>IF(SUMIF($B$5:$B$914,B313,$S$5:$S$914)=SUMIF(DailyProduction!$Q$5:$Q$100,B313,DailyProduction!$R$5:$R$100),"OK","CHECK")</f>
        <v>OK</v>
      </c>
    </row>
    <row r="314" spans="1:23">
      <c r="A314" t="s">
        <v>729</v>
      </c>
      <c r="B314" t="s">
        <v>719</v>
      </c>
      <c r="C314" t="s">
        <v>30</v>
      </c>
      <c r="D314" s="7">
        <v>45954</v>
      </c>
      <c r="E314" t="s">
        <v>79</v>
      </c>
      <c r="F314" t="s">
        <v>37</v>
      </c>
      <c r="G314">
        <v>22</v>
      </c>
      <c r="H314" t="s">
        <v>47</v>
      </c>
      <c r="I314">
        <v>11</v>
      </c>
      <c r="J314">
        <v>10</v>
      </c>
      <c r="K314">
        <v>2</v>
      </c>
      <c r="L314">
        <f t="shared" si="28"/>
        <v>0</v>
      </c>
      <c r="P314">
        <f t="shared" si="29"/>
        <v>0</v>
      </c>
      <c r="Q314">
        <f t="shared" si="30"/>
        <v>0</v>
      </c>
      <c r="R314">
        <f t="shared" si="31"/>
        <v>0</v>
      </c>
      <c r="S314">
        <f t="shared" si="32"/>
        <v>0</v>
      </c>
      <c r="T314" t="str">
        <f t="shared" si="33"/>
        <v>DerivedFromCount</v>
      </c>
      <c r="U314" t="str">
        <f>IF(COUNTIF(DailyProduction!$Q$5:$Q$100,B314)=1,"OK","CHECK")</f>
        <v>OK</v>
      </c>
      <c r="V314" t="str">
        <f t="shared" si="34"/>
        <v>OK</v>
      </c>
      <c r="W314" t="str">
        <f>IF(SUMIF($B$5:$B$914,B314,$S$5:$S$914)=SUMIF(DailyProduction!$Q$5:$Q$100,B314,DailyProduction!$R$5:$R$100),"OK","CHECK")</f>
        <v>OK</v>
      </c>
    </row>
    <row r="315" spans="1:23">
      <c r="A315" t="s">
        <v>730</v>
      </c>
      <c r="B315" t="s">
        <v>719</v>
      </c>
      <c r="C315" t="s">
        <v>30</v>
      </c>
      <c r="D315" s="7">
        <v>45954</v>
      </c>
      <c r="E315" t="s">
        <v>79</v>
      </c>
      <c r="F315" t="s">
        <v>37</v>
      </c>
      <c r="G315">
        <v>22</v>
      </c>
      <c r="H315" t="s">
        <v>47</v>
      </c>
      <c r="I315">
        <v>12</v>
      </c>
      <c r="J315">
        <v>10</v>
      </c>
      <c r="K315">
        <v>2</v>
      </c>
      <c r="L315">
        <f t="shared" si="28"/>
        <v>0</v>
      </c>
      <c r="P315">
        <f t="shared" si="29"/>
        <v>0</v>
      </c>
      <c r="Q315">
        <f t="shared" si="30"/>
        <v>0</v>
      </c>
      <c r="R315">
        <f t="shared" si="31"/>
        <v>0</v>
      </c>
      <c r="S315">
        <f t="shared" si="32"/>
        <v>0</v>
      </c>
      <c r="T315" t="str">
        <f t="shared" si="33"/>
        <v>DerivedFromCount</v>
      </c>
      <c r="U315" t="str">
        <f>IF(COUNTIF(DailyProduction!$Q$5:$Q$100,B315)=1,"OK","CHECK")</f>
        <v>OK</v>
      </c>
      <c r="V315" t="str">
        <f t="shared" si="34"/>
        <v>OK</v>
      </c>
      <c r="W315" t="str">
        <f>IF(SUMIF($B$5:$B$914,B315,$S$5:$S$914)=SUMIF(DailyProduction!$Q$5:$Q$100,B315,DailyProduction!$R$5:$R$100),"OK","CHECK")</f>
        <v>OK</v>
      </c>
    </row>
    <row r="316" spans="1:23">
      <c r="A316" t="s">
        <v>731</v>
      </c>
      <c r="B316" t="s">
        <v>719</v>
      </c>
      <c r="C316" t="s">
        <v>30</v>
      </c>
      <c r="D316" s="7">
        <v>45954</v>
      </c>
      <c r="E316" t="s">
        <v>79</v>
      </c>
      <c r="F316" t="s">
        <v>37</v>
      </c>
      <c r="G316">
        <v>22</v>
      </c>
      <c r="H316" t="s">
        <v>47</v>
      </c>
      <c r="I316">
        <v>13</v>
      </c>
      <c r="J316">
        <v>10</v>
      </c>
      <c r="K316">
        <v>2</v>
      </c>
      <c r="L316">
        <f t="shared" si="28"/>
        <v>0</v>
      </c>
      <c r="P316">
        <f t="shared" si="29"/>
        <v>0</v>
      </c>
      <c r="Q316">
        <f t="shared" si="30"/>
        <v>0</v>
      </c>
      <c r="R316">
        <f t="shared" si="31"/>
        <v>0</v>
      </c>
      <c r="S316">
        <f t="shared" si="32"/>
        <v>0</v>
      </c>
      <c r="T316" t="str">
        <f t="shared" si="33"/>
        <v>DerivedFromCount</v>
      </c>
      <c r="U316" t="str">
        <f>IF(COUNTIF(DailyProduction!$Q$5:$Q$100,B316)=1,"OK","CHECK")</f>
        <v>OK</v>
      </c>
      <c r="V316" t="str">
        <f t="shared" si="34"/>
        <v>OK</v>
      </c>
      <c r="W316" t="str">
        <f>IF(SUMIF($B$5:$B$914,B316,$S$5:$S$914)=SUMIF(DailyProduction!$Q$5:$Q$100,B316,DailyProduction!$R$5:$R$100),"OK","CHECK")</f>
        <v>OK</v>
      </c>
    </row>
    <row r="317" spans="1:23">
      <c r="A317" t="s">
        <v>732</v>
      </c>
      <c r="B317" t="s">
        <v>733</v>
      </c>
      <c r="C317" t="s">
        <v>30</v>
      </c>
      <c r="D317" s="7">
        <v>45955</v>
      </c>
      <c r="E317" t="s">
        <v>31</v>
      </c>
      <c r="F317" t="s">
        <v>37</v>
      </c>
      <c r="G317">
        <v>22</v>
      </c>
      <c r="H317" t="s">
        <v>47</v>
      </c>
      <c r="I317">
        <v>1</v>
      </c>
      <c r="J317">
        <v>10</v>
      </c>
      <c r="K317">
        <v>2</v>
      </c>
      <c r="L317">
        <f t="shared" si="28"/>
        <v>1</v>
      </c>
      <c r="P317">
        <f t="shared" si="29"/>
        <v>1</v>
      </c>
      <c r="Q317">
        <f t="shared" si="30"/>
        <v>1</v>
      </c>
      <c r="R317">
        <f t="shared" si="31"/>
        <v>0</v>
      </c>
      <c r="S317">
        <f t="shared" si="32"/>
        <v>2</v>
      </c>
      <c r="T317" t="str">
        <f t="shared" si="33"/>
        <v>DerivedFromCount</v>
      </c>
      <c r="U317" t="str">
        <f>IF(COUNTIF(DailyProduction!$Q$5:$Q$100,B317)=1,"OK","CHECK")</f>
        <v>OK</v>
      </c>
      <c r="V317" t="str">
        <f t="shared" si="34"/>
        <v>OK</v>
      </c>
      <c r="W317" t="str">
        <f>IF(SUMIF($B$5:$B$914,B317,$S$5:$S$914)=SUMIF(DailyProduction!$Q$5:$Q$100,B317,DailyProduction!$R$5:$R$100),"OK","CHECK")</f>
        <v>OK</v>
      </c>
    </row>
    <row r="318" spans="1:23">
      <c r="A318" t="s">
        <v>734</v>
      </c>
      <c r="B318" t="s">
        <v>733</v>
      </c>
      <c r="C318" t="s">
        <v>30</v>
      </c>
      <c r="D318" s="7">
        <v>45955</v>
      </c>
      <c r="E318" t="s">
        <v>31</v>
      </c>
      <c r="F318" t="s">
        <v>37</v>
      </c>
      <c r="G318">
        <v>22</v>
      </c>
      <c r="H318" t="s">
        <v>47</v>
      </c>
      <c r="I318">
        <v>2</v>
      </c>
      <c r="J318">
        <v>10</v>
      </c>
      <c r="K318">
        <v>2</v>
      </c>
      <c r="L318">
        <f t="shared" si="28"/>
        <v>1</v>
      </c>
      <c r="P318">
        <f t="shared" si="29"/>
        <v>1</v>
      </c>
      <c r="Q318">
        <f t="shared" si="30"/>
        <v>1</v>
      </c>
      <c r="R318">
        <f t="shared" si="31"/>
        <v>0</v>
      </c>
      <c r="S318">
        <f t="shared" si="32"/>
        <v>2</v>
      </c>
      <c r="T318" t="str">
        <f t="shared" si="33"/>
        <v>DerivedFromCount</v>
      </c>
      <c r="U318" t="str">
        <f>IF(COUNTIF(DailyProduction!$Q$5:$Q$100,B318)=1,"OK","CHECK")</f>
        <v>OK</v>
      </c>
      <c r="V318" t="str">
        <f t="shared" si="34"/>
        <v>OK</v>
      </c>
      <c r="W318" t="str">
        <f>IF(SUMIF($B$5:$B$914,B318,$S$5:$S$914)=SUMIF(DailyProduction!$Q$5:$Q$100,B318,DailyProduction!$R$5:$R$100),"OK","CHECK")</f>
        <v>OK</v>
      </c>
    </row>
    <row r="319" spans="1:23">
      <c r="A319" t="s">
        <v>735</v>
      </c>
      <c r="B319" t="s">
        <v>733</v>
      </c>
      <c r="C319" t="s">
        <v>30</v>
      </c>
      <c r="D319" s="7">
        <v>45955</v>
      </c>
      <c r="E319" t="s">
        <v>31</v>
      </c>
      <c r="F319" t="s">
        <v>37</v>
      </c>
      <c r="G319">
        <v>22</v>
      </c>
      <c r="H319" t="s">
        <v>47</v>
      </c>
      <c r="I319">
        <v>3</v>
      </c>
      <c r="J319">
        <v>10</v>
      </c>
      <c r="K319">
        <v>2</v>
      </c>
      <c r="L319">
        <f t="shared" si="28"/>
        <v>1</v>
      </c>
      <c r="P319">
        <f t="shared" si="29"/>
        <v>1</v>
      </c>
      <c r="Q319">
        <f t="shared" si="30"/>
        <v>1</v>
      </c>
      <c r="R319">
        <f t="shared" si="31"/>
        <v>0</v>
      </c>
      <c r="S319">
        <f t="shared" si="32"/>
        <v>2</v>
      </c>
      <c r="T319" t="str">
        <f t="shared" si="33"/>
        <v>DerivedFromCount</v>
      </c>
      <c r="U319" t="str">
        <f>IF(COUNTIF(DailyProduction!$Q$5:$Q$100,B319)=1,"OK","CHECK")</f>
        <v>OK</v>
      </c>
      <c r="V319" t="str">
        <f t="shared" si="34"/>
        <v>OK</v>
      </c>
      <c r="W319" t="str">
        <f>IF(SUMIF($B$5:$B$914,B319,$S$5:$S$914)=SUMIF(DailyProduction!$Q$5:$Q$100,B319,DailyProduction!$R$5:$R$100),"OK","CHECK")</f>
        <v>OK</v>
      </c>
    </row>
    <row r="320" spans="1:23">
      <c r="A320" t="s">
        <v>736</v>
      </c>
      <c r="B320" t="s">
        <v>733</v>
      </c>
      <c r="C320" t="s">
        <v>30</v>
      </c>
      <c r="D320" s="7">
        <v>45955</v>
      </c>
      <c r="E320" t="s">
        <v>31</v>
      </c>
      <c r="F320" t="s">
        <v>37</v>
      </c>
      <c r="G320">
        <v>22</v>
      </c>
      <c r="H320" t="s">
        <v>47</v>
      </c>
      <c r="I320">
        <v>4</v>
      </c>
      <c r="J320">
        <v>10</v>
      </c>
      <c r="K320">
        <v>2</v>
      </c>
      <c r="L320">
        <f t="shared" si="28"/>
        <v>1</v>
      </c>
      <c r="P320">
        <f t="shared" si="29"/>
        <v>1</v>
      </c>
      <c r="Q320">
        <f t="shared" si="30"/>
        <v>1</v>
      </c>
      <c r="R320">
        <f t="shared" si="31"/>
        <v>0</v>
      </c>
      <c r="S320">
        <f t="shared" si="32"/>
        <v>2</v>
      </c>
      <c r="T320" t="str">
        <f t="shared" si="33"/>
        <v>DerivedFromCount</v>
      </c>
      <c r="U320" t="str">
        <f>IF(COUNTIF(DailyProduction!$Q$5:$Q$100,B320)=1,"OK","CHECK")</f>
        <v>OK</v>
      </c>
      <c r="V320" t="str">
        <f t="shared" si="34"/>
        <v>OK</v>
      </c>
      <c r="W320" t="str">
        <f>IF(SUMIF($B$5:$B$914,B320,$S$5:$S$914)=SUMIF(DailyProduction!$Q$5:$Q$100,B320,DailyProduction!$R$5:$R$100),"OK","CHECK")</f>
        <v>OK</v>
      </c>
    </row>
    <row r="321" spans="1:23">
      <c r="A321" t="s">
        <v>737</v>
      </c>
      <c r="B321" t="s">
        <v>733</v>
      </c>
      <c r="C321" t="s">
        <v>30</v>
      </c>
      <c r="D321" s="7">
        <v>45955</v>
      </c>
      <c r="E321" t="s">
        <v>31</v>
      </c>
      <c r="F321" t="s">
        <v>37</v>
      </c>
      <c r="G321">
        <v>22</v>
      </c>
      <c r="H321" t="s">
        <v>47</v>
      </c>
      <c r="I321">
        <v>5</v>
      </c>
      <c r="J321">
        <v>10</v>
      </c>
      <c r="K321">
        <v>2</v>
      </c>
      <c r="L321">
        <f t="shared" si="28"/>
        <v>1</v>
      </c>
      <c r="P321">
        <f t="shared" si="29"/>
        <v>1</v>
      </c>
      <c r="Q321">
        <f t="shared" si="30"/>
        <v>1</v>
      </c>
      <c r="R321">
        <f t="shared" si="31"/>
        <v>0</v>
      </c>
      <c r="S321">
        <f t="shared" si="32"/>
        <v>2</v>
      </c>
      <c r="T321" t="str">
        <f t="shared" si="33"/>
        <v>DerivedFromCount</v>
      </c>
      <c r="U321" t="str">
        <f>IF(COUNTIF(DailyProduction!$Q$5:$Q$100,B321)=1,"OK","CHECK")</f>
        <v>OK</v>
      </c>
      <c r="V321" t="str">
        <f t="shared" si="34"/>
        <v>OK</v>
      </c>
      <c r="W321" t="str">
        <f>IF(SUMIF($B$5:$B$914,B321,$S$5:$S$914)=SUMIF(DailyProduction!$Q$5:$Q$100,B321,DailyProduction!$R$5:$R$100),"OK","CHECK")</f>
        <v>OK</v>
      </c>
    </row>
    <row r="322" spans="1:23">
      <c r="A322" t="s">
        <v>738</v>
      </c>
      <c r="B322" t="s">
        <v>733</v>
      </c>
      <c r="C322" t="s">
        <v>30</v>
      </c>
      <c r="D322" s="7">
        <v>45955</v>
      </c>
      <c r="E322" t="s">
        <v>31</v>
      </c>
      <c r="F322" t="s">
        <v>37</v>
      </c>
      <c r="G322">
        <v>22</v>
      </c>
      <c r="H322" t="s">
        <v>47</v>
      </c>
      <c r="I322">
        <v>6</v>
      </c>
      <c r="J322">
        <v>10</v>
      </c>
      <c r="K322">
        <v>2</v>
      </c>
      <c r="L322">
        <f t="shared" si="28"/>
        <v>1</v>
      </c>
      <c r="P322">
        <f t="shared" si="29"/>
        <v>1</v>
      </c>
      <c r="Q322">
        <f t="shared" si="30"/>
        <v>1</v>
      </c>
      <c r="R322">
        <f t="shared" si="31"/>
        <v>0</v>
      </c>
      <c r="S322">
        <f t="shared" si="32"/>
        <v>2</v>
      </c>
      <c r="T322" t="str">
        <f t="shared" si="33"/>
        <v>DerivedFromCount</v>
      </c>
      <c r="U322" t="str">
        <f>IF(COUNTIF(DailyProduction!$Q$5:$Q$100,B322)=1,"OK","CHECK")</f>
        <v>OK</v>
      </c>
      <c r="V322" t="str">
        <f t="shared" si="34"/>
        <v>OK</v>
      </c>
      <c r="W322" t="str">
        <f>IF(SUMIF($B$5:$B$914,B322,$S$5:$S$914)=SUMIF(DailyProduction!$Q$5:$Q$100,B322,DailyProduction!$R$5:$R$100),"OK","CHECK")</f>
        <v>OK</v>
      </c>
    </row>
    <row r="323" spans="1:23">
      <c r="A323" t="s">
        <v>739</v>
      </c>
      <c r="B323" t="s">
        <v>733</v>
      </c>
      <c r="C323" t="s">
        <v>30</v>
      </c>
      <c r="D323" s="7">
        <v>45955</v>
      </c>
      <c r="E323" t="s">
        <v>31</v>
      </c>
      <c r="F323" t="s">
        <v>37</v>
      </c>
      <c r="G323">
        <v>22</v>
      </c>
      <c r="H323" t="s">
        <v>47</v>
      </c>
      <c r="I323">
        <v>7</v>
      </c>
      <c r="J323">
        <v>10</v>
      </c>
      <c r="K323">
        <v>2</v>
      </c>
      <c r="L323">
        <f t="shared" si="28"/>
        <v>1</v>
      </c>
      <c r="P323">
        <f t="shared" si="29"/>
        <v>1</v>
      </c>
      <c r="Q323">
        <f t="shared" si="30"/>
        <v>1</v>
      </c>
      <c r="R323">
        <f t="shared" si="31"/>
        <v>0</v>
      </c>
      <c r="S323">
        <f t="shared" si="32"/>
        <v>2</v>
      </c>
      <c r="T323" t="str">
        <f t="shared" si="33"/>
        <v>DerivedFromCount</v>
      </c>
      <c r="U323" t="str">
        <f>IF(COUNTIF(DailyProduction!$Q$5:$Q$100,B323)=1,"OK","CHECK")</f>
        <v>OK</v>
      </c>
      <c r="V323" t="str">
        <f t="shared" si="34"/>
        <v>OK</v>
      </c>
      <c r="W323" t="str">
        <f>IF(SUMIF($B$5:$B$914,B323,$S$5:$S$914)=SUMIF(DailyProduction!$Q$5:$Q$100,B323,DailyProduction!$R$5:$R$100),"OK","CHECK")</f>
        <v>OK</v>
      </c>
    </row>
    <row r="324" spans="1:23">
      <c r="A324" t="s">
        <v>740</v>
      </c>
      <c r="B324" t="s">
        <v>733</v>
      </c>
      <c r="C324" t="s">
        <v>30</v>
      </c>
      <c r="D324" s="7">
        <v>45955</v>
      </c>
      <c r="E324" t="s">
        <v>31</v>
      </c>
      <c r="F324" t="s">
        <v>37</v>
      </c>
      <c r="G324">
        <v>22</v>
      </c>
      <c r="H324" t="s">
        <v>47</v>
      </c>
      <c r="I324">
        <v>8</v>
      </c>
      <c r="J324">
        <v>10</v>
      </c>
      <c r="K324">
        <v>2</v>
      </c>
      <c r="L324">
        <f t="shared" si="28"/>
        <v>1</v>
      </c>
      <c r="P324">
        <f t="shared" si="29"/>
        <v>1</v>
      </c>
      <c r="Q324">
        <f t="shared" si="30"/>
        <v>1</v>
      </c>
      <c r="R324">
        <f t="shared" si="31"/>
        <v>0</v>
      </c>
      <c r="S324">
        <f t="shared" si="32"/>
        <v>2</v>
      </c>
      <c r="T324" t="str">
        <f t="shared" si="33"/>
        <v>DerivedFromCount</v>
      </c>
      <c r="U324" t="str">
        <f>IF(COUNTIF(DailyProduction!$Q$5:$Q$100,B324)=1,"OK","CHECK")</f>
        <v>OK</v>
      </c>
      <c r="V324" t="str">
        <f t="shared" si="34"/>
        <v>OK</v>
      </c>
      <c r="W324" t="str">
        <f>IF(SUMIF($B$5:$B$914,B324,$S$5:$S$914)=SUMIF(DailyProduction!$Q$5:$Q$100,B324,DailyProduction!$R$5:$R$100),"OK","CHECK")</f>
        <v>OK</v>
      </c>
    </row>
    <row r="325" spans="1:23">
      <c r="A325" t="s">
        <v>741</v>
      </c>
      <c r="B325" t="s">
        <v>733</v>
      </c>
      <c r="C325" t="s">
        <v>30</v>
      </c>
      <c r="D325" s="7">
        <v>45955</v>
      </c>
      <c r="E325" t="s">
        <v>31</v>
      </c>
      <c r="F325" t="s">
        <v>37</v>
      </c>
      <c r="G325">
        <v>22</v>
      </c>
      <c r="H325" t="s">
        <v>47</v>
      </c>
      <c r="I325">
        <v>9</v>
      </c>
      <c r="J325">
        <v>10</v>
      </c>
      <c r="K325">
        <v>2</v>
      </c>
      <c r="L325">
        <f t="shared" ref="L325:L388" si="35">IF(I325&lt;=J325,1,0)</f>
        <v>1</v>
      </c>
      <c r="P325">
        <f t="shared" ref="P325:P388" si="36">IF(M325="",IF(AND(L325=1,K325&gt;=1),1,0),M325)</f>
        <v>1</v>
      </c>
      <c r="Q325">
        <f t="shared" ref="Q325:Q388" si="37">IF(N325="",IF(AND(L325=1,K325&gt;=2),1,0),N325)</f>
        <v>1</v>
      </c>
      <c r="R325">
        <f t="shared" ref="R325:R388" si="38">IF(O325="",IF(AND(L325=1,K325&gt;=3),1,0),O325)</f>
        <v>0</v>
      </c>
      <c r="S325">
        <f t="shared" ref="S325:S388" si="39">SUM(P325:R325)</f>
        <v>2</v>
      </c>
      <c r="T325" t="str">
        <f t="shared" ref="T325:T388" si="40">IF(COUNTA(M325:O325)=0,"DerivedFromCount","ManualOverride")</f>
        <v>DerivedFromCount</v>
      </c>
      <c r="U325" t="str">
        <f>IF(COUNTIF(DailyProduction!$Q$5:$Q$100,B325)=1,"OK","CHECK")</f>
        <v>OK</v>
      </c>
      <c r="V325" t="str">
        <f t="shared" ref="V325:V388" si="41">IF(AND(I325&gt;=1,I325&lt;=13,K325&gt;=1,K325&lt;=3),"OK","CHECK")</f>
        <v>OK</v>
      </c>
      <c r="W325" t="str">
        <f>IF(SUMIF($B$5:$B$914,B325,$S$5:$S$914)=SUMIF(DailyProduction!$Q$5:$Q$100,B325,DailyProduction!$R$5:$R$100),"OK","CHECK")</f>
        <v>OK</v>
      </c>
    </row>
    <row r="326" spans="1:23">
      <c r="A326" t="s">
        <v>742</v>
      </c>
      <c r="B326" t="s">
        <v>733</v>
      </c>
      <c r="C326" t="s">
        <v>30</v>
      </c>
      <c r="D326" s="7">
        <v>45955</v>
      </c>
      <c r="E326" t="s">
        <v>31</v>
      </c>
      <c r="F326" t="s">
        <v>37</v>
      </c>
      <c r="G326">
        <v>22</v>
      </c>
      <c r="H326" t="s">
        <v>47</v>
      </c>
      <c r="I326">
        <v>10</v>
      </c>
      <c r="J326">
        <v>10</v>
      </c>
      <c r="K326">
        <v>2</v>
      </c>
      <c r="L326">
        <f t="shared" si="35"/>
        <v>1</v>
      </c>
      <c r="P326">
        <f t="shared" si="36"/>
        <v>1</v>
      </c>
      <c r="Q326">
        <f t="shared" si="37"/>
        <v>1</v>
      </c>
      <c r="R326">
        <f t="shared" si="38"/>
        <v>0</v>
      </c>
      <c r="S326">
        <f t="shared" si="39"/>
        <v>2</v>
      </c>
      <c r="T326" t="str">
        <f t="shared" si="40"/>
        <v>DerivedFromCount</v>
      </c>
      <c r="U326" t="str">
        <f>IF(COUNTIF(DailyProduction!$Q$5:$Q$100,B326)=1,"OK","CHECK")</f>
        <v>OK</v>
      </c>
      <c r="V326" t="str">
        <f t="shared" si="41"/>
        <v>OK</v>
      </c>
      <c r="W326" t="str">
        <f>IF(SUMIF($B$5:$B$914,B326,$S$5:$S$914)=SUMIF(DailyProduction!$Q$5:$Q$100,B326,DailyProduction!$R$5:$R$100),"OK","CHECK")</f>
        <v>OK</v>
      </c>
    </row>
    <row r="327" spans="1:23">
      <c r="A327" t="s">
        <v>743</v>
      </c>
      <c r="B327" t="s">
        <v>733</v>
      </c>
      <c r="C327" t="s">
        <v>30</v>
      </c>
      <c r="D327" s="7">
        <v>45955</v>
      </c>
      <c r="E327" t="s">
        <v>31</v>
      </c>
      <c r="F327" t="s">
        <v>37</v>
      </c>
      <c r="G327">
        <v>22</v>
      </c>
      <c r="H327" t="s">
        <v>47</v>
      </c>
      <c r="I327">
        <v>11</v>
      </c>
      <c r="J327">
        <v>10</v>
      </c>
      <c r="K327">
        <v>2</v>
      </c>
      <c r="L327">
        <f t="shared" si="35"/>
        <v>0</v>
      </c>
      <c r="P327">
        <f t="shared" si="36"/>
        <v>0</v>
      </c>
      <c r="Q327">
        <f t="shared" si="37"/>
        <v>0</v>
      </c>
      <c r="R327">
        <f t="shared" si="38"/>
        <v>0</v>
      </c>
      <c r="S327">
        <f t="shared" si="39"/>
        <v>0</v>
      </c>
      <c r="T327" t="str">
        <f t="shared" si="40"/>
        <v>DerivedFromCount</v>
      </c>
      <c r="U327" t="str">
        <f>IF(COUNTIF(DailyProduction!$Q$5:$Q$100,B327)=1,"OK","CHECK")</f>
        <v>OK</v>
      </c>
      <c r="V327" t="str">
        <f t="shared" si="41"/>
        <v>OK</v>
      </c>
      <c r="W327" t="str">
        <f>IF(SUMIF($B$5:$B$914,B327,$S$5:$S$914)=SUMIF(DailyProduction!$Q$5:$Q$100,B327,DailyProduction!$R$5:$R$100),"OK","CHECK")</f>
        <v>OK</v>
      </c>
    </row>
    <row r="328" spans="1:23">
      <c r="A328" t="s">
        <v>744</v>
      </c>
      <c r="B328" t="s">
        <v>733</v>
      </c>
      <c r="C328" t="s">
        <v>30</v>
      </c>
      <c r="D328" s="7">
        <v>45955</v>
      </c>
      <c r="E328" t="s">
        <v>31</v>
      </c>
      <c r="F328" t="s">
        <v>37</v>
      </c>
      <c r="G328">
        <v>22</v>
      </c>
      <c r="H328" t="s">
        <v>47</v>
      </c>
      <c r="I328">
        <v>12</v>
      </c>
      <c r="J328">
        <v>10</v>
      </c>
      <c r="K328">
        <v>2</v>
      </c>
      <c r="L328">
        <f t="shared" si="35"/>
        <v>0</v>
      </c>
      <c r="P328">
        <f t="shared" si="36"/>
        <v>0</v>
      </c>
      <c r="Q328">
        <f t="shared" si="37"/>
        <v>0</v>
      </c>
      <c r="R328">
        <f t="shared" si="38"/>
        <v>0</v>
      </c>
      <c r="S328">
        <f t="shared" si="39"/>
        <v>0</v>
      </c>
      <c r="T328" t="str">
        <f t="shared" si="40"/>
        <v>DerivedFromCount</v>
      </c>
      <c r="U328" t="str">
        <f>IF(COUNTIF(DailyProduction!$Q$5:$Q$100,B328)=1,"OK","CHECK")</f>
        <v>OK</v>
      </c>
      <c r="V328" t="str">
        <f t="shared" si="41"/>
        <v>OK</v>
      </c>
      <c r="W328" t="str">
        <f>IF(SUMIF($B$5:$B$914,B328,$S$5:$S$914)=SUMIF(DailyProduction!$Q$5:$Q$100,B328,DailyProduction!$R$5:$R$100),"OK","CHECK")</f>
        <v>OK</v>
      </c>
    </row>
    <row r="329" spans="1:23">
      <c r="A329" t="s">
        <v>745</v>
      </c>
      <c r="B329" t="s">
        <v>733</v>
      </c>
      <c r="C329" t="s">
        <v>30</v>
      </c>
      <c r="D329" s="7">
        <v>45955</v>
      </c>
      <c r="E329" t="s">
        <v>31</v>
      </c>
      <c r="F329" t="s">
        <v>37</v>
      </c>
      <c r="G329">
        <v>22</v>
      </c>
      <c r="H329" t="s">
        <v>47</v>
      </c>
      <c r="I329">
        <v>13</v>
      </c>
      <c r="J329">
        <v>10</v>
      </c>
      <c r="K329">
        <v>2</v>
      </c>
      <c r="L329">
        <f t="shared" si="35"/>
        <v>0</v>
      </c>
      <c r="P329">
        <f t="shared" si="36"/>
        <v>0</v>
      </c>
      <c r="Q329">
        <f t="shared" si="37"/>
        <v>0</v>
      </c>
      <c r="R329">
        <f t="shared" si="38"/>
        <v>0</v>
      </c>
      <c r="S329">
        <f t="shared" si="39"/>
        <v>0</v>
      </c>
      <c r="T329" t="str">
        <f t="shared" si="40"/>
        <v>DerivedFromCount</v>
      </c>
      <c r="U329" t="str">
        <f>IF(COUNTIF(DailyProduction!$Q$5:$Q$100,B329)=1,"OK","CHECK")</f>
        <v>OK</v>
      </c>
      <c r="V329" t="str">
        <f t="shared" si="41"/>
        <v>OK</v>
      </c>
      <c r="W329" t="str">
        <f>IF(SUMIF($B$5:$B$914,B329,$S$5:$S$914)=SUMIF(DailyProduction!$Q$5:$Q$100,B329,DailyProduction!$R$5:$R$100),"OK","CHECK")</f>
        <v>OK</v>
      </c>
    </row>
    <row r="330" spans="1:23">
      <c r="A330" t="s">
        <v>746</v>
      </c>
      <c r="B330" t="s">
        <v>747</v>
      </c>
      <c r="C330" t="s">
        <v>30</v>
      </c>
      <c r="D330" s="7">
        <v>45955</v>
      </c>
      <c r="E330" t="s">
        <v>79</v>
      </c>
      <c r="F330" t="s">
        <v>41</v>
      </c>
      <c r="G330">
        <v>22</v>
      </c>
      <c r="H330" t="s">
        <v>47</v>
      </c>
      <c r="I330">
        <v>1</v>
      </c>
      <c r="J330">
        <v>10</v>
      </c>
      <c r="K330">
        <v>2</v>
      </c>
      <c r="L330">
        <f t="shared" si="35"/>
        <v>1</v>
      </c>
      <c r="P330">
        <f t="shared" si="36"/>
        <v>1</v>
      </c>
      <c r="Q330">
        <f t="shared" si="37"/>
        <v>1</v>
      </c>
      <c r="R330">
        <f t="shared" si="38"/>
        <v>0</v>
      </c>
      <c r="S330">
        <f t="shared" si="39"/>
        <v>2</v>
      </c>
      <c r="T330" t="str">
        <f t="shared" si="40"/>
        <v>DerivedFromCount</v>
      </c>
      <c r="U330" t="str">
        <f>IF(COUNTIF(DailyProduction!$Q$5:$Q$100,B330)=1,"OK","CHECK")</f>
        <v>OK</v>
      </c>
      <c r="V330" t="str">
        <f t="shared" si="41"/>
        <v>OK</v>
      </c>
      <c r="W330" t="str">
        <f>IF(SUMIF($B$5:$B$914,B330,$S$5:$S$914)=SUMIF(DailyProduction!$Q$5:$Q$100,B330,DailyProduction!$R$5:$R$100),"OK","CHECK")</f>
        <v>OK</v>
      </c>
    </row>
    <row r="331" spans="1:23">
      <c r="A331" t="s">
        <v>748</v>
      </c>
      <c r="B331" t="s">
        <v>747</v>
      </c>
      <c r="C331" t="s">
        <v>30</v>
      </c>
      <c r="D331" s="7">
        <v>45955</v>
      </c>
      <c r="E331" t="s">
        <v>79</v>
      </c>
      <c r="F331" t="s">
        <v>41</v>
      </c>
      <c r="G331">
        <v>22</v>
      </c>
      <c r="H331" t="s">
        <v>47</v>
      </c>
      <c r="I331">
        <v>2</v>
      </c>
      <c r="J331">
        <v>10</v>
      </c>
      <c r="K331">
        <v>2</v>
      </c>
      <c r="L331">
        <f t="shared" si="35"/>
        <v>1</v>
      </c>
      <c r="P331">
        <f t="shared" si="36"/>
        <v>1</v>
      </c>
      <c r="Q331">
        <f t="shared" si="37"/>
        <v>1</v>
      </c>
      <c r="R331">
        <f t="shared" si="38"/>
        <v>0</v>
      </c>
      <c r="S331">
        <f t="shared" si="39"/>
        <v>2</v>
      </c>
      <c r="T331" t="str">
        <f t="shared" si="40"/>
        <v>DerivedFromCount</v>
      </c>
      <c r="U331" t="str">
        <f>IF(COUNTIF(DailyProduction!$Q$5:$Q$100,B331)=1,"OK","CHECK")</f>
        <v>OK</v>
      </c>
      <c r="V331" t="str">
        <f t="shared" si="41"/>
        <v>OK</v>
      </c>
      <c r="W331" t="str">
        <f>IF(SUMIF($B$5:$B$914,B331,$S$5:$S$914)=SUMIF(DailyProduction!$Q$5:$Q$100,B331,DailyProduction!$R$5:$R$100),"OK","CHECK")</f>
        <v>OK</v>
      </c>
    </row>
    <row r="332" spans="1:23">
      <c r="A332" t="s">
        <v>749</v>
      </c>
      <c r="B332" t="s">
        <v>747</v>
      </c>
      <c r="C332" t="s">
        <v>30</v>
      </c>
      <c r="D332" s="7">
        <v>45955</v>
      </c>
      <c r="E332" t="s">
        <v>79</v>
      </c>
      <c r="F332" t="s">
        <v>41</v>
      </c>
      <c r="G332">
        <v>22</v>
      </c>
      <c r="H332" t="s">
        <v>47</v>
      </c>
      <c r="I332">
        <v>3</v>
      </c>
      <c r="J332">
        <v>10</v>
      </c>
      <c r="K332">
        <v>2</v>
      </c>
      <c r="L332">
        <f t="shared" si="35"/>
        <v>1</v>
      </c>
      <c r="P332">
        <f t="shared" si="36"/>
        <v>1</v>
      </c>
      <c r="Q332">
        <f t="shared" si="37"/>
        <v>1</v>
      </c>
      <c r="R332">
        <f t="shared" si="38"/>
        <v>0</v>
      </c>
      <c r="S332">
        <f t="shared" si="39"/>
        <v>2</v>
      </c>
      <c r="T332" t="str">
        <f t="shared" si="40"/>
        <v>DerivedFromCount</v>
      </c>
      <c r="U332" t="str">
        <f>IF(COUNTIF(DailyProduction!$Q$5:$Q$100,B332)=1,"OK","CHECK")</f>
        <v>OK</v>
      </c>
      <c r="V332" t="str">
        <f t="shared" si="41"/>
        <v>OK</v>
      </c>
      <c r="W332" t="str">
        <f>IF(SUMIF($B$5:$B$914,B332,$S$5:$S$914)=SUMIF(DailyProduction!$Q$5:$Q$100,B332,DailyProduction!$R$5:$R$100),"OK","CHECK")</f>
        <v>OK</v>
      </c>
    </row>
    <row r="333" spans="1:23">
      <c r="A333" t="s">
        <v>750</v>
      </c>
      <c r="B333" t="s">
        <v>747</v>
      </c>
      <c r="C333" t="s">
        <v>30</v>
      </c>
      <c r="D333" s="7">
        <v>45955</v>
      </c>
      <c r="E333" t="s">
        <v>79</v>
      </c>
      <c r="F333" t="s">
        <v>41</v>
      </c>
      <c r="G333">
        <v>22</v>
      </c>
      <c r="H333" t="s">
        <v>47</v>
      </c>
      <c r="I333">
        <v>4</v>
      </c>
      <c r="J333">
        <v>10</v>
      </c>
      <c r="K333">
        <v>2</v>
      </c>
      <c r="L333">
        <f t="shared" si="35"/>
        <v>1</v>
      </c>
      <c r="P333">
        <f t="shared" si="36"/>
        <v>1</v>
      </c>
      <c r="Q333">
        <f t="shared" si="37"/>
        <v>1</v>
      </c>
      <c r="R333">
        <f t="shared" si="38"/>
        <v>0</v>
      </c>
      <c r="S333">
        <f t="shared" si="39"/>
        <v>2</v>
      </c>
      <c r="T333" t="str">
        <f t="shared" si="40"/>
        <v>DerivedFromCount</v>
      </c>
      <c r="U333" t="str">
        <f>IF(COUNTIF(DailyProduction!$Q$5:$Q$100,B333)=1,"OK","CHECK")</f>
        <v>OK</v>
      </c>
      <c r="V333" t="str">
        <f t="shared" si="41"/>
        <v>OK</v>
      </c>
      <c r="W333" t="str">
        <f>IF(SUMIF($B$5:$B$914,B333,$S$5:$S$914)=SUMIF(DailyProduction!$Q$5:$Q$100,B333,DailyProduction!$R$5:$R$100),"OK","CHECK")</f>
        <v>OK</v>
      </c>
    </row>
    <row r="334" spans="1:23">
      <c r="A334" t="s">
        <v>751</v>
      </c>
      <c r="B334" t="s">
        <v>747</v>
      </c>
      <c r="C334" t="s">
        <v>30</v>
      </c>
      <c r="D334" s="7">
        <v>45955</v>
      </c>
      <c r="E334" t="s">
        <v>79</v>
      </c>
      <c r="F334" t="s">
        <v>41</v>
      </c>
      <c r="G334">
        <v>22</v>
      </c>
      <c r="H334" t="s">
        <v>47</v>
      </c>
      <c r="I334">
        <v>5</v>
      </c>
      <c r="J334">
        <v>10</v>
      </c>
      <c r="K334">
        <v>2</v>
      </c>
      <c r="L334">
        <f t="shared" si="35"/>
        <v>1</v>
      </c>
      <c r="P334">
        <f t="shared" si="36"/>
        <v>1</v>
      </c>
      <c r="Q334">
        <f t="shared" si="37"/>
        <v>1</v>
      </c>
      <c r="R334">
        <f t="shared" si="38"/>
        <v>0</v>
      </c>
      <c r="S334">
        <f t="shared" si="39"/>
        <v>2</v>
      </c>
      <c r="T334" t="str">
        <f t="shared" si="40"/>
        <v>DerivedFromCount</v>
      </c>
      <c r="U334" t="str">
        <f>IF(COUNTIF(DailyProduction!$Q$5:$Q$100,B334)=1,"OK","CHECK")</f>
        <v>OK</v>
      </c>
      <c r="V334" t="str">
        <f t="shared" si="41"/>
        <v>OK</v>
      </c>
      <c r="W334" t="str">
        <f>IF(SUMIF($B$5:$B$914,B334,$S$5:$S$914)=SUMIF(DailyProduction!$Q$5:$Q$100,B334,DailyProduction!$R$5:$R$100),"OK","CHECK")</f>
        <v>OK</v>
      </c>
    </row>
    <row r="335" spans="1:23">
      <c r="A335" t="s">
        <v>752</v>
      </c>
      <c r="B335" t="s">
        <v>747</v>
      </c>
      <c r="C335" t="s">
        <v>30</v>
      </c>
      <c r="D335" s="7">
        <v>45955</v>
      </c>
      <c r="E335" t="s">
        <v>79</v>
      </c>
      <c r="F335" t="s">
        <v>41</v>
      </c>
      <c r="G335">
        <v>22</v>
      </c>
      <c r="H335" t="s">
        <v>47</v>
      </c>
      <c r="I335">
        <v>6</v>
      </c>
      <c r="J335">
        <v>10</v>
      </c>
      <c r="K335">
        <v>2</v>
      </c>
      <c r="L335">
        <f t="shared" si="35"/>
        <v>1</v>
      </c>
      <c r="P335">
        <f t="shared" si="36"/>
        <v>1</v>
      </c>
      <c r="Q335">
        <f t="shared" si="37"/>
        <v>1</v>
      </c>
      <c r="R335">
        <f t="shared" si="38"/>
        <v>0</v>
      </c>
      <c r="S335">
        <f t="shared" si="39"/>
        <v>2</v>
      </c>
      <c r="T335" t="str">
        <f t="shared" si="40"/>
        <v>DerivedFromCount</v>
      </c>
      <c r="U335" t="str">
        <f>IF(COUNTIF(DailyProduction!$Q$5:$Q$100,B335)=1,"OK","CHECK")</f>
        <v>OK</v>
      </c>
      <c r="V335" t="str">
        <f t="shared" si="41"/>
        <v>OK</v>
      </c>
      <c r="W335" t="str">
        <f>IF(SUMIF($B$5:$B$914,B335,$S$5:$S$914)=SUMIF(DailyProduction!$Q$5:$Q$100,B335,DailyProduction!$R$5:$R$100),"OK","CHECK")</f>
        <v>OK</v>
      </c>
    </row>
    <row r="336" spans="1:23">
      <c r="A336" t="s">
        <v>753</v>
      </c>
      <c r="B336" t="s">
        <v>747</v>
      </c>
      <c r="C336" t="s">
        <v>30</v>
      </c>
      <c r="D336" s="7">
        <v>45955</v>
      </c>
      <c r="E336" t="s">
        <v>79</v>
      </c>
      <c r="F336" t="s">
        <v>41</v>
      </c>
      <c r="G336">
        <v>22</v>
      </c>
      <c r="H336" t="s">
        <v>47</v>
      </c>
      <c r="I336">
        <v>7</v>
      </c>
      <c r="J336">
        <v>10</v>
      </c>
      <c r="K336">
        <v>2</v>
      </c>
      <c r="L336">
        <f t="shared" si="35"/>
        <v>1</v>
      </c>
      <c r="P336">
        <f t="shared" si="36"/>
        <v>1</v>
      </c>
      <c r="Q336">
        <f t="shared" si="37"/>
        <v>1</v>
      </c>
      <c r="R336">
        <f t="shared" si="38"/>
        <v>0</v>
      </c>
      <c r="S336">
        <f t="shared" si="39"/>
        <v>2</v>
      </c>
      <c r="T336" t="str">
        <f t="shared" si="40"/>
        <v>DerivedFromCount</v>
      </c>
      <c r="U336" t="str">
        <f>IF(COUNTIF(DailyProduction!$Q$5:$Q$100,B336)=1,"OK","CHECK")</f>
        <v>OK</v>
      </c>
      <c r="V336" t="str">
        <f t="shared" si="41"/>
        <v>OK</v>
      </c>
      <c r="W336" t="str">
        <f>IF(SUMIF($B$5:$B$914,B336,$S$5:$S$914)=SUMIF(DailyProduction!$Q$5:$Q$100,B336,DailyProduction!$R$5:$R$100),"OK","CHECK")</f>
        <v>OK</v>
      </c>
    </row>
    <row r="337" spans="1:23">
      <c r="A337" t="s">
        <v>754</v>
      </c>
      <c r="B337" t="s">
        <v>747</v>
      </c>
      <c r="C337" t="s">
        <v>30</v>
      </c>
      <c r="D337" s="7">
        <v>45955</v>
      </c>
      <c r="E337" t="s">
        <v>79</v>
      </c>
      <c r="F337" t="s">
        <v>41</v>
      </c>
      <c r="G337">
        <v>22</v>
      </c>
      <c r="H337" t="s">
        <v>47</v>
      </c>
      <c r="I337">
        <v>8</v>
      </c>
      <c r="J337">
        <v>10</v>
      </c>
      <c r="K337">
        <v>2</v>
      </c>
      <c r="L337">
        <f t="shared" si="35"/>
        <v>1</v>
      </c>
      <c r="P337">
        <f t="shared" si="36"/>
        <v>1</v>
      </c>
      <c r="Q337">
        <f t="shared" si="37"/>
        <v>1</v>
      </c>
      <c r="R337">
        <f t="shared" si="38"/>
        <v>0</v>
      </c>
      <c r="S337">
        <f t="shared" si="39"/>
        <v>2</v>
      </c>
      <c r="T337" t="str">
        <f t="shared" si="40"/>
        <v>DerivedFromCount</v>
      </c>
      <c r="U337" t="str">
        <f>IF(COUNTIF(DailyProduction!$Q$5:$Q$100,B337)=1,"OK","CHECK")</f>
        <v>OK</v>
      </c>
      <c r="V337" t="str">
        <f t="shared" si="41"/>
        <v>OK</v>
      </c>
      <c r="W337" t="str">
        <f>IF(SUMIF($B$5:$B$914,B337,$S$5:$S$914)=SUMIF(DailyProduction!$Q$5:$Q$100,B337,DailyProduction!$R$5:$R$100),"OK","CHECK")</f>
        <v>OK</v>
      </c>
    </row>
    <row r="338" spans="1:23">
      <c r="A338" t="s">
        <v>755</v>
      </c>
      <c r="B338" t="s">
        <v>747</v>
      </c>
      <c r="C338" t="s">
        <v>30</v>
      </c>
      <c r="D338" s="7">
        <v>45955</v>
      </c>
      <c r="E338" t="s">
        <v>79</v>
      </c>
      <c r="F338" t="s">
        <v>41</v>
      </c>
      <c r="G338">
        <v>22</v>
      </c>
      <c r="H338" t="s">
        <v>47</v>
      </c>
      <c r="I338">
        <v>9</v>
      </c>
      <c r="J338">
        <v>10</v>
      </c>
      <c r="K338">
        <v>2</v>
      </c>
      <c r="L338">
        <f t="shared" si="35"/>
        <v>1</v>
      </c>
      <c r="P338">
        <f t="shared" si="36"/>
        <v>1</v>
      </c>
      <c r="Q338">
        <f t="shared" si="37"/>
        <v>1</v>
      </c>
      <c r="R338">
        <f t="shared" si="38"/>
        <v>0</v>
      </c>
      <c r="S338">
        <f t="shared" si="39"/>
        <v>2</v>
      </c>
      <c r="T338" t="str">
        <f t="shared" si="40"/>
        <v>DerivedFromCount</v>
      </c>
      <c r="U338" t="str">
        <f>IF(COUNTIF(DailyProduction!$Q$5:$Q$100,B338)=1,"OK","CHECK")</f>
        <v>OK</v>
      </c>
      <c r="V338" t="str">
        <f t="shared" si="41"/>
        <v>OK</v>
      </c>
      <c r="W338" t="str">
        <f>IF(SUMIF($B$5:$B$914,B338,$S$5:$S$914)=SUMIF(DailyProduction!$Q$5:$Q$100,B338,DailyProduction!$R$5:$R$100),"OK","CHECK")</f>
        <v>OK</v>
      </c>
    </row>
    <row r="339" spans="1:23">
      <c r="A339" t="s">
        <v>756</v>
      </c>
      <c r="B339" t="s">
        <v>747</v>
      </c>
      <c r="C339" t="s">
        <v>30</v>
      </c>
      <c r="D339" s="7">
        <v>45955</v>
      </c>
      <c r="E339" t="s">
        <v>79</v>
      </c>
      <c r="F339" t="s">
        <v>41</v>
      </c>
      <c r="G339">
        <v>22</v>
      </c>
      <c r="H339" t="s">
        <v>47</v>
      </c>
      <c r="I339">
        <v>10</v>
      </c>
      <c r="J339">
        <v>10</v>
      </c>
      <c r="K339">
        <v>2</v>
      </c>
      <c r="L339">
        <f t="shared" si="35"/>
        <v>1</v>
      </c>
      <c r="P339">
        <f t="shared" si="36"/>
        <v>1</v>
      </c>
      <c r="Q339">
        <f t="shared" si="37"/>
        <v>1</v>
      </c>
      <c r="R339">
        <f t="shared" si="38"/>
        <v>0</v>
      </c>
      <c r="S339">
        <f t="shared" si="39"/>
        <v>2</v>
      </c>
      <c r="T339" t="str">
        <f t="shared" si="40"/>
        <v>DerivedFromCount</v>
      </c>
      <c r="U339" t="str">
        <f>IF(COUNTIF(DailyProduction!$Q$5:$Q$100,B339)=1,"OK","CHECK")</f>
        <v>OK</v>
      </c>
      <c r="V339" t="str">
        <f t="shared" si="41"/>
        <v>OK</v>
      </c>
      <c r="W339" t="str">
        <f>IF(SUMIF($B$5:$B$914,B339,$S$5:$S$914)=SUMIF(DailyProduction!$Q$5:$Q$100,B339,DailyProduction!$R$5:$R$100),"OK","CHECK")</f>
        <v>OK</v>
      </c>
    </row>
    <row r="340" spans="1:23">
      <c r="A340" t="s">
        <v>757</v>
      </c>
      <c r="B340" t="s">
        <v>747</v>
      </c>
      <c r="C340" t="s">
        <v>30</v>
      </c>
      <c r="D340" s="7">
        <v>45955</v>
      </c>
      <c r="E340" t="s">
        <v>79</v>
      </c>
      <c r="F340" t="s">
        <v>41</v>
      </c>
      <c r="G340">
        <v>22</v>
      </c>
      <c r="H340" t="s">
        <v>47</v>
      </c>
      <c r="I340">
        <v>11</v>
      </c>
      <c r="J340">
        <v>10</v>
      </c>
      <c r="K340">
        <v>2</v>
      </c>
      <c r="L340">
        <f t="shared" si="35"/>
        <v>0</v>
      </c>
      <c r="P340">
        <f t="shared" si="36"/>
        <v>0</v>
      </c>
      <c r="Q340">
        <f t="shared" si="37"/>
        <v>0</v>
      </c>
      <c r="R340">
        <f t="shared" si="38"/>
        <v>0</v>
      </c>
      <c r="S340">
        <f t="shared" si="39"/>
        <v>0</v>
      </c>
      <c r="T340" t="str">
        <f t="shared" si="40"/>
        <v>DerivedFromCount</v>
      </c>
      <c r="U340" t="str">
        <f>IF(COUNTIF(DailyProduction!$Q$5:$Q$100,B340)=1,"OK","CHECK")</f>
        <v>OK</v>
      </c>
      <c r="V340" t="str">
        <f t="shared" si="41"/>
        <v>OK</v>
      </c>
      <c r="W340" t="str">
        <f>IF(SUMIF($B$5:$B$914,B340,$S$5:$S$914)=SUMIF(DailyProduction!$Q$5:$Q$100,B340,DailyProduction!$R$5:$R$100),"OK","CHECK")</f>
        <v>OK</v>
      </c>
    </row>
    <row r="341" spans="1:23">
      <c r="A341" t="s">
        <v>758</v>
      </c>
      <c r="B341" t="s">
        <v>747</v>
      </c>
      <c r="C341" t="s">
        <v>30</v>
      </c>
      <c r="D341" s="7">
        <v>45955</v>
      </c>
      <c r="E341" t="s">
        <v>79</v>
      </c>
      <c r="F341" t="s">
        <v>41</v>
      </c>
      <c r="G341">
        <v>22</v>
      </c>
      <c r="H341" t="s">
        <v>47</v>
      </c>
      <c r="I341">
        <v>12</v>
      </c>
      <c r="J341">
        <v>10</v>
      </c>
      <c r="K341">
        <v>2</v>
      </c>
      <c r="L341">
        <f t="shared" si="35"/>
        <v>0</v>
      </c>
      <c r="P341">
        <f t="shared" si="36"/>
        <v>0</v>
      </c>
      <c r="Q341">
        <f t="shared" si="37"/>
        <v>0</v>
      </c>
      <c r="R341">
        <f t="shared" si="38"/>
        <v>0</v>
      </c>
      <c r="S341">
        <f t="shared" si="39"/>
        <v>0</v>
      </c>
      <c r="T341" t="str">
        <f t="shared" si="40"/>
        <v>DerivedFromCount</v>
      </c>
      <c r="U341" t="str">
        <f>IF(COUNTIF(DailyProduction!$Q$5:$Q$100,B341)=1,"OK","CHECK")</f>
        <v>OK</v>
      </c>
      <c r="V341" t="str">
        <f t="shared" si="41"/>
        <v>OK</v>
      </c>
      <c r="W341" t="str">
        <f>IF(SUMIF($B$5:$B$914,B341,$S$5:$S$914)=SUMIF(DailyProduction!$Q$5:$Q$100,B341,DailyProduction!$R$5:$R$100),"OK","CHECK")</f>
        <v>OK</v>
      </c>
    </row>
    <row r="342" spans="1:23">
      <c r="A342" t="s">
        <v>759</v>
      </c>
      <c r="B342" t="s">
        <v>747</v>
      </c>
      <c r="C342" t="s">
        <v>30</v>
      </c>
      <c r="D342" s="7">
        <v>45955</v>
      </c>
      <c r="E342" t="s">
        <v>79</v>
      </c>
      <c r="F342" t="s">
        <v>41</v>
      </c>
      <c r="G342">
        <v>22</v>
      </c>
      <c r="H342" t="s">
        <v>47</v>
      </c>
      <c r="I342">
        <v>13</v>
      </c>
      <c r="J342">
        <v>10</v>
      </c>
      <c r="K342">
        <v>2</v>
      </c>
      <c r="L342">
        <f t="shared" si="35"/>
        <v>0</v>
      </c>
      <c r="P342">
        <f t="shared" si="36"/>
        <v>0</v>
      </c>
      <c r="Q342">
        <f t="shared" si="37"/>
        <v>0</v>
      </c>
      <c r="R342">
        <f t="shared" si="38"/>
        <v>0</v>
      </c>
      <c r="S342">
        <f t="shared" si="39"/>
        <v>0</v>
      </c>
      <c r="T342" t="str">
        <f t="shared" si="40"/>
        <v>DerivedFromCount</v>
      </c>
      <c r="U342" t="str">
        <f>IF(COUNTIF(DailyProduction!$Q$5:$Q$100,B342)=1,"OK","CHECK")</f>
        <v>OK</v>
      </c>
      <c r="V342" t="str">
        <f t="shared" si="41"/>
        <v>OK</v>
      </c>
      <c r="W342" t="str">
        <f>IF(SUMIF($B$5:$B$914,B342,$S$5:$S$914)=SUMIF(DailyProduction!$Q$5:$Q$100,B342,DailyProduction!$R$5:$R$100),"OK","CHECK")</f>
        <v>OK</v>
      </c>
    </row>
    <row r="343" spans="1:23">
      <c r="A343" t="s">
        <v>760</v>
      </c>
      <c r="B343" t="s">
        <v>761</v>
      </c>
      <c r="C343" t="s">
        <v>30</v>
      </c>
      <c r="D343" s="7">
        <v>45956</v>
      </c>
      <c r="E343" t="s">
        <v>31</v>
      </c>
      <c r="F343" t="s">
        <v>41</v>
      </c>
      <c r="G343">
        <v>22</v>
      </c>
      <c r="H343" t="s">
        <v>48</v>
      </c>
      <c r="I343">
        <v>1</v>
      </c>
      <c r="J343">
        <v>10</v>
      </c>
      <c r="K343">
        <v>4</v>
      </c>
      <c r="L343">
        <f t="shared" si="35"/>
        <v>1</v>
      </c>
      <c r="P343">
        <f t="shared" si="36"/>
        <v>1</v>
      </c>
      <c r="Q343">
        <f t="shared" si="37"/>
        <v>1</v>
      </c>
      <c r="R343">
        <f t="shared" si="38"/>
        <v>1</v>
      </c>
      <c r="S343">
        <f t="shared" si="39"/>
        <v>3</v>
      </c>
      <c r="T343" t="str">
        <f t="shared" si="40"/>
        <v>DerivedFromCount</v>
      </c>
      <c r="U343" t="str">
        <f>IF(COUNTIF(DailyProduction!$Q$5:$Q$100,B343)=1,"OK","CHECK")</f>
        <v>OK</v>
      </c>
      <c r="V343" t="str">
        <f t="shared" si="41"/>
        <v>CHECK</v>
      </c>
      <c r="W343" t="str">
        <f>IF(SUMIF($B$5:$B$914,B343,$S$5:$S$914)=SUMIF(DailyProduction!$Q$5:$Q$100,B343,DailyProduction!$R$5:$R$100),"OK","CHECK")</f>
        <v>CHECK</v>
      </c>
    </row>
    <row r="344" spans="1:23">
      <c r="A344" t="s">
        <v>762</v>
      </c>
      <c r="B344" t="s">
        <v>761</v>
      </c>
      <c r="C344" t="s">
        <v>30</v>
      </c>
      <c r="D344" s="7">
        <v>45956</v>
      </c>
      <c r="E344" t="s">
        <v>31</v>
      </c>
      <c r="F344" t="s">
        <v>41</v>
      </c>
      <c r="G344">
        <v>22</v>
      </c>
      <c r="H344" t="s">
        <v>48</v>
      </c>
      <c r="I344">
        <v>2</v>
      </c>
      <c r="J344">
        <v>10</v>
      </c>
      <c r="K344">
        <v>4</v>
      </c>
      <c r="L344">
        <f t="shared" si="35"/>
        <v>1</v>
      </c>
      <c r="P344">
        <f t="shared" si="36"/>
        <v>1</v>
      </c>
      <c r="Q344">
        <f t="shared" si="37"/>
        <v>1</v>
      </c>
      <c r="R344">
        <f t="shared" si="38"/>
        <v>1</v>
      </c>
      <c r="S344">
        <f t="shared" si="39"/>
        <v>3</v>
      </c>
      <c r="T344" t="str">
        <f t="shared" si="40"/>
        <v>DerivedFromCount</v>
      </c>
      <c r="U344" t="str">
        <f>IF(COUNTIF(DailyProduction!$Q$5:$Q$100,B344)=1,"OK","CHECK")</f>
        <v>OK</v>
      </c>
      <c r="V344" t="str">
        <f t="shared" si="41"/>
        <v>CHECK</v>
      </c>
      <c r="W344" t="str">
        <f>IF(SUMIF($B$5:$B$914,B344,$S$5:$S$914)=SUMIF(DailyProduction!$Q$5:$Q$100,B344,DailyProduction!$R$5:$R$100),"OK","CHECK")</f>
        <v>CHECK</v>
      </c>
    </row>
    <row r="345" spans="1:23">
      <c r="A345" t="s">
        <v>763</v>
      </c>
      <c r="B345" t="s">
        <v>761</v>
      </c>
      <c r="C345" t="s">
        <v>30</v>
      </c>
      <c r="D345" s="7">
        <v>45956</v>
      </c>
      <c r="E345" t="s">
        <v>31</v>
      </c>
      <c r="F345" t="s">
        <v>41</v>
      </c>
      <c r="G345">
        <v>22</v>
      </c>
      <c r="H345" t="s">
        <v>48</v>
      </c>
      <c r="I345">
        <v>3</v>
      </c>
      <c r="J345">
        <v>10</v>
      </c>
      <c r="K345">
        <v>4</v>
      </c>
      <c r="L345">
        <f t="shared" si="35"/>
        <v>1</v>
      </c>
      <c r="P345">
        <f t="shared" si="36"/>
        <v>1</v>
      </c>
      <c r="Q345">
        <f t="shared" si="37"/>
        <v>1</v>
      </c>
      <c r="R345">
        <f t="shared" si="38"/>
        <v>1</v>
      </c>
      <c r="S345">
        <f t="shared" si="39"/>
        <v>3</v>
      </c>
      <c r="T345" t="str">
        <f t="shared" si="40"/>
        <v>DerivedFromCount</v>
      </c>
      <c r="U345" t="str">
        <f>IF(COUNTIF(DailyProduction!$Q$5:$Q$100,B345)=1,"OK","CHECK")</f>
        <v>OK</v>
      </c>
      <c r="V345" t="str">
        <f t="shared" si="41"/>
        <v>CHECK</v>
      </c>
      <c r="W345" t="str">
        <f>IF(SUMIF($B$5:$B$914,B345,$S$5:$S$914)=SUMIF(DailyProduction!$Q$5:$Q$100,B345,DailyProduction!$R$5:$R$100),"OK","CHECK")</f>
        <v>CHECK</v>
      </c>
    </row>
    <row r="346" spans="1:23">
      <c r="A346" t="s">
        <v>764</v>
      </c>
      <c r="B346" t="s">
        <v>761</v>
      </c>
      <c r="C346" t="s">
        <v>30</v>
      </c>
      <c r="D346" s="7">
        <v>45956</v>
      </c>
      <c r="E346" t="s">
        <v>31</v>
      </c>
      <c r="F346" t="s">
        <v>41</v>
      </c>
      <c r="G346">
        <v>22</v>
      </c>
      <c r="H346" t="s">
        <v>48</v>
      </c>
      <c r="I346">
        <v>4</v>
      </c>
      <c r="J346">
        <v>10</v>
      </c>
      <c r="K346">
        <v>4</v>
      </c>
      <c r="L346">
        <f t="shared" si="35"/>
        <v>1</v>
      </c>
      <c r="P346">
        <f t="shared" si="36"/>
        <v>1</v>
      </c>
      <c r="Q346">
        <f t="shared" si="37"/>
        <v>1</v>
      </c>
      <c r="R346">
        <f t="shared" si="38"/>
        <v>1</v>
      </c>
      <c r="S346">
        <f t="shared" si="39"/>
        <v>3</v>
      </c>
      <c r="T346" t="str">
        <f t="shared" si="40"/>
        <v>DerivedFromCount</v>
      </c>
      <c r="U346" t="str">
        <f>IF(COUNTIF(DailyProduction!$Q$5:$Q$100,B346)=1,"OK","CHECK")</f>
        <v>OK</v>
      </c>
      <c r="V346" t="str">
        <f t="shared" si="41"/>
        <v>CHECK</v>
      </c>
      <c r="W346" t="str">
        <f>IF(SUMIF($B$5:$B$914,B346,$S$5:$S$914)=SUMIF(DailyProduction!$Q$5:$Q$100,B346,DailyProduction!$R$5:$R$100),"OK","CHECK")</f>
        <v>CHECK</v>
      </c>
    </row>
    <row r="347" spans="1:23">
      <c r="A347" t="s">
        <v>765</v>
      </c>
      <c r="B347" t="s">
        <v>761</v>
      </c>
      <c r="C347" t="s">
        <v>30</v>
      </c>
      <c r="D347" s="7">
        <v>45956</v>
      </c>
      <c r="E347" t="s">
        <v>31</v>
      </c>
      <c r="F347" t="s">
        <v>41</v>
      </c>
      <c r="G347">
        <v>22</v>
      </c>
      <c r="H347" t="s">
        <v>48</v>
      </c>
      <c r="I347">
        <v>5</v>
      </c>
      <c r="J347">
        <v>10</v>
      </c>
      <c r="K347">
        <v>4</v>
      </c>
      <c r="L347">
        <f t="shared" si="35"/>
        <v>1</v>
      </c>
      <c r="P347">
        <f t="shared" si="36"/>
        <v>1</v>
      </c>
      <c r="Q347">
        <f t="shared" si="37"/>
        <v>1</v>
      </c>
      <c r="R347">
        <f t="shared" si="38"/>
        <v>1</v>
      </c>
      <c r="S347">
        <f t="shared" si="39"/>
        <v>3</v>
      </c>
      <c r="T347" t="str">
        <f t="shared" si="40"/>
        <v>DerivedFromCount</v>
      </c>
      <c r="U347" t="str">
        <f>IF(COUNTIF(DailyProduction!$Q$5:$Q$100,B347)=1,"OK","CHECK")</f>
        <v>OK</v>
      </c>
      <c r="V347" t="str">
        <f t="shared" si="41"/>
        <v>CHECK</v>
      </c>
      <c r="W347" t="str">
        <f>IF(SUMIF($B$5:$B$914,B347,$S$5:$S$914)=SUMIF(DailyProduction!$Q$5:$Q$100,B347,DailyProduction!$R$5:$R$100),"OK","CHECK")</f>
        <v>CHECK</v>
      </c>
    </row>
    <row r="348" spans="1:23">
      <c r="A348" t="s">
        <v>766</v>
      </c>
      <c r="B348" t="s">
        <v>761</v>
      </c>
      <c r="C348" t="s">
        <v>30</v>
      </c>
      <c r="D348" s="7">
        <v>45956</v>
      </c>
      <c r="E348" t="s">
        <v>31</v>
      </c>
      <c r="F348" t="s">
        <v>41</v>
      </c>
      <c r="G348">
        <v>22</v>
      </c>
      <c r="H348" t="s">
        <v>48</v>
      </c>
      <c r="I348">
        <v>6</v>
      </c>
      <c r="J348">
        <v>10</v>
      </c>
      <c r="K348">
        <v>4</v>
      </c>
      <c r="L348">
        <f t="shared" si="35"/>
        <v>1</v>
      </c>
      <c r="P348">
        <f t="shared" si="36"/>
        <v>1</v>
      </c>
      <c r="Q348">
        <f t="shared" si="37"/>
        <v>1</v>
      </c>
      <c r="R348">
        <f t="shared" si="38"/>
        <v>1</v>
      </c>
      <c r="S348">
        <f t="shared" si="39"/>
        <v>3</v>
      </c>
      <c r="T348" t="str">
        <f t="shared" si="40"/>
        <v>DerivedFromCount</v>
      </c>
      <c r="U348" t="str">
        <f>IF(COUNTIF(DailyProduction!$Q$5:$Q$100,B348)=1,"OK","CHECK")</f>
        <v>OK</v>
      </c>
      <c r="V348" t="str">
        <f t="shared" si="41"/>
        <v>CHECK</v>
      </c>
      <c r="W348" t="str">
        <f>IF(SUMIF($B$5:$B$914,B348,$S$5:$S$914)=SUMIF(DailyProduction!$Q$5:$Q$100,B348,DailyProduction!$R$5:$R$100),"OK","CHECK")</f>
        <v>CHECK</v>
      </c>
    </row>
    <row r="349" spans="1:23">
      <c r="A349" t="s">
        <v>767</v>
      </c>
      <c r="B349" t="s">
        <v>761</v>
      </c>
      <c r="C349" t="s">
        <v>30</v>
      </c>
      <c r="D349" s="7">
        <v>45956</v>
      </c>
      <c r="E349" t="s">
        <v>31</v>
      </c>
      <c r="F349" t="s">
        <v>41</v>
      </c>
      <c r="G349">
        <v>22</v>
      </c>
      <c r="H349" t="s">
        <v>48</v>
      </c>
      <c r="I349">
        <v>7</v>
      </c>
      <c r="J349">
        <v>10</v>
      </c>
      <c r="K349">
        <v>4</v>
      </c>
      <c r="L349">
        <f t="shared" si="35"/>
        <v>1</v>
      </c>
      <c r="P349">
        <f t="shared" si="36"/>
        <v>1</v>
      </c>
      <c r="Q349">
        <f t="shared" si="37"/>
        <v>1</v>
      </c>
      <c r="R349">
        <f t="shared" si="38"/>
        <v>1</v>
      </c>
      <c r="S349">
        <f t="shared" si="39"/>
        <v>3</v>
      </c>
      <c r="T349" t="str">
        <f t="shared" si="40"/>
        <v>DerivedFromCount</v>
      </c>
      <c r="U349" t="str">
        <f>IF(COUNTIF(DailyProduction!$Q$5:$Q$100,B349)=1,"OK","CHECK")</f>
        <v>OK</v>
      </c>
      <c r="V349" t="str">
        <f t="shared" si="41"/>
        <v>CHECK</v>
      </c>
      <c r="W349" t="str">
        <f>IF(SUMIF($B$5:$B$914,B349,$S$5:$S$914)=SUMIF(DailyProduction!$Q$5:$Q$100,B349,DailyProduction!$R$5:$R$100),"OK","CHECK")</f>
        <v>CHECK</v>
      </c>
    </row>
    <row r="350" spans="1:23">
      <c r="A350" t="s">
        <v>768</v>
      </c>
      <c r="B350" t="s">
        <v>761</v>
      </c>
      <c r="C350" t="s">
        <v>30</v>
      </c>
      <c r="D350" s="7">
        <v>45956</v>
      </c>
      <c r="E350" t="s">
        <v>31</v>
      </c>
      <c r="F350" t="s">
        <v>41</v>
      </c>
      <c r="G350">
        <v>22</v>
      </c>
      <c r="H350" t="s">
        <v>48</v>
      </c>
      <c r="I350">
        <v>8</v>
      </c>
      <c r="J350">
        <v>10</v>
      </c>
      <c r="K350">
        <v>4</v>
      </c>
      <c r="L350">
        <f t="shared" si="35"/>
        <v>1</v>
      </c>
      <c r="P350">
        <f t="shared" si="36"/>
        <v>1</v>
      </c>
      <c r="Q350">
        <f t="shared" si="37"/>
        <v>1</v>
      </c>
      <c r="R350">
        <f t="shared" si="38"/>
        <v>1</v>
      </c>
      <c r="S350">
        <f t="shared" si="39"/>
        <v>3</v>
      </c>
      <c r="T350" t="str">
        <f t="shared" si="40"/>
        <v>DerivedFromCount</v>
      </c>
      <c r="U350" t="str">
        <f>IF(COUNTIF(DailyProduction!$Q$5:$Q$100,B350)=1,"OK","CHECK")</f>
        <v>OK</v>
      </c>
      <c r="V350" t="str">
        <f t="shared" si="41"/>
        <v>CHECK</v>
      </c>
      <c r="W350" t="str">
        <f>IF(SUMIF($B$5:$B$914,B350,$S$5:$S$914)=SUMIF(DailyProduction!$Q$5:$Q$100,B350,DailyProduction!$R$5:$R$100),"OK","CHECK")</f>
        <v>CHECK</v>
      </c>
    </row>
    <row r="351" spans="1:23">
      <c r="A351" t="s">
        <v>769</v>
      </c>
      <c r="B351" t="s">
        <v>761</v>
      </c>
      <c r="C351" t="s">
        <v>30</v>
      </c>
      <c r="D351" s="7">
        <v>45956</v>
      </c>
      <c r="E351" t="s">
        <v>31</v>
      </c>
      <c r="F351" t="s">
        <v>41</v>
      </c>
      <c r="G351">
        <v>22</v>
      </c>
      <c r="H351" t="s">
        <v>48</v>
      </c>
      <c r="I351">
        <v>9</v>
      </c>
      <c r="J351">
        <v>10</v>
      </c>
      <c r="K351">
        <v>4</v>
      </c>
      <c r="L351">
        <f t="shared" si="35"/>
        <v>1</v>
      </c>
      <c r="P351">
        <f t="shared" si="36"/>
        <v>1</v>
      </c>
      <c r="Q351">
        <f t="shared" si="37"/>
        <v>1</v>
      </c>
      <c r="R351">
        <f t="shared" si="38"/>
        <v>1</v>
      </c>
      <c r="S351">
        <f t="shared" si="39"/>
        <v>3</v>
      </c>
      <c r="T351" t="str">
        <f t="shared" si="40"/>
        <v>DerivedFromCount</v>
      </c>
      <c r="U351" t="str">
        <f>IF(COUNTIF(DailyProduction!$Q$5:$Q$100,B351)=1,"OK","CHECK")</f>
        <v>OK</v>
      </c>
      <c r="V351" t="str">
        <f t="shared" si="41"/>
        <v>CHECK</v>
      </c>
      <c r="W351" t="str">
        <f>IF(SUMIF($B$5:$B$914,B351,$S$5:$S$914)=SUMIF(DailyProduction!$Q$5:$Q$100,B351,DailyProduction!$R$5:$R$100),"OK","CHECK")</f>
        <v>CHECK</v>
      </c>
    </row>
    <row r="352" spans="1:23">
      <c r="A352" t="s">
        <v>770</v>
      </c>
      <c r="B352" t="s">
        <v>761</v>
      </c>
      <c r="C352" t="s">
        <v>30</v>
      </c>
      <c r="D352" s="7">
        <v>45956</v>
      </c>
      <c r="E352" t="s">
        <v>31</v>
      </c>
      <c r="F352" t="s">
        <v>41</v>
      </c>
      <c r="G352">
        <v>22</v>
      </c>
      <c r="H352" t="s">
        <v>48</v>
      </c>
      <c r="I352">
        <v>10</v>
      </c>
      <c r="J352">
        <v>10</v>
      </c>
      <c r="K352">
        <v>4</v>
      </c>
      <c r="L352">
        <f t="shared" si="35"/>
        <v>1</v>
      </c>
      <c r="P352">
        <f t="shared" si="36"/>
        <v>1</v>
      </c>
      <c r="Q352">
        <f t="shared" si="37"/>
        <v>1</v>
      </c>
      <c r="R352">
        <f t="shared" si="38"/>
        <v>1</v>
      </c>
      <c r="S352">
        <f t="shared" si="39"/>
        <v>3</v>
      </c>
      <c r="T352" t="str">
        <f t="shared" si="40"/>
        <v>DerivedFromCount</v>
      </c>
      <c r="U352" t="str">
        <f>IF(COUNTIF(DailyProduction!$Q$5:$Q$100,B352)=1,"OK","CHECK")</f>
        <v>OK</v>
      </c>
      <c r="V352" t="str">
        <f t="shared" si="41"/>
        <v>CHECK</v>
      </c>
      <c r="W352" t="str">
        <f>IF(SUMIF($B$5:$B$914,B352,$S$5:$S$914)=SUMIF(DailyProduction!$Q$5:$Q$100,B352,DailyProduction!$R$5:$R$100),"OK","CHECK")</f>
        <v>CHECK</v>
      </c>
    </row>
    <row r="353" spans="1:23">
      <c r="A353" t="s">
        <v>771</v>
      </c>
      <c r="B353" t="s">
        <v>761</v>
      </c>
      <c r="C353" t="s">
        <v>30</v>
      </c>
      <c r="D353" s="7">
        <v>45956</v>
      </c>
      <c r="E353" t="s">
        <v>31</v>
      </c>
      <c r="F353" t="s">
        <v>41</v>
      </c>
      <c r="G353">
        <v>22</v>
      </c>
      <c r="H353" t="s">
        <v>48</v>
      </c>
      <c r="I353">
        <v>11</v>
      </c>
      <c r="J353">
        <v>10</v>
      </c>
      <c r="K353">
        <v>4</v>
      </c>
      <c r="L353">
        <f t="shared" si="35"/>
        <v>0</v>
      </c>
      <c r="P353">
        <f t="shared" si="36"/>
        <v>0</v>
      </c>
      <c r="Q353">
        <f t="shared" si="37"/>
        <v>0</v>
      </c>
      <c r="R353">
        <f t="shared" si="38"/>
        <v>0</v>
      </c>
      <c r="S353">
        <f t="shared" si="39"/>
        <v>0</v>
      </c>
      <c r="T353" t="str">
        <f t="shared" si="40"/>
        <v>DerivedFromCount</v>
      </c>
      <c r="U353" t="str">
        <f>IF(COUNTIF(DailyProduction!$Q$5:$Q$100,B353)=1,"OK","CHECK")</f>
        <v>OK</v>
      </c>
      <c r="V353" t="str">
        <f t="shared" si="41"/>
        <v>CHECK</v>
      </c>
      <c r="W353" t="str">
        <f>IF(SUMIF($B$5:$B$914,B353,$S$5:$S$914)=SUMIF(DailyProduction!$Q$5:$Q$100,B353,DailyProduction!$R$5:$R$100),"OK","CHECK")</f>
        <v>CHECK</v>
      </c>
    </row>
    <row r="354" spans="1:23">
      <c r="A354" t="s">
        <v>772</v>
      </c>
      <c r="B354" t="s">
        <v>761</v>
      </c>
      <c r="C354" t="s">
        <v>30</v>
      </c>
      <c r="D354" s="7">
        <v>45956</v>
      </c>
      <c r="E354" t="s">
        <v>31</v>
      </c>
      <c r="F354" t="s">
        <v>41</v>
      </c>
      <c r="G354">
        <v>22</v>
      </c>
      <c r="H354" t="s">
        <v>48</v>
      </c>
      <c r="I354">
        <v>12</v>
      </c>
      <c r="J354">
        <v>10</v>
      </c>
      <c r="K354">
        <v>4</v>
      </c>
      <c r="L354">
        <f t="shared" si="35"/>
        <v>0</v>
      </c>
      <c r="P354">
        <f t="shared" si="36"/>
        <v>0</v>
      </c>
      <c r="Q354">
        <f t="shared" si="37"/>
        <v>0</v>
      </c>
      <c r="R354">
        <f t="shared" si="38"/>
        <v>0</v>
      </c>
      <c r="S354">
        <f t="shared" si="39"/>
        <v>0</v>
      </c>
      <c r="T354" t="str">
        <f t="shared" si="40"/>
        <v>DerivedFromCount</v>
      </c>
      <c r="U354" t="str">
        <f>IF(COUNTIF(DailyProduction!$Q$5:$Q$100,B354)=1,"OK","CHECK")</f>
        <v>OK</v>
      </c>
      <c r="V354" t="str">
        <f t="shared" si="41"/>
        <v>CHECK</v>
      </c>
      <c r="W354" t="str">
        <f>IF(SUMIF($B$5:$B$914,B354,$S$5:$S$914)=SUMIF(DailyProduction!$Q$5:$Q$100,B354,DailyProduction!$R$5:$R$100),"OK","CHECK")</f>
        <v>CHECK</v>
      </c>
    </row>
    <row r="355" spans="1:23">
      <c r="A355" t="s">
        <v>773</v>
      </c>
      <c r="B355" t="s">
        <v>761</v>
      </c>
      <c r="C355" t="s">
        <v>30</v>
      </c>
      <c r="D355" s="7">
        <v>45956</v>
      </c>
      <c r="E355" t="s">
        <v>31</v>
      </c>
      <c r="F355" t="s">
        <v>41</v>
      </c>
      <c r="G355">
        <v>22</v>
      </c>
      <c r="H355" t="s">
        <v>48</v>
      </c>
      <c r="I355">
        <v>13</v>
      </c>
      <c r="J355">
        <v>10</v>
      </c>
      <c r="K355">
        <v>4</v>
      </c>
      <c r="L355">
        <f t="shared" si="35"/>
        <v>0</v>
      </c>
      <c r="P355">
        <f t="shared" si="36"/>
        <v>0</v>
      </c>
      <c r="Q355">
        <f t="shared" si="37"/>
        <v>0</v>
      </c>
      <c r="R355">
        <f t="shared" si="38"/>
        <v>0</v>
      </c>
      <c r="S355">
        <f t="shared" si="39"/>
        <v>0</v>
      </c>
      <c r="T355" t="str">
        <f t="shared" si="40"/>
        <v>DerivedFromCount</v>
      </c>
      <c r="U355" t="str">
        <f>IF(COUNTIF(DailyProduction!$Q$5:$Q$100,B355)=1,"OK","CHECK")</f>
        <v>OK</v>
      </c>
      <c r="V355" t="str">
        <f t="shared" si="41"/>
        <v>CHECK</v>
      </c>
      <c r="W355" t="str">
        <f>IF(SUMIF($B$5:$B$914,B355,$S$5:$S$914)=SUMIF(DailyProduction!$Q$5:$Q$100,B355,DailyProduction!$R$5:$R$100),"OK","CHECK")</f>
        <v>CHECK</v>
      </c>
    </row>
    <row r="356" spans="1:23">
      <c r="A356" t="s">
        <v>774</v>
      </c>
      <c r="B356" t="s">
        <v>775</v>
      </c>
      <c r="C356" t="s">
        <v>30</v>
      </c>
      <c r="D356" s="7">
        <v>45956</v>
      </c>
      <c r="E356" t="s">
        <v>79</v>
      </c>
      <c r="F356" t="s">
        <v>32</v>
      </c>
      <c r="G356">
        <v>22</v>
      </c>
      <c r="H356" t="s">
        <v>48</v>
      </c>
      <c r="I356">
        <v>1</v>
      </c>
      <c r="J356">
        <v>10</v>
      </c>
      <c r="K356">
        <v>4</v>
      </c>
      <c r="L356">
        <f t="shared" si="35"/>
        <v>1</v>
      </c>
      <c r="P356">
        <f t="shared" si="36"/>
        <v>1</v>
      </c>
      <c r="Q356">
        <f t="shared" si="37"/>
        <v>1</v>
      </c>
      <c r="R356">
        <f t="shared" si="38"/>
        <v>1</v>
      </c>
      <c r="S356">
        <f t="shared" si="39"/>
        <v>3</v>
      </c>
      <c r="T356" t="str">
        <f t="shared" si="40"/>
        <v>DerivedFromCount</v>
      </c>
      <c r="U356" t="str">
        <f>IF(COUNTIF(DailyProduction!$Q$5:$Q$100,B356)=1,"OK","CHECK")</f>
        <v>OK</v>
      </c>
      <c r="V356" t="str">
        <f t="shared" si="41"/>
        <v>CHECK</v>
      </c>
      <c r="W356" t="str">
        <f>IF(SUMIF($B$5:$B$914,B356,$S$5:$S$914)=SUMIF(DailyProduction!$Q$5:$Q$100,B356,DailyProduction!$R$5:$R$100),"OK","CHECK")</f>
        <v>CHECK</v>
      </c>
    </row>
    <row r="357" spans="1:23">
      <c r="A357" t="s">
        <v>776</v>
      </c>
      <c r="B357" t="s">
        <v>775</v>
      </c>
      <c r="C357" t="s">
        <v>30</v>
      </c>
      <c r="D357" s="7">
        <v>45956</v>
      </c>
      <c r="E357" t="s">
        <v>79</v>
      </c>
      <c r="F357" t="s">
        <v>32</v>
      </c>
      <c r="G357">
        <v>22</v>
      </c>
      <c r="H357" t="s">
        <v>48</v>
      </c>
      <c r="I357">
        <v>2</v>
      </c>
      <c r="J357">
        <v>10</v>
      </c>
      <c r="K357">
        <v>4</v>
      </c>
      <c r="L357">
        <f t="shared" si="35"/>
        <v>1</v>
      </c>
      <c r="P357">
        <f t="shared" si="36"/>
        <v>1</v>
      </c>
      <c r="Q357">
        <f t="shared" si="37"/>
        <v>1</v>
      </c>
      <c r="R357">
        <f t="shared" si="38"/>
        <v>1</v>
      </c>
      <c r="S357">
        <f t="shared" si="39"/>
        <v>3</v>
      </c>
      <c r="T357" t="str">
        <f t="shared" si="40"/>
        <v>DerivedFromCount</v>
      </c>
      <c r="U357" t="str">
        <f>IF(COUNTIF(DailyProduction!$Q$5:$Q$100,B357)=1,"OK","CHECK")</f>
        <v>OK</v>
      </c>
      <c r="V357" t="str">
        <f t="shared" si="41"/>
        <v>CHECK</v>
      </c>
      <c r="W357" t="str">
        <f>IF(SUMIF($B$5:$B$914,B357,$S$5:$S$914)=SUMIF(DailyProduction!$Q$5:$Q$100,B357,DailyProduction!$R$5:$R$100),"OK","CHECK")</f>
        <v>CHECK</v>
      </c>
    </row>
    <row r="358" spans="1:23">
      <c r="A358" t="s">
        <v>777</v>
      </c>
      <c r="B358" t="s">
        <v>775</v>
      </c>
      <c r="C358" t="s">
        <v>30</v>
      </c>
      <c r="D358" s="7">
        <v>45956</v>
      </c>
      <c r="E358" t="s">
        <v>79</v>
      </c>
      <c r="F358" t="s">
        <v>32</v>
      </c>
      <c r="G358">
        <v>22</v>
      </c>
      <c r="H358" t="s">
        <v>48</v>
      </c>
      <c r="I358">
        <v>3</v>
      </c>
      <c r="J358">
        <v>10</v>
      </c>
      <c r="K358">
        <v>4</v>
      </c>
      <c r="L358">
        <f t="shared" si="35"/>
        <v>1</v>
      </c>
      <c r="P358">
        <f t="shared" si="36"/>
        <v>1</v>
      </c>
      <c r="Q358">
        <f t="shared" si="37"/>
        <v>1</v>
      </c>
      <c r="R358">
        <f t="shared" si="38"/>
        <v>1</v>
      </c>
      <c r="S358">
        <f t="shared" si="39"/>
        <v>3</v>
      </c>
      <c r="T358" t="str">
        <f t="shared" si="40"/>
        <v>DerivedFromCount</v>
      </c>
      <c r="U358" t="str">
        <f>IF(COUNTIF(DailyProduction!$Q$5:$Q$100,B358)=1,"OK","CHECK")</f>
        <v>OK</v>
      </c>
      <c r="V358" t="str">
        <f t="shared" si="41"/>
        <v>CHECK</v>
      </c>
      <c r="W358" t="str">
        <f>IF(SUMIF($B$5:$B$914,B358,$S$5:$S$914)=SUMIF(DailyProduction!$Q$5:$Q$100,B358,DailyProduction!$R$5:$R$100),"OK","CHECK")</f>
        <v>CHECK</v>
      </c>
    </row>
    <row r="359" spans="1:23">
      <c r="A359" t="s">
        <v>778</v>
      </c>
      <c r="B359" t="s">
        <v>775</v>
      </c>
      <c r="C359" t="s">
        <v>30</v>
      </c>
      <c r="D359" s="7">
        <v>45956</v>
      </c>
      <c r="E359" t="s">
        <v>79</v>
      </c>
      <c r="F359" t="s">
        <v>32</v>
      </c>
      <c r="G359">
        <v>22</v>
      </c>
      <c r="H359" t="s">
        <v>48</v>
      </c>
      <c r="I359">
        <v>4</v>
      </c>
      <c r="J359">
        <v>10</v>
      </c>
      <c r="K359">
        <v>4</v>
      </c>
      <c r="L359">
        <f t="shared" si="35"/>
        <v>1</v>
      </c>
      <c r="P359">
        <f t="shared" si="36"/>
        <v>1</v>
      </c>
      <c r="Q359">
        <f t="shared" si="37"/>
        <v>1</v>
      </c>
      <c r="R359">
        <f t="shared" si="38"/>
        <v>1</v>
      </c>
      <c r="S359">
        <f t="shared" si="39"/>
        <v>3</v>
      </c>
      <c r="T359" t="str">
        <f t="shared" si="40"/>
        <v>DerivedFromCount</v>
      </c>
      <c r="U359" t="str">
        <f>IF(COUNTIF(DailyProduction!$Q$5:$Q$100,B359)=1,"OK","CHECK")</f>
        <v>OK</v>
      </c>
      <c r="V359" t="str">
        <f t="shared" si="41"/>
        <v>CHECK</v>
      </c>
      <c r="W359" t="str">
        <f>IF(SUMIF($B$5:$B$914,B359,$S$5:$S$914)=SUMIF(DailyProduction!$Q$5:$Q$100,B359,DailyProduction!$R$5:$R$100),"OK","CHECK")</f>
        <v>CHECK</v>
      </c>
    </row>
    <row r="360" spans="1:23">
      <c r="A360" t="s">
        <v>779</v>
      </c>
      <c r="B360" t="s">
        <v>775</v>
      </c>
      <c r="C360" t="s">
        <v>30</v>
      </c>
      <c r="D360" s="7">
        <v>45956</v>
      </c>
      <c r="E360" t="s">
        <v>79</v>
      </c>
      <c r="F360" t="s">
        <v>32</v>
      </c>
      <c r="G360">
        <v>22</v>
      </c>
      <c r="H360" t="s">
        <v>48</v>
      </c>
      <c r="I360">
        <v>5</v>
      </c>
      <c r="J360">
        <v>10</v>
      </c>
      <c r="K360">
        <v>4</v>
      </c>
      <c r="L360">
        <f t="shared" si="35"/>
        <v>1</v>
      </c>
      <c r="P360">
        <f t="shared" si="36"/>
        <v>1</v>
      </c>
      <c r="Q360">
        <f t="shared" si="37"/>
        <v>1</v>
      </c>
      <c r="R360">
        <f t="shared" si="38"/>
        <v>1</v>
      </c>
      <c r="S360">
        <f t="shared" si="39"/>
        <v>3</v>
      </c>
      <c r="T360" t="str">
        <f t="shared" si="40"/>
        <v>DerivedFromCount</v>
      </c>
      <c r="U360" t="str">
        <f>IF(COUNTIF(DailyProduction!$Q$5:$Q$100,B360)=1,"OK","CHECK")</f>
        <v>OK</v>
      </c>
      <c r="V360" t="str">
        <f t="shared" si="41"/>
        <v>CHECK</v>
      </c>
      <c r="W360" t="str">
        <f>IF(SUMIF($B$5:$B$914,B360,$S$5:$S$914)=SUMIF(DailyProduction!$Q$5:$Q$100,B360,DailyProduction!$R$5:$R$100),"OK","CHECK")</f>
        <v>CHECK</v>
      </c>
    </row>
    <row r="361" spans="1:23">
      <c r="A361" t="s">
        <v>780</v>
      </c>
      <c r="B361" t="s">
        <v>775</v>
      </c>
      <c r="C361" t="s">
        <v>30</v>
      </c>
      <c r="D361" s="7">
        <v>45956</v>
      </c>
      <c r="E361" t="s">
        <v>79</v>
      </c>
      <c r="F361" t="s">
        <v>32</v>
      </c>
      <c r="G361">
        <v>22</v>
      </c>
      <c r="H361" t="s">
        <v>48</v>
      </c>
      <c r="I361">
        <v>6</v>
      </c>
      <c r="J361">
        <v>10</v>
      </c>
      <c r="K361">
        <v>4</v>
      </c>
      <c r="L361">
        <f t="shared" si="35"/>
        <v>1</v>
      </c>
      <c r="P361">
        <f t="shared" si="36"/>
        <v>1</v>
      </c>
      <c r="Q361">
        <f t="shared" si="37"/>
        <v>1</v>
      </c>
      <c r="R361">
        <f t="shared" si="38"/>
        <v>1</v>
      </c>
      <c r="S361">
        <f t="shared" si="39"/>
        <v>3</v>
      </c>
      <c r="T361" t="str">
        <f t="shared" si="40"/>
        <v>DerivedFromCount</v>
      </c>
      <c r="U361" t="str">
        <f>IF(COUNTIF(DailyProduction!$Q$5:$Q$100,B361)=1,"OK","CHECK")</f>
        <v>OK</v>
      </c>
      <c r="V361" t="str">
        <f t="shared" si="41"/>
        <v>CHECK</v>
      </c>
      <c r="W361" t="str">
        <f>IF(SUMIF($B$5:$B$914,B361,$S$5:$S$914)=SUMIF(DailyProduction!$Q$5:$Q$100,B361,DailyProduction!$R$5:$R$100),"OK","CHECK")</f>
        <v>CHECK</v>
      </c>
    </row>
    <row r="362" spans="1:23">
      <c r="A362" t="s">
        <v>781</v>
      </c>
      <c r="B362" t="s">
        <v>775</v>
      </c>
      <c r="C362" t="s">
        <v>30</v>
      </c>
      <c r="D362" s="7">
        <v>45956</v>
      </c>
      <c r="E362" t="s">
        <v>79</v>
      </c>
      <c r="F362" t="s">
        <v>32</v>
      </c>
      <c r="G362">
        <v>22</v>
      </c>
      <c r="H362" t="s">
        <v>48</v>
      </c>
      <c r="I362">
        <v>7</v>
      </c>
      <c r="J362">
        <v>10</v>
      </c>
      <c r="K362">
        <v>4</v>
      </c>
      <c r="L362">
        <f t="shared" si="35"/>
        <v>1</v>
      </c>
      <c r="P362">
        <f t="shared" si="36"/>
        <v>1</v>
      </c>
      <c r="Q362">
        <f t="shared" si="37"/>
        <v>1</v>
      </c>
      <c r="R362">
        <f t="shared" si="38"/>
        <v>1</v>
      </c>
      <c r="S362">
        <f t="shared" si="39"/>
        <v>3</v>
      </c>
      <c r="T362" t="str">
        <f t="shared" si="40"/>
        <v>DerivedFromCount</v>
      </c>
      <c r="U362" t="str">
        <f>IF(COUNTIF(DailyProduction!$Q$5:$Q$100,B362)=1,"OK","CHECK")</f>
        <v>OK</v>
      </c>
      <c r="V362" t="str">
        <f t="shared" si="41"/>
        <v>CHECK</v>
      </c>
      <c r="W362" t="str">
        <f>IF(SUMIF($B$5:$B$914,B362,$S$5:$S$914)=SUMIF(DailyProduction!$Q$5:$Q$100,B362,DailyProduction!$R$5:$R$100),"OK","CHECK")</f>
        <v>CHECK</v>
      </c>
    </row>
    <row r="363" spans="1:23">
      <c r="A363" t="s">
        <v>782</v>
      </c>
      <c r="B363" t="s">
        <v>775</v>
      </c>
      <c r="C363" t="s">
        <v>30</v>
      </c>
      <c r="D363" s="7">
        <v>45956</v>
      </c>
      <c r="E363" t="s">
        <v>79</v>
      </c>
      <c r="F363" t="s">
        <v>32</v>
      </c>
      <c r="G363">
        <v>22</v>
      </c>
      <c r="H363" t="s">
        <v>48</v>
      </c>
      <c r="I363">
        <v>8</v>
      </c>
      <c r="J363">
        <v>10</v>
      </c>
      <c r="K363">
        <v>4</v>
      </c>
      <c r="L363">
        <f t="shared" si="35"/>
        <v>1</v>
      </c>
      <c r="P363">
        <f t="shared" si="36"/>
        <v>1</v>
      </c>
      <c r="Q363">
        <f t="shared" si="37"/>
        <v>1</v>
      </c>
      <c r="R363">
        <f t="shared" si="38"/>
        <v>1</v>
      </c>
      <c r="S363">
        <f t="shared" si="39"/>
        <v>3</v>
      </c>
      <c r="T363" t="str">
        <f t="shared" si="40"/>
        <v>DerivedFromCount</v>
      </c>
      <c r="U363" t="str">
        <f>IF(COUNTIF(DailyProduction!$Q$5:$Q$100,B363)=1,"OK","CHECK")</f>
        <v>OK</v>
      </c>
      <c r="V363" t="str">
        <f t="shared" si="41"/>
        <v>CHECK</v>
      </c>
      <c r="W363" t="str">
        <f>IF(SUMIF($B$5:$B$914,B363,$S$5:$S$914)=SUMIF(DailyProduction!$Q$5:$Q$100,B363,DailyProduction!$R$5:$R$100),"OK","CHECK")</f>
        <v>CHECK</v>
      </c>
    </row>
    <row r="364" spans="1:23">
      <c r="A364" t="s">
        <v>783</v>
      </c>
      <c r="B364" t="s">
        <v>775</v>
      </c>
      <c r="C364" t="s">
        <v>30</v>
      </c>
      <c r="D364" s="7">
        <v>45956</v>
      </c>
      <c r="E364" t="s">
        <v>79</v>
      </c>
      <c r="F364" t="s">
        <v>32</v>
      </c>
      <c r="G364">
        <v>22</v>
      </c>
      <c r="H364" t="s">
        <v>48</v>
      </c>
      <c r="I364">
        <v>9</v>
      </c>
      <c r="J364">
        <v>10</v>
      </c>
      <c r="K364">
        <v>4</v>
      </c>
      <c r="L364">
        <f t="shared" si="35"/>
        <v>1</v>
      </c>
      <c r="P364">
        <f t="shared" si="36"/>
        <v>1</v>
      </c>
      <c r="Q364">
        <f t="shared" si="37"/>
        <v>1</v>
      </c>
      <c r="R364">
        <f t="shared" si="38"/>
        <v>1</v>
      </c>
      <c r="S364">
        <f t="shared" si="39"/>
        <v>3</v>
      </c>
      <c r="T364" t="str">
        <f t="shared" si="40"/>
        <v>DerivedFromCount</v>
      </c>
      <c r="U364" t="str">
        <f>IF(COUNTIF(DailyProduction!$Q$5:$Q$100,B364)=1,"OK","CHECK")</f>
        <v>OK</v>
      </c>
      <c r="V364" t="str">
        <f t="shared" si="41"/>
        <v>CHECK</v>
      </c>
      <c r="W364" t="str">
        <f>IF(SUMIF($B$5:$B$914,B364,$S$5:$S$914)=SUMIF(DailyProduction!$Q$5:$Q$100,B364,DailyProduction!$R$5:$R$100),"OK","CHECK")</f>
        <v>CHECK</v>
      </c>
    </row>
    <row r="365" spans="1:23">
      <c r="A365" t="s">
        <v>784</v>
      </c>
      <c r="B365" t="s">
        <v>775</v>
      </c>
      <c r="C365" t="s">
        <v>30</v>
      </c>
      <c r="D365" s="7">
        <v>45956</v>
      </c>
      <c r="E365" t="s">
        <v>79</v>
      </c>
      <c r="F365" t="s">
        <v>32</v>
      </c>
      <c r="G365">
        <v>22</v>
      </c>
      <c r="H365" t="s">
        <v>48</v>
      </c>
      <c r="I365">
        <v>10</v>
      </c>
      <c r="J365">
        <v>10</v>
      </c>
      <c r="K365">
        <v>4</v>
      </c>
      <c r="L365">
        <f t="shared" si="35"/>
        <v>1</v>
      </c>
      <c r="P365">
        <f t="shared" si="36"/>
        <v>1</v>
      </c>
      <c r="Q365">
        <f t="shared" si="37"/>
        <v>1</v>
      </c>
      <c r="R365">
        <f t="shared" si="38"/>
        <v>1</v>
      </c>
      <c r="S365">
        <f t="shared" si="39"/>
        <v>3</v>
      </c>
      <c r="T365" t="str">
        <f t="shared" si="40"/>
        <v>DerivedFromCount</v>
      </c>
      <c r="U365" t="str">
        <f>IF(COUNTIF(DailyProduction!$Q$5:$Q$100,B365)=1,"OK","CHECK")</f>
        <v>OK</v>
      </c>
      <c r="V365" t="str">
        <f t="shared" si="41"/>
        <v>CHECK</v>
      </c>
      <c r="W365" t="str">
        <f>IF(SUMIF($B$5:$B$914,B365,$S$5:$S$914)=SUMIF(DailyProduction!$Q$5:$Q$100,B365,DailyProduction!$R$5:$R$100),"OK","CHECK")</f>
        <v>CHECK</v>
      </c>
    </row>
    <row r="366" spans="1:23">
      <c r="A366" t="s">
        <v>785</v>
      </c>
      <c r="B366" t="s">
        <v>775</v>
      </c>
      <c r="C366" t="s">
        <v>30</v>
      </c>
      <c r="D366" s="7">
        <v>45956</v>
      </c>
      <c r="E366" t="s">
        <v>79</v>
      </c>
      <c r="F366" t="s">
        <v>32</v>
      </c>
      <c r="G366">
        <v>22</v>
      </c>
      <c r="H366" t="s">
        <v>48</v>
      </c>
      <c r="I366">
        <v>11</v>
      </c>
      <c r="J366">
        <v>10</v>
      </c>
      <c r="K366">
        <v>4</v>
      </c>
      <c r="L366">
        <f t="shared" si="35"/>
        <v>0</v>
      </c>
      <c r="P366">
        <f t="shared" si="36"/>
        <v>0</v>
      </c>
      <c r="Q366">
        <f t="shared" si="37"/>
        <v>0</v>
      </c>
      <c r="R366">
        <f t="shared" si="38"/>
        <v>0</v>
      </c>
      <c r="S366">
        <f t="shared" si="39"/>
        <v>0</v>
      </c>
      <c r="T366" t="str">
        <f t="shared" si="40"/>
        <v>DerivedFromCount</v>
      </c>
      <c r="U366" t="str">
        <f>IF(COUNTIF(DailyProduction!$Q$5:$Q$100,B366)=1,"OK","CHECK")</f>
        <v>OK</v>
      </c>
      <c r="V366" t="str">
        <f t="shared" si="41"/>
        <v>CHECK</v>
      </c>
      <c r="W366" t="str">
        <f>IF(SUMIF($B$5:$B$914,B366,$S$5:$S$914)=SUMIF(DailyProduction!$Q$5:$Q$100,B366,DailyProduction!$R$5:$R$100),"OK","CHECK")</f>
        <v>CHECK</v>
      </c>
    </row>
    <row r="367" spans="1:23">
      <c r="A367" t="s">
        <v>786</v>
      </c>
      <c r="B367" t="s">
        <v>775</v>
      </c>
      <c r="C367" t="s">
        <v>30</v>
      </c>
      <c r="D367" s="7">
        <v>45956</v>
      </c>
      <c r="E367" t="s">
        <v>79</v>
      </c>
      <c r="F367" t="s">
        <v>32</v>
      </c>
      <c r="G367">
        <v>22</v>
      </c>
      <c r="H367" t="s">
        <v>48</v>
      </c>
      <c r="I367">
        <v>12</v>
      </c>
      <c r="J367">
        <v>10</v>
      </c>
      <c r="K367">
        <v>4</v>
      </c>
      <c r="L367">
        <f t="shared" si="35"/>
        <v>0</v>
      </c>
      <c r="P367">
        <f t="shared" si="36"/>
        <v>0</v>
      </c>
      <c r="Q367">
        <f t="shared" si="37"/>
        <v>0</v>
      </c>
      <c r="R367">
        <f t="shared" si="38"/>
        <v>0</v>
      </c>
      <c r="S367">
        <f t="shared" si="39"/>
        <v>0</v>
      </c>
      <c r="T367" t="str">
        <f t="shared" si="40"/>
        <v>DerivedFromCount</v>
      </c>
      <c r="U367" t="str">
        <f>IF(COUNTIF(DailyProduction!$Q$5:$Q$100,B367)=1,"OK","CHECK")</f>
        <v>OK</v>
      </c>
      <c r="V367" t="str">
        <f t="shared" si="41"/>
        <v>CHECK</v>
      </c>
      <c r="W367" t="str">
        <f>IF(SUMIF($B$5:$B$914,B367,$S$5:$S$914)=SUMIF(DailyProduction!$Q$5:$Q$100,B367,DailyProduction!$R$5:$R$100),"OK","CHECK")</f>
        <v>CHECK</v>
      </c>
    </row>
    <row r="368" spans="1:23">
      <c r="A368" t="s">
        <v>787</v>
      </c>
      <c r="B368" t="s">
        <v>775</v>
      </c>
      <c r="C368" t="s">
        <v>30</v>
      </c>
      <c r="D368" s="7">
        <v>45956</v>
      </c>
      <c r="E368" t="s">
        <v>79</v>
      </c>
      <c r="F368" t="s">
        <v>32</v>
      </c>
      <c r="G368">
        <v>22</v>
      </c>
      <c r="H368" t="s">
        <v>48</v>
      </c>
      <c r="I368">
        <v>13</v>
      </c>
      <c r="J368">
        <v>10</v>
      </c>
      <c r="K368">
        <v>4</v>
      </c>
      <c r="L368">
        <f t="shared" si="35"/>
        <v>0</v>
      </c>
      <c r="P368">
        <f t="shared" si="36"/>
        <v>0</v>
      </c>
      <c r="Q368">
        <f t="shared" si="37"/>
        <v>0</v>
      </c>
      <c r="R368">
        <f t="shared" si="38"/>
        <v>0</v>
      </c>
      <c r="S368">
        <f t="shared" si="39"/>
        <v>0</v>
      </c>
      <c r="T368" t="str">
        <f t="shared" si="40"/>
        <v>DerivedFromCount</v>
      </c>
      <c r="U368" t="str">
        <f>IF(COUNTIF(DailyProduction!$Q$5:$Q$100,B368)=1,"OK","CHECK")</f>
        <v>OK</v>
      </c>
      <c r="V368" t="str">
        <f t="shared" si="41"/>
        <v>CHECK</v>
      </c>
      <c r="W368" t="str">
        <f>IF(SUMIF($B$5:$B$914,B368,$S$5:$S$914)=SUMIF(DailyProduction!$Q$5:$Q$100,B368,DailyProduction!$R$5:$R$100),"OK","CHECK")</f>
        <v>CHECK</v>
      </c>
    </row>
    <row r="369" spans="1:23">
      <c r="A369" t="s">
        <v>788</v>
      </c>
      <c r="B369" t="s">
        <v>789</v>
      </c>
      <c r="C369" t="s">
        <v>30</v>
      </c>
      <c r="D369" s="7">
        <v>45950</v>
      </c>
      <c r="E369" t="s">
        <v>31</v>
      </c>
      <c r="F369" t="s">
        <v>41</v>
      </c>
      <c r="G369">
        <v>23</v>
      </c>
      <c r="H369" t="s">
        <v>50</v>
      </c>
      <c r="I369">
        <v>1</v>
      </c>
      <c r="J369">
        <v>12</v>
      </c>
      <c r="K369">
        <v>3</v>
      </c>
      <c r="L369">
        <f t="shared" si="35"/>
        <v>1</v>
      </c>
      <c r="P369">
        <f t="shared" si="36"/>
        <v>1</v>
      </c>
      <c r="Q369">
        <f t="shared" si="37"/>
        <v>1</v>
      </c>
      <c r="R369">
        <f t="shared" si="38"/>
        <v>1</v>
      </c>
      <c r="S369">
        <f t="shared" si="39"/>
        <v>3</v>
      </c>
      <c r="T369" t="str">
        <f t="shared" si="40"/>
        <v>DerivedFromCount</v>
      </c>
      <c r="U369" t="str">
        <f>IF(COUNTIF(DailyProduction!$Q$5:$Q$100,B369)=1,"OK","CHECK")</f>
        <v>OK</v>
      </c>
      <c r="V369" t="str">
        <f t="shared" si="41"/>
        <v>OK</v>
      </c>
      <c r="W369" t="str">
        <f>IF(SUMIF($B$5:$B$914,B369,$S$5:$S$914)=SUMIF(DailyProduction!$Q$5:$Q$100,B369,DailyProduction!$R$5:$R$100),"OK","CHECK")</f>
        <v>OK</v>
      </c>
    </row>
    <row r="370" spans="1:23">
      <c r="A370" t="s">
        <v>790</v>
      </c>
      <c r="B370" t="s">
        <v>789</v>
      </c>
      <c r="C370" t="s">
        <v>30</v>
      </c>
      <c r="D370" s="7">
        <v>45950</v>
      </c>
      <c r="E370" t="s">
        <v>31</v>
      </c>
      <c r="F370" t="s">
        <v>41</v>
      </c>
      <c r="G370">
        <v>23</v>
      </c>
      <c r="H370" t="s">
        <v>50</v>
      </c>
      <c r="I370">
        <v>2</v>
      </c>
      <c r="J370">
        <v>12</v>
      </c>
      <c r="K370">
        <v>3</v>
      </c>
      <c r="L370">
        <f t="shared" si="35"/>
        <v>1</v>
      </c>
      <c r="P370">
        <f t="shared" si="36"/>
        <v>1</v>
      </c>
      <c r="Q370">
        <f t="shared" si="37"/>
        <v>1</v>
      </c>
      <c r="R370">
        <f t="shared" si="38"/>
        <v>1</v>
      </c>
      <c r="S370">
        <f t="shared" si="39"/>
        <v>3</v>
      </c>
      <c r="T370" t="str">
        <f t="shared" si="40"/>
        <v>DerivedFromCount</v>
      </c>
      <c r="U370" t="str">
        <f>IF(COUNTIF(DailyProduction!$Q$5:$Q$100,B370)=1,"OK","CHECK")</f>
        <v>OK</v>
      </c>
      <c r="V370" t="str">
        <f t="shared" si="41"/>
        <v>OK</v>
      </c>
      <c r="W370" t="str">
        <f>IF(SUMIF($B$5:$B$914,B370,$S$5:$S$914)=SUMIF(DailyProduction!$Q$5:$Q$100,B370,DailyProduction!$R$5:$R$100),"OK","CHECK")</f>
        <v>OK</v>
      </c>
    </row>
    <row r="371" spans="1:23">
      <c r="A371" t="s">
        <v>791</v>
      </c>
      <c r="B371" t="s">
        <v>789</v>
      </c>
      <c r="C371" t="s">
        <v>30</v>
      </c>
      <c r="D371" s="7">
        <v>45950</v>
      </c>
      <c r="E371" t="s">
        <v>31</v>
      </c>
      <c r="F371" t="s">
        <v>41</v>
      </c>
      <c r="G371">
        <v>23</v>
      </c>
      <c r="H371" t="s">
        <v>50</v>
      </c>
      <c r="I371">
        <v>3</v>
      </c>
      <c r="J371">
        <v>12</v>
      </c>
      <c r="K371">
        <v>3</v>
      </c>
      <c r="L371">
        <f t="shared" si="35"/>
        <v>1</v>
      </c>
      <c r="P371">
        <f t="shared" si="36"/>
        <v>1</v>
      </c>
      <c r="Q371">
        <f t="shared" si="37"/>
        <v>1</v>
      </c>
      <c r="R371">
        <f t="shared" si="38"/>
        <v>1</v>
      </c>
      <c r="S371">
        <f t="shared" si="39"/>
        <v>3</v>
      </c>
      <c r="T371" t="str">
        <f t="shared" si="40"/>
        <v>DerivedFromCount</v>
      </c>
      <c r="U371" t="str">
        <f>IF(COUNTIF(DailyProduction!$Q$5:$Q$100,B371)=1,"OK","CHECK")</f>
        <v>OK</v>
      </c>
      <c r="V371" t="str">
        <f t="shared" si="41"/>
        <v>OK</v>
      </c>
      <c r="W371" t="str">
        <f>IF(SUMIF($B$5:$B$914,B371,$S$5:$S$914)=SUMIF(DailyProduction!$Q$5:$Q$100,B371,DailyProduction!$R$5:$R$100),"OK","CHECK")</f>
        <v>OK</v>
      </c>
    </row>
    <row r="372" spans="1:23">
      <c r="A372" t="s">
        <v>792</v>
      </c>
      <c r="B372" t="s">
        <v>789</v>
      </c>
      <c r="C372" t="s">
        <v>30</v>
      </c>
      <c r="D372" s="7">
        <v>45950</v>
      </c>
      <c r="E372" t="s">
        <v>31</v>
      </c>
      <c r="F372" t="s">
        <v>41</v>
      </c>
      <c r="G372">
        <v>23</v>
      </c>
      <c r="H372" t="s">
        <v>50</v>
      </c>
      <c r="I372">
        <v>4</v>
      </c>
      <c r="J372">
        <v>12</v>
      </c>
      <c r="K372">
        <v>3</v>
      </c>
      <c r="L372">
        <f t="shared" si="35"/>
        <v>1</v>
      </c>
      <c r="P372">
        <f t="shared" si="36"/>
        <v>1</v>
      </c>
      <c r="Q372">
        <f t="shared" si="37"/>
        <v>1</v>
      </c>
      <c r="R372">
        <f t="shared" si="38"/>
        <v>1</v>
      </c>
      <c r="S372">
        <f t="shared" si="39"/>
        <v>3</v>
      </c>
      <c r="T372" t="str">
        <f t="shared" si="40"/>
        <v>DerivedFromCount</v>
      </c>
      <c r="U372" t="str">
        <f>IF(COUNTIF(DailyProduction!$Q$5:$Q$100,B372)=1,"OK","CHECK")</f>
        <v>OK</v>
      </c>
      <c r="V372" t="str">
        <f t="shared" si="41"/>
        <v>OK</v>
      </c>
      <c r="W372" t="str">
        <f>IF(SUMIF($B$5:$B$914,B372,$S$5:$S$914)=SUMIF(DailyProduction!$Q$5:$Q$100,B372,DailyProduction!$R$5:$R$100),"OK","CHECK")</f>
        <v>OK</v>
      </c>
    </row>
    <row r="373" spans="1:23">
      <c r="A373" t="s">
        <v>793</v>
      </c>
      <c r="B373" t="s">
        <v>789</v>
      </c>
      <c r="C373" t="s">
        <v>30</v>
      </c>
      <c r="D373" s="7">
        <v>45950</v>
      </c>
      <c r="E373" t="s">
        <v>31</v>
      </c>
      <c r="F373" t="s">
        <v>41</v>
      </c>
      <c r="G373">
        <v>23</v>
      </c>
      <c r="H373" t="s">
        <v>50</v>
      </c>
      <c r="I373">
        <v>5</v>
      </c>
      <c r="J373">
        <v>12</v>
      </c>
      <c r="K373">
        <v>3</v>
      </c>
      <c r="L373">
        <f t="shared" si="35"/>
        <v>1</v>
      </c>
      <c r="P373">
        <f t="shared" si="36"/>
        <v>1</v>
      </c>
      <c r="Q373">
        <f t="shared" si="37"/>
        <v>1</v>
      </c>
      <c r="R373">
        <f t="shared" si="38"/>
        <v>1</v>
      </c>
      <c r="S373">
        <f t="shared" si="39"/>
        <v>3</v>
      </c>
      <c r="T373" t="str">
        <f t="shared" si="40"/>
        <v>DerivedFromCount</v>
      </c>
      <c r="U373" t="str">
        <f>IF(COUNTIF(DailyProduction!$Q$5:$Q$100,B373)=1,"OK","CHECK")</f>
        <v>OK</v>
      </c>
      <c r="V373" t="str">
        <f t="shared" si="41"/>
        <v>OK</v>
      </c>
      <c r="W373" t="str">
        <f>IF(SUMIF($B$5:$B$914,B373,$S$5:$S$914)=SUMIF(DailyProduction!$Q$5:$Q$100,B373,DailyProduction!$R$5:$R$100),"OK","CHECK")</f>
        <v>OK</v>
      </c>
    </row>
    <row r="374" spans="1:23">
      <c r="A374" t="s">
        <v>794</v>
      </c>
      <c r="B374" t="s">
        <v>789</v>
      </c>
      <c r="C374" t="s">
        <v>30</v>
      </c>
      <c r="D374" s="7">
        <v>45950</v>
      </c>
      <c r="E374" t="s">
        <v>31</v>
      </c>
      <c r="F374" t="s">
        <v>41</v>
      </c>
      <c r="G374">
        <v>23</v>
      </c>
      <c r="H374" t="s">
        <v>50</v>
      </c>
      <c r="I374">
        <v>6</v>
      </c>
      <c r="J374">
        <v>12</v>
      </c>
      <c r="K374">
        <v>3</v>
      </c>
      <c r="L374">
        <f t="shared" si="35"/>
        <v>1</v>
      </c>
      <c r="P374">
        <f t="shared" si="36"/>
        <v>1</v>
      </c>
      <c r="Q374">
        <f t="shared" si="37"/>
        <v>1</v>
      </c>
      <c r="R374">
        <f t="shared" si="38"/>
        <v>1</v>
      </c>
      <c r="S374">
        <f t="shared" si="39"/>
        <v>3</v>
      </c>
      <c r="T374" t="str">
        <f t="shared" si="40"/>
        <v>DerivedFromCount</v>
      </c>
      <c r="U374" t="str">
        <f>IF(COUNTIF(DailyProduction!$Q$5:$Q$100,B374)=1,"OK","CHECK")</f>
        <v>OK</v>
      </c>
      <c r="V374" t="str">
        <f t="shared" si="41"/>
        <v>OK</v>
      </c>
      <c r="W374" t="str">
        <f>IF(SUMIF($B$5:$B$914,B374,$S$5:$S$914)=SUMIF(DailyProduction!$Q$5:$Q$100,B374,DailyProduction!$R$5:$R$100),"OK","CHECK")</f>
        <v>OK</v>
      </c>
    </row>
    <row r="375" spans="1:23">
      <c r="A375" t="s">
        <v>795</v>
      </c>
      <c r="B375" t="s">
        <v>789</v>
      </c>
      <c r="C375" t="s">
        <v>30</v>
      </c>
      <c r="D375" s="7">
        <v>45950</v>
      </c>
      <c r="E375" t="s">
        <v>31</v>
      </c>
      <c r="F375" t="s">
        <v>41</v>
      </c>
      <c r="G375">
        <v>23</v>
      </c>
      <c r="H375" t="s">
        <v>50</v>
      </c>
      <c r="I375">
        <v>7</v>
      </c>
      <c r="J375">
        <v>12</v>
      </c>
      <c r="K375">
        <v>3</v>
      </c>
      <c r="L375">
        <f t="shared" si="35"/>
        <v>1</v>
      </c>
      <c r="P375">
        <f t="shared" si="36"/>
        <v>1</v>
      </c>
      <c r="Q375">
        <f t="shared" si="37"/>
        <v>1</v>
      </c>
      <c r="R375">
        <f t="shared" si="38"/>
        <v>1</v>
      </c>
      <c r="S375">
        <f t="shared" si="39"/>
        <v>3</v>
      </c>
      <c r="T375" t="str">
        <f t="shared" si="40"/>
        <v>DerivedFromCount</v>
      </c>
      <c r="U375" t="str">
        <f>IF(COUNTIF(DailyProduction!$Q$5:$Q$100,B375)=1,"OK","CHECK")</f>
        <v>OK</v>
      </c>
      <c r="V375" t="str">
        <f t="shared" si="41"/>
        <v>OK</v>
      </c>
      <c r="W375" t="str">
        <f>IF(SUMIF($B$5:$B$914,B375,$S$5:$S$914)=SUMIF(DailyProduction!$Q$5:$Q$100,B375,DailyProduction!$R$5:$R$100),"OK","CHECK")</f>
        <v>OK</v>
      </c>
    </row>
    <row r="376" spans="1:23">
      <c r="A376" t="s">
        <v>796</v>
      </c>
      <c r="B376" t="s">
        <v>789</v>
      </c>
      <c r="C376" t="s">
        <v>30</v>
      </c>
      <c r="D376" s="7">
        <v>45950</v>
      </c>
      <c r="E376" t="s">
        <v>31</v>
      </c>
      <c r="F376" t="s">
        <v>41</v>
      </c>
      <c r="G376">
        <v>23</v>
      </c>
      <c r="H376" t="s">
        <v>50</v>
      </c>
      <c r="I376">
        <v>8</v>
      </c>
      <c r="J376">
        <v>12</v>
      </c>
      <c r="K376">
        <v>3</v>
      </c>
      <c r="L376">
        <f t="shared" si="35"/>
        <v>1</v>
      </c>
      <c r="P376">
        <f t="shared" si="36"/>
        <v>1</v>
      </c>
      <c r="Q376">
        <f t="shared" si="37"/>
        <v>1</v>
      </c>
      <c r="R376">
        <f t="shared" si="38"/>
        <v>1</v>
      </c>
      <c r="S376">
        <f t="shared" si="39"/>
        <v>3</v>
      </c>
      <c r="T376" t="str">
        <f t="shared" si="40"/>
        <v>DerivedFromCount</v>
      </c>
      <c r="U376" t="str">
        <f>IF(COUNTIF(DailyProduction!$Q$5:$Q$100,B376)=1,"OK","CHECK")</f>
        <v>OK</v>
      </c>
      <c r="V376" t="str">
        <f t="shared" si="41"/>
        <v>OK</v>
      </c>
      <c r="W376" t="str">
        <f>IF(SUMIF($B$5:$B$914,B376,$S$5:$S$914)=SUMIF(DailyProduction!$Q$5:$Q$100,B376,DailyProduction!$R$5:$R$100),"OK","CHECK")</f>
        <v>OK</v>
      </c>
    </row>
    <row r="377" spans="1:23">
      <c r="A377" t="s">
        <v>797</v>
      </c>
      <c r="B377" t="s">
        <v>789</v>
      </c>
      <c r="C377" t="s">
        <v>30</v>
      </c>
      <c r="D377" s="7">
        <v>45950</v>
      </c>
      <c r="E377" t="s">
        <v>31</v>
      </c>
      <c r="F377" t="s">
        <v>41</v>
      </c>
      <c r="G377">
        <v>23</v>
      </c>
      <c r="H377" t="s">
        <v>50</v>
      </c>
      <c r="I377">
        <v>9</v>
      </c>
      <c r="J377">
        <v>12</v>
      </c>
      <c r="K377">
        <v>3</v>
      </c>
      <c r="L377">
        <f t="shared" si="35"/>
        <v>1</v>
      </c>
      <c r="P377">
        <f t="shared" si="36"/>
        <v>1</v>
      </c>
      <c r="Q377">
        <f t="shared" si="37"/>
        <v>1</v>
      </c>
      <c r="R377">
        <f t="shared" si="38"/>
        <v>1</v>
      </c>
      <c r="S377">
        <f t="shared" si="39"/>
        <v>3</v>
      </c>
      <c r="T377" t="str">
        <f t="shared" si="40"/>
        <v>DerivedFromCount</v>
      </c>
      <c r="U377" t="str">
        <f>IF(COUNTIF(DailyProduction!$Q$5:$Q$100,B377)=1,"OK","CHECK")</f>
        <v>OK</v>
      </c>
      <c r="V377" t="str">
        <f t="shared" si="41"/>
        <v>OK</v>
      </c>
      <c r="W377" t="str">
        <f>IF(SUMIF($B$5:$B$914,B377,$S$5:$S$914)=SUMIF(DailyProduction!$Q$5:$Q$100,B377,DailyProduction!$R$5:$R$100),"OK","CHECK")</f>
        <v>OK</v>
      </c>
    </row>
    <row r="378" spans="1:23">
      <c r="A378" t="s">
        <v>798</v>
      </c>
      <c r="B378" t="s">
        <v>789</v>
      </c>
      <c r="C378" t="s">
        <v>30</v>
      </c>
      <c r="D378" s="7">
        <v>45950</v>
      </c>
      <c r="E378" t="s">
        <v>31</v>
      </c>
      <c r="F378" t="s">
        <v>41</v>
      </c>
      <c r="G378">
        <v>23</v>
      </c>
      <c r="H378" t="s">
        <v>50</v>
      </c>
      <c r="I378">
        <v>10</v>
      </c>
      <c r="J378">
        <v>12</v>
      </c>
      <c r="K378">
        <v>3</v>
      </c>
      <c r="L378">
        <f t="shared" si="35"/>
        <v>1</v>
      </c>
      <c r="P378">
        <f t="shared" si="36"/>
        <v>1</v>
      </c>
      <c r="Q378">
        <f t="shared" si="37"/>
        <v>1</v>
      </c>
      <c r="R378">
        <f t="shared" si="38"/>
        <v>1</v>
      </c>
      <c r="S378">
        <f t="shared" si="39"/>
        <v>3</v>
      </c>
      <c r="T378" t="str">
        <f t="shared" si="40"/>
        <v>DerivedFromCount</v>
      </c>
      <c r="U378" t="str">
        <f>IF(COUNTIF(DailyProduction!$Q$5:$Q$100,B378)=1,"OK","CHECK")</f>
        <v>OK</v>
      </c>
      <c r="V378" t="str">
        <f t="shared" si="41"/>
        <v>OK</v>
      </c>
      <c r="W378" t="str">
        <f>IF(SUMIF($B$5:$B$914,B378,$S$5:$S$914)=SUMIF(DailyProduction!$Q$5:$Q$100,B378,DailyProduction!$R$5:$R$100),"OK","CHECK")</f>
        <v>OK</v>
      </c>
    </row>
    <row r="379" spans="1:23">
      <c r="A379" t="s">
        <v>799</v>
      </c>
      <c r="B379" t="s">
        <v>789</v>
      </c>
      <c r="C379" t="s">
        <v>30</v>
      </c>
      <c r="D379" s="7">
        <v>45950</v>
      </c>
      <c r="E379" t="s">
        <v>31</v>
      </c>
      <c r="F379" t="s">
        <v>41</v>
      </c>
      <c r="G379">
        <v>23</v>
      </c>
      <c r="H379" t="s">
        <v>50</v>
      </c>
      <c r="I379">
        <v>11</v>
      </c>
      <c r="J379">
        <v>12</v>
      </c>
      <c r="K379">
        <v>3</v>
      </c>
      <c r="L379">
        <f t="shared" si="35"/>
        <v>1</v>
      </c>
      <c r="P379">
        <f t="shared" si="36"/>
        <v>1</v>
      </c>
      <c r="Q379">
        <f t="shared" si="37"/>
        <v>1</v>
      </c>
      <c r="R379">
        <f t="shared" si="38"/>
        <v>1</v>
      </c>
      <c r="S379">
        <f t="shared" si="39"/>
        <v>3</v>
      </c>
      <c r="T379" t="str">
        <f t="shared" si="40"/>
        <v>DerivedFromCount</v>
      </c>
      <c r="U379" t="str">
        <f>IF(COUNTIF(DailyProduction!$Q$5:$Q$100,B379)=1,"OK","CHECK")</f>
        <v>OK</v>
      </c>
      <c r="V379" t="str">
        <f t="shared" si="41"/>
        <v>OK</v>
      </c>
      <c r="W379" t="str">
        <f>IF(SUMIF($B$5:$B$914,B379,$S$5:$S$914)=SUMIF(DailyProduction!$Q$5:$Q$100,B379,DailyProduction!$R$5:$R$100),"OK","CHECK")</f>
        <v>OK</v>
      </c>
    </row>
    <row r="380" spans="1:23">
      <c r="A380" t="s">
        <v>800</v>
      </c>
      <c r="B380" t="s">
        <v>789</v>
      </c>
      <c r="C380" t="s">
        <v>30</v>
      </c>
      <c r="D380" s="7">
        <v>45950</v>
      </c>
      <c r="E380" t="s">
        <v>31</v>
      </c>
      <c r="F380" t="s">
        <v>41</v>
      </c>
      <c r="G380">
        <v>23</v>
      </c>
      <c r="H380" t="s">
        <v>50</v>
      </c>
      <c r="I380">
        <v>12</v>
      </c>
      <c r="J380">
        <v>12</v>
      </c>
      <c r="K380">
        <v>3</v>
      </c>
      <c r="L380">
        <f t="shared" si="35"/>
        <v>1</v>
      </c>
      <c r="P380">
        <f t="shared" si="36"/>
        <v>1</v>
      </c>
      <c r="Q380">
        <f t="shared" si="37"/>
        <v>1</v>
      </c>
      <c r="R380">
        <f t="shared" si="38"/>
        <v>1</v>
      </c>
      <c r="S380">
        <f t="shared" si="39"/>
        <v>3</v>
      </c>
      <c r="T380" t="str">
        <f t="shared" si="40"/>
        <v>DerivedFromCount</v>
      </c>
      <c r="U380" t="str">
        <f>IF(COUNTIF(DailyProduction!$Q$5:$Q$100,B380)=1,"OK","CHECK")</f>
        <v>OK</v>
      </c>
      <c r="V380" t="str">
        <f t="shared" si="41"/>
        <v>OK</v>
      </c>
      <c r="W380" t="str">
        <f>IF(SUMIF($B$5:$B$914,B380,$S$5:$S$914)=SUMIF(DailyProduction!$Q$5:$Q$100,B380,DailyProduction!$R$5:$R$100),"OK","CHECK")</f>
        <v>OK</v>
      </c>
    </row>
    <row r="381" spans="1:23">
      <c r="A381" t="s">
        <v>801</v>
      </c>
      <c r="B381" t="s">
        <v>789</v>
      </c>
      <c r="C381" t="s">
        <v>30</v>
      </c>
      <c r="D381" s="7">
        <v>45950</v>
      </c>
      <c r="E381" t="s">
        <v>31</v>
      </c>
      <c r="F381" t="s">
        <v>41</v>
      </c>
      <c r="G381">
        <v>23</v>
      </c>
      <c r="H381" t="s">
        <v>50</v>
      </c>
      <c r="I381">
        <v>13</v>
      </c>
      <c r="J381">
        <v>12</v>
      </c>
      <c r="K381">
        <v>3</v>
      </c>
      <c r="L381">
        <f t="shared" si="35"/>
        <v>0</v>
      </c>
      <c r="P381">
        <f t="shared" si="36"/>
        <v>0</v>
      </c>
      <c r="Q381">
        <f t="shared" si="37"/>
        <v>0</v>
      </c>
      <c r="R381">
        <f t="shared" si="38"/>
        <v>0</v>
      </c>
      <c r="S381">
        <f t="shared" si="39"/>
        <v>0</v>
      </c>
      <c r="T381" t="str">
        <f t="shared" si="40"/>
        <v>DerivedFromCount</v>
      </c>
      <c r="U381" t="str">
        <f>IF(COUNTIF(DailyProduction!$Q$5:$Q$100,B381)=1,"OK","CHECK")</f>
        <v>OK</v>
      </c>
      <c r="V381" t="str">
        <f t="shared" si="41"/>
        <v>OK</v>
      </c>
      <c r="W381" t="str">
        <f>IF(SUMIF($B$5:$B$914,B381,$S$5:$S$914)=SUMIF(DailyProduction!$Q$5:$Q$100,B381,DailyProduction!$R$5:$R$100),"OK","CHECK")</f>
        <v>OK</v>
      </c>
    </row>
    <row r="382" spans="1:23">
      <c r="A382" t="s">
        <v>802</v>
      </c>
      <c r="B382" t="s">
        <v>803</v>
      </c>
      <c r="C382" t="s">
        <v>30</v>
      </c>
      <c r="D382" s="7">
        <v>45950</v>
      </c>
      <c r="E382" t="s">
        <v>79</v>
      </c>
      <c r="F382" t="s">
        <v>32</v>
      </c>
      <c r="G382">
        <v>23</v>
      </c>
      <c r="H382" t="s">
        <v>50</v>
      </c>
      <c r="I382">
        <v>1</v>
      </c>
      <c r="J382">
        <v>12</v>
      </c>
      <c r="K382">
        <v>3</v>
      </c>
      <c r="L382">
        <f t="shared" si="35"/>
        <v>1</v>
      </c>
      <c r="P382">
        <f t="shared" si="36"/>
        <v>1</v>
      </c>
      <c r="Q382">
        <f t="shared" si="37"/>
        <v>1</v>
      </c>
      <c r="R382">
        <f t="shared" si="38"/>
        <v>1</v>
      </c>
      <c r="S382">
        <f t="shared" si="39"/>
        <v>3</v>
      </c>
      <c r="T382" t="str">
        <f t="shared" si="40"/>
        <v>DerivedFromCount</v>
      </c>
      <c r="U382" t="str">
        <f>IF(COUNTIF(DailyProduction!$Q$5:$Q$100,B382)=1,"OK","CHECK")</f>
        <v>OK</v>
      </c>
      <c r="V382" t="str">
        <f t="shared" si="41"/>
        <v>OK</v>
      </c>
      <c r="W382" t="str">
        <f>IF(SUMIF($B$5:$B$914,B382,$S$5:$S$914)=SUMIF(DailyProduction!$Q$5:$Q$100,B382,DailyProduction!$R$5:$R$100),"OK","CHECK")</f>
        <v>OK</v>
      </c>
    </row>
    <row r="383" spans="1:23">
      <c r="A383" t="s">
        <v>804</v>
      </c>
      <c r="B383" t="s">
        <v>803</v>
      </c>
      <c r="C383" t="s">
        <v>30</v>
      </c>
      <c r="D383" s="7">
        <v>45950</v>
      </c>
      <c r="E383" t="s">
        <v>79</v>
      </c>
      <c r="F383" t="s">
        <v>32</v>
      </c>
      <c r="G383">
        <v>23</v>
      </c>
      <c r="H383" t="s">
        <v>50</v>
      </c>
      <c r="I383">
        <v>2</v>
      </c>
      <c r="J383">
        <v>12</v>
      </c>
      <c r="K383">
        <v>3</v>
      </c>
      <c r="L383">
        <f t="shared" si="35"/>
        <v>1</v>
      </c>
      <c r="P383">
        <f t="shared" si="36"/>
        <v>1</v>
      </c>
      <c r="Q383">
        <f t="shared" si="37"/>
        <v>1</v>
      </c>
      <c r="R383">
        <f t="shared" si="38"/>
        <v>1</v>
      </c>
      <c r="S383">
        <f t="shared" si="39"/>
        <v>3</v>
      </c>
      <c r="T383" t="str">
        <f t="shared" si="40"/>
        <v>DerivedFromCount</v>
      </c>
      <c r="U383" t="str">
        <f>IF(COUNTIF(DailyProduction!$Q$5:$Q$100,B383)=1,"OK","CHECK")</f>
        <v>OK</v>
      </c>
      <c r="V383" t="str">
        <f t="shared" si="41"/>
        <v>OK</v>
      </c>
      <c r="W383" t="str">
        <f>IF(SUMIF($B$5:$B$914,B383,$S$5:$S$914)=SUMIF(DailyProduction!$Q$5:$Q$100,B383,DailyProduction!$R$5:$R$100),"OK","CHECK")</f>
        <v>OK</v>
      </c>
    </row>
    <row r="384" spans="1:23">
      <c r="A384" t="s">
        <v>805</v>
      </c>
      <c r="B384" t="s">
        <v>803</v>
      </c>
      <c r="C384" t="s">
        <v>30</v>
      </c>
      <c r="D384" s="7">
        <v>45950</v>
      </c>
      <c r="E384" t="s">
        <v>79</v>
      </c>
      <c r="F384" t="s">
        <v>32</v>
      </c>
      <c r="G384">
        <v>23</v>
      </c>
      <c r="H384" t="s">
        <v>50</v>
      </c>
      <c r="I384">
        <v>3</v>
      </c>
      <c r="J384">
        <v>12</v>
      </c>
      <c r="K384">
        <v>3</v>
      </c>
      <c r="L384">
        <f t="shared" si="35"/>
        <v>1</v>
      </c>
      <c r="P384">
        <f t="shared" si="36"/>
        <v>1</v>
      </c>
      <c r="Q384">
        <f t="shared" si="37"/>
        <v>1</v>
      </c>
      <c r="R384">
        <f t="shared" si="38"/>
        <v>1</v>
      </c>
      <c r="S384">
        <f t="shared" si="39"/>
        <v>3</v>
      </c>
      <c r="T384" t="str">
        <f t="shared" si="40"/>
        <v>DerivedFromCount</v>
      </c>
      <c r="U384" t="str">
        <f>IF(COUNTIF(DailyProduction!$Q$5:$Q$100,B384)=1,"OK","CHECK")</f>
        <v>OK</v>
      </c>
      <c r="V384" t="str">
        <f t="shared" si="41"/>
        <v>OK</v>
      </c>
      <c r="W384" t="str">
        <f>IF(SUMIF($B$5:$B$914,B384,$S$5:$S$914)=SUMIF(DailyProduction!$Q$5:$Q$100,B384,DailyProduction!$R$5:$R$100),"OK","CHECK")</f>
        <v>OK</v>
      </c>
    </row>
    <row r="385" spans="1:23">
      <c r="A385" t="s">
        <v>806</v>
      </c>
      <c r="B385" t="s">
        <v>803</v>
      </c>
      <c r="C385" t="s">
        <v>30</v>
      </c>
      <c r="D385" s="7">
        <v>45950</v>
      </c>
      <c r="E385" t="s">
        <v>79</v>
      </c>
      <c r="F385" t="s">
        <v>32</v>
      </c>
      <c r="G385">
        <v>23</v>
      </c>
      <c r="H385" t="s">
        <v>50</v>
      </c>
      <c r="I385">
        <v>4</v>
      </c>
      <c r="J385">
        <v>12</v>
      </c>
      <c r="K385">
        <v>3</v>
      </c>
      <c r="L385">
        <f t="shared" si="35"/>
        <v>1</v>
      </c>
      <c r="P385">
        <f t="shared" si="36"/>
        <v>1</v>
      </c>
      <c r="Q385">
        <f t="shared" si="37"/>
        <v>1</v>
      </c>
      <c r="R385">
        <f t="shared" si="38"/>
        <v>1</v>
      </c>
      <c r="S385">
        <f t="shared" si="39"/>
        <v>3</v>
      </c>
      <c r="T385" t="str">
        <f t="shared" si="40"/>
        <v>DerivedFromCount</v>
      </c>
      <c r="U385" t="str">
        <f>IF(COUNTIF(DailyProduction!$Q$5:$Q$100,B385)=1,"OK","CHECK")</f>
        <v>OK</v>
      </c>
      <c r="V385" t="str">
        <f t="shared" si="41"/>
        <v>OK</v>
      </c>
      <c r="W385" t="str">
        <f>IF(SUMIF($B$5:$B$914,B385,$S$5:$S$914)=SUMIF(DailyProduction!$Q$5:$Q$100,B385,DailyProduction!$R$5:$R$100),"OK","CHECK")</f>
        <v>OK</v>
      </c>
    </row>
    <row r="386" spans="1:23">
      <c r="A386" t="s">
        <v>807</v>
      </c>
      <c r="B386" t="s">
        <v>803</v>
      </c>
      <c r="C386" t="s">
        <v>30</v>
      </c>
      <c r="D386" s="7">
        <v>45950</v>
      </c>
      <c r="E386" t="s">
        <v>79</v>
      </c>
      <c r="F386" t="s">
        <v>32</v>
      </c>
      <c r="G386">
        <v>23</v>
      </c>
      <c r="H386" t="s">
        <v>50</v>
      </c>
      <c r="I386">
        <v>5</v>
      </c>
      <c r="J386">
        <v>12</v>
      </c>
      <c r="K386">
        <v>3</v>
      </c>
      <c r="L386">
        <f t="shared" si="35"/>
        <v>1</v>
      </c>
      <c r="P386">
        <f t="shared" si="36"/>
        <v>1</v>
      </c>
      <c r="Q386">
        <f t="shared" si="37"/>
        <v>1</v>
      </c>
      <c r="R386">
        <f t="shared" si="38"/>
        <v>1</v>
      </c>
      <c r="S386">
        <f t="shared" si="39"/>
        <v>3</v>
      </c>
      <c r="T386" t="str">
        <f t="shared" si="40"/>
        <v>DerivedFromCount</v>
      </c>
      <c r="U386" t="str">
        <f>IF(COUNTIF(DailyProduction!$Q$5:$Q$100,B386)=1,"OK","CHECK")</f>
        <v>OK</v>
      </c>
      <c r="V386" t="str">
        <f t="shared" si="41"/>
        <v>OK</v>
      </c>
      <c r="W386" t="str">
        <f>IF(SUMIF($B$5:$B$914,B386,$S$5:$S$914)=SUMIF(DailyProduction!$Q$5:$Q$100,B386,DailyProduction!$R$5:$R$100),"OK","CHECK")</f>
        <v>OK</v>
      </c>
    </row>
    <row r="387" spans="1:23">
      <c r="A387" t="s">
        <v>808</v>
      </c>
      <c r="B387" t="s">
        <v>803</v>
      </c>
      <c r="C387" t="s">
        <v>30</v>
      </c>
      <c r="D387" s="7">
        <v>45950</v>
      </c>
      <c r="E387" t="s">
        <v>79</v>
      </c>
      <c r="F387" t="s">
        <v>32</v>
      </c>
      <c r="G387">
        <v>23</v>
      </c>
      <c r="H387" t="s">
        <v>50</v>
      </c>
      <c r="I387">
        <v>6</v>
      </c>
      <c r="J387">
        <v>12</v>
      </c>
      <c r="K387">
        <v>3</v>
      </c>
      <c r="L387">
        <f t="shared" si="35"/>
        <v>1</v>
      </c>
      <c r="P387">
        <f t="shared" si="36"/>
        <v>1</v>
      </c>
      <c r="Q387">
        <f t="shared" si="37"/>
        <v>1</v>
      </c>
      <c r="R387">
        <f t="shared" si="38"/>
        <v>1</v>
      </c>
      <c r="S387">
        <f t="shared" si="39"/>
        <v>3</v>
      </c>
      <c r="T387" t="str">
        <f t="shared" si="40"/>
        <v>DerivedFromCount</v>
      </c>
      <c r="U387" t="str">
        <f>IF(COUNTIF(DailyProduction!$Q$5:$Q$100,B387)=1,"OK","CHECK")</f>
        <v>OK</v>
      </c>
      <c r="V387" t="str">
        <f t="shared" si="41"/>
        <v>OK</v>
      </c>
      <c r="W387" t="str">
        <f>IF(SUMIF($B$5:$B$914,B387,$S$5:$S$914)=SUMIF(DailyProduction!$Q$5:$Q$100,B387,DailyProduction!$R$5:$R$100),"OK","CHECK")</f>
        <v>OK</v>
      </c>
    </row>
    <row r="388" spans="1:23">
      <c r="A388" t="s">
        <v>809</v>
      </c>
      <c r="B388" t="s">
        <v>803</v>
      </c>
      <c r="C388" t="s">
        <v>30</v>
      </c>
      <c r="D388" s="7">
        <v>45950</v>
      </c>
      <c r="E388" t="s">
        <v>79</v>
      </c>
      <c r="F388" t="s">
        <v>32</v>
      </c>
      <c r="G388">
        <v>23</v>
      </c>
      <c r="H388" t="s">
        <v>50</v>
      </c>
      <c r="I388">
        <v>7</v>
      </c>
      <c r="J388">
        <v>12</v>
      </c>
      <c r="K388">
        <v>3</v>
      </c>
      <c r="L388">
        <f t="shared" si="35"/>
        <v>1</v>
      </c>
      <c r="P388">
        <f t="shared" si="36"/>
        <v>1</v>
      </c>
      <c r="Q388">
        <f t="shared" si="37"/>
        <v>1</v>
      </c>
      <c r="R388">
        <f t="shared" si="38"/>
        <v>1</v>
      </c>
      <c r="S388">
        <f t="shared" si="39"/>
        <v>3</v>
      </c>
      <c r="T388" t="str">
        <f t="shared" si="40"/>
        <v>DerivedFromCount</v>
      </c>
      <c r="U388" t="str">
        <f>IF(COUNTIF(DailyProduction!$Q$5:$Q$100,B388)=1,"OK","CHECK")</f>
        <v>OK</v>
      </c>
      <c r="V388" t="str">
        <f t="shared" si="41"/>
        <v>OK</v>
      </c>
      <c r="W388" t="str">
        <f>IF(SUMIF($B$5:$B$914,B388,$S$5:$S$914)=SUMIF(DailyProduction!$Q$5:$Q$100,B388,DailyProduction!$R$5:$R$100),"OK","CHECK")</f>
        <v>OK</v>
      </c>
    </row>
    <row r="389" spans="1:23">
      <c r="A389" t="s">
        <v>810</v>
      </c>
      <c r="B389" t="s">
        <v>803</v>
      </c>
      <c r="C389" t="s">
        <v>30</v>
      </c>
      <c r="D389" s="7">
        <v>45950</v>
      </c>
      <c r="E389" t="s">
        <v>79</v>
      </c>
      <c r="F389" t="s">
        <v>32</v>
      </c>
      <c r="G389">
        <v>23</v>
      </c>
      <c r="H389" t="s">
        <v>50</v>
      </c>
      <c r="I389">
        <v>8</v>
      </c>
      <c r="J389">
        <v>12</v>
      </c>
      <c r="K389">
        <v>3</v>
      </c>
      <c r="L389">
        <f t="shared" ref="L389:L452" si="42">IF(I389&lt;=J389,1,0)</f>
        <v>1</v>
      </c>
      <c r="P389">
        <f t="shared" ref="P389:P452" si="43">IF(M389="",IF(AND(L389=1,K389&gt;=1),1,0),M389)</f>
        <v>1</v>
      </c>
      <c r="Q389">
        <f t="shared" ref="Q389:Q452" si="44">IF(N389="",IF(AND(L389=1,K389&gt;=2),1,0),N389)</f>
        <v>1</v>
      </c>
      <c r="R389">
        <f t="shared" ref="R389:R452" si="45">IF(O389="",IF(AND(L389=1,K389&gt;=3),1,0),O389)</f>
        <v>1</v>
      </c>
      <c r="S389">
        <f t="shared" ref="S389:S452" si="46">SUM(P389:R389)</f>
        <v>3</v>
      </c>
      <c r="T389" t="str">
        <f t="shared" ref="T389:T452" si="47">IF(COUNTA(M389:O389)=0,"DerivedFromCount","ManualOverride")</f>
        <v>DerivedFromCount</v>
      </c>
      <c r="U389" t="str">
        <f>IF(COUNTIF(DailyProduction!$Q$5:$Q$100,B389)=1,"OK","CHECK")</f>
        <v>OK</v>
      </c>
      <c r="V389" t="str">
        <f t="shared" ref="V389:V452" si="48">IF(AND(I389&gt;=1,I389&lt;=13,K389&gt;=1,K389&lt;=3),"OK","CHECK")</f>
        <v>OK</v>
      </c>
      <c r="W389" t="str">
        <f>IF(SUMIF($B$5:$B$914,B389,$S$5:$S$914)=SUMIF(DailyProduction!$Q$5:$Q$100,B389,DailyProduction!$R$5:$R$100),"OK","CHECK")</f>
        <v>OK</v>
      </c>
    </row>
    <row r="390" spans="1:23">
      <c r="A390" t="s">
        <v>811</v>
      </c>
      <c r="B390" t="s">
        <v>803</v>
      </c>
      <c r="C390" t="s">
        <v>30</v>
      </c>
      <c r="D390" s="7">
        <v>45950</v>
      </c>
      <c r="E390" t="s">
        <v>79</v>
      </c>
      <c r="F390" t="s">
        <v>32</v>
      </c>
      <c r="G390">
        <v>23</v>
      </c>
      <c r="H390" t="s">
        <v>50</v>
      </c>
      <c r="I390">
        <v>9</v>
      </c>
      <c r="J390">
        <v>12</v>
      </c>
      <c r="K390">
        <v>3</v>
      </c>
      <c r="L390">
        <f t="shared" si="42"/>
        <v>1</v>
      </c>
      <c r="P390">
        <f t="shared" si="43"/>
        <v>1</v>
      </c>
      <c r="Q390">
        <f t="shared" si="44"/>
        <v>1</v>
      </c>
      <c r="R390">
        <f t="shared" si="45"/>
        <v>1</v>
      </c>
      <c r="S390">
        <f t="shared" si="46"/>
        <v>3</v>
      </c>
      <c r="T390" t="str">
        <f t="shared" si="47"/>
        <v>DerivedFromCount</v>
      </c>
      <c r="U390" t="str">
        <f>IF(COUNTIF(DailyProduction!$Q$5:$Q$100,B390)=1,"OK","CHECK")</f>
        <v>OK</v>
      </c>
      <c r="V390" t="str">
        <f t="shared" si="48"/>
        <v>OK</v>
      </c>
      <c r="W390" t="str">
        <f>IF(SUMIF($B$5:$B$914,B390,$S$5:$S$914)=SUMIF(DailyProduction!$Q$5:$Q$100,B390,DailyProduction!$R$5:$R$100),"OK","CHECK")</f>
        <v>OK</v>
      </c>
    </row>
    <row r="391" spans="1:23">
      <c r="A391" t="s">
        <v>812</v>
      </c>
      <c r="B391" t="s">
        <v>803</v>
      </c>
      <c r="C391" t="s">
        <v>30</v>
      </c>
      <c r="D391" s="7">
        <v>45950</v>
      </c>
      <c r="E391" t="s">
        <v>79</v>
      </c>
      <c r="F391" t="s">
        <v>32</v>
      </c>
      <c r="G391">
        <v>23</v>
      </c>
      <c r="H391" t="s">
        <v>50</v>
      </c>
      <c r="I391">
        <v>10</v>
      </c>
      <c r="J391">
        <v>12</v>
      </c>
      <c r="K391">
        <v>3</v>
      </c>
      <c r="L391">
        <f t="shared" si="42"/>
        <v>1</v>
      </c>
      <c r="P391">
        <f t="shared" si="43"/>
        <v>1</v>
      </c>
      <c r="Q391">
        <f t="shared" si="44"/>
        <v>1</v>
      </c>
      <c r="R391">
        <f t="shared" si="45"/>
        <v>1</v>
      </c>
      <c r="S391">
        <f t="shared" si="46"/>
        <v>3</v>
      </c>
      <c r="T391" t="str">
        <f t="shared" si="47"/>
        <v>DerivedFromCount</v>
      </c>
      <c r="U391" t="str">
        <f>IF(COUNTIF(DailyProduction!$Q$5:$Q$100,B391)=1,"OK","CHECK")</f>
        <v>OK</v>
      </c>
      <c r="V391" t="str">
        <f t="shared" si="48"/>
        <v>OK</v>
      </c>
      <c r="W391" t="str">
        <f>IF(SUMIF($B$5:$B$914,B391,$S$5:$S$914)=SUMIF(DailyProduction!$Q$5:$Q$100,B391,DailyProduction!$R$5:$R$100),"OK","CHECK")</f>
        <v>OK</v>
      </c>
    </row>
    <row r="392" spans="1:23">
      <c r="A392" t="s">
        <v>813</v>
      </c>
      <c r="B392" t="s">
        <v>803</v>
      </c>
      <c r="C392" t="s">
        <v>30</v>
      </c>
      <c r="D392" s="7">
        <v>45950</v>
      </c>
      <c r="E392" t="s">
        <v>79</v>
      </c>
      <c r="F392" t="s">
        <v>32</v>
      </c>
      <c r="G392">
        <v>23</v>
      </c>
      <c r="H392" t="s">
        <v>50</v>
      </c>
      <c r="I392">
        <v>11</v>
      </c>
      <c r="J392">
        <v>12</v>
      </c>
      <c r="K392">
        <v>3</v>
      </c>
      <c r="L392">
        <f t="shared" si="42"/>
        <v>1</v>
      </c>
      <c r="P392">
        <f t="shared" si="43"/>
        <v>1</v>
      </c>
      <c r="Q392">
        <f t="shared" si="44"/>
        <v>1</v>
      </c>
      <c r="R392">
        <f t="shared" si="45"/>
        <v>1</v>
      </c>
      <c r="S392">
        <f t="shared" si="46"/>
        <v>3</v>
      </c>
      <c r="T392" t="str">
        <f t="shared" si="47"/>
        <v>DerivedFromCount</v>
      </c>
      <c r="U392" t="str">
        <f>IF(COUNTIF(DailyProduction!$Q$5:$Q$100,B392)=1,"OK","CHECK")</f>
        <v>OK</v>
      </c>
      <c r="V392" t="str">
        <f t="shared" si="48"/>
        <v>OK</v>
      </c>
      <c r="W392" t="str">
        <f>IF(SUMIF($B$5:$B$914,B392,$S$5:$S$914)=SUMIF(DailyProduction!$Q$5:$Q$100,B392,DailyProduction!$R$5:$R$100),"OK","CHECK")</f>
        <v>OK</v>
      </c>
    </row>
    <row r="393" spans="1:23">
      <c r="A393" t="s">
        <v>814</v>
      </c>
      <c r="B393" t="s">
        <v>803</v>
      </c>
      <c r="C393" t="s">
        <v>30</v>
      </c>
      <c r="D393" s="7">
        <v>45950</v>
      </c>
      <c r="E393" t="s">
        <v>79</v>
      </c>
      <c r="F393" t="s">
        <v>32</v>
      </c>
      <c r="G393">
        <v>23</v>
      </c>
      <c r="H393" t="s">
        <v>50</v>
      </c>
      <c r="I393">
        <v>12</v>
      </c>
      <c r="J393">
        <v>12</v>
      </c>
      <c r="K393">
        <v>3</v>
      </c>
      <c r="L393">
        <f t="shared" si="42"/>
        <v>1</v>
      </c>
      <c r="P393">
        <f t="shared" si="43"/>
        <v>1</v>
      </c>
      <c r="Q393">
        <f t="shared" si="44"/>
        <v>1</v>
      </c>
      <c r="R393">
        <f t="shared" si="45"/>
        <v>1</v>
      </c>
      <c r="S393">
        <f t="shared" si="46"/>
        <v>3</v>
      </c>
      <c r="T393" t="str">
        <f t="shared" si="47"/>
        <v>DerivedFromCount</v>
      </c>
      <c r="U393" t="str">
        <f>IF(COUNTIF(DailyProduction!$Q$5:$Q$100,B393)=1,"OK","CHECK")</f>
        <v>OK</v>
      </c>
      <c r="V393" t="str">
        <f t="shared" si="48"/>
        <v>OK</v>
      </c>
      <c r="W393" t="str">
        <f>IF(SUMIF($B$5:$B$914,B393,$S$5:$S$914)=SUMIF(DailyProduction!$Q$5:$Q$100,B393,DailyProduction!$R$5:$R$100),"OK","CHECK")</f>
        <v>OK</v>
      </c>
    </row>
    <row r="394" spans="1:23">
      <c r="A394" t="s">
        <v>815</v>
      </c>
      <c r="B394" t="s">
        <v>803</v>
      </c>
      <c r="C394" t="s">
        <v>30</v>
      </c>
      <c r="D394" s="7">
        <v>45950</v>
      </c>
      <c r="E394" t="s">
        <v>79</v>
      </c>
      <c r="F394" t="s">
        <v>32</v>
      </c>
      <c r="G394">
        <v>23</v>
      </c>
      <c r="H394" t="s">
        <v>50</v>
      </c>
      <c r="I394">
        <v>13</v>
      </c>
      <c r="J394">
        <v>12</v>
      </c>
      <c r="K394">
        <v>3</v>
      </c>
      <c r="L394">
        <f t="shared" si="42"/>
        <v>0</v>
      </c>
      <c r="P394">
        <f t="shared" si="43"/>
        <v>0</v>
      </c>
      <c r="Q394">
        <f t="shared" si="44"/>
        <v>0</v>
      </c>
      <c r="R394">
        <f t="shared" si="45"/>
        <v>0</v>
      </c>
      <c r="S394">
        <f t="shared" si="46"/>
        <v>0</v>
      </c>
      <c r="T394" t="str">
        <f t="shared" si="47"/>
        <v>DerivedFromCount</v>
      </c>
      <c r="U394" t="str">
        <f>IF(COUNTIF(DailyProduction!$Q$5:$Q$100,B394)=1,"OK","CHECK")</f>
        <v>OK</v>
      </c>
      <c r="V394" t="str">
        <f t="shared" si="48"/>
        <v>OK</v>
      </c>
      <c r="W394" t="str">
        <f>IF(SUMIF($B$5:$B$914,B394,$S$5:$S$914)=SUMIF(DailyProduction!$Q$5:$Q$100,B394,DailyProduction!$R$5:$R$100),"OK","CHECK")</f>
        <v>OK</v>
      </c>
    </row>
    <row r="395" spans="1:23">
      <c r="A395" t="s">
        <v>816</v>
      </c>
      <c r="B395" t="s">
        <v>817</v>
      </c>
      <c r="C395" t="s">
        <v>30</v>
      </c>
      <c r="D395" s="7">
        <v>45951</v>
      </c>
      <c r="E395" t="s">
        <v>31</v>
      </c>
      <c r="F395" t="s">
        <v>32</v>
      </c>
      <c r="G395">
        <v>23</v>
      </c>
      <c r="H395" t="s">
        <v>50</v>
      </c>
      <c r="I395">
        <v>1</v>
      </c>
      <c r="J395">
        <v>12</v>
      </c>
      <c r="K395">
        <v>3</v>
      </c>
      <c r="L395">
        <f t="shared" si="42"/>
        <v>1</v>
      </c>
      <c r="P395">
        <f t="shared" si="43"/>
        <v>1</v>
      </c>
      <c r="Q395">
        <f t="shared" si="44"/>
        <v>1</v>
      </c>
      <c r="R395">
        <f t="shared" si="45"/>
        <v>1</v>
      </c>
      <c r="S395">
        <f t="shared" si="46"/>
        <v>3</v>
      </c>
      <c r="T395" t="str">
        <f t="shared" si="47"/>
        <v>DerivedFromCount</v>
      </c>
      <c r="U395" t="str">
        <f>IF(COUNTIF(DailyProduction!$Q$5:$Q$100,B395)=1,"OK","CHECK")</f>
        <v>OK</v>
      </c>
      <c r="V395" t="str">
        <f t="shared" si="48"/>
        <v>OK</v>
      </c>
      <c r="W395" t="str">
        <f>IF(SUMIF($B$5:$B$914,B395,$S$5:$S$914)=SUMIF(DailyProduction!$Q$5:$Q$100,B395,DailyProduction!$R$5:$R$100),"OK","CHECK")</f>
        <v>OK</v>
      </c>
    </row>
    <row r="396" spans="1:23">
      <c r="A396" t="s">
        <v>818</v>
      </c>
      <c r="B396" t="s">
        <v>817</v>
      </c>
      <c r="C396" t="s">
        <v>30</v>
      </c>
      <c r="D396" s="7">
        <v>45951</v>
      </c>
      <c r="E396" t="s">
        <v>31</v>
      </c>
      <c r="F396" t="s">
        <v>32</v>
      </c>
      <c r="G396">
        <v>23</v>
      </c>
      <c r="H396" t="s">
        <v>50</v>
      </c>
      <c r="I396">
        <v>2</v>
      </c>
      <c r="J396">
        <v>12</v>
      </c>
      <c r="K396">
        <v>3</v>
      </c>
      <c r="L396">
        <f t="shared" si="42"/>
        <v>1</v>
      </c>
      <c r="P396">
        <f t="shared" si="43"/>
        <v>1</v>
      </c>
      <c r="Q396">
        <f t="shared" si="44"/>
        <v>1</v>
      </c>
      <c r="R396">
        <f t="shared" si="45"/>
        <v>1</v>
      </c>
      <c r="S396">
        <f t="shared" si="46"/>
        <v>3</v>
      </c>
      <c r="T396" t="str">
        <f t="shared" si="47"/>
        <v>DerivedFromCount</v>
      </c>
      <c r="U396" t="str">
        <f>IF(COUNTIF(DailyProduction!$Q$5:$Q$100,B396)=1,"OK","CHECK")</f>
        <v>OK</v>
      </c>
      <c r="V396" t="str">
        <f t="shared" si="48"/>
        <v>OK</v>
      </c>
      <c r="W396" t="str">
        <f>IF(SUMIF($B$5:$B$914,B396,$S$5:$S$914)=SUMIF(DailyProduction!$Q$5:$Q$100,B396,DailyProduction!$R$5:$R$100),"OK","CHECK")</f>
        <v>OK</v>
      </c>
    </row>
    <row r="397" spans="1:23">
      <c r="A397" t="s">
        <v>819</v>
      </c>
      <c r="B397" t="s">
        <v>817</v>
      </c>
      <c r="C397" t="s">
        <v>30</v>
      </c>
      <c r="D397" s="7">
        <v>45951</v>
      </c>
      <c r="E397" t="s">
        <v>31</v>
      </c>
      <c r="F397" t="s">
        <v>32</v>
      </c>
      <c r="G397">
        <v>23</v>
      </c>
      <c r="H397" t="s">
        <v>50</v>
      </c>
      <c r="I397">
        <v>3</v>
      </c>
      <c r="J397">
        <v>12</v>
      </c>
      <c r="K397">
        <v>3</v>
      </c>
      <c r="L397">
        <f t="shared" si="42"/>
        <v>1</v>
      </c>
      <c r="P397">
        <f t="shared" si="43"/>
        <v>1</v>
      </c>
      <c r="Q397">
        <f t="shared" si="44"/>
        <v>1</v>
      </c>
      <c r="R397">
        <f t="shared" si="45"/>
        <v>1</v>
      </c>
      <c r="S397">
        <f t="shared" si="46"/>
        <v>3</v>
      </c>
      <c r="T397" t="str">
        <f t="shared" si="47"/>
        <v>DerivedFromCount</v>
      </c>
      <c r="U397" t="str">
        <f>IF(COUNTIF(DailyProduction!$Q$5:$Q$100,B397)=1,"OK","CHECK")</f>
        <v>OK</v>
      </c>
      <c r="V397" t="str">
        <f t="shared" si="48"/>
        <v>OK</v>
      </c>
      <c r="W397" t="str">
        <f>IF(SUMIF($B$5:$B$914,B397,$S$5:$S$914)=SUMIF(DailyProduction!$Q$5:$Q$100,B397,DailyProduction!$R$5:$R$100),"OK","CHECK")</f>
        <v>OK</v>
      </c>
    </row>
    <row r="398" spans="1:23">
      <c r="A398" t="s">
        <v>820</v>
      </c>
      <c r="B398" t="s">
        <v>817</v>
      </c>
      <c r="C398" t="s">
        <v>30</v>
      </c>
      <c r="D398" s="7">
        <v>45951</v>
      </c>
      <c r="E398" t="s">
        <v>31</v>
      </c>
      <c r="F398" t="s">
        <v>32</v>
      </c>
      <c r="G398">
        <v>23</v>
      </c>
      <c r="H398" t="s">
        <v>50</v>
      </c>
      <c r="I398">
        <v>4</v>
      </c>
      <c r="J398">
        <v>12</v>
      </c>
      <c r="K398">
        <v>3</v>
      </c>
      <c r="L398">
        <f t="shared" si="42"/>
        <v>1</v>
      </c>
      <c r="P398">
        <f t="shared" si="43"/>
        <v>1</v>
      </c>
      <c r="Q398">
        <f t="shared" si="44"/>
        <v>1</v>
      </c>
      <c r="R398">
        <f t="shared" si="45"/>
        <v>1</v>
      </c>
      <c r="S398">
        <f t="shared" si="46"/>
        <v>3</v>
      </c>
      <c r="T398" t="str">
        <f t="shared" si="47"/>
        <v>DerivedFromCount</v>
      </c>
      <c r="U398" t="str">
        <f>IF(COUNTIF(DailyProduction!$Q$5:$Q$100,B398)=1,"OK","CHECK")</f>
        <v>OK</v>
      </c>
      <c r="V398" t="str">
        <f t="shared" si="48"/>
        <v>OK</v>
      </c>
      <c r="W398" t="str">
        <f>IF(SUMIF($B$5:$B$914,B398,$S$5:$S$914)=SUMIF(DailyProduction!$Q$5:$Q$100,B398,DailyProduction!$R$5:$R$100),"OK","CHECK")</f>
        <v>OK</v>
      </c>
    </row>
    <row r="399" spans="1:23">
      <c r="A399" t="s">
        <v>821</v>
      </c>
      <c r="B399" t="s">
        <v>817</v>
      </c>
      <c r="C399" t="s">
        <v>30</v>
      </c>
      <c r="D399" s="7">
        <v>45951</v>
      </c>
      <c r="E399" t="s">
        <v>31</v>
      </c>
      <c r="F399" t="s">
        <v>32</v>
      </c>
      <c r="G399">
        <v>23</v>
      </c>
      <c r="H399" t="s">
        <v>50</v>
      </c>
      <c r="I399">
        <v>5</v>
      </c>
      <c r="J399">
        <v>12</v>
      </c>
      <c r="K399">
        <v>3</v>
      </c>
      <c r="L399">
        <f t="shared" si="42"/>
        <v>1</v>
      </c>
      <c r="P399">
        <f t="shared" si="43"/>
        <v>1</v>
      </c>
      <c r="Q399">
        <f t="shared" si="44"/>
        <v>1</v>
      </c>
      <c r="R399">
        <f t="shared" si="45"/>
        <v>1</v>
      </c>
      <c r="S399">
        <f t="shared" si="46"/>
        <v>3</v>
      </c>
      <c r="T399" t="str">
        <f t="shared" si="47"/>
        <v>DerivedFromCount</v>
      </c>
      <c r="U399" t="str">
        <f>IF(COUNTIF(DailyProduction!$Q$5:$Q$100,B399)=1,"OK","CHECK")</f>
        <v>OK</v>
      </c>
      <c r="V399" t="str">
        <f t="shared" si="48"/>
        <v>OK</v>
      </c>
      <c r="W399" t="str">
        <f>IF(SUMIF($B$5:$B$914,B399,$S$5:$S$914)=SUMIF(DailyProduction!$Q$5:$Q$100,B399,DailyProduction!$R$5:$R$100),"OK","CHECK")</f>
        <v>OK</v>
      </c>
    </row>
    <row r="400" spans="1:23">
      <c r="A400" t="s">
        <v>822</v>
      </c>
      <c r="B400" t="s">
        <v>817</v>
      </c>
      <c r="C400" t="s">
        <v>30</v>
      </c>
      <c r="D400" s="7">
        <v>45951</v>
      </c>
      <c r="E400" t="s">
        <v>31</v>
      </c>
      <c r="F400" t="s">
        <v>32</v>
      </c>
      <c r="G400">
        <v>23</v>
      </c>
      <c r="H400" t="s">
        <v>50</v>
      </c>
      <c r="I400">
        <v>6</v>
      </c>
      <c r="J400">
        <v>12</v>
      </c>
      <c r="K400">
        <v>3</v>
      </c>
      <c r="L400">
        <f t="shared" si="42"/>
        <v>1</v>
      </c>
      <c r="P400">
        <f t="shared" si="43"/>
        <v>1</v>
      </c>
      <c r="Q400">
        <f t="shared" si="44"/>
        <v>1</v>
      </c>
      <c r="R400">
        <f t="shared" si="45"/>
        <v>1</v>
      </c>
      <c r="S400">
        <f t="shared" si="46"/>
        <v>3</v>
      </c>
      <c r="T400" t="str">
        <f t="shared" si="47"/>
        <v>DerivedFromCount</v>
      </c>
      <c r="U400" t="str">
        <f>IF(COUNTIF(DailyProduction!$Q$5:$Q$100,B400)=1,"OK","CHECK")</f>
        <v>OK</v>
      </c>
      <c r="V400" t="str">
        <f t="shared" si="48"/>
        <v>OK</v>
      </c>
      <c r="W400" t="str">
        <f>IF(SUMIF($B$5:$B$914,B400,$S$5:$S$914)=SUMIF(DailyProduction!$Q$5:$Q$100,B400,DailyProduction!$R$5:$R$100),"OK","CHECK")</f>
        <v>OK</v>
      </c>
    </row>
    <row r="401" spans="1:23">
      <c r="A401" t="s">
        <v>823</v>
      </c>
      <c r="B401" t="s">
        <v>817</v>
      </c>
      <c r="C401" t="s">
        <v>30</v>
      </c>
      <c r="D401" s="7">
        <v>45951</v>
      </c>
      <c r="E401" t="s">
        <v>31</v>
      </c>
      <c r="F401" t="s">
        <v>32</v>
      </c>
      <c r="G401">
        <v>23</v>
      </c>
      <c r="H401" t="s">
        <v>50</v>
      </c>
      <c r="I401">
        <v>7</v>
      </c>
      <c r="J401">
        <v>12</v>
      </c>
      <c r="K401">
        <v>3</v>
      </c>
      <c r="L401">
        <f t="shared" si="42"/>
        <v>1</v>
      </c>
      <c r="P401">
        <f t="shared" si="43"/>
        <v>1</v>
      </c>
      <c r="Q401">
        <f t="shared" si="44"/>
        <v>1</v>
      </c>
      <c r="R401">
        <f t="shared" si="45"/>
        <v>1</v>
      </c>
      <c r="S401">
        <f t="shared" si="46"/>
        <v>3</v>
      </c>
      <c r="T401" t="str">
        <f t="shared" si="47"/>
        <v>DerivedFromCount</v>
      </c>
      <c r="U401" t="str">
        <f>IF(COUNTIF(DailyProduction!$Q$5:$Q$100,B401)=1,"OK","CHECK")</f>
        <v>OK</v>
      </c>
      <c r="V401" t="str">
        <f t="shared" si="48"/>
        <v>OK</v>
      </c>
      <c r="W401" t="str">
        <f>IF(SUMIF($B$5:$B$914,B401,$S$5:$S$914)=SUMIF(DailyProduction!$Q$5:$Q$100,B401,DailyProduction!$R$5:$R$100),"OK","CHECK")</f>
        <v>OK</v>
      </c>
    </row>
    <row r="402" spans="1:23">
      <c r="A402" t="s">
        <v>824</v>
      </c>
      <c r="B402" t="s">
        <v>817</v>
      </c>
      <c r="C402" t="s">
        <v>30</v>
      </c>
      <c r="D402" s="7">
        <v>45951</v>
      </c>
      <c r="E402" t="s">
        <v>31</v>
      </c>
      <c r="F402" t="s">
        <v>32</v>
      </c>
      <c r="G402">
        <v>23</v>
      </c>
      <c r="H402" t="s">
        <v>50</v>
      </c>
      <c r="I402">
        <v>8</v>
      </c>
      <c r="J402">
        <v>12</v>
      </c>
      <c r="K402">
        <v>3</v>
      </c>
      <c r="L402">
        <f t="shared" si="42"/>
        <v>1</v>
      </c>
      <c r="P402">
        <f t="shared" si="43"/>
        <v>1</v>
      </c>
      <c r="Q402">
        <f t="shared" si="44"/>
        <v>1</v>
      </c>
      <c r="R402">
        <f t="shared" si="45"/>
        <v>1</v>
      </c>
      <c r="S402">
        <f t="shared" si="46"/>
        <v>3</v>
      </c>
      <c r="T402" t="str">
        <f t="shared" si="47"/>
        <v>DerivedFromCount</v>
      </c>
      <c r="U402" t="str">
        <f>IF(COUNTIF(DailyProduction!$Q$5:$Q$100,B402)=1,"OK","CHECK")</f>
        <v>OK</v>
      </c>
      <c r="V402" t="str">
        <f t="shared" si="48"/>
        <v>OK</v>
      </c>
      <c r="W402" t="str">
        <f>IF(SUMIF($B$5:$B$914,B402,$S$5:$S$914)=SUMIF(DailyProduction!$Q$5:$Q$100,B402,DailyProduction!$R$5:$R$100),"OK","CHECK")</f>
        <v>OK</v>
      </c>
    </row>
    <row r="403" spans="1:23">
      <c r="A403" t="s">
        <v>825</v>
      </c>
      <c r="B403" t="s">
        <v>817</v>
      </c>
      <c r="C403" t="s">
        <v>30</v>
      </c>
      <c r="D403" s="7">
        <v>45951</v>
      </c>
      <c r="E403" t="s">
        <v>31</v>
      </c>
      <c r="F403" t="s">
        <v>32</v>
      </c>
      <c r="G403">
        <v>23</v>
      </c>
      <c r="H403" t="s">
        <v>50</v>
      </c>
      <c r="I403">
        <v>9</v>
      </c>
      <c r="J403">
        <v>12</v>
      </c>
      <c r="K403">
        <v>3</v>
      </c>
      <c r="L403">
        <f t="shared" si="42"/>
        <v>1</v>
      </c>
      <c r="P403">
        <f t="shared" si="43"/>
        <v>1</v>
      </c>
      <c r="Q403">
        <f t="shared" si="44"/>
        <v>1</v>
      </c>
      <c r="R403">
        <f t="shared" si="45"/>
        <v>1</v>
      </c>
      <c r="S403">
        <f t="shared" si="46"/>
        <v>3</v>
      </c>
      <c r="T403" t="str">
        <f t="shared" si="47"/>
        <v>DerivedFromCount</v>
      </c>
      <c r="U403" t="str">
        <f>IF(COUNTIF(DailyProduction!$Q$5:$Q$100,B403)=1,"OK","CHECK")</f>
        <v>OK</v>
      </c>
      <c r="V403" t="str">
        <f t="shared" si="48"/>
        <v>OK</v>
      </c>
      <c r="W403" t="str">
        <f>IF(SUMIF($B$5:$B$914,B403,$S$5:$S$914)=SUMIF(DailyProduction!$Q$5:$Q$100,B403,DailyProduction!$R$5:$R$100),"OK","CHECK")</f>
        <v>OK</v>
      </c>
    </row>
    <row r="404" spans="1:23">
      <c r="A404" t="s">
        <v>826</v>
      </c>
      <c r="B404" t="s">
        <v>817</v>
      </c>
      <c r="C404" t="s">
        <v>30</v>
      </c>
      <c r="D404" s="7">
        <v>45951</v>
      </c>
      <c r="E404" t="s">
        <v>31</v>
      </c>
      <c r="F404" t="s">
        <v>32</v>
      </c>
      <c r="G404">
        <v>23</v>
      </c>
      <c r="H404" t="s">
        <v>50</v>
      </c>
      <c r="I404">
        <v>10</v>
      </c>
      <c r="J404">
        <v>12</v>
      </c>
      <c r="K404">
        <v>3</v>
      </c>
      <c r="L404">
        <f t="shared" si="42"/>
        <v>1</v>
      </c>
      <c r="P404">
        <f t="shared" si="43"/>
        <v>1</v>
      </c>
      <c r="Q404">
        <f t="shared" si="44"/>
        <v>1</v>
      </c>
      <c r="R404">
        <f t="shared" si="45"/>
        <v>1</v>
      </c>
      <c r="S404">
        <f t="shared" si="46"/>
        <v>3</v>
      </c>
      <c r="T404" t="str">
        <f t="shared" si="47"/>
        <v>DerivedFromCount</v>
      </c>
      <c r="U404" t="str">
        <f>IF(COUNTIF(DailyProduction!$Q$5:$Q$100,B404)=1,"OK","CHECK")</f>
        <v>OK</v>
      </c>
      <c r="V404" t="str">
        <f t="shared" si="48"/>
        <v>OK</v>
      </c>
      <c r="W404" t="str">
        <f>IF(SUMIF($B$5:$B$914,B404,$S$5:$S$914)=SUMIF(DailyProduction!$Q$5:$Q$100,B404,DailyProduction!$R$5:$R$100),"OK","CHECK")</f>
        <v>OK</v>
      </c>
    </row>
    <row r="405" spans="1:23">
      <c r="A405" t="s">
        <v>827</v>
      </c>
      <c r="B405" t="s">
        <v>817</v>
      </c>
      <c r="C405" t="s">
        <v>30</v>
      </c>
      <c r="D405" s="7">
        <v>45951</v>
      </c>
      <c r="E405" t="s">
        <v>31</v>
      </c>
      <c r="F405" t="s">
        <v>32</v>
      </c>
      <c r="G405">
        <v>23</v>
      </c>
      <c r="H405" t="s">
        <v>50</v>
      </c>
      <c r="I405">
        <v>11</v>
      </c>
      <c r="J405">
        <v>12</v>
      </c>
      <c r="K405">
        <v>3</v>
      </c>
      <c r="L405">
        <f t="shared" si="42"/>
        <v>1</v>
      </c>
      <c r="P405">
        <f t="shared" si="43"/>
        <v>1</v>
      </c>
      <c r="Q405">
        <f t="shared" si="44"/>
        <v>1</v>
      </c>
      <c r="R405">
        <f t="shared" si="45"/>
        <v>1</v>
      </c>
      <c r="S405">
        <f t="shared" si="46"/>
        <v>3</v>
      </c>
      <c r="T405" t="str">
        <f t="shared" si="47"/>
        <v>DerivedFromCount</v>
      </c>
      <c r="U405" t="str">
        <f>IF(COUNTIF(DailyProduction!$Q$5:$Q$100,B405)=1,"OK","CHECK")</f>
        <v>OK</v>
      </c>
      <c r="V405" t="str">
        <f t="shared" si="48"/>
        <v>OK</v>
      </c>
      <c r="W405" t="str">
        <f>IF(SUMIF($B$5:$B$914,B405,$S$5:$S$914)=SUMIF(DailyProduction!$Q$5:$Q$100,B405,DailyProduction!$R$5:$R$100),"OK","CHECK")</f>
        <v>OK</v>
      </c>
    </row>
    <row r="406" spans="1:23">
      <c r="A406" t="s">
        <v>828</v>
      </c>
      <c r="B406" t="s">
        <v>817</v>
      </c>
      <c r="C406" t="s">
        <v>30</v>
      </c>
      <c r="D406" s="7">
        <v>45951</v>
      </c>
      <c r="E406" t="s">
        <v>31</v>
      </c>
      <c r="F406" t="s">
        <v>32</v>
      </c>
      <c r="G406">
        <v>23</v>
      </c>
      <c r="H406" t="s">
        <v>50</v>
      </c>
      <c r="I406">
        <v>12</v>
      </c>
      <c r="J406">
        <v>12</v>
      </c>
      <c r="K406">
        <v>3</v>
      </c>
      <c r="L406">
        <f t="shared" si="42"/>
        <v>1</v>
      </c>
      <c r="P406">
        <f t="shared" si="43"/>
        <v>1</v>
      </c>
      <c r="Q406">
        <f t="shared" si="44"/>
        <v>1</v>
      </c>
      <c r="R406">
        <f t="shared" si="45"/>
        <v>1</v>
      </c>
      <c r="S406">
        <f t="shared" si="46"/>
        <v>3</v>
      </c>
      <c r="T406" t="str">
        <f t="shared" si="47"/>
        <v>DerivedFromCount</v>
      </c>
      <c r="U406" t="str">
        <f>IF(COUNTIF(DailyProduction!$Q$5:$Q$100,B406)=1,"OK","CHECK")</f>
        <v>OK</v>
      </c>
      <c r="V406" t="str">
        <f t="shared" si="48"/>
        <v>OK</v>
      </c>
      <c r="W406" t="str">
        <f>IF(SUMIF($B$5:$B$914,B406,$S$5:$S$914)=SUMIF(DailyProduction!$Q$5:$Q$100,B406,DailyProduction!$R$5:$R$100),"OK","CHECK")</f>
        <v>OK</v>
      </c>
    </row>
    <row r="407" spans="1:23">
      <c r="A407" t="s">
        <v>829</v>
      </c>
      <c r="B407" t="s">
        <v>817</v>
      </c>
      <c r="C407" t="s">
        <v>30</v>
      </c>
      <c r="D407" s="7">
        <v>45951</v>
      </c>
      <c r="E407" t="s">
        <v>31</v>
      </c>
      <c r="F407" t="s">
        <v>32</v>
      </c>
      <c r="G407">
        <v>23</v>
      </c>
      <c r="H407" t="s">
        <v>50</v>
      </c>
      <c r="I407">
        <v>13</v>
      </c>
      <c r="J407">
        <v>12</v>
      </c>
      <c r="K407">
        <v>3</v>
      </c>
      <c r="L407">
        <f t="shared" si="42"/>
        <v>0</v>
      </c>
      <c r="P407">
        <f t="shared" si="43"/>
        <v>0</v>
      </c>
      <c r="Q407">
        <f t="shared" si="44"/>
        <v>0</v>
      </c>
      <c r="R407">
        <f t="shared" si="45"/>
        <v>0</v>
      </c>
      <c r="S407">
        <f t="shared" si="46"/>
        <v>0</v>
      </c>
      <c r="T407" t="str">
        <f t="shared" si="47"/>
        <v>DerivedFromCount</v>
      </c>
      <c r="U407" t="str">
        <f>IF(COUNTIF(DailyProduction!$Q$5:$Q$100,B407)=1,"OK","CHECK")</f>
        <v>OK</v>
      </c>
      <c r="V407" t="str">
        <f t="shared" si="48"/>
        <v>OK</v>
      </c>
      <c r="W407" t="str">
        <f>IF(SUMIF($B$5:$B$914,B407,$S$5:$S$914)=SUMIF(DailyProduction!$Q$5:$Q$100,B407,DailyProduction!$R$5:$R$100),"OK","CHECK")</f>
        <v>OK</v>
      </c>
    </row>
    <row r="408" spans="1:23">
      <c r="A408" t="s">
        <v>830</v>
      </c>
      <c r="B408" t="s">
        <v>831</v>
      </c>
      <c r="C408" t="s">
        <v>30</v>
      </c>
      <c r="D408" s="7">
        <v>45951</v>
      </c>
      <c r="E408" t="s">
        <v>79</v>
      </c>
      <c r="F408" t="s">
        <v>37</v>
      </c>
      <c r="G408">
        <v>23</v>
      </c>
      <c r="H408" t="s">
        <v>50</v>
      </c>
      <c r="I408">
        <v>1</v>
      </c>
      <c r="J408">
        <v>12</v>
      </c>
      <c r="K408">
        <v>3</v>
      </c>
      <c r="L408">
        <f t="shared" si="42"/>
        <v>1</v>
      </c>
      <c r="P408">
        <f t="shared" si="43"/>
        <v>1</v>
      </c>
      <c r="Q408">
        <f t="shared" si="44"/>
        <v>1</v>
      </c>
      <c r="R408">
        <f t="shared" si="45"/>
        <v>1</v>
      </c>
      <c r="S408">
        <f t="shared" si="46"/>
        <v>3</v>
      </c>
      <c r="T408" t="str">
        <f t="shared" si="47"/>
        <v>DerivedFromCount</v>
      </c>
      <c r="U408" t="str">
        <f>IF(COUNTIF(DailyProduction!$Q$5:$Q$100,B408)=1,"OK","CHECK")</f>
        <v>OK</v>
      </c>
      <c r="V408" t="str">
        <f t="shared" si="48"/>
        <v>OK</v>
      </c>
      <c r="W408" t="str">
        <f>IF(SUMIF($B$5:$B$914,B408,$S$5:$S$914)=SUMIF(DailyProduction!$Q$5:$Q$100,B408,DailyProduction!$R$5:$R$100),"OK","CHECK")</f>
        <v>OK</v>
      </c>
    </row>
    <row r="409" spans="1:23">
      <c r="A409" t="s">
        <v>832</v>
      </c>
      <c r="B409" t="s">
        <v>831</v>
      </c>
      <c r="C409" t="s">
        <v>30</v>
      </c>
      <c r="D409" s="7">
        <v>45951</v>
      </c>
      <c r="E409" t="s">
        <v>79</v>
      </c>
      <c r="F409" t="s">
        <v>37</v>
      </c>
      <c r="G409">
        <v>23</v>
      </c>
      <c r="H409" t="s">
        <v>50</v>
      </c>
      <c r="I409">
        <v>2</v>
      </c>
      <c r="J409">
        <v>12</v>
      </c>
      <c r="K409">
        <v>3</v>
      </c>
      <c r="L409">
        <f t="shared" si="42"/>
        <v>1</v>
      </c>
      <c r="P409">
        <f t="shared" si="43"/>
        <v>1</v>
      </c>
      <c r="Q409">
        <f t="shared" si="44"/>
        <v>1</v>
      </c>
      <c r="R409">
        <f t="shared" si="45"/>
        <v>1</v>
      </c>
      <c r="S409">
        <f t="shared" si="46"/>
        <v>3</v>
      </c>
      <c r="T409" t="str">
        <f t="shared" si="47"/>
        <v>DerivedFromCount</v>
      </c>
      <c r="U409" t="str">
        <f>IF(COUNTIF(DailyProduction!$Q$5:$Q$100,B409)=1,"OK","CHECK")</f>
        <v>OK</v>
      </c>
      <c r="V409" t="str">
        <f t="shared" si="48"/>
        <v>OK</v>
      </c>
      <c r="W409" t="str">
        <f>IF(SUMIF($B$5:$B$914,B409,$S$5:$S$914)=SUMIF(DailyProduction!$Q$5:$Q$100,B409,DailyProduction!$R$5:$R$100),"OK","CHECK")</f>
        <v>OK</v>
      </c>
    </row>
    <row r="410" spans="1:23">
      <c r="A410" t="s">
        <v>833</v>
      </c>
      <c r="B410" t="s">
        <v>831</v>
      </c>
      <c r="C410" t="s">
        <v>30</v>
      </c>
      <c r="D410" s="7">
        <v>45951</v>
      </c>
      <c r="E410" t="s">
        <v>79</v>
      </c>
      <c r="F410" t="s">
        <v>37</v>
      </c>
      <c r="G410">
        <v>23</v>
      </c>
      <c r="H410" t="s">
        <v>50</v>
      </c>
      <c r="I410">
        <v>3</v>
      </c>
      <c r="J410">
        <v>12</v>
      </c>
      <c r="K410">
        <v>3</v>
      </c>
      <c r="L410">
        <f t="shared" si="42"/>
        <v>1</v>
      </c>
      <c r="P410">
        <f t="shared" si="43"/>
        <v>1</v>
      </c>
      <c r="Q410">
        <f t="shared" si="44"/>
        <v>1</v>
      </c>
      <c r="R410">
        <f t="shared" si="45"/>
        <v>1</v>
      </c>
      <c r="S410">
        <f t="shared" si="46"/>
        <v>3</v>
      </c>
      <c r="T410" t="str">
        <f t="shared" si="47"/>
        <v>DerivedFromCount</v>
      </c>
      <c r="U410" t="str">
        <f>IF(COUNTIF(DailyProduction!$Q$5:$Q$100,B410)=1,"OK","CHECK")</f>
        <v>OK</v>
      </c>
      <c r="V410" t="str">
        <f t="shared" si="48"/>
        <v>OK</v>
      </c>
      <c r="W410" t="str">
        <f>IF(SUMIF($B$5:$B$914,B410,$S$5:$S$914)=SUMIF(DailyProduction!$Q$5:$Q$100,B410,DailyProduction!$R$5:$R$100),"OK","CHECK")</f>
        <v>OK</v>
      </c>
    </row>
    <row r="411" spans="1:23">
      <c r="A411" t="s">
        <v>834</v>
      </c>
      <c r="B411" t="s">
        <v>831</v>
      </c>
      <c r="C411" t="s">
        <v>30</v>
      </c>
      <c r="D411" s="7">
        <v>45951</v>
      </c>
      <c r="E411" t="s">
        <v>79</v>
      </c>
      <c r="F411" t="s">
        <v>37</v>
      </c>
      <c r="G411">
        <v>23</v>
      </c>
      <c r="H411" t="s">
        <v>50</v>
      </c>
      <c r="I411">
        <v>4</v>
      </c>
      <c r="J411">
        <v>12</v>
      </c>
      <c r="K411">
        <v>3</v>
      </c>
      <c r="L411">
        <f t="shared" si="42"/>
        <v>1</v>
      </c>
      <c r="P411">
        <f t="shared" si="43"/>
        <v>1</v>
      </c>
      <c r="Q411">
        <f t="shared" si="44"/>
        <v>1</v>
      </c>
      <c r="R411">
        <f t="shared" si="45"/>
        <v>1</v>
      </c>
      <c r="S411">
        <f t="shared" si="46"/>
        <v>3</v>
      </c>
      <c r="T411" t="str">
        <f t="shared" si="47"/>
        <v>DerivedFromCount</v>
      </c>
      <c r="U411" t="str">
        <f>IF(COUNTIF(DailyProduction!$Q$5:$Q$100,B411)=1,"OK","CHECK")</f>
        <v>OK</v>
      </c>
      <c r="V411" t="str">
        <f t="shared" si="48"/>
        <v>OK</v>
      </c>
      <c r="W411" t="str">
        <f>IF(SUMIF($B$5:$B$914,B411,$S$5:$S$914)=SUMIF(DailyProduction!$Q$5:$Q$100,B411,DailyProduction!$R$5:$R$100),"OK","CHECK")</f>
        <v>OK</v>
      </c>
    </row>
    <row r="412" spans="1:23">
      <c r="A412" t="s">
        <v>835</v>
      </c>
      <c r="B412" t="s">
        <v>831</v>
      </c>
      <c r="C412" t="s">
        <v>30</v>
      </c>
      <c r="D412" s="7">
        <v>45951</v>
      </c>
      <c r="E412" t="s">
        <v>79</v>
      </c>
      <c r="F412" t="s">
        <v>37</v>
      </c>
      <c r="G412">
        <v>23</v>
      </c>
      <c r="H412" t="s">
        <v>50</v>
      </c>
      <c r="I412">
        <v>5</v>
      </c>
      <c r="J412">
        <v>12</v>
      </c>
      <c r="K412">
        <v>3</v>
      </c>
      <c r="L412">
        <f t="shared" si="42"/>
        <v>1</v>
      </c>
      <c r="P412">
        <f t="shared" si="43"/>
        <v>1</v>
      </c>
      <c r="Q412">
        <f t="shared" si="44"/>
        <v>1</v>
      </c>
      <c r="R412">
        <f t="shared" si="45"/>
        <v>1</v>
      </c>
      <c r="S412">
        <f t="shared" si="46"/>
        <v>3</v>
      </c>
      <c r="T412" t="str">
        <f t="shared" si="47"/>
        <v>DerivedFromCount</v>
      </c>
      <c r="U412" t="str">
        <f>IF(COUNTIF(DailyProduction!$Q$5:$Q$100,B412)=1,"OK","CHECK")</f>
        <v>OK</v>
      </c>
      <c r="V412" t="str">
        <f t="shared" si="48"/>
        <v>OK</v>
      </c>
      <c r="W412" t="str">
        <f>IF(SUMIF($B$5:$B$914,B412,$S$5:$S$914)=SUMIF(DailyProduction!$Q$5:$Q$100,B412,DailyProduction!$R$5:$R$100),"OK","CHECK")</f>
        <v>OK</v>
      </c>
    </row>
    <row r="413" spans="1:23">
      <c r="A413" t="s">
        <v>836</v>
      </c>
      <c r="B413" t="s">
        <v>831</v>
      </c>
      <c r="C413" t="s">
        <v>30</v>
      </c>
      <c r="D413" s="7">
        <v>45951</v>
      </c>
      <c r="E413" t="s">
        <v>79</v>
      </c>
      <c r="F413" t="s">
        <v>37</v>
      </c>
      <c r="G413">
        <v>23</v>
      </c>
      <c r="H413" t="s">
        <v>50</v>
      </c>
      <c r="I413">
        <v>6</v>
      </c>
      <c r="J413">
        <v>12</v>
      </c>
      <c r="K413">
        <v>3</v>
      </c>
      <c r="L413">
        <f t="shared" si="42"/>
        <v>1</v>
      </c>
      <c r="P413">
        <f t="shared" si="43"/>
        <v>1</v>
      </c>
      <c r="Q413">
        <f t="shared" si="44"/>
        <v>1</v>
      </c>
      <c r="R413">
        <f t="shared" si="45"/>
        <v>1</v>
      </c>
      <c r="S413">
        <f t="shared" si="46"/>
        <v>3</v>
      </c>
      <c r="T413" t="str">
        <f t="shared" si="47"/>
        <v>DerivedFromCount</v>
      </c>
      <c r="U413" t="str">
        <f>IF(COUNTIF(DailyProduction!$Q$5:$Q$100,B413)=1,"OK","CHECK")</f>
        <v>OK</v>
      </c>
      <c r="V413" t="str">
        <f t="shared" si="48"/>
        <v>OK</v>
      </c>
      <c r="W413" t="str">
        <f>IF(SUMIF($B$5:$B$914,B413,$S$5:$S$914)=SUMIF(DailyProduction!$Q$5:$Q$100,B413,DailyProduction!$R$5:$R$100),"OK","CHECK")</f>
        <v>OK</v>
      </c>
    </row>
    <row r="414" spans="1:23">
      <c r="A414" t="s">
        <v>837</v>
      </c>
      <c r="B414" t="s">
        <v>831</v>
      </c>
      <c r="C414" t="s">
        <v>30</v>
      </c>
      <c r="D414" s="7">
        <v>45951</v>
      </c>
      <c r="E414" t="s">
        <v>79</v>
      </c>
      <c r="F414" t="s">
        <v>37</v>
      </c>
      <c r="G414">
        <v>23</v>
      </c>
      <c r="H414" t="s">
        <v>50</v>
      </c>
      <c r="I414">
        <v>7</v>
      </c>
      <c r="J414">
        <v>12</v>
      </c>
      <c r="K414">
        <v>3</v>
      </c>
      <c r="L414">
        <f t="shared" si="42"/>
        <v>1</v>
      </c>
      <c r="P414">
        <f t="shared" si="43"/>
        <v>1</v>
      </c>
      <c r="Q414">
        <f t="shared" si="44"/>
        <v>1</v>
      </c>
      <c r="R414">
        <f t="shared" si="45"/>
        <v>1</v>
      </c>
      <c r="S414">
        <f t="shared" si="46"/>
        <v>3</v>
      </c>
      <c r="T414" t="str">
        <f t="shared" si="47"/>
        <v>DerivedFromCount</v>
      </c>
      <c r="U414" t="str">
        <f>IF(COUNTIF(DailyProduction!$Q$5:$Q$100,B414)=1,"OK","CHECK")</f>
        <v>OK</v>
      </c>
      <c r="V414" t="str">
        <f t="shared" si="48"/>
        <v>OK</v>
      </c>
      <c r="W414" t="str">
        <f>IF(SUMIF($B$5:$B$914,B414,$S$5:$S$914)=SUMIF(DailyProduction!$Q$5:$Q$100,B414,DailyProduction!$R$5:$R$100),"OK","CHECK")</f>
        <v>OK</v>
      </c>
    </row>
    <row r="415" spans="1:23">
      <c r="A415" t="s">
        <v>838</v>
      </c>
      <c r="B415" t="s">
        <v>831</v>
      </c>
      <c r="C415" t="s">
        <v>30</v>
      </c>
      <c r="D415" s="7">
        <v>45951</v>
      </c>
      <c r="E415" t="s">
        <v>79</v>
      </c>
      <c r="F415" t="s">
        <v>37</v>
      </c>
      <c r="G415">
        <v>23</v>
      </c>
      <c r="H415" t="s">
        <v>50</v>
      </c>
      <c r="I415">
        <v>8</v>
      </c>
      <c r="J415">
        <v>12</v>
      </c>
      <c r="K415">
        <v>3</v>
      </c>
      <c r="L415">
        <f t="shared" si="42"/>
        <v>1</v>
      </c>
      <c r="P415">
        <f t="shared" si="43"/>
        <v>1</v>
      </c>
      <c r="Q415">
        <f t="shared" si="44"/>
        <v>1</v>
      </c>
      <c r="R415">
        <f t="shared" si="45"/>
        <v>1</v>
      </c>
      <c r="S415">
        <f t="shared" si="46"/>
        <v>3</v>
      </c>
      <c r="T415" t="str">
        <f t="shared" si="47"/>
        <v>DerivedFromCount</v>
      </c>
      <c r="U415" t="str">
        <f>IF(COUNTIF(DailyProduction!$Q$5:$Q$100,B415)=1,"OK","CHECK")</f>
        <v>OK</v>
      </c>
      <c r="V415" t="str">
        <f t="shared" si="48"/>
        <v>OK</v>
      </c>
      <c r="W415" t="str">
        <f>IF(SUMIF($B$5:$B$914,B415,$S$5:$S$914)=SUMIF(DailyProduction!$Q$5:$Q$100,B415,DailyProduction!$R$5:$R$100),"OK","CHECK")</f>
        <v>OK</v>
      </c>
    </row>
    <row r="416" spans="1:23">
      <c r="A416" t="s">
        <v>839</v>
      </c>
      <c r="B416" t="s">
        <v>831</v>
      </c>
      <c r="C416" t="s">
        <v>30</v>
      </c>
      <c r="D416" s="7">
        <v>45951</v>
      </c>
      <c r="E416" t="s">
        <v>79</v>
      </c>
      <c r="F416" t="s">
        <v>37</v>
      </c>
      <c r="G416">
        <v>23</v>
      </c>
      <c r="H416" t="s">
        <v>50</v>
      </c>
      <c r="I416">
        <v>9</v>
      </c>
      <c r="J416">
        <v>12</v>
      </c>
      <c r="K416">
        <v>3</v>
      </c>
      <c r="L416">
        <f t="shared" si="42"/>
        <v>1</v>
      </c>
      <c r="P416">
        <f t="shared" si="43"/>
        <v>1</v>
      </c>
      <c r="Q416">
        <f t="shared" si="44"/>
        <v>1</v>
      </c>
      <c r="R416">
        <f t="shared" si="45"/>
        <v>1</v>
      </c>
      <c r="S416">
        <f t="shared" si="46"/>
        <v>3</v>
      </c>
      <c r="T416" t="str">
        <f t="shared" si="47"/>
        <v>DerivedFromCount</v>
      </c>
      <c r="U416" t="str">
        <f>IF(COUNTIF(DailyProduction!$Q$5:$Q$100,B416)=1,"OK","CHECK")</f>
        <v>OK</v>
      </c>
      <c r="V416" t="str">
        <f t="shared" si="48"/>
        <v>OK</v>
      </c>
      <c r="W416" t="str">
        <f>IF(SUMIF($B$5:$B$914,B416,$S$5:$S$914)=SUMIF(DailyProduction!$Q$5:$Q$100,B416,DailyProduction!$R$5:$R$100),"OK","CHECK")</f>
        <v>OK</v>
      </c>
    </row>
    <row r="417" spans="1:23">
      <c r="A417" t="s">
        <v>840</v>
      </c>
      <c r="B417" t="s">
        <v>831</v>
      </c>
      <c r="C417" t="s">
        <v>30</v>
      </c>
      <c r="D417" s="7">
        <v>45951</v>
      </c>
      <c r="E417" t="s">
        <v>79</v>
      </c>
      <c r="F417" t="s">
        <v>37</v>
      </c>
      <c r="G417">
        <v>23</v>
      </c>
      <c r="H417" t="s">
        <v>50</v>
      </c>
      <c r="I417">
        <v>10</v>
      </c>
      <c r="J417">
        <v>12</v>
      </c>
      <c r="K417">
        <v>3</v>
      </c>
      <c r="L417">
        <f t="shared" si="42"/>
        <v>1</v>
      </c>
      <c r="P417">
        <f t="shared" si="43"/>
        <v>1</v>
      </c>
      <c r="Q417">
        <f t="shared" si="44"/>
        <v>1</v>
      </c>
      <c r="R417">
        <f t="shared" si="45"/>
        <v>1</v>
      </c>
      <c r="S417">
        <f t="shared" si="46"/>
        <v>3</v>
      </c>
      <c r="T417" t="str">
        <f t="shared" si="47"/>
        <v>DerivedFromCount</v>
      </c>
      <c r="U417" t="str">
        <f>IF(COUNTIF(DailyProduction!$Q$5:$Q$100,B417)=1,"OK","CHECK")</f>
        <v>OK</v>
      </c>
      <c r="V417" t="str">
        <f t="shared" si="48"/>
        <v>OK</v>
      </c>
      <c r="W417" t="str">
        <f>IF(SUMIF($B$5:$B$914,B417,$S$5:$S$914)=SUMIF(DailyProduction!$Q$5:$Q$100,B417,DailyProduction!$R$5:$R$100),"OK","CHECK")</f>
        <v>OK</v>
      </c>
    </row>
    <row r="418" spans="1:23">
      <c r="A418" t="s">
        <v>841</v>
      </c>
      <c r="B418" t="s">
        <v>831</v>
      </c>
      <c r="C418" t="s">
        <v>30</v>
      </c>
      <c r="D418" s="7">
        <v>45951</v>
      </c>
      <c r="E418" t="s">
        <v>79</v>
      </c>
      <c r="F418" t="s">
        <v>37</v>
      </c>
      <c r="G418">
        <v>23</v>
      </c>
      <c r="H418" t="s">
        <v>50</v>
      </c>
      <c r="I418">
        <v>11</v>
      </c>
      <c r="J418">
        <v>12</v>
      </c>
      <c r="K418">
        <v>3</v>
      </c>
      <c r="L418">
        <f t="shared" si="42"/>
        <v>1</v>
      </c>
      <c r="P418">
        <f t="shared" si="43"/>
        <v>1</v>
      </c>
      <c r="Q418">
        <f t="shared" si="44"/>
        <v>1</v>
      </c>
      <c r="R418">
        <f t="shared" si="45"/>
        <v>1</v>
      </c>
      <c r="S418">
        <f t="shared" si="46"/>
        <v>3</v>
      </c>
      <c r="T418" t="str">
        <f t="shared" si="47"/>
        <v>DerivedFromCount</v>
      </c>
      <c r="U418" t="str">
        <f>IF(COUNTIF(DailyProduction!$Q$5:$Q$100,B418)=1,"OK","CHECK")</f>
        <v>OK</v>
      </c>
      <c r="V418" t="str">
        <f t="shared" si="48"/>
        <v>OK</v>
      </c>
      <c r="W418" t="str">
        <f>IF(SUMIF($B$5:$B$914,B418,$S$5:$S$914)=SUMIF(DailyProduction!$Q$5:$Q$100,B418,DailyProduction!$R$5:$R$100),"OK","CHECK")</f>
        <v>OK</v>
      </c>
    </row>
    <row r="419" spans="1:23">
      <c r="A419" t="s">
        <v>842</v>
      </c>
      <c r="B419" t="s">
        <v>831</v>
      </c>
      <c r="C419" t="s">
        <v>30</v>
      </c>
      <c r="D419" s="7">
        <v>45951</v>
      </c>
      <c r="E419" t="s">
        <v>79</v>
      </c>
      <c r="F419" t="s">
        <v>37</v>
      </c>
      <c r="G419">
        <v>23</v>
      </c>
      <c r="H419" t="s">
        <v>50</v>
      </c>
      <c r="I419">
        <v>12</v>
      </c>
      <c r="J419">
        <v>12</v>
      </c>
      <c r="K419">
        <v>3</v>
      </c>
      <c r="L419">
        <f t="shared" si="42"/>
        <v>1</v>
      </c>
      <c r="P419">
        <f t="shared" si="43"/>
        <v>1</v>
      </c>
      <c r="Q419">
        <f t="shared" si="44"/>
        <v>1</v>
      </c>
      <c r="R419">
        <f t="shared" si="45"/>
        <v>1</v>
      </c>
      <c r="S419">
        <f t="shared" si="46"/>
        <v>3</v>
      </c>
      <c r="T419" t="str">
        <f t="shared" si="47"/>
        <v>DerivedFromCount</v>
      </c>
      <c r="U419" t="str">
        <f>IF(COUNTIF(DailyProduction!$Q$5:$Q$100,B419)=1,"OK","CHECK")</f>
        <v>OK</v>
      </c>
      <c r="V419" t="str">
        <f t="shared" si="48"/>
        <v>OK</v>
      </c>
      <c r="W419" t="str">
        <f>IF(SUMIF($B$5:$B$914,B419,$S$5:$S$914)=SUMIF(DailyProduction!$Q$5:$Q$100,B419,DailyProduction!$R$5:$R$100),"OK","CHECK")</f>
        <v>OK</v>
      </c>
    </row>
    <row r="420" spans="1:23">
      <c r="A420" t="s">
        <v>843</v>
      </c>
      <c r="B420" t="s">
        <v>831</v>
      </c>
      <c r="C420" t="s">
        <v>30</v>
      </c>
      <c r="D420" s="7">
        <v>45951</v>
      </c>
      <c r="E420" t="s">
        <v>79</v>
      </c>
      <c r="F420" t="s">
        <v>37</v>
      </c>
      <c r="G420">
        <v>23</v>
      </c>
      <c r="H420" t="s">
        <v>50</v>
      </c>
      <c r="I420">
        <v>13</v>
      </c>
      <c r="J420">
        <v>12</v>
      </c>
      <c r="K420">
        <v>3</v>
      </c>
      <c r="L420">
        <f t="shared" si="42"/>
        <v>0</v>
      </c>
      <c r="P420">
        <f t="shared" si="43"/>
        <v>0</v>
      </c>
      <c r="Q420">
        <f t="shared" si="44"/>
        <v>0</v>
      </c>
      <c r="R420">
        <f t="shared" si="45"/>
        <v>0</v>
      </c>
      <c r="S420">
        <f t="shared" si="46"/>
        <v>0</v>
      </c>
      <c r="T420" t="str">
        <f t="shared" si="47"/>
        <v>DerivedFromCount</v>
      </c>
      <c r="U420" t="str">
        <f>IF(COUNTIF(DailyProduction!$Q$5:$Q$100,B420)=1,"OK","CHECK")</f>
        <v>OK</v>
      </c>
      <c r="V420" t="str">
        <f t="shared" si="48"/>
        <v>OK</v>
      </c>
      <c r="W420" t="str">
        <f>IF(SUMIF($B$5:$B$914,B420,$S$5:$S$914)=SUMIF(DailyProduction!$Q$5:$Q$100,B420,DailyProduction!$R$5:$R$100),"OK","CHECK")</f>
        <v>OK</v>
      </c>
    </row>
    <row r="421" spans="1:23">
      <c r="A421" t="s">
        <v>844</v>
      </c>
      <c r="B421" t="s">
        <v>845</v>
      </c>
      <c r="C421" t="s">
        <v>30</v>
      </c>
      <c r="D421" s="7">
        <v>45952</v>
      </c>
      <c r="E421" t="s">
        <v>31</v>
      </c>
      <c r="F421" t="s">
        <v>37</v>
      </c>
      <c r="G421">
        <v>23</v>
      </c>
      <c r="H421" t="s">
        <v>51</v>
      </c>
      <c r="I421">
        <v>1</v>
      </c>
      <c r="J421">
        <v>12</v>
      </c>
      <c r="K421">
        <v>2</v>
      </c>
      <c r="L421">
        <f t="shared" si="42"/>
        <v>1</v>
      </c>
      <c r="P421">
        <f t="shared" si="43"/>
        <v>1</v>
      </c>
      <c r="Q421">
        <f t="shared" si="44"/>
        <v>1</v>
      </c>
      <c r="R421">
        <f t="shared" si="45"/>
        <v>0</v>
      </c>
      <c r="S421">
        <f t="shared" si="46"/>
        <v>2</v>
      </c>
      <c r="T421" t="str">
        <f t="shared" si="47"/>
        <v>DerivedFromCount</v>
      </c>
      <c r="U421" t="str">
        <f>IF(COUNTIF(DailyProduction!$Q$5:$Q$100,B421)=1,"OK","CHECK")</f>
        <v>OK</v>
      </c>
      <c r="V421" t="str">
        <f t="shared" si="48"/>
        <v>OK</v>
      </c>
      <c r="W421" t="str">
        <f>IF(SUMIF($B$5:$B$914,B421,$S$5:$S$914)=SUMIF(DailyProduction!$Q$5:$Q$100,B421,DailyProduction!$R$5:$R$100),"OK","CHECK")</f>
        <v>OK</v>
      </c>
    </row>
    <row r="422" spans="1:23">
      <c r="A422" t="s">
        <v>846</v>
      </c>
      <c r="B422" t="s">
        <v>845</v>
      </c>
      <c r="C422" t="s">
        <v>30</v>
      </c>
      <c r="D422" s="7">
        <v>45952</v>
      </c>
      <c r="E422" t="s">
        <v>31</v>
      </c>
      <c r="F422" t="s">
        <v>37</v>
      </c>
      <c r="G422">
        <v>23</v>
      </c>
      <c r="H422" t="s">
        <v>51</v>
      </c>
      <c r="I422">
        <v>2</v>
      </c>
      <c r="J422">
        <v>12</v>
      </c>
      <c r="K422">
        <v>2</v>
      </c>
      <c r="L422">
        <f t="shared" si="42"/>
        <v>1</v>
      </c>
      <c r="P422">
        <f t="shared" si="43"/>
        <v>1</v>
      </c>
      <c r="Q422">
        <f t="shared" si="44"/>
        <v>1</v>
      </c>
      <c r="R422">
        <f t="shared" si="45"/>
        <v>0</v>
      </c>
      <c r="S422">
        <f t="shared" si="46"/>
        <v>2</v>
      </c>
      <c r="T422" t="str">
        <f t="shared" si="47"/>
        <v>DerivedFromCount</v>
      </c>
      <c r="U422" t="str">
        <f>IF(COUNTIF(DailyProduction!$Q$5:$Q$100,B422)=1,"OK","CHECK")</f>
        <v>OK</v>
      </c>
      <c r="V422" t="str">
        <f t="shared" si="48"/>
        <v>OK</v>
      </c>
      <c r="W422" t="str">
        <f>IF(SUMIF($B$5:$B$914,B422,$S$5:$S$914)=SUMIF(DailyProduction!$Q$5:$Q$100,B422,DailyProduction!$R$5:$R$100),"OK","CHECK")</f>
        <v>OK</v>
      </c>
    </row>
    <row r="423" spans="1:23">
      <c r="A423" t="s">
        <v>847</v>
      </c>
      <c r="B423" t="s">
        <v>845</v>
      </c>
      <c r="C423" t="s">
        <v>30</v>
      </c>
      <c r="D423" s="7">
        <v>45952</v>
      </c>
      <c r="E423" t="s">
        <v>31</v>
      </c>
      <c r="F423" t="s">
        <v>37</v>
      </c>
      <c r="G423">
        <v>23</v>
      </c>
      <c r="H423" t="s">
        <v>51</v>
      </c>
      <c r="I423">
        <v>3</v>
      </c>
      <c r="J423">
        <v>12</v>
      </c>
      <c r="K423">
        <v>2</v>
      </c>
      <c r="L423">
        <f t="shared" si="42"/>
        <v>1</v>
      </c>
      <c r="P423">
        <f t="shared" si="43"/>
        <v>1</v>
      </c>
      <c r="Q423">
        <f t="shared" si="44"/>
        <v>1</v>
      </c>
      <c r="R423">
        <f t="shared" si="45"/>
        <v>0</v>
      </c>
      <c r="S423">
        <f t="shared" si="46"/>
        <v>2</v>
      </c>
      <c r="T423" t="str">
        <f t="shared" si="47"/>
        <v>DerivedFromCount</v>
      </c>
      <c r="U423" t="str">
        <f>IF(COUNTIF(DailyProduction!$Q$5:$Q$100,B423)=1,"OK","CHECK")</f>
        <v>OK</v>
      </c>
      <c r="V423" t="str">
        <f t="shared" si="48"/>
        <v>OK</v>
      </c>
      <c r="W423" t="str">
        <f>IF(SUMIF($B$5:$B$914,B423,$S$5:$S$914)=SUMIF(DailyProduction!$Q$5:$Q$100,B423,DailyProduction!$R$5:$R$100),"OK","CHECK")</f>
        <v>OK</v>
      </c>
    </row>
    <row r="424" spans="1:23">
      <c r="A424" t="s">
        <v>848</v>
      </c>
      <c r="B424" t="s">
        <v>845</v>
      </c>
      <c r="C424" t="s">
        <v>30</v>
      </c>
      <c r="D424" s="7">
        <v>45952</v>
      </c>
      <c r="E424" t="s">
        <v>31</v>
      </c>
      <c r="F424" t="s">
        <v>37</v>
      </c>
      <c r="G424">
        <v>23</v>
      </c>
      <c r="H424" t="s">
        <v>51</v>
      </c>
      <c r="I424">
        <v>4</v>
      </c>
      <c r="J424">
        <v>12</v>
      </c>
      <c r="K424">
        <v>2</v>
      </c>
      <c r="L424">
        <f t="shared" si="42"/>
        <v>1</v>
      </c>
      <c r="P424">
        <f t="shared" si="43"/>
        <v>1</v>
      </c>
      <c r="Q424">
        <f t="shared" si="44"/>
        <v>1</v>
      </c>
      <c r="R424">
        <f t="shared" si="45"/>
        <v>0</v>
      </c>
      <c r="S424">
        <f t="shared" si="46"/>
        <v>2</v>
      </c>
      <c r="T424" t="str">
        <f t="shared" si="47"/>
        <v>DerivedFromCount</v>
      </c>
      <c r="U424" t="str">
        <f>IF(COUNTIF(DailyProduction!$Q$5:$Q$100,B424)=1,"OK","CHECK")</f>
        <v>OK</v>
      </c>
      <c r="V424" t="str">
        <f t="shared" si="48"/>
        <v>OK</v>
      </c>
      <c r="W424" t="str">
        <f>IF(SUMIF($B$5:$B$914,B424,$S$5:$S$914)=SUMIF(DailyProduction!$Q$5:$Q$100,B424,DailyProduction!$R$5:$R$100),"OK","CHECK")</f>
        <v>OK</v>
      </c>
    </row>
    <row r="425" spans="1:23">
      <c r="A425" t="s">
        <v>849</v>
      </c>
      <c r="B425" t="s">
        <v>845</v>
      </c>
      <c r="C425" t="s">
        <v>30</v>
      </c>
      <c r="D425" s="7">
        <v>45952</v>
      </c>
      <c r="E425" t="s">
        <v>31</v>
      </c>
      <c r="F425" t="s">
        <v>37</v>
      </c>
      <c r="G425">
        <v>23</v>
      </c>
      <c r="H425" t="s">
        <v>51</v>
      </c>
      <c r="I425">
        <v>5</v>
      </c>
      <c r="J425">
        <v>12</v>
      </c>
      <c r="K425">
        <v>2</v>
      </c>
      <c r="L425">
        <f t="shared" si="42"/>
        <v>1</v>
      </c>
      <c r="P425">
        <f t="shared" si="43"/>
        <v>1</v>
      </c>
      <c r="Q425">
        <f t="shared" si="44"/>
        <v>1</v>
      </c>
      <c r="R425">
        <f t="shared" si="45"/>
        <v>0</v>
      </c>
      <c r="S425">
        <f t="shared" si="46"/>
        <v>2</v>
      </c>
      <c r="T425" t="str">
        <f t="shared" si="47"/>
        <v>DerivedFromCount</v>
      </c>
      <c r="U425" t="str">
        <f>IF(COUNTIF(DailyProduction!$Q$5:$Q$100,B425)=1,"OK","CHECK")</f>
        <v>OK</v>
      </c>
      <c r="V425" t="str">
        <f t="shared" si="48"/>
        <v>OK</v>
      </c>
      <c r="W425" t="str">
        <f>IF(SUMIF($B$5:$B$914,B425,$S$5:$S$914)=SUMIF(DailyProduction!$Q$5:$Q$100,B425,DailyProduction!$R$5:$R$100),"OK","CHECK")</f>
        <v>OK</v>
      </c>
    </row>
    <row r="426" spans="1:23">
      <c r="A426" t="s">
        <v>850</v>
      </c>
      <c r="B426" t="s">
        <v>845</v>
      </c>
      <c r="C426" t="s">
        <v>30</v>
      </c>
      <c r="D426" s="7">
        <v>45952</v>
      </c>
      <c r="E426" t="s">
        <v>31</v>
      </c>
      <c r="F426" t="s">
        <v>37</v>
      </c>
      <c r="G426">
        <v>23</v>
      </c>
      <c r="H426" t="s">
        <v>51</v>
      </c>
      <c r="I426">
        <v>6</v>
      </c>
      <c r="J426">
        <v>12</v>
      </c>
      <c r="K426">
        <v>2</v>
      </c>
      <c r="L426">
        <f t="shared" si="42"/>
        <v>1</v>
      </c>
      <c r="P426">
        <f t="shared" si="43"/>
        <v>1</v>
      </c>
      <c r="Q426">
        <f t="shared" si="44"/>
        <v>1</v>
      </c>
      <c r="R426">
        <f t="shared" si="45"/>
        <v>0</v>
      </c>
      <c r="S426">
        <f t="shared" si="46"/>
        <v>2</v>
      </c>
      <c r="T426" t="str">
        <f t="shared" si="47"/>
        <v>DerivedFromCount</v>
      </c>
      <c r="U426" t="str">
        <f>IF(COUNTIF(DailyProduction!$Q$5:$Q$100,B426)=1,"OK","CHECK")</f>
        <v>OK</v>
      </c>
      <c r="V426" t="str">
        <f t="shared" si="48"/>
        <v>OK</v>
      </c>
      <c r="W426" t="str">
        <f>IF(SUMIF($B$5:$B$914,B426,$S$5:$S$914)=SUMIF(DailyProduction!$Q$5:$Q$100,B426,DailyProduction!$R$5:$R$100),"OK","CHECK")</f>
        <v>OK</v>
      </c>
    </row>
    <row r="427" spans="1:23">
      <c r="A427" t="s">
        <v>851</v>
      </c>
      <c r="B427" t="s">
        <v>845</v>
      </c>
      <c r="C427" t="s">
        <v>30</v>
      </c>
      <c r="D427" s="7">
        <v>45952</v>
      </c>
      <c r="E427" t="s">
        <v>31</v>
      </c>
      <c r="F427" t="s">
        <v>37</v>
      </c>
      <c r="G427">
        <v>23</v>
      </c>
      <c r="H427" t="s">
        <v>51</v>
      </c>
      <c r="I427">
        <v>7</v>
      </c>
      <c r="J427">
        <v>12</v>
      </c>
      <c r="K427">
        <v>2</v>
      </c>
      <c r="L427">
        <f t="shared" si="42"/>
        <v>1</v>
      </c>
      <c r="P427">
        <f t="shared" si="43"/>
        <v>1</v>
      </c>
      <c r="Q427">
        <f t="shared" si="44"/>
        <v>1</v>
      </c>
      <c r="R427">
        <f t="shared" si="45"/>
        <v>0</v>
      </c>
      <c r="S427">
        <f t="shared" si="46"/>
        <v>2</v>
      </c>
      <c r="T427" t="str">
        <f t="shared" si="47"/>
        <v>DerivedFromCount</v>
      </c>
      <c r="U427" t="str">
        <f>IF(COUNTIF(DailyProduction!$Q$5:$Q$100,B427)=1,"OK","CHECK")</f>
        <v>OK</v>
      </c>
      <c r="V427" t="str">
        <f t="shared" si="48"/>
        <v>OK</v>
      </c>
      <c r="W427" t="str">
        <f>IF(SUMIF($B$5:$B$914,B427,$S$5:$S$914)=SUMIF(DailyProduction!$Q$5:$Q$100,B427,DailyProduction!$R$5:$R$100),"OK","CHECK")</f>
        <v>OK</v>
      </c>
    </row>
    <row r="428" spans="1:23">
      <c r="A428" t="s">
        <v>852</v>
      </c>
      <c r="B428" t="s">
        <v>845</v>
      </c>
      <c r="C428" t="s">
        <v>30</v>
      </c>
      <c r="D428" s="7">
        <v>45952</v>
      </c>
      <c r="E428" t="s">
        <v>31</v>
      </c>
      <c r="F428" t="s">
        <v>37</v>
      </c>
      <c r="G428">
        <v>23</v>
      </c>
      <c r="H428" t="s">
        <v>51</v>
      </c>
      <c r="I428">
        <v>8</v>
      </c>
      <c r="J428">
        <v>12</v>
      </c>
      <c r="K428">
        <v>2</v>
      </c>
      <c r="L428">
        <f t="shared" si="42"/>
        <v>1</v>
      </c>
      <c r="P428">
        <f t="shared" si="43"/>
        <v>1</v>
      </c>
      <c r="Q428">
        <f t="shared" si="44"/>
        <v>1</v>
      </c>
      <c r="R428">
        <f t="shared" si="45"/>
        <v>0</v>
      </c>
      <c r="S428">
        <f t="shared" si="46"/>
        <v>2</v>
      </c>
      <c r="T428" t="str">
        <f t="shared" si="47"/>
        <v>DerivedFromCount</v>
      </c>
      <c r="U428" t="str">
        <f>IF(COUNTIF(DailyProduction!$Q$5:$Q$100,B428)=1,"OK","CHECK")</f>
        <v>OK</v>
      </c>
      <c r="V428" t="str">
        <f t="shared" si="48"/>
        <v>OK</v>
      </c>
      <c r="W428" t="str">
        <f>IF(SUMIF($B$5:$B$914,B428,$S$5:$S$914)=SUMIF(DailyProduction!$Q$5:$Q$100,B428,DailyProduction!$R$5:$R$100),"OK","CHECK")</f>
        <v>OK</v>
      </c>
    </row>
    <row r="429" spans="1:23">
      <c r="A429" t="s">
        <v>853</v>
      </c>
      <c r="B429" t="s">
        <v>845</v>
      </c>
      <c r="C429" t="s">
        <v>30</v>
      </c>
      <c r="D429" s="7">
        <v>45952</v>
      </c>
      <c r="E429" t="s">
        <v>31</v>
      </c>
      <c r="F429" t="s">
        <v>37</v>
      </c>
      <c r="G429">
        <v>23</v>
      </c>
      <c r="H429" t="s">
        <v>51</v>
      </c>
      <c r="I429">
        <v>9</v>
      </c>
      <c r="J429">
        <v>12</v>
      </c>
      <c r="K429">
        <v>2</v>
      </c>
      <c r="L429">
        <f t="shared" si="42"/>
        <v>1</v>
      </c>
      <c r="P429">
        <f t="shared" si="43"/>
        <v>1</v>
      </c>
      <c r="Q429">
        <f t="shared" si="44"/>
        <v>1</v>
      </c>
      <c r="R429">
        <f t="shared" si="45"/>
        <v>0</v>
      </c>
      <c r="S429">
        <f t="shared" si="46"/>
        <v>2</v>
      </c>
      <c r="T429" t="str">
        <f t="shared" si="47"/>
        <v>DerivedFromCount</v>
      </c>
      <c r="U429" t="str">
        <f>IF(COUNTIF(DailyProduction!$Q$5:$Q$100,B429)=1,"OK","CHECK")</f>
        <v>OK</v>
      </c>
      <c r="V429" t="str">
        <f t="shared" si="48"/>
        <v>OK</v>
      </c>
      <c r="W429" t="str">
        <f>IF(SUMIF($B$5:$B$914,B429,$S$5:$S$914)=SUMIF(DailyProduction!$Q$5:$Q$100,B429,DailyProduction!$R$5:$R$100),"OK","CHECK")</f>
        <v>OK</v>
      </c>
    </row>
    <row r="430" spans="1:23">
      <c r="A430" t="s">
        <v>854</v>
      </c>
      <c r="B430" t="s">
        <v>845</v>
      </c>
      <c r="C430" t="s">
        <v>30</v>
      </c>
      <c r="D430" s="7">
        <v>45952</v>
      </c>
      <c r="E430" t="s">
        <v>31</v>
      </c>
      <c r="F430" t="s">
        <v>37</v>
      </c>
      <c r="G430">
        <v>23</v>
      </c>
      <c r="H430" t="s">
        <v>51</v>
      </c>
      <c r="I430">
        <v>10</v>
      </c>
      <c r="J430">
        <v>12</v>
      </c>
      <c r="K430">
        <v>2</v>
      </c>
      <c r="L430">
        <f t="shared" si="42"/>
        <v>1</v>
      </c>
      <c r="P430">
        <f t="shared" si="43"/>
        <v>1</v>
      </c>
      <c r="Q430">
        <f t="shared" si="44"/>
        <v>1</v>
      </c>
      <c r="R430">
        <f t="shared" si="45"/>
        <v>0</v>
      </c>
      <c r="S430">
        <f t="shared" si="46"/>
        <v>2</v>
      </c>
      <c r="T430" t="str">
        <f t="shared" si="47"/>
        <v>DerivedFromCount</v>
      </c>
      <c r="U430" t="str">
        <f>IF(COUNTIF(DailyProduction!$Q$5:$Q$100,B430)=1,"OK","CHECK")</f>
        <v>OK</v>
      </c>
      <c r="V430" t="str">
        <f t="shared" si="48"/>
        <v>OK</v>
      </c>
      <c r="W430" t="str">
        <f>IF(SUMIF($B$5:$B$914,B430,$S$5:$S$914)=SUMIF(DailyProduction!$Q$5:$Q$100,B430,DailyProduction!$R$5:$R$100),"OK","CHECK")</f>
        <v>OK</v>
      </c>
    </row>
    <row r="431" spans="1:23">
      <c r="A431" t="s">
        <v>855</v>
      </c>
      <c r="B431" t="s">
        <v>845</v>
      </c>
      <c r="C431" t="s">
        <v>30</v>
      </c>
      <c r="D431" s="7">
        <v>45952</v>
      </c>
      <c r="E431" t="s">
        <v>31</v>
      </c>
      <c r="F431" t="s">
        <v>37</v>
      </c>
      <c r="G431">
        <v>23</v>
      </c>
      <c r="H431" t="s">
        <v>51</v>
      </c>
      <c r="I431">
        <v>11</v>
      </c>
      <c r="J431">
        <v>12</v>
      </c>
      <c r="K431">
        <v>2</v>
      </c>
      <c r="L431">
        <f t="shared" si="42"/>
        <v>1</v>
      </c>
      <c r="P431">
        <f t="shared" si="43"/>
        <v>1</v>
      </c>
      <c r="Q431">
        <f t="shared" si="44"/>
        <v>1</v>
      </c>
      <c r="R431">
        <f t="shared" si="45"/>
        <v>0</v>
      </c>
      <c r="S431">
        <f t="shared" si="46"/>
        <v>2</v>
      </c>
      <c r="T431" t="str">
        <f t="shared" si="47"/>
        <v>DerivedFromCount</v>
      </c>
      <c r="U431" t="str">
        <f>IF(COUNTIF(DailyProduction!$Q$5:$Q$100,B431)=1,"OK","CHECK")</f>
        <v>OK</v>
      </c>
      <c r="V431" t="str">
        <f t="shared" si="48"/>
        <v>OK</v>
      </c>
      <c r="W431" t="str">
        <f>IF(SUMIF($B$5:$B$914,B431,$S$5:$S$914)=SUMIF(DailyProduction!$Q$5:$Q$100,B431,DailyProduction!$R$5:$R$100),"OK","CHECK")</f>
        <v>OK</v>
      </c>
    </row>
    <row r="432" spans="1:23">
      <c r="A432" t="s">
        <v>856</v>
      </c>
      <c r="B432" t="s">
        <v>845</v>
      </c>
      <c r="C432" t="s">
        <v>30</v>
      </c>
      <c r="D432" s="7">
        <v>45952</v>
      </c>
      <c r="E432" t="s">
        <v>31</v>
      </c>
      <c r="F432" t="s">
        <v>37</v>
      </c>
      <c r="G432">
        <v>23</v>
      </c>
      <c r="H432" t="s">
        <v>51</v>
      </c>
      <c r="I432">
        <v>12</v>
      </c>
      <c r="J432">
        <v>12</v>
      </c>
      <c r="K432">
        <v>2</v>
      </c>
      <c r="L432">
        <f t="shared" si="42"/>
        <v>1</v>
      </c>
      <c r="P432">
        <f t="shared" si="43"/>
        <v>1</v>
      </c>
      <c r="Q432">
        <f t="shared" si="44"/>
        <v>1</v>
      </c>
      <c r="R432">
        <f t="shared" si="45"/>
        <v>0</v>
      </c>
      <c r="S432">
        <f t="shared" si="46"/>
        <v>2</v>
      </c>
      <c r="T432" t="str">
        <f t="shared" si="47"/>
        <v>DerivedFromCount</v>
      </c>
      <c r="U432" t="str">
        <f>IF(COUNTIF(DailyProduction!$Q$5:$Q$100,B432)=1,"OK","CHECK")</f>
        <v>OK</v>
      </c>
      <c r="V432" t="str">
        <f t="shared" si="48"/>
        <v>OK</v>
      </c>
      <c r="W432" t="str">
        <f>IF(SUMIF($B$5:$B$914,B432,$S$5:$S$914)=SUMIF(DailyProduction!$Q$5:$Q$100,B432,DailyProduction!$R$5:$R$100),"OK","CHECK")</f>
        <v>OK</v>
      </c>
    </row>
    <row r="433" spans="1:23">
      <c r="A433" t="s">
        <v>857</v>
      </c>
      <c r="B433" t="s">
        <v>845</v>
      </c>
      <c r="C433" t="s">
        <v>30</v>
      </c>
      <c r="D433" s="7">
        <v>45952</v>
      </c>
      <c r="E433" t="s">
        <v>31</v>
      </c>
      <c r="F433" t="s">
        <v>37</v>
      </c>
      <c r="G433">
        <v>23</v>
      </c>
      <c r="H433" t="s">
        <v>51</v>
      </c>
      <c r="I433">
        <v>13</v>
      </c>
      <c r="J433">
        <v>12</v>
      </c>
      <c r="K433">
        <v>2</v>
      </c>
      <c r="L433">
        <f t="shared" si="42"/>
        <v>0</v>
      </c>
      <c r="P433">
        <f t="shared" si="43"/>
        <v>0</v>
      </c>
      <c r="Q433">
        <f t="shared" si="44"/>
        <v>0</v>
      </c>
      <c r="R433">
        <f t="shared" si="45"/>
        <v>0</v>
      </c>
      <c r="S433">
        <f t="shared" si="46"/>
        <v>0</v>
      </c>
      <c r="T433" t="str">
        <f t="shared" si="47"/>
        <v>DerivedFromCount</v>
      </c>
      <c r="U433" t="str">
        <f>IF(COUNTIF(DailyProduction!$Q$5:$Q$100,B433)=1,"OK","CHECK")</f>
        <v>OK</v>
      </c>
      <c r="V433" t="str">
        <f t="shared" si="48"/>
        <v>OK</v>
      </c>
      <c r="W433" t="str">
        <f>IF(SUMIF($B$5:$B$914,B433,$S$5:$S$914)=SUMIF(DailyProduction!$Q$5:$Q$100,B433,DailyProduction!$R$5:$R$100),"OK","CHECK")</f>
        <v>OK</v>
      </c>
    </row>
    <row r="434" spans="1:23">
      <c r="A434" t="s">
        <v>858</v>
      </c>
      <c r="B434" t="s">
        <v>859</v>
      </c>
      <c r="C434" t="s">
        <v>30</v>
      </c>
      <c r="D434" s="7">
        <v>45952</v>
      </c>
      <c r="E434" t="s">
        <v>79</v>
      </c>
      <c r="F434" t="s">
        <v>41</v>
      </c>
      <c r="G434">
        <v>23</v>
      </c>
      <c r="H434" t="s">
        <v>51</v>
      </c>
      <c r="I434">
        <v>1</v>
      </c>
      <c r="J434">
        <v>12</v>
      </c>
      <c r="K434">
        <v>2</v>
      </c>
      <c r="L434">
        <f t="shared" si="42"/>
        <v>1</v>
      </c>
      <c r="P434">
        <f t="shared" si="43"/>
        <v>1</v>
      </c>
      <c r="Q434">
        <f t="shared" si="44"/>
        <v>1</v>
      </c>
      <c r="R434">
        <f t="shared" si="45"/>
        <v>0</v>
      </c>
      <c r="S434">
        <f t="shared" si="46"/>
        <v>2</v>
      </c>
      <c r="T434" t="str">
        <f t="shared" si="47"/>
        <v>DerivedFromCount</v>
      </c>
      <c r="U434" t="str">
        <f>IF(COUNTIF(DailyProduction!$Q$5:$Q$100,B434)=1,"OK","CHECK")</f>
        <v>OK</v>
      </c>
      <c r="V434" t="str">
        <f t="shared" si="48"/>
        <v>OK</v>
      </c>
      <c r="W434" t="str">
        <f>IF(SUMIF($B$5:$B$914,B434,$S$5:$S$914)=SUMIF(DailyProduction!$Q$5:$Q$100,B434,DailyProduction!$R$5:$R$100),"OK","CHECK")</f>
        <v>OK</v>
      </c>
    </row>
    <row r="435" spans="1:23">
      <c r="A435" t="s">
        <v>860</v>
      </c>
      <c r="B435" t="s">
        <v>859</v>
      </c>
      <c r="C435" t="s">
        <v>30</v>
      </c>
      <c r="D435" s="7">
        <v>45952</v>
      </c>
      <c r="E435" t="s">
        <v>79</v>
      </c>
      <c r="F435" t="s">
        <v>41</v>
      </c>
      <c r="G435">
        <v>23</v>
      </c>
      <c r="H435" t="s">
        <v>51</v>
      </c>
      <c r="I435">
        <v>2</v>
      </c>
      <c r="J435">
        <v>12</v>
      </c>
      <c r="K435">
        <v>2</v>
      </c>
      <c r="L435">
        <f t="shared" si="42"/>
        <v>1</v>
      </c>
      <c r="P435">
        <f t="shared" si="43"/>
        <v>1</v>
      </c>
      <c r="Q435">
        <f t="shared" si="44"/>
        <v>1</v>
      </c>
      <c r="R435">
        <f t="shared" si="45"/>
        <v>0</v>
      </c>
      <c r="S435">
        <f t="shared" si="46"/>
        <v>2</v>
      </c>
      <c r="T435" t="str">
        <f t="shared" si="47"/>
        <v>DerivedFromCount</v>
      </c>
      <c r="U435" t="str">
        <f>IF(COUNTIF(DailyProduction!$Q$5:$Q$100,B435)=1,"OK","CHECK")</f>
        <v>OK</v>
      </c>
      <c r="V435" t="str">
        <f t="shared" si="48"/>
        <v>OK</v>
      </c>
      <c r="W435" t="str">
        <f>IF(SUMIF($B$5:$B$914,B435,$S$5:$S$914)=SUMIF(DailyProduction!$Q$5:$Q$100,B435,DailyProduction!$R$5:$R$100),"OK","CHECK")</f>
        <v>OK</v>
      </c>
    </row>
    <row r="436" spans="1:23">
      <c r="A436" t="s">
        <v>861</v>
      </c>
      <c r="B436" t="s">
        <v>859</v>
      </c>
      <c r="C436" t="s">
        <v>30</v>
      </c>
      <c r="D436" s="7">
        <v>45952</v>
      </c>
      <c r="E436" t="s">
        <v>79</v>
      </c>
      <c r="F436" t="s">
        <v>41</v>
      </c>
      <c r="G436">
        <v>23</v>
      </c>
      <c r="H436" t="s">
        <v>51</v>
      </c>
      <c r="I436">
        <v>3</v>
      </c>
      <c r="J436">
        <v>12</v>
      </c>
      <c r="K436">
        <v>2</v>
      </c>
      <c r="L436">
        <f t="shared" si="42"/>
        <v>1</v>
      </c>
      <c r="P436">
        <f t="shared" si="43"/>
        <v>1</v>
      </c>
      <c r="Q436">
        <f t="shared" si="44"/>
        <v>1</v>
      </c>
      <c r="R436">
        <f t="shared" si="45"/>
        <v>0</v>
      </c>
      <c r="S436">
        <f t="shared" si="46"/>
        <v>2</v>
      </c>
      <c r="T436" t="str">
        <f t="shared" si="47"/>
        <v>DerivedFromCount</v>
      </c>
      <c r="U436" t="str">
        <f>IF(COUNTIF(DailyProduction!$Q$5:$Q$100,B436)=1,"OK","CHECK")</f>
        <v>OK</v>
      </c>
      <c r="V436" t="str">
        <f t="shared" si="48"/>
        <v>OK</v>
      </c>
      <c r="W436" t="str">
        <f>IF(SUMIF($B$5:$B$914,B436,$S$5:$S$914)=SUMIF(DailyProduction!$Q$5:$Q$100,B436,DailyProduction!$R$5:$R$100),"OK","CHECK")</f>
        <v>OK</v>
      </c>
    </row>
    <row r="437" spans="1:23">
      <c r="A437" t="s">
        <v>862</v>
      </c>
      <c r="B437" t="s">
        <v>859</v>
      </c>
      <c r="C437" t="s">
        <v>30</v>
      </c>
      <c r="D437" s="7">
        <v>45952</v>
      </c>
      <c r="E437" t="s">
        <v>79</v>
      </c>
      <c r="F437" t="s">
        <v>41</v>
      </c>
      <c r="G437">
        <v>23</v>
      </c>
      <c r="H437" t="s">
        <v>51</v>
      </c>
      <c r="I437">
        <v>4</v>
      </c>
      <c r="J437">
        <v>12</v>
      </c>
      <c r="K437">
        <v>2</v>
      </c>
      <c r="L437">
        <f t="shared" si="42"/>
        <v>1</v>
      </c>
      <c r="P437">
        <f t="shared" si="43"/>
        <v>1</v>
      </c>
      <c r="Q437">
        <f t="shared" si="44"/>
        <v>1</v>
      </c>
      <c r="R437">
        <f t="shared" si="45"/>
        <v>0</v>
      </c>
      <c r="S437">
        <f t="shared" si="46"/>
        <v>2</v>
      </c>
      <c r="T437" t="str">
        <f t="shared" si="47"/>
        <v>DerivedFromCount</v>
      </c>
      <c r="U437" t="str">
        <f>IF(COUNTIF(DailyProduction!$Q$5:$Q$100,B437)=1,"OK","CHECK")</f>
        <v>OK</v>
      </c>
      <c r="V437" t="str">
        <f t="shared" si="48"/>
        <v>OK</v>
      </c>
      <c r="W437" t="str">
        <f>IF(SUMIF($B$5:$B$914,B437,$S$5:$S$914)=SUMIF(DailyProduction!$Q$5:$Q$100,B437,DailyProduction!$R$5:$R$100),"OK","CHECK")</f>
        <v>OK</v>
      </c>
    </row>
    <row r="438" spans="1:23">
      <c r="A438" t="s">
        <v>863</v>
      </c>
      <c r="B438" t="s">
        <v>859</v>
      </c>
      <c r="C438" t="s">
        <v>30</v>
      </c>
      <c r="D438" s="7">
        <v>45952</v>
      </c>
      <c r="E438" t="s">
        <v>79</v>
      </c>
      <c r="F438" t="s">
        <v>41</v>
      </c>
      <c r="G438">
        <v>23</v>
      </c>
      <c r="H438" t="s">
        <v>51</v>
      </c>
      <c r="I438">
        <v>5</v>
      </c>
      <c r="J438">
        <v>12</v>
      </c>
      <c r="K438">
        <v>2</v>
      </c>
      <c r="L438">
        <f t="shared" si="42"/>
        <v>1</v>
      </c>
      <c r="P438">
        <f t="shared" si="43"/>
        <v>1</v>
      </c>
      <c r="Q438">
        <f t="shared" si="44"/>
        <v>1</v>
      </c>
      <c r="R438">
        <f t="shared" si="45"/>
        <v>0</v>
      </c>
      <c r="S438">
        <f t="shared" si="46"/>
        <v>2</v>
      </c>
      <c r="T438" t="str">
        <f t="shared" si="47"/>
        <v>DerivedFromCount</v>
      </c>
      <c r="U438" t="str">
        <f>IF(COUNTIF(DailyProduction!$Q$5:$Q$100,B438)=1,"OK","CHECK")</f>
        <v>OK</v>
      </c>
      <c r="V438" t="str">
        <f t="shared" si="48"/>
        <v>OK</v>
      </c>
      <c r="W438" t="str">
        <f>IF(SUMIF($B$5:$B$914,B438,$S$5:$S$914)=SUMIF(DailyProduction!$Q$5:$Q$100,B438,DailyProduction!$R$5:$R$100),"OK","CHECK")</f>
        <v>OK</v>
      </c>
    </row>
    <row r="439" spans="1:23">
      <c r="A439" t="s">
        <v>864</v>
      </c>
      <c r="B439" t="s">
        <v>859</v>
      </c>
      <c r="C439" t="s">
        <v>30</v>
      </c>
      <c r="D439" s="7">
        <v>45952</v>
      </c>
      <c r="E439" t="s">
        <v>79</v>
      </c>
      <c r="F439" t="s">
        <v>41</v>
      </c>
      <c r="G439">
        <v>23</v>
      </c>
      <c r="H439" t="s">
        <v>51</v>
      </c>
      <c r="I439">
        <v>6</v>
      </c>
      <c r="J439">
        <v>12</v>
      </c>
      <c r="K439">
        <v>2</v>
      </c>
      <c r="L439">
        <f t="shared" si="42"/>
        <v>1</v>
      </c>
      <c r="P439">
        <f t="shared" si="43"/>
        <v>1</v>
      </c>
      <c r="Q439">
        <f t="shared" si="44"/>
        <v>1</v>
      </c>
      <c r="R439">
        <f t="shared" si="45"/>
        <v>0</v>
      </c>
      <c r="S439">
        <f t="shared" si="46"/>
        <v>2</v>
      </c>
      <c r="T439" t="str">
        <f t="shared" si="47"/>
        <v>DerivedFromCount</v>
      </c>
      <c r="U439" t="str">
        <f>IF(COUNTIF(DailyProduction!$Q$5:$Q$100,B439)=1,"OK","CHECK")</f>
        <v>OK</v>
      </c>
      <c r="V439" t="str">
        <f t="shared" si="48"/>
        <v>OK</v>
      </c>
      <c r="W439" t="str">
        <f>IF(SUMIF($B$5:$B$914,B439,$S$5:$S$914)=SUMIF(DailyProduction!$Q$5:$Q$100,B439,DailyProduction!$R$5:$R$100),"OK","CHECK")</f>
        <v>OK</v>
      </c>
    </row>
    <row r="440" spans="1:23">
      <c r="A440" t="s">
        <v>865</v>
      </c>
      <c r="B440" t="s">
        <v>859</v>
      </c>
      <c r="C440" t="s">
        <v>30</v>
      </c>
      <c r="D440" s="7">
        <v>45952</v>
      </c>
      <c r="E440" t="s">
        <v>79</v>
      </c>
      <c r="F440" t="s">
        <v>41</v>
      </c>
      <c r="G440">
        <v>23</v>
      </c>
      <c r="H440" t="s">
        <v>51</v>
      </c>
      <c r="I440">
        <v>7</v>
      </c>
      <c r="J440">
        <v>12</v>
      </c>
      <c r="K440">
        <v>2</v>
      </c>
      <c r="L440">
        <f t="shared" si="42"/>
        <v>1</v>
      </c>
      <c r="P440">
        <f t="shared" si="43"/>
        <v>1</v>
      </c>
      <c r="Q440">
        <f t="shared" si="44"/>
        <v>1</v>
      </c>
      <c r="R440">
        <f t="shared" si="45"/>
        <v>0</v>
      </c>
      <c r="S440">
        <f t="shared" si="46"/>
        <v>2</v>
      </c>
      <c r="T440" t="str">
        <f t="shared" si="47"/>
        <v>DerivedFromCount</v>
      </c>
      <c r="U440" t="str">
        <f>IF(COUNTIF(DailyProduction!$Q$5:$Q$100,B440)=1,"OK","CHECK")</f>
        <v>OK</v>
      </c>
      <c r="V440" t="str">
        <f t="shared" si="48"/>
        <v>OK</v>
      </c>
      <c r="W440" t="str">
        <f>IF(SUMIF($B$5:$B$914,B440,$S$5:$S$914)=SUMIF(DailyProduction!$Q$5:$Q$100,B440,DailyProduction!$R$5:$R$100),"OK","CHECK")</f>
        <v>OK</v>
      </c>
    </row>
    <row r="441" spans="1:23">
      <c r="A441" t="s">
        <v>866</v>
      </c>
      <c r="B441" t="s">
        <v>859</v>
      </c>
      <c r="C441" t="s">
        <v>30</v>
      </c>
      <c r="D441" s="7">
        <v>45952</v>
      </c>
      <c r="E441" t="s">
        <v>79</v>
      </c>
      <c r="F441" t="s">
        <v>41</v>
      </c>
      <c r="G441">
        <v>23</v>
      </c>
      <c r="H441" t="s">
        <v>51</v>
      </c>
      <c r="I441">
        <v>8</v>
      </c>
      <c r="J441">
        <v>12</v>
      </c>
      <c r="K441">
        <v>2</v>
      </c>
      <c r="L441">
        <f t="shared" si="42"/>
        <v>1</v>
      </c>
      <c r="P441">
        <f t="shared" si="43"/>
        <v>1</v>
      </c>
      <c r="Q441">
        <f t="shared" si="44"/>
        <v>1</v>
      </c>
      <c r="R441">
        <f t="shared" si="45"/>
        <v>0</v>
      </c>
      <c r="S441">
        <f t="shared" si="46"/>
        <v>2</v>
      </c>
      <c r="T441" t="str">
        <f t="shared" si="47"/>
        <v>DerivedFromCount</v>
      </c>
      <c r="U441" t="str">
        <f>IF(COUNTIF(DailyProduction!$Q$5:$Q$100,B441)=1,"OK","CHECK")</f>
        <v>OK</v>
      </c>
      <c r="V441" t="str">
        <f t="shared" si="48"/>
        <v>OK</v>
      </c>
      <c r="W441" t="str">
        <f>IF(SUMIF($B$5:$B$914,B441,$S$5:$S$914)=SUMIF(DailyProduction!$Q$5:$Q$100,B441,DailyProduction!$R$5:$R$100),"OK","CHECK")</f>
        <v>OK</v>
      </c>
    </row>
    <row r="442" spans="1:23">
      <c r="A442" t="s">
        <v>867</v>
      </c>
      <c r="B442" t="s">
        <v>859</v>
      </c>
      <c r="C442" t="s">
        <v>30</v>
      </c>
      <c r="D442" s="7">
        <v>45952</v>
      </c>
      <c r="E442" t="s">
        <v>79</v>
      </c>
      <c r="F442" t="s">
        <v>41</v>
      </c>
      <c r="G442">
        <v>23</v>
      </c>
      <c r="H442" t="s">
        <v>51</v>
      </c>
      <c r="I442">
        <v>9</v>
      </c>
      <c r="J442">
        <v>12</v>
      </c>
      <c r="K442">
        <v>2</v>
      </c>
      <c r="L442">
        <f t="shared" si="42"/>
        <v>1</v>
      </c>
      <c r="P442">
        <f t="shared" si="43"/>
        <v>1</v>
      </c>
      <c r="Q442">
        <f t="shared" si="44"/>
        <v>1</v>
      </c>
      <c r="R442">
        <f t="shared" si="45"/>
        <v>0</v>
      </c>
      <c r="S442">
        <f t="shared" si="46"/>
        <v>2</v>
      </c>
      <c r="T442" t="str">
        <f t="shared" si="47"/>
        <v>DerivedFromCount</v>
      </c>
      <c r="U442" t="str">
        <f>IF(COUNTIF(DailyProduction!$Q$5:$Q$100,B442)=1,"OK","CHECK")</f>
        <v>OK</v>
      </c>
      <c r="V442" t="str">
        <f t="shared" si="48"/>
        <v>OK</v>
      </c>
      <c r="W442" t="str">
        <f>IF(SUMIF($B$5:$B$914,B442,$S$5:$S$914)=SUMIF(DailyProduction!$Q$5:$Q$100,B442,DailyProduction!$R$5:$R$100),"OK","CHECK")</f>
        <v>OK</v>
      </c>
    </row>
    <row r="443" spans="1:23">
      <c r="A443" t="s">
        <v>868</v>
      </c>
      <c r="B443" t="s">
        <v>859</v>
      </c>
      <c r="C443" t="s">
        <v>30</v>
      </c>
      <c r="D443" s="7">
        <v>45952</v>
      </c>
      <c r="E443" t="s">
        <v>79</v>
      </c>
      <c r="F443" t="s">
        <v>41</v>
      </c>
      <c r="G443">
        <v>23</v>
      </c>
      <c r="H443" t="s">
        <v>51</v>
      </c>
      <c r="I443">
        <v>10</v>
      </c>
      <c r="J443">
        <v>12</v>
      </c>
      <c r="K443">
        <v>2</v>
      </c>
      <c r="L443">
        <f t="shared" si="42"/>
        <v>1</v>
      </c>
      <c r="P443">
        <f t="shared" si="43"/>
        <v>1</v>
      </c>
      <c r="Q443">
        <f t="shared" si="44"/>
        <v>1</v>
      </c>
      <c r="R443">
        <f t="shared" si="45"/>
        <v>0</v>
      </c>
      <c r="S443">
        <f t="shared" si="46"/>
        <v>2</v>
      </c>
      <c r="T443" t="str">
        <f t="shared" si="47"/>
        <v>DerivedFromCount</v>
      </c>
      <c r="U443" t="str">
        <f>IF(COUNTIF(DailyProduction!$Q$5:$Q$100,B443)=1,"OK","CHECK")</f>
        <v>OK</v>
      </c>
      <c r="V443" t="str">
        <f t="shared" si="48"/>
        <v>OK</v>
      </c>
      <c r="W443" t="str">
        <f>IF(SUMIF($B$5:$B$914,B443,$S$5:$S$914)=SUMIF(DailyProduction!$Q$5:$Q$100,B443,DailyProduction!$R$5:$R$100),"OK","CHECK")</f>
        <v>OK</v>
      </c>
    </row>
    <row r="444" spans="1:23">
      <c r="A444" t="s">
        <v>869</v>
      </c>
      <c r="B444" t="s">
        <v>859</v>
      </c>
      <c r="C444" t="s">
        <v>30</v>
      </c>
      <c r="D444" s="7">
        <v>45952</v>
      </c>
      <c r="E444" t="s">
        <v>79</v>
      </c>
      <c r="F444" t="s">
        <v>41</v>
      </c>
      <c r="G444">
        <v>23</v>
      </c>
      <c r="H444" t="s">
        <v>51</v>
      </c>
      <c r="I444">
        <v>11</v>
      </c>
      <c r="J444">
        <v>12</v>
      </c>
      <c r="K444">
        <v>2</v>
      </c>
      <c r="L444">
        <f t="shared" si="42"/>
        <v>1</v>
      </c>
      <c r="P444">
        <f t="shared" si="43"/>
        <v>1</v>
      </c>
      <c r="Q444">
        <f t="shared" si="44"/>
        <v>1</v>
      </c>
      <c r="R444">
        <f t="shared" si="45"/>
        <v>0</v>
      </c>
      <c r="S444">
        <f t="shared" si="46"/>
        <v>2</v>
      </c>
      <c r="T444" t="str">
        <f t="shared" si="47"/>
        <v>DerivedFromCount</v>
      </c>
      <c r="U444" t="str">
        <f>IF(COUNTIF(DailyProduction!$Q$5:$Q$100,B444)=1,"OK","CHECK")</f>
        <v>OK</v>
      </c>
      <c r="V444" t="str">
        <f t="shared" si="48"/>
        <v>OK</v>
      </c>
      <c r="W444" t="str">
        <f>IF(SUMIF($B$5:$B$914,B444,$S$5:$S$914)=SUMIF(DailyProduction!$Q$5:$Q$100,B444,DailyProduction!$R$5:$R$100),"OK","CHECK")</f>
        <v>OK</v>
      </c>
    </row>
    <row r="445" spans="1:23">
      <c r="A445" t="s">
        <v>870</v>
      </c>
      <c r="B445" t="s">
        <v>859</v>
      </c>
      <c r="C445" t="s">
        <v>30</v>
      </c>
      <c r="D445" s="7">
        <v>45952</v>
      </c>
      <c r="E445" t="s">
        <v>79</v>
      </c>
      <c r="F445" t="s">
        <v>41</v>
      </c>
      <c r="G445">
        <v>23</v>
      </c>
      <c r="H445" t="s">
        <v>51</v>
      </c>
      <c r="I445">
        <v>12</v>
      </c>
      <c r="J445">
        <v>12</v>
      </c>
      <c r="K445">
        <v>2</v>
      </c>
      <c r="L445">
        <f t="shared" si="42"/>
        <v>1</v>
      </c>
      <c r="P445">
        <f t="shared" si="43"/>
        <v>1</v>
      </c>
      <c r="Q445">
        <f t="shared" si="44"/>
        <v>1</v>
      </c>
      <c r="R445">
        <f t="shared" si="45"/>
        <v>0</v>
      </c>
      <c r="S445">
        <f t="shared" si="46"/>
        <v>2</v>
      </c>
      <c r="T445" t="str">
        <f t="shared" si="47"/>
        <v>DerivedFromCount</v>
      </c>
      <c r="U445" t="str">
        <f>IF(COUNTIF(DailyProduction!$Q$5:$Q$100,B445)=1,"OK","CHECK")</f>
        <v>OK</v>
      </c>
      <c r="V445" t="str">
        <f t="shared" si="48"/>
        <v>OK</v>
      </c>
      <c r="W445" t="str">
        <f>IF(SUMIF($B$5:$B$914,B445,$S$5:$S$914)=SUMIF(DailyProduction!$Q$5:$Q$100,B445,DailyProduction!$R$5:$R$100),"OK","CHECK")</f>
        <v>OK</v>
      </c>
    </row>
    <row r="446" spans="1:23">
      <c r="A446" t="s">
        <v>871</v>
      </c>
      <c r="B446" t="s">
        <v>859</v>
      </c>
      <c r="C446" t="s">
        <v>30</v>
      </c>
      <c r="D446" s="7">
        <v>45952</v>
      </c>
      <c r="E446" t="s">
        <v>79</v>
      </c>
      <c r="F446" t="s">
        <v>41</v>
      </c>
      <c r="G446">
        <v>23</v>
      </c>
      <c r="H446" t="s">
        <v>51</v>
      </c>
      <c r="I446">
        <v>13</v>
      </c>
      <c r="J446">
        <v>12</v>
      </c>
      <c r="K446">
        <v>2</v>
      </c>
      <c r="L446">
        <f t="shared" si="42"/>
        <v>0</v>
      </c>
      <c r="P446">
        <f t="shared" si="43"/>
        <v>0</v>
      </c>
      <c r="Q446">
        <f t="shared" si="44"/>
        <v>0</v>
      </c>
      <c r="R446">
        <f t="shared" si="45"/>
        <v>0</v>
      </c>
      <c r="S446">
        <f t="shared" si="46"/>
        <v>0</v>
      </c>
      <c r="T446" t="str">
        <f t="shared" si="47"/>
        <v>DerivedFromCount</v>
      </c>
      <c r="U446" t="str">
        <f>IF(COUNTIF(DailyProduction!$Q$5:$Q$100,B446)=1,"OK","CHECK")</f>
        <v>OK</v>
      </c>
      <c r="V446" t="str">
        <f t="shared" si="48"/>
        <v>OK</v>
      </c>
      <c r="W446" t="str">
        <f>IF(SUMIF($B$5:$B$914,B446,$S$5:$S$914)=SUMIF(DailyProduction!$Q$5:$Q$100,B446,DailyProduction!$R$5:$R$100),"OK","CHECK")</f>
        <v>OK</v>
      </c>
    </row>
    <row r="447" spans="1:23">
      <c r="A447" t="s">
        <v>872</v>
      </c>
      <c r="B447" t="s">
        <v>873</v>
      </c>
      <c r="C447" t="s">
        <v>30</v>
      </c>
      <c r="D447" s="7">
        <v>45953</v>
      </c>
      <c r="E447" t="s">
        <v>31</v>
      </c>
      <c r="F447" t="s">
        <v>41</v>
      </c>
      <c r="G447">
        <v>23</v>
      </c>
      <c r="H447" t="s">
        <v>51</v>
      </c>
      <c r="I447">
        <v>1</v>
      </c>
      <c r="J447">
        <v>12</v>
      </c>
      <c r="K447">
        <v>2</v>
      </c>
      <c r="L447">
        <f t="shared" si="42"/>
        <v>1</v>
      </c>
      <c r="P447">
        <f t="shared" si="43"/>
        <v>1</v>
      </c>
      <c r="Q447">
        <f t="shared" si="44"/>
        <v>1</v>
      </c>
      <c r="R447">
        <f t="shared" si="45"/>
        <v>0</v>
      </c>
      <c r="S447">
        <f t="shared" si="46"/>
        <v>2</v>
      </c>
      <c r="T447" t="str">
        <f t="shared" si="47"/>
        <v>DerivedFromCount</v>
      </c>
      <c r="U447" t="str">
        <f>IF(COUNTIF(DailyProduction!$Q$5:$Q$100,B447)=1,"OK","CHECK")</f>
        <v>OK</v>
      </c>
      <c r="V447" t="str">
        <f t="shared" si="48"/>
        <v>OK</v>
      </c>
      <c r="W447" t="str">
        <f>IF(SUMIF($B$5:$B$914,B447,$S$5:$S$914)=SUMIF(DailyProduction!$Q$5:$Q$100,B447,DailyProduction!$R$5:$R$100),"OK","CHECK")</f>
        <v>OK</v>
      </c>
    </row>
    <row r="448" spans="1:23">
      <c r="A448" t="s">
        <v>874</v>
      </c>
      <c r="B448" t="s">
        <v>873</v>
      </c>
      <c r="C448" t="s">
        <v>30</v>
      </c>
      <c r="D448" s="7">
        <v>45953</v>
      </c>
      <c r="E448" t="s">
        <v>31</v>
      </c>
      <c r="F448" t="s">
        <v>41</v>
      </c>
      <c r="G448">
        <v>23</v>
      </c>
      <c r="H448" t="s">
        <v>51</v>
      </c>
      <c r="I448">
        <v>2</v>
      </c>
      <c r="J448">
        <v>12</v>
      </c>
      <c r="K448">
        <v>2</v>
      </c>
      <c r="L448">
        <f t="shared" si="42"/>
        <v>1</v>
      </c>
      <c r="P448">
        <f t="shared" si="43"/>
        <v>1</v>
      </c>
      <c r="Q448">
        <f t="shared" si="44"/>
        <v>1</v>
      </c>
      <c r="R448">
        <f t="shared" si="45"/>
        <v>0</v>
      </c>
      <c r="S448">
        <f t="shared" si="46"/>
        <v>2</v>
      </c>
      <c r="T448" t="str">
        <f t="shared" si="47"/>
        <v>DerivedFromCount</v>
      </c>
      <c r="U448" t="str">
        <f>IF(COUNTIF(DailyProduction!$Q$5:$Q$100,B448)=1,"OK","CHECK")</f>
        <v>OK</v>
      </c>
      <c r="V448" t="str">
        <f t="shared" si="48"/>
        <v>OK</v>
      </c>
      <c r="W448" t="str">
        <f>IF(SUMIF($B$5:$B$914,B448,$S$5:$S$914)=SUMIF(DailyProduction!$Q$5:$Q$100,B448,DailyProduction!$R$5:$R$100),"OK","CHECK")</f>
        <v>OK</v>
      </c>
    </row>
    <row r="449" spans="1:23">
      <c r="A449" t="s">
        <v>875</v>
      </c>
      <c r="B449" t="s">
        <v>873</v>
      </c>
      <c r="C449" t="s">
        <v>30</v>
      </c>
      <c r="D449" s="7">
        <v>45953</v>
      </c>
      <c r="E449" t="s">
        <v>31</v>
      </c>
      <c r="F449" t="s">
        <v>41</v>
      </c>
      <c r="G449">
        <v>23</v>
      </c>
      <c r="H449" t="s">
        <v>51</v>
      </c>
      <c r="I449">
        <v>3</v>
      </c>
      <c r="J449">
        <v>12</v>
      </c>
      <c r="K449">
        <v>2</v>
      </c>
      <c r="L449">
        <f t="shared" si="42"/>
        <v>1</v>
      </c>
      <c r="P449">
        <f t="shared" si="43"/>
        <v>1</v>
      </c>
      <c r="Q449">
        <f t="shared" si="44"/>
        <v>1</v>
      </c>
      <c r="R449">
        <f t="shared" si="45"/>
        <v>0</v>
      </c>
      <c r="S449">
        <f t="shared" si="46"/>
        <v>2</v>
      </c>
      <c r="T449" t="str">
        <f t="shared" si="47"/>
        <v>DerivedFromCount</v>
      </c>
      <c r="U449" t="str">
        <f>IF(COUNTIF(DailyProduction!$Q$5:$Q$100,B449)=1,"OK","CHECK")</f>
        <v>OK</v>
      </c>
      <c r="V449" t="str">
        <f t="shared" si="48"/>
        <v>OK</v>
      </c>
      <c r="W449" t="str">
        <f>IF(SUMIF($B$5:$B$914,B449,$S$5:$S$914)=SUMIF(DailyProduction!$Q$5:$Q$100,B449,DailyProduction!$R$5:$R$100),"OK","CHECK")</f>
        <v>OK</v>
      </c>
    </row>
    <row r="450" spans="1:23">
      <c r="A450" t="s">
        <v>876</v>
      </c>
      <c r="B450" t="s">
        <v>873</v>
      </c>
      <c r="C450" t="s">
        <v>30</v>
      </c>
      <c r="D450" s="7">
        <v>45953</v>
      </c>
      <c r="E450" t="s">
        <v>31</v>
      </c>
      <c r="F450" t="s">
        <v>41</v>
      </c>
      <c r="G450">
        <v>23</v>
      </c>
      <c r="H450" t="s">
        <v>51</v>
      </c>
      <c r="I450">
        <v>4</v>
      </c>
      <c r="J450">
        <v>12</v>
      </c>
      <c r="K450">
        <v>2</v>
      </c>
      <c r="L450">
        <f t="shared" si="42"/>
        <v>1</v>
      </c>
      <c r="P450">
        <f t="shared" si="43"/>
        <v>1</v>
      </c>
      <c r="Q450">
        <f t="shared" si="44"/>
        <v>1</v>
      </c>
      <c r="R450">
        <f t="shared" si="45"/>
        <v>0</v>
      </c>
      <c r="S450">
        <f t="shared" si="46"/>
        <v>2</v>
      </c>
      <c r="T450" t="str">
        <f t="shared" si="47"/>
        <v>DerivedFromCount</v>
      </c>
      <c r="U450" t="str">
        <f>IF(COUNTIF(DailyProduction!$Q$5:$Q$100,B450)=1,"OK","CHECK")</f>
        <v>OK</v>
      </c>
      <c r="V450" t="str">
        <f t="shared" si="48"/>
        <v>OK</v>
      </c>
      <c r="W450" t="str">
        <f>IF(SUMIF($B$5:$B$914,B450,$S$5:$S$914)=SUMIF(DailyProduction!$Q$5:$Q$100,B450,DailyProduction!$R$5:$R$100),"OK","CHECK")</f>
        <v>OK</v>
      </c>
    </row>
    <row r="451" spans="1:23">
      <c r="A451" t="s">
        <v>877</v>
      </c>
      <c r="B451" t="s">
        <v>873</v>
      </c>
      <c r="C451" t="s">
        <v>30</v>
      </c>
      <c r="D451" s="7">
        <v>45953</v>
      </c>
      <c r="E451" t="s">
        <v>31</v>
      </c>
      <c r="F451" t="s">
        <v>41</v>
      </c>
      <c r="G451">
        <v>23</v>
      </c>
      <c r="H451" t="s">
        <v>51</v>
      </c>
      <c r="I451">
        <v>5</v>
      </c>
      <c r="J451">
        <v>12</v>
      </c>
      <c r="K451">
        <v>2</v>
      </c>
      <c r="L451">
        <f t="shared" si="42"/>
        <v>1</v>
      </c>
      <c r="P451">
        <f t="shared" si="43"/>
        <v>1</v>
      </c>
      <c r="Q451">
        <f t="shared" si="44"/>
        <v>1</v>
      </c>
      <c r="R451">
        <f t="shared" si="45"/>
        <v>0</v>
      </c>
      <c r="S451">
        <f t="shared" si="46"/>
        <v>2</v>
      </c>
      <c r="T451" t="str">
        <f t="shared" si="47"/>
        <v>DerivedFromCount</v>
      </c>
      <c r="U451" t="str">
        <f>IF(COUNTIF(DailyProduction!$Q$5:$Q$100,B451)=1,"OK","CHECK")</f>
        <v>OK</v>
      </c>
      <c r="V451" t="str">
        <f t="shared" si="48"/>
        <v>OK</v>
      </c>
      <c r="W451" t="str">
        <f>IF(SUMIF($B$5:$B$914,B451,$S$5:$S$914)=SUMIF(DailyProduction!$Q$5:$Q$100,B451,DailyProduction!$R$5:$R$100),"OK","CHECK")</f>
        <v>OK</v>
      </c>
    </row>
    <row r="452" spans="1:23">
      <c r="A452" t="s">
        <v>878</v>
      </c>
      <c r="B452" t="s">
        <v>873</v>
      </c>
      <c r="C452" t="s">
        <v>30</v>
      </c>
      <c r="D452" s="7">
        <v>45953</v>
      </c>
      <c r="E452" t="s">
        <v>31</v>
      </c>
      <c r="F452" t="s">
        <v>41</v>
      </c>
      <c r="G452">
        <v>23</v>
      </c>
      <c r="H452" t="s">
        <v>51</v>
      </c>
      <c r="I452">
        <v>6</v>
      </c>
      <c r="J452">
        <v>12</v>
      </c>
      <c r="K452">
        <v>2</v>
      </c>
      <c r="L452">
        <f t="shared" si="42"/>
        <v>1</v>
      </c>
      <c r="P452">
        <f t="shared" si="43"/>
        <v>1</v>
      </c>
      <c r="Q452">
        <f t="shared" si="44"/>
        <v>1</v>
      </c>
      <c r="R452">
        <f t="shared" si="45"/>
        <v>0</v>
      </c>
      <c r="S452">
        <f t="shared" si="46"/>
        <v>2</v>
      </c>
      <c r="T452" t="str">
        <f t="shared" si="47"/>
        <v>DerivedFromCount</v>
      </c>
      <c r="U452" t="str">
        <f>IF(COUNTIF(DailyProduction!$Q$5:$Q$100,B452)=1,"OK","CHECK")</f>
        <v>OK</v>
      </c>
      <c r="V452" t="str">
        <f t="shared" si="48"/>
        <v>OK</v>
      </c>
      <c r="W452" t="str">
        <f>IF(SUMIF($B$5:$B$914,B452,$S$5:$S$914)=SUMIF(DailyProduction!$Q$5:$Q$100,B452,DailyProduction!$R$5:$R$100),"OK","CHECK")</f>
        <v>OK</v>
      </c>
    </row>
    <row r="453" spans="1:23">
      <c r="A453" t="s">
        <v>879</v>
      </c>
      <c r="B453" t="s">
        <v>873</v>
      </c>
      <c r="C453" t="s">
        <v>30</v>
      </c>
      <c r="D453" s="7">
        <v>45953</v>
      </c>
      <c r="E453" t="s">
        <v>31</v>
      </c>
      <c r="F453" t="s">
        <v>41</v>
      </c>
      <c r="G453">
        <v>23</v>
      </c>
      <c r="H453" t="s">
        <v>51</v>
      </c>
      <c r="I453">
        <v>7</v>
      </c>
      <c r="J453">
        <v>12</v>
      </c>
      <c r="K453">
        <v>2</v>
      </c>
      <c r="L453">
        <f t="shared" ref="L453:L516" si="49">IF(I453&lt;=J453,1,0)</f>
        <v>1</v>
      </c>
      <c r="P453">
        <f t="shared" ref="P453:P516" si="50">IF(M453="",IF(AND(L453=1,K453&gt;=1),1,0),M453)</f>
        <v>1</v>
      </c>
      <c r="Q453">
        <f t="shared" ref="Q453:Q516" si="51">IF(N453="",IF(AND(L453=1,K453&gt;=2),1,0),N453)</f>
        <v>1</v>
      </c>
      <c r="R453">
        <f t="shared" ref="R453:R516" si="52">IF(O453="",IF(AND(L453=1,K453&gt;=3),1,0),O453)</f>
        <v>0</v>
      </c>
      <c r="S453">
        <f t="shared" ref="S453:S516" si="53">SUM(P453:R453)</f>
        <v>2</v>
      </c>
      <c r="T453" t="str">
        <f t="shared" ref="T453:T516" si="54">IF(COUNTA(M453:O453)=0,"DerivedFromCount","ManualOverride")</f>
        <v>DerivedFromCount</v>
      </c>
      <c r="U453" t="str">
        <f>IF(COUNTIF(DailyProduction!$Q$5:$Q$100,B453)=1,"OK","CHECK")</f>
        <v>OK</v>
      </c>
      <c r="V453" t="str">
        <f t="shared" ref="V453:V516" si="55">IF(AND(I453&gt;=1,I453&lt;=13,K453&gt;=1,K453&lt;=3),"OK","CHECK")</f>
        <v>OK</v>
      </c>
      <c r="W453" t="str">
        <f>IF(SUMIF($B$5:$B$914,B453,$S$5:$S$914)=SUMIF(DailyProduction!$Q$5:$Q$100,B453,DailyProduction!$R$5:$R$100),"OK","CHECK")</f>
        <v>OK</v>
      </c>
    </row>
    <row r="454" spans="1:23">
      <c r="A454" t="s">
        <v>880</v>
      </c>
      <c r="B454" t="s">
        <v>873</v>
      </c>
      <c r="C454" t="s">
        <v>30</v>
      </c>
      <c r="D454" s="7">
        <v>45953</v>
      </c>
      <c r="E454" t="s">
        <v>31</v>
      </c>
      <c r="F454" t="s">
        <v>41</v>
      </c>
      <c r="G454">
        <v>23</v>
      </c>
      <c r="H454" t="s">
        <v>51</v>
      </c>
      <c r="I454">
        <v>8</v>
      </c>
      <c r="J454">
        <v>12</v>
      </c>
      <c r="K454">
        <v>2</v>
      </c>
      <c r="L454">
        <f t="shared" si="49"/>
        <v>1</v>
      </c>
      <c r="P454">
        <f t="shared" si="50"/>
        <v>1</v>
      </c>
      <c r="Q454">
        <f t="shared" si="51"/>
        <v>1</v>
      </c>
      <c r="R454">
        <f t="shared" si="52"/>
        <v>0</v>
      </c>
      <c r="S454">
        <f t="shared" si="53"/>
        <v>2</v>
      </c>
      <c r="T454" t="str">
        <f t="shared" si="54"/>
        <v>DerivedFromCount</v>
      </c>
      <c r="U454" t="str">
        <f>IF(COUNTIF(DailyProduction!$Q$5:$Q$100,B454)=1,"OK","CHECK")</f>
        <v>OK</v>
      </c>
      <c r="V454" t="str">
        <f t="shared" si="55"/>
        <v>OK</v>
      </c>
      <c r="W454" t="str">
        <f>IF(SUMIF($B$5:$B$914,B454,$S$5:$S$914)=SUMIF(DailyProduction!$Q$5:$Q$100,B454,DailyProduction!$R$5:$R$100),"OK","CHECK")</f>
        <v>OK</v>
      </c>
    </row>
    <row r="455" spans="1:23">
      <c r="A455" t="s">
        <v>881</v>
      </c>
      <c r="B455" t="s">
        <v>873</v>
      </c>
      <c r="C455" t="s">
        <v>30</v>
      </c>
      <c r="D455" s="7">
        <v>45953</v>
      </c>
      <c r="E455" t="s">
        <v>31</v>
      </c>
      <c r="F455" t="s">
        <v>41</v>
      </c>
      <c r="G455">
        <v>23</v>
      </c>
      <c r="H455" t="s">
        <v>51</v>
      </c>
      <c r="I455">
        <v>9</v>
      </c>
      <c r="J455">
        <v>12</v>
      </c>
      <c r="K455">
        <v>2</v>
      </c>
      <c r="L455">
        <f t="shared" si="49"/>
        <v>1</v>
      </c>
      <c r="P455">
        <f t="shared" si="50"/>
        <v>1</v>
      </c>
      <c r="Q455">
        <f t="shared" si="51"/>
        <v>1</v>
      </c>
      <c r="R455">
        <f t="shared" si="52"/>
        <v>0</v>
      </c>
      <c r="S455">
        <f t="shared" si="53"/>
        <v>2</v>
      </c>
      <c r="T455" t="str">
        <f t="shared" si="54"/>
        <v>DerivedFromCount</v>
      </c>
      <c r="U455" t="str">
        <f>IF(COUNTIF(DailyProduction!$Q$5:$Q$100,B455)=1,"OK","CHECK")</f>
        <v>OK</v>
      </c>
      <c r="V455" t="str">
        <f t="shared" si="55"/>
        <v>OK</v>
      </c>
      <c r="W455" t="str">
        <f>IF(SUMIF($B$5:$B$914,B455,$S$5:$S$914)=SUMIF(DailyProduction!$Q$5:$Q$100,B455,DailyProduction!$R$5:$R$100),"OK","CHECK")</f>
        <v>OK</v>
      </c>
    </row>
    <row r="456" spans="1:23">
      <c r="A456" t="s">
        <v>882</v>
      </c>
      <c r="B456" t="s">
        <v>873</v>
      </c>
      <c r="C456" t="s">
        <v>30</v>
      </c>
      <c r="D456" s="7">
        <v>45953</v>
      </c>
      <c r="E456" t="s">
        <v>31</v>
      </c>
      <c r="F456" t="s">
        <v>41</v>
      </c>
      <c r="G456">
        <v>23</v>
      </c>
      <c r="H456" t="s">
        <v>51</v>
      </c>
      <c r="I456">
        <v>10</v>
      </c>
      <c r="J456">
        <v>12</v>
      </c>
      <c r="K456">
        <v>2</v>
      </c>
      <c r="L456">
        <f t="shared" si="49"/>
        <v>1</v>
      </c>
      <c r="P456">
        <f t="shared" si="50"/>
        <v>1</v>
      </c>
      <c r="Q456">
        <f t="shared" si="51"/>
        <v>1</v>
      </c>
      <c r="R456">
        <f t="shared" si="52"/>
        <v>0</v>
      </c>
      <c r="S456">
        <f t="shared" si="53"/>
        <v>2</v>
      </c>
      <c r="T456" t="str">
        <f t="shared" si="54"/>
        <v>DerivedFromCount</v>
      </c>
      <c r="U456" t="str">
        <f>IF(COUNTIF(DailyProduction!$Q$5:$Q$100,B456)=1,"OK","CHECK")</f>
        <v>OK</v>
      </c>
      <c r="V456" t="str">
        <f t="shared" si="55"/>
        <v>OK</v>
      </c>
      <c r="W456" t="str">
        <f>IF(SUMIF($B$5:$B$914,B456,$S$5:$S$914)=SUMIF(DailyProduction!$Q$5:$Q$100,B456,DailyProduction!$R$5:$R$100),"OK","CHECK")</f>
        <v>OK</v>
      </c>
    </row>
    <row r="457" spans="1:23">
      <c r="A457" t="s">
        <v>883</v>
      </c>
      <c r="B457" t="s">
        <v>873</v>
      </c>
      <c r="C457" t="s">
        <v>30</v>
      </c>
      <c r="D457" s="7">
        <v>45953</v>
      </c>
      <c r="E457" t="s">
        <v>31</v>
      </c>
      <c r="F457" t="s">
        <v>41</v>
      </c>
      <c r="G457">
        <v>23</v>
      </c>
      <c r="H457" t="s">
        <v>51</v>
      </c>
      <c r="I457">
        <v>11</v>
      </c>
      <c r="J457">
        <v>12</v>
      </c>
      <c r="K457">
        <v>2</v>
      </c>
      <c r="L457">
        <f t="shared" si="49"/>
        <v>1</v>
      </c>
      <c r="P457">
        <f t="shared" si="50"/>
        <v>1</v>
      </c>
      <c r="Q457">
        <f t="shared" si="51"/>
        <v>1</v>
      </c>
      <c r="R457">
        <f t="shared" si="52"/>
        <v>0</v>
      </c>
      <c r="S457">
        <f t="shared" si="53"/>
        <v>2</v>
      </c>
      <c r="T457" t="str">
        <f t="shared" si="54"/>
        <v>DerivedFromCount</v>
      </c>
      <c r="U457" t="str">
        <f>IF(COUNTIF(DailyProduction!$Q$5:$Q$100,B457)=1,"OK","CHECK")</f>
        <v>OK</v>
      </c>
      <c r="V457" t="str">
        <f t="shared" si="55"/>
        <v>OK</v>
      </c>
      <c r="W457" t="str">
        <f>IF(SUMIF($B$5:$B$914,B457,$S$5:$S$914)=SUMIF(DailyProduction!$Q$5:$Q$100,B457,DailyProduction!$R$5:$R$100),"OK","CHECK")</f>
        <v>OK</v>
      </c>
    </row>
    <row r="458" spans="1:23">
      <c r="A458" t="s">
        <v>884</v>
      </c>
      <c r="B458" t="s">
        <v>873</v>
      </c>
      <c r="C458" t="s">
        <v>30</v>
      </c>
      <c r="D458" s="7">
        <v>45953</v>
      </c>
      <c r="E458" t="s">
        <v>31</v>
      </c>
      <c r="F458" t="s">
        <v>41</v>
      </c>
      <c r="G458">
        <v>23</v>
      </c>
      <c r="H458" t="s">
        <v>51</v>
      </c>
      <c r="I458">
        <v>12</v>
      </c>
      <c r="J458">
        <v>12</v>
      </c>
      <c r="K458">
        <v>2</v>
      </c>
      <c r="L458">
        <f t="shared" si="49"/>
        <v>1</v>
      </c>
      <c r="P458">
        <f t="shared" si="50"/>
        <v>1</v>
      </c>
      <c r="Q458">
        <f t="shared" si="51"/>
        <v>1</v>
      </c>
      <c r="R458">
        <f t="shared" si="52"/>
        <v>0</v>
      </c>
      <c r="S458">
        <f t="shared" si="53"/>
        <v>2</v>
      </c>
      <c r="T458" t="str">
        <f t="shared" si="54"/>
        <v>DerivedFromCount</v>
      </c>
      <c r="U458" t="str">
        <f>IF(COUNTIF(DailyProduction!$Q$5:$Q$100,B458)=1,"OK","CHECK")</f>
        <v>OK</v>
      </c>
      <c r="V458" t="str">
        <f t="shared" si="55"/>
        <v>OK</v>
      </c>
      <c r="W458" t="str">
        <f>IF(SUMIF($B$5:$B$914,B458,$S$5:$S$914)=SUMIF(DailyProduction!$Q$5:$Q$100,B458,DailyProduction!$R$5:$R$100),"OK","CHECK")</f>
        <v>OK</v>
      </c>
    </row>
    <row r="459" spans="1:23">
      <c r="A459" t="s">
        <v>885</v>
      </c>
      <c r="B459" t="s">
        <v>873</v>
      </c>
      <c r="C459" t="s">
        <v>30</v>
      </c>
      <c r="D459" s="7">
        <v>45953</v>
      </c>
      <c r="E459" t="s">
        <v>31</v>
      </c>
      <c r="F459" t="s">
        <v>41</v>
      </c>
      <c r="G459">
        <v>23</v>
      </c>
      <c r="H459" t="s">
        <v>51</v>
      </c>
      <c r="I459">
        <v>13</v>
      </c>
      <c r="J459">
        <v>12</v>
      </c>
      <c r="K459">
        <v>2</v>
      </c>
      <c r="L459">
        <f t="shared" si="49"/>
        <v>0</v>
      </c>
      <c r="P459">
        <f t="shared" si="50"/>
        <v>0</v>
      </c>
      <c r="Q459">
        <f t="shared" si="51"/>
        <v>0</v>
      </c>
      <c r="R459">
        <f t="shared" si="52"/>
        <v>0</v>
      </c>
      <c r="S459">
        <f t="shared" si="53"/>
        <v>0</v>
      </c>
      <c r="T459" t="str">
        <f t="shared" si="54"/>
        <v>DerivedFromCount</v>
      </c>
      <c r="U459" t="str">
        <f>IF(COUNTIF(DailyProduction!$Q$5:$Q$100,B459)=1,"OK","CHECK")</f>
        <v>OK</v>
      </c>
      <c r="V459" t="str">
        <f t="shared" si="55"/>
        <v>OK</v>
      </c>
      <c r="W459" t="str">
        <f>IF(SUMIF($B$5:$B$914,B459,$S$5:$S$914)=SUMIF(DailyProduction!$Q$5:$Q$100,B459,DailyProduction!$R$5:$R$100),"OK","CHECK")</f>
        <v>OK</v>
      </c>
    </row>
    <row r="460" spans="1:23">
      <c r="A460" t="s">
        <v>886</v>
      </c>
      <c r="B460" t="s">
        <v>887</v>
      </c>
      <c r="C460" t="s">
        <v>30</v>
      </c>
      <c r="D460" s="7">
        <v>45953</v>
      </c>
      <c r="E460" t="s">
        <v>79</v>
      </c>
      <c r="F460" t="s">
        <v>32</v>
      </c>
      <c r="G460">
        <v>23</v>
      </c>
      <c r="H460" t="s">
        <v>51</v>
      </c>
      <c r="I460">
        <v>1</v>
      </c>
      <c r="J460">
        <v>12</v>
      </c>
      <c r="K460">
        <v>2</v>
      </c>
      <c r="L460">
        <f t="shared" si="49"/>
        <v>1</v>
      </c>
      <c r="P460">
        <f t="shared" si="50"/>
        <v>1</v>
      </c>
      <c r="Q460">
        <f t="shared" si="51"/>
        <v>1</v>
      </c>
      <c r="R460">
        <f t="shared" si="52"/>
        <v>0</v>
      </c>
      <c r="S460">
        <f t="shared" si="53"/>
        <v>2</v>
      </c>
      <c r="T460" t="str">
        <f t="shared" si="54"/>
        <v>DerivedFromCount</v>
      </c>
      <c r="U460" t="str">
        <f>IF(COUNTIF(DailyProduction!$Q$5:$Q$100,B460)=1,"OK","CHECK")</f>
        <v>OK</v>
      </c>
      <c r="V460" t="str">
        <f t="shared" si="55"/>
        <v>OK</v>
      </c>
      <c r="W460" t="str">
        <f>IF(SUMIF($B$5:$B$914,B460,$S$5:$S$914)=SUMIF(DailyProduction!$Q$5:$Q$100,B460,DailyProduction!$R$5:$R$100),"OK","CHECK")</f>
        <v>OK</v>
      </c>
    </row>
    <row r="461" spans="1:23">
      <c r="A461" t="s">
        <v>888</v>
      </c>
      <c r="B461" t="s">
        <v>887</v>
      </c>
      <c r="C461" t="s">
        <v>30</v>
      </c>
      <c r="D461" s="7">
        <v>45953</v>
      </c>
      <c r="E461" t="s">
        <v>79</v>
      </c>
      <c r="F461" t="s">
        <v>32</v>
      </c>
      <c r="G461">
        <v>23</v>
      </c>
      <c r="H461" t="s">
        <v>51</v>
      </c>
      <c r="I461">
        <v>2</v>
      </c>
      <c r="J461">
        <v>12</v>
      </c>
      <c r="K461">
        <v>2</v>
      </c>
      <c r="L461">
        <f t="shared" si="49"/>
        <v>1</v>
      </c>
      <c r="P461">
        <f t="shared" si="50"/>
        <v>1</v>
      </c>
      <c r="Q461">
        <f t="shared" si="51"/>
        <v>1</v>
      </c>
      <c r="R461">
        <f t="shared" si="52"/>
        <v>0</v>
      </c>
      <c r="S461">
        <f t="shared" si="53"/>
        <v>2</v>
      </c>
      <c r="T461" t="str">
        <f t="shared" si="54"/>
        <v>DerivedFromCount</v>
      </c>
      <c r="U461" t="str">
        <f>IF(COUNTIF(DailyProduction!$Q$5:$Q$100,B461)=1,"OK","CHECK")</f>
        <v>OK</v>
      </c>
      <c r="V461" t="str">
        <f t="shared" si="55"/>
        <v>OK</v>
      </c>
      <c r="W461" t="str">
        <f>IF(SUMIF($B$5:$B$914,B461,$S$5:$S$914)=SUMIF(DailyProduction!$Q$5:$Q$100,B461,DailyProduction!$R$5:$R$100),"OK","CHECK")</f>
        <v>OK</v>
      </c>
    </row>
    <row r="462" spans="1:23">
      <c r="A462" t="s">
        <v>889</v>
      </c>
      <c r="B462" t="s">
        <v>887</v>
      </c>
      <c r="C462" t="s">
        <v>30</v>
      </c>
      <c r="D462" s="7">
        <v>45953</v>
      </c>
      <c r="E462" t="s">
        <v>79</v>
      </c>
      <c r="F462" t="s">
        <v>32</v>
      </c>
      <c r="G462">
        <v>23</v>
      </c>
      <c r="H462" t="s">
        <v>51</v>
      </c>
      <c r="I462">
        <v>3</v>
      </c>
      <c r="J462">
        <v>12</v>
      </c>
      <c r="K462">
        <v>2</v>
      </c>
      <c r="L462">
        <f t="shared" si="49"/>
        <v>1</v>
      </c>
      <c r="P462">
        <f t="shared" si="50"/>
        <v>1</v>
      </c>
      <c r="Q462">
        <f t="shared" si="51"/>
        <v>1</v>
      </c>
      <c r="R462">
        <f t="shared" si="52"/>
        <v>0</v>
      </c>
      <c r="S462">
        <f t="shared" si="53"/>
        <v>2</v>
      </c>
      <c r="T462" t="str">
        <f t="shared" si="54"/>
        <v>DerivedFromCount</v>
      </c>
      <c r="U462" t="str">
        <f>IF(COUNTIF(DailyProduction!$Q$5:$Q$100,B462)=1,"OK","CHECK")</f>
        <v>OK</v>
      </c>
      <c r="V462" t="str">
        <f t="shared" si="55"/>
        <v>OK</v>
      </c>
      <c r="W462" t="str">
        <f>IF(SUMIF($B$5:$B$914,B462,$S$5:$S$914)=SUMIF(DailyProduction!$Q$5:$Q$100,B462,DailyProduction!$R$5:$R$100),"OK","CHECK")</f>
        <v>OK</v>
      </c>
    </row>
    <row r="463" spans="1:23">
      <c r="A463" t="s">
        <v>890</v>
      </c>
      <c r="B463" t="s">
        <v>887</v>
      </c>
      <c r="C463" t="s">
        <v>30</v>
      </c>
      <c r="D463" s="7">
        <v>45953</v>
      </c>
      <c r="E463" t="s">
        <v>79</v>
      </c>
      <c r="F463" t="s">
        <v>32</v>
      </c>
      <c r="G463">
        <v>23</v>
      </c>
      <c r="H463" t="s">
        <v>51</v>
      </c>
      <c r="I463">
        <v>4</v>
      </c>
      <c r="J463">
        <v>12</v>
      </c>
      <c r="K463">
        <v>2</v>
      </c>
      <c r="L463">
        <f t="shared" si="49"/>
        <v>1</v>
      </c>
      <c r="P463">
        <f t="shared" si="50"/>
        <v>1</v>
      </c>
      <c r="Q463">
        <f t="shared" si="51"/>
        <v>1</v>
      </c>
      <c r="R463">
        <f t="shared" si="52"/>
        <v>0</v>
      </c>
      <c r="S463">
        <f t="shared" si="53"/>
        <v>2</v>
      </c>
      <c r="T463" t="str">
        <f t="shared" si="54"/>
        <v>DerivedFromCount</v>
      </c>
      <c r="U463" t="str">
        <f>IF(COUNTIF(DailyProduction!$Q$5:$Q$100,B463)=1,"OK","CHECK")</f>
        <v>OK</v>
      </c>
      <c r="V463" t="str">
        <f t="shared" si="55"/>
        <v>OK</v>
      </c>
      <c r="W463" t="str">
        <f>IF(SUMIF($B$5:$B$914,B463,$S$5:$S$914)=SUMIF(DailyProduction!$Q$5:$Q$100,B463,DailyProduction!$R$5:$R$100),"OK","CHECK")</f>
        <v>OK</v>
      </c>
    </row>
    <row r="464" spans="1:23">
      <c r="A464" t="s">
        <v>891</v>
      </c>
      <c r="B464" t="s">
        <v>887</v>
      </c>
      <c r="C464" t="s">
        <v>30</v>
      </c>
      <c r="D464" s="7">
        <v>45953</v>
      </c>
      <c r="E464" t="s">
        <v>79</v>
      </c>
      <c r="F464" t="s">
        <v>32</v>
      </c>
      <c r="G464">
        <v>23</v>
      </c>
      <c r="H464" t="s">
        <v>51</v>
      </c>
      <c r="I464">
        <v>5</v>
      </c>
      <c r="J464">
        <v>12</v>
      </c>
      <c r="K464">
        <v>2</v>
      </c>
      <c r="L464">
        <f t="shared" si="49"/>
        <v>1</v>
      </c>
      <c r="P464">
        <f t="shared" si="50"/>
        <v>1</v>
      </c>
      <c r="Q464">
        <f t="shared" si="51"/>
        <v>1</v>
      </c>
      <c r="R464">
        <f t="shared" si="52"/>
        <v>0</v>
      </c>
      <c r="S464">
        <f t="shared" si="53"/>
        <v>2</v>
      </c>
      <c r="T464" t="str">
        <f t="shared" si="54"/>
        <v>DerivedFromCount</v>
      </c>
      <c r="U464" t="str">
        <f>IF(COUNTIF(DailyProduction!$Q$5:$Q$100,B464)=1,"OK","CHECK")</f>
        <v>OK</v>
      </c>
      <c r="V464" t="str">
        <f t="shared" si="55"/>
        <v>OK</v>
      </c>
      <c r="W464" t="str">
        <f>IF(SUMIF($B$5:$B$914,B464,$S$5:$S$914)=SUMIF(DailyProduction!$Q$5:$Q$100,B464,DailyProduction!$R$5:$R$100),"OK","CHECK")</f>
        <v>OK</v>
      </c>
    </row>
    <row r="465" spans="1:23">
      <c r="A465" t="s">
        <v>892</v>
      </c>
      <c r="B465" t="s">
        <v>887</v>
      </c>
      <c r="C465" t="s">
        <v>30</v>
      </c>
      <c r="D465" s="7">
        <v>45953</v>
      </c>
      <c r="E465" t="s">
        <v>79</v>
      </c>
      <c r="F465" t="s">
        <v>32</v>
      </c>
      <c r="G465">
        <v>23</v>
      </c>
      <c r="H465" t="s">
        <v>51</v>
      </c>
      <c r="I465">
        <v>6</v>
      </c>
      <c r="J465">
        <v>12</v>
      </c>
      <c r="K465">
        <v>2</v>
      </c>
      <c r="L465">
        <f t="shared" si="49"/>
        <v>1</v>
      </c>
      <c r="P465">
        <f t="shared" si="50"/>
        <v>1</v>
      </c>
      <c r="Q465">
        <f t="shared" si="51"/>
        <v>1</v>
      </c>
      <c r="R465">
        <f t="shared" si="52"/>
        <v>0</v>
      </c>
      <c r="S465">
        <f t="shared" si="53"/>
        <v>2</v>
      </c>
      <c r="T465" t="str">
        <f t="shared" si="54"/>
        <v>DerivedFromCount</v>
      </c>
      <c r="U465" t="str">
        <f>IF(COUNTIF(DailyProduction!$Q$5:$Q$100,B465)=1,"OK","CHECK")</f>
        <v>OK</v>
      </c>
      <c r="V465" t="str">
        <f t="shared" si="55"/>
        <v>OK</v>
      </c>
      <c r="W465" t="str">
        <f>IF(SUMIF($B$5:$B$914,B465,$S$5:$S$914)=SUMIF(DailyProduction!$Q$5:$Q$100,B465,DailyProduction!$R$5:$R$100),"OK","CHECK")</f>
        <v>OK</v>
      </c>
    </row>
    <row r="466" spans="1:23">
      <c r="A466" t="s">
        <v>893</v>
      </c>
      <c r="B466" t="s">
        <v>887</v>
      </c>
      <c r="C466" t="s">
        <v>30</v>
      </c>
      <c r="D466" s="7">
        <v>45953</v>
      </c>
      <c r="E466" t="s">
        <v>79</v>
      </c>
      <c r="F466" t="s">
        <v>32</v>
      </c>
      <c r="G466">
        <v>23</v>
      </c>
      <c r="H466" t="s">
        <v>51</v>
      </c>
      <c r="I466">
        <v>7</v>
      </c>
      <c r="J466">
        <v>12</v>
      </c>
      <c r="K466">
        <v>2</v>
      </c>
      <c r="L466">
        <f t="shared" si="49"/>
        <v>1</v>
      </c>
      <c r="P466">
        <f t="shared" si="50"/>
        <v>1</v>
      </c>
      <c r="Q466">
        <f t="shared" si="51"/>
        <v>1</v>
      </c>
      <c r="R466">
        <f t="shared" si="52"/>
        <v>0</v>
      </c>
      <c r="S466">
        <f t="shared" si="53"/>
        <v>2</v>
      </c>
      <c r="T466" t="str">
        <f t="shared" si="54"/>
        <v>DerivedFromCount</v>
      </c>
      <c r="U466" t="str">
        <f>IF(COUNTIF(DailyProduction!$Q$5:$Q$100,B466)=1,"OK","CHECK")</f>
        <v>OK</v>
      </c>
      <c r="V466" t="str">
        <f t="shared" si="55"/>
        <v>OK</v>
      </c>
      <c r="W466" t="str">
        <f>IF(SUMIF($B$5:$B$914,B466,$S$5:$S$914)=SUMIF(DailyProduction!$Q$5:$Q$100,B466,DailyProduction!$R$5:$R$100),"OK","CHECK")</f>
        <v>OK</v>
      </c>
    </row>
    <row r="467" spans="1:23">
      <c r="A467" t="s">
        <v>894</v>
      </c>
      <c r="B467" t="s">
        <v>887</v>
      </c>
      <c r="C467" t="s">
        <v>30</v>
      </c>
      <c r="D467" s="7">
        <v>45953</v>
      </c>
      <c r="E467" t="s">
        <v>79</v>
      </c>
      <c r="F467" t="s">
        <v>32</v>
      </c>
      <c r="G467">
        <v>23</v>
      </c>
      <c r="H467" t="s">
        <v>51</v>
      </c>
      <c r="I467">
        <v>8</v>
      </c>
      <c r="J467">
        <v>12</v>
      </c>
      <c r="K467">
        <v>2</v>
      </c>
      <c r="L467">
        <f t="shared" si="49"/>
        <v>1</v>
      </c>
      <c r="P467">
        <f t="shared" si="50"/>
        <v>1</v>
      </c>
      <c r="Q467">
        <f t="shared" si="51"/>
        <v>1</v>
      </c>
      <c r="R467">
        <f t="shared" si="52"/>
        <v>0</v>
      </c>
      <c r="S467">
        <f t="shared" si="53"/>
        <v>2</v>
      </c>
      <c r="T467" t="str">
        <f t="shared" si="54"/>
        <v>DerivedFromCount</v>
      </c>
      <c r="U467" t="str">
        <f>IF(COUNTIF(DailyProduction!$Q$5:$Q$100,B467)=1,"OK","CHECK")</f>
        <v>OK</v>
      </c>
      <c r="V467" t="str">
        <f t="shared" si="55"/>
        <v>OK</v>
      </c>
      <c r="W467" t="str">
        <f>IF(SUMIF($B$5:$B$914,B467,$S$5:$S$914)=SUMIF(DailyProduction!$Q$5:$Q$100,B467,DailyProduction!$R$5:$R$100),"OK","CHECK")</f>
        <v>OK</v>
      </c>
    </row>
    <row r="468" spans="1:23">
      <c r="A468" t="s">
        <v>895</v>
      </c>
      <c r="B468" t="s">
        <v>887</v>
      </c>
      <c r="C468" t="s">
        <v>30</v>
      </c>
      <c r="D468" s="7">
        <v>45953</v>
      </c>
      <c r="E468" t="s">
        <v>79</v>
      </c>
      <c r="F468" t="s">
        <v>32</v>
      </c>
      <c r="G468">
        <v>23</v>
      </c>
      <c r="H468" t="s">
        <v>51</v>
      </c>
      <c r="I468">
        <v>9</v>
      </c>
      <c r="J468">
        <v>12</v>
      </c>
      <c r="K468">
        <v>2</v>
      </c>
      <c r="L468">
        <f t="shared" si="49"/>
        <v>1</v>
      </c>
      <c r="P468">
        <f t="shared" si="50"/>
        <v>1</v>
      </c>
      <c r="Q468">
        <f t="shared" si="51"/>
        <v>1</v>
      </c>
      <c r="R468">
        <f t="shared" si="52"/>
        <v>0</v>
      </c>
      <c r="S468">
        <f t="shared" si="53"/>
        <v>2</v>
      </c>
      <c r="T468" t="str">
        <f t="shared" si="54"/>
        <v>DerivedFromCount</v>
      </c>
      <c r="U468" t="str">
        <f>IF(COUNTIF(DailyProduction!$Q$5:$Q$100,B468)=1,"OK","CHECK")</f>
        <v>OK</v>
      </c>
      <c r="V468" t="str">
        <f t="shared" si="55"/>
        <v>OK</v>
      </c>
      <c r="W468" t="str">
        <f>IF(SUMIF($B$5:$B$914,B468,$S$5:$S$914)=SUMIF(DailyProduction!$Q$5:$Q$100,B468,DailyProduction!$R$5:$R$100),"OK","CHECK")</f>
        <v>OK</v>
      </c>
    </row>
    <row r="469" spans="1:23">
      <c r="A469" t="s">
        <v>896</v>
      </c>
      <c r="B469" t="s">
        <v>887</v>
      </c>
      <c r="C469" t="s">
        <v>30</v>
      </c>
      <c r="D469" s="7">
        <v>45953</v>
      </c>
      <c r="E469" t="s">
        <v>79</v>
      </c>
      <c r="F469" t="s">
        <v>32</v>
      </c>
      <c r="G469">
        <v>23</v>
      </c>
      <c r="H469" t="s">
        <v>51</v>
      </c>
      <c r="I469">
        <v>10</v>
      </c>
      <c r="J469">
        <v>12</v>
      </c>
      <c r="K469">
        <v>2</v>
      </c>
      <c r="L469">
        <f t="shared" si="49"/>
        <v>1</v>
      </c>
      <c r="P469">
        <f t="shared" si="50"/>
        <v>1</v>
      </c>
      <c r="Q469">
        <f t="shared" si="51"/>
        <v>1</v>
      </c>
      <c r="R469">
        <f t="shared" si="52"/>
        <v>0</v>
      </c>
      <c r="S469">
        <f t="shared" si="53"/>
        <v>2</v>
      </c>
      <c r="T469" t="str">
        <f t="shared" si="54"/>
        <v>DerivedFromCount</v>
      </c>
      <c r="U469" t="str">
        <f>IF(COUNTIF(DailyProduction!$Q$5:$Q$100,B469)=1,"OK","CHECK")</f>
        <v>OK</v>
      </c>
      <c r="V469" t="str">
        <f t="shared" si="55"/>
        <v>OK</v>
      </c>
      <c r="W469" t="str">
        <f>IF(SUMIF($B$5:$B$914,B469,$S$5:$S$914)=SUMIF(DailyProduction!$Q$5:$Q$100,B469,DailyProduction!$R$5:$R$100),"OK","CHECK")</f>
        <v>OK</v>
      </c>
    </row>
    <row r="470" spans="1:23">
      <c r="A470" t="s">
        <v>897</v>
      </c>
      <c r="B470" t="s">
        <v>887</v>
      </c>
      <c r="C470" t="s">
        <v>30</v>
      </c>
      <c r="D470" s="7">
        <v>45953</v>
      </c>
      <c r="E470" t="s">
        <v>79</v>
      </c>
      <c r="F470" t="s">
        <v>32</v>
      </c>
      <c r="G470">
        <v>23</v>
      </c>
      <c r="H470" t="s">
        <v>51</v>
      </c>
      <c r="I470">
        <v>11</v>
      </c>
      <c r="J470">
        <v>12</v>
      </c>
      <c r="K470">
        <v>2</v>
      </c>
      <c r="L470">
        <f t="shared" si="49"/>
        <v>1</v>
      </c>
      <c r="P470">
        <f t="shared" si="50"/>
        <v>1</v>
      </c>
      <c r="Q470">
        <f t="shared" si="51"/>
        <v>1</v>
      </c>
      <c r="R470">
        <f t="shared" si="52"/>
        <v>0</v>
      </c>
      <c r="S470">
        <f t="shared" si="53"/>
        <v>2</v>
      </c>
      <c r="T470" t="str">
        <f t="shared" si="54"/>
        <v>DerivedFromCount</v>
      </c>
      <c r="U470" t="str">
        <f>IF(COUNTIF(DailyProduction!$Q$5:$Q$100,B470)=1,"OK","CHECK")</f>
        <v>OK</v>
      </c>
      <c r="V470" t="str">
        <f t="shared" si="55"/>
        <v>OK</v>
      </c>
      <c r="W470" t="str">
        <f>IF(SUMIF($B$5:$B$914,B470,$S$5:$S$914)=SUMIF(DailyProduction!$Q$5:$Q$100,B470,DailyProduction!$R$5:$R$100),"OK","CHECK")</f>
        <v>OK</v>
      </c>
    </row>
    <row r="471" spans="1:23">
      <c r="A471" t="s">
        <v>898</v>
      </c>
      <c r="B471" t="s">
        <v>887</v>
      </c>
      <c r="C471" t="s">
        <v>30</v>
      </c>
      <c r="D471" s="7">
        <v>45953</v>
      </c>
      <c r="E471" t="s">
        <v>79</v>
      </c>
      <c r="F471" t="s">
        <v>32</v>
      </c>
      <c r="G471">
        <v>23</v>
      </c>
      <c r="H471" t="s">
        <v>51</v>
      </c>
      <c r="I471">
        <v>12</v>
      </c>
      <c r="J471">
        <v>12</v>
      </c>
      <c r="K471">
        <v>2</v>
      </c>
      <c r="L471">
        <f t="shared" si="49"/>
        <v>1</v>
      </c>
      <c r="P471">
        <f t="shared" si="50"/>
        <v>1</v>
      </c>
      <c r="Q471">
        <f t="shared" si="51"/>
        <v>1</v>
      </c>
      <c r="R471">
        <f t="shared" si="52"/>
        <v>0</v>
      </c>
      <c r="S471">
        <f t="shared" si="53"/>
        <v>2</v>
      </c>
      <c r="T471" t="str">
        <f t="shared" si="54"/>
        <v>DerivedFromCount</v>
      </c>
      <c r="U471" t="str">
        <f>IF(COUNTIF(DailyProduction!$Q$5:$Q$100,B471)=1,"OK","CHECK")</f>
        <v>OK</v>
      </c>
      <c r="V471" t="str">
        <f t="shared" si="55"/>
        <v>OK</v>
      </c>
      <c r="W471" t="str">
        <f>IF(SUMIF($B$5:$B$914,B471,$S$5:$S$914)=SUMIF(DailyProduction!$Q$5:$Q$100,B471,DailyProduction!$R$5:$R$100),"OK","CHECK")</f>
        <v>OK</v>
      </c>
    </row>
    <row r="472" spans="1:23">
      <c r="A472" t="s">
        <v>899</v>
      </c>
      <c r="B472" t="s">
        <v>887</v>
      </c>
      <c r="C472" t="s">
        <v>30</v>
      </c>
      <c r="D472" s="7">
        <v>45953</v>
      </c>
      <c r="E472" t="s">
        <v>79</v>
      </c>
      <c r="F472" t="s">
        <v>32</v>
      </c>
      <c r="G472">
        <v>23</v>
      </c>
      <c r="H472" t="s">
        <v>51</v>
      </c>
      <c r="I472">
        <v>13</v>
      </c>
      <c r="J472">
        <v>12</v>
      </c>
      <c r="K472">
        <v>2</v>
      </c>
      <c r="L472">
        <f t="shared" si="49"/>
        <v>0</v>
      </c>
      <c r="P472">
        <f t="shared" si="50"/>
        <v>0</v>
      </c>
      <c r="Q472">
        <f t="shared" si="51"/>
        <v>0</v>
      </c>
      <c r="R472">
        <f t="shared" si="52"/>
        <v>0</v>
      </c>
      <c r="S472">
        <f t="shared" si="53"/>
        <v>0</v>
      </c>
      <c r="T472" t="str">
        <f t="shared" si="54"/>
        <v>DerivedFromCount</v>
      </c>
      <c r="U472" t="str">
        <f>IF(COUNTIF(DailyProduction!$Q$5:$Q$100,B472)=1,"OK","CHECK")</f>
        <v>OK</v>
      </c>
      <c r="V472" t="str">
        <f t="shared" si="55"/>
        <v>OK</v>
      </c>
      <c r="W472" t="str">
        <f>IF(SUMIF($B$5:$B$914,B472,$S$5:$S$914)=SUMIF(DailyProduction!$Q$5:$Q$100,B472,DailyProduction!$R$5:$R$100),"OK","CHECK")</f>
        <v>OK</v>
      </c>
    </row>
    <row r="473" spans="1:23">
      <c r="A473" t="s">
        <v>900</v>
      </c>
      <c r="B473" t="s">
        <v>901</v>
      </c>
      <c r="C473" t="s">
        <v>30</v>
      </c>
      <c r="D473" s="7">
        <v>45954</v>
      </c>
      <c r="E473" t="s">
        <v>31</v>
      </c>
      <c r="F473" t="s">
        <v>32</v>
      </c>
      <c r="G473">
        <v>23</v>
      </c>
      <c r="H473" t="s">
        <v>51</v>
      </c>
      <c r="I473">
        <v>1</v>
      </c>
      <c r="J473">
        <v>12</v>
      </c>
      <c r="K473">
        <v>2</v>
      </c>
      <c r="L473">
        <f t="shared" si="49"/>
        <v>1</v>
      </c>
      <c r="P473">
        <f t="shared" si="50"/>
        <v>1</v>
      </c>
      <c r="Q473">
        <f t="shared" si="51"/>
        <v>1</v>
      </c>
      <c r="R473">
        <f t="shared" si="52"/>
        <v>0</v>
      </c>
      <c r="S473">
        <f t="shared" si="53"/>
        <v>2</v>
      </c>
      <c r="T473" t="str">
        <f t="shared" si="54"/>
        <v>DerivedFromCount</v>
      </c>
      <c r="U473" t="str">
        <f>IF(COUNTIF(DailyProduction!$Q$5:$Q$100,B473)=1,"OK","CHECK")</f>
        <v>OK</v>
      </c>
      <c r="V473" t="str">
        <f t="shared" si="55"/>
        <v>OK</v>
      </c>
      <c r="W473" t="str">
        <f>IF(SUMIF($B$5:$B$914,B473,$S$5:$S$914)=SUMIF(DailyProduction!$Q$5:$Q$100,B473,DailyProduction!$R$5:$R$100),"OK","CHECK")</f>
        <v>OK</v>
      </c>
    </row>
    <row r="474" spans="1:23">
      <c r="A474" t="s">
        <v>902</v>
      </c>
      <c r="B474" t="s">
        <v>901</v>
      </c>
      <c r="C474" t="s">
        <v>30</v>
      </c>
      <c r="D474" s="7">
        <v>45954</v>
      </c>
      <c r="E474" t="s">
        <v>31</v>
      </c>
      <c r="F474" t="s">
        <v>32</v>
      </c>
      <c r="G474">
        <v>23</v>
      </c>
      <c r="H474" t="s">
        <v>51</v>
      </c>
      <c r="I474">
        <v>2</v>
      </c>
      <c r="J474">
        <v>12</v>
      </c>
      <c r="K474">
        <v>2</v>
      </c>
      <c r="L474">
        <f t="shared" si="49"/>
        <v>1</v>
      </c>
      <c r="P474">
        <f t="shared" si="50"/>
        <v>1</v>
      </c>
      <c r="Q474">
        <f t="shared" si="51"/>
        <v>1</v>
      </c>
      <c r="R474">
        <f t="shared" si="52"/>
        <v>0</v>
      </c>
      <c r="S474">
        <f t="shared" si="53"/>
        <v>2</v>
      </c>
      <c r="T474" t="str">
        <f t="shared" si="54"/>
        <v>DerivedFromCount</v>
      </c>
      <c r="U474" t="str">
        <f>IF(COUNTIF(DailyProduction!$Q$5:$Q$100,B474)=1,"OK","CHECK")</f>
        <v>OK</v>
      </c>
      <c r="V474" t="str">
        <f t="shared" si="55"/>
        <v>OK</v>
      </c>
      <c r="W474" t="str">
        <f>IF(SUMIF($B$5:$B$914,B474,$S$5:$S$914)=SUMIF(DailyProduction!$Q$5:$Q$100,B474,DailyProduction!$R$5:$R$100),"OK","CHECK")</f>
        <v>OK</v>
      </c>
    </row>
    <row r="475" spans="1:23">
      <c r="A475" t="s">
        <v>903</v>
      </c>
      <c r="B475" t="s">
        <v>901</v>
      </c>
      <c r="C475" t="s">
        <v>30</v>
      </c>
      <c r="D475" s="7">
        <v>45954</v>
      </c>
      <c r="E475" t="s">
        <v>31</v>
      </c>
      <c r="F475" t="s">
        <v>32</v>
      </c>
      <c r="G475">
        <v>23</v>
      </c>
      <c r="H475" t="s">
        <v>51</v>
      </c>
      <c r="I475">
        <v>3</v>
      </c>
      <c r="J475">
        <v>12</v>
      </c>
      <c r="K475">
        <v>2</v>
      </c>
      <c r="L475">
        <f t="shared" si="49"/>
        <v>1</v>
      </c>
      <c r="P475">
        <f t="shared" si="50"/>
        <v>1</v>
      </c>
      <c r="Q475">
        <f t="shared" si="51"/>
        <v>1</v>
      </c>
      <c r="R475">
        <f t="shared" si="52"/>
        <v>0</v>
      </c>
      <c r="S475">
        <f t="shared" si="53"/>
        <v>2</v>
      </c>
      <c r="T475" t="str">
        <f t="shared" si="54"/>
        <v>DerivedFromCount</v>
      </c>
      <c r="U475" t="str">
        <f>IF(COUNTIF(DailyProduction!$Q$5:$Q$100,B475)=1,"OK","CHECK")</f>
        <v>OK</v>
      </c>
      <c r="V475" t="str">
        <f t="shared" si="55"/>
        <v>OK</v>
      </c>
      <c r="W475" t="str">
        <f>IF(SUMIF($B$5:$B$914,B475,$S$5:$S$914)=SUMIF(DailyProduction!$Q$5:$Q$100,B475,DailyProduction!$R$5:$R$100),"OK","CHECK")</f>
        <v>OK</v>
      </c>
    </row>
    <row r="476" spans="1:23">
      <c r="A476" t="s">
        <v>904</v>
      </c>
      <c r="B476" t="s">
        <v>901</v>
      </c>
      <c r="C476" t="s">
        <v>30</v>
      </c>
      <c r="D476" s="7">
        <v>45954</v>
      </c>
      <c r="E476" t="s">
        <v>31</v>
      </c>
      <c r="F476" t="s">
        <v>32</v>
      </c>
      <c r="G476">
        <v>23</v>
      </c>
      <c r="H476" t="s">
        <v>51</v>
      </c>
      <c r="I476">
        <v>4</v>
      </c>
      <c r="J476">
        <v>12</v>
      </c>
      <c r="K476">
        <v>2</v>
      </c>
      <c r="L476">
        <f t="shared" si="49"/>
        <v>1</v>
      </c>
      <c r="P476">
        <f t="shared" si="50"/>
        <v>1</v>
      </c>
      <c r="Q476">
        <f t="shared" si="51"/>
        <v>1</v>
      </c>
      <c r="R476">
        <f t="shared" si="52"/>
        <v>0</v>
      </c>
      <c r="S476">
        <f t="shared" si="53"/>
        <v>2</v>
      </c>
      <c r="T476" t="str">
        <f t="shared" si="54"/>
        <v>DerivedFromCount</v>
      </c>
      <c r="U476" t="str">
        <f>IF(COUNTIF(DailyProduction!$Q$5:$Q$100,B476)=1,"OK","CHECK")</f>
        <v>OK</v>
      </c>
      <c r="V476" t="str">
        <f t="shared" si="55"/>
        <v>OK</v>
      </c>
      <c r="W476" t="str">
        <f>IF(SUMIF($B$5:$B$914,B476,$S$5:$S$914)=SUMIF(DailyProduction!$Q$5:$Q$100,B476,DailyProduction!$R$5:$R$100),"OK","CHECK")</f>
        <v>OK</v>
      </c>
    </row>
    <row r="477" spans="1:23">
      <c r="A477" t="s">
        <v>905</v>
      </c>
      <c r="B477" t="s">
        <v>901</v>
      </c>
      <c r="C477" t="s">
        <v>30</v>
      </c>
      <c r="D477" s="7">
        <v>45954</v>
      </c>
      <c r="E477" t="s">
        <v>31</v>
      </c>
      <c r="F477" t="s">
        <v>32</v>
      </c>
      <c r="G477">
        <v>23</v>
      </c>
      <c r="H477" t="s">
        <v>51</v>
      </c>
      <c r="I477">
        <v>5</v>
      </c>
      <c r="J477">
        <v>12</v>
      </c>
      <c r="K477">
        <v>2</v>
      </c>
      <c r="L477">
        <f t="shared" si="49"/>
        <v>1</v>
      </c>
      <c r="P477">
        <f t="shared" si="50"/>
        <v>1</v>
      </c>
      <c r="Q477">
        <f t="shared" si="51"/>
        <v>1</v>
      </c>
      <c r="R477">
        <f t="shared" si="52"/>
        <v>0</v>
      </c>
      <c r="S477">
        <f t="shared" si="53"/>
        <v>2</v>
      </c>
      <c r="T477" t="str">
        <f t="shared" si="54"/>
        <v>DerivedFromCount</v>
      </c>
      <c r="U477" t="str">
        <f>IF(COUNTIF(DailyProduction!$Q$5:$Q$100,B477)=1,"OK","CHECK")</f>
        <v>OK</v>
      </c>
      <c r="V477" t="str">
        <f t="shared" si="55"/>
        <v>OK</v>
      </c>
      <c r="W477" t="str">
        <f>IF(SUMIF($B$5:$B$914,B477,$S$5:$S$914)=SUMIF(DailyProduction!$Q$5:$Q$100,B477,DailyProduction!$R$5:$R$100),"OK","CHECK")</f>
        <v>OK</v>
      </c>
    </row>
    <row r="478" spans="1:23">
      <c r="A478" t="s">
        <v>906</v>
      </c>
      <c r="B478" t="s">
        <v>901</v>
      </c>
      <c r="C478" t="s">
        <v>30</v>
      </c>
      <c r="D478" s="7">
        <v>45954</v>
      </c>
      <c r="E478" t="s">
        <v>31</v>
      </c>
      <c r="F478" t="s">
        <v>32</v>
      </c>
      <c r="G478">
        <v>23</v>
      </c>
      <c r="H478" t="s">
        <v>51</v>
      </c>
      <c r="I478">
        <v>6</v>
      </c>
      <c r="J478">
        <v>12</v>
      </c>
      <c r="K478">
        <v>2</v>
      </c>
      <c r="L478">
        <f t="shared" si="49"/>
        <v>1</v>
      </c>
      <c r="P478">
        <f t="shared" si="50"/>
        <v>1</v>
      </c>
      <c r="Q478">
        <f t="shared" si="51"/>
        <v>1</v>
      </c>
      <c r="R478">
        <f t="shared" si="52"/>
        <v>0</v>
      </c>
      <c r="S478">
        <f t="shared" si="53"/>
        <v>2</v>
      </c>
      <c r="T478" t="str">
        <f t="shared" si="54"/>
        <v>DerivedFromCount</v>
      </c>
      <c r="U478" t="str">
        <f>IF(COUNTIF(DailyProduction!$Q$5:$Q$100,B478)=1,"OK","CHECK")</f>
        <v>OK</v>
      </c>
      <c r="V478" t="str">
        <f t="shared" si="55"/>
        <v>OK</v>
      </c>
      <c r="W478" t="str">
        <f>IF(SUMIF($B$5:$B$914,B478,$S$5:$S$914)=SUMIF(DailyProduction!$Q$5:$Q$100,B478,DailyProduction!$R$5:$R$100),"OK","CHECK")</f>
        <v>OK</v>
      </c>
    </row>
    <row r="479" spans="1:23">
      <c r="A479" t="s">
        <v>907</v>
      </c>
      <c r="B479" t="s">
        <v>901</v>
      </c>
      <c r="C479" t="s">
        <v>30</v>
      </c>
      <c r="D479" s="7">
        <v>45954</v>
      </c>
      <c r="E479" t="s">
        <v>31</v>
      </c>
      <c r="F479" t="s">
        <v>32</v>
      </c>
      <c r="G479">
        <v>23</v>
      </c>
      <c r="H479" t="s">
        <v>51</v>
      </c>
      <c r="I479">
        <v>7</v>
      </c>
      <c r="J479">
        <v>12</v>
      </c>
      <c r="K479">
        <v>2</v>
      </c>
      <c r="L479">
        <f t="shared" si="49"/>
        <v>1</v>
      </c>
      <c r="P479">
        <f t="shared" si="50"/>
        <v>1</v>
      </c>
      <c r="Q479">
        <f t="shared" si="51"/>
        <v>1</v>
      </c>
      <c r="R479">
        <f t="shared" si="52"/>
        <v>0</v>
      </c>
      <c r="S479">
        <f t="shared" si="53"/>
        <v>2</v>
      </c>
      <c r="T479" t="str">
        <f t="shared" si="54"/>
        <v>DerivedFromCount</v>
      </c>
      <c r="U479" t="str">
        <f>IF(COUNTIF(DailyProduction!$Q$5:$Q$100,B479)=1,"OK","CHECK")</f>
        <v>OK</v>
      </c>
      <c r="V479" t="str">
        <f t="shared" si="55"/>
        <v>OK</v>
      </c>
      <c r="W479" t="str">
        <f>IF(SUMIF($B$5:$B$914,B479,$S$5:$S$914)=SUMIF(DailyProduction!$Q$5:$Q$100,B479,DailyProduction!$R$5:$R$100),"OK","CHECK")</f>
        <v>OK</v>
      </c>
    </row>
    <row r="480" spans="1:23">
      <c r="A480" t="s">
        <v>908</v>
      </c>
      <c r="B480" t="s">
        <v>901</v>
      </c>
      <c r="C480" t="s">
        <v>30</v>
      </c>
      <c r="D480" s="7">
        <v>45954</v>
      </c>
      <c r="E480" t="s">
        <v>31</v>
      </c>
      <c r="F480" t="s">
        <v>32</v>
      </c>
      <c r="G480">
        <v>23</v>
      </c>
      <c r="H480" t="s">
        <v>51</v>
      </c>
      <c r="I480">
        <v>8</v>
      </c>
      <c r="J480">
        <v>12</v>
      </c>
      <c r="K480">
        <v>2</v>
      </c>
      <c r="L480">
        <f t="shared" si="49"/>
        <v>1</v>
      </c>
      <c r="P480">
        <f t="shared" si="50"/>
        <v>1</v>
      </c>
      <c r="Q480">
        <f t="shared" si="51"/>
        <v>1</v>
      </c>
      <c r="R480">
        <f t="shared" si="52"/>
        <v>0</v>
      </c>
      <c r="S480">
        <f t="shared" si="53"/>
        <v>2</v>
      </c>
      <c r="T480" t="str">
        <f t="shared" si="54"/>
        <v>DerivedFromCount</v>
      </c>
      <c r="U480" t="str">
        <f>IF(COUNTIF(DailyProduction!$Q$5:$Q$100,B480)=1,"OK","CHECK")</f>
        <v>OK</v>
      </c>
      <c r="V480" t="str">
        <f t="shared" si="55"/>
        <v>OK</v>
      </c>
      <c r="W480" t="str">
        <f>IF(SUMIF($B$5:$B$914,B480,$S$5:$S$914)=SUMIF(DailyProduction!$Q$5:$Q$100,B480,DailyProduction!$R$5:$R$100),"OK","CHECK")</f>
        <v>OK</v>
      </c>
    </row>
    <row r="481" spans="1:23">
      <c r="A481" t="s">
        <v>909</v>
      </c>
      <c r="B481" t="s">
        <v>901</v>
      </c>
      <c r="C481" t="s">
        <v>30</v>
      </c>
      <c r="D481" s="7">
        <v>45954</v>
      </c>
      <c r="E481" t="s">
        <v>31</v>
      </c>
      <c r="F481" t="s">
        <v>32</v>
      </c>
      <c r="G481">
        <v>23</v>
      </c>
      <c r="H481" t="s">
        <v>51</v>
      </c>
      <c r="I481">
        <v>9</v>
      </c>
      <c r="J481">
        <v>12</v>
      </c>
      <c r="K481">
        <v>2</v>
      </c>
      <c r="L481">
        <f t="shared" si="49"/>
        <v>1</v>
      </c>
      <c r="P481">
        <f t="shared" si="50"/>
        <v>1</v>
      </c>
      <c r="Q481">
        <f t="shared" si="51"/>
        <v>1</v>
      </c>
      <c r="R481">
        <f t="shared" si="52"/>
        <v>0</v>
      </c>
      <c r="S481">
        <f t="shared" si="53"/>
        <v>2</v>
      </c>
      <c r="T481" t="str">
        <f t="shared" si="54"/>
        <v>DerivedFromCount</v>
      </c>
      <c r="U481" t="str">
        <f>IF(COUNTIF(DailyProduction!$Q$5:$Q$100,B481)=1,"OK","CHECK")</f>
        <v>OK</v>
      </c>
      <c r="V481" t="str">
        <f t="shared" si="55"/>
        <v>OK</v>
      </c>
      <c r="W481" t="str">
        <f>IF(SUMIF($B$5:$B$914,B481,$S$5:$S$914)=SUMIF(DailyProduction!$Q$5:$Q$100,B481,DailyProduction!$R$5:$R$100),"OK","CHECK")</f>
        <v>OK</v>
      </c>
    </row>
    <row r="482" spans="1:23">
      <c r="A482" t="s">
        <v>910</v>
      </c>
      <c r="B482" t="s">
        <v>901</v>
      </c>
      <c r="C482" t="s">
        <v>30</v>
      </c>
      <c r="D482" s="7">
        <v>45954</v>
      </c>
      <c r="E482" t="s">
        <v>31</v>
      </c>
      <c r="F482" t="s">
        <v>32</v>
      </c>
      <c r="G482">
        <v>23</v>
      </c>
      <c r="H482" t="s">
        <v>51</v>
      </c>
      <c r="I482">
        <v>10</v>
      </c>
      <c r="J482">
        <v>12</v>
      </c>
      <c r="K482">
        <v>2</v>
      </c>
      <c r="L482">
        <f t="shared" si="49"/>
        <v>1</v>
      </c>
      <c r="P482">
        <f t="shared" si="50"/>
        <v>1</v>
      </c>
      <c r="Q482">
        <f t="shared" si="51"/>
        <v>1</v>
      </c>
      <c r="R482">
        <f t="shared" si="52"/>
        <v>0</v>
      </c>
      <c r="S482">
        <f t="shared" si="53"/>
        <v>2</v>
      </c>
      <c r="T482" t="str">
        <f t="shared" si="54"/>
        <v>DerivedFromCount</v>
      </c>
      <c r="U482" t="str">
        <f>IF(COUNTIF(DailyProduction!$Q$5:$Q$100,B482)=1,"OK","CHECK")</f>
        <v>OK</v>
      </c>
      <c r="V482" t="str">
        <f t="shared" si="55"/>
        <v>OK</v>
      </c>
      <c r="W482" t="str">
        <f>IF(SUMIF($B$5:$B$914,B482,$S$5:$S$914)=SUMIF(DailyProduction!$Q$5:$Q$100,B482,DailyProduction!$R$5:$R$100),"OK","CHECK")</f>
        <v>OK</v>
      </c>
    </row>
    <row r="483" spans="1:23">
      <c r="A483" t="s">
        <v>911</v>
      </c>
      <c r="B483" t="s">
        <v>901</v>
      </c>
      <c r="C483" t="s">
        <v>30</v>
      </c>
      <c r="D483" s="7">
        <v>45954</v>
      </c>
      <c r="E483" t="s">
        <v>31</v>
      </c>
      <c r="F483" t="s">
        <v>32</v>
      </c>
      <c r="G483">
        <v>23</v>
      </c>
      <c r="H483" t="s">
        <v>51</v>
      </c>
      <c r="I483">
        <v>11</v>
      </c>
      <c r="J483">
        <v>12</v>
      </c>
      <c r="K483">
        <v>2</v>
      </c>
      <c r="L483">
        <f t="shared" si="49"/>
        <v>1</v>
      </c>
      <c r="P483">
        <f t="shared" si="50"/>
        <v>1</v>
      </c>
      <c r="Q483">
        <f t="shared" si="51"/>
        <v>1</v>
      </c>
      <c r="R483">
        <f t="shared" si="52"/>
        <v>0</v>
      </c>
      <c r="S483">
        <f t="shared" si="53"/>
        <v>2</v>
      </c>
      <c r="T483" t="str">
        <f t="shared" si="54"/>
        <v>DerivedFromCount</v>
      </c>
      <c r="U483" t="str">
        <f>IF(COUNTIF(DailyProduction!$Q$5:$Q$100,B483)=1,"OK","CHECK")</f>
        <v>OK</v>
      </c>
      <c r="V483" t="str">
        <f t="shared" si="55"/>
        <v>OK</v>
      </c>
      <c r="W483" t="str">
        <f>IF(SUMIF($B$5:$B$914,B483,$S$5:$S$914)=SUMIF(DailyProduction!$Q$5:$Q$100,B483,DailyProduction!$R$5:$R$100),"OK","CHECK")</f>
        <v>OK</v>
      </c>
    </row>
    <row r="484" spans="1:23">
      <c r="A484" t="s">
        <v>912</v>
      </c>
      <c r="B484" t="s">
        <v>901</v>
      </c>
      <c r="C484" t="s">
        <v>30</v>
      </c>
      <c r="D484" s="7">
        <v>45954</v>
      </c>
      <c r="E484" t="s">
        <v>31</v>
      </c>
      <c r="F484" t="s">
        <v>32</v>
      </c>
      <c r="G484">
        <v>23</v>
      </c>
      <c r="H484" t="s">
        <v>51</v>
      </c>
      <c r="I484">
        <v>12</v>
      </c>
      <c r="J484">
        <v>12</v>
      </c>
      <c r="K484">
        <v>2</v>
      </c>
      <c r="L484">
        <f t="shared" si="49"/>
        <v>1</v>
      </c>
      <c r="P484">
        <f t="shared" si="50"/>
        <v>1</v>
      </c>
      <c r="Q484">
        <f t="shared" si="51"/>
        <v>1</v>
      </c>
      <c r="R484">
        <f t="shared" si="52"/>
        <v>0</v>
      </c>
      <c r="S484">
        <f t="shared" si="53"/>
        <v>2</v>
      </c>
      <c r="T484" t="str">
        <f t="shared" si="54"/>
        <v>DerivedFromCount</v>
      </c>
      <c r="U484" t="str">
        <f>IF(COUNTIF(DailyProduction!$Q$5:$Q$100,B484)=1,"OK","CHECK")</f>
        <v>OK</v>
      </c>
      <c r="V484" t="str">
        <f t="shared" si="55"/>
        <v>OK</v>
      </c>
      <c r="W484" t="str">
        <f>IF(SUMIF($B$5:$B$914,B484,$S$5:$S$914)=SUMIF(DailyProduction!$Q$5:$Q$100,B484,DailyProduction!$R$5:$R$100),"OK","CHECK")</f>
        <v>OK</v>
      </c>
    </row>
    <row r="485" spans="1:23">
      <c r="A485" t="s">
        <v>913</v>
      </c>
      <c r="B485" t="s">
        <v>901</v>
      </c>
      <c r="C485" t="s">
        <v>30</v>
      </c>
      <c r="D485" s="7">
        <v>45954</v>
      </c>
      <c r="E485" t="s">
        <v>31</v>
      </c>
      <c r="F485" t="s">
        <v>32</v>
      </c>
      <c r="G485">
        <v>23</v>
      </c>
      <c r="H485" t="s">
        <v>51</v>
      </c>
      <c r="I485">
        <v>13</v>
      </c>
      <c r="J485">
        <v>12</v>
      </c>
      <c r="K485">
        <v>2</v>
      </c>
      <c r="L485">
        <f t="shared" si="49"/>
        <v>0</v>
      </c>
      <c r="P485">
        <f t="shared" si="50"/>
        <v>0</v>
      </c>
      <c r="Q485">
        <f t="shared" si="51"/>
        <v>0</v>
      </c>
      <c r="R485">
        <f t="shared" si="52"/>
        <v>0</v>
      </c>
      <c r="S485">
        <f t="shared" si="53"/>
        <v>0</v>
      </c>
      <c r="T485" t="str">
        <f t="shared" si="54"/>
        <v>DerivedFromCount</v>
      </c>
      <c r="U485" t="str">
        <f>IF(COUNTIF(DailyProduction!$Q$5:$Q$100,B485)=1,"OK","CHECK")</f>
        <v>OK</v>
      </c>
      <c r="V485" t="str">
        <f t="shared" si="55"/>
        <v>OK</v>
      </c>
      <c r="W485" t="str">
        <f>IF(SUMIF($B$5:$B$914,B485,$S$5:$S$914)=SUMIF(DailyProduction!$Q$5:$Q$100,B485,DailyProduction!$R$5:$R$100),"OK","CHECK")</f>
        <v>OK</v>
      </c>
    </row>
    <row r="486" spans="1:23">
      <c r="A486" t="s">
        <v>914</v>
      </c>
      <c r="B486" t="s">
        <v>915</v>
      </c>
      <c r="C486" t="s">
        <v>30</v>
      </c>
      <c r="D486" s="7">
        <v>45954</v>
      </c>
      <c r="E486" t="s">
        <v>79</v>
      </c>
      <c r="F486" t="s">
        <v>37</v>
      </c>
      <c r="G486">
        <v>23</v>
      </c>
      <c r="H486" t="s">
        <v>51</v>
      </c>
      <c r="I486">
        <v>1</v>
      </c>
      <c r="J486">
        <v>12</v>
      </c>
      <c r="K486">
        <v>2</v>
      </c>
      <c r="L486">
        <f t="shared" si="49"/>
        <v>1</v>
      </c>
      <c r="P486">
        <f t="shared" si="50"/>
        <v>1</v>
      </c>
      <c r="Q486">
        <f t="shared" si="51"/>
        <v>1</v>
      </c>
      <c r="R486">
        <f t="shared" si="52"/>
        <v>0</v>
      </c>
      <c r="S486">
        <f t="shared" si="53"/>
        <v>2</v>
      </c>
      <c r="T486" t="str">
        <f t="shared" si="54"/>
        <v>DerivedFromCount</v>
      </c>
      <c r="U486" t="str">
        <f>IF(COUNTIF(DailyProduction!$Q$5:$Q$100,B486)=1,"OK","CHECK")</f>
        <v>OK</v>
      </c>
      <c r="V486" t="str">
        <f t="shared" si="55"/>
        <v>OK</v>
      </c>
      <c r="W486" t="str">
        <f>IF(SUMIF($B$5:$B$914,B486,$S$5:$S$914)=SUMIF(DailyProduction!$Q$5:$Q$100,B486,DailyProduction!$R$5:$R$100),"OK","CHECK")</f>
        <v>OK</v>
      </c>
    </row>
    <row r="487" spans="1:23">
      <c r="A487" t="s">
        <v>916</v>
      </c>
      <c r="B487" t="s">
        <v>915</v>
      </c>
      <c r="C487" t="s">
        <v>30</v>
      </c>
      <c r="D487" s="7">
        <v>45954</v>
      </c>
      <c r="E487" t="s">
        <v>79</v>
      </c>
      <c r="F487" t="s">
        <v>37</v>
      </c>
      <c r="G487">
        <v>23</v>
      </c>
      <c r="H487" t="s">
        <v>51</v>
      </c>
      <c r="I487">
        <v>2</v>
      </c>
      <c r="J487">
        <v>12</v>
      </c>
      <c r="K487">
        <v>2</v>
      </c>
      <c r="L487">
        <f t="shared" si="49"/>
        <v>1</v>
      </c>
      <c r="P487">
        <f t="shared" si="50"/>
        <v>1</v>
      </c>
      <c r="Q487">
        <f t="shared" si="51"/>
        <v>1</v>
      </c>
      <c r="R487">
        <f t="shared" si="52"/>
        <v>0</v>
      </c>
      <c r="S487">
        <f t="shared" si="53"/>
        <v>2</v>
      </c>
      <c r="T487" t="str">
        <f t="shared" si="54"/>
        <v>DerivedFromCount</v>
      </c>
      <c r="U487" t="str">
        <f>IF(COUNTIF(DailyProduction!$Q$5:$Q$100,B487)=1,"OK","CHECK")</f>
        <v>OK</v>
      </c>
      <c r="V487" t="str">
        <f t="shared" si="55"/>
        <v>OK</v>
      </c>
      <c r="W487" t="str">
        <f>IF(SUMIF($B$5:$B$914,B487,$S$5:$S$914)=SUMIF(DailyProduction!$Q$5:$Q$100,B487,DailyProduction!$R$5:$R$100),"OK","CHECK")</f>
        <v>OK</v>
      </c>
    </row>
    <row r="488" spans="1:23">
      <c r="A488" t="s">
        <v>917</v>
      </c>
      <c r="B488" t="s">
        <v>915</v>
      </c>
      <c r="C488" t="s">
        <v>30</v>
      </c>
      <c r="D488" s="7">
        <v>45954</v>
      </c>
      <c r="E488" t="s">
        <v>79</v>
      </c>
      <c r="F488" t="s">
        <v>37</v>
      </c>
      <c r="G488">
        <v>23</v>
      </c>
      <c r="H488" t="s">
        <v>51</v>
      </c>
      <c r="I488">
        <v>3</v>
      </c>
      <c r="J488">
        <v>12</v>
      </c>
      <c r="K488">
        <v>2</v>
      </c>
      <c r="L488">
        <f t="shared" si="49"/>
        <v>1</v>
      </c>
      <c r="P488">
        <f t="shared" si="50"/>
        <v>1</v>
      </c>
      <c r="Q488">
        <f t="shared" si="51"/>
        <v>1</v>
      </c>
      <c r="R488">
        <f t="shared" si="52"/>
        <v>0</v>
      </c>
      <c r="S488">
        <f t="shared" si="53"/>
        <v>2</v>
      </c>
      <c r="T488" t="str">
        <f t="shared" si="54"/>
        <v>DerivedFromCount</v>
      </c>
      <c r="U488" t="str">
        <f>IF(COUNTIF(DailyProduction!$Q$5:$Q$100,B488)=1,"OK","CHECK")</f>
        <v>OK</v>
      </c>
      <c r="V488" t="str">
        <f t="shared" si="55"/>
        <v>OK</v>
      </c>
      <c r="W488" t="str">
        <f>IF(SUMIF($B$5:$B$914,B488,$S$5:$S$914)=SUMIF(DailyProduction!$Q$5:$Q$100,B488,DailyProduction!$R$5:$R$100),"OK","CHECK")</f>
        <v>OK</v>
      </c>
    </row>
    <row r="489" spans="1:23">
      <c r="A489" t="s">
        <v>918</v>
      </c>
      <c r="B489" t="s">
        <v>915</v>
      </c>
      <c r="C489" t="s">
        <v>30</v>
      </c>
      <c r="D489" s="7">
        <v>45954</v>
      </c>
      <c r="E489" t="s">
        <v>79</v>
      </c>
      <c r="F489" t="s">
        <v>37</v>
      </c>
      <c r="G489">
        <v>23</v>
      </c>
      <c r="H489" t="s">
        <v>51</v>
      </c>
      <c r="I489">
        <v>4</v>
      </c>
      <c r="J489">
        <v>12</v>
      </c>
      <c r="K489">
        <v>2</v>
      </c>
      <c r="L489">
        <f t="shared" si="49"/>
        <v>1</v>
      </c>
      <c r="P489">
        <f t="shared" si="50"/>
        <v>1</v>
      </c>
      <c r="Q489">
        <f t="shared" si="51"/>
        <v>1</v>
      </c>
      <c r="R489">
        <f t="shared" si="52"/>
        <v>0</v>
      </c>
      <c r="S489">
        <f t="shared" si="53"/>
        <v>2</v>
      </c>
      <c r="T489" t="str">
        <f t="shared" si="54"/>
        <v>DerivedFromCount</v>
      </c>
      <c r="U489" t="str">
        <f>IF(COUNTIF(DailyProduction!$Q$5:$Q$100,B489)=1,"OK","CHECK")</f>
        <v>OK</v>
      </c>
      <c r="V489" t="str">
        <f t="shared" si="55"/>
        <v>OK</v>
      </c>
      <c r="W489" t="str">
        <f>IF(SUMIF($B$5:$B$914,B489,$S$5:$S$914)=SUMIF(DailyProduction!$Q$5:$Q$100,B489,DailyProduction!$R$5:$R$100),"OK","CHECK")</f>
        <v>OK</v>
      </c>
    </row>
    <row r="490" spans="1:23">
      <c r="A490" t="s">
        <v>919</v>
      </c>
      <c r="B490" t="s">
        <v>915</v>
      </c>
      <c r="C490" t="s">
        <v>30</v>
      </c>
      <c r="D490" s="7">
        <v>45954</v>
      </c>
      <c r="E490" t="s">
        <v>79</v>
      </c>
      <c r="F490" t="s">
        <v>37</v>
      </c>
      <c r="G490">
        <v>23</v>
      </c>
      <c r="H490" t="s">
        <v>51</v>
      </c>
      <c r="I490">
        <v>5</v>
      </c>
      <c r="J490">
        <v>12</v>
      </c>
      <c r="K490">
        <v>2</v>
      </c>
      <c r="L490">
        <f t="shared" si="49"/>
        <v>1</v>
      </c>
      <c r="P490">
        <f t="shared" si="50"/>
        <v>1</v>
      </c>
      <c r="Q490">
        <f t="shared" si="51"/>
        <v>1</v>
      </c>
      <c r="R490">
        <f t="shared" si="52"/>
        <v>0</v>
      </c>
      <c r="S490">
        <f t="shared" si="53"/>
        <v>2</v>
      </c>
      <c r="T490" t="str">
        <f t="shared" si="54"/>
        <v>DerivedFromCount</v>
      </c>
      <c r="U490" t="str">
        <f>IF(COUNTIF(DailyProduction!$Q$5:$Q$100,B490)=1,"OK","CHECK")</f>
        <v>OK</v>
      </c>
      <c r="V490" t="str">
        <f t="shared" si="55"/>
        <v>OK</v>
      </c>
      <c r="W490" t="str">
        <f>IF(SUMIF($B$5:$B$914,B490,$S$5:$S$914)=SUMIF(DailyProduction!$Q$5:$Q$100,B490,DailyProduction!$R$5:$R$100),"OK","CHECK")</f>
        <v>OK</v>
      </c>
    </row>
    <row r="491" spans="1:23">
      <c r="A491" t="s">
        <v>920</v>
      </c>
      <c r="B491" t="s">
        <v>915</v>
      </c>
      <c r="C491" t="s">
        <v>30</v>
      </c>
      <c r="D491" s="7">
        <v>45954</v>
      </c>
      <c r="E491" t="s">
        <v>79</v>
      </c>
      <c r="F491" t="s">
        <v>37</v>
      </c>
      <c r="G491">
        <v>23</v>
      </c>
      <c r="H491" t="s">
        <v>51</v>
      </c>
      <c r="I491">
        <v>6</v>
      </c>
      <c r="J491">
        <v>12</v>
      </c>
      <c r="K491">
        <v>2</v>
      </c>
      <c r="L491">
        <f t="shared" si="49"/>
        <v>1</v>
      </c>
      <c r="P491">
        <f t="shared" si="50"/>
        <v>1</v>
      </c>
      <c r="Q491">
        <f t="shared" si="51"/>
        <v>1</v>
      </c>
      <c r="R491">
        <f t="shared" si="52"/>
        <v>0</v>
      </c>
      <c r="S491">
        <f t="shared" si="53"/>
        <v>2</v>
      </c>
      <c r="T491" t="str">
        <f t="shared" si="54"/>
        <v>DerivedFromCount</v>
      </c>
      <c r="U491" t="str">
        <f>IF(COUNTIF(DailyProduction!$Q$5:$Q$100,B491)=1,"OK","CHECK")</f>
        <v>OK</v>
      </c>
      <c r="V491" t="str">
        <f t="shared" si="55"/>
        <v>OK</v>
      </c>
      <c r="W491" t="str">
        <f>IF(SUMIF($B$5:$B$914,B491,$S$5:$S$914)=SUMIF(DailyProduction!$Q$5:$Q$100,B491,DailyProduction!$R$5:$R$100),"OK","CHECK")</f>
        <v>OK</v>
      </c>
    </row>
    <row r="492" spans="1:23">
      <c r="A492" t="s">
        <v>921</v>
      </c>
      <c r="B492" t="s">
        <v>915</v>
      </c>
      <c r="C492" t="s">
        <v>30</v>
      </c>
      <c r="D492" s="7">
        <v>45954</v>
      </c>
      <c r="E492" t="s">
        <v>79</v>
      </c>
      <c r="F492" t="s">
        <v>37</v>
      </c>
      <c r="G492">
        <v>23</v>
      </c>
      <c r="H492" t="s">
        <v>51</v>
      </c>
      <c r="I492">
        <v>7</v>
      </c>
      <c r="J492">
        <v>12</v>
      </c>
      <c r="K492">
        <v>2</v>
      </c>
      <c r="L492">
        <f t="shared" si="49"/>
        <v>1</v>
      </c>
      <c r="P492">
        <f t="shared" si="50"/>
        <v>1</v>
      </c>
      <c r="Q492">
        <f t="shared" si="51"/>
        <v>1</v>
      </c>
      <c r="R492">
        <f t="shared" si="52"/>
        <v>0</v>
      </c>
      <c r="S492">
        <f t="shared" si="53"/>
        <v>2</v>
      </c>
      <c r="T492" t="str">
        <f t="shared" si="54"/>
        <v>DerivedFromCount</v>
      </c>
      <c r="U492" t="str">
        <f>IF(COUNTIF(DailyProduction!$Q$5:$Q$100,B492)=1,"OK","CHECK")</f>
        <v>OK</v>
      </c>
      <c r="V492" t="str">
        <f t="shared" si="55"/>
        <v>OK</v>
      </c>
      <c r="W492" t="str">
        <f>IF(SUMIF($B$5:$B$914,B492,$S$5:$S$914)=SUMIF(DailyProduction!$Q$5:$Q$100,B492,DailyProduction!$R$5:$R$100),"OK","CHECK")</f>
        <v>OK</v>
      </c>
    </row>
    <row r="493" spans="1:23">
      <c r="A493" t="s">
        <v>922</v>
      </c>
      <c r="B493" t="s">
        <v>915</v>
      </c>
      <c r="C493" t="s">
        <v>30</v>
      </c>
      <c r="D493" s="7">
        <v>45954</v>
      </c>
      <c r="E493" t="s">
        <v>79</v>
      </c>
      <c r="F493" t="s">
        <v>37</v>
      </c>
      <c r="G493">
        <v>23</v>
      </c>
      <c r="H493" t="s">
        <v>51</v>
      </c>
      <c r="I493">
        <v>8</v>
      </c>
      <c r="J493">
        <v>12</v>
      </c>
      <c r="K493">
        <v>2</v>
      </c>
      <c r="L493">
        <f t="shared" si="49"/>
        <v>1</v>
      </c>
      <c r="P493">
        <f t="shared" si="50"/>
        <v>1</v>
      </c>
      <c r="Q493">
        <f t="shared" si="51"/>
        <v>1</v>
      </c>
      <c r="R493">
        <f t="shared" si="52"/>
        <v>0</v>
      </c>
      <c r="S493">
        <f t="shared" si="53"/>
        <v>2</v>
      </c>
      <c r="T493" t="str">
        <f t="shared" si="54"/>
        <v>DerivedFromCount</v>
      </c>
      <c r="U493" t="str">
        <f>IF(COUNTIF(DailyProduction!$Q$5:$Q$100,B493)=1,"OK","CHECK")</f>
        <v>OK</v>
      </c>
      <c r="V493" t="str">
        <f t="shared" si="55"/>
        <v>OK</v>
      </c>
      <c r="W493" t="str">
        <f>IF(SUMIF($B$5:$B$914,B493,$S$5:$S$914)=SUMIF(DailyProduction!$Q$5:$Q$100,B493,DailyProduction!$R$5:$R$100),"OK","CHECK")</f>
        <v>OK</v>
      </c>
    </row>
    <row r="494" spans="1:23">
      <c r="A494" t="s">
        <v>923</v>
      </c>
      <c r="B494" t="s">
        <v>915</v>
      </c>
      <c r="C494" t="s">
        <v>30</v>
      </c>
      <c r="D494" s="7">
        <v>45954</v>
      </c>
      <c r="E494" t="s">
        <v>79</v>
      </c>
      <c r="F494" t="s">
        <v>37</v>
      </c>
      <c r="G494">
        <v>23</v>
      </c>
      <c r="H494" t="s">
        <v>51</v>
      </c>
      <c r="I494">
        <v>9</v>
      </c>
      <c r="J494">
        <v>12</v>
      </c>
      <c r="K494">
        <v>2</v>
      </c>
      <c r="L494">
        <f t="shared" si="49"/>
        <v>1</v>
      </c>
      <c r="P494">
        <f t="shared" si="50"/>
        <v>1</v>
      </c>
      <c r="Q494">
        <f t="shared" si="51"/>
        <v>1</v>
      </c>
      <c r="R494">
        <f t="shared" si="52"/>
        <v>0</v>
      </c>
      <c r="S494">
        <f t="shared" si="53"/>
        <v>2</v>
      </c>
      <c r="T494" t="str">
        <f t="shared" si="54"/>
        <v>DerivedFromCount</v>
      </c>
      <c r="U494" t="str">
        <f>IF(COUNTIF(DailyProduction!$Q$5:$Q$100,B494)=1,"OK","CHECK")</f>
        <v>OK</v>
      </c>
      <c r="V494" t="str">
        <f t="shared" si="55"/>
        <v>OK</v>
      </c>
      <c r="W494" t="str">
        <f>IF(SUMIF($B$5:$B$914,B494,$S$5:$S$914)=SUMIF(DailyProduction!$Q$5:$Q$100,B494,DailyProduction!$R$5:$R$100),"OK","CHECK")</f>
        <v>OK</v>
      </c>
    </row>
    <row r="495" spans="1:23">
      <c r="A495" t="s">
        <v>924</v>
      </c>
      <c r="B495" t="s">
        <v>915</v>
      </c>
      <c r="C495" t="s">
        <v>30</v>
      </c>
      <c r="D495" s="7">
        <v>45954</v>
      </c>
      <c r="E495" t="s">
        <v>79</v>
      </c>
      <c r="F495" t="s">
        <v>37</v>
      </c>
      <c r="G495">
        <v>23</v>
      </c>
      <c r="H495" t="s">
        <v>51</v>
      </c>
      <c r="I495">
        <v>10</v>
      </c>
      <c r="J495">
        <v>12</v>
      </c>
      <c r="K495">
        <v>2</v>
      </c>
      <c r="L495">
        <f t="shared" si="49"/>
        <v>1</v>
      </c>
      <c r="P495">
        <f t="shared" si="50"/>
        <v>1</v>
      </c>
      <c r="Q495">
        <f t="shared" si="51"/>
        <v>1</v>
      </c>
      <c r="R495">
        <f t="shared" si="52"/>
        <v>0</v>
      </c>
      <c r="S495">
        <f t="shared" si="53"/>
        <v>2</v>
      </c>
      <c r="T495" t="str">
        <f t="shared" si="54"/>
        <v>DerivedFromCount</v>
      </c>
      <c r="U495" t="str">
        <f>IF(COUNTIF(DailyProduction!$Q$5:$Q$100,B495)=1,"OK","CHECK")</f>
        <v>OK</v>
      </c>
      <c r="V495" t="str">
        <f t="shared" si="55"/>
        <v>OK</v>
      </c>
      <c r="W495" t="str">
        <f>IF(SUMIF($B$5:$B$914,B495,$S$5:$S$914)=SUMIF(DailyProduction!$Q$5:$Q$100,B495,DailyProduction!$R$5:$R$100),"OK","CHECK")</f>
        <v>OK</v>
      </c>
    </row>
    <row r="496" spans="1:23">
      <c r="A496" t="s">
        <v>925</v>
      </c>
      <c r="B496" t="s">
        <v>915</v>
      </c>
      <c r="C496" t="s">
        <v>30</v>
      </c>
      <c r="D496" s="7">
        <v>45954</v>
      </c>
      <c r="E496" t="s">
        <v>79</v>
      </c>
      <c r="F496" t="s">
        <v>37</v>
      </c>
      <c r="G496">
        <v>23</v>
      </c>
      <c r="H496" t="s">
        <v>51</v>
      </c>
      <c r="I496">
        <v>11</v>
      </c>
      <c r="J496">
        <v>12</v>
      </c>
      <c r="K496">
        <v>2</v>
      </c>
      <c r="L496">
        <f t="shared" si="49"/>
        <v>1</v>
      </c>
      <c r="P496">
        <f t="shared" si="50"/>
        <v>1</v>
      </c>
      <c r="Q496">
        <f t="shared" si="51"/>
        <v>1</v>
      </c>
      <c r="R496">
        <f t="shared" si="52"/>
        <v>0</v>
      </c>
      <c r="S496">
        <f t="shared" si="53"/>
        <v>2</v>
      </c>
      <c r="T496" t="str">
        <f t="shared" si="54"/>
        <v>DerivedFromCount</v>
      </c>
      <c r="U496" t="str">
        <f>IF(COUNTIF(DailyProduction!$Q$5:$Q$100,B496)=1,"OK","CHECK")</f>
        <v>OK</v>
      </c>
      <c r="V496" t="str">
        <f t="shared" si="55"/>
        <v>OK</v>
      </c>
      <c r="W496" t="str">
        <f>IF(SUMIF($B$5:$B$914,B496,$S$5:$S$914)=SUMIF(DailyProduction!$Q$5:$Q$100,B496,DailyProduction!$R$5:$R$100),"OK","CHECK")</f>
        <v>OK</v>
      </c>
    </row>
    <row r="497" spans="1:23">
      <c r="A497" t="s">
        <v>926</v>
      </c>
      <c r="B497" t="s">
        <v>915</v>
      </c>
      <c r="C497" t="s">
        <v>30</v>
      </c>
      <c r="D497" s="7">
        <v>45954</v>
      </c>
      <c r="E497" t="s">
        <v>79</v>
      </c>
      <c r="F497" t="s">
        <v>37</v>
      </c>
      <c r="G497">
        <v>23</v>
      </c>
      <c r="H497" t="s">
        <v>51</v>
      </c>
      <c r="I497">
        <v>12</v>
      </c>
      <c r="J497">
        <v>12</v>
      </c>
      <c r="K497">
        <v>2</v>
      </c>
      <c r="L497">
        <f t="shared" si="49"/>
        <v>1</v>
      </c>
      <c r="P497">
        <f t="shared" si="50"/>
        <v>1</v>
      </c>
      <c r="Q497">
        <f t="shared" si="51"/>
        <v>1</v>
      </c>
      <c r="R497">
        <f t="shared" si="52"/>
        <v>0</v>
      </c>
      <c r="S497">
        <f t="shared" si="53"/>
        <v>2</v>
      </c>
      <c r="T497" t="str">
        <f t="shared" si="54"/>
        <v>DerivedFromCount</v>
      </c>
      <c r="U497" t="str">
        <f>IF(COUNTIF(DailyProduction!$Q$5:$Q$100,B497)=1,"OK","CHECK")</f>
        <v>OK</v>
      </c>
      <c r="V497" t="str">
        <f t="shared" si="55"/>
        <v>OK</v>
      </c>
      <c r="W497" t="str">
        <f>IF(SUMIF($B$5:$B$914,B497,$S$5:$S$914)=SUMIF(DailyProduction!$Q$5:$Q$100,B497,DailyProduction!$R$5:$R$100),"OK","CHECK")</f>
        <v>OK</v>
      </c>
    </row>
    <row r="498" spans="1:23">
      <c r="A498" t="s">
        <v>927</v>
      </c>
      <c r="B498" t="s">
        <v>915</v>
      </c>
      <c r="C498" t="s">
        <v>30</v>
      </c>
      <c r="D498" s="7">
        <v>45954</v>
      </c>
      <c r="E498" t="s">
        <v>79</v>
      </c>
      <c r="F498" t="s">
        <v>37</v>
      </c>
      <c r="G498">
        <v>23</v>
      </c>
      <c r="H498" t="s">
        <v>51</v>
      </c>
      <c r="I498">
        <v>13</v>
      </c>
      <c r="J498">
        <v>12</v>
      </c>
      <c r="K498">
        <v>2</v>
      </c>
      <c r="L498">
        <f t="shared" si="49"/>
        <v>0</v>
      </c>
      <c r="P498">
        <f t="shared" si="50"/>
        <v>0</v>
      </c>
      <c r="Q498">
        <f t="shared" si="51"/>
        <v>0</v>
      </c>
      <c r="R498">
        <f t="shared" si="52"/>
        <v>0</v>
      </c>
      <c r="S498">
        <f t="shared" si="53"/>
        <v>0</v>
      </c>
      <c r="T498" t="str">
        <f t="shared" si="54"/>
        <v>DerivedFromCount</v>
      </c>
      <c r="U498" t="str">
        <f>IF(COUNTIF(DailyProduction!$Q$5:$Q$100,B498)=1,"OK","CHECK")</f>
        <v>OK</v>
      </c>
      <c r="V498" t="str">
        <f t="shared" si="55"/>
        <v>OK</v>
      </c>
      <c r="W498" t="str">
        <f>IF(SUMIF($B$5:$B$914,B498,$S$5:$S$914)=SUMIF(DailyProduction!$Q$5:$Q$100,B498,DailyProduction!$R$5:$R$100),"OK","CHECK")</f>
        <v>OK</v>
      </c>
    </row>
    <row r="499" spans="1:23">
      <c r="A499" t="s">
        <v>928</v>
      </c>
      <c r="B499" t="s">
        <v>929</v>
      </c>
      <c r="C499" t="s">
        <v>30</v>
      </c>
      <c r="D499" s="7">
        <v>45955</v>
      </c>
      <c r="E499" t="s">
        <v>31</v>
      </c>
      <c r="F499" t="s">
        <v>37</v>
      </c>
      <c r="G499">
        <v>23</v>
      </c>
      <c r="H499" t="s">
        <v>51</v>
      </c>
      <c r="I499">
        <v>1</v>
      </c>
      <c r="J499">
        <v>12</v>
      </c>
      <c r="K499">
        <v>2</v>
      </c>
      <c r="L499">
        <f t="shared" si="49"/>
        <v>1</v>
      </c>
      <c r="P499">
        <f t="shared" si="50"/>
        <v>1</v>
      </c>
      <c r="Q499">
        <f t="shared" si="51"/>
        <v>1</v>
      </c>
      <c r="R499">
        <f t="shared" si="52"/>
        <v>0</v>
      </c>
      <c r="S499">
        <f t="shared" si="53"/>
        <v>2</v>
      </c>
      <c r="T499" t="str">
        <f t="shared" si="54"/>
        <v>DerivedFromCount</v>
      </c>
      <c r="U499" t="str">
        <f>IF(COUNTIF(DailyProduction!$Q$5:$Q$100,B499)=1,"OK","CHECK")</f>
        <v>OK</v>
      </c>
      <c r="V499" t="str">
        <f t="shared" si="55"/>
        <v>OK</v>
      </c>
      <c r="W499" t="str">
        <f>IF(SUMIF($B$5:$B$914,B499,$S$5:$S$914)=SUMIF(DailyProduction!$Q$5:$Q$100,B499,DailyProduction!$R$5:$R$100),"OK","CHECK")</f>
        <v>OK</v>
      </c>
    </row>
    <row r="500" spans="1:23">
      <c r="A500" t="s">
        <v>930</v>
      </c>
      <c r="B500" t="s">
        <v>929</v>
      </c>
      <c r="C500" t="s">
        <v>30</v>
      </c>
      <c r="D500" s="7">
        <v>45955</v>
      </c>
      <c r="E500" t="s">
        <v>31</v>
      </c>
      <c r="F500" t="s">
        <v>37</v>
      </c>
      <c r="G500">
        <v>23</v>
      </c>
      <c r="H500" t="s">
        <v>51</v>
      </c>
      <c r="I500">
        <v>2</v>
      </c>
      <c r="J500">
        <v>12</v>
      </c>
      <c r="K500">
        <v>2</v>
      </c>
      <c r="L500">
        <f t="shared" si="49"/>
        <v>1</v>
      </c>
      <c r="P500">
        <f t="shared" si="50"/>
        <v>1</v>
      </c>
      <c r="Q500">
        <f t="shared" si="51"/>
        <v>1</v>
      </c>
      <c r="R500">
        <f t="shared" si="52"/>
        <v>0</v>
      </c>
      <c r="S500">
        <f t="shared" si="53"/>
        <v>2</v>
      </c>
      <c r="T500" t="str">
        <f t="shared" si="54"/>
        <v>DerivedFromCount</v>
      </c>
      <c r="U500" t="str">
        <f>IF(COUNTIF(DailyProduction!$Q$5:$Q$100,B500)=1,"OK","CHECK")</f>
        <v>OK</v>
      </c>
      <c r="V500" t="str">
        <f t="shared" si="55"/>
        <v>OK</v>
      </c>
      <c r="W500" t="str">
        <f>IF(SUMIF($B$5:$B$914,B500,$S$5:$S$914)=SUMIF(DailyProduction!$Q$5:$Q$100,B500,DailyProduction!$R$5:$R$100),"OK","CHECK")</f>
        <v>OK</v>
      </c>
    </row>
    <row r="501" spans="1:23">
      <c r="A501" t="s">
        <v>931</v>
      </c>
      <c r="B501" t="s">
        <v>929</v>
      </c>
      <c r="C501" t="s">
        <v>30</v>
      </c>
      <c r="D501" s="7">
        <v>45955</v>
      </c>
      <c r="E501" t="s">
        <v>31</v>
      </c>
      <c r="F501" t="s">
        <v>37</v>
      </c>
      <c r="G501">
        <v>23</v>
      </c>
      <c r="H501" t="s">
        <v>51</v>
      </c>
      <c r="I501">
        <v>3</v>
      </c>
      <c r="J501">
        <v>12</v>
      </c>
      <c r="K501">
        <v>2</v>
      </c>
      <c r="L501">
        <f t="shared" si="49"/>
        <v>1</v>
      </c>
      <c r="P501">
        <f t="shared" si="50"/>
        <v>1</v>
      </c>
      <c r="Q501">
        <f t="shared" si="51"/>
        <v>1</v>
      </c>
      <c r="R501">
        <f t="shared" si="52"/>
        <v>0</v>
      </c>
      <c r="S501">
        <f t="shared" si="53"/>
        <v>2</v>
      </c>
      <c r="T501" t="str">
        <f t="shared" si="54"/>
        <v>DerivedFromCount</v>
      </c>
      <c r="U501" t="str">
        <f>IF(COUNTIF(DailyProduction!$Q$5:$Q$100,B501)=1,"OK","CHECK")</f>
        <v>OK</v>
      </c>
      <c r="V501" t="str">
        <f t="shared" si="55"/>
        <v>OK</v>
      </c>
      <c r="W501" t="str">
        <f>IF(SUMIF($B$5:$B$914,B501,$S$5:$S$914)=SUMIF(DailyProduction!$Q$5:$Q$100,B501,DailyProduction!$R$5:$R$100),"OK","CHECK")</f>
        <v>OK</v>
      </c>
    </row>
    <row r="502" spans="1:23">
      <c r="A502" t="s">
        <v>932</v>
      </c>
      <c r="B502" t="s">
        <v>929</v>
      </c>
      <c r="C502" t="s">
        <v>30</v>
      </c>
      <c r="D502" s="7">
        <v>45955</v>
      </c>
      <c r="E502" t="s">
        <v>31</v>
      </c>
      <c r="F502" t="s">
        <v>37</v>
      </c>
      <c r="G502">
        <v>23</v>
      </c>
      <c r="H502" t="s">
        <v>51</v>
      </c>
      <c r="I502">
        <v>4</v>
      </c>
      <c r="J502">
        <v>12</v>
      </c>
      <c r="K502">
        <v>2</v>
      </c>
      <c r="L502">
        <f t="shared" si="49"/>
        <v>1</v>
      </c>
      <c r="P502">
        <f t="shared" si="50"/>
        <v>1</v>
      </c>
      <c r="Q502">
        <f t="shared" si="51"/>
        <v>1</v>
      </c>
      <c r="R502">
        <f t="shared" si="52"/>
        <v>0</v>
      </c>
      <c r="S502">
        <f t="shared" si="53"/>
        <v>2</v>
      </c>
      <c r="T502" t="str">
        <f t="shared" si="54"/>
        <v>DerivedFromCount</v>
      </c>
      <c r="U502" t="str">
        <f>IF(COUNTIF(DailyProduction!$Q$5:$Q$100,B502)=1,"OK","CHECK")</f>
        <v>OK</v>
      </c>
      <c r="V502" t="str">
        <f t="shared" si="55"/>
        <v>OK</v>
      </c>
      <c r="W502" t="str">
        <f>IF(SUMIF($B$5:$B$914,B502,$S$5:$S$914)=SUMIF(DailyProduction!$Q$5:$Q$100,B502,DailyProduction!$R$5:$R$100),"OK","CHECK")</f>
        <v>OK</v>
      </c>
    </row>
    <row r="503" spans="1:23">
      <c r="A503" t="s">
        <v>933</v>
      </c>
      <c r="B503" t="s">
        <v>929</v>
      </c>
      <c r="C503" t="s">
        <v>30</v>
      </c>
      <c r="D503" s="7">
        <v>45955</v>
      </c>
      <c r="E503" t="s">
        <v>31</v>
      </c>
      <c r="F503" t="s">
        <v>37</v>
      </c>
      <c r="G503">
        <v>23</v>
      </c>
      <c r="H503" t="s">
        <v>51</v>
      </c>
      <c r="I503">
        <v>5</v>
      </c>
      <c r="J503">
        <v>12</v>
      </c>
      <c r="K503">
        <v>2</v>
      </c>
      <c r="L503">
        <f t="shared" si="49"/>
        <v>1</v>
      </c>
      <c r="P503">
        <f t="shared" si="50"/>
        <v>1</v>
      </c>
      <c r="Q503">
        <f t="shared" si="51"/>
        <v>1</v>
      </c>
      <c r="R503">
        <f t="shared" si="52"/>
        <v>0</v>
      </c>
      <c r="S503">
        <f t="shared" si="53"/>
        <v>2</v>
      </c>
      <c r="T503" t="str">
        <f t="shared" si="54"/>
        <v>DerivedFromCount</v>
      </c>
      <c r="U503" t="str">
        <f>IF(COUNTIF(DailyProduction!$Q$5:$Q$100,B503)=1,"OK","CHECK")</f>
        <v>OK</v>
      </c>
      <c r="V503" t="str">
        <f t="shared" si="55"/>
        <v>OK</v>
      </c>
      <c r="W503" t="str">
        <f>IF(SUMIF($B$5:$B$914,B503,$S$5:$S$914)=SUMIF(DailyProduction!$Q$5:$Q$100,B503,DailyProduction!$R$5:$R$100),"OK","CHECK")</f>
        <v>OK</v>
      </c>
    </row>
    <row r="504" spans="1:23">
      <c r="A504" t="s">
        <v>934</v>
      </c>
      <c r="B504" t="s">
        <v>929</v>
      </c>
      <c r="C504" t="s">
        <v>30</v>
      </c>
      <c r="D504" s="7">
        <v>45955</v>
      </c>
      <c r="E504" t="s">
        <v>31</v>
      </c>
      <c r="F504" t="s">
        <v>37</v>
      </c>
      <c r="G504">
        <v>23</v>
      </c>
      <c r="H504" t="s">
        <v>51</v>
      </c>
      <c r="I504">
        <v>6</v>
      </c>
      <c r="J504">
        <v>12</v>
      </c>
      <c r="K504">
        <v>2</v>
      </c>
      <c r="L504">
        <f t="shared" si="49"/>
        <v>1</v>
      </c>
      <c r="P504">
        <f t="shared" si="50"/>
        <v>1</v>
      </c>
      <c r="Q504">
        <f t="shared" si="51"/>
        <v>1</v>
      </c>
      <c r="R504">
        <f t="shared" si="52"/>
        <v>0</v>
      </c>
      <c r="S504">
        <f t="shared" si="53"/>
        <v>2</v>
      </c>
      <c r="T504" t="str">
        <f t="shared" si="54"/>
        <v>DerivedFromCount</v>
      </c>
      <c r="U504" t="str">
        <f>IF(COUNTIF(DailyProduction!$Q$5:$Q$100,B504)=1,"OK","CHECK")</f>
        <v>OK</v>
      </c>
      <c r="V504" t="str">
        <f t="shared" si="55"/>
        <v>OK</v>
      </c>
      <c r="W504" t="str">
        <f>IF(SUMIF($B$5:$B$914,B504,$S$5:$S$914)=SUMIF(DailyProduction!$Q$5:$Q$100,B504,DailyProduction!$R$5:$R$100),"OK","CHECK")</f>
        <v>OK</v>
      </c>
    </row>
    <row r="505" spans="1:23">
      <c r="A505" t="s">
        <v>935</v>
      </c>
      <c r="B505" t="s">
        <v>929</v>
      </c>
      <c r="C505" t="s">
        <v>30</v>
      </c>
      <c r="D505" s="7">
        <v>45955</v>
      </c>
      <c r="E505" t="s">
        <v>31</v>
      </c>
      <c r="F505" t="s">
        <v>37</v>
      </c>
      <c r="G505">
        <v>23</v>
      </c>
      <c r="H505" t="s">
        <v>51</v>
      </c>
      <c r="I505">
        <v>7</v>
      </c>
      <c r="J505">
        <v>12</v>
      </c>
      <c r="K505">
        <v>2</v>
      </c>
      <c r="L505">
        <f t="shared" si="49"/>
        <v>1</v>
      </c>
      <c r="P505">
        <f t="shared" si="50"/>
        <v>1</v>
      </c>
      <c r="Q505">
        <f t="shared" si="51"/>
        <v>1</v>
      </c>
      <c r="R505">
        <f t="shared" si="52"/>
        <v>0</v>
      </c>
      <c r="S505">
        <f t="shared" si="53"/>
        <v>2</v>
      </c>
      <c r="T505" t="str">
        <f t="shared" si="54"/>
        <v>DerivedFromCount</v>
      </c>
      <c r="U505" t="str">
        <f>IF(COUNTIF(DailyProduction!$Q$5:$Q$100,B505)=1,"OK","CHECK")</f>
        <v>OK</v>
      </c>
      <c r="V505" t="str">
        <f t="shared" si="55"/>
        <v>OK</v>
      </c>
      <c r="W505" t="str">
        <f>IF(SUMIF($B$5:$B$914,B505,$S$5:$S$914)=SUMIF(DailyProduction!$Q$5:$Q$100,B505,DailyProduction!$R$5:$R$100),"OK","CHECK")</f>
        <v>OK</v>
      </c>
    </row>
    <row r="506" spans="1:23">
      <c r="A506" t="s">
        <v>936</v>
      </c>
      <c r="B506" t="s">
        <v>929</v>
      </c>
      <c r="C506" t="s">
        <v>30</v>
      </c>
      <c r="D506" s="7">
        <v>45955</v>
      </c>
      <c r="E506" t="s">
        <v>31</v>
      </c>
      <c r="F506" t="s">
        <v>37</v>
      </c>
      <c r="G506">
        <v>23</v>
      </c>
      <c r="H506" t="s">
        <v>51</v>
      </c>
      <c r="I506">
        <v>8</v>
      </c>
      <c r="J506">
        <v>12</v>
      </c>
      <c r="K506">
        <v>2</v>
      </c>
      <c r="L506">
        <f t="shared" si="49"/>
        <v>1</v>
      </c>
      <c r="P506">
        <f t="shared" si="50"/>
        <v>1</v>
      </c>
      <c r="Q506">
        <f t="shared" si="51"/>
        <v>1</v>
      </c>
      <c r="R506">
        <f t="shared" si="52"/>
        <v>0</v>
      </c>
      <c r="S506">
        <f t="shared" si="53"/>
        <v>2</v>
      </c>
      <c r="T506" t="str">
        <f t="shared" si="54"/>
        <v>DerivedFromCount</v>
      </c>
      <c r="U506" t="str">
        <f>IF(COUNTIF(DailyProduction!$Q$5:$Q$100,B506)=1,"OK","CHECK")</f>
        <v>OK</v>
      </c>
      <c r="V506" t="str">
        <f t="shared" si="55"/>
        <v>OK</v>
      </c>
      <c r="W506" t="str">
        <f>IF(SUMIF($B$5:$B$914,B506,$S$5:$S$914)=SUMIF(DailyProduction!$Q$5:$Q$100,B506,DailyProduction!$R$5:$R$100),"OK","CHECK")</f>
        <v>OK</v>
      </c>
    </row>
    <row r="507" spans="1:23">
      <c r="A507" t="s">
        <v>937</v>
      </c>
      <c r="B507" t="s">
        <v>929</v>
      </c>
      <c r="C507" t="s">
        <v>30</v>
      </c>
      <c r="D507" s="7">
        <v>45955</v>
      </c>
      <c r="E507" t="s">
        <v>31</v>
      </c>
      <c r="F507" t="s">
        <v>37</v>
      </c>
      <c r="G507">
        <v>23</v>
      </c>
      <c r="H507" t="s">
        <v>51</v>
      </c>
      <c r="I507">
        <v>9</v>
      </c>
      <c r="J507">
        <v>12</v>
      </c>
      <c r="K507">
        <v>2</v>
      </c>
      <c r="L507">
        <f t="shared" si="49"/>
        <v>1</v>
      </c>
      <c r="P507">
        <f t="shared" si="50"/>
        <v>1</v>
      </c>
      <c r="Q507">
        <f t="shared" si="51"/>
        <v>1</v>
      </c>
      <c r="R507">
        <f t="shared" si="52"/>
        <v>0</v>
      </c>
      <c r="S507">
        <f t="shared" si="53"/>
        <v>2</v>
      </c>
      <c r="T507" t="str">
        <f t="shared" si="54"/>
        <v>DerivedFromCount</v>
      </c>
      <c r="U507" t="str">
        <f>IF(COUNTIF(DailyProduction!$Q$5:$Q$100,B507)=1,"OK","CHECK")</f>
        <v>OK</v>
      </c>
      <c r="V507" t="str">
        <f t="shared" si="55"/>
        <v>OK</v>
      </c>
      <c r="W507" t="str">
        <f>IF(SUMIF($B$5:$B$914,B507,$S$5:$S$914)=SUMIF(DailyProduction!$Q$5:$Q$100,B507,DailyProduction!$R$5:$R$100),"OK","CHECK")</f>
        <v>OK</v>
      </c>
    </row>
    <row r="508" spans="1:23">
      <c r="A508" t="s">
        <v>938</v>
      </c>
      <c r="B508" t="s">
        <v>929</v>
      </c>
      <c r="C508" t="s">
        <v>30</v>
      </c>
      <c r="D508" s="7">
        <v>45955</v>
      </c>
      <c r="E508" t="s">
        <v>31</v>
      </c>
      <c r="F508" t="s">
        <v>37</v>
      </c>
      <c r="G508">
        <v>23</v>
      </c>
      <c r="H508" t="s">
        <v>51</v>
      </c>
      <c r="I508">
        <v>10</v>
      </c>
      <c r="J508">
        <v>12</v>
      </c>
      <c r="K508">
        <v>2</v>
      </c>
      <c r="L508">
        <f t="shared" si="49"/>
        <v>1</v>
      </c>
      <c r="P508">
        <f t="shared" si="50"/>
        <v>1</v>
      </c>
      <c r="Q508">
        <f t="shared" si="51"/>
        <v>1</v>
      </c>
      <c r="R508">
        <f t="shared" si="52"/>
        <v>0</v>
      </c>
      <c r="S508">
        <f t="shared" si="53"/>
        <v>2</v>
      </c>
      <c r="T508" t="str">
        <f t="shared" si="54"/>
        <v>DerivedFromCount</v>
      </c>
      <c r="U508" t="str">
        <f>IF(COUNTIF(DailyProduction!$Q$5:$Q$100,B508)=1,"OK","CHECK")</f>
        <v>OK</v>
      </c>
      <c r="V508" t="str">
        <f t="shared" si="55"/>
        <v>OK</v>
      </c>
      <c r="W508" t="str">
        <f>IF(SUMIF($B$5:$B$914,B508,$S$5:$S$914)=SUMIF(DailyProduction!$Q$5:$Q$100,B508,DailyProduction!$R$5:$R$100),"OK","CHECK")</f>
        <v>OK</v>
      </c>
    </row>
    <row r="509" spans="1:23">
      <c r="A509" t="s">
        <v>939</v>
      </c>
      <c r="B509" t="s">
        <v>929</v>
      </c>
      <c r="C509" t="s">
        <v>30</v>
      </c>
      <c r="D509" s="7">
        <v>45955</v>
      </c>
      <c r="E509" t="s">
        <v>31</v>
      </c>
      <c r="F509" t="s">
        <v>37</v>
      </c>
      <c r="G509">
        <v>23</v>
      </c>
      <c r="H509" t="s">
        <v>51</v>
      </c>
      <c r="I509">
        <v>11</v>
      </c>
      <c r="J509">
        <v>12</v>
      </c>
      <c r="K509">
        <v>2</v>
      </c>
      <c r="L509">
        <f t="shared" si="49"/>
        <v>1</v>
      </c>
      <c r="P509">
        <f t="shared" si="50"/>
        <v>1</v>
      </c>
      <c r="Q509">
        <f t="shared" si="51"/>
        <v>1</v>
      </c>
      <c r="R509">
        <f t="shared" si="52"/>
        <v>0</v>
      </c>
      <c r="S509">
        <f t="shared" si="53"/>
        <v>2</v>
      </c>
      <c r="T509" t="str">
        <f t="shared" si="54"/>
        <v>DerivedFromCount</v>
      </c>
      <c r="U509" t="str">
        <f>IF(COUNTIF(DailyProduction!$Q$5:$Q$100,B509)=1,"OK","CHECK")</f>
        <v>OK</v>
      </c>
      <c r="V509" t="str">
        <f t="shared" si="55"/>
        <v>OK</v>
      </c>
      <c r="W509" t="str">
        <f>IF(SUMIF($B$5:$B$914,B509,$S$5:$S$914)=SUMIF(DailyProduction!$Q$5:$Q$100,B509,DailyProduction!$R$5:$R$100),"OK","CHECK")</f>
        <v>OK</v>
      </c>
    </row>
    <row r="510" spans="1:23">
      <c r="A510" t="s">
        <v>940</v>
      </c>
      <c r="B510" t="s">
        <v>929</v>
      </c>
      <c r="C510" t="s">
        <v>30</v>
      </c>
      <c r="D510" s="7">
        <v>45955</v>
      </c>
      <c r="E510" t="s">
        <v>31</v>
      </c>
      <c r="F510" t="s">
        <v>37</v>
      </c>
      <c r="G510">
        <v>23</v>
      </c>
      <c r="H510" t="s">
        <v>51</v>
      </c>
      <c r="I510">
        <v>12</v>
      </c>
      <c r="J510">
        <v>12</v>
      </c>
      <c r="K510">
        <v>2</v>
      </c>
      <c r="L510">
        <f t="shared" si="49"/>
        <v>1</v>
      </c>
      <c r="P510">
        <f t="shared" si="50"/>
        <v>1</v>
      </c>
      <c r="Q510">
        <f t="shared" si="51"/>
        <v>1</v>
      </c>
      <c r="R510">
        <f t="shared" si="52"/>
        <v>0</v>
      </c>
      <c r="S510">
        <f t="shared" si="53"/>
        <v>2</v>
      </c>
      <c r="T510" t="str">
        <f t="shared" si="54"/>
        <v>DerivedFromCount</v>
      </c>
      <c r="U510" t="str">
        <f>IF(COUNTIF(DailyProduction!$Q$5:$Q$100,B510)=1,"OK","CHECK")</f>
        <v>OK</v>
      </c>
      <c r="V510" t="str">
        <f t="shared" si="55"/>
        <v>OK</v>
      </c>
      <c r="W510" t="str">
        <f>IF(SUMIF($B$5:$B$914,B510,$S$5:$S$914)=SUMIF(DailyProduction!$Q$5:$Q$100,B510,DailyProduction!$R$5:$R$100),"OK","CHECK")</f>
        <v>OK</v>
      </c>
    </row>
    <row r="511" spans="1:23">
      <c r="A511" t="s">
        <v>941</v>
      </c>
      <c r="B511" t="s">
        <v>929</v>
      </c>
      <c r="C511" t="s">
        <v>30</v>
      </c>
      <c r="D511" s="7">
        <v>45955</v>
      </c>
      <c r="E511" t="s">
        <v>31</v>
      </c>
      <c r="F511" t="s">
        <v>37</v>
      </c>
      <c r="G511">
        <v>23</v>
      </c>
      <c r="H511" t="s">
        <v>51</v>
      </c>
      <c r="I511">
        <v>13</v>
      </c>
      <c r="J511">
        <v>12</v>
      </c>
      <c r="K511">
        <v>2</v>
      </c>
      <c r="L511">
        <f t="shared" si="49"/>
        <v>0</v>
      </c>
      <c r="P511">
        <f t="shared" si="50"/>
        <v>0</v>
      </c>
      <c r="Q511">
        <f t="shared" si="51"/>
        <v>0</v>
      </c>
      <c r="R511">
        <f t="shared" si="52"/>
        <v>0</v>
      </c>
      <c r="S511">
        <f t="shared" si="53"/>
        <v>0</v>
      </c>
      <c r="T511" t="str">
        <f t="shared" si="54"/>
        <v>DerivedFromCount</v>
      </c>
      <c r="U511" t="str">
        <f>IF(COUNTIF(DailyProduction!$Q$5:$Q$100,B511)=1,"OK","CHECK")</f>
        <v>OK</v>
      </c>
      <c r="V511" t="str">
        <f t="shared" si="55"/>
        <v>OK</v>
      </c>
      <c r="W511" t="str">
        <f>IF(SUMIF($B$5:$B$914,B511,$S$5:$S$914)=SUMIF(DailyProduction!$Q$5:$Q$100,B511,DailyProduction!$R$5:$R$100),"OK","CHECK")</f>
        <v>OK</v>
      </c>
    </row>
    <row r="512" spans="1:23">
      <c r="A512" t="s">
        <v>942</v>
      </c>
      <c r="B512" t="s">
        <v>943</v>
      </c>
      <c r="C512" t="s">
        <v>30</v>
      </c>
      <c r="D512" s="7">
        <v>45955</v>
      </c>
      <c r="E512" t="s">
        <v>79</v>
      </c>
      <c r="F512" t="s">
        <v>41</v>
      </c>
      <c r="G512">
        <v>23</v>
      </c>
      <c r="H512" t="s">
        <v>51</v>
      </c>
      <c r="I512">
        <v>1</v>
      </c>
      <c r="J512">
        <v>12</v>
      </c>
      <c r="K512">
        <v>2</v>
      </c>
      <c r="L512">
        <f t="shared" si="49"/>
        <v>1</v>
      </c>
      <c r="P512">
        <f t="shared" si="50"/>
        <v>1</v>
      </c>
      <c r="Q512">
        <f t="shared" si="51"/>
        <v>1</v>
      </c>
      <c r="R512">
        <f t="shared" si="52"/>
        <v>0</v>
      </c>
      <c r="S512">
        <f t="shared" si="53"/>
        <v>2</v>
      </c>
      <c r="T512" t="str">
        <f t="shared" si="54"/>
        <v>DerivedFromCount</v>
      </c>
      <c r="U512" t="str">
        <f>IF(COUNTIF(DailyProduction!$Q$5:$Q$100,B512)=1,"OK","CHECK")</f>
        <v>OK</v>
      </c>
      <c r="V512" t="str">
        <f t="shared" si="55"/>
        <v>OK</v>
      </c>
      <c r="W512" t="str">
        <f>IF(SUMIF($B$5:$B$914,B512,$S$5:$S$914)=SUMIF(DailyProduction!$Q$5:$Q$100,B512,DailyProduction!$R$5:$R$100),"OK","CHECK")</f>
        <v>OK</v>
      </c>
    </row>
    <row r="513" spans="1:23">
      <c r="A513" t="s">
        <v>944</v>
      </c>
      <c r="B513" t="s">
        <v>943</v>
      </c>
      <c r="C513" t="s">
        <v>30</v>
      </c>
      <c r="D513" s="7">
        <v>45955</v>
      </c>
      <c r="E513" t="s">
        <v>79</v>
      </c>
      <c r="F513" t="s">
        <v>41</v>
      </c>
      <c r="G513">
        <v>23</v>
      </c>
      <c r="H513" t="s">
        <v>51</v>
      </c>
      <c r="I513">
        <v>2</v>
      </c>
      <c r="J513">
        <v>12</v>
      </c>
      <c r="K513">
        <v>2</v>
      </c>
      <c r="L513">
        <f t="shared" si="49"/>
        <v>1</v>
      </c>
      <c r="P513">
        <f t="shared" si="50"/>
        <v>1</v>
      </c>
      <c r="Q513">
        <f t="shared" si="51"/>
        <v>1</v>
      </c>
      <c r="R513">
        <f t="shared" si="52"/>
        <v>0</v>
      </c>
      <c r="S513">
        <f t="shared" si="53"/>
        <v>2</v>
      </c>
      <c r="T513" t="str">
        <f t="shared" si="54"/>
        <v>DerivedFromCount</v>
      </c>
      <c r="U513" t="str">
        <f>IF(COUNTIF(DailyProduction!$Q$5:$Q$100,B513)=1,"OK","CHECK")</f>
        <v>OK</v>
      </c>
      <c r="V513" t="str">
        <f t="shared" si="55"/>
        <v>OK</v>
      </c>
      <c r="W513" t="str">
        <f>IF(SUMIF($B$5:$B$914,B513,$S$5:$S$914)=SUMIF(DailyProduction!$Q$5:$Q$100,B513,DailyProduction!$R$5:$R$100),"OK","CHECK")</f>
        <v>OK</v>
      </c>
    </row>
    <row r="514" spans="1:23">
      <c r="A514" t="s">
        <v>945</v>
      </c>
      <c r="B514" t="s">
        <v>943</v>
      </c>
      <c r="C514" t="s">
        <v>30</v>
      </c>
      <c r="D514" s="7">
        <v>45955</v>
      </c>
      <c r="E514" t="s">
        <v>79</v>
      </c>
      <c r="F514" t="s">
        <v>41</v>
      </c>
      <c r="G514">
        <v>23</v>
      </c>
      <c r="H514" t="s">
        <v>51</v>
      </c>
      <c r="I514">
        <v>3</v>
      </c>
      <c r="J514">
        <v>12</v>
      </c>
      <c r="K514">
        <v>2</v>
      </c>
      <c r="L514">
        <f t="shared" si="49"/>
        <v>1</v>
      </c>
      <c r="P514">
        <f t="shared" si="50"/>
        <v>1</v>
      </c>
      <c r="Q514">
        <f t="shared" si="51"/>
        <v>1</v>
      </c>
      <c r="R514">
        <f t="shared" si="52"/>
        <v>0</v>
      </c>
      <c r="S514">
        <f t="shared" si="53"/>
        <v>2</v>
      </c>
      <c r="T514" t="str">
        <f t="shared" si="54"/>
        <v>DerivedFromCount</v>
      </c>
      <c r="U514" t="str">
        <f>IF(COUNTIF(DailyProduction!$Q$5:$Q$100,B514)=1,"OK","CHECK")</f>
        <v>OK</v>
      </c>
      <c r="V514" t="str">
        <f t="shared" si="55"/>
        <v>OK</v>
      </c>
      <c r="W514" t="str">
        <f>IF(SUMIF($B$5:$B$914,B514,$S$5:$S$914)=SUMIF(DailyProduction!$Q$5:$Q$100,B514,DailyProduction!$R$5:$R$100),"OK","CHECK")</f>
        <v>OK</v>
      </c>
    </row>
    <row r="515" spans="1:23">
      <c r="A515" t="s">
        <v>946</v>
      </c>
      <c r="B515" t="s">
        <v>943</v>
      </c>
      <c r="C515" t="s">
        <v>30</v>
      </c>
      <c r="D515" s="7">
        <v>45955</v>
      </c>
      <c r="E515" t="s">
        <v>79</v>
      </c>
      <c r="F515" t="s">
        <v>41</v>
      </c>
      <c r="G515">
        <v>23</v>
      </c>
      <c r="H515" t="s">
        <v>51</v>
      </c>
      <c r="I515">
        <v>4</v>
      </c>
      <c r="J515">
        <v>12</v>
      </c>
      <c r="K515">
        <v>2</v>
      </c>
      <c r="L515">
        <f t="shared" si="49"/>
        <v>1</v>
      </c>
      <c r="P515">
        <f t="shared" si="50"/>
        <v>1</v>
      </c>
      <c r="Q515">
        <f t="shared" si="51"/>
        <v>1</v>
      </c>
      <c r="R515">
        <f t="shared" si="52"/>
        <v>0</v>
      </c>
      <c r="S515">
        <f t="shared" si="53"/>
        <v>2</v>
      </c>
      <c r="T515" t="str">
        <f t="shared" si="54"/>
        <v>DerivedFromCount</v>
      </c>
      <c r="U515" t="str">
        <f>IF(COUNTIF(DailyProduction!$Q$5:$Q$100,B515)=1,"OK","CHECK")</f>
        <v>OK</v>
      </c>
      <c r="V515" t="str">
        <f t="shared" si="55"/>
        <v>OK</v>
      </c>
      <c r="W515" t="str">
        <f>IF(SUMIF($B$5:$B$914,B515,$S$5:$S$914)=SUMIF(DailyProduction!$Q$5:$Q$100,B515,DailyProduction!$R$5:$R$100),"OK","CHECK")</f>
        <v>OK</v>
      </c>
    </row>
    <row r="516" spans="1:23">
      <c r="A516" t="s">
        <v>947</v>
      </c>
      <c r="B516" t="s">
        <v>943</v>
      </c>
      <c r="C516" t="s">
        <v>30</v>
      </c>
      <c r="D516" s="7">
        <v>45955</v>
      </c>
      <c r="E516" t="s">
        <v>79</v>
      </c>
      <c r="F516" t="s">
        <v>41</v>
      </c>
      <c r="G516">
        <v>23</v>
      </c>
      <c r="H516" t="s">
        <v>51</v>
      </c>
      <c r="I516">
        <v>5</v>
      </c>
      <c r="J516">
        <v>12</v>
      </c>
      <c r="K516">
        <v>2</v>
      </c>
      <c r="L516">
        <f t="shared" si="49"/>
        <v>1</v>
      </c>
      <c r="P516">
        <f t="shared" si="50"/>
        <v>1</v>
      </c>
      <c r="Q516">
        <f t="shared" si="51"/>
        <v>1</v>
      </c>
      <c r="R516">
        <f t="shared" si="52"/>
        <v>0</v>
      </c>
      <c r="S516">
        <f t="shared" si="53"/>
        <v>2</v>
      </c>
      <c r="T516" t="str">
        <f t="shared" si="54"/>
        <v>DerivedFromCount</v>
      </c>
      <c r="U516" t="str">
        <f>IF(COUNTIF(DailyProduction!$Q$5:$Q$100,B516)=1,"OK","CHECK")</f>
        <v>OK</v>
      </c>
      <c r="V516" t="str">
        <f t="shared" si="55"/>
        <v>OK</v>
      </c>
      <c r="W516" t="str">
        <f>IF(SUMIF($B$5:$B$914,B516,$S$5:$S$914)=SUMIF(DailyProduction!$Q$5:$Q$100,B516,DailyProduction!$R$5:$R$100),"OK","CHECK")</f>
        <v>OK</v>
      </c>
    </row>
    <row r="517" spans="1:23">
      <c r="A517" t="s">
        <v>948</v>
      </c>
      <c r="B517" t="s">
        <v>943</v>
      </c>
      <c r="C517" t="s">
        <v>30</v>
      </c>
      <c r="D517" s="7">
        <v>45955</v>
      </c>
      <c r="E517" t="s">
        <v>79</v>
      </c>
      <c r="F517" t="s">
        <v>41</v>
      </c>
      <c r="G517">
        <v>23</v>
      </c>
      <c r="H517" t="s">
        <v>51</v>
      </c>
      <c r="I517">
        <v>6</v>
      </c>
      <c r="J517">
        <v>12</v>
      </c>
      <c r="K517">
        <v>2</v>
      </c>
      <c r="L517">
        <f t="shared" ref="L517:L580" si="56">IF(I517&lt;=J517,1,0)</f>
        <v>1</v>
      </c>
      <c r="P517">
        <f t="shared" ref="P517:P580" si="57">IF(M517="",IF(AND(L517=1,K517&gt;=1),1,0),M517)</f>
        <v>1</v>
      </c>
      <c r="Q517">
        <f t="shared" ref="Q517:Q580" si="58">IF(N517="",IF(AND(L517=1,K517&gt;=2),1,0),N517)</f>
        <v>1</v>
      </c>
      <c r="R517">
        <f t="shared" ref="R517:R580" si="59">IF(O517="",IF(AND(L517=1,K517&gt;=3),1,0),O517)</f>
        <v>0</v>
      </c>
      <c r="S517">
        <f t="shared" ref="S517:S580" si="60">SUM(P517:R517)</f>
        <v>2</v>
      </c>
      <c r="T517" t="str">
        <f t="shared" ref="T517:T580" si="61">IF(COUNTA(M517:O517)=0,"DerivedFromCount","ManualOverride")</f>
        <v>DerivedFromCount</v>
      </c>
      <c r="U517" t="str">
        <f>IF(COUNTIF(DailyProduction!$Q$5:$Q$100,B517)=1,"OK","CHECK")</f>
        <v>OK</v>
      </c>
      <c r="V517" t="str">
        <f t="shared" ref="V517:V580" si="62">IF(AND(I517&gt;=1,I517&lt;=13,K517&gt;=1,K517&lt;=3),"OK","CHECK")</f>
        <v>OK</v>
      </c>
      <c r="W517" t="str">
        <f>IF(SUMIF($B$5:$B$914,B517,$S$5:$S$914)=SUMIF(DailyProduction!$Q$5:$Q$100,B517,DailyProduction!$R$5:$R$100),"OK","CHECK")</f>
        <v>OK</v>
      </c>
    </row>
    <row r="518" spans="1:23">
      <c r="A518" t="s">
        <v>949</v>
      </c>
      <c r="B518" t="s">
        <v>943</v>
      </c>
      <c r="C518" t="s">
        <v>30</v>
      </c>
      <c r="D518" s="7">
        <v>45955</v>
      </c>
      <c r="E518" t="s">
        <v>79</v>
      </c>
      <c r="F518" t="s">
        <v>41</v>
      </c>
      <c r="G518">
        <v>23</v>
      </c>
      <c r="H518" t="s">
        <v>51</v>
      </c>
      <c r="I518">
        <v>7</v>
      </c>
      <c r="J518">
        <v>12</v>
      </c>
      <c r="K518">
        <v>2</v>
      </c>
      <c r="L518">
        <f t="shared" si="56"/>
        <v>1</v>
      </c>
      <c r="P518">
        <f t="shared" si="57"/>
        <v>1</v>
      </c>
      <c r="Q518">
        <f t="shared" si="58"/>
        <v>1</v>
      </c>
      <c r="R518">
        <f t="shared" si="59"/>
        <v>0</v>
      </c>
      <c r="S518">
        <f t="shared" si="60"/>
        <v>2</v>
      </c>
      <c r="T518" t="str">
        <f t="shared" si="61"/>
        <v>DerivedFromCount</v>
      </c>
      <c r="U518" t="str">
        <f>IF(COUNTIF(DailyProduction!$Q$5:$Q$100,B518)=1,"OK","CHECK")</f>
        <v>OK</v>
      </c>
      <c r="V518" t="str">
        <f t="shared" si="62"/>
        <v>OK</v>
      </c>
      <c r="W518" t="str">
        <f>IF(SUMIF($B$5:$B$914,B518,$S$5:$S$914)=SUMIF(DailyProduction!$Q$5:$Q$100,B518,DailyProduction!$R$5:$R$100),"OK","CHECK")</f>
        <v>OK</v>
      </c>
    </row>
    <row r="519" spans="1:23">
      <c r="A519" t="s">
        <v>950</v>
      </c>
      <c r="B519" t="s">
        <v>943</v>
      </c>
      <c r="C519" t="s">
        <v>30</v>
      </c>
      <c r="D519" s="7">
        <v>45955</v>
      </c>
      <c r="E519" t="s">
        <v>79</v>
      </c>
      <c r="F519" t="s">
        <v>41</v>
      </c>
      <c r="G519">
        <v>23</v>
      </c>
      <c r="H519" t="s">
        <v>51</v>
      </c>
      <c r="I519">
        <v>8</v>
      </c>
      <c r="J519">
        <v>12</v>
      </c>
      <c r="K519">
        <v>2</v>
      </c>
      <c r="L519">
        <f t="shared" si="56"/>
        <v>1</v>
      </c>
      <c r="P519">
        <f t="shared" si="57"/>
        <v>1</v>
      </c>
      <c r="Q519">
        <f t="shared" si="58"/>
        <v>1</v>
      </c>
      <c r="R519">
        <f t="shared" si="59"/>
        <v>0</v>
      </c>
      <c r="S519">
        <f t="shared" si="60"/>
        <v>2</v>
      </c>
      <c r="T519" t="str">
        <f t="shared" si="61"/>
        <v>DerivedFromCount</v>
      </c>
      <c r="U519" t="str">
        <f>IF(COUNTIF(DailyProduction!$Q$5:$Q$100,B519)=1,"OK","CHECK")</f>
        <v>OK</v>
      </c>
      <c r="V519" t="str">
        <f t="shared" si="62"/>
        <v>OK</v>
      </c>
      <c r="W519" t="str">
        <f>IF(SUMIF($B$5:$B$914,B519,$S$5:$S$914)=SUMIF(DailyProduction!$Q$5:$Q$100,B519,DailyProduction!$R$5:$R$100),"OK","CHECK")</f>
        <v>OK</v>
      </c>
    </row>
    <row r="520" spans="1:23">
      <c r="A520" t="s">
        <v>951</v>
      </c>
      <c r="B520" t="s">
        <v>943</v>
      </c>
      <c r="C520" t="s">
        <v>30</v>
      </c>
      <c r="D520" s="7">
        <v>45955</v>
      </c>
      <c r="E520" t="s">
        <v>79</v>
      </c>
      <c r="F520" t="s">
        <v>41</v>
      </c>
      <c r="G520">
        <v>23</v>
      </c>
      <c r="H520" t="s">
        <v>51</v>
      </c>
      <c r="I520">
        <v>9</v>
      </c>
      <c r="J520">
        <v>12</v>
      </c>
      <c r="K520">
        <v>2</v>
      </c>
      <c r="L520">
        <f t="shared" si="56"/>
        <v>1</v>
      </c>
      <c r="P520">
        <f t="shared" si="57"/>
        <v>1</v>
      </c>
      <c r="Q520">
        <f t="shared" si="58"/>
        <v>1</v>
      </c>
      <c r="R520">
        <f t="shared" si="59"/>
        <v>0</v>
      </c>
      <c r="S520">
        <f t="shared" si="60"/>
        <v>2</v>
      </c>
      <c r="T520" t="str">
        <f t="shared" si="61"/>
        <v>DerivedFromCount</v>
      </c>
      <c r="U520" t="str">
        <f>IF(COUNTIF(DailyProduction!$Q$5:$Q$100,B520)=1,"OK","CHECK")</f>
        <v>OK</v>
      </c>
      <c r="V520" t="str">
        <f t="shared" si="62"/>
        <v>OK</v>
      </c>
      <c r="W520" t="str">
        <f>IF(SUMIF($B$5:$B$914,B520,$S$5:$S$914)=SUMIF(DailyProduction!$Q$5:$Q$100,B520,DailyProduction!$R$5:$R$100),"OK","CHECK")</f>
        <v>OK</v>
      </c>
    </row>
    <row r="521" spans="1:23">
      <c r="A521" t="s">
        <v>952</v>
      </c>
      <c r="B521" t="s">
        <v>943</v>
      </c>
      <c r="C521" t="s">
        <v>30</v>
      </c>
      <c r="D521" s="7">
        <v>45955</v>
      </c>
      <c r="E521" t="s">
        <v>79</v>
      </c>
      <c r="F521" t="s">
        <v>41</v>
      </c>
      <c r="G521">
        <v>23</v>
      </c>
      <c r="H521" t="s">
        <v>51</v>
      </c>
      <c r="I521">
        <v>10</v>
      </c>
      <c r="J521">
        <v>12</v>
      </c>
      <c r="K521">
        <v>2</v>
      </c>
      <c r="L521">
        <f t="shared" si="56"/>
        <v>1</v>
      </c>
      <c r="P521">
        <f t="shared" si="57"/>
        <v>1</v>
      </c>
      <c r="Q521">
        <f t="shared" si="58"/>
        <v>1</v>
      </c>
      <c r="R521">
        <f t="shared" si="59"/>
        <v>0</v>
      </c>
      <c r="S521">
        <f t="shared" si="60"/>
        <v>2</v>
      </c>
      <c r="T521" t="str">
        <f t="shared" si="61"/>
        <v>DerivedFromCount</v>
      </c>
      <c r="U521" t="str">
        <f>IF(COUNTIF(DailyProduction!$Q$5:$Q$100,B521)=1,"OK","CHECK")</f>
        <v>OK</v>
      </c>
      <c r="V521" t="str">
        <f t="shared" si="62"/>
        <v>OK</v>
      </c>
      <c r="W521" t="str">
        <f>IF(SUMIF($B$5:$B$914,B521,$S$5:$S$914)=SUMIF(DailyProduction!$Q$5:$Q$100,B521,DailyProduction!$R$5:$R$100),"OK","CHECK")</f>
        <v>OK</v>
      </c>
    </row>
    <row r="522" spans="1:23">
      <c r="A522" t="s">
        <v>953</v>
      </c>
      <c r="B522" t="s">
        <v>943</v>
      </c>
      <c r="C522" t="s">
        <v>30</v>
      </c>
      <c r="D522" s="7">
        <v>45955</v>
      </c>
      <c r="E522" t="s">
        <v>79</v>
      </c>
      <c r="F522" t="s">
        <v>41</v>
      </c>
      <c r="G522">
        <v>23</v>
      </c>
      <c r="H522" t="s">
        <v>51</v>
      </c>
      <c r="I522">
        <v>11</v>
      </c>
      <c r="J522">
        <v>12</v>
      </c>
      <c r="K522">
        <v>2</v>
      </c>
      <c r="L522">
        <f t="shared" si="56"/>
        <v>1</v>
      </c>
      <c r="P522">
        <f t="shared" si="57"/>
        <v>1</v>
      </c>
      <c r="Q522">
        <f t="shared" si="58"/>
        <v>1</v>
      </c>
      <c r="R522">
        <f t="shared" si="59"/>
        <v>0</v>
      </c>
      <c r="S522">
        <f t="shared" si="60"/>
        <v>2</v>
      </c>
      <c r="T522" t="str">
        <f t="shared" si="61"/>
        <v>DerivedFromCount</v>
      </c>
      <c r="U522" t="str">
        <f>IF(COUNTIF(DailyProduction!$Q$5:$Q$100,B522)=1,"OK","CHECK")</f>
        <v>OK</v>
      </c>
      <c r="V522" t="str">
        <f t="shared" si="62"/>
        <v>OK</v>
      </c>
      <c r="W522" t="str">
        <f>IF(SUMIF($B$5:$B$914,B522,$S$5:$S$914)=SUMIF(DailyProduction!$Q$5:$Q$100,B522,DailyProduction!$R$5:$R$100),"OK","CHECK")</f>
        <v>OK</v>
      </c>
    </row>
    <row r="523" spans="1:23">
      <c r="A523" t="s">
        <v>954</v>
      </c>
      <c r="B523" t="s">
        <v>943</v>
      </c>
      <c r="C523" t="s">
        <v>30</v>
      </c>
      <c r="D523" s="7">
        <v>45955</v>
      </c>
      <c r="E523" t="s">
        <v>79</v>
      </c>
      <c r="F523" t="s">
        <v>41</v>
      </c>
      <c r="G523">
        <v>23</v>
      </c>
      <c r="H523" t="s">
        <v>51</v>
      </c>
      <c r="I523">
        <v>12</v>
      </c>
      <c r="J523">
        <v>12</v>
      </c>
      <c r="K523">
        <v>2</v>
      </c>
      <c r="L523">
        <f t="shared" si="56"/>
        <v>1</v>
      </c>
      <c r="P523">
        <f t="shared" si="57"/>
        <v>1</v>
      </c>
      <c r="Q523">
        <f t="shared" si="58"/>
        <v>1</v>
      </c>
      <c r="R523">
        <f t="shared" si="59"/>
        <v>0</v>
      </c>
      <c r="S523">
        <f t="shared" si="60"/>
        <v>2</v>
      </c>
      <c r="T523" t="str">
        <f t="shared" si="61"/>
        <v>DerivedFromCount</v>
      </c>
      <c r="U523" t="str">
        <f>IF(COUNTIF(DailyProduction!$Q$5:$Q$100,B523)=1,"OK","CHECK")</f>
        <v>OK</v>
      </c>
      <c r="V523" t="str">
        <f t="shared" si="62"/>
        <v>OK</v>
      </c>
      <c r="W523" t="str">
        <f>IF(SUMIF($B$5:$B$914,B523,$S$5:$S$914)=SUMIF(DailyProduction!$Q$5:$Q$100,B523,DailyProduction!$R$5:$R$100),"OK","CHECK")</f>
        <v>OK</v>
      </c>
    </row>
    <row r="524" spans="1:23">
      <c r="A524" t="s">
        <v>955</v>
      </c>
      <c r="B524" t="s">
        <v>943</v>
      </c>
      <c r="C524" t="s">
        <v>30</v>
      </c>
      <c r="D524" s="7">
        <v>45955</v>
      </c>
      <c r="E524" t="s">
        <v>79</v>
      </c>
      <c r="F524" t="s">
        <v>41</v>
      </c>
      <c r="G524">
        <v>23</v>
      </c>
      <c r="H524" t="s">
        <v>51</v>
      </c>
      <c r="I524">
        <v>13</v>
      </c>
      <c r="J524">
        <v>12</v>
      </c>
      <c r="K524">
        <v>2</v>
      </c>
      <c r="L524">
        <f t="shared" si="56"/>
        <v>0</v>
      </c>
      <c r="P524">
        <f t="shared" si="57"/>
        <v>0</v>
      </c>
      <c r="Q524">
        <f t="shared" si="58"/>
        <v>0</v>
      </c>
      <c r="R524">
        <f t="shared" si="59"/>
        <v>0</v>
      </c>
      <c r="S524">
        <f t="shared" si="60"/>
        <v>0</v>
      </c>
      <c r="T524" t="str">
        <f t="shared" si="61"/>
        <v>DerivedFromCount</v>
      </c>
      <c r="U524" t="str">
        <f>IF(COUNTIF(DailyProduction!$Q$5:$Q$100,B524)=1,"OK","CHECK")</f>
        <v>OK</v>
      </c>
      <c r="V524" t="str">
        <f t="shared" si="62"/>
        <v>OK</v>
      </c>
      <c r="W524" t="str">
        <f>IF(SUMIF($B$5:$B$914,B524,$S$5:$S$914)=SUMIF(DailyProduction!$Q$5:$Q$100,B524,DailyProduction!$R$5:$R$100),"OK","CHECK")</f>
        <v>OK</v>
      </c>
    </row>
    <row r="525" spans="1:23">
      <c r="A525" t="s">
        <v>956</v>
      </c>
      <c r="B525" t="s">
        <v>957</v>
      </c>
      <c r="C525" t="s">
        <v>30</v>
      </c>
      <c r="D525" s="7">
        <v>45956</v>
      </c>
      <c r="E525" t="s">
        <v>31</v>
      </c>
      <c r="F525" t="s">
        <v>41</v>
      </c>
      <c r="G525">
        <v>23</v>
      </c>
      <c r="H525" t="s">
        <v>53</v>
      </c>
      <c r="I525">
        <v>1</v>
      </c>
      <c r="J525">
        <v>12</v>
      </c>
      <c r="K525">
        <v>2</v>
      </c>
      <c r="L525">
        <f t="shared" si="56"/>
        <v>1</v>
      </c>
      <c r="P525">
        <f t="shared" si="57"/>
        <v>1</v>
      </c>
      <c r="Q525">
        <f t="shared" si="58"/>
        <v>1</v>
      </c>
      <c r="R525">
        <f t="shared" si="59"/>
        <v>0</v>
      </c>
      <c r="S525">
        <f t="shared" si="60"/>
        <v>2</v>
      </c>
      <c r="T525" t="str">
        <f t="shared" si="61"/>
        <v>DerivedFromCount</v>
      </c>
      <c r="U525" t="str">
        <f>IF(COUNTIF(DailyProduction!$Q$5:$Q$100,B525)=1,"OK","CHECK")</f>
        <v>OK</v>
      </c>
      <c r="V525" t="str">
        <f t="shared" si="62"/>
        <v>OK</v>
      </c>
      <c r="W525" t="str">
        <f>IF(SUMIF($B$5:$B$914,B525,$S$5:$S$914)=SUMIF(DailyProduction!$Q$5:$Q$100,B525,DailyProduction!$R$5:$R$100),"OK","CHECK")</f>
        <v>OK</v>
      </c>
    </row>
    <row r="526" spans="1:23">
      <c r="A526" t="s">
        <v>958</v>
      </c>
      <c r="B526" t="s">
        <v>957</v>
      </c>
      <c r="C526" t="s">
        <v>30</v>
      </c>
      <c r="D526" s="7">
        <v>45956</v>
      </c>
      <c r="E526" t="s">
        <v>31</v>
      </c>
      <c r="F526" t="s">
        <v>41</v>
      </c>
      <c r="G526">
        <v>23</v>
      </c>
      <c r="H526" t="s">
        <v>53</v>
      </c>
      <c r="I526">
        <v>2</v>
      </c>
      <c r="J526">
        <v>12</v>
      </c>
      <c r="K526">
        <v>2</v>
      </c>
      <c r="L526">
        <f t="shared" si="56"/>
        <v>1</v>
      </c>
      <c r="P526">
        <f t="shared" si="57"/>
        <v>1</v>
      </c>
      <c r="Q526">
        <f t="shared" si="58"/>
        <v>1</v>
      </c>
      <c r="R526">
        <f t="shared" si="59"/>
        <v>0</v>
      </c>
      <c r="S526">
        <f t="shared" si="60"/>
        <v>2</v>
      </c>
      <c r="T526" t="str">
        <f t="shared" si="61"/>
        <v>DerivedFromCount</v>
      </c>
      <c r="U526" t="str">
        <f>IF(COUNTIF(DailyProduction!$Q$5:$Q$100,B526)=1,"OK","CHECK")</f>
        <v>OK</v>
      </c>
      <c r="V526" t="str">
        <f t="shared" si="62"/>
        <v>OK</v>
      </c>
      <c r="W526" t="str">
        <f>IF(SUMIF($B$5:$B$914,B526,$S$5:$S$914)=SUMIF(DailyProduction!$Q$5:$Q$100,B526,DailyProduction!$R$5:$R$100),"OK","CHECK")</f>
        <v>OK</v>
      </c>
    </row>
    <row r="527" spans="1:23">
      <c r="A527" t="s">
        <v>959</v>
      </c>
      <c r="B527" t="s">
        <v>957</v>
      </c>
      <c r="C527" t="s">
        <v>30</v>
      </c>
      <c r="D527" s="7">
        <v>45956</v>
      </c>
      <c r="E527" t="s">
        <v>31</v>
      </c>
      <c r="F527" t="s">
        <v>41</v>
      </c>
      <c r="G527">
        <v>23</v>
      </c>
      <c r="H527" t="s">
        <v>53</v>
      </c>
      <c r="I527">
        <v>3</v>
      </c>
      <c r="J527">
        <v>12</v>
      </c>
      <c r="K527">
        <v>2</v>
      </c>
      <c r="L527">
        <f t="shared" si="56"/>
        <v>1</v>
      </c>
      <c r="P527">
        <f t="shared" si="57"/>
        <v>1</v>
      </c>
      <c r="Q527">
        <f t="shared" si="58"/>
        <v>1</v>
      </c>
      <c r="R527">
        <f t="shared" si="59"/>
        <v>0</v>
      </c>
      <c r="S527">
        <f t="shared" si="60"/>
        <v>2</v>
      </c>
      <c r="T527" t="str">
        <f t="shared" si="61"/>
        <v>DerivedFromCount</v>
      </c>
      <c r="U527" t="str">
        <f>IF(COUNTIF(DailyProduction!$Q$5:$Q$100,B527)=1,"OK","CHECK")</f>
        <v>OK</v>
      </c>
      <c r="V527" t="str">
        <f t="shared" si="62"/>
        <v>OK</v>
      </c>
      <c r="W527" t="str">
        <f>IF(SUMIF($B$5:$B$914,B527,$S$5:$S$914)=SUMIF(DailyProduction!$Q$5:$Q$100,B527,DailyProduction!$R$5:$R$100),"OK","CHECK")</f>
        <v>OK</v>
      </c>
    </row>
    <row r="528" spans="1:23">
      <c r="A528" t="s">
        <v>960</v>
      </c>
      <c r="B528" t="s">
        <v>957</v>
      </c>
      <c r="C528" t="s">
        <v>30</v>
      </c>
      <c r="D528" s="7">
        <v>45956</v>
      </c>
      <c r="E528" t="s">
        <v>31</v>
      </c>
      <c r="F528" t="s">
        <v>41</v>
      </c>
      <c r="G528">
        <v>23</v>
      </c>
      <c r="H528" t="s">
        <v>53</v>
      </c>
      <c r="I528">
        <v>4</v>
      </c>
      <c r="J528">
        <v>12</v>
      </c>
      <c r="K528">
        <v>2</v>
      </c>
      <c r="L528">
        <f t="shared" si="56"/>
        <v>1</v>
      </c>
      <c r="P528">
        <f t="shared" si="57"/>
        <v>1</v>
      </c>
      <c r="Q528">
        <f t="shared" si="58"/>
        <v>1</v>
      </c>
      <c r="R528">
        <f t="shared" si="59"/>
        <v>0</v>
      </c>
      <c r="S528">
        <f t="shared" si="60"/>
        <v>2</v>
      </c>
      <c r="T528" t="str">
        <f t="shared" si="61"/>
        <v>DerivedFromCount</v>
      </c>
      <c r="U528" t="str">
        <f>IF(COUNTIF(DailyProduction!$Q$5:$Q$100,B528)=1,"OK","CHECK")</f>
        <v>OK</v>
      </c>
      <c r="V528" t="str">
        <f t="shared" si="62"/>
        <v>OK</v>
      </c>
      <c r="W528" t="str">
        <f>IF(SUMIF($B$5:$B$914,B528,$S$5:$S$914)=SUMIF(DailyProduction!$Q$5:$Q$100,B528,DailyProduction!$R$5:$R$100),"OK","CHECK")</f>
        <v>OK</v>
      </c>
    </row>
    <row r="529" spans="1:23">
      <c r="A529" t="s">
        <v>961</v>
      </c>
      <c r="B529" t="s">
        <v>957</v>
      </c>
      <c r="C529" t="s">
        <v>30</v>
      </c>
      <c r="D529" s="7">
        <v>45956</v>
      </c>
      <c r="E529" t="s">
        <v>31</v>
      </c>
      <c r="F529" t="s">
        <v>41</v>
      </c>
      <c r="G529">
        <v>23</v>
      </c>
      <c r="H529" t="s">
        <v>53</v>
      </c>
      <c r="I529">
        <v>5</v>
      </c>
      <c r="J529">
        <v>12</v>
      </c>
      <c r="K529">
        <v>2</v>
      </c>
      <c r="L529">
        <f t="shared" si="56"/>
        <v>1</v>
      </c>
      <c r="P529">
        <f t="shared" si="57"/>
        <v>1</v>
      </c>
      <c r="Q529">
        <f t="shared" si="58"/>
        <v>1</v>
      </c>
      <c r="R529">
        <f t="shared" si="59"/>
        <v>0</v>
      </c>
      <c r="S529">
        <f t="shared" si="60"/>
        <v>2</v>
      </c>
      <c r="T529" t="str">
        <f t="shared" si="61"/>
        <v>DerivedFromCount</v>
      </c>
      <c r="U529" t="str">
        <f>IF(COUNTIF(DailyProduction!$Q$5:$Q$100,B529)=1,"OK","CHECK")</f>
        <v>OK</v>
      </c>
      <c r="V529" t="str">
        <f t="shared" si="62"/>
        <v>OK</v>
      </c>
      <c r="W529" t="str">
        <f>IF(SUMIF($B$5:$B$914,B529,$S$5:$S$914)=SUMIF(DailyProduction!$Q$5:$Q$100,B529,DailyProduction!$R$5:$R$100),"OK","CHECK")</f>
        <v>OK</v>
      </c>
    </row>
    <row r="530" spans="1:23">
      <c r="A530" t="s">
        <v>962</v>
      </c>
      <c r="B530" t="s">
        <v>957</v>
      </c>
      <c r="C530" t="s">
        <v>30</v>
      </c>
      <c r="D530" s="7">
        <v>45956</v>
      </c>
      <c r="E530" t="s">
        <v>31</v>
      </c>
      <c r="F530" t="s">
        <v>41</v>
      </c>
      <c r="G530">
        <v>23</v>
      </c>
      <c r="H530" t="s">
        <v>53</v>
      </c>
      <c r="I530">
        <v>6</v>
      </c>
      <c r="J530">
        <v>12</v>
      </c>
      <c r="K530">
        <v>2</v>
      </c>
      <c r="L530">
        <f t="shared" si="56"/>
        <v>1</v>
      </c>
      <c r="P530">
        <f t="shared" si="57"/>
        <v>1</v>
      </c>
      <c r="Q530">
        <f t="shared" si="58"/>
        <v>1</v>
      </c>
      <c r="R530">
        <f t="shared" si="59"/>
        <v>0</v>
      </c>
      <c r="S530">
        <f t="shared" si="60"/>
        <v>2</v>
      </c>
      <c r="T530" t="str">
        <f t="shared" si="61"/>
        <v>DerivedFromCount</v>
      </c>
      <c r="U530" t="str">
        <f>IF(COUNTIF(DailyProduction!$Q$5:$Q$100,B530)=1,"OK","CHECK")</f>
        <v>OK</v>
      </c>
      <c r="V530" t="str">
        <f t="shared" si="62"/>
        <v>OK</v>
      </c>
      <c r="W530" t="str">
        <f>IF(SUMIF($B$5:$B$914,B530,$S$5:$S$914)=SUMIF(DailyProduction!$Q$5:$Q$100,B530,DailyProduction!$R$5:$R$100),"OK","CHECK")</f>
        <v>OK</v>
      </c>
    </row>
    <row r="531" spans="1:23">
      <c r="A531" t="s">
        <v>963</v>
      </c>
      <c r="B531" t="s">
        <v>957</v>
      </c>
      <c r="C531" t="s">
        <v>30</v>
      </c>
      <c r="D531" s="7">
        <v>45956</v>
      </c>
      <c r="E531" t="s">
        <v>31</v>
      </c>
      <c r="F531" t="s">
        <v>41</v>
      </c>
      <c r="G531">
        <v>23</v>
      </c>
      <c r="H531" t="s">
        <v>53</v>
      </c>
      <c r="I531">
        <v>7</v>
      </c>
      <c r="J531">
        <v>12</v>
      </c>
      <c r="K531">
        <v>2</v>
      </c>
      <c r="L531">
        <f t="shared" si="56"/>
        <v>1</v>
      </c>
      <c r="P531">
        <f t="shared" si="57"/>
        <v>1</v>
      </c>
      <c r="Q531">
        <f t="shared" si="58"/>
        <v>1</v>
      </c>
      <c r="R531">
        <f t="shared" si="59"/>
        <v>0</v>
      </c>
      <c r="S531">
        <f t="shared" si="60"/>
        <v>2</v>
      </c>
      <c r="T531" t="str">
        <f t="shared" si="61"/>
        <v>DerivedFromCount</v>
      </c>
      <c r="U531" t="str">
        <f>IF(COUNTIF(DailyProduction!$Q$5:$Q$100,B531)=1,"OK","CHECK")</f>
        <v>OK</v>
      </c>
      <c r="V531" t="str">
        <f t="shared" si="62"/>
        <v>OK</v>
      </c>
      <c r="W531" t="str">
        <f>IF(SUMIF($B$5:$B$914,B531,$S$5:$S$914)=SUMIF(DailyProduction!$Q$5:$Q$100,B531,DailyProduction!$R$5:$R$100),"OK","CHECK")</f>
        <v>OK</v>
      </c>
    </row>
    <row r="532" spans="1:23">
      <c r="A532" t="s">
        <v>964</v>
      </c>
      <c r="B532" t="s">
        <v>957</v>
      </c>
      <c r="C532" t="s">
        <v>30</v>
      </c>
      <c r="D532" s="7">
        <v>45956</v>
      </c>
      <c r="E532" t="s">
        <v>31</v>
      </c>
      <c r="F532" t="s">
        <v>41</v>
      </c>
      <c r="G532">
        <v>23</v>
      </c>
      <c r="H532" t="s">
        <v>53</v>
      </c>
      <c r="I532">
        <v>8</v>
      </c>
      <c r="J532">
        <v>12</v>
      </c>
      <c r="K532">
        <v>2</v>
      </c>
      <c r="L532">
        <f t="shared" si="56"/>
        <v>1</v>
      </c>
      <c r="P532">
        <f t="shared" si="57"/>
        <v>1</v>
      </c>
      <c r="Q532">
        <f t="shared" si="58"/>
        <v>1</v>
      </c>
      <c r="R532">
        <f t="shared" si="59"/>
        <v>0</v>
      </c>
      <c r="S532">
        <f t="shared" si="60"/>
        <v>2</v>
      </c>
      <c r="T532" t="str">
        <f t="shared" si="61"/>
        <v>DerivedFromCount</v>
      </c>
      <c r="U532" t="str">
        <f>IF(COUNTIF(DailyProduction!$Q$5:$Q$100,B532)=1,"OK","CHECK")</f>
        <v>OK</v>
      </c>
      <c r="V532" t="str">
        <f t="shared" si="62"/>
        <v>OK</v>
      </c>
      <c r="W532" t="str">
        <f>IF(SUMIF($B$5:$B$914,B532,$S$5:$S$914)=SUMIF(DailyProduction!$Q$5:$Q$100,B532,DailyProduction!$R$5:$R$100),"OK","CHECK")</f>
        <v>OK</v>
      </c>
    </row>
    <row r="533" spans="1:23">
      <c r="A533" t="s">
        <v>965</v>
      </c>
      <c r="B533" t="s">
        <v>957</v>
      </c>
      <c r="C533" t="s">
        <v>30</v>
      </c>
      <c r="D533" s="7">
        <v>45956</v>
      </c>
      <c r="E533" t="s">
        <v>31</v>
      </c>
      <c r="F533" t="s">
        <v>41</v>
      </c>
      <c r="G533">
        <v>23</v>
      </c>
      <c r="H533" t="s">
        <v>53</v>
      </c>
      <c r="I533">
        <v>9</v>
      </c>
      <c r="J533">
        <v>12</v>
      </c>
      <c r="K533">
        <v>2</v>
      </c>
      <c r="L533">
        <f t="shared" si="56"/>
        <v>1</v>
      </c>
      <c r="P533">
        <f t="shared" si="57"/>
        <v>1</v>
      </c>
      <c r="Q533">
        <f t="shared" si="58"/>
        <v>1</v>
      </c>
      <c r="R533">
        <f t="shared" si="59"/>
        <v>0</v>
      </c>
      <c r="S533">
        <f t="shared" si="60"/>
        <v>2</v>
      </c>
      <c r="T533" t="str">
        <f t="shared" si="61"/>
        <v>DerivedFromCount</v>
      </c>
      <c r="U533" t="str">
        <f>IF(COUNTIF(DailyProduction!$Q$5:$Q$100,B533)=1,"OK","CHECK")</f>
        <v>OK</v>
      </c>
      <c r="V533" t="str">
        <f t="shared" si="62"/>
        <v>OK</v>
      </c>
      <c r="W533" t="str">
        <f>IF(SUMIF($B$5:$B$914,B533,$S$5:$S$914)=SUMIF(DailyProduction!$Q$5:$Q$100,B533,DailyProduction!$R$5:$R$100),"OK","CHECK")</f>
        <v>OK</v>
      </c>
    </row>
    <row r="534" spans="1:23">
      <c r="A534" t="s">
        <v>966</v>
      </c>
      <c r="B534" t="s">
        <v>957</v>
      </c>
      <c r="C534" t="s">
        <v>30</v>
      </c>
      <c r="D534" s="7">
        <v>45956</v>
      </c>
      <c r="E534" t="s">
        <v>31</v>
      </c>
      <c r="F534" t="s">
        <v>41</v>
      </c>
      <c r="G534">
        <v>23</v>
      </c>
      <c r="H534" t="s">
        <v>53</v>
      </c>
      <c r="I534">
        <v>10</v>
      </c>
      <c r="J534">
        <v>12</v>
      </c>
      <c r="K534">
        <v>2</v>
      </c>
      <c r="L534">
        <f t="shared" si="56"/>
        <v>1</v>
      </c>
      <c r="P534">
        <f t="shared" si="57"/>
        <v>1</v>
      </c>
      <c r="Q534">
        <f t="shared" si="58"/>
        <v>1</v>
      </c>
      <c r="R534">
        <f t="shared" si="59"/>
        <v>0</v>
      </c>
      <c r="S534">
        <f t="shared" si="60"/>
        <v>2</v>
      </c>
      <c r="T534" t="str">
        <f t="shared" si="61"/>
        <v>DerivedFromCount</v>
      </c>
      <c r="U534" t="str">
        <f>IF(COUNTIF(DailyProduction!$Q$5:$Q$100,B534)=1,"OK","CHECK")</f>
        <v>OK</v>
      </c>
      <c r="V534" t="str">
        <f t="shared" si="62"/>
        <v>OK</v>
      </c>
      <c r="W534" t="str">
        <f>IF(SUMIF($B$5:$B$914,B534,$S$5:$S$914)=SUMIF(DailyProduction!$Q$5:$Q$100,B534,DailyProduction!$R$5:$R$100),"OK","CHECK")</f>
        <v>OK</v>
      </c>
    </row>
    <row r="535" spans="1:23">
      <c r="A535" t="s">
        <v>967</v>
      </c>
      <c r="B535" t="s">
        <v>957</v>
      </c>
      <c r="C535" t="s">
        <v>30</v>
      </c>
      <c r="D535" s="7">
        <v>45956</v>
      </c>
      <c r="E535" t="s">
        <v>31</v>
      </c>
      <c r="F535" t="s">
        <v>41</v>
      </c>
      <c r="G535">
        <v>23</v>
      </c>
      <c r="H535" t="s">
        <v>53</v>
      </c>
      <c r="I535">
        <v>11</v>
      </c>
      <c r="J535">
        <v>12</v>
      </c>
      <c r="K535">
        <v>2</v>
      </c>
      <c r="L535">
        <f t="shared" si="56"/>
        <v>1</v>
      </c>
      <c r="P535">
        <f t="shared" si="57"/>
        <v>1</v>
      </c>
      <c r="Q535">
        <f t="shared" si="58"/>
        <v>1</v>
      </c>
      <c r="R535">
        <f t="shared" si="59"/>
        <v>0</v>
      </c>
      <c r="S535">
        <f t="shared" si="60"/>
        <v>2</v>
      </c>
      <c r="T535" t="str">
        <f t="shared" si="61"/>
        <v>DerivedFromCount</v>
      </c>
      <c r="U535" t="str">
        <f>IF(COUNTIF(DailyProduction!$Q$5:$Q$100,B535)=1,"OK","CHECK")</f>
        <v>OK</v>
      </c>
      <c r="V535" t="str">
        <f t="shared" si="62"/>
        <v>OK</v>
      </c>
      <c r="W535" t="str">
        <f>IF(SUMIF($B$5:$B$914,B535,$S$5:$S$914)=SUMIF(DailyProduction!$Q$5:$Q$100,B535,DailyProduction!$R$5:$R$100),"OK","CHECK")</f>
        <v>OK</v>
      </c>
    </row>
    <row r="536" spans="1:23">
      <c r="A536" t="s">
        <v>968</v>
      </c>
      <c r="B536" t="s">
        <v>957</v>
      </c>
      <c r="C536" t="s">
        <v>30</v>
      </c>
      <c r="D536" s="7">
        <v>45956</v>
      </c>
      <c r="E536" t="s">
        <v>31</v>
      </c>
      <c r="F536" t="s">
        <v>41</v>
      </c>
      <c r="G536">
        <v>23</v>
      </c>
      <c r="H536" t="s">
        <v>53</v>
      </c>
      <c r="I536">
        <v>12</v>
      </c>
      <c r="J536">
        <v>12</v>
      </c>
      <c r="K536">
        <v>2</v>
      </c>
      <c r="L536">
        <f t="shared" si="56"/>
        <v>1</v>
      </c>
      <c r="P536">
        <f t="shared" si="57"/>
        <v>1</v>
      </c>
      <c r="Q536">
        <f t="shared" si="58"/>
        <v>1</v>
      </c>
      <c r="R536">
        <f t="shared" si="59"/>
        <v>0</v>
      </c>
      <c r="S536">
        <f t="shared" si="60"/>
        <v>2</v>
      </c>
      <c r="T536" t="str">
        <f t="shared" si="61"/>
        <v>DerivedFromCount</v>
      </c>
      <c r="U536" t="str">
        <f>IF(COUNTIF(DailyProduction!$Q$5:$Q$100,B536)=1,"OK","CHECK")</f>
        <v>OK</v>
      </c>
      <c r="V536" t="str">
        <f t="shared" si="62"/>
        <v>OK</v>
      </c>
      <c r="W536" t="str">
        <f>IF(SUMIF($B$5:$B$914,B536,$S$5:$S$914)=SUMIF(DailyProduction!$Q$5:$Q$100,B536,DailyProduction!$R$5:$R$100),"OK","CHECK")</f>
        <v>OK</v>
      </c>
    </row>
    <row r="537" spans="1:23">
      <c r="A537" t="s">
        <v>969</v>
      </c>
      <c r="B537" t="s">
        <v>957</v>
      </c>
      <c r="C537" t="s">
        <v>30</v>
      </c>
      <c r="D537" s="7">
        <v>45956</v>
      </c>
      <c r="E537" t="s">
        <v>31</v>
      </c>
      <c r="F537" t="s">
        <v>41</v>
      </c>
      <c r="G537">
        <v>23</v>
      </c>
      <c r="H537" t="s">
        <v>53</v>
      </c>
      <c r="I537">
        <v>13</v>
      </c>
      <c r="J537">
        <v>12</v>
      </c>
      <c r="K537">
        <v>2</v>
      </c>
      <c r="L537">
        <f t="shared" si="56"/>
        <v>0</v>
      </c>
      <c r="P537">
        <f t="shared" si="57"/>
        <v>0</v>
      </c>
      <c r="Q537">
        <f t="shared" si="58"/>
        <v>0</v>
      </c>
      <c r="R537">
        <f t="shared" si="59"/>
        <v>0</v>
      </c>
      <c r="S537">
        <f t="shared" si="60"/>
        <v>0</v>
      </c>
      <c r="T537" t="str">
        <f t="shared" si="61"/>
        <v>DerivedFromCount</v>
      </c>
      <c r="U537" t="str">
        <f>IF(COUNTIF(DailyProduction!$Q$5:$Q$100,B537)=1,"OK","CHECK")</f>
        <v>OK</v>
      </c>
      <c r="V537" t="str">
        <f t="shared" si="62"/>
        <v>OK</v>
      </c>
      <c r="W537" t="str">
        <f>IF(SUMIF($B$5:$B$914,B537,$S$5:$S$914)=SUMIF(DailyProduction!$Q$5:$Q$100,B537,DailyProduction!$R$5:$R$100),"OK","CHECK")</f>
        <v>OK</v>
      </c>
    </row>
    <row r="538" spans="1:23">
      <c r="A538" t="s">
        <v>970</v>
      </c>
      <c r="B538" t="s">
        <v>971</v>
      </c>
      <c r="C538" t="s">
        <v>30</v>
      </c>
      <c r="D538" s="7">
        <v>45956</v>
      </c>
      <c r="E538" t="s">
        <v>79</v>
      </c>
      <c r="F538" t="s">
        <v>32</v>
      </c>
      <c r="G538">
        <v>23</v>
      </c>
      <c r="H538" t="s">
        <v>53</v>
      </c>
      <c r="I538">
        <v>1</v>
      </c>
      <c r="J538">
        <v>12</v>
      </c>
      <c r="K538">
        <v>2</v>
      </c>
      <c r="L538">
        <f t="shared" si="56"/>
        <v>1</v>
      </c>
      <c r="P538">
        <f t="shared" si="57"/>
        <v>1</v>
      </c>
      <c r="Q538">
        <f t="shared" si="58"/>
        <v>1</v>
      </c>
      <c r="R538">
        <f t="shared" si="59"/>
        <v>0</v>
      </c>
      <c r="S538">
        <f t="shared" si="60"/>
        <v>2</v>
      </c>
      <c r="T538" t="str">
        <f t="shared" si="61"/>
        <v>DerivedFromCount</v>
      </c>
      <c r="U538" t="str">
        <f>IF(COUNTIF(DailyProduction!$Q$5:$Q$100,B538)=1,"OK","CHECK")</f>
        <v>OK</v>
      </c>
      <c r="V538" t="str">
        <f t="shared" si="62"/>
        <v>OK</v>
      </c>
      <c r="W538" t="str">
        <f>IF(SUMIF($B$5:$B$914,B538,$S$5:$S$914)=SUMIF(DailyProduction!$Q$5:$Q$100,B538,DailyProduction!$R$5:$R$100),"OK","CHECK")</f>
        <v>OK</v>
      </c>
    </row>
    <row r="539" spans="1:23">
      <c r="A539" t="s">
        <v>972</v>
      </c>
      <c r="B539" t="s">
        <v>971</v>
      </c>
      <c r="C539" t="s">
        <v>30</v>
      </c>
      <c r="D539" s="7">
        <v>45956</v>
      </c>
      <c r="E539" t="s">
        <v>79</v>
      </c>
      <c r="F539" t="s">
        <v>32</v>
      </c>
      <c r="G539">
        <v>23</v>
      </c>
      <c r="H539" t="s">
        <v>53</v>
      </c>
      <c r="I539">
        <v>2</v>
      </c>
      <c r="J539">
        <v>12</v>
      </c>
      <c r="K539">
        <v>2</v>
      </c>
      <c r="L539">
        <f t="shared" si="56"/>
        <v>1</v>
      </c>
      <c r="P539">
        <f t="shared" si="57"/>
        <v>1</v>
      </c>
      <c r="Q539">
        <f t="shared" si="58"/>
        <v>1</v>
      </c>
      <c r="R539">
        <f t="shared" si="59"/>
        <v>0</v>
      </c>
      <c r="S539">
        <f t="shared" si="60"/>
        <v>2</v>
      </c>
      <c r="T539" t="str">
        <f t="shared" si="61"/>
        <v>DerivedFromCount</v>
      </c>
      <c r="U539" t="str">
        <f>IF(COUNTIF(DailyProduction!$Q$5:$Q$100,B539)=1,"OK","CHECK")</f>
        <v>OK</v>
      </c>
      <c r="V539" t="str">
        <f t="shared" si="62"/>
        <v>OK</v>
      </c>
      <c r="W539" t="str">
        <f>IF(SUMIF($B$5:$B$914,B539,$S$5:$S$914)=SUMIF(DailyProduction!$Q$5:$Q$100,B539,DailyProduction!$R$5:$R$100),"OK","CHECK")</f>
        <v>OK</v>
      </c>
    </row>
    <row r="540" spans="1:23">
      <c r="A540" t="s">
        <v>973</v>
      </c>
      <c r="B540" t="s">
        <v>971</v>
      </c>
      <c r="C540" t="s">
        <v>30</v>
      </c>
      <c r="D540" s="7">
        <v>45956</v>
      </c>
      <c r="E540" t="s">
        <v>79</v>
      </c>
      <c r="F540" t="s">
        <v>32</v>
      </c>
      <c r="G540">
        <v>23</v>
      </c>
      <c r="H540" t="s">
        <v>53</v>
      </c>
      <c r="I540">
        <v>3</v>
      </c>
      <c r="J540">
        <v>12</v>
      </c>
      <c r="K540">
        <v>2</v>
      </c>
      <c r="L540">
        <f t="shared" si="56"/>
        <v>1</v>
      </c>
      <c r="P540">
        <f t="shared" si="57"/>
        <v>1</v>
      </c>
      <c r="Q540">
        <f t="shared" si="58"/>
        <v>1</v>
      </c>
      <c r="R540">
        <f t="shared" si="59"/>
        <v>0</v>
      </c>
      <c r="S540">
        <f t="shared" si="60"/>
        <v>2</v>
      </c>
      <c r="T540" t="str">
        <f t="shared" si="61"/>
        <v>DerivedFromCount</v>
      </c>
      <c r="U540" t="str">
        <f>IF(COUNTIF(DailyProduction!$Q$5:$Q$100,B540)=1,"OK","CHECK")</f>
        <v>OK</v>
      </c>
      <c r="V540" t="str">
        <f t="shared" si="62"/>
        <v>OK</v>
      </c>
      <c r="W540" t="str">
        <f>IF(SUMIF($B$5:$B$914,B540,$S$5:$S$914)=SUMIF(DailyProduction!$Q$5:$Q$100,B540,DailyProduction!$R$5:$R$100),"OK","CHECK")</f>
        <v>OK</v>
      </c>
    </row>
    <row r="541" spans="1:23">
      <c r="A541" t="s">
        <v>974</v>
      </c>
      <c r="B541" t="s">
        <v>971</v>
      </c>
      <c r="C541" t="s">
        <v>30</v>
      </c>
      <c r="D541" s="7">
        <v>45956</v>
      </c>
      <c r="E541" t="s">
        <v>79</v>
      </c>
      <c r="F541" t="s">
        <v>32</v>
      </c>
      <c r="G541">
        <v>23</v>
      </c>
      <c r="H541" t="s">
        <v>53</v>
      </c>
      <c r="I541">
        <v>4</v>
      </c>
      <c r="J541">
        <v>12</v>
      </c>
      <c r="K541">
        <v>2</v>
      </c>
      <c r="L541">
        <f t="shared" si="56"/>
        <v>1</v>
      </c>
      <c r="P541">
        <f t="shared" si="57"/>
        <v>1</v>
      </c>
      <c r="Q541">
        <f t="shared" si="58"/>
        <v>1</v>
      </c>
      <c r="R541">
        <f t="shared" si="59"/>
        <v>0</v>
      </c>
      <c r="S541">
        <f t="shared" si="60"/>
        <v>2</v>
      </c>
      <c r="T541" t="str">
        <f t="shared" si="61"/>
        <v>DerivedFromCount</v>
      </c>
      <c r="U541" t="str">
        <f>IF(COUNTIF(DailyProduction!$Q$5:$Q$100,B541)=1,"OK","CHECK")</f>
        <v>OK</v>
      </c>
      <c r="V541" t="str">
        <f t="shared" si="62"/>
        <v>OK</v>
      </c>
      <c r="W541" t="str">
        <f>IF(SUMIF($B$5:$B$914,B541,$S$5:$S$914)=SUMIF(DailyProduction!$Q$5:$Q$100,B541,DailyProduction!$R$5:$R$100),"OK","CHECK")</f>
        <v>OK</v>
      </c>
    </row>
    <row r="542" spans="1:23">
      <c r="A542" t="s">
        <v>975</v>
      </c>
      <c r="B542" t="s">
        <v>971</v>
      </c>
      <c r="C542" t="s">
        <v>30</v>
      </c>
      <c r="D542" s="7">
        <v>45956</v>
      </c>
      <c r="E542" t="s">
        <v>79</v>
      </c>
      <c r="F542" t="s">
        <v>32</v>
      </c>
      <c r="G542">
        <v>23</v>
      </c>
      <c r="H542" t="s">
        <v>53</v>
      </c>
      <c r="I542">
        <v>5</v>
      </c>
      <c r="J542">
        <v>12</v>
      </c>
      <c r="K542">
        <v>2</v>
      </c>
      <c r="L542">
        <f t="shared" si="56"/>
        <v>1</v>
      </c>
      <c r="P542">
        <f t="shared" si="57"/>
        <v>1</v>
      </c>
      <c r="Q542">
        <f t="shared" si="58"/>
        <v>1</v>
      </c>
      <c r="R542">
        <f t="shared" si="59"/>
        <v>0</v>
      </c>
      <c r="S542">
        <f t="shared" si="60"/>
        <v>2</v>
      </c>
      <c r="T542" t="str">
        <f t="shared" si="61"/>
        <v>DerivedFromCount</v>
      </c>
      <c r="U542" t="str">
        <f>IF(COUNTIF(DailyProduction!$Q$5:$Q$100,B542)=1,"OK","CHECK")</f>
        <v>OK</v>
      </c>
      <c r="V542" t="str">
        <f t="shared" si="62"/>
        <v>OK</v>
      </c>
      <c r="W542" t="str">
        <f>IF(SUMIF($B$5:$B$914,B542,$S$5:$S$914)=SUMIF(DailyProduction!$Q$5:$Q$100,B542,DailyProduction!$R$5:$R$100),"OK","CHECK")</f>
        <v>OK</v>
      </c>
    </row>
    <row r="543" spans="1:23">
      <c r="A543" t="s">
        <v>976</v>
      </c>
      <c r="B543" t="s">
        <v>971</v>
      </c>
      <c r="C543" t="s">
        <v>30</v>
      </c>
      <c r="D543" s="7">
        <v>45956</v>
      </c>
      <c r="E543" t="s">
        <v>79</v>
      </c>
      <c r="F543" t="s">
        <v>32</v>
      </c>
      <c r="G543">
        <v>23</v>
      </c>
      <c r="H543" t="s">
        <v>53</v>
      </c>
      <c r="I543">
        <v>6</v>
      </c>
      <c r="J543">
        <v>12</v>
      </c>
      <c r="K543">
        <v>2</v>
      </c>
      <c r="L543">
        <f t="shared" si="56"/>
        <v>1</v>
      </c>
      <c r="P543">
        <f t="shared" si="57"/>
        <v>1</v>
      </c>
      <c r="Q543">
        <f t="shared" si="58"/>
        <v>1</v>
      </c>
      <c r="R543">
        <f t="shared" si="59"/>
        <v>0</v>
      </c>
      <c r="S543">
        <f t="shared" si="60"/>
        <v>2</v>
      </c>
      <c r="T543" t="str">
        <f t="shared" si="61"/>
        <v>DerivedFromCount</v>
      </c>
      <c r="U543" t="str">
        <f>IF(COUNTIF(DailyProduction!$Q$5:$Q$100,B543)=1,"OK","CHECK")</f>
        <v>OK</v>
      </c>
      <c r="V543" t="str">
        <f t="shared" si="62"/>
        <v>OK</v>
      </c>
      <c r="W543" t="str">
        <f>IF(SUMIF($B$5:$B$914,B543,$S$5:$S$914)=SUMIF(DailyProduction!$Q$5:$Q$100,B543,DailyProduction!$R$5:$R$100),"OK","CHECK")</f>
        <v>OK</v>
      </c>
    </row>
    <row r="544" spans="1:23">
      <c r="A544" t="s">
        <v>977</v>
      </c>
      <c r="B544" t="s">
        <v>971</v>
      </c>
      <c r="C544" t="s">
        <v>30</v>
      </c>
      <c r="D544" s="7">
        <v>45956</v>
      </c>
      <c r="E544" t="s">
        <v>79</v>
      </c>
      <c r="F544" t="s">
        <v>32</v>
      </c>
      <c r="G544">
        <v>23</v>
      </c>
      <c r="H544" t="s">
        <v>53</v>
      </c>
      <c r="I544">
        <v>7</v>
      </c>
      <c r="J544">
        <v>12</v>
      </c>
      <c r="K544">
        <v>2</v>
      </c>
      <c r="L544">
        <f t="shared" si="56"/>
        <v>1</v>
      </c>
      <c r="P544">
        <f t="shared" si="57"/>
        <v>1</v>
      </c>
      <c r="Q544">
        <f t="shared" si="58"/>
        <v>1</v>
      </c>
      <c r="R544">
        <f t="shared" si="59"/>
        <v>0</v>
      </c>
      <c r="S544">
        <f t="shared" si="60"/>
        <v>2</v>
      </c>
      <c r="T544" t="str">
        <f t="shared" si="61"/>
        <v>DerivedFromCount</v>
      </c>
      <c r="U544" t="str">
        <f>IF(COUNTIF(DailyProduction!$Q$5:$Q$100,B544)=1,"OK","CHECK")</f>
        <v>OK</v>
      </c>
      <c r="V544" t="str">
        <f t="shared" si="62"/>
        <v>OK</v>
      </c>
      <c r="W544" t="str">
        <f>IF(SUMIF($B$5:$B$914,B544,$S$5:$S$914)=SUMIF(DailyProduction!$Q$5:$Q$100,B544,DailyProduction!$R$5:$R$100),"OK","CHECK")</f>
        <v>OK</v>
      </c>
    </row>
    <row r="545" spans="1:23">
      <c r="A545" t="s">
        <v>978</v>
      </c>
      <c r="B545" t="s">
        <v>971</v>
      </c>
      <c r="C545" t="s">
        <v>30</v>
      </c>
      <c r="D545" s="7">
        <v>45956</v>
      </c>
      <c r="E545" t="s">
        <v>79</v>
      </c>
      <c r="F545" t="s">
        <v>32</v>
      </c>
      <c r="G545">
        <v>23</v>
      </c>
      <c r="H545" t="s">
        <v>53</v>
      </c>
      <c r="I545">
        <v>8</v>
      </c>
      <c r="J545">
        <v>12</v>
      </c>
      <c r="K545">
        <v>2</v>
      </c>
      <c r="L545">
        <f t="shared" si="56"/>
        <v>1</v>
      </c>
      <c r="P545">
        <f t="shared" si="57"/>
        <v>1</v>
      </c>
      <c r="Q545">
        <f t="shared" si="58"/>
        <v>1</v>
      </c>
      <c r="R545">
        <f t="shared" si="59"/>
        <v>0</v>
      </c>
      <c r="S545">
        <f t="shared" si="60"/>
        <v>2</v>
      </c>
      <c r="T545" t="str">
        <f t="shared" si="61"/>
        <v>DerivedFromCount</v>
      </c>
      <c r="U545" t="str">
        <f>IF(COUNTIF(DailyProduction!$Q$5:$Q$100,B545)=1,"OK","CHECK")</f>
        <v>OK</v>
      </c>
      <c r="V545" t="str">
        <f t="shared" si="62"/>
        <v>OK</v>
      </c>
      <c r="W545" t="str">
        <f>IF(SUMIF($B$5:$B$914,B545,$S$5:$S$914)=SUMIF(DailyProduction!$Q$5:$Q$100,B545,DailyProduction!$R$5:$R$100),"OK","CHECK")</f>
        <v>OK</v>
      </c>
    </row>
    <row r="546" spans="1:23">
      <c r="A546" t="s">
        <v>979</v>
      </c>
      <c r="B546" t="s">
        <v>971</v>
      </c>
      <c r="C546" t="s">
        <v>30</v>
      </c>
      <c r="D546" s="7">
        <v>45956</v>
      </c>
      <c r="E546" t="s">
        <v>79</v>
      </c>
      <c r="F546" t="s">
        <v>32</v>
      </c>
      <c r="G546">
        <v>23</v>
      </c>
      <c r="H546" t="s">
        <v>53</v>
      </c>
      <c r="I546">
        <v>9</v>
      </c>
      <c r="J546">
        <v>12</v>
      </c>
      <c r="K546">
        <v>2</v>
      </c>
      <c r="L546">
        <f t="shared" si="56"/>
        <v>1</v>
      </c>
      <c r="P546">
        <f t="shared" si="57"/>
        <v>1</v>
      </c>
      <c r="Q546">
        <f t="shared" si="58"/>
        <v>1</v>
      </c>
      <c r="R546">
        <f t="shared" si="59"/>
        <v>0</v>
      </c>
      <c r="S546">
        <f t="shared" si="60"/>
        <v>2</v>
      </c>
      <c r="T546" t="str">
        <f t="shared" si="61"/>
        <v>DerivedFromCount</v>
      </c>
      <c r="U546" t="str">
        <f>IF(COUNTIF(DailyProduction!$Q$5:$Q$100,B546)=1,"OK","CHECK")</f>
        <v>OK</v>
      </c>
      <c r="V546" t="str">
        <f t="shared" si="62"/>
        <v>OK</v>
      </c>
      <c r="W546" t="str">
        <f>IF(SUMIF($B$5:$B$914,B546,$S$5:$S$914)=SUMIF(DailyProduction!$Q$5:$Q$100,B546,DailyProduction!$R$5:$R$100),"OK","CHECK")</f>
        <v>OK</v>
      </c>
    </row>
    <row r="547" spans="1:23">
      <c r="A547" t="s">
        <v>980</v>
      </c>
      <c r="B547" t="s">
        <v>971</v>
      </c>
      <c r="C547" t="s">
        <v>30</v>
      </c>
      <c r="D547" s="7">
        <v>45956</v>
      </c>
      <c r="E547" t="s">
        <v>79</v>
      </c>
      <c r="F547" t="s">
        <v>32</v>
      </c>
      <c r="G547">
        <v>23</v>
      </c>
      <c r="H547" t="s">
        <v>53</v>
      </c>
      <c r="I547">
        <v>10</v>
      </c>
      <c r="J547">
        <v>12</v>
      </c>
      <c r="K547">
        <v>2</v>
      </c>
      <c r="L547">
        <f t="shared" si="56"/>
        <v>1</v>
      </c>
      <c r="P547">
        <f t="shared" si="57"/>
        <v>1</v>
      </c>
      <c r="Q547">
        <f t="shared" si="58"/>
        <v>1</v>
      </c>
      <c r="R547">
        <f t="shared" si="59"/>
        <v>0</v>
      </c>
      <c r="S547">
        <f t="shared" si="60"/>
        <v>2</v>
      </c>
      <c r="T547" t="str">
        <f t="shared" si="61"/>
        <v>DerivedFromCount</v>
      </c>
      <c r="U547" t="str">
        <f>IF(COUNTIF(DailyProduction!$Q$5:$Q$100,B547)=1,"OK","CHECK")</f>
        <v>OK</v>
      </c>
      <c r="V547" t="str">
        <f t="shared" si="62"/>
        <v>OK</v>
      </c>
      <c r="W547" t="str">
        <f>IF(SUMIF($B$5:$B$914,B547,$S$5:$S$914)=SUMIF(DailyProduction!$Q$5:$Q$100,B547,DailyProduction!$R$5:$R$100),"OK","CHECK")</f>
        <v>OK</v>
      </c>
    </row>
    <row r="548" spans="1:23">
      <c r="A548" t="s">
        <v>981</v>
      </c>
      <c r="B548" t="s">
        <v>971</v>
      </c>
      <c r="C548" t="s">
        <v>30</v>
      </c>
      <c r="D548" s="7">
        <v>45956</v>
      </c>
      <c r="E548" t="s">
        <v>79</v>
      </c>
      <c r="F548" t="s">
        <v>32</v>
      </c>
      <c r="G548">
        <v>23</v>
      </c>
      <c r="H548" t="s">
        <v>53</v>
      </c>
      <c r="I548">
        <v>11</v>
      </c>
      <c r="J548">
        <v>12</v>
      </c>
      <c r="K548">
        <v>2</v>
      </c>
      <c r="L548">
        <f t="shared" si="56"/>
        <v>1</v>
      </c>
      <c r="P548">
        <f t="shared" si="57"/>
        <v>1</v>
      </c>
      <c r="Q548">
        <f t="shared" si="58"/>
        <v>1</v>
      </c>
      <c r="R548">
        <f t="shared" si="59"/>
        <v>0</v>
      </c>
      <c r="S548">
        <f t="shared" si="60"/>
        <v>2</v>
      </c>
      <c r="T548" t="str">
        <f t="shared" si="61"/>
        <v>DerivedFromCount</v>
      </c>
      <c r="U548" t="str">
        <f>IF(COUNTIF(DailyProduction!$Q$5:$Q$100,B548)=1,"OK","CHECK")</f>
        <v>OK</v>
      </c>
      <c r="V548" t="str">
        <f t="shared" si="62"/>
        <v>OK</v>
      </c>
      <c r="W548" t="str">
        <f>IF(SUMIF($B$5:$B$914,B548,$S$5:$S$914)=SUMIF(DailyProduction!$Q$5:$Q$100,B548,DailyProduction!$R$5:$R$100),"OK","CHECK")</f>
        <v>OK</v>
      </c>
    </row>
    <row r="549" spans="1:23">
      <c r="A549" t="s">
        <v>982</v>
      </c>
      <c r="B549" t="s">
        <v>971</v>
      </c>
      <c r="C549" t="s">
        <v>30</v>
      </c>
      <c r="D549" s="7">
        <v>45956</v>
      </c>
      <c r="E549" t="s">
        <v>79</v>
      </c>
      <c r="F549" t="s">
        <v>32</v>
      </c>
      <c r="G549">
        <v>23</v>
      </c>
      <c r="H549" t="s">
        <v>53</v>
      </c>
      <c r="I549">
        <v>12</v>
      </c>
      <c r="J549">
        <v>12</v>
      </c>
      <c r="K549">
        <v>2</v>
      </c>
      <c r="L549">
        <f t="shared" si="56"/>
        <v>1</v>
      </c>
      <c r="P549">
        <f t="shared" si="57"/>
        <v>1</v>
      </c>
      <c r="Q549">
        <f t="shared" si="58"/>
        <v>1</v>
      </c>
      <c r="R549">
        <f t="shared" si="59"/>
        <v>0</v>
      </c>
      <c r="S549">
        <f t="shared" si="60"/>
        <v>2</v>
      </c>
      <c r="T549" t="str">
        <f t="shared" si="61"/>
        <v>DerivedFromCount</v>
      </c>
      <c r="U549" t="str">
        <f>IF(COUNTIF(DailyProduction!$Q$5:$Q$100,B549)=1,"OK","CHECK")</f>
        <v>OK</v>
      </c>
      <c r="V549" t="str">
        <f t="shared" si="62"/>
        <v>OK</v>
      </c>
      <c r="W549" t="str">
        <f>IF(SUMIF($B$5:$B$914,B549,$S$5:$S$914)=SUMIF(DailyProduction!$Q$5:$Q$100,B549,DailyProduction!$R$5:$R$100),"OK","CHECK")</f>
        <v>OK</v>
      </c>
    </row>
    <row r="550" spans="1:23">
      <c r="A550" t="s">
        <v>983</v>
      </c>
      <c r="B550" t="s">
        <v>971</v>
      </c>
      <c r="C550" t="s">
        <v>30</v>
      </c>
      <c r="D550" s="7">
        <v>45956</v>
      </c>
      <c r="E550" t="s">
        <v>79</v>
      </c>
      <c r="F550" t="s">
        <v>32</v>
      </c>
      <c r="G550">
        <v>23</v>
      </c>
      <c r="H550" t="s">
        <v>53</v>
      </c>
      <c r="I550">
        <v>13</v>
      </c>
      <c r="J550">
        <v>12</v>
      </c>
      <c r="K550">
        <v>2</v>
      </c>
      <c r="L550">
        <f t="shared" si="56"/>
        <v>0</v>
      </c>
      <c r="P550">
        <f t="shared" si="57"/>
        <v>0</v>
      </c>
      <c r="Q550">
        <f t="shared" si="58"/>
        <v>0</v>
      </c>
      <c r="R550">
        <f t="shared" si="59"/>
        <v>0</v>
      </c>
      <c r="S550">
        <f t="shared" si="60"/>
        <v>0</v>
      </c>
      <c r="T550" t="str">
        <f t="shared" si="61"/>
        <v>DerivedFromCount</v>
      </c>
      <c r="U550" t="str">
        <f>IF(COUNTIF(DailyProduction!$Q$5:$Q$100,B550)=1,"OK","CHECK")</f>
        <v>OK</v>
      </c>
      <c r="V550" t="str">
        <f t="shared" si="62"/>
        <v>OK</v>
      </c>
      <c r="W550" t="str">
        <f>IF(SUMIF($B$5:$B$914,B550,$S$5:$S$914)=SUMIF(DailyProduction!$Q$5:$Q$100,B550,DailyProduction!$R$5:$R$100),"OK","CHECK")</f>
        <v>OK</v>
      </c>
    </row>
    <row r="551" spans="1:23">
      <c r="A551" t="s">
        <v>984</v>
      </c>
      <c r="B551" t="s">
        <v>985</v>
      </c>
      <c r="C551" t="s">
        <v>30</v>
      </c>
      <c r="D551" s="7">
        <v>45950</v>
      </c>
      <c r="E551" t="s">
        <v>31</v>
      </c>
      <c r="F551" t="s">
        <v>41</v>
      </c>
      <c r="G551">
        <v>24</v>
      </c>
      <c r="H551" t="s">
        <v>58</v>
      </c>
      <c r="I551">
        <v>1</v>
      </c>
      <c r="J551">
        <v>12</v>
      </c>
      <c r="K551">
        <v>4</v>
      </c>
      <c r="L551">
        <f t="shared" si="56"/>
        <v>1</v>
      </c>
      <c r="P551">
        <f t="shared" si="57"/>
        <v>1</v>
      </c>
      <c r="Q551">
        <f t="shared" si="58"/>
        <v>1</v>
      </c>
      <c r="R551">
        <f t="shared" si="59"/>
        <v>1</v>
      </c>
      <c r="S551">
        <f t="shared" si="60"/>
        <v>3</v>
      </c>
      <c r="T551" t="str">
        <f t="shared" si="61"/>
        <v>DerivedFromCount</v>
      </c>
      <c r="U551" t="str">
        <f>IF(COUNTIF(DailyProduction!$Q$5:$Q$100,B551)=1,"OK","CHECK")</f>
        <v>OK</v>
      </c>
      <c r="V551" t="str">
        <f t="shared" si="62"/>
        <v>CHECK</v>
      </c>
      <c r="W551" t="str">
        <f>IF(SUMIF($B$5:$B$914,B551,$S$5:$S$914)=SUMIF(DailyProduction!$Q$5:$Q$100,B551,DailyProduction!$R$5:$R$100),"OK","CHECK")</f>
        <v>CHECK</v>
      </c>
    </row>
    <row r="552" spans="1:23">
      <c r="A552" t="s">
        <v>986</v>
      </c>
      <c r="B552" t="s">
        <v>985</v>
      </c>
      <c r="C552" t="s">
        <v>30</v>
      </c>
      <c r="D552" s="7">
        <v>45950</v>
      </c>
      <c r="E552" t="s">
        <v>31</v>
      </c>
      <c r="F552" t="s">
        <v>41</v>
      </c>
      <c r="G552">
        <v>24</v>
      </c>
      <c r="H552" t="s">
        <v>58</v>
      </c>
      <c r="I552">
        <v>2</v>
      </c>
      <c r="J552">
        <v>12</v>
      </c>
      <c r="K552">
        <v>4</v>
      </c>
      <c r="L552">
        <f t="shared" si="56"/>
        <v>1</v>
      </c>
      <c r="P552">
        <f t="shared" si="57"/>
        <v>1</v>
      </c>
      <c r="Q552">
        <f t="shared" si="58"/>
        <v>1</v>
      </c>
      <c r="R552">
        <f t="shared" si="59"/>
        <v>1</v>
      </c>
      <c r="S552">
        <f t="shared" si="60"/>
        <v>3</v>
      </c>
      <c r="T552" t="str">
        <f t="shared" si="61"/>
        <v>DerivedFromCount</v>
      </c>
      <c r="U552" t="str">
        <f>IF(COUNTIF(DailyProduction!$Q$5:$Q$100,B552)=1,"OK","CHECK")</f>
        <v>OK</v>
      </c>
      <c r="V552" t="str">
        <f t="shared" si="62"/>
        <v>CHECK</v>
      </c>
      <c r="W552" t="str">
        <f>IF(SUMIF($B$5:$B$914,B552,$S$5:$S$914)=SUMIF(DailyProduction!$Q$5:$Q$100,B552,DailyProduction!$R$5:$R$100),"OK","CHECK")</f>
        <v>CHECK</v>
      </c>
    </row>
    <row r="553" spans="1:23">
      <c r="A553" t="s">
        <v>987</v>
      </c>
      <c r="B553" t="s">
        <v>985</v>
      </c>
      <c r="C553" t="s">
        <v>30</v>
      </c>
      <c r="D553" s="7">
        <v>45950</v>
      </c>
      <c r="E553" t="s">
        <v>31</v>
      </c>
      <c r="F553" t="s">
        <v>41</v>
      </c>
      <c r="G553">
        <v>24</v>
      </c>
      <c r="H553" t="s">
        <v>58</v>
      </c>
      <c r="I553">
        <v>3</v>
      </c>
      <c r="J553">
        <v>12</v>
      </c>
      <c r="K553">
        <v>4</v>
      </c>
      <c r="L553">
        <f t="shared" si="56"/>
        <v>1</v>
      </c>
      <c r="P553">
        <f t="shared" si="57"/>
        <v>1</v>
      </c>
      <c r="Q553">
        <f t="shared" si="58"/>
        <v>1</v>
      </c>
      <c r="R553">
        <f t="shared" si="59"/>
        <v>1</v>
      </c>
      <c r="S553">
        <f t="shared" si="60"/>
        <v>3</v>
      </c>
      <c r="T553" t="str">
        <f t="shared" si="61"/>
        <v>DerivedFromCount</v>
      </c>
      <c r="U553" t="str">
        <f>IF(COUNTIF(DailyProduction!$Q$5:$Q$100,B553)=1,"OK","CHECK")</f>
        <v>OK</v>
      </c>
      <c r="V553" t="str">
        <f t="shared" si="62"/>
        <v>CHECK</v>
      </c>
      <c r="W553" t="str">
        <f>IF(SUMIF($B$5:$B$914,B553,$S$5:$S$914)=SUMIF(DailyProduction!$Q$5:$Q$100,B553,DailyProduction!$R$5:$R$100),"OK","CHECK")</f>
        <v>CHECK</v>
      </c>
    </row>
    <row r="554" spans="1:23">
      <c r="A554" t="s">
        <v>988</v>
      </c>
      <c r="B554" t="s">
        <v>985</v>
      </c>
      <c r="C554" t="s">
        <v>30</v>
      </c>
      <c r="D554" s="7">
        <v>45950</v>
      </c>
      <c r="E554" t="s">
        <v>31</v>
      </c>
      <c r="F554" t="s">
        <v>41</v>
      </c>
      <c r="G554">
        <v>24</v>
      </c>
      <c r="H554" t="s">
        <v>58</v>
      </c>
      <c r="I554">
        <v>4</v>
      </c>
      <c r="J554">
        <v>12</v>
      </c>
      <c r="K554">
        <v>4</v>
      </c>
      <c r="L554">
        <f t="shared" si="56"/>
        <v>1</v>
      </c>
      <c r="P554">
        <f t="shared" si="57"/>
        <v>1</v>
      </c>
      <c r="Q554">
        <f t="shared" si="58"/>
        <v>1</v>
      </c>
      <c r="R554">
        <f t="shared" si="59"/>
        <v>1</v>
      </c>
      <c r="S554">
        <f t="shared" si="60"/>
        <v>3</v>
      </c>
      <c r="T554" t="str">
        <f t="shared" si="61"/>
        <v>DerivedFromCount</v>
      </c>
      <c r="U554" t="str">
        <f>IF(COUNTIF(DailyProduction!$Q$5:$Q$100,B554)=1,"OK","CHECK")</f>
        <v>OK</v>
      </c>
      <c r="V554" t="str">
        <f t="shared" si="62"/>
        <v>CHECK</v>
      </c>
      <c r="W554" t="str">
        <f>IF(SUMIF($B$5:$B$914,B554,$S$5:$S$914)=SUMIF(DailyProduction!$Q$5:$Q$100,B554,DailyProduction!$R$5:$R$100),"OK","CHECK")</f>
        <v>CHECK</v>
      </c>
    </row>
    <row r="555" spans="1:23">
      <c r="A555" t="s">
        <v>989</v>
      </c>
      <c r="B555" t="s">
        <v>985</v>
      </c>
      <c r="C555" t="s">
        <v>30</v>
      </c>
      <c r="D555" s="7">
        <v>45950</v>
      </c>
      <c r="E555" t="s">
        <v>31</v>
      </c>
      <c r="F555" t="s">
        <v>41</v>
      </c>
      <c r="G555">
        <v>24</v>
      </c>
      <c r="H555" t="s">
        <v>58</v>
      </c>
      <c r="I555">
        <v>5</v>
      </c>
      <c r="J555">
        <v>12</v>
      </c>
      <c r="K555">
        <v>4</v>
      </c>
      <c r="L555">
        <f t="shared" si="56"/>
        <v>1</v>
      </c>
      <c r="P555">
        <f t="shared" si="57"/>
        <v>1</v>
      </c>
      <c r="Q555">
        <f t="shared" si="58"/>
        <v>1</v>
      </c>
      <c r="R555">
        <f t="shared" si="59"/>
        <v>1</v>
      </c>
      <c r="S555">
        <f t="shared" si="60"/>
        <v>3</v>
      </c>
      <c r="T555" t="str">
        <f t="shared" si="61"/>
        <v>DerivedFromCount</v>
      </c>
      <c r="U555" t="str">
        <f>IF(COUNTIF(DailyProduction!$Q$5:$Q$100,B555)=1,"OK","CHECK")</f>
        <v>OK</v>
      </c>
      <c r="V555" t="str">
        <f t="shared" si="62"/>
        <v>CHECK</v>
      </c>
      <c r="W555" t="str">
        <f>IF(SUMIF($B$5:$B$914,B555,$S$5:$S$914)=SUMIF(DailyProduction!$Q$5:$Q$100,B555,DailyProduction!$R$5:$R$100),"OK","CHECK")</f>
        <v>CHECK</v>
      </c>
    </row>
    <row r="556" spans="1:23">
      <c r="A556" t="s">
        <v>990</v>
      </c>
      <c r="B556" t="s">
        <v>985</v>
      </c>
      <c r="C556" t="s">
        <v>30</v>
      </c>
      <c r="D556" s="7">
        <v>45950</v>
      </c>
      <c r="E556" t="s">
        <v>31</v>
      </c>
      <c r="F556" t="s">
        <v>41</v>
      </c>
      <c r="G556">
        <v>24</v>
      </c>
      <c r="H556" t="s">
        <v>58</v>
      </c>
      <c r="I556">
        <v>6</v>
      </c>
      <c r="J556">
        <v>12</v>
      </c>
      <c r="K556">
        <v>4</v>
      </c>
      <c r="L556">
        <f t="shared" si="56"/>
        <v>1</v>
      </c>
      <c r="P556">
        <f t="shared" si="57"/>
        <v>1</v>
      </c>
      <c r="Q556">
        <f t="shared" si="58"/>
        <v>1</v>
      </c>
      <c r="R556">
        <f t="shared" si="59"/>
        <v>1</v>
      </c>
      <c r="S556">
        <f t="shared" si="60"/>
        <v>3</v>
      </c>
      <c r="T556" t="str">
        <f t="shared" si="61"/>
        <v>DerivedFromCount</v>
      </c>
      <c r="U556" t="str">
        <f>IF(COUNTIF(DailyProduction!$Q$5:$Q$100,B556)=1,"OK","CHECK")</f>
        <v>OK</v>
      </c>
      <c r="V556" t="str">
        <f t="shared" si="62"/>
        <v>CHECK</v>
      </c>
      <c r="W556" t="str">
        <f>IF(SUMIF($B$5:$B$914,B556,$S$5:$S$914)=SUMIF(DailyProduction!$Q$5:$Q$100,B556,DailyProduction!$R$5:$R$100),"OK","CHECK")</f>
        <v>CHECK</v>
      </c>
    </row>
    <row r="557" spans="1:23">
      <c r="A557" t="s">
        <v>991</v>
      </c>
      <c r="B557" t="s">
        <v>985</v>
      </c>
      <c r="C557" t="s">
        <v>30</v>
      </c>
      <c r="D557" s="7">
        <v>45950</v>
      </c>
      <c r="E557" t="s">
        <v>31</v>
      </c>
      <c r="F557" t="s">
        <v>41</v>
      </c>
      <c r="G557">
        <v>24</v>
      </c>
      <c r="H557" t="s">
        <v>58</v>
      </c>
      <c r="I557">
        <v>7</v>
      </c>
      <c r="J557">
        <v>12</v>
      </c>
      <c r="K557">
        <v>4</v>
      </c>
      <c r="L557">
        <f t="shared" si="56"/>
        <v>1</v>
      </c>
      <c r="P557">
        <f t="shared" si="57"/>
        <v>1</v>
      </c>
      <c r="Q557">
        <f t="shared" si="58"/>
        <v>1</v>
      </c>
      <c r="R557">
        <f t="shared" si="59"/>
        <v>1</v>
      </c>
      <c r="S557">
        <f t="shared" si="60"/>
        <v>3</v>
      </c>
      <c r="T557" t="str">
        <f t="shared" si="61"/>
        <v>DerivedFromCount</v>
      </c>
      <c r="U557" t="str">
        <f>IF(COUNTIF(DailyProduction!$Q$5:$Q$100,B557)=1,"OK","CHECK")</f>
        <v>OK</v>
      </c>
      <c r="V557" t="str">
        <f t="shared" si="62"/>
        <v>CHECK</v>
      </c>
      <c r="W557" t="str">
        <f>IF(SUMIF($B$5:$B$914,B557,$S$5:$S$914)=SUMIF(DailyProduction!$Q$5:$Q$100,B557,DailyProduction!$R$5:$R$100),"OK","CHECK")</f>
        <v>CHECK</v>
      </c>
    </row>
    <row r="558" spans="1:23">
      <c r="A558" t="s">
        <v>992</v>
      </c>
      <c r="B558" t="s">
        <v>985</v>
      </c>
      <c r="C558" t="s">
        <v>30</v>
      </c>
      <c r="D558" s="7">
        <v>45950</v>
      </c>
      <c r="E558" t="s">
        <v>31</v>
      </c>
      <c r="F558" t="s">
        <v>41</v>
      </c>
      <c r="G558">
        <v>24</v>
      </c>
      <c r="H558" t="s">
        <v>58</v>
      </c>
      <c r="I558">
        <v>8</v>
      </c>
      <c r="J558">
        <v>12</v>
      </c>
      <c r="K558">
        <v>4</v>
      </c>
      <c r="L558">
        <f t="shared" si="56"/>
        <v>1</v>
      </c>
      <c r="P558">
        <f t="shared" si="57"/>
        <v>1</v>
      </c>
      <c r="Q558">
        <f t="shared" si="58"/>
        <v>1</v>
      </c>
      <c r="R558">
        <f t="shared" si="59"/>
        <v>1</v>
      </c>
      <c r="S558">
        <f t="shared" si="60"/>
        <v>3</v>
      </c>
      <c r="T558" t="str">
        <f t="shared" si="61"/>
        <v>DerivedFromCount</v>
      </c>
      <c r="U558" t="str">
        <f>IF(COUNTIF(DailyProduction!$Q$5:$Q$100,B558)=1,"OK","CHECK")</f>
        <v>OK</v>
      </c>
      <c r="V558" t="str">
        <f t="shared" si="62"/>
        <v>CHECK</v>
      </c>
      <c r="W558" t="str">
        <f>IF(SUMIF($B$5:$B$914,B558,$S$5:$S$914)=SUMIF(DailyProduction!$Q$5:$Q$100,B558,DailyProduction!$R$5:$R$100),"OK","CHECK")</f>
        <v>CHECK</v>
      </c>
    </row>
    <row r="559" spans="1:23">
      <c r="A559" t="s">
        <v>993</v>
      </c>
      <c r="B559" t="s">
        <v>985</v>
      </c>
      <c r="C559" t="s">
        <v>30</v>
      </c>
      <c r="D559" s="7">
        <v>45950</v>
      </c>
      <c r="E559" t="s">
        <v>31</v>
      </c>
      <c r="F559" t="s">
        <v>41</v>
      </c>
      <c r="G559">
        <v>24</v>
      </c>
      <c r="H559" t="s">
        <v>58</v>
      </c>
      <c r="I559">
        <v>9</v>
      </c>
      <c r="J559">
        <v>12</v>
      </c>
      <c r="K559">
        <v>4</v>
      </c>
      <c r="L559">
        <f t="shared" si="56"/>
        <v>1</v>
      </c>
      <c r="P559">
        <f t="shared" si="57"/>
        <v>1</v>
      </c>
      <c r="Q559">
        <f t="shared" si="58"/>
        <v>1</v>
      </c>
      <c r="R559">
        <f t="shared" si="59"/>
        <v>1</v>
      </c>
      <c r="S559">
        <f t="shared" si="60"/>
        <v>3</v>
      </c>
      <c r="T559" t="str">
        <f t="shared" si="61"/>
        <v>DerivedFromCount</v>
      </c>
      <c r="U559" t="str">
        <f>IF(COUNTIF(DailyProduction!$Q$5:$Q$100,B559)=1,"OK","CHECK")</f>
        <v>OK</v>
      </c>
      <c r="V559" t="str">
        <f t="shared" si="62"/>
        <v>CHECK</v>
      </c>
      <c r="W559" t="str">
        <f>IF(SUMIF($B$5:$B$914,B559,$S$5:$S$914)=SUMIF(DailyProduction!$Q$5:$Q$100,B559,DailyProduction!$R$5:$R$100),"OK","CHECK")</f>
        <v>CHECK</v>
      </c>
    </row>
    <row r="560" spans="1:23">
      <c r="A560" t="s">
        <v>994</v>
      </c>
      <c r="B560" t="s">
        <v>985</v>
      </c>
      <c r="C560" t="s">
        <v>30</v>
      </c>
      <c r="D560" s="7">
        <v>45950</v>
      </c>
      <c r="E560" t="s">
        <v>31</v>
      </c>
      <c r="F560" t="s">
        <v>41</v>
      </c>
      <c r="G560">
        <v>24</v>
      </c>
      <c r="H560" t="s">
        <v>58</v>
      </c>
      <c r="I560">
        <v>10</v>
      </c>
      <c r="J560">
        <v>12</v>
      </c>
      <c r="K560">
        <v>4</v>
      </c>
      <c r="L560">
        <f t="shared" si="56"/>
        <v>1</v>
      </c>
      <c r="P560">
        <f t="shared" si="57"/>
        <v>1</v>
      </c>
      <c r="Q560">
        <f t="shared" si="58"/>
        <v>1</v>
      </c>
      <c r="R560">
        <f t="shared" si="59"/>
        <v>1</v>
      </c>
      <c r="S560">
        <f t="shared" si="60"/>
        <v>3</v>
      </c>
      <c r="T560" t="str">
        <f t="shared" si="61"/>
        <v>DerivedFromCount</v>
      </c>
      <c r="U560" t="str">
        <f>IF(COUNTIF(DailyProduction!$Q$5:$Q$100,B560)=1,"OK","CHECK")</f>
        <v>OK</v>
      </c>
      <c r="V560" t="str">
        <f t="shared" si="62"/>
        <v>CHECK</v>
      </c>
      <c r="W560" t="str">
        <f>IF(SUMIF($B$5:$B$914,B560,$S$5:$S$914)=SUMIF(DailyProduction!$Q$5:$Q$100,B560,DailyProduction!$R$5:$R$100),"OK","CHECK")</f>
        <v>CHECK</v>
      </c>
    </row>
    <row r="561" spans="1:23">
      <c r="A561" t="s">
        <v>995</v>
      </c>
      <c r="B561" t="s">
        <v>985</v>
      </c>
      <c r="C561" t="s">
        <v>30</v>
      </c>
      <c r="D561" s="7">
        <v>45950</v>
      </c>
      <c r="E561" t="s">
        <v>31</v>
      </c>
      <c r="F561" t="s">
        <v>41</v>
      </c>
      <c r="G561">
        <v>24</v>
      </c>
      <c r="H561" t="s">
        <v>58</v>
      </c>
      <c r="I561">
        <v>11</v>
      </c>
      <c r="J561">
        <v>12</v>
      </c>
      <c r="K561">
        <v>4</v>
      </c>
      <c r="L561">
        <f t="shared" si="56"/>
        <v>1</v>
      </c>
      <c r="P561">
        <f t="shared" si="57"/>
        <v>1</v>
      </c>
      <c r="Q561">
        <f t="shared" si="58"/>
        <v>1</v>
      </c>
      <c r="R561">
        <f t="shared" si="59"/>
        <v>1</v>
      </c>
      <c r="S561">
        <f t="shared" si="60"/>
        <v>3</v>
      </c>
      <c r="T561" t="str">
        <f t="shared" si="61"/>
        <v>DerivedFromCount</v>
      </c>
      <c r="U561" t="str">
        <f>IF(COUNTIF(DailyProduction!$Q$5:$Q$100,B561)=1,"OK","CHECK")</f>
        <v>OK</v>
      </c>
      <c r="V561" t="str">
        <f t="shared" si="62"/>
        <v>CHECK</v>
      </c>
      <c r="W561" t="str">
        <f>IF(SUMIF($B$5:$B$914,B561,$S$5:$S$914)=SUMIF(DailyProduction!$Q$5:$Q$100,B561,DailyProduction!$R$5:$R$100),"OK","CHECK")</f>
        <v>CHECK</v>
      </c>
    </row>
    <row r="562" spans="1:23">
      <c r="A562" t="s">
        <v>996</v>
      </c>
      <c r="B562" t="s">
        <v>985</v>
      </c>
      <c r="C562" t="s">
        <v>30</v>
      </c>
      <c r="D562" s="7">
        <v>45950</v>
      </c>
      <c r="E562" t="s">
        <v>31</v>
      </c>
      <c r="F562" t="s">
        <v>41</v>
      </c>
      <c r="G562">
        <v>24</v>
      </c>
      <c r="H562" t="s">
        <v>58</v>
      </c>
      <c r="I562">
        <v>12</v>
      </c>
      <c r="J562">
        <v>12</v>
      </c>
      <c r="K562">
        <v>4</v>
      </c>
      <c r="L562">
        <f t="shared" si="56"/>
        <v>1</v>
      </c>
      <c r="P562">
        <f t="shared" si="57"/>
        <v>1</v>
      </c>
      <c r="Q562">
        <f t="shared" si="58"/>
        <v>1</v>
      </c>
      <c r="R562">
        <f t="shared" si="59"/>
        <v>1</v>
      </c>
      <c r="S562">
        <f t="shared" si="60"/>
        <v>3</v>
      </c>
      <c r="T562" t="str">
        <f t="shared" si="61"/>
        <v>DerivedFromCount</v>
      </c>
      <c r="U562" t="str">
        <f>IF(COUNTIF(DailyProduction!$Q$5:$Q$100,B562)=1,"OK","CHECK")</f>
        <v>OK</v>
      </c>
      <c r="V562" t="str">
        <f t="shared" si="62"/>
        <v>CHECK</v>
      </c>
      <c r="W562" t="str">
        <f>IF(SUMIF($B$5:$B$914,B562,$S$5:$S$914)=SUMIF(DailyProduction!$Q$5:$Q$100,B562,DailyProduction!$R$5:$R$100),"OK","CHECK")</f>
        <v>CHECK</v>
      </c>
    </row>
    <row r="563" spans="1:23">
      <c r="A563" t="s">
        <v>997</v>
      </c>
      <c r="B563" t="s">
        <v>985</v>
      </c>
      <c r="C563" t="s">
        <v>30</v>
      </c>
      <c r="D563" s="7">
        <v>45950</v>
      </c>
      <c r="E563" t="s">
        <v>31</v>
      </c>
      <c r="F563" t="s">
        <v>41</v>
      </c>
      <c r="G563">
        <v>24</v>
      </c>
      <c r="H563" t="s">
        <v>58</v>
      </c>
      <c r="I563">
        <v>13</v>
      </c>
      <c r="J563">
        <v>12</v>
      </c>
      <c r="K563">
        <v>4</v>
      </c>
      <c r="L563">
        <f t="shared" si="56"/>
        <v>0</v>
      </c>
      <c r="P563">
        <f t="shared" si="57"/>
        <v>0</v>
      </c>
      <c r="Q563">
        <f t="shared" si="58"/>
        <v>0</v>
      </c>
      <c r="R563">
        <f t="shared" si="59"/>
        <v>0</v>
      </c>
      <c r="S563">
        <f t="shared" si="60"/>
        <v>0</v>
      </c>
      <c r="T563" t="str">
        <f t="shared" si="61"/>
        <v>DerivedFromCount</v>
      </c>
      <c r="U563" t="str">
        <f>IF(COUNTIF(DailyProduction!$Q$5:$Q$100,B563)=1,"OK","CHECK")</f>
        <v>OK</v>
      </c>
      <c r="V563" t="str">
        <f t="shared" si="62"/>
        <v>CHECK</v>
      </c>
      <c r="W563" t="str">
        <f>IF(SUMIF($B$5:$B$914,B563,$S$5:$S$914)=SUMIF(DailyProduction!$Q$5:$Q$100,B563,DailyProduction!$R$5:$R$100),"OK","CHECK")</f>
        <v>CHECK</v>
      </c>
    </row>
    <row r="564" spans="1:23">
      <c r="A564" t="s">
        <v>998</v>
      </c>
      <c r="B564" t="s">
        <v>999</v>
      </c>
      <c r="C564" t="s">
        <v>30</v>
      </c>
      <c r="D564" s="7">
        <v>45950</v>
      </c>
      <c r="E564" t="s">
        <v>79</v>
      </c>
      <c r="F564" t="s">
        <v>32</v>
      </c>
      <c r="G564">
        <v>24</v>
      </c>
      <c r="H564" t="s">
        <v>58</v>
      </c>
      <c r="I564">
        <v>1</v>
      </c>
      <c r="J564">
        <v>12</v>
      </c>
      <c r="K564">
        <v>4</v>
      </c>
      <c r="L564">
        <f t="shared" si="56"/>
        <v>1</v>
      </c>
      <c r="P564">
        <f t="shared" si="57"/>
        <v>1</v>
      </c>
      <c r="Q564">
        <f t="shared" si="58"/>
        <v>1</v>
      </c>
      <c r="R564">
        <f t="shared" si="59"/>
        <v>1</v>
      </c>
      <c r="S564">
        <f t="shared" si="60"/>
        <v>3</v>
      </c>
      <c r="T564" t="str">
        <f t="shared" si="61"/>
        <v>DerivedFromCount</v>
      </c>
      <c r="U564" t="str">
        <f>IF(COUNTIF(DailyProduction!$Q$5:$Q$100,B564)=1,"OK","CHECK")</f>
        <v>OK</v>
      </c>
      <c r="V564" t="str">
        <f t="shared" si="62"/>
        <v>CHECK</v>
      </c>
      <c r="W564" t="str">
        <f>IF(SUMIF($B$5:$B$914,B564,$S$5:$S$914)=SUMIF(DailyProduction!$Q$5:$Q$100,B564,DailyProduction!$R$5:$R$100),"OK","CHECK")</f>
        <v>CHECK</v>
      </c>
    </row>
    <row r="565" spans="1:23">
      <c r="A565" t="s">
        <v>1000</v>
      </c>
      <c r="B565" t="s">
        <v>999</v>
      </c>
      <c r="C565" t="s">
        <v>30</v>
      </c>
      <c r="D565" s="7">
        <v>45950</v>
      </c>
      <c r="E565" t="s">
        <v>79</v>
      </c>
      <c r="F565" t="s">
        <v>32</v>
      </c>
      <c r="G565">
        <v>24</v>
      </c>
      <c r="H565" t="s">
        <v>58</v>
      </c>
      <c r="I565">
        <v>2</v>
      </c>
      <c r="J565">
        <v>12</v>
      </c>
      <c r="K565">
        <v>4</v>
      </c>
      <c r="L565">
        <f t="shared" si="56"/>
        <v>1</v>
      </c>
      <c r="P565">
        <f t="shared" si="57"/>
        <v>1</v>
      </c>
      <c r="Q565">
        <f t="shared" si="58"/>
        <v>1</v>
      </c>
      <c r="R565">
        <f t="shared" si="59"/>
        <v>1</v>
      </c>
      <c r="S565">
        <f t="shared" si="60"/>
        <v>3</v>
      </c>
      <c r="T565" t="str">
        <f t="shared" si="61"/>
        <v>DerivedFromCount</v>
      </c>
      <c r="U565" t="str">
        <f>IF(COUNTIF(DailyProduction!$Q$5:$Q$100,B565)=1,"OK","CHECK")</f>
        <v>OK</v>
      </c>
      <c r="V565" t="str">
        <f t="shared" si="62"/>
        <v>CHECK</v>
      </c>
      <c r="W565" t="str">
        <f>IF(SUMIF($B$5:$B$914,B565,$S$5:$S$914)=SUMIF(DailyProduction!$Q$5:$Q$100,B565,DailyProduction!$R$5:$R$100),"OK","CHECK")</f>
        <v>CHECK</v>
      </c>
    </row>
    <row r="566" spans="1:23">
      <c r="A566" t="s">
        <v>1001</v>
      </c>
      <c r="B566" t="s">
        <v>999</v>
      </c>
      <c r="C566" t="s">
        <v>30</v>
      </c>
      <c r="D566" s="7">
        <v>45950</v>
      </c>
      <c r="E566" t="s">
        <v>79</v>
      </c>
      <c r="F566" t="s">
        <v>32</v>
      </c>
      <c r="G566">
        <v>24</v>
      </c>
      <c r="H566" t="s">
        <v>58</v>
      </c>
      <c r="I566">
        <v>3</v>
      </c>
      <c r="J566">
        <v>12</v>
      </c>
      <c r="K566">
        <v>4</v>
      </c>
      <c r="L566">
        <f t="shared" si="56"/>
        <v>1</v>
      </c>
      <c r="P566">
        <f t="shared" si="57"/>
        <v>1</v>
      </c>
      <c r="Q566">
        <f t="shared" si="58"/>
        <v>1</v>
      </c>
      <c r="R566">
        <f t="shared" si="59"/>
        <v>1</v>
      </c>
      <c r="S566">
        <f t="shared" si="60"/>
        <v>3</v>
      </c>
      <c r="T566" t="str">
        <f t="shared" si="61"/>
        <v>DerivedFromCount</v>
      </c>
      <c r="U566" t="str">
        <f>IF(COUNTIF(DailyProduction!$Q$5:$Q$100,B566)=1,"OK","CHECK")</f>
        <v>OK</v>
      </c>
      <c r="V566" t="str">
        <f t="shared" si="62"/>
        <v>CHECK</v>
      </c>
      <c r="W566" t="str">
        <f>IF(SUMIF($B$5:$B$914,B566,$S$5:$S$914)=SUMIF(DailyProduction!$Q$5:$Q$100,B566,DailyProduction!$R$5:$R$100),"OK","CHECK")</f>
        <v>CHECK</v>
      </c>
    </row>
    <row r="567" spans="1:23">
      <c r="A567" t="s">
        <v>1002</v>
      </c>
      <c r="B567" t="s">
        <v>999</v>
      </c>
      <c r="C567" t="s">
        <v>30</v>
      </c>
      <c r="D567" s="7">
        <v>45950</v>
      </c>
      <c r="E567" t="s">
        <v>79</v>
      </c>
      <c r="F567" t="s">
        <v>32</v>
      </c>
      <c r="G567">
        <v>24</v>
      </c>
      <c r="H567" t="s">
        <v>58</v>
      </c>
      <c r="I567">
        <v>4</v>
      </c>
      <c r="J567">
        <v>12</v>
      </c>
      <c r="K567">
        <v>4</v>
      </c>
      <c r="L567">
        <f t="shared" si="56"/>
        <v>1</v>
      </c>
      <c r="P567">
        <f t="shared" si="57"/>
        <v>1</v>
      </c>
      <c r="Q567">
        <f t="shared" si="58"/>
        <v>1</v>
      </c>
      <c r="R567">
        <f t="shared" si="59"/>
        <v>1</v>
      </c>
      <c r="S567">
        <f t="shared" si="60"/>
        <v>3</v>
      </c>
      <c r="T567" t="str">
        <f t="shared" si="61"/>
        <v>DerivedFromCount</v>
      </c>
      <c r="U567" t="str">
        <f>IF(COUNTIF(DailyProduction!$Q$5:$Q$100,B567)=1,"OK","CHECK")</f>
        <v>OK</v>
      </c>
      <c r="V567" t="str">
        <f t="shared" si="62"/>
        <v>CHECK</v>
      </c>
      <c r="W567" t="str">
        <f>IF(SUMIF($B$5:$B$914,B567,$S$5:$S$914)=SUMIF(DailyProduction!$Q$5:$Q$100,B567,DailyProduction!$R$5:$R$100),"OK","CHECK")</f>
        <v>CHECK</v>
      </c>
    </row>
    <row r="568" spans="1:23">
      <c r="A568" t="s">
        <v>1003</v>
      </c>
      <c r="B568" t="s">
        <v>999</v>
      </c>
      <c r="C568" t="s">
        <v>30</v>
      </c>
      <c r="D568" s="7">
        <v>45950</v>
      </c>
      <c r="E568" t="s">
        <v>79</v>
      </c>
      <c r="F568" t="s">
        <v>32</v>
      </c>
      <c r="G568">
        <v>24</v>
      </c>
      <c r="H568" t="s">
        <v>58</v>
      </c>
      <c r="I568">
        <v>5</v>
      </c>
      <c r="J568">
        <v>12</v>
      </c>
      <c r="K568">
        <v>4</v>
      </c>
      <c r="L568">
        <f t="shared" si="56"/>
        <v>1</v>
      </c>
      <c r="P568">
        <f t="shared" si="57"/>
        <v>1</v>
      </c>
      <c r="Q568">
        <f t="shared" si="58"/>
        <v>1</v>
      </c>
      <c r="R568">
        <f t="shared" si="59"/>
        <v>1</v>
      </c>
      <c r="S568">
        <f t="shared" si="60"/>
        <v>3</v>
      </c>
      <c r="T568" t="str">
        <f t="shared" si="61"/>
        <v>DerivedFromCount</v>
      </c>
      <c r="U568" t="str">
        <f>IF(COUNTIF(DailyProduction!$Q$5:$Q$100,B568)=1,"OK","CHECK")</f>
        <v>OK</v>
      </c>
      <c r="V568" t="str">
        <f t="shared" si="62"/>
        <v>CHECK</v>
      </c>
      <c r="W568" t="str">
        <f>IF(SUMIF($B$5:$B$914,B568,$S$5:$S$914)=SUMIF(DailyProduction!$Q$5:$Q$100,B568,DailyProduction!$R$5:$R$100),"OK","CHECK")</f>
        <v>CHECK</v>
      </c>
    </row>
    <row r="569" spans="1:23">
      <c r="A569" t="s">
        <v>1004</v>
      </c>
      <c r="B569" t="s">
        <v>999</v>
      </c>
      <c r="C569" t="s">
        <v>30</v>
      </c>
      <c r="D569" s="7">
        <v>45950</v>
      </c>
      <c r="E569" t="s">
        <v>79</v>
      </c>
      <c r="F569" t="s">
        <v>32</v>
      </c>
      <c r="G569">
        <v>24</v>
      </c>
      <c r="H569" t="s">
        <v>58</v>
      </c>
      <c r="I569">
        <v>6</v>
      </c>
      <c r="J569">
        <v>12</v>
      </c>
      <c r="K569">
        <v>4</v>
      </c>
      <c r="L569">
        <f t="shared" si="56"/>
        <v>1</v>
      </c>
      <c r="P569">
        <f t="shared" si="57"/>
        <v>1</v>
      </c>
      <c r="Q569">
        <f t="shared" si="58"/>
        <v>1</v>
      </c>
      <c r="R569">
        <f t="shared" si="59"/>
        <v>1</v>
      </c>
      <c r="S569">
        <f t="shared" si="60"/>
        <v>3</v>
      </c>
      <c r="T569" t="str">
        <f t="shared" si="61"/>
        <v>DerivedFromCount</v>
      </c>
      <c r="U569" t="str">
        <f>IF(COUNTIF(DailyProduction!$Q$5:$Q$100,B569)=1,"OK","CHECK")</f>
        <v>OK</v>
      </c>
      <c r="V569" t="str">
        <f t="shared" si="62"/>
        <v>CHECK</v>
      </c>
      <c r="W569" t="str">
        <f>IF(SUMIF($B$5:$B$914,B569,$S$5:$S$914)=SUMIF(DailyProduction!$Q$5:$Q$100,B569,DailyProduction!$R$5:$R$100),"OK","CHECK")</f>
        <v>CHECK</v>
      </c>
    </row>
    <row r="570" spans="1:23">
      <c r="A570" t="s">
        <v>1005</v>
      </c>
      <c r="B570" t="s">
        <v>999</v>
      </c>
      <c r="C570" t="s">
        <v>30</v>
      </c>
      <c r="D570" s="7">
        <v>45950</v>
      </c>
      <c r="E570" t="s">
        <v>79</v>
      </c>
      <c r="F570" t="s">
        <v>32</v>
      </c>
      <c r="G570">
        <v>24</v>
      </c>
      <c r="H570" t="s">
        <v>58</v>
      </c>
      <c r="I570">
        <v>7</v>
      </c>
      <c r="J570">
        <v>12</v>
      </c>
      <c r="K570">
        <v>4</v>
      </c>
      <c r="L570">
        <f t="shared" si="56"/>
        <v>1</v>
      </c>
      <c r="P570">
        <f t="shared" si="57"/>
        <v>1</v>
      </c>
      <c r="Q570">
        <f t="shared" si="58"/>
        <v>1</v>
      </c>
      <c r="R570">
        <f t="shared" si="59"/>
        <v>1</v>
      </c>
      <c r="S570">
        <f t="shared" si="60"/>
        <v>3</v>
      </c>
      <c r="T570" t="str">
        <f t="shared" si="61"/>
        <v>DerivedFromCount</v>
      </c>
      <c r="U570" t="str">
        <f>IF(COUNTIF(DailyProduction!$Q$5:$Q$100,B570)=1,"OK","CHECK")</f>
        <v>OK</v>
      </c>
      <c r="V570" t="str">
        <f t="shared" si="62"/>
        <v>CHECK</v>
      </c>
      <c r="W570" t="str">
        <f>IF(SUMIF($B$5:$B$914,B570,$S$5:$S$914)=SUMIF(DailyProduction!$Q$5:$Q$100,B570,DailyProduction!$R$5:$R$100),"OK","CHECK")</f>
        <v>CHECK</v>
      </c>
    </row>
    <row r="571" spans="1:23">
      <c r="A571" t="s">
        <v>1006</v>
      </c>
      <c r="B571" t="s">
        <v>999</v>
      </c>
      <c r="C571" t="s">
        <v>30</v>
      </c>
      <c r="D571" s="7">
        <v>45950</v>
      </c>
      <c r="E571" t="s">
        <v>79</v>
      </c>
      <c r="F571" t="s">
        <v>32</v>
      </c>
      <c r="G571">
        <v>24</v>
      </c>
      <c r="H571" t="s">
        <v>58</v>
      </c>
      <c r="I571">
        <v>8</v>
      </c>
      <c r="J571">
        <v>12</v>
      </c>
      <c r="K571">
        <v>4</v>
      </c>
      <c r="L571">
        <f t="shared" si="56"/>
        <v>1</v>
      </c>
      <c r="P571">
        <f t="shared" si="57"/>
        <v>1</v>
      </c>
      <c r="Q571">
        <f t="shared" si="58"/>
        <v>1</v>
      </c>
      <c r="R571">
        <f t="shared" si="59"/>
        <v>1</v>
      </c>
      <c r="S571">
        <f t="shared" si="60"/>
        <v>3</v>
      </c>
      <c r="T571" t="str">
        <f t="shared" si="61"/>
        <v>DerivedFromCount</v>
      </c>
      <c r="U571" t="str">
        <f>IF(COUNTIF(DailyProduction!$Q$5:$Q$100,B571)=1,"OK","CHECK")</f>
        <v>OK</v>
      </c>
      <c r="V571" t="str">
        <f t="shared" si="62"/>
        <v>CHECK</v>
      </c>
      <c r="W571" t="str">
        <f>IF(SUMIF($B$5:$B$914,B571,$S$5:$S$914)=SUMIF(DailyProduction!$Q$5:$Q$100,B571,DailyProduction!$R$5:$R$100),"OK","CHECK")</f>
        <v>CHECK</v>
      </c>
    </row>
    <row r="572" spans="1:23">
      <c r="A572" t="s">
        <v>1007</v>
      </c>
      <c r="B572" t="s">
        <v>999</v>
      </c>
      <c r="C572" t="s">
        <v>30</v>
      </c>
      <c r="D572" s="7">
        <v>45950</v>
      </c>
      <c r="E572" t="s">
        <v>79</v>
      </c>
      <c r="F572" t="s">
        <v>32</v>
      </c>
      <c r="G572">
        <v>24</v>
      </c>
      <c r="H572" t="s">
        <v>58</v>
      </c>
      <c r="I572">
        <v>9</v>
      </c>
      <c r="J572">
        <v>12</v>
      </c>
      <c r="K572">
        <v>4</v>
      </c>
      <c r="L572">
        <f t="shared" si="56"/>
        <v>1</v>
      </c>
      <c r="P572">
        <f t="shared" si="57"/>
        <v>1</v>
      </c>
      <c r="Q572">
        <f t="shared" si="58"/>
        <v>1</v>
      </c>
      <c r="R572">
        <f t="shared" si="59"/>
        <v>1</v>
      </c>
      <c r="S572">
        <f t="shared" si="60"/>
        <v>3</v>
      </c>
      <c r="T572" t="str">
        <f t="shared" si="61"/>
        <v>DerivedFromCount</v>
      </c>
      <c r="U572" t="str">
        <f>IF(COUNTIF(DailyProduction!$Q$5:$Q$100,B572)=1,"OK","CHECK")</f>
        <v>OK</v>
      </c>
      <c r="V572" t="str">
        <f t="shared" si="62"/>
        <v>CHECK</v>
      </c>
      <c r="W572" t="str">
        <f>IF(SUMIF($B$5:$B$914,B572,$S$5:$S$914)=SUMIF(DailyProduction!$Q$5:$Q$100,B572,DailyProduction!$R$5:$R$100),"OK","CHECK")</f>
        <v>CHECK</v>
      </c>
    </row>
    <row r="573" spans="1:23">
      <c r="A573" t="s">
        <v>1008</v>
      </c>
      <c r="B573" t="s">
        <v>999</v>
      </c>
      <c r="C573" t="s">
        <v>30</v>
      </c>
      <c r="D573" s="7">
        <v>45950</v>
      </c>
      <c r="E573" t="s">
        <v>79</v>
      </c>
      <c r="F573" t="s">
        <v>32</v>
      </c>
      <c r="G573">
        <v>24</v>
      </c>
      <c r="H573" t="s">
        <v>58</v>
      </c>
      <c r="I573">
        <v>10</v>
      </c>
      <c r="J573">
        <v>12</v>
      </c>
      <c r="K573">
        <v>4</v>
      </c>
      <c r="L573">
        <f t="shared" si="56"/>
        <v>1</v>
      </c>
      <c r="P573">
        <f t="shared" si="57"/>
        <v>1</v>
      </c>
      <c r="Q573">
        <f t="shared" si="58"/>
        <v>1</v>
      </c>
      <c r="R573">
        <f t="shared" si="59"/>
        <v>1</v>
      </c>
      <c r="S573">
        <f t="shared" si="60"/>
        <v>3</v>
      </c>
      <c r="T573" t="str">
        <f t="shared" si="61"/>
        <v>DerivedFromCount</v>
      </c>
      <c r="U573" t="str">
        <f>IF(COUNTIF(DailyProduction!$Q$5:$Q$100,B573)=1,"OK","CHECK")</f>
        <v>OK</v>
      </c>
      <c r="V573" t="str">
        <f t="shared" si="62"/>
        <v>CHECK</v>
      </c>
      <c r="W573" t="str">
        <f>IF(SUMIF($B$5:$B$914,B573,$S$5:$S$914)=SUMIF(DailyProduction!$Q$5:$Q$100,B573,DailyProduction!$R$5:$R$100),"OK","CHECK")</f>
        <v>CHECK</v>
      </c>
    </row>
    <row r="574" spans="1:23">
      <c r="A574" t="s">
        <v>1009</v>
      </c>
      <c r="B574" t="s">
        <v>999</v>
      </c>
      <c r="C574" t="s">
        <v>30</v>
      </c>
      <c r="D574" s="7">
        <v>45950</v>
      </c>
      <c r="E574" t="s">
        <v>79</v>
      </c>
      <c r="F574" t="s">
        <v>32</v>
      </c>
      <c r="G574">
        <v>24</v>
      </c>
      <c r="H574" t="s">
        <v>58</v>
      </c>
      <c r="I574">
        <v>11</v>
      </c>
      <c r="J574">
        <v>12</v>
      </c>
      <c r="K574">
        <v>4</v>
      </c>
      <c r="L574">
        <f t="shared" si="56"/>
        <v>1</v>
      </c>
      <c r="P574">
        <f t="shared" si="57"/>
        <v>1</v>
      </c>
      <c r="Q574">
        <f t="shared" si="58"/>
        <v>1</v>
      </c>
      <c r="R574">
        <f t="shared" si="59"/>
        <v>1</v>
      </c>
      <c r="S574">
        <f t="shared" si="60"/>
        <v>3</v>
      </c>
      <c r="T574" t="str">
        <f t="shared" si="61"/>
        <v>DerivedFromCount</v>
      </c>
      <c r="U574" t="str">
        <f>IF(COUNTIF(DailyProduction!$Q$5:$Q$100,B574)=1,"OK","CHECK")</f>
        <v>OK</v>
      </c>
      <c r="V574" t="str">
        <f t="shared" si="62"/>
        <v>CHECK</v>
      </c>
      <c r="W574" t="str">
        <f>IF(SUMIF($B$5:$B$914,B574,$S$5:$S$914)=SUMIF(DailyProduction!$Q$5:$Q$100,B574,DailyProduction!$R$5:$R$100),"OK","CHECK")</f>
        <v>CHECK</v>
      </c>
    </row>
    <row r="575" spans="1:23">
      <c r="A575" t="s">
        <v>1010</v>
      </c>
      <c r="B575" t="s">
        <v>999</v>
      </c>
      <c r="C575" t="s">
        <v>30</v>
      </c>
      <c r="D575" s="7">
        <v>45950</v>
      </c>
      <c r="E575" t="s">
        <v>79</v>
      </c>
      <c r="F575" t="s">
        <v>32</v>
      </c>
      <c r="G575">
        <v>24</v>
      </c>
      <c r="H575" t="s">
        <v>58</v>
      </c>
      <c r="I575">
        <v>12</v>
      </c>
      <c r="J575">
        <v>12</v>
      </c>
      <c r="K575">
        <v>4</v>
      </c>
      <c r="L575">
        <f t="shared" si="56"/>
        <v>1</v>
      </c>
      <c r="P575">
        <f t="shared" si="57"/>
        <v>1</v>
      </c>
      <c r="Q575">
        <f t="shared" si="58"/>
        <v>1</v>
      </c>
      <c r="R575">
        <f t="shared" si="59"/>
        <v>1</v>
      </c>
      <c r="S575">
        <f t="shared" si="60"/>
        <v>3</v>
      </c>
      <c r="T575" t="str">
        <f t="shared" si="61"/>
        <v>DerivedFromCount</v>
      </c>
      <c r="U575" t="str">
        <f>IF(COUNTIF(DailyProduction!$Q$5:$Q$100,B575)=1,"OK","CHECK")</f>
        <v>OK</v>
      </c>
      <c r="V575" t="str">
        <f t="shared" si="62"/>
        <v>CHECK</v>
      </c>
      <c r="W575" t="str">
        <f>IF(SUMIF($B$5:$B$914,B575,$S$5:$S$914)=SUMIF(DailyProduction!$Q$5:$Q$100,B575,DailyProduction!$R$5:$R$100),"OK","CHECK")</f>
        <v>CHECK</v>
      </c>
    </row>
    <row r="576" spans="1:23">
      <c r="A576" t="s">
        <v>1011</v>
      </c>
      <c r="B576" t="s">
        <v>999</v>
      </c>
      <c r="C576" t="s">
        <v>30</v>
      </c>
      <c r="D576" s="7">
        <v>45950</v>
      </c>
      <c r="E576" t="s">
        <v>79</v>
      </c>
      <c r="F576" t="s">
        <v>32</v>
      </c>
      <c r="G576">
        <v>24</v>
      </c>
      <c r="H576" t="s">
        <v>58</v>
      </c>
      <c r="I576">
        <v>13</v>
      </c>
      <c r="J576">
        <v>12</v>
      </c>
      <c r="K576">
        <v>4</v>
      </c>
      <c r="L576">
        <f t="shared" si="56"/>
        <v>0</v>
      </c>
      <c r="P576">
        <f t="shared" si="57"/>
        <v>0</v>
      </c>
      <c r="Q576">
        <f t="shared" si="58"/>
        <v>0</v>
      </c>
      <c r="R576">
        <f t="shared" si="59"/>
        <v>0</v>
      </c>
      <c r="S576">
        <f t="shared" si="60"/>
        <v>0</v>
      </c>
      <c r="T576" t="str">
        <f t="shared" si="61"/>
        <v>DerivedFromCount</v>
      </c>
      <c r="U576" t="str">
        <f>IF(COUNTIF(DailyProduction!$Q$5:$Q$100,B576)=1,"OK","CHECK")</f>
        <v>OK</v>
      </c>
      <c r="V576" t="str">
        <f t="shared" si="62"/>
        <v>CHECK</v>
      </c>
      <c r="W576" t="str">
        <f>IF(SUMIF($B$5:$B$914,B576,$S$5:$S$914)=SUMIF(DailyProduction!$Q$5:$Q$100,B576,DailyProduction!$R$5:$R$100),"OK","CHECK")</f>
        <v>CHECK</v>
      </c>
    </row>
    <row r="577" spans="1:23">
      <c r="A577" t="s">
        <v>1012</v>
      </c>
      <c r="B577" t="s">
        <v>1013</v>
      </c>
      <c r="C577" t="s">
        <v>30</v>
      </c>
      <c r="D577" s="7">
        <v>45951</v>
      </c>
      <c r="E577" t="s">
        <v>31</v>
      </c>
      <c r="F577" t="s">
        <v>32</v>
      </c>
      <c r="G577">
        <v>24</v>
      </c>
      <c r="H577" t="s">
        <v>59</v>
      </c>
      <c r="I577">
        <v>1</v>
      </c>
      <c r="J577">
        <v>12</v>
      </c>
      <c r="K577">
        <v>3</v>
      </c>
      <c r="L577">
        <f t="shared" si="56"/>
        <v>1</v>
      </c>
      <c r="P577">
        <f t="shared" si="57"/>
        <v>1</v>
      </c>
      <c r="Q577">
        <f t="shared" si="58"/>
        <v>1</v>
      </c>
      <c r="R577">
        <f t="shared" si="59"/>
        <v>1</v>
      </c>
      <c r="S577">
        <f t="shared" si="60"/>
        <v>3</v>
      </c>
      <c r="T577" t="str">
        <f t="shared" si="61"/>
        <v>DerivedFromCount</v>
      </c>
      <c r="U577" t="str">
        <f>IF(COUNTIF(DailyProduction!$Q$5:$Q$100,B577)=1,"OK","CHECK")</f>
        <v>OK</v>
      </c>
      <c r="V577" t="str">
        <f t="shared" si="62"/>
        <v>OK</v>
      </c>
      <c r="W577" t="str">
        <f>IF(SUMIF($B$5:$B$914,B577,$S$5:$S$914)=SUMIF(DailyProduction!$Q$5:$Q$100,B577,DailyProduction!$R$5:$R$100),"OK","CHECK")</f>
        <v>OK</v>
      </c>
    </row>
    <row r="578" spans="1:23">
      <c r="A578" t="s">
        <v>1014</v>
      </c>
      <c r="B578" t="s">
        <v>1013</v>
      </c>
      <c r="C578" t="s">
        <v>30</v>
      </c>
      <c r="D578" s="7">
        <v>45951</v>
      </c>
      <c r="E578" t="s">
        <v>31</v>
      </c>
      <c r="F578" t="s">
        <v>32</v>
      </c>
      <c r="G578">
        <v>24</v>
      </c>
      <c r="H578" t="s">
        <v>59</v>
      </c>
      <c r="I578">
        <v>2</v>
      </c>
      <c r="J578">
        <v>12</v>
      </c>
      <c r="K578">
        <v>3</v>
      </c>
      <c r="L578">
        <f t="shared" si="56"/>
        <v>1</v>
      </c>
      <c r="P578">
        <f t="shared" si="57"/>
        <v>1</v>
      </c>
      <c r="Q578">
        <f t="shared" si="58"/>
        <v>1</v>
      </c>
      <c r="R578">
        <f t="shared" si="59"/>
        <v>1</v>
      </c>
      <c r="S578">
        <f t="shared" si="60"/>
        <v>3</v>
      </c>
      <c r="T578" t="str">
        <f t="shared" si="61"/>
        <v>DerivedFromCount</v>
      </c>
      <c r="U578" t="str">
        <f>IF(COUNTIF(DailyProduction!$Q$5:$Q$100,B578)=1,"OK","CHECK")</f>
        <v>OK</v>
      </c>
      <c r="V578" t="str">
        <f t="shared" si="62"/>
        <v>OK</v>
      </c>
      <c r="W578" t="str">
        <f>IF(SUMIF($B$5:$B$914,B578,$S$5:$S$914)=SUMIF(DailyProduction!$Q$5:$Q$100,B578,DailyProduction!$R$5:$R$100),"OK","CHECK")</f>
        <v>OK</v>
      </c>
    </row>
    <row r="579" spans="1:23">
      <c r="A579" t="s">
        <v>1015</v>
      </c>
      <c r="B579" t="s">
        <v>1013</v>
      </c>
      <c r="C579" t="s">
        <v>30</v>
      </c>
      <c r="D579" s="7">
        <v>45951</v>
      </c>
      <c r="E579" t="s">
        <v>31</v>
      </c>
      <c r="F579" t="s">
        <v>32</v>
      </c>
      <c r="G579">
        <v>24</v>
      </c>
      <c r="H579" t="s">
        <v>59</v>
      </c>
      <c r="I579">
        <v>3</v>
      </c>
      <c r="J579">
        <v>12</v>
      </c>
      <c r="K579">
        <v>3</v>
      </c>
      <c r="L579">
        <f t="shared" si="56"/>
        <v>1</v>
      </c>
      <c r="P579">
        <f t="shared" si="57"/>
        <v>1</v>
      </c>
      <c r="Q579">
        <f t="shared" si="58"/>
        <v>1</v>
      </c>
      <c r="R579">
        <f t="shared" si="59"/>
        <v>1</v>
      </c>
      <c r="S579">
        <f t="shared" si="60"/>
        <v>3</v>
      </c>
      <c r="T579" t="str">
        <f t="shared" si="61"/>
        <v>DerivedFromCount</v>
      </c>
      <c r="U579" t="str">
        <f>IF(COUNTIF(DailyProduction!$Q$5:$Q$100,B579)=1,"OK","CHECK")</f>
        <v>OK</v>
      </c>
      <c r="V579" t="str">
        <f t="shared" si="62"/>
        <v>OK</v>
      </c>
      <c r="W579" t="str">
        <f>IF(SUMIF($B$5:$B$914,B579,$S$5:$S$914)=SUMIF(DailyProduction!$Q$5:$Q$100,B579,DailyProduction!$R$5:$R$100),"OK","CHECK")</f>
        <v>OK</v>
      </c>
    </row>
    <row r="580" spans="1:23">
      <c r="A580" t="s">
        <v>1016</v>
      </c>
      <c r="B580" t="s">
        <v>1013</v>
      </c>
      <c r="C580" t="s">
        <v>30</v>
      </c>
      <c r="D580" s="7">
        <v>45951</v>
      </c>
      <c r="E580" t="s">
        <v>31</v>
      </c>
      <c r="F580" t="s">
        <v>32</v>
      </c>
      <c r="G580">
        <v>24</v>
      </c>
      <c r="H580" t="s">
        <v>59</v>
      </c>
      <c r="I580">
        <v>4</v>
      </c>
      <c r="J580">
        <v>12</v>
      </c>
      <c r="K580">
        <v>3</v>
      </c>
      <c r="L580">
        <f t="shared" si="56"/>
        <v>1</v>
      </c>
      <c r="P580">
        <f t="shared" si="57"/>
        <v>1</v>
      </c>
      <c r="Q580">
        <f t="shared" si="58"/>
        <v>1</v>
      </c>
      <c r="R580">
        <f t="shared" si="59"/>
        <v>1</v>
      </c>
      <c r="S580">
        <f t="shared" si="60"/>
        <v>3</v>
      </c>
      <c r="T580" t="str">
        <f t="shared" si="61"/>
        <v>DerivedFromCount</v>
      </c>
      <c r="U580" t="str">
        <f>IF(COUNTIF(DailyProduction!$Q$5:$Q$100,B580)=1,"OK","CHECK")</f>
        <v>OK</v>
      </c>
      <c r="V580" t="str">
        <f t="shared" si="62"/>
        <v>OK</v>
      </c>
      <c r="W580" t="str">
        <f>IF(SUMIF($B$5:$B$914,B580,$S$5:$S$914)=SUMIF(DailyProduction!$Q$5:$Q$100,B580,DailyProduction!$R$5:$R$100),"OK","CHECK")</f>
        <v>OK</v>
      </c>
    </row>
    <row r="581" spans="1:23">
      <c r="A581" t="s">
        <v>1017</v>
      </c>
      <c r="B581" t="s">
        <v>1013</v>
      </c>
      <c r="C581" t="s">
        <v>30</v>
      </c>
      <c r="D581" s="7">
        <v>45951</v>
      </c>
      <c r="E581" t="s">
        <v>31</v>
      </c>
      <c r="F581" t="s">
        <v>32</v>
      </c>
      <c r="G581">
        <v>24</v>
      </c>
      <c r="H581" t="s">
        <v>59</v>
      </c>
      <c r="I581">
        <v>5</v>
      </c>
      <c r="J581">
        <v>12</v>
      </c>
      <c r="K581">
        <v>3</v>
      </c>
      <c r="L581">
        <f t="shared" ref="L581:L644" si="63">IF(I581&lt;=J581,1,0)</f>
        <v>1</v>
      </c>
      <c r="P581">
        <f t="shared" ref="P581:P644" si="64">IF(M581="",IF(AND(L581=1,K581&gt;=1),1,0),M581)</f>
        <v>1</v>
      </c>
      <c r="Q581">
        <f t="shared" ref="Q581:Q644" si="65">IF(N581="",IF(AND(L581=1,K581&gt;=2),1,0),N581)</f>
        <v>1</v>
      </c>
      <c r="R581">
        <f t="shared" ref="R581:R644" si="66">IF(O581="",IF(AND(L581=1,K581&gt;=3),1,0),O581)</f>
        <v>1</v>
      </c>
      <c r="S581">
        <f t="shared" ref="S581:S644" si="67">SUM(P581:R581)</f>
        <v>3</v>
      </c>
      <c r="T581" t="str">
        <f t="shared" ref="T581:T644" si="68">IF(COUNTA(M581:O581)=0,"DerivedFromCount","ManualOverride")</f>
        <v>DerivedFromCount</v>
      </c>
      <c r="U581" t="str">
        <f>IF(COUNTIF(DailyProduction!$Q$5:$Q$100,B581)=1,"OK","CHECK")</f>
        <v>OK</v>
      </c>
      <c r="V581" t="str">
        <f t="shared" ref="V581:V644" si="69">IF(AND(I581&gt;=1,I581&lt;=13,K581&gt;=1,K581&lt;=3),"OK","CHECK")</f>
        <v>OK</v>
      </c>
      <c r="W581" t="str">
        <f>IF(SUMIF($B$5:$B$914,B581,$S$5:$S$914)=SUMIF(DailyProduction!$Q$5:$Q$100,B581,DailyProduction!$R$5:$R$100),"OK","CHECK")</f>
        <v>OK</v>
      </c>
    </row>
    <row r="582" spans="1:23">
      <c r="A582" t="s">
        <v>1018</v>
      </c>
      <c r="B582" t="s">
        <v>1013</v>
      </c>
      <c r="C582" t="s">
        <v>30</v>
      </c>
      <c r="D582" s="7">
        <v>45951</v>
      </c>
      <c r="E582" t="s">
        <v>31</v>
      </c>
      <c r="F582" t="s">
        <v>32</v>
      </c>
      <c r="G582">
        <v>24</v>
      </c>
      <c r="H582" t="s">
        <v>59</v>
      </c>
      <c r="I582">
        <v>6</v>
      </c>
      <c r="J582">
        <v>12</v>
      </c>
      <c r="K582">
        <v>3</v>
      </c>
      <c r="L582">
        <f t="shared" si="63"/>
        <v>1</v>
      </c>
      <c r="P582">
        <f t="shared" si="64"/>
        <v>1</v>
      </c>
      <c r="Q582">
        <f t="shared" si="65"/>
        <v>1</v>
      </c>
      <c r="R582">
        <f t="shared" si="66"/>
        <v>1</v>
      </c>
      <c r="S582">
        <f t="shared" si="67"/>
        <v>3</v>
      </c>
      <c r="T582" t="str">
        <f t="shared" si="68"/>
        <v>DerivedFromCount</v>
      </c>
      <c r="U582" t="str">
        <f>IF(COUNTIF(DailyProduction!$Q$5:$Q$100,B582)=1,"OK","CHECK")</f>
        <v>OK</v>
      </c>
      <c r="V582" t="str">
        <f t="shared" si="69"/>
        <v>OK</v>
      </c>
      <c r="W582" t="str">
        <f>IF(SUMIF($B$5:$B$914,B582,$S$5:$S$914)=SUMIF(DailyProduction!$Q$5:$Q$100,B582,DailyProduction!$R$5:$R$100),"OK","CHECK")</f>
        <v>OK</v>
      </c>
    </row>
    <row r="583" spans="1:23">
      <c r="A583" t="s">
        <v>1019</v>
      </c>
      <c r="B583" t="s">
        <v>1013</v>
      </c>
      <c r="C583" t="s">
        <v>30</v>
      </c>
      <c r="D583" s="7">
        <v>45951</v>
      </c>
      <c r="E583" t="s">
        <v>31</v>
      </c>
      <c r="F583" t="s">
        <v>32</v>
      </c>
      <c r="G583">
        <v>24</v>
      </c>
      <c r="H583" t="s">
        <v>59</v>
      </c>
      <c r="I583">
        <v>7</v>
      </c>
      <c r="J583">
        <v>12</v>
      </c>
      <c r="K583">
        <v>3</v>
      </c>
      <c r="L583">
        <f t="shared" si="63"/>
        <v>1</v>
      </c>
      <c r="P583">
        <f t="shared" si="64"/>
        <v>1</v>
      </c>
      <c r="Q583">
        <f t="shared" si="65"/>
        <v>1</v>
      </c>
      <c r="R583">
        <f t="shared" si="66"/>
        <v>1</v>
      </c>
      <c r="S583">
        <f t="shared" si="67"/>
        <v>3</v>
      </c>
      <c r="T583" t="str">
        <f t="shared" si="68"/>
        <v>DerivedFromCount</v>
      </c>
      <c r="U583" t="str">
        <f>IF(COUNTIF(DailyProduction!$Q$5:$Q$100,B583)=1,"OK","CHECK")</f>
        <v>OK</v>
      </c>
      <c r="V583" t="str">
        <f t="shared" si="69"/>
        <v>OK</v>
      </c>
      <c r="W583" t="str">
        <f>IF(SUMIF($B$5:$B$914,B583,$S$5:$S$914)=SUMIF(DailyProduction!$Q$5:$Q$100,B583,DailyProduction!$R$5:$R$100),"OK","CHECK")</f>
        <v>OK</v>
      </c>
    </row>
    <row r="584" spans="1:23">
      <c r="A584" t="s">
        <v>1020</v>
      </c>
      <c r="B584" t="s">
        <v>1013</v>
      </c>
      <c r="C584" t="s">
        <v>30</v>
      </c>
      <c r="D584" s="7">
        <v>45951</v>
      </c>
      <c r="E584" t="s">
        <v>31</v>
      </c>
      <c r="F584" t="s">
        <v>32</v>
      </c>
      <c r="G584">
        <v>24</v>
      </c>
      <c r="H584" t="s">
        <v>59</v>
      </c>
      <c r="I584">
        <v>8</v>
      </c>
      <c r="J584">
        <v>12</v>
      </c>
      <c r="K584">
        <v>3</v>
      </c>
      <c r="L584">
        <f t="shared" si="63"/>
        <v>1</v>
      </c>
      <c r="P584">
        <f t="shared" si="64"/>
        <v>1</v>
      </c>
      <c r="Q584">
        <f t="shared" si="65"/>
        <v>1</v>
      </c>
      <c r="R584">
        <f t="shared" si="66"/>
        <v>1</v>
      </c>
      <c r="S584">
        <f t="shared" si="67"/>
        <v>3</v>
      </c>
      <c r="T584" t="str">
        <f t="shared" si="68"/>
        <v>DerivedFromCount</v>
      </c>
      <c r="U584" t="str">
        <f>IF(COUNTIF(DailyProduction!$Q$5:$Q$100,B584)=1,"OK","CHECK")</f>
        <v>OK</v>
      </c>
      <c r="V584" t="str">
        <f t="shared" si="69"/>
        <v>OK</v>
      </c>
      <c r="W584" t="str">
        <f>IF(SUMIF($B$5:$B$914,B584,$S$5:$S$914)=SUMIF(DailyProduction!$Q$5:$Q$100,B584,DailyProduction!$R$5:$R$100),"OK","CHECK")</f>
        <v>OK</v>
      </c>
    </row>
    <row r="585" spans="1:23">
      <c r="A585" t="s">
        <v>1021</v>
      </c>
      <c r="B585" t="s">
        <v>1013</v>
      </c>
      <c r="C585" t="s">
        <v>30</v>
      </c>
      <c r="D585" s="7">
        <v>45951</v>
      </c>
      <c r="E585" t="s">
        <v>31</v>
      </c>
      <c r="F585" t="s">
        <v>32</v>
      </c>
      <c r="G585">
        <v>24</v>
      </c>
      <c r="H585" t="s">
        <v>59</v>
      </c>
      <c r="I585">
        <v>9</v>
      </c>
      <c r="J585">
        <v>12</v>
      </c>
      <c r="K585">
        <v>3</v>
      </c>
      <c r="L585">
        <f t="shared" si="63"/>
        <v>1</v>
      </c>
      <c r="P585">
        <f t="shared" si="64"/>
        <v>1</v>
      </c>
      <c r="Q585">
        <f t="shared" si="65"/>
        <v>1</v>
      </c>
      <c r="R585">
        <f t="shared" si="66"/>
        <v>1</v>
      </c>
      <c r="S585">
        <f t="shared" si="67"/>
        <v>3</v>
      </c>
      <c r="T585" t="str">
        <f t="shared" si="68"/>
        <v>DerivedFromCount</v>
      </c>
      <c r="U585" t="str">
        <f>IF(COUNTIF(DailyProduction!$Q$5:$Q$100,B585)=1,"OK","CHECK")</f>
        <v>OK</v>
      </c>
      <c r="V585" t="str">
        <f t="shared" si="69"/>
        <v>OK</v>
      </c>
      <c r="W585" t="str">
        <f>IF(SUMIF($B$5:$B$914,B585,$S$5:$S$914)=SUMIF(DailyProduction!$Q$5:$Q$100,B585,DailyProduction!$R$5:$R$100),"OK","CHECK")</f>
        <v>OK</v>
      </c>
    </row>
    <row r="586" spans="1:23">
      <c r="A586" t="s">
        <v>1022</v>
      </c>
      <c r="B586" t="s">
        <v>1013</v>
      </c>
      <c r="C586" t="s">
        <v>30</v>
      </c>
      <c r="D586" s="7">
        <v>45951</v>
      </c>
      <c r="E586" t="s">
        <v>31</v>
      </c>
      <c r="F586" t="s">
        <v>32</v>
      </c>
      <c r="G586">
        <v>24</v>
      </c>
      <c r="H586" t="s">
        <v>59</v>
      </c>
      <c r="I586">
        <v>10</v>
      </c>
      <c r="J586">
        <v>12</v>
      </c>
      <c r="K586">
        <v>3</v>
      </c>
      <c r="L586">
        <f t="shared" si="63"/>
        <v>1</v>
      </c>
      <c r="P586">
        <f t="shared" si="64"/>
        <v>1</v>
      </c>
      <c r="Q586">
        <f t="shared" si="65"/>
        <v>1</v>
      </c>
      <c r="R586">
        <f t="shared" si="66"/>
        <v>1</v>
      </c>
      <c r="S586">
        <f t="shared" si="67"/>
        <v>3</v>
      </c>
      <c r="T586" t="str">
        <f t="shared" si="68"/>
        <v>DerivedFromCount</v>
      </c>
      <c r="U586" t="str">
        <f>IF(COUNTIF(DailyProduction!$Q$5:$Q$100,B586)=1,"OK","CHECK")</f>
        <v>OK</v>
      </c>
      <c r="V586" t="str">
        <f t="shared" si="69"/>
        <v>OK</v>
      </c>
      <c r="W586" t="str">
        <f>IF(SUMIF($B$5:$B$914,B586,$S$5:$S$914)=SUMIF(DailyProduction!$Q$5:$Q$100,B586,DailyProduction!$R$5:$R$100),"OK","CHECK")</f>
        <v>OK</v>
      </c>
    </row>
    <row r="587" spans="1:23">
      <c r="A587" t="s">
        <v>1023</v>
      </c>
      <c r="B587" t="s">
        <v>1013</v>
      </c>
      <c r="C587" t="s">
        <v>30</v>
      </c>
      <c r="D587" s="7">
        <v>45951</v>
      </c>
      <c r="E587" t="s">
        <v>31</v>
      </c>
      <c r="F587" t="s">
        <v>32</v>
      </c>
      <c r="G587">
        <v>24</v>
      </c>
      <c r="H587" t="s">
        <v>59</v>
      </c>
      <c r="I587">
        <v>11</v>
      </c>
      <c r="J587">
        <v>12</v>
      </c>
      <c r="K587">
        <v>3</v>
      </c>
      <c r="L587">
        <f t="shared" si="63"/>
        <v>1</v>
      </c>
      <c r="P587">
        <f t="shared" si="64"/>
        <v>1</v>
      </c>
      <c r="Q587">
        <f t="shared" si="65"/>
        <v>1</v>
      </c>
      <c r="R587">
        <f t="shared" si="66"/>
        <v>1</v>
      </c>
      <c r="S587">
        <f t="shared" si="67"/>
        <v>3</v>
      </c>
      <c r="T587" t="str">
        <f t="shared" si="68"/>
        <v>DerivedFromCount</v>
      </c>
      <c r="U587" t="str">
        <f>IF(COUNTIF(DailyProduction!$Q$5:$Q$100,B587)=1,"OK","CHECK")</f>
        <v>OK</v>
      </c>
      <c r="V587" t="str">
        <f t="shared" si="69"/>
        <v>OK</v>
      </c>
      <c r="W587" t="str">
        <f>IF(SUMIF($B$5:$B$914,B587,$S$5:$S$914)=SUMIF(DailyProduction!$Q$5:$Q$100,B587,DailyProduction!$R$5:$R$100),"OK","CHECK")</f>
        <v>OK</v>
      </c>
    </row>
    <row r="588" spans="1:23">
      <c r="A588" t="s">
        <v>1024</v>
      </c>
      <c r="B588" t="s">
        <v>1013</v>
      </c>
      <c r="C588" t="s">
        <v>30</v>
      </c>
      <c r="D588" s="7">
        <v>45951</v>
      </c>
      <c r="E588" t="s">
        <v>31</v>
      </c>
      <c r="F588" t="s">
        <v>32</v>
      </c>
      <c r="G588">
        <v>24</v>
      </c>
      <c r="H588" t="s">
        <v>59</v>
      </c>
      <c r="I588">
        <v>12</v>
      </c>
      <c r="J588">
        <v>12</v>
      </c>
      <c r="K588">
        <v>3</v>
      </c>
      <c r="L588">
        <f t="shared" si="63"/>
        <v>1</v>
      </c>
      <c r="P588">
        <f t="shared" si="64"/>
        <v>1</v>
      </c>
      <c r="Q588">
        <f t="shared" si="65"/>
        <v>1</v>
      </c>
      <c r="R588">
        <f t="shared" si="66"/>
        <v>1</v>
      </c>
      <c r="S588">
        <f t="shared" si="67"/>
        <v>3</v>
      </c>
      <c r="T588" t="str">
        <f t="shared" si="68"/>
        <v>DerivedFromCount</v>
      </c>
      <c r="U588" t="str">
        <f>IF(COUNTIF(DailyProduction!$Q$5:$Q$100,B588)=1,"OK","CHECK")</f>
        <v>OK</v>
      </c>
      <c r="V588" t="str">
        <f t="shared" si="69"/>
        <v>OK</v>
      </c>
      <c r="W588" t="str">
        <f>IF(SUMIF($B$5:$B$914,B588,$S$5:$S$914)=SUMIF(DailyProduction!$Q$5:$Q$100,B588,DailyProduction!$R$5:$R$100),"OK","CHECK")</f>
        <v>OK</v>
      </c>
    </row>
    <row r="589" spans="1:23">
      <c r="A589" t="s">
        <v>1025</v>
      </c>
      <c r="B589" t="s">
        <v>1013</v>
      </c>
      <c r="C589" t="s">
        <v>30</v>
      </c>
      <c r="D589" s="7">
        <v>45951</v>
      </c>
      <c r="E589" t="s">
        <v>31</v>
      </c>
      <c r="F589" t="s">
        <v>32</v>
      </c>
      <c r="G589">
        <v>24</v>
      </c>
      <c r="H589" t="s">
        <v>59</v>
      </c>
      <c r="I589">
        <v>13</v>
      </c>
      <c r="J589">
        <v>12</v>
      </c>
      <c r="K589">
        <v>3</v>
      </c>
      <c r="L589">
        <f t="shared" si="63"/>
        <v>0</v>
      </c>
      <c r="P589">
        <f t="shared" si="64"/>
        <v>0</v>
      </c>
      <c r="Q589">
        <f t="shared" si="65"/>
        <v>0</v>
      </c>
      <c r="R589">
        <f t="shared" si="66"/>
        <v>0</v>
      </c>
      <c r="S589">
        <f t="shared" si="67"/>
        <v>0</v>
      </c>
      <c r="T589" t="str">
        <f t="shared" si="68"/>
        <v>DerivedFromCount</v>
      </c>
      <c r="U589" t="str">
        <f>IF(COUNTIF(DailyProduction!$Q$5:$Q$100,B589)=1,"OK","CHECK")</f>
        <v>OK</v>
      </c>
      <c r="V589" t="str">
        <f t="shared" si="69"/>
        <v>OK</v>
      </c>
      <c r="W589" t="str">
        <f>IF(SUMIF($B$5:$B$914,B589,$S$5:$S$914)=SUMIF(DailyProduction!$Q$5:$Q$100,B589,DailyProduction!$R$5:$R$100),"OK","CHECK")</f>
        <v>OK</v>
      </c>
    </row>
    <row r="590" spans="1:23">
      <c r="A590" t="s">
        <v>1026</v>
      </c>
      <c r="B590" t="s">
        <v>1027</v>
      </c>
      <c r="C590" t="s">
        <v>30</v>
      </c>
      <c r="D590" s="7">
        <v>45951</v>
      </c>
      <c r="E590" t="s">
        <v>79</v>
      </c>
      <c r="F590" t="s">
        <v>37</v>
      </c>
      <c r="G590">
        <v>24</v>
      </c>
      <c r="H590" t="s">
        <v>59</v>
      </c>
      <c r="I590">
        <v>1</v>
      </c>
      <c r="J590">
        <v>12</v>
      </c>
      <c r="K590">
        <v>3</v>
      </c>
      <c r="L590">
        <f t="shared" si="63"/>
        <v>1</v>
      </c>
      <c r="P590">
        <f t="shared" si="64"/>
        <v>1</v>
      </c>
      <c r="Q590">
        <f t="shared" si="65"/>
        <v>1</v>
      </c>
      <c r="R590">
        <f t="shared" si="66"/>
        <v>1</v>
      </c>
      <c r="S590">
        <f t="shared" si="67"/>
        <v>3</v>
      </c>
      <c r="T590" t="str">
        <f t="shared" si="68"/>
        <v>DerivedFromCount</v>
      </c>
      <c r="U590" t="str">
        <f>IF(COUNTIF(DailyProduction!$Q$5:$Q$100,B590)=1,"OK","CHECK")</f>
        <v>OK</v>
      </c>
      <c r="V590" t="str">
        <f t="shared" si="69"/>
        <v>OK</v>
      </c>
      <c r="W590" t="str">
        <f>IF(SUMIF($B$5:$B$914,B590,$S$5:$S$914)=SUMIF(DailyProduction!$Q$5:$Q$100,B590,DailyProduction!$R$5:$R$100),"OK","CHECK")</f>
        <v>OK</v>
      </c>
    </row>
    <row r="591" spans="1:23">
      <c r="A591" t="s">
        <v>1028</v>
      </c>
      <c r="B591" t="s">
        <v>1027</v>
      </c>
      <c r="C591" t="s">
        <v>30</v>
      </c>
      <c r="D591" s="7">
        <v>45951</v>
      </c>
      <c r="E591" t="s">
        <v>79</v>
      </c>
      <c r="F591" t="s">
        <v>37</v>
      </c>
      <c r="G591">
        <v>24</v>
      </c>
      <c r="H591" t="s">
        <v>59</v>
      </c>
      <c r="I591">
        <v>2</v>
      </c>
      <c r="J591">
        <v>12</v>
      </c>
      <c r="K591">
        <v>3</v>
      </c>
      <c r="L591">
        <f t="shared" si="63"/>
        <v>1</v>
      </c>
      <c r="P591">
        <f t="shared" si="64"/>
        <v>1</v>
      </c>
      <c r="Q591">
        <f t="shared" si="65"/>
        <v>1</v>
      </c>
      <c r="R591">
        <f t="shared" si="66"/>
        <v>1</v>
      </c>
      <c r="S591">
        <f t="shared" si="67"/>
        <v>3</v>
      </c>
      <c r="T591" t="str">
        <f t="shared" si="68"/>
        <v>DerivedFromCount</v>
      </c>
      <c r="U591" t="str">
        <f>IF(COUNTIF(DailyProduction!$Q$5:$Q$100,B591)=1,"OK","CHECK")</f>
        <v>OK</v>
      </c>
      <c r="V591" t="str">
        <f t="shared" si="69"/>
        <v>OK</v>
      </c>
      <c r="W591" t="str">
        <f>IF(SUMIF($B$5:$B$914,B591,$S$5:$S$914)=SUMIF(DailyProduction!$Q$5:$Q$100,B591,DailyProduction!$R$5:$R$100),"OK","CHECK")</f>
        <v>OK</v>
      </c>
    </row>
    <row r="592" spans="1:23">
      <c r="A592" t="s">
        <v>1029</v>
      </c>
      <c r="B592" t="s">
        <v>1027</v>
      </c>
      <c r="C592" t="s">
        <v>30</v>
      </c>
      <c r="D592" s="7">
        <v>45951</v>
      </c>
      <c r="E592" t="s">
        <v>79</v>
      </c>
      <c r="F592" t="s">
        <v>37</v>
      </c>
      <c r="G592">
        <v>24</v>
      </c>
      <c r="H592" t="s">
        <v>59</v>
      </c>
      <c r="I592">
        <v>3</v>
      </c>
      <c r="J592">
        <v>12</v>
      </c>
      <c r="K592">
        <v>3</v>
      </c>
      <c r="L592">
        <f t="shared" si="63"/>
        <v>1</v>
      </c>
      <c r="P592">
        <f t="shared" si="64"/>
        <v>1</v>
      </c>
      <c r="Q592">
        <f t="shared" si="65"/>
        <v>1</v>
      </c>
      <c r="R592">
        <f t="shared" si="66"/>
        <v>1</v>
      </c>
      <c r="S592">
        <f t="shared" si="67"/>
        <v>3</v>
      </c>
      <c r="T592" t="str">
        <f t="shared" si="68"/>
        <v>DerivedFromCount</v>
      </c>
      <c r="U592" t="str">
        <f>IF(COUNTIF(DailyProduction!$Q$5:$Q$100,B592)=1,"OK","CHECK")</f>
        <v>OK</v>
      </c>
      <c r="V592" t="str">
        <f t="shared" si="69"/>
        <v>OK</v>
      </c>
      <c r="W592" t="str">
        <f>IF(SUMIF($B$5:$B$914,B592,$S$5:$S$914)=SUMIF(DailyProduction!$Q$5:$Q$100,B592,DailyProduction!$R$5:$R$100),"OK","CHECK")</f>
        <v>OK</v>
      </c>
    </row>
    <row r="593" spans="1:23">
      <c r="A593" t="s">
        <v>1030</v>
      </c>
      <c r="B593" t="s">
        <v>1027</v>
      </c>
      <c r="C593" t="s">
        <v>30</v>
      </c>
      <c r="D593" s="7">
        <v>45951</v>
      </c>
      <c r="E593" t="s">
        <v>79</v>
      </c>
      <c r="F593" t="s">
        <v>37</v>
      </c>
      <c r="G593">
        <v>24</v>
      </c>
      <c r="H593" t="s">
        <v>59</v>
      </c>
      <c r="I593">
        <v>4</v>
      </c>
      <c r="J593">
        <v>12</v>
      </c>
      <c r="K593">
        <v>3</v>
      </c>
      <c r="L593">
        <f t="shared" si="63"/>
        <v>1</v>
      </c>
      <c r="P593">
        <f t="shared" si="64"/>
        <v>1</v>
      </c>
      <c r="Q593">
        <f t="shared" si="65"/>
        <v>1</v>
      </c>
      <c r="R593">
        <f t="shared" si="66"/>
        <v>1</v>
      </c>
      <c r="S593">
        <f t="shared" si="67"/>
        <v>3</v>
      </c>
      <c r="T593" t="str">
        <f t="shared" si="68"/>
        <v>DerivedFromCount</v>
      </c>
      <c r="U593" t="str">
        <f>IF(COUNTIF(DailyProduction!$Q$5:$Q$100,B593)=1,"OK","CHECK")</f>
        <v>OK</v>
      </c>
      <c r="V593" t="str">
        <f t="shared" si="69"/>
        <v>OK</v>
      </c>
      <c r="W593" t="str">
        <f>IF(SUMIF($B$5:$B$914,B593,$S$5:$S$914)=SUMIF(DailyProduction!$Q$5:$Q$100,B593,DailyProduction!$R$5:$R$100),"OK","CHECK")</f>
        <v>OK</v>
      </c>
    </row>
    <row r="594" spans="1:23">
      <c r="A594" t="s">
        <v>1031</v>
      </c>
      <c r="B594" t="s">
        <v>1027</v>
      </c>
      <c r="C594" t="s">
        <v>30</v>
      </c>
      <c r="D594" s="7">
        <v>45951</v>
      </c>
      <c r="E594" t="s">
        <v>79</v>
      </c>
      <c r="F594" t="s">
        <v>37</v>
      </c>
      <c r="G594">
        <v>24</v>
      </c>
      <c r="H594" t="s">
        <v>59</v>
      </c>
      <c r="I594">
        <v>5</v>
      </c>
      <c r="J594">
        <v>12</v>
      </c>
      <c r="K594">
        <v>3</v>
      </c>
      <c r="L594">
        <f t="shared" si="63"/>
        <v>1</v>
      </c>
      <c r="P594">
        <f t="shared" si="64"/>
        <v>1</v>
      </c>
      <c r="Q594">
        <f t="shared" si="65"/>
        <v>1</v>
      </c>
      <c r="R594">
        <f t="shared" si="66"/>
        <v>1</v>
      </c>
      <c r="S594">
        <f t="shared" si="67"/>
        <v>3</v>
      </c>
      <c r="T594" t="str">
        <f t="shared" si="68"/>
        <v>DerivedFromCount</v>
      </c>
      <c r="U594" t="str">
        <f>IF(COUNTIF(DailyProduction!$Q$5:$Q$100,B594)=1,"OK","CHECK")</f>
        <v>OK</v>
      </c>
      <c r="V594" t="str">
        <f t="shared" si="69"/>
        <v>OK</v>
      </c>
      <c r="W594" t="str">
        <f>IF(SUMIF($B$5:$B$914,B594,$S$5:$S$914)=SUMIF(DailyProduction!$Q$5:$Q$100,B594,DailyProduction!$R$5:$R$100),"OK","CHECK")</f>
        <v>OK</v>
      </c>
    </row>
    <row r="595" spans="1:23">
      <c r="A595" t="s">
        <v>1032</v>
      </c>
      <c r="B595" t="s">
        <v>1027</v>
      </c>
      <c r="C595" t="s">
        <v>30</v>
      </c>
      <c r="D595" s="7">
        <v>45951</v>
      </c>
      <c r="E595" t="s">
        <v>79</v>
      </c>
      <c r="F595" t="s">
        <v>37</v>
      </c>
      <c r="G595">
        <v>24</v>
      </c>
      <c r="H595" t="s">
        <v>59</v>
      </c>
      <c r="I595">
        <v>6</v>
      </c>
      <c r="J595">
        <v>12</v>
      </c>
      <c r="K595">
        <v>3</v>
      </c>
      <c r="L595">
        <f t="shared" si="63"/>
        <v>1</v>
      </c>
      <c r="P595">
        <f t="shared" si="64"/>
        <v>1</v>
      </c>
      <c r="Q595">
        <f t="shared" si="65"/>
        <v>1</v>
      </c>
      <c r="R595">
        <f t="shared" si="66"/>
        <v>1</v>
      </c>
      <c r="S595">
        <f t="shared" si="67"/>
        <v>3</v>
      </c>
      <c r="T595" t="str">
        <f t="shared" si="68"/>
        <v>DerivedFromCount</v>
      </c>
      <c r="U595" t="str">
        <f>IF(COUNTIF(DailyProduction!$Q$5:$Q$100,B595)=1,"OK","CHECK")</f>
        <v>OK</v>
      </c>
      <c r="V595" t="str">
        <f t="shared" si="69"/>
        <v>OK</v>
      </c>
      <c r="W595" t="str">
        <f>IF(SUMIF($B$5:$B$914,B595,$S$5:$S$914)=SUMIF(DailyProduction!$Q$5:$Q$100,B595,DailyProduction!$R$5:$R$100),"OK","CHECK")</f>
        <v>OK</v>
      </c>
    </row>
    <row r="596" spans="1:23">
      <c r="A596" t="s">
        <v>1033</v>
      </c>
      <c r="B596" t="s">
        <v>1027</v>
      </c>
      <c r="C596" t="s">
        <v>30</v>
      </c>
      <c r="D596" s="7">
        <v>45951</v>
      </c>
      <c r="E596" t="s">
        <v>79</v>
      </c>
      <c r="F596" t="s">
        <v>37</v>
      </c>
      <c r="G596">
        <v>24</v>
      </c>
      <c r="H596" t="s">
        <v>59</v>
      </c>
      <c r="I596">
        <v>7</v>
      </c>
      <c r="J596">
        <v>12</v>
      </c>
      <c r="K596">
        <v>3</v>
      </c>
      <c r="L596">
        <f t="shared" si="63"/>
        <v>1</v>
      </c>
      <c r="P596">
        <f t="shared" si="64"/>
        <v>1</v>
      </c>
      <c r="Q596">
        <f t="shared" si="65"/>
        <v>1</v>
      </c>
      <c r="R596">
        <f t="shared" si="66"/>
        <v>1</v>
      </c>
      <c r="S596">
        <f t="shared" si="67"/>
        <v>3</v>
      </c>
      <c r="T596" t="str">
        <f t="shared" si="68"/>
        <v>DerivedFromCount</v>
      </c>
      <c r="U596" t="str">
        <f>IF(COUNTIF(DailyProduction!$Q$5:$Q$100,B596)=1,"OK","CHECK")</f>
        <v>OK</v>
      </c>
      <c r="V596" t="str">
        <f t="shared" si="69"/>
        <v>OK</v>
      </c>
      <c r="W596" t="str">
        <f>IF(SUMIF($B$5:$B$914,B596,$S$5:$S$914)=SUMIF(DailyProduction!$Q$5:$Q$100,B596,DailyProduction!$R$5:$R$100),"OK","CHECK")</f>
        <v>OK</v>
      </c>
    </row>
    <row r="597" spans="1:23">
      <c r="A597" t="s">
        <v>1034</v>
      </c>
      <c r="B597" t="s">
        <v>1027</v>
      </c>
      <c r="C597" t="s">
        <v>30</v>
      </c>
      <c r="D597" s="7">
        <v>45951</v>
      </c>
      <c r="E597" t="s">
        <v>79</v>
      </c>
      <c r="F597" t="s">
        <v>37</v>
      </c>
      <c r="G597">
        <v>24</v>
      </c>
      <c r="H597" t="s">
        <v>59</v>
      </c>
      <c r="I597">
        <v>8</v>
      </c>
      <c r="J597">
        <v>12</v>
      </c>
      <c r="K597">
        <v>3</v>
      </c>
      <c r="L597">
        <f t="shared" si="63"/>
        <v>1</v>
      </c>
      <c r="P597">
        <f t="shared" si="64"/>
        <v>1</v>
      </c>
      <c r="Q597">
        <f t="shared" si="65"/>
        <v>1</v>
      </c>
      <c r="R597">
        <f t="shared" si="66"/>
        <v>1</v>
      </c>
      <c r="S597">
        <f t="shared" si="67"/>
        <v>3</v>
      </c>
      <c r="T597" t="str">
        <f t="shared" si="68"/>
        <v>DerivedFromCount</v>
      </c>
      <c r="U597" t="str">
        <f>IF(COUNTIF(DailyProduction!$Q$5:$Q$100,B597)=1,"OK","CHECK")</f>
        <v>OK</v>
      </c>
      <c r="V597" t="str">
        <f t="shared" si="69"/>
        <v>OK</v>
      </c>
      <c r="W597" t="str">
        <f>IF(SUMIF($B$5:$B$914,B597,$S$5:$S$914)=SUMIF(DailyProduction!$Q$5:$Q$100,B597,DailyProduction!$R$5:$R$100),"OK","CHECK")</f>
        <v>OK</v>
      </c>
    </row>
    <row r="598" spans="1:23">
      <c r="A598" t="s">
        <v>1035</v>
      </c>
      <c r="B598" t="s">
        <v>1027</v>
      </c>
      <c r="C598" t="s">
        <v>30</v>
      </c>
      <c r="D598" s="7">
        <v>45951</v>
      </c>
      <c r="E598" t="s">
        <v>79</v>
      </c>
      <c r="F598" t="s">
        <v>37</v>
      </c>
      <c r="G598">
        <v>24</v>
      </c>
      <c r="H598" t="s">
        <v>59</v>
      </c>
      <c r="I598">
        <v>9</v>
      </c>
      <c r="J598">
        <v>12</v>
      </c>
      <c r="K598">
        <v>3</v>
      </c>
      <c r="L598">
        <f t="shared" si="63"/>
        <v>1</v>
      </c>
      <c r="P598">
        <f t="shared" si="64"/>
        <v>1</v>
      </c>
      <c r="Q598">
        <f t="shared" si="65"/>
        <v>1</v>
      </c>
      <c r="R598">
        <f t="shared" si="66"/>
        <v>1</v>
      </c>
      <c r="S598">
        <f t="shared" si="67"/>
        <v>3</v>
      </c>
      <c r="T598" t="str">
        <f t="shared" si="68"/>
        <v>DerivedFromCount</v>
      </c>
      <c r="U598" t="str">
        <f>IF(COUNTIF(DailyProduction!$Q$5:$Q$100,B598)=1,"OK","CHECK")</f>
        <v>OK</v>
      </c>
      <c r="V598" t="str">
        <f t="shared" si="69"/>
        <v>OK</v>
      </c>
      <c r="W598" t="str">
        <f>IF(SUMIF($B$5:$B$914,B598,$S$5:$S$914)=SUMIF(DailyProduction!$Q$5:$Q$100,B598,DailyProduction!$R$5:$R$100),"OK","CHECK")</f>
        <v>OK</v>
      </c>
    </row>
    <row r="599" spans="1:23">
      <c r="A599" t="s">
        <v>1036</v>
      </c>
      <c r="B599" t="s">
        <v>1027</v>
      </c>
      <c r="C599" t="s">
        <v>30</v>
      </c>
      <c r="D599" s="7">
        <v>45951</v>
      </c>
      <c r="E599" t="s">
        <v>79</v>
      </c>
      <c r="F599" t="s">
        <v>37</v>
      </c>
      <c r="G599">
        <v>24</v>
      </c>
      <c r="H599" t="s">
        <v>59</v>
      </c>
      <c r="I599">
        <v>10</v>
      </c>
      <c r="J599">
        <v>12</v>
      </c>
      <c r="K599">
        <v>3</v>
      </c>
      <c r="L599">
        <f t="shared" si="63"/>
        <v>1</v>
      </c>
      <c r="P599">
        <f t="shared" si="64"/>
        <v>1</v>
      </c>
      <c r="Q599">
        <f t="shared" si="65"/>
        <v>1</v>
      </c>
      <c r="R599">
        <f t="shared" si="66"/>
        <v>1</v>
      </c>
      <c r="S599">
        <f t="shared" si="67"/>
        <v>3</v>
      </c>
      <c r="T599" t="str">
        <f t="shared" si="68"/>
        <v>DerivedFromCount</v>
      </c>
      <c r="U599" t="str">
        <f>IF(COUNTIF(DailyProduction!$Q$5:$Q$100,B599)=1,"OK","CHECK")</f>
        <v>OK</v>
      </c>
      <c r="V599" t="str">
        <f t="shared" si="69"/>
        <v>OK</v>
      </c>
      <c r="W599" t="str">
        <f>IF(SUMIF($B$5:$B$914,B599,$S$5:$S$914)=SUMIF(DailyProduction!$Q$5:$Q$100,B599,DailyProduction!$R$5:$R$100),"OK","CHECK")</f>
        <v>OK</v>
      </c>
    </row>
    <row r="600" spans="1:23">
      <c r="A600" t="s">
        <v>1037</v>
      </c>
      <c r="B600" t="s">
        <v>1027</v>
      </c>
      <c r="C600" t="s">
        <v>30</v>
      </c>
      <c r="D600" s="7">
        <v>45951</v>
      </c>
      <c r="E600" t="s">
        <v>79</v>
      </c>
      <c r="F600" t="s">
        <v>37</v>
      </c>
      <c r="G600">
        <v>24</v>
      </c>
      <c r="H600" t="s">
        <v>59</v>
      </c>
      <c r="I600">
        <v>11</v>
      </c>
      <c r="J600">
        <v>12</v>
      </c>
      <c r="K600">
        <v>3</v>
      </c>
      <c r="L600">
        <f t="shared" si="63"/>
        <v>1</v>
      </c>
      <c r="P600">
        <f t="shared" si="64"/>
        <v>1</v>
      </c>
      <c r="Q600">
        <f t="shared" si="65"/>
        <v>1</v>
      </c>
      <c r="R600">
        <f t="shared" si="66"/>
        <v>1</v>
      </c>
      <c r="S600">
        <f t="shared" si="67"/>
        <v>3</v>
      </c>
      <c r="T600" t="str">
        <f t="shared" si="68"/>
        <v>DerivedFromCount</v>
      </c>
      <c r="U600" t="str">
        <f>IF(COUNTIF(DailyProduction!$Q$5:$Q$100,B600)=1,"OK","CHECK")</f>
        <v>OK</v>
      </c>
      <c r="V600" t="str">
        <f t="shared" si="69"/>
        <v>OK</v>
      </c>
      <c r="W600" t="str">
        <f>IF(SUMIF($B$5:$B$914,B600,$S$5:$S$914)=SUMIF(DailyProduction!$Q$5:$Q$100,B600,DailyProduction!$R$5:$R$100),"OK","CHECK")</f>
        <v>OK</v>
      </c>
    </row>
    <row r="601" spans="1:23">
      <c r="A601" t="s">
        <v>1038</v>
      </c>
      <c r="B601" t="s">
        <v>1027</v>
      </c>
      <c r="C601" t="s">
        <v>30</v>
      </c>
      <c r="D601" s="7">
        <v>45951</v>
      </c>
      <c r="E601" t="s">
        <v>79</v>
      </c>
      <c r="F601" t="s">
        <v>37</v>
      </c>
      <c r="G601">
        <v>24</v>
      </c>
      <c r="H601" t="s">
        <v>59</v>
      </c>
      <c r="I601">
        <v>12</v>
      </c>
      <c r="J601">
        <v>12</v>
      </c>
      <c r="K601">
        <v>3</v>
      </c>
      <c r="L601">
        <f t="shared" si="63"/>
        <v>1</v>
      </c>
      <c r="P601">
        <f t="shared" si="64"/>
        <v>1</v>
      </c>
      <c r="Q601">
        <f t="shared" si="65"/>
        <v>1</v>
      </c>
      <c r="R601">
        <f t="shared" si="66"/>
        <v>1</v>
      </c>
      <c r="S601">
        <f t="shared" si="67"/>
        <v>3</v>
      </c>
      <c r="T601" t="str">
        <f t="shared" si="68"/>
        <v>DerivedFromCount</v>
      </c>
      <c r="U601" t="str">
        <f>IF(COUNTIF(DailyProduction!$Q$5:$Q$100,B601)=1,"OK","CHECK")</f>
        <v>OK</v>
      </c>
      <c r="V601" t="str">
        <f t="shared" si="69"/>
        <v>OK</v>
      </c>
      <c r="W601" t="str">
        <f>IF(SUMIF($B$5:$B$914,B601,$S$5:$S$914)=SUMIF(DailyProduction!$Q$5:$Q$100,B601,DailyProduction!$R$5:$R$100),"OK","CHECK")</f>
        <v>OK</v>
      </c>
    </row>
    <row r="602" spans="1:23">
      <c r="A602" t="s">
        <v>1039</v>
      </c>
      <c r="B602" t="s">
        <v>1027</v>
      </c>
      <c r="C602" t="s">
        <v>30</v>
      </c>
      <c r="D602" s="7">
        <v>45951</v>
      </c>
      <c r="E602" t="s">
        <v>79</v>
      </c>
      <c r="F602" t="s">
        <v>37</v>
      </c>
      <c r="G602">
        <v>24</v>
      </c>
      <c r="H602" t="s">
        <v>59</v>
      </c>
      <c r="I602">
        <v>13</v>
      </c>
      <c r="J602">
        <v>12</v>
      </c>
      <c r="K602">
        <v>3</v>
      </c>
      <c r="L602">
        <f t="shared" si="63"/>
        <v>0</v>
      </c>
      <c r="P602">
        <f t="shared" si="64"/>
        <v>0</v>
      </c>
      <c r="Q602">
        <f t="shared" si="65"/>
        <v>0</v>
      </c>
      <c r="R602">
        <f t="shared" si="66"/>
        <v>0</v>
      </c>
      <c r="S602">
        <f t="shared" si="67"/>
        <v>0</v>
      </c>
      <c r="T602" t="str">
        <f t="shared" si="68"/>
        <v>DerivedFromCount</v>
      </c>
      <c r="U602" t="str">
        <f>IF(COUNTIF(DailyProduction!$Q$5:$Q$100,B602)=1,"OK","CHECK")</f>
        <v>OK</v>
      </c>
      <c r="V602" t="str">
        <f t="shared" si="69"/>
        <v>OK</v>
      </c>
      <c r="W602" t="str">
        <f>IF(SUMIF($B$5:$B$914,B602,$S$5:$S$914)=SUMIF(DailyProduction!$Q$5:$Q$100,B602,DailyProduction!$R$5:$R$100),"OK","CHECK")</f>
        <v>OK</v>
      </c>
    </row>
    <row r="603" spans="1:23">
      <c r="A603" t="s">
        <v>1040</v>
      </c>
      <c r="B603" t="s">
        <v>1041</v>
      </c>
      <c r="C603" t="s">
        <v>30</v>
      </c>
      <c r="D603" s="7">
        <v>45952</v>
      </c>
      <c r="E603" t="s">
        <v>31</v>
      </c>
      <c r="F603" t="s">
        <v>37</v>
      </c>
      <c r="G603">
        <v>24</v>
      </c>
      <c r="H603" t="s">
        <v>59</v>
      </c>
      <c r="I603">
        <v>1</v>
      </c>
      <c r="J603">
        <v>12</v>
      </c>
      <c r="K603">
        <v>3</v>
      </c>
      <c r="L603">
        <f t="shared" si="63"/>
        <v>1</v>
      </c>
      <c r="P603">
        <f t="shared" si="64"/>
        <v>1</v>
      </c>
      <c r="Q603">
        <f t="shared" si="65"/>
        <v>1</v>
      </c>
      <c r="R603">
        <f t="shared" si="66"/>
        <v>1</v>
      </c>
      <c r="S603">
        <f t="shared" si="67"/>
        <v>3</v>
      </c>
      <c r="T603" t="str">
        <f t="shared" si="68"/>
        <v>DerivedFromCount</v>
      </c>
      <c r="U603" t="str">
        <f>IF(COUNTIF(DailyProduction!$Q$5:$Q$100,B603)=1,"OK","CHECK")</f>
        <v>OK</v>
      </c>
      <c r="V603" t="str">
        <f t="shared" si="69"/>
        <v>OK</v>
      </c>
      <c r="W603" t="str">
        <f>IF(SUMIF($B$5:$B$914,B603,$S$5:$S$914)=SUMIF(DailyProduction!$Q$5:$Q$100,B603,DailyProduction!$R$5:$R$100),"OK","CHECK")</f>
        <v>OK</v>
      </c>
    </row>
    <row r="604" spans="1:23">
      <c r="A604" t="s">
        <v>1042</v>
      </c>
      <c r="B604" t="s">
        <v>1041</v>
      </c>
      <c r="C604" t="s">
        <v>30</v>
      </c>
      <c r="D604" s="7">
        <v>45952</v>
      </c>
      <c r="E604" t="s">
        <v>31</v>
      </c>
      <c r="F604" t="s">
        <v>37</v>
      </c>
      <c r="G604">
        <v>24</v>
      </c>
      <c r="H604" t="s">
        <v>59</v>
      </c>
      <c r="I604">
        <v>2</v>
      </c>
      <c r="J604">
        <v>12</v>
      </c>
      <c r="K604">
        <v>3</v>
      </c>
      <c r="L604">
        <f t="shared" si="63"/>
        <v>1</v>
      </c>
      <c r="P604">
        <f t="shared" si="64"/>
        <v>1</v>
      </c>
      <c r="Q604">
        <f t="shared" si="65"/>
        <v>1</v>
      </c>
      <c r="R604">
        <f t="shared" si="66"/>
        <v>1</v>
      </c>
      <c r="S604">
        <f t="shared" si="67"/>
        <v>3</v>
      </c>
      <c r="T604" t="str">
        <f t="shared" si="68"/>
        <v>DerivedFromCount</v>
      </c>
      <c r="U604" t="str">
        <f>IF(COUNTIF(DailyProduction!$Q$5:$Q$100,B604)=1,"OK","CHECK")</f>
        <v>OK</v>
      </c>
      <c r="V604" t="str">
        <f t="shared" si="69"/>
        <v>OK</v>
      </c>
      <c r="W604" t="str">
        <f>IF(SUMIF($B$5:$B$914,B604,$S$5:$S$914)=SUMIF(DailyProduction!$Q$5:$Q$100,B604,DailyProduction!$R$5:$R$100),"OK","CHECK")</f>
        <v>OK</v>
      </c>
    </row>
    <row r="605" spans="1:23">
      <c r="A605" t="s">
        <v>1043</v>
      </c>
      <c r="B605" t="s">
        <v>1041</v>
      </c>
      <c r="C605" t="s">
        <v>30</v>
      </c>
      <c r="D605" s="7">
        <v>45952</v>
      </c>
      <c r="E605" t="s">
        <v>31</v>
      </c>
      <c r="F605" t="s">
        <v>37</v>
      </c>
      <c r="G605">
        <v>24</v>
      </c>
      <c r="H605" t="s">
        <v>59</v>
      </c>
      <c r="I605">
        <v>3</v>
      </c>
      <c r="J605">
        <v>12</v>
      </c>
      <c r="K605">
        <v>3</v>
      </c>
      <c r="L605">
        <f t="shared" si="63"/>
        <v>1</v>
      </c>
      <c r="P605">
        <f t="shared" si="64"/>
        <v>1</v>
      </c>
      <c r="Q605">
        <f t="shared" si="65"/>
        <v>1</v>
      </c>
      <c r="R605">
        <f t="shared" si="66"/>
        <v>1</v>
      </c>
      <c r="S605">
        <f t="shared" si="67"/>
        <v>3</v>
      </c>
      <c r="T605" t="str">
        <f t="shared" si="68"/>
        <v>DerivedFromCount</v>
      </c>
      <c r="U605" t="str">
        <f>IF(COUNTIF(DailyProduction!$Q$5:$Q$100,B605)=1,"OK","CHECK")</f>
        <v>OK</v>
      </c>
      <c r="V605" t="str">
        <f t="shared" si="69"/>
        <v>OK</v>
      </c>
      <c r="W605" t="str">
        <f>IF(SUMIF($B$5:$B$914,B605,$S$5:$S$914)=SUMIF(DailyProduction!$Q$5:$Q$100,B605,DailyProduction!$R$5:$R$100),"OK","CHECK")</f>
        <v>OK</v>
      </c>
    </row>
    <row r="606" spans="1:23">
      <c r="A606" t="s">
        <v>1044</v>
      </c>
      <c r="B606" t="s">
        <v>1041</v>
      </c>
      <c r="C606" t="s">
        <v>30</v>
      </c>
      <c r="D606" s="7">
        <v>45952</v>
      </c>
      <c r="E606" t="s">
        <v>31</v>
      </c>
      <c r="F606" t="s">
        <v>37</v>
      </c>
      <c r="G606">
        <v>24</v>
      </c>
      <c r="H606" t="s">
        <v>59</v>
      </c>
      <c r="I606">
        <v>4</v>
      </c>
      <c r="J606">
        <v>12</v>
      </c>
      <c r="K606">
        <v>3</v>
      </c>
      <c r="L606">
        <f t="shared" si="63"/>
        <v>1</v>
      </c>
      <c r="P606">
        <f t="shared" si="64"/>
        <v>1</v>
      </c>
      <c r="Q606">
        <f t="shared" si="65"/>
        <v>1</v>
      </c>
      <c r="R606">
        <f t="shared" si="66"/>
        <v>1</v>
      </c>
      <c r="S606">
        <f t="shared" si="67"/>
        <v>3</v>
      </c>
      <c r="T606" t="str">
        <f t="shared" si="68"/>
        <v>DerivedFromCount</v>
      </c>
      <c r="U606" t="str">
        <f>IF(COUNTIF(DailyProduction!$Q$5:$Q$100,B606)=1,"OK","CHECK")</f>
        <v>OK</v>
      </c>
      <c r="V606" t="str">
        <f t="shared" si="69"/>
        <v>OK</v>
      </c>
      <c r="W606" t="str">
        <f>IF(SUMIF($B$5:$B$914,B606,$S$5:$S$914)=SUMIF(DailyProduction!$Q$5:$Q$100,B606,DailyProduction!$R$5:$R$100),"OK","CHECK")</f>
        <v>OK</v>
      </c>
    </row>
    <row r="607" spans="1:23">
      <c r="A607" t="s">
        <v>1045</v>
      </c>
      <c r="B607" t="s">
        <v>1041</v>
      </c>
      <c r="C607" t="s">
        <v>30</v>
      </c>
      <c r="D607" s="7">
        <v>45952</v>
      </c>
      <c r="E607" t="s">
        <v>31</v>
      </c>
      <c r="F607" t="s">
        <v>37</v>
      </c>
      <c r="G607">
        <v>24</v>
      </c>
      <c r="H607" t="s">
        <v>59</v>
      </c>
      <c r="I607">
        <v>5</v>
      </c>
      <c r="J607">
        <v>12</v>
      </c>
      <c r="K607">
        <v>3</v>
      </c>
      <c r="L607">
        <f t="shared" si="63"/>
        <v>1</v>
      </c>
      <c r="P607">
        <f t="shared" si="64"/>
        <v>1</v>
      </c>
      <c r="Q607">
        <f t="shared" si="65"/>
        <v>1</v>
      </c>
      <c r="R607">
        <f t="shared" si="66"/>
        <v>1</v>
      </c>
      <c r="S607">
        <f t="shared" si="67"/>
        <v>3</v>
      </c>
      <c r="T607" t="str">
        <f t="shared" si="68"/>
        <v>DerivedFromCount</v>
      </c>
      <c r="U607" t="str">
        <f>IF(COUNTIF(DailyProduction!$Q$5:$Q$100,B607)=1,"OK","CHECK")</f>
        <v>OK</v>
      </c>
      <c r="V607" t="str">
        <f t="shared" si="69"/>
        <v>OK</v>
      </c>
      <c r="W607" t="str">
        <f>IF(SUMIF($B$5:$B$914,B607,$S$5:$S$914)=SUMIF(DailyProduction!$Q$5:$Q$100,B607,DailyProduction!$R$5:$R$100),"OK","CHECK")</f>
        <v>OK</v>
      </c>
    </row>
    <row r="608" spans="1:23">
      <c r="A608" t="s">
        <v>1046</v>
      </c>
      <c r="B608" t="s">
        <v>1041</v>
      </c>
      <c r="C608" t="s">
        <v>30</v>
      </c>
      <c r="D608" s="7">
        <v>45952</v>
      </c>
      <c r="E608" t="s">
        <v>31</v>
      </c>
      <c r="F608" t="s">
        <v>37</v>
      </c>
      <c r="G608">
        <v>24</v>
      </c>
      <c r="H608" t="s">
        <v>59</v>
      </c>
      <c r="I608">
        <v>6</v>
      </c>
      <c r="J608">
        <v>12</v>
      </c>
      <c r="K608">
        <v>3</v>
      </c>
      <c r="L608">
        <f t="shared" si="63"/>
        <v>1</v>
      </c>
      <c r="P608">
        <f t="shared" si="64"/>
        <v>1</v>
      </c>
      <c r="Q608">
        <f t="shared" si="65"/>
        <v>1</v>
      </c>
      <c r="R608">
        <f t="shared" si="66"/>
        <v>1</v>
      </c>
      <c r="S608">
        <f t="shared" si="67"/>
        <v>3</v>
      </c>
      <c r="T608" t="str">
        <f t="shared" si="68"/>
        <v>DerivedFromCount</v>
      </c>
      <c r="U608" t="str">
        <f>IF(COUNTIF(DailyProduction!$Q$5:$Q$100,B608)=1,"OK","CHECK")</f>
        <v>OK</v>
      </c>
      <c r="V608" t="str">
        <f t="shared" si="69"/>
        <v>OK</v>
      </c>
      <c r="W608" t="str">
        <f>IF(SUMIF($B$5:$B$914,B608,$S$5:$S$914)=SUMIF(DailyProduction!$Q$5:$Q$100,B608,DailyProduction!$R$5:$R$100),"OK","CHECK")</f>
        <v>OK</v>
      </c>
    </row>
    <row r="609" spans="1:23">
      <c r="A609" t="s">
        <v>1047</v>
      </c>
      <c r="B609" t="s">
        <v>1041</v>
      </c>
      <c r="C609" t="s">
        <v>30</v>
      </c>
      <c r="D609" s="7">
        <v>45952</v>
      </c>
      <c r="E609" t="s">
        <v>31</v>
      </c>
      <c r="F609" t="s">
        <v>37</v>
      </c>
      <c r="G609">
        <v>24</v>
      </c>
      <c r="H609" t="s">
        <v>59</v>
      </c>
      <c r="I609">
        <v>7</v>
      </c>
      <c r="J609">
        <v>12</v>
      </c>
      <c r="K609">
        <v>3</v>
      </c>
      <c r="L609">
        <f t="shared" si="63"/>
        <v>1</v>
      </c>
      <c r="P609">
        <f t="shared" si="64"/>
        <v>1</v>
      </c>
      <c r="Q609">
        <f t="shared" si="65"/>
        <v>1</v>
      </c>
      <c r="R609">
        <f t="shared" si="66"/>
        <v>1</v>
      </c>
      <c r="S609">
        <f t="shared" si="67"/>
        <v>3</v>
      </c>
      <c r="T609" t="str">
        <f t="shared" si="68"/>
        <v>DerivedFromCount</v>
      </c>
      <c r="U609" t="str">
        <f>IF(COUNTIF(DailyProduction!$Q$5:$Q$100,B609)=1,"OK","CHECK")</f>
        <v>OK</v>
      </c>
      <c r="V609" t="str">
        <f t="shared" si="69"/>
        <v>OK</v>
      </c>
      <c r="W609" t="str">
        <f>IF(SUMIF($B$5:$B$914,B609,$S$5:$S$914)=SUMIF(DailyProduction!$Q$5:$Q$100,B609,DailyProduction!$R$5:$R$100),"OK","CHECK")</f>
        <v>OK</v>
      </c>
    </row>
    <row r="610" spans="1:23">
      <c r="A610" t="s">
        <v>1048</v>
      </c>
      <c r="B610" t="s">
        <v>1041</v>
      </c>
      <c r="C610" t="s">
        <v>30</v>
      </c>
      <c r="D610" s="7">
        <v>45952</v>
      </c>
      <c r="E610" t="s">
        <v>31</v>
      </c>
      <c r="F610" t="s">
        <v>37</v>
      </c>
      <c r="G610">
        <v>24</v>
      </c>
      <c r="H610" t="s">
        <v>59</v>
      </c>
      <c r="I610">
        <v>8</v>
      </c>
      <c r="J610">
        <v>12</v>
      </c>
      <c r="K610">
        <v>3</v>
      </c>
      <c r="L610">
        <f t="shared" si="63"/>
        <v>1</v>
      </c>
      <c r="P610">
        <f t="shared" si="64"/>
        <v>1</v>
      </c>
      <c r="Q610">
        <f t="shared" si="65"/>
        <v>1</v>
      </c>
      <c r="R610">
        <f t="shared" si="66"/>
        <v>1</v>
      </c>
      <c r="S610">
        <f t="shared" si="67"/>
        <v>3</v>
      </c>
      <c r="T610" t="str">
        <f t="shared" si="68"/>
        <v>DerivedFromCount</v>
      </c>
      <c r="U610" t="str">
        <f>IF(COUNTIF(DailyProduction!$Q$5:$Q$100,B610)=1,"OK","CHECK")</f>
        <v>OK</v>
      </c>
      <c r="V610" t="str">
        <f t="shared" si="69"/>
        <v>OK</v>
      </c>
      <c r="W610" t="str">
        <f>IF(SUMIF($B$5:$B$914,B610,$S$5:$S$914)=SUMIF(DailyProduction!$Q$5:$Q$100,B610,DailyProduction!$R$5:$R$100),"OK","CHECK")</f>
        <v>OK</v>
      </c>
    </row>
    <row r="611" spans="1:23">
      <c r="A611" t="s">
        <v>1049</v>
      </c>
      <c r="B611" t="s">
        <v>1041</v>
      </c>
      <c r="C611" t="s">
        <v>30</v>
      </c>
      <c r="D611" s="7">
        <v>45952</v>
      </c>
      <c r="E611" t="s">
        <v>31</v>
      </c>
      <c r="F611" t="s">
        <v>37</v>
      </c>
      <c r="G611">
        <v>24</v>
      </c>
      <c r="H611" t="s">
        <v>59</v>
      </c>
      <c r="I611">
        <v>9</v>
      </c>
      <c r="J611">
        <v>12</v>
      </c>
      <c r="K611">
        <v>3</v>
      </c>
      <c r="L611">
        <f t="shared" si="63"/>
        <v>1</v>
      </c>
      <c r="P611">
        <f t="shared" si="64"/>
        <v>1</v>
      </c>
      <c r="Q611">
        <f t="shared" si="65"/>
        <v>1</v>
      </c>
      <c r="R611">
        <f t="shared" si="66"/>
        <v>1</v>
      </c>
      <c r="S611">
        <f t="shared" si="67"/>
        <v>3</v>
      </c>
      <c r="T611" t="str">
        <f t="shared" si="68"/>
        <v>DerivedFromCount</v>
      </c>
      <c r="U611" t="str">
        <f>IF(COUNTIF(DailyProduction!$Q$5:$Q$100,B611)=1,"OK","CHECK")</f>
        <v>OK</v>
      </c>
      <c r="V611" t="str">
        <f t="shared" si="69"/>
        <v>OK</v>
      </c>
      <c r="W611" t="str">
        <f>IF(SUMIF($B$5:$B$914,B611,$S$5:$S$914)=SUMIF(DailyProduction!$Q$5:$Q$100,B611,DailyProduction!$R$5:$R$100),"OK","CHECK")</f>
        <v>OK</v>
      </c>
    </row>
    <row r="612" spans="1:23">
      <c r="A612" t="s">
        <v>1050</v>
      </c>
      <c r="B612" t="s">
        <v>1041</v>
      </c>
      <c r="C612" t="s">
        <v>30</v>
      </c>
      <c r="D612" s="7">
        <v>45952</v>
      </c>
      <c r="E612" t="s">
        <v>31</v>
      </c>
      <c r="F612" t="s">
        <v>37</v>
      </c>
      <c r="G612">
        <v>24</v>
      </c>
      <c r="H612" t="s">
        <v>59</v>
      </c>
      <c r="I612">
        <v>10</v>
      </c>
      <c r="J612">
        <v>12</v>
      </c>
      <c r="K612">
        <v>3</v>
      </c>
      <c r="L612">
        <f t="shared" si="63"/>
        <v>1</v>
      </c>
      <c r="P612">
        <f t="shared" si="64"/>
        <v>1</v>
      </c>
      <c r="Q612">
        <f t="shared" si="65"/>
        <v>1</v>
      </c>
      <c r="R612">
        <f t="shared" si="66"/>
        <v>1</v>
      </c>
      <c r="S612">
        <f t="shared" si="67"/>
        <v>3</v>
      </c>
      <c r="T612" t="str">
        <f t="shared" si="68"/>
        <v>DerivedFromCount</v>
      </c>
      <c r="U612" t="str">
        <f>IF(COUNTIF(DailyProduction!$Q$5:$Q$100,B612)=1,"OK","CHECK")</f>
        <v>OK</v>
      </c>
      <c r="V612" t="str">
        <f t="shared" si="69"/>
        <v>OK</v>
      </c>
      <c r="W612" t="str">
        <f>IF(SUMIF($B$5:$B$914,B612,$S$5:$S$914)=SUMIF(DailyProduction!$Q$5:$Q$100,B612,DailyProduction!$R$5:$R$100),"OK","CHECK")</f>
        <v>OK</v>
      </c>
    </row>
    <row r="613" spans="1:23">
      <c r="A613" t="s">
        <v>1051</v>
      </c>
      <c r="B613" t="s">
        <v>1041</v>
      </c>
      <c r="C613" t="s">
        <v>30</v>
      </c>
      <c r="D613" s="7">
        <v>45952</v>
      </c>
      <c r="E613" t="s">
        <v>31</v>
      </c>
      <c r="F613" t="s">
        <v>37</v>
      </c>
      <c r="G613">
        <v>24</v>
      </c>
      <c r="H613" t="s">
        <v>59</v>
      </c>
      <c r="I613">
        <v>11</v>
      </c>
      <c r="J613">
        <v>12</v>
      </c>
      <c r="K613">
        <v>3</v>
      </c>
      <c r="L613">
        <f t="shared" si="63"/>
        <v>1</v>
      </c>
      <c r="P613">
        <f t="shared" si="64"/>
        <v>1</v>
      </c>
      <c r="Q613">
        <f t="shared" si="65"/>
        <v>1</v>
      </c>
      <c r="R613">
        <f t="shared" si="66"/>
        <v>1</v>
      </c>
      <c r="S613">
        <f t="shared" si="67"/>
        <v>3</v>
      </c>
      <c r="T613" t="str">
        <f t="shared" si="68"/>
        <v>DerivedFromCount</v>
      </c>
      <c r="U613" t="str">
        <f>IF(COUNTIF(DailyProduction!$Q$5:$Q$100,B613)=1,"OK","CHECK")</f>
        <v>OK</v>
      </c>
      <c r="V613" t="str">
        <f t="shared" si="69"/>
        <v>OK</v>
      </c>
      <c r="W613" t="str">
        <f>IF(SUMIF($B$5:$B$914,B613,$S$5:$S$914)=SUMIF(DailyProduction!$Q$5:$Q$100,B613,DailyProduction!$R$5:$R$100),"OK","CHECK")</f>
        <v>OK</v>
      </c>
    </row>
    <row r="614" spans="1:23">
      <c r="A614" t="s">
        <v>1052</v>
      </c>
      <c r="B614" t="s">
        <v>1041</v>
      </c>
      <c r="C614" t="s">
        <v>30</v>
      </c>
      <c r="D614" s="7">
        <v>45952</v>
      </c>
      <c r="E614" t="s">
        <v>31</v>
      </c>
      <c r="F614" t="s">
        <v>37</v>
      </c>
      <c r="G614">
        <v>24</v>
      </c>
      <c r="H614" t="s">
        <v>59</v>
      </c>
      <c r="I614">
        <v>12</v>
      </c>
      <c r="J614">
        <v>12</v>
      </c>
      <c r="K614">
        <v>3</v>
      </c>
      <c r="L614">
        <f t="shared" si="63"/>
        <v>1</v>
      </c>
      <c r="P614">
        <f t="shared" si="64"/>
        <v>1</v>
      </c>
      <c r="Q614">
        <f t="shared" si="65"/>
        <v>1</v>
      </c>
      <c r="R614">
        <f t="shared" si="66"/>
        <v>1</v>
      </c>
      <c r="S614">
        <f t="shared" si="67"/>
        <v>3</v>
      </c>
      <c r="T614" t="str">
        <f t="shared" si="68"/>
        <v>DerivedFromCount</v>
      </c>
      <c r="U614" t="str">
        <f>IF(COUNTIF(DailyProduction!$Q$5:$Q$100,B614)=1,"OK","CHECK")</f>
        <v>OK</v>
      </c>
      <c r="V614" t="str">
        <f t="shared" si="69"/>
        <v>OK</v>
      </c>
      <c r="W614" t="str">
        <f>IF(SUMIF($B$5:$B$914,B614,$S$5:$S$914)=SUMIF(DailyProduction!$Q$5:$Q$100,B614,DailyProduction!$R$5:$R$100),"OK","CHECK")</f>
        <v>OK</v>
      </c>
    </row>
    <row r="615" spans="1:23">
      <c r="A615" t="s">
        <v>1053</v>
      </c>
      <c r="B615" t="s">
        <v>1041</v>
      </c>
      <c r="C615" t="s">
        <v>30</v>
      </c>
      <c r="D615" s="7">
        <v>45952</v>
      </c>
      <c r="E615" t="s">
        <v>31</v>
      </c>
      <c r="F615" t="s">
        <v>37</v>
      </c>
      <c r="G615">
        <v>24</v>
      </c>
      <c r="H615" t="s">
        <v>59</v>
      </c>
      <c r="I615">
        <v>13</v>
      </c>
      <c r="J615">
        <v>12</v>
      </c>
      <c r="K615">
        <v>3</v>
      </c>
      <c r="L615">
        <f t="shared" si="63"/>
        <v>0</v>
      </c>
      <c r="P615">
        <f t="shared" si="64"/>
        <v>0</v>
      </c>
      <c r="Q615">
        <f t="shared" si="65"/>
        <v>0</v>
      </c>
      <c r="R615">
        <f t="shared" si="66"/>
        <v>0</v>
      </c>
      <c r="S615">
        <f t="shared" si="67"/>
        <v>0</v>
      </c>
      <c r="T615" t="str">
        <f t="shared" si="68"/>
        <v>DerivedFromCount</v>
      </c>
      <c r="U615" t="str">
        <f>IF(COUNTIF(DailyProduction!$Q$5:$Q$100,B615)=1,"OK","CHECK")</f>
        <v>OK</v>
      </c>
      <c r="V615" t="str">
        <f t="shared" si="69"/>
        <v>OK</v>
      </c>
      <c r="W615" t="str">
        <f>IF(SUMIF($B$5:$B$914,B615,$S$5:$S$914)=SUMIF(DailyProduction!$Q$5:$Q$100,B615,DailyProduction!$R$5:$R$100),"OK","CHECK")</f>
        <v>OK</v>
      </c>
    </row>
    <row r="616" spans="1:23">
      <c r="A616" t="s">
        <v>1054</v>
      </c>
      <c r="B616" t="s">
        <v>1055</v>
      </c>
      <c r="C616" t="s">
        <v>30</v>
      </c>
      <c r="D616" s="7">
        <v>45952</v>
      </c>
      <c r="E616" t="s">
        <v>79</v>
      </c>
      <c r="F616" t="s">
        <v>41</v>
      </c>
      <c r="G616">
        <v>24</v>
      </c>
      <c r="H616" t="s">
        <v>59</v>
      </c>
      <c r="I616">
        <v>1</v>
      </c>
      <c r="J616">
        <v>12</v>
      </c>
      <c r="K616">
        <v>3</v>
      </c>
      <c r="L616">
        <f t="shared" si="63"/>
        <v>1</v>
      </c>
      <c r="P616">
        <f t="shared" si="64"/>
        <v>1</v>
      </c>
      <c r="Q616">
        <f t="shared" si="65"/>
        <v>1</v>
      </c>
      <c r="R616">
        <f t="shared" si="66"/>
        <v>1</v>
      </c>
      <c r="S616">
        <f t="shared" si="67"/>
        <v>3</v>
      </c>
      <c r="T616" t="str">
        <f t="shared" si="68"/>
        <v>DerivedFromCount</v>
      </c>
      <c r="U616" t="str">
        <f>IF(COUNTIF(DailyProduction!$Q$5:$Q$100,B616)=1,"OK","CHECK")</f>
        <v>OK</v>
      </c>
      <c r="V616" t="str">
        <f t="shared" si="69"/>
        <v>OK</v>
      </c>
      <c r="W616" t="str">
        <f>IF(SUMIF($B$5:$B$914,B616,$S$5:$S$914)=SUMIF(DailyProduction!$Q$5:$Q$100,B616,DailyProduction!$R$5:$R$100),"OK","CHECK")</f>
        <v>OK</v>
      </c>
    </row>
    <row r="617" spans="1:23">
      <c r="A617" t="s">
        <v>1056</v>
      </c>
      <c r="B617" t="s">
        <v>1055</v>
      </c>
      <c r="C617" t="s">
        <v>30</v>
      </c>
      <c r="D617" s="7">
        <v>45952</v>
      </c>
      <c r="E617" t="s">
        <v>79</v>
      </c>
      <c r="F617" t="s">
        <v>41</v>
      </c>
      <c r="G617">
        <v>24</v>
      </c>
      <c r="H617" t="s">
        <v>59</v>
      </c>
      <c r="I617">
        <v>2</v>
      </c>
      <c r="J617">
        <v>12</v>
      </c>
      <c r="K617">
        <v>3</v>
      </c>
      <c r="L617">
        <f t="shared" si="63"/>
        <v>1</v>
      </c>
      <c r="P617">
        <f t="shared" si="64"/>
        <v>1</v>
      </c>
      <c r="Q617">
        <f t="shared" si="65"/>
        <v>1</v>
      </c>
      <c r="R617">
        <f t="shared" si="66"/>
        <v>1</v>
      </c>
      <c r="S617">
        <f t="shared" si="67"/>
        <v>3</v>
      </c>
      <c r="T617" t="str">
        <f t="shared" si="68"/>
        <v>DerivedFromCount</v>
      </c>
      <c r="U617" t="str">
        <f>IF(COUNTIF(DailyProduction!$Q$5:$Q$100,B617)=1,"OK","CHECK")</f>
        <v>OK</v>
      </c>
      <c r="V617" t="str">
        <f t="shared" si="69"/>
        <v>OK</v>
      </c>
      <c r="W617" t="str">
        <f>IF(SUMIF($B$5:$B$914,B617,$S$5:$S$914)=SUMIF(DailyProduction!$Q$5:$Q$100,B617,DailyProduction!$R$5:$R$100),"OK","CHECK")</f>
        <v>OK</v>
      </c>
    </row>
    <row r="618" spans="1:23">
      <c r="A618" t="s">
        <v>1057</v>
      </c>
      <c r="B618" t="s">
        <v>1055</v>
      </c>
      <c r="C618" t="s">
        <v>30</v>
      </c>
      <c r="D618" s="7">
        <v>45952</v>
      </c>
      <c r="E618" t="s">
        <v>79</v>
      </c>
      <c r="F618" t="s">
        <v>41</v>
      </c>
      <c r="G618">
        <v>24</v>
      </c>
      <c r="H618" t="s">
        <v>59</v>
      </c>
      <c r="I618">
        <v>3</v>
      </c>
      <c r="J618">
        <v>12</v>
      </c>
      <c r="K618">
        <v>3</v>
      </c>
      <c r="L618">
        <f t="shared" si="63"/>
        <v>1</v>
      </c>
      <c r="P618">
        <f t="shared" si="64"/>
        <v>1</v>
      </c>
      <c r="Q618">
        <f t="shared" si="65"/>
        <v>1</v>
      </c>
      <c r="R618">
        <f t="shared" si="66"/>
        <v>1</v>
      </c>
      <c r="S618">
        <f t="shared" si="67"/>
        <v>3</v>
      </c>
      <c r="T618" t="str">
        <f t="shared" si="68"/>
        <v>DerivedFromCount</v>
      </c>
      <c r="U618" t="str">
        <f>IF(COUNTIF(DailyProduction!$Q$5:$Q$100,B618)=1,"OK","CHECK")</f>
        <v>OK</v>
      </c>
      <c r="V618" t="str">
        <f t="shared" si="69"/>
        <v>OK</v>
      </c>
      <c r="W618" t="str">
        <f>IF(SUMIF($B$5:$B$914,B618,$S$5:$S$914)=SUMIF(DailyProduction!$Q$5:$Q$100,B618,DailyProduction!$R$5:$R$100),"OK","CHECK")</f>
        <v>OK</v>
      </c>
    </row>
    <row r="619" spans="1:23">
      <c r="A619" t="s">
        <v>1058</v>
      </c>
      <c r="B619" t="s">
        <v>1055</v>
      </c>
      <c r="C619" t="s">
        <v>30</v>
      </c>
      <c r="D619" s="7">
        <v>45952</v>
      </c>
      <c r="E619" t="s">
        <v>79</v>
      </c>
      <c r="F619" t="s">
        <v>41</v>
      </c>
      <c r="G619">
        <v>24</v>
      </c>
      <c r="H619" t="s">
        <v>59</v>
      </c>
      <c r="I619">
        <v>4</v>
      </c>
      <c r="J619">
        <v>12</v>
      </c>
      <c r="K619">
        <v>3</v>
      </c>
      <c r="L619">
        <f t="shared" si="63"/>
        <v>1</v>
      </c>
      <c r="P619">
        <f t="shared" si="64"/>
        <v>1</v>
      </c>
      <c r="Q619">
        <f t="shared" si="65"/>
        <v>1</v>
      </c>
      <c r="R619">
        <f t="shared" si="66"/>
        <v>1</v>
      </c>
      <c r="S619">
        <f t="shared" si="67"/>
        <v>3</v>
      </c>
      <c r="T619" t="str">
        <f t="shared" si="68"/>
        <v>DerivedFromCount</v>
      </c>
      <c r="U619" t="str">
        <f>IF(COUNTIF(DailyProduction!$Q$5:$Q$100,B619)=1,"OK","CHECK")</f>
        <v>OK</v>
      </c>
      <c r="V619" t="str">
        <f t="shared" si="69"/>
        <v>OK</v>
      </c>
      <c r="W619" t="str">
        <f>IF(SUMIF($B$5:$B$914,B619,$S$5:$S$914)=SUMIF(DailyProduction!$Q$5:$Q$100,B619,DailyProduction!$R$5:$R$100),"OK","CHECK")</f>
        <v>OK</v>
      </c>
    </row>
    <row r="620" spans="1:23">
      <c r="A620" t="s">
        <v>1059</v>
      </c>
      <c r="B620" t="s">
        <v>1055</v>
      </c>
      <c r="C620" t="s">
        <v>30</v>
      </c>
      <c r="D620" s="7">
        <v>45952</v>
      </c>
      <c r="E620" t="s">
        <v>79</v>
      </c>
      <c r="F620" t="s">
        <v>41</v>
      </c>
      <c r="G620">
        <v>24</v>
      </c>
      <c r="H620" t="s">
        <v>59</v>
      </c>
      <c r="I620">
        <v>5</v>
      </c>
      <c r="J620">
        <v>12</v>
      </c>
      <c r="K620">
        <v>3</v>
      </c>
      <c r="L620">
        <f t="shared" si="63"/>
        <v>1</v>
      </c>
      <c r="P620">
        <f t="shared" si="64"/>
        <v>1</v>
      </c>
      <c r="Q620">
        <f t="shared" si="65"/>
        <v>1</v>
      </c>
      <c r="R620">
        <f t="shared" si="66"/>
        <v>1</v>
      </c>
      <c r="S620">
        <f t="shared" si="67"/>
        <v>3</v>
      </c>
      <c r="T620" t="str">
        <f t="shared" si="68"/>
        <v>DerivedFromCount</v>
      </c>
      <c r="U620" t="str">
        <f>IF(COUNTIF(DailyProduction!$Q$5:$Q$100,B620)=1,"OK","CHECK")</f>
        <v>OK</v>
      </c>
      <c r="V620" t="str">
        <f t="shared" si="69"/>
        <v>OK</v>
      </c>
      <c r="W620" t="str">
        <f>IF(SUMIF($B$5:$B$914,B620,$S$5:$S$914)=SUMIF(DailyProduction!$Q$5:$Q$100,B620,DailyProduction!$R$5:$R$100),"OK","CHECK")</f>
        <v>OK</v>
      </c>
    </row>
    <row r="621" spans="1:23">
      <c r="A621" t="s">
        <v>1060</v>
      </c>
      <c r="B621" t="s">
        <v>1055</v>
      </c>
      <c r="C621" t="s">
        <v>30</v>
      </c>
      <c r="D621" s="7">
        <v>45952</v>
      </c>
      <c r="E621" t="s">
        <v>79</v>
      </c>
      <c r="F621" t="s">
        <v>41</v>
      </c>
      <c r="G621">
        <v>24</v>
      </c>
      <c r="H621" t="s">
        <v>59</v>
      </c>
      <c r="I621">
        <v>6</v>
      </c>
      <c r="J621">
        <v>12</v>
      </c>
      <c r="K621">
        <v>3</v>
      </c>
      <c r="L621">
        <f t="shared" si="63"/>
        <v>1</v>
      </c>
      <c r="P621">
        <f t="shared" si="64"/>
        <v>1</v>
      </c>
      <c r="Q621">
        <f t="shared" si="65"/>
        <v>1</v>
      </c>
      <c r="R621">
        <f t="shared" si="66"/>
        <v>1</v>
      </c>
      <c r="S621">
        <f t="shared" si="67"/>
        <v>3</v>
      </c>
      <c r="T621" t="str">
        <f t="shared" si="68"/>
        <v>DerivedFromCount</v>
      </c>
      <c r="U621" t="str">
        <f>IF(COUNTIF(DailyProduction!$Q$5:$Q$100,B621)=1,"OK","CHECK")</f>
        <v>OK</v>
      </c>
      <c r="V621" t="str">
        <f t="shared" si="69"/>
        <v>OK</v>
      </c>
      <c r="W621" t="str">
        <f>IF(SUMIF($B$5:$B$914,B621,$S$5:$S$914)=SUMIF(DailyProduction!$Q$5:$Q$100,B621,DailyProduction!$R$5:$R$100),"OK","CHECK")</f>
        <v>OK</v>
      </c>
    </row>
    <row r="622" spans="1:23">
      <c r="A622" t="s">
        <v>1061</v>
      </c>
      <c r="B622" t="s">
        <v>1055</v>
      </c>
      <c r="C622" t="s">
        <v>30</v>
      </c>
      <c r="D622" s="7">
        <v>45952</v>
      </c>
      <c r="E622" t="s">
        <v>79</v>
      </c>
      <c r="F622" t="s">
        <v>41</v>
      </c>
      <c r="G622">
        <v>24</v>
      </c>
      <c r="H622" t="s">
        <v>59</v>
      </c>
      <c r="I622">
        <v>7</v>
      </c>
      <c r="J622">
        <v>12</v>
      </c>
      <c r="K622">
        <v>3</v>
      </c>
      <c r="L622">
        <f t="shared" si="63"/>
        <v>1</v>
      </c>
      <c r="P622">
        <f t="shared" si="64"/>
        <v>1</v>
      </c>
      <c r="Q622">
        <f t="shared" si="65"/>
        <v>1</v>
      </c>
      <c r="R622">
        <f t="shared" si="66"/>
        <v>1</v>
      </c>
      <c r="S622">
        <f t="shared" si="67"/>
        <v>3</v>
      </c>
      <c r="T622" t="str">
        <f t="shared" si="68"/>
        <v>DerivedFromCount</v>
      </c>
      <c r="U622" t="str">
        <f>IF(COUNTIF(DailyProduction!$Q$5:$Q$100,B622)=1,"OK","CHECK")</f>
        <v>OK</v>
      </c>
      <c r="V622" t="str">
        <f t="shared" si="69"/>
        <v>OK</v>
      </c>
      <c r="W622" t="str">
        <f>IF(SUMIF($B$5:$B$914,B622,$S$5:$S$914)=SUMIF(DailyProduction!$Q$5:$Q$100,B622,DailyProduction!$R$5:$R$100),"OK","CHECK")</f>
        <v>OK</v>
      </c>
    </row>
    <row r="623" spans="1:23">
      <c r="A623" t="s">
        <v>1062</v>
      </c>
      <c r="B623" t="s">
        <v>1055</v>
      </c>
      <c r="C623" t="s">
        <v>30</v>
      </c>
      <c r="D623" s="7">
        <v>45952</v>
      </c>
      <c r="E623" t="s">
        <v>79</v>
      </c>
      <c r="F623" t="s">
        <v>41</v>
      </c>
      <c r="G623">
        <v>24</v>
      </c>
      <c r="H623" t="s">
        <v>59</v>
      </c>
      <c r="I623">
        <v>8</v>
      </c>
      <c r="J623">
        <v>12</v>
      </c>
      <c r="K623">
        <v>3</v>
      </c>
      <c r="L623">
        <f t="shared" si="63"/>
        <v>1</v>
      </c>
      <c r="P623">
        <f t="shared" si="64"/>
        <v>1</v>
      </c>
      <c r="Q623">
        <f t="shared" si="65"/>
        <v>1</v>
      </c>
      <c r="R623">
        <f t="shared" si="66"/>
        <v>1</v>
      </c>
      <c r="S623">
        <f t="shared" si="67"/>
        <v>3</v>
      </c>
      <c r="T623" t="str">
        <f t="shared" si="68"/>
        <v>DerivedFromCount</v>
      </c>
      <c r="U623" t="str">
        <f>IF(COUNTIF(DailyProduction!$Q$5:$Q$100,B623)=1,"OK","CHECK")</f>
        <v>OK</v>
      </c>
      <c r="V623" t="str">
        <f t="shared" si="69"/>
        <v>OK</v>
      </c>
      <c r="W623" t="str">
        <f>IF(SUMIF($B$5:$B$914,B623,$S$5:$S$914)=SUMIF(DailyProduction!$Q$5:$Q$100,B623,DailyProduction!$R$5:$R$100),"OK","CHECK")</f>
        <v>OK</v>
      </c>
    </row>
    <row r="624" spans="1:23">
      <c r="A624" t="s">
        <v>1063</v>
      </c>
      <c r="B624" t="s">
        <v>1055</v>
      </c>
      <c r="C624" t="s">
        <v>30</v>
      </c>
      <c r="D624" s="7">
        <v>45952</v>
      </c>
      <c r="E624" t="s">
        <v>79</v>
      </c>
      <c r="F624" t="s">
        <v>41</v>
      </c>
      <c r="G624">
        <v>24</v>
      </c>
      <c r="H624" t="s">
        <v>59</v>
      </c>
      <c r="I624">
        <v>9</v>
      </c>
      <c r="J624">
        <v>12</v>
      </c>
      <c r="K624">
        <v>3</v>
      </c>
      <c r="L624">
        <f t="shared" si="63"/>
        <v>1</v>
      </c>
      <c r="P624">
        <f t="shared" si="64"/>
        <v>1</v>
      </c>
      <c r="Q624">
        <f t="shared" si="65"/>
        <v>1</v>
      </c>
      <c r="R624">
        <f t="shared" si="66"/>
        <v>1</v>
      </c>
      <c r="S624">
        <f t="shared" si="67"/>
        <v>3</v>
      </c>
      <c r="T624" t="str">
        <f t="shared" si="68"/>
        <v>DerivedFromCount</v>
      </c>
      <c r="U624" t="str">
        <f>IF(COUNTIF(DailyProduction!$Q$5:$Q$100,B624)=1,"OK","CHECK")</f>
        <v>OK</v>
      </c>
      <c r="V624" t="str">
        <f t="shared" si="69"/>
        <v>OK</v>
      </c>
      <c r="W624" t="str">
        <f>IF(SUMIF($B$5:$B$914,B624,$S$5:$S$914)=SUMIF(DailyProduction!$Q$5:$Q$100,B624,DailyProduction!$R$5:$R$100),"OK","CHECK")</f>
        <v>OK</v>
      </c>
    </row>
    <row r="625" spans="1:23">
      <c r="A625" t="s">
        <v>1064</v>
      </c>
      <c r="B625" t="s">
        <v>1055</v>
      </c>
      <c r="C625" t="s">
        <v>30</v>
      </c>
      <c r="D625" s="7">
        <v>45952</v>
      </c>
      <c r="E625" t="s">
        <v>79</v>
      </c>
      <c r="F625" t="s">
        <v>41</v>
      </c>
      <c r="G625">
        <v>24</v>
      </c>
      <c r="H625" t="s">
        <v>59</v>
      </c>
      <c r="I625">
        <v>10</v>
      </c>
      <c r="J625">
        <v>12</v>
      </c>
      <c r="K625">
        <v>3</v>
      </c>
      <c r="L625">
        <f t="shared" si="63"/>
        <v>1</v>
      </c>
      <c r="P625">
        <f t="shared" si="64"/>
        <v>1</v>
      </c>
      <c r="Q625">
        <f t="shared" si="65"/>
        <v>1</v>
      </c>
      <c r="R625">
        <f t="shared" si="66"/>
        <v>1</v>
      </c>
      <c r="S625">
        <f t="shared" si="67"/>
        <v>3</v>
      </c>
      <c r="T625" t="str">
        <f t="shared" si="68"/>
        <v>DerivedFromCount</v>
      </c>
      <c r="U625" t="str">
        <f>IF(COUNTIF(DailyProduction!$Q$5:$Q$100,B625)=1,"OK","CHECK")</f>
        <v>OK</v>
      </c>
      <c r="V625" t="str">
        <f t="shared" si="69"/>
        <v>OK</v>
      </c>
      <c r="W625" t="str">
        <f>IF(SUMIF($B$5:$B$914,B625,$S$5:$S$914)=SUMIF(DailyProduction!$Q$5:$Q$100,B625,DailyProduction!$R$5:$R$100),"OK","CHECK")</f>
        <v>OK</v>
      </c>
    </row>
    <row r="626" spans="1:23">
      <c r="A626" t="s">
        <v>1065</v>
      </c>
      <c r="B626" t="s">
        <v>1055</v>
      </c>
      <c r="C626" t="s">
        <v>30</v>
      </c>
      <c r="D626" s="7">
        <v>45952</v>
      </c>
      <c r="E626" t="s">
        <v>79</v>
      </c>
      <c r="F626" t="s">
        <v>41</v>
      </c>
      <c r="G626">
        <v>24</v>
      </c>
      <c r="H626" t="s">
        <v>59</v>
      </c>
      <c r="I626">
        <v>11</v>
      </c>
      <c r="J626">
        <v>12</v>
      </c>
      <c r="K626">
        <v>3</v>
      </c>
      <c r="L626">
        <f t="shared" si="63"/>
        <v>1</v>
      </c>
      <c r="P626">
        <f t="shared" si="64"/>
        <v>1</v>
      </c>
      <c r="Q626">
        <f t="shared" si="65"/>
        <v>1</v>
      </c>
      <c r="R626">
        <f t="shared" si="66"/>
        <v>1</v>
      </c>
      <c r="S626">
        <f t="shared" si="67"/>
        <v>3</v>
      </c>
      <c r="T626" t="str">
        <f t="shared" si="68"/>
        <v>DerivedFromCount</v>
      </c>
      <c r="U626" t="str">
        <f>IF(COUNTIF(DailyProduction!$Q$5:$Q$100,B626)=1,"OK","CHECK")</f>
        <v>OK</v>
      </c>
      <c r="V626" t="str">
        <f t="shared" si="69"/>
        <v>OK</v>
      </c>
      <c r="W626" t="str">
        <f>IF(SUMIF($B$5:$B$914,B626,$S$5:$S$914)=SUMIF(DailyProduction!$Q$5:$Q$100,B626,DailyProduction!$R$5:$R$100),"OK","CHECK")</f>
        <v>OK</v>
      </c>
    </row>
    <row r="627" spans="1:23">
      <c r="A627" t="s">
        <v>1066</v>
      </c>
      <c r="B627" t="s">
        <v>1055</v>
      </c>
      <c r="C627" t="s">
        <v>30</v>
      </c>
      <c r="D627" s="7">
        <v>45952</v>
      </c>
      <c r="E627" t="s">
        <v>79</v>
      </c>
      <c r="F627" t="s">
        <v>41</v>
      </c>
      <c r="G627">
        <v>24</v>
      </c>
      <c r="H627" t="s">
        <v>59</v>
      </c>
      <c r="I627">
        <v>12</v>
      </c>
      <c r="J627">
        <v>12</v>
      </c>
      <c r="K627">
        <v>3</v>
      </c>
      <c r="L627">
        <f t="shared" si="63"/>
        <v>1</v>
      </c>
      <c r="P627">
        <f t="shared" si="64"/>
        <v>1</v>
      </c>
      <c r="Q627">
        <f t="shared" si="65"/>
        <v>1</v>
      </c>
      <c r="R627">
        <f t="shared" si="66"/>
        <v>1</v>
      </c>
      <c r="S627">
        <f t="shared" si="67"/>
        <v>3</v>
      </c>
      <c r="T627" t="str">
        <f t="shared" si="68"/>
        <v>DerivedFromCount</v>
      </c>
      <c r="U627" t="str">
        <f>IF(COUNTIF(DailyProduction!$Q$5:$Q$100,B627)=1,"OK","CHECK")</f>
        <v>OK</v>
      </c>
      <c r="V627" t="str">
        <f t="shared" si="69"/>
        <v>OK</v>
      </c>
      <c r="W627" t="str">
        <f>IF(SUMIF($B$5:$B$914,B627,$S$5:$S$914)=SUMIF(DailyProduction!$Q$5:$Q$100,B627,DailyProduction!$R$5:$R$100),"OK","CHECK")</f>
        <v>OK</v>
      </c>
    </row>
    <row r="628" spans="1:23">
      <c r="A628" t="s">
        <v>1067</v>
      </c>
      <c r="B628" t="s">
        <v>1055</v>
      </c>
      <c r="C628" t="s">
        <v>30</v>
      </c>
      <c r="D628" s="7">
        <v>45952</v>
      </c>
      <c r="E628" t="s">
        <v>79</v>
      </c>
      <c r="F628" t="s">
        <v>41</v>
      </c>
      <c r="G628">
        <v>24</v>
      </c>
      <c r="H628" t="s">
        <v>59</v>
      </c>
      <c r="I628">
        <v>13</v>
      </c>
      <c r="J628">
        <v>12</v>
      </c>
      <c r="K628">
        <v>3</v>
      </c>
      <c r="L628">
        <f t="shared" si="63"/>
        <v>0</v>
      </c>
      <c r="P628">
        <f t="shared" si="64"/>
        <v>0</v>
      </c>
      <c r="Q628">
        <f t="shared" si="65"/>
        <v>0</v>
      </c>
      <c r="R628">
        <f t="shared" si="66"/>
        <v>0</v>
      </c>
      <c r="S628">
        <f t="shared" si="67"/>
        <v>0</v>
      </c>
      <c r="T628" t="str">
        <f t="shared" si="68"/>
        <v>DerivedFromCount</v>
      </c>
      <c r="U628" t="str">
        <f>IF(COUNTIF(DailyProduction!$Q$5:$Q$100,B628)=1,"OK","CHECK")</f>
        <v>OK</v>
      </c>
      <c r="V628" t="str">
        <f t="shared" si="69"/>
        <v>OK</v>
      </c>
      <c r="W628" t="str">
        <f>IF(SUMIF($B$5:$B$914,B628,$S$5:$S$914)=SUMIF(DailyProduction!$Q$5:$Q$100,B628,DailyProduction!$R$5:$R$100),"OK","CHECK")</f>
        <v>OK</v>
      </c>
    </row>
    <row r="629" spans="1:23">
      <c r="A629" t="s">
        <v>1068</v>
      </c>
      <c r="B629" t="s">
        <v>1069</v>
      </c>
      <c r="C629" t="s">
        <v>30</v>
      </c>
      <c r="D629" s="7">
        <v>45953</v>
      </c>
      <c r="E629" t="s">
        <v>31</v>
      </c>
      <c r="F629" t="s">
        <v>41</v>
      </c>
      <c r="G629">
        <v>24</v>
      </c>
      <c r="H629" t="s">
        <v>59</v>
      </c>
      <c r="I629">
        <v>1</v>
      </c>
      <c r="J629">
        <v>12</v>
      </c>
      <c r="K629">
        <v>3</v>
      </c>
      <c r="L629">
        <f t="shared" si="63"/>
        <v>1</v>
      </c>
      <c r="P629">
        <f t="shared" si="64"/>
        <v>1</v>
      </c>
      <c r="Q629">
        <f t="shared" si="65"/>
        <v>1</v>
      </c>
      <c r="R629">
        <f t="shared" si="66"/>
        <v>1</v>
      </c>
      <c r="S629">
        <f t="shared" si="67"/>
        <v>3</v>
      </c>
      <c r="T629" t="str">
        <f t="shared" si="68"/>
        <v>DerivedFromCount</v>
      </c>
      <c r="U629" t="str">
        <f>IF(COUNTIF(DailyProduction!$Q$5:$Q$100,B629)=1,"OK","CHECK")</f>
        <v>OK</v>
      </c>
      <c r="V629" t="str">
        <f t="shared" si="69"/>
        <v>OK</v>
      </c>
      <c r="W629" t="str">
        <f>IF(SUMIF($B$5:$B$914,B629,$S$5:$S$914)=SUMIF(DailyProduction!$Q$5:$Q$100,B629,DailyProduction!$R$5:$R$100),"OK","CHECK")</f>
        <v>OK</v>
      </c>
    </row>
    <row r="630" spans="1:23">
      <c r="A630" t="s">
        <v>1070</v>
      </c>
      <c r="B630" t="s">
        <v>1069</v>
      </c>
      <c r="C630" t="s">
        <v>30</v>
      </c>
      <c r="D630" s="7">
        <v>45953</v>
      </c>
      <c r="E630" t="s">
        <v>31</v>
      </c>
      <c r="F630" t="s">
        <v>41</v>
      </c>
      <c r="G630">
        <v>24</v>
      </c>
      <c r="H630" t="s">
        <v>59</v>
      </c>
      <c r="I630">
        <v>2</v>
      </c>
      <c r="J630">
        <v>12</v>
      </c>
      <c r="K630">
        <v>3</v>
      </c>
      <c r="L630">
        <f t="shared" si="63"/>
        <v>1</v>
      </c>
      <c r="P630">
        <f t="shared" si="64"/>
        <v>1</v>
      </c>
      <c r="Q630">
        <f t="shared" si="65"/>
        <v>1</v>
      </c>
      <c r="R630">
        <f t="shared" si="66"/>
        <v>1</v>
      </c>
      <c r="S630">
        <f t="shared" si="67"/>
        <v>3</v>
      </c>
      <c r="T630" t="str">
        <f t="shared" si="68"/>
        <v>DerivedFromCount</v>
      </c>
      <c r="U630" t="str">
        <f>IF(COUNTIF(DailyProduction!$Q$5:$Q$100,B630)=1,"OK","CHECK")</f>
        <v>OK</v>
      </c>
      <c r="V630" t="str">
        <f t="shared" si="69"/>
        <v>OK</v>
      </c>
      <c r="W630" t="str">
        <f>IF(SUMIF($B$5:$B$914,B630,$S$5:$S$914)=SUMIF(DailyProduction!$Q$5:$Q$100,B630,DailyProduction!$R$5:$R$100),"OK","CHECK")</f>
        <v>OK</v>
      </c>
    </row>
    <row r="631" spans="1:23">
      <c r="A631" t="s">
        <v>1071</v>
      </c>
      <c r="B631" t="s">
        <v>1069</v>
      </c>
      <c r="C631" t="s">
        <v>30</v>
      </c>
      <c r="D631" s="7">
        <v>45953</v>
      </c>
      <c r="E631" t="s">
        <v>31</v>
      </c>
      <c r="F631" t="s">
        <v>41</v>
      </c>
      <c r="G631">
        <v>24</v>
      </c>
      <c r="H631" t="s">
        <v>59</v>
      </c>
      <c r="I631">
        <v>3</v>
      </c>
      <c r="J631">
        <v>12</v>
      </c>
      <c r="K631">
        <v>3</v>
      </c>
      <c r="L631">
        <f t="shared" si="63"/>
        <v>1</v>
      </c>
      <c r="P631">
        <f t="shared" si="64"/>
        <v>1</v>
      </c>
      <c r="Q631">
        <f t="shared" si="65"/>
        <v>1</v>
      </c>
      <c r="R631">
        <f t="shared" si="66"/>
        <v>1</v>
      </c>
      <c r="S631">
        <f t="shared" si="67"/>
        <v>3</v>
      </c>
      <c r="T631" t="str">
        <f t="shared" si="68"/>
        <v>DerivedFromCount</v>
      </c>
      <c r="U631" t="str">
        <f>IF(COUNTIF(DailyProduction!$Q$5:$Q$100,B631)=1,"OK","CHECK")</f>
        <v>OK</v>
      </c>
      <c r="V631" t="str">
        <f t="shared" si="69"/>
        <v>OK</v>
      </c>
      <c r="W631" t="str">
        <f>IF(SUMIF($B$5:$B$914,B631,$S$5:$S$914)=SUMIF(DailyProduction!$Q$5:$Q$100,B631,DailyProduction!$R$5:$R$100),"OK","CHECK")</f>
        <v>OK</v>
      </c>
    </row>
    <row r="632" spans="1:23">
      <c r="A632" t="s">
        <v>1072</v>
      </c>
      <c r="B632" t="s">
        <v>1069</v>
      </c>
      <c r="C632" t="s">
        <v>30</v>
      </c>
      <c r="D632" s="7">
        <v>45953</v>
      </c>
      <c r="E632" t="s">
        <v>31</v>
      </c>
      <c r="F632" t="s">
        <v>41</v>
      </c>
      <c r="G632">
        <v>24</v>
      </c>
      <c r="H632" t="s">
        <v>59</v>
      </c>
      <c r="I632">
        <v>4</v>
      </c>
      <c r="J632">
        <v>12</v>
      </c>
      <c r="K632">
        <v>3</v>
      </c>
      <c r="L632">
        <f t="shared" si="63"/>
        <v>1</v>
      </c>
      <c r="P632">
        <f t="shared" si="64"/>
        <v>1</v>
      </c>
      <c r="Q632">
        <f t="shared" si="65"/>
        <v>1</v>
      </c>
      <c r="R632">
        <f t="shared" si="66"/>
        <v>1</v>
      </c>
      <c r="S632">
        <f t="shared" si="67"/>
        <v>3</v>
      </c>
      <c r="T632" t="str">
        <f t="shared" si="68"/>
        <v>DerivedFromCount</v>
      </c>
      <c r="U632" t="str">
        <f>IF(COUNTIF(DailyProduction!$Q$5:$Q$100,B632)=1,"OK","CHECK")</f>
        <v>OK</v>
      </c>
      <c r="V632" t="str">
        <f t="shared" si="69"/>
        <v>OK</v>
      </c>
      <c r="W632" t="str">
        <f>IF(SUMIF($B$5:$B$914,B632,$S$5:$S$914)=SUMIF(DailyProduction!$Q$5:$Q$100,B632,DailyProduction!$R$5:$R$100),"OK","CHECK")</f>
        <v>OK</v>
      </c>
    </row>
    <row r="633" spans="1:23">
      <c r="A633" t="s">
        <v>1073</v>
      </c>
      <c r="B633" t="s">
        <v>1069</v>
      </c>
      <c r="C633" t="s">
        <v>30</v>
      </c>
      <c r="D633" s="7">
        <v>45953</v>
      </c>
      <c r="E633" t="s">
        <v>31</v>
      </c>
      <c r="F633" t="s">
        <v>41</v>
      </c>
      <c r="G633">
        <v>24</v>
      </c>
      <c r="H633" t="s">
        <v>59</v>
      </c>
      <c r="I633">
        <v>5</v>
      </c>
      <c r="J633">
        <v>12</v>
      </c>
      <c r="K633">
        <v>3</v>
      </c>
      <c r="L633">
        <f t="shared" si="63"/>
        <v>1</v>
      </c>
      <c r="P633">
        <f t="shared" si="64"/>
        <v>1</v>
      </c>
      <c r="Q633">
        <f t="shared" si="65"/>
        <v>1</v>
      </c>
      <c r="R633">
        <f t="shared" si="66"/>
        <v>1</v>
      </c>
      <c r="S633">
        <f t="shared" si="67"/>
        <v>3</v>
      </c>
      <c r="T633" t="str">
        <f t="shared" si="68"/>
        <v>DerivedFromCount</v>
      </c>
      <c r="U633" t="str">
        <f>IF(COUNTIF(DailyProduction!$Q$5:$Q$100,B633)=1,"OK","CHECK")</f>
        <v>OK</v>
      </c>
      <c r="V633" t="str">
        <f t="shared" si="69"/>
        <v>OK</v>
      </c>
      <c r="W633" t="str">
        <f>IF(SUMIF($B$5:$B$914,B633,$S$5:$S$914)=SUMIF(DailyProduction!$Q$5:$Q$100,B633,DailyProduction!$R$5:$R$100),"OK","CHECK")</f>
        <v>OK</v>
      </c>
    </row>
    <row r="634" spans="1:23">
      <c r="A634" t="s">
        <v>1074</v>
      </c>
      <c r="B634" t="s">
        <v>1069</v>
      </c>
      <c r="C634" t="s">
        <v>30</v>
      </c>
      <c r="D634" s="7">
        <v>45953</v>
      </c>
      <c r="E634" t="s">
        <v>31</v>
      </c>
      <c r="F634" t="s">
        <v>41</v>
      </c>
      <c r="G634">
        <v>24</v>
      </c>
      <c r="H634" t="s">
        <v>59</v>
      </c>
      <c r="I634">
        <v>6</v>
      </c>
      <c r="J634">
        <v>12</v>
      </c>
      <c r="K634">
        <v>3</v>
      </c>
      <c r="L634">
        <f t="shared" si="63"/>
        <v>1</v>
      </c>
      <c r="P634">
        <f t="shared" si="64"/>
        <v>1</v>
      </c>
      <c r="Q634">
        <f t="shared" si="65"/>
        <v>1</v>
      </c>
      <c r="R634">
        <f t="shared" si="66"/>
        <v>1</v>
      </c>
      <c r="S634">
        <f t="shared" si="67"/>
        <v>3</v>
      </c>
      <c r="T634" t="str">
        <f t="shared" si="68"/>
        <v>DerivedFromCount</v>
      </c>
      <c r="U634" t="str">
        <f>IF(COUNTIF(DailyProduction!$Q$5:$Q$100,B634)=1,"OK","CHECK")</f>
        <v>OK</v>
      </c>
      <c r="V634" t="str">
        <f t="shared" si="69"/>
        <v>OK</v>
      </c>
      <c r="W634" t="str">
        <f>IF(SUMIF($B$5:$B$914,B634,$S$5:$S$914)=SUMIF(DailyProduction!$Q$5:$Q$100,B634,DailyProduction!$R$5:$R$100),"OK","CHECK")</f>
        <v>OK</v>
      </c>
    </row>
    <row r="635" spans="1:23">
      <c r="A635" t="s">
        <v>1075</v>
      </c>
      <c r="B635" t="s">
        <v>1069</v>
      </c>
      <c r="C635" t="s">
        <v>30</v>
      </c>
      <c r="D635" s="7">
        <v>45953</v>
      </c>
      <c r="E635" t="s">
        <v>31</v>
      </c>
      <c r="F635" t="s">
        <v>41</v>
      </c>
      <c r="G635">
        <v>24</v>
      </c>
      <c r="H635" t="s">
        <v>59</v>
      </c>
      <c r="I635">
        <v>7</v>
      </c>
      <c r="J635">
        <v>12</v>
      </c>
      <c r="K635">
        <v>3</v>
      </c>
      <c r="L635">
        <f t="shared" si="63"/>
        <v>1</v>
      </c>
      <c r="P635">
        <f t="shared" si="64"/>
        <v>1</v>
      </c>
      <c r="Q635">
        <f t="shared" si="65"/>
        <v>1</v>
      </c>
      <c r="R635">
        <f t="shared" si="66"/>
        <v>1</v>
      </c>
      <c r="S635">
        <f t="shared" si="67"/>
        <v>3</v>
      </c>
      <c r="T635" t="str">
        <f t="shared" si="68"/>
        <v>DerivedFromCount</v>
      </c>
      <c r="U635" t="str">
        <f>IF(COUNTIF(DailyProduction!$Q$5:$Q$100,B635)=1,"OK","CHECK")</f>
        <v>OK</v>
      </c>
      <c r="V635" t="str">
        <f t="shared" si="69"/>
        <v>OK</v>
      </c>
      <c r="W635" t="str">
        <f>IF(SUMIF($B$5:$B$914,B635,$S$5:$S$914)=SUMIF(DailyProduction!$Q$5:$Q$100,B635,DailyProduction!$R$5:$R$100),"OK","CHECK")</f>
        <v>OK</v>
      </c>
    </row>
    <row r="636" spans="1:23">
      <c r="A636" t="s">
        <v>1076</v>
      </c>
      <c r="B636" t="s">
        <v>1069</v>
      </c>
      <c r="C636" t="s">
        <v>30</v>
      </c>
      <c r="D636" s="7">
        <v>45953</v>
      </c>
      <c r="E636" t="s">
        <v>31</v>
      </c>
      <c r="F636" t="s">
        <v>41</v>
      </c>
      <c r="G636">
        <v>24</v>
      </c>
      <c r="H636" t="s">
        <v>59</v>
      </c>
      <c r="I636">
        <v>8</v>
      </c>
      <c r="J636">
        <v>12</v>
      </c>
      <c r="K636">
        <v>3</v>
      </c>
      <c r="L636">
        <f t="shared" si="63"/>
        <v>1</v>
      </c>
      <c r="P636">
        <f t="shared" si="64"/>
        <v>1</v>
      </c>
      <c r="Q636">
        <f t="shared" si="65"/>
        <v>1</v>
      </c>
      <c r="R636">
        <f t="shared" si="66"/>
        <v>1</v>
      </c>
      <c r="S636">
        <f t="shared" si="67"/>
        <v>3</v>
      </c>
      <c r="T636" t="str">
        <f t="shared" si="68"/>
        <v>DerivedFromCount</v>
      </c>
      <c r="U636" t="str">
        <f>IF(COUNTIF(DailyProduction!$Q$5:$Q$100,B636)=1,"OK","CHECK")</f>
        <v>OK</v>
      </c>
      <c r="V636" t="str">
        <f t="shared" si="69"/>
        <v>OK</v>
      </c>
      <c r="W636" t="str">
        <f>IF(SUMIF($B$5:$B$914,B636,$S$5:$S$914)=SUMIF(DailyProduction!$Q$5:$Q$100,B636,DailyProduction!$R$5:$R$100),"OK","CHECK")</f>
        <v>OK</v>
      </c>
    </row>
    <row r="637" spans="1:23">
      <c r="A637" t="s">
        <v>1077</v>
      </c>
      <c r="B637" t="s">
        <v>1069</v>
      </c>
      <c r="C637" t="s">
        <v>30</v>
      </c>
      <c r="D637" s="7">
        <v>45953</v>
      </c>
      <c r="E637" t="s">
        <v>31</v>
      </c>
      <c r="F637" t="s">
        <v>41</v>
      </c>
      <c r="G637">
        <v>24</v>
      </c>
      <c r="H637" t="s">
        <v>59</v>
      </c>
      <c r="I637">
        <v>9</v>
      </c>
      <c r="J637">
        <v>12</v>
      </c>
      <c r="K637">
        <v>3</v>
      </c>
      <c r="L637">
        <f t="shared" si="63"/>
        <v>1</v>
      </c>
      <c r="P637">
        <f t="shared" si="64"/>
        <v>1</v>
      </c>
      <c r="Q637">
        <f t="shared" si="65"/>
        <v>1</v>
      </c>
      <c r="R637">
        <f t="shared" si="66"/>
        <v>1</v>
      </c>
      <c r="S637">
        <f t="shared" si="67"/>
        <v>3</v>
      </c>
      <c r="T637" t="str">
        <f t="shared" si="68"/>
        <v>DerivedFromCount</v>
      </c>
      <c r="U637" t="str">
        <f>IF(COUNTIF(DailyProduction!$Q$5:$Q$100,B637)=1,"OK","CHECK")</f>
        <v>OK</v>
      </c>
      <c r="V637" t="str">
        <f t="shared" si="69"/>
        <v>OK</v>
      </c>
      <c r="W637" t="str">
        <f>IF(SUMIF($B$5:$B$914,B637,$S$5:$S$914)=SUMIF(DailyProduction!$Q$5:$Q$100,B637,DailyProduction!$R$5:$R$100),"OK","CHECK")</f>
        <v>OK</v>
      </c>
    </row>
    <row r="638" spans="1:23">
      <c r="A638" t="s">
        <v>1078</v>
      </c>
      <c r="B638" t="s">
        <v>1069</v>
      </c>
      <c r="C638" t="s">
        <v>30</v>
      </c>
      <c r="D638" s="7">
        <v>45953</v>
      </c>
      <c r="E638" t="s">
        <v>31</v>
      </c>
      <c r="F638" t="s">
        <v>41</v>
      </c>
      <c r="G638">
        <v>24</v>
      </c>
      <c r="H638" t="s">
        <v>59</v>
      </c>
      <c r="I638">
        <v>10</v>
      </c>
      <c r="J638">
        <v>12</v>
      </c>
      <c r="K638">
        <v>3</v>
      </c>
      <c r="L638">
        <f t="shared" si="63"/>
        <v>1</v>
      </c>
      <c r="P638">
        <f t="shared" si="64"/>
        <v>1</v>
      </c>
      <c r="Q638">
        <f t="shared" si="65"/>
        <v>1</v>
      </c>
      <c r="R638">
        <f t="shared" si="66"/>
        <v>1</v>
      </c>
      <c r="S638">
        <f t="shared" si="67"/>
        <v>3</v>
      </c>
      <c r="T638" t="str">
        <f t="shared" si="68"/>
        <v>DerivedFromCount</v>
      </c>
      <c r="U638" t="str">
        <f>IF(COUNTIF(DailyProduction!$Q$5:$Q$100,B638)=1,"OK","CHECK")</f>
        <v>OK</v>
      </c>
      <c r="V638" t="str">
        <f t="shared" si="69"/>
        <v>OK</v>
      </c>
      <c r="W638" t="str">
        <f>IF(SUMIF($B$5:$B$914,B638,$S$5:$S$914)=SUMIF(DailyProduction!$Q$5:$Q$100,B638,DailyProduction!$R$5:$R$100),"OK","CHECK")</f>
        <v>OK</v>
      </c>
    </row>
    <row r="639" spans="1:23">
      <c r="A639" t="s">
        <v>1079</v>
      </c>
      <c r="B639" t="s">
        <v>1069</v>
      </c>
      <c r="C639" t="s">
        <v>30</v>
      </c>
      <c r="D639" s="7">
        <v>45953</v>
      </c>
      <c r="E639" t="s">
        <v>31</v>
      </c>
      <c r="F639" t="s">
        <v>41</v>
      </c>
      <c r="G639">
        <v>24</v>
      </c>
      <c r="H639" t="s">
        <v>59</v>
      </c>
      <c r="I639">
        <v>11</v>
      </c>
      <c r="J639">
        <v>12</v>
      </c>
      <c r="K639">
        <v>3</v>
      </c>
      <c r="L639">
        <f t="shared" si="63"/>
        <v>1</v>
      </c>
      <c r="P639">
        <f t="shared" si="64"/>
        <v>1</v>
      </c>
      <c r="Q639">
        <f t="shared" si="65"/>
        <v>1</v>
      </c>
      <c r="R639">
        <f t="shared" si="66"/>
        <v>1</v>
      </c>
      <c r="S639">
        <f t="shared" si="67"/>
        <v>3</v>
      </c>
      <c r="T639" t="str">
        <f t="shared" si="68"/>
        <v>DerivedFromCount</v>
      </c>
      <c r="U639" t="str">
        <f>IF(COUNTIF(DailyProduction!$Q$5:$Q$100,B639)=1,"OK","CHECK")</f>
        <v>OK</v>
      </c>
      <c r="V639" t="str">
        <f t="shared" si="69"/>
        <v>OK</v>
      </c>
      <c r="W639" t="str">
        <f>IF(SUMIF($B$5:$B$914,B639,$S$5:$S$914)=SUMIF(DailyProduction!$Q$5:$Q$100,B639,DailyProduction!$R$5:$R$100),"OK","CHECK")</f>
        <v>OK</v>
      </c>
    </row>
    <row r="640" spans="1:23">
      <c r="A640" t="s">
        <v>1080</v>
      </c>
      <c r="B640" t="s">
        <v>1069</v>
      </c>
      <c r="C640" t="s">
        <v>30</v>
      </c>
      <c r="D640" s="7">
        <v>45953</v>
      </c>
      <c r="E640" t="s">
        <v>31</v>
      </c>
      <c r="F640" t="s">
        <v>41</v>
      </c>
      <c r="G640">
        <v>24</v>
      </c>
      <c r="H640" t="s">
        <v>59</v>
      </c>
      <c r="I640">
        <v>12</v>
      </c>
      <c r="J640">
        <v>12</v>
      </c>
      <c r="K640">
        <v>3</v>
      </c>
      <c r="L640">
        <f t="shared" si="63"/>
        <v>1</v>
      </c>
      <c r="P640">
        <f t="shared" si="64"/>
        <v>1</v>
      </c>
      <c r="Q640">
        <f t="shared" si="65"/>
        <v>1</v>
      </c>
      <c r="R640">
        <f t="shared" si="66"/>
        <v>1</v>
      </c>
      <c r="S640">
        <f t="shared" si="67"/>
        <v>3</v>
      </c>
      <c r="T640" t="str">
        <f t="shared" si="68"/>
        <v>DerivedFromCount</v>
      </c>
      <c r="U640" t="str">
        <f>IF(COUNTIF(DailyProduction!$Q$5:$Q$100,B640)=1,"OK","CHECK")</f>
        <v>OK</v>
      </c>
      <c r="V640" t="str">
        <f t="shared" si="69"/>
        <v>OK</v>
      </c>
      <c r="W640" t="str">
        <f>IF(SUMIF($B$5:$B$914,B640,$S$5:$S$914)=SUMIF(DailyProduction!$Q$5:$Q$100,B640,DailyProduction!$R$5:$R$100),"OK","CHECK")</f>
        <v>OK</v>
      </c>
    </row>
    <row r="641" spans="1:23">
      <c r="A641" t="s">
        <v>1081</v>
      </c>
      <c r="B641" t="s">
        <v>1069</v>
      </c>
      <c r="C641" t="s">
        <v>30</v>
      </c>
      <c r="D641" s="7">
        <v>45953</v>
      </c>
      <c r="E641" t="s">
        <v>31</v>
      </c>
      <c r="F641" t="s">
        <v>41</v>
      </c>
      <c r="G641">
        <v>24</v>
      </c>
      <c r="H641" t="s">
        <v>59</v>
      </c>
      <c r="I641">
        <v>13</v>
      </c>
      <c r="J641">
        <v>12</v>
      </c>
      <c r="K641">
        <v>3</v>
      </c>
      <c r="L641">
        <f t="shared" si="63"/>
        <v>0</v>
      </c>
      <c r="P641">
        <f t="shared" si="64"/>
        <v>0</v>
      </c>
      <c r="Q641">
        <f t="shared" si="65"/>
        <v>0</v>
      </c>
      <c r="R641">
        <f t="shared" si="66"/>
        <v>0</v>
      </c>
      <c r="S641">
        <f t="shared" si="67"/>
        <v>0</v>
      </c>
      <c r="T641" t="str">
        <f t="shared" si="68"/>
        <v>DerivedFromCount</v>
      </c>
      <c r="U641" t="str">
        <f>IF(COUNTIF(DailyProduction!$Q$5:$Q$100,B641)=1,"OK","CHECK")</f>
        <v>OK</v>
      </c>
      <c r="V641" t="str">
        <f t="shared" si="69"/>
        <v>OK</v>
      </c>
      <c r="W641" t="str">
        <f>IF(SUMIF($B$5:$B$914,B641,$S$5:$S$914)=SUMIF(DailyProduction!$Q$5:$Q$100,B641,DailyProduction!$R$5:$R$100),"OK","CHECK")</f>
        <v>OK</v>
      </c>
    </row>
    <row r="642" spans="1:23">
      <c r="A642" t="s">
        <v>1082</v>
      </c>
      <c r="B642" t="s">
        <v>1083</v>
      </c>
      <c r="C642" t="s">
        <v>30</v>
      </c>
      <c r="D642" s="7">
        <v>45953</v>
      </c>
      <c r="E642" t="s">
        <v>79</v>
      </c>
      <c r="F642" t="s">
        <v>32</v>
      </c>
      <c r="G642">
        <v>24</v>
      </c>
      <c r="H642" t="s">
        <v>59</v>
      </c>
      <c r="I642">
        <v>1</v>
      </c>
      <c r="J642">
        <v>12</v>
      </c>
      <c r="K642">
        <v>3</v>
      </c>
      <c r="L642">
        <f t="shared" si="63"/>
        <v>1</v>
      </c>
      <c r="P642">
        <f t="shared" si="64"/>
        <v>1</v>
      </c>
      <c r="Q642">
        <f t="shared" si="65"/>
        <v>1</v>
      </c>
      <c r="R642">
        <f t="shared" si="66"/>
        <v>1</v>
      </c>
      <c r="S642">
        <f t="shared" si="67"/>
        <v>3</v>
      </c>
      <c r="T642" t="str">
        <f t="shared" si="68"/>
        <v>DerivedFromCount</v>
      </c>
      <c r="U642" t="str">
        <f>IF(COUNTIF(DailyProduction!$Q$5:$Q$100,B642)=1,"OK","CHECK")</f>
        <v>OK</v>
      </c>
      <c r="V642" t="str">
        <f t="shared" si="69"/>
        <v>OK</v>
      </c>
      <c r="W642" t="str">
        <f>IF(SUMIF($B$5:$B$914,B642,$S$5:$S$914)=SUMIF(DailyProduction!$Q$5:$Q$100,B642,DailyProduction!$R$5:$R$100),"OK","CHECK")</f>
        <v>OK</v>
      </c>
    </row>
    <row r="643" spans="1:23">
      <c r="A643" t="s">
        <v>1084</v>
      </c>
      <c r="B643" t="s">
        <v>1083</v>
      </c>
      <c r="C643" t="s">
        <v>30</v>
      </c>
      <c r="D643" s="7">
        <v>45953</v>
      </c>
      <c r="E643" t="s">
        <v>79</v>
      </c>
      <c r="F643" t="s">
        <v>32</v>
      </c>
      <c r="G643">
        <v>24</v>
      </c>
      <c r="H643" t="s">
        <v>59</v>
      </c>
      <c r="I643">
        <v>2</v>
      </c>
      <c r="J643">
        <v>12</v>
      </c>
      <c r="K643">
        <v>3</v>
      </c>
      <c r="L643">
        <f t="shared" si="63"/>
        <v>1</v>
      </c>
      <c r="P643">
        <f t="shared" si="64"/>
        <v>1</v>
      </c>
      <c r="Q643">
        <f t="shared" si="65"/>
        <v>1</v>
      </c>
      <c r="R643">
        <f t="shared" si="66"/>
        <v>1</v>
      </c>
      <c r="S643">
        <f t="shared" si="67"/>
        <v>3</v>
      </c>
      <c r="T643" t="str">
        <f t="shared" si="68"/>
        <v>DerivedFromCount</v>
      </c>
      <c r="U643" t="str">
        <f>IF(COUNTIF(DailyProduction!$Q$5:$Q$100,B643)=1,"OK","CHECK")</f>
        <v>OK</v>
      </c>
      <c r="V643" t="str">
        <f t="shared" si="69"/>
        <v>OK</v>
      </c>
      <c r="W643" t="str">
        <f>IF(SUMIF($B$5:$B$914,B643,$S$5:$S$914)=SUMIF(DailyProduction!$Q$5:$Q$100,B643,DailyProduction!$R$5:$R$100),"OK","CHECK")</f>
        <v>OK</v>
      </c>
    </row>
    <row r="644" spans="1:23">
      <c r="A644" t="s">
        <v>1085</v>
      </c>
      <c r="B644" t="s">
        <v>1083</v>
      </c>
      <c r="C644" t="s">
        <v>30</v>
      </c>
      <c r="D644" s="7">
        <v>45953</v>
      </c>
      <c r="E644" t="s">
        <v>79</v>
      </c>
      <c r="F644" t="s">
        <v>32</v>
      </c>
      <c r="G644">
        <v>24</v>
      </c>
      <c r="H644" t="s">
        <v>59</v>
      </c>
      <c r="I644">
        <v>3</v>
      </c>
      <c r="J644">
        <v>12</v>
      </c>
      <c r="K644">
        <v>3</v>
      </c>
      <c r="L644">
        <f t="shared" si="63"/>
        <v>1</v>
      </c>
      <c r="P644">
        <f t="shared" si="64"/>
        <v>1</v>
      </c>
      <c r="Q644">
        <f t="shared" si="65"/>
        <v>1</v>
      </c>
      <c r="R644">
        <f t="shared" si="66"/>
        <v>1</v>
      </c>
      <c r="S644">
        <f t="shared" si="67"/>
        <v>3</v>
      </c>
      <c r="T644" t="str">
        <f t="shared" si="68"/>
        <v>DerivedFromCount</v>
      </c>
      <c r="U644" t="str">
        <f>IF(COUNTIF(DailyProduction!$Q$5:$Q$100,B644)=1,"OK","CHECK")</f>
        <v>OK</v>
      </c>
      <c r="V644" t="str">
        <f t="shared" si="69"/>
        <v>OK</v>
      </c>
      <c r="W644" t="str">
        <f>IF(SUMIF($B$5:$B$914,B644,$S$5:$S$914)=SUMIF(DailyProduction!$Q$5:$Q$100,B644,DailyProduction!$R$5:$R$100),"OK","CHECK")</f>
        <v>OK</v>
      </c>
    </row>
    <row r="645" spans="1:23">
      <c r="A645" t="s">
        <v>1086</v>
      </c>
      <c r="B645" t="s">
        <v>1083</v>
      </c>
      <c r="C645" t="s">
        <v>30</v>
      </c>
      <c r="D645" s="7">
        <v>45953</v>
      </c>
      <c r="E645" t="s">
        <v>79</v>
      </c>
      <c r="F645" t="s">
        <v>32</v>
      </c>
      <c r="G645">
        <v>24</v>
      </c>
      <c r="H645" t="s">
        <v>59</v>
      </c>
      <c r="I645">
        <v>4</v>
      </c>
      <c r="J645">
        <v>12</v>
      </c>
      <c r="K645">
        <v>3</v>
      </c>
      <c r="L645">
        <f t="shared" ref="L645:L708" si="70">IF(I645&lt;=J645,1,0)</f>
        <v>1</v>
      </c>
      <c r="P645">
        <f t="shared" ref="P645:P708" si="71">IF(M645="",IF(AND(L645=1,K645&gt;=1),1,0),M645)</f>
        <v>1</v>
      </c>
      <c r="Q645">
        <f t="shared" ref="Q645:Q708" si="72">IF(N645="",IF(AND(L645=1,K645&gt;=2),1,0),N645)</f>
        <v>1</v>
      </c>
      <c r="R645">
        <f t="shared" ref="R645:R708" si="73">IF(O645="",IF(AND(L645=1,K645&gt;=3),1,0),O645)</f>
        <v>1</v>
      </c>
      <c r="S645">
        <f t="shared" ref="S645:S708" si="74">SUM(P645:R645)</f>
        <v>3</v>
      </c>
      <c r="T645" t="str">
        <f t="shared" ref="T645:T708" si="75">IF(COUNTA(M645:O645)=0,"DerivedFromCount","ManualOverride")</f>
        <v>DerivedFromCount</v>
      </c>
      <c r="U645" t="str">
        <f>IF(COUNTIF(DailyProduction!$Q$5:$Q$100,B645)=1,"OK","CHECK")</f>
        <v>OK</v>
      </c>
      <c r="V645" t="str">
        <f t="shared" ref="V645:V708" si="76">IF(AND(I645&gt;=1,I645&lt;=13,K645&gt;=1,K645&lt;=3),"OK","CHECK")</f>
        <v>OK</v>
      </c>
      <c r="W645" t="str">
        <f>IF(SUMIF($B$5:$B$914,B645,$S$5:$S$914)=SUMIF(DailyProduction!$Q$5:$Q$100,B645,DailyProduction!$R$5:$R$100),"OK","CHECK")</f>
        <v>OK</v>
      </c>
    </row>
    <row r="646" spans="1:23">
      <c r="A646" t="s">
        <v>1087</v>
      </c>
      <c r="B646" t="s">
        <v>1083</v>
      </c>
      <c r="C646" t="s">
        <v>30</v>
      </c>
      <c r="D646" s="7">
        <v>45953</v>
      </c>
      <c r="E646" t="s">
        <v>79</v>
      </c>
      <c r="F646" t="s">
        <v>32</v>
      </c>
      <c r="G646">
        <v>24</v>
      </c>
      <c r="H646" t="s">
        <v>59</v>
      </c>
      <c r="I646">
        <v>5</v>
      </c>
      <c r="J646">
        <v>12</v>
      </c>
      <c r="K646">
        <v>3</v>
      </c>
      <c r="L646">
        <f t="shared" si="70"/>
        <v>1</v>
      </c>
      <c r="P646">
        <f t="shared" si="71"/>
        <v>1</v>
      </c>
      <c r="Q646">
        <f t="shared" si="72"/>
        <v>1</v>
      </c>
      <c r="R646">
        <f t="shared" si="73"/>
        <v>1</v>
      </c>
      <c r="S646">
        <f t="shared" si="74"/>
        <v>3</v>
      </c>
      <c r="T646" t="str">
        <f t="shared" si="75"/>
        <v>DerivedFromCount</v>
      </c>
      <c r="U646" t="str">
        <f>IF(COUNTIF(DailyProduction!$Q$5:$Q$100,B646)=1,"OK","CHECK")</f>
        <v>OK</v>
      </c>
      <c r="V646" t="str">
        <f t="shared" si="76"/>
        <v>OK</v>
      </c>
      <c r="W646" t="str">
        <f>IF(SUMIF($B$5:$B$914,B646,$S$5:$S$914)=SUMIF(DailyProduction!$Q$5:$Q$100,B646,DailyProduction!$R$5:$R$100),"OK","CHECK")</f>
        <v>OK</v>
      </c>
    </row>
    <row r="647" spans="1:23">
      <c r="A647" t="s">
        <v>1088</v>
      </c>
      <c r="B647" t="s">
        <v>1083</v>
      </c>
      <c r="C647" t="s">
        <v>30</v>
      </c>
      <c r="D647" s="7">
        <v>45953</v>
      </c>
      <c r="E647" t="s">
        <v>79</v>
      </c>
      <c r="F647" t="s">
        <v>32</v>
      </c>
      <c r="G647">
        <v>24</v>
      </c>
      <c r="H647" t="s">
        <v>59</v>
      </c>
      <c r="I647">
        <v>6</v>
      </c>
      <c r="J647">
        <v>12</v>
      </c>
      <c r="K647">
        <v>3</v>
      </c>
      <c r="L647">
        <f t="shared" si="70"/>
        <v>1</v>
      </c>
      <c r="P647">
        <f t="shared" si="71"/>
        <v>1</v>
      </c>
      <c r="Q647">
        <f t="shared" si="72"/>
        <v>1</v>
      </c>
      <c r="R647">
        <f t="shared" si="73"/>
        <v>1</v>
      </c>
      <c r="S647">
        <f t="shared" si="74"/>
        <v>3</v>
      </c>
      <c r="T647" t="str">
        <f t="shared" si="75"/>
        <v>DerivedFromCount</v>
      </c>
      <c r="U647" t="str">
        <f>IF(COUNTIF(DailyProduction!$Q$5:$Q$100,B647)=1,"OK","CHECK")</f>
        <v>OK</v>
      </c>
      <c r="V647" t="str">
        <f t="shared" si="76"/>
        <v>OK</v>
      </c>
      <c r="W647" t="str">
        <f>IF(SUMIF($B$5:$B$914,B647,$S$5:$S$914)=SUMIF(DailyProduction!$Q$5:$Q$100,B647,DailyProduction!$R$5:$R$100),"OK","CHECK")</f>
        <v>OK</v>
      </c>
    </row>
    <row r="648" spans="1:23">
      <c r="A648" t="s">
        <v>1089</v>
      </c>
      <c r="B648" t="s">
        <v>1083</v>
      </c>
      <c r="C648" t="s">
        <v>30</v>
      </c>
      <c r="D648" s="7">
        <v>45953</v>
      </c>
      <c r="E648" t="s">
        <v>79</v>
      </c>
      <c r="F648" t="s">
        <v>32</v>
      </c>
      <c r="G648">
        <v>24</v>
      </c>
      <c r="H648" t="s">
        <v>59</v>
      </c>
      <c r="I648">
        <v>7</v>
      </c>
      <c r="J648">
        <v>12</v>
      </c>
      <c r="K648">
        <v>3</v>
      </c>
      <c r="L648">
        <f t="shared" si="70"/>
        <v>1</v>
      </c>
      <c r="P648">
        <f t="shared" si="71"/>
        <v>1</v>
      </c>
      <c r="Q648">
        <f t="shared" si="72"/>
        <v>1</v>
      </c>
      <c r="R648">
        <f t="shared" si="73"/>
        <v>1</v>
      </c>
      <c r="S648">
        <f t="shared" si="74"/>
        <v>3</v>
      </c>
      <c r="T648" t="str">
        <f t="shared" si="75"/>
        <v>DerivedFromCount</v>
      </c>
      <c r="U648" t="str">
        <f>IF(COUNTIF(DailyProduction!$Q$5:$Q$100,B648)=1,"OK","CHECK")</f>
        <v>OK</v>
      </c>
      <c r="V648" t="str">
        <f t="shared" si="76"/>
        <v>OK</v>
      </c>
      <c r="W648" t="str">
        <f>IF(SUMIF($B$5:$B$914,B648,$S$5:$S$914)=SUMIF(DailyProduction!$Q$5:$Q$100,B648,DailyProduction!$R$5:$R$100),"OK","CHECK")</f>
        <v>OK</v>
      </c>
    </row>
    <row r="649" spans="1:23">
      <c r="A649" t="s">
        <v>1090</v>
      </c>
      <c r="B649" t="s">
        <v>1083</v>
      </c>
      <c r="C649" t="s">
        <v>30</v>
      </c>
      <c r="D649" s="7">
        <v>45953</v>
      </c>
      <c r="E649" t="s">
        <v>79</v>
      </c>
      <c r="F649" t="s">
        <v>32</v>
      </c>
      <c r="G649">
        <v>24</v>
      </c>
      <c r="H649" t="s">
        <v>59</v>
      </c>
      <c r="I649">
        <v>8</v>
      </c>
      <c r="J649">
        <v>12</v>
      </c>
      <c r="K649">
        <v>3</v>
      </c>
      <c r="L649">
        <f t="shared" si="70"/>
        <v>1</v>
      </c>
      <c r="P649">
        <f t="shared" si="71"/>
        <v>1</v>
      </c>
      <c r="Q649">
        <f t="shared" si="72"/>
        <v>1</v>
      </c>
      <c r="R649">
        <f t="shared" si="73"/>
        <v>1</v>
      </c>
      <c r="S649">
        <f t="shared" si="74"/>
        <v>3</v>
      </c>
      <c r="T649" t="str">
        <f t="shared" si="75"/>
        <v>DerivedFromCount</v>
      </c>
      <c r="U649" t="str">
        <f>IF(COUNTIF(DailyProduction!$Q$5:$Q$100,B649)=1,"OK","CHECK")</f>
        <v>OK</v>
      </c>
      <c r="V649" t="str">
        <f t="shared" si="76"/>
        <v>OK</v>
      </c>
      <c r="W649" t="str">
        <f>IF(SUMIF($B$5:$B$914,B649,$S$5:$S$914)=SUMIF(DailyProduction!$Q$5:$Q$100,B649,DailyProduction!$R$5:$R$100),"OK","CHECK")</f>
        <v>OK</v>
      </c>
    </row>
    <row r="650" spans="1:23">
      <c r="A650" t="s">
        <v>1091</v>
      </c>
      <c r="B650" t="s">
        <v>1083</v>
      </c>
      <c r="C650" t="s">
        <v>30</v>
      </c>
      <c r="D650" s="7">
        <v>45953</v>
      </c>
      <c r="E650" t="s">
        <v>79</v>
      </c>
      <c r="F650" t="s">
        <v>32</v>
      </c>
      <c r="G650">
        <v>24</v>
      </c>
      <c r="H650" t="s">
        <v>59</v>
      </c>
      <c r="I650">
        <v>9</v>
      </c>
      <c r="J650">
        <v>12</v>
      </c>
      <c r="K650">
        <v>3</v>
      </c>
      <c r="L650">
        <f t="shared" si="70"/>
        <v>1</v>
      </c>
      <c r="P650">
        <f t="shared" si="71"/>
        <v>1</v>
      </c>
      <c r="Q650">
        <f t="shared" si="72"/>
        <v>1</v>
      </c>
      <c r="R650">
        <f t="shared" si="73"/>
        <v>1</v>
      </c>
      <c r="S650">
        <f t="shared" si="74"/>
        <v>3</v>
      </c>
      <c r="T650" t="str">
        <f t="shared" si="75"/>
        <v>DerivedFromCount</v>
      </c>
      <c r="U650" t="str">
        <f>IF(COUNTIF(DailyProduction!$Q$5:$Q$100,B650)=1,"OK","CHECK")</f>
        <v>OK</v>
      </c>
      <c r="V650" t="str">
        <f t="shared" si="76"/>
        <v>OK</v>
      </c>
      <c r="W650" t="str">
        <f>IF(SUMIF($B$5:$B$914,B650,$S$5:$S$914)=SUMIF(DailyProduction!$Q$5:$Q$100,B650,DailyProduction!$R$5:$R$100),"OK","CHECK")</f>
        <v>OK</v>
      </c>
    </row>
    <row r="651" spans="1:23">
      <c r="A651" t="s">
        <v>1092</v>
      </c>
      <c r="B651" t="s">
        <v>1083</v>
      </c>
      <c r="C651" t="s">
        <v>30</v>
      </c>
      <c r="D651" s="7">
        <v>45953</v>
      </c>
      <c r="E651" t="s">
        <v>79</v>
      </c>
      <c r="F651" t="s">
        <v>32</v>
      </c>
      <c r="G651">
        <v>24</v>
      </c>
      <c r="H651" t="s">
        <v>59</v>
      </c>
      <c r="I651">
        <v>10</v>
      </c>
      <c r="J651">
        <v>12</v>
      </c>
      <c r="K651">
        <v>3</v>
      </c>
      <c r="L651">
        <f t="shared" si="70"/>
        <v>1</v>
      </c>
      <c r="P651">
        <f t="shared" si="71"/>
        <v>1</v>
      </c>
      <c r="Q651">
        <f t="shared" si="72"/>
        <v>1</v>
      </c>
      <c r="R651">
        <f t="shared" si="73"/>
        <v>1</v>
      </c>
      <c r="S651">
        <f t="shared" si="74"/>
        <v>3</v>
      </c>
      <c r="T651" t="str">
        <f t="shared" si="75"/>
        <v>DerivedFromCount</v>
      </c>
      <c r="U651" t="str">
        <f>IF(COUNTIF(DailyProduction!$Q$5:$Q$100,B651)=1,"OK","CHECK")</f>
        <v>OK</v>
      </c>
      <c r="V651" t="str">
        <f t="shared" si="76"/>
        <v>OK</v>
      </c>
      <c r="W651" t="str">
        <f>IF(SUMIF($B$5:$B$914,B651,$S$5:$S$914)=SUMIF(DailyProduction!$Q$5:$Q$100,B651,DailyProduction!$R$5:$R$100),"OK","CHECK")</f>
        <v>OK</v>
      </c>
    </row>
    <row r="652" spans="1:23">
      <c r="A652" t="s">
        <v>1093</v>
      </c>
      <c r="B652" t="s">
        <v>1083</v>
      </c>
      <c r="C652" t="s">
        <v>30</v>
      </c>
      <c r="D652" s="7">
        <v>45953</v>
      </c>
      <c r="E652" t="s">
        <v>79</v>
      </c>
      <c r="F652" t="s">
        <v>32</v>
      </c>
      <c r="G652">
        <v>24</v>
      </c>
      <c r="H652" t="s">
        <v>59</v>
      </c>
      <c r="I652">
        <v>11</v>
      </c>
      <c r="J652">
        <v>12</v>
      </c>
      <c r="K652">
        <v>3</v>
      </c>
      <c r="L652">
        <f t="shared" si="70"/>
        <v>1</v>
      </c>
      <c r="P652">
        <f t="shared" si="71"/>
        <v>1</v>
      </c>
      <c r="Q652">
        <f t="shared" si="72"/>
        <v>1</v>
      </c>
      <c r="R652">
        <f t="shared" si="73"/>
        <v>1</v>
      </c>
      <c r="S652">
        <f t="shared" si="74"/>
        <v>3</v>
      </c>
      <c r="T652" t="str">
        <f t="shared" si="75"/>
        <v>DerivedFromCount</v>
      </c>
      <c r="U652" t="str">
        <f>IF(COUNTIF(DailyProduction!$Q$5:$Q$100,B652)=1,"OK","CHECK")</f>
        <v>OK</v>
      </c>
      <c r="V652" t="str">
        <f t="shared" si="76"/>
        <v>OK</v>
      </c>
      <c r="W652" t="str">
        <f>IF(SUMIF($B$5:$B$914,B652,$S$5:$S$914)=SUMIF(DailyProduction!$Q$5:$Q$100,B652,DailyProduction!$R$5:$R$100),"OK","CHECK")</f>
        <v>OK</v>
      </c>
    </row>
    <row r="653" spans="1:23">
      <c r="A653" t="s">
        <v>1094</v>
      </c>
      <c r="B653" t="s">
        <v>1083</v>
      </c>
      <c r="C653" t="s">
        <v>30</v>
      </c>
      <c r="D653" s="7">
        <v>45953</v>
      </c>
      <c r="E653" t="s">
        <v>79</v>
      </c>
      <c r="F653" t="s">
        <v>32</v>
      </c>
      <c r="G653">
        <v>24</v>
      </c>
      <c r="H653" t="s">
        <v>59</v>
      </c>
      <c r="I653">
        <v>12</v>
      </c>
      <c r="J653">
        <v>12</v>
      </c>
      <c r="K653">
        <v>3</v>
      </c>
      <c r="L653">
        <f t="shared" si="70"/>
        <v>1</v>
      </c>
      <c r="P653">
        <f t="shared" si="71"/>
        <v>1</v>
      </c>
      <c r="Q653">
        <f t="shared" si="72"/>
        <v>1</v>
      </c>
      <c r="R653">
        <f t="shared" si="73"/>
        <v>1</v>
      </c>
      <c r="S653">
        <f t="shared" si="74"/>
        <v>3</v>
      </c>
      <c r="T653" t="str">
        <f t="shared" si="75"/>
        <v>DerivedFromCount</v>
      </c>
      <c r="U653" t="str">
        <f>IF(COUNTIF(DailyProduction!$Q$5:$Q$100,B653)=1,"OK","CHECK")</f>
        <v>OK</v>
      </c>
      <c r="V653" t="str">
        <f t="shared" si="76"/>
        <v>OK</v>
      </c>
      <c r="W653" t="str">
        <f>IF(SUMIF($B$5:$B$914,B653,$S$5:$S$914)=SUMIF(DailyProduction!$Q$5:$Q$100,B653,DailyProduction!$R$5:$R$100),"OK","CHECK")</f>
        <v>OK</v>
      </c>
    </row>
    <row r="654" spans="1:23">
      <c r="A654" t="s">
        <v>1095</v>
      </c>
      <c r="B654" t="s">
        <v>1083</v>
      </c>
      <c r="C654" t="s">
        <v>30</v>
      </c>
      <c r="D654" s="7">
        <v>45953</v>
      </c>
      <c r="E654" t="s">
        <v>79</v>
      </c>
      <c r="F654" t="s">
        <v>32</v>
      </c>
      <c r="G654">
        <v>24</v>
      </c>
      <c r="H654" t="s">
        <v>59</v>
      </c>
      <c r="I654">
        <v>13</v>
      </c>
      <c r="J654">
        <v>12</v>
      </c>
      <c r="K654">
        <v>3</v>
      </c>
      <c r="L654">
        <f t="shared" si="70"/>
        <v>0</v>
      </c>
      <c r="P654">
        <f t="shared" si="71"/>
        <v>0</v>
      </c>
      <c r="Q654">
        <f t="shared" si="72"/>
        <v>0</v>
      </c>
      <c r="R654">
        <f t="shared" si="73"/>
        <v>0</v>
      </c>
      <c r="S654">
        <f t="shared" si="74"/>
        <v>0</v>
      </c>
      <c r="T654" t="str">
        <f t="shared" si="75"/>
        <v>DerivedFromCount</v>
      </c>
      <c r="U654" t="str">
        <f>IF(COUNTIF(DailyProduction!$Q$5:$Q$100,B654)=1,"OK","CHECK")</f>
        <v>OK</v>
      </c>
      <c r="V654" t="str">
        <f t="shared" si="76"/>
        <v>OK</v>
      </c>
      <c r="W654" t="str">
        <f>IF(SUMIF($B$5:$B$914,B654,$S$5:$S$914)=SUMIF(DailyProduction!$Q$5:$Q$100,B654,DailyProduction!$R$5:$R$100),"OK","CHECK")</f>
        <v>OK</v>
      </c>
    </row>
    <row r="655" spans="1:23">
      <c r="A655" t="s">
        <v>1096</v>
      </c>
      <c r="B655" t="s">
        <v>1097</v>
      </c>
      <c r="C655" t="s">
        <v>30</v>
      </c>
      <c r="D655" s="7">
        <v>45954</v>
      </c>
      <c r="E655" t="s">
        <v>31</v>
      </c>
      <c r="F655" t="s">
        <v>32</v>
      </c>
      <c r="G655">
        <v>24</v>
      </c>
      <c r="H655" t="s">
        <v>59</v>
      </c>
      <c r="I655">
        <v>1</v>
      </c>
      <c r="J655">
        <v>12</v>
      </c>
      <c r="K655">
        <v>3</v>
      </c>
      <c r="L655">
        <f t="shared" si="70"/>
        <v>1</v>
      </c>
      <c r="P655">
        <f t="shared" si="71"/>
        <v>1</v>
      </c>
      <c r="Q655">
        <f t="shared" si="72"/>
        <v>1</v>
      </c>
      <c r="R655">
        <f t="shared" si="73"/>
        <v>1</v>
      </c>
      <c r="S655">
        <f t="shared" si="74"/>
        <v>3</v>
      </c>
      <c r="T655" t="str">
        <f t="shared" si="75"/>
        <v>DerivedFromCount</v>
      </c>
      <c r="U655" t="str">
        <f>IF(COUNTIF(DailyProduction!$Q$5:$Q$100,B655)=1,"OK","CHECK")</f>
        <v>OK</v>
      </c>
      <c r="V655" t="str">
        <f t="shared" si="76"/>
        <v>OK</v>
      </c>
      <c r="W655" t="str">
        <f>IF(SUMIF($B$5:$B$914,B655,$S$5:$S$914)=SUMIF(DailyProduction!$Q$5:$Q$100,B655,DailyProduction!$R$5:$R$100),"OK","CHECK")</f>
        <v>OK</v>
      </c>
    </row>
    <row r="656" spans="1:23">
      <c r="A656" t="s">
        <v>1098</v>
      </c>
      <c r="B656" t="s">
        <v>1097</v>
      </c>
      <c r="C656" t="s">
        <v>30</v>
      </c>
      <c r="D656" s="7">
        <v>45954</v>
      </c>
      <c r="E656" t="s">
        <v>31</v>
      </c>
      <c r="F656" t="s">
        <v>32</v>
      </c>
      <c r="G656">
        <v>24</v>
      </c>
      <c r="H656" t="s">
        <v>59</v>
      </c>
      <c r="I656">
        <v>2</v>
      </c>
      <c r="J656">
        <v>12</v>
      </c>
      <c r="K656">
        <v>3</v>
      </c>
      <c r="L656">
        <f t="shared" si="70"/>
        <v>1</v>
      </c>
      <c r="P656">
        <f t="shared" si="71"/>
        <v>1</v>
      </c>
      <c r="Q656">
        <f t="shared" si="72"/>
        <v>1</v>
      </c>
      <c r="R656">
        <f t="shared" si="73"/>
        <v>1</v>
      </c>
      <c r="S656">
        <f t="shared" si="74"/>
        <v>3</v>
      </c>
      <c r="T656" t="str">
        <f t="shared" si="75"/>
        <v>DerivedFromCount</v>
      </c>
      <c r="U656" t="str">
        <f>IF(COUNTIF(DailyProduction!$Q$5:$Q$100,B656)=1,"OK","CHECK")</f>
        <v>OK</v>
      </c>
      <c r="V656" t="str">
        <f t="shared" si="76"/>
        <v>OK</v>
      </c>
      <c r="W656" t="str">
        <f>IF(SUMIF($B$5:$B$914,B656,$S$5:$S$914)=SUMIF(DailyProduction!$Q$5:$Q$100,B656,DailyProduction!$R$5:$R$100),"OK","CHECK")</f>
        <v>OK</v>
      </c>
    </row>
    <row r="657" spans="1:23">
      <c r="A657" t="s">
        <v>1099</v>
      </c>
      <c r="B657" t="s">
        <v>1097</v>
      </c>
      <c r="C657" t="s">
        <v>30</v>
      </c>
      <c r="D657" s="7">
        <v>45954</v>
      </c>
      <c r="E657" t="s">
        <v>31</v>
      </c>
      <c r="F657" t="s">
        <v>32</v>
      </c>
      <c r="G657">
        <v>24</v>
      </c>
      <c r="H657" t="s">
        <v>59</v>
      </c>
      <c r="I657">
        <v>3</v>
      </c>
      <c r="J657">
        <v>12</v>
      </c>
      <c r="K657">
        <v>3</v>
      </c>
      <c r="L657">
        <f t="shared" si="70"/>
        <v>1</v>
      </c>
      <c r="P657">
        <f t="shared" si="71"/>
        <v>1</v>
      </c>
      <c r="Q657">
        <f t="shared" si="72"/>
        <v>1</v>
      </c>
      <c r="R657">
        <f t="shared" si="73"/>
        <v>1</v>
      </c>
      <c r="S657">
        <f t="shared" si="74"/>
        <v>3</v>
      </c>
      <c r="T657" t="str">
        <f t="shared" si="75"/>
        <v>DerivedFromCount</v>
      </c>
      <c r="U657" t="str">
        <f>IF(COUNTIF(DailyProduction!$Q$5:$Q$100,B657)=1,"OK","CHECK")</f>
        <v>OK</v>
      </c>
      <c r="V657" t="str">
        <f t="shared" si="76"/>
        <v>OK</v>
      </c>
      <c r="W657" t="str">
        <f>IF(SUMIF($B$5:$B$914,B657,$S$5:$S$914)=SUMIF(DailyProduction!$Q$5:$Q$100,B657,DailyProduction!$R$5:$R$100),"OK","CHECK")</f>
        <v>OK</v>
      </c>
    </row>
    <row r="658" spans="1:23">
      <c r="A658" t="s">
        <v>1100</v>
      </c>
      <c r="B658" t="s">
        <v>1097</v>
      </c>
      <c r="C658" t="s">
        <v>30</v>
      </c>
      <c r="D658" s="7">
        <v>45954</v>
      </c>
      <c r="E658" t="s">
        <v>31</v>
      </c>
      <c r="F658" t="s">
        <v>32</v>
      </c>
      <c r="G658">
        <v>24</v>
      </c>
      <c r="H658" t="s">
        <v>59</v>
      </c>
      <c r="I658">
        <v>4</v>
      </c>
      <c r="J658">
        <v>12</v>
      </c>
      <c r="K658">
        <v>3</v>
      </c>
      <c r="L658">
        <f t="shared" si="70"/>
        <v>1</v>
      </c>
      <c r="P658">
        <f t="shared" si="71"/>
        <v>1</v>
      </c>
      <c r="Q658">
        <f t="shared" si="72"/>
        <v>1</v>
      </c>
      <c r="R658">
        <f t="shared" si="73"/>
        <v>1</v>
      </c>
      <c r="S658">
        <f t="shared" si="74"/>
        <v>3</v>
      </c>
      <c r="T658" t="str">
        <f t="shared" si="75"/>
        <v>DerivedFromCount</v>
      </c>
      <c r="U658" t="str">
        <f>IF(COUNTIF(DailyProduction!$Q$5:$Q$100,B658)=1,"OK","CHECK")</f>
        <v>OK</v>
      </c>
      <c r="V658" t="str">
        <f t="shared" si="76"/>
        <v>OK</v>
      </c>
      <c r="W658" t="str">
        <f>IF(SUMIF($B$5:$B$914,B658,$S$5:$S$914)=SUMIF(DailyProduction!$Q$5:$Q$100,B658,DailyProduction!$R$5:$R$100),"OK","CHECK")</f>
        <v>OK</v>
      </c>
    </row>
    <row r="659" spans="1:23">
      <c r="A659" t="s">
        <v>1101</v>
      </c>
      <c r="B659" t="s">
        <v>1097</v>
      </c>
      <c r="C659" t="s">
        <v>30</v>
      </c>
      <c r="D659" s="7">
        <v>45954</v>
      </c>
      <c r="E659" t="s">
        <v>31</v>
      </c>
      <c r="F659" t="s">
        <v>32</v>
      </c>
      <c r="G659">
        <v>24</v>
      </c>
      <c r="H659" t="s">
        <v>59</v>
      </c>
      <c r="I659">
        <v>5</v>
      </c>
      <c r="J659">
        <v>12</v>
      </c>
      <c r="K659">
        <v>3</v>
      </c>
      <c r="L659">
        <f t="shared" si="70"/>
        <v>1</v>
      </c>
      <c r="P659">
        <f t="shared" si="71"/>
        <v>1</v>
      </c>
      <c r="Q659">
        <f t="shared" si="72"/>
        <v>1</v>
      </c>
      <c r="R659">
        <f t="shared" si="73"/>
        <v>1</v>
      </c>
      <c r="S659">
        <f t="shared" si="74"/>
        <v>3</v>
      </c>
      <c r="T659" t="str">
        <f t="shared" si="75"/>
        <v>DerivedFromCount</v>
      </c>
      <c r="U659" t="str">
        <f>IF(COUNTIF(DailyProduction!$Q$5:$Q$100,B659)=1,"OK","CHECK")</f>
        <v>OK</v>
      </c>
      <c r="V659" t="str">
        <f t="shared" si="76"/>
        <v>OK</v>
      </c>
      <c r="W659" t="str">
        <f>IF(SUMIF($B$5:$B$914,B659,$S$5:$S$914)=SUMIF(DailyProduction!$Q$5:$Q$100,B659,DailyProduction!$R$5:$R$100),"OK","CHECK")</f>
        <v>OK</v>
      </c>
    </row>
    <row r="660" spans="1:23">
      <c r="A660" t="s">
        <v>1102</v>
      </c>
      <c r="B660" t="s">
        <v>1097</v>
      </c>
      <c r="C660" t="s">
        <v>30</v>
      </c>
      <c r="D660" s="7">
        <v>45954</v>
      </c>
      <c r="E660" t="s">
        <v>31</v>
      </c>
      <c r="F660" t="s">
        <v>32</v>
      </c>
      <c r="G660">
        <v>24</v>
      </c>
      <c r="H660" t="s">
        <v>59</v>
      </c>
      <c r="I660">
        <v>6</v>
      </c>
      <c r="J660">
        <v>12</v>
      </c>
      <c r="K660">
        <v>3</v>
      </c>
      <c r="L660">
        <f t="shared" si="70"/>
        <v>1</v>
      </c>
      <c r="P660">
        <f t="shared" si="71"/>
        <v>1</v>
      </c>
      <c r="Q660">
        <f t="shared" si="72"/>
        <v>1</v>
      </c>
      <c r="R660">
        <f t="shared" si="73"/>
        <v>1</v>
      </c>
      <c r="S660">
        <f t="shared" si="74"/>
        <v>3</v>
      </c>
      <c r="T660" t="str">
        <f t="shared" si="75"/>
        <v>DerivedFromCount</v>
      </c>
      <c r="U660" t="str">
        <f>IF(COUNTIF(DailyProduction!$Q$5:$Q$100,B660)=1,"OK","CHECK")</f>
        <v>OK</v>
      </c>
      <c r="V660" t="str">
        <f t="shared" si="76"/>
        <v>OK</v>
      </c>
      <c r="W660" t="str">
        <f>IF(SUMIF($B$5:$B$914,B660,$S$5:$S$914)=SUMIF(DailyProduction!$Q$5:$Q$100,B660,DailyProduction!$R$5:$R$100),"OK","CHECK")</f>
        <v>OK</v>
      </c>
    </row>
    <row r="661" spans="1:23">
      <c r="A661" t="s">
        <v>1103</v>
      </c>
      <c r="B661" t="s">
        <v>1097</v>
      </c>
      <c r="C661" t="s">
        <v>30</v>
      </c>
      <c r="D661" s="7">
        <v>45954</v>
      </c>
      <c r="E661" t="s">
        <v>31</v>
      </c>
      <c r="F661" t="s">
        <v>32</v>
      </c>
      <c r="G661">
        <v>24</v>
      </c>
      <c r="H661" t="s">
        <v>59</v>
      </c>
      <c r="I661">
        <v>7</v>
      </c>
      <c r="J661">
        <v>12</v>
      </c>
      <c r="K661">
        <v>3</v>
      </c>
      <c r="L661">
        <f t="shared" si="70"/>
        <v>1</v>
      </c>
      <c r="P661">
        <f t="shared" si="71"/>
        <v>1</v>
      </c>
      <c r="Q661">
        <f t="shared" si="72"/>
        <v>1</v>
      </c>
      <c r="R661">
        <f t="shared" si="73"/>
        <v>1</v>
      </c>
      <c r="S661">
        <f t="shared" si="74"/>
        <v>3</v>
      </c>
      <c r="T661" t="str">
        <f t="shared" si="75"/>
        <v>DerivedFromCount</v>
      </c>
      <c r="U661" t="str">
        <f>IF(COUNTIF(DailyProduction!$Q$5:$Q$100,B661)=1,"OK","CHECK")</f>
        <v>OK</v>
      </c>
      <c r="V661" t="str">
        <f t="shared" si="76"/>
        <v>OK</v>
      </c>
      <c r="W661" t="str">
        <f>IF(SUMIF($B$5:$B$914,B661,$S$5:$S$914)=SUMIF(DailyProduction!$Q$5:$Q$100,B661,DailyProduction!$R$5:$R$100),"OK","CHECK")</f>
        <v>OK</v>
      </c>
    </row>
    <row r="662" spans="1:23">
      <c r="A662" t="s">
        <v>1104</v>
      </c>
      <c r="B662" t="s">
        <v>1097</v>
      </c>
      <c r="C662" t="s">
        <v>30</v>
      </c>
      <c r="D662" s="7">
        <v>45954</v>
      </c>
      <c r="E662" t="s">
        <v>31</v>
      </c>
      <c r="F662" t="s">
        <v>32</v>
      </c>
      <c r="G662">
        <v>24</v>
      </c>
      <c r="H662" t="s">
        <v>59</v>
      </c>
      <c r="I662">
        <v>8</v>
      </c>
      <c r="J662">
        <v>12</v>
      </c>
      <c r="K662">
        <v>3</v>
      </c>
      <c r="L662">
        <f t="shared" si="70"/>
        <v>1</v>
      </c>
      <c r="P662">
        <f t="shared" si="71"/>
        <v>1</v>
      </c>
      <c r="Q662">
        <f t="shared" si="72"/>
        <v>1</v>
      </c>
      <c r="R662">
        <f t="shared" si="73"/>
        <v>1</v>
      </c>
      <c r="S662">
        <f t="shared" si="74"/>
        <v>3</v>
      </c>
      <c r="T662" t="str">
        <f t="shared" si="75"/>
        <v>DerivedFromCount</v>
      </c>
      <c r="U662" t="str">
        <f>IF(COUNTIF(DailyProduction!$Q$5:$Q$100,B662)=1,"OK","CHECK")</f>
        <v>OK</v>
      </c>
      <c r="V662" t="str">
        <f t="shared" si="76"/>
        <v>OK</v>
      </c>
      <c r="W662" t="str">
        <f>IF(SUMIF($B$5:$B$914,B662,$S$5:$S$914)=SUMIF(DailyProduction!$Q$5:$Q$100,B662,DailyProduction!$R$5:$R$100),"OK","CHECK")</f>
        <v>OK</v>
      </c>
    </row>
    <row r="663" spans="1:23">
      <c r="A663" t="s">
        <v>1105</v>
      </c>
      <c r="B663" t="s">
        <v>1097</v>
      </c>
      <c r="C663" t="s">
        <v>30</v>
      </c>
      <c r="D663" s="7">
        <v>45954</v>
      </c>
      <c r="E663" t="s">
        <v>31</v>
      </c>
      <c r="F663" t="s">
        <v>32</v>
      </c>
      <c r="G663">
        <v>24</v>
      </c>
      <c r="H663" t="s">
        <v>59</v>
      </c>
      <c r="I663">
        <v>9</v>
      </c>
      <c r="J663">
        <v>12</v>
      </c>
      <c r="K663">
        <v>3</v>
      </c>
      <c r="L663">
        <f t="shared" si="70"/>
        <v>1</v>
      </c>
      <c r="P663">
        <f t="shared" si="71"/>
        <v>1</v>
      </c>
      <c r="Q663">
        <f t="shared" si="72"/>
        <v>1</v>
      </c>
      <c r="R663">
        <f t="shared" si="73"/>
        <v>1</v>
      </c>
      <c r="S663">
        <f t="shared" si="74"/>
        <v>3</v>
      </c>
      <c r="T663" t="str">
        <f t="shared" si="75"/>
        <v>DerivedFromCount</v>
      </c>
      <c r="U663" t="str">
        <f>IF(COUNTIF(DailyProduction!$Q$5:$Q$100,B663)=1,"OK","CHECK")</f>
        <v>OK</v>
      </c>
      <c r="V663" t="str">
        <f t="shared" si="76"/>
        <v>OK</v>
      </c>
      <c r="W663" t="str">
        <f>IF(SUMIF($B$5:$B$914,B663,$S$5:$S$914)=SUMIF(DailyProduction!$Q$5:$Q$100,B663,DailyProduction!$R$5:$R$100),"OK","CHECK")</f>
        <v>OK</v>
      </c>
    </row>
    <row r="664" spans="1:23">
      <c r="A664" t="s">
        <v>1106</v>
      </c>
      <c r="B664" t="s">
        <v>1097</v>
      </c>
      <c r="C664" t="s">
        <v>30</v>
      </c>
      <c r="D664" s="7">
        <v>45954</v>
      </c>
      <c r="E664" t="s">
        <v>31</v>
      </c>
      <c r="F664" t="s">
        <v>32</v>
      </c>
      <c r="G664">
        <v>24</v>
      </c>
      <c r="H664" t="s">
        <v>59</v>
      </c>
      <c r="I664">
        <v>10</v>
      </c>
      <c r="J664">
        <v>12</v>
      </c>
      <c r="K664">
        <v>3</v>
      </c>
      <c r="L664">
        <f t="shared" si="70"/>
        <v>1</v>
      </c>
      <c r="P664">
        <f t="shared" si="71"/>
        <v>1</v>
      </c>
      <c r="Q664">
        <f t="shared" si="72"/>
        <v>1</v>
      </c>
      <c r="R664">
        <f t="shared" si="73"/>
        <v>1</v>
      </c>
      <c r="S664">
        <f t="shared" si="74"/>
        <v>3</v>
      </c>
      <c r="T664" t="str">
        <f t="shared" si="75"/>
        <v>DerivedFromCount</v>
      </c>
      <c r="U664" t="str">
        <f>IF(COUNTIF(DailyProduction!$Q$5:$Q$100,B664)=1,"OK","CHECK")</f>
        <v>OK</v>
      </c>
      <c r="V664" t="str">
        <f t="shared" si="76"/>
        <v>OK</v>
      </c>
      <c r="W664" t="str">
        <f>IF(SUMIF($B$5:$B$914,B664,$S$5:$S$914)=SUMIF(DailyProduction!$Q$5:$Q$100,B664,DailyProduction!$R$5:$R$100),"OK","CHECK")</f>
        <v>OK</v>
      </c>
    </row>
    <row r="665" spans="1:23">
      <c r="A665" t="s">
        <v>1107</v>
      </c>
      <c r="B665" t="s">
        <v>1097</v>
      </c>
      <c r="C665" t="s">
        <v>30</v>
      </c>
      <c r="D665" s="7">
        <v>45954</v>
      </c>
      <c r="E665" t="s">
        <v>31</v>
      </c>
      <c r="F665" t="s">
        <v>32</v>
      </c>
      <c r="G665">
        <v>24</v>
      </c>
      <c r="H665" t="s">
        <v>59</v>
      </c>
      <c r="I665">
        <v>11</v>
      </c>
      <c r="J665">
        <v>12</v>
      </c>
      <c r="K665">
        <v>3</v>
      </c>
      <c r="L665">
        <f t="shared" si="70"/>
        <v>1</v>
      </c>
      <c r="P665">
        <f t="shared" si="71"/>
        <v>1</v>
      </c>
      <c r="Q665">
        <f t="shared" si="72"/>
        <v>1</v>
      </c>
      <c r="R665">
        <f t="shared" si="73"/>
        <v>1</v>
      </c>
      <c r="S665">
        <f t="shared" si="74"/>
        <v>3</v>
      </c>
      <c r="T665" t="str">
        <f t="shared" si="75"/>
        <v>DerivedFromCount</v>
      </c>
      <c r="U665" t="str">
        <f>IF(COUNTIF(DailyProduction!$Q$5:$Q$100,B665)=1,"OK","CHECK")</f>
        <v>OK</v>
      </c>
      <c r="V665" t="str">
        <f t="shared" si="76"/>
        <v>OK</v>
      </c>
      <c r="W665" t="str">
        <f>IF(SUMIF($B$5:$B$914,B665,$S$5:$S$914)=SUMIF(DailyProduction!$Q$5:$Q$100,B665,DailyProduction!$R$5:$R$100),"OK","CHECK")</f>
        <v>OK</v>
      </c>
    </row>
    <row r="666" spans="1:23">
      <c r="A666" t="s">
        <v>1108</v>
      </c>
      <c r="B666" t="s">
        <v>1097</v>
      </c>
      <c r="C666" t="s">
        <v>30</v>
      </c>
      <c r="D666" s="7">
        <v>45954</v>
      </c>
      <c r="E666" t="s">
        <v>31</v>
      </c>
      <c r="F666" t="s">
        <v>32</v>
      </c>
      <c r="G666">
        <v>24</v>
      </c>
      <c r="H666" t="s">
        <v>59</v>
      </c>
      <c r="I666">
        <v>12</v>
      </c>
      <c r="J666">
        <v>12</v>
      </c>
      <c r="K666">
        <v>3</v>
      </c>
      <c r="L666">
        <f t="shared" si="70"/>
        <v>1</v>
      </c>
      <c r="P666">
        <f t="shared" si="71"/>
        <v>1</v>
      </c>
      <c r="Q666">
        <f t="shared" si="72"/>
        <v>1</v>
      </c>
      <c r="R666">
        <f t="shared" si="73"/>
        <v>1</v>
      </c>
      <c r="S666">
        <f t="shared" si="74"/>
        <v>3</v>
      </c>
      <c r="T666" t="str">
        <f t="shared" si="75"/>
        <v>DerivedFromCount</v>
      </c>
      <c r="U666" t="str">
        <f>IF(COUNTIF(DailyProduction!$Q$5:$Q$100,B666)=1,"OK","CHECK")</f>
        <v>OK</v>
      </c>
      <c r="V666" t="str">
        <f t="shared" si="76"/>
        <v>OK</v>
      </c>
      <c r="W666" t="str">
        <f>IF(SUMIF($B$5:$B$914,B666,$S$5:$S$914)=SUMIF(DailyProduction!$Q$5:$Q$100,B666,DailyProduction!$R$5:$R$100),"OK","CHECK")</f>
        <v>OK</v>
      </c>
    </row>
    <row r="667" spans="1:23">
      <c r="A667" t="s">
        <v>1109</v>
      </c>
      <c r="B667" t="s">
        <v>1097</v>
      </c>
      <c r="C667" t="s">
        <v>30</v>
      </c>
      <c r="D667" s="7">
        <v>45954</v>
      </c>
      <c r="E667" t="s">
        <v>31</v>
      </c>
      <c r="F667" t="s">
        <v>32</v>
      </c>
      <c r="G667">
        <v>24</v>
      </c>
      <c r="H667" t="s">
        <v>59</v>
      </c>
      <c r="I667">
        <v>13</v>
      </c>
      <c r="J667">
        <v>12</v>
      </c>
      <c r="K667">
        <v>3</v>
      </c>
      <c r="L667">
        <f t="shared" si="70"/>
        <v>0</v>
      </c>
      <c r="P667">
        <f t="shared" si="71"/>
        <v>0</v>
      </c>
      <c r="Q667">
        <f t="shared" si="72"/>
        <v>0</v>
      </c>
      <c r="R667">
        <f t="shared" si="73"/>
        <v>0</v>
      </c>
      <c r="S667">
        <f t="shared" si="74"/>
        <v>0</v>
      </c>
      <c r="T667" t="str">
        <f t="shared" si="75"/>
        <v>DerivedFromCount</v>
      </c>
      <c r="U667" t="str">
        <f>IF(COUNTIF(DailyProduction!$Q$5:$Q$100,B667)=1,"OK","CHECK")</f>
        <v>OK</v>
      </c>
      <c r="V667" t="str">
        <f t="shared" si="76"/>
        <v>OK</v>
      </c>
      <c r="W667" t="str">
        <f>IF(SUMIF($B$5:$B$914,B667,$S$5:$S$914)=SUMIF(DailyProduction!$Q$5:$Q$100,B667,DailyProduction!$R$5:$R$100),"OK","CHECK")</f>
        <v>OK</v>
      </c>
    </row>
    <row r="668" spans="1:23">
      <c r="A668" t="s">
        <v>1110</v>
      </c>
      <c r="B668" t="s">
        <v>1111</v>
      </c>
      <c r="C668" t="s">
        <v>30</v>
      </c>
      <c r="D668" s="7">
        <v>45954</v>
      </c>
      <c r="E668" t="s">
        <v>79</v>
      </c>
      <c r="F668" t="s">
        <v>37</v>
      </c>
      <c r="G668">
        <v>24</v>
      </c>
      <c r="H668" t="s">
        <v>59</v>
      </c>
      <c r="I668">
        <v>1</v>
      </c>
      <c r="J668">
        <v>12</v>
      </c>
      <c r="K668">
        <v>3</v>
      </c>
      <c r="L668">
        <f t="shared" si="70"/>
        <v>1</v>
      </c>
      <c r="P668">
        <f t="shared" si="71"/>
        <v>1</v>
      </c>
      <c r="Q668">
        <f t="shared" si="72"/>
        <v>1</v>
      </c>
      <c r="R668">
        <f t="shared" si="73"/>
        <v>1</v>
      </c>
      <c r="S668">
        <f t="shared" si="74"/>
        <v>3</v>
      </c>
      <c r="T668" t="str">
        <f t="shared" si="75"/>
        <v>DerivedFromCount</v>
      </c>
      <c r="U668" t="str">
        <f>IF(COUNTIF(DailyProduction!$Q$5:$Q$100,B668)=1,"OK","CHECK")</f>
        <v>OK</v>
      </c>
      <c r="V668" t="str">
        <f t="shared" si="76"/>
        <v>OK</v>
      </c>
      <c r="W668" t="str">
        <f>IF(SUMIF($B$5:$B$914,B668,$S$5:$S$914)=SUMIF(DailyProduction!$Q$5:$Q$100,B668,DailyProduction!$R$5:$R$100),"OK","CHECK")</f>
        <v>OK</v>
      </c>
    </row>
    <row r="669" spans="1:23">
      <c r="A669" t="s">
        <v>1112</v>
      </c>
      <c r="B669" t="s">
        <v>1111</v>
      </c>
      <c r="C669" t="s">
        <v>30</v>
      </c>
      <c r="D669" s="7">
        <v>45954</v>
      </c>
      <c r="E669" t="s">
        <v>79</v>
      </c>
      <c r="F669" t="s">
        <v>37</v>
      </c>
      <c r="G669">
        <v>24</v>
      </c>
      <c r="H669" t="s">
        <v>59</v>
      </c>
      <c r="I669">
        <v>2</v>
      </c>
      <c r="J669">
        <v>12</v>
      </c>
      <c r="K669">
        <v>3</v>
      </c>
      <c r="L669">
        <f t="shared" si="70"/>
        <v>1</v>
      </c>
      <c r="P669">
        <f t="shared" si="71"/>
        <v>1</v>
      </c>
      <c r="Q669">
        <f t="shared" si="72"/>
        <v>1</v>
      </c>
      <c r="R669">
        <f t="shared" si="73"/>
        <v>1</v>
      </c>
      <c r="S669">
        <f t="shared" si="74"/>
        <v>3</v>
      </c>
      <c r="T669" t="str">
        <f t="shared" si="75"/>
        <v>DerivedFromCount</v>
      </c>
      <c r="U669" t="str">
        <f>IF(COUNTIF(DailyProduction!$Q$5:$Q$100,B669)=1,"OK","CHECK")</f>
        <v>OK</v>
      </c>
      <c r="V669" t="str">
        <f t="shared" si="76"/>
        <v>OK</v>
      </c>
      <c r="W669" t="str">
        <f>IF(SUMIF($B$5:$B$914,B669,$S$5:$S$914)=SUMIF(DailyProduction!$Q$5:$Q$100,B669,DailyProduction!$R$5:$R$100),"OK","CHECK")</f>
        <v>OK</v>
      </c>
    </row>
    <row r="670" spans="1:23">
      <c r="A670" t="s">
        <v>1113</v>
      </c>
      <c r="B670" t="s">
        <v>1111</v>
      </c>
      <c r="C670" t="s">
        <v>30</v>
      </c>
      <c r="D670" s="7">
        <v>45954</v>
      </c>
      <c r="E670" t="s">
        <v>79</v>
      </c>
      <c r="F670" t="s">
        <v>37</v>
      </c>
      <c r="G670">
        <v>24</v>
      </c>
      <c r="H670" t="s">
        <v>59</v>
      </c>
      <c r="I670">
        <v>3</v>
      </c>
      <c r="J670">
        <v>12</v>
      </c>
      <c r="K670">
        <v>3</v>
      </c>
      <c r="L670">
        <f t="shared" si="70"/>
        <v>1</v>
      </c>
      <c r="P670">
        <f t="shared" si="71"/>
        <v>1</v>
      </c>
      <c r="Q670">
        <f t="shared" si="72"/>
        <v>1</v>
      </c>
      <c r="R670">
        <f t="shared" si="73"/>
        <v>1</v>
      </c>
      <c r="S670">
        <f t="shared" si="74"/>
        <v>3</v>
      </c>
      <c r="T670" t="str">
        <f t="shared" si="75"/>
        <v>DerivedFromCount</v>
      </c>
      <c r="U670" t="str">
        <f>IF(COUNTIF(DailyProduction!$Q$5:$Q$100,B670)=1,"OK","CHECK")</f>
        <v>OK</v>
      </c>
      <c r="V670" t="str">
        <f t="shared" si="76"/>
        <v>OK</v>
      </c>
      <c r="W670" t="str">
        <f>IF(SUMIF($B$5:$B$914,B670,$S$5:$S$914)=SUMIF(DailyProduction!$Q$5:$Q$100,B670,DailyProduction!$R$5:$R$100),"OK","CHECK")</f>
        <v>OK</v>
      </c>
    </row>
    <row r="671" spans="1:23">
      <c r="A671" t="s">
        <v>1114</v>
      </c>
      <c r="B671" t="s">
        <v>1111</v>
      </c>
      <c r="C671" t="s">
        <v>30</v>
      </c>
      <c r="D671" s="7">
        <v>45954</v>
      </c>
      <c r="E671" t="s">
        <v>79</v>
      </c>
      <c r="F671" t="s">
        <v>37</v>
      </c>
      <c r="G671">
        <v>24</v>
      </c>
      <c r="H671" t="s">
        <v>59</v>
      </c>
      <c r="I671">
        <v>4</v>
      </c>
      <c r="J671">
        <v>12</v>
      </c>
      <c r="K671">
        <v>3</v>
      </c>
      <c r="L671">
        <f t="shared" si="70"/>
        <v>1</v>
      </c>
      <c r="P671">
        <f t="shared" si="71"/>
        <v>1</v>
      </c>
      <c r="Q671">
        <f t="shared" si="72"/>
        <v>1</v>
      </c>
      <c r="R671">
        <f t="shared" si="73"/>
        <v>1</v>
      </c>
      <c r="S671">
        <f t="shared" si="74"/>
        <v>3</v>
      </c>
      <c r="T671" t="str">
        <f t="shared" si="75"/>
        <v>DerivedFromCount</v>
      </c>
      <c r="U671" t="str">
        <f>IF(COUNTIF(DailyProduction!$Q$5:$Q$100,B671)=1,"OK","CHECK")</f>
        <v>OK</v>
      </c>
      <c r="V671" t="str">
        <f t="shared" si="76"/>
        <v>OK</v>
      </c>
      <c r="W671" t="str">
        <f>IF(SUMIF($B$5:$B$914,B671,$S$5:$S$914)=SUMIF(DailyProduction!$Q$5:$Q$100,B671,DailyProduction!$R$5:$R$100),"OK","CHECK")</f>
        <v>OK</v>
      </c>
    </row>
    <row r="672" spans="1:23">
      <c r="A672" t="s">
        <v>1115</v>
      </c>
      <c r="B672" t="s">
        <v>1111</v>
      </c>
      <c r="C672" t="s">
        <v>30</v>
      </c>
      <c r="D672" s="7">
        <v>45954</v>
      </c>
      <c r="E672" t="s">
        <v>79</v>
      </c>
      <c r="F672" t="s">
        <v>37</v>
      </c>
      <c r="G672">
        <v>24</v>
      </c>
      <c r="H672" t="s">
        <v>59</v>
      </c>
      <c r="I672">
        <v>5</v>
      </c>
      <c r="J672">
        <v>12</v>
      </c>
      <c r="K672">
        <v>3</v>
      </c>
      <c r="L672">
        <f t="shared" si="70"/>
        <v>1</v>
      </c>
      <c r="P672">
        <f t="shared" si="71"/>
        <v>1</v>
      </c>
      <c r="Q672">
        <f t="shared" si="72"/>
        <v>1</v>
      </c>
      <c r="R672">
        <f t="shared" si="73"/>
        <v>1</v>
      </c>
      <c r="S672">
        <f t="shared" si="74"/>
        <v>3</v>
      </c>
      <c r="T672" t="str">
        <f t="shared" si="75"/>
        <v>DerivedFromCount</v>
      </c>
      <c r="U672" t="str">
        <f>IF(COUNTIF(DailyProduction!$Q$5:$Q$100,B672)=1,"OK","CHECK")</f>
        <v>OK</v>
      </c>
      <c r="V672" t="str">
        <f t="shared" si="76"/>
        <v>OK</v>
      </c>
      <c r="W672" t="str">
        <f>IF(SUMIF($B$5:$B$914,B672,$S$5:$S$914)=SUMIF(DailyProduction!$Q$5:$Q$100,B672,DailyProduction!$R$5:$R$100),"OK","CHECK")</f>
        <v>OK</v>
      </c>
    </row>
    <row r="673" spans="1:23">
      <c r="A673" t="s">
        <v>1116</v>
      </c>
      <c r="B673" t="s">
        <v>1111</v>
      </c>
      <c r="C673" t="s">
        <v>30</v>
      </c>
      <c r="D673" s="7">
        <v>45954</v>
      </c>
      <c r="E673" t="s">
        <v>79</v>
      </c>
      <c r="F673" t="s">
        <v>37</v>
      </c>
      <c r="G673">
        <v>24</v>
      </c>
      <c r="H673" t="s">
        <v>59</v>
      </c>
      <c r="I673">
        <v>6</v>
      </c>
      <c r="J673">
        <v>12</v>
      </c>
      <c r="K673">
        <v>3</v>
      </c>
      <c r="L673">
        <f t="shared" si="70"/>
        <v>1</v>
      </c>
      <c r="P673">
        <f t="shared" si="71"/>
        <v>1</v>
      </c>
      <c r="Q673">
        <f t="shared" si="72"/>
        <v>1</v>
      </c>
      <c r="R673">
        <f t="shared" si="73"/>
        <v>1</v>
      </c>
      <c r="S673">
        <f t="shared" si="74"/>
        <v>3</v>
      </c>
      <c r="T673" t="str">
        <f t="shared" si="75"/>
        <v>DerivedFromCount</v>
      </c>
      <c r="U673" t="str">
        <f>IF(COUNTIF(DailyProduction!$Q$5:$Q$100,B673)=1,"OK","CHECK")</f>
        <v>OK</v>
      </c>
      <c r="V673" t="str">
        <f t="shared" si="76"/>
        <v>OK</v>
      </c>
      <c r="W673" t="str">
        <f>IF(SUMIF($B$5:$B$914,B673,$S$5:$S$914)=SUMIF(DailyProduction!$Q$5:$Q$100,B673,DailyProduction!$R$5:$R$100),"OK","CHECK")</f>
        <v>OK</v>
      </c>
    </row>
    <row r="674" spans="1:23">
      <c r="A674" t="s">
        <v>1117</v>
      </c>
      <c r="B674" t="s">
        <v>1111</v>
      </c>
      <c r="C674" t="s">
        <v>30</v>
      </c>
      <c r="D674" s="7">
        <v>45954</v>
      </c>
      <c r="E674" t="s">
        <v>79</v>
      </c>
      <c r="F674" t="s">
        <v>37</v>
      </c>
      <c r="G674">
        <v>24</v>
      </c>
      <c r="H674" t="s">
        <v>59</v>
      </c>
      <c r="I674">
        <v>7</v>
      </c>
      <c r="J674">
        <v>12</v>
      </c>
      <c r="K674">
        <v>3</v>
      </c>
      <c r="L674">
        <f t="shared" si="70"/>
        <v>1</v>
      </c>
      <c r="P674">
        <f t="shared" si="71"/>
        <v>1</v>
      </c>
      <c r="Q674">
        <f t="shared" si="72"/>
        <v>1</v>
      </c>
      <c r="R674">
        <f t="shared" si="73"/>
        <v>1</v>
      </c>
      <c r="S674">
        <f t="shared" si="74"/>
        <v>3</v>
      </c>
      <c r="T674" t="str">
        <f t="shared" si="75"/>
        <v>DerivedFromCount</v>
      </c>
      <c r="U674" t="str">
        <f>IF(COUNTIF(DailyProduction!$Q$5:$Q$100,B674)=1,"OK","CHECK")</f>
        <v>OK</v>
      </c>
      <c r="V674" t="str">
        <f t="shared" si="76"/>
        <v>OK</v>
      </c>
      <c r="W674" t="str">
        <f>IF(SUMIF($B$5:$B$914,B674,$S$5:$S$914)=SUMIF(DailyProduction!$Q$5:$Q$100,B674,DailyProduction!$R$5:$R$100),"OK","CHECK")</f>
        <v>OK</v>
      </c>
    </row>
    <row r="675" spans="1:23">
      <c r="A675" t="s">
        <v>1118</v>
      </c>
      <c r="B675" t="s">
        <v>1111</v>
      </c>
      <c r="C675" t="s">
        <v>30</v>
      </c>
      <c r="D675" s="7">
        <v>45954</v>
      </c>
      <c r="E675" t="s">
        <v>79</v>
      </c>
      <c r="F675" t="s">
        <v>37</v>
      </c>
      <c r="G675">
        <v>24</v>
      </c>
      <c r="H675" t="s">
        <v>59</v>
      </c>
      <c r="I675">
        <v>8</v>
      </c>
      <c r="J675">
        <v>12</v>
      </c>
      <c r="K675">
        <v>3</v>
      </c>
      <c r="L675">
        <f t="shared" si="70"/>
        <v>1</v>
      </c>
      <c r="P675">
        <f t="shared" si="71"/>
        <v>1</v>
      </c>
      <c r="Q675">
        <f t="shared" si="72"/>
        <v>1</v>
      </c>
      <c r="R675">
        <f t="shared" si="73"/>
        <v>1</v>
      </c>
      <c r="S675">
        <f t="shared" si="74"/>
        <v>3</v>
      </c>
      <c r="T675" t="str">
        <f t="shared" si="75"/>
        <v>DerivedFromCount</v>
      </c>
      <c r="U675" t="str">
        <f>IF(COUNTIF(DailyProduction!$Q$5:$Q$100,B675)=1,"OK","CHECK")</f>
        <v>OK</v>
      </c>
      <c r="V675" t="str">
        <f t="shared" si="76"/>
        <v>OK</v>
      </c>
      <c r="W675" t="str">
        <f>IF(SUMIF($B$5:$B$914,B675,$S$5:$S$914)=SUMIF(DailyProduction!$Q$5:$Q$100,B675,DailyProduction!$R$5:$R$100),"OK","CHECK")</f>
        <v>OK</v>
      </c>
    </row>
    <row r="676" spans="1:23">
      <c r="A676" t="s">
        <v>1119</v>
      </c>
      <c r="B676" t="s">
        <v>1111</v>
      </c>
      <c r="C676" t="s">
        <v>30</v>
      </c>
      <c r="D676" s="7">
        <v>45954</v>
      </c>
      <c r="E676" t="s">
        <v>79</v>
      </c>
      <c r="F676" t="s">
        <v>37</v>
      </c>
      <c r="G676">
        <v>24</v>
      </c>
      <c r="H676" t="s">
        <v>59</v>
      </c>
      <c r="I676">
        <v>9</v>
      </c>
      <c r="J676">
        <v>12</v>
      </c>
      <c r="K676">
        <v>3</v>
      </c>
      <c r="L676">
        <f t="shared" si="70"/>
        <v>1</v>
      </c>
      <c r="P676">
        <f t="shared" si="71"/>
        <v>1</v>
      </c>
      <c r="Q676">
        <f t="shared" si="72"/>
        <v>1</v>
      </c>
      <c r="R676">
        <f t="shared" si="73"/>
        <v>1</v>
      </c>
      <c r="S676">
        <f t="shared" si="74"/>
        <v>3</v>
      </c>
      <c r="T676" t="str">
        <f t="shared" si="75"/>
        <v>DerivedFromCount</v>
      </c>
      <c r="U676" t="str">
        <f>IF(COUNTIF(DailyProduction!$Q$5:$Q$100,B676)=1,"OK","CHECK")</f>
        <v>OK</v>
      </c>
      <c r="V676" t="str">
        <f t="shared" si="76"/>
        <v>OK</v>
      </c>
      <c r="W676" t="str">
        <f>IF(SUMIF($B$5:$B$914,B676,$S$5:$S$914)=SUMIF(DailyProduction!$Q$5:$Q$100,B676,DailyProduction!$R$5:$R$100),"OK","CHECK")</f>
        <v>OK</v>
      </c>
    </row>
    <row r="677" spans="1:23">
      <c r="A677" t="s">
        <v>1120</v>
      </c>
      <c r="B677" t="s">
        <v>1111</v>
      </c>
      <c r="C677" t="s">
        <v>30</v>
      </c>
      <c r="D677" s="7">
        <v>45954</v>
      </c>
      <c r="E677" t="s">
        <v>79</v>
      </c>
      <c r="F677" t="s">
        <v>37</v>
      </c>
      <c r="G677">
        <v>24</v>
      </c>
      <c r="H677" t="s">
        <v>59</v>
      </c>
      <c r="I677">
        <v>10</v>
      </c>
      <c r="J677">
        <v>12</v>
      </c>
      <c r="K677">
        <v>3</v>
      </c>
      <c r="L677">
        <f t="shared" si="70"/>
        <v>1</v>
      </c>
      <c r="P677">
        <f t="shared" si="71"/>
        <v>1</v>
      </c>
      <c r="Q677">
        <f t="shared" si="72"/>
        <v>1</v>
      </c>
      <c r="R677">
        <f t="shared" si="73"/>
        <v>1</v>
      </c>
      <c r="S677">
        <f t="shared" si="74"/>
        <v>3</v>
      </c>
      <c r="T677" t="str">
        <f t="shared" si="75"/>
        <v>DerivedFromCount</v>
      </c>
      <c r="U677" t="str">
        <f>IF(COUNTIF(DailyProduction!$Q$5:$Q$100,B677)=1,"OK","CHECK")</f>
        <v>OK</v>
      </c>
      <c r="V677" t="str">
        <f t="shared" si="76"/>
        <v>OK</v>
      </c>
      <c r="W677" t="str">
        <f>IF(SUMIF($B$5:$B$914,B677,$S$5:$S$914)=SUMIF(DailyProduction!$Q$5:$Q$100,B677,DailyProduction!$R$5:$R$100),"OK","CHECK")</f>
        <v>OK</v>
      </c>
    </row>
    <row r="678" spans="1:23">
      <c r="A678" t="s">
        <v>1121</v>
      </c>
      <c r="B678" t="s">
        <v>1111</v>
      </c>
      <c r="C678" t="s">
        <v>30</v>
      </c>
      <c r="D678" s="7">
        <v>45954</v>
      </c>
      <c r="E678" t="s">
        <v>79</v>
      </c>
      <c r="F678" t="s">
        <v>37</v>
      </c>
      <c r="G678">
        <v>24</v>
      </c>
      <c r="H678" t="s">
        <v>59</v>
      </c>
      <c r="I678">
        <v>11</v>
      </c>
      <c r="J678">
        <v>12</v>
      </c>
      <c r="K678">
        <v>3</v>
      </c>
      <c r="L678">
        <f t="shared" si="70"/>
        <v>1</v>
      </c>
      <c r="P678">
        <f t="shared" si="71"/>
        <v>1</v>
      </c>
      <c r="Q678">
        <f t="shared" si="72"/>
        <v>1</v>
      </c>
      <c r="R678">
        <f t="shared" si="73"/>
        <v>1</v>
      </c>
      <c r="S678">
        <f t="shared" si="74"/>
        <v>3</v>
      </c>
      <c r="T678" t="str">
        <f t="shared" si="75"/>
        <v>DerivedFromCount</v>
      </c>
      <c r="U678" t="str">
        <f>IF(COUNTIF(DailyProduction!$Q$5:$Q$100,B678)=1,"OK","CHECK")</f>
        <v>OK</v>
      </c>
      <c r="V678" t="str">
        <f t="shared" si="76"/>
        <v>OK</v>
      </c>
      <c r="W678" t="str">
        <f>IF(SUMIF($B$5:$B$914,B678,$S$5:$S$914)=SUMIF(DailyProduction!$Q$5:$Q$100,B678,DailyProduction!$R$5:$R$100),"OK","CHECK")</f>
        <v>OK</v>
      </c>
    </row>
    <row r="679" spans="1:23">
      <c r="A679" t="s">
        <v>1122</v>
      </c>
      <c r="B679" t="s">
        <v>1111</v>
      </c>
      <c r="C679" t="s">
        <v>30</v>
      </c>
      <c r="D679" s="7">
        <v>45954</v>
      </c>
      <c r="E679" t="s">
        <v>79</v>
      </c>
      <c r="F679" t="s">
        <v>37</v>
      </c>
      <c r="G679">
        <v>24</v>
      </c>
      <c r="H679" t="s">
        <v>59</v>
      </c>
      <c r="I679">
        <v>12</v>
      </c>
      <c r="J679">
        <v>12</v>
      </c>
      <c r="K679">
        <v>3</v>
      </c>
      <c r="L679">
        <f t="shared" si="70"/>
        <v>1</v>
      </c>
      <c r="P679">
        <f t="shared" si="71"/>
        <v>1</v>
      </c>
      <c r="Q679">
        <f t="shared" si="72"/>
        <v>1</v>
      </c>
      <c r="R679">
        <f t="shared" si="73"/>
        <v>1</v>
      </c>
      <c r="S679">
        <f t="shared" si="74"/>
        <v>3</v>
      </c>
      <c r="T679" t="str">
        <f t="shared" si="75"/>
        <v>DerivedFromCount</v>
      </c>
      <c r="U679" t="str">
        <f>IF(COUNTIF(DailyProduction!$Q$5:$Q$100,B679)=1,"OK","CHECK")</f>
        <v>OK</v>
      </c>
      <c r="V679" t="str">
        <f t="shared" si="76"/>
        <v>OK</v>
      </c>
      <c r="W679" t="str">
        <f>IF(SUMIF($B$5:$B$914,B679,$S$5:$S$914)=SUMIF(DailyProduction!$Q$5:$Q$100,B679,DailyProduction!$R$5:$R$100),"OK","CHECK")</f>
        <v>OK</v>
      </c>
    </row>
    <row r="680" spans="1:23">
      <c r="A680" t="s">
        <v>1123</v>
      </c>
      <c r="B680" t="s">
        <v>1111</v>
      </c>
      <c r="C680" t="s">
        <v>30</v>
      </c>
      <c r="D680" s="7">
        <v>45954</v>
      </c>
      <c r="E680" t="s">
        <v>79</v>
      </c>
      <c r="F680" t="s">
        <v>37</v>
      </c>
      <c r="G680">
        <v>24</v>
      </c>
      <c r="H680" t="s">
        <v>59</v>
      </c>
      <c r="I680">
        <v>13</v>
      </c>
      <c r="J680">
        <v>12</v>
      </c>
      <c r="K680">
        <v>3</v>
      </c>
      <c r="L680">
        <f t="shared" si="70"/>
        <v>0</v>
      </c>
      <c r="P680">
        <f t="shared" si="71"/>
        <v>0</v>
      </c>
      <c r="Q680">
        <f t="shared" si="72"/>
        <v>0</v>
      </c>
      <c r="R680">
        <f t="shared" si="73"/>
        <v>0</v>
      </c>
      <c r="S680">
        <f t="shared" si="74"/>
        <v>0</v>
      </c>
      <c r="T680" t="str">
        <f t="shared" si="75"/>
        <v>DerivedFromCount</v>
      </c>
      <c r="U680" t="str">
        <f>IF(COUNTIF(DailyProduction!$Q$5:$Q$100,B680)=1,"OK","CHECK")</f>
        <v>OK</v>
      </c>
      <c r="V680" t="str">
        <f t="shared" si="76"/>
        <v>OK</v>
      </c>
      <c r="W680" t="str">
        <f>IF(SUMIF($B$5:$B$914,B680,$S$5:$S$914)=SUMIF(DailyProduction!$Q$5:$Q$100,B680,DailyProduction!$R$5:$R$100),"OK","CHECK")</f>
        <v>OK</v>
      </c>
    </row>
    <row r="681" spans="1:23">
      <c r="A681" t="s">
        <v>1124</v>
      </c>
      <c r="B681" t="s">
        <v>1125</v>
      </c>
      <c r="C681" t="s">
        <v>30</v>
      </c>
      <c r="D681" s="7">
        <v>45955</v>
      </c>
      <c r="E681" t="s">
        <v>31</v>
      </c>
      <c r="F681" t="s">
        <v>37</v>
      </c>
      <c r="G681">
        <v>24</v>
      </c>
      <c r="H681" t="s">
        <v>60</v>
      </c>
      <c r="I681">
        <v>1</v>
      </c>
      <c r="J681">
        <v>12</v>
      </c>
      <c r="K681">
        <v>2</v>
      </c>
      <c r="L681">
        <f t="shared" si="70"/>
        <v>1</v>
      </c>
      <c r="P681">
        <f t="shared" si="71"/>
        <v>1</v>
      </c>
      <c r="Q681">
        <f t="shared" si="72"/>
        <v>1</v>
      </c>
      <c r="R681">
        <f t="shared" si="73"/>
        <v>0</v>
      </c>
      <c r="S681">
        <f t="shared" si="74"/>
        <v>2</v>
      </c>
      <c r="T681" t="str">
        <f t="shared" si="75"/>
        <v>DerivedFromCount</v>
      </c>
      <c r="U681" t="str">
        <f>IF(COUNTIF(DailyProduction!$Q$5:$Q$100,B681)=1,"OK","CHECK")</f>
        <v>OK</v>
      </c>
      <c r="V681" t="str">
        <f t="shared" si="76"/>
        <v>OK</v>
      </c>
      <c r="W681" t="str">
        <f>IF(SUMIF($B$5:$B$914,B681,$S$5:$S$914)=SUMIF(DailyProduction!$Q$5:$Q$100,B681,DailyProduction!$R$5:$R$100),"OK","CHECK")</f>
        <v>OK</v>
      </c>
    </row>
    <row r="682" spans="1:23">
      <c r="A682" t="s">
        <v>1126</v>
      </c>
      <c r="B682" t="s">
        <v>1125</v>
      </c>
      <c r="C682" t="s">
        <v>30</v>
      </c>
      <c r="D682" s="7">
        <v>45955</v>
      </c>
      <c r="E682" t="s">
        <v>31</v>
      </c>
      <c r="F682" t="s">
        <v>37</v>
      </c>
      <c r="G682">
        <v>24</v>
      </c>
      <c r="H682" t="s">
        <v>60</v>
      </c>
      <c r="I682">
        <v>2</v>
      </c>
      <c r="J682">
        <v>12</v>
      </c>
      <c r="K682">
        <v>2</v>
      </c>
      <c r="L682">
        <f t="shared" si="70"/>
        <v>1</v>
      </c>
      <c r="P682">
        <f t="shared" si="71"/>
        <v>1</v>
      </c>
      <c r="Q682">
        <f t="shared" si="72"/>
        <v>1</v>
      </c>
      <c r="R682">
        <f t="shared" si="73"/>
        <v>0</v>
      </c>
      <c r="S682">
        <f t="shared" si="74"/>
        <v>2</v>
      </c>
      <c r="T682" t="str">
        <f t="shared" si="75"/>
        <v>DerivedFromCount</v>
      </c>
      <c r="U682" t="str">
        <f>IF(COUNTIF(DailyProduction!$Q$5:$Q$100,B682)=1,"OK","CHECK")</f>
        <v>OK</v>
      </c>
      <c r="V682" t="str">
        <f t="shared" si="76"/>
        <v>OK</v>
      </c>
      <c r="W682" t="str">
        <f>IF(SUMIF($B$5:$B$914,B682,$S$5:$S$914)=SUMIF(DailyProduction!$Q$5:$Q$100,B682,DailyProduction!$R$5:$R$100),"OK","CHECK")</f>
        <v>OK</v>
      </c>
    </row>
    <row r="683" spans="1:23">
      <c r="A683" t="s">
        <v>1127</v>
      </c>
      <c r="B683" t="s">
        <v>1125</v>
      </c>
      <c r="C683" t="s">
        <v>30</v>
      </c>
      <c r="D683" s="7">
        <v>45955</v>
      </c>
      <c r="E683" t="s">
        <v>31</v>
      </c>
      <c r="F683" t="s">
        <v>37</v>
      </c>
      <c r="G683">
        <v>24</v>
      </c>
      <c r="H683" t="s">
        <v>60</v>
      </c>
      <c r="I683">
        <v>3</v>
      </c>
      <c r="J683">
        <v>12</v>
      </c>
      <c r="K683">
        <v>2</v>
      </c>
      <c r="L683">
        <f t="shared" si="70"/>
        <v>1</v>
      </c>
      <c r="P683">
        <f t="shared" si="71"/>
        <v>1</v>
      </c>
      <c r="Q683">
        <f t="shared" si="72"/>
        <v>1</v>
      </c>
      <c r="R683">
        <f t="shared" si="73"/>
        <v>0</v>
      </c>
      <c r="S683">
        <f t="shared" si="74"/>
        <v>2</v>
      </c>
      <c r="T683" t="str">
        <f t="shared" si="75"/>
        <v>DerivedFromCount</v>
      </c>
      <c r="U683" t="str">
        <f>IF(COUNTIF(DailyProduction!$Q$5:$Q$100,B683)=1,"OK","CHECK")</f>
        <v>OK</v>
      </c>
      <c r="V683" t="str">
        <f t="shared" si="76"/>
        <v>OK</v>
      </c>
      <c r="W683" t="str">
        <f>IF(SUMIF($B$5:$B$914,B683,$S$5:$S$914)=SUMIF(DailyProduction!$Q$5:$Q$100,B683,DailyProduction!$R$5:$R$100),"OK","CHECK")</f>
        <v>OK</v>
      </c>
    </row>
    <row r="684" spans="1:23">
      <c r="A684" t="s">
        <v>1128</v>
      </c>
      <c r="B684" t="s">
        <v>1125</v>
      </c>
      <c r="C684" t="s">
        <v>30</v>
      </c>
      <c r="D684" s="7">
        <v>45955</v>
      </c>
      <c r="E684" t="s">
        <v>31</v>
      </c>
      <c r="F684" t="s">
        <v>37</v>
      </c>
      <c r="G684">
        <v>24</v>
      </c>
      <c r="H684" t="s">
        <v>60</v>
      </c>
      <c r="I684">
        <v>4</v>
      </c>
      <c r="J684">
        <v>12</v>
      </c>
      <c r="K684">
        <v>2</v>
      </c>
      <c r="L684">
        <f t="shared" si="70"/>
        <v>1</v>
      </c>
      <c r="P684">
        <f t="shared" si="71"/>
        <v>1</v>
      </c>
      <c r="Q684">
        <f t="shared" si="72"/>
        <v>1</v>
      </c>
      <c r="R684">
        <f t="shared" si="73"/>
        <v>0</v>
      </c>
      <c r="S684">
        <f t="shared" si="74"/>
        <v>2</v>
      </c>
      <c r="T684" t="str">
        <f t="shared" si="75"/>
        <v>DerivedFromCount</v>
      </c>
      <c r="U684" t="str">
        <f>IF(COUNTIF(DailyProduction!$Q$5:$Q$100,B684)=1,"OK","CHECK")</f>
        <v>OK</v>
      </c>
      <c r="V684" t="str">
        <f t="shared" si="76"/>
        <v>OK</v>
      </c>
      <c r="W684" t="str">
        <f>IF(SUMIF($B$5:$B$914,B684,$S$5:$S$914)=SUMIF(DailyProduction!$Q$5:$Q$100,B684,DailyProduction!$R$5:$R$100),"OK","CHECK")</f>
        <v>OK</v>
      </c>
    </row>
    <row r="685" spans="1:23">
      <c r="A685" t="s">
        <v>1129</v>
      </c>
      <c r="B685" t="s">
        <v>1125</v>
      </c>
      <c r="C685" t="s">
        <v>30</v>
      </c>
      <c r="D685" s="7">
        <v>45955</v>
      </c>
      <c r="E685" t="s">
        <v>31</v>
      </c>
      <c r="F685" t="s">
        <v>37</v>
      </c>
      <c r="G685">
        <v>24</v>
      </c>
      <c r="H685" t="s">
        <v>60</v>
      </c>
      <c r="I685">
        <v>5</v>
      </c>
      <c r="J685">
        <v>12</v>
      </c>
      <c r="K685">
        <v>2</v>
      </c>
      <c r="L685">
        <f t="shared" si="70"/>
        <v>1</v>
      </c>
      <c r="P685">
        <f t="shared" si="71"/>
        <v>1</v>
      </c>
      <c r="Q685">
        <f t="shared" si="72"/>
        <v>1</v>
      </c>
      <c r="R685">
        <f t="shared" si="73"/>
        <v>0</v>
      </c>
      <c r="S685">
        <f t="shared" si="74"/>
        <v>2</v>
      </c>
      <c r="T685" t="str">
        <f t="shared" si="75"/>
        <v>DerivedFromCount</v>
      </c>
      <c r="U685" t="str">
        <f>IF(COUNTIF(DailyProduction!$Q$5:$Q$100,B685)=1,"OK","CHECK")</f>
        <v>OK</v>
      </c>
      <c r="V685" t="str">
        <f t="shared" si="76"/>
        <v>OK</v>
      </c>
      <c r="W685" t="str">
        <f>IF(SUMIF($B$5:$B$914,B685,$S$5:$S$914)=SUMIF(DailyProduction!$Q$5:$Q$100,B685,DailyProduction!$R$5:$R$100),"OK","CHECK")</f>
        <v>OK</v>
      </c>
    </row>
    <row r="686" spans="1:23">
      <c r="A686" t="s">
        <v>1130</v>
      </c>
      <c r="B686" t="s">
        <v>1125</v>
      </c>
      <c r="C686" t="s">
        <v>30</v>
      </c>
      <c r="D686" s="7">
        <v>45955</v>
      </c>
      <c r="E686" t="s">
        <v>31</v>
      </c>
      <c r="F686" t="s">
        <v>37</v>
      </c>
      <c r="G686">
        <v>24</v>
      </c>
      <c r="H686" t="s">
        <v>60</v>
      </c>
      <c r="I686">
        <v>6</v>
      </c>
      <c r="J686">
        <v>12</v>
      </c>
      <c r="K686">
        <v>2</v>
      </c>
      <c r="L686">
        <f t="shared" si="70"/>
        <v>1</v>
      </c>
      <c r="P686">
        <f t="shared" si="71"/>
        <v>1</v>
      </c>
      <c r="Q686">
        <f t="shared" si="72"/>
        <v>1</v>
      </c>
      <c r="R686">
        <f t="shared" si="73"/>
        <v>0</v>
      </c>
      <c r="S686">
        <f t="shared" si="74"/>
        <v>2</v>
      </c>
      <c r="T686" t="str">
        <f t="shared" si="75"/>
        <v>DerivedFromCount</v>
      </c>
      <c r="U686" t="str">
        <f>IF(COUNTIF(DailyProduction!$Q$5:$Q$100,B686)=1,"OK","CHECK")</f>
        <v>OK</v>
      </c>
      <c r="V686" t="str">
        <f t="shared" si="76"/>
        <v>OK</v>
      </c>
      <c r="W686" t="str">
        <f>IF(SUMIF($B$5:$B$914,B686,$S$5:$S$914)=SUMIF(DailyProduction!$Q$5:$Q$100,B686,DailyProduction!$R$5:$R$100),"OK","CHECK")</f>
        <v>OK</v>
      </c>
    </row>
    <row r="687" spans="1:23">
      <c r="A687" t="s">
        <v>1131</v>
      </c>
      <c r="B687" t="s">
        <v>1125</v>
      </c>
      <c r="C687" t="s">
        <v>30</v>
      </c>
      <c r="D687" s="7">
        <v>45955</v>
      </c>
      <c r="E687" t="s">
        <v>31</v>
      </c>
      <c r="F687" t="s">
        <v>37</v>
      </c>
      <c r="G687">
        <v>24</v>
      </c>
      <c r="H687" t="s">
        <v>60</v>
      </c>
      <c r="I687">
        <v>7</v>
      </c>
      <c r="J687">
        <v>12</v>
      </c>
      <c r="K687">
        <v>2</v>
      </c>
      <c r="L687">
        <f t="shared" si="70"/>
        <v>1</v>
      </c>
      <c r="P687">
        <f t="shared" si="71"/>
        <v>1</v>
      </c>
      <c r="Q687">
        <f t="shared" si="72"/>
        <v>1</v>
      </c>
      <c r="R687">
        <f t="shared" si="73"/>
        <v>0</v>
      </c>
      <c r="S687">
        <f t="shared" si="74"/>
        <v>2</v>
      </c>
      <c r="T687" t="str">
        <f t="shared" si="75"/>
        <v>DerivedFromCount</v>
      </c>
      <c r="U687" t="str">
        <f>IF(COUNTIF(DailyProduction!$Q$5:$Q$100,B687)=1,"OK","CHECK")</f>
        <v>OK</v>
      </c>
      <c r="V687" t="str">
        <f t="shared" si="76"/>
        <v>OK</v>
      </c>
      <c r="W687" t="str">
        <f>IF(SUMIF($B$5:$B$914,B687,$S$5:$S$914)=SUMIF(DailyProduction!$Q$5:$Q$100,B687,DailyProduction!$R$5:$R$100),"OK","CHECK")</f>
        <v>OK</v>
      </c>
    </row>
    <row r="688" spans="1:23">
      <c r="A688" t="s">
        <v>1132</v>
      </c>
      <c r="B688" t="s">
        <v>1125</v>
      </c>
      <c r="C688" t="s">
        <v>30</v>
      </c>
      <c r="D688" s="7">
        <v>45955</v>
      </c>
      <c r="E688" t="s">
        <v>31</v>
      </c>
      <c r="F688" t="s">
        <v>37</v>
      </c>
      <c r="G688">
        <v>24</v>
      </c>
      <c r="H688" t="s">
        <v>60</v>
      </c>
      <c r="I688">
        <v>8</v>
      </c>
      <c r="J688">
        <v>12</v>
      </c>
      <c r="K688">
        <v>2</v>
      </c>
      <c r="L688">
        <f t="shared" si="70"/>
        <v>1</v>
      </c>
      <c r="P688">
        <f t="shared" si="71"/>
        <v>1</v>
      </c>
      <c r="Q688">
        <f t="shared" si="72"/>
        <v>1</v>
      </c>
      <c r="R688">
        <f t="shared" si="73"/>
        <v>0</v>
      </c>
      <c r="S688">
        <f t="shared" si="74"/>
        <v>2</v>
      </c>
      <c r="T688" t="str">
        <f t="shared" si="75"/>
        <v>DerivedFromCount</v>
      </c>
      <c r="U688" t="str">
        <f>IF(COUNTIF(DailyProduction!$Q$5:$Q$100,B688)=1,"OK","CHECK")</f>
        <v>OK</v>
      </c>
      <c r="V688" t="str">
        <f t="shared" si="76"/>
        <v>OK</v>
      </c>
      <c r="W688" t="str">
        <f>IF(SUMIF($B$5:$B$914,B688,$S$5:$S$914)=SUMIF(DailyProduction!$Q$5:$Q$100,B688,DailyProduction!$R$5:$R$100),"OK","CHECK")</f>
        <v>OK</v>
      </c>
    </row>
    <row r="689" spans="1:23">
      <c r="A689" t="s">
        <v>1133</v>
      </c>
      <c r="B689" t="s">
        <v>1125</v>
      </c>
      <c r="C689" t="s">
        <v>30</v>
      </c>
      <c r="D689" s="7">
        <v>45955</v>
      </c>
      <c r="E689" t="s">
        <v>31</v>
      </c>
      <c r="F689" t="s">
        <v>37</v>
      </c>
      <c r="G689">
        <v>24</v>
      </c>
      <c r="H689" t="s">
        <v>60</v>
      </c>
      <c r="I689">
        <v>9</v>
      </c>
      <c r="J689">
        <v>12</v>
      </c>
      <c r="K689">
        <v>2</v>
      </c>
      <c r="L689">
        <f t="shared" si="70"/>
        <v>1</v>
      </c>
      <c r="P689">
        <f t="shared" si="71"/>
        <v>1</v>
      </c>
      <c r="Q689">
        <f t="shared" si="72"/>
        <v>1</v>
      </c>
      <c r="R689">
        <f t="shared" si="73"/>
        <v>0</v>
      </c>
      <c r="S689">
        <f t="shared" si="74"/>
        <v>2</v>
      </c>
      <c r="T689" t="str">
        <f t="shared" si="75"/>
        <v>DerivedFromCount</v>
      </c>
      <c r="U689" t="str">
        <f>IF(COUNTIF(DailyProduction!$Q$5:$Q$100,B689)=1,"OK","CHECK")</f>
        <v>OK</v>
      </c>
      <c r="V689" t="str">
        <f t="shared" si="76"/>
        <v>OK</v>
      </c>
      <c r="W689" t="str">
        <f>IF(SUMIF($B$5:$B$914,B689,$S$5:$S$914)=SUMIF(DailyProduction!$Q$5:$Q$100,B689,DailyProduction!$R$5:$R$100),"OK","CHECK")</f>
        <v>OK</v>
      </c>
    </row>
    <row r="690" spans="1:23">
      <c r="A690" t="s">
        <v>1134</v>
      </c>
      <c r="B690" t="s">
        <v>1125</v>
      </c>
      <c r="C690" t="s">
        <v>30</v>
      </c>
      <c r="D690" s="7">
        <v>45955</v>
      </c>
      <c r="E690" t="s">
        <v>31</v>
      </c>
      <c r="F690" t="s">
        <v>37</v>
      </c>
      <c r="G690">
        <v>24</v>
      </c>
      <c r="H690" t="s">
        <v>60</v>
      </c>
      <c r="I690">
        <v>10</v>
      </c>
      <c r="J690">
        <v>12</v>
      </c>
      <c r="K690">
        <v>2</v>
      </c>
      <c r="L690">
        <f t="shared" si="70"/>
        <v>1</v>
      </c>
      <c r="P690">
        <f t="shared" si="71"/>
        <v>1</v>
      </c>
      <c r="Q690">
        <f t="shared" si="72"/>
        <v>1</v>
      </c>
      <c r="R690">
        <f t="shared" si="73"/>
        <v>0</v>
      </c>
      <c r="S690">
        <f t="shared" si="74"/>
        <v>2</v>
      </c>
      <c r="T690" t="str">
        <f t="shared" si="75"/>
        <v>DerivedFromCount</v>
      </c>
      <c r="U690" t="str">
        <f>IF(COUNTIF(DailyProduction!$Q$5:$Q$100,B690)=1,"OK","CHECK")</f>
        <v>OK</v>
      </c>
      <c r="V690" t="str">
        <f t="shared" si="76"/>
        <v>OK</v>
      </c>
      <c r="W690" t="str">
        <f>IF(SUMIF($B$5:$B$914,B690,$S$5:$S$914)=SUMIF(DailyProduction!$Q$5:$Q$100,B690,DailyProduction!$R$5:$R$100),"OK","CHECK")</f>
        <v>OK</v>
      </c>
    </row>
    <row r="691" spans="1:23">
      <c r="A691" t="s">
        <v>1135</v>
      </c>
      <c r="B691" t="s">
        <v>1125</v>
      </c>
      <c r="C691" t="s">
        <v>30</v>
      </c>
      <c r="D691" s="7">
        <v>45955</v>
      </c>
      <c r="E691" t="s">
        <v>31</v>
      </c>
      <c r="F691" t="s">
        <v>37</v>
      </c>
      <c r="G691">
        <v>24</v>
      </c>
      <c r="H691" t="s">
        <v>60</v>
      </c>
      <c r="I691">
        <v>11</v>
      </c>
      <c r="J691">
        <v>12</v>
      </c>
      <c r="K691">
        <v>2</v>
      </c>
      <c r="L691">
        <f t="shared" si="70"/>
        <v>1</v>
      </c>
      <c r="P691">
        <f t="shared" si="71"/>
        <v>1</v>
      </c>
      <c r="Q691">
        <f t="shared" si="72"/>
        <v>1</v>
      </c>
      <c r="R691">
        <f t="shared" si="73"/>
        <v>0</v>
      </c>
      <c r="S691">
        <f t="shared" si="74"/>
        <v>2</v>
      </c>
      <c r="T691" t="str">
        <f t="shared" si="75"/>
        <v>DerivedFromCount</v>
      </c>
      <c r="U691" t="str">
        <f>IF(COUNTIF(DailyProduction!$Q$5:$Q$100,B691)=1,"OK","CHECK")</f>
        <v>OK</v>
      </c>
      <c r="V691" t="str">
        <f t="shared" si="76"/>
        <v>OK</v>
      </c>
      <c r="W691" t="str">
        <f>IF(SUMIF($B$5:$B$914,B691,$S$5:$S$914)=SUMIF(DailyProduction!$Q$5:$Q$100,B691,DailyProduction!$R$5:$R$100),"OK","CHECK")</f>
        <v>OK</v>
      </c>
    </row>
    <row r="692" spans="1:23">
      <c r="A692" t="s">
        <v>1136</v>
      </c>
      <c r="B692" t="s">
        <v>1125</v>
      </c>
      <c r="C692" t="s">
        <v>30</v>
      </c>
      <c r="D692" s="7">
        <v>45955</v>
      </c>
      <c r="E692" t="s">
        <v>31</v>
      </c>
      <c r="F692" t="s">
        <v>37</v>
      </c>
      <c r="G692">
        <v>24</v>
      </c>
      <c r="H692" t="s">
        <v>60</v>
      </c>
      <c r="I692">
        <v>12</v>
      </c>
      <c r="J692">
        <v>12</v>
      </c>
      <c r="K692">
        <v>2</v>
      </c>
      <c r="L692">
        <f t="shared" si="70"/>
        <v>1</v>
      </c>
      <c r="P692">
        <f t="shared" si="71"/>
        <v>1</v>
      </c>
      <c r="Q692">
        <f t="shared" si="72"/>
        <v>1</v>
      </c>
      <c r="R692">
        <f t="shared" si="73"/>
        <v>0</v>
      </c>
      <c r="S692">
        <f t="shared" si="74"/>
        <v>2</v>
      </c>
      <c r="T692" t="str">
        <f t="shared" si="75"/>
        <v>DerivedFromCount</v>
      </c>
      <c r="U692" t="str">
        <f>IF(COUNTIF(DailyProduction!$Q$5:$Q$100,B692)=1,"OK","CHECK")</f>
        <v>OK</v>
      </c>
      <c r="V692" t="str">
        <f t="shared" si="76"/>
        <v>OK</v>
      </c>
      <c r="W692" t="str">
        <f>IF(SUMIF($B$5:$B$914,B692,$S$5:$S$914)=SUMIF(DailyProduction!$Q$5:$Q$100,B692,DailyProduction!$R$5:$R$100),"OK","CHECK")</f>
        <v>OK</v>
      </c>
    </row>
    <row r="693" spans="1:23">
      <c r="A693" t="s">
        <v>1137</v>
      </c>
      <c r="B693" t="s">
        <v>1125</v>
      </c>
      <c r="C693" t="s">
        <v>30</v>
      </c>
      <c r="D693" s="7">
        <v>45955</v>
      </c>
      <c r="E693" t="s">
        <v>31</v>
      </c>
      <c r="F693" t="s">
        <v>37</v>
      </c>
      <c r="G693">
        <v>24</v>
      </c>
      <c r="H693" t="s">
        <v>60</v>
      </c>
      <c r="I693">
        <v>13</v>
      </c>
      <c r="J693">
        <v>12</v>
      </c>
      <c r="K693">
        <v>2</v>
      </c>
      <c r="L693">
        <f t="shared" si="70"/>
        <v>0</v>
      </c>
      <c r="P693">
        <f t="shared" si="71"/>
        <v>0</v>
      </c>
      <c r="Q693">
        <f t="shared" si="72"/>
        <v>0</v>
      </c>
      <c r="R693">
        <f t="shared" si="73"/>
        <v>0</v>
      </c>
      <c r="S693">
        <f t="shared" si="74"/>
        <v>0</v>
      </c>
      <c r="T693" t="str">
        <f t="shared" si="75"/>
        <v>DerivedFromCount</v>
      </c>
      <c r="U693" t="str">
        <f>IF(COUNTIF(DailyProduction!$Q$5:$Q$100,B693)=1,"OK","CHECK")</f>
        <v>OK</v>
      </c>
      <c r="V693" t="str">
        <f t="shared" si="76"/>
        <v>OK</v>
      </c>
      <c r="W693" t="str">
        <f>IF(SUMIF($B$5:$B$914,B693,$S$5:$S$914)=SUMIF(DailyProduction!$Q$5:$Q$100,B693,DailyProduction!$R$5:$R$100),"OK","CHECK")</f>
        <v>OK</v>
      </c>
    </row>
    <row r="694" spans="1:23">
      <c r="A694" t="s">
        <v>1138</v>
      </c>
      <c r="B694" t="s">
        <v>1139</v>
      </c>
      <c r="C694" t="s">
        <v>30</v>
      </c>
      <c r="D694" s="7">
        <v>45955</v>
      </c>
      <c r="E694" t="s">
        <v>79</v>
      </c>
      <c r="F694" t="s">
        <v>41</v>
      </c>
      <c r="G694">
        <v>24</v>
      </c>
      <c r="H694" t="s">
        <v>60</v>
      </c>
      <c r="I694">
        <v>1</v>
      </c>
      <c r="J694">
        <v>12</v>
      </c>
      <c r="K694">
        <v>2</v>
      </c>
      <c r="L694">
        <f t="shared" si="70"/>
        <v>1</v>
      </c>
      <c r="P694">
        <f t="shared" si="71"/>
        <v>1</v>
      </c>
      <c r="Q694">
        <f t="shared" si="72"/>
        <v>1</v>
      </c>
      <c r="R694">
        <f t="shared" si="73"/>
        <v>0</v>
      </c>
      <c r="S694">
        <f t="shared" si="74"/>
        <v>2</v>
      </c>
      <c r="T694" t="str">
        <f t="shared" si="75"/>
        <v>DerivedFromCount</v>
      </c>
      <c r="U694" t="str">
        <f>IF(COUNTIF(DailyProduction!$Q$5:$Q$100,B694)=1,"OK","CHECK")</f>
        <v>OK</v>
      </c>
      <c r="V694" t="str">
        <f t="shared" si="76"/>
        <v>OK</v>
      </c>
      <c r="W694" t="str">
        <f>IF(SUMIF($B$5:$B$914,B694,$S$5:$S$914)=SUMIF(DailyProduction!$Q$5:$Q$100,B694,DailyProduction!$R$5:$R$100),"OK","CHECK")</f>
        <v>OK</v>
      </c>
    </row>
    <row r="695" spans="1:23">
      <c r="A695" t="s">
        <v>1140</v>
      </c>
      <c r="B695" t="s">
        <v>1139</v>
      </c>
      <c r="C695" t="s">
        <v>30</v>
      </c>
      <c r="D695" s="7">
        <v>45955</v>
      </c>
      <c r="E695" t="s">
        <v>79</v>
      </c>
      <c r="F695" t="s">
        <v>41</v>
      </c>
      <c r="G695">
        <v>24</v>
      </c>
      <c r="H695" t="s">
        <v>60</v>
      </c>
      <c r="I695">
        <v>2</v>
      </c>
      <c r="J695">
        <v>12</v>
      </c>
      <c r="K695">
        <v>2</v>
      </c>
      <c r="L695">
        <f t="shared" si="70"/>
        <v>1</v>
      </c>
      <c r="P695">
        <f t="shared" si="71"/>
        <v>1</v>
      </c>
      <c r="Q695">
        <f t="shared" si="72"/>
        <v>1</v>
      </c>
      <c r="R695">
        <f t="shared" si="73"/>
        <v>0</v>
      </c>
      <c r="S695">
        <f t="shared" si="74"/>
        <v>2</v>
      </c>
      <c r="T695" t="str">
        <f t="shared" si="75"/>
        <v>DerivedFromCount</v>
      </c>
      <c r="U695" t="str">
        <f>IF(COUNTIF(DailyProduction!$Q$5:$Q$100,B695)=1,"OK","CHECK")</f>
        <v>OK</v>
      </c>
      <c r="V695" t="str">
        <f t="shared" si="76"/>
        <v>OK</v>
      </c>
      <c r="W695" t="str">
        <f>IF(SUMIF($B$5:$B$914,B695,$S$5:$S$914)=SUMIF(DailyProduction!$Q$5:$Q$100,B695,DailyProduction!$R$5:$R$100),"OK","CHECK")</f>
        <v>OK</v>
      </c>
    </row>
    <row r="696" spans="1:23">
      <c r="A696" t="s">
        <v>1141</v>
      </c>
      <c r="B696" t="s">
        <v>1139</v>
      </c>
      <c r="C696" t="s">
        <v>30</v>
      </c>
      <c r="D696" s="7">
        <v>45955</v>
      </c>
      <c r="E696" t="s">
        <v>79</v>
      </c>
      <c r="F696" t="s">
        <v>41</v>
      </c>
      <c r="G696">
        <v>24</v>
      </c>
      <c r="H696" t="s">
        <v>60</v>
      </c>
      <c r="I696">
        <v>3</v>
      </c>
      <c r="J696">
        <v>12</v>
      </c>
      <c r="K696">
        <v>2</v>
      </c>
      <c r="L696">
        <f t="shared" si="70"/>
        <v>1</v>
      </c>
      <c r="P696">
        <f t="shared" si="71"/>
        <v>1</v>
      </c>
      <c r="Q696">
        <f t="shared" si="72"/>
        <v>1</v>
      </c>
      <c r="R696">
        <f t="shared" si="73"/>
        <v>0</v>
      </c>
      <c r="S696">
        <f t="shared" si="74"/>
        <v>2</v>
      </c>
      <c r="T696" t="str">
        <f t="shared" si="75"/>
        <v>DerivedFromCount</v>
      </c>
      <c r="U696" t="str">
        <f>IF(COUNTIF(DailyProduction!$Q$5:$Q$100,B696)=1,"OK","CHECK")</f>
        <v>OK</v>
      </c>
      <c r="V696" t="str">
        <f t="shared" si="76"/>
        <v>OK</v>
      </c>
      <c r="W696" t="str">
        <f>IF(SUMIF($B$5:$B$914,B696,$S$5:$S$914)=SUMIF(DailyProduction!$Q$5:$Q$100,B696,DailyProduction!$R$5:$R$100),"OK","CHECK")</f>
        <v>OK</v>
      </c>
    </row>
    <row r="697" spans="1:23">
      <c r="A697" t="s">
        <v>1142</v>
      </c>
      <c r="B697" t="s">
        <v>1139</v>
      </c>
      <c r="C697" t="s">
        <v>30</v>
      </c>
      <c r="D697" s="7">
        <v>45955</v>
      </c>
      <c r="E697" t="s">
        <v>79</v>
      </c>
      <c r="F697" t="s">
        <v>41</v>
      </c>
      <c r="G697">
        <v>24</v>
      </c>
      <c r="H697" t="s">
        <v>60</v>
      </c>
      <c r="I697">
        <v>4</v>
      </c>
      <c r="J697">
        <v>12</v>
      </c>
      <c r="K697">
        <v>2</v>
      </c>
      <c r="L697">
        <f t="shared" si="70"/>
        <v>1</v>
      </c>
      <c r="P697">
        <f t="shared" si="71"/>
        <v>1</v>
      </c>
      <c r="Q697">
        <f t="shared" si="72"/>
        <v>1</v>
      </c>
      <c r="R697">
        <f t="shared" si="73"/>
        <v>0</v>
      </c>
      <c r="S697">
        <f t="shared" si="74"/>
        <v>2</v>
      </c>
      <c r="T697" t="str">
        <f t="shared" si="75"/>
        <v>DerivedFromCount</v>
      </c>
      <c r="U697" t="str">
        <f>IF(COUNTIF(DailyProduction!$Q$5:$Q$100,B697)=1,"OK","CHECK")</f>
        <v>OK</v>
      </c>
      <c r="V697" t="str">
        <f t="shared" si="76"/>
        <v>OK</v>
      </c>
      <c r="W697" t="str">
        <f>IF(SUMIF($B$5:$B$914,B697,$S$5:$S$914)=SUMIF(DailyProduction!$Q$5:$Q$100,B697,DailyProduction!$R$5:$R$100),"OK","CHECK")</f>
        <v>OK</v>
      </c>
    </row>
    <row r="698" spans="1:23">
      <c r="A698" t="s">
        <v>1143</v>
      </c>
      <c r="B698" t="s">
        <v>1139</v>
      </c>
      <c r="C698" t="s">
        <v>30</v>
      </c>
      <c r="D698" s="7">
        <v>45955</v>
      </c>
      <c r="E698" t="s">
        <v>79</v>
      </c>
      <c r="F698" t="s">
        <v>41</v>
      </c>
      <c r="G698">
        <v>24</v>
      </c>
      <c r="H698" t="s">
        <v>60</v>
      </c>
      <c r="I698">
        <v>5</v>
      </c>
      <c r="J698">
        <v>12</v>
      </c>
      <c r="K698">
        <v>2</v>
      </c>
      <c r="L698">
        <f t="shared" si="70"/>
        <v>1</v>
      </c>
      <c r="P698">
        <f t="shared" si="71"/>
        <v>1</v>
      </c>
      <c r="Q698">
        <f t="shared" si="72"/>
        <v>1</v>
      </c>
      <c r="R698">
        <f t="shared" si="73"/>
        <v>0</v>
      </c>
      <c r="S698">
        <f t="shared" si="74"/>
        <v>2</v>
      </c>
      <c r="T698" t="str">
        <f t="shared" si="75"/>
        <v>DerivedFromCount</v>
      </c>
      <c r="U698" t="str">
        <f>IF(COUNTIF(DailyProduction!$Q$5:$Q$100,B698)=1,"OK","CHECK")</f>
        <v>OK</v>
      </c>
      <c r="V698" t="str">
        <f t="shared" si="76"/>
        <v>OK</v>
      </c>
      <c r="W698" t="str">
        <f>IF(SUMIF($B$5:$B$914,B698,$S$5:$S$914)=SUMIF(DailyProduction!$Q$5:$Q$100,B698,DailyProduction!$R$5:$R$100),"OK","CHECK")</f>
        <v>OK</v>
      </c>
    </row>
    <row r="699" spans="1:23">
      <c r="A699" t="s">
        <v>1144</v>
      </c>
      <c r="B699" t="s">
        <v>1139</v>
      </c>
      <c r="C699" t="s">
        <v>30</v>
      </c>
      <c r="D699" s="7">
        <v>45955</v>
      </c>
      <c r="E699" t="s">
        <v>79</v>
      </c>
      <c r="F699" t="s">
        <v>41</v>
      </c>
      <c r="G699">
        <v>24</v>
      </c>
      <c r="H699" t="s">
        <v>60</v>
      </c>
      <c r="I699">
        <v>6</v>
      </c>
      <c r="J699">
        <v>12</v>
      </c>
      <c r="K699">
        <v>2</v>
      </c>
      <c r="L699">
        <f t="shared" si="70"/>
        <v>1</v>
      </c>
      <c r="P699">
        <f t="shared" si="71"/>
        <v>1</v>
      </c>
      <c r="Q699">
        <f t="shared" si="72"/>
        <v>1</v>
      </c>
      <c r="R699">
        <f t="shared" si="73"/>
        <v>0</v>
      </c>
      <c r="S699">
        <f t="shared" si="74"/>
        <v>2</v>
      </c>
      <c r="T699" t="str">
        <f t="shared" si="75"/>
        <v>DerivedFromCount</v>
      </c>
      <c r="U699" t="str">
        <f>IF(COUNTIF(DailyProduction!$Q$5:$Q$100,B699)=1,"OK","CHECK")</f>
        <v>OK</v>
      </c>
      <c r="V699" t="str">
        <f t="shared" si="76"/>
        <v>OK</v>
      </c>
      <c r="W699" t="str">
        <f>IF(SUMIF($B$5:$B$914,B699,$S$5:$S$914)=SUMIF(DailyProduction!$Q$5:$Q$100,B699,DailyProduction!$R$5:$R$100),"OK","CHECK")</f>
        <v>OK</v>
      </c>
    </row>
    <row r="700" spans="1:23">
      <c r="A700" t="s">
        <v>1145</v>
      </c>
      <c r="B700" t="s">
        <v>1139</v>
      </c>
      <c r="C700" t="s">
        <v>30</v>
      </c>
      <c r="D700" s="7">
        <v>45955</v>
      </c>
      <c r="E700" t="s">
        <v>79</v>
      </c>
      <c r="F700" t="s">
        <v>41</v>
      </c>
      <c r="G700">
        <v>24</v>
      </c>
      <c r="H700" t="s">
        <v>60</v>
      </c>
      <c r="I700">
        <v>7</v>
      </c>
      <c r="J700">
        <v>12</v>
      </c>
      <c r="K700">
        <v>2</v>
      </c>
      <c r="L700">
        <f t="shared" si="70"/>
        <v>1</v>
      </c>
      <c r="P700">
        <f t="shared" si="71"/>
        <v>1</v>
      </c>
      <c r="Q700">
        <f t="shared" si="72"/>
        <v>1</v>
      </c>
      <c r="R700">
        <f t="shared" si="73"/>
        <v>0</v>
      </c>
      <c r="S700">
        <f t="shared" si="74"/>
        <v>2</v>
      </c>
      <c r="T700" t="str">
        <f t="shared" si="75"/>
        <v>DerivedFromCount</v>
      </c>
      <c r="U700" t="str">
        <f>IF(COUNTIF(DailyProduction!$Q$5:$Q$100,B700)=1,"OK","CHECK")</f>
        <v>OK</v>
      </c>
      <c r="V700" t="str">
        <f t="shared" si="76"/>
        <v>OK</v>
      </c>
      <c r="W700" t="str">
        <f>IF(SUMIF($B$5:$B$914,B700,$S$5:$S$914)=SUMIF(DailyProduction!$Q$5:$Q$100,B700,DailyProduction!$R$5:$R$100),"OK","CHECK")</f>
        <v>OK</v>
      </c>
    </row>
    <row r="701" spans="1:23">
      <c r="A701" t="s">
        <v>1146</v>
      </c>
      <c r="B701" t="s">
        <v>1139</v>
      </c>
      <c r="C701" t="s">
        <v>30</v>
      </c>
      <c r="D701" s="7">
        <v>45955</v>
      </c>
      <c r="E701" t="s">
        <v>79</v>
      </c>
      <c r="F701" t="s">
        <v>41</v>
      </c>
      <c r="G701">
        <v>24</v>
      </c>
      <c r="H701" t="s">
        <v>60</v>
      </c>
      <c r="I701">
        <v>8</v>
      </c>
      <c r="J701">
        <v>12</v>
      </c>
      <c r="K701">
        <v>2</v>
      </c>
      <c r="L701">
        <f t="shared" si="70"/>
        <v>1</v>
      </c>
      <c r="P701">
        <f t="shared" si="71"/>
        <v>1</v>
      </c>
      <c r="Q701">
        <f t="shared" si="72"/>
        <v>1</v>
      </c>
      <c r="R701">
        <f t="shared" si="73"/>
        <v>0</v>
      </c>
      <c r="S701">
        <f t="shared" si="74"/>
        <v>2</v>
      </c>
      <c r="T701" t="str">
        <f t="shared" si="75"/>
        <v>DerivedFromCount</v>
      </c>
      <c r="U701" t="str">
        <f>IF(COUNTIF(DailyProduction!$Q$5:$Q$100,B701)=1,"OK","CHECK")</f>
        <v>OK</v>
      </c>
      <c r="V701" t="str">
        <f t="shared" si="76"/>
        <v>OK</v>
      </c>
      <c r="W701" t="str">
        <f>IF(SUMIF($B$5:$B$914,B701,$S$5:$S$914)=SUMIF(DailyProduction!$Q$5:$Q$100,B701,DailyProduction!$R$5:$R$100),"OK","CHECK")</f>
        <v>OK</v>
      </c>
    </row>
    <row r="702" spans="1:23">
      <c r="A702" t="s">
        <v>1147</v>
      </c>
      <c r="B702" t="s">
        <v>1139</v>
      </c>
      <c r="C702" t="s">
        <v>30</v>
      </c>
      <c r="D702" s="7">
        <v>45955</v>
      </c>
      <c r="E702" t="s">
        <v>79</v>
      </c>
      <c r="F702" t="s">
        <v>41</v>
      </c>
      <c r="G702">
        <v>24</v>
      </c>
      <c r="H702" t="s">
        <v>60</v>
      </c>
      <c r="I702">
        <v>9</v>
      </c>
      <c r="J702">
        <v>12</v>
      </c>
      <c r="K702">
        <v>2</v>
      </c>
      <c r="L702">
        <f t="shared" si="70"/>
        <v>1</v>
      </c>
      <c r="P702">
        <f t="shared" si="71"/>
        <v>1</v>
      </c>
      <c r="Q702">
        <f t="shared" si="72"/>
        <v>1</v>
      </c>
      <c r="R702">
        <f t="shared" si="73"/>
        <v>0</v>
      </c>
      <c r="S702">
        <f t="shared" si="74"/>
        <v>2</v>
      </c>
      <c r="T702" t="str">
        <f t="shared" si="75"/>
        <v>DerivedFromCount</v>
      </c>
      <c r="U702" t="str">
        <f>IF(COUNTIF(DailyProduction!$Q$5:$Q$100,B702)=1,"OK","CHECK")</f>
        <v>OK</v>
      </c>
      <c r="V702" t="str">
        <f t="shared" si="76"/>
        <v>OK</v>
      </c>
      <c r="W702" t="str">
        <f>IF(SUMIF($B$5:$B$914,B702,$S$5:$S$914)=SUMIF(DailyProduction!$Q$5:$Q$100,B702,DailyProduction!$R$5:$R$100),"OK","CHECK")</f>
        <v>OK</v>
      </c>
    </row>
    <row r="703" spans="1:23">
      <c r="A703" t="s">
        <v>1148</v>
      </c>
      <c r="B703" t="s">
        <v>1139</v>
      </c>
      <c r="C703" t="s">
        <v>30</v>
      </c>
      <c r="D703" s="7">
        <v>45955</v>
      </c>
      <c r="E703" t="s">
        <v>79</v>
      </c>
      <c r="F703" t="s">
        <v>41</v>
      </c>
      <c r="G703">
        <v>24</v>
      </c>
      <c r="H703" t="s">
        <v>60</v>
      </c>
      <c r="I703">
        <v>10</v>
      </c>
      <c r="J703">
        <v>12</v>
      </c>
      <c r="K703">
        <v>2</v>
      </c>
      <c r="L703">
        <f t="shared" si="70"/>
        <v>1</v>
      </c>
      <c r="P703">
        <f t="shared" si="71"/>
        <v>1</v>
      </c>
      <c r="Q703">
        <f t="shared" si="72"/>
        <v>1</v>
      </c>
      <c r="R703">
        <f t="shared" si="73"/>
        <v>0</v>
      </c>
      <c r="S703">
        <f t="shared" si="74"/>
        <v>2</v>
      </c>
      <c r="T703" t="str">
        <f t="shared" si="75"/>
        <v>DerivedFromCount</v>
      </c>
      <c r="U703" t="str">
        <f>IF(COUNTIF(DailyProduction!$Q$5:$Q$100,B703)=1,"OK","CHECK")</f>
        <v>OK</v>
      </c>
      <c r="V703" t="str">
        <f t="shared" si="76"/>
        <v>OK</v>
      </c>
      <c r="W703" t="str">
        <f>IF(SUMIF($B$5:$B$914,B703,$S$5:$S$914)=SUMIF(DailyProduction!$Q$5:$Q$100,B703,DailyProduction!$R$5:$R$100),"OK","CHECK")</f>
        <v>OK</v>
      </c>
    </row>
    <row r="704" spans="1:23">
      <c r="A704" t="s">
        <v>1149</v>
      </c>
      <c r="B704" t="s">
        <v>1139</v>
      </c>
      <c r="C704" t="s">
        <v>30</v>
      </c>
      <c r="D704" s="7">
        <v>45955</v>
      </c>
      <c r="E704" t="s">
        <v>79</v>
      </c>
      <c r="F704" t="s">
        <v>41</v>
      </c>
      <c r="G704">
        <v>24</v>
      </c>
      <c r="H704" t="s">
        <v>60</v>
      </c>
      <c r="I704">
        <v>11</v>
      </c>
      <c r="J704">
        <v>12</v>
      </c>
      <c r="K704">
        <v>2</v>
      </c>
      <c r="L704">
        <f t="shared" si="70"/>
        <v>1</v>
      </c>
      <c r="P704">
        <f t="shared" si="71"/>
        <v>1</v>
      </c>
      <c r="Q704">
        <f t="shared" si="72"/>
        <v>1</v>
      </c>
      <c r="R704">
        <f t="shared" si="73"/>
        <v>0</v>
      </c>
      <c r="S704">
        <f t="shared" si="74"/>
        <v>2</v>
      </c>
      <c r="T704" t="str">
        <f t="shared" si="75"/>
        <v>DerivedFromCount</v>
      </c>
      <c r="U704" t="str">
        <f>IF(COUNTIF(DailyProduction!$Q$5:$Q$100,B704)=1,"OK","CHECK")</f>
        <v>OK</v>
      </c>
      <c r="V704" t="str">
        <f t="shared" si="76"/>
        <v>OK</v>
      </c>
      <c r="W704" t="str">
        <f>IF(SUMIF($B$5:$B$914,B704,$S$5:$S$914)=SUMIF(DailyProduction!$Q$5:$Q$100,B704,DailyProduction!$R$5:$R$100),"OK","CHECK")</f>
        <v>OK</v>
      </c>
    </row>
    <row r="705" spans="1:23">
      <c r="A705" t="s">
        <v>1150</v>
      </c>
      <c r="B705" t="s">
        <v>1139</v>
      </c>
      <c r="C705" t="s">
        <v>30</v>
      </c>
      <c r="D705" s="7">
        <v>45955</v>
      </c>
      <c r="E705" t="s">
        <v>79</v>
      </c>
      <c r="F705" t="s">
        <v>41</v>
      </c>
      <c r="G705">
        <v>24</v>
      </c>
      <c r="H705" t="s">
        <v>60</v>
      </c>
      <c r="I705">
        <v>12</v>
      </c>
      <c r="J705">
        <v>12</v>
      </c>
      <c r="K705">
        <v>2</v>
      </c>
      <c r="L705">
        <f t="shared" si="70"/>
        <v>1</v>
      </c>
      <c r="P705">
        <f t="shared" si="71"/>
        <v>1</v>
      </c>
      <c r="Q705">
        <f t="shared" si="72"/>
        <v>1</v>
      </c>
      <c r="R705">
        <f t="shared" si="73"/>
        <v>0</v>
      </c>
      <c r="S705">
        <f t="shared" si="74"/>
        <v>2</v>
      </c>
      <c r="T705" t="str">
        <f t="shared" si="75"/>
        <v>DerivedFromCount</v>
      </c>
      <c r="U705" t="str">
        <f>IF(COUNTIF(DailyProduction!$Q$5:$Q$100,B705)=1,"OK","CHECK")</f>
        <v>OK</v>
      </c>
      <c r="V705" t="str">
        <f t="shared" si="76"/>
        <v>OK</v>
      </c>
      <c r="W705" t="str">
        <f>IF(SUMIF($B$5:$B$914,B705,$S$5:$S$914)=SUMIF(DailyProduction!$Q$5:$Q$100,B705,DailyProduction!$R$5:$R$100),"OK","CHECK")</f>
        <v>OK</v>
      </c>
    </row>
    <row r="706" spans="1:23">
      <c r="A706" t="s">
        <v>1151</v>
      </c>
      <c r="B706" t="s">
        <v>1139</v>
      </c>
      <c r="C706" t="s">
        <v>30</v>
      </c>
      <c r="D706" s="7">
        <v>45955</v>
      </c>
      <c r="E706" t="s">
        <v>79</v>
      </c>
      <c r="F706" t="s">
        <v>41</v>
      </c>
      <c r="G706">
        <v>24</v>
      </c>
      <c r="H706" t="s">
        <v>60</v>
      </c>
      <c r="I706">
        <v>13</v>
      </c>
      <c r="J706">
        <v>12</v>
      </c>
      <c r="K706">
        <v>2</v>
      </c>
      <c r="L706">
        <f t="shared" si="70"/>
        <v>0</v>
      </c>
      <c r="P706">
        <f t="shared" si="71"/>
        <v>0</v>
      </c>
      <c r="Q706">
        <f t="shared" si="72"/>
        <v>0</v>
      </c>
      <c r="R706">
        <f t="shared" si="73"/>
        <v>0</v>
      </c>
      <c r="S706">
        <f t="shared" si="74"/>
        <v>0</v>
      </c>
      <c r="T706" t="str">
        <f t="shared" si="75"/>
        <v>DerivedFromCount</v>
      </c>
      <c r="U706" t="str">
        <f>IF(COUNTIF(DailyProduction!$Q$5:$Q$100,B706)=1,"OK","CHECK")</f>
        <v>OK</v>
      </c>
      <c r="V706" t="str">
        <f t="shared" si="76"/>
        <v>OK</v>
      </c>
      <c r="W706" t="str">
        <f>IF(SUMIF($B$5:$B$914,B706,$S$5:$S$914)=SUMIF(DailyProduction!$Q$5:$Q$100,B706,DailyProduction!$R$5:$R$100),"OK","CHECK")</f>
        <v>OK</v>
      </c>
    </row>
    <row r="707" spans="1:23">
      <c r="A707" t="s">
        <v>1152</v>
      </c>
      <c r="B707" t="s">
        <v>1153</v>
      </c>
      <c r="C707" t="s">
        <v>30</v>
      </c>
      <c r="D707" s="7">
        <v>45956</v>
      </c>
      <c r="E707" t="s">
        <v>31</v>
      </c>
      <c r="F707" t="s">
        <v>41</v>
      </c>
      <c r="G707">
        <v>24</v>
      </c>
      <c r="H707" t="s">
        <v>60</v>
      </c>
      <c r="I707">
        <v>1</v>
      </c>
      <c r="J707">
        <v>12</v>
      </c>
      <c r="K707">
        <v>2</v>
      </c>
      <c r="L707">
        <f t="shared" si="70"/>
        <v>1</v>
      </c>
      <c r="P707">
        <f t="shared" si="71"/>
        <v>1</v>
      </c>
      <c r="Q707">
        <f t="shared" si="72"/>
        <v>1</v>
      </c>
      <c r="R707">
        <f t="shared" si="73"/>
        <v>0</v>
      </c>
      <c r="S707">
        <f t="shared" si="74"/>
        <v>2</v>
      </c>
      <c r="T707" t="str">
        <f t="shared" si="75"/>
        <v>DerivedFromCount</v>
      </c>
      <c r="U707" t="str">
        <f>IF(COUNTIF(DailyProduction!$Q$5:$Q$100,B707)=1,"OK","CHECK")</f>
        <v>OK</v>
      </c>
      <c r="V707" t="str">
        <f t="shared" si="76"/>
        <v>OK</v>
      </c>
      <c r="W707" t="str">
        <f>IF(SUMIF($B$5:$B$914,B707,$S$5:$S$914)=SUMIF(DailyProduction!$Q$5:$Q$100,B707,DailyProduction!$R$5:$R$100),"OK","CHECK")</f>
        <v>OK</v>
      </c>
    </row>
    <row r="708" spans="1:23">
      <c r="A708" t="s">
        <v>1154</v>
      </c>
      <c r="B708" t="s">
        <v>1153</v>
      </c>
      <c r="C708" t="s">
        <v>30</v>
      </c>
      <c r="D708" s="7">
        <v>45956</v>
      </c>
      <c r="E708" t="s">
        <v>31</v>
      </c>
      <c r="F708" t="s">
        <v>41</v>
      </c>
      <c r="G708">
        <v>24</v>
      </c>
      <c r="H708" t="s">
        <v>60</v>
      </c>
      <c r="I708">
        <v>2</v>
      </c>
      <c r="J708">
        <v>12</v>
      </c>
      <c r="K708">
        <v>2</v>
      </c>
      <c r="L708">
        <f t="shared" si="70"/>
        <v>1</v>
      </c>
      <c r="P708">
        <f t="shared" si="71"/>
        <v>1</v>
      </c>
      <c r="Q708">
        <f t="shared" si="72"/>
        <v>1</v>
      </c>
      <c r="R708">
        <f t="shared" si="73"/>
        <v>0</v>
      </c>
      <c r="S708">
        <f t="shared" si="74"/>
        <v>2</v>
      </c>
      <c r="T708" t="str">
        <f t="shared" si="75"/>
        <v>DerivedFromCount</v>
      </c>
      <c r="U708" t="str">
        <f>IF(COUNTIF(DailyProduction!$Q$5:$Q$100,B708)=1,"OK","CHECK")</f>
        <v>OK</v>
      </c>
      <c r="V708" t="str">
        <f t="shared" si="76"/>
        <v>OK</v>
      </c>
      <c r="W708" t="str">
        <f>IF(SUMIF($B$5:$B$914,B708,$S$5:$S$914)=SUMIF(DailyProduction!$Q$5:$Q$100,B708,DailyProduction!$R$5:$R$100),"OK","CHECK")</f>
        <v>OK</v>
      </c>
    </row>
    <row r="709" spans="1:23">
      <c r="A709" t="s">
        <v>1155</v>
      </c>
      <c r="B709" t="s">
        <v>1153</v>
      </c>
      <c r="C709" t="s">
        <v>30</v>
      </c>
      <c r="D709" s="7">
        <v>45956</v>
      </c>
      <c r="E709" t="s">
        <v>31</v>
      </c>
      <c r="F709" t="s">
        <v>41</v>
      </c>
      <c r="G709">
        <v>24</v>
      </c>
      <c r="H709" t="s">
        <v>60</v>
      </c>
      <c r="I709">
        <v>3</v>
      </c>
      <c r="J709">
        <v>12</v>
      </c>
      <c r="K709">
        <v>2</v>
      </c>
      <c r="L709">
        <f t="shared" ref="L709:L772" si="77">IF(I709&lt;=J709,1,0)</f>
        <v>1</v>
      </c>
      <c r="P709">
        <f t="shared" ref="P709:P772" si="78">IF(M709="",IF(AND(L709=1,K709&gt;=1),1,0),M709)</f>
        <v>1</v>
      </c>
      <c r="Q709">
        <f t="shared" ref="Q709:Q772" si="79">IF(N709="",IF(AND(L709=1,K709&gt;=2),1,0),N709)</f>
        <v>1</v>
      </c>
      <c r="R709">
        <f t="shared" ref="R709:R772" si="80">IF(O709="",IF(AND(L709=1,K709&gt;=3),1,0),O709)</f>
        <v>0</v>
      </c>
      <c r="S709">
        <f t="shared" ref="S709:S772" si="81">SUM(P709:R709)</f>
        <v>2</v>
      </c>
      <c r="T709" t="str">
        <f t="shared" ref="T709:T772" si="82">IF(COUNTA(M709:O709)=0,"DerivedFromCount","ManualOverride")</f>
        <v>DerivedFromCount</v>
      </c>
      <c r="U709" t="str">
        <f>IF(COUNTIF(DailyProduction!$Q$5:$Q$100,B709)=1,"OK","CHECK")</f>
        <v>OK</v>
      </c>
      <c r="V709" t="str">
        <f t="shared" ref="V709:V772" si="83">IF(AND(I709&gt;=1,I709&lt;=13,K709&gt;=1,K709&lt;=3),"OK","CHECK")</f>
        <v>OK</v>
      </c>
      <c r="W709" t="str">
        <f>IF(SUMIF($B$5:$B$914,B709,$S$5:$S$914)=SUMIF(DailyProduction!$Q$5:$Q$100,B709,DailyProduction!$R$5:$R$100),"OK","CHECK")</f>
        <v>OK</v>
      </c>
    </row>
    <row r="710" spans="1:23">
      <c r="A710" t="s">
        <v>1156</v>
      </c>
      <c r="B710" t="s">
        <v>1153</v>
      </c>
      <c r="C710" t="s">
        <v>30</v>
      </c>
      <c r="D710" s="7">
        <v>45956</v>
      </c>
      <c r="E710" t="s">
        <v>31</v>
      </c>
      <c r="F710" t="s">
        <v>41</v>
      </c>
      <c r="G710">
        <v>24</v>
      </c>
      <c r="H710" t="s">
        <v>60</v>
      </c>
      <c r="I710">
        <v>4</v>
      </c>
      <c r="J710">
        <v>12</v>
      </c>
      <c r="K710">
        <v>2</v>
      </c>
      <c r="L710">
        <f t="shared" si="77"/>
        <v>1</v>
      </c>
      <c r="P710">
        <f t="shared" si="78"/>
        <v>1</v>
      </c>
      <c r="Q710">
        <f t="shared" si="79"/>
        <v>1</v>
      </c>
      <c r="R710">
        <f t="shared" si="80"/>
        <v>0</v>
      </c>
      <c r="S710">
        <f t="shared" si="81"/>
        <v>2</v>
      </c>
      <c r="T710" t="str">
        <f t="shared" si="82"/>
        <v>DerivedFromCount</v>
      </c>
      <c r="U710" t="str">
        <f>IF(COUNTIF(DailyProduction!$Q$5:$Q$100,B710)=1,"OK","CHECK")</f>
        <v>OK</v>
      </c>
      <c r="V710" t="str">
        <f t="shared" si="83"/>
        <v>OK</v>
      </c>
      <c r="W710" t="str">
        <f>IF(SUMIF($B$5:$B$914,B710,$S$5:$S$914)=SUMIF(DailyProduction!$Q$5:$Q$100,B710,DailyProduction!$R$5:$R$100),"OK","CHECK")</f>
        <v>OK</v>
      </c>
    </row>
    <row r="711" spans="1:23">
      <c r="A711" t="s">
        <v>1157</v>
      </c>
      <c r="B711" t="s">
        <v>1153</v>
      </c>
      <c r="C711" t="s">
        <v>30</v>
      </c>
      <c r="D711" s="7">
        <v>45956</v>
      </c>
      <c r="E711" t="s">
        <v>31</v>
      </c>
      <c r="F711" t="s">
        <v>41</v>
      </c>
      <c r="G711">
        <v>24</v>
      </c>
      <c r="H711" t="s">
        <v>60</v>
      </c>
      <c r="I711">
        <v>5</v>
      </c>
      <c r="J711">
        <v>12</v>
      </c>
      <c r="K711">
        <v>2</v>
      </c>
      <c r="L711">
        <f t="shared" si="77"/>
        <v>1</v>
      </c>
      <c r="P711">
        <f t="shared" si="78"/>
        <v>1</v>
      </c>
      <c r="Q711">
        <f t="shared" si="79"/>
        <v>1</v>
      </c>
      <c r="R711">
        <f t="shared" si="80"/>
        <v>0</v>
      </c>
      <c r="S711">
        <f t="shared" si="81"/>
        <v>2</v>
      </c>
      <c r="T711" t="str">
        <f t="shared" si="82"/>
        <v>DerivedFromCount</v>
      </c>
      <c r="U711" t="str">
        <f>IF(COUNTIF(DailyProduction!$Q$5:$Q$100,B711)=1,"OK","CHECK")</f>
        <v>OK</v>
      </c>
      <c r="V711" t="str">
        <f t="shared" si="83"/>
        <v>OK</v>
      </c>
      <c r="W711" t="str">
        <f>IF(SUMIF($B$5:$B$914,B711,$S$5:$S$914)=SUMIF(DailyProduction!$Q$5:$Q$100,B711,DailyProduction!$R$5:$R$100),"OK","CHECK")</f>
        <v>OK</v>
      </c>
    </row>
    <row r="712" spans="1:23">
      <c r="A712" t="s">
        <v>1158</v>
      </c>
      <c r="B712" t="s">
        <v>1153</v>
      </c>
      <c r="C712" t="s">
        <v>30</v>
      </c>
      <c r="D712" s="7">
        <v>45956</v>
      </c>
      <c r="E712" t="s">
        <v>31</v>
      </c>
      <c r="F712" t="s">
        <v>41</v>
      </c>
      <c r="G712">
        <v>24</v>
      </c>
      <c r="H712" t="s">
        <v>60</v>
      </c>
      <c r="I712">
        <v>6</v>
      </c>
      <c r="J712">
        <v>12</v>
      </c>
      <c r="K712">
        <v>2</v>
      </c>
      <c r="L712">
        <f t="shared" si="77"/>
        <v>1</v>
      </c>
      <c r="P712">
        <f t="shared" si="78"/>
        <v>1</v>
      </c>
      <c r="Q712">
        <f t="shared" si="79"/>
        <v>1</v>
      </c>
      <c r="R712">
        <f t="shared" si="80"/>
        <v>0</v>
      </c>
      <c r="S712">
        <f t="shared" si="81"/>
        <v>2</v>
      </c>
      <c r="T712" t="str">
        <f t="shared" si="82"/>
        <v>DerivedFromCount</v>
      </c>
      <c r="U712" t="str">
        <f>IF(COUNTIF(DailyProduction!$Q$5:$Q$100,B712)=1,"OK","CHECK")</f>
        <v>OK</v>
      </c>
      <c r="V712" t="str">
        <f t="shared" si="83"/>
        <v>OK</v>
      </c>
      <c r="W712" t="str">
        <f>IF(SUMIF($B$5:$B$914,B712,$S$5:$S$914)=SUMIF(DailyProduction!$Q$5:$Q$100,B712,DailyProduction!$R$5:$R$100),"OK","CHECK")</f>
        <v>OK</v>
      </c>
    </row>
    <row r="713" spans="1:23">
      <c r="A713" t="s">
        <v>1159</v>
      </c>
      <c r="B713" t="s">
        <v>1153</v>
      </c>
      <c r="C713" t="s">
        <v>30</v>
      </c>
      <c r="D713" s="7">
        <v>45956</v>
      </c>
      <c r="E713" t="s">
        <v>31</v>
      </c>
      <c r="F713" t="s">
        <v>41</v>
      </c>
      <c r="G713">
        <v>24</v>
      </c>
      <c r="H713" t="s">
        <v>60</v>
      </c>
      <c r="I713">
        <v>7</v>
      </c>
      <c r="J713">
        <v>12</v>
      </c>
      <c r="K713">
        <v>2</v>
      </c>
      <c r="L713">
        <f t="shared" si="77"/>
        <v>1</v>
      </c>
      <c r="P713">
        <f t="shared" si="78"/>
        <v>1</v>
      </c>
      <c r="Q713">
        <f t="shared" si="79"/>
        <v>1</v>
      </c>
      <c r="R713">
        <f t="shared" si="80"/>
        <v>0</v>
      </c>
      <c r="S713">
        <f t="shared" si="81"/>
        <v>2</v>
      </c>
      <c r="T713" t="str">
        <f t="shared" si="82"/>
        <v>DerivedFromCount</v>
      </c>
      <c r="U713" t="str">
        <f>IF(COUNTIF(DailyProduction!$Q$5:$Q$100,B713)=1,"OK","CHECK")</f>
        <v>OK</v>
      </c>
      <c r="V713" t="str">
        <f t="shared" si="83"/>
        <v>OK</v>
      </c>
      <c r="W713" t="str">
        <f>IF(SUMIF($B$5:$B$914,B713,$S$5:$S$914)=SUMIF(DailyProduction!$Q$5:$Q$100,B713,DailyProduction!$R$5:$R$100),"OK","CHECK")</f>
        <v>OK</v>
      </c>
    </row>
    <row r="714" spans="1:23">
      <c r="A714" t="s">
        <v>1160</v>
      </c>
      <c r="B714" t="s">
        <v>1153</v>
      </c>
      <c r="C714" t="s">
        <v>30</v>
      </c>
      <c r="D714" s="7">
        <v>45956</v>
      </c>
      <c r="E714" t="s">
        <v>31</v>
      </c>
      <c r="F714" t="s">
        <v>41</v>
      </c>
      <c r="G714">
        <v>24</v>
      </c>
      <c r="H714" t="s">
        <v>60</v>
      </c>
      <c r="I714">
        <v>8</v>
      </c>
      <c r="J714">
        <v>12</v>
      </c>
      <c r="K714">
        <v>2</v>
      </c>
      <c r="L714">
        <f t="shared" si="77"/>
        <v>1</v>
      </c>
      <c r="P714">
        <f t="shared" si="78"/>
        <v>1</v>
      </c>
      <c r="Q714">
        <f t="shared" si="79"/>
        <v>1</v>
      </c>
      <c r="R714">
        <f t="shared" si="80"/>
        <v>0</v>
      </c>
      <c r="S714">
        <f t="shared" si="81"/>
        <v>2</v>
      </c>
      <c r="T714" t="str">
        <f t="shared" si="82"/>
        <v>DerivedFromCount</v>
      </c>
      <c r="U714" t="str">
        <f>IF(COUNTIF(DailyProduction!$Q$5:$Q$100,B714)=1,"OK","CHECK")</f>
        <v>OK</v>
      </c>
      <c r="V714" t="str">
        <f t="shared" si="83"/>
        <v>OK</v>
      </c>
      <c r="W714" t="str">
        <f>IF(SUMIF($B$5:$B$914,B714,$S$5:$S$914)=SUMIF(DailyProduction!$Q$5:$Q$100,B714,DailyProduction!$R$5:$R$100),"OK","CHECK")</f>
        <v>OK</v>
      </c>
    </row>
    <row r="715" spans="1:23">
      <c r="A715" t="s">
        <v>1161</v>
      </c>
      <c r="B715" t="s">
        <v>1153</v>
      </c>
      <c r="C715" t="s">
        <v>30</v>
      </c>
      <c r="D715" s="7">
        <v>45956</v>
      </c>
      <c r="E715" t="s">
        <v>31</v>
      </c>
      <c r="F715" t="s">
        <v>41</v>
      </c>
      <c r="G715">
        <v>24</v>
      </c>
      <c r="H715" t="s">
        <v>60</v>
      </c>
      <c r="I715">
        <v>9</v>
      </c>
      <c r="J715">
        <v>12</v>
      </c>
      <c r="K715">
        <v>2</v>
      </c>
      <c r="L715">
        <f t="shared" si="77"/>
        <v>1</v>
      </c>
      <c r="P715">
        <f t="shared" si="78"/>
        <v>1</v>
      </c>
      <c r="Q715">
        <f t="shared" si="79"/>
        <v>1</v>
      </c>
      <c r="R715">
        <f t="shared" si="80"/>
        <v>0</v>
      </c>
      <c r="S715">
        <f t="shared" si="81"/>
        <v>2</v>
      </c>
      <c r="T715" t="str">
        <f t="shared" si="82"/>
        <v>DerivedFromCount</v>
      </c>
      <c r="U715" t="str">
        <f>IF(COUNTIF(DailyProduction!$Q$5:$Q$100,B715)=1,"OK","CHECK")</f>
        <v>OK</v>
      </c>
      <c r="V715" t="str">
        <f t="shared" si="83"/>
        <v>OK</v>
      </c>
      <c r="W715" t="str">
        <f>IF(SUMIF($B$5:$B$914,B715,$S$5:$S$914)=SUMIF(DailyProduction!$Q$5:$Q$100,B715,DailyProduction!$R$5:$R$100),"OK","CHECK")</f>
        <v>OK</v>
      </c>
    </row>
    <row r="716" spans="1:23">
      <c r="A716" t="s">
        <v>1162</v>
      </c>
      <c r="B716" t="s">
        <v>1153</v>
      </c>
      <c r="C716" t="s">
        <v>30</v>
      </c>
      <c r="D716" s="7">
        <v>45956</v>
      </c>
      <c r="E716" t="s">
        <v>31</v>
      </c>
      <c r="F716" t="s">
        <v>41</v>
      </c>
      <c r="G716">
        <v>24</v>
      </c>
      <c r="H716" t="s">
        <v>60</v>
      </c>
      <c r="I716">
        <v>10</v>
      </c>
      <c r="J716">
        <v>12</v>
      </c>
      <c r="K716">
        <v>2</v>
      </c>
      <c r="L716">
        <f t="shared" si="77"/>
        <v>1</v>
      </c>
      <c r="P716">
        <f t="shared" si="78"/>
        <v>1</v>
      </c>
      <c r="Q716">
        <f t="shared" si="79"/>
        <v>1</v>
      </c>
      <c r="R716">
        <f t="shared" si="80"/>
        <v>0</v>
      </c>
      <c r="S716">
        <f t="shared" si="81"/>
        <v>2</v>
      </c>
      <c r="T716" t="str">
        <f t="shared" si="82"/>
        <v>DerivedFromCount</v>
      </c>
      <c r="U716" t="str">
        <f>IF(COUNTIF(DailyProduction!$Q$5:$Q$100,B716)=1,"OK","CHECK")</f>
        <v>OK</v>
      </c>
      <c r="V716" t="str">
        <f t="shared" si="83"/>
        <v>OK</v>
      </c>
      <c r="W716" t="str">
        <f>IF(SUMIF($B$5:$B$914,B716,$S$5:$S$914)=SUMIF(DailyProduction!$Q$5:$Q$100,B716,DailyProduction!$R$5:$R$100),"OK","CHECK")</f>
        <v>OK</v>
      </c>
    </row>
    <row r="717" spans="1:23">
      <c r="A717" t="s">
        <v>1163</v>
      </c>
      <c r="B717" t="s">
        <v>1153</v>
      </c>
      <c r="C717" t="s">
        <v>30</v>
      </c>
      <c r="D717" s="7">
        <v>45956</v>
      </c>
      <c r="E717" t="s">
        <v>31</v>
      </c>
      <c r="F717" t="s">
        <v>41</v>
      </c>
      <c r="G717">
        <v>24</v>
      </c>
      <c r="H717" t="s">
        <v>60</v>
      </c>
      <c r="I717">
        <v>11</v>
      </c>
      <c r="J717">
        <v>12</v>
      </c>
      <c r="K717">
        <v>2</v>
      </c>
      <c r="L717">
        <f t="shared" si="77"/>
        <v>1</v>
      </c>
      <c r="P717">
        <f t="shared" si="78"/>
        <v>1</v>
      </c>
      <c r="Q717">
        <f t="shared" si="79"/>
        <v>1</v>
      </c>
      <c r="R717">
        <f t="shared" si="80"/>
        <v>0</v>
      </c>
      <c r="S717">
        <f t="shared" si="81"/>
        <v>2</v>
      </c>
      <c r="T717" t="str">
        <f t="shared" si="82"/>
        <v>DerivedFromCount</v>
      </c>
      <c r="U717" t="str">
        <f>IF(COUNTIF(DailyProduction!$Q$5:$Q$100,B717)=1,"OK","CHECK")</f>
        <v>OK</v>
      </c>
      <c r="V717" t="str">
        <f t="shared" si="83"/>
        <v>OK</v>
      </c>
      <c r="W717" t="str">
        <f>IF(SUMIF($B$5:$B$914,B717,$S$5:$S$914)=SUMIF(DailyProduction!$Q$5:$Q$100,B717,DailyProduction!$R$5:$R$100),"OK","CHECK")</f>
        <v>OK</v>
      </c>
    </row>
    <row r="718" spans="1:23">
      <c r="A718" t="s">
        <v>1164</v>
      </c>
      <c r="B718" t="s">
        <v>1153</v>
      </c>
      <c r="C718" t="s">
        <v>30</v>
      </c>
      <c r="D718" s="7">
        <v>45956</v>
      </c>
      <c r="E718" t="s">
        <v>31</v>
      </c>
      <c r="F718" t="s">
        <v>41</v>
      </c>
      <c r="G718">
        <v>24</v>
      </c>
      <c r="H718" t="s">
        <v>60</v>
      </c>
      <c r="I718">
        <v>12</v>
      </c>
      <c r="J718">
        <v>12</v>
      </c>
      <c r="K718">
        <v>2</v>
      </c>
      <c r="L718">
        <f t="shared" si="77"/>
        <v>1</v>
      </c>
      <c r="P718">
        <f t="shared" si="78"/>
        <v>1</v>
      </c>
      <c r="Q718">
        <f t="shared" si="79"/>
        <v>1</v>
      </c>
      <c r="R718">
        <f t="shared" si="80"/>
        <v>0</v>
      </c>
      <c r="S718">
        <f t="shared" si="81"/>
        <v>2</v>
      </c>
      <c r="T718" t="str">
        <f t="shared" si="82"/>
        <v>DerivedFromCount</v>
      </c>
      <c r="U718" t="str">
        <f>IF(COUNTIF(DailyProduction!$Q$5:$Q$100,B718)=1,"OK","CHECK")</f>
        <v>OK</v>
      </c>
      <c r="V718" t="str">
        <f t="shared" si="83"/>
        <v>OK</v>
      </c>
      <c r="W718" t="str">
        <f>IF(SUMIF($B$5:$B$914,B718,$S$5:$S$914)=SUMIF(DailyProduction!$Q$5:$Q$100,B718,DailyProduction!$R$5:$R$100),"OK","CHECK")</f>
        <v>OK</v>
      </c>
    </row>
    <row r="719" spans="1:23">
      <c r="A719" t="s">
        <v>1165</v>
      </c>
      <c r="B719" t="s">
        <v>1153</v>
      </c>
      <c r="C719" t="s">
        <v>30</v>
      </c>
      <c r="D719" s="7">
        <v>45956</v>
      </c>
      <c r="E719" t="s">
        <v>31</v>
      </c>
      <c r="F719" t="s">
        <v>41</v>
      </c>
      <c r="G719">
        <v>24</v>
      </c>
      <c r="H719" t="s">
        <v>60</v>
      </c>
      <c r="I719">
        <v>13</v>
      </c>
      <c r="J719">
        <v>12</v>
      </c>
      <c r="K719">
        <v>2</v>
      </c>
      <c r="L719">
        <f t="shared" si="77"/>
        <v>0</v>
      </c>
      <c r="P719">
        <f t="shared" si="78"/>
        <v>0</v>
      </c>
      <c r="Q719">
        <f t="shared" si="79"/>
        <v>0</v>
      </c>
      <c r="R719">
        <f t="shared" si="80"/>
        <v>0</v>
      </c>
      <c r="S719">
        <f t="shared" si="81"/>
        <v>0</v>
      </c>
      <c r="T719" t="str">
        <f t="shared" si="82"/>
        <v>DerivedFromCount</v>
      </c>
      <c r="U719" t="str">
        <f>IF(COUNTIF(DailyProduction!$Q$5:$Q$100,B719)=1,"OK","CHECK")</f>
        <v>OK</v>
      </c>
      <c r="V719" t="str">
        <f t="shared" si="83"/>
        <v>OK</v>
      </c>
      <c r="W719" t="str">
        <f>IF(SUMIF($B$5:$B$914,B719,$S$5:$S$914)=SUMIF(DailyProduction!$Q$5:$Q$100,B719,DailyProduction!$R$5:$R$100),"OK","CHECK")</f>
        <v>OK</v>
      </c>
    </row>
    <row r="720" spans="1:23">
      <c r="A720" t="s">
        <v>1166</v>
      </c>
      <c r="B720" t="s">
        <v>1167</v>
      </c>
      <c r="C720" t="s">
        <v>30</v>
      </c>
      <c r="D720" s="7">
        <v>45956</v>
      </c>
      <c r="E720" t="s">
        <v>79</v>
      </c>
      <c r="F720" t="s">
        <v>32</v>
      </c>
      <c r="G720">
        <v>24</v>
      </c>
      <c r="H720" t="s">
        <v>60</v>
      </c>
      <c r="I720">
        <v>1</v>
      </c>
      <c r="J720">
        <v>12</v>
      </c>
      <c r="K720">
        <v>2</v>
      </c>
      <c r="L720">
        <f t="shared" si="77"/>
        <v>1</v>
      </c>
      <c r="P720">
        <f t="shared" si="78"/>
        <v>1</v>
      </c>
      <c r="Q720">
        <f t="shared" si="79"/>
        <v>1</v>
      </c>
      <c r="R720">
        <f t="shared" si="80"/>
        <v>0</v>
      </c>
      <c r="S720">
        <f t="shared" si="81"/>
        <v>2</v>
      </c>
      <c r="T720" t="str">
        <f t="shared" si="82"/>
        <v>DerivedFromCount</v>
      </c>
      <c r="U720" t="str">
        <f>IF(COUNTIF(DailyProduction!$Q$5:$Q$100,B720)=1,"OK","CHECK")</f>
        <v>OK</v>
      </c>
      <c r="V720" t="str">
        <f t="shared" si="83"/>
        <v>OK</v>
      </c>
      <c r="W720" t="str">
        <f>IF(SUMIF($B$5:$B$914,B720,$S$5:$S$914)=SUMIF(DailyProduction!$Q$5:$Q$100,B720,DailyProduction!$R$5:$R$100),"OK","CHECK")</f>
        <v>OK</v>
      </c>
    </row>
    <row r="721" spans="1:23">
      <c r="A721" t="s">
        <v>1168</v>
      </c>
      <c r="B721" t="s">
        <v>1167</v>
      </c>
      <c r="C721" t="s">
        <v>30</v>
      </c>
      <c r="D721" s="7">
        <v>45956</v>
      </c>
      <c r="E721" t="s">
        <v>79</v>
      </c>
      <c r="F721" t="s">
        <v>32</v>
      </c>
      <c r="G721">
        <v>24</v>
      </c>
      <c r="H721" t="s">
        <v>60</v>
      </c>
      <c r="I721">
        <v>2</v>
      </c>
      <c r="J721">
        <v>12</v>
      </c>
      <c r="K721">
        <v>2</v>
      </c>
      <c r="L721">
        <f t="shared" si="77"/>
        <v>1</v>
      </c>
      <c r="P721">
        <f t="shared" si="78"/>
        <v>1</v>
      </c>
      <c r="Q721">
        <f t="shared" si="79"/>
        <v>1</v>
      </c>
      <c r="R721">
        <f t="shared" si="80"/>
        <v>0</v>
      </c>
      <c r="S721">
        <f t="shared" si="81"/>
        <v>2</v>
      </c>
      <c r="T721" t="str">
        <f t="shared" si="82"/>
        <v>DerivedFromCount</v>
      </c>
      <c r="U721" t="str">
        <f>IF(COUNTIF(DailyProduction!$Q$5:$Q$100,B721)=1,"OK","CHECK")</f>
        <v>OK</v>
      </c>
      <c r="V721" t="str">
        <f t="shared" si="83"/>
        <v>OK</v>
      </c>
      <c r="W721" t="str">
        <f>IF(SUMIF($B$5:$B$914,B721,$S$5:$S$914)=SUMIF(DailyProduction!$Q$5:$Q$100,B721,DailyProduction!$R$5:$R$100),"OK","CHECK")</f>
        <v>OK</v>
      </c>
    </row>
    <row r="722" spans="1:23">
      <c r="A722" t="s">
        <v>1169</v>
      </c>
      <c r="B722" t="s">
        <v>1167</v>
      </c>
      <c r="C722" t="s">
        <v>30</v>
      </c>
      <c r="D722" s="7">
        <v>45956</v>
      </c>
      <c r="E722" t="s">
        <v>79</v>
      </c>
      <c r="F722" t="s">
        <v>32</v>
      </c>
      <c r="G722">
        <v>24</v>
      </c>
      <c r="H722" t="s">
        <v>60</v>
      </c>
      <c r="I722">
        <v>3</v>
      </c>
      <c r="J722">
        <v>12</v>
      </c>
      <c r="K722">
        <v>2</v>
      </c>
      <c r="L722">
        <f t="shared" si="77"/>
        <v>1</v>
      </c>
      <c r="P722">
        <f t="shared" si="78"/>
        <v>1</v>
      </c>
      <c r="Q722">
        <f t="shared" si="79"/>
        <v>1</v>
      </c>
      <c r="R722">
        <f t="shared" si="80"/>
        <v>0</v>
      </c>
      <c r="S722">
        <f t="shared" si="81"/>
        <v>2</v>
      </c>
      <c r="T722" t="str">
        <f t="shared" si="82"/>
        <v>DerivedFromCount</v>
      </c>
      <c r="U722" t="str">
        <f>IF(COUNTIF(DailyProduction!$Q$5:$Q$100,B722)=1,"OK","CHECK")</f>
        <v>OK</v>
      </c>
      <c r="V722" t="str">
        <f t="shared" si="83"/>
        <v>OK</v>
      </c>
      <c r="W722" t="str">
        <f>IF(SUMIF($B$5:$B$914,B722,$S$5:$S$914)=SUMIF(DailyProduction!$Q$5:$Q$100,B722,DailyProduction!$R$5:$R$100),"OK","CHECK")</f>
        <v>OK</v>
      </c>
    </row>
    <row r="723" spans="1:23">
      <c r="A723" t="s">
        <v>1170</v>
      </c>
      <c r="B723" t="s">
        <v>1167</v>
      </c>
      <c r="C723" t="s">
        <v>30</v>
      </c>
      <c r="D723" s="7">
        <v>45956</v>
      </c>
      <c r="E723" t="s">
        <v>79</v>
      </c>
      <c r="F723" t="s">
        <v>32</v>
      </c>
      <c r="G723">
        <v>24</v>
      </c>
      <c r="H723" t="s">
        <v>60</v>
      </c>
      <c r="I723">
        <v>4</v>
      </c>
      <c r="J723">
        <v>12</v>
      </c>
      <c r="K723">
        <v>2</v>
      </c>
      <c r="L723">
        <f t="shared" si="77"/>
        <v>1</v>
      </c>
      <c r="P723">
        <f t="shared" si="78"/>
        <v>1</v>
      </c>
      <c r="Q723">
        <f t="shared" si="79"/>
        <v>1</v>
      </c>
      <c r="R723">
        <f t="shared" si="80"/>
        <v>0</v>
      </c>
      <c r="S723">
        <f t="shared" si="81"/>
        <v>2</v>
      </c>
      <c r="T723" t="str">
        <f t="shared" si="82"/>
        <v>DerivedFromCount</v>
      </c>
      <c r="U723" t="str">
        <f>IF(COUNTIF(DailyProduction!$Q$5:$Q$100,B723)=1,"OK","CHECK")</f>
        <v>OK</v>
      </c>
      <c r="V723" t="str">
        <f t="shared" si="83"/>
        <v>OK</v>
      </c>
      <c r="W723" t="str">
        <f>IF(SUMIF($B$5:$B$914,B723,$S$5:$S$914)=SUMIF(DailyProduction!$Q$5:$Q$100,B723,DailyProduction!$R$5:$R$100),"OK","CHECK")</f>
        <v>OK</v>
      </c>
    </row>
    <row r="724" spans="1:23">
      <c r="A724" t="s">
        <v>1171</v>
      </c>
      <c r="B724" t="s">
        <v>1167</v>
      </c>
      <c r="C724" t="s">
        <v>30</v>
      </c>
      <c r="D724" s="7">
        <v>45956</v>
      </c>
      <c r="E724" t="s">
        <v>79</v>
      </c>
      <c r="F724" t="s">
        <v>32</v>
      </c>
      <c r="G724">
        <v>24</v>
      </c>
      <c r="H724" t="s">
        <v>60</v>
      </c>
      <c r="I724">
        <v>5</v>
      </c>
      <c r="J724">
        <v>12</v>
      </c>
      <c r="K724">
        <v>2</v>
      </c>
      <c r="L724">
        <f t="shared" si="77"/>
        <v>1</v>
      </c>
      <c r="P724">
        <f t="shared" si="78"/>
        <v>1</v>
      </c>
      <c r="Q724">
        <f t="shared" si="79"/>
        <v>1</v>
      </c>
      <c r="R724">
        <f t="shared" si="80"/>
        <v>0</v>
      </c>
      <c r="S724">
        <f t="shared" si="81"/>
        <v>2</v>
      </c>
      <c r="T724" t="str">
        <f t="shared" si="82"/>
        <v>DerivedFromCount</v>
      </c>
      <c r="U724" t="str">
        <f>IF(COUNTIF(DailyProduction!$Q$5:$Q$100,B724)=1,"OK","CHECK")</f>
        <v>OK</v>
      </c>
      <c r="V724" t="str">
        <f t="shared" si="83"/>
        <v>OK</v>
      </c>
      <c r="W724" t="str">
        <f>IF(SUMIF($B$5:$B$914,B724,$S$5:$S$914)=SUMIF(DailyProduction!$Q$5:$Q$100,B724,DailyProduction!$R$5:$R$100),"OK","CHECK")</f>
        <v>OK</v>
      </c>
    </row>
    <row r="725" spans="1:23">
      <c r="A725" t="s">
        <v>1172</v>
      </c>
      <c r="B725" t="s">
        <v>1167</v>
      </c>
      <c r="C725" t="s">
        <v>30</v>
      </c>
      <c r="D725" s="7">
        <v>45956</v>
      </c>
      <c r="E725" t="s">
        <v>79</v>
      </c>
      <c r="F725" t="s">
        <v>32</v>
      </c>
      <c r="G725">
        <v>24</v>
      </c>
      <c r="H725" t="s">
        <v>60</v>
      </c>
      <c r="I725">
        <v>6</v>
      </c>
      <c r="J725">
        <v>12</v>
      </c>
      <c r="K725">
        <v>2</v>
      </c>
      <c r="L725">
        <f t="shared" si="77"/>
        <v>1</v>
      </c>
      <c r="P725">
        <f t="shared" si="78"/>
        <v>1</v>
      </c>
      <c r="Q725">
        <f t="shared" si="79"/>
        <v>1</v>
      </c>
      <c r="R725">
        <f t="shared" si="80"/>
        <v>0</v>
      </c>
      <c r="S725">
        <f t="shared" si="81"/>
        <v>2</v>
      </c>
      <c r="T725" t="str">
        <f t="shared" si="82"/>
        <v>DerivedFromCount</v>
      </c>
      <c r="U725" t="str">
        <f>IF(COUNTIF(DailyProduction!$Q$5:$Q$100,B725)=1,"OK","CHECK")</f>
        <v>OK</v>
      </c>
      <c r="V725" t="str">
        <f t="shared" si="83"/>
        <v>OK</v>
      </c>
      <c r="W725" t="str">
        <f>IF(SUMIF($B$5:$B$914,B725,$S$5:$S$914)=SUMIF(DailyProduction!$Q$5:$Q$100,B725,DailyProduction!$R$5:$R$100),"OK","CHECK")</f>
        <v>OK</v>
      </c>
    </row>
    <row r="726" spans="1:23">
      <c r="A726" t="s">
        <v>1173</v>
      </c>
      <c r="B726" t="s">
        <v>1167</v>
      </c>
      <c r="C726" t="s">
        <v>30</v>
      </c>
      <c r="D726" s="7">
        <v>45956</v>
      </c>
      <c r="E726" t="s">
        <v>79</v>
      </c>
      <c r="F726" t="s">
        <v>32</v>
      </c>
      <c r="G726">
        <v>24</v>
      </c>
      <c r="H726" t="s">
        <v>60</v>
      </c>
      <c r="I726">
        <v>7</v>
      </c>
      <c r="J726">
        <v>12</v>
      </c>
      <c r="K726">
        <v>2</v>
      </c>
      <c r="L726">
        <f t="shared" si="77"/>
        <v>1</v>
      </c>
      <c r="P726">
        <f t="shared" si="78"/>
        <v>1</v>
      </c>
      <c r="Q726">
        <f t="shared" si="79"/>
        <v>1</v>
      </c>
      <c r="R726">
        <f t="shared" si="80"/>
        <v>0</v>
      </c>
      <c r="S726">
        <f t="shared" si="81"/>
        <v>2</v>
      </c>
      <c r="T726" t="str">
        <f t="shared" si="82"/>
        <v>DerivedFromCount</v>
      </c>
      <c r="U726" t="str">
        <f>IF(COUNTIF(DailyProduction!$Q$5:$Q$100,B726)=1,"OK","CHECK")</f>
        <v>OK</v>
      </c>
      <c r="V726" t="str">
        <f t="shared" si="83"/>
        <v>OK</v>
      </c>
      <c r="W726" t="str">
        <f>IF(SUMIF($B$5:$B$914,B726,$S$5:$S$914)=SUMIF(DailyProduction!$Q$5:$Q$100,B726,DailyProduction!$R$5:$R$100),"OK","CHECK")</f>
        <v>OK</v>
      </c>
    </row>
    <row r="727" spans="1:23">
      <c r="A727" t="s">
        <v>1174</v>
      </c>
      <c r="B727" t="s">
        <v>1167</v>
      </c>
      <c r="C727" t="s">
        <v>30</v>
      </c>
      <c r="D727" s="7">
        <v>45956</v>
      </c>
      <c r="E727" t="s">
        <v>79</v>
      </c>
      <c r="F727" t="s">
        <v>32</v>
      </c>
      <c r="G727">
        <v>24</v>
      </c>
      <c r="H727" t="s">
        <v>60</v>
      </c>
      <c r="I727">
        <v>8</v>
      </c>
      <c r="J727">
        <v>12</v>
      </c>
      <c r="K727">
        <v>2</v>
      </c>
      <c r="L727">
        <f t="shared" si="77"/>
        <v>1</v>
      </c>
      <c r="P727">
        <f t="shared" si="78"/>
        <v>1</v>
      </c>
      <c r="Q727">
        <f t="shared" si="79"/>
        <v>1</v>
      </c>
      <c r="R727">
        <f t="shared" si="80"/>
        <v>0</v>
      </c>
      <c r="S727">
        <f t="shared" si="81"/>
        <v>2</v>
      </c>
      <c r="T727" t="str">
        <f t="shared" si="82"/>
        <v>DerivedFromCount</v>
      </c>
      <c r="U727" t="str">
        <f>IF(COUNTIF(DailyProduction!$Q$5:$Q$100,B727)=1,"OK","CHECK")</f>
        <v>OK</v>
      </c>
      <c r="V727" t="str">
        <f t="shared" si="83"/>
        <v>OK</v>
      </c>
      <c r="W727" t="str">
        <f>IF(SUMIF($B$5:$B$914,B727,$S$5:$S$914)=SUMIF(DailyProduction!$Q$5:$Q$100,B727,DailyProduction!$R$5:$R$100),"OK","CHECK")</f>
        <v>OK</v>
      </c>
    </row>
    <row r="728" spans="1:23">
      <c r="A728" t="s">
        <v>1175</v>
      </c>
      <c r="B728" t="s">
        <v>1167</v>
      </c>
      <c r="C728" t="s">
        <v>30</v>
      </c>
      <c r="D728" s="7">
        <v>45956</v>
      </c>
      <c r="E728" t="s">
        <v>79</v>
      </c>
      <c r="F728" t="s">
        <v>32</v>
      </c>
      <c r="G728">
        <v>24</v>
      </c>
      <c r="H728" t="s">
        <v>60</v>
      </c>
      <c r="I728">
        <v>9</v>
      </c>
      <c r="J728">
        <v>12</v>
      </c>
      <c r="K728">
        <v>2</v>
      </c>
      <c r="L728">
        <f t="shared" si="77"/>
        <v>1</v>
      </c>
      <c r="P728">
        <f t="shared" si="78"/>
        <v>1</v>
      </c>
      <c r="Q728">
        <f t="shared" si="79"/>
        <v>1</v>
      </c>
      <c r="R728">
        <f t="shared" si="80"/>
        <v>0</v>
      </c>
      <c r="S728">
        <f t="shared" si="81"/>
        <v>2</v>
      </c>
      <c r="T728" t="str">
        <f t="shared" si="82"/>
        <v>DerivedFromCount</v>
      </c>
      <c r="U728" t="str">
        <f>IF(COUNTIF(DailyProduction!$Q$5:$Q$100,B728)=1,"OK","CHECK")</f>
        <v>OK</v>
      </c>
      <c r="V728" t="str">
        <f t="shared" si="83"/>
        <v>OK</v>
      </c>
      <c r="W728" t="str">
        <f>IF(SUMIF($B$5:$B$914,B728,$S$5:$S$914)=SUMIF(DailyProduction!$Q$5:$Q$100,B728,DailyProduction!$R$5:$R$100),"OK","CHECK")</f>
        <v>OK</v>
      </c>
    </row>
    <row r="729" spans="1:23">
      <c r="A729" t="s">
        <v>1176</v>
      </c>
      <c r="B729" t="s">
        <v>1167</v>
      </c>
      <c r="C729" t="s">
        <v>30</v>
      </c>
      <c r="D729" s="7">
        <v>45956</v>
      </c>
      <c r="E729" t="s">
        <v>79</v>
      </c>
      <c r="F729" t="s">
        <v>32</v>
      </c>
      <c r="G729">
        <v>24</v>
      </c>
      <c r="H729" t="s">
        <v>60</v>
      </c>
      <c r="I729">
        <v>10</v>
      </c>
      <c r="J729">
        <v>12</v>
      </c>
      <c r="K729">
        <v>2</v>
      </c>
      <c r="L729">
        <f t="shared" si="77"/>
        <v>1</v>
      </c>
      <c r="P729">
        <f t="shared" si="78"/>
        <v>1</v>
      </c>
      <c r="Q729">
        <f t="shared" si="79"/>
        <v>1</v>
      </c>
      <c r="R729">
        <f t="shared" si="80"/>
        <v>0</v>
      </c>
      <c r="S729">
        <f t="shared" si="81"/>
        <v>2</v>
      </c>
      <c r="T729" t="str">
        <f t="shared" si="82"/>
        <v>DerivedFromCount</v>
      </c>
      <c r="U729" t="str">
        <f>IF(COUNTIF(DailyProduction!$Q$5:$Q$100,B729)=1,"OK","CHECK")</f>
        <v>OK</v>
      </c>
      <c r="V729" t="str">
        <f t="shared" si="83"/>
        <v>OK</v>
      </c>
      <c r="W729" t="str">
        <f>IF(SUMIF($B$5:$B$914,B729,$S$5:$S$914)=SUMIF(DailyProduction!$Q$5:$Q$100,B729,DailyProduction!$R$5:$R$100),"OK","CHECK")</f>
        <v>OK</v>
      </c>
    </row>
    <row r="730" spans="1:23">
      <c r="A730" t="s">
        <v>1177</v>
      </c>
      <c r="B730" t="s">
        <v>1167</v>
      </c>
      <c r="C730" t="s">
        <v>30</v>
      </c>
      <c r="D730" s="7">
        <v>45956</v>
      </c>
      <c r="E730" t="s">
        <v>79</v>
      </c>
      <c r="F730" t="s">
        <v>32</v>
      </c>
      <c r="G730">
        <v>24</v>
      </c>
      <c r="H730" t="s">
        <v>60</v>
      </c>
      <c r="I730">
        <v>11</v>
      </c>
      <c r="J730">
        <v>12</v>
      </c>
      <c r="K730">
        <v>2</v>
      </c>
      <c r="L730">
        <f t="shared" si="77"/>
        <v>1</v>
      </c>
      <c r="P730">
        <f t="shared" si="78"/>
        <v>1</v>
      </c>
      <c r="Q730">
        <f t="shared" si="79"/>
        <v>1</v>
      </c>
      <c r="R730">
        <f t="shared" si="80"/>
        <v>0</v>
      </c>
      <c r="S730">
        <f t="shared" si="81"/>
        <v>2</v>
      </c>
      <c r="T730" t="str">
        <f t="shared" si="82"/>
        <v>DerivedFromCount</v>
      </c>
      <c r="U730" t="str">
        <f>IF(COUNTIF(DailyProduction!$Q$5:$Q$100,B730)=1,"OK","CHECK")</f>
        <v>OK</v>
      </c>
      <c r="V730" t="str">
        <f t="shared" si="83"/>
        <v>OK</v>
      </c>
      <c r="W730" t="str">
        <f>IF(SUMIF($B$5:$B$914,B730,$S$5:$S$914)=SUMIF(DailyProduction!$Q$5:$Q$100,B730,DailyProduction!$R$5:$R$100),"OK","CHECK")</f>
        <v>OK</v>
      </c>
    </row>
    <row r="731" spans="1:23">
      <c r="A731" t="s">
        <v>1178</v>
      </c>
      <c r="B731" t="s">
        <v>1167</v>
      </c>
      <c r="C731" t="s">
        <v>30</v>
      </c>
      <c r="D731" s="7">
        <v>45956</v>
      </c>
      <c r="E731" t="s">
        <v>79</v>
      </c>
      <c r="F731" t="s">
        <v>32</v>
      </c>
      <c r="G731">
        <v>24</v>
      </c>
      <c r="H731" t="s">
        <v>60</v>
      </c>
      <c r="I731">
        <v>12</v>
      </c>
      <c r="J731">
        <v>12</v>
      </c>
      <c r="K731">
        <v>2</v>
      </c>
      <c r="L731">
        <f t="shared" si="77"/>
        <v>1</v>
      </c>
      <c r="P731">
        <f t="shared" si="78"/>
        <v>1</v>
      </c>
      <c r="Q731">
        <f t="shared" si="79"/>
        <v>1</v>
      </c>
      <c r="R731">
        <f t="shared" si="80"/>
        <v>0</v>
      </c>
      <c r="S731">
        <f t="shared" si="81"/>
        <v>2</v>
      </c>
      <c r="T731" t="str">
        <f t="shared" si="82"/>
        <v>DerivedFromCount</v>
      </c>
      <c r="U731" t="str">
        <f>IF(COUNTIF(DailyProduction!$Q$5:$Q$100,B731)=1,"OK","CHECK")</f>
        <v>OK</v>
      </c>
      <c r="V731" t="str">
        <f t="shared" si="83"/>
        <v>OK</v>
      </c>
      <c r="W731" t="str">
        <f>IF(SUMIF($B$5:$B$914,B731,$S$5:$S$914)=SUMIF(DailyProduction!$Q$5:$Q$100,B731,DailyProduction!$R$5:$R$100),"OK","CHECK")</f>
        <v>OK</v>
      </c>
    </row>
    <row r="732" spans="1:23">
      <c r="A732" t="s">
        <v>1179</v>
      </c>
      <c r="B732" t="s">
        <v>1167</v>
      </c>
      <c r="C732" t="s">
        <v>30</v>
      </c>
      <c r="D732" s="7">
        <v>45956</v>
      </c>
      <c r="E732" t="s">
        <v>79</v>
      </c>
      <c r="F732" t="s">
        <v>32</v>
      </c>
      <c r="G732">
        <v>24</v>
      </c>
      <c r="H732" t="s">
        <v>60</v>
      </c>
      <c r="I732">
        <v>13</v>
      </c>
      <c r="J732">
        <v>12</v>
      </c>
      <c r="K732">
        <v>2</v>
      </c>
      <c r="L732">
        <f t="shared" si="77"/>
        <v>0</v>
      </c>
      <c r="P732">
        <f t="shared" si="78"/>
        <v>0</v>
      </c>
      <c r="Q732">
        <f t="shared" si="79"/>
        <v>0</v>
      </c>
      <c r="R732">
        <f t="shared" si="80"/>
        <v>0</v>
      </c>
      <c r="S732">
        <f t="shared" si="81"/>
        <v>0</v>
      </c>
      <c r="T732" t="str">
        <f t="shared" si="82"/>
        <v>DerivedFromCount</v>
      </c>
      <c r="U732" t="str">
        <f>IF(COUNTIF(DailyProduction!$Q$5:$Q$100,B732)=1,"OK","CHECK")</f>
        <v>OK</v>
      </c>
      <c r="V732" t="str">
        <f t="shared" si="83"/>
        <v>OK</v>
      </c>
      <c r="W732" t="str">
        <f>IF(SUMIF($B$5:$B$914,B732,$S$5:$S$914)=SUMIF(DailyProduction!$Q$5:$Q$100,B732,DailyProduction!$R$5:$R$100),"OK","CHECK")</f>
        <v>OK</v>
      </c>
    </row>
    <row r="733" spans="1:23">
      <c r="A733" t="s">
        <v>1180</v>
      </c>
      <c r="B733" t="s">
        <v>1181</v>
      </c>
      <c r="C733" t="s">
        <v>30</v>
      </c>
      <c r="D733" s="7">
        <v>45950</v>
      </c>
      <c r="E733" t="s">
        <v>31</v>
      </c>
      <c r="F733" t="s">
        <v>41</v>
      </c>
      <c r="G733">
        <v>25</v>
      </c>
      <c r="H733" t="s">
        <v>62</v>
      </c>
      <c r="I733">
        <v>1</v>
      </c>
      <c r="J733">
        <v>8</v>
      </c>
      <c r="K733">
        <v>2</v>
      </c>
      <c r="L733">
        <f t="shared" si="77"/>
        <v>1</v>
      </c>
      <c r="P733">
        <f t="shared" si="78"/>
        <v>1</v>
      </c>
      <c r="Q733">
        <f t="shared" si="79"/>
        <v>1</v>
      </c>
      <c r="R733">
        <f t="shared" si="80"/>
        <v>0</v>
      </c>
      <c r="S733">
        <f t="shared" si="81"/>
        <v>2</v>
      </c>
      <c r="T733" t="str">
        <f t="shared" si="82"/>
        <v>DerivedFromCount</v>
      </c>
      <c r="U733" t="str">
        <f>IF(COUNTIF(DailyProduction!$Q$5:$Q$100,B733)=1,"OK","CHECK")</f>
        <v>OK</v>
      </c>
      <c r="V733" t="str">
        <f t="shared" si="83"/>
        <v>OK</v>
      </c>
      <c r="W733" t="str">
        <f>IF(SUMIF($B$5:$B$914,B733,$S$5:$S$914)=SUMIF(DailyProduction!$Q$5:$Q$100,B733,DailyProduction!$R$5:$R$100),"OK","CHECK")</f>
        <v>OK</v>
      </c>
    </row>
    <row r="734" spans="1:23">
      <c r="A734" t="s">
        <v>1182</v>
      </c>
      <c r="B734" t="s">
        <v>1181</v>
      </c>
      <c r="C734" t="s">
        <v>30</v>
      </c>
      <c r="D734" s="7">
        <v>45950</v>
      </c>
      <c r="E734" t="s">
        <v>31</v>
      </c>
      <c r="F734" t="s">
        <v>41</v>
      </c>
      <c r="G734">
        <v>25</v>
      </c>
      <c r="H734" t="s">
        <v>62</v>
      </c>
      <c r="I734">
        <v>2</v>
      </c>
      <c r="J734">
        <v>8</v>
      </c>
      <c r="K734">
        <v>2</v>
      </c>
      <c r="L734">
        <f t="shared" si="77"/>
        <v>1</v>
      </c>
      <c r="P734">
        <f t="shared" si="78"/>
        <v>1</v>
      </c>
      <c r="Q734">
        <f t="shared" si="79"/>
        <v>1</v>
      </c>
      <c r="R734">
        <f t="shared" si="80"/>
        <v>0</v>
      </c>
      <c r="S734">
        <f t="shared" si="81"/>
        <v>2</v>
      </c>
      <c r="T734" t="str">
        <f t="shared" si="82"/>
        <v>DerivedFromCount</v>
      </c>
      <c r="U734" t="str">
        <f>IF(COUNTIF(DailyProduction!$Q$5:$Q$100,B734)=1,"OK","CHECK")</f>
        <v>OK</v>
      </c>
      <c r="V734" t="str">
        <f t="shared" si="83"/>
        <v>OK</v>
      </c>
      <c r="W734" t="str">
        <f>IF(SUMIF($B$5:$B$914,B734,$S$5:$S$914)=SUMIF(DailyProduction!$Q$5:$Q$100,B734,DailyProduction!$R$5:$R$100),"OK","CHECK")</f>
        <v>OK</v>
      </c>
    </row>
    <row r="735" spans="1:23">
      <c r="A735" t="s">
        <v>1183</v>
      </c>
      <c r="B735" t="s">
        <v>1181</v>
      </c>
      <c r="C735" t="s">
        <v>30</v>
      </c>
      <c r="D735" s="7">
        <v>45950</v>
      </c>
      <c r="E735" t="s">
        <v>31</v>
      </c>
      <c r="F735" t="s">
        <v>41</v>
      </c>
      <c r="G735">
        <v>25</v>
      </c>
      <c r="H735" t="s">
        <v>62</v>
      </c>
      <c r="I735">
        <v>3</v>
      </c>
      <c r="J735">
        <v>8</v>
      </c>
      <c r="K735">
        <v>2</v>
      </c>
      <c r="L735">
        <f t="shared" si="77"/>
        <v>1</v>
      </c>
      <c r="P735">
        <f t="shared" si="78"/>
        <v>1</v>
      </c>
      <c r="Q735">
        <f t="shared" si="79"/>
        <v>1</v>
      </c>
      <c r="R735">
        <f t="shared" si="80"/>
        <v>0</v>
      </c>
      <c r="S735">
        <f t="shared" si="81"/>
        <v>2</v>
      </c>
      <c r="T735" t="str">
        <f t="shared" si="82"/>
        <v>DerivedFromCount</v>
      </c>
      <c r="U735" t="str">
        <f>IF(COUNTIF(DailyProduction!$Q$5:$Q$100,B735)=1,"OK","CHECK")</f>
        <v>OK</v>
      </c>
      <c r="V735" t="str">
        <f t="shared" si="83"/>
        <v>OK</v>
      </c>
      <c r="W735" t="str">
        <f>IF(SUMIF($B$5:$B$914,B735,$S$5:$S$914)=SUMIF(DailyProduction!$Q$5:$Q$100,B735,DailyProduction!$R$5:$R$100),"OK","CHECK")</f>
        <v>OK</v>
      </c>
    </row>
    <row r="736" spans="1:23">
      <c r="A736" t="s">
        <v>1184</v>
      </c>
      <c r="B736" t="s">
        <v>1181</v>
      </c>
      <c r="C736" t="s">
        <v>30</v>
      </c>
      <c r="D736" s="7">
        <v>45950</v>
      </c>
      <c r="E736" t="s">
        <v>31</v>
      </c>
      <c r="F736" t="s">
        <v>41</v>
      </c>
      <c r="G736">
        <v>25</v>
      </c>
      <c r="H736" t="s">
        <v>62</v>
      </c>
      <c r="I736">
        <v>4</v>
      </c>
      <c r="J736">
        <v>8</v>
      </c>
      <c r="K736">
        <v>2</v>
      </c>
      <c r="L736">
        <f t="shared" si="77"/>
        <v>1</v>
      </c>
      <c r="P736">
        <f t="shared" si="78"/>
        <v>1</v>
      </c>
      <c r="Q736">
        <f t="shared" si="79"/>
        <v>1</v>
      </c>
      <c r="R736">
        <f t="shared" si="80"/>
        <v>0</v>
      </c>
      <c r="S736">
        <f t="shared" si="81"/>
        <v>2</v>
      </c>
      <c r="T736" t="str">
        <f t="shared" si="82"/>
        <v>DerivedFromCount</v>
      </c>
      <c r="U736" t="str">
        <f>IF(COUNTIF(DailyProduction!$Q$5:$Q$100,B736)=1,"OK","CHECK")</f>
        <v>OK</v>
      </c>
      <c r="V736" t="str">
        <f t="shared" si="83"/>
        <v>OK</v>
      </c>
      <c r="W736" t="str">
        <f>IF(SUMIF($B$5:$B$914,B736,$S$5:$S$914)=SUMIF(DailyProduction!$Q$5:$Q$100,B736,DailyProduction!$R$5:$R$100),"OK","CHECK")</f>
        <v>OK</v>
      </c>
    </row>
    <row r="737" spans="1:23">
      <c r="A737" t="s">
        <v>1185</v>
      </c>
      <c r="B737" t="s">
        <v>1181</v>
      </c>
      <c r="C737" t="s">
        <v>30</v>
      </c>
      <c r="D737" s="7">
        <v>45950</v>
      </c>
      <c r="E737" t="s">
        <v>31</v>
      </c>
      <c r="F737" t="s">
        <v>41</v>
      </c>
      <c r="G737">
        <v>25</v>
      </c>
      <c r="H737" t="s">
        <v>62</v>
      </c>
      <c r="I737">
        <v>5</v>
      </c>
      <c r="J737">
        <v>8</v>
      </c>
      <c r="K737">
        <v>2</v>
      </c>
      <c r="L737">
        <f t="shared" si="77"/>
        <v>1</v>
      </c>
      <c r="P737">
        <f t="shared" si="78"/>
        <v>1</v>
      </c>
      <c r="Q737">
        <f t="shared" si="79"/>
        <v>1</v>
      </c>
      <c r="R737">
        <f t="shared" si="80"/>
        <v>0</v>
      </c>
      <c r="S737">
        <f t="shared" si="81"/>
        <v>2</v>
      </c>
      <c r="T737" t="str">
        <f t="shared" si="82"/>
        <v>DerivedFromCount</v>
      </c>
      <c r="U737" t="str">
        <f>IF(COUNTIF(DailyProduction!$Q$5:$Q$100,B737)=1,"OK","CHECK")</f>
        <v>OK</v>
      </c>
      <c r="V737" t="str">
        <f t="shared" si="83"/>
        <v>OK</v>
      </c>
      <c r="W737" t="str">
        <f>IF(SUMIF($B$5:$B$914,B737,$S$5:$S$914)=SUMIF(DailyProduction!$Q$5:$Q$100,B737,DailyProduction!$R$5:$R$100),"OK","CHECK")</f>
        <v>OK</v>
      </c>
    </row>
    <row r="738" spans="1:23">
      <c r="A738" t="s">
        <v>1186</v>
      </c>
      <c r="B738" t="s">
        <v>1181</v>
      </c>
      <c r="C738" t="s">
        <v>30</v>
      </c>
      <c r="D738" s="7">
        <v>45950</v>
      </c>
      <c r="E738" t="s">
        <v>31</v>
      </c>
      <c r="F738" t="s">
        <v>41</v>
      </c>
      <c r="G738">
        <v>25</v>
      </c>
      <c r="H738" t="s">
        <v>62</v>
      </c>
      <c r="I738">
        <v>6</v>
      </c>
      <c r="J738">
        <v>8</v>
      </c>
      <c r="K738">
        <v>2</v>
      </c>
      <c r="L738">
        <f t="shared" si="77"/>
        <v>1</v>
      </c>
      <c r="P738">
        <f t="shared" si="78"/>
        <v>1</v>
      </c>
      <c r="Q738">
        <f t="shared" si="79"/>
        <v>1</v>
      </c>
      <c r="R738">
        <f t="shared" si="80"/>
        <v>0</v>
      </c>
      <c r="S738">
        <f t="shared" si="81"/>
        <v>2</v>
      </c>
      <c r="T738" t="str">
        <f t="shared" si="82"/>
        <v>DerivedFromCount</v>
      </c>
      <c r="U738" t="str">
        <f>IF(COUNTIF(DailyProduction!$Q$5:$Q$100,B738)=1,"OK","CHECK")</f>
        <v>OK</v>
      </c>
      <c r="V738" t="str">
        <f t="shared" si="83"/>
        <v>OK</v>
      </c>
      <c r="W738" t="str">
        <f>IF(SUMIF($B$5:$B$914,B738,$S$5:$S$914)=SUMIF(DailyProduction!$Q$5:$Q$100,B738,DailyProduction!$R$5:$R$100),"OK","CHECK")</f>
        <v>OK</v>
      </c>
    </row>
    <row r="739" spans="1:23">
      <c r="A739" t="s">
        <v>1187</v>
      </c>
      <c r="B739" t="s">
        <v>1181</v>
      </c>
      <c r="C739" t="s">
        <v>30</v>
      </c>
      <c r="D739" s="7">
        <v>45950</v>
      </c>
      <c r="E739" t="s">
        <v>31</v>
      </c>
      <c r="F739" t="s">
        <v>41</v>
      </c>
      <c r="G739">
        <v>25</v>
      </c>
      <c r="H739" t="s">
        <v>62</v>
      </c>
      <c r="I739">
        <v>7</v>
      </c>
      <c r="J739">
        <v>8</v>
      </c>
      <c r="K739">
        <v>2</v>
      </c>
      <c r="L739">
        <f t="shared" si="77"/>
        <v>1</v>
      </c>
      <c r="P739">
        <f t="shared" si="78"/>
        <v>1</v>
      </c>
      <c r="Q739">
        <f t="shared" si="79"/>
        <v>1</v>
      </c>
      <c r="R739">
        <f t="shared" si="80"/>
        <v>0</v>
      </c>
      <c r="S739">
        <f t="shared" si="81"/>
        <v>2</v>
      </c>
      <c r="T739" t="str">
        <f t="shared" si="82"/>
        <v>DerivedFromCount</v>
      </c>
      <c r="U739" t="str">
        <f>IF(COUNTIF(DailyProduction!$Q$5:$Q$100,B739)=1,"OK","CHECK")</f>
        <v>OK</v>
      </c>
      <c r="V739" t="str">
        <f t="shared" si="83"/>
        <v>OK</v>
      </c>
      <c r="W739" t="str">
        <f>IF(SUMIF($B$5:$B$914,B739,$S$5:$S$914)=SUMIF(DailyProduction!$Q$5:$Q$100,B739,DailyProduction!$R$5:$R$100),"OK","CHECK")</f>
        <v>OK</v>
      </c>
    </row>
    <row r="740" spans="1:23">
      <c r="A740" t="s">
        <v>1188</v>
      </c>
      <c r="B740" t="s">
        <v>1181</v>
      </c>
      <c r="C740" t="s">
        <v>30</v>
      </c>
      <c r="D740" s="7">
        <v>45950</v>
      </c>
      <c r="E740" t="s">
        <v>31</v>
      </c>
      <c r="F740" t="s">
        <v>41</v>
      </c>
      <c r="G740">
        <v>25</v>
      </c>
      <c r="H740" t="s">
        <v>62</v>
      </c>
      <c r="I740">
        <v>8</v>
      </c>
      <c r="J740">
        <v>8</v>
      </c>
      <c r="K740">
        <v>2</v>
      </c>
      <c r="L740">
        <f t="shared" si="77"/>
        <v>1</v>
      </c>
      <c r="P740">
        <f t="shared" si="78"/>
        <v>1</v>
      </c>
      <c r="Q740">
        <f t="shared" si="79"/>
        <v>1</v>
      </c>
      <c r="R740">
        <f t="shared" si="80"/>
        <v>0</v>
      </c>
      <c r="S740">
        <f t="shared" si="81"/>
        <v>2</v>
      </c>
      <c r="T740" t="str">
        <f t="shared" si="82"/>
        <v>DerivedFromCount</v>
      </c>
      <c r="U740" t="str">
        <f>IF(COUNTIF(DailyProduction!$Q$5:$Q$100,B740)=1,"OK","CHECK")</f>
        <v>OK</v>
      </c>
      <c r="V740" t="str">
        <f t="shared" si="83"/>
        <v>OK</v>
      </c>
      <c r="W740" t="str">
        <f>IF(SUMIF($B$5:$B$914,B740,$S$5:$S$914)=SUMIF(DailyProduction!$Q$5:$Q$100,B740,DailyProduction!$R$5:$R$100),"OK","CHECK")</f>
        <v>OK</v>
      </c>
    </row>
    <row r="741" spans="1:23">
      <c r="A741" t="s">
        <v>1189</v>
      </c>
      <c r="B741" t="s">
        <v>1181</v>
      </c>
      <c r="C741" t="s">
        <v>30</v>
      </c>
      <c r="D741" s="7">
        <v>45950</v>
      </c>
      <c r="E741" t="s">
        <v>31</v>
      </c>
      <c r="F741" t="s">
        <v>41</v>
      </c>
      <c r="G741">
        <v>25</v>
      </c>
      <c r="H741" t="s">
        <v>62</v>
      </c>
      <c r="I741">
        <v>9</v>
      </c>
      <c r="J741">
        <v>8</v>
      </c>
      <c r="K741">
        <v>2</v>
      </c>
      <c r="L741">
        <f t="shared" si="77"/>
        <v>0</v>
      </c>
      <c r="P741">
        <f t="shared" si="78"/>
        <v>0</v>
      </c>
      <c r="Q741">
        <f t="shared" si="79"/>
        <v>0</v>
      </c>
      <c r="R741">
        <f t="shared" si="80"/>
        <v>0</v>
      </c>
      <c r="S741">
        <f t="shared" si="81"/>
        <v>0</v>
      </c>
      <c r="T741" t="str">
        <f t="shared" si="82"/>
        <v>DerivedFromCount</v>
      </c>
      <c r="U741" t="str">
        <f>IF(COUNTIF(DailyProduction!$Q$5:$Q$100,B741)=1,"OK","CHECK")</f>
        <v>OK</v>
      </c>
      <c r="V741" t="str">
        <f t="shared" si="83"/>
        <v>OK</v>
      </c>
      <c r="W741" t="str">
        <f>IF(SUMIF($B$5:$B$914,B741,$S$5:$S$914)=SUMIF(DailyProduction!$Q$5:$Q$100,B741,DailyProduction!$R$5:$R$100),"OK","CHECK")</f>
        <v>OK</v>
      </c>
    </row>
    <row r="742" spans="1:23">
      <c r="A742" t="s">
        <v>1190</v>
      </c>
      <c r="B742" t="s">
        <v>1181</v>
      </c>
      <c r="C742" t="s">
        <v>30</v>
      </c>
      <c r="D742" s="7">
        <v>45950</v>
      </c>
      <c r="E742" t="s">
        <v>31</v>
      </c>
      <c r="F742" t="s">
        <v>41</v>
      </c>
      <c r="G742">
        <v>25</v>
      </c>
      <c r="H742" t="s">
        <v>62</v>
      </c>
      <c r="I742">
        <v>10</v>
      </c>
      <c r="J742">
        <v>8</v>
      </c>
      <c r="K742">
        <v>2</v>
      </c>
      <c r="L742">
        <f t="shared" si="77"/>
        <v>0</v>
      </c>
      <c r="P742">
        <f t="shared" si="78"/>
        <v>0</v>
      </c>
      <c r="Q742">
        <f t="shared" si="79"/>
        <v>0</v>
      </c>
      <c r="R742">
        <f t="shared" si="80"/>
        <v>0</v>
      </c>
      <c r="S742">
        <f t="shared" si="81"/>
        <v>0</v>
      </c>
      <c r="T742" t="str">
        <f t="shared" si="82"/>
        <v>DerivedFromCount</v>
      </c>
      <c r="U742" t="str">
        <f>IF(COUNTIF(DailyProduction!$Q$5:$Q$100,B742)=1,"OK","CHECK")</f>
        <v>OK</v>
      </c>
      <c r="V742" t="str">
        <f t="shared" si="83"/>
        <v>OK</v>
      </c>
      <c r="W742" t="str">
        <f>IF(SUMIF($B$5:$B$914,B742,$S$5:$S$914)=SUMIF(DailyProduction!$Q$5:$Q$100,B742,DailyProduction!$R$5:$R$100),"OK","CHECK")</f>
        <v>OK</v>
      </c>
    </row>
    <row r="743" spans="1:23">
      <c r="A743" t="s">
        <v>1191</v>
      </c>
      <c r="B743" t="s">
        <v>1181</v>
      </c>
      <c r="C743" t="s">
        <v>30</v>
      </c>
      <c r="D743" s="7">
        <v>45950</v>
      </c>
      <c r="E743" t="s">
        <v>31</v>
      </c>
      <c r="F743" t="s">
        <v>41</v>
      </c>
      <c r="G743">
        <v>25</v>
      </c>
      <c r="H743" t="s">
        <v>62</v>
      </c>
      <c r="I743">
        <v>11</v>
      </c>
      <c r="J743">
        <v>8</v>
      </c>
      <c r="K743">
        <v>2</v>
      </c>
      <c r="L743">
        <f t="shared" si="77"/>
        <v>0</v>
      </c>
      <c r="P743">
        <f t="shared" si="78"/>
        <v>0</v>
      </c>
      <c r="Q743">
        <f t="shared" si="79"/>
        <v>0</v>
      </c>
      <c r="R743">
        <f t="shared" si="80"/>
        <v>0</v>
      </c>
      <c r="S743">
        <f t="shared" si="81"/>
        <v>0</v>
      </c>
      <c r="T743" t="str">
        <f t="shared" si="82"/>
        <v>DerivedFromCount</v>
      </c>
      <c r="U743" t="str">
        <f>IF(COUNTIF(DailyProduction!$Q$5:$Q$100,B743)=1,"OK","CHECK")</f>
        <v>OK</v>
      </c>
      <c r="V743" t="str">
        <f t="shared" si="83"/>
        <v>OK</v>
      </c>
      <c r="W743" t="str">
        <f>IF(SUMIF($B$5:$B$914,B743,$S$5:$S$914)=SUMIF(DailyProduction!$Q$5:$Q$100,B743,DailyProduction!$R$5:$R$100),"OK","CHECK")</f>
        <v>OK</v>
      </c>
    </row>
    <row r="744" spans="1:23">
      <c r="A744" t="s">
        <v>1192</v>
      </c>
      <c r="B744" t="s">
        <v>1181</v>
      </c>
      <c r="C744" t="s">
        <v>30</v>
      </c>
      <c r="D744" s="7">
        <v>45950</v>
      </c>
      <c r="E744" t="s">
        <v>31</v>
      </c>
      <c r="F744" t="s">
        <v>41</v>
      </c>
      <c r="G744">
        <v>25</v>
      </c>
      <c r="H744" t="s">
        <v>62</v>
      </c>
      <c r="I744">
        <v>12</v>
      </c>
      <c r="J744">
        <v>8</v>
      </c>
      <c r="K744">
        <v>2</v>
      </c>
      <c r="L744">
        <f t="shared" si="77"/>
        <v>0</v>
      </c>
      <c r="P744">
        <f t="shared" si="78"/>
        <v>0</v>
      </c>
      <c r="Q744">
        <f t="shared" si="79"/>
        <v>0</v>
      </c>
      <c r="R744">
        <f t="shared" si="80"/>
        <v>0</v>
      </c>
      <c r="S744">
        <f t="shared" si="81"/>
        <v>0</v>
      </c>
      <c r="T744" t="str">
        <f t="shared" si="82"/>
        <v>DerivedFromCount</v>
      </c>
      <c r="U744" t="str">
        <f>IF(COUNTIF(DailyProduction!$Q$5:$Q$100,B744)=1,"OK","CHECK")</f>
        <v>OK</v>
      </c>
      <c r="V744" t="str">
        <f t="shared" si="83"/>
        <v>OK</v>
      </c>
      <c r="W744" t="str">
        <f>IF(SUMIF($B$5:$B$914,B744,$S$5:$S$914)=SUMIF(DailyProduction!$Q$5:$Q$100,B744,DailyProduction!$R$5:$R$100),"OK","CHECK")</f>
        <v>OK</v>
      </c>
    </row>
    <row r="745" spans="1:23">
      <c r="A745" t="s">
        <v>1193</v>
      </c>
      <c r="B745" t="s">
        <v>1181</v>
      </c>
      <c r="C745" t="s">
        <v>30</v>
      </c>
      <c r="D745" s="7">
        <v>45950</v>
      </c>
      <c r="E745" t="s">
        <v>31</v>
      </c>
      <c r="F745" t="s">
        <v>41</v>
      </c>
      <c r="G745">
        <v>25</v>
      </c>
      <c r="H745" t="s">
        <v>62</v>
      </c>
      <c r="I745">
        <v>13</v>
      </c>
      <c r="J745">
        <v>8</v>
      </c>
      <c r="K745">
        <v>2</v>
      </c>
      <c r="L745">
        <f t="shared" si="77"/>
        <v>0</v>
      </c>
      <c r="P745">
        <f t="shared" si="78"/>
        <v>0</v>
      </c>
      <c r="Q745">
        <f t="shared" si="79"/>
        <v>0</v>
      </c>
      <c r="R745">
        <f t="shared" si="80"/>
        <v>0</v>
      </c>
      <c r="S745">
        <f t="shared" si="81"/>
        <v>0</v>
      </c>
      <c r="T745" t="str">
        <f t="shared" si="82"/>
        <v>DerivedFromCount</v>
      </c>
      <c r="U745" t="str">
        <f>IF(COUNTIF(DailyProduction!$Q$5:$Q$100,B745)=1,"OK","CHECK")</f>
        <v>OK</v>
      </c>
      <c r="V745" t="str">
        <f t="shared" si="83"/>
        <v>OK</v>
      </c>
      <c r="W745" t="str">
        <f>IF(SUMIF($B$5:$B$914,B745,$S$5:$S$914)=SUMIF(DailyProduction!$Q$5:$Q$100,B745,DailyProduction!$R$5:$R$100),"OK","CHECK")</f>
        <v>OK</v>
      </c>
    </row>
    <row r="746" spans="1:23">
      <c r="A746" t="s">
        <v>1194</v>
      </c>
      <c r="B746" t="s">
        <v>1195</v>
      </c>
      <c r="C746" t="s">
        <v>30</v>
      </c>
      <c r="D746" s="7">
        <v>45950</v>
      </c>
      <c r="E746" t="s">
        <v>79</v>
      </c>
      <c r="F746" t="s">
        <v>32</v>
      </c>
      <c r="G746">
        <v>25</v>
      </c>
      <c r="H746" t="s">
        <v>62</v>
      </c>
      <c r="I746">
        <v>1</v>
      </c>
      <c r="J746">
        <v>8</v>
      </c>
      <c r="K746">
        <v>2</v>
      </c>
      <c r="L746">
        <f t="shared" si="77"/>
        <v>1</v>
      </c>
      <c r="P746">
        <f t="shared" si="78"/>
        <v>1</v>
      </c>
      <c r="Q746">
        <f t="shared" si="79"/>
        <v>1</v>
      </c>
      <c r="R746">
        <f t="shared" si="80"/>
        <v>0</v>
      </c>
      <c r="S746">
        <f t="shared" si="81"/>
        <v>2</v>
      </c>
      <c r="T746" t="str">
        <f t="shared" si="82"/>
        <v>DerivedFromCount</v>
      </c>
      <c r="U746" t="str">
        <f>IF(COUNTIF(DailyProduction!$Q$5:$Q$100,B746)=1,"OK","CHECK")</f>
        <v>OK</v>
      </c>
      <c r="V746" t="str">
        <f t="shared" si="83"/>
        <v>OK</v>
      </c>
      <c r="W746" t="str">
        <f>IF(SUMIF($B$5:$B$914,B746,$S$5:$S$914)=SUMIF(DailyProduction!$Q$5:$Q$100,B746,DailyProduction!$R$5:$R$100),"OK","CHECK")</f>
        <v>OK</v>
      </c>
    </row>
    <row r="747" spans="1:23">
      <c r="A747" t="s">
        <v>1196</v>
      </c>
      <c r="B747" t="s">
        <v>1195</v>
      </c>
      <c r="C747" t="s">
        <v>30</v>
      </c>
      <c r="D747" s="7">
        <v>45950</v>
      </c>
      <c r="E747" t="s">
        <v>79</v>
      </c>
      <c r="F747" t="s">
        <v>32</v>
      </c>
      <c r="G747">
        <v>25</v>
      </c>
      <c r="H747" t="s">
        <v>62</v>
      </c>
      <c r="I747">
        <v>2</v>
      </c>
      <c r="J747">
        <v>8</v>
      </c>
      <c r="K747">
        <v>2</v>
      </c>
      <c r="L747">
        <f t="shared" si="77"/>
        <v>1</v>
      </c>
      <c r="P747">
        <f t="shared" si="78"/>
        <v>1</v>
      </c>
      <c r="Q747">
        <f t="shared" si="79"/>
        <v>1</v>
      </c>
      <c r="R747">
        <f t="shared" si="80"/>
        <v>0</v>
      </c>
      <c r="S747">
        <f t="shared" si="81"/>
        <v>2</v>
      </c>
      <c r="T747" t="str">
        <f t="shared" si="82"/>
        <v>DerivedFromCount</v>
      </c>
      <c r="U747" t="str">
        <f>IF(COUNTIF(DailyProduction!$Q$5:$Q$100,B747)=1,"OK","CHECK")</f>
        <v>OK</v>
      </c>
      <c r="V747" t="str">
        <f t="shared" si="83"/>
        <v>OK</v>
      </c>
      <c r="W747" t="str">
        <f>IF(SUMIF($B$5:$B$914,B747,$S$5:$S$914)=SUMIF(DailyProduction!$Q$5:$Q$100,B747,DailyProduction!$R$5:$R$100),"OK","CHECK")</f>
        <v>OK</v>
      </c>
    </row>
    <row r="748" spans="1:23">
      <c r="A748" t="s">
        <v>1197</v>
      </c>
      <c r="B748" t="s">
        <v>1195</v>
      </c>
      <c r="C748" t="s">
        <v>30</v>
      </c>
      <c r="D748" s="7">
        <v>45950</v>
      </c>
      <c r="E748" t="s">
        <v>79</v>
      </c>
      <c r="F748" t="s">
        <v>32</v>
      </c>
      <c r="G748">
        <v>25</v>
      </c>
      <c r="H748" t="s">
        <v>62</v>
      </c>
      <c r="I748">
        <v>3</v>
      </c>
      <c r="J748">
        <v>8</v>
      </c>
      <c r="K748">
        <v>2</v>
      </c>
      <c r="L748">
        <f t="shared" si="77"/>
        <v>1</v>
      </c>
      <c r="P748">
        <f t="shared" si="78"/>
        <v>1</v>
      </c>
      <c r="Q748">
        <f t="shared" si="79"/>
        <v>1</v>
      </c>
      <c r="R748">
        <f t="shared" si="80"/>
        <v>0</v>
      </c>
      <c r="S748">
        <f t="shared" si="81"/>
        <v>2</v>
      </c>
      <c r="T748" t="str">
        <f t="shared" si="82"/>
        <v>DerivedFromCount</v>
      </c>
      <c r="U748" t="str">
        <f>IF(COUNTIF(DailyProduction!$Q$5:$Q$100,B748)=1,"OK","CHECK")</f>
        <v>OK</v>
      </c>
      <c r="V748" t="str">
        <f t="shared" si="83"/>
        <v>OK</v>
      </c>
      <c r="W748" t="str">
        <f>IF(SUMIF($B$5:$B$914,B748,$S$5:$S$914)=SUMIF(DailyProduction!$Q$5:$Q$100,B748,DailyProduction!$R$5:$R$100),"OK","CHECK")</f>
        <v>OK</v>
      </c>
    </row>
    <row r="749" spans="1:23">
      <c r="A749" t="s">
        <v>1198</v>
      </c>
      <c r="B749" t="s">
        <v>1195</v>
      </c>
      <c r="C749" t="s">
        <v>30</v>
      </c>
      <c r="D749" s="7">
        <v>45950</v>
      </c>
      <c r="E749" t="s">
        <v>79</v>
      </c>
      <c r="F749" t="s">
        <v>32</v>
      </c>
      <c r="G749">
        <v>25</v>
      </c>
      <c r="H749" t="s">
        <v>62</v>
      </c>
      <c r="I749">
        <v>4</v>
      </c>
      <c r="J749">
        <v>8</v>
      </c>
      <c r="K749">
        <v>2</v>
      </c>
      <c r="L749">
        <f t="shared" si="77"/>
        <v>1</v>
      </c>
      <c r="P749">
        <f t="shared" si="78"/>
        <v>1</v>
      </c>
      <c r="Q749">
        <f t="shared" si="79"/>
        <v>1</v>
      </c>
      <c r="R749">
        <f t="shared" si="80"/>
        <v>0</v>
      </c>
      <c r="S749">
        <f t="shared" si="81"/>
        <v>2</v>
      </c>
      <c r="T749" t="str">
        <f t="shared" si="82"/>
        <v>DerivedFromCount</v>
      </c>
      <c r="U749" t="str">
        <f>IF(COUNTIF(DailyProduction!$Q$5:$Q$100,B749)=1,"OK","CHECK")</f>
        <v>OK</v>
      </c>
      <c r="V749" t="str">
        <f t="shared" si="83"/>
        <v>OK</v>
      </c>
      <c r="W749" t="str">
        <f>IF(SUMIF($B$5:$B$914,B749,$S$5:$S$914)=SUMIF(DailyProduction!$Q$5:$Q$100,B749,DailyProduction!$R$5:$R$100),"OK","CHECK")</f>
        <v>OK</v>
      </c>
    </row>
    <row r="750" spans="1:23">
      <c r="A750" t="s">
        <v>1199</v>
      </c>
      <c r="B750" t="s">
        <v>1195</v>
      </c>
      <c r="C750" t="s">
        <v>30</v>
      </c>
      <c r="D750" s="7">
        <v>45950</v>
      </c>
      <c r="E750" t="s">
        <v>79</v>
      </c>
      <c r="F750" t="s">
        <v>32</v>
      </c>
      <c r="G750">
        <v>25</v>
      </c>
      <c r="H750" t="s">
        <v>62</v>
      </c>
      <c r="I750">
        <v>5</v>
      </c>
      <c r="J750">
        <v>8</v>
      </c>
      <c r="K750">
        <v>2</v>
      </c>
      <c r="L750">
        <f t="shared" si="77"/>
        <v>1</v>
      </c>
      <c r="P750">
        <f t="shared" si="78"/>
        <v>1</v>
      </c>
      <c r="Q750">
        <f t="shared" si="79"/>
        <v>1</v>
      </c>
      <c r="R750">
        <f t="shared" si="80"/>
        <v>0</v>
      </c>
      <c r="S750">
        <f t="shared" si="81"/>
        <v>2</v>
      </c>
      <c r="T750" t="str">
        <f t="shared" si="82"/>
        <v>DerivedFromCount</v>
      </c>
      <c r="U750" t="str">
        <f>IF(COUNTIF(DailyProduction!$Q$5:$Q$100,B750)=1,"OK","CHECK")</f>
        <v>OK</v>
      </c>
      <c r="V750" t="str">
        <f t="shared" si="83"/>
        <v>OK</v>
      </c>
      <c r="W750" t="str">
        <f>IF(SUMIF($B$5:$B$914,B750,$S$5:$S$914)=SUMIF(DailyProduction!$Q$5:$Q$100,B750,DailyProduction!$R$5:$R$100),"OK","CHECK")</f>
        <v>OK</v>
      </c>
    </row>
    <row r="751" spans="1:23">
      <c r="A751" t="s">
        <v>1200</v>
      </c>
      <c r="B751" t="s">
        <v>1195</v>
      </c>
      <c r="C751" t="s">
        <v>30</v>
      </c>
      <c r="D751" s="7">
        <v>45950</v>
      </c>
      <c r="E751" t="s">
        <v>79</v>
      </c>
      <c r="F751" t="s">
        <v>32</v>
      </c>
      <c r="G751">
        <v>25</v>
      </c>
      <c r="H751" t="s">
        <v>62</v>
      </c>
      <c r="I751">
        <v>6</v>
      </c>
      <c r="J751">
        <v>8</v>
      </c>
      <c r="K751">
        <v>2</v>
      </c>
      <c r="L751">
        <f t="shared" si="77"/>
        <v>1</v>
      </c>
      <c r="P751">
        <f t="shared" si="78"/>
        <v>1</v>
      </c>
      <c r="Q751">
        <f t="shared" si="79"/>
        <v>1</v>
      </c>
      <c r="R751">
        <f t="shared" si="80"/>
        <v>0</v>
      </c>
      <c r="S751">
        <f t="shared" si="81"/>
        <v>2</v>
      </c>
      <c r="T751" t="str">
        <f t="shared" si="82"/>
        <v>DerivedFromCount</v>
      </c>
      <c r="U751" t="str">
        <f>IF(COUNTIF(DailyProduction!$Q$5:$Q$100,B751)=1,"OK","CHECK")</f>
        <v>OK</v>
      </c>
      <c r="V751" t="str">
        <f t="shared" si="83"/>
        <v>OK</v>
      </c>
      <c r="W751" t="str">
        <f>IF(SUMIF($B$5:$B$914,B751,$S$5:$S$914)=SUMIF(DailyProduction!$Q$5:$Q$100,B751,DailyProduction!$R$5:$R$100),"OK","CHECK")</f>
        <v>OK</v>
      </c>
    </row>
    <row r="752" spans="1:23">
      <c r="A752" t="s">
        <v>1201</v>
      </c>
      <c r="B752" t="s">
        <v>1195</v>
      </c>
      <c r="C752" t="s">
        <v>30</v>
      </c>
      <c r="D752" s="7">
        <v>45950</v>
      </c>
      <c r="E752" t="s">
        <v>79</v>
      </c>
      <c r="F752" t="s">
        <v>32</v>
      </c>
      <c r="G752">
        <v>25</v>
      </c>
      <c r="H752" t="s">
        <v>62</v>
      </c>
      <c r="I752">
        <v>7</v>
      </c>
      <c r="J752">
        <v>8</v>
      </c>
      <c r="K752">
        <v>2</v>
      </c>
      <c r="L752">
        <f t="shared" si="77"/>
        <v>1</v>
      </c>
      <c r="P752">
        <f t="shared" si="78"/>
        <v>1</v>
      </c>
      <c r="Q752">
        <f t="shared" si="79"/>
        <v>1</v>
      </c>
      <c r="R752">
        <f t="shared" si="80"/>
        <v>0</v>
      </c>
      <c r="S752">
        <f t="shared" si="81"/>
        <v>2</v>
      </c>
      <c r="T752" t="str">
        <f t="shared" si="82"/>
        <v>DerivedFromCount</v>
      </c>
      <c r="U752" t="str">
        <f>IF(COUNTIF(DailyProduction!$Q$5:$Q$100,B752)=1,"OK","CHECK")</f>
        <v>OK</v>
      </c>
      <c r="V752" t="str">
        <f t="shared" si="83"/>
        <v>OK</v>
      </c>
      <c r="W752" t="str">
        <f>IF(SUMIF($B$5:$B$914,B752,$S$5:$S$914)=SUMIF(DailyProduction!$Q$5:$Q$100,B752,DailyProduction!$R$5:$R$100),"OK","CHECK")</f>
        <v>OK</v>
      </c>
    </row>
    <row r="753" spans="1:23">
      <c r="A753" t="s">
        <v>1202</v>
      </c>
      <c r="B753" t="s">
        <v>1195</v>
      </c>
      <c r="C753" t="s">
        <v>30</v>
      </c>
      <c r="D753" s="7">
        <v>45950</v>
      </c>
      <c r="E753" t="s">
        <v>79</v>
      </c>
      <c r="F753" t="s">
        <v>32</v>
      </c>
      <c r="G753">
        <v>25</v>
      </c>
      <c r="H753" t="s">
        <v>62</v>
      </c>
      <c r="I753">
        <v>8</v>
      </c>
      <c r="J753">
        <v>8</v>
      </c>
      <c r="K753">
        <v>2</v>
      </c>
      <c r="L753">
        <f t="shared" si="77"/>
        <v>1</v>
      </c>
      <c r="P753">
        <f t="shared" si="78"/>
        <v>1</v>
      </c>
      <c r="Q753">
        <f t="shared" si="79"/>
        <v>1</v>
      </c>
      <c r="R753">
        <f t="shared" si="80"/>
        <v>0</v>
      </c>
      <c r="S753">
        <f t="shared" si="81"/>
        <v>2</v>
      </c>
      <c r="T753" t="str">
        <f t="shared" si="82"/>
        <v>DerivedFromCount</v>
      </c>
      <c r="U753" t="str">
        <f>IF(COUNTIF(DailyProduction!$Q$5:$Q$100,B753)=1,"OK","CHECK")</f>
        <v>OK</v>
      </c>
      <c r="V753" t="str">
        <f t="shared" si="83"/>
        <v>OK</v>
      </c>
      <c r="W753" t="str">
        <f>IF(SUMIF($B$5:$B$914,B753,$S$5:$S$914)=SUMIF(DailyProduction!$Q$5:$Q$100,B753,DailyProduction!$R$5:$R$100),"OK","CHECK")</f>
        <v>OK</v>
      </c>
    </row>
    <row r="754" spans="1:23">
      <c r="A754" t="s">
        <v>1203</v>
      </c>
      <c r="B754" t="s">
        <v>1195</v>
      </c>
      <c r="C754" t="s">
        <v>30</v>
      </c>
      <c r="D754" s="7">
        <v>45950</v>
      </c>
      <c r="E754" t="s">
        <v>79</v>
      </c>
      <c r="F754" t="s">
        <v>32</v>
      </c>
      <c r="G754">
        <v>25</v>
      </c>
      <c r="H754" t="s">
        <v>62</v>
      </c>
      <c r="I754">
        <v>9</v>
      </c>
      <c r="J754">
        <v>8</v>
      </c>
      <c r="K754">
        <v>2</v>
      </c>
      <c r="L754">
        <f t="shared" si="77"/>
        <v>0</v>
      </c>
      <c r="P754">
        <f t="shared" si="78"/>
        <v>0</v>
      </c>
      <c r="Q754">
        <f t="shared" si="79"/>
        <v>0</v>
      </c>
      <c r="R754">
        <f t="shared" si="80"/>
        <v>0</v>
      </c>
      <c r="S754">
        <f t="shared" si="81"/>
        <v>0</v>
      </c>
      <c r="T754" t="str">
        <f t="shared" si="82"/>
        <v>DerivedFromCount</v>
      </c>
      <c r="U754" t="str">
        <f>IF(COUNTIF(DailyProduction!$Q$5:$Q$100,B754)=1,"OK","CHECK")</f>
        <v>OK</v>
      </c>
      <c r="V754" t="str">
        <f t="shared" si="83"/>
        <v>OK</v>
      </c>
      <c r="W754" t="str">
        <f>IF(SUMIF($B$5:$B$914,B754,$S$5:$S$914)=SUMIF(DailyProduction!$Q$5:$Q$100,B754,DailyProduction!$R$5:$R$100),"OK","CHECK")</f>
        <v>OK</v>
      </c>
    </row>
    <row r="755" spans="1:23">
      <c r="A755" t="s">
        <v>1204</v>
      </c>
      <c r="B755" t="s">
        <v>1195</v>
      </c>
      <c r="C755" t="s">
        <v>30</v>
      </c>
      <c r="D755" s="7">
        <v>45950</v>
      </c>
      <c r="E755" t="s">
        <v>79</v>
      </c>
      <c r="F755" t="s">
        <v>32</v>
      </c>
      <c r="G755">
        <v>25</v>
      </c>
      <c r="H755" t="s">
        <v>62</v>
      </c>
      <c r="I755">
        <v>10</v>
      </c>
      <c r="J755">
        <v>8</v>
      </c>
      <c r="K755">
        <v>2</v>
      </c>
      <c r="L755">
        <f t="shared" si="77"/>
        <v>0</v>
      </c>
      <c r="P755">
        <f t="shared" si="78"/>
        <v>0</v>
      </c>
      <c r="Q755">
        <f t="shared" si="79"/>
        <v>0</v>
      </c>
      <c r="R755">
        <f t="shared" si="80"/>
        <v>0</v>
      </c>
      <c r="S755">
        <f t="shared" si="81"/>
        <v>0</v>
      </c>
      <c r="T755" t="str">
        <f t="shared" si="82"/>
        <v>DerivedFromCount</v>
      </c>
      <c r="U755" t="str">
        <f>IF(COUNTIF(DailyProduction!$Q$5:$Q$100,B755)=1,"OK","CHECK")</f>
        <v>OK</v>
      </c>
      <c r="V755" t="str">
        <f t="shared" si="83"/>
        <v>OK</v>
      </c>
      <c r="W755" t="str">
        <f>IF(SUMIF($B$5:$B$914,B755,$S$5:$S$914)=SUMIF(DailyProduction!$Q$5:$Q$100,B755,DailyProduction!$R$5:$R$100),"OK","CHECK")</f>
        <v>OK</v>
      </c>
    </row>
    <row r="756" spans="1:23">
      <c r="A756" t="s">
        <v>1205</v>
      </c>
      <c r="B756" t="s">
        <v>1195</v>
      </c>
      <c r="C756" t="s">
        <v>30</v>
      </c>
      <c r="D756" s="7">
        <v>45950</v>
      </c>
      <c r="E756" t="s">
        <v>79</v>
      </c>
      <c r="F756" t="s">
        <v>32</v>
      </c>
      <c r="G756">
        <v>25</v>
      </c>
      <c r="H756" t="s">
        <v>62</v>
      </c>
      <c r="I756">
        <v>11</v>
      </c>
      <c r="J756">
        <v>8</v>
      </c>
      <c r="K756">
        <v>2</v>
      </c>
      <c r="L756">
        <f t="shared" si="77"/>
        <v>0</v>
      </c>
      <c r="P756">
        <f t="shared" si="78"/>
        <v>0</v>
      </c>
      <c r="Q756">
        <f t="shared" si="79"/>
        <v>0</v>
      </c>
      <c r="R756">
        <f t="shared" si="80"/>
        <v>0</v>
      </c>
      <c r="S756">
        <f t="shared" si="81"/>
        <v>0</v>
      </c>
      <c r="T756" t="str">
        <f t="shared" si="82"/>
        <v>DerivedFromCount</v>
      </c>
      <c r="U756" t="str">
        <f>IF(COUNTIF(DailyProduction!$Q$5:$Q$100,B756)=1,"OK","CHECK")</f>
        <v>OK</v>
      </c>
      <c r="V756" t="str">
        <f t="shared" si="83"/>
        <v>OK</v>
      </c>
      <c r="W756" t="str">
        <f>IF(SUMIF($B$5:$B$914,B756,$S$5:$S$914)=SUMIF(DailyProduction!$Q$5:$Q$100,B756,DailyProduction!$R$5:$R$100),"OK","CHECK")</f>
        <v>OK</v>
      </c>
    </row>
    <row r="757" spans="1:23">
      <c r="A757" t="s">
        <v>1206</v>
      </c>
      <c r="B757" t="s">
        <v>1195</v>
      </c>
      <c r="C757" t="s">
        <v>30</v>
      </c>
      <c r="D757" s="7">
        <v>45950</v>
      </c>
      <c r="E757" t="s">
        <v>79</v>
      </c>
      <c r="F757" t="s">
        <v>32</v>
      </c>
      <c r="G757">
        <v>25</v>
      </c>
      <c r="H757" t="s">
        <v>62</v>
      </c>
      <c r="I757">
        <v>12</v>
      </c>
      <c r="J757">
        <v>8</v>
      </c>
      <c r="K757">
        <v>2</v>
      </c>
      <c r="L757">
        <f t="shared" si="77"/>
        <v>0</v>
      </c>
      <c r="P757">
        <f t="shared" si="78"/>
        <v>0</v>
      </c>
      <c r="Q757">
        <f t="shared" si="79"/>
        <v>0</v>
      </c>
      <c r="R757">
        <f t="shared" si="80"/>
        <v>0</v>
      </c>
      <c r="S757">
        <f t="shared" si="81"/>
        <v>0</v>
      </c>
      <c r="T757" t="str">
        <f t="shared" si="82"/>
        <v>DerivedFromCount</v>
      </c>
      <c r="U757" t="str">
        <f>IF(COUNTIF(DailyProduction!$Q$5:$Q$100,B757)=1,"OK","CHECK")</f>
        <v>OK</v>
      </c>
      <c r="V757" t="str">
        <f t="shared" si="83"/>
        <v>OK</v>
      </c>
      <c r="W757" t="str">
        <f>IF(SUMIF($B$5:$B$914,B757,$S$5:$S$914)=SUMIF(DailyProduction!$Q$5:$Q$100,B757,DailyProduction!$R$5:$R$100),"OK","CHECK")</f>
        <v>OK</v>
      </c>
    </row>
    <row r="758" spans="1:23">
      <c r="A758" t="s">
        <v>1207</v>
      </c>
      <c r="B758" t="s">
        <v>1195</v>
      </c>
      <c r="C758" t="s">
        <v>30</v>
      </c>
      <c r="D758" s="7">
        <v>45950</v>
      </c>
      <c r="E758" t="s">
        <v>79</v>
      </c>
      <c r="F758" t="s">
        <v>32</v>
      </c>
      <c r="G758">
        <v>25</v>
      </c>
      <c r="H758" t="s">
        <v>62</v>
      </c>
      <c r="I758">
        <v>13</v>
      </c>
      <c r="J758">
        <v>8</v>
      </c>
      <c r="K758">
        <v>2</v>
      </c>
      <c r="L758">
        <f t="shared" si="77"/>
        <v>0</v>
      </c>
      <c r="P758">
        <f t="shared" si="78"/>
        <v>0</v>
      </c>
      <c r="Q758">
        <f t="shared" si="79"/>
        <v>0</v>
      </c>
      <c r="R758">
        <f t="shared" si="80"/>
        <v>0</v>
      </c>
      <c r="S758">
        <f t="shared" si="81"/>
        <v>0</v>
      </c>
      <c r="T758" t="str">
        <f t="shared" si="82"/>
        <v>DerivedFromCount</v>
      </c>
      <c r="U758" t="str">
        <f>IF(COUNTIF(DailyProduction!$Q$5:$Q$100,B758)=1,"OK","CHECK")</f>
        <v>OK</v>
      </c>
      <c r="V758" t="str">
        <f t="shared" si="83"/>
        <v>OK</v>
      </c>
      <c r="W758" t="str">
        <f>IF(SUMIF($B$5:$B$914,B758,$S$5:$S$914)=SUMIF(DailyProduction!$Q$5:$Q$100,B758,DailyProduction!$R$5:$R$100),"OK","CHECK")</f>
        <v>OK</v>
      </c>
    </row>
    <row r="759" spans="1:23">
      <c r="A759" t="s">
        <v>1208</v>
      </c>
      <c r="B759" t="s">
        <v>1209</v>
      </c>
      <c r="C759" t="s">
        <v>30</v>
      </c>
      <c r="D759" s="7">
        <v>45951</v>
      </c>
      <c r="E759" t="s">
        <v>31</v>
      </c>
      <c r="F759" t="s">
        <v>32</v>
      </c>
      <c r="G759">
        <v>25</v>
      </c>
      <c r="H759" t="s">
        <v>62</v>
      </c>
      <c r="I759">
        <v>1</v>
      </c>
      <c r="J759">
        <v>8</v>
      </c>
      <c r="K759">
        <v>2</v>
      </c>
      <c r="L759">
        <f t="shared" si="77"/>
        <v>1</v>
      </c>
      <c r="P759">
        <f t="shared" si="78"/>
        <v>1</v>
      </c>
      <c r="Q759">
        <f t="shared" si="79"/>
        <v>1</v>
      </c>
      <c r="R759">
        <f t="shared" si="80"/>
        <v>0</v>
      </c>
      <c r="S759">
        <f t="shared" si="81"/>
        <v>2</v>
      </c>
      <c r="T759" t="str">
        <f t="shared" si="82"/>
        <v>DerivedFromCount</v>
      </c>
      <c r="U759" t="str">
        <f>IF(COUNTIF(DailyProduction!$Q$5:$Q$100,B759)=1,"OK","CHECK")</f>
        <v>OK</v>
      </c>
      <c r="V759" t="str">
        <f t="shared" si="83"/>
        <v>OK</v>
      </c>
      <c r="W759" t="str">
        <f>IF(SUMIF($B$5:$B$914,B759,$S$5:$S$914)=SUMIF(DailyProduction!$Q$5:$Q$100,B759,DailyProduction!$R$5:$R$100),"OK","CHECK")</f>
        <v>OK</v>
      </c>
    </row>
    <row r="760" spans="1:23">
      <c r="A760" t="s">
        <v>1210</v>
      </c>
      <c r="B760" t="s">
        <v>1209</v>
      </c>
      <c r="C760" t="s">
        <v>30</v>
      </c>
      <c r="D760" s="7">
        <v>45951</v>
      </c>
      <c r="E760" t="s">
        <v>31</v>
      </c>
      <c r="F760" t="s">
        <v>32</v>
      </c>
      <c r="G760">
        <v>25</v>
      </c>
      <c r="H760" t="s">
        <v>62</v>
      </c>
      <c r="I760">
        <v>2</v>
      </c>
      <c r="J760">
        <v>8</v>
      </c>
      <c r="K760">
        <v>2</v>
      </c>
      <c r="L760">
        <f t="shared" si="77"/>
        <v>1</v>
      </c>
      <c r="P760">
        <f t="shared" si="78"/>
        <v>1</v>
      </c>
      <c r="Q760">
        <f t="shared" si="79"/>
        <v>1</v>
      </c>
      <c r="R760">
        <f t="shared" si="80"/>
        <v>0</v>
      </c>
      <c r="S760">
        <f t="shared" si="81"/>
        <v>2</v>
      </c>
      <c r="T760" t="str">
        <f t="shared" si="82"/>
        <v>DerivedFromCount</v>
      </c>
      <c r="U760" t="str">
        <f>IF(COUNTIF(DailyProduction!$Q$5:$Q$100,B760)=1,"OK","CHECK")</f>
        <v>OK</v>
      </c>
      <c r="V760" t="str">
        <f t="shared" si="83"/>
        <v>OK</v>
      </c>
      <c r="W760" t="str">
        <f>IF(SUMIF($B$5:$B$914,B760,$S$5:$S$914)=SUMIF(DailyProduction!$Q$5:$Q$100,B760,DailyProduction!$R$5:$R$100),"OK","CHECK")</f>
        <v>OK</v>
      </c>
    </row>
    <row r="761" spans="1:23">
      <c r="A761" t="s">
        <v>1211</v>
      </c>
      <c r="B761" t="s">
        <v>1209</v>
      </c>
      <c r="C761" t="s">
        <v>30</v>
      </c>
      <c r="D761" s="7">
        <v>45951</v>
      </c>
      <c r="E761" t="s">
        <v>31</v>
      </c>
      <c r="F761" t="s">
        <v>32</v>
      </c>
      <c r="G761">
        <v>25</v>
      </c>
      <c r="H761" t="s">
        <v>62</v>
      </c>
      <c r="I761">
        <v>3</v>
      </c>
      <c r="J761">
        <v>8</v>
      </c>
      <c r="K761">
        <v>2</v>
      </c>
      <c r="L761">
        <f t="shared" si="77"/>
        <v>1</v>
      </c>
      <c r="P761">
        <f t="shared" si="78"/>
        <v>1</v>
      </c>
      <c r="Q761">
        <f t="shared" si="79"/>
        <v>1</v>
      </c>
      <c r="R761">
        <f t="shared" si="80"/>
        <v>0</v>
      </c>
      <c r="S761">
        <f t="shared" si="81"/>
        <v>2</v>
      </c>
      <c r="T761" t="str">
        <f t="shared" si="82"/>
        <v>DerivedFromCount</v>
      </c>
      <c r="U761" t="str">
        <f>IF(COUNTIF(DailyProduction!$Q$5:$Q$100,B761)=1,"OK","CHECK")</f>
        <v>OK</v>
      </c>
      <c r="V761" t="str">
        <f t="shared" si="83"/>
        <v>OK</v>
      </c>
      <c r="W761" t="str">
        <f>IF(SUMIF($B$5:$B$914,B761,$S$5:$S$914)=SUMIF(DailyProduction!$Q$5:$Q$100,B761,DailyProduction!$R$5:$R$100),"OK","CHECK")</f>
        <v>OK</v>
      </c>
    </row>
    <row r="762" spans="1:23">
      <c r="A762" t="s">
        <v>1212</v>
      </c>
      <c r="B762" t="s">
        <v>1209</v>
      </c>
      <c r="C762" t="s">
        <v>30</v>
      </c>
      <c r="D762" s="7">
        <v>45951</v>
      </c>
      <c r="E762" t="s">
        <v>31</v>
      </c>
      <c r="F762" t="s">
        <v>32</v>
      </c>
      <c r="G762">
        <v>25</v>
      </c>
      <c r="H762" t="s">
        <v>62</v>
      </c>
      <c r="I762">
        <v>4</v>
      </c>
      <c r="J762">
        <v>8</v>
      </c>
      <c r="K762">
        <v>2</v>
      </c>
      <c r="L762">
        <f t="shared" si="77"/>
        <v>1</v>
      </c>
      <c r="P762">
        <f t="shared" si="78"/>
        <v>1</v>
      </c>
      <c r="Q762">
        <f t="shared" si="79"/>
        <v>1</v>
      </c>
      <c r="R762">
        <f t="shared" si="80"/>
        <v>0</v>
      </c>
      <c r="S762">
        <f t="shared" si="81"/>
        <v>2</v>
      </c>
      <c r="T762" t="str">
        <f t="shared" si="82"/>
        <v>DerivedFromCount</v>
      </c>
      <c r="U762" t="str">
        <f>IF(COUNTIF(DailyProduction!$Q$5:$Q$100,B762)=1,"OK","CHECK")</f>
        <v>OK</v>
      </c>
      <c r="V762" t="str">
        <f t="shared" si="83"/>
        <v>OK</v>
      </c>
      <c r="W762" t="str">
        <f>IF(SUMIF($B$5:$B$914,B762,$S$5:$S$914)=SUMIF(DailyProduction!$Q$5:$Q$100,B762,DailyProduction!$R$5:$R$100),"OK","CHECK")</f>
        <v>OK</v>
      </c>
    </row>
    <row r="763" spans="1:23">
      <c r="A763" t="s">
        <v>1213</v>
      </c>
      <c r="B763" t="s">
        <v>1209</v>
      </c>
      <c r="C763" t="s">
        <v>30</v>
      </c>
      <c r="D763" s="7">
        <v>45951</v>
      </c>
      <c r="E763" t="s">
        <v>31</v>
      </c>
      <c r="F763" t="s">
        <v>32</v>
      </c>
      <c r="G763">
        <v>25</v>
      </c>
      <c r="H763" t="s">
        <v>62</v>
      </c>
      <c r="I763">
        <v>5</v>
      </c>
      <c r="J763">
        <v>8</v>
      </c>
      <c r="K763">
        <v>2</v>
      </c>
      <c r="L763">
        <f t="shared" si="77"/>
        <v>1</v>
      </c>
      <c r="P763">
        <f t="shared" si="78"/>
        <v>1</v>
      </c>
      <c r="Q763">
        <f t="shared" si="79"/>
        <v>1</v>
      </c>
      <c r="R763">
        <f t="shared" si="80"/>
        <v>0</v>
      </c>
      <c r="S763">
        <f t="shared" si="81"/>
        <v>2</v>
      </c>
      <c r="T763" t="str">
        <f t="shared" si="82"/>
        <v>DerivedFromCount</v>
      </c>
      <c r="U763" t="str">
        <f>IF(COUNTIF(DailyProduction!$Q$5:$Q$100,B763)=1,"OK","CHECK")</f>
        <v>OK</v>
      </c>
      <c r="V763" t="str">
        <f t="shared" si="83"/>
        <v>OK</v>
      </c>
      <c r="W763" t="str">
        <f>IF(SUMIF($B$5:$B$914,B763,$S$5:$S$914)=SUMIF(DailyProduction!$Q$5:$Q$100,B763,DailyProduction!$R$5:$R$100),"OK","CHECK")</f>
        <v>OK</v>
      </c>
    </row>
    <row r="764" spans="1:23">
      <c r="A764" t="s">
        <v>1214</v>
      </c>
      <c r="B764" t="s">
        <v>1209</v>
      </c>
      <c r="C764" t="s">
        <v>30</v>
      </c>
      <c r="D764" s="7">
        <v>45951</v>
      </c>
      <c r="E764" t="s">
        <v>31</v>
      </c>
      <c r="F764" t="s">
        <v>32</v>
      </c>
      <c r="G764">
        <v>25</v>
      </c>
      <c r="H764" t="s">
        <v>62</v>
      </c>
      <c r="I764">
        <v>6</v>
      </c>
      <c r="J764">
        <v>8</v>
      </c>
      <c r="K764">
        <v>2</v>
      </c>
      <c r="L764">
        <f t="shared" si="77"/>
        <v>1</v>
      </c>
      <c r="P764">
        <f t="shared" si="78"/>
        <v>1</v>
      </c>
      <c r="Q764">
        <f t="shared" si="79"/>
        <v>1</v>
      </c>
      <c r="R764">
        <f t="shared" si="80"/>
        <v>0</v>
      </c>
      <c r="S764">
        <f t="shared" si="81"/>
        <v>2</v>
      </c>
      <c r="T764" t="str">
        <f t="shared" si="82"/>
        <v>DerivedFromCount</v>
      </c>
      <c r="U764" t="str">
        <f>IF(COUNTIF(DailyProduction!$Q$5:$Q$100,B764)=1,"OK","CHECK")</f>
        <v>OK</v>
      </c>
      <c r="V764" t="str">
        <f t="shared" si="83"/>
        <v>OK</v>
      </c>
      <c r="W764" t="str">
        <f>IF(SUMIF($B$5:$B$914,B764,$S$5:$S$914)=SUMIF(DailyProduction!$Q$5:$Q$100,B764,DailyProduction!$R$5:$R$100),"OK","CHECK")</f>
        <v>OK</v>
      </c>
    </row>
    <row r="765" spans="1:23">
      <c r="A765" t="s">
        <v>1215</v>
      </c>
      <c r="B765" t="s">
        <v>1209</v>
      </c>
      <c r="C765" t="s">
        <v>30</v>
      </c>
      <c r="D765" s="7">
        <v>45951</v>
      </c>
      <c r="E765" t="s">
        <v>31</v>
      </c>
      <c r="F765" t="s">
        <v>32</v>
      </c>
      <c r="G765">
        <v>25</v>
      </c>
      <c r="H765" t="s">
        <v>62</v>
      </c>
      <c r="I765">
        <v>7</v>
      </c>
      <c r="J765">
        <v>8</v>
      </c>
      <c r="K765">
        <v>2</v>
      </c>
      <c r="L765">
        <f t="shared" si="77"/>
        <v>1</v>
      </c>
      <c r="P765">
        <f t="shared" si="78"/>
        <v>1</v>
      </c>
      <c r="Q765">
        <f t="shared" si="79"/>
        <v>1</v>
      </c>
      <c r="R765">
        <f t="shared" si="80"/>
        <v>0</v>
      </c>
      <c r="S765">
        <f t="shared" si="81"/>
        <v>2</v>
      </c>
      <c r="T765" t="str">
        <f t="shared" si="82"/>
        <v>DerivedFromCount</v>
      </c>
      <c r="U765" t="str">
        <f>IF(COUNTIF(DailyProduction!$Q$5:$Q$100,B765)=1,"OK","CHECK")</f>
        <v>OK</v>
      </c>
      <c r="V765" t="str">
        <f t="shared" si="83"/>
        <v>OK</v>
      </c>
      <c r="W765" t="str">
        <f>IF(SUMIF($B$5:$B$914,B765,$S$5:$S$914)=SUMIF(DailyProduction!$Q$5:$Q$100,B765,DailyProduction!$R$5:$R$100),"OK","CHECK")</f>
        <v>OK</v>
      </c>
    </row>
    <row r="766" spans="1:23">
      <c r="A766" t="s">
        <v>1216</v>
      </c>
      <c r="B766" t="s">
        <v>1209</v>
      </c>
      <c r="C766" t="s">
        <v>30</v>
      </c>
      <c r="D766" s="7">
        <v>45951</v>
      </c>
      <c r="E766" t="s">
        <v>31</v>
      </c>
      <c r="F766" t="s">
        <v>32</v>
      </c>
      <c r="G766">
        <v>25</v>
      </c>
      <c r="H766" t="s">
        <v>62</v>
      </c>
      <c r="I766">
        <v>8</v>
      </c>
      <c r="J766">
        <v>8</v>
      </c>
      <c r="K766">
        <v>2</v>
      </c>
      <c r="L766">
        <f t="shared" si="77"/>
        <v>1</v>
      </c>
      <c r="P766">
        <f t="shared" si="78"/>
        <v>1</v>
      </c>
      <c r="Q766">
        <f t="shared" si="79"/>
        <v>1</v>
      </c>
      <c r="R766">
        <f t="shared" si="80"/>
        <v>0</v>
      </c>
      <c r="S766">
        <f t="shared" si="81"/>
        <v>2</v>
      </c>
      <c r="T766" t="str">
        <f t="shared" si="82"/>
        <v>DerivedFromCount</v>
      </c>
      <c r="U766" t="str">
        <f>IF(COUNTIF(DailyProduction!$Q$5:$Q$100,B766)=1,"OK","CHECK")</f>
        <v>OK</v>
      </c>
      <c r="V766" t="str">
        <f t="shared" si="83"/>
        <v>OK</v>
      </c>
      <c r="W766" t="str">
        <f>IF(SUMIF($B$5:$B$914,B766,$S$5:$S$914)=SUMIF(DailyProduction!$Q$5:$Q$100,B766,DailyProduction!$R$5:$R$100),"OK","CHECK")</f>
        <v>OK</v>
      </c>
    </row>
    <row r="767" spans="1:23">
      <c r="A767" t="s">
        <v>1217</v>
      </c>
      <c r="B767" t="s">
        <v>1209</v>
      </c>
      <c r="C767" t="s">
        <v>30</v>
      </c>
      <c r="D767" s="7">
        <v>45951</v>
      </c>
      <c r="E767" t="s">
        <v>31</v>
      </c>
      <c r="F767" t="s">
        <v>32</v>
      </c>
      <c r="G767">
        <v>25</v>
      </c>
      <c r="H767" t="s">
        <v>62</v>
      </c>
      <c r="I767">
        <v>9</v>
      </c>
      <c r="J767">
        <v>8</v>
      </c>
      <c r="K767">
        <v>2</v>
      </c>
      <c r="L767">
        <f t="shared" si="77"/>
        <v>0</v>
      </c>
      <c r="P767">
        <f t="shared" si="78"/>
        <v>0</v>
      </c>
      <c r="Q767">
        <f t="shared" si="79"/>
        <v>0</v>
      </c>
      <c r="R767">
        <f t="shared" si="80"/>
        <v>0</v>
      </c>
      <c r="S767">
        <f t="shared" si="81"/>
        <v>0</v>
      </c>
      <c r="T767" t="str">
        <f t="shared" si="82"/>
        <v>DerivedFromCount</v>
      </c>
      <c r="U767" t="str">
        <f>IF(COUNTIF(DailyProduction!$Q$5:$Q$100,B767)=1,"OK","CHECK")</f>
        <v>OK</v>
      </c>
      <c r="V767" t="str">
        <f t="shared" si="83"/>
        <v>OK</v>
      </c>
      <c r="W767" t="str">
        <f>IF(SUMIF($B$5:$B$914,B767,$S$5:$S$914)=SUMIF(DailyProduction!$Q$5:$Q$100,B767,DailyProduction!$R$5:$R$100),"OK","CHECK")</f>
        <v>OK</v>
      </c>
    </row>
    <row r="768" spans="1:23">
      <c r="A768" t="s">
        <v>1218</v>
      </c>
      <c r="B768" t="s">
        <v>1209</v>
      </c>
      <c r="C768" t="s">
        <v>30</v>
      </c>
      <c r="D768" s="7">
        <v>45951</v>
      </c>
      <c r="E768" t="s">
        <v>31</v>
      </c>
      <c r="F768" t="s">
        <v>32</v>
      </c>
      <c r="G768">
        <v>25</v>
      </c>
      <c r="H768" t="s">
        <v>62</v>
      </c>
      <c r="I768">
        <v>10</v>
      </c>
      <c r="J768">
        <v>8</v>
      </c>
      <c r="K768">
        <v>2</v>
      </c>
      <c r="L768">
        <f t="shared" si="77"/>
        <v>0</v>
      </c>
      <c r="P768">
        <f t="shared" si="78"/>
        <v>0</v>
      </c>
      <c r="Q768">
        <f t="shared" si="79"/>
        <v>0</v>
      </c>
      <c r="R768">
        <f t="shared" si="80"/>
        <v>0</v>
      </c>
      <c r="S768">
        <f t="shared" si="81"/>
        <v>0</v>
      </c>
      <c r="T768" t="str">
        <f t="shared" si="82"/>
        <v>DerivedFromCount</v>
      </c>
      <c r="U768" t="str">
        <f>IF(COUNTIF(DailyProduction!$Q$5:$Q$100,B768)=1,"OK","CHECK")</f>
        <v>OK</v>
      </c>
      <c r="V768" t="str">
        <f t="shared" si="83"/>
        <v>OK</v>
      </c>
      <c r="W768" t="str">
        <f>IF(SUMIF($B$5:$B$914,B768,$S$5:$S$914)=SUMIF(DailyProduction!$Q$5:$Q$100,B768,DailyProduction!$R$5:$R$100),"OK","CHECK")</f>
        <v>OK</v>
      </c>
    </row>
    <row r="769" spans="1:23">
      <c r="A769" t="s">
        <v>1219</v>
      </c>
      <c r="B769" t="s">
        <v>1209</v>
      </c>
      <c r="C769" t="s">
        <v>30</v>
      </c>
      <c r="D769" s="7">
        <v>45951</v>
      </c>
      <c r="E769" t="s">
        <v>31</v>
      </c>
      <c r="F769" t="s">
        <v>32</v>
      </c>
      <c r="G769">
        <v>25</v>
      </c>
      <c r="H769" t="s">
        <v>62</v>
      </c>
      <c r="I769">
        <v>11</v>
      </c>
      <c r="J769">
        <v>8</v>
      </c>
      <c r="K769">
        <v>2</v>
      </c>
      <c r="L769">
        <f t="shared" si="77"/>
        <v>0</v>
      </c>
      <c r="P769">
        <f t="shared" si="78"/>
        <v>0</v>
      </c>
      <c r="Q769">
        <f t="shared" si="79"/>
        <v>0</v>
      </c>
      <c r="R769">
        <f t="shared" si="80"/>
        <v>0</v>
      </c>
      <c r="S769">
        <f t="shared" si="81"/>
        <v>0</v>
      </c>
      <c r="T769" t="str">
        <f t="shared" si="82"/>
        <v>DerivedFromCount</v>
      </c>
      <c r="U769" t="str">
        <f>IF(COUNTIF(DailyProduction!$Q$5:$Q$100,B769)=1,"OK","CHECK")</f>
        <v>OK</v>
      </c>
      <c r="V769" t="str">
        <f t="shared" si="83"/>
        <v>OK</v>
      </c>
      <c r="W769" t="str">
        <f>IF(SUMIF($B$5:$B$914,B769,$S$5:$S$914)=SUMIF(DailyProduction!$Q$5:$Q$100,B769,DailyProduction!$R$5:$R$100),"OK","CHECK")</f>
        <v>OK</v>
      </c>
    </row>
    <row r="770" spans="1:23">
      <c r="A770" t="s">
        <v>1220</v>
      </c>
      <c r="B770" t="s">
        <v>1209</v>
      </c>
      <c r="C770" t="s">
        <v>30</v>
      </c>
      <c r="D770" s="7">
        <v>45951</v>
      </c>
      <c r="E770" t="s">
        <v>31</v>
      </c>
      <c r="F770" t="s">
        <v>32</v>
      </c>
      <c r="G770">
        <v>25</v>
      </c>
      <c r="H770" t="s">
        <v>62</v>
      </c>
      <c r="I770">
        <v>12</v>
      </c>
      <c r="J770">
        <v>8</v>
      </c>
      <c r="K770">
        <v>2</v>
      </c>
      <c r="L770">
        <f t="shared" si="77"/>
        <v>0</v>
      </c>
      <c r="P770">
        <f t="shared" si="78"/>
        <v>0</v>
      </c>
      <c r="Q770">
        <f t="shared" si="79"/>
        <v>0</v>
      </c>
      <c r="R770">
        <f t="shared" si="80"/>
        <v>0</v>
      </c>
      <c r="S770">
        <f t="shared" si="81"/>
        <v>0</v>
      </c>
      <c r="T770" t="str">
        <f t="shared" si="82"/>
        <v>DerivedFromCount</v>
      </c>
      <c r="U770" t="str">
        <f>IF(COUNTIF(DailyProduction!$Q$5:$Q$100,B770)=1,"OK","CHECK")</f>
        <v>OK</v>
      </c>
      <c r="V770" t="str">
        <f t="shared" si="83"/>
        <v>OK</v>
      </c>
      <c r="W770" t="str">
        <f>IF(SUMIF($B$5:$B$914,B770,$S$5:$S$914)=SUMIF(DailyProduction!$Q$5:$Q$100,B770,DailyProduction!$R$5:$R$100),"OK","CHECK")</f>
        <v>OK</v>
      </c>
    </row>
    <row r="771" spans="1:23">
      <c r="A771" t="s">
        <v>1221</v>
      </c>
      <c r="B771" t="s">
        <v>1209</v>
      </c>
      <c r="C771" t="s">
        <v>30</v>
      </c>
      <c r="D771" s="7">
        <v>45951</v>
      </c>
      <c r="E771" t="s">
        <v>31</v>
      </c>
      <c r="F771" t="s">
        <v>32</v>
      </c>
      <c r="G771">
        <v>25</v>
      </c>
      <c r="H771" t="s">
        <v>62</v>
      </c>
      <c r="I771">
        <v>13</v>
      </c>
      <c r="J771">
        <v>8</v>
      </c>
      <c r="K771">
        <v>2</v>
      </c>
      <c r="L771">
        <f t="shared" si="77"/>
        <v>0</v>
      </c>
      <c r="P771">
        <f t="shared" si="78"/>
        <v>0</v>
      </c>
      <c r="Q771">
        <f t="shared" si="79"/>
        <v>0</v>
      </c>
      <c r="R771">
        <f t="shared" si="80"/>
        <v>0</v>
      </c>
      <c r="S771">
        <f t="shared" si="81"/>
        <v>0</v>
      </c>
      <c r="T771" t="str">
        <f t="shared" si="82"/>
        <v>DerivedFromCount</v>
      </c>
      <c r="U771" t="str">
        <f>IF(COUNTIF(DailyProduction!$Q$5:$Q$100,B771)=1,"OK","CHECK")</f>
        <v>OK</v>
      </c>
      <c r="V771" t="str">
        <f t="shared" si="83"/>
        <v>OK</v>
      </c>
      <c r="W771" t="str">
        <f>IF(SUMIF($B$5:$B$914,B771,$S$5:$S$914)=SUMIF(DailyProduction!$Q$5:$Q$100,B771,DailyProduction!$R$5:$R$100),"OK","CHECK")</f>
        <v>OK</v>
      </c>
    </row>
    <row r="772" spans="1:23">
      <c r="A772" t="s">
        <v>1222</v>
      </c>
      <c r="B772" t="s">
        <v>1223</v>
      </c>
      <c r="C772" t="s">
        <v>30</v>
      </c>
      <c r="D772" s="7">
        <v>45951</v>
      </c>
      <c r="E772" t="s">
        <v>79</v>
      </c>
      <c r="F772" t="s">
        <v>37</v>
      </c>
      <c r="G772">
        <v>25</v>
      </c>
      <c r="H772" t="s">
        <v>62</v>
      </c>
      <c r="I772">
        <v>1</v>
      </c>
      <c r="J772">
        <v>8</v>
      </c>
      <c r="K772">
        <v>2</v>
      </c>
      <c r="L772">
        <f t="shared" si="77"/>
        <v>1</v>
      </c>
      <c r="P772">
        <f t="shared" si="78"/>
        <v>1</v>
      </c>
      <c r="Q772">
        <f t="shared" si="79"/>
        <v>1</v>
      </c>
      <c r="R772">
        <f t="shared" si="80"/>
        <v>0</v>
      </c>
      <c r="S772">
        <f t="shared" si="81"/>
        <v>2</v>
      </c>
      <c r="T772" t="str">
        <f t="shared" si="82"/>
        <v>DerivedFromCount</v>
      </c>
      <c r="U772" t="str">
        <f>IF(COUNTIF(DailyProduction!$Q$5:$Q$100,B772)=1,"OK","CHECK")</f>
        <v>OK</v>
      </c>
      <c r="V772" t="str">
        <f t="shared" si="83"/>
        <v>OK</v>
      </c>
      <c r="W772" t="str">
        <f>IF(SUMIF($B$5:$B$914,B772,$S$5:$S$914)=SUMIF(DailyProduction!$Q$5:$Q$100,B772,DailyProduction!$R$5:$R$100),"OK","CHECK")</f>
        <v>OK</v>
      </c>
    </row>
    <row r="773" spans="1:23">
      <c r="A773" t="s">
        <v>1224</v>
      </c>
      <c r="B773" t="s">
        <v>1223</v>
      </c>
      <c r="C773" t="s">
        <v>30</v>
      </c>
      <c r="D773" s="7">
        <v>45951</v>
      </c>
      <c r="E773" t="s">
        <v>79</v>
      </c>
      <c r="F773" t="s">
        <v>37</v>
      </c>
      <c r="G773">
        <v>25</v>
      </c>
      <c r="H773" t="s">
        <v>62</v>
      </c>
      <c r="I773">
        <v>2</v>
      </c>
      <c r="J773">
        <v>8</v>
      </c>
      <c r="K773">
        <v>2</v>
      </c>
      <c r="L773">
        <f t="shared" ref="L773:L836" si="84">IF(I773&lt;=J773,1,0)</f>
        <v>1</v>
      </c>
      <c r="P773">
        <f t="shared" ref="P773:P836" si="85">IF(M773="",IF(AND(L773=1,K773&gt;=1),1,0),M773)</f>
        <v>1</v>
      </c>
      <c r="Q773">
        <f t="shared" ref="Q773:Q836" si="86">IF(N773="",IF(AND(L773=1,K773&gt;=2),1,0),N773)</f>
        <v>1</v>
      </c>
      <c r="R773">
        <f t="shared" ref="R773:R836" si="87">IF(O773="",IF(AND(L773=1,K773&gt;=3),1,0),O773)</f>
        <v>0</v>
      </c>
      <c r="S773">
        <f t="shared" ref="S773:S836" si="88">SUM(P773:R773)</f>
        <v>2</v>
      </c>
      <c r="T773" t="str">
        <f t="shared" ref="T773:T836" si="89">IF(COUNTA(M773:O773)=0,"DerivedFromCount","ManualOverride")</f>
        <v>DerivedFromCount</v>
      </c>
      <c r="U773" t="str">
        <f>IF(COUNTIF(DailyProduction!$Q$5:$Q$100,B773)=1,"OK","CHECK")</f>
        <v>OK</v>
      </c>
      <c r="V773" t="str">
        <f t="shared" ref="V773:V836" si="90">IF(AND(I773&gt;=1,I773&lt;=13,K773&gt;=1,K773&lt;=3),"OK","CHECK")</f>
        <v>OK</v>
      </c>
      <c r="W773" t="str">
        <f>IF(SUMIF($B$5:$B$914,B773,$S$5:$S$914)=SUMIF(DailyProduction!$Q$5:$Q$100,B773,DailyProduction!$R$5:$R$100),"OK","CHECK")</f>
        <v>OK</v>
      </c>
    </row>
    <row r="774" spans="1:23">
      <c r="A774" t="s">
        <v>1225</v>
      </c>
      <c r="B774" t="s">
        <v>1223</v>
      </c>
      <c r="C774" t="s">
        <v>30</v>
      </c>
      <c r="D774" s="7">
        <v>45951</v>
      </c>
      <c r="E774" t="s">
        <v>79</v>
      </c>
      <c r="F774" t="s">
        <v>37</v>
      </c>
      <c r="G774">
        <v>25</v>
      </c>
      <c r="H774" t="s">
        <v>62</v>
      </c>
      <c r="I774">
        <v>3</v>
      </c>
      <c r="J774">
        <v>8</v>
      </c>
      <c r="K774">
        <v>2</v>
      </c>
      <c r="L774">
        <f t="shared" si="84"/>
        <v>1</v>
      </c>
      <c r="P774">
        <f t="shared" si="85"/>
        <v>1</v>
      </c>
      <c r="Q774">
        <f t="shared" si="86"/>
        <v>1</v>
      </c>
      <c r="R774">
        <f t="shared" si="87"/>
        <v>0</v>
      </c>
      <c r="S774">
        <f t="shared" si="88"/>
        <v>2</v>
      </c>
      <c r="T774" t="str">
        <f t="shared" si="89"/>
        <v>DerivedFromCount</v>
      </c>
      <c r="U774" t="str">
        <f>IF(COUNTIF(DailyProduction!$Q$5:$Q$100,B774)=1,"OK","CHECK")</f>
        <v>OK</v>
      </c>
      <c r="V774" t="str">
        <f t="shared" si="90"/>
        <v>OK</v>
      </c>
      <c r="W774" t="str">
        <f>IF(SUMIF($B$5:$B$914,B774,$S$5:$S$914)=SUMIF(DailyProduction!$Q$5:$Q$100,B774,DailyProduction!$R$5:$R$100),"OK","CHECK")</f>
        <v>OK</v>
      </c>
    </row>
    <row r="775" spans="1:23">
      <c r="A775" t="s">
        <v>1226</v>
      </c>
      <c r="B775" t="s">
        <v>1223</v>
      </c>
      <c r="C775" t="s">
        <v>30</v>
      </c>
      <c r="D775" s="7">
        <v>45951</v>
      </c>
      <c r="E775" t="s">
        <v>79</v>
      </c>
      <c r="F775" t="s">
        <v>37</v>
      </c>
      <c r="G775">
        <v>25</v>
      </c>
      <c r="H775" t="s">
        <v>62</v>
      </c>
      <c r="I775">
        <v>4</v>
      </c>
      <c r="J775">
        <v>8</v>
      </c>
      <c r="K775">
        <v>2</v>
      </c>
      <c r="L775">
        <f t="shared" si="84"/>
        <v>1</v>
      </c>
      <c r="P775">
        <f t="shared" si="85"/>
        <v>1</v>
      </c>
      <c r="Q775">
        <f t="shared" si="86"/>
        <v>1</v>
      </c>
      <c r="R775">
        <f t="shared" si="87"/>
        <v>0</v>
      </c>
      <c r="S775">
        <f t="shared" si="88"/>
        <v>2</v>
      </c>
      <c r="T775" t="str">
        <f t="shared" si="89"/>
        <v>DerivedFromCount</v>
      </c>
      <c r="U775" t="str">
        <f>IF(COUNTIF(DailyProduction!$Q$5:$Q$100,B775)=1,"OK","CHECK")</f>
        <v>OK</v>
      </c>
      <c r="V775" t="str">
        <f t="shared" si="90"/>
        <v>OK</v>
      </c>
      <c r="W775" t="str">
        <f>IF(SUMIF($B$5:$B$914,B775,$S$5:$S$914)=SUMIF(DailyProduction!$Q$5:$Q$100,B775,DailyProduction!$R$5:$R$100),"OK","CHECK")</f>
        <v>OK</v>
      </c>
    </row>
    <row r="776" spans="1:23">
      <c r="A776" t="s">
        <v>1227</v>
      </c>
      <c r="B776" t="s">
        <v>1223</v>
      </c>
      <c r="C776" t="s">
        <v>30</v>
      </c>
      <c r="D776" s="7">
        <v>45951</v>
      </c>
      <c r="E776" t="s">
        <v>79</v>
      </c>
      <c r="F776" t="s">
        <v>37</v>
      </c>
      <c r="G776">
        <v>25</v>
      </c>
      <c r="H776" t="s">
        <v>62</v>
      </c>
      <c r="I776">
        <v>5</v>
      </c>
      <c r="J776">
        <v>8</v>
      </c>
      <c r="K776">
        <v>2</v>
      </c>
      <c r="L776">
        <f t="shared" si="84"/>
        <v>1</v>
      </c>
      <c r="P776">
        <f t="shared" si="85"/>
        <v>1</v>
      </c>
      <c r="Q776">
        <f t="shared" si="86"/>
        <v>1</v>
      </c>
      <c r="R776">
        <f t="shared" si="87"/>
        <v>0</v>
      </c>
      <c r="S776">
        <f t="shared" si="88"/>
        <v>2</v>
      </c>
      <c r="T776" t="str">
        <f t="shared" si="89"/>
        <v>DerivedFromCount</v>
      </c>
      <c r="U776" t="str">
        <f>IF(COUNTIF(DailyProduction!$Q$5:$Q$100,B776)=1,"OK","CHECK")</f>
        <v>OK</v>
      </c>
      <c r="V776" t="str">
        <f t="shared" si="90"/>
        <v>OK</v>
      </c>
      <c r="W776" t="str">
        <f>IF(SUMIF($B$5:$B$914,B776,$S$5:$S$914)=SUMIF(DailyProduction!$Q$5:$Q$100,B776,DailyProduction!$R$5:$R$100),"OK","CHECK")</f>
        <v>OK</v>
      </c>
    </row>
    <row r="777" spans="1:23">
      <c r="A777" t="s">
        <v>1228</v>
      </c>
      <c r="B777" t="s">
        <v>1223</v>
      </c>
      <c r="C777" t="s">
        <v>30</v>
      </c>
      <c r="D777" s="7">
        <v>45951</v>
      </c>
      <c r="E777" t="s">
        <v>79</v>
      </c>
      <c r="F777" t="s">
        <v>37</v>
      </c>
      <c r="G777">
        <v>25</v>
      </c>
      <c r="H777" t="s">
        <v>62</v>
      </c>
      <c r="I777">
        <v>6</v>
      </c>
      <c r="J777">
        <v>8</v>
      </c>
      <c r="K777">
        <v>2</v>
      </c>
      <c r="L777">
        <f t="shared" si="84"/>
        <v>1</v>
      </c>
      <c r="P777">
        <f t="shared" si="85"/>
        <v>1</v>
      </c>
      <c r="Q777">
        <f t="shared" si="86"/>
        <v>1</v>
      </c>
      <c r="R777">
        <f t="shared" si="87"/>
        <v>0</v>
      </c>
      <c r="S777">
        <f t="shared" si="88"/>
        <v>2</v>
      </c>
      <c r="T777" t="str">
        <f t="shared" si="89"/>
        <v>DerivedFromCount</v>
      </c>
      <c r="U777" t="str">
        <f>IF(COUNTIF(DailyProduction!$Q$5:$Q$100,B777)=1,"OK","CHECK")</f>
        <v>OK</v>
      </c>
      <c r="V777" t="str">
        <f t="shared" si="90"/>
        <v>OK</v>
      </c>
      <c r="W777" t="str">
        <f>IF(SUMIF($B$5:$B$914,B777,$S$5:$S$914)=SUMIF(DailyProduction!$Q$5:$Q$100,B777,DailyProduction!$R$5:$R$100),"OK","CHECK")</f>
        <v>OK</v>
      </c>
    </row>
    <row r="778" spans="1:23">
      <c r="A778" t="s">
        <v>1229</v>
      </c>
      <c r="B778" t="s">
        <v>1223</v>
      </c>
      <c r="C778" t="s">
        <v>30</v>
      </c>
      <c r="D778" s="7">
        <v>45951</v>
      </c>
      <c r="E778" t="s">
        <v>79</v>
      </c>
      <c r="F778" t="s">
        <v>37</v>
      </c>
      <c r="G778">
        <v>25</v>
      </c>
      <c r="H778" t="s">
        <v>62</v>
      </c>
      <c r="I778">
        <v>7</v>
      </c>
      <c r="J778">
        <v>8</v>
      </c>
      <c r="K778">
        <v>2</v>
      </c>
      <c r="L778">
        <f t="shared" si="84"/>
        <v>1</v>
      </c>
      <c r="P778">
        <f t="shared" si="85"/>
        <v>1</v>
      </c>
      <c r="Q778">
        <f t="shared" si="86"/>
        <v>1</v>
      </c>
      <c r="R778">
        <f t="shared" si="87"/>
        <v>0</v>
      </c>
      <c r="S778">
        <f t="shared" si="88"/>
        <v>2</v>
      </c>
      <c r="T778" t="str">
        <f t="shared" si="89"/>
        <v>DerivedFromCount</v>
      </c>
      <c r="U778" t="str">
        <f>IF(COUNTIF(DailyProduction!$Q$5:$Q$100,B778)=1,"OK","CHECK")</f>
        <v>OK</v>
      </c>
      <c r="V778" t="str">
        <f t="shared" si="90"/>
        <v>OK</v>
      </c>
      <c r="W778" t="str">
        <f>IF(SUMIF($B$5:$B$914,B778,$S$5:$S$914)=SUMIF(DailyProduction!$Q$5:$Q$100,B778,DailyProduction!$R$5:$R$100),"OK","CHECK")</f>
        <v>OK</v>
      </c>
    </row>
    <row r="779" spans="1:23">
      <c r="A779" t="s">
        <v>1230</v>
      </c>
      <c r="B779" t="s">
        <v>1223</v>
      </c>
      <c r="C779" t="s">
        <v>30</v>
      </c>
      <c r="D779" s="7">
        <v>45951</v>
      </c>
      <c r="E779" t="s">
        <v>79</v>
      </c>
      <c r="F779" t="s">
        <v>37</v>
      </c>
      <c r="G779">
        <v>25</v>
      </c>
      <c r="H779" t="s">
        <v>62</v>
      </c>
      <c r="I779">
        <v>8</v>
      </c>
      <c r="J779">
        <v>8</v>
      </c>
      <c r="K779">
        <v>2</v>
      </c>
      <c r="L779">
        <f t="shared" si="84"/>
        <v>1</v>
      </c>
      <c r="P779">
        <f t="shared" si="85"/>
        <v>1</v>
      </c>
      <c r="Q779">
        <f t="shared" si="86"/>
        <v>1</v>
      </c>
      <c r="R779">
        <f t="shared" si="87"/>
        <v>0</v>
      </c>
      <c r="S779">
        <f t="shared" si="88"/>
        <v>2</v>
      </c>
      <c r="T779" t="str">
        <f t="shared" si="89"/>
        <v>DerivedFromCount</v>
      </c>
      <c r="U779" t="str">
        <f>IF(COUNTIF(DailyProduction!$Q$5:$Q$100,B779)=1,"OK","CHECK")</f>
        <v>OK</v>
      </c>
      <c r="V779" t="str">
        <f t="shared" si="90"/>
        <v>OK</v>
      </c>
      <c r="W779" t="str">
        <f>IF(SUMIF($B$5:$B$914,B779,$S$5:$S$914)=SUMIF(DailyProduction!$Q$5:$Q$100,B779,DailyProduction!$R$5:$R$100),"OK","CHECK")</f>
        <v>OK</v>
      </c>
    </row>
    <row r="780" spans="1:23">
      <c r="A780" t="s">
        <v>1231</v>
      </c>
      <c r="B780" t="s">
        <v>1223</v>
      </c>
      <c r="C780" t="s">
        <v>30</v>
      </c>
      <c r="D780" s="7">
        <v>45951</v>
      </c>
      <c r="E780" t="s">
        <v>79</v>
      </c>
      <c r="F780" t="s">
        <v>37</v>
      </c>
      <c r="G780">
        <v>25</v>
      </c>
      <c r="H780" t="s">
        <v>62</v>
      </c>
      <c r="I780">
        <v>9</v>
      </c>
      <c r="J780">
        <v>8</v>
      </c>
      <c r="K780">
        <v>2</v>
      </c>
      <c r="L780">
        <f t="shared" si="84"/>
        <v>0</v>
      </c>
      <c r="P780">
        <f t="shared" si="85"/>
        <v>0</v>
      </c>
      <c r="Q780">
        <f t="shared" si="86"/>
        <v>0</v>
      </c>
      <c r="R780">
        <f t="shared" si="87"/>
        <v>0</v>
      </c>
      <c r="S780">
        <f t="shared" si="88"/>
        <v>0</v>
      </c>
      <c r="T780" t="str">
        <f t="shared" si="89"/>
        <v>DerivedFromCount</v>
      </c>
      <c r="U780" t="str">
        <f>IF(COUNTIF(DailyProduction!$Q$5:$Q$100,B780)=1,"OK","CHECK")</f>
        <v>OK</v>
      </c>
      <c r="V780" t="str">
        <f t="shared" si="90"/>
        <v>OK</v>
      </c>
      <c r="W780" t="str">
        <f>IF(SUMIF($B$5:$B$914,B780,$S$5:$S$914)=SUMIF(DailyProduction!$Q$5:$Q$100,B780,DailyProduction!$R$5:$R$100),"OK","CHECK")</f>
        <v>OK</v>
      </c>
    </row>
    <row r="781" spans="1:23">
      <c r="A781" t="s">
        <v>1232</v>
      </c>
      <c r="B781" t="s">
        <v>1223</v>
      </c>
      <c r="C781" t="s">
        <v>30</v>
      </c>
      <c r="D781" s="7">
        <v>45951</v>
      </c>
      <c r="E781" t="s">
        <v>79</v>
      </c>
      <c r="F781" t="s">
        <v>37</v>
      </c>
      <c r="G781">
        <v>25</v>
      </c>
      <c r="H781" t="s">
        <v>62</v>
      </c>
      <c r="I781">
        <v>10</v>
      </c>
      <c r="J781">
        <v>8</v>
      </c>
      <c r="K781">
        <v>2</v>
      </c>
      <c r="L781">
        <f t="shared" si="84"/>
        <v>0</v>
      </c>
      <c r="P781">
        <f t="shared" si="85"/>
        <v>0</v>
      </c>
      <c r="Q781">
        <f t="shared" si="86"/>
        <v>0</v>
      </c>
      <c r="R781">
        <f t="shared" si="87"/>
        <v>0</v>
      </c>
      <c r="S781">
        <f t="shared" si="88"/>
        <v>0</v>
      </c>
      <c r="T781" t="str">
        <f t="shared" si="89"/>
        <v>DerivedFromCount</v>
      </c>
      <c r="U781" t="str">
        <f>IF(COUNTIF(DailyProduction!$Q$5:$Q$100,B781)=1,"OK","CHECK")</f>
        <v>OK</v>
      </c>
      <c r="V781" t="str">
        <f t="shared" si="90"/>
        <v>OK</v>
      </c>
      <c r="W781" t="str">
        <f>IF(SUMIF($B$5:$B$914,B781,$S$5:$S$914)=SUMIF(DailyProduction!$Q$5:$Q$100,B781,DailyProduction!$R$5:$R$100),"OK","CHECK")</f>
        <v>OK</v>
      </c>
    </row>
    <row r="782" spans="1:23">
      <c r="A782" t="s">
        <v>1233</v>
      </c>
      <c r="B782" t="s">
        <v>1223</v>
      </c>
      <c r="C782" t="s">
        <v>30</v>
      </c>
      <c r="D782" s="7">
        <v>45951</v>
      </c>
      <c r="E782" t="s">
        <v>79</v>
      </c>
      <c r="F782" t="s">
        <v>37</v>
      </c>
      <c r="G782">
        <v>25</v>
      </c>
      <c r="H782" t="s">
        <v>62</v>
      </c>
      <c r="I782">
        <v>11</v>
      </c>
      <c r="J782">
        <v>8</v>
      </c>
      <c r="K782">
        <v>2</v>
      </c>
      <c r="L782">
        <f t="shared" si="84"/>
        <v>0</v>
      </c>
      <c r="P782">
        <f t="shared" si="85"/>
        <v>0</v>
      </c>
      <c r="Q782">
        <f t="shared" si="86"/>
        <v>0</v>
      </c>
      <c r="R782">
        <f t="shared" si="87"/>
        <v>0</v>
      </c>
      <c r="S782">
        <f t="shared" si="88"/>
        <v>0</v>
      </c>
      <c r="T782" t="str">
        <f t="shared" si="89"/>
        <v>DerivedFromCount</v>
      </c>
      <c r="U782" t="str">
        <f>IF(COUNTIF(DailyProduction!$Q$5:$Q$100,B782)=1,"OK","CHECK")</f>
        <v>OK</v>
      </c>
      <c r="V782" t="str">
        <f t="shared" si="90"/>
        <v>OK</v>
      </c>
      <c r="W782" t="str">
        <f>IF(SUMIF($B$5:$B$914,B782,$S$5:$S$914)=SUMIF(DailyProduction!$Q$5:$Q$100,B782,DailyProduction!$R$5:$R$100),"OK","CHECK")</f>
        <v>OK</v>
      </c>
    </row>
    <row r="783" spans="1:23">
      <c r="A783" t="s">
        <v>1234</v>
      </c>
      <c r="B783" t="s">
        <v>1223</v>
      </c>
      <c r="C783" t="s">
        <v>30</v>
      </c>
      <c r="D783" s="7">
        <v>45951</v>
      </c>
      <c r="E783" t="s">
        <v>79</v>
      </c>
      <c r="F783" t="s">
        <v>37</v>
      </c>
      <c r="G783">
        <v>25</v>
      </c>
      <c r="H783" t="s">
        <v>62</v>
      </c>
      <c r="I783">
        <v>12</v>
      </c>
      <c r="J783">
        <v>8</v>
      </c>
      <c r="K783">
        <v>2</v>
      </c>
      <c r="L783">
        <f t="shared" si="84"/>
        <v>0</v>
      </c>
      <c r="P783">
        <f t="shared" si="85"/>
        <v>0</v>
      </c>
      <c r="Q783">
        <f t="shared" si="86"/>
        <v>0</v>
      </c>
      <c r="R783">
        <f t="shared" si="87"/>
        <v>0</v>
      </c>
      <c r="S783">
        <f t="shared" si="88"/>
        <v>0</v>
      </c>
      <c r="T783" t="str">
        <f t="shared" si="89"/>
        <v>DerivedFromCount</v>
      </c>
      <c r="U783" t="str">
        <f>IF(COUNTIF(DailyProduction!$Q$5:$Q$100,B783)=1,"OK","CHECK")</f>
        <v>OK</v>
      </c>
      <c r="V783" t="str">
        <f t="shared" si="90"/>
        <v>OK</v>
      </c>
      <c r="W783" t="str">
        <f>IF(SUMIF($B$5:$B$914,B783,$S$5:$S$914)=SUMIF(DailyProduction!$Q$5:$Q$100,B783,DailyProduction!$R$5:$R$100),"OK","CHECK")</f>
        <v>OK</v>
      </c>
    </row>
    <row r="784" spans="1:23">
      <c r="A784" t="s">
        <v>1235</v>
      </c>
      <c r="B784" t="s">
        <v>1223</v>
      </c>
      <c r="C784" t="s">
        <v>30</v>
      </c>
      <c r="D784" s="7">
        <v>45951</v>
      </c>
      <c r="E784" t="s">
        <v>79</v>
      </c>
      <c r="F784" t="s">
        <v>37</v>
      </c>
      <c r="G784">
        <v>25</v>
      </c>
      <c r="H784" t="s">
        <v>62</v>
      </c>
      <c r="I784">
        <v>13</v>
      </c>
      <c r="J784">
        <v>8</v>
      </c>
      <c r="K784">
        <v>2</v>
      </c>
      <c r="L784">
        <f t="shared" si="84"/>
        <v>0</v>
      </c>
      <c r="P784">
        <f t="shared" si="85"/>
        <v>0</v>
      </c>
      <c r="Q784">
        <f t="shared" si="86"/>
        <v>0</v>
      </c>
      <c r="R784">
        <f t="shared" si="87"/>
        <v>0</v>
      </c>
      <c r="S784">
        <f t="shared" si="88"/>
        <v>0</v>
      </c>
      <c r="T784" t="str">
        <f t="shared" si="89"/>
        <v>DerivedFromCount</v>
      </c>
      <c r="U784" t="str">
        <f>IF(COUNTIF(DailyProduction!$Q$5:$Q$100,B784)=1,"OK","CHECK")</f>
        <v>OK</v>
      </c>
      <c r="V784" t="str">
        <f t="shared" si="90"/>
        <v>OK</v>
      </c>
      <c r="W784" t="str">
        <f>IF(SUMIF($B$5:$B$914,B784,$S$5:$S$914)=SUMIF(DailyProduction!$Q$5:$Q$100,B784,DailyProduction!$R$5:$R$100),"OK","CHECK")</f>
        <v>OK</v>
      </c>
    </row>
    <row r="785" spans="1:23">
      <c r="A785" t="s">
        <v>1236</v>
      </c>
      <c r="B785" t="s">
        <v>1237</v>
      </c>
      <c r="C785" t="s">
        <v>30</v>
      </c>
      <c r="D785" s="7">
        <v>45952</v>
      </c>
      <c r="E785" t="s">
        <v>31</v>
      </c>
      <c r="F785" t="s">
        <v>37</v>
      </c>
      <c r="G785">
        <v>25</v>
      </c>
      <c r="H785" t="s">
        <v>62</v>
      </c>
      <c r="I785">
        <v>1</v>
      </c>
      <c r="J785">
        <v>8</v>
      </c>
      <c r="K785">
        <v>2</v>
      </c>
      <c r="L785">
        <f t="shared" si="84"/>
        <v>1</v>
      </c>
      <c r="P785">
        <f t="shared" si="85"/>
        <v>1</v>
      </c>
      <c r="Q785">
        <f t="shared" si="86"/>
        <v>1</v>
      </c>
      <c r="R785">
        <f t="shared" si="87"/>
        <v>0</v>
      </c>
      <c r="S785">
        <f t="shared" si="88"/>
        <v>2</v>
      </c>
      <c r="T785" t="str">
        <f t="shared" si="89"/>
        <v>DerivedFromCount</v>
      </c>
      <c r="U785" t="str">
        <f>IF(COUNTIF(DailyProduction!$Q$5:$Q$100,B785)=1,"OK","CHECK")</f>
        <v>OK</v>
      </c>
      <c r="V785" t="str">
        <f t="shared" si="90"/>
        <v>OK</v>
      </c>
      <c r="W785" t="str">
        <f>IF(SUMIF($B$5:$B$914,B785,$S$5:$S$914)=SUMIF(DailyProduction!$Q$5:$Q$100,B785,DailyProduction!$R$5:$R$100),"OK","CHECK")</f>
        <v>OK</v>
      </c>
    </row>
    <row r="786" spans="1:23">
      <c r="A786" t="s">
        <v>1238</v>
      </c>
      <c r="B786" t="s">
        <v>1237</v>
      </c>
      <c r="C786" t="s">
        <v>30</v>
      </c>
      <c r="D786" s="7">
        <v>45952</v>
      </c>
      <c r="E786" t="s">
        <v>31</v>
      </c>
      <c r="F786" t="s">
        <v>37</v>
      </c>
      <c r="G786">
        <v>25</v>
      </c>
      <c r="H786" t="s">
        <v>62</v>
      </c>
      <c r="I786">
        <v>2</v>
      </c>
      <c r="J786">
        <v>8</v>
      </c>
      <c r="K786">
        <v>2</v>
      </c>
      <c r="L786">
        <f t="shared" si="84"/>
        <v>1</v>
      </c>
      <c r="P786">
        <f t="shared" si="85"/>
        <v>1</v>
      </c>
      <c r="Q786">
        <f t="shared" si="86"/>
        <v>1</v>
      </c>
      <c r="R786">
        <f t="shared" si="87"/>
        <v>0</v>
      </c>
      <c r="S786">
        <f t="shared" si="88"/>
        <v>2</v>
      </c>
      <c r="T786" t="str">
        <f t="shared" si="89"/>
        <v>DerivedFromCount</v>
      </c>
      <c r="U786" t="str">
        <f>IF(COUNTIF(DailyProduction!$Q$5:$Q$100,B786)=1,"OK","CHECK")</f>
        <v>OK</v>
      </c>
      <c r="V786" t="str">
        <f t="shared" si="90"/>
        <v>OK</v>
      </c>
      <c r="W786" t="str">
        <f>IF(SUMIF($B$5:$B$914,B786,$S$5:$S$914)=SUMIF(DailyProduction!$Q$5:$Q$100,B786,DailyProduction!$R$5:$R$100),"OK","CHECK")</f>
        <v>OK</v>
      </c>
    </row>
    <row r="787" spans="1:23">
      <c r="A787" t="s">
        <v>1239</v>
      </c>
      <c r="B787" t="s">
        <v>1237</v>
      </c>
      <c r="C787" t="s">
        <v>30</v>
      </c>
      <c r="D787" s="7">
        <v>45952</v>
      </c>
      <c r="E787" t="s">
        <v>31</v>
      </c>
      <c r="F787" t="s">
        <v>37</v>
      </c>
      <c r="G787">
        <v>25</v>
      </c>
      <c r="H787" t="s">
        <v>62</v>
      </c>
      <c r="I787">
        <v>3</v>
      </c>
      <c r="J787">
        <v>8</v>
      </c>
      <c r="K787">
        <v>2</v>
      </c>
      <c r="L787">
        <f t="shared" si="84"/>
        <v>1</v>
      </c>
      <c r="P787">
        <f t="shared" si="85"/>
        <v>1</v>
      </c>
      <c r="Q787">
        <f t="shared" si="86"/>
        <v>1</v>
      </c>
      <c r="R787">
        <f t="shared" si="87"/>
        <v>0</v>
      </c>
      <c r="S787">
        <f t="shared" si="88"/>
        <v>2</v>
      </c>
      <c r="T787" t="str">
        <f t="shared" si="89"/>
        <v>DerivedFromCount</v>
      </c>
      <c r="U787" t="str">
        <f>IF(COUNTIF(DailyProduction!$Q$5:$Q$100,B787)=1,"OK","CHECK")</f>
        <v>OK</v>
      </c>
      <c r="V787" t="str">
        <f t="shared" si="90"/>
        <v>OK</v>
      </c>
      <c r="W787" t="str">
        <f>IF(SUMIF($B$5:$B$914,B787,$S$5:$S$914)=SUMIF(DailyProduction!$Q$5:$Q$100,B787,DailyProduction!$R$5:$R$100),"OK","CHECK")</f>
        <v>OK</v>
      </c>
    </row>
    <row r="788" spans="1:23">
      <c r="A788" t="s">
        <v>1240</v>
      </c>
      <c r="B788" t="s">
        <v>1237</v>
      </c>
      <c r="C788" t="s">
        <v>30</v>
      </c>
      <c r="D788" s="7">
        <v>45952</v>
      </c>
      <c r="E788" t="s">
        <v>31</v>
      </c>
      <c r="F788" t="s">
        <v>37</v>
      </c>
      <c r="G788">
        <v>25</v>
      </c>
      <c r="H788" t="s">
        <v>62</v>
      </c>
      <c r="I788">
        <v>4</v>
      </c>
      <c r="J788">
        <v>8</v>
      </c>
      <c r="K788">
        <v>2</v>
      </c>
      <c r="L788">
        <f t="shared" si="84"/>
        <v>1</v>
      </c>
      <c r="P788">
        <f t="shared" si="85"/>
        <v>1</v>
      </c>
      <c r="Q788">
        <f t="shared" si="86"/>
        <v>1</v>
      </c>
      <c r="R788">
        <f t="shared" si="87"/>
        <v>0</v>
      </c>
      <c r="S788">
        <f t="shared" si="88"/>
        <v>2</v>
      </c>
      <c r="T788" t="str">
        <f t="shared" si="89"/>
        <v>DerivedFromCount</v>
      </c>
      <c r="U788" t="str">
        <f>IF(COUNTIF(DailyProduction!$Q$5:$Q$100,B788)=1,"OK","CHECK")</f>
        <v>OK</v>
      </c>
      <c r="V788" t="str">
        <f t="shared" si="90"/>
        <v>OK</v>
      </c>
      <c r="W788" t="str">
        <f>IF(SUMIF($B$5:$B$914,B788,$S$5:$S$914)=SUMIF(DailyProduction!$Q$5:$Q$100,B788,DailyProduction!$R$5:$R$100),"OK","CHECK")</f>
        <v>OK</v>
      </c>
    </row>
    <row r="789" spans="1:23">
      <c r="A789" t="s">
        <v>1241</v>
      </c>
      <c r="B789" t="s">
        <v>1237</v>
      </c>
      <c r="C789" t="s">
        <v>30</v>
      </c>
      <c r="D789" s="7">
        <v>45952</v>
      </c>
      <c r="E789" t="s">
        <v>31</v>
      </c>
      <c r="F789" t="s">
        <v>37</v>
      </c>
      <c r="G789">
        <v>25</v>
      </c>
      <c r="H789" t="s">
        <v>62</v>
      </c>
      <c r="I789">
        <v>5</v>
      </c>
      <c r="J789">
        <v>8</v>
      </c>
      <c r="K789">
        <v>2</v>
      </c>
      <c r="L789">
        <f t="shared" si="84"/>
        <v>1</v>
      </c>
      <c r="P789">
        <f t="shared" si="85"/>
        <v>1</v>
      </c>
      <c r="Q789">
        <f t="shared" si="86"/>
        <v>1</v>
      </c>
      <c r="R789">
        <f t="shared" si="87"/>
        <v>0</v>
      </c>
      <c r="S789">
        <f t="shared" si="88"/>
        <v>2</v>
      </c>
      <c r="T789" t="str">
        <f t="shared" si="89"/>
        <v>DerivedFromCount</v>
      </c>
      <c r="U789" t="str">
        <f>IF(COUNTIF(DailyProduction!$Q$5:$Q$100,B789)=1,"OK","CHECK")</f>
        <v>OK</v>
      </c>
      <c r="V789" t="str">
        <f t="shared" si="90"/>
        <v>OK</v>
      </c>
      <c r="W789" t="str">
        <f>IF(SUMIF($B$5:$B$914,B789,$S$5:$S$914)=SUMIF(DailyProduction!$Q$5:$Q$100,B789,DailyProduction!$R$5:$R$100),"OK","CHECK")</f>
        <v>OK</v>
      </c>
    </row>
    <row r="790" spans="1:23">
      <c r="A790" t="s">
        <v>1242</v>
      </c>
      <c r="B790" t="s">
        <v>1237</v>
      </c>
      <c r="C790" t="s">
        <v>30</v>
      </c>
      <c r="D790" s="7">
        <v>45952</v>
      </c>
      <c r="E790" t="s">
        <v>31</v>
      </c>
      <c r="F790" t="s">
        <v>37</v>
      </c>
      <c r="G790">
        <v>25</v>
      </c>
      <c r="H790" t="s">
        <v>62</v>
      </c>
      <c r="I790">
        <v>6</v>
      </c>
      <c r="J790">
        <v>8</v>
      </c>
      <c r="K790">
        <v>2</v>
      </c>
      <c r="L790">
        <f t="shared" si="84"/>
        <v>1</v>
      </c>
      <c r="P790">
        <f t="shared" si="85"/>
        <v>1</v>
      </c>
      <c r="Q790">
        <f t="shared" si="86"/>
        <v>1</v>
      </c>
      <c r="R790">
        <f t="shared" si="87"/>
        <v>0</v>
      </c>
      <c r="S790">
        <f t="shared" si="88"/>
        <v>2</v>
      </c>
      <c r="T790" t="str">
        <f t="shared" si="89"/>
        <v>DerivedFromCount</v>
      </c>
      <c r="U790" t="str">
        <f>IF(COUNTIF(DailyProduction!$Q$5:$Q$100,B790)=1,"OK","CHECK")</f>
        <v>OK</v>
      </c>
      <c r="V790" t="str">
        <f t="shared" si="90"/>
        <v>OK</v>
      </c>
      <c r="W790" t="str">
        <f>IF(SUMIF($B$5:$B$914,B790,$S$5:$S$914)=SUMIF(DailyProduction!$Q$5:$Q$100,B790,DailyProduction!$R$5:$R$100),"OK","CHECK")</f>
        <v>OK</v>
      </c>
    </row>
    <row r="791" spans="1:23">
      <c r="A791" t="s">
        <v>1243</v>
      </c>
      <c r="B791" t="s">
        <v>1237</v>
      </c>
      <c r="C791" t="s">
        <v>30</v>
      </c>
      <c r="D791" s="7">
        <v>45952</v>
      </c>
      <c r="E791" t="s">
        <v>31</v>
      </c>
      <c r="F791" t="s">
        <v>37</v>
      </c>
      <c r="G791">
        <v>25</v>
      </c>
      <c r="H791" t="s">
        <v>62</v>
      </c>
      <c r="I791">
        <v>7</v>
      </c>
      <c r="J791">
        <v>8</v>
      </c>
      <c r="K791">
        <v>2</v>
      </c>
      <c r="L791">
        <f t="shared" si="84"/>
        <v>1</v>
      </c>
      <c r="P791">
        <f t="shared" si="85"/>
        <v>1</v>
      </c>
      <c r="Q791">
        <f t="shared" si="86"/>
        <v>1</v>
      </c>
      <c r="R791">
        <f t="shared" si="87"/>
        <v>0</v>
      </c>
      <c r="S791">
        <f t="shared" si="88"/>
        <v>2</v>
      </c>
      <c r="T791" t="str">
        <f t="shared" si="89"/>
        <v>DerivedFromCount</v>
      </c>
      <c r="U791" t="str">
        <f>IF(COUNTIF(DailyProduction!$Q$5:$Q$100,B791)=1,"OK","CHECK")</f>
        <v>OK</v>
      </c>
      <c r="V791" t="str">
        <f t="shared" si="90"/>
        <v>OK</v>
      </c>
      <c r="W791" t="str">
        <f>IF(SUMIF($B$5:$B$914,B791,$S$5:$S$914)=SUMIF(DailyProduction!$Q$5:$Q$100,B791,DailyProduction!$R$5:$R$100),"OK","CHECK")</f>
        <v>OK</v>
      </c>
    </row>
    <row r="792" spans="1:23">
      <c r="A792" t="s">
        <v>1244</v>
      </c>
      <c r="B792" t="s">
        <v>1237</v>
      </c>
      <c r="C792" t="s">
        <v>30</v>
      </c>
      <c r="D792" s="7">
        <v>45952</v>
      </c>
      <c r="E792" t="s">
        <v>31</v>
      </c>
      <c r="F792" t="s">
        <v>37</v>
      </c>
      <c r="G792">
        <v>25</v>
      </c>
      <c r="H792" t="s">
        <v>62</v>
      </c>
      <c r="I792">
        <v>8</v>
      </c>
      <c r="J792">
        <v>8</v>
      </c>
      <c r="K792">
        <v>2</v>
      </c>
      <c r="L792">
        <f t="shared" si="84"/>
        <v>1</v>
      </c>
      <c r="P792">
        <f t="shared" si="85"/>
        <v>1</v>
      </c>
      <c r="Q792">
        <f t="shared" si="86"/>
        <v>1</v>
      </c>
      <c r="R792">
        <f t="shared" si="87"/>
        <v>0</v>
      </c>
      <c r="S792">
        <f t="shared" si="88"/>
        <v>2</v>
      </c>
      <c r="T792" t="str">
        <f t="shared" si="89"/>
        <v>DerivedFromCount</v>
      </c>
      <c r="U792" t="str">
        <f>IF(COUNTIF(DailyProduction!$Q$5:$Q$100,B792)=1,"OK","CHECK")</f>
        <v>OK</v>
      </c>
      <c r="V792" t="str">
        <f t="shared" si="90"/>
        <v>OK</v>
      </c>
      <c r="W792" t="str">
        <f>IF(SUMIF($B$5:$B$914,B792,$S$5:$S$914)=SUMIF(DailyProduction!$Q$5:$Q$100,B792,DailyProduction!$R$5:$R$100),"OK","CHECK")</f>
        <v>OK</v>
      </c>
    </row>
    <row r="793" spans="1:23">
      <c r="A793" t="s">
        <v>1245</v>
      </c>
      <c r="B793" t="s">
        <v>1237</v>
      </c>
      <c r="C793" t="s">
        <v>30</v>
      </c>
      <c r="D793" s="7">
        <v>45952</v>
      </c>
      <c r="E793" t="s">
        <v>31</v>
      </c>
      <c r="F793" t="s">
        <v>37</v>
      </c>
      <c r="G793">
        <v>25</v>
      </c>
      <c r="H793" t="s">
        <v>62</v>
      </c>
      <c r="I793">
        <v>9</v>
      </c>
      <c r="J793">
        <v>8</v>
      </c>
      <c r="K793">
        <v>2</v>
      </c>
      <c r="L793">
        <f t="shared" si="84"/>
        <v>0</v>
      </c>
      <c r="P793">
        <f t="shared" si="85"/>
        <v>0</v>
      </c>
      <c r="Q793">
        <f t="shared" si="86"/>
        <v>0</v>
      </c>
      <c r="R793">
        <f t="shared" si="87"/>
        <v>0</v>
      </c>
      <c r="S793">
        <f t="shared" si="88"/>
        <v>0</v>
      </c>
      <c r="T793" t="str">
        <f t="shared" si="89"/>
        <v>DerivedFromCount</v>
      </c>
      <c r="U793" t="str">
        <f>IF(COUNTIF(DailyProduction!$Q$5:$Q$100,B793)=1,"OK","CHECK")</f>
        <v>OK</v>
      </c>
      <c r="V793" t="str">
        <f t="shared" si="90"/>
        <v>OK</v>
      </c>
      <c r="W793" t="str">
        <f>IF(SUMIF($B$5:$B$914,B793,$S$5:$S$914)=SUMIF(DailyProduction!$Q$5:$Q$100,B793,DailyProduction!$R$5:$R$100),"OK","CHECK")</f>
        <v>OK</v>
      </c>
    </row>
    <row r="794" spans="1:23">
      <c r="A794" t="s">
        <v>1246</v>
      </c>
      <c r="B794" t="s">
        <v>1237</v>
      </c>
      <c r="C794" t="s">
        <v>30</v>
      </c>
      <c r="D794" s="7">
        <v>45952</v>
      </c>
      <c r="E794" t="s">
        <v>31</v>
      </c>
      <c r="F794" t="s">
        <v>37</v>
      </c>
      <c r="G794">
        <v>25</v>
      </c>
      <c r="H794" t="s">
        <v>62</v>
      </c>
      <c r="I794">
        <v>10</v>
      </c>
      <c r="J794">
        <v>8</v>
      </c>
      <c r="K794">
        <v>2</v>
      </c>
      <c r="L794">
        <f t="shared" si="84"/>
        <v>0</v>
      </c>
      <c r="P794">
        <f t="shared" si="85"/>
        <v>0</v>
      </c>
      <c r="Q794">
        <f t="shared" si="86"/>
        <v>0</v>
      </c>
      <c r="R794">
        <f t="shared" si="87"/>
        <v>0</v>
      </c>
      <c r="S794">
        <f t="shared" si="88"/>
        <v>0</v>
      </c>
      <c r="T794" t="str">
        <f t="shared" si="89"/>
        <v>DerivedFromCount</v>
      </c>
      <c r="U794" t="str">
        <f>IF(COUNTIF(DailyProduction!$Q$5:$Q$100,B794)=1,"OK","CHECK")</f>
        <v>OK</v>
      </c>
      <c r="V794" t="str">
        <f t="shared" si="90"/>
        <v>OK</v>
      </c>
      <c r="W794" t="str">
        <f>IF(SUMIF($B$5:$B$914,B794,$S$5:$S$914)=SUMIF(DailyProduction!$Q$5:$Q$100,B794,DailyProduction!$R$5:$R$100),"OK","CHECK")</f>
        <v>OK</v>
      </c>
    </row>
    <row r="795" spans="1:23">
      <c r="A795" t="s">
        <v>1247</v>
      </c>
      <c r="B795" t="s">
        <v>1237</v>
      </c>
      <c r="C795" t="s">
        <v>30</v>
      </c>
      <c r="D795" s="7">
        <v>45952</v>
      </c>
      <c r="E795" t="s">
        <v>31</v>
      </c>
      <c r="F795" t="s">
        <v>37</v>
      </c>
      <c r="G795">
        <v>25</v>
      </c>
      <c r="H795" t="s">
        <v>62</v>
      </c>
      <c r="I795">
        <v>11</v>
      </c>
      <c r="J795">
        <v>8</v>
      </c>
      <c r="K795">
        <v>2</v>
      </c>
      <c r="L795">
        <f t="shared" si="84"/>
        <v>0</v>
      </c>
      <c r="P795">
        <f t="shared" si="85"/>
        <v>0</v>
      </c>
      <c r="Q795">
        <f t="shared" si="86"/>
        <v>0</v>
      </c>
      <c r="R795">
        <f t="shared" si="87"/>
        <v>0</v>
      </c>
      <c r="S795">
        <f t="shared" si="88"/>
        <v>0</v>
      </c>
      <c r="T795" t="str">
        <f t="shared" si="89"/>
        <v>DerivedFromCount</v>
      </c>
      <c r="U795" t="str">
        <f>IF(COUNTIF(DailyProduction!$Q$5:$Q$100,B795)=1,"OK","CHECK")</f>
        <v>OK</v>
      </c>
      <c r="V795" t="str">
        <f t="shared" si="90"/>
        <v>OK</v>
      </c>
      <c r="W795" t="str">
        <f>IF(SUMIF($B$5:$B$914,B795,$S$5:$S$914)=SUMIF(DailyProduction!$Q$5:$Q$100,B795,DailyProduction!$R$5:$R$100),"OK","CHECK")</f>
        <v>OK</v>
      </c>
    </row>
    <row r="796" spans="1:23">
      <c r="A796" t="s">
        <v>1248</v>
      </c>
      <c r="B796" t="s">
        <v>1237</v>
      </c>
      <c r="C796" t="s">
        <v>30</v>
      </c>
      <c r="D796" s="7">
        <v>45952</v>
      </c>
      <c r="E796" t="s">
        <v>31</v>
      </c>
      <c r="F796" t="s">
        <v>37</v>
      </c>
      <c r="G796">
        <v>25</v>
      </c>
      <c r="H796" t="s">
        <v>62</v>
      </c>
      <c r="I796">
        <v>12</v>
      </c>
      <c r="J796">
        <v>8</v>
      </c>
      <c r="K796">
        <v>2</v>
      </c>
      <c r="L796">
        <f t="shared" si="84"/>
        <v>0</v>
      </c>
      <c r="P796">
        <f t="shared" si="85"/>
        <v>0</v>
      </c>
      <c r="Q796">
        <f t="shared" si="86"/>
        <v>0</v>
      </c>
      <c r="R796">
        <f t="shared" si="87"/>
        <v>0</v>
      </c>
      <c r="S796">
        <f t="shared" si="88"/>
        <v>0</v>
      </c>
      <c r="T796" t="str">
        <f t="shared" si="89"/>
        <v>DerivedFromCount</v>
      </c>
      <c r="U796" t="str">
        <f>IF(COUNTIF(DailyProduction!$Q$5:$Q$100,B796)=1,"OK","CHECK")</f>
        <v>OK</v>
      </c>
      <c r="V796" t="str">
        <f t="shared" si="90"/>
        <v>OK</v>
      </c>
      <c r="W796" t="str">
        <f>IF(SUMIF($B$5:$B$914,B796,$S$5:$S$914)=SUMIF(DailyProduction!$Q$5:$Q$100,B796,DailyProduction!$R$5:$R$100),"OK","CHECK")</f>
        <v>OK</v>
      </c>
    </row>
    <row r="797" spans="1:23">
      <c r="A797" t="s">
        <v>1249</v>
      </c>
      <c r="B797" t="s">
        <v>1237</v>
      </c>
      <c r="C797" t="s">
        <v>30</v>
      </c>
      <c r="D797" s="7">
        <v>45952</v>
      </c>
      <c r="E797" t="s">
        <v>31</v>
      </c>
      <c r="F797" t="s">
        <v>37</v>
      </c>
      <c r="G797">
        <v>25</v>
      </c>
      <c r="H797" t="s">
        <v>62</v>
      </c>
      <c r="I797">
        <v>13</v>
      </c>
      <c r="J797">
        <v>8</v>
      </c>
      <c r="K797">
        <v>2</v>
      </c>
      <c r="L797">
        <f t="shared" si="84"/>
        <v>0</v>
      </c>
      <c r="P797">
        <f t="shared" si="85"/>
        <v>0</v>
      </c>
      <c r="Q797">
        <f t="shared" si="86"/>
        <v>0</v>
      </c>
      <c r="R797">
        <f t="shared" si="87"/>
        <v>0</v>
      </c>
      <c r="S797">
        <f t="shared" si="88"/>
        <v>0</v>
      </c>
      <c r="T797" t="str">
        <f t="shared" si="89"/>
        <v>DerivedFromCount</v>
      </c>
      <c r="U797" t="str">
        <f>IF(COUNTIF(DailyProduction!$Q$5:$Q$100,B797)=1,"OK","CHECK")</f>
        <v>OK</v>
      </c>
      <c r="V797" t="str">
        <f t="shared" si="90"/>
        <v>OK</v>
      </c>
      <c r="W797" t="str">
        <f>IF(SUMIF($B$5:$B$914,B797,$S$5:$S$914)=SUMIF(DailyProduction!$Q$5:$Q$100,B797,DailyProduction!$R$5:$R$100),"OK","CHECK")</f>
        <v>OK</v>
      </c>
    </row>
    <row r="798" spans="1:23">
      <c r="A798" t="s">
        <v>1250</v>
      </c>
      <c r="B798" t="s">
        <v>1251</v>
      </c>
      <c r="C798" t="s">
        <v>30</v>
      </c>
      <c r="D798" s="7">
        <v>45952</v>
      </c>
      <c r="E798" t="s">
        <v>79</v>
      </c>
      <c r="F798" t="s">
        <v>41</v>
      </c>
      <c r="G798">
        <v>25</v>
      </c>
      <c r="H798" t="s">
        <v>62</v>
      </c>
      <c r="I798">
        <v>1</v>
      </c>
      <c r="J798">
        <v>8</v>
      </c>
      <c r="K798">
        <v>2</v>
      </c>
      <c r="L798">
        <f t="shared" si="84"/>
        <v>1</v>
      </c>
      <c r="P798">
        <f t="shared" si="85"/>
        <v>1</v>
      </c>
      <c r="Q798">
        <f t="shared" si="86"/>
        <v>1</v>
      </c>
      <c r="R798">
        <f t="shared" si="87"/>
        <v>0</v>
      </c>
      <c r="S798">
        <f t="shared" si="88"/>
        <v>2</v>
      </c>
      <c r="T798" t="str">
        <f t="shared" si="89"/>
        <v>DerivedFromCount</v>
      </c>
      <c r="U798" t="str">
        <f>IF(COUNTIF(DailyProduction!$Q$5:$Q$100,B798)=1,"OK","CHECK")</f>
        <v>OK</v>
      </c>
      <c r="V798" t="str">
        <f t="shared" si="90"/>
        <v>OK</v>
      </c>
      <c r="W798" t="str">
        <f>IF(SUMIF($B$5:$B$914,B798,$S$5:$S$914)=SUMIF(DailyProduction!$Q$5:$Q$100,B798,DailyProduction!$R$5:$R$100),"OK","CHECK")</f>
        <v>OK</v>
      </c>
    </row>
    <row r="799" spans="1:23">
      <c r="A799" t="s">
        <v>1252</v>
      </c>
      <c r="B799" t="s">
        <v>1251</v>
      </c>
      <c r="C799" t="s">
        <v>30</v>
      </c>
      <c r="D799" s="7">
        <v>45952</v>
      </c>
      <c r="E799" t="s">
        <v>79</v>
      </c>
      <c r="F799" t="s">
        <v>41</v>
      </c>
      <c r="G799">
        <v>25</v>
      </c>
      <c r="H799" t="s">
        <v>62</v>
      </c>
      <c r="I799">
        <v>2</v>
      </c>
      <c r="J799">
        <v>8</v>
      </c>
      <c r="K799">
        <v>2</v>
      </c>
      <c r="L799">
        <f t="shared" si="84"/>
        <v>1</v>
      </c>
      <c r="P799">
        <f t="shared" si="85"/>
        <v>1</v>
      </c>
      <c r="Q799">
        <f t="shared" si="86"/>
        <v>1</v>
      </c>
      <c r="R799">
        <f t="shared" si="87"/>
        <v>0</v>
      </c>
      <c r="S799">
        <f t="shared" si="88"/>
        <v>2</v>
      </c>
      <c r="T799" t="str">
        <f t="shared" si="89"/>
        <v>DerivedFromCount</v>
      </c>
      <c r="U799" t="str">
        <f>IF(COUNTIF(DailyProduction!$Q$5:$Q$100,B799)=1,"OK","CHECK")</f>
        <v>OK</v>
      </c>
      <c r="V799" t="str">
        <f t="shared" si="90"/>
        <v>OK</v>
      </c>
      <c r="W799" t="str">
        <f>IF(SUMIF($B$5:$B$914,B799,$S$5:$S$914)=SUMIF(DailyProduction!$Q$5:$Q$100,B799,DailyProduction!$R$5:$R$100),"OK","CHECK")</f>
        <v>OK</v>
      </c>
    </row>
    <row r="800" spans="1:23">
      <c r="A800" t="s">
        <v>1253</v>
      </c>
      <c r="B800" t="s">
        <v>1251</v>
      </c>
      <c r="C800" t="s">
        <v>30</v>
      </c>
      <c r="D800" s="7">
        <v>45952</v>
      </c>
      <c r="E800" t="s">
        <v>79</v>
      </c>
      <c r="F800" t="s">
        <v>41</v>
      </c>
      <c r="G800">
        <v>25</v>
      </c>
      <c r="H800" t="s">
        <v>62</v>
      </c>
      <c r="I800">
        <v>3</v>
      </c>
      <c r="J800">
        <v>8</v>
      </c>
      <c r="K800">
        <v>2</v>
      </c>
      <c r="L800">
        <f t="shared" si="84"/>
        <v>1</v>
      </c>
      <c r="P800">
        <f t="shared" si="85"/>
        <v>1</v>
      </c>
      <c r="Q800">
        <f t="shared" si="86"/>
        <v>1</v>
      </c>
      <c r="R800">
        <f t="shared" si="87"/>
        <v>0</v>
      </c>
      <c r="S800">
        <f t="shared" si="88"/>
        <v>2</v>
      </c>
      <c r="T800" t="str">
        <f t="shared" si="89"/>
        <v>DerivedFromCount</v>
      </c>
      <c r="U800" t="str">
        <f>IF(COUNTIF(DailyProduction!$Q$5:$Q$100,B800)=1,"OK","CHECK")</f>
        <v>OK</v>
      </c>
      <c r="V800" t="str">
        <f t="shared" si="90"/>
        <v>OK</v>
      </c>
      <c r="W800" t="str">
        <f>IF(SUMIF($B$5:$B$914,B800,$S$5:$S$914)=SUMIF(DailyProduction!$Q$5:$Q$100,B800,DailyProduction!$R$5:$R$100),"OK","CHECK")</f>
        <v>OK</v>
      </c>
    </row>
    <row r="801" spans="1:23">
      <c r="A801" t="s">
        <v>1254</v>
      </c>
      <c r="B801" t="s">
        <v>1251</v>
      </c>
      <c r="C801" t="s">
        <v>30</v>
      </c>
      <c r="D801" s="7">
        <v>45952</v>
      </c>
      <c r="E801" t="s">
        <v>79</v>
      </c>
      <c r="F801" t="s">
        <v>41</v>
      </c>
      <c r="G801">
        <v>25</v>
      </c>
      <c r="H801" t="s">
        <v>62</v>
      </c>
      <c r="I801">
        <v>4</v>
      </c>
      <c r="J801">
        <v>8</v>
      </c>
      <c r="K801">
        <v>2</v>
      </c>
      <c r="L801">
        <f t="shared" si="84"/>
        <v>1</v>
      </c>
      <c r="P801">
        <f t="shared" si="85"/>
        <v>1</v>
      </c>
      <c r="Q801">
        <f t="shared" si="86"/>
        <v>1</v>
      </c>
      <c r="R801">
        <f t="shared" si="87"/>
        <v>0</v>
      </c>
      <c r="S801">
        <f t="shared" si="88"/>
        <v>2</v>
      </c>
      <c r="T801" t="str">
        <f t="shared" si="89"/>
        <v>DerivedFromCount</v>
      </c>
      <c r="U801" t="str">
        <f>IF(COUNTIF(DailyProduction!$Q$5:$Q$100,B801)=1,"OK","CHECK")</f>
        <v>OK</v>
      </c>
      <c r="V801" t="str">
        <f t="shared" si="90"/>
        <v>OK</v>
      </c>
      <c r="W801" t="str">
        <f>IF(SUMIF($B$5:$B$914,B801,$S$5:$S$914)=SUMIF(DailyProduction!$Q$5:$Q$100,B801,DailyProduction!$R$5:$R$100),"OK","CHECK")</f>
        <v>OK</v>
      </c>
    </row>
    <row r="802" spans="1:23">
      <c r="A802" t="s">
        <v>1255</v>
      </c>
      <c r="B802" t="s">
        <v>1251</v>
      </c>
      <c r="C802" t="s">
        <v>30</v>
      </c>
      <c r="D802" s="7">
        <v>45952</v>
      </c>
      <c r="E802" t="s">
        <v>79</v>
      </c>
      <c r="F802" t="s">
        <v>41</v>
      </c>
      <c r="G802">
        <v>25</v>
      </c>
      <c r="H802" t="s">
        <v>62</v>
      </c>
      <c r="I802">
        <v>5</v>
      </c>
      <c r="J802">
        <v>8</v>
      </c>
      <c r="K802">
        <v>2</v>
      </c>
      <c r="L802">
        <f t="shared" si="84"/>
        <v>1</v>
      </c>
      <c r="P802">
        <f t="shared" si="85"/>
        <v>1</v>
      </c>
      <c r="Q802">
        <f t="shared" si="86"/>
        <v>1</v>
      </c>
      <c r="R802">
        <f t="shared" si="87"/>
        <v>0</v>
      </c>
      <c r="S802">
        <f t="shared" si="88"/>
        <v>2</v>
      </c>
      <c r="T802" t="str">
        <f t="shared" si="89"/>
        <v>DerivedFromCount</v>
      </c>
      <c r="U802" t="str">
        <f>IF(COUNTIF(DailyProduction!$Q$5:$Q$100,B802)=1,"OK","CHECK")</f>
        <v>OK</v>
      </c>
      <c r="V802" t="str">
        <f t="shared" si="90"/>
        <v>OK</v>
      </c>
      <c r="W802" t="str">
        <f>IF(SUMIF($B$5:$B$914,B802,$S$5:$S$914)=SUMIF(DailyProduction!$Q$5:$Q$100,B802,DailyProduction!$R$5:$R$100),"OK","CHECK")</f>
        <v>OK</v>
      </c>
    </row>
    <row r="803" spans="1:23">
      <c r="A803" t="s">
        <v>1256</v>
      </c>
      <c r="B803" t="s">
        <v>1251</v>
      </c>
      <c r="C803" t="s">
        <v>30</v>
      </c>
      <c r="D803" s="7">
        <v>45952</v>
      </c>
      <c r="E803" t="s">
        <v>79</v>
      </c>
      <c r="F803" t="s">
        <v>41</v>
      </c>
      <c r="G803">
        <v>25</v>
      </c>
      <c r="H803" t="s">
        <v>62</v>
      </c>
      <c r="I803">
        <v>6</v>
      </c>
      <c r="J803">
        <v>8</v>
      </c>
      <c r="K803">
        <v>2</v>
      </c>
      <c r="L803">
        <f t="shared" si="84"/>
        <v>1</v>
      </c>
      <c r="P803">
        <f t="shared" si="85"/>
        <v>1</v>
      </c>
      <c r="Q803">
        <f t="shared" si="86"/>
        <v>1</v>
      </c>
      <c r="R803">
        <f t="shared" si="87"/>
        <v>0</v>
      </c>
      <c r="S803">
        <f t="shared" si="88"/>
        <v>2</v>
      </c>
      <c r="T803" t="str">
        <f t="shared" si="89"/>
        <v>DerivedFromCount</v>
      </c>
      <c r="U803" t="str">
        <f>IF(COUNTIF(DailyProduction!$Q$5:$Q$100,B803)=1,"OK","CHECK")</f>
        <v>OK</v>
      </c>
      <c r="V803" t="str">
        <f t="shared" si="90"/>
        <v>OK</v>
      </c>
      <c r="W803" t="str">
        <f>IF(SUMIF($B$5:$B$914,B803,$S$5:$S$914)=SUMIF(DailyProduction!$Q$5:$Q$100,B803,DailyProduction!$R$5:$R$100),"OK","CHECK")</f>
        <v>OK</v>
      </c>
    </row>
    <row r="804" spans="1:23">
      <c r="A804" t="s">
        <v>1257</v>
      </c>
      <c r="B804" t="s">
        <v>1251</v>
      </c>
      <c r="C804" t="s">
        <v>30</v>
      </c>
      <c r="D804" s="7">
        <v>45952</v>
      </c>
      <c r="E804" t="s">
        <v>79</v>
      </c>
      <c r="F804" t="s">
        <v>41</v>
      </c>
      <c r="G804">
        <v>25</v>
      </c>
      <c r="H804" t="s">
        <v>62</v>
      </c>
      <c r="I804">
        <v>7</v>
      </c>
      <c r="J804">
        <v>8</v>
      </c>
      <c r="K804">
        <v>2</v>
      </c>
      <c r="L804">
        <f t="shared" si="84"/>
        <v>1</v>
      </c>
      <c r="P804">
        <f t="shared" si="85"/>
        <v>1</v>
      </c>
      <c r="Q804">
        <f t="shared" si="86"/>
        <v>1</v>
      </c>
      <c r="R804">
        <f t="shared" si="87"/>
        <v>0</v>
      </c>
      <c r="S804">
        <f t="shared" si="88"/>
        <v>2</v>
      </c>
      <c r="T804" t="str">
        <f t="shared" si="89"/>
        <v>DerivedFromCount</v>
      </c>
      <c r="U804" t="str">
        <f>IF(COUNTIF(DailyProduction!$Q$5:$Q$100,B804)=1,"OK","CHECK")</f>
        <v>OK</v>
      </c>
      <c r="V804" t="str">
        <f t="shared" si="90"/>
        <v>OK</v>
      </c>
      <c r="W804" t="str">
        <f>IF(SUMIF($B$5:$B$914,B804,$S$5:$S$914)=SUMIF(DailyProduction!$Q$5:$Q$100,B804,DailyProduction!$R$5:$R$100),"OK","CHECK")</f>
        <v>OK</v>
      </c>
    </row>
    <row r="805" spans="1:23">
      <c r="A805" t="s">
        <v>1258</v>
      </c>
      <c r="B805" t="s">
        <v>1251</v>
      </c>
      <c r="C805" t="s">
        <v>30</v>
      </c>
      <c r="D805" s="7">
        <v>45952</v>
      </c>
      <c r="E805" t="s">
        <v>79</v>
      </c>
      <c r="F805" t="s">
        <v>41</v>
      </c>
      <c r="G805">
        <v>25</v>
      </c>
      <c r="H805" t="s">
        <v>62</v>
      </c>
      <c r="I805">
        <v>8</v>
      </c>
      <c r="J805">
        <v>8</v>
      </c>
      <c r="K805">
        <v>2</v>
      </c>
      <c r="L805">
        <f t="shared" si="84"/>
        <v>1</v>
      </c>
      <c r="P805">
        <f t="shared" si="85"/>
        <v>1</v>
      </c>
      <c r="Q805">
        <f t="shared" si="86"/>
        <v>1</v>
      </c>
      <c r="R805">
        <f t="shared" si="87"/>
        <v>0</v>
      </c>
      <c r="S805">
        <f t="shared" si="88"/>
        <v>2</v>
      </c>
      <c r="T805" t="str">
        <f t="shared" si="89"/>
        <v>DerivedFromCount</v>
      </c>
      <c r="U805" t="str">
        <f>IF(COUNTIF(DailyProduction!$Q$5:$Q$100,B805)=1,"OK","CHECK")</f>
        <v>OK</v>
      </c>
      <c r="V805" t="str">
        <f t="shared" si="90"/>
        <v>OK</v>
      </c>
      <c r="W805" t="str">
        <f>IF(SUMIF($B$5:$B$914,B805,$S$5:$S$914)=SUMIF(DailyProduction!$Q$5:$Q$100,B805,DailyProduction!$R$5:$R$100),"OK","CHECK")</f>
        <v>OK</v>
      </c>
    </row>
    <row r="806" spans="1:23">
      <c r="A806" t="s">
        <v>1259</v>
      </c>
      <c r="B806" t="s">
        <v>1251</v>
      </c>
      <c r="C806" t="s">
        <v>30</v>
      </c>
      <c r="D806" s="7">
        <v>45952</v>
      </c>
      <c r="E806" t="s">
        <v>79</v>
      </c>
      <c r="F806" t="s">
        <v>41</v>
      </c>
      <c r="G806">
        <v>25</v>
      </c>
      <c r="H806" t="s">
        <v>62</v>
      </c>
      <c r="I806">
        <v>9</v>
      </c>
      <c r="J806">
        <v>8</v>
      </c>
      <c r="K806">
        <v>2</v>
      </c>
      <c r="L806">
        <f t="shared" si="84"/>
        <v>0</v>
      </c>
      <c r="P806">
        <f t="shared" si="85"/>
        <v>0</v>
      </c>
      <c r="Q806">
        <f t="shared" si="86"/>
        <v>0</v>
      </c>
      <c r="R806">
        <f t="shared" si="87"/>
        <v>0</v>
      </c>
      <c r="S806">
        <f t="shared" si="88"/>
        <v>0</v>
      </c>
      <c r="T806" t="str">
        <f t="shared" si="89"/>
        <v>DerivedFromCount</v>
      </c>
      <c r="U806" t="str">
        <f>IF(COUNTIF(DailyProduction!$Q$5:$Q$100,B806)=1,"OK","CHECK")</f>
        <v>OK</v>
      </c>
      <c r="V806" t="str">
        <f t="shared" si="90"/>
        <v>OK</v>
      </c>
      <c r="W806" t="str">
        <f>IF(SUMIF($B$5:$B$914,B806,$S$5:$S$914)=SUMIF(DailyProduction!$Q$5:$Q$100,B806,DailyProduction!$R$5:$R$100),"OK","CHECK")</f>
        <v>OK</v>
      </c>
    </row>
    <row r="807" spans="1:23">
      <c r="A807" t="s">
        <v>1260</v>
      </c>
      <c r="B807" t="s">
        <v>1251</v>
      </c>
      <c r="C807" t="s">
        <v>30</v>
      </c>
      <c r="D807" s="7">
        <v>45952</v>
      </c>
      <c r="E807" t="s">
        <v>79</v>
      </c>
      <c r="F807" t="s">
        <v>41</v>
      </c>
      <c r="G807">
        <v>25</v>
      </c>
      <c r="H807" t="s">
        <v>62</v>
      </c>
      <c r="I807">
        <v>10</v>
      </c>
      <c r="J807">
        <v>8</v>
      </c>
      <c r="K807">
        <v>2</v>
      </c>
      <c r="L807">
        <f t="shared" si="84"/>
        <v>0</v>
      </c>
      <c r="P807">
        <f t="shared" si="85"/>
        <v>0</v>
      </c>
      <c r="Q807">
        <f t="shared" si="86"/>
        <v>0</v>
      </c>
      <c r="R807">
        <f t="shared" si="87"/>
        <v>0</v>
      </c>
      <c r="S807">
        <f t="shared" si="88"/>
        <v>0</v>
      </c>
      <c r="T807" t="str">
        <f t="shared" si="89"/>
        <v>DerivedFromCount</v>
      </c>
      <c r="U807" t="str">
        <f>IF(COUNTIF(DailyProduction!$Q$5:$Q$100,B807)=1,"OK","CHECK")</f>
        <v>OK</v>
      </c>
      <c r="V807" t="str">
        <f t="shared" si="90"/>
        <v>OK</v>
      </c>
      <c r="W807" t="str">
        <f>IF(SUMIF($B$5:$B$914,B807,$S$5:$S$914)=SUMIF(DailyProduction!$Q$5:$Q$100,B807,DailyProduction!$R$5:$R$100),"OK","CHECK")</f>
        <v>OK</v>
      </c>
    </row>
    <row r="808" spans="1:23">
      <c r="A808" t="s">
        <v>1261</v>
      </c>
      <c r="B808" t="s">
        <v>1251</v>
      </c>
      <c r="C808" t="s">
        <v>30</v>
      </c>
      <c r="D808" s="7">
        <v>45952</v>
      </c>
      <c r="E808" t="s">
        <v>79</v>
      </c>
      <c r="F808" t="s">
        <v>41</v>
      </c>
      <c r="G808">
        <v>25</v>
      </c>
      <c r="H808" t="s">
        <v>62</v>
      </c>
      <c r="I808">
        <v>11</v>
      </c>
      <c r="J808">
        <v>8</v>
      </c>
      <c r="K808">
        <v>2</v>
      </c>
      <c r="L808">
        <f t="shared" si="84"/>
        <v>0</v>
      </c>
      <c r="P808">
        <f t="shared" si="85"/>
        <v>0</v>
      </c>
      <c r="Q808">
        <f t="shared" si="86"/>
        <v>0</v>
      </c>
      <c r="R808">
        <f t="shared" si="87"/>
        <v>0</v>
      </c>
      <c r="S808">
        <f t="shared" si="88"/>
        <v>0</v>
      </c>
      <c r="T808" t="str">
        <f t="shared" si="89"/>
        <v>DerivedFromCount</v>
      </c>
      <c r="U808" t="str">
        <f>IF(COUNTIF(DailyProduction!$Q$5:$Q$100,B808)=1,"OK","CHECK")</f>
        <v>OK</v>
      </c>
      <c r="V808" t="str">
        <f t="shared" si="90"/>
        <v>OK</v>
      </c>
      <c r="W808" t="str">
        <f>IF(SUMIF($B$5:$B$914,B808,$S$5:$S$914)=SUMIF(DailyProduction!$Q$5:$Q$100,B808,DailyProduction!$R$5:$R$100),"OK","CHECK")</f>
        <v>OK</v>
      </c>
    </row>
    <row r="809" spans="1:23">
      <c r="A809" t="s">
        <v>1262</v>
      </c>
      <c r="B809" t="s">
        <v>1251</v>
      </c>
      <c r="C809" t="s">
        <v>30</v>
      </c>
      <c r="D809" s="7">
        <v>45952</v>
      </c>
      <c r="E809" t="s">
        <v>79</v>
      </c>
      <c r="F809" t="s">
        <v>41</v>
      </c>
      <c r="G809">
        <v>25</v>
      </c>
      <c r="H809" t="s">
        <v>62</v>
      </c>
      <c r="I809">
        <v>12</v>
      </c>
      <c r="J809">
        <v>8</v>
      </c>
      <c r="K809">
        <v>2</v>
      </c>
      <c r="L809">
        <f t="shared" si="84"/>
        <v>0</v>
      </c>
      <c r="P809">
        <f t="shared" si="85"/>
        <v>0</v>
      </c>
      <c r="Q809">
        <f t="shared" si="86"/>
        <v>0</v>
      </c>
      <c r="R809">
        <f t="shared" si="87"/>
        <v>0</v>
      </c>
      <c r="S809">
        <f t="shared" si="88"/>
        <v>0</v>
      </c>
      <c r="T809" t="str">
        <f t="shared" si="89"/>
        <v>DerivedFromCount</v>
      </c>
      <c r="U809" t="str">
        <f>IF(COUNTIF(DailyProduction!$Q$5:$Q$100,B809)=1,"OK","CHECK")</f>
        <v>OK</v>
      </c>
      <c r="V809" t="str">
        <f t="shared" si="90"/>
        <v>OK</v>
      </c>
      <c r="W809" t="str">
        <f>IF(SUMIF($B$5:$B$914,B809,$S$5:$S$914)=SUMIF(DailyProduction!$Q$5:$Q$100,B809,DailyProduction!$R$5:$R$100),"OK","CHECK")</f>
        <v>OK</v>
      </c>
    </row>
    <row r="810" spans="1:23">
      <c r="A810" t="s">
        <v>1263</v>
      </c>
      <c r="B810" t="s">
        <v>1251</v>
      </c>
      <c r="C810" t="s">
        <v>30</v>
      </c>
      <c r="D810" s="7">
        <v>45952</v>
      </c>
      <c r="E810" t="s">
        <v>79</v>
      </c>
      <c r="F810" t="s">
        <v>41</v>
      </c>
      <c r="G810">
        <v>25</v>
      </c>
      <c r="H810" t="s">
        <v>62</v>
      </c>
      <c r="I810">
        <v>13</v>
      </c>
      <c r="J810">
        <v>8</v>
      </c>
      <c r="K810">
        <v>2</v>
      </c>
      <c r="L810">
        <f t="shared" si="84"/>
        <v>0</v>
      </c>
      <c r="P810">
        <f t="shared" si="85"/>
        <v>0</v>
      </c>
      <c r="Q810">
        <f t="shared" si="86"/>
        <v>0</v>
      </c>
      <c r="R810">
        <f t="shared" si="87"/>
        <v>0</v>
      </c>
      <c r="S810">
        <f t="shared" si="88"/>
        <v>0</v>
      </c>
      <c r="T810" t="str">
        <f t="shared" si="89"/>
        <v>DerivedFromCount</v>
      </c>
      <c r="U810" t="str">
        <f>IF(COUNTIF(DailyProduction!$Q$5:$Q$100,B810)=1,"OK","CHECK")</f>
        <v>OK</v>
      </c>
      <c r="V810" t="str">
        <f t="shared" si="90"/>
        <v>OK</v>
      </c>
      <c r="W810" t="str">
        <f>IF(SUMIF($B$5:$B$914,B810,$S$5:$S$914)=SUMIF(DailyProduction!$Q$5:$Q$100,B810,DailyProduction!$R$5:$R$100),"OK","CHECK")</f>
        <v>OK</v>
      </c>
    </row>
    <row r="811" spans="1:23">
      <c r="A811" t="s">
        <v>1264</v>
      </c>
      <c r="B811" t="s">
        <v>1265</v>
      </c>
      <c r="C811" t="s">
        <v>30</v>
      </c>
      <c r="D811" s="7">
        <v>45953</v>
      </c>
      <c r="E811" t="s">
        <v>31</v>
      </c>
      <c r="F811" t="s">
        <v>41</v>
      </c>
      <c r="G811">
        <v>25</v>
      </c>
      <c r="H811" t="s">
        <v>63</v>
      </c>
      <c r="I811">
        <v>1</v>
      </c>
      <c r="J811">
        <v>8</v>
      </c>
      <c r="K811">
        <v>3</v>
      </c>
      <c r="L811">
        <f t="shared" si="84"/>
        <v>1</v>
      </c>
      <c r="P811">
        <f t="shared" si="85"/>
        <v>1</v>
      </c>
      <c r="Q811">
        <f t="shared" si="86"/>
        <v>1</v>
      </c>
      <c r="R811">
        <f t="shared" si="87"/>
        <v>1</v>
      </c>
      <c r="S811">
        <f t="shared" si="88"/>
        <v>3</v>
      </c>
      <c r="T811" t="str">
        <f t="shared" si="89"/>
        <v>DerivedFromCount</v>
      </c>
      <c r="U811" t="str">
        <f>IF(COUNTIF(DailyProduction!$Q$5:$Q$100,B811)=1,"OK","CHECK")</f>
        <v>OK</v>
      </c>
      <c r="V811" t="str">
        <f t="shared" si="90"/>
        <v>OK</v>
      </c>
      <c r="W811" t="str">
        <f>IF(SUMIF($B$5:$B$914,B811,$S$5:$S$914)=SUMIF(DailyProduction!$Q$5:$Q$100,B811,DailyProduction!$R$5:$R$100),"OK","CHECK")</f>
        <v>OK</v>
      </c>
    </row>
    <row r="812" spans="1:23">
      <c r="A812" t="s">
        <v>1266</v>
      </c>
      <c r="B812" t="s">
        <v>1265</v>
      </c>
      <c r="C812" t="s">
        <v>30</v>
      </c>
      <c r="D812" s="7">
        <v>45953</v>
      </c>
      <c r="E812" t="s">
        <v>31</v>
      </c>
      <c r="F812" t="s">
        <v>41</v>
      </c>
      <c r="G812">
        <v>25</v>
      </c>
      <c r="H812" t="s">
        <v>63</v>
      </c>
      <c r="I812">
        <v>2</v>
      </c>
      <c r="J812">
        <v>8</v>
      </c>
      <c r="K812">
        <v>3</v>
      </c>
      <c r="L812">
        <f t="shared" si="84"/>
        <v>1</v>
      </c>
      <c r="P812">
        <f t="shared" si="85"/>
        <v>1</v>
      </c>
      <c r="Q812">
        <f t="shared" si="86"/>
        <v>1</v>
      </c>
      <c r="R812">
        <f t="shared" si="87"/>
        <v>1</v>
      </c>
      <c r="S812">
        <f t="shared" si="88"/>
        <v>3</v>
      </c>
      <c r="T812" t="str">
        <f t="shared" si="89"/>
        <v>DerivedFromCount</v>
      </c>
      <c r="U812" t="str">
        <f>IF(COUNTIF(DailyProduction!$Q$5:$Q$100,B812)=1,"OK","CHECK")</f>
        <v>OK</v>
      </c>
      <c r="V812" t="str">
        <f t="shared" si="90"/>
        <v>OK</v>
      </c>
      <c r="W812" t="str">
        <f>IF(SUMIF($B$5:$B$914,B812,$S$5:$S$914)=SUMIF(DailyProduction!$Q$5:$Q$100,B812,DailyProduction!$R$5:$R$100),"OK","CHECK")</f>
        <v>OK</v>
      </c>
    </row>
    <row r="813" spans="1:23">
      <c r="A813" t="s">
        <v>1267</v>
      </c>
      <c r="B813" t="s">
        <v>1265</v>
      </c>
      <c r="C813" t="s">
        <v>30</v>
      </c>
      <c r="D813" s="7">
        <v>45953</v>
      </c>
      <c r="E813" t="s">
        <v>31</v>
      </c>
      <c r="F813" t="s">
        <v>41</v>
      </c>
      <c r="G813">
        <v>25</v>
      </c>
      <c r="H813" t="s">
        <v>63</v>
      </c>
      <c r="I813">
        <v>3</v>
      </c>
      <c r="J813">
        <v>8</v>
      </c>
      <c r="K813">
        <v>3</v>
      </c>
      <c r="L813">
        <f t="shared" si="84"/>
        <v>1</v>
      </c>
      <c r="P813">
        <f t="shared" si="85"/>
        <v>1</v>
      </c>
      <c r="Q813">
        <f t="shared" si="86"/>
        <v>1</v>
      </c>
      <c r="R813">
        <f t="shared" si="87"/>
        <v>1</v>
      </c>
      <c r="S813">
        <f t="shared" si="88"/>
        <v>3</v>
      </c>
      <c r="T813" t="str">
        <f t="shared" si="89"/>
        <v>DerivedFromCount</v>
      </c>
      <c r="U813" t="str">
        <f>IF(COUNTIF(DailyProduction!$Q$5:$Q$100,B813)=1,"OK","CHECK")</f>
        <v>OK</v>
      </c>
      <c r="V813" t="str">
        <f t="shared" si="90"/>
        <v>OK</v>
      </c>
      <c r="W813" t="str">
        <f>IF(SUMIF($B$5:$B$914,B813,$S$5:$S$914)=SUMIF(DailyProduction!$Q$5:$Q$100,B813,DailyProduction!$R$5:$R$100),"OK","CHECK")</f>
        <v>OK</v>
      </c>
    </row>
    <row r="814" spans="1:23">
      <c r="A814" t="s">
        <v>1268</v>
      </c>
      <c r="B814" t="s">
        <v>1265</v>
      </c>
      <c r="C814" t="s">
        <v>30</v>
      </c>
      <c r="D814" s="7">
        <v>45953</v>
      </c>
      <c r="E814" t="s">
        <v>31</v>
      </c>
      <c r="F814" t="s">
        <v>41</v>
      </c>
      <c r="G814">
        <v>25</v>
      </c>
      <c r="H814" t="s">
        <v>63</v>
      </c>
      <c r="I814">
        <v>4</v>
      </c>
      <c r="J814">
        <v>8</v>
      </c>
      <c r="K814">
        <v>3</v>
      </c>
      <c r="L814">
        <f t="shared" si="84"/>
        <v>1</v>
      </c>
      <c r="P814">
        <f t="shared" si="85"/>
        <v>1</v>
      </c>
      <c r="Q814">
        <f t="shared" si="86"/>
        <v>1</v>
      </c>
      <c r="R814">
        <f t="shared" si="87"/>
        <v>1</v>
      </c>
      <c r="S814">
        <f t="shared" si="88"/>
        <v>3</v>
      </c>
      <c r="T814" t="str">
        <f t="shared" si="89"/>
        <v>DerivedFromCount</v>
      </c>
      <c r="U814" t="str">
        <f>IF(COUNTIF(DailyProduction!$Q$5:$Q$100,B814)=1,"OK","CHECK")</f>
        <v>OK</v>
      </c>
      <c r="V814" t="str">
        <f t="shared" si="90"/>
        <v>OK</v>
      </c>
      <c r="W814" t="str">
        <f>IF(SUMIF($B$5:$B$914,B814,$S$5:$S$914)=SUMIF(DailyProduction!$Q$5:$Q$100,B814,DailyProduction!$R$5:$R$100),"OK","CHECK")</f>
        <v>OK</v>
      </c>
    </row>
    <row r="815" spans="1:23">
      <c r="A815" t="s">
        <v>1269</v>
      </c>
      <c r="B815" t="s">
        <v>1265</v>
      </c>
      <c r="C815" t="s">
        <v>30</v>
      </c>
      <c r="D815" s="7">
        <v>45953</v>
      </c>
      <c r="E815" t="s">
        <v>31</v>
      </c>
      <c r="F815" t="s">
        <v>41</v>
      </c>
      <c r="G815">
        <v>25</v>
      </c>
      <c r="H815" t="s">
        <v>63</v>
      </c>
      <c r="I815">
        <v>5</v>
      </c>
      <c r="J815">
        <v>8</v>
      </c>
      <c r="K815">
        <v>3</v>
      </c>
      <c r="L815">
        <f t="shared" si="84"/>
        <v>1</v>
      </c>
      <c r="P815">
        <f t="shared" si="85"/>
        <v>1</v>
      </c>
      <c r="Q815">
        <f t="shared" si="86"/>
        <v>1</v>
      </c>
      <c r="R815">
        <f t="shared" si="87"/>
        <v>1</v>
      </c>
      <c r="S815">
        <f t="shared" si="88"/>
        <v>3</v>
      </c>
      <c r="T815" t="str">
        <f t="shared" si="89"/>
        <v>DerivedFromCount</v>
      </c>
      <c r="U815" t="str">
        <f>IF(COUNTIF(DailyProduction!$Q$5:$Q$100,B815)=1,"OK","CHECK")</f>
        <v>OK</v>
      </c>
      <c r="V815" t="str">
        <f t="shared" si="90"/>
        <v>OK</v>
      </c>
      <c r="W815" t="str">
        <f>IF(SUMIF($B$5:$B$914,B815,$S$5:$S$914)=SUMIF(DailyProduction!$Q$5:$Q$100,B815,DailyProduction!$R$5:$R$100),"OK","CHECK")</f>
        <v>OK</v>
      </c>
    </row>
    <row r="816" spans="1:23">
      <c r="A816" t="s">
        <v>1270</v>
      </c>
      <c r="B816" t="s">
        <v>1265</v>
      </c>
      <c r="C816" t="s">
        <v>30</v>
      </c>
      <c r="D816" s="7">
        <v>45953</v>
      </c>
      <c r="E816" t="s">
        <v>31</v>
      </c>
      <c r="F816" t="s">
        <v>41</v>
      </c>
      <c r="G816">
        <v>25</v>
      </c>
      <c r="H816" t="s">
        <v>63</v>
      </c>
      <c r="I816">
        <v>6</v>
      </c>
      <c r="J816">
        <v>8</v>
      </c>
      <c r="K816">
        <v>3</v>
      </c>
      <c r="L816">
        <f t="shared" si="84"/>
        <v>1</v>
      </c>
      <c r="P816">
        <f t="shared" si="85"/>
        <v>1</v>
      </c>
      <c r="Q816">
        <f t="shared" si="86"/>
        <v>1</v>
      </c>
      <c r="R816">
        <f t="shared" si="87"/>
        <v>1</v>
      </c>
      <c r="S816">
        <f t="shared" si="88"/>
        <v>3</v>
      </c>
      <c r="T816" t="str">
        <f t="shared" si="89"/>
        <v>DerivedFromCount</v>
      </c>
      <c r="U816" t="str">
        <f>IF(COUNTIF(DailyProduction!$Q$5:$Q$100,B816)=1,"OK","CHECK")</f>
        <v>OK</v>
      </c>
      <c r="V816" t="str">
        <f t="shared" si="90"/>
        <v>OK</v>
      </c>
      <c r="W816" t="str">
        <f>IF(SUMIF($B$5:$B$914,B816,$S$5:$S$914)=SUMIF(DailyProduction!$Q$5:$Q$100,B816,DailyProduction!$R$5:$R$100),"OK","CHECK")</f>
        <v>OK</v>
      </c>
    </row>
    <row r="817" spans="1:23">
      <c r="A817" t="s">
        <v>1271</v>
      </c>
      <c r="B817" t="s">
        <v>1265</v>
      </c>
      <c r="C817" t="s">
        <v>30</v>
      </c>
      <c r="D817" s="7">
        <v>45953</v>
      </c>
      <c r="E817" t="s">
        <v>31</v>
      </c>
      <c r="F817" t="s">
        <v>41</v>
      </c>
      <c r="G817">
        <v>25</v>
      </c>
      <c r="H817" t="s">
        <v>63</v>
      </c>
      <c r="I817">
        <v>7</v>
      </c>
      <c r="J817">
        <v>8</v>
      </c>
      <c r="K817">
        <v>3</v>
      </c>
      <c r="L817">
        <f t="shared" si="84"/>
        <v>1</v>
      </c>
      <c r="P817">
        <f t="shared" si="85"/>
        <v>1</v>
      </c>
      <c r="Q817">
        <f t="shared" si="86"/>
        <v>1</v>
      </c>
      <c r="R817">
        <f t="shared" si="87"/>
        <v>1</v>
      </c>
      <c r="S817">
        <f t="shared" si="88"/>
        <v>3</v>
      </c>
      <c r="T817" t="str">
        <f t="shared" si="89"/>
        <v>DerivedFromCount</v>
      </c>
      <c r="U817" t="str">
        <f>IF(COUNTIF(DailyProduction!$Q$5:$Q$100,B817)=1,"OK","CHECK")</f>
        <v>OK</v>
      </c>
      <c r="V817" t="str">
        <f t="shared" si="90"/>
        <v>OK</v>
      </c>
      <c r="W817" t="str">
        <f>IF(SUMIF($B$5:$B$914,B817,$S$5:$S$914)=SUMIF(DailyProduction!$Q$5:$Q$100,B817,DailyProduction!$R$5:$R$100),"OK","CHECK")</f>
        <v>OK</v>
      </c>
    </row>
    <row r="818" spans="1:23">
      <c r="A818" t="s">
        <v>1272</v>
      </c>
      <c r="B818" t="s">
        <v>1265</v>
      </c>
      <c r="C818" t="s">
        <v>30</v>
      </c>
      <c r="D818" s="7">
        <v>45953</v>
      </c>
      <c r="E818" t="s">
        <v>31</v>
      </c>
      <c r="F818" t="s">
        <v>41</v>
      </c>
      <c r="G818">
        <v>25</v>
      </c>
      <c r="H818" t="s">
        <v>63</v>
      </c>
      <c r="I818">
        <v>8</v>
      </c>
      <c r="J818">
        <v>8</v>
      </c>
      <c r="K818">
        <v>3</v>
      </c>
      <c r="L818">
        <f t="shared" si="84"/>
        <v>1</v>
      </c>
      <c r="P818">
        <f t="shared" si="85"/>
        <v>1</v>
      </c>
      <c r="Q818">
        <f t="shared" si="86"/>
        <v>1</v>
      </c>
      <c r="R818">
        <f t="shared" si="87"/>
        <v>1</v>
      </c>
      <c r="S818">
        <f t="shared" si="88"/>
        <v>3</v>
      </c>
      <c r="T818" t="str">
        <f t="shared" si="89"/>
        <v>DerivedFromCount</v>
      </c>
      <c r="U818" t="str">
        <f>IF(COUNTIF(DailyProduction!$Q$5:$Q$100,B818)=1,"OK","CHECK")</f>
        <v>OK</v>
      </c>
      <c r="V818" t="str">
        <f t="shared" si="90"/>
        <v>OK</v>
      </c>
      <c r="W818" t="str">
        <f>IF(SUMIF($B$5:$B$914,B818,$S$5:$S$914)=SUMIF(DailyProduction!$Q$5:$Q$100,B818,DailyProduction!$R$5:$R$100),"OK","CHECK")</f>
        <v>OK</v>
      </c>
    </row>
    <row r="819" spans="1:23">
      <c r="A819" t="s">
        <v>1273</v>
      </c>
      <c r="B819" t="s">
        <v>1265</v>
      </c>
      <c r="C819" t="s">
        <v>30</v>
      </c>
      <c r="D819" s="7">
        <v>45953</v>
      </c>
      <c r="E819" t="s">
        <v>31</v>
      </c>
      <c r="F819" t="s">
        <v>41</v>
      </c>
      <c r="G819">
        <v>25</v>
      </c>
      <c r="H819" t="s">
        <v>63</v>
      </c>
      <c r="I819">
        <v>9</v>
      </c>
      <c r="J819">
        <v>8</v>
      </c>
      <c r="K819">
        <v>3</v>
      </c>
      <c r="L819">
        <f t="shared" si="84"/>
        <v>0</v>
      </c>
      <c r="P819">
        <f t="shared" si="85"/>
        <v>0</v>
      </c>
      <c r="Q819">
        <f t="shared" si="86"/>
        <v>0</v>
      </c>
      <c r="R819">
        <f t="shared" si="87"/>
        <v>0</v>
      </c>
      <c r="S819">
        <f t="shared" si="88"/>
        <v>0</v>
      </c>
      <c r="T819" t="str">
        <f t="shared" si="89"/>
        <v>DerivedFromCount</v>
      </c>
      <c r="U819" t="str">
        <f>IF(COUNTIF(DailyProduction!$Q$5:$Q$100,B819)=1,"OK","CHECK")</f>
        <v>OK</v>
      </c>
      <c r="V819" t="str">
        <f t="shared" si="90"/>
        <v>OK</v>
      </c>
      <c r="W819" t="str">
        <f>IF(SUMIF($B$5:$B$914,B819,$S$5:$S$914)=SUMIF(DailyProduction!$Q$5:$Q$100,B819,DailyProduction!$R$5:$R$100),"OK","CHECK")</f>
        <v>OK</v>
      </c>
    </row>
    <row r="820" spans="1:23">
      <c r="A820" t="s">
        <v>1274</v>
      </c>
      <c r="B820" t="s">
        <v>1265</v>
      </c>
      <c r="C820" t="s">
        <v>30</v>
      </c>
      <c r="D820" s="7">
        <v>45953</v>
      </c>
      <c r="E820" t="s">
        <v>31</v>
      </c>
      <c r="F820" t="s">
        <v>41</v>
      </c>
      <c r="G820">
        <v>25</v>
      </c>
      <c r="H820" t="s">
        <v>63</v>
      </c>
      <c r="I820">
        <v>10</v>
      </c>
      <c r="J820">
        <v>8</v>
      </c>
      <c r="K820">
        <v>3</v>
      </c>
      <c r="L820">
        <f t="shared" si="84"/>
        <v>0</v>
      </c>
      <c r="P820">
        <f t="shared" si="85"/>
        <v>0</v>
      </c>
      <c r="Q820">
        <f t="shared" si="86"/>
        <v>0</v>
      </c>
      <c r="R820">
        <f t="shared" si="87"/>
        <v>0</v>
      </c>
      <c r="S820">
        <f t="shared" si="88"/>
        <v>0</v>
      </c>
      <c r="T820" t="str">
        <f t="shared" si="89"/>
        <v>DerivedFromCount</v>
      </c>
      <c r="U820" t="str">
        <f>IF(COUNTIF(DailyProduction!$Q$5:$Q$100,B820)=1,"OK","CHECK")</f>
        <v>OK</v>
      </c>
      <c r="V820" t="str">
        <f t="shared" si="90"/>
        <v>OK</v>
      </c>
      <c r="W820" t="str">
        <f>IF(SUMIF($B$5:$B$914,B820,$S$5:$S$914)=SUMIF(DailyProduction!$Q$5:$Q$100,B820,DailyProduction!$R$5:$R$100),"OK","CHECK")</f>
        <v>OK</v>
      </c>
    </row>
    <row r="821" spans="1:23">
      <c r="A821" t="s">
        <v>1275</v>
      </c>
      <c r="B821" t="s">
        <v>1265</v>
      </c>
      <c r="C821" t="s">
        <v>30</v>
      </c>
      <c r="D821" s="7">
        <v>45953</v>
      </c>
      <c r="E821" t="s">
        <v>31</v>
      </c>
      <c r="F821" t="s">
        <v>41</v>
      </c>
      <c r="G821">
        <v>25</v>
      </c>
      <c r="H821" t="s">
        <v>63</v>
      </c>
      <c r="I821">
        <v>11</v>
      </c>
      <c r="J821">
        <v>8</v>
      </c>
      <c r="K821">
        <v>3</v>
      </c>
      <c r="L821">
        <f t="shared" si="84"/>
        <v>0</v>
      </c>
      <c r="P821">
        <f t="shared" si="85"/>
        <v>0</v>
      </c>
      <c r="Q821">
        <f t="shared" si="86"/>
        <v>0</v>
      </c>
      <c r="R821">
        <f t="shared" si="87"/>
        <v>0</v>
      </c>
      <c r="S821">
        <f t="shared" si="88"/>
        <v>0</v>
      </c>
      <c r="T821" t="str">
        <f t="shared" si="89"/>
        <v>DerivedFromCount</v>
      </c>
      <c r="U821" t="str">
        <f>IF(COUNTIF(DailyProduction!$Q$5:$Q$100,B821)=1,"OK","CHECK")</f>
        <v>OK</v>
      </c>
      <c r="V821" t="str">
        <f t="shared" si="90"/>
        <v>OK</v>
      </c>
      <c r="W821" t="str">
        <f>IF(SUMIF($B$5:$B$914,B821,$S$5:$S$914)=SUMIF(DailyProduction!$Q$5:$Q$100,B821,DailyProduction!$R$5:$R$100),"OK","CHECK")</f>
        <v>OK</v>
      </c>
    </row>
    <row r="822" spans="1:23">
      <c r="A822" t="s">
        <v>1276</v>
      </c>
      <c r="B822" t="s">
        <v>1265</v>
      </c>
      <c r="C822" t="s">
        <v>30</v>
      </c>
      <c r="D822" s="7">
        <v>45953</v>
      </c>
      <c r="E822" t="s">
        <v>31</v>
      </c>
      <c r="F822" t="s">
        <v>41</v>
      </c>
      <c r="G822">
        <v>25</v>
      </c>
      <c r="H822" t="s">
        <v>63</v>
      </c>
      <c r="I822">
        <v>12</v>
      </c>
      <c r="J822">
        <v>8</v>
      </c>
      <c r="K822">
        <v>3</v>
      </c>
      <c r="L822">
        <f t="shared" si="84"/>
        <v>0</v>
      </c>
      <c r="P822">
        <f t="shared" si="85"/>
        <v>0</v>
      </c>
      <c r="Q822">
        <f t="shared" si="86"/>
        <v>0</v>
      </c>
      <c r="R822">
        <f t="shared" si="87"/>
        <v>0</v>
      </c>
      <c r="S822">
        <f t="shared" si="88"/>
        <v>0</v>
      </c>
      <c r="T822" t="str">
        <f t="shared" si="89"/>
        <v>DerivedFromCount</v>
      </c>
      <c r="U822" t="str">
        <f>IF(COUNTIF(DailyProduction!$Q$5:$Q$100,B822)=1,"OK","CHECK")</f>
        <v>OK</v>
      </c>
      <c r="V822" t="str">
        <f t="shared" si="90"/>
        <v>OK</v>
      </c>
      <c r="W822" t="str">
        <f>IF(SUMIF($B$5:$B$914,B822,$S$5:$S$914)=SUMIF(DailyProduction!$Q$5:$Q$100,B822,DailyProduction!$R$5:$R$100),"OK","CHECK")</f>
        <v>OK</v>
      </c>
    </row>
    <row r="823" spans="1:23">
      <c r="A823" t="s">
        <v>1277</v>
      </c>
      <c r="B823" t="s">
        <v>1265</v>
      </c>
      <c r="C823" t="s">
        <v>30</v>
      </c>
      <c r="D823" s="7">
        <v>45953</v>
      </c>
      <c r="E823" t="s">
        <v>31</v>
      </c>
      <c r="F823" t="s">
        <v>41</v>
      </c>
      <c r="G823">
        <v>25</v>
      </c>
      <c r="H823" t="s">
        <v>63</v>
      </c>
      <c r="I823">
        <v>13</v>
      </c>
      <c r="J823">
        <v>8</v>
      </c>
      <c r="K823">
        <v>3</v>
      </c>
      <c r="L823">
        <f t="shared" si="84"/>
        <v>0</v>
      </c>
      <c r="P823">
        <f t="shared" si="85"/>
        <v>0</v>
      </c>
      <c r="Q823">
        <f t="shared" si="86"/>
        <v>0</v>
      </c>
      <c r="R823">
        <f t="shared" si="87"/>
        <v>0</v>
      </c>
      <c r="S823">
        <f t="shared" si="88"/>
        <v>0</v>
      </c>
      <c r="T823" t="str">
        <f t="shared" si="89"/>
        <v>DerivedFromCount</v>
      </c>
      <c r="U823" t="str">
        <f>IF(COUNTIF(DailyProduction!$Q$5:$Q$100,B823)=1,"OK","CHECK")</f>
        <v>OK</v>
      </c>
      <c r="V823" t="str">
        <f t="shared" si="90"/>
        <v>OK</v>
      </c>
      <c r="W823" t="str">
        <f>IF(SUMIF($B$5:$B$914,B823,$S$5:$S$914)=SUMIF(DailyProduction!$Q$5:$Q$100,B823,DailyProduction!$R$5:$R$100),"OK","CHECK")</f>
        <v>OK</v>
      </c>
    </row>
    <row r="824" spans="1:23">
      <c r="A824" t="s">
        <v>1278</v>
      </c>
      <c r="B824" t="s">
        <v>1279</v>
      </c>
      <c r="C824" t="s">
        <v>30</v>
      </c>
      <c r="D824" s="7">
        <v>45953</v>
      </c>
      <c r="E824" t="s">
        <v>79</v>
      </c>
      <c r="F824" t="s">
        <v>32</v>
      </c>
      <c r="G824">
        <v>25</v>
      </c>
      <c r="H824" t="s">
        <v>63</v>
      </c>
      <c r="I824">
        <v>1</v>
      </c>
      <c r="J824">
        <v>8</v>
      </c>
      <c r="K824">
        <v>3</v>
      </c>
      <c r="L824">
        <f t="shared" si="84"/>
        <v>1</v>
      </c>
      <c r="P824">
        <f t="shared" si="85"/>
        <v>1</v>
      </c>
      <c r="Q824">
        <f t="shared" si="86"/>
        <v>1</v>
      </c>
      <c r="R824">
        <f t="shared" si="87"/>
        <v>1</v>
      </c>
      <c r="S824">
        <f t="shared" si="88"/>
        <v>3</v>
      </c>
      <c r="T824" t="str">
        <f t="shared" si="89"/>
        <v>DerivedFromCount</v>
      </c>
      <c r="U824" t="str">
        <f>IF(COUNTIF(DailyProduction!$Q$5:$Q$100,B824)=1,"OK","CHECK")</f>
        <v>OK</v>
      </c>
      <c r="V824" t="str">
        <f t="shared" si="90"/>
        <v>OK</v>
      </c>
      <c r="W824" t="str">
        <f>IF(SUMIF($B$5:$B$914,B824,$S$5:$S$914)=SUMIF(DailyProduction!$Q$5:$Q$100,B824,DailyProduction!$R$5:$R$100),"OK","CHECK")</f>
        <v>OK</v>
      </c>
    </row>
    <row r="825" spans="1:23">
      <c r="A825" t="s">
        <v>1280</v>
      </c>
      <c r="B825" t="s">
        <v>1279</v>
      </c>
      <c r="C825" t="s">
        <v>30</v>
      </c>
      <c r="D825" s="7">
        <v>45953</v>
      </c>
      <c r="E825" t="s">
        <v>79</v>
      </c>
      <c r="F825" t="s">
        <v>32</v>
      </c>
      <c r="G825">
        <v>25</v>
      </c>
      <c r="H825" t="s">
        <v>63</v>
      </c>
      <c r="I825">
        <v>2</v>
      </c>
      <c r="J825">
        <v>8</v>
      </c>
      <c r="K825">
        <v>3</v>
      </c>
      <c r="L825">
        <f t="shared" si="84"/>
        <v>1</v>
      </c>
      <c r="P825">
        <f t="shared" si="85"/>
        <v>1</v>
      </c>
      <c r="Q825">
        <f t="shared" si="86"/>
        <v>1</v>
      </c>
      <c r="R825">
        <f t="shared" si="87"/>
        <v>1</v>
      </c>
      <c r="S825">
        <f t="shared" si="88"/>
        <v>3</v>
      </c>
      <c r="T825" t="str">
        <f t="shared" si="89"/>
        <v>DerivedFromCount</v>
      </c>
      <c r="U825" t="str">
        <f>IF(COUNTIF(DailyProduction!$Q$5:$Q$100,B825)=1,"OK","CHECK")</f>
        <v>OK</v>
      </c>
      <c r="V825" t="str">
        <f t="shared" si="90"/>
        <v>OK</v>
      </c>
      <c r="W825" t="str">
        <f>IF(SUMIF($B$5:$B$914,B825,$S$5:$S$914)=SUMIF(DailyProduction!$Q$5:$Q$100,B825,DailyProduction!$R$5:$R$100),"OK","CHECK")</f>
        <v>OK</v>
      </c>
    </row>
    <row r="826" spans="1:23">
      <c r="A826" t="s">
        <v>1281</v>
      </c>
      <c r="B826" t="s">
        <v>1279</v>
      </c>
      <c r="C826" t="s">
        <v>30</v>
      </c>
      <c r="D826" s="7">
        <v>45953</v>
      </c>
      <c r="E826" t="s">
        <v>79</v>
      </c>
      <c r="F826" t="s">
        <v>32</v>
      </c>
      <c r="G826">
        <v>25</v>
      </c>
      <c r="H826" t="s">
        <v>63</v>
      </c>
      <c r="I826">
        <v>3</v>
      </c>
      <c r="J826">
        <v>8</v>
      </c>
      <c r="K826">
        <v>3</v>
      </c>
      <c r="L826">
        <f t="shared" si="84"/>
        <v>1</v>
      </c>
      <c r="P826">
        <f t="shared" si="85"/>
        <v>1</v>
      </c>
      <c r="Q826">
        <f t="shared" si="86"/>
        <v>1</v>
      </c>
      <c r="R826">
        <f t="shared" si="87"/>
        <v>1</v>
      </c>
      <c r="S826">
        <f t="shared" si="88"/>
        <v>3</v>
      </c>
      <c r="T826" t="str">
        <f t="shared" si="89"/>
        <v>DerivedFromCount</v>
      </c>
      <c r="U826" t="str">
        <f>IF(COUNTIF(DailyProduction!$Q$5:$Q$100,B826)=1,"OK","CHECK")</f>
        <v>OK</v>
      </c>
      <c r="V826" t="str">
        <f t="shared" si="90"/>
        <v>OK</v>
      </c>
      <c r="W826" t="str">
        <f>IF(SUMIF($B$5:$B$914,B826,$S$5:$S$914)=SUMIF(DailyProduction!$Q$5:$Q$100,B826,DailyProduction!$R$5:$R$100),"OK","CHECK")</f>
        <v>OK</v>
      </c>
    </row>
    <row r="827" spans="1:23">
      <c r="A827" t="s">
        <v>1282</v>
      </c>
      <c r="B827" t="s">
        <v>1279</v>
      </c>
      <c r="C827" t="s">
        <v>30</v>
      </c>
      <c r="D827" s="7">
        <v>45953</v>
      </c>
      <c r="E827" t="s">
        <v>79</v>
      </c>
      <c r="F827" t="s">
        <v>32</v>
      </c>
      <c r="G827">
        <v>25</v>
      </c>
      <c r="H827" t="s">
        <v>63</v>
      </c>
      <c r="I827">
        <v>4</v>
      </c>
      <c r="J827">
        <v>8</v>
      </c>
      <c r="K827">
        <v>3</v>
      </c>
      <c r="L827">
        <f t="shared" si="84"/>
        <v>1</v>
      </c>
      <c r="P827">
        <f t="shared" si="85"/>
        <v>1</v>
      </c>
      <c r="Q827">
        <f t="shared" si="86"/>
        <v>1</v>
      </c>
      <c r="R827">
        <f t="shared" si="87"/>
        <v>1</v>
      </c>
      <c r="S827">
        <f t="shared" si="88"/>
        <v>3</v>
      </c>
      <c r="T827" t="str">
        <f t="shared" si="89"/>
        <v>DerivedFromCount</v>
      </c>
      <c r="U827" t="str">
        <f>IF(COUNTIF(DailyProduction!$Q$5:$Q$100,B827)=1,"OK","CHECK")</f>
        <v>OK</v>
      </c>
      <c r="V827" t="str">
        <f t="shared" si="90"/>
        <v>OK</v>
      </c>
      <c r="W827" t="str">
        <f>IF(SUMIF($B$5:$B$914,B827,$S$5:$S$914)=SUMIF(DailyProduction!$Q$5:$Q$100,B827,DailyProduction!$R$5:$R$100),"OK","CHECK")</f>
        <v>OK</v>
      </c>
    </row>
    <row r="828" spans="1:23">
      <c r="A828" t="s">
        <v>1283</v>
      </c>
      <c r="B828" t="s">
        <v>1279</v>
      </c>
      <c r="C828" t="s">
        <v>30</v>
      </c>
      <c r="D828" s="7">
        <v>45953</v>
      </c>
      <c r="E828" t="s">
        <v>79</v>
      </c>
      <c r="F828" t="s">
        <v>32</v>
      </c>
      <c r="G828">
        <v>25</v>
      </c>
      <c r="H828" t="s">
        <v>63</v>
      </c>
      <c r="I828">
        <v>5</v>
      </c>
      <c r="J828">
        <v>8</v>
      </c>
      <c r="K828">
        <v>3</v>
      </c>
      <c r="L828">
        <f t="shared" si="84"/>
        <v>1</v>
      </c>
      <c r="P828">
        <f t="shared" si="85"/>
        <v>1</v>
      </c>
      <c r="Q828">
        <f t="shared" si="86"/>
        <v>1</v>
      </c>
      <c r="R828">
        <f t="shared" si="87"/>
        <v>1</v>
      </c>
      <c r="S828">
        <f t="shared" si="88"/>
        <v>3</v>
      </c>
      <c r="T828" t="str">
        <f t="shared" si="89"/>
        <v>DerivedFromCount</v>
      </c>
      <c r="U828" t="str">
        <f>IF(COUNTIF(DailyProduction!$Q$5:$Q$100,B828)=1,"OK","CHECK")</f>
        <v>OK</v>
      </c>
      <c r="V828" t="str">
        <f t="shared" si="90"/>
        <v>OK</v>
      </c>
      <c r="W828" t="str">
        <f>IF(SUMIF($B$5:$B$914,B828,$S$5:$S$914)=SUMIF(DailyProduction!$Q$5:$Q$100,B828,DailyProduction!$R$5:$R$100),"OK","CHECK")</f>
        <v>OK</v>
      </c>
    </row>
    <row r="829" spans="1:23">
      <c r="A829" t="s">
        <v>1284</v>
      </c>
      <c r="B829" t="s">
        <v>1279</v>
      </c>
      <c r="C829" t="s">
        <v>30</v>
      </c>
      <c r="D829" s="7">
        <v>45953</v>
      </c>
      <c r="E829" t="s">
        <v>79</v>
      </c>
      <c r="F829" t="s">
        <v>32</v>
      </c>
      <c r="G829">
        <v>25</v>
      </c>
      <c r="H829" t="s">
        <v>63</v>
      </c>
      <c r="I829">
        <v>6</v>
      </c>
      <c r="J829">
        <v>8</v>
      </c>
      <c r="K829">
        <v>3</v>
      </c>
      <c r="L829">
        <f t="shared" si="84"/>
        <v>1</v>
      </c>
      <c r="P829">
        <f t="shared" si="85"/>
        <v>1</v>
      </c>
      <c r="Q829">
        <f t="shared" si="86"/>
        <v>1</v>
      </c>
      <c r="R829">
        <f t="shared" si="87"/>
        <v>1</v>
      </c>
      <c r="S829">
        <f t="shared" si="88"/>
        <v>3</v>
      </c>
      <c r="T829" t="str">
        <f t="shared" si="89"/>
        <v>DerivedFromCount</v>
      </c>
      <c r="U829" t="str">
        <f>IF(COUNTIF(DailyProduction!$Q$5:$Q$100,B829)=1,"OK","CHECK")</f>
        <v>OK</v>
      </c>
      <c r="V829" t="str">
        <f t="shared" si="90"/>
        <v>OK</v>
      </c>
      <c r="W829" t="str">
        <f>IF(SUMIF($B$5:$B$914,B829,$S$5:$S$914)=SUMIF(DailyProduction!$Q$5:$Q$100,B829,DailyProduction!$R$5:$R$100),"OK","CHECK")</f>
        <v>OK</v>
      </c>
    </row>
    <row r="830" spans="1:23">
      <c r="A830" t="s">
        <v>1285</v>
      </c>
      <c r="B830" t="s">
        <v>1279</v>
      </c>
      <c r="C830" t="s">
        <v>30</v>
      </c>
      <c r="D830" s="7">
        <v>45953</v>
      </c>
      <c r="E830" t="s">
        <v>79</v>
      </c>
      <c r="F830" t="s">
        <v>32</v>
      </c>
      <c r="G830">
        <v>25</v>
      </c>
      <c r="H830" t="s">
        <v>63</v>
      </c>
      <c r="I830">
        <v>7</v>
      </c>
      <c r="J830">
        <v>8</v>
      </c>
      <c r="K830">
        <v>3</v>
      </c>
      <c r="L830">
        <f t="shared" si="84"/>
        <v>1</v>
      </c>
      <c r="P830">
        <f t="shared" si="85"/>
        <v>1</v>
      </c>
      <c r="Q830">
        <f t="shared" si="86"/>
        <v>1</v>
      </c>
      <c r="R830">
        <f t="shared" si="87"/>
        <v>1</v>
      </c>
      <c r="S830">
        <f t="shared" si="88"/>
        <v>3</v>
      </c>
      <c r="T830" t="str">
        <f t="shared" si="89"/>
        <v>DerivedFromCount</v>
      </c>
      <c r="U830" t="str">
        <f>IF(COUNTIF(DailyProduction!$Q$5:$Q$100,B830)=1,"OK","CHECK")</f>
        <v>OK</v>
      </c>
      <c r="V830" t="str">
        <f t="shared" si="90"/>
        <v>OK</v>
      </c>
      <c r="W830" t="str">
        <f>IF(SUMIF($B$5:$B$914,B830,$S$5:$S$914)=SUMIF(DailyProduction!$Q$5:$Q$100,B830,DailyProduction!$R$5:$R$100),"OK","CHECK")</f>
        <v>OK</v>
      </c>
    </row>
    <row r="831" spans="1:23">
      <c r="A831" t="s">
        <v>1286</v>
      </c>
      <c r="B831" t="s">
        <v>1279</v>
      </c>
      <c r="C831" t="s">
        <v>30</v>
      </c>
      <c r="D831" s="7">
        <v>45953</v>
      </c>
      <c r="E831" t="s">
        <v>79</v>
      </c>
      <c r="F831" t="s">
        <v>32</v>
      </c>
      <c r="G831">
        <v>25</v>
      </c>
      <c r="H831" t="s">
        <v>63</v>
      </c>
      <c r="I831">
        <v>8</v>
      </c>
      <c r="J831">
        <v>8</v>
      </c>
      <c r="K831">
        <v>3</v>
      </c>
      <c r="L831">
        <f t="shared" si="84"/>
        <v>1</v>
      </c>
      <c r="P831">
        <f t="shared" si="85"/>
        <v>1</v>
      </c>
      <c r="Q831">
        <f t="shared" si="86"/>
        <v>1</v>
      </c>
      <c r="R831">
        <f t="shared" si="87"/>
        <v>1</v>
      </c>
      <c r="S831">
        <f t="shared" si="88"/>
        <v>3</v>
      </c>
      <c r="T831" t="str">
        <f t="shared" si="89"/>
        <v>DerivedFromCount</v>
      </c>
      <c r="U831" t="str">
        <f>IF(COUNTIF(DailyProduction!$Q$5:$Q$100,B831)=1,"OK","CHECK")</f>
        <v>OK</v>
      </c>
      <c r="V831" t="str">
        <f t="shared" si="90"/>
        <v>OK</v>
      </c>
      <c r="W831" t="str">
        <f>IF(SUMIF($B$5:$B$914,B831,$S$5:$S$914)=SUMIF(DailyProduction!$Q$5:$Q$100,B831,DailyProduction!$R$5:$R$100),"OK","CHECK")</f>
        <v>OK</v>
      </c>
    </row>
    <row r="832" spans="1:23">
      <c r="A832" t="s">
        <v>1287</v>
      </c>
      <c r="B832" t="s">
        <v>1279</v>
      </c>
      <c r="C832" t="s">
        <v>30</v>
      </c>
      <c r="D832" s="7">
        <v>45953</v>
      </c>
      <c r="E832" t="s">
        <v>79</v>
      </c>
      <c r="F832" t="s">
        <v>32</v>
      </c>
      <c r="G832">
        <v>25</v>
      </c>
      <c r="H832" t="s">
        <v>63</v>
      </c>
      <c r="I832">
        <v>9</v>
      </c>
      <c r="J832">
        <v>8</v>
      </c>
      <c r="K832">
        <v>3</v>
      </c>
      <c r="L832">
        <f t="shared" si="84"/>
        <v>0</v>
      </c>
      <c r="P832">
        <f t="shared" si="85"/>
        <v>0</v>
      </c>
      <c r="Q832">
        <f t="shared" si="86"/>
        <v>0</v>
      </c>
      <c r="R832">
        <f t="shared" si="87"/>
        <v>0</v>
      </c>
      <c r="S832">
        <f t="shared" si="88"/>
        <v>0</v>
      </c>
      <c r="T832" t="str">
        <f t="shared" si="89"/>
        <v>DerivedFromCount</v>
      </c>
      <c r="U832" t="str">
        <f>IF(COUNTIF(DailyProduction!$Q$5:$Q$100,B832)=1,"OK","CHECK")</f>
        <v>OK</v>
      </c>
      <c r="V832" t="str">
        <f t="shared" si="90"/>
        <v>OK</v>
      </c>
      <c r="W832" t="str">
        <f>IF(SUMIF($B$5:$B$914,B832,$S$5:$S$914)=SUMIF(DailyProduction!$Q$5:$Q$100,B832,DailyProduction!$R$5:$R$100),"OK","CHECK")</f>
        <v>OK</v>
      </c>
    </row>
    <row r="833" spans="1:23">
      <c r="A833" t="s">
        <v>1288</v>
      </c>
      <c r="B833" t="s">
        <v>1279</v>
      </c>
      <c r="C833" t="s">
        <v>30</v>
      </c>
      <c r="D833" s="7">
        <v>45953</v>
      </c>
      <c r="E833" t="s">
        <v>79</v>
      </c>
      <c r="F833" t="s">
        <v>32</v>
      </c>
      <c r="G833">
        <v>25</v>
      </c>
      <c r="H833" t="s">
        <v>63</v>
      </c>
      <c r="I833">
        <v>10</v>
      </c>
      <c r="J833">
        <v>8</v>
      </c>
      <c r="K833">
        <v>3</v>
      </c>
      <c r="L833">
        <f t="shared" si="84"/>
        <v>0</v>
      </c>
      <c r="P833">
        <f t="shared" si="85"/>
        <v>0</v>
      </c>
      <c r="Q833">
        <f t="shared" si="86"/>
        <v>0</v>
      </c>
      <c r="R833">
        <f t="shared" si="87"/>
        <v>0</v>
      </c>
      <c r="S833">
        <f t="shared" si="88"/>
        <v>0</v>
      </c>
      <c r="T833" t="str">
        <f t="shared" si="89"/>
        <v>DerivedFromCount</v>
      </c>
      <c r="U833" t="str">
        <f>IF(COUNTIF(DailyProduction!$Q$5:$Q$100,B833)=1,"OK","CHECK")</f>
        <v>OK</v>
      </c>
      <c r="V833" t="str">
        <f t="shared" si="90"/>
        <v>OK</v>
      </c>
      <c r="W833" t="str">
        <f>IF(SUMIF($B$5:$B$914,B833,$S$5:$S$914)=SUMIF(DailyProduction!$Q$5:$Q$100,B833,DailyProduction!$R$5:$R$100),"OK","CHECK")</f>
        <v>OK</v>
      </c>
    </row>
    <row r="834" spans="1:23">
      <c r="A834" t="s">
        <v>1289</v>
      </c>
      <c r="B834" t="s">
        <v>1279</v>
      </c>
      <c r="C834" t="s">
        <v>30</v>
      </c>
      <c r="D834" s="7">
        <v>45953</v>
      </c>
      <c r="E834" t="s">
        <v>79</v>
      </c>
      <c r="F834" t="s">
        <v>32</v>
      </c>
      <c r="G834">
        <v>25</v>
      </c>
      <c r="H834" t="s">
        <v>63</v>
      </c>
      <c r="I834">
        <v>11</v>
      </c>
      <c r="J834">
        <v>8</v>
      </c>
      <c r="K834">
        <v>3</v>
      </c>
      <c r="L834">
        <f t="shared" si="84"/>
        <v>0</v>
      </c>
      <c r="P834">
        <f t="shared" si="85"/>
        <v>0</v>
      </c>
      <c r="Q834">
        <f t="shared" si="86"/>
        <v>0</v>
      </c>
      <c r="R834">
        <f t="shared" si="87"/>
        <v>0</v>
      </c>
      <c r="S834">
        <f t="shared" si="88"/>
        <v>0</v>
      </c>
      <c r="T834" t="str">
        <f t="shared" si="89"/>
        <v>DerivedFromCount</v>
      </c>
      <c r="U834" t="str">
        <f>IF(COUNTIF(DailyProduction!$Q$5:$Q$100,B834)=1,"OK","CHECK")</f>
        <v>OK</v>
      </c>
      <c r="V834" t="str">
        <f t="shared" si="90"/>
        <v>OK</v>
      </c>
      <c r="W834" t="str">
        <f>IF(SUMIF($B$5:$B$914,B834,$S$5:$S$914)=SUMIF(DailyProduction!$Q$5:$Q$100,B834,DailyProduction!$R$5:$R$100),"OK","CHECK")</f>
        <v>OK</v>
      </c>
    </row>
    <row r="835" spans="1:23">
      <c r="A835" t="s">
        <v>1290</v>
      </c>
      <c r="B835" t="s">
        <v>1279</v>
      </c>
      <c r="C835" t="s">
        <v>30</v>
      </c>
      <c r="D835" s="7">
        <v>45953</v>
      </c>
      <c r="E835" t="s">
        <v>79</v>
      </c>
      <c r="F835" t="s">
        <v>32</v>
      </c>
      <c r="G835">
        <v>25</v>
      </c>
      <c r="H835" t="s">
        <v>63</v>
      </c>
      <c r="I835">
        <v>12</v>
      </c>
      <c r="J835">
        <v>8</v>
      </c>
      <c r="K835">
        <v>3</v>
      </c>
      <c r="L835">
        <f t="shared" si="84"/>
        <v>0</v>
      </c>
      <c r="P835">
        <f t="shared" si="85"/>
        <v>0</v>
      </c>
      <c r="Q835">
        <f t="shared" si="86"/>
        <v>0</v>
      </c>
      <c r="R835">
        <f t="shared" si="87"/>
        <v>0</v>
      </c>
      <c r="S835">
        <f t="shared" si="88"/>
        <v>0</v>
      </c>
      <c r="T835" t="str">
        <f t="shared" si="89"/>
        <v>DerivedFromCount</v>
      </c>
      <c r="U835" t="str">
        <f>IF(COUNTIF(DailyProduction!$Q$5:$Q$100,B835)=1,"OK","CHECK")</f>
        <v>OK</v>
      </c>
      <c r="V835" t="str">
        <f t="shared" si="90"/>
        <v>OK</v>
      </c>
      <c r="W835" t="str">
        <f>IF(SUMIF($B$5:$B$914,B835,$S$5:$S$914)=SUMIF(DailyProduction!$Q$5:$Q$100,B835,DailyProduction!$R$5:$R$100),"OK","CHECK")</f>
        <v>OK</v>
      </c>
    </row>
    <row r="836" spans="1:23">
      <c r="A836" t="s">
        <v>1291</v>
      </c>
      <c r="B836" t="s">
        <v>1279</v>
      </c>
      <c r="C836" t="s">
        <v>30</v>
      </c>
      <c r="D836" s="7">
        <v>45953</v>
      </c>
      <c r="E836" t="s">
        <v>79</v>
      </c>
      <c r="F836" t="s">
        <v>32</v>
      </c>
      <c r="G836">
        <v>25</v>
      </c>
      <c r="H836" t="s">
        <v>63</v>
      </c>
      <c r="I836">
        <v>13</v>
      </c>
      <c r="J836">
        <v>8</v>
      </c>
      <c r="K836">
        <v>3</v>
      </c>
      <c r="L836">
        <f t="shared" si="84"/>
        <v>0</v>
      </c>
      <c r="P836">
        <f t="shared" si="85"/>
        <v>0</v>
      </c>
      <c r="Q836">
        <f t="shared" si="86"/>
        <v>0</v>
      </c>
      <c r="R836">
        <f t="shared" si="87"/>
        <v>0</v>
      </c>
      <c r="S836">
        <f t="shared" si="88"/>
        <v>0</v>
      </c>
      <c r="T836" t="str">
        <f t="shared" si="89"/>
        <v>DerivedFromCount</v>
      </c>
      <c r="U836" t="str">
        <f>IF(COUNTIF(DailyProduction!$Q$5:$Q$100,B836)=1,"OK","CHECK")</f>
        <v>OK</v>
      </c>
      <c r="V836" t="str">
        <f t="shared" si="90"/>
        <v>OK</v>
      </c>
      <c r="W836" t="str">
        <f>IF(SUMIF($B$5:$B$914,B836,$S$5:$S$914)=SUMIF(DailyProduction!$Q$5:$Q$100,B836,DailyProduction!$R$5:$R$100),"OK","CHECK")</f>
        <v>OK</v>
      </c>
    </row>
    <row r="837" spans="1:23">
      <c r="A837" t="s">
        <v>1292</v>
      </c>
      <c r="B837" t="s">
        <v>1293</v>
      </c>
      <c r="C837" t="s">
        <v>30</v>
      </c>
      <c r="D837" s="7">
        <v>45954</v>
      </c>
      <c r="E837" t="s">
        <v>31</v>
      </c>
      <c r="F837" t="s">
        <v>32</v>
      </c>
      <c r="G837">
        <v>25</v>
      </c>
      <c r="H837" t="s">
        <v>63</v>
      </c>
      <c r="I837">
        <v>1</v>
      </c>
      <c r="J837">
        <v>8</v>
      </c>
      <c r="K837">
        <v>3</v>
      </c>
      <c r="L837">
        <f t="shared" ref="L837:L900" si="91">IF(I837&lt;=J837,1,0)</f>
        <v>1</v>
      </c>
      <c r="P837">
        <f t="shared" ref="P837:P900" si="92">IF(M837="",IF(AND(L837=1,K837&gt;=1),1,0),M837)</f>
        <v>1</v>
      </c>
      <c r="Q837">
        <f t="shared" ref="Q837:Q900" si="93">IF(N837="",IF(AND(L837=1,K837&gt;=2),1,0),N837)</f>
        <v>1</v>
      </c>
      <c r="R837">
        <f t="shared" ref="R837:R900" si="94">IF(O837="",IF(AND(L837=1,K837&gt;=3),1,0),O837)</f>
        <v>1</v>
      </c>
      <c r="S837">
        <f t="shared" ref="S837:S900" si="95">SUM(P837:R837)</f>
        <v>3</v>
      </c>
      <c r="T837" t="str">
        <f t="shared" ref="T837:T900" si="96">IF(COUNTA(M837:O837)=0,"DerivedFromCount","ManualOverride")</f>
        <v>DerivedFromCount</v>
      </c>
      <c r="U837" t="str">
        <f>IF(COUNTIF(DailyProduction!$Q$5:$Q$100,B837)=1,"OK","CHECK")</f>
        <v>OK</v>
      </c>
      <c r="V837" t="str">
        <f t="shared" ref="V837:V900" si="97">IF(AND(I837&gt;=1,I837&lt;=13,K837&gt;=1,K837&lt;=3),"OK","CHECK")</f>
        <v>OK</v>
      </c>
      <c r="W837" t="str">
        <f>IF(SUMIF($B$5:$B$914,B837,$S$5:$S$914)=SUMIF(DailyProduction!$Q$5:$Q$100,B837,DailyProduction!$R$5:$R$100),"OK","CHECK")</f>
        <v>OK</v>
      </c>
    </row>
    <row r="838" spans="1:23">
      <c r="A838" t="s">
        <v>1294</v>
      </c>
      <c r="B838" t="s">
        <v>1293</v>
      </c>
      <c r="C838" t="s">
        <v>30</v>
      </c>
      <c r="D838" s="7">
        <v>45954</v>
      </c>
      <c r="E838" t="s">
        <v>31</v>
      </c>
      <c r="F838" t="s">
        <v>32</v>
      </c>
      <c r="G838">
        <v>25</v>
      </c>
      <c r="H838" t="s">
        <v>63</v>
      </c>
      <c r="I838">
        <v>2</v>
      </c>
      <c r="J838">
        <v>8</v>
      </c>
      <c r="K838">
        <v>3</v>
      </c>
      <c r="L838">
        <f t="shared" si="91"/>
        <v>1</v>
      </c>
      <c r="P838">
        <f t="shared" si="92"/>
        <v>1</v>
      </c>
      <c r="Q838">
        <f t="shared" si="93"/>
        <v>1</v>
      </c>
      <c r="R838">
        <f t="shared" si="94"/>
        <v>1</v>
      </c>
      <c r="S838">
        <f t="shared" si="95"/>
        <v>3</v>
      </c>
      <c r="T838" t="str">
        <f t="shared" si="96"/>
        <v>DerivedFromCount</v>
      </c>
      <c r="U838" t="str">
        <f>IF(COUNTIF(DailyProduction!$Q$5:$Q$100,B838)=1,"OK","CHECK")</f>
        <v>OK</v>
      </c>
      <c r="V838" t="str">
        <f t="shared" si="97"/>
        <v>OK</v>
      </c>
      <c r="W838" t="str">
        <f>IF(SUMIF($B$5:$B$914,B838,$S$5:$S$914)=SUMIF(DailyProduction!$Q$5:$Q$100,B838,DailyProduction!$R$5:$R$100),"OK","CHECK")</f>
        <v>OK</v>
      </c>
    </row>
    <row r="839" spans="1:23">
      <c r="A839" t="s">
        <v>1295</v>
      </c>
      <c r="B839" t="s">
        <v>1293</v>
      </c>
      <c r="C839" t="s">
        <v>30</v>
      </c>
      <c r="D839" s="7">
        <v>45954</v>
      </c>
      <c r="E839" t="s">
        <v>31</v>
      </c>
      <c r="F839" t="s">
        <v>32</v>
      </c>
      <c r="G839">
        <v>25</v>
      </c>
      <c r="H839" t="s">
        <v>63</v>
      </c>
      <c r="I839">
        <v>3</v>
      </c>
      <c r="J839">
        <v>8</v>
      </c>
      <c r="K839">
        <v>3</v>
      </c>
      <c r="L839">
        <f t="shared" si="91"/>
        <v>1</v>
      </c>
      <c r="P839">
        <f t="shared" si="92"/>
        <v>1</v>
      </c>
      <c r="Q839">
        <f t="shared" si="93"/>
        <v>1</v>
      </c>
      <c r="R839">
        <f t="shared" si="94"/>
        <v>1</v>
      </c>
      <c r="S839">
        <f t="shared" si="95"/>
        <v>3</v>
      </c>
      <c r="T839" t="str">
        <f t="shared" si="96"/>
        <v>DerivedFromCount</v>
      </c>
      <c r="U839" t="str">
        <f>IF(COUNTIF(DailyProduction!$Q$5:$Q$100,B839)=1,"OK","CHECK")</f>
        <v>OK</v>
      </c>
      <c r="V839" t="str">
        <f t="shared" si="97"/>
        <v>OK</v>
      </c>
      <c r="W839" t="str">
        <f>IF(SUMIF($B$5:$B$914,B839,$S$5:$S$914)=SUMIF(DailyProduction!$Q$5:$Q$100,B839,DailyProduction!$R$5:$R$100),"OK","CHECK")</f>
        <v>OK</v>
      </c>
    </row>
    <row r="840" spans="1:23">
      <c r="A840" t="s">
        <v>1296</v>
      </c>
      <c r="B840" t="s">
        <v>1293</v>
      </c>
      <c r="C840" t="s">
        <v>30</v>
      </c>
      <c r="D840" s="7">
        <v>45954</v>
      </c>
      <c r="E840" t="s">
        <v>31</v>
      </c>
      <c r="F840" t="s">
        <v>32</v>
      </c>
      <c r="G840">
        <v>25</v>
      </c>
      <c r="H840" t="s">
        <v>63</v>
      </c>
      <c r="I840">
        <v>4</v>
      </c>
      <c r="J840">
        <v>8</v>
      </c>
      <c r="K840">
        <v>3</v>
      </c>
      <c r="L840">
        <f t="shared" si="91"/>
        <v>1</v>
      </c>
      <c r="P840">
        <f t="shared" si="92"/>
        <v>1</v>
      </c>
      <c r="Q840">
        <f t="shared" si="93"/>
        <v>1</v>
      </c>
      <c r="R840">
        <f t="shared" si="94"/>
        <v>1</v>
      </c>
      <c r="S840">
        <f t="shared" si="95"/>
        <v>3</v>
      </c>
      <c r="T840" t="str">
        <f t="shared" si="96"/>
        <v>DerivedFromCount</v>
      </c>
      <c r="U840" t="str">
        <f>IF(COUNTIF(DailyProduction!$Q$5:$Q$100,B840)=1,"OK","CHECK")</f>
        <v>OK</v>
      </c>
      <c r="V840" t="str">
        <f t="shared" si="97"/>
        <v>OK</v>
      </c>
      <c r="W840" t="str">
        <f>IF(SUMIF($B$5:$B$914,B840,$S$5:$S$914)=SUMIF(DailyProduction!$Q$5:$Q$100,B840,DailyProduction!$R$5:$R$100),"OK","CHECK")</f>
        <v>OK</v>
      </c>
    </row>
    <row r="841" spans="1:23">
      <c r="A841" t="s">
        <v>1297</v>
      </c>
      <c r="B841" t="s">
        <v>1293</v>
      </c>
      <c r="C841" t="s">
        <v>30</v>
      </c>
      <c r="D841" s="7">
        <v>45954</v>
      </c>
      <c r="E841" t="s">
        <v>31</v>
      </c>
      <c r="F841" t="s">
        <v>32</v>
      </c>
      <c r="G841">
        <v>25</v>
      </c>
      <c r="H841" t="s">
        <v>63</v>
      </c>
      <c r="I841">
        <v>5</v>
      </c>
      <c r="J841">
        <v>8</v>
      </c>
      <c r="K841">
        <v>3</v>
      </c>
      <c r="L841">
        <f t="shared" si="91"/>
        <v>1</v>
      </c>
      <c r="P841">
        <f t="shared" si="92"/>
        <v>1</v>
      </c>
      <c r="Q841">
        <f t="shared" si="93"/>
        <v>1</v>
      </c>
      <c r="R841">
        <f t="shared" si="94"/>
        <v>1</v>
      </c>
      <c r="S841">
        <f t="shared" si="95"/>
        <v>3</v>
      </c>
      <c r="T841" t="str">
        <f t="shared" si="96"/>
        <v>DerivedFromCount</v>
      </c>
      <c r="U841" t="str">
        <f>IF(COUNTIF(DailyProduction!$Q$5:$Q$100,B841)=1,"OK","CHECK")</f>
        <v>OK</v>
      </c>
      <c r="V841" t="str">
        <f t="shared" si="97"/>
        <v>OK</v>
      </c>
      <c r="W841" t="str">
        <f>IF(SUMIF($B$5:$B$914,B841,$S$5:$S$914)=SUMIF(DailyProduction!$Q$5:$Q$100,B841,DailyProduction!$R$5:$R$100),"OK","CHECK")</f>
        <v>OK</v>
      </c>
    </row>
    <row r="842" spans="1:23">
      <c r="A842" t="s">
        <v>1298</v>
      </c>
      <c r="B842" t="s">
        <v>1293</v>
      </c>
      <c r="C842" t="s">
        <v>30</v>
      </c>
      <c r="D842" s="7">
        <v>45954</v>
      </c>
      <c r="E842" t="s">
        <v>31</v>
      </c>
      <c r="F842" t="s">
        <v>32</v>
      </c>
      <c r="G842">
        <v>25</v>
      </c>
      <c r="H842" t="s">
        <v>63</v>
      </c>
      <c r="I842">
        <v>6</v>
      </c>
      <c r="J842">
        <v>8</v>
      </c>
      <c r="K842">
        <v>3</v>
      </c>
      <c r="L842">
        <f t="shared" si="91"/>
        <v>1</v>
      </c>
      <c r="P842">
        <f t="shared" si="92"/>
        <v>1</v>
      </c>
      <c r="Q842">
        <f t="shared" si="93"/>
        <v>1</v>
      </c>
      <c r="R842">
        <f t="shared" si="94"/>
        <v>1</v>
      </c>
      <c r="S842">
        <f t="shared" si="95"/>
        <v>3</v>
      </c>
      <c r="T842" t="str">
        <f t="shared" si="96"/>
        <v>DerivedFromCount</v>
      </c>
      <c r="U842" t="str">
        <f>IF(COUNTIF(DailyProduction!$Q$5:$Q$100,B842)=1,"OK","CHECK")</f>
        <v>OK</v>
      </c>
      <c r="V842" t="str">
        <f t="shared" si="97"/>
        <v>OK</v>
      </c>
      <c r="W842" t="str">
        <f>IF(SUMIF($B$5:$B$914,B842,$S$5:$S$914)=SUMIF(DailyProduction!$Q$5:$Q$100,B842,DailyProduction!$R$5:$R$100),"OK","CHECK")</f>
        <v>OK</v>
      </c>
    </row>
    <row r="843" spans="1:23">
      <c r="A843" t="s">
        <v>1299</v>
      </c>
      <c r="B843" t="s">
        <v>1293</v>
      </c>
      <c r="C843" t="s">
        <v>30</v>
      </c>
      <c r="D843" s="7">
        <v>45954</v>
      </c>
      <c r="E843" t="s">
        <v>31</v>
      </c>
      <c r="F843" t="s">
        <v>32</v>
      </c>
      <c r="G843">
        <v>25</v>
      </c>
      <c r="H843" t="s">
        <v>63</v>
      </c>
      <c r="I843">
        <v>7</v>
      </c>
      <c r="J843">
        <v>8</v>
      </c>
      <c r="K843">
        <v>3</v>
      </c>
      <c r="L843">
        <f t="shared" si="91"/>
        <v>1</v>
      </c>
      <c r="P843">
        <f t="shared" si="92"/>
        <v>1</v>
      </c>
      <c r="Q843">
        <f t="shared" si="93"/>
        <v>1</v>
      </c>
      <c r="R843">
        <f t="shared" si="94"/>
        <v>1</v>
      </c>
      <c r="S843">
        <f t="shared" si="95"/>
        <v>3</v>
      </c>
      <c r="T843" t="str">
        <f t="shared" si="96"/>
        <v>DerivedFromCount</v>
      </c>
      <c r="U843" t="str">
        <f>IF(COUNTIF(DailyProduction!$Q$5:$Q$100,B843)=1,"OK","CHECK")</f>
        <v>OK</v>
      </c>
      <c r="V843" t="str">
        <f t="shared" si="97"/>
        <v>OK</v>
      </c>
      <c r="W843" t="str">
        <f>IF(SUMIF($B$5:$B$914,B843,$S$5:$S$914)=SUMIF(DailyProduction!$Q$5:$Q$100,B843,DailyProduction!$R$5:$R$100),"OK","CHECK")</f>
        <v>OK</v>
      </c>
    </row>
    <row r="844" spans="1:23">
      <c r="A844" t="s">
        <v>1300</v>
      </c>
      <c r="B844" t="s">
        <v>1293</v>
      </c>
      <c r="C844" t="s">
        <v>30</v>
      </c>
      <c r="D844" s="7">
        <v>45954</v>
      </c>
      <c r="E844" t="s">
        <v>31</v>
      </c>
      <c r="F844" t="s">
        <v>32</v>
      </c>
      <c r="G844">
        <v>25</v>
      </c>
      <c r="H844" t="s">
        <v>63</v>
      </c>
      <c r="I844">
        <v>8</v>
      </c>
      <c r="J844">
        <v>8</v>
      </c>
      <c r="K844">
        <v>3</v>
      </c>
      <c r="L844">
        <f t="shared" si="91"/>
        <v>1</v>
      </c>
      <c r="P844">
        <f t="shared" si="92"/>
        <v>1</v>
      </c>
      <c r="Q844">
        <f t="shared" si="93"/>
        <v>1</v>
      </c>
      <c r="R844">
        <f t="shared" si="94"/>
        <v>1</v>
      </c>
      <c r="S844">
        <f t="shared" si="95"/>
        <v>3</v>
      </c>
      <c r="T844" t="str">
        <f t="shared" si="96"/>
        <v>DerivedFromCount</v>
      </c>
      <c r="U844" t="str">
        <f>IF(COUNTIF(DailyProduction!$Q$5:$Q$100,B844)=1,"OK","CHECK")</f>
        <v>OK</v>
      </c>
      <c r="V844" t="str">
        <f t="shared" si="97"/>
        <v>OK</v>
      </c>
      <c r="W844" t="str">
        <f>IF(SUMIF($B$5:$B$914,B844,$S$5:$S$914)=SUMIF(DailyProduction!$Q$5:$Q$100,B844,DailyProduction!$R$5:$R$100),"OK","CHECK")</f>
        <v>OK</v>
      </c>
    </row>
    <row r="845" spans="1:23">
      <c r="A845" t="s">
        <v>1301</v>
      </c>
      <c r="B845" t="s">
        <v>1293</v>
      </c>
      <c r="C845" t="s">
        <v>30</v>
      </c>
      <c r="D845" s="7">
        <v>45954</v>
      </c>
      <c r="E845" t="s">
        <v>31</v>
      </c>
      <c r="F845" t="s">
        <v>32</v>
      </c>
      <c r="G845">
        <v>25</v>
      </c>
      <c r="H845" t="s">
        <v>63</v>
      </c>
      <c r="I845">
        <v>9</v>
      </c>
      <c r="J845">
        <v>8</v>
      </c>
      <c r="K845">
        <v>3</v>
      </c>
      <c r="L845">
        <f t="shared" si="91"/>
        <v>0</v>
      </c>
      <c r="P845">
        <f t="shared" si="92"/>
        <v>0</v>
      </c>
      <c r="Q845">
        <f t="shared" si="93"/>
        <v>0</v>
      </c>
      <c r="R845">
        <f t="shared" si="94"/>
        <v>0</v>
      </c>
      <c r="S845">
        <f t="shared" si="95"/>
        <v>0</v>
      </c>
      <c r="T845" t="str">
        <f t="shared" si="96"/>
        <v>DerivedFromCount</v>
      </c>
      <c r="U845" t="str">
        <f>IF(COUNTIF(DailyProduction!$Q$5:$Q$100,B845)=1,"OK","CHECK")</f>
        <v>OK</v>
      </c>
      <c r="V845" t="str">
        <f t="shared" si="97"/>
        <v>OK</v>
      </c>
      <c r="W845" t="str">
        <f>IF(SUMIF($B$5:$B$914,B845,$S$5:$S$914)=SUMIF(DailyProduction!$Q$5:$Q$100,B845,DailyProduction!$R$5:$R$100),"OK","CHECK")</f>
        <v>OK</v>
      </c>
    </row>
    <row r="846" spans="1:23">
      <c r="A846" t="s">
        <v>1302</v>
      </c>
      <c r="B846" t="s">
        <v>1293</v>
      </c>
      <c r="C846" t="s">
        <v>30</v>
      </c>
      <c r="D846" s="7">
        <v>45954</v>
      </c>
      <c r="E846" t="s">
        <v>31</v>
      </c>
      <c r="F846" t="s">
        <v>32</v>
      </c>
      <c r="G846">
        <v>25</v>
      </c>
      <c r="H846" t="s">
        <v>63</v>
      </c>
      <c r="I846">
        <v>10</v>
      </c>
      <c r="J846">
        <v>8</v>
      </c>
      <c r="K846">
        <v>3</v>
      </c>
      <c r="L846">
        <f t="shared" si="91"/>
        <v>0</v>
      </c>
      <c r="P846">
        <f t="shared" si="92"/>
        <v>0</v>
      </c>
      <c r="Q846">
        <f t="shared" si="93"/>
        <v>0</v>
      </c>
      <c r="R846">
        <f t="shared" si="94"/>
        <v>0</v>
      </c>
      <c r="S846">
        <f t="shared" si="95"/>
        <v>0</v>
      </c>
      <c r="T846" t="str">
        <f t="shared" si="96"/>
        <v>DerivedFromCount</v>
      </c>
      <c r="U846" t="str">
        <f>IF(COUNTIF(DailyProduction!$Q$5:$Q$100,B846)=1,"OK","CHECK")</f>
        <v>OK</v>
      </c>
      <c r="V846" t="str">
        <f t="shared" si="97"/>
        <v>OK</v>
      </c>
      <c r="W846" t="str">
        <f>IF(SUMIF($B$5:$B$914,B846,$S$5:$S$914)=SUMIF(DailyProduction!$Q$5:$Q$100,B846,DailyProduction!$R$5:$R$100),"OK","CHECK")</f>
        <v>OK</v>
      </c>
    </row>
    <row r="847" spans="1:23">
      <c r="A847" t="s">
        <v>1303</v>
      </c>
      <c r="B847" t="s">
        <v>1293</v>
      </c>
      <c r="C847" t="s">
        <v>30</v>
      </c>
      <c r="D847" s="7">
        <v>45954</v>
      </c>
      <c r="E847" t="s">
        <v>31</v>
      </c>
      <c r="F847" t="s">
        <v>32</v>
      </c>
      <c r="G847">
        <v>25</v>
      </c>
      <c r="H847" t="s">
        <v>63</v>
      </c>
      <c r="I847">
        <v>11</v>
      </c>
      <c r="J847">
        <v>8</v>
      </c>
      <c r="K847">
        <v>3</v>
      </c>
      <c r="L847">
        <f t="shared" si="91"/>
        <v>0</v>
      </c>
      <c r="P847">
        <f t="shared" si="92"/>
        <v>0</v>
      </c>
      <c r="Q847">
        <f t="shared" si="93"/>
        <v>0</v>
      </c>
      <c r="R847">
        <f t="shared" si="94"/>
        <v>0</v>
      </c>
      <c r="S847">
        <f t="shared" si="95"/>
        <v>0</v>
      </c>
      <c r="T847" t="str">
        <f t="shared" si="96"/>
        <v>DerivedFromCount</v>
      </c>
      <c r="U847" t="str">
        <f>IF(COUNTIF(DailyProduction!$Q$5:$Q$100,B847)=1,"OK","CHECK")</f>
        <v>OK</v>
      </c>
      <c r="V847" t="str">
        <f t="shared" si="97"/>
        <v>OK</v>
      </c>
      <c r="W847" t="str">
        <f>IF(SUMIF($B$5:$B$914,B847,$S$5:$S$914)=SUMIF(DailyProduction!$Q$5:$Q$100,B847,DailyProduction!$R$5:$R$100),"OK","CHECK")</f>
        <v>OK</v>
      </c>
    </row>
    <row r="848" spans="1:23">
      <c r="A848" t="s">
        <v>1304</v>
      </c>
      <c r="B848" t="s">
        <v>1293</v>
      </c>
      <c r="C848" t="s">
        <v>30</v>
      </c>
      <c r="D848" s="7">
        <v>45954</v>
      </c>
      <c r="E848" t="s">
        <v>31</v>
      </c>
      <c r="F848" t="s">
        <v>32</v>
      </c>
      <c r="G848">
        <v>25</v>
      </c>
      <c r="H848" t="s">
        <v>63</v>
      </c>
      <c r="I848">
        <v>12</v>
      </c>
      <c r="J848">
        <v>8</v>
      </c>
      <c r="K848">
        <v>3</v>
      </c>
      <c r="L848">
        <f t="shared" si="91"/>
        <v>0</v>
      </c>
      <c r="P848">
        <f t="shared" si="92"/>
        <v>0</v>
      </c>
      <c r="Q848">
        <f t="shared" si="93"/>
        <v>0</v>
      </c>
      <c r="R848">
        <f t="shared" si="94"/>
        <v>0</v>
      </c>
      <c r="S848">
        <f t="shared" si="95"/>
        <v>0</v>
      </c>
      <c r="T848" t="str">
        <f t="shared" si="96"/>
        <v>DerivedFromCount</v>
      </c>
      <c r="U848" t="str">
        <f>IF(COUNTIF(DailyProduction!$Q$5:$Q$100,B848)=1,"OK","CHECK")</f>
        <v>OK</v>
      </c>
      <c r="V848" t="str">
        <f t="shared" si="97"/>
        <v>OK</v>
      </c>
      <c r="W848" t="str">
        <f>IF(SUMIF($B$5:$B$914,B848,$S$5:$S$914)=SUMIF(DailyProduction!$Q$5:$Q$100,B848,DailyProduction!$R$5:$R$100),"OK","CHECK")</f>
        <v>OK</v>
      </c>
    </row>
    <row r="849" spans="1:23">
      <c r="A849" t="s">
        <v>1305</v>
      </c>
      <c r="B849" t="s">
        <v>1293</v>
      </c>
      <c r="C849" t="s">
        <v>30</v>
      </c>
      <c r="D849" s="7">
        <v>45954</v>
      </c>
      <c r="E849" t="s">
        <v>31</v>
      </c>
      <c r="F849" t="s">
        <v>32</v>
      </c>
      <c r="G849">
        <v>25</v>
      </c>
      <c r="H849" t="s">
        <v>63</v>
      </c>
      <c r="I849">
        <v>13</v>
      </c>
      <c r="J849">
        <v>8</v>
      </c>
      <c r="K849">
        <v>3</v>
      </c>
      <c r="L849">
        <f t="shared" si="91"/>
        <v>0</v>
      </c>
      <c r="P849">
        <f t="shared" si="92"/>
        <v>0</v>
      </c>
      <c r="Q849">
        <f t="shared" si="93"/>
        <v>0</v>
      </c>
      <c r="R849">
        <f t="shared" si="94"/>
        <v>0</v>
      </c>
      <c r="S849">
        <f t="shared" si="95"/>
        <v>0</v>
      </c>
      <c r="T849" t="str">
        <f t="shared" si="96"/>
        <v>DerivedFromCount</v>
      </c>
      <c r="U849" t="str">
        <f>IF(COUNTIF(DailyProduction!$Q$5:$Q$100,B849)=1,"OK","CHECK")</f>
        <v>OK</v>
      </c>
      <c r="V849" t="str">
        <f t="shared" si="97"/>
        <v>OK</v>
      </c>
      <c r="W849" t="str">
        <f>IF(SUMIF($B$5:$B$914,B849,$S$5:$S$914)=SUMIF(DailyProduction!$Q$5:$Q$100,B849,DailyProduction!$R$5:$R$100),"OK","CHECK")</f>
        <v>OK</v>
      </c>
    </row>
    <row r="850" spans="1:23">
      <c r="A850" t="s">
        <v>1306</v>
      </c>
      <c r="B850" t="s">
        <v>1307</v>
      </c>
      <c r="C850" t="s">
        <v>30</v>
      </c>
      <c r="D850" s="7">
        <v>45954</v>
      </c>
      <c r="E850" t="s">
        <v>79</v>
      </c>
      <c r="F850" t="s">
        <v>37</v>
      </c>
      <c r="G850">
        <v>25</v>
      </c>
      <c r="H850" t="s">
        <v>63</v>
      </c>
      <c r="I850">
        <v>1</v>
      </c>
      <c r="J850">
        <v>8</v>
      </c>
      <c r="K850">
        <v>3</v>
      </c>
      <c r="L850">
        <f t="shared" si="91"/>
        <v>1</v>
      </c>
      <c r="P850">
        <f t="shared" si="92"/>
        <v>1</v>
      </c>
      <c r="Q850">
        <f t="shared" si="93"/>
        <v>1</v>
      </c>
      <c r="R850">
        <f t="shared" si="94"/>
        <v>1</v>
      </c>
      <c r="S850">
        <f t="shared" si="95"/>
        <v>3</v>
      </c>
      <c r="T850" t="str">
        <f t="shared" si="96"/>
        <v>DerivedFromCount</v>
      </c>
      <c r="U850" t="str">
        <f>IF(COUNTIF(DailyProduction!$Q$5:$Q$100,B850)=1,"OK","CHECK")</f>
        <v>OK</v>
      </c>
      <c r="V850" t="str">
        <f t="shared" si="97"/>
        <v>OK</v>
      </c>
      <c r="W850" t="str">
        <f>IF(SUMIF($B$5:$B$914,B850,$S$5:$S$914)=SUMIF(DailyProduction!$Q$5:$Q$100,B850,DailyProduction!$R$5:$R$100),"OK","CHECK")</f>
        <v>OK</v>
      </c>
    </row>
    <row r="851" spans="1:23">
      <c r="A851" t="s">
        <v>1308</v>
      </c>
      <c r="B851" t="s">
        <v>1307</v>
      </c>
      <c r="C851" t="s">
        <v>30</v>
      </c>
      <c r="D851" s="7">
        <v>45954</v>
      </c>
      <c r="E851" t="s">
        <v>79</v>
      </c>
      <c r="F851" t="s">
        <v>37</v>
      </c>
      <c r="G851">
        <v>25</v>
      </c>
      <c r="H851" t="s">
        <v>63</v>
      </c>
      <c r="I851">
        <v>2</v>
      </c>
      <c r="J851">
        <v>8</v>
      </c>
      <c r="K851">
        <v>3</v>
      </c>
      <c r="L851">
        <f t="shared" si="91"/>
        <v>1</v>
      </c>
      <c r="P851">
        <f t="shared" si="92"/>
        <v>1</v>
      </c>
      <c r="Q851">
        <f t="shared" si="93"/>
        <v>1</v>
      </c>
      <c r="R851">
        <f t="shared" si="94"/>
        <v>1</v>
      </c>
      <c r="S851">
        <f t="shared" si="95"/>
        <v>3</v>
      </c>
      <c r="T851" t="str">
        <f t="shared" si="96"/>
        <v>DerivedFromCount</v>
      </c>
      <c r="U851" t="str">
        <f>IF(COUNTIF(DailyProduction!$Q$5:$Q$100,B851)=1,"OK","CHECK")</f>
        <v>OK</v>
      </c>
      <c r="V851" t="str">
        <f t="shared" si="97"/>
        <v>OK</v>
      </c>
      <c r="W851" t="str">
        <f>IF(SUMIF($B$5:$B$914,B851,$S$5:$S$914)=SUMIF(DailyProduction!$Q$5:$Q$100,B851,DailyProduction!$R$5:$R$100),"OK","CHECK")</f>
        <v>OK</v>
      </c>
    </row>
    <row r="852" spans="1:23">
      <c r="A852" t="s">
        <v>1309</v>
      </c>
      <c r="B852" t="s">
        <v>1307</v>
      </c>
      <c r="C852" t="s">
        <v>30</v>
      </c>
      <c r="D852" s="7">
        <v>45954</v>
      </c>
      <c r="E852" t="s">
        <v>79</v>
      </c>
      <c r="F852" t="s">
        <v>37</v>
      </c>
      <c r="G852">
        <v>25</v>
      </c>
      <c r="H852" t="s">
        <v>63</v>
      </c>
      <c r="I852">
        <v>3</v>
      </c>
      <c r="J852">
        <v>8</v>
      </c>
      <c r="K852">
        <v>3</v>
      </c>
      <c r="L852">
        <f t="shared" si="91"/>
        <v>1</v>
      </c>
      <c r="P852">
        <f t="shared" si="92"/>
        <v>1</v>
      </c>
      <c r="Q852">
        <f t="shared" si="93"/>
        <v>1</v>
      </c>
      <c r="R852">
        <f t="shared" si="94"/>
        <v>1</v>
      </c>
      <c r="S852">
        <f t="shared" si="95"/>
        <v>3</v>
      </c>
      <c r="T852" t="str">
        <f t="shared" si="96"/>
        <v>DerivedFromCount</v>
      </c>
      <c r="U852" t="str">
        <f>IF(COUNTIF(DailyProduction!$Q$5:$Q$100,B852)=1,"OK","CHECK")</f>
        <v>OK</v>
      </c>
      <c r="V852" t="str">
        <f t="shared" si="97"/>
        <v>OK</v>
      </c>
      <c r="W852" t="str">
        <f>IF(SUMIF($B$5:$B$914,B852,$S$5:$S$914)=SUMIF(DailyProduction!$Q$5:$Q$100,B852,DailyProduction!$R$5:$R$100),"OK","CHECK")</f>
        <v>OK</v>
      </c>
    </row>
    <row r="853" spans="1:23">
      <c r="A853" t="s">
        <v>1310</v>
      </c>
      <c r="B853" t="s">
        <v>1307</v>
      </c>
      <c r="C853" t="s">
        <v>30</v>
      </c>
      <c r="D853" s="7">
        <v>45954</v>
      </c>
      <c r="E853" t="s">
        <v>79</v>
      </c>
      <c r="F853" t="s">
        <v>37</v>
      </c>
      <c r="G853">
        <v>25</v>
      </c>
      <c r="H853" t="s">
        <v>63</v>
      </c>
      <c r="I853">
        <v>4</v>
      </c>
      <c r="J853">
        <v>8</v>
      </c>
      <c r="K853">
        <v>3</v>
      </c>
      <c r="L853">
        <f t="shared" si="91"/>
        <v>1</v>
      </c>
      <c r="P853">
        <f t="shared" si="92"/>
        <v>1</v>
      </c>
      <c r="Q853">
        <f t="shared" si="93"/>
        <v>1</v>
      </c>
      <c r="R853">
        <f t="shared" si="94"/>
        <v>1</v>
      </c>
      <c r="S853">
        <f t="shared" si="95"/>
        <v>3</v>
      </c>
      <c r="T853" t="str">
        <f t="shared" si="96"/>
        <v>DerivedFromCount</v>
      </c>
      <c r="U853" t="str">
        <f>IF(COUNTIF(DailyProduction!$Q$5:$Q$100,B853)=1,"OK","CHECK")</f>
        <v>OK</v>
      </c>
      <c r="V853" t="str">
        <f t="shared" si="97"/>
        <v>OK</v>
      </c>
      <c r="W853" t="str">
        <f>IF(SUMIF($B$5:$B$914,B853,$S$5:$S$914)=SUMIF(DailyProduction!$Q$5:$Q$100,B853,DailyProduction!$R$5:$R$100),"OK","CHECK")</f>
        <v>OK</v>
      </c>
    </row>
    <row r="854" spans="1:23">
      <c r="A854" t="s">
        <v>1311</v>
      </c>
      <c r="B854" t="s">
        <v>1307</v>
      </c>
      <c r="C854" t="s">
        <v>30</v>
      </c>
      <c r="D854" s="7">
        <v>45954</v>
      </c>
      <c r="E854" t="s">
        <v>79</v>
      </c>
      <c r="F854" t="s">
        <v>37</v>
      </c>
      <c r="G854">
        <v>25</v>
      </c>
      <c r="H854" t="s">
        <v>63</v>
      </c>
      <c r="I854">
        <v>5</v>
      </c>
      <c r="J854">
        <v>8</v>
      </c>
      <c r="K854">
        <v>3</v>
      </c>
      <c r="L854">
        <f t="shared" si="91"/>
        <v>1</v>
      </c>
      <c r="P854">
        <f t="shared" si="92"/>
        <v>1</v>
      </c>
      <c r="Q854">
        <f t="shared" si="93"/>
        <v>1</v>
      </c>
      <c r="R854">
        <f t="shared" si="94"/>
        <v>1</v>
      </c>
      <c r="S854">
        <f t="shared" si="95"/>
        <v>3</v>
      </c>
      <c r="T854" t="str">
        <f t="shared" si="96"/>
        <v>DerivedFromCount</v>
      </c>
      <c r="U854" t="str">
        <f>IF(COUNTIF(DailyProduction!$Q$5:$Q$100,B854)=1,"OK","CHECK")</f>
        <v>OK</v>
      </c>
      <c r="V854" t="str">
        <f t="shared" si="97"/>
        <v>OK</v>
      </c>
      <c r="W854" t="str">
        <f>IF(SUMIF($B$5:$B$914,B854,$S$5:$S$914)=SUMIF(DailyProduction!$Q$5:$Q$100,B854,DailyProduction!$R$5:$R$100),"OK","CHECK")</f>
        <v>OK</v>
      </c>
    </row>
    <row r="855" spans="1:23">
      <c r="A855" t="s">
        <v>1312</v>
      </c>
      <c r="B855" t="s">
        <v>1307</v>
      </c>
      <c r="C855" t="s">
        <v>30</v>
      </c>
      <c r="D855" s="7">
        <v>45954</v>
      </c>
      <c r="E855" t="s">
        <v>79</v>
      </c>
      <c r="F855" t="s">
        <v>37</v>
      </c>
      <c r="G855">
        <v>25</v>
      </c>
      <c r="H855" t="s">
        <v>63</v>
      </c>
      <c r="I855">
        <v>6</v>
      </c>
      <c r="J855">
        <v>8</v>
      </c>
      <c r="K855">
        <v>3</v>
      </c>
      <c r="L855">
        <f t="shared" si="91"/>
        <v>1</v>
      </c>
      <c r="P855">
        <f t="shared" si="92"/>
        <v>1</v>
      </c>
      <c r="Q855">
        <f t="shared" si="93"/>
        <v>1</v>
      </c>
      <c r="R855">
        <f t="shared" si="94"/>
        <v>1</v>
      </c>
      <c r="S855">
        <f t="shared" si="95"/>
        <v>3</v>
      </c>
      <c r="T855" t="str">
        <f t="shared" si="96"/>
        <v>DerivedFromCount</v>
      </c>
      <c r="U855" t="str">
        <f>IF(COUNTIF(DailyProduction!$Q$5:$Q$100,B855)=1,"OK","CHECK")</f>
        <v>OK</v>
      </c>
      <c r="V855" t="str">
        <f t="shared" si="97"/>
        <v>OK</v>
      </c>
      <c r="W855" t="str">
        <f>IF(SUMIF($B$5:$B$914,B855,$S$5:$S$914)=SUMIF(DailyProduction!$Q$5:$Q$100,B855,DailyProduction!$R$5:$R$100),"OK","CHECK")</f>
        <v>OK</v>
      </c>
    </row>
    <row r="856" spans="1:23">
      <c r="A856" t="s">
        <v>1313</v>
      </c>
      <c r="B856" t="s">
        <v>1307</v>
      </c>
      <c r="C856" t="s">
        <v>30</v>
      </c>
      <c r="D856" s="7">
        <v>45954</v>
      </c>
      <c r="E856" t="s">
        <v>79</v>
      </c>
      <c r="F856" t="s">
        <v>37</v>
      </c>
      <c r="G856">
        <v>25</v>
      </c>
      <c r="H856" t="s">
        <v>63</v>
      </c>
      <c r="I856">
        <v>7</v>
      </c>
      <c r="J856">
        <v>8</v>
      </c>
      <c r="K856">
        <v>3</v>
      </c>
      <c r="L856">
        <f t="shared" si="91"/>
        <v>1</v>
      </c>
      <c r="P856">
        <f t="shared" si="92"/>
        <v>1</v>
      </c>
      <c r="Q856">
        <f t="shared" si="93"/>
        <v>1</v>
      </c>
      <c r="R856">
        <f t="shared" si="94"/>
        <v>1</v>
      </c>
      <c r="S856">
        <f t="shared" si="95"/>
        <v>3</v>
      </c>
      <c r="T856" t="str">
        <f t="shared" si="96"/>
        <v>DerivedFromCount</v>
      </c>
      <c r="U856" t="str">
        <f>IF(COUNTIF(DailyProduction!$Q$5:$Q$100,B856)=1,"OK","CHECK")</f>
        <v>OK</v>
      </c>
      <c r="V856" t="str">
        <f t="shared" si="97"/>
        <v>OK</v>
      </c>
      <c r="W856" t="str">
        <f>IF(SUMIF($B$5:$B$914,B856,$S$5:$S$914)=SUMIF(DailyProduction!$Q$5:$Q$100,B856,DailyProduction!$R$5:$R$100),"OK","CHECK")</f>
        <v>OK</v>
      </c>
    </row>
    <row r="857" spans="1:23">
      <c r="A857" t="s">
        <v>1314</v>
      </c>
      <c r="B857" t="s">
        <v>1307</v>
      </c>
      <c r="C857" t="s">
        <v>30</v>
      </c>
      <c r="D857" s="7">
        <v>45954</v>
      </c>
      <c r="E857" t="s">
        <v>79</v>
      </c>
      <c r="F857" t="s">
        <v>37</v>
      </c>
      <c r="G857">
        <v>25</v>
      </c>
      <c r="H857" t="s">
        <v>63</v>
      </c>
      <c r="I857">
        <v>8</v>
      </c>
      <c r="J857">
        <v>8</v>
      </c>
      <c r="K857">
        <v>3</v>
      </c>
      <c r="L857">
        <f t="shared" si="91"/>
        <v>1</v>
      </c>
      <c r="P857">
        <f t="shared" si="92"/>
        <v>1</v>
      </c>
      <c r="Q857">
        <f t="shared" si="93"/>
        <v>1</v>
      </c>
      <c r="R857">
        <f t="shared" si="94"/>
        <v>1</v>
      </c>
      <c r="S857">
        <f t="shared" si="95"/>
        <v>3</v>
      </c>
      <c r="T857" t="str">
        <f t="shared" si="96"/>
        <v>DerivedFromCount</v>
      </c>
      <c r="U857" t="str">
        <f>IF(COUNTIF(DailyProduction!$Q$5:$Q$100,B857)=1,"OK","CHECK")</f>
        <v>OK</v>
      </c>
      <c r="V857" t="str">
        <f t="shared" si="97"/>
        <v>OK</v>
      </c>
      <c r="W857" t="str">
        <f>IF(SUMIF($B$5:$B$914,B857,$S$5:$S$914)=SUMIF(DailyProduction!$Q$5:$Q$100,B857,DailyProduction!$R$5:$R$100),"OK","CHECK")</f>
        <v>OK</v>
      </c>
    </row>
    <row r="858" spans="1:23">
      <c r="A858" t="s">
        <v>1315</v>
      </c>
      <c r="B858" t="s">
        <v>1307</v>
      </c>
      <c r="C858" t="s">
        <v>30</v>
      </c>
      <c r="D858" s="7">
        <v>45954</v>
      </c>
      <c r="E858" t="s">
        <v>79</v>
      </c>
      <c r="F858" t="s">
        <v>37</v>
      </c>
      <c r="G858">
        <v>25</v>
      </c>
      <c r="H858" t="s">
        <v>63</v>
      </c>
      <c r="I858">
        <v>9</v>
      </c>
      <c r="J858">
        <v>8</v>
      </c>
      <c r="K858">
        <v>3</v>
      </c>
      <c r="L858">
        <f t="shared" si="91"/>
        <v>0</v>
      </c>
      <c r="P858">
        <f t="shared" si="92"/>
        <v>0</v>
      </c>
      <c r="Q858">
        <f t="shared" si="93"/>
        <v>0</v>
      </c>
      <c r="R858">
        <f t="shared" si="94"/>
        <v>0</v>
      </c>
      <c r="S858">
        <f t="shared" si="95"/>
        <v>0</v>
      </c>
      <c r="T858" t="str">
        <f t="shared" si="96"/>
        <v>DerivedFromCount</v>
      </c>
      <c r="U858" t="str">
        <f>IF(COUNTIF(DailyProduction!$Q$5:$Q$100,B858)=1,"OK","CHECK")</f>
        <v>OK</v>
      </c>
      <c r="V858" t="str">
        <f t="shared" si="97"/>
        <v>OK</v>
      </c>
      <c r="W858" t="str">
        <f>IF(SUMIF($B$5:$B$914,B858,$S$5:$S$914)=SUMIF(DailyProduction!$Q$5:$Q$100,B858,DailyProduction!$R$5:$R$100),"OK","CHECK")</f>
        <v>OK</v>
      </c>
    </row>
    <row r="859" spans="1:23">
      <c r="A859" t="s">
        <v>1316</v>
      </c>
      <c r="B859" t="s">
        <v>1307</v>
      </c>
      <c r="C859" t="s">
        <v>30</v>
      </c>
      <c r="D859" s="7">
        <v>45954</v>
      </c>
      <c r="E859" t="s">
        <v>79</v>
      </c>
      <c r="F859" t="s">
        <v>37</v>
      </c>
      <c r="G859">
        <v>25</v>
      </c>
      <c r="H859" t="s">
        <v>63</v>
      </c>
      <c r="I859">
        <v>10</v>
      </c>
      <c r="J859">
        <v>8</v>
      </c>
      <c r="K859">
        <v>3</v>
      </c>
      <c r="L859">
        <f t="shared" si="91"/>
        <v>0</v>
      </c>
      <c r="P859">
        <f t="shared" si="92"/>
        <v>0</v>
      </c>
      <c r="Q859">
        <f t="shared" si="93"/>
        <v>0</v>
      </c>
      <c r="R859">
        <f t="shared" si="94"/>
        <v>0</v>
      </c>
      <c r="S859">
        <f t="shared" si="95"/>
        <v>0</v>
      </c>
      <c r="T859" t="str">
        <f t="shared" si="96"/>
        <v>DerivedFromCount</v>
      </c>
      <c r="U859" t="str">
        <f>IF(COUNTIF(DailyProduction!$Q$5:$Q$100,B859)=1,"OK","CHECK")</f>
        <v>OK</v>
      </c>
      <c r="V859" t="str">
        <f t="shared" si="97"/>
        <v>OK</v>
      </c>
      <c r="W859" t="str">
        <f>IF(SUMIF($B$5:$B$914,B859,$S$5:$S$914)=SUMIF(DailyProduction!$Q$5:$Q$100,B859,DailyProduction!$R$5:$R$100),"OK","CHECK")</f>
        <v>OK</v>
      </c>
    </row>
    <row r="860" spans="1:23">
      <c r="A860" t="s">
        <v>1317</v>
      </c>
      <c r="B860" t="s">
        <v>1307</v>
      </c>
      <c r="C860" t="s">
        <v>30</v>
      </c>
      <c r="D860" s="7">
        <v>45954</v>
      </c>
      <c r="E860" t="s">
        <v>79</v>
      </c>
      <c r="F860" t="s">
        <v>37</v>
      </c>
      <c r="G860">
        <v>25</v>
      </c>
      <c r="H860" t="s">
        <v>63</v>
      </c>
      <c r="I860">
        <v>11</v>
      </c>
      <c r="J860">
        <v>8</v>
      </c>
      <c r="K860">
        <v>3</v>
      </c>
      <c r="L860">
        <f t="shared" si="91"/>
        <v>0</v>
      </c>
      <c r="P860">
        <f t="shared" si="92"/>
        <v>0</v>
      </c>
      <c r="Q860">
        <f t="shared" si="93"/>
        <v>0</v>
      </c>
      <c r="R860">
        <f t="shared" si="94"/>
        <v>0</v>
      </c>
      <c r="S860">
        <f t="shared" si="95"/>
        <v>0</v>
      </c>
      <c r="T860" t="str">
        <f t="shared" si="96"/>
        <v>DerivedFromCount</v>
      </c>
      <c r="U860" t="str">
        <f>IF(COUNTIF(DailyProduction!$Q$5:$Q$100,B860)=1,"OK","CHECK")</f>
        <v>OK</v>
      </c>
      <c r="V860" t="str">
        <f t="shared" si="97"/>
        <v>OK</v>
      </c>
      <c r="W860" t="str">
        <f>IF(SUMIF($B$5:$B$914,B860,$S$5:$S$914)=SUMIF(DailyProduction!$Q$5:$Q$100,B860,DailyProduction!$R$5:$R$100),"OK","CHECK")</f>
        <v>OK</v>
      </c>
    </row>
    <row r="861" spans="1:23">
      <c r="A861" t="s">
        <v>1318</v>
      </c>
      <c r="B861" t="s">
        <v>1307</v>
      </c>
      <c r="C861" t="s">
        <v>30</v>
      </c>
      <c r="D861" s="7">
        <v>45954</v>
      </c>
      <c r="E861" t="s">
        <v>79</v>
      </c>
      <c r="F861" t="s">
        <v>37</v>
      </c>
      <c r="G861">
        <v>25</v>
      </c>
      <c r="H861" t="s">
        <v>63</v>
      </c>
      <c r="I861">
        <v>12</v>
      </c>
      <c r="J861">
        <v>8</v>
      </c>
      <c r="K861">
        <v>3</v>
      </c>
      <c r="L861">
        <f t="shared" si="91"/>
        <v>0</v>
      </c>
      <c r="P861">
        <f t="shared" si="92"/>
        <v>0</v>
      </c>
      <c r="Q861">
        <f t="shared" si="93"/>
        <v>0</v>
      </c>
      <c r="R861">
        <f t="shared" si="94"/>
        <v>0</v>
      </c>
      <c r="S861">
        <f t="shared" si="95"/>
        <v>0</v>
      </c>
      <c r="T861" t="str">
        <f t="shared" si="96"/>
        <v>DerivedFromCount</v>
      </c>
      <c r="U861" t="str">
        <f>IF(COUNTIF(DailyProduction!$Q$5:$Q$100,B861)=1,"OK","CHECK")</f>
        <v>OK</v>
      </c>
      <c r="V861" t="str">
        <f t="shared" si="97"/>
        <v>OK</v>
      </c>
      <c r="W861" t="str">
        <f>IF(SUMIF($B$5:$B$914,B861,$S$5:$S$914)=SUMIF(DailyProduction!$Q$5:$Q$100,B861,DailyProduction!$R$5:$R$100),"OK","CHECK")</f>
        <v>OK</v>
      </c>
    </row>
    <row r="862" spans="1:23">
      <c r="A862" t="s">
        <v>1319</v>
      </c>
      <c r="B862" t="s">
        <v>1307</v>
      </c>
      <c r="C862" t="s">
        <v>30</v>
      </c>
      <c r="D862" s="7">
        <v>45954</v>
      </c>
      <c r="E862" t="s">
        <v>79</v>
      </c>
      <c r="F862" t="s">
        <v>37</v>
      </c>
      <c r="G862">
        <v>25</v>
      </c>
      <c r="H862" t="s">
        <v>63</v>
      </c>
      <c r="I862">
        <v>13</v>
      </c>
      <c r="J862">
        <v>8</v>
      </c>
      <c r="K862">
        <v>3</v>
      </c>
      <c r="L862">
        <f t="shared" si="91"/>
        <v>0</v>
      </c>
      <c r="P862">
        <f t="shared" si="92"/>
        <v>0</v>
      </c>
      <c r="Q862">
        <f t="shared" si="93"/>
        <v>0</v>
      </c>
      <c r="R862">
        <f t="shared" si="94"/>
        <v>0</v>
      </c>
      <c r="S862">
        <f t="shared" si="95"/>
        <v>0</v>
      </c>
      <c r="T862" t="str">
        <f t="shared" si="96"/>
        <v>DerivedFromCount</v>
      </c>
      <c r="U862" t="str">
        <f>IF(COUNTIF(DailyProduction!$Q$5:$Q$100,B862)=1,"OK","CHECK")</f>
        <v>OK</v>
      </c>
      <c r="V862" t="str">
        <f t="shared" si="97"/>
        <v>OK</v>
      </c>
      <c r="W862" t="str">
        <f>IF(SUMIF($B$5:$B$914,B862,$S$5:$S$914)=SUMIF(DailyProduction!$Q$5:$Q$100,B862,DailyProduction!$R$5:$R$100),"OK","CHECK")</f>
        <v>OK</v>
      </c>
    </row>
    <row r="863" spans="1:23">
      <c r="A863" t="s">
        <v>1320</v>
      </c>
      <c r="B863" t="s">
        <v>1321</v>
      </c>
      <c r="C863" t="s">
        <v>30</v>
      </c>
      <c r="D863" s="7">
        <v>45955</v>
      </c>
      <c r="E863" t="s">
        <v>31</v>
      </c>
      <c r="F863" t="s">
        <v>37</v>
      </c>
      <c r="G863">
        <v>25</v>
      </c>
      <c r="H863" t="s">
        <v>63</v>
      </c>
      <c r="I863">
        <v>1</v>
      </c>
      <c r="J863">
        <v>8</v>
      </c>
      <c r="K863">
        <v>3</v>
      </c>
      <c r="L863">
        <f t="shared" si="91"/>
        <v>1</v>
      </c>
      <c r="P863">
        <f t="shared" si="92"/>
        <v>1</v>
      </c>
      <c r="Q863">
        <f t="shared" si="93"/>
        <v>1</v>
      </c>
      <c r="R863">
        <f t="shared" si="94"/>
        <v>1</v>
      </c>
      <c r="S863">
        <f t="shared" si="95"/>
        <v>3</v>
      </c>
      <c r="T863" t="str">
        <f t="shared" si="96"/>
        <v>DerivedFromCount</v>
      </c>
      <c r="U863" t="str">
        <f>IF(COUNTIF(DailyProduction!$Q$5:$Q$100,B863)=1,"OK","CHECK")</f>
        <v>OK</v>
      </c>
      <c r="V863" t="str">
        <f t="shared" si="97"/>
        <v>OK</v>
      </c>
      <c r="W863" t="str">
        <f>IF(SUMIF($B$5:$B$914,B863,$S$5:$S$914)=SUMIF(DailyProduction!$Q$5:$Q$100,B863,DailyProduction!$R$5:$R$100),"OK","CHECK")</f>
        <v>OK</v>
      </c>
    </row>
    <row r="864" spans="1:23">
      <c r="A864" t="s">
        <v>1322</v>
      </c>
      <c r="B864" t="s">
        <v>1321</v>
      </c>
      <c r="C864" t="s">
        <v>30</v>
      </c>
      <c r="D864" s="7">
        <v>45955</v>
      </c>
      <c r="E864" t="s">
        <v>31</v>
      </c>
      <c r="F864" t="s">
        <v>37</v>
      </c>
      <c r="G864">
        <v>25</v>
      </c>
      <c r="H864" t="s">
        <v>63</v>
      </c>
      <c r="I864">
        <v>2</v>
      </c>
      <c r="J864">
        <v>8</v>
      </c>
      <c r="K864">
        <v>3</v>
      </c>
      <c r="L864">
        <f t="shared" si="91"/>
        <v>1</v>
      </c>
      <c r="P864">
        <f t="shared" si="92"/>
        <v>1</v>
      </c>
      <c r="Q864">
        <f t="shared" si="93"/>
        <v>1</v>
      </c>
      <c r="R864">
        <f t="shared" si="94"/>
        <v>1</v>
      </c>
      <c r="S864">
        <f t="shared" si="95"/>
        <v>3</v>
      </c>
      <c r="T864" t="str">
        <f t="shared" si="96"/>
        <v>DerivedFromCount</v>
      </c>
      <c r="U864" t="str">
        <f>IF(COUNTIF(DailyProduction!$Q$5:$Q$100,B864)=1,"OK","CHECK")</f>
        <v>OK</v>
      </c>
      <c r="V864" t="str">
        <f t="shared" si="97"/>
        <v>OK</v>
      </c>
      <c r="W864" t="str">
        <f>IF(SUMIF($B$5:$B$914,B864,$S$5:$S$914)=SUMIF(DailyProduction!$Q$5:$Q$100,B864,DailyProduction!$R$5:$R$100),"OK","CHECK")</f>
        <v>OK</v>
      </c>
    </row>
    <row r="865" spans="1:23">
      <c r="A865" t="s">
        <v>1323</v>
      </c>
      <c r="B865" t="s">
        <v>1321</v>
      </c>
      <c r="C865" t="s">
        <v>30</v>
      </c>
      <c r="D865" s="7">
        <v>45955</v>
      </c>
      <c r="E865" t="s">
        <v>31</v>
      </c>
      <c r="F865" t="s">
        <v>37</v>
      </c>
      <c r="G865">
        <v>25</v>
      </c>
      <c r="H865" t="s">
        <v>63</v>
      </c>
      <c r="I865">
        <v>3</v>
      </c>
      <c r="J865">
        <v>8</v>
      </c>
      <c r="K865">
        <v>3</v>
      </c>
      <c r="L865">
        <f t="shared" si="91"/>
        <v>1</v>
      </c>
      <c r="P865">
        <f t="shared" si="92"/>
        <v>1</v>
      </c>
      <c r="Q865">
        <f t="shared" si="93"/>
        <v>1</v>
      </c>
      <c r="R865">
        <f t="shared" si="94"/>
        <v>1</v>
      </c>
      <c r="S865">
        <f t="shared" si="95"/>
        <v>3</v>
      </c>
      <c r="T865" t="str">
        <f t="shared" si="96"/>
        <v>DerivedFromCount</v>
      </c>
      <c r="U865" t="str">
        <f>IF(COUNTIF(DailyProduction!$Q$5:$Q$100,B865)=1,"OK","CHECK")</f>
        <v>OK</v>
      </c>
      <c r="V865" t="str">
        <f t="shared" si="97"/>
        <v>OK</v>
      </c>
      <c r="W865" t="str">
        <f>IF(SUMIF($B$5:$B$914,B865,$S$5:$S$914)=SUMIF(DailyProduction!$Q$5:$Q$100,B865,DailyProduction!$R$5:$R$100),"OK","CHECK")</f>
        <v>OK</v>
      </c>
    </row>
    <row r="866" spans="1:23">
      <c r="A866" t="s">
        <v>1324</v>
      </c>
      <c r="B866" t="s">
        <v>1321</v>
      </c>
      <c r="C866" t="s">
        <v>30</v>
      </c>
      <c r="D866" s="7">
        <v>45955</v>
      </c>
      <c r="E866" t="s">
        <v>31</v>
      </c>
      <c r="F866" t="s">
        <v>37</v>
      </c>
      <c r="G866">
        <v>25</v>
      </c>
      <c r="H866" t="s">
        <v>63</v>
      </c>
      <c r="I866">
        <v>4</v>
      </c>
      <c r="J866">
        <v>8</v>
      </c>
      <c r="K866">
        <v>3</v>
      </c>
      <c r="L866">
        <f t="shared" si="91"/>
        <v>1</v>
      </c>
      <c r="P866">
        <f t="shared" si="92"/>
        <v>1</v>
      </c>
      <c r="Q866">
        <f t="shared" si="93"/>
        <v>1</v>
      </c>
      <c r="R866">
        <f t="shared" si="94"/>
        <v>1</v>
      </c>
      <c r="S866">
        <f t="shared" si="95"/>
        <v>3</v>
      </c>
      <c r="T866" t="str">
        <f t="shared" si="96"/>
        <v>DerivedFromCount</v>
      </c>
      <c r="U866" t="str">
        <f>IF(COUNTIF(DailyProduction!$Q$5:$Q$100,B866)=1,"OK","CHECK")</f>
        <v>OK</v>
      </c>
      <c r="V866" t="str">
        <f t="shared" si="97"/>
        <v>OK</v>
      </c>
      <c r="W866" t="str">
        <f>IF(SUMIF($B$5:$B$914,B866,$S$5:$S$914)=SUMIF(DailyProduction!$Q$5:$Q$100,B866,DailyProduction!$R$5:$R$100),"OK","CHECK")</f>
        <v>OK</v>
      </c>
    </row>
    <row r="867" spans="1:23">
      <c r="A867" t="s">
        <v>1325</v>
      </c>
      <c r="B867" t="s">
        <v>1321</v>
      </c>
      <c r="C867" t="s">
        <v>30</v>
      </c>
      <c r="D867" s="7">
        <v>45955</v>
      </c>
      <c r="E867" t="s">
        <v>31</v>
      </c>
      <c r="F867" t="s">
        <v>37</v>
      </c>
      <c r="G867">
        <v>25</v>
      </c>
      <c r="H867" t="s">
        <v>63</v>
      </c>
      <c r="I867">
        <v>5</v>
      </c>
      <c r="J867">
        <v>8</v>
      </c>
      <c r="K867">
        <v>3</v>
      </c>
      <c r="L867">
        <f t="shared" si="91"/>
        <v>1</v>
      </c>
      <c r="P867">
        <f t="shared" si="92"/>
        <v>1</v>
      </c>
      <c r="Q867">
        <f t="shared" si="93"/>
        <v>1</v>
      </c>
      <c r="R867">
        <f t="shared" si="94"/>
        <v>1</v>
      </c>
      <c r="S867">
        <f t="shared" si="95"/>
        <v>3</v>
      </c>
      <c r="T867" t="str">
        <f t="shared" si="96"/>
        <v>DerivedFromCount</v>
      </c>
      <c r="U867" t="str">
        <f>IF(COUNTIF(DailyProduction!$Q$5:$Q$100,B867)=1,"OK","CHECK")</f>
        <v>OK</v>
      </c>
      <c r="V867" t="str">
        <f t="shared" si="97"/>
        <v>OK</v>
      </c>
      <c r="W867" t="str">
        <f>IF(SUMIF($B$5:$B$914,B867,$S$5:$S$914)=SUMIF(DailyProduction!$Q$5:$Q$100,B867,DailyProduction!$R$5:$R$100),"OK","CHECK")</f>
        <v>OK</v>
      </c>
    </row>
    <row r="868" spans="1:23">
      <c r="A868" t="s">
        <v>1326</v>
      </c>
      <c r="B868" t="s">
        <v>1321</v>
      </c>
      <c r="C868" t="s">
        <v>30</v>
      </c>
      <c r="D868" s="7">
        <v>45955</v>
      </c>
      <c r="E868" t="s">
        <v>31</v>
      </c>
      <c r="F868" t="s">
        <v>37</v>
      </c>
      <c r="G868">
        <v>25</v>
      </c>
      <c r="H868" t="s">
        <v>63</v>
      </c>
      <c r="I868">
        <v>6</v>
      </c>
      <c r="J868">
        <v>8</v>
      </c>
      <c r="K868">
        <v>3</v>
      </c>
      <c r="L868">
        <f t="shared" si="91"/>
        <v>1</v>
      </c>
      <c r="P868">
        <f t="shared" si="92"/>
        <v>1</v>
      </c>
      <c r="Q868">
        <f t="shared" si="93"/>
        <v>1</v>
      </c>
      <c r="R868">
        <f t="shared" si="94"/>
        <v>1</v>
      </c>
      <c r="S868">
        <f t="shared" si="95"/>
        <v>3</v>
      </c>
      <c r="T868" t="str">
        <f t="shared" si="96"/>
        <v>DerivedFromCount</v>
      </c>
      <c r="U868" t="str">
        <f>IF(COUNTIF(DailyProduction!$Q$5:$Q$100,B868)=1,"OK","CHECK")</f>
        <v>OK</v>
      </c>
      <c r="V868" t="str">
        <f t="shared" si="97"/>
        <v>OK</v>
      </c>
      <c r="W868" t="str">
        <f>IF(SUMIF($B$5:$B$914,B868,$S$5:$S$914)=SUMIF(DailyProduction!$Q$5:$Q$100,B868,DailyProduction!$R$5:$R$100),"OK","CHECK")</f>
        <v>OK</v>
      </c>
    </row>
    <row r="869" spans="1:23">
      <c r="A869" t="s">
        <v>1327</v>
      </c>
      <c r="B869" t="s">
        <v>1321</v>
      </c>
      <c r="C869" t="s">
        <v>30</v>
      </c>
      <c r="D869" s="7">
        <v>45955</v>
      </c>
      <c r="E869" t="s">
        <v>31</v>
      </c>
      <c r="F869" t="s">
        <v>37</v>
      </c>
      <c r="G869">
        <v>25</v>
      </c>
      <c r="H869" t="s">
        <v>63</v>
      </c>
      <c r="I869">
        <v>7</v>
      </c>
      <c r="J869">
        <v>8</v>
      </c>
      <c r="K869">
        <v>3</v>
      </c>
      <c r="L869">
        <f t="shared" si="91"/>
        <v>1</v>
      </c>
      <c r="P869">
        <f t="shared" si="92"/>
        <v>1</v>
      </c>
      <c r="Q869">
        <f t="shared" si="93"/>
        <v>1</v>
      </c>
      <c r="R869">
        <f t="shared" si="94"/>
        <v>1</v>
      </c>
      <c r="S869">
        <f t="shared" si="95"/>
        <v>3</v>
      </c>
      <c r="T869" t="str">
        <f t="shared" si="96"/>
        <v>DerivedFromCount</v>
      </c>
      <c r="U869" t="str">
        <f>IF(COUNTIF(DailyProduction!$Q$5:$Q$100,B869)=1,"OK","CHECK")</f>
        <v>OK</v>
      </c>
      <c r="V869" t="str">
        <f t="shared" si="97"/>
        <v>OK</v>
      </c>
      <c r="W869" t="str">
        <f>IF(SUMIF($B$5:$B$914,B869,$S$5:$S$914)=SUMIF(DailyProduction!$Q$5:$Q$100,B869,DailyProduction!$R$5:$R$100),"OK","CHECK")</f>
        <v>OK</v>
      </c>
    </row>
    <row r="870" spans="1:23">
      <c r="A870" t="s">
        <v>1328</v>
      </c>
      <c r="B870" t="s">
        <v>1321</v>
      </c>
      <c r="C870" t="s">
        <v>30</v>
      </c>
      <c r="D870" s="7">
        <v>45955</v>
      </c>
      <c r="E870" t="s">
        <v>31</v>
      </c>
      <c r="F870" t="s">
        <v>37</v>
      </c>
      <c r="G870">
        <v>25</v>
      </c>
      <c r="H870" t="s">
        <v>63</v>
      </c>
      <c r="I870">
        <v>8</v>
      </c>
      <c r="J870">
        <v>8</v>
      </c>
      <c r="K870">
        <v>3</v>
      </c>
      <c r="L870">
        <f t="shared" si="91"/>
        <v>1</v>
      </c>
      <c r="P870">
        <f t="shared" si="92"/>
        <v>1</v>
      </c>
      <c r="Q870">
        <f t="shared" si="93"/>
        <v>1</v>
      </c>
      <c r="R870">
        <f t="shared" si="94"/>
        <v>1</v>
      </c>
      <c r="S870">
        <f t="shared" si="95"/>
        <v>3</v>
      </c>
      <c r="T870" t="str">
        <f t="shared" si="96"/>
        <v>DerivedFromCount</v>
      </c>
      <c r="U870" t="str">
        <f>IF(COUNTIF(DailyProduction!$Q$5:$Q$100,B870)=1,"OK","CHECK")</f>
        <v>OK</v>
      </c>
      <c r="V870" t="str">
        <f t="shared" si="97"/>
        <v>OK</v>
      </c>
      <c r="W870" t="str">
        <f>IF(SUMIF($B$5:$B$914,B870,$S$5:$S$914)=SUMIF(DailyProduction!$Q$5:$Q$100,B870,DailyProduction!$R$5:$R$100),"OK","CHECK")</f>
        <v>OK</v>
      </c>
    </row>
    <row r="871" spans="1:23">
      <c r="A871" t="s">
        <v>1329</v>
      </c>
      <c r="B871" t="s">
        <v>1321</v>
      </c>
      <c r="C871" t="s">
        <v>30</v>
      </c>
      <c r="D871" s="7">
        <v>45955</v>
      </c>
      <c r="E871" t="s">
        <v>31</v>
      </c>
      <c r="F871" t="s">
        <v>37</v>
      </c>
      <c r="G871">
        <v>25</v>
      </c>
      <c r="H871" t="s">
        <v>63</v>
      </c>
      <c r="I871">
        <v>9</v>
      </c>
      <c r="J871">
        <v>8</v>
      </c>
      <c r="K871">
        <v>3</v>
      </c>
      <c r="L871">
        <f t="shared" si="91"/>
        <v>0</v>
      </c>
      <c r="P871">
        <f t="shared" si="92"/>
        <v>0</v>
      </c>
      <c r="Q871">
        <f t="shared" si="93"/>
        <v>0</v>
      </c>
      <c r="R871">
        <f t="shared" si="94"/>
        <v>0</v>
      </c>
      <c r="S871">
        <f t="shared" si="95"/>
        <v>0</v>
      </c>
      <c r="T871" t="str">
        <f t="shared" si="96"/>
        <v>DerivedFromCount</v>
      </c>
      <c r="U871" t="str">
        <f>IF(COUNTIF(DailyProduction!$Q$5:$Q$100,B871)=1,"OK","CHECK")</f>
        <v>OK</v>
      </c>
      <c r="V871" t="str">
        <f t="shared" si="97"/>
        <v>OK</v>
      </c>
      <c r="W871" t="str">
        <f>IF(SUMIF($B$5:$B$914,B871,$S$5:$S$914)=SUMIF(DailyProduction!$Q$5:$Q$100,B871,DailyProduction!$R$5:$R$100),"OK","CHECK")</f>
        <v>OK</v>
      </c>
    </row>
    <row r="872" spans="1:23">
      <c r="A872" t="s">
        <v>1330</v>
      </c>
      <c r="B872" t="s">
        <v>1321</v>
      </c>
      <c r="C872" t="s">
        <v>30</v>
      </c>
      <c r="D872" s="7">
        <v>45955</v>
      </c>
      <c r="E872" t="s">
        <v>31</v>
      </c>
      <c r="F872" t="s">
        <v>37</v>
      </c>
      <c r="G872">
        <v>25</v>
      </c>
      <c r="H872" t="s">
        <v>63</v>
      </c>
      <c r="I872">
        <v>10</v>
      </c>
      <c r="J872">
        <v>8</v>
      </c>
      <c r="K872">
        <v>3</v>
      </c>
      <c r="L872">
        <f t="shared" si="91"/>
        <v>0</v>
      </c>
      <c r="P872">
        <f t="shared" si="92"/>
        <v>0</v>
      </c>
      <c r="Q872">
        <f t="shared" si="93"/>
        <v>0</v>
      </c>
      <c r="R872">
        <f t="shared" si="94"/>
        <v>0</v>
      </c>
      <c r="S872">
        <f t="shared" si="95"/>
        <v>0</v>
      </c>
      <c r="T872" t="str">
        <f t="shared" si="96"/>
        <v>DerivedFromCount</v>
      </c>
      <c r="U872" t="str">
        <f>IF(COUNTIF(DailyProduction!$Q$5:$Q$100,B872)=1,"OK","CHECK")</f>
        <v>OK</v>
      </c>
      <c r="V872" t="str">
        <f t="shared" si="97"/>
        <v>OK</v>
      </c>
      <c r="W872" t="str">
        <f>IF(SUMIF($B$5:$B$914,B872,$S$5:$S$914)=SUMIF(DailyProduction!$Q$5:$Q$100,B872,DailyProduction!$R$5:$R$100),"OK","CHECK")</f>
        <v>OK</v>
      </c>
    </row>
    <row r="873" spans="1:23">
      <c r="A873" t="s">
        <v>1331</v>
      </c>
      <c r="B873" t="s">
        <v>1321</v>
      </c>
      <c r="C873" t="s">
        <v>30</v>
      </c>
      <c r="D873" s="7">
        <v>45955</v>
      </c>
      <c r="E873" t="s">
        <v>31</v>
      </c>
      <c r="F873" t="s">
        <v>37</v>
      </c>
      <c r="G873">
        <v>25</v>
      </c>
      <c r="H873" t="s">
        <v>63</v>
      </c>
      <c r="I873">
        <v>11</v>
      </c>
      <c r="J873">
        <v>8</v>
      </c>
      <c r="K873">
        <v>3</v>
      </c>
      <c r="L873">
        <f t="shared" si="91"/>
        <v>0</v>
      </c>
      <c r="P873">
        <f t="shared" si="92"/>
        <v>0</v>
      </c>
      <c r="Q873">
        <f t="shared" si="93"/>
        <v>0</v>
      </c>
      <c r="R873">
        <f t="shared" si="94"/>
        <v>0</v>
      </c>
      <c r="S873">
        <f t="shared" si="95"/>
        <v>0</v>
      </c>
      <c r="T873" t="str">
        <f t="shared" si="96"/>
        <v>DerivedFromCount</v>
      </c>
      <c r="U873" t="str">
        <f>IF(COUNTIF(DailyProduction!$Q$5:$Q$100,B873)=1,"OK","CHECK")</f>
        <v>OK</v>
      </c>
      <c r="V873" t="str">
        <f t="shared" si="97"/>
        <v>OK</v>
      </c>
      <c r="W873" t="str">
        <f>IF(SUMIF($B$5:$B$914,B873,$S$5:$S$914)=SUMIF(DailyProduction!$Q$5:$Q$100,B873,DailyProduction!$R$5:$R$100),"OK","CHECK")</f>
        <v>OK</v>
      </c>
    </row>
    <row r="874" spans="1:23">
      <c r="A874" t="s">
        <v>1332</v>
      </c>
      <c r="B874" t="s">
        <v>1321</v>
      </c>
      <c r="C874" t="s">
        <v>30</v>
      </c>
      <c r="D874" s="7">
        <v>45955</v>
      </c>
      <c r="E874" t="s">
        <v>31</v>
      </c>
      <c r="F874" t="s">
        <v>37</v>
      </c>
      <c r="G874">
        <v>25</v>
      </c>
      <c r="H874" t="s">
        <v>63</v>
      </c>
      <c r="I874">
        <v>12</v>
      </c>
      <c r="J874">
        <v>8</v>
      </c>
      <c r="K874">
        <v>3</v>
      </c>
      <c r="L874">
        <f t="shared" si="91"/>
        <v>0</v>
      </c>
      <c r="P874">
        <f t="shared" si="92"/>
        <v>0</v>
      </c>
      <c r="Q874">
        <f t="shared" si="93"/>
        <v>0</v>
      </c>
      <c r="R874">
        <f t="shared" si="94"/>
        <v>0</v>
      </c>
      <c r="S874">
        <f t="shared" si="95"/>
        <v>0</v>
      </c>
      <c r="T874" t="str">
        <f t="shared" si="96"/>
        <v>DerivedFromCount</v>
      </c>
      <c r="U874" t="str">
        <f>IF(COUNTIF(DailyProduction!$Q$5:$Q$100,B874)=1,"OK","CHECK")</f>
        <v>OK</v>
      </c>
      <c r="V874" t="str">
        <f t="shared" si="97"/>
        <v>OK</v>
      </c>
      <c r="W874" t="str">
        <f>IF(SUMIF($B$5:$B$914,B874,$S$5:$S$914)=SUMIF(DailyProduction!$Q$5:$Q$100,B874,DailyProduction!$R$5:$R$100),"OK","CHECK")</f>
        <v>OK</v>
      </c>
    </row>
    <row r="875" spans="1:23">
      <c r="A875" t="s">
        <v>1333</v>
      </c>
      <c r="B875" t="s">
        <v>1321</v>
      </c>
      <c r="C875" t="s">
        <v>30</v>
      </c>
      <c r="D875" s="7">
        <v>45955</v>
      </c>
      <c r="E875" t="s">
        <v>31</v>
      </c>
      <c r="F875" t="s">
        <v>37</v>
      </c>
      <c r="G875">
        <v>25</v>
      </c>
      <c r="H875" t="s">
        <v>63</v>
      </c>
      <c r="I875">
        <v>13</v>
      </c>
      <c r="J875">
        <v>8</v>
      </c>
      <c r="K875">
        <v>3</v>
      </c>
      <c r="L875">
        <f t="shared" si="91"/>
        <v>0</v>
      </c>
      <c r="P875">
        <f t="shared" si="92"/>
        <v>0</v>
      </c>
      <c r="Q875">
        <f t="shared" si="93"/>
        <v>0</v>
      </c>
      <c r="R875">
        <f t="shared" si="94"/>
        <v>0</v>
      </c>
      <c r="S875">
        <f t="shared" si="95"/>
        <v>0</v>
      </c>
      <c r="T875" t="str">
        <f t="shared" si="96"/>
        <v>DerivedFromCount</v>
      </c>
      <c r="U875" t="str">
        <f>IF(COUNTIF(DailyProduction!$Q$5:$Q$100,B875)=1,"OK","CHECK")</f>
        <v>OK</v>
      </c>
      <c r="V875" t="str">
        <f t="shared" si="97"/>
        <v>OK</v>
      </c>
      <c r="W875" t="str">
        <f>IF(SUMIF($B$5:$B$914,B875,$S$5:$S$914)=SUMIF(DailyProduction!$Q$5:$Q$100,B875,DailyProduction!$R$5:$R$100),"OK","CHECK")</f>
        <v>OK</v>
      </c>
    </row>
    <row r="876" spans="1:23">
      <c r="A876" t="s">
        <v>1334</v>
      </c>
      <c r="B876" t="s">
        <v>1335</v>
      </c>
      <c r="C876" t="s">
        <v>30</v>
      </c>
      <c r="D876" s="7">
        <v>45955</v>
      </c>
      <c r="E876" t="s">
        <v>79</v>
      </c>
      <c r="F876" t="s">
        <v>41</v>
      </c>
      <c r="G876">
        <v>25</v>
      </c>
      <c r="H876" t="s">
        <v>63</v>
      </c>
      <c r="I876">
        <v>1</v>
      </c>
      <c r="J876">
        <v>8</v>
      </c>
      <c r="K876">
        <v>3</v>
      </c>
      <c r="L876">
        <f t="shared" si="91"/>
        <v>1</v>
      </c>
      <c r="P876">
        <f t="shared" si="92"/>
        <v>1</v>
      </c>
      <c r="Q876">
        <f t="shared" si="93"/>
        <v>1</v>
      </c>
      <c r="R876">
        <f t="shared" si="94"/>
        <v>1</v>
      </c>
      <c r="S876">
        <f t="shared" si="95"/>
        <v>3</v>
      </c>
      <c r="T876" t="str">
        <f t="shared" si="96"/>
        <v>DerivedFromCount</v>
      </c>
      <c r="U876" t="str">
        <f>IF(COUNTIF(DailyProduction!$Q$5:$Q$100,B876)=1,"OK","CHECK")</f>
        <v>OK</v>
      </c>
      <c r="V876" t="str">
        <f t="shared" si="97"/>
        <v>OK</v>
      </c>
      <c r="W876" t="str">
        <f>IF(SUMIF($B$5:$B$914,B876,$S$5:$S$914)=SUMIF(DailyProduction!$Q$5:$Q$100,B876,DailyProduction!$R$5:$R$100),"OK","CHECK")</f>
        <v>OK</v>
      </c>
    </row>
    <row r="877" spans="1:23">
      <c r="A877" t="s">
        <v>1336</v>
      </c>
      <c r="B877" t="s">
        <v>1335</v>
      </c>
      <c r="C877" t="s">
        <v>30</v>
      </c>
      <c r="D877" s="7">
        <v>45955</v>
      </c>
      <c r="E877" t="s">
        <v>79</v>
      </c>
      <c r="F877" t="s">
        <v>41</v>
      </c>
      <c r="G877">
        <v>25</v>
      </c>
      <c r="H877" t="s">
        <v>63</v>
      </c>
      <c r="I877">
        <v>2</v>
      </c>
      <c r="J877">
        <v>8</v>
      </c>
      <c r="K877">
        <v>3</v>
      </c>
      <c r="L877">
        <f t="shared" si="91"/>
        <v>1</v>
      </c>
      <c r="P877">
        <f t="shared" si="92"/>
        <v>1</v>
      </c>
      <c r="Q877">
        <f t="shared" si="93"/>
        <v>1</v>
      </c>
      <c r="R877">
        <f t="shared" si="94"/>
        <v>1</v>
      </c>
      <c r="S877">
        <f t="shared" si="95"/>
        <v>3</v>
      </c>
      <c r="T877" t="str">
        <f t="shared" si="96"/>
        <v>DerivedFromCount</v>
      </c>
      <c r="U877" t="str">
        <f>IF(COUNTIF(DailyProduction!$Q$5:$Q$100,B877)=1,"OK","CHECK")</f>
        <v>OK</v>
      </c>
      <c r="V877" t="str">
        <f t="shared" si="97"/>
        <v>OK</v>
      </c>
      <c r="W877" t="str">
        <f>IF(SUMIF($B$5:$B$914,B877,$S$5:$S$914)=SUMIF(DailyProduction!$Q$5:$Q$100,B877,DailyProduction!$R$5:$R$100),"OK","CHECK")</f>
        <v>OK</v>
      </c>
    </row>
    <row r="878" spans="1:23">
      <c r="A878" t="s">
        <v>1337</v>
      </c>
      <c r="B878" t="s">
        <v>1335</v>
      </c>
      <c r="C878" t="s">
        <v>30</v>
      </c>
      <c r="D878" s="7">
        <v>45955</v>
      </c>
      <c r="E878" t="s">
        <v>79</v>
      </c>
      <c r="F878" t="s">
        <v>41</v>
      </c>
      <c r="G878">
        <v>25</v>
      </c>
      <c r="H878" t="s">
        <v>63</v>
      </c>
      <c r="I878">
        <v>3</v>
      </c>
      <c r="J878">
        <v>8</v>
      </c>
      <c r="K878">
        <v>3</v>
      </c>
      <c r="L878">
        <f t="shared" si="91"/>
        <v>1</v>
      </c>
      <c r="P878">
        <f t="shared" si="92"/>
        <v>1</v>
      </c>
      <c r="Q878">
        <f t="shared" si="93"/>
        <v>1</v>
      </c>
      <c r="R878">
        <f t="shared" si="94"/>
        <v>1</v>
      </c>
      <c r="S878">
        <f t="shared" si="95"/>
        <v>3</v>
      </c>
      <c r="T878" t="str">
        <f t="shared" si="96"/>
        <v>DerivedFromCount</v>
      </c>
      <c r="U878" t="str">
        <f>IF(COUNTIF(DailyProduction!$Q$5:$Q$100,B878)=1,"OK","CHECK")</f>
        <v>OK</v>
      </c>
      <c r="V878" t="str">
        <f t="shared" si="97"/>
        <v>OK</v>
      </c>
      <c r="W878" t="str">
        <f>IF(SUMIF($B$5:$B$914,B878,$S$5:$S$914)=SUMIF(DailyProduction!$Q$5:$Q$100,B878,DailyProduction!$R$5:$R$100),"OK","CHECK")</f>
        <v>OK</v>
      </c>
    </row>
    <row r="879" spans="1:23">
      <c r="A879" t="s">
        <v>1338</v>
      </c>
      <c r="B879" t="s">
        <v>1335</v>
      </c>
      <c r="C879" t="s">
        <v>30</v>
      </c>
      <c r="D879" s="7">
        <v>45955</v>
      </c>
      <c r="E879" t="s">
        <v>79</v>
      </c>
      <c r="F879" t="s">
        <v>41</v>
      </c>
      <c r="G879">
        <v>25</v>
      </c>
      <c r="H879" t="s">
        <v>63</v>
      </c>
      <c r="I879">
        <v>4</v>
      </c>
      <c r="J879">
        <v>8</v>
      </c>
      <c r="K879">
        <v>3</v>
      </c>
      <c r="L879">
        <f t="shared" si="91"/>
        <v>1</v>
      </c>
      <c r="P879">
        <f t="shared" si="92"/>
        <v>1</v>
      </c>
      <c r="Q879">
        <f t="shared" si="93"/>
        <v>1</v>
      </c>
      <c r="R879">
        <f t="shared" si="94"/>
        <v>1</v>
      </c>
      <c r="S879">
        <f t="shared" si="95"/>
        <v>3</v>
      </c>
      <c r="T879" t="str">
        <f t="shared" si="96"/>
        <v>DerivedFromCount</v>
      </c>
      <c r="U879" t="str">
        <f>IF(COUNTIF(DailyProduction!$Q$5:$Q$100,B879)=1,"OK","CHECK")</f>
        <v>OK</v>
      </c>
      <c r="V879" t="str">
        <f t="shared" si="97"/>
        <v>OK</v>
      </c>
      <c r="W879" t="str">
        <f>IF(SUMIF($B$5:$B$914,B879,$S$5:$S$914)=SUMIF(DailyProduction!$Q$5:$Q$100,B879,DailyProduction!$R$5:$R$100),"OK","CHECK")</f>
        <v>OK</v>
      </c>
    </row>
    <row r="880" spans="1:23">
      <c r="A880" t="s">
        <v>1339</v>
      </c>
      <c r="B880" t="s">
        <v>1335</v>
      </c>
      <c r="C880" t="s">
        <v>30</v>
      </c>
      <c r="D880" s="7">
        <v>45955</v>
      </c>
      <c r="E880" t="s">
        <v>79</v>
      </c>
      <c r="F880" t="s">
        <v>41</v>
      </c>
      <c r="G880">
        <v>25</v>
      </c>
      <c r="H880" t="s">
        <v>63</v>
      </c>
      <c r="I880">
        <v>5</v>
      </c>
      <c r="J880">
        <v>8</v>
      </c>
      <c r="K880">
        <v>3</v>
      </c>
      <c r="L880">
        <f t="shared" si="91"/>
        <v>1</v>
      </c>
      <c r="P880">
        <f t="shared" si="92"/>
        <v>1</v>
      </c>
      <c r="Q880">
        <f t="shared" si="93"/>
        <v>1</v>
      </c>
      <c r="R880">
        <f t="shared" si="94"/>
        <v>1</v>
      </c>
      <c r="S880">
        <f t="shared" si="95"/>
        <v>3</v>
      </c>
      <c r="T880" t="str">
        <f t="shared" si="96"/>
        <v>DerivedFromCount</v>
      </c>
      <c r="U880" t="str">
        <f>IF(COUNTIF(DailyProduction!$Q$5:$Q$100,B880)=1,"OK","CHECK")</f>
        <v>OK</v>
      </c>
      <c r="V880" t="str">
        <f t="shared" si="97"/>
        <v>OK</v>
      </c>
      <c r="W880" t="str">
        <f>IF(SUMIF($B$5:$B$914,B880,$S$5:$S$914)=SUMIF(DailyProduction!$Q$5:$Q$100,B880,DailyProduction!$R$5:$R$100),"OK","CHECK")</f>
        <v>OK</v>
      </c>
    </row>
    <row r="881" spans="1:23">
      <c r="A881" t="s">
        <v>1340</v>
      </c>
      <c r="B881" t="s">
        <v>1335</v>
      </c>
      <c r="C881" t="s">
        <v>30</v>
      </c>
      <c r="D881" s="7">
        <v>45955</v>
      </c>
      <c r="E881" t="s">
        <v>79</v>
      </c>
      <c r="F881" t="s">
        <v>41</v>
      </c>
      <c r="G881">
        <v>25</v>
      </c>
      <c r="H881" t="s">
        <v>63</v>
      </c>
      <c r="I881">
        <v>6</v>
      </c>
      <c r="J881">
        <v>8</v>
      </c>
      <c r="K881">
        <v>3</v>
      </c>
      <c r="L881">
        <f t="shared" si="91"/>
        <v>1</v>
      </c>
      <c r="P881">
        <f t="shared" si="92"/>
        <v>1</v>
      </c>
      <c r="Q881">
        <f t="shared" si="93"/>
        <v>1</v>
      </c>
      <c r="R881">
        <f t="shared" si="94"/>
        <v>1</v>
      </c>
      <c r="S881">
        <f t="shared" si="95"/>
        <v>3</v>
      </c>
      <c r="T881" t="str">
        <f t="shared" si="96"/>
        <v>DerivedFromCount</v>
      </c>
      <c r="U881" t="str">
        <f>IF(COUNTIF(DailyProduction!$Q$5:$Q$100,B881)=1,"OK","CHECK")</f>
        <v>OK</v>
      </c>
      <c r="V881" t="str">
        <f t="shared" si="97"/>
        <v>OK</v>
      </c>
      <c r="W881" t="str">
        <f>IF(SUMIF($B$5:$B$914,B881,$S$5:$S$914)=SUMIF(DailyProduction!$Q$5:$Q$100,B881,DailyProduction!$R$5:$R$100),"OK","CHECK")</f>
        <v>OK</v>
      </c>
    </row>
    <row r="882" spans="1:23">
      <c r="A882" t="s">
        <v>1341</v>
      </c>
      <c r="B882" t="s">
        <v>1335</v>
      </c>
      <c r="C882" t="s">
        <v>30</v>
      </c>
      <c r="D882" s="7">
        <v>45955</v>
      </c>
      <c r="E882" t="s">
        <v>79</v>
      </c>
      <c r="F882" t="s">
        <v>41</v>
      </c>
      <c r="G882">
        <v>25</v>
      </c>
      <c r="H882" t="s">
        <v>63</v>
      </c>
      <c r="I882">
        <v>7</v>
      </c>
      <c r="J882">
        <v>8</v>
      </c>
      <c r="K882">
        <v>3</v>
      </c>
      <c r="L882">
        <f t="shared" si="91"/>
        <v>1</v>
      </c>
      <c r="P882">
        <f t="shared" si="92"/>
        <v>1</v>
      </c>
      <c r="Q882">
        <f t="shared" si="93"/>
        <v>1</v>
      </c>
      <c r="R882">
        <f t="shared" si="94"/>
        <v>1</v>
      </c>
      <c r="S882">
        <f t="shared" si="95"/>
        <v>3</v>
      </c>
      <c r="T882" t="str">
        <f t="shared" si="96"/>
        <v>DerivedFromCount</v>
      </c>
      <c r="U882" t="str">
        <f>IF(COUNTIF(DailyProduction!$Q$5:$Q$100,B882)=1,"OK","CHECK")</f>
        <v>OK</v>
      </c>
      <c r="V882" t="str">
        <f t="shared" si="97"/>
        <v>OK</v>
      </c>
      <c r="W882" t="str">
        <f>IF(SUMIF($B$5:$B$914,B882,$S$5:$S$914)=SUMIF(DailyProduction!$Q$5:$Q$100,B882,DailyProduction!$R$5:$R$100),"OK","CHECK")</f>
        <v>OK</v>
      </c>
    </row>
    <row r="883" spans="1:23">
      <c r="A883" t="s">
        <v>1342</v>
      </c>
      <c r="B883" t="s">
        <v>1335</v>
      </c>
      <c r="C883" t="s">
        <v>30</v>
      </c>
      <c r="D883" s="7">
        <v>45955</v>
      </c>
      <c r="E883" t="s">
        <v>79</v>
      </c>
      <c r="F883" t="s">
        <v>41</v>
      </c>
      <c r="G883">
        <v>25</v>
      </c>
      <c r="H883" t="s">
        <v>63</v>
      </c>
      <c r="I883">
        <v>8</v>
      </c>
      <c r="J883">
        <v>8</v>
      </c>
      <c r="K883">
        <v>3</v>
      </c>
      <c r="L883">
        <f t="shared" si="91"/>
        <v>1</v>
      </c>
      <c r="P883">
        <f t="shared" si="92"/>
        <v>1</v>
      </c>
      <c r="Q883">
        <f t="shared" si="93"/>
        <v>1</v>
      </c>
      <c r="R883">
        <f t="shared" si="94"/>
        <v>1</v>
      </c>
      <c r="S883">
        <f t="shared" si="95"/>
        <v>3</v>
      </c>
      <c r="T883" t="str">
        <f t="shared" si="96"/>
        <v>DerivedFromCount</v>
      </c>
      <c r="U883" t="str">
        <f>IF(COUNTIF(DailyProduction!$Q$5:$Q$100,B883)=1,"OK","CHECK")</f>
        <v>OK</v>
      </c>
      <c r="V883" t="str">
        <f t="shared" si="97"/>
        <v>OK</v>
      </c>
      <c r="W883" t="str">
        <f>IF(SUMIF($B$5:$B$914,B883,$S$5:$S$914)=SUMIF(DailyProduction!$Q$5:$Q$100,B883,DailyProduction!$R$5:$R$100),"OK","CHECK")</f>
        <v>OK</v>
      </c>
    </row>
    <row r="884" spans="1:23">
      <c r="A884" t="s">
        <v>1343</v>
      </c>
      <c r="B884" t="s">
        <v>1335</v>
      </c>
      <c r="C884" t="s">
        <v>30</v>
      </c>
      <c r="D884" s="7">
        <v>45955</v>
      </c>
      <c r="E884" t="s">
        <v>79</v>
      </c>
      <c r="F884" t="s">
        <v>41</v>
      </c>
      <c r="G884">
        <v>25</v>
      </c>
      <c r="H884" t="s">
        <v>63</v>
      </c>
      <c r="I884">
        <v>9</v>
      </c>
      <c r="J884">
        <v>8</v>
      </c>
      <c r="K884">
        <v>3</v>
      </c>
      <c r="L884">
        <f t="shared" si="91"/>
        <v>0</v>
      </c>
      <c r="P884">
        <f t="shared" si="92"/>
        <v>0</v>
      </c>
      <c r="Q884">
        <f t="shared" si="93"/>
        <v>0</v>
      </c>
      <c r="R884">
        <f t="shared" si="94"/>
        <v>0</v>
      </c>
      <c r="S884">
        <f t="shared" si="95"/>
        <v>0</v>
      </c>
      <c r="T884" t="str">
        <f t="shared" si="96"/>
        <v>DerivedFromCount</v>
      </c>
      <c r="U884" t="str">
        <f>IF(COUNTIF(DailyProduction!$Q$5:$Q$100,B884)=1,"OK","CHECK")</f>
        <v>OK</v>
      </c>
      <c r="V884" t="str">
        <f t="shared" si="97"/>
        <v>OK</v>
      </c>
      <c r="W884" t="str">
        <f>IF(SUMIF($B$5:$B$914,B884,$S$5:$S$914)=SUMIF(DailyProduction!$Q$5:$Q$100,B884,DailyProduction!$R$5:$R$100),"OK","CHECK")</f>
        <v>OK</v>
      </c>
    </row>
    <row r="885" spans="1:23">
      <c r="A885" t="s">
        <v>1344</v>
      </c>
      <c r="B885" t="s">
        <v>1335</v>
      </c>
      <c r="C885" t="s">
        <v>30</v>
      </c>
      <c r="D885" s="7">
        <v>45955</v>
      </c>
      <c r="E885" t="s">
        <v>79</v>
      </c>
      <c r="F885" t="s">
        <v>41</v>
      </c>
      <c r="G885">
        <v>25</v>
      </c>
      <c r="H885" t="s">
        <v>63</v>
      </c>
      <c r="I885">
        <v>10</v>
      </c>
      <c r="J885">
        <v>8</v>
      </c>
      <c r="K885">
        <v>3</v>
      </c>
      <c r="L885">
        <f t="shared" si="91"/>
        <v>0</v>
      </c>
      <c r="P885">
        <f t="shared" si="92"/>
        <v>0</v>
      </c>
      <c r="Q885">
        <f t="shared" si="93"/>
        <v>0</v>
      </c>
      <c r="R885">
        <f t="shared" si="94"/>
        <v>0</v>
      </c>
      <c r="S885">
        <f t="shared" si="95"/>
        <v>0</v>
      </c>
      <c r="T885" t="str">
        <f t="shared" si="96"/>
        <v>DerivedFromCount</v>
      </c>
      <c r="U885" t="str">
        <f>IF(COUNTIF(DailyProduction!$Q$5:$Q$100,B885)=1,"OK","CHECK")</f>
        <v>OK</v>
      </c>
      <c r="V885" t="str">
        <f t="shared" si="97"/>
        <v>OK</v>
      </c>
      <c r="W885" t="str">
        <f>IF(SUMIF($B$5:$B$914,B885,$S$5:$S$914)=SUMIF(DailyProduction!$Q$5:$Q$100,B885,DailyProduction!$R$5:$R$100),"OK","CHECK")</f>
        <v>OK</v>
      </c>
    </row>
    <row r="886" spans="1:23">
      <c r="A886" t="s">
        <v>1345</v>
      </c>
      <c r="B886" t="s">
        <v>1335</v>
      </c>
      <c r="C886" t="s">
        <v>30</v>
      </c>
      <c r="D886" s="7">
        <v>45955</v>
      </c>
      <c r="E886" t="s">
        <v>79</v>
      </c>
      <c r="F886" t="s">
        <v>41</v>
      </c>
      <c r="G886">
        <v>25</v>
      </c>
      <c r="H886" t="s">
        <v>63</v>
      </c>
      <c r="I886">
        <v>11</v>
      </c>
      <c r="J886">
        <v>8</v>
      </c>
      <c r="K886">
        <v>3</v>
      </c>
      <c r="L886">
        <f t="shared" si="91"/>
        <v>0</v>
      </c>
      <c r="P886">
        <f t="shared" si="92"/>
        <v>0</v>
      </c>
      <c r="Q886">
        <f t="shared" si="93"/>
        <v>0</v>
      </c>
      <c r="R886">
        <f t="shared" si="94"/>
        <v>0</v>
      </c>
      <c r="S886">
        <f t="shared" si="95"/>
        <v>0</v>
      </c>
      <c r="T886" t="str">
        <f t="shared" si="96"/>
        <v>DerivedFromCount</v>
      </c>
      <c r="U886" t="str">
        <f>IF(COUNTIF(DailyProduction!$Q$5:$Q$100,B886)=1,"OK","CHECK")</f>
        <v>OK</v>
      </c>
      <c r="V886" t="str">
        <f t="shared" si="97"/>
        <v>OK</v>
      </c>
      <c r="W886" t="str">
        <f>IF(SUMIF($B$5:$B$914,B886,$S$5:$S$914)=SUMIF(DailyProduction!$Q$5:$Q$100,B886,DailyProduction!$R$5:$R$100),"OK","CHECK")</f>
        <v>OK</v>
      </c>
    </row>
    <row r="887" spans="1:23">
      <c r="A887" t="s">
        <v>1346</v>
      </c>
      <c r="B887" t="s">
        <v>1335</v>
      </c>
      <c r="C887" t="s">
        <v>30</v>
      </c>
      <c r="D887" s="7">
        <v>45955</v>
      </c>
      <c r="E887" t="s">
        <v>79</v>
      </c>
      <c r="F887" t="s">
        <v>41</v>
      </c>
      <c r="G887">
        <v>25</v>
      </c>
      <c r="H887" t="s">
        <v>63</v>
      </c>
      <c r="I887">
        <v>12</v>
      </c>
      <c r="J887">
        <v>8</v>
      </c>
      <c r="K887">
        <v>3</v>
      </c>
      <c r="L887">
        <f t="shared" si="91"/>
        <v>0</v>
      </c>
      <c r="P887">
        <f t="shared" si="92"/>
        <v>0</v>
      </c>
      <c r="Q887">
        <f t="shared" si="93"/>
        <v>0</v>
      </c>
      <c r="R887">
        <f t="shared" si="94"/>
        <v>0</v>
      </c>
      <c r="S887">
        <f t="shared" si="95"/>
        <v>0</v>
      </c>
      <c r="T887" t="str">
        <f t="shared" si="96"/>
        <v>DerivedFromCount</v>
      </c>
      <c r="U887" t="str">
        <f>IF(COUNTIF(DailyProduction!$Q$5:$Q$100,B887)=1,"OK","CHECK")</f>
        <v>OK</v>
      </c>
      <c r="V887" t="str">
        <f t="shared" si="97"/>
        <v>OK</v>
      </c>
      <c r="W887" t="str">
        <f>IF(SUMIF($B$5:$B$914,B887,$S$5:$S$914)=SUMIF(DailyProduction!$Q$5:$Q$100,B887,DailyProduction!$R$5:$R$100),"OK","CHECK")</f>
        <v>OK</v>
      </c>
    </row>
    <row r="888" spans="1:23">
      <c r="A888" t="s">
        <v>1347</v>
      </c>
      <c r="B888" t="s">
        <v>1335</v>
      </c>
      <c r="C888" t="s">
        <v>30</v>
      </c>
      <c r="D888" s="7">
        <v>45955</v>
      </c>
      <c r="E888" t="s">
        <v>79</v>
      </c>
      <c r="F888" t="s">
        <v>41</v>
      </c>
      <c r="G888">
        <v>25</v>
      </c>
      <c r="H888" t="s">
        <v>63</v>
      </c>
      <c r="I888">
        <v>13</v>
      </c>
      <c r="J888">
        <v>8</v>
      </c>
      <c r="K888">
        <v>3</v>
      </c>
      <c r="L888">
        <f t="shared" si="91"/>
        <v>0</v>
      </c>
      <c r="P888">
        <f t="shared" si="92"/>
        <v>0</v>
      </c>
      <c r="Q888">
        <f t="shared" si="93"/>
        <v>0</v>
      </c>
      <c r="R888">
        <f t="shared" si="94"/>
        <v>0</v>
      </c>
      <c r="S888">
        <f t="shared" si="95"/>
        <v>0</v>
      </c>
      <c r="T888" t="str">
        <f t="shared" si="96"/>
        <v>DerivedFromCount</v>
      </c>
      <c r="U888" t="str">
        <f>IF(COUNTIF(DailyProduction!$Q$5:$Q$100,B888)=1,"OK","CHECK")</f>
        <v>OK</v>
      </c>
      <c r="V888" t="str">
        <f t="shared" si="97"/>
        <v>OK</v>
      </c>
      <c r="W888" t="str">
        <f>IF(SUMIF($B$5:$B$914,B888,$S$5:$S$914)=SUMIF(DailyProduction!$Q$5:$Q$100,B888,DailyProduction!$R$5:$R$100),"OK","CHECK")</f>
        <v>OK</v>
      </c>
    </row>
    <row r="889" spans="1:23">
      <c r="A889" t="s">
        <v>1348</v>
      </c>
      <c r="B889" t="s">
        <v>1349</v>
      </c>
      <c r="C889" t="s">
        <v>30</v>
      </c>
      <c r="D889" s="7">
        <v>45956</v>
      </c>
      <c r="E889" t="s">
        <v>31</v>
      </c>
      <c r="F889" t="s">
        <v>41</v>
      </c>
      <c r="G889">
        <v>25</v>
      </c>
      <c r="H889" t="s">
        <v>63</v>
      </c>
      <c r="I889">
        <v>1</v>
      </c>
      <c r="J889">
        <v>8</v>
      </c>
      <c r="K889">
        <v>3</v>
      </c>
      <c r="L889">
        <f t="shared" si="91"/>
        <v>1</v>
      </c>
      <c r="P889">
        <f t="shared" si="92"/>
        <v>1</v>
      </c>
      <c r="Q889">
        <f t="shared" si="93"/>
        <v>1</v>
      </c>
      <c r="R889">
        <f t="shared" si="94"/>
        <v>1</v>
      </c>
      <c r="S889">
        <f t="shared" si="95"/>
        <v>3</v>
      </c>
      <c r="T889" t="str">
        <f t="shared" si="96"/>
        <v>DerivedFromCount</v>
      </c>
      <c r="U889" t="str">
        <f>IF(COUNTIF(DailyProduction!$Q$5:$Q$100,B889)=1,"OK","CHECK")</f>
        <v>OK</v>
      </c>
      <c r="V889" t="str">
        <f t="shared" si="97"/>
        <v>OK</v>
      </c>
      <c r="W889" t="str">
        <f>IF(SUMIF($B$5:$B$914,B889,$S$5:$S$914)=SUMIF(DailyProduction!$Q$5:$Q$100,B889,DailyProduction!$R$5:$R$100),"OK","CHECK")</f>
        <v>OK</v>
      </c>
    </row>
    <row r="890" spans="1:23">
      <c r="A890" t="s">
        <v>1350</v>
      </c>
      <c r="B890" t="s">
        <v>1349</v>
      </c>
      <c r="C890" t="s">
        <v>30</v>
      </c>
      <c r="D890" s="7">
        <v>45956</v>
      </c>
      <c r="E890" t="s">
        <v>31</v>
      </c>
      <c r="F890" t="s">
        <v>41</v>
      </c>
      <c r="G890">
        <v>25</v>
      </c>
      <c r="H890" t="s">
        <v>63</v>
      </c>
      <c r="I890">
        <v>2</v>
      </c>
      <c r="J890">
        <v>8</v>
      </c>
      <c r="K890">
        <v>3</v>
      </c>
      <c r="L890">
        <f t="shared" si="91"/>
        <v>1</v>
      </c>
      <c r="P890">
        <f t="shared" si="92"/>
        <v>1</v>
      </c>
      <c r="Q890">
        <f t="shared" si="93"/>
        <v>1</v>
      </c>
      <c r="R890">
        <f t="shared" si="94"/>
        <v>1</v>
      </c>
      <c r="S890">
        <f t="shared" si="95"/>
        <v>3</v>
      </c>
      <c r="T890" t="str">
        <f t="shared" si="96"/>
        <v>DerivedFromCount</v>
      </c>
      <c r="U890" t="str">
        <f>IF(COUNTIF(DailyProduction!$Q$5:$Q$100,B890)=1,"OK","CHECK")</f>
        <v>OK</v>
      </c>
      <c r="V890" t="str">
        <f t="shared" si="97"/>
        <v>OK</v>
      </c>
      <c r="W890" t="str">
        <f>IF(SUMIF($B$5:$B$914,B890,$S$5:$S$914)=SUMIF(DailyProduction!$Q$5:$Q$100,B890,DailyProduction!$R$5:$R$100),"OK","CHECK")</f>
        <v>OK</v>
      </c>
    </row>
    <row r="891" spans="1:23">
      <c r="A891" t="s">
        <v>1351</v>
      </c>
      <c r="B891" t="s">
        <v>1349</v>
      </c>
      <c r="C891" t="s">
        <v>30</v>
      </c>
      <c r="D891" s="7">
        <v>45956</v>
      </c>
      <c r="E891" t="s">
        <v>31</v>
      </c>
      <c r="F891" t="s">
        <v>41</v>
      </c>
      <c r="G891">
        <v>25</v>
      </c>
      <c r="H891" t="s">
        <v>63</v>
      </c>
      <c r="I891">
        <v>3</v>
      </c>
      <c r="J891">
        <v>8</v>
      </c>
      <c r="K891">
        <v>3</v>
      </c>
      <c r="L891">
        <f t="shared" si="91"/>
        <v>1</v>
      </c>
      <c r="P891">
        <f t="shared" si="92"/>
        <v>1</v>
      </c>
      <c r="Q891">
        <f t="shared" si="93"/>
        <v>1</v>
      </c>
      <c r="R891">
        <f t="shared" si="94"/>
        <v>1</v>
      </c>
      <c r="S891">
        <f t="shared" si="95"/>
        <v>3</v>
      </c>
      <c r="T891" t="str">
        <f t="shared" si="96"/>
        <v>DerivedFromCount</v>
      </c>
      <c r="U891" t="str">
        <f>IF(COUNTIF(DailyProduction!$Q$5:$Q$100,B891)=1,"OK","CHECK")</f>
        <v>OK</v>
      </c>
      <c r="V891" t="str">
        <f t="shared" si="97"/>
        <v>OK</v>
      </c>
      <c r="W891" t="str">
        <f>IF(SUMIF($B$5:$B$914,B891,$S$5:$S$914)=SUMIF(DailyProduction!$Q$5:$Q$100,B891,DailyProduction!$R$5:$R$100),"OK","CHECK")</f>
        <v>OK</v>
      </c>
    </row>
    <row r="892" spans="1:23">
      <c r="A892" t="s">
        <v>1352</v>
      </c>
      <c r="B892" t="s">
        <v>1349</v>
      </c>
      <c r="C892" t="s">
        <v>30</v>
      </c>
      <c r="D892" s="7">
        <v>45956</v>
      </c>
      <c r="E892" t="s">
        <v>31</v>
      </c>
      <c r="F892" t="s">
        <v>41</v>
      </c>
      <c r="G892">
        <v>25</v>
      </c>
      <c r="H892" t="s">
        <v>63</v>
      </c>
      <c r="I892">
        <v>4</v>
      </c>
      <c r="J892">
        <v>8</v>
      </c>
      <c r="K892">
        <v>3</v>
      </c>
      <c r="L892">
        <f t="shared" si="91"/>
        <v>1</v>
      </c>
      <c r="P892">
        <f t="shared" si="92"/>
        <v>1</v>
      </c>
      <c r="Q892">
        <f t="shared" si="93"/>
        <v>1</v>
      </c>
      <c r="R892">
        <f t="shared" si="94"/>
        <v>1</v>
      </c>
      <c r="S892">
        <f t="shared" si="95"/>
        <v>3</v>
      </c>
      <c r="T892" t="str">
        <f t="shared" si="96"/>
        <v>DerivedFromCount</v>
      </c>
      <c r="U892" t="str">
        <f>IF(COUNTIF(DailyProduction!$Q$5:$Q$100,B892)=1,"OK","CHECK")</f>
        <v>OK</v>
      </c>
      <c r="V892" t="str">
        <f t="shared" si="97"/>
        <v>OK</v>
      </c>
      <c r="W892" t="str">
        <f>IF(SUMIF($B$5:$B$914,B892,$S$5:$S$914)=SUMIF(DailyProduction!$Q$5:$Q$100,B892,DailyProduction!$R$5:$R$100),"OK","CHECK")</f>
        <v>OK</v>
      </c>
    </row>
    <row r="893" spans="1:23">
      <c r="A893" t="s">
        <v>1353</v>
      </c>
      <c r="B893" t="s">
        <v>1349</v>
      </c>
      <c r="C893" t="s">
        <v>30</v>
      </c>
      <c r="D893" s="7">
        <v>45956</v>
      </c>
      <c r="E893" t="s">
        <v>31</v>
      </c>
      <c r="F893" t="s">
        <v>41</v>
      </c>
      <c r="G893">
        <v>25</v>
      </c>
      <c r="H893" t="s">
        <v>63</v>
      </c>
      <c r="I893">
        <v>5</v>
      </c>
      <c r="J893">
        <v>8</v>
      </c>
      <c r="K893">
        <v>3</v>
      </c>
      <c r="L893">
        <f t="shared" si="91"/>
        <v>1</v>
      </c>
      <c r="P893">
        <f t="shared" si="92"/>
        <v>1</v>
      </c>
      <c r="Q893">
        <f t="shared" si="93"/>
        <v>1</v>
      </c>
      <c r="R893">
        <f t="shared" si="94"/>
        <v>1</v>
      </c>
      <c r="S893">
        <f t="shared" si="95"/>
        <v>3</v>
      </c>
      <c r="T893" t="str">
        <f t="shared" si="96"/>
        <v>DerivedFromCount</v>
      </c>
      <c r="U893" t="str">
        <f>IF(COUNTIF(DailyProduction!$Q$5:$Q$100,B893)=1,"OK","CHECK")</f>
        <v>OK</v>
      </c>
      <c r="V893" t="str">
        <f t="shared" si="97"/>
        <v>OK</v>
      </c>
      <c r="W893" t="str">
        <f>IF(SUMIF($B$5:$B$914,B893,$S$5:$S$914)=SUMIF(DailyProduction!$Q$5:$Q$100,B893,DailyProduction!$R$5:$R$100),"OK","CHECK")</f>
        <v>OK</v>
      </c>
    </row>
    <row r="894" spans="1:23">
      <c r="A894" t="s">
        <v>1354</v>
      </c>
      <c r="B894" t="s">
        <v>1349</v>
      </c>
      <c r="C894" t="s">
        <v>30</v>
      </c>
      <c r="D894" s="7">
        <v>45956</v>
      </c>
      <c r="E894" t="s">
        <v>31</v>
      </c>
      <c r="F894" t="s">
        <v>41</v>
      </c>
      <c r="G894">
        <v>25</v>
      </c>
      <c r="H894" t="s">
        <v>63</v>
      </c>
      <c r="I894">
        <v>6</v>
      </c>
      <c r="J894">
        <v>8</v>
      </c>
      <c r="K894">
        <v>3</v>
      </c>
      <c r="L894">
        <f t="shared" si="91"/>
        <v>1</v>
      </c>
      <c r="P894">
        <f t="shared" si="92"/>
        <v>1</v>
      </c>
      <c r="Q894">
        <f t="shared" si="93"/>
        <v>1</v>
      </c>
      <c r="R894">
        <f t="shared" si="94"/>
        <v>1</v>
      </c>
      <c r="S894">
        <f t="shared" si="95"/>
        <v>3</v>
      </c>
      <c r="T894" t="str">
        <f t="shared" si="96"/>
        <v>DerivedFromCount</v>
      </c>
      <c r="U894" t="str">
        <f>IF(COUNTIF(DailyProduction!$Q$5:$Q$100,B894)=1,"OK","CHECK")</f>
        <v>OK</v>
      </c>
      <c r="V894" t="str">
        <f t="shared" si="97"/>
        <v>OK</v>
      </c>
      <c r="W894" t="str">
        <f>IF(SUMIF($B$5:$B$914,B894,$S$5:$S$914)=SUMIF(DailyProduction!$Q$5:$Q$100,B894,DailyProduction!$R$5:$R$100),"OK","CHECK")</f>
        <v>OK</v>
      </c>
    </row>
    <row r="895" spans="1:23">
      <c r="A895" t="s">
        <v>1355</v>
      </c>
      <c r="B895" t="s">
        <v>1349</v>
      </c>
      <c r="C895" t="s">
        <v>30</v>
      </c>
      <c r="D895" s="7">
        <v>45956</v>
      </c>
      <c r="E895" t="s">
        <v>31</v>
      </c>
      <c r="F895" t="s">
        <v>41</v>
      </c>
      <c r="G895">
        <v>25</v>
      </c>
      <c r="H895" t="s">
        <v>63</v>
      </c>
      <c r="I895">
        <v>7</v>
      </c>
      <c r="J895">
        <v>8</v>
      </c>
      <c r="K895">
        <v>3</v>
      </c>
      <c r="L895">
        <f t="shared" si="91"/>
        <v>1</v>
      </c>
      <c r="P895">
        <f t="shared" si="92"/>
        <v>1</v>
      </c>
      <c r="Q895">
        <f t="shared" si="93"/>
        <v>1</v>
      </c>
      <c r="R895">
        <f t="shared" si="94"/>
        <v>1</v>
      </c>
      <c r="S895">
        <f t="shared" si="95"/>
        <v>3</v>
      </c>
      <c r="T895" t="str">
        <f t="shared" si="96"/>
        <v>DerivedFromCount</v>
      </c>
      <c r="U895" t="str">
        <f>IF(COUNTIF(DailyProduction!$Q$5:$Q$100,B895)=1,"OK","CHECK")</f>
        <v>OK</v>
      </c>
      <c r="V895" t="str">
        <f t="shared" si="97"/>
        <v>OK</v>
      </c>
      <c r="W895" t="str">
        <f>IF(SUMIF($B$5:$B$914,B895,$S$5:$S$914)=SUMIF(DailyProduction!$Q$5:$Q$100,B895,DailyProduction!$R$5:$R$100),"OK","CHECK")</f>
        <v>OK</v>
      </c>
    </row>
    <row r="896" spans="1:23">
      <c r="A896" t="s">
        <v>1356</v>
      </c>
      <c r="B896" t="s">
        <v>1349</v>
      </c>
      <c r="C896" t="s">
        <v>30</v>
      </c>
      <c r="D896" s="7">
        <v>45956</v>
      </c>
      <c r="E896" t="s">
        <v>31</v>
      </c>
      <c r="F896" t="s">
        <v>41</v>
      </c>
      <c r="G896">
        <v>25</v>
      </c>
      <c r="H896" t="s">
        <v>63</v>
      </c>
      <c r="I896">
        <v>8</v>
      </c>
      <c r="J896">
        <v>8</v>
      </c>
      <c r="K896">
        <v>3</v>
      </c>
      <c r="L896">
        <f t="shared" si="91"/>
        <v>1</v>
      </c>
      <c r="P896">
        <f t="shared" si="92"/>
        <v>1</v>
      </c>
      <c r="Q896">
        <f t="shared" si="93"/>
        <v>1</v>
      </c>
      <c r="R896">
        <f t="shared" si="94"/>
        <v>1</v>
      </c>
      <c r="S896">
        <f t="shared" si="95"/>
        <v>3</v>
      </c>
      <c r="T896" t="str">
        <f t="shared" si="96"/>
        <v>DerivedFromCount</v>
      </c>
      <c r="U896" t="str">
        <f>IF(COUNTIF(DailyProduction!$Q$5:$Q$100,B896)=1,"OK","CHECK")</f>
        <v>OK</v>
      </c>
      <c r="V896" t="str">
        <f t="shared" si="97"/>
        <v>OK</v>
      </c>
      <c r="W896" t="str">
        <f>IF(SUMIF($B$5:$B$914,B896,$S$5:$S$914)=SUMIF(DailyProduction!$Q$5:$Q$100,B896,DailyProduction!$R$5:$R$100),"OK","CHECK")</f>
        <v>OK</v>
      </c>
    </row>
    <row r="897" spans="1:23">
      <c r="A897" t="s">
        <v>1357</v>
      </c>
      <c r="B897" t="s">
        <v>1349</v>
      </c>
      <c r="C897" t="s">
        <v>30</v>
      </c>
      <c r="D897" s="7">
        <v>45956</v>
      </c>
      <c r="E897" t="s">
        <v>31</v>
      </c>
      <c r="F897" t="s">
        <v>41</v>
      </c>
      <c r="G897">
        <v>25</v>
      </c>
      <c r="H897" t="s">
        <v>63</v>
      </c>
      <c r="I897">
        <v>9</v>
      </c>
      <c r="J897">
        <v>8</v>
      </c>
      <c r="K897">
        <v>3</v>
      </c>
      <c r="L897">
        <f t="shared" si="91"/>
        <v>0</v>
      </c>
      <c r="P897">
        <f t="shared" si="92"/>
        <v>0</v>
      </c>
      <c r="Q897">
        <f t="shared" si="93"/>
        <v>0</v>
      </c>
      <c r="R897">
        <f t="shared" si="94"/>
        <v>0</v>
      </c>
      <c r="S897">
        <f t="shared" si="95"/>
        <v>0</v>
      </c>
      <c r="T897" t="str">
        <f t="shared" si="96"/>
        <v>DerivedFromCount</v>
      </c>
      <c r="U897" t="str">
        <f>IF(COUNTIF(DailyProduction!$Q$5:$Q$100,B897)=1,"OK","CHECK")</f>
        <v>OK</v>
      </c>
      <c r="V897" t="str">
        <f t="shared" si="97"/>
        <v>OK</v>
      </c>
      <c r="W897" t="str">
        <f>IF(SUMIF($B$5:$B$914,B897,$S$5:$S$914)=SUMIF(DailyProduction!$Q$5:$Q$100,B897,DailyProduction!$R$5:$R$100),"OK","CHECK")</f>
        <v>OK</v>
      </c>
    </row>
    <row r="898" spans="1:23">
      <c r="A898" t="s">
        <v>1358</v>
      </c>
      <c r="B898" t="s">
        <v>1349</v>
      </c>
      <c r="C898" t="s">
        <v>30</v>
      </c>
      <c r="D898" s="7">
        <v>45956</v>
      </c>
      <c r="E898" t="s">
        <v>31</v>
      </c>
      <c r="F898" t="s">
        <v>41</v>
      </c>
      <c r="G898">
        <v>25</v>
      </c>
      <c r="H898" t="s">
        <v>63</v>
      </c>
      <c r="I898">
        <v>10</v>
      </c>
      <c r="J898">
        <v>8</v>
      </c>
      <c r="K898">
        <v>3</v>
      </c>
      <c r="L898">
        <f t="shared" si="91"/>
        <v>0</v>
      </c>
      <c r="P898">
        <f t="shared" si="92"/>
        <v>0</v>
      </c>
      <c r="Q898">
        <f t="shared" si="93"/>
        <v>0</v>
      </c>
      <c r="R898">
        <f t="shared" si="94"/>
        <v>0</v>
      </c>
      <c r="S898">
        <f t="shared" si="95"/>
        <v>0</v>
      </c>
      <c r="T898" t="str">
        <f t="shared" si="96"/>
        <v>DerivedFromCount</v>
      </c>
      <c r="U898" t="str">
        <f>IF(COUNTIF(DailyProduction!$Q$5:$Q$100,B898)=1,"OK","CHECK")</f>
        <v>OK</v>
      </c>
      <c r="V898" t="str">
        <f t="shared" si="97"/>
        <v>OK</v>
      </c>
      <c r="W898" t="str">
        <f>IF(SUMIF($B$5:$B$914,B898,$S$5:$S$914)=SUMIF(DailyProduction!$Q$5:$Q$100,B898,DailyProduction!$R$5:$R$100),"OK","CHECK")</f>
        <v>OK</v>
      </c>
    </row>
    <row r="899" spans="1:23">
      <c r="A899" t="s">
        <v>1359</v>
      </c>
      <c r="B899" t="s">
        <v>1349</v>
      </c>
      <c r="C899" t="s">
        <v>30</v>
      </c>
      <c r="D899" s="7">
        <v>45956</v>
      </c>
      <c r="E899" t="s">
        <v>31</v>
      </c>
      <c r="F899" t="s">
        <v>41</v>
      </c>
      <c r="G899">
        <v>25</v>
      </c>
      <c r="H899" t="s">
        <v>63</v>
      </c>
      <c r="I899">
        <v>11</v>
      </c>
      <c r="J899">
        <v>8</v>
      </c>
      <c r="K899">
        <v>3</v>
      </c>
      <c r="L899">
        <f t="shared" si="91"/>
        <v>0</v>
      </c>
      <c r="P899">
        <f t="shared" si="92"/>
        <v>0</v>
      </c>
      <c r="Q899">
        <f t="shared" si="93"/>
        <v>0</v>
      </c>
      <c r="R899">
        <f t="shared" si="94"/>
        <v>0</v>
      </c>
      <c r="S899">
        <f t="shared" si="95"/>
        <v>0</v>
      </c>
      <c r="T899" t="str">
        <f t="shared" si="96"/>
        <v>DerivedFromCount</v>
      </c>
      <c r="U899" t="str">
        <f>IF(COUNTIF(DailyProduction!$Q$5:$Q$100,B899)=1,"OK","CHECK")</f>
        <v>OK</v>
      </c>
      <c r="V899" t="str">
        <f t="shared" si="97"/>
        <v>OK</v>
      </c>
      <c r="W899" t="str">
        <f>IF(SUMIF($B$5:$B$914,B899,$S$5:$S$914)=SUMIF(DailyProduction!$Q$5:$Q$100,B899,DailyProduction!$R$5:$R$100),"OK","CHECK")</f>
        <v>OK</v>
      </c>
    </row>
    <row r="900" spans="1:23">
      <c r="A900" t="s">
        <v>1360</v>
      </c>
      <c r="B900" t="s">
        <v>1349</v>
      </c>
      <c r="C900" t="s">
        <v>30</v>
      </c>
      <c r="D900" s="7">
        <v>45956</v>
      </c>
      <c r="E900" t="s">
        <v>31</v>
      </c>
      <c r="F900" t="s">
        <v>41</v>
      </c>
      <c r="G900">
        <v>25</v>
      </c>
      <c r="H900" t="s">
        <v>63</v>
      </c>
      <c r="I900">
        <v>12</v>
      </c>
      <c r="J900">
        <v>8</v>
      </c>
      <c r="K900">
        <v>3</v>
      </c>
      <c r="L900">
        <f t="shared" si="91"/>
        <v>0</v>
      </c>
      <c r="P900">
        <f t="shared" si="92"/>
        <v>0</v>
      </c>
      <c r="Q900">
        <f t="shared" si="93"/>
        <v>0</v>
      </c>
      <c r="R900">
        <f t="shared" si="94"/>
        <v>0</v>
      </c>
      <c r="S900">
        <f t="shared" si="95"/>
        <v>0</v>
      </c>
      <c r="T900" t="str">
        <f t="shared" si="96"/>
        <v>DerivedFromCount</v>
      </c>
      <c r="U900" t="str">
        <f>IF(COUNTIF(DailyProduction!$Q$5:$Q$100,B900)=1,"OK","CHECK")</f>
        <v>OK</v>
      </c>
      <c r="V900" t="str">
        <f t="shared" si="97"/>
        <v>OK</v>
      </c>
      <c r="W900" t="str">
        <f>IF(SUMIF($B$5:$B$914,B900,$S$5:$S$914)=SUMIF(DailyProduction!$Q$5:$Q$100,B900,DailyProduction!$R$5:$R$100),"OK","CHECK")</f>
        <v>OK</v>
      </c>
    </row>
    <row r="901" spans="1:23">
      <c r="A901" t="s">
        <v>1361</v>
      </c>
      <c r="B901" t="s">
        <v>1349</v>
      </c>
      <c r="C901" t="s">
        <v>30</v>
      </c>
      <c r="D901" s="7">
        <v>45956</v>
      </c>
      <c r="E901" t="s">
        <v>31</v>
      </c>
      <c r="F901" t="s">
        <v>41</v>
      </c>
      <c r="G901">
        <v>25</v>
      </c>
      <c r="H901" t="s">
        <v>63</v>
      </c>
      <c r="I901">
        <v>13</v>
      </c>
      <c r="J901">
        <v>8</v>
      </c>
      <c r="K901">
        <v>3</v>
      </c>
      <c r="L901">
        <f t="shared" ref="L901:L914" si="98">IF(I901&lt;=J901,1,0)</f>
        <v>0</v>
      </c>
      <c r="P901">
        <f t="shared" ref="P901:P914" si="99">IF(M901="",IF(AND(L901=1,K901&gt;=1),1,0),M901)</f>
        <v>0</v>
      </c>
      <c r="Q901">
        <f t="shared" ref="Q901:Q914" si="100">IF(N901="",IF(AND(L901=1,K901&gt;=2),1,0),N901)</f>
        <v>0</v>
      </c>
      <c r="R901">
        <f t="shared" ref="R901:R914" si="101">IF(O901="",IF(AND(L901=1,K901&gt;=3),1,0),O901)</f>
        <v>0</v>
      </c>
      <c r="S901">
        <f t="shared" ref="S901:S914" si="102">SUM(P901:R901)</f>
        <v>0</v>
      </c>
      <c r="T901" t="str">
        <f t="shared" ref="T901:T914" si="103">IF(COUNTA(M901:O901)=0,"DerivedFromCount","ManualOverride")</f>
        <v>DerivedFromCount</v>
      </c>
      <c r="U901" t="str">
        <f>IF(COUNTIF(DailyProduction!$Q$5:$Q$100,B901)=1,"OK","CHECK")</f>
        <v>OK</v>
      </c>
      <c r="V901" t="str">
        <f t="shared" ref="V901:V914" si="104">IF(AND(I901&gt;=1,I901&lt;=13,K901&gt;=1,K901&lt;=3),"OK","CHECK")</f>
        <v>OK</v>
      </c>
      <c r="W901" t="str">
        <f>IF(SUMIF($B$5:$B$914,B901,$S$5:$S$914)=SUMIF(DailyProduction!$Q$5:$Q$100,B901,DailyProduction!$R$5:$R$100),"OK","CHECK")</f>
        <v>OK</v>
      </c>
    </row>
    <row r="902" spans="1:23">
      <c r="A902" t="s">
        <v>1362</v>
      </c>
      <c r="B902" t="s">
        <v>1363</v>
      </c>
      <c r="C902" t="s">
        <v>30</v>
      </c>
      <c r="D902" s="7">
        <v>45956</v>
      </c>
      <c r="E902" t="s">
        <v>79</v>
      </c>
      <c r="F902" t="s">
        <v>32</v>
      </c>
      <c r="G902">
        <v>25</v>
      </c>
      <c r="H902" t="s">
        <v>63</v>
      </c>
      <c r="I902">
        <v>1</v>
      </c>
      <c r="J902">
        <v>8</v>
      </c>
      <c r="K902">
        <v>3</v>
      </c>
      <c r="L902">
        <f t="shared" si="98"/>
        <v>1</v>
      </c>
      <c r="P902">
        <f t="shared" si="99"/>
        <v>1</v>
      </c>
      <c r="Q902">
        <f t="shared" si="100"/>
        <v>1</v>
      </c>
      <c r="R902">
        <f t="shared" si="101"/>
        <v>1</v>
      </c>
      <c r="S902">
        <f t="shared" si="102"/>
        <v>3</v>
      </c>
      <c r="T902" t="str">
        <f t="shared" si="103"/>
        <v>DerivedFromCount</v>
      </c>
      <c r="U902" t="str">
        <f>IF(COUNTIF(DailyProduction!$Q$5:$Q$100,B902)=1,"OK","CHECK")</f>
        <v>OK</v>
      </c>
      <c r="V902" t="str">
        <f t="shared" si="104"/>
        <v>OK</v>
      </c>
      <c r="W902" t="str">
        <f>IF(SUMIF($B$5:$B$914,B902,$S$5:$S$914)=SUMIF(DailyProduction!$Q$5:$Q$100,B902,DailyProduction!$R$5:$R$100),"OK","CHECK")</f>
        <v>OK</v>
      </c>
    </row>
    <row r="903" spans="1:23">
      <c r="A903" t="s">
        <v>1364</v>
      </c>
      <c r="B903" t="s">
        <v>1363</v>
      </c>
      <c r="C903" t="s">
        <v>30</v>
      </c>
      <c r="D903" s="7">
        <v>45956</v>
      </c>
      <c r="E903" t="s">
        <v>79</v>
      </c>
      <c r="F903" t="s">
        <v>32</v>
      </c>
      <c r="G903">
        <v>25</v>
      </c>
      <c r="H903" t="s">
        <v>63</v>
      </c>
      <c r="I903">
        <v>2</v>
      </c>
      <c r="J903">
        <v>8</v>
      </c>
      <c r="K903">
        <v>3</v>
      </c>
      <c r="L903">
        <f t="shared" si="98"/>
        <v>1</v>
      </c>
      <c r="P903">
        <f t="shared" si="99"/>
        <v>1</v>
      </c>
      <c r="Q903">
        <f t="shared" si="100"/>
        <v>1</v>
      </c>
      <c r="R903">
        <f t="shared" si="101"/>
        <v>1</v>
      </c>
      <c r="S903">
        <f t="shared" si="102"/>
        <v>3</v>
      </c>
      <c r="T903" t="str">
        <f t="shared" si="103"/>
        <v>DerivedFromCount</v>
      </c>
      <c r="U903" t="str">
        <f>IF(COUNTIF(DailyProduction!$Q$5:$Q$100,B903)=1,"OK","CHECK")</f>
        <v>OK</v>
      </c>
      <c r="V903" t="str">
        <f t="shared" si="104"/>
        <v>OK</v>
      </c>
      <c r="W903" t="str">
        <f>IF(SUMIF($B$5:$B$914,B903,$S$5:$S$914)=SUMIF(DailyProduction!$Q$5:$Q$100,B903,DailyProduction!$R$5:$R$100),"OK","CHECK")</f>
        <v>OK</v>
      </c>
    </row>
    <row r="904" spans="1:23">
      <c r="A904" t="s">
        <v>1365</v>
      </c>
      <c r="B904" t="s">
        <v>1363</v>
      </c>
      <c r="C904" t="s">
        <v>30</v>
      </c>
      <c r="D904" s="7">
        <v>45956</v>
      </c>
      <c r="E904" t="s">
        <v>79</v>
      </c>
      <c r="F904" t="s">
        <v>32</v>
      </c>
      <c r="G904">
        <v>25</v>
      </c>
      <c r="H904" t="s">
        <v>63</v>
      </c>
      <c r="I904">
        <v>3</v>
      </c>
      <c r="J904">
        <v>8</v>
      </c>
      <c r="K904">
        <v>3</v>
      </c>
      <c r="L904">
        <f t="shared" si="98"/>
        <v>1</v>
      </c>
      <c r="P904">
        <f t="shared" si="99"/>
        <v>1</v>
      </c>
      <c r="Q904">
        <f t="shared" si="100"/>
        <v>1</v>
      </c>
      <c r="R904">
        <f t="shared" si="101"/>
        <v>1</v>
      </c>
      <c r="S904">
        <f t="shared" si="102"/>
        <v>3</v>
      </c>
      <c r="T904" t="str">
        <f t="shared" si="103"/>
        <v>DerivedFromCount</v>
      </c>
      <c r="U904" t="str">
        <f>IF(COUNTIF(DailyProduction!$Q$5:$Q$100,B904)=1,"OK","CHECK")</f>
        <v>OK</v>
      </c>
      <c r="V904" t="str">
        <f t="shared" si="104"/>
        <v>OK</v>
      </c>
      <c r="W904" t="str">
        <f>IF(SUMIF($B$5:$B$914,B904,$S$5:$S$914)=SUMIF(DailyProduction!$Q$5:$Q$100,B904,DailyProduction!$R$5:$R$100),"OK","CHECK")</f>
        <v>OK</v>
      </c>
    </row>
    <row r="905" spans="1:23">
      <c r="A905" t="s">
        <v>1366</v>
      </c>
      <c r="B905" t="s">
        <v>1363</v>
      </c>
      <c r="C905" t="s">
        <v>30</v>
      </c>
      <c r="D905" s="7">
        <v>45956</v>
      </c>
      <c r="E905" t="s">
        <v>79</v>
      </c>
      <c r="F905" t="s">
        <v>32</v>
      </c>
      <c r="G905">
        <v>25</v>
      </c>
      <c r="H905" t="s">
        <v>63</v>
      </c>
      <c r="I905">
        <v>4</v>
      </c>
      <c r="J905">
        <v>8</v>
      </c>
      <c r="K905">
        <v>3</v>
      </c>
      <c r="L905">
        <f t="shared" si="98"/>
        <v>1</v>
      </c>
      <c r="P905">
        <f t="shared" si="99"/>
        <v>1</v>
      </c>
      <c r="Q905">
        <f t="shared" si="100"/>
        <v>1</v>
      </c>
      <c r="R905">
        <f t="shared" si="101"/>
        <v>1</v>
      </c>
      <c r="S905">
        <f t="shared" si="102"/>
        <v>3</v>
      </c>
      <c r="T905" t="str">
        <f t="shared" si="103"/>
        <v>DerivedFromCount</v>
      </c>
      <c r="U905" t="str">
        <f>IF(COUNTIF(DailyProduction!$Q$5:$Q$100,B905)=1,"OK","CHECK")</f>
        <v>OK</v>
      </c>
      <c r="V905" t="str">
        <f t="shared" si="104"/>
        <v>OK</v>
      </c>
      <c r="W905" t="str">
        <f>IF(SUMIF($B$5:$B$914,B905,$S$5:$S$914)=SUMIF(DailyProduction!$Q$5:$Q$100,B905,DailyProduction!$R$5:$R$100),"OK","CHECK")</f>
        <v>OK</v>
      </c>
    </row>
    <row r="906" spans="1:23">
      <c r="A906" t="s">
        <v>1367</v>
      </c>
      <c r="B906" t="s">
        <v>1363</v>
      </c>
      <c r="C906" t="s">
        <v>30</v>
      </c>
      <c r="D906" s="7">
        <v>45956</v>
      </c>
      <c r="E906" t="s">
        <v>79</v>
      </c>
      <c r="F906" t="s">
        <v>32</v>
      </c>
      <c r="G906">
        <v>25</v>
      </c>
      <c r="H906" t="s">
        <v>63</v>
      </c>
      <c r="I906">
        <v>5</v>
      </c>
      <c r="J906">
        <v>8</v>
      </c>
      <c r="K906">
        <v>3</v>
      </c>
      <c r="L906">
        <f t="shared" si="98"/>
        <v>1</v>
      </c>
      <c r="P906">
        <f t="shared" si="99"/>
        <v>1</v>
      </c>
      <c r="Q906">
        <f t="shared" si="100"/>
        <v>1</v>
      </c>
      <c r="R906">
        <f t="shared" si="101"/>
        <v>1</v>
      </c>
      <c r="S906">
        <f t="shared" si="102"/>
        <v>3</v>
      </c>
      <c r="T906" t="str">
        <f t="shared" si="103"/>
        <v>DerivedFromCount</v>
      </c>
      <c r="U906" t="str">
        <f>IF(COUNTIF(DailyProduction!$Q$5:$Q$100,B906)=1,"OK","CHECK")</f>
        <v>OK</v>
      </c>
      <c r="V906" t="str">
        <f t="shared" si="104"/>
        <v>OK</v>
      </c>
      <c r="W906" t="str">
        <f>IF(SUMIF($B$5:$B$914,B906,$S$5:$S$914)=SUMIF(DailyProduction!$Q$5:$Q$100,B906,DailyProduction!$R$5:$R$100),"OK","CHECK")</f>
        <v>OK</v>
      </c>
    </row>
    <row r="907" spans="1:23">
      <c r="A907" t="s">
        <v>1368</v>
      </c>
      <c r="B907" t="s">
        <v>1363</v>
      </c>
      <c r="C907" t="s">
        <v>30</v>
      </c>
      <c r="D907" s="7">
        <v>45956</v>
      </c>
      <c r="E907" t="s">
        <v>79</v>
      </c>
      <c r="F907" t="s">
        <v>32</v>
      </c>
      <c r="G907">
        <v>25</v>
      </c>
      <c r="H907" t="s">
        <v>63</v>
      </c>
      <c r="I907">
        <v>6</v>
      </c>
      <c r="J907">
        <v>8</v>
      </c>
      <c r="K907">
        <v>3</v>
      </c>
      <c r="L907">
        <f t="shared" si="98"/>
        <v>1</v>
      </c>
      <c r="P907">
        <f t="shared" si="99"/>
        <v>1</v>
      </c>
      <c r="Q907">
        <f t="shared" si="100"/>
        <v>1</v>
      </c>
      <c r="R907">
        <f t="shared" si="101"/>
        <v>1</v>
      </c>
      <c r="S907">
        <f t="shared" si="102"/>
        <v>3</v>
      </c>
      <c r="T907" t="str">
        <f t="shared" si="103"/>
        <v>DerivedFromCount</v>
      </c>
      <c r="U907" t="str">
        <f>IF(COUNTIF(DailyProduction!$Q$5:$Q$100,B907)=1,"OK","CHECK")</f>
        <v>OK</v>
      </c>
      <c r="V907" t="str">
        <f t="shared" si="104"/>
        <v>OK</v>
      </c>
      <c r="W907" t="str">
        <f>IF(SUMIF($B$5:$B$914,B907,$S$5:$S$914)=SUMIF(DailyProduction!$Q$5:$Q$100,B907,DailyProduction!$R$5:$R$100),"OK","CHECK")</f>
        <v>OK</v>
      </c>
    </row>
    <row r="908" spans="1:23">
      <c r="A908" t="s">
        <v>1369</v>
      </c>
      <c r="B908" t="s">
        <v>1363</v>
      </c>
      <c r="C908" t="s">
        <v>30</v>
      </c>
      <c r="D908" s="7">
        <v>45956</v>
      </c>
      <c r="E908" t="s">
        <v>79</v>
      </c>
      <c r="F908" t="s">
        <v>32</v>
      </c>
      <c r="G908">
        <v>25</v>
      </c>
      <c r="H908" t="s">
        <v>63</v>
      </c>
      <c r="I908">
        <v>7</v>
      </c>
      <c r="J908">
        <v>8</v>
      </c>
      <c r="K908">
        <v>3</v>
      </c>
      <c r="L908">
        <f t="shared" si="98"/>
        <v>1</v>
      </c>
      <c r="P908">
        <f t="shared" si="99"/>
        <v>1</v>
      </c>
      <c r="Q908">
        <f t="shared" si="100"/>
        <v>1</v>
      </c>
      <c r="R908">
        <f t="shared" si="101"/>
        <v>1</v>
      </c>
      <c r="S908">
        <f t="shared" si="102"/>
        <v>3</v>
      </c>
      <c r="T908" t="str">
        <f t="shared" si="103"/>
        <v>DerivedFromCount</v>
      </c>
      <c r="U908" t="str">
        <f>IF(COUNTIF(DailyProduction!$Q$5:$Q$100,B908)=1,"OK","CHECK")</f>
        <v>OK</v>
      </c>
      <c r="V908" t="str">
        <f t="shared" si="104"/>
        <v>OK</v>
      </c>
      <c r="W908" t="str">
        <f>IF(SUMIF($B$5:$B$914,B908,$S$5:$S$914)=SUMIF(DailyProduction!$Q$5:$Q$100,B908,DailyProduction!$R$5:$R$100),"OK","CHECK")</f>
        <v>OK</v>
      </c>
    </row>
    <row r="909" spans="1:23">
      <c r="A909" t="s">
        <v>1370</v>
      </c>
      <c r="B909" t="s">
        <v>1363</v>
      </c>
      <c r="C909" t="s">
        <v>30</v>
      </c>
      <c r="D909" s="7">
        <v>45956</v>
      </c>
      <c r="E909" t="s">
        <v>79</v>
      </c>
      <c r="F909" t="s">
        <v>32</v>
      </c>
      <c r="G909">
        <v>25</v>
      </c>
      <c r="H909" t="s">
        <v>63</v>
      </c>
      <c r="I909">
        <v>8</v>
      </c>
      <c r="J909">
        <v>8</v>
      </c>
      <c r="K909">
        <v>3</v>
      </c>
      <c r="L909">
        <f t="shared" si="98"/>
        <v>1</v>
      </c>
      <c r="P909">
        <f t="shared" si="99"/>
        <v>1</v>
      </c>
      <c r="Q909">
        <f t="shared" si="100"/>
        <v>1</v>
      </c>
      <c r="R909">
        <f t="shared" si="101"/>
        <v>1</v>
      </c>
      <c r="S909">
        <f t="shared" si="102"/>
        <v>3</v>
      </c>
      <c r="T909" t="str">
        <f t="shared" si="103"/>
        <v>DerivedFromCount</v>
      </c>
      <c r="U909" t="str">
        <f>IF(COUNTIF(DailyProduction!$Q$5:$Q$100,B909)=1,"OK","CHECK")</f>
        <v>OK</v>
      </c>
      <c r="V909" t="str">
        <f t="shared" si="104"/>
        <v>OK</v>
      </c>
      <c r="W909" t="str">
        <f>IF(SUMIF($B$5:$B$914,B909,$S$5:$S$914)=SUMIF(DailyProduction!$Q$5:$Q$100,B909,DailyProduction!$R$5:$R$100),"OK","CHECK")</f>
        <v>OK</v>
      </c>
    </row>
    <row r="910" spans="1:23">
      <c r="A910" t="s">
        <v>1371</v>
      </c>
      <c r="B910" t="s">
        <v>1363</v>
      </c>
      <c r="C910" t="s">
        <v>30</v>
      </c>
      <c r="D910" s="7">
        <v>45956</v>
      </c>
      <c r="E910" t="s">
        <v>79</v>
      </c>
      <c r="F910" t="s">
        <v>32</v>
      </c>
      <c r="G910">
        <v>25</v>
      </c>
      <c r="H910" t="s">
        <v>63</v>
      </c>
      <c r="I910">
        <v>9</v>
      </c>
      <c r="J910">
        <v>8</v>
      </c>
      <c r="K910">
        <v>3</v>
      </c>
      <c r="L910">
        <f t="shared" si="98"/>
        <v>0</v>
      </c>
      <c r="P910">
        <f t="shared" si="99"/>
        <v>0</v>
      </c>
      <c r="Q910">
        <f t="shared" si="100"/>
        <v>0</v>
      </c>
      <c r="R910">
        <f t="shared" si="101"/>
        <v>0</v>
      </c>
      <c r="S910">
        <f t="shared" si="102"/>
        <v>0</v>
      </c>
      <c r="T910" t="str">
        <f t="shared" si="103"/>
        <v>DerivedFromCount</v>
      </c>
      <c r="U910" t="str">
        <f>IF(COUNTIF(DailyProduction!$Q$5:$Q$100,B910)=1,"OK","CHECK")</f>
        <v>OK</v>
      </c>
      <c r="V910" t="str">
        <f t="shared" si="104"/>
        <v>OK</v>
      </c>
      <c r="W910" t="str">
        <f>IF(SUMIF($B$5:$B$914,B910,$S$5:$S$914)=SUMIF(DailyProduction!$Q$5:$Q$100,B910,DailyProduction!$R$5:$R$100),"OK","CHECK")</f>
        <v>OK</v>
      </c>
    </row>
    <row r="911" spans="1:23">
      <c r="A911" t="s">
        <v>1372</v>
      </c>
      <c r="B911" t="s">
        <v>1363</v>
      </c>
      <c r="C911" t="s">
        <v>30</v>
      </c>
      <c r="D911" s="7">
        <v>45956</v>
      </c>
      <c r="E911" t="s">
        <v>79</v>
      </c>
      <c r="F911" t="s">
        <v>32</v>
      </c>
      <c r="G911">
        <v>25</v>
      </c>
      <c r="H911" t="s">
        <v>63</v>
      </c>
      <c r="I911">
        <v>10</v>
      </c>
      <c r="J911">
        <v>8</v>
      </c>
      <c r="K911">
        <v>3</v>
      </c>
      <c r="L911">
        <f t="shared" si="98"/>
        <v>0</v>
      </c>
      <c r="P911">
        <f t="shared" si="99"/>
        <v>0</v>
      </c>
      <c r="Q911">
        <f t="shared" si="100"/>
        <v>0</v>
      </c>
      <c r="R911">
        <f t="shared" si="101"/>
        <v>0</v>
      </c>
      <c r="S911">
        <f t="shared" si="102"/>
        <v>0</v>
      </c>
      <c r="T911" t="str">
        <f t="shared" si="103"/>
        <v>DerivedFromCount</v>
      </c>
      <c r="U911" t="str">
        <f>IF(COUNTIF(DailyProduction!$Q$5:$Q$100,B911)=1,"OK","CHECK")</f>
        <v>OK</v>
      </c>
      <c r="V911" t="str">
        <f t="shared" si="104"/>
        <v>OK</v>
      </c>
      <c r="W911" t="str">
        <f>IF(SUMIF($B$5:$B$914,B911,$S$5:$S$914)=SUMIF(DailyProduction!$Q$5:$Q$100,B911,DailyProduction!$R$5:$R$100),"OK","CHECK")</f>
        <v>OK</v>
      </c>
    </row>
    <row r="912" spans="1:23">
      <c r="A912" t="s">
        <v>1373</v>
      </c>
      <c r="B912" t="s">
        <v>1363</v>
      </c>
      <c r="C912" t="s">
        <v>30</v>
      </c>
      <c r="D912" s="7">
        <v>45956</v>
      </c>
      <c r="E912" t="s">
        <v>79</v>
      </c>
      <c r="F912" t="s">
        <v>32</v>
      </c>
      <c r="G912">
        <v>25</v>
      </c>
      <c r="H912" t="s">
        <v>63</v>
      </c>
      <c r="I912">
        <v>11</v>
      </c>
      <c r="J912">
        <v>8</v>
      </c>
      <c r="K912">
        <v>3</v>
      </c>
      <c r="L912">
        <f t="shared" si="98"/>
        <v>0</v>
      </c>
      <c r="P912">
        <f t="shared" si="99"/>
        <v>0</v>
      </c>
      <c r="Q912">
        <f t="shared" si="100"/>
        <v>0</v>
      </c>
      <c r="R912">
        <f t="shared" si="101"/>
        <v>0</v>
      </c>
      <c r="S912">
        <f t="shared" si="102"/>
        <v>0</v>
      </c>
      <c r="T912" t="str">
        <f t="shared" si="103"/>
        <v>DerivedFromCount</v>
      </c>
      <c r="U912" t="str">
        <f>IF(COUNTIF(DailyProduction!$Q$5:$Q$100,B912)=1,"OK","CHECK")</f>
        <v>OK</v>
      </c>
      <c r="V912" t="str">
        <f t="shared" si="104"/>
        <v>OK</v>
      </c>
      <c r="W912" t="str">
        <f>IF(SUMIF($B$5:$B$914,B912,$S$5:$S$914)=SUMIF(DailyProduction!$Q$5:$Q$100,B912,DailyProduction!$R$5:$R$100),"OK","CHECK")</f>
        <v>OK</v>
      </c>
    </row>
    <row r="913" spans="1:23">
      <c r="A913" t="s">
        <v>1374</v>
      </c>
      <c r="B913" t="s">
        <v>1363</v>
      </c>
      <c r="C913" t="s">
        <v>30</v>
      </c>
      <c r="D913" s="7">
        <v>45956</v>
      </c>
      <c r="E913" t="s">
        <v>79</v>
      </c>
      <c r="F913" t="s">
        <v>32</v>
      </c>
      <c r="G913">
        <v>25</v>
      </c>
      <c r="H913" t="s">
        <v>63</v>
      </c>
      <c r="I913">
        <v>12</v>
      </c>
      <c r="J913">
        <v>8</v>
      </c>
      <c r="K913">
        <v>3</v>
      </c>
      <c r="L913">
        <f t="shared" si="98"/>
        <v>0</v>
      </c>
      <c r="P913">
        <f t="shared" si="99"/>
        <v>0</v>
      </c>
      <c r="Q913">
        <f t="shared" si="100"/>
        <v>0</v>
      </c>
      <c r="R913">
        <f t="shared" si="101"/>
        <v>0</v>
      </c>
      <c r="S913">
        <f t="shared" si="102"/>
        <v>0</v>
      </c>
      <c r="T913" t="str">
        <f t="shared" si="103"/>
        <v>DerivedFromCount</v>
      </c>
      <c r="U913" t="str">
        <f>IF(COUNTIF(DailyProduction!$Q$5:$Q$100,B913)=1,"OK","CHECK")</f>
        <v>OK</v>
      </c>
      <c r="V913" t="str">
        <f t="shared" si="104"/>
        <v>OK</v>
      </c>
      <c r="W913" t="str">
        <f>IF(SUMIF($B$5:$B$914,B913,$S$5:$S$914)=SUMIF(DailyProduction!$Q$5:$Q$100,B913,DailyProduction!$R$5:$R$100),"OK","CHECK")</f>
        <v>OK</v>
      </c>
    </row>
    <row r="914" spans="1:23">
      <c r="A914" t="s">
        <v>1375</v>
      </c>
      <c r="B914" t="s">
        <v>1363</v>
      </c>
      <c r="C914" t="s">
        <v>30</v>
      </c>
      <c r="D914" s="7">
        <v>45956</v>
      </c>
      <c r="E914" t="s">
        <v>79</v>
      </c>
      <c r="F914" t="s">
        <v>32</v>
      </c>
      <c r="G914">
        <v>25</v>
      </c>
      <c r="H914" t="s">
        <v>63</v>
      </c>
      <c r="I914">
        <v>13</v>
      </c>
      <c r="J914">
        <v>8</v>
      </c>
      <c r="K914">
        <v>3</v>
      </c>
      <c r="L914">
        <f t="shared" si="98"/>
        <v>0</v>
      </c>
      <c r="P914">
        <f t="shared" si="99"/>
        <v>0</v>
      </c>
      <c r="Q914">
        <f t="shared" si="100"/>
        <v>0</v>
      </c>
      <c r="R914">
        <f t="shared" si="101"/>
        <v>0</v>
      </c>
      <c r="S914">
        <f t="shared" si="102"/>
        <v>0</v>
      </c>
      <c r="T914" t="str">
        <f t="shared" si="103"/>
        <v>DerivedFromCount</v>
      </c>
      <c r="U914" t="str">
        <f>IF(COUNTIF(DailyProduction!$Q$5:$Q$100,B914)=1,"OK","CHECK")</f>
        <v>OK</v>
      </c>
      <c r="V914" t="str">
        <f t="shared" si="104"/>
        <v>OK</v>
      </c>
      <c r="W914" t="str">
        <f>IF(SUMIF($B$5:$B$914,B914,$S$5:$S$914)=SUMIF(DailyProduction!$Q$5:$Q$100,B914,DailyProduction!$R$5:$R$100),"OK","CHECK")</f>
        <v>OK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_ValidationLists!$G$2:$G$3</xm:f>
          </x14:formula1>
          <xm:sqref>M5:O914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6"/>
  <sheetViews>
    <sheetView workbookViewId="0"/>
  </sheetViews>
  <sheetFormatPr defaultRowHeight="14.25"/>
  <sheetData>
    <row r="1" spans="1:8">
      <c r="A1" t="s">
        <v>13</v>
      </c>
      <c r="B1" t="s">
        <v>15</v>
      </c>
      <c r="C1" t="s">
        <v>16</v>
      </c>
      <c r="D1" t="s">
        <v>67</v>
      </c>
      <c r="E1" t="s">
        <v>103</v>
      </c>
      <c r="F1" t="s">
        <v>104</v>
      </c>
      <c r="G1" t="s">
        <v>105</v>
      </c>
      <c r="H1" t="s">
        <v>106</v>
      </c>
    </row>
    <row r="2" spans="1:8">
      <c r="A2">
        <v>21</v>
      </c>
      <c r="B2" t="s">
        <v>31</v>
      </c>
      <c r="C2" t="s">
        <v>32</v>
      </c>
      <c r="D2" t="s">
        <v>33</v>
      </c>
      <c r="E2" t="s">
        <v>107</v>
      </c>
      <c r="F2" t="s">
        <v>108</v>
      </c>
      <c r="G2">
        <v>0</v>
      </c>
      <c r="H2" t="s">
        <v>109</v>
      </c>
    </row>
    <row r="3" spans="1:8">
      <c r="A3">
        <v>22</v>
      </c>
      <c r="B3" t="s">
        <v>79</v>
      </c>
      <c r="C3" t="s">
        <v>37</v>
      </c>
      <c r="D3" t="s">
        <v>34</v>
      </c>
      <c r="E3" t="s">
        <v>110</v>
      </c>
      <c r="F3" t="s">
        <v>111</v>
      </c>
      <c r="G3">
        <v>1</v>
      </c>
      <c r="H3" t="s">
        <v>112</v>
      </c>
    </row>
    <row r="4" spans="1:8">
      <c r="A4">
        <v>23</v>
      </c>
      <c r="C4" t="s">
        <v>41</v>
      </c>
      <c r="D4" t="s">
        <v>38</v>
      </c>
      <c r="E4" t="s">
        <v>113</v>
      </c>
      <c r="F4" t="s">
        <v>80</v>
      </c>
      <c r="H4" t="s">
        <v>114</v>
      </c>
    </row>
    <row r="5" spans="1:8">
      <c r="A5">
        <v>24</v>
      </c>
      <c r="D5" t="s">
        <v>42</v>
      </c>
      <c r="F5" t="s">
        <v>115</v>
      </c>
      <c r="H5" t="s">
        <v>116</v>
      </c>
    </row>
    <row r="6" spans="1:8">
      <c r="A6">
        <v>25</v>
      </c>
      <c r="D6" t="s">
        <v>43</v>
      </c>
      <c r="F6" t="s">
        <v>117</v>
      </c>
      <c r="H6" t="s">
        <v>118</v>
      </c>
    </row>
    <row r="7" spans="1:8">
      <c r="D7" t="s">
        <v>47</v>
      </c>
      <c r="F7" t="s">
        <v>119</v>
      </c>
      <c r="H7" t="s">
        <v>120</v>
      </c>
    </row>
    <row r="8" spans="1:8">
      <c r="D8" t="s">
        <v>48</v>
      </c>
      <c r="H8" t="s">
        <v>121</v>
      </c>
    </row>
    <row r="9" spans="1:8">
      <c r="D9" t="s">
        <v>50</v>
      </c>
      <c r="H9" t="s">
        <v>122</v>
      </c>
    </row>
    <row r="10" spans="1:8">
      <c r="D10" t="s">
        <v>51</v>
      </c>
      <c r="H10" t="s">
        <v>123</v>
      </c>
    </row>
    <row r="11" spans="1:8">
      <c r="D11" t="s">
        <v>53</v>
      </c>
      <c r="H11" t="s">
        <v>124</v>
      </c>
    </row>
    <row r="12" spans="1:8">
      <c r="D12" t="s">
        <v>58</v>
      </c>
      <c r="H12" t="s">
        <v>125</v>
      </c>
    </row>
    <row r="13" spans="1:8">
      <c r="D13" t="s">
        <v>59</v>
      </c>
      <c r="H13" t="s">
        <v>126</v>
      </c>
    </row>
    <row r="14" spans="1:8">
      <c r="D14" t="s">
        <v>60</v>
      </c>
      <c r="H14" t="s">
        <v>127</v>
      </c>
    </row>
    <row r="15" spans="1:8">
      <c r="D15" t="s">
        <v>62</v>
      </c>
      <c r="H15" t="s">
        <v>128</v>
      </c>
    </row>
    <row r="16" spans="1:8">
      <c r="D16" t="s">
        <v>63</v>
      </c>
      <c r="H16" t="s">
        <v>129</v>
      </c>
    </row>
    <row r="17" spans="8:8">
      <c r="H17" t="s">
        <v>130</v>
      </c>
    </row>
    <row r="18" spans="8:8">
      <c r="H18" t="s">
        <v>131</v>
      </c>
    </row>
    <row r="19" spans="8:8">
      <c r="H19" t="s">
        <v>132</v>
      </c>
    </row>
    <row r="20" spans="8:8">
      <c r="H20" t="s">
        <v>133</v>
      </c>
    </row>
    <row r="21" spans="8:8">
      <c r="H21" t="s">
        <v>134</v>
      </c>
    </row>
    <row r="22" spans="8:8">
      <c r="H22" t="s">
        <v>135</v>
      </c>
    </row>
    <row r="23" spans="8:8">
      <c r="H23" t="s">
        <v>136</v>
      </c>
    </row>
    <row r="24" spans="8:8">
      <c r="H24" t="s">
        <v>137</v>
      </c>
    </row>
    <row r="25" spans="8:8">
      <c r="H25" t="s">
        <v>138</v>
      </c>
    </row>
    <row r="26" spans="8:8">
      <c r="H26" t="s">
        <v>139</v>
      </c>
    </row>
    <row r="27" spans="8:8">
      <c r="H27" t="s">
        <v>140</v>
      </c>
    </row>
    <row r="28" spans="8:8">
      <c r="H28" t="s">
        <v>141</v>
      </c>
    </row>
    <row r="29" spans="8:8">
      <c r="H29" t="s">
        <v>142</v>
      </c>
    </row>
    <row r="30" spans="8:8">
      <c r="H30" t="s">
        <v>143</v>
      </c>
    </row>
    <row r="31" spans="8:8">
      <c r="H31" t="s">
        <v>144</v>
      </c>
    </row>
    <row r="32" spans="8:8">
      <c r="H32" t="s">
        <v>145</v>
      </c>
    </row>
    <row r="33" spans="8:8">
      <c r="H33" t="s">
        <v>146</v>
      </c>
    </row>
    <row r="34" spans="8:8">
      <c r="H34" t="s">
        <v>147</v>
      </c>
    </row>
    <row r="35" spans="8:8">
      <c r="H35" t="s">
        <v>148</v>
      </c>
    </row>
    <row r="36" spans="8:8">
      <c r="H36" t="s">
        <v>149</v>
      </c>
    </row>
    <row r="37" spans="8:8">
      <c r="H37" t="s">
        <v>150</v>
      </c>
    </row>
    <row r="38" spans="8:8">
      <c r="H38" t="s">
        <v>151</v>
      </c>
    </row>
    <row r="39" spans="8:8">
      <c r="H39" t="s">
        <v>152</v>
      </c>
    </row>
    <row r="40" spans="8:8">
      <c r="H40" t="s">
        <v>153</v>
      </c>
    </row>
    <row r="41" spans="8:8">
      <c r="H41" t="s">
        <v>154</v>
      </c>
    </row>
    <row r="42" spans="8:8">
      <c r="H42" t="s">
        <v>155</v>
      </c>
    </row>
    <row r="43" spans="8:8">
      <c r="H43" t="s">
        <v>156</v>
      </c>
    </row>
    <row r="44" spans="8:8">
      <c r="H44" t="s">
        <v>157</v>
      </c>
    </row>
    <row r="45" spans="8:8">
      <c r="H45" t="s">
        <v>158</v>
      </c>
    </row>
    <row r="46" spans="8:8">
      <c r="H46" t="s">
        <v>159</v>
      </c>
    </row>
    <row r="47" spans="8:8">
      <c r="H47" t="s">
        <v>160</v>
      </c>
    </row>
    <row r="48" spans="8:8">
      <c r="H48" t="s">
        <v>161</v>
      </c>
    </row>
    <row r="49" spans="8:8">
      <c r="H49" t="s">
        <v>162</v>
      </c>
    </row>
    <row r="50" spans="8:8">
      <c r="H50" t="s">
        <v>163</v>
      </c>
    </row>
    <row r="51" spans="8:8">
      <c r="H51" t="s">
        <v>164</v>
      </c>
    </row>
    <row r="52" spans="8:8">
      <c r="H52" t="s">
        <v>165</v>
      </c>
    </row>
    <row r="53" spans="8:8">
      <c r="H53" t="s">
        <v>166</v>
      </c>
    </row>
    <row r="54" spans="8:8">
      <c r="H54" t="s">
        <v>167</v>
      </c>
    </row>
    <row r="55" spans="8:8">
      <c r="H55" t="s">
        <v>168</v>
      </c>
    </row>
    <row r="56" spans="8:8">
      <c r="H56" t="s">
        <v>169</v>
      </c>
    </row>
    <row r="57" spans="8:8">
      <c r="H57" t="s">
        <v>170</v>
      </c>
    </row>
    <row r="58" spans="8:8">
      <c r="H58" t="s">
        <v>171</v>
      </c>
    </row>
    <row r="59" spans="8:8">
      <c r="H59" t="s">
        <v>172</v>
      </c>
    </row>
    <row r="60" spans="8:8">
      <c r="H60" t="s">
        <v>173</v>
      </c>
    </row>
    <row r="61" spans="8:8">
      <c r="H61" t="s">
        <v>174</v>
      </c>
    </row>
    <row r="62" spans="8:8">
      <c r="H62" t="s">
        <v>175</v>
      </c>
    </row>
    <row r="63" spans="8:8">
      <c r="H63" t="s">
        <v>176</v>
      </c>
    </row>
    <row r="64" spans="8:8">
      <c r="H64" t="s">
        <v>177</v>
      </c>
    </row>
    <row r="65" spans="8:8">
      <c r="H65" t="s">
        <v>178</v>
      </c>
    </row>
    <row r="66" spans="8:8">
      <c r="H66" t="s">
        <v>179</v>
      </c>
    </row>
    <row r="67" spans="8:8">
      <c r="H67" t="s">
        <v>180</v>
      </c>
    </row>
    <row r="68" spans="8:8">
      <c r="H68" t="s">
        <v>181</v>
      </c>
    </row>
    <row r="69" spans="8:8">
      <c r="H69" t="s">
        <v>182</v>
      </c>
    </row>
    <row r="70" spans="8:8">
      <c r="H70" t="s">
        <v>183</v>
      </c>
    </row>
    <row r="71" spans="8:8">
      <c r="H71" t="s">
        <v>184</v>
      </c>
    </row>
    <row r="72" spans="8:8">
      <c r="H72" t="s">
        <v>185</v>
      </c>
    </row>
    <row r="73" spans="8:8">
      <c r="H73" t="s">
        <v>186</v>
      </c>
    </row>
    <row r="74" spans="8:8">
      <c r="H74" t="s">
        <v>187</v>
      </c>
    </row>
    <row r="75" spans="8:8">
      <c r="H75" t="s">
        <v>188</v>
      </c>
    </row>
    <row r="76" spans="8:8">
      <c r="H76" t="s">
        <v>189</v>
      </c>
    </row>
    <row r="77" spans="8:8">
      <c r="H77" t="s">
        <v>190</v>
      </c>
    </row>
    <row r="78" spans="8:8">
      <c r="H78" t="s">
        <v>191</v>
      </c>
    </row>
    <row r="79" spans="8:8">
      <c r="H79" t="s">
        <v>192</v>
      </c>
    </row>
    <row r="80" spans="8:8">
      <c r="H80" t="s">
        <v>193</v>
      </c>
    </row>
    <row r="81" spans="8:8">
      <c r="H81" t="s">
        <v>194</v>
      </c>
    </row>
    <row r="82" spans="8:8">
      <c r="H82" t="s">
        <v>195</v>
      </c>
    </row>
    <row r="83" spans="8:8">
      <c r="H83" t="s">
        <v>196</v>
      </c>
    </row>
    <row r="84" spans="8:8">
      <c r="H84" t="s">
        <v>197</v>
      </c>
    </row>
    <row r="85" spans="8:8">
      <c r="H85" t="s">
        <v>198</v>
      </c>
    </row>
    <row r="86" spans="8:8">
      <c r="H86" t="s">
        <v>199</v>
      </c>
    </row>
    <row r="87" spans="8:8">
      <c r="H87" t="s">
        <v>200</v>
      </c>
    </row>
    <row r="88" spans="8:8">
      <c r="H88" t="s">
        <v>201</v>
      </c>
    </row>
    <row r="89" spans="8:8">
      <c r="H89" t="s">
        <v>202</v>
      </c>
    </row>
    <row r="90" spans="8:8">
      <c r="H90" t="s">
        <v>203</v>
      </c>
    </row>
    <row r="91" spans="8:8">
      <c r="H91" t="s">
        <v>204</v>
      </c>
    </row>
    <row r="92" spans="8:8">
      <c r="H92" t="s">
        <v>205</v>
      </c>
    </row>
    <row r="93" spans="8:8">
      <c r="H93" t="s">
        <v>206</v>
      </c>
    </row>
    <row r="94" spans="8:8">
      <c r="H94" t="s">
        <v>207</v>
      </c>
    </row>
    <row r="95" spans="8:8">
      <c r="H95" t="s">
        <v>208</v>
      </c>
    </row>
    <row r="96" spans="8:8">
      <c r="H96" t="s">
        <v>209</v>
      </c>
    </row>
    <row r="97" spans="8:8">
      <c r="H97" t="s">
        <v>210</v>
      </c>
    </row>
    <row r="98" spans="8:8">
      <c r="H98" t="s">
        <v>211</v>
      </c>
    </row>
    <row r="99" spans="8:8">
      <c r="H99" t="s">
        <v>212</v>
      </c>
    </row>
    <row r="100" spans="8:8">
      <c r="H100" t="s">
        <v>213</v>
      </c>
    </row>
    <row r="101" spans="8:8">
      <c r="H101" t="s">
        <v>214</v>
      </c>
    </row>
    <row r="102" spans="8:8">
      <c r="H102" t="s">
        <v>215</v>
      </c>
    </row>
    <row r="103" spans="8:8">
      <c r="H103" t="s">
        <v>216</v>
      </c>
    </row>
    <row r="104" spans="8:8">
      <c r="H104" t="s">
        <v>217</v>
      </c>
    </row>
    <row r="105" spans="8:8">
      <c r="H105" t="s">
        <v>218</v>
      </c>
    </row>
    <row r="106" spans="8:8">
      <c r="H106" t="s">
        <v>219</v>
      </c>
    </row>
    <row r="107" spans="8:8">
      <c r="H107" t="s">
        <v>220</v>
      </c>
    </row>
    <row r="108" spans="8:8">
      <c r="H108" t="s">
        <v>221</v>
      </c>
    </row>
    <row r="109" spans="8:8">
      <c r="H109" t="s">
        <v>222</v>
      </c>
    </row>
    <row r="110" spans="8:8">
      <c r="H110" t="s">
        <v>223</v>
      </c>
    </row>
    <row r="111" spans="8:8">
      <c r="H111" t="s">
        <v>224</v>
      </c>
    </row>
    <row r="112" spans="8:8">
      <c r="H112" t="s">
        <v>225</v>
      </c>
    </row>
    <row r="113" spans="8:8">
      <c r="H113" t="s">
        <v>226</v>
      </c>
    </row>
    <row r="114" spans="8:8">
      <c r="H114" t="s">
        <v>227</v>
      </c>
    </row>
    <row r="115" spans="8:8">
      <c r="H115" t="s">
        <v>228</v>
      </c>
    </row>
    <row r="116" spans="8:8">
      <c r="H116" t="s">
        <v>229</v>
      </c>
    </row>
    <row r="117" spans="8:8">
      <c r="H117" t="s">
        <v>230</v>
      </c>
    </row>
    <row r="118" spans="8:8">
      <c r="H118" t="s">
        <v>231</v>
      </c>
    </row>
    <row r="119" spans="8:8">
      <c r="H119" t="s">
        <v>232</v>
      </c>
    </row>
    <row r="120" spans="8:8">
      <c r="H120" t="s">
        <v>233</v>
      </c>
    </row>
    <row r="121" spans="8:8">
      <c r="H121" t="s">
        <v>234</v>
      </c>
    </row>
    <row r="122" spans="8:8">
      <c r="H122" t="s">
        <v>235</v>
      </c>
    </row>
    <row r="123" spans="8:8">
      <c r="H123" t="s">
        <v>236</v>
      </c>
    </row>
    <row r="124" spans="8:8">
      <c r="H124" t="s">
        <v>237</v>
      </c>
    </row>
    <row r="125" spans="8:8">
      <c r="H125" t="s">
        <v>238</v>
      </c>
    </row>
    <row r="126" spans="8:8">
      <c r="H126" t="s">
        <v>239</v>
      </c>
    </row>
    <row r="127" spans="8:8">
      <c r="H127" t="s">
        <v>240</v>
      </c>
    </row>
    <row r="128" spans="8:8">
      <c r="H128" t="s">
        <v>241</v>
      </c>
    </row>
    <row r="129" spans="8:8">
      <c r="H129" t="s">
        <v>242</v>
      </c>
    </row>
    <row r="130" spans="8:8">
      <c r="H130" t="s">
        <v>243</v>
      </c>
    </row>
    <row r="131" spans="8:8">
      <c r="H131" t="s">
        <v>244</v>
      </c>
    </row>
    <row r="132" spans="8:8">
      <c r="H132" t="s">
        <v>245</v>
      </c>
    </row>
    <row r="133" spans="8:8">
      <c r="H133" t="s">
        <v>246</v>
      </c>
    </row>
    <row r="134" spans="8:8">
      <c r="H134" t="s">
        <v>247</v>
      </c>
    </row>
    <row r="135" spans="8:8">
      <c r="H135" t="s">
        <v>248</v>
      </c>
    </row>
    <row r="136" spans="8:8">
      <c r="H136" t="s">
        <v>249</v>
      </c>
    </row>
    <row r="137" spans="8:8">
      <c r="H137" t="s">
        <v>250</v>
      </c>
    </row>
    <row r="138" spans="8:8">
      <c r="H138" t="s">
        <v>251</v>
      </c>
    </row>
    <row r="139" spans="8:8">
      <c r="H139" t="s">
        <v>252</v>
      </c>
    </row>
    <row r="140" spans="8:8">
      <c r="H140" t="s">
        <v>253</v>
      </c>
    </row>
    <row r="141" spans="8:8">
      <c r="H141" t="s">
        <v>254</v>
      </c>
    </row>
    <row r="142" spans="8:8">
      <c r="H142" t="s">
        <v>255</v>
      </c>
    </row>
    <row r="143" spans="8:8">
      <c r="H143" t="s">
        <v>256</v>
      </c>
    </row>
    <row r="144" spans="8:8">
      <c r="H144" t="s">
        <v>257</v>
      </c>
    </row>
    <row r="145" spans="8:8">
      <c r="H145" t="s">
        <v>258</v>
      </c>
    </row>
    <row r="146" spans="8:8">
      <c r="H146" t="s">
        <v>259</v>
      </c>
    </row>
    <row r="147" spans="8:8">
      <c r="H147" t="s">
        <v>260</v>
      </c>
    </row>
    <row r="148" spans="8:8">
      <c r="H148" t="s">
        <v>261</v>
      </c>
    </row>
    <row r="149" spans="8:8">
      <c r="H149" t="s">
        <v>262</v>
      </c>
    </row>
    <row r="150" spans="8:8">
      <c r="H150" t="s">
        <v>263</v>
      </c>
    </row>
    <row r="151" spans="8:8">
      <c r="H151" t="s">
        <v>264</v>
      </c>
    </row>
    <row r="152" spans="8:8">
      <c r="H152" t="s">
        <v>265</v>
      </c>
    </row>
    <row r="153" spans="8:8">
      <c r="H153" t="s">
        <v>266</v>
      </c>
    </row>
    <row r="154" spans="8:8">
      <c r="H154" t="s">
        <v>267</v>
      </c>
    </row>
    <row r="155" spans="8:8">
      <c r="H155" t="s">
        <v>268</v>
      </c>
    </row>
    <row r="156" spans="8:8">
      <c r="H156" t="s">
        <v>269</v>
      </c>
    </row>
    <row r="157" spans="8:8">
      <c r="H157" t="s">
        <v>270</v>
      </c>
    </row>
    <row r="158" spans="8:8">
      <c r="H158" t="s">
        <v>271</v>
      </c>
    </row>
    <row r="159" spans="8:8">
      <c r="H159" t="s">
        <v>272</v>
      </c>
    </row>
    <row r="160" spans="8:8">
      <c r="H160" t="s">
        <v>273</v>
      </c>
    </row>
    <row r="161" spans="8:8">
      <c r="H161" t="s">
        <v>274</v>
      </c>
    </row>
    <row r="162" spans="8:8">
      <c r="H162" t="s">
        <v>275</v>
      </c>
    </row>
    <row r="163" spans="8:8">
      <c r="H163" t="s">
        <v>276</v>
      </c>
    </row>
    <row r="164" spans="8:8">
      <c r="H164" t="s">
        <v>277</v>
      </c>
    </row>
    <row r="165" spans="8:8">
      <c r="H165" t="s">
        <v>278</v>
      </c>
    </row>
    <row r="166" spans="8:8">
      <c r="H166" t="s">
        <v>279</v>
      </c>
    </row>
    <row r="167" spans="8:8">
      <c r="H167" t="s">
        <v>280</v>
      </c>
    </row>
    <row r="168" spans="8:8">
      <c r="H168" t="s">
        <v>281</v>
      </c>
    </row>
    <row r="169" spans="8:8">
      <c r="H169" t="s">
        <v>282</v>
      </c>
    </row>
    <row r="170" spans="8:8">
      <c r="H170" t="s">
        <v>283</v>
      </c>
    </row>
    <row r="171" spans="8:8">
      <c r="H171" t="s">
        <v>284</v>
      </c>
    </row>
    <row r="172" spans="8:8">
      <c r="H172" t="s">
        <v>285</v>
      </c>
    </row>
    <row r="173" spans="8:8">
      <c r="H173" t="s">
        <v>286</v>
      </c>
    </row>
    <row r="174" spans="8:8">
      <c r="H174" t="s">
        <v>287</v>
      </c>
    </row>
    <row r="175" spans="8:8">
      <c r="H175" t="s">
        <v>288</v>
      </c>
    </row>
    <row r="176" spans="8:8">
      <c r="H176" t="s">
        <v>289</v>
      </c>
    </row>
    <row r="177" spans="8:8">
      <c r="H177" t="s">
        <v>290</v>
      </c>
    </row>
    <row r="178" spans="8:8">
      <c r="H178" t="s">
        <v>291</v>
      </c>
    </row>
    <row r="179" spans="8:8">
      <c r="H179" t="s">
        <v>292</v>
      </c>
    </row>
    <row r="180" spans="8:8">
      <c r="H180" t="s">
        <v>293</v>
      </c>
    </row>
    <row r="181" spans="8:8">
      <c r="H181" t="s">
        <v>294</v>
      </c>
    </row>
    <row r="182" spans="8:8">
      <c r="H182" t="s">
        <v>295</v>
      </c>
    </row>
    <row r="183" spans="8:8">
      <c r="H183" t="s">
        <v>296</v>
      </c>
    </row>
    <row r="184" spans="8:8">
      <c r="H184" t="s">
        <v>297</v>
      </c>
    </row>
    <row r="185" spans="8:8">
      <c r="H185" t="s">
        <v>298</v>
      </c>
    </row>
    <row r="186" spans="8:8">
      <c r="H186" t="s">
        <v>299</v>
      </c>
    </row>
    <row r="187" spans="8:8">
      <c r="H187" t="s">
        <v>300</v>
      </c>
    </row>
    <row r="188" spans="8:8">
      <c r="H188" t="s">
        <v>301</v>
      </c>
    </row>
    <row r="189" spans="8:8">
      <c r="H189" t="s">
        <v>302</v>
      </c>
    </row>
    <row r="190" spans="8:8">
      <c r="H190" t="s">
        <v>303</v>
      </c>
    </row>
    <row r="191" spans="8:8">
      <c r="H191" t="s">
        <v>304</v>
      </c>
    </row>
    <row r="192" spans="8:8">
      <c r="H192" t="s">
        <v>305</v>
      </c>
    </row>
    <row r="193" spans="8:8">
      <c r="H193" t="s">
        <v>306</v>
      </c>
    </row>
    <row r="194" spans="8:8">
      <c r="H194" t="s">
        <v>307</v>
      </c>
    </row>
    <row r="195" spans="8:8">
      <c r="H195" t="s">
        <v>308</v>
      </c>
    </row>
    <row r="196" spans="8:8">
      <c r="H196" t="s">
        <v>309</v>
      </c>
    </row>
    <row r="197" spans="8:8">
      <c r="H197" t="s">
        <v>310</v>
      </c>
    </row>
    <row r="198" spans="8:8">
      <c r="H198" t="s">
        <v>311</v>
      </c>
    </row>
    <row r="199" spans="8:8">
      <c r="H199" t="s">
        <v>312</v>
      </c>
    </row>
    <row r="200" spans="8:8">
      <c r="H200" t="s">
        <v>313</v>
      </c>
    </row>
    <row r="201" spans="8:8">
      <c r="H201" t="s">
        <v>314</v>
      </c>
    </row>
    <row r="202" spans="8:8">
      <c r="H202" t="s">
        <v>315</v>
      </c>
    </row>
    <row r="203" spans="8:8">
      <c r="H203" t="s">
        <v>316</v>
      </c>
    </row>
    <row r="204" spans="8:8">
      <c r="H204" t="s">
        <v>317</v>
      </c>
    </row>
    <row r="205" spans="8:8">
      <c r="H205" t="s">
        <v>318</v>
      </c>
    </row>
    <row r="206" spans="8:8">
      <c r="H206" t="s">
        <v>319</v>
      </c>
    </row>
    <row r="207" spans="8:8">
      <c r="H207" t="s">
        <v>320</v>
      </c>
    </row>
    <row r="208" spans="8:8">
      <c r="H208" t="s">
        <v>321</v>
      </c>
    </row>
    <row r="209" spans="8:8">
      <c r="H209" t="s">
        <v>322</v>
      </c>
    </row>
    <row r="210" spans="8:8">
      <c r="H210" t="s">
        <v>323</v>
      </c>
    </row>
    <row r="211" spans="8:8">
      <c r="H211" t="s">
        <v>324</v>
      </c>
    </row>
    <row r="212" spans="8:8">
      <c r="H212" t="s">
        <v>325</v>
      </c>
    </row>
    <row r="213" spans="8:8">
      <c r="H213" t="s">
        <v>326</v>
      </c>
    </row>
    <row r="214" spans="8:8">
      <c r="H214" t="s">
        <v>327</v>
      </c>
    </row>
    <row r="215" spans="8:8">
      <c r="H215" t="s">
        <v>328</v>
      </c>
    </row>
    <row r="216" spans="8:8">
      <c r="H216" t="s">
        <v>329</v>
      </c>
    </row>
    <row r="217" spans="8:8">
      <c r="H217" t="s">
        <v>330</v>
      </c>
    </row>
    <row r="218" spans="8:8">
      <c r="H218" t="s">
        <v>331</v>
      </c>
    </row>
    <row r="219" spans="8:8">
      <c r="H219" t="s">
        <v>332</v>
      </c>
    </row>
    <row r="220" spans="8:8">
      <c r="H220" t="s">
        <v>333</v>
      </c>
    </row>
    <row r="221" spans="8:8">
      <c r="H221" t="s">
        <v>334</v>
      </c>
    </row>
    <row r="222" spans="8:8">
      <c r="H222" t="s">
        <v>335</v>
      </c>
    </row>
    <row r="223" spans="8:8">
      <c r="H223" t="s">
        <v>336</v>
      </c>
    </row>
    <row r="224" spans="8:8">
      <c r="H224" t="s">
        <v>337</v>
      </c>
    </row>
    <row r="225" spans="8:8">
      <c r="H225" t="s">
        <v>338</v>
      </c>
    </row>
    <row r="226" spans="8:8">
      <c r="H226" t="s">
        <v>339</v>
      </c>
    </row>
    <row r="227" spans="8:8">
      <c r="H227" t="s">
        <v>340</v>
      </c>
    </row>
    <row r="228" spans="8:8">
      <c r="H228" t="s">
        <v>341</v>
      </c>
    </row>
    <row r="229" spans="8:8">
      <c r="H229" t="s">
        <v>342</v>
      </c>
    </row>
    <row r="230" spans="8:8">
      <c r="H230" t="s">
        <v>343</v>
      </c>
    </row>
    <row r="231" spans="8:8">
      <c r="H231" t="s">
        <v>344</v>
      </c>
    </row>
    <row r="232" spans="8:8">
      <c r="H232" t="s">
        <v>345</v>
      </c>
    </row>
    <row r="233" spans="8:8">
      <c r="H233" t="s">
        <v>346</v>
      </c>
    </row>
    <row r="234" spans="8:8">
      <c r="H234" t="s">
        <v>347</v>
      </c>
    </row>
    <row r="235" spans="8:8">
      <c r="H235" t="s">
        <v>348</v>
      </c>
    </row>
    <row r="236" spans="8:8">
      <c r="H236" t="s">
        <v>349</v>
      </c>
    </row>
    <row r="237" spans="8:8">
      <c r="H237" t="s">
        <v>350</v>
      </c>
    </row>
    <row r="238" spans="8:8">
      <c r="H238" t="s">
        <v>351</v>
      </c>
    </row>
    <row r="239" spans="8:8">
      <c r="H239" t="s">
        <v>352</v>
      </c>
    </row>
    <row r="240" spans="8:8">
      <c r="H240" t="s">
        <v>353</v>
      </c>
    </row>
    <row r="241" spans="8:8">
      <c r="H241" t="s">
        <v>354</v>
      </c>
    </row>
    <row r="242" spans="8:8">
      <c r="H242" t="s">
        <v>355</v>
      </c>
    </row>
    <row r="243" spans="8:8">
      <c r="H243" t="s">
        <v>356</v>
      </c>
    </row>
    <row r="244" spans="8:8">
      <c r="H244" t="s">
        <v>357</v>
      </c>
    </row>
    <row r="245" spans="8:8">
      <c r="H245" t="s">
        <v>358</v>
      </c>
    </row>
    <row r="246" spans="8:8">
      <c r="H246" t="s">
        <v>359</v>
      </c>
    </row>
    <row r="247" spans="8:8">
      <c r="H247" t="s">
        <v>360</v>
      </c>
    </row>
    <row r="248" spans="8:8">
      <c r="H248" t="s">
        <v>361</v>
      </c>
    </row>
    <row r="249" spans="8:8">
      <c r="H249" t="s">
        <v>362</v>
      </c>
    </row>
    <row r="250" spans="8:8">
      <c r="H250" t="s">
        <v>363</v>
      </c>
    </row>
    <row r="251" spans="8:8">
      <c r="H251" t="s">
        <v>364</v>
      </c>
    </row>
    <row r="252" spans="8:8">
      <c r="H252" t="s">
        <v>365</v>
      </c>
    </row>
    <row r="253" spans="8:8">
      <c r="H253" t="s">
        <v>366</v>
      </c>
    </row>
    <row r="254" spans="8:8">
      <c r="H254" t="s">
        <v>367</v>
      </c>
    </row>
    <row r="255" spans="8:8">
      <c r="H255" t="s">
        <v>368</v>
      </c>
    </row>
    <row r="256" spans="8:8">
      <c r="H256" t="s">
        <v>369</v>
      </c>
    </row>
    <row r="257" spans="8:8">
      <c r="H257" t="s">
        <v>370</v>
      </c>
    </row>
    <row r="258" spans="8:8">
      <c r="H258" t="s">
        <v>371</v>
      </c>
    </row>
    <row r="259" spans="8:8">
      <c r="H259" t="s">
        <v>372</v>
      </c>
    </row>
    <row r="260" spans="8:8">
      <c r="H260" t="s">
        <v>373</v>
      </c>
    </row>
    <row r="261" spans="8:8">
      <c r="H261" t="s">
        <v>374</v>
      </c>
    </row>
    <row r="262" spans="8:8">
      <c r="H262" t="s">
        <v>375</v>
      </c>
    </row>
    <row r="263" spans="8:8">
      <c r="H263" t="s">
        <v>376</v>
      </c>
    </row>
    <row r="264" spans="8:8">
      <c r="H264" t="s">
        <v>377</v>
      </c>
    </row>
    <row r="265" spans="8:8">
      <c r="H265" t="s">
        <v>378</v>
      </c>
    </row>
    <row r="266" spans="8:8">
      <c r="H266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JobChange</vt:lpstr>
      <vt:lpstr>JobChangeImpact</vt:lpstr>
      <vt:lpstr>DailyProduction</vt:lpstr>
      <vt:lpstr>ProductionConfiguration</vt:lpstr>
      <vt:lpstr>_ValidationLists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Fergany</cp:lastModifiedBy>
  <dcterms:modified xsi:type="dcterms:W3CDTF">2026-08-30T08:49:18Z</dcterms:modified>
</cp:coreProperties>
</file>