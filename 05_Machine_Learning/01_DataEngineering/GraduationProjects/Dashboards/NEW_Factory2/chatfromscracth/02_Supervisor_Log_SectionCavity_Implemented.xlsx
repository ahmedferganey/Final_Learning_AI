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b58435991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28e11ba0bc24c84"/>
    <x:sheet xmlns:r="http://schemas.openxmlformats.org/officeDocument/2006/relationships" name="JobChange" sheetId="2" r:id="R9c1d472e480e4cb5"/>
    <x:sheet xmlns:r="http://schemas.openxmlformats.org/officeDocument/2006/relationships" name="DailyProduction" sheetId="3" r:id="Rc6fc629af99649e8"/>
    <x:sheet xmlns:r="http://schemas.openxmlformats.org/officeDocument/2006/relationships" name="_ValidationLists" sheetId="4" r:id="R10ec912ddc2c49fd"/>
    <x:sheet xmlns:r="http://schemas.openxmlformats.org/officeDocument/2006/relationships" name="ProductionConfiguration" sheetId="5" r:id="R8979e9c03c8642a3"/>
    <x:sheet xmlns:r="http://schemas.openxmlformats.org/officeDocument/2006/relationships" name="JobChangeImpact" sheetId="6" r:id="R994a8c04dc6e4fc2"/>
  </x:sheets>
</x:workbook>
</file>

<file path=xl/sharedStrings.xml><?xml version="1.0" encoding="utf-8"?>
<x:sst xmlns:x="http://schemas.openxmlformats.org/spreadsheetml/2006/main">
  <x:si>
    <x:t xml:space="preserve">SUPERVISOR LOG — Instructions</x:t>
  </x:si>
  <x:si>
    <x:t xml:space="preserve">Owner: Production Supervisors / Shift Leaders</x:t>
  </x:si>
  <x:si>
    <x:t xml:space="preserve">Sheets: JobChange + DailyProduction</x:t>
  </x:si>
  <x:si>
    <x:t xml:space="preserve">Rules:</x:t>
  </x:si>
  <x:si>
    <x:t xml:space="preserve">1. One row = one event</x:t>
  </x:si>
  <x:si>
    <x:t xml:space="preserve">2. Use dropdowns (yellow cells) — do not free-type coded fields</x:t>
  </x:si>
  <x:si>
    <x:t xml:space="preserve">3. Dates must be real Excel dates</x:t>
  </x:si>
  <x:si>
    <x:t xml:space="preserve">4. Save as 02_Supervisor_Log_YYYYMMDD.xlsx into the OneDrive Daily folder</x:t>
  </x:si>
  <x:si>
    <x:t xml:space="preserve">Dataset: one-week business-rule-consistent synthetic data (2025-10-20 to 2025-10-26) for DWH / Power BI testing.</x:t>
  </x:si>
  <x:si>
    <x:t xml:space="preserve">JOB CHANGE LOG</x:t>
  </x:si>
  <x:si>
    <x:t xml:space="preserve">Maps to STG_JOBCHANGE → FACT_JOBCHANGE</x:t>
  </x:si>
  <x:si>
    <x:t xml:space="preserve">Yellow=Dropdown | Green=Date | Blue=Hours. FromOrderNumber can be empty for first job of day.</x:t>
  </x:si>
  <x:si>
    <x:t xml:space="preserve">FactoryCode</x:t>
  </x:si>
  <x:si>
    <x:t xml:space="preserve">LineNumber</x:t>
  </x:si>
  <x:si>
    <x:t xml:space="preserve">EventDate</x:t>
  </x:si>
  <x:si>
    <x:t xml:space="preserve">ShiftCode</x:t>
  </x:si>
  <x:si>
    <x:t xml:space="preserve">CrewCode</x:t>
  </x:si>
  <x:si>
    <x:t xml:space="preserve">FromOrderNumber</x:t>
  </x:si>
  <x:si>
    <x:t xml:space="preserve">ToOrderNumber</x:t>
  </x:si>
  <x:si>
    <x:t xml:space="preserve">JobChangeTypeName</x:t>
  </x:si>
  <x:si>
    <x:t xml:space="preserve">MechanicalWorkT1_Hrs</x:t>
  </x:si>
  <x:si>
    <x:t xml:space="preserve">FormingTimeT2_Hrs</x:t>
  </x:si>
  <x:si>
    <x:t xml:space="preserve">TrialLosses_Hrs</x:t>
  </x:si>
  <x:si>
    <x:t xml:space="preserve">HE_Downtime_Hrs</x:t>
  </x:si>
  <x:si>
    <x:t xml:space="preserve">HE_DowntimeReason</x:t>
  </x:si>
  <x:si>
    <x:t xml:space="preserve">CE_Losses_Hrs</x:t>
  </x:si>
  <x:si>
    <x:t xml:space="preserve">CE_LossesReason</x:t>
  </x:si>
  <x:si>
    <x:t xml:space="preserve">PalletizerLosses_Hrs</x:t>
  </x:si>
  <x:si>
    <x:t xml:space="preserve">PalletizerReason</x:t>
  </x:si>
  <x:si>
    <x:t xml:space="preserve">Notes</x:t>
  </x:si>
  <x:si>
    <x:t xml:space="preserve">KG01</x:t>
  </x:si>
  <x:si>
    <x:t xml:space="preserve">AM</x:t>
  </x:si>
  <x:si>
    <x:t xml:space="preserve">A</x:t>
  </x:si>
  <x:si>
    <x:t xml:space="preserve">ORD-2025-00019</x:t>
  </x:si>
  <x:si>
    <x:t xml:space="preserve">ORD-2025-00020</x:t>
  </x:si>
  <x:si>
    <x:t xml:space="preserve">Medium</x:t>
  </x:si>
  <x:si>
    <x:t xml:space="preserve">Within target</x:t>
  </x:si>
  <x:si>
    <x:t xml:space="preserve">B</x:t>
  </x:si>
  <x:si>
    <x:t xml:space="preserve">ORD-2025-00021</x:t>
  </x:si>
  <x:si>
    <x:t xml:space="preserve">Gob Weight Adjustment</x:t>
  </x:si>
  <x:si>
    <x:t xml:space="preserve">Extended setup</x:t>
  </x:si>
  <x:si>
    <x:t xml:space="preserve">C</x:t>
  </x:si>
  <x:si>
    <x:t xml:space="preserve">ORD-2025-00055</x:t>
  </x:si>
  <x:si>
    <x:t xml:space="preserve">ORD-2025-00056</x:t>
  </x:si>
  <x:si>
    <x:t xml:space="preserve">Big</x:t>
  </x:si>
  <x:si>
    <x:t xml:space="preserve">Pallet Conveyor Jam</x:t>
  </x:si>
  <x:si>
    <x:t xml:space="preserve">Minor adjustment</x:t>
  </x:si>
  <x:si>
    <x:t xml:space="preserve">ORD-2025-00057</x:t>
  </x:si>
  <x:si>
    <x:t xml:space="preserve">ORD-2025-00058</x:t>
  </x:si>
  <x:si>
    <x:t xml:space="preserve">Neck Ring Issue</x:t>
  </x:si>
  <x:si>
    <x:t xml:space="preserve">ORD-2025-00092</x:t>
  </x:si>
  <x:si>
    <x:t xml:space="preserve">ORD-2025-00093</x:t>
  </x:si>
  <x:si>
    <x:t xml:space="preserve">Palletizer Robot Fault</x:t>
  </x:si>
  <x:si>
    <x:t xml:space="preserve">ORD-2025-00094</x:t>
  </x:si>
  <x:si>
    <x:t xml:space="preserve">Process</x:t>
  </x:si>
  <x:si>
    <x:t xml:space="preserve">Gob Distributor Jam</x:t>
  </x:si>
  <x:si>
    <x:t xml:space="preserve">Conveyor Speed Mismatch</x:t>
  </x:si>
  <x:si>
    <x:t xml:space="preserve">Stable restart</x:t>
  </x:si>
  <x:si>
    <x:t xml:space="preserve">ORD-2025-00124</x:t>
  </x:si>
  <x:si>
    <x:t xml:space="preserve">ORD-2025-00125</x:t>
  </x:si>
  <x:si>
    <x:t xml:space="preserve">ORD-2025-00126</x:t>
  </x:si>
  <x:si>
    <x:t xml:space="preserve">Small</x:t>
  </x:si>
  <x:si>
    <x:t xml:space="preserve">ORD-2025-00161</x:t>
  </x:si>
  <x:si>
    <x:t xml:space="preserve">ORD-2025-00162</x:t>
  </x:si>
  <x:si>
    <x:t xml:space="preserve">DAILY PRODUCTION LOG</x:t>
  </x:si>
  <x:si>
    <x:t xml:space="preserve">Maps to STG_PRODUCTION → FACT_PRODUCTION</x:t>
  </x:si>
  <x:si>
    <x:t xml:space="preserve">FactoryCode is required. DesignOutput = DesignedCutsPerHour × WorkingHours; TotalReject = DesignOutput − ActualPack − TotalHold.</x:t>
  </x:si>
  <x:si>
    <x:t xml:space="preserve">OrderNumber</x:t>
  </x:si>
  <x:si>
    <x:t xml:space="preserve">CaseName</x:t>
  </x:si>
  <x:si>
    <x:t xml:space="preserve">NoSections</x:t>
  </x:si>
  <x:si>
    <x:t xml:space="preserve">NoCavities</x:t>
  </x:si>
  <x:si>
    <x:t xml:space="preserve">DesignedCyclesPerMin</x:t>
  </x:si>
  <x:si>
    <x:t xml:space="preserve">DesignedCutsPerHour</x:t>
  </x:si>
  <x:si>
    <x:t xml:space="preserve">WorkingHours</x:t>
  </x:si>
  <x:si>
    <x:t xml:space="preserve">DesignOutput</x:t>
  </x:si>
  <x:si>
    <x:t xml:space="preserve">ActualPack</x:t>
  </x:si>
  <x:si>
    <x:t xml:space="preserve">TotalHold</x:t>
  </x:si>
  <x:si>
    <x:t xml:space="preserve">TotalReject</x:t>
  </x:si>
  <x:si>
    <x:t xml:space="preserve">Normal</x:t>
  </x:si>
  <x:si>
    <x:t xml:space="preserve">PM</x:t>
  </x:si>
  <x:si>
    <x:t xml:space="preserve">Trial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</x:si>
</x:sst>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0.00%"/>
    <x:numFmt numFmtId="201" formatCode="0.000"/>
    <x:numFmt numFmtId="202" formatCode="0"/>
  </x:numFmts>
  <x:fonts count="7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0" xfId="0" applyFont="1"/>
    <x:xf numFmtId="0" fontId="5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164" fontId="0" fillId="3" borderId="0" xfId="0" applyNumberFormat="1" applyFill="1" applyAlignment="1">
      <x:alignment vertical="center"/>
    </x:xf>
    <x:xf numFmtId="0" fontId="0" fillId="4" borderId="0" xfId="0" applyFill="1" applyAlignment="1">
      <x:alignment vertical="center"/>
    </x:xf>
    <x:xf numFmtId="2" fontId="0" fillId="5" borderId="0" xfId="0" applyNumberFormat="1" applyFill="1" applyAlignment="1">
      <x:alignment vertical="center"/>
    </x:xf>
    <x:xf numFmtId="0" fontId="0" fillId="4" borderId="0" xfId="0" applyFill="1"/>
    <x:xf numFmtId="164" fontId="0" fillId="3" borderId="0" xfId="0" applyNumberFormat="1" applyFill="1"/>
    <x:xf numFmtId="0" fontId="0" fillId="5" borderId="0" xfId="0" applyFill="1"/>
    <x:xf numFmtId="3" fontId="0" fillId="5" borderId="0" xfId="0" applyNumberFormat="1" applyFill="1"/>
    <x:xf numFmtId="2" fontId="0" fillId="5" borderId="0" xfId="0" applyNumberFormat="1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164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" fontId="0" fillId="5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164" fontId="0" fillId="3" borderId="1" xfId="0" applyNumberFormat="1" applyFont="1" applyFill="1" applyBorder="1"/>
    <x:xf numFmtId="0" fontId="0" fillId="5" borderId="1" xfId="0" applyNumberFormat="1" applyFont="1" applyFill="1" applyBorder="1"/>
    <x:xf numFmtId="3" fontId="0" fillId="5" borderId="1" xfId="0" applyNumberFormat="1" applyFont="1" applyFill="1" applyBorder="1"/>
    <x:xf numFmtId="2" fontId="0" fillId="5" borderId="1" xfId="0" applyNumberFormat="1" applyFont="1" applyFill="1" applyBorder="1"/>
    <x:xf numFmtId="0" fontId="1" fillId="6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200" fontId="6" fillId="6" borderId="0" xfId="0" applyNumberFormat="1" applyFont="1" applyFill="1" applyBorder="1"/>
    <x:xf numFmtId="200" fontId="6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2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0355438564606" /><Relationship Type="http://schemas.openxmlformats.org/officeDocument/2006/relationships/theme" Target="/xl/theme/theme1.xml" Id="R1c23559a81474992" /><Relationship Type="http://schemas.openxmlformats.org/officeDocument/2006/relationships/sharedStrings" Target="/xl/sharedStrings.xml" Id="R0ae585da3e134761" /><Relationship Type="http://schemas.openxmlformats.org/officeDocument/2006/relationships/worksheet" Target="/xl/worksheets/sheet1.xml" Id="R228e11ba0bc24c84" /><Relationship Type="http://schemas.openxmlformats.org/officeDocument/2006/relationships/worksheet" Target="/xl/worksheets/sheet2.xml" Id="R9c1d472e480e4cb5" /><Relationship Type="http://schemas.openxmlformats.org/officeDocument/2006/relationships/worksheet" Target="/xl/worksheets/sheet3.xml" Id="Rc6fc629af99649e8" /><Relationship Type="http://schemas.openxmlformats.org/officeDocument/2006/relationships/worksheet" Target="/xl/worksheets/sheet4.xml" Id="R10ec912ddc2c49fd" /><Relationship Type="http://schemas.openxmlformats.org/officeDocument/2006/relationships/worksheet" Target="/xl/worksheets/sheet5.xml" Id="R8979e9c03c8642a3" /><Relationship Type="http://schemas.openxmlformats.org/officeDocument/2006/relationships/worksheet" Target="/xl/worksheets/sheet6.xml" Id="R994a8c04dc6e4fc2" /></Relationships>
</file>

<file path=xl/tables/table1.xml><?xml version="1.0" encoding="utf-8"?>
<x:table xmlns:x="http://schemas.openxmlformats.org/spreadsheetml/2006/main" id="1" name="JobChange_Fact" displayName="JobChange_Fact" ref="A4:R13" totalsRowShown="0">
  <x:tableColumns count="18">
    <x:tableColumn id="1" name="FactoryCode"/>
    <x:tableColumn id="2" name="LineNumber"/>
    <x:tableColumn id="3" name="EventDate"/>
    <x:tableColumn id="4" name="ShiftCode"/>
    <x:tableColumn id="5" name="CrewCode"/>
    <x:tableColumn id="6" name="FromOrderNumber"/>
    <x:tableColumn id="7" name="ToOrderNumber"/>
    <x:tableColumn id="8" name="JobChangeTypeName"/>
    <x:tableColumn id="9" name="MechanicalWorkT1_Hrs"/>
    <x:tableColumn id="10" name="FormingTimeT2_Hrs"/>
    <x:tableColumn id="11" name="TrialLosses_Hrs"/>
    <x:tableColumn id="12" name="HE_Downtime_Hrs"/>
    <x:tableColumn id="13" name="HE_DowntimeReason"/>
    <x:tableColumn id="14" name="CE_Losses_Hrs"/>
    <x:tableColumn id="15" name="CE_LossesReason"/>
    <x:tableColumn id="16" name="PalletizerLosses_Hrs"/>
    <x:tableColumn id="17" name="PalletizerReason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Production_Fact" displayName="DailyProduction_Fact" ref="A4:P74" totalsRowShown="0">
  <x:tableColumns count="16">
    <x:tableColumn id="1" name="FactoryCode"/>
    <x:tableColumn id="2" name="EventDate"/>
    <x:tableColumn id="3" name="ShiftCode"/>
    <x:tableColumn id="4" name="CrewCode"/>
    <x:tableColumn id="5" name="LineNumber"/>
    <x:tableColumn id="6" name="OrderNumber"/>
    <x:tableColumn id="7" name="CaseName"/>
    <x:tableColumn id="8" name="NoSections"/>
    <x:tableColumn id="9" name="NoCavities"/>
    <x:tableColumn id="10" name="DesignedCyclesPerMin"/>
    <x:tableColumn id="11" name="DesignedCutsPerHour"/>
    <x:tableColumn id="12" name="WorkingHours"/>
    <x:tableColumn id="13" name="DesignOutput"/>
    <x:tableColumn id="14" name="ActualPack"/>
    <x:tableColumn id="15" name="TotalHold"/>
    <x:tableColumn id="16" name="TotalRej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dd850929dd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d996482abb4bf0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hidden="0" customWidth="1"/>
  </x:cols>
  <x:sheetData>
    <x:row r="1" ht="20.25">
      <x:c r="A1" s="2" t="s">
        <x:v>0</x:v>
      </x:c>
    </x:row>
    <x:row r="2">
      <x:c r="A2" s="3"/>
    </x:row>
    <x:row r="3">
      <x:c r="A3" s="3" t="s">
        <x:v>1</x:v>
      </x:c>
    </x:row>
    <x:row r="4">
      <x:c r="A4" s="3"/>
    </x:row>
    <x:row r="5">
      <x:c r="A5" s="3" t="s">
        <x:v>2</x:v>
      </x:c>
    </x:row>
    <x:row r="6">
      <x:c r="A6" s="3"/>
    </x:row>
    <x:row r="7" ht="15">
      <x:c r="A7" s="4" t="s">
        <x:v>3</x:v>
      </x:c>
    </x:row>
    <x:row r="8">
      <x:c r="A8" s="3" t="s">
        <x:v>4</x:v>
      </x:c>
    </x:row>
    <x:row r="9">
      <x:c r="A9" s="3" t="s">
        <x:v>5</x:v>
      </x:c>
    </x:row>
    <x:row r="10">
      <x:c r="A10" s="3" t="s">
        <x:v>6</x:v>
      </x:c>
    </x:row>
    <x:row r="11">
      <x:c r="A11" s="3" t="s">
        <x:v>7</x:v>
      </x:c>
    </x:row>
    <x:row r="12">
      <x:c r="A12" s="3"/>
    </x:row>
    <x:row r="13">
      <x:c r="A13" s="3" t="s">
        <x:v>8</x:v>
      </x:c>
    </x:row>
    <x:row r="15">
      <x:c r="A15" t="str">
        <x:v>NEW DETAIL MODEL — IMPORTANT</x:v>
      </x:c>
    </x:row>
    <x:row r="16">
      <x:c r="A16" t="str">
        <x:v>JobChange and DailyProduction keep their original grain and original source columns.</x:v>
      </x:c>
    </x:row>
    <x:row r="17">
      <x:c r="A17" t="str">
        <x:v>ProductionConfiguration is Event × Section with three cavity flags; unpivot Cavity1Active:Cavity3Active in Power Query for cavity grain.</x:v>
      </x:c>
    </x:row>
    <x:row r="18">
      <x:c r="A18" t="str">
        <x:v>JobChangeImpact is a new child fact for Line / Section / Cavity loss scope.</x:v>
      </x:c>
    </x:row>
    <x:row r="19">
      <x:c r="A19" t="str">
        <x:v>Use StartDateTime and EndDateTime for new detailed impacts whenever possible to detect overlaps.</x:v>
      </x:c>
    </x:row>
    <x:row r="20">
      <x:c r="A20" t="str">
        <x:v>NoCavities &gt; 3 conflicts with the assumed physical capability and is flagged; existing source values are not silently changed.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5" width="12" customWidth="1"/>
    <x:col min="6" max="8" width="20" customWidth="1"/>
    <x:col min="9" max="10" width="18" customWidth="1"/>
    <x:col min="11" max="12" width="17" customWidth="1"/>
    <x:col min="13" max="13" width="30" customWidth="1"/>
    <x:col min="14" max="14" width="16" customWidth="1"/>
    <x:col min="15" max="15" width="30" customWidth="1"/>
    <x:col min="16" max="16" width="20" customWidth="1"/>
    <x:col min="17" max="17" width="30" customWidth="1"/>
    <x:col min="18" max="18" width="20" customWidth="1"/>
    <x:col min="19" max="19" width="42" hidden="0" customWidth="1"/>
  </x:cols>
  <x:sheetData>
    <x:row r="1" ht="24" customHeight="1">
      <x:c r="A1" s="38" t="s">
        <x:v>9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15">
      <x:c r="A2" s="5" t="s">
        <x:v>10</x:v>
      </x:c>
    </x:row>
    <x:row r="3">
      <x:c r="A3" s="6" t="s">
        <x:v>11</x:v>
      </x:c>
    </x:row>
    <x:row r="4" ht="30" customHeight="1">
      <x:c r="A4" s="40" t="s">
        <x:v>12</x:v>
      </x:c>
      <x:c r="B4" s="40" t="s">
        <x:v>13</x:v>
      </x:c>
      <x:c r="C4" s="40" t="s">
        <x:v>14</x:v>
      </x:c>
      <x:c r="D4" s="40" t="s">
        <x:v>15</x:v>
      </x:c>
      <x:c r="E4" s="40" t="s">
        <x:v>16</x:v>
      </x:c>
      <x:c r="F4" s="40" t="s">
        <x:v>17</x:v>
      </x:c>
      <x:c r="G4" s="40" t="s">
        <x:v>18</x:v>
      </x:c>
      <x:c r="H4" s="40" t="s">
        <x:v>19</x:v>
      </x:c>
      <x:c r="I4" s="40" t="s">
        <x:v>20</x:v>
      </x:c>
      <x:c r="J4" s="40" t="s">
        <x:v>21</x:v>
      </x:c>
      <x:c r="K4" s="40" t="s">
        <x:v>22</x:v>
      </x:c>
      <x:c r="L4" s="40" t="s">
        <x:v>23</x:v>
      </x:c>
      <x:c r="M4" s="40" t="s">
        <x:v>24</x:v>
      </x:c>
      <x:c r="N4" s="40" t="s">
        <x:v>25</x:v>
      </x:c>
      <x:c r="O4" s="40" t="s">
        <x:v>26</x:v>
      </x:c>
      <x:c r="P4" s="40" t="s">
        <x:v>27</x:v>
      </x:c>
      <x:c r="Q4" s="40" t="s">
        <x:v>28</x:v>
      </x:c>
      <x:c r="R4" s="40" t="s">
        <x:v>29</x:v>
      </x:c>
      <x:c r="S4" s="44" t="str">
        <x:v>JobChangeEventID</x:v>
      </x:c>
      <x:c r="T4" s="44" t="str">
        <x:v>TotalJobChangeHours</x:v>
      </x:c>
      <x:c r="U4" s="44" t="str">
        <x:v>ImpactDurationHrs</x:v>
      </x:c>
      <x:c r="V4" s="44" t="str">
        <x:v>ImpactReconciliationCheck</x:v>
      </x:c>
      <x:c r="W4" s="44" t="str">
        <x:v>ReasonConsistencyCheck</x:v>
      </x:c>
      <x:c r="X4" s="44" t="str">
        <x:v>TransitionCheck</x:v>
      </x:c>
      <x:c r="Y4" s="44" t="str">
        <x:v>EventIDUniquenessCheck</x:v>
      </x:c>
      <x:c r="Z4" s="44" t="str">
        <x:v>DataQualityCheck</x:v>
      </x:c>
    </x:row>
    <x:row r="5" ht="18" customHeight="1">
      <x:c r="A5" s="10" t="s">
        <x:v>30</x:v>
      </x:c>
      <x:c r="B5" s="10">
        <x:v>21</x:v>
      </x:c>
      <x:c r="C5" s="9">
        <x:v>45951</x:v>
      </x:c>
      <x:c r="D5" s="10" t="s">
        <x:v>31</x:v>
      </x:c>
      <x:c r="E5" s="10" t="s">
        <x:v>32</x:v>
      </x:c>
      <x:c r="F5" s="10" t="s">
        <x:v>33</x:v>
      </x:c>
      <x:c r="G5" s="10" t="s">
        <x:v>34</x:v>
      </x:c>
      <x:c r="H5" s="10" t="s">
        <x:v>35</x:v>
      </x:c>
      <x:c r="I5" s="11">
        <x:v>3.08</x:v>
      </x:c>
      <x:c r="J5" s="11">
        <x:v>1</x:v>
      </x:c>
      <x:c r="K5" s="11">
        <x:v>0.19</x:v>
      </x:c>
      <x:c r="L5" s="11">
        <x:v>0</x:v>
      </x:c>
      <x:c r="M5" s="10"/>
      <x:c r="N5" s="11">
        <x:v>0</x:v>
      </x:c>
      <x:c r="O5" s="10"/>
      <x:c r="P5" s="11">
        <x:v>0</x:v>
      </x:c>
      <x:c r="Q5" s="10"/>
      <x:c r="R5" s="8" t="s">
        <x:v>36</x:v>
      </x:c>
      <x:c r="S5" t="str">
        <x:f>IF(A5="","", "JC-"&amp;A5&amp;"-L"&amp;TEXT(B5,"00")&amp;"-"&amp;TEXT(C5,"yyyymmdd")&amp;"-"&amp;D5&amp;"-"&amp;IF(F5="","START",F5)&amp;"-"&amp;G5)</x:f>
        <x:v>JC-KG01-L21-20251021-AM-ORD-2025-00019-ORD-2025-00020</x:v>
      </x:c>
      <x:c r="T5" t="n">
        <x:f>IF(A5="","",SUM(I5:L5)+N5+P5)</x:f>
        <x:v>4.2700000000000005</x:v>
      </x:c>
      <x:c r="U5" t="n">
        <x:f>IF(S5="","",SUMIF(JobChangeImpact!$B$5:$B$100,S5,JobChangeImpact!$Q$5:$Q$100))</x:f>
        <x:v>4.2700000000000005</x:v>
      </x:c>
      <x:c r="V5" t="str">
        <x:f>IF(A5="","",IF(ABS(T5-U5)&lt;=0.001,"OK","CHECK"))</x:f>
        <x:v>OK</x:v>
      </x:c>
      <x:c r="W5" t="str">
        <x:f>IF(A5="","",IF(AND(IF(L5&gt;0,M5&lt;&gt;"",M5=""),IF(N5&gt;0,O5&lt;&gt;"",O5=""),IF(P5&gt;0,Q5&lt;&gt;"",Q5="")),"OK","CHECK"))</x:f>
        <x:v>OK</x:v>
      </x:c>
      <x:c r="X5" t="str">
        <x:f>IF(A5="","",IF(OR(G5="",AND(F5&lt;&gt;"",F5=G5)),"CHECK","OK"))</x:f>
        <x:v>OK</x:v>
      </x:c>
      <x:c r="Y5" t="str">
        <x:f>IF(S5="","",IF(COUNTIF($S$5:$S$100,S5)=1,"OK","CHECK"))</x:f>
        <x:v>OK</x:v>
      </x:c>
      <x:c r="Z5" t="str">
        <x:f>IF(A5="","",IF(AND(V5="OK",W5="OK",X5="OK",Y5="OK",T5&gt;0),"OK","CHECK"))</x:f>
        <x:v>OK</x:v>
      </x:c>
    </x:row>
    <x:row r="6" ht="18" customHeight="1">
      <x:c r="A6" s="10" t="s">
        <x:v>30</x:v>
      </x:c>
      <x:c r="B6" s="10">
        <x:v>21</x:v>
      </x:c>
      <x:c r="C6" s="9">
        <x:v>45955</x:v>
      </x:c>
      <x:c r="D6" s="10" t="s">
        <x:v>31</x:v>
      </x:c>
      <x:c r="E6" s="10" t="s">
        <x:v>37</x:v>
      </x:c>
      <x:c r="F6" s="10" t="s">
        <x:v>34</x:v>
      </x:c>
      <x:c r="G6" s="10" t="s">
        <x:v>38</x:v>
      </x:c>
      <x:c r="H6" s="10" t="s">
        <x:v>35</x:v>
      </x:c>
      <x:c r="I6" s="11">
        <x:v>3.15</x:v>
      </x:c>
      <x:c r="J6" s="11">
        <x:v>1.2</x:v>
      </x:c>
      <x:c r="K6" s="11">
        <x:v>0.1</x:v>
      </x:c>
      <x:c r="L6" s="11">
        <x:v>0.51</x:v>
      </x:c>
      <x:c r="M6" s="10" t="s">
        <x:v>39</x:v>
      </x:c>
      <x:c r="N6" s="11">
        <x:v>0</x:v>
      </x:c>
      <x:c r="O6" s="10"/>
      <x:c r="P6" s="11">
        <x:v>0</x:v>
      </x:c>
      <x:c r="Q6" s="10"/>
      <x:c r="R6" s="8" t="s">
        <x:v>40</x:v>
      </x:c>
      <x:c r="S6" t="str">
        <x:f>IF(A6="","", "JC-"&amp;A6&amp;"-L"&amp;TEXT(B6,"00")&amp;"-"&amp;TEXT(C6,"yyyymmdd")&amp;"-"&amp;D6&amp;"-"&amp;IF(F6="","START",F6)&amp;"-"&amp;G6)</x:f>
        <x:v>JC-KG01-L21-20251025-AM-ORD-2025-00020-ORD-2025-00021</x:v>
      </x:c>
      <x:c r="T6" t="n">
        <x:f>IF(A6="","",SUM(I6:L6)+N6+P6)</x:f>
        <x:v>4.959999999999999</x:v>
      </x:c>
      <x:c r="U6" t="n">
        <x:f>IF(S6="","",SUMIF(JobChangeImpact!$B$5:$B$100,S6,JobChangeImpact!$Q$5:$Q$100))</x:f>
        <x:v>4.959999999999999</x:v>
      </x:c>
      <x:c r="V6" t="str">
        <x:f>IF(A6="","",IF(ABS(T6-U6)&lt;=0.001,"OK","CHECK"))</x:f>
        <x:v>OK</x:v>
      </x:c>
      <x:c r="W6" t="str">
        <x:f>IF(A6="","",IF(AND(IF(L6&gt;0,M6&lt;&gt;"",M6=""),IF(N6&gt;0,O6&lt;&gt;"",O6=""),IF(P6&gt;0,Q6&lt;&gt;"",Q6="")),"OK","CHECK"))</x:f>
        <x:v>OK</x:v>
      </x:c>
      <x:c r="X6" t="str">
        <x:f>IF(A6="","",IF(OR(G6="",AND(F6&lt;&gt;"",F6=G6)),"CHECK","OK"))</x:f>
        <x:v>OK</x:v>
      </x:c>
      <x:c r="Y6" t="str">
        <x:f>IF(S6="","",IF(COUNTIF($S$5:$S$100,S6)=1,"OK","CHECK"))</x:f>
        <x:v>OK</x:v>
      </x:c>
      <x:c r="Z6" t="str">
        <x:f>IF(A6="","",IF(AND(V6="OK",W6="OK",X6="OK",Y6="OK",T6&gt;0),"OK","CHECK"))</x:f>
        <x:v>OK</x:v>
      </x:c>
    </x:row>
    <x:row r="7" ht="18" customHeight="1">
      <x:c r="A7" s="10" t="s">
        <x:v>30</x:v>
      </x:c>
      <x:c r="B7" s="10">
        <x:v>22</x:v>
      </x:c>
      <x:c r="C7" s="9">
        <x:v>45950</x:v>
      </x:c>
      <x:c r="D7" s="10" t="s">
        <x:v>31</x:v>
      </x:c>
      <x:c r="E7" s="10" t="s">
        <x:v>41</x:v>
      </x:c>
      <x:c r="F7" s="10" t="s">
        <x:v>42</x:v>
      </x:c>
      <x:c r="G7" s="10" t="s">
        <x:v>43</x:v>
      </x:c>
      <x:c r="H7" s="10" t="s">
        <x:v>44</x:v>
      </x:c>
      <x:c r="I7" s="11">
        <x:v>6.84</x:v>
      </x:c>
      <x:c r="J7" s="11">
        <x:v>1.63</x:v>
      </x:c>
      <x:c r="K7" s="11">
        <x:v>0.78</x:v>
      </x:c>
      <x:c r="L7" s="11">
        <x:v>0</x:v>
      </x:c>
      <x:c r="M7" s="10"/>
      <x:c r="N7" s="11">
        <x:v>0</x:v>
      </x:c>
      <x:c r="O7" s="10"/>
      <x:c r="P7" s="11">
        <x:v>0.24</x:v>
      </x:c>
      <x:c r="Q7" s="10" t="s">
        <x:v>45</x:v>
      </x:c>
      <x:c r="R7" s="8" t="s">
        <x:v>46</x:v>
      </x:c>
      <x:c r="S7" t="str">
        <x:f>IF(A7="","", "JC-"&amp;A7&amp;"-L"&amp;TEXT(B7,"00")&amp;"-"&amp;TEXT(C7,"yyyymmdd")&amp;"-"&amp;D7&amp;"-"&amp;IF(F7="","START",F7)&amp;"-"&amp;G7)</x:f>
        <x:v>JC-KG01-L22-20251020-AM-ORD-2025-00055-ORD-2025-00056</x:v>
      </x:c>
      <x:c r="T7" t="n">
        <x:f>IF(A7="","",SUM(I7:L7)+N7+P7)</x:f>
        <x:v>9.489999999999998</x:v>
      </x:c>
      <x:c r="U7" t="n">
        <x:f>IF(S7="","",SUMIF(JobChangeImpact!$B$5:$B$100,S7,JobChangeImpact!$Q$5:$Q$100))</x:f>
        <x:v>9.489999999999998</x:v>
      </x:c>
      <x:c r="V7" t="str">
        <x:f>IF(A7="","",IF(ABS(T7-U7)&lt;=0.001,"OK","CHECK"))</x:f>
        <x:v>OK</x:v>
      </x:c>
      <x:c r="W7" t="str">
        <x:f>IF(A7="","",IF(AND(IF(L7&gt;0,M7&lt;&gt;"",M7=""),IF(N7&gt;0,O7&lt;&gt;"",O7=""),IF(P7&gt;0,Q7&lt;&gt;"",Q7="")),"OK","CHECK"))</x:f>
        <x:v>OK</x:v>
      </x:c>
      <x:c r="X7" t="str">
        <x:f>IF(A7="","",IF(OR(G7="",AND(F7&lt;&gt;"",F7=G7)),"CHECK","OK"))</x:f>
        <x:v>OK</x:v>
      </x:c>
      <x:c r="Y7" t="str">
        <x:f>IF(S7="","",IF(COUNTIF($S$5:$S$100,S7)=1,"OK","CHECK"))</x:f>
        <x:v>OK</x:v>
      </x:c>
      <x:c r="Z7" t="str">
        <x:f>IF(A7="","",IF(AND(V7="OK",W7="OK",X7="OK",Y7="OK",T7&gt;0),"OK","CHECK"))</x:f>
        <x:v>OK</x:v>
      </x:c>
    </x:row>
    <x:row r="8" ht="18" customHeight="1">
      <x:c r="A8" s="10" t="s">
        <x:v>30</x:v>
      </x:c>
      <x:c r="B8" s="10">
        <x:v>22</x:v>
      </x:c>
      <x:c r="C8" s="9">
        <x:v>45956</x:v>
      </x:c>
      <x:c r="D8" s="10" t="s">
        <x:v>31</x:v>
      </x:c>
      <x:c r="E8" s="10" t="s">
        <x:v>41</x:v>
      </x:c>
      <x:c r="F8" s="10" t="s">
        <x:v>47</x:v>
      </x:c>
      <x:c r="G8" s="10" t="s">
        <x:v>48</x:v>
      </x:c>
      <x:c r="H8" s="10" t="s">
        <x:v>44</x:v>
      </x:c>
      <x:c r="I8" s="11">
        <x:v>5.65</x:v>
      </x:c>
      <x:c r="J8" s="11">
        <x:v>1.35</x:v>
      </x:c>
      <x:c r="K8" s="11">
        <x:v>0.78</x:v>
      </x:c>
      <x:c r="L8" s="11">
        <x:v>0.69</x:v>
      </x:c>
      <x:c r="M8" s="10" t="s">
        <x:v>49</x:v>
      </x:c>
      <x:c r="N8" s="11">
        <x:v>0</x:v>
      </x:c>
      <x:c r="O8" s="10"/>
      <x:c r="P8" s="11">
        <x:v>0</x:v>
      </x:c>
      <x:c r="Q8" s="10"/>
      <x:c r="R8" s="8" t="s">
        <x:v>36</x:v>
      </x:c>
      <x:c r="S8" t="str">
        <x:f>IF(A8="","", "JC-"&amp;A8&amp;"-L"&amp;TEXT(B8,"00")&amp;"-"&amp;TEXT(C8,"yyyymmdd")&amp;"-"&amp;D8&amp;"-"&amp;IF(F8="","START",F8)&amp;"-"&amp;G8)</x:f>
        <x:v>JC-KG01-L22-20251026-AM-ORD-2025-00057-ORD-2025-00058</x:v>
      </x:c>
      <x:c r="T8" t="n">
        <x:f>IF(A8="","",SUM(I8:L8)+N8+P8)</x:f>
        <x:v>8.47</x:v>
      </x:c>
      <x:c r="U8" t="n">
        <x:f>IF(S8="","",SUMIF(JobChangeImpact!$B$5:$B$100,S8,JobChangeImpact!$Q$5:$Q$100))</x:f>
        <x:v>8.47</x:v>
      </x:c>
      <x:c r="V8" t="str">
        <x:f>IF(A8="","",IF(ABS(T8-U8)&lt;=0.001,"OK","CHECK"))</x:f>
        <x:v>OK</x:v>
      </x:c>
      <x:c r="W8" t="str">
        <x:f>IF(A8="","",IF(AND(IF(L8&gt;0,M8&lt;&gt;"",M8=""),IF(N8&gt;0,O8&lt;&gt;"",O8=""),IF(P8&gt;0,Q8&lt;&gt;"",Q8="")),"OK","CHECK"))</x:f>
        <x:v>OK</x:v>
      </x:c>
      <x:c r="X8" t="str">
        <x:f>IF(A8="","",IF(OR(G8="",AND(F8&lt;&gt;"",F8=G8)),"CHECK","OK"))</x:f>
        <x:v>OK</x:v>
      </x:c>
      <x:c r="Y8" t="str">
        <x:f>IF(S8="","",IF(COUNTIF($S$5:$S$100,S8)=1,"OK","CHECK"))</x:f>
        <x:v>OK</x:v>
      </x:c>
      <x:c r="Z8" t="str">
        <x:f>IF(A8="","",IF(AND(V8="OK",W8="OK",X8="OK",Y8="OK",T8&gt;0),"OK","CHECK"))</x:f>
        <x:v>OK</x:v>
      </x:c>
    </x:row>
    <x:row r="9" ht="18" customHeight="1">
      <x:c r="A9" s="10" t="s">
        <x:v>30</x:v>
      </x:c>
      <x:c r="B9" s="10">
        <x:v>23</x:v>
      </x:c>
      <x:c r="C9" s="9">
        <x:v>45952</x:v>
      </x:c>
      <x:c r="D9" s="10" t="s">
        <x:v>31</x:v>
      </x:c>
      <x:c r="E9" s="10" t="s">
        <x:v>37</x:v>
      </x:c>
      <x:c r="F9" s="10" t="s">
        <x:v>50</x:v>
      </x:c>
      <x:c r="G9" s="10" t="s">
        <x:v>51</x:v>
      </x:c>
      <x:c r="H9" s="10" t="s">
        <x:v>35</x:v>
      </x:c>
      <x:c r="I9" s="11">
        <x:v>2.73</x:v>
      </x:c>
      <x:c r="J9" s="11">
        <x:v>1.06</x:v>
      </x:c>
      <x:c r="K9" s="11">
        <x:v>0.49</x:v>
      </x:c>
      <x:c r="L9" s="11">
        <x:v>0</x:v>
      </x:c>
      <x:c r="M9" s="10"/>
      <x:c r="N9" s="11">
        <x:v>0</x:v>
      </x:c>
      <x:c r="O9" s="10"/>
      <x:c r="P9" s="11">
        <x:v>0.4</x:v>
      </x:c>
      <x:c r="Q9" s="10" t="s">
        <x:v>52</x:v>
      </x:c>
      <x:c r="R9" s="8" t="s">
        <x:v>36</x:v>
      </x:c>
      <x:c r="S9" t="str">
        <x:f>IF(A9="","", "JC-"&amp;A9&amp;"-L"&amp;TEXT(B9,"00")&amp;"-"&amp;TEXT(C9,"yyyymmdd")&amp;"-"&amp;D9&amp;"-"&amp;IF(F9="","START",F9)&amp;"-"&amp;G9)</x:f>
        <x:v>JC-KG01-L23-20251022-AM-ORD-2025-00092-ORD-2025-00093</x:v>
      </x:c>
      <x:c r="T9" t="n">
        <x:f>IF(A9="","",SUM(I9:L9)+N9+P9)</x:f>
        <x:v>4.680000000000001</x:v>
      </x:c>
      <x:c r="U9" t="n">
        <x:f>IF(S9="","",SUMIF(JobChangeImpact!$B$5:$B$100,S9,JobChangeImpact!$Q$5:$Q$100))</x:f>
        <x:v>4.680000000000001</x:v>
      </x:c>
      <x:c r="V9" t="str">
        <x:f>IF(A9="","",IF(ABS(T9-U9)&lt;=0.001,"OK","CHECK"))</x:f>
        <x:v>OK</x:v>
      </x:c>
      <x:c r="W9" t="str">
        <x:f>IF(A9="","",IF(AND(IF(L9&gt;0,M9&lt;&gt;"",M9=""),IF(N9&gt;0,O9&lt;&gt;"",O9=""),IF(P9&gt;0,Q9&lt;&gt;"",Q9="")),"OK","CHECK"))</x:f>
        <x:v>OK</x:v>
      </x:c>
      <x:c r="X9" t="str">
        <x:f>IF(A9="","",IF(OR(G9="",AND(F9&lt;&gt;"",F9=G9)),"CHECK","OK"))</x:f>
        <x:v>OK</x:v>
      </x:c>
      <x:c r="Y9" t="str">
        <x:f>IF(S9="","",IF(COUNTIF($S$5:$S$100,S9)=1,"OK","CHECK"))</x:f>
        <x:v>OK</x:v>
      </x:c>
      <x:c r="Z9" t="str">
        <x:f>IF(A9="","",IF(AND(V9="OK",W9="OK",X9="OK",Y9="OK",T9&gt;0),"OK","CHECK"))</x:f>
        <x:v>OK</x:v>
      </x:c>
    </x:row>
    <x:row r="10" ht="18" customHeight="1">
      <x:c r="A10" s="10" t="s">
        <x:v>30</x:v>
      </x:c>
      <x:c r="B10" s="10">
        <x:v>23</x:v>
      </x:c>
      <x:c r="C10" s="9">
        <x:v>45956</x:v>
      </x:c>
      <x:c r="D10" s="10" t="s">
        <x:v>31</x:v>
      </x:c>
      <x:c r="E10" s="10" t="s">
        <x:v>41</x:v>
      </x:c>
      <x:c r="F10" s="10" t="s">
        <x:v>51</x:v>
      </x:c>
      <x:c r="G10" s="10" t="s">
        <x:v>53</x:v>
      </x:c>
      <x:c r="H10" s="10" t="s">
        <x:v>54</x:v>
      </x:c>
      <x:c r="I10" s="11">
        <x:v>6.68</x:v>
      </x:c>
      <x:c r="J10" s="11">
        <x:v>2.81</x:v>
      </x:c>
      <x:c r="K10" s="11">
        <x:v>0.35</x:v>
      </x:c>
      <x:c r="L10" s="11">
        <x:v>0.47</x:v>
      </x:c>
      <x:c r="M10" s="10" t="s">
        <x:v>55</x:v>
      </x:c>
      <x:c r="N10" s="11">
        <x:v>0.39</x:v>
      </x:c>
      <x:c r="O10" s="10" t="s">
        <x:v>56</x:v>
      </x:c>
      <x:c r="P10" s="11">
        <x:v>0</x:v>
      </x:c>
      <x:c r="Q10" s="10"/>
      <x:c r="R10" s="8" t="s">
        <x:v>57</x:v>
      </x:c>
      <x:c r="S10" t="str">
        <x:f>IF(A10="","", "JC-"&amp;A10&amp;"-L"&amp;TEXT(B10,"00")&amp;"-"&amp;TEXT(C10,"yyyymmdd")&amp;"-"&amp;D10&amp;"-"&amp;IF(F10="","START",F10)&amp;"-"&amp;G10)</x:f>
        <x:v>JC-KG01-L23-20251026-AM-ORD-2025-00093-ORD-2025-00094</x:v>
      </x:c>
      <x:c r="T10" t="n">
        <x:f>IF(A10="","",SUM(I10:L10)+N10+P10)</x:f>
        <x:v>10.700000000000001</x:v>
      </x:c>
      <x:c r="U10" t="n">
        <x:f>IF(S10="","",SUMIF(JobChangeImpact!$B$5:$B$100,S10,JobChangeImpact!$Q$5:$Q$100))</x:f>
        <x:v>10.700000000000001</x:v>
      </x:c>
      <x:c r="V10" t="str">
        <x:f>IF(A10="","",IF(ABS(T10-U10)&lt;=0.001,"OK","CHECK"))</x:f>
        <x:v>OK</x:v>
      </x:c>
      <x:c r="W10" t="str">
        <x:f>IF(A10="","",IF(AND(IF(L10&gt;0,M10&lt;&gt;"",M10=""),IF(N10&gt;0,O10&lt;&gt;"",O10=""),IF(P10&gt;0,Q10&lt;&gt;"",Q10="")),"OK","CHECK"))</x:f>
        <x:v>OK</x:v>
      </x:c>
      <x:c r="X10" t="str">
        <x:f>IF(A10="","",IF(OR(G10="",AND(F10&lt;&gt;"",F10=G10)),"CHECK","OK"))</x:f>
        <x:v>OK</x:v>
      </x:c>
      <x:c r="Y10" t="str">
        <x:f>IF(S10="","",IF(COUNTIF($S$5:$S$100,S10)=1,"OK","CHECK"))</x:f>
        <x:v>OK</x:v>
      </x:c>
      <x:c r="Z10" t="str">
        <x:f>IF(A10="","",IF(AND(V10="OK",W10="OK",X10="OK",Y10="OK",T10&gt;0),"OK","CHECK"))</x:f>
        <x:v>OK</x:v>
      </x:c>
    </x:row>
    <x:row r="11" ht="18" customHeight="1">
      <x:c r="A11" s="10" t="s">
        <x:v>30</x:v>
      </x:c>
      <x:c r="B11" s="10">
        <x:v>24</x:v>
      </x:c>
      <x:c r="C11" s="9">
        <x:v>45951</x:v>
      </x:c>
      <x:c r="D11" s="10" t="s">
        <x:v>31</x:v>
      </x:c>
      <x:c r="E11" s="10" t="s">
        <x:v>32</x:v>
      </x:c>
      <x:c r="F11" s="10" t="s">
        <x:v>58</x:v>
      </x:c>
      <x:c r="G11" s="10" t="s">
        <x:v>59</x:v>
      </x:c>
      <x:c r="H11" s="10" t="s">
        <x:v>35</x:v>
      </x:c>
      <x:c r="I11" s="11">
        <x:v>3.5</x:v>
      </x:c>
      <x:c r="J11" s="11">
        <x:v>0.76</x:v>
      </x:c>
      <x:c r="K11" s="11">
        <x:v>0.5</x:v>
      </x:c>
      <x:c r="L11" s="11">
        <x:v>0</x:v>
      </x:c>
      <x:c r="M11" s="10"/>
      <x:c r="N11" s="11">
        <x:v>0</x:v>
      </x:c>
      <x:c r="O11" s="10"/>
      <x:c r="P11" s="11">
        <x:v>0</x:v>
      </x:c>
      <x:c r="Q11" s="10"/>
      <x:c r="R11" s="8" t="s">
        <x:v>57</x:v>
      </x:c>
      <x:c r="S11" t="str">
        <x:f>IF(A11="","", "JC-"&amp;A11&amp;"-L"&amp;TEXT(B11,"00")&amp;"-"&amp;TEXT(C11,"yyyymmdd")&amp;"-"&amp;D11&amp;"-"&amp;IF(F11="","START",F11)&amp;"-"&amp;G11)</x:f>
        <x:v>JC-KG01-L24-20251021-AM-ORD-2025-00124-ORD-2025-00125</x:v>
      </x:c>
      <x:c r="T11" t="n">
        <x:f>IF(A11="","",SUM(I11:L11)+N11+P11)</x:f>
        <x:v>4.76</x:v>
      </x:c>
      <x:c r="U11" t="n">
        <x:f>IF(S11="","",SUMIF(JobChangeImpact!$B$5:$B$100,S11,JobChangeImpact!$Q$5:$Q$100))</x:f>
        <x:v>4.76</x:v>
      </x:c>
      <x:c r="V11" t="str">
        <x:f>IF(A11="","",IF(ABS(T11-U11)&lt;=0.001,"OK","CHECK"))</x:f>
        <x:v>OK</x:v>
      </x:c>
      <x:c r="W11" t="str">
        <x:f>IF(A11="","",IF(AND(IF(L11&gt;0,M11&lt;&gt;"",M11=""),IF(N11&gt;0,O11&lt;&gt;"",O11=""),IF(P11&gt;0,Q11&lt;&gt;"",Q11="")),"OK","CHECK"))</x:f>
        <x:v>OK</x:v>
      </x:c>
      <x:c r="X11" t="str">
        <x:f>IF(A11="","",IF(OR(G11="",AND(F11&lt;&gt;"",F11=G11)),"CHECK","OK"))</x:f>
        <x:v>OK</x:v>
      </x:c>
      <x:c r="Y11" t="str">
        <x:f>IF(S11="","",IF(COUNTIF($S$5:$S$100,S11)=1,"OK","CHECK"))</x:f>
        <x:v>OK</x:v>
      </x:c>
      <x:c r="Z11" t="str">
        <x:f>IF(A11="","",IF(AND(V11="OK",W11="OK",X11="OK",Y11="OK",T11&gt;0),"OK","CHECK"))</x:f>
        <x:v>OK</x:v>
      </x:c>
    </x:row>
    <x:row r="12" ht="18" customHeight="1">
      <x:c r="A12" s="10" t="s">
        <x:v>30</x:v>
      </x:c>
      <x:c r="B12" s="10">
        <x:v>24</x:v>
      </x:c>
      <x:c r="C12" s="9">
        <x:v>45955</x:v>
      </x:c>
      <x:c r="D12" s="10" t="s">
        <x:v>31</x:v>
      </x:c>
      <x:c r="E12" s="10" t="s">
        <x:v>37</x:v>
      </x:c>
      <x:c r="F12" s="10" t="s">
        <x:v>59</x:v>
      </x:c>
      <x:c r="G12" s="10" t="s">
        <x:v>60</x:v>
      </x:c>
      <x:c r="H12" s="10" t="s">
        <x:v>61</x:v>
      </x:c>
      <x:c r="I12" s="11">
        <x:v>1.35</x:v>
      </x:c>
      <x:c r="J12" s="11">
        <x:v>0.42</x:v>
      </x:c>
      <x:c r="K12" s="11">
        <x:v>0.42</x:v>
      </x:c>
      <x:c r="L12" s="11">
        <x:v>0</x:v>
      </x:c>
      <x:c r="M12" s="10"/>
      <x:c r="N12" s="11">
        <x:v>0</x:v>
      </x:c>
      <x:c r="O12" s="10"/>
      <x:c r="P12" s="11">
        <x:v>0</x:v>
      </x:c>
      <x:c r="Q12" s="10"/>
      <x:c r="R12" s="8" t="s">
        <x:v>36</x:v>
      </x:c>
      <x:c r="S12" t="str">
        <x:f>IF(A12="","", "JC-"&amp;A12&amp;"-L"&amp;TEXT(B12,"00")&amp;"-"&amp;TEXT(C12,"yyyymmdd")&amp;"-"&amp;D12&amp;"-"&amp;IF(F12="","START",F12)&amp;"-"&amp;G12)</x:f>
        <x:v>JC-KG01-L24-20251025-AM-ORD-2025-00125-ORD-2025-00126</x:v>
      </x:c>
      <x:c r="T12" t="n">
        <x:f>IF(A12="","",SUM(I12:L12)+N12+P12)</x:f>
        <x:v>2.19</x:v>
      </x:c>
      <x:c r="U12" t="n">
        <x:f>IF(S12="","",SUMIF(JobChangeImpact!$B$5:$B$100,S12,JobChangeImpact!$Q$5:$Q$100))</x:f>
        <x:v>2.19</x:v>
      </x:c>
      <x:c r="V12" t="str">
        <x:f>IF(A12="","",IF(ABS(T12-U12)&lt;=0.001,"OK","CHECK"))</x:f>
        <x:v>OK</x:v>
      </x:c>
      <x:c r="W12" t="str">
        <x:f>IF(A12="","",IF(AND(IF(L12&gt;0,M12&lt;&gt;"",M12=""),IF(N12&gt;0,O12&lt;&gt;"",O12=""),IF(P12&gt;0,Q12&lt;&gt;"",Q12="")),"OK","CHECK"))</x:f>
        <x:v>OK</x:v>
      </x:c>
      <x:c r="X12" t="str">
        <x:f>IF(A12="","",IF(OR(G12="",AND(F12&lt;&gt;"",F12=G12)),"CHECK","OK"))</x:f>
        <x:v>OK</x:v>
      </x:c>
      <x:c r="Y12" t="str">
        <x:f>IF(S12="","",IF(COUNTIF($S$5:$S$100,S12)=1,"OK","CHECK"))</x:f>
        <x:v>OK</x:v>
      </x:c>
      <x:c r="Z12" t="str">
        <x:f>IF(A12="","",IF(AND(V12="OK",W12="OK",X12="OK",Y12="OK",T12&gt;0),"OK","CHECK"))</x:f>
        <x:v>OK</x:v>
      </x:c>
    </x:row>
    <x:row r="13" ht="18" customHeight="1">
      <x:c r="A13" s="10" t="s">
        <x:v>30</x:v>
      </x:c>
      <x:c r="B13" s="10">
        <x:v>25</x:v>
      </x:c>
      <x:c r="C13" s="9">
        <x:v>45953</x:v>
      </x:c>
      <x:c r="D13" s="10" t="s">
        <x:v>31</x:v>
      </x:c>
      <x:c r="E13" s="10" t="s">
        <x:v>41</x:v>
      </x:c>
      <x:c r="F13" s="10" t="s">
        <x:v>62</x:v>
      </x:c>
      <x:c r="G13" s="10" t="s">
        <x:v>63</x:v>
      </x:c>
      <x:c r="H13" s="10" t="s">
        <x:v>35</x:v>
      </x:c>
      <x:c r="I13" s="11">
        <x:v>2.75</x:v>
      </x:c>
      <x:c r="J13" s="11">
        <x:v>0.89</x:v>
      </x:c>
      <x:c r="K13" s="11">
        <x:v>0.49</x:v>
      </x:c>
      <x:c r="L13" s="11">
        <x:v>0</x:v>
      </x:c>
      <x:c r="M13" s="10"/>
      <x:c r="N13" s="11">
        <x:v>0</x:v>
      </x:c>
      <x:c r="O13" s="10"/>
      <x:c r="P13" s="11">
        <x:v>0</x:v>
      </x:c>
      <x:c r="Q13" s="10"/>
      <x:c r="R13" s="8" t="s">
        <x:v>57</x:v>
      </x:c>
      <x:c r="S13" t="str">
        <x:f>IF(A13="","", "JC-"&amp;A13&amp;"-L"&amp;TEXT(B13,"00")&amp;"-"&amp;TEXT(C13,"yyyymmdd")&amp;"-"&amp;D13&amp;"-"&amp;IF(F13="","START",F13)&amp;"-"&amp;G13)</x:f>
        <x:v>JC-KG01-L25-20251023-AM-ORD-2025-00161-ORD-2025-00162</x:v>
      </x:c>
      <x:c r="T13" t="n">
        <x:f>IF(A13="","",SUM(I13:L13)+N13+P13)</x:f>
        <x:v>4.13</x:v>
      </x:c>
      <x:c r="U13" t="n">
        <x:f>IF(S13="","",SUMIF(JobChangeImpact!$B$5:$B$100,S13,JobChangeImpact!$Q$5:$Q$100))</x:f>
        <x:v>4.13</x:v>
      </x:c>
      <x:c r="V13" t="str">
        <x:f>IF(A13="","",IF(ABS(T13-U13)&lt;=0.001,"OK","CHECK"))</x:f>
        <x:v>OK</x:v>
      </x:c>
      <x:c r="W13" t="str">
        <x:f>IF(A13="","",IF(AND(IF(L13&gt;0,M13&lt;&gt;"",M13=""),IF(N13&gt;0,O13&lt;&gt;"",O13=""),IF(P13&gt;0,Q13&lt;&gt;"",Q13="")),"OK","CHECK"))</x:f>
        <x:v>OK</x:v>
      </x:c>
      <x:c r="X13" t="str">
        <x:f>IF(A13="","",IF(OR(G13="",AND(F13&lt;&gt;"",F13=G13)),"CHECK","OK"))</x:f>
        <x:v>OK</x:v>
      </x:c>
      <x:c r="Y13" t="str">
        <x:f>IF(S13="","",IF(COUNTIF($S$5:$S$100,S13)=1,"OK","CHECK"))</x:f>
        <x:v>OK</x:v>
      </x:c>
      <x:c r="Z13" t="str">
        <x:f>IF(A13="","",IF(AND(V13="OK",W13="OK",X13="OK",Y13="OK",T13&gt;0),"OK","CHECK"))</x:f>
        <x:v>OK</x:v>
      </x:c>
    </x:row>
    <x:row r="14" ht="18" customHeight="1">
      <x:c r="S14" t="str">
        <x:f>IF(A14="","", "JC-"&amp;A14&amp;"-L"&amp;TEXT(B14,"00")&amp;"-"&amp;TEXT(C14,"yyyymmdd")&amp;"-"&amp;D14&amp;"-"&amp;IF(F14="","START",F14)&amp;"-"&amp;G14)</x:f>
      </x:c>
      <x:c r="T14" t="str">
        <x:f>IF(A14="","",SUM(I14:L14)+N14+P14)</x:f>
      </x:c>
      <x:c r="U14" t="str">
        <x:f>IF(S14="","",SUMIF(JobChangeImpact!$B$5:$B$100,S14,JobChangeImpact!$Q$5:$Q$100))</x:f>
      </x:c>
      <x:c r="V14" t="str">
        <x:f>IF(A14="","",IF(ABS(T14-U14)&lt;=0.001,"OK","CHECK"))</x:f>
      </x:c>
      <x:c r="W14" t="str">
        <x:f>IF(A14="","",IF(AND(IF(L14&gt;0,M14&lt;&gt;"",M14=""),IF(N14&gt;0,O14&lt;&gt;"",O14=""),IF(P14&gt;0,Q14&lt;&gt;"",Q14="")),"OK","CHECK"))</x:f>
      </x:c>
      <x:c r="X14" t="str">
        <x:f>IF(A14="","",IF(OR(G14="",AND(F14&lt;&gt;"",F14=G14)),"CHECK","OK"))</x:f>
      </x:c>
      <x:c r="Y14" t="str">
        <x:f>IF(S14="","",IF(COUNTIF($S$5:$S$100,S14)=1,"OK","CHECK"))</x:f>
      </x:c>
      <x:c r="Z14" t="str">
        <x:f>IF(A14="","",IF(AND(V14="OK",W14="OK",X14="OK",Y14="OK",T14&gt;0),"OK","CHECK"))</x:f>
      </x:c>
    </x:row>
    <x:row r="15" ht="18" customHeight="1">
      <x:c r="S15" t="str">
        <x:f>IF(A15="","", "JC-"&amp;A15&amp;"-L"&amp;TEXT(B15,"00")&amp;"-"&amp;TEXT(C15,"yyyymmdd")&amp;"-"&amp;D15&amp;"-"&amp;IF(F15="","START",F15)&amp;"-"&amp;G15)</x:f>
      </x:c>
      <x:c r="T15" t="str">
        <x:f>IF(A15="","",SUM(I15:L15)+N15+P15)</x:f>
      </x:c>
      <x:c r="U15" t="str">
        <x:f>IF(S15="","",SUMIF(JobChangeImpact!$B$5:$B$100,S15,JobChangeImpact!$Q$5:$Q$100))</x:f>
      </x:c>
      <x:c r="V15" t="str">
        <x:f>IF(A15="","",IF(ABS(T15-U15)&lt;=0.001,"OK","CHECK"))</x:f>
      </x:c>
      <x:c r="W15" t="str">
        <x:f>IF(A15="","",IF(AND(IF(L15&gt;0,M15&lt;&gt;"",M15=""),IF(N15&gt;0,O15&lt;&gt;"",O15=""),IF(P15&gt;0,Q15&lt;&gt;"",Q15="")),"OK","CHECK"))</x:f>
      </x:c>
      <x:c r="X15" t="str">
        <x:f>IF(A15="","",IF(OR(G15="",AND(F15&lt;&gt;"",F15=G15)),"CHECK","OK"))</x:f>
      </x:c>
      <x:c r="Y15" t="str">
        <x:f>IF(S15="","",IF(COUNTIF($S$5:$S$100,S15)=1,"OK","CHECK"))</x:f>
      </x:c>
      <x:c r="Z15" t="str">
        <x:f>IF(A15="","",IF(AND(V15="OK",W15="OK",X15="OK",Y15="OK",T15&gt;0),"OK","CHECK"))</x:f>
      </x:c>
    </x:row>
    <x:row r="16" ht="18" customHeight="1">
      <x:c r="S16" t="str">
        <x:f>IF(A16="","", "JC-"&amp;A16&amp;"-L"&amp;TEXT(B16,"00")&amp;"-"&amp;TEXT(C16,"yyyymmdd")&amp;"-"&amp;D16&amp;"-"&amp;IF(F16="","START",F16)&amp;"-"&amp;G16)</x:f>
      </x:c>
      <x:c r="T16" t="str">
        <x:f>IF(A16="","",SUM(I16:L16)+N16+P16)</x:f>
      </x:c>
      <x:c r="U16" t="str">
        <x:f>IF(S16="","",SUMIF(JobChangeImpact!$B$5:$B$100,S16,JobChangeImpact!$Q$5:$Q$100))</x:f>
      </x:c>
      <x:c r="V16" t="str">
        <x:f>IF(A16="","",IF(ABS(T16-U16)&lt;=0.001,"OK","CHECK"))</x:f>
      </x:c>
      <x:c r="W16" t="str">
        <x:f>IF(A16="","",IF(AND(IF(L16&gt;0,M16&lt;&gt;"",M16=""),IF(N16&gt;0,O16&lt;&gt;"",O16=""),IF(P16&gt;0,Q16&lt;&gt;"",Q16="")),"OK","CHECK"))</x:f>
      </x:c>
      <x:c r="X16" t="str">
        <x:f>IF(A16="","",IF(OR(G16="",AND(F16&lt;&gt;"",F16=G16)),"CHECK","OK"))</x:f>
      </x:c>
      <x:c r="Y16" t="str">
        <x:f>IF(S16="","",IF(COUNTIF($S$5:$S$100,S16)=1,"OK","CHECK"))</x:f>
      </x:c>
      <x:c r="Z16" t="str">
        <x:f>IF(A16="","",IF(AND(V16="OK",W16="OK",X16="OK",Y16="OK",T16&gt;0),"OK","CHECK"))</x:f>
      </x:c>
    </x:row>
    <x:row r="17" ht="18" customHeight="1">
      <x:c r="S17" t="str">
        <x:f>IF(A17="","", "JC-"&amp;A17&amp;"-L"&amp;TEXT(B17,"00")&amp;"-"&amp;TEXT(C17,"yyyymmdd")&amp;"-"&amp;D17&amp;"-"&amp;IF(F17="","START",F17)&amp;"-"&amp;G17)</x:f>
      </x:c>
      <x:c r="T17" t="str">
        <x:f>IF(A17="","",SUM(I17:L17)+N17+P17)</x:f>
      </x:c>
      <x:c r="U17" t="str">
        <x:f>IF(S17="","",SUMIF(JobChangeImpact!$B$5:$B$100,S17,JobChangeImpact!$Q$5:$Q$100))</x:f>
      </x:c>
      <x:c r="V17" t="str">
        <x:f>IF(A17="","",IF(ABS(T17-U17)&lt;=0.001,"OK","CHECK"))</x:f>
      </x:c>
      <x:c r="W17" t="str">
        <x:f>IF(A17="","",IF(AND(IF(L17&gt;0,M17&lt;&gt;"",M17=""),IF(N17&gt;0,O17&lt;&gt;"",O17=""),IF(P17&gt;0,Q17&lt;&gt;"",Q17="")),"OK","CHECK"))</x:f>
      </x:c>
      <x:c r="X17" t="str">
        <x:f>IF(A17="","",IF(OR(G17="",AND(F17&lt;&gt;"",F17=G17)),"CHECK","OK"))</x:f>
      </x:c>
      <x:c r="Y17" t="str">
        <x:f>IF(S17="","",IF(COUNTIF($S$5:$S$100,S17)=1,"OK","CHECK"))</x:f>
      </x:c>
      <x:c r="Z17" t="str">
        <x:f>IF(A17="","",IF(AND(V17="OK",W17="OK",X17="OK",Y17="OK",T17&gt;0),"OK","CHECK"))</x:f>
      </x:c>
    </x:row>
    <x:row r="18" ht="18" customHeight="1">
      <x:c r="S18" t="str">
        <x:f>IF(A18="","", "JC-"&amp;A18&amp;"-L"&amp;TEXT(B18,"00")&amp;"-"&amp;TEXT(C18,"yyyymmdd")&amp;"-"&amp;D18&amp;"-"&amp;IF(F18="","START",F18)&amp;"-"&amp;G18)</x:f>
      </x:c>
      <x:c r="T18" t="str">
        <x:f>IF(A18="","",SUM(I18:L18)+N18+P18)</x:f>
      </x:c>
      <x:c r="U18" t="str">
        <x:f>IF(S18="","",SUMIF(JobChangeImpact!$B$5:$B$100,S18,JobChangeImpact!$Q$5:$Q$100))</x:f>
      </x:c>
      <x:c r="V18" t="str">
        <x:f>IF(A18="","",IF(ABS(T18-U18)&lt;=0.001,"OK","CHECK"))</x:f>
      </x:c>
      <x:c r="W18" t="str">
        <x:f>IF(A18="","",IF(AND(IF(L18&gt;0,M18&lt;&gt;"",M18=""),IF(N18&gt;0,O18&lt;&gt;"",O18=""),IF(P18&gt;0,Q18&lt;&gt;"",Q18="")),"OK","CHECK"))</x:f>
      </x:c>
      <x:c r="X18" t="str">
        <x:f>IF(A18="","",IF(OR(G18="",AND(F18&lt;&gt;"",F18=G18)),"CHECK","OK"))</x:f>
      </x:c>
      <x:c r="Y18" t="str">
        <x:f>IF(S18="","",IF(COUNTIF($S$5:$S$100,S18)=1,"OK","CHECK"))</x:f>
      </x:c>
      <x:c r="Z18" t="str">
        <x:f>IF(A18="","",IF(AND(V18="OK",W18="OK",X18="OK",Y18="OK",T18&gt;0),"OK","CHECK"))</x:f>
      </x:c>
    </x:row>
    <x:row r="19" ht="18" customHeight="1">
      <x:c r="S19" t="str">
        <x:f>IF(A19="","", "JC-"&amp;A19&amp;"-L"&amp;TEXT(B19,"00")&amp;"-"&amp;TEXT(C19,"yyyymmdd")&amp;"-"&amp;D19&amp;"-"&amp;IF(F19="","START",F19)&amp;"-"&amp;G19)</x:f>
      </x:c>
      <x:c r="T19" t="str">
        <x:f>IF(A19="","",SUM(I19:L19)+N19+P19)</x:f>
      </x:c>
      <x:c r="U19" t="str">
        <x:f>IF(S19="","",SUMIF(JobChangeImpact!$B$5:$B$100,S19,JobChangeImpact!$Q$5:$Q$100))</x:f>
      </x:c>
      <x:c r="V19" t="str">
        <x:f>IF(A19="","",IF(ABS(T19-U19)&lt;=0.001,"OK","CHECK"))</x:f>
      </x:c>
      <x:c r="W19" t="str">
        <x:f>IF(A19="","",IF(AND(IF(L19&gt;0,M19&lt;&gt;"",M19=""),IF(N19&gt;0,O19&lt;&gt;"",O19=""),IF(P19&gt;0,Q19&lt;&gt;"",Q19="")),"OK","CHECK"))</x:f>
      </x:c>
      <x:c r="X19" t="str">
        <x:f>IF(A19="","",IF(OR(G19="",AND(F19&lt;&gt;"",F19=G19)),"CHECK","OK"))</x:f>
      </x:c>
      <x:c r="Y19" t="str">
        <x:f>IF(S19="","",IF(COUNTIF($S$5:$S$100,S19)=1,"OK","CHECK"))</x:f>
      </x:c>
      <x:c r="Z19" t="str">
        <x:f>IF(A19="","",IF(AND(V19="OK",W19="OK",X19="OK",Y19="OK",T19&gt;0),"OK","CHECK"))</x:f>
      </x:c>
    </x:row>
    <x:row r="20" ht="18" customHeight="1">
      <x:c r="S20" t="str">
        <x:f>IF(A20="","", "JC-"&amp;A20&amp;"-L"&amp;TEXT(B20,"00")&amp;"-"&amp;TEXT(C20,"yyyymmdd")&amp;"-"&amp;D20&amp;"-"&amp;IF(F20="","START",F20)&amp;"-"&amp;G20)</x:f>
      </x:c>
      <x:c r="T20" t="str">
        <x:f>IF(A20="","",SUM(I20:L20)+N20+P20)</x:f>
      </x:c>
      <x:c r="U20" t="str">
        <x:f>IF(S20="","",SUMIF(JobChangeImpact!$B$5:$B$100,S20,JobChangeImpact!$Q$5:$Q$100))</x:f>
      </x:c>
      <x:c r="V20" t="str">
        <x:f>IF(A20="","",IF(ABS(T20-U20)&lt;=0.001,"OK","CHECK"))</x:f>
      </x:c>
      <x:c r="W20" t="str">
        <x:f>IF(A20="","",IF(AND(IF(L20&gt;0,M20&lt;&gt;"",M20=""),IF(N20&gt;0,O20&lt;&gt;"",O20=""),IF(P20&gt;0,Q20&lt;&gt;"",Q20="")),"OK","CHECK"))</x:f>
      </x:c>
      <x:c r="X20" t="str">
        <x:f>IF(A20="","",IF(OR(G20="",AND(F20&lt;&gt;"",F20=G20)),"CHECK","OK"))</x:f>
      </x:c>
      <x:c r="Y20" t="str">
        <x:f>IF(S20="","",IF(COUNTIF($S$5:$S$100,S20)=1,"OK","CHECK"))</x:f>
      </x:c>
      <x:c r="Z20" t="str">
        <x:f>IF(A20="","",IF(AND(V20="OK",W20="OK",X20="OK",Y20="OK",T20&gt;0),"OK","CHECK"))</x:f>
      </x:c>
    </x:row>
    <x:row r="21" ht="18" customHeight="1">
      <x:c r="S21" t="str">
        <x:f>IF(A21="","", "JC-"&amp;A21&amp;"-L"&amp;TEXT(B21,"00")&amp;"-"&amp;TEXT(C21,"yyyymmdd")&amp;"-"&amp;D21&amp;"-"&amp;IF(F21="","START",F21)&amp;"-"&amp;G21)</x:f>
      </x:c>
      <x:c r="T21" t="str">
        <x:f>IF(A21="","",SUM(I21:L21)+N21+P21)</x:f>
      </x:c>
      <x:c r="U21" t="str">
        <x:f>IF(S21="","",SUMIF(JobChangeImpact!$B$5:$B$100,S21,JobChangeImpact!$Q$5:$Q$100))</x:f>
      </x:c>
      <x:c r="V21" t="str">
        <x:f>IF(A21="","",IF(ABS(T21-U21)&lt;=0.001,"OK","CHECK"))</x:f>
      </x:c>
      <x:c r="W21" t="str">
        <x:f>IF(A21="","",IF(AND(IF(L21&gt;0,M21&lt;&gt;"",M21=""),IF(N21&gt;0,O21&lt;&gt;"",O21=""),IF(P21&gt;0,Q21&lt;&gt;"",Q21="")),"OK","CHECK"))</x:f>
      </x:c>
      <x:c r="X21" t="str">
        <x:f>IF(A21="","",IF(OR(G21="",AND(F21&lt;&gt;"",F21=G21)),"CHECK","OK"))</x:f>
      </x:c>
      <x:c r="Y21" t="str">
        <x:f>IF(S21="","",IF(COUNTIF($S$5:$S$100,S21)=1,"OK","CHECK"))</x:f>
      </x:c>
      <x:c r="Z21" t="str">
        <x:f>IF(A21="","",IF(AND(V21="OK",W21="OK",X21="OK",Y21="OK",T21&gt;0),"OK","CHECK"))</x:f>
      </x:c>
    </x:row>
    <x:row r="22" ht="18" customHeight="1">
      <x:c r="S22" t="str">
        <x:f>IF(A22="","", "JC-"&amp;A22&amp;"-L"&amp;TEXT(B22,"00")&amp;"-"&amp;TEXT(C22,"yyyymmdd")&amp;"-"&amp;D22&amp;"-"&amp;IF(F22="","START",F22)&amp;"-"&amp;G22)</x:f>
      </x:c>
      <x:c r="T22" t="str">
        <x:f>IF(A22="","",SUM(I22:L22)+N22+P22)</x:f>
      </x:c>
      <x:c r="U22" t="str">
        <x:f>IF(S22="","",SUMIF(JobChangeImpact!$B$5:$B$100,S22,JobChangeImpact!$Q$5:$Q$100))</x:f>
      </x:c>
      <x:c r="V22" t="str">
        <x:f>IF(A22="","",IF(ABS(T22-U22)&lt;=0.001,"OK","CHECK"))</x:f>
      </x:c>
      <x:c r="W22" t="str">
        <x:f>IF(A22="","",IF(AND(IF(L22&gt;0,M22&lt;&gt;"",M22=""),IF(N22&gt;0,O22&lt;&gt;"",O22=""),IF(P22&gt;0,Q22&lt;&gt;"",Q22="")),"OK","CHECK"))</x:f>
      </x:c>
      <x:c r="X22" t="str">
        <x:f>IF(A22="","",IF(OR(G22="",AND(F22&lt;&gt;"",F22=G22)),"CHECK","OK"))</x:f>
      </x:c>
      <x:c r="Y22" t="str">
        <x:f>IF(S22="","",IF(COUNTIF($S$5:$S$100,S22)=1,"OK","CHECK"))</x:f>
      </x:c>
      <x:c r="Z22" t="str">
        <x:f>IF(A22="","",IF(AND(V22="OK",W22="OK",X22="OK",Y22="OK",T22&gt;0),"OK","CHECK"))</x:f>
      </x:c>
    </x:row>
    <x:row r="23" ht="18" customHeight="1">
      <x:c r="S23" t="str">
        <x:f>IF(A23="","", "JC-"&amp;A23&amp;"-L"&amp;TEXT(B23,"00")&amp;"-"&amp;TEXT(C23,"yyyymmdd")&amp;"-"&amp;D23&amp;"-"&amp;IF(F23="","START",F23)&amp;"-"&amp;G23)</x:f>
      </x:c>
      <x:c r="T23" t="str">
        <x:f>IF(A23="","",SUM(I23:L23)+N23+P23)</x:f>
      </x:c>
      <x:c r="U23" t="str">
        <x:f>IF(S23="","",SUMIF(JobChangeImpact!$B$5:$B$100,S23,JobChangeImpact!$Q$5:$Q$100))</x:f>
      </x:c>
      <x:c r="V23" t="str">
        <x:f>IF(A23="","",IF(ABS(T23-U23)&lt;=0.001,"OK","CHECK"))</x:f>
      </x:c>
      <x:c r="W23" t="str">
        <x:f>IF(A23="","",IF(AND(IF(L23&gt;0,M23&lt;&gt;"",M23=""),IF(N23&gt;0,O23&lt;&gt;"",O23=""),IF(P23&gt;0,Q23&lt;&gt;"",Q23="")),"OK","CHECK"))</x:f>
      </x:c>
      <x:c r="X23" t="str">
        <x:f>IF(A23="","",IF(OR(G23="",AND(F23&lt;&gt;"",F23=G23)),"CHECK","OK"))</x:f>
      </x:c>
      <x:c r="Y23" t="str">
        <x:f>IF(S23="","",IF(COUNTIF($S$5:$S$100,S23)=1,"OK","CHECK"))</x:f>
      </x:c>
      <x:c r="Z23" t="str">
        <x:f>IF(A23="","",IF(AND(V23="OK",W23="OK",X23="OK",Y23="OK",T23&gt;0),"OK","CHECK"))</x:f>
      </x:c>
    </x:row>
    <x:row r="24" ht="18" customHeight="1">
      <x:c r="S24" t="str">
        <x:f>IF(A24="","", "JC-"&amp;A24&amp;"-L"&amp;TEXT(B24,"00")&amp;"-"&amp;TEXT(C24,"yyyymmdd")&amp;"-"&amp;D24&amp;"-"&amp;IF(F24="","START",F24)&amp;"-"&amp;G24)</x:f>
      </x:c>
      <x:c r="T24" t="str">
        <x:f>IF(A24="","",SUM(I24:L24)+N24+P24)</x:f>
      </x:c>
      <x:c r="U24" t="str">
        <x:f>IF(S24="","",SUMIF(JobChangeImpact!$B$5:$B$100,S24,JobChangeImpact!$Q$5:$Q$100))</x:f>
      </x:c>
      <x:c r="V24" t="str">
        <x:f>IF(A24="","",IF(ABS(T24-U24)&lt;=0.001,"OK","CHECK"))</x:f>
      </x:c>
      <x:c r="W24" t="str">
        <x:f>IF(A24="","",IF(AND(IF(L24&gt;0,M24&lt;&gt;"",M24=""),IF(N24&gt;0,O24&lt;&gt;"",O24=""),IF(P24&gt;0,Q24&lt;&gt;"",Q24="")),"OK","CHECK"))</x:f>
      </x:c>
      <x:c r="X24" t="str">
        <x:f>IF(A24="","",IF(OR(G24="",AND(F24&lt;&gt;"",F24=G24)),"CHECK","OK"))</x:f>
      </x:c>
      <x:c r="Y24" t="str">
        <x:f>IF(S24="","",IF(COUNTIF($S$5:$S$100,S24)=1,"OK","CHECK"))</x:f>
      </x:c>
      <x:c r="Z24" t="str">
        <x:f>IF(A24="","",IF(AND(V24="OK",W24="OK",X24="OK",Y24="OK",T24&gt;0),"OK","CHECK"))</x:f>
      </x:c>
    </x:row>
    <x:row r="25" ht="18" customHeight="1">
      <x:c r="S25" t="str">
        <x:f>IF(A25="","", "JC-"&amp;A25&amp;"-L"&amp;TEXT(B25,"00")&amp;"-"&amp;TEXT(C25,"yyyymmdd")&amp;"-"&amp;D25&amp;"-"&amp;IF(F25="","START",F25)&amp;"-"&amp;G25)</x:f>
      </x:c>
      <x:c r="T25" t="str">
        <x:f>IF(A25="","",SUM(I25:L25)+N25+P25)</x:f>
      </x:c>
      <x:c r="U25" t="str">
        <x:f>IF(S25="","",SUMIF(JobChangeImpact!$B$5:$B$100,S25,JobChangeImpact!$Q$5:$Q$100))</x:f>
      </x:c>
      <x:c r="V25" t="str">
        <x:f>IF(A25="","",IF(ABS(T25-U25)&lt;=0.001,"OK","CHECK"))</x:f>
      </x:c>
      <x:c r="W25" t="str">
        <x:f>IF(A25="","",IF(AND(IF(L25&gt;0,M25&lt;&gt;"",M25=""),IF(N25&gt;0,O25&lt;&gt;"",O25=""),IF(P25&gt;0,Q25&lt;&gt;"",Q25="")),"OK","CHECK"))</x:f>
      </x:c>
      <x:c r="X25" t="str">
        <x:f>IF(A25="","",IF(OR(G25="",AND(F25&lt;&gt;"",F25=G25)),"CHECK","OK"))</x:f>
      </x:c>
      <x:c r="Y25" t="str">
        <x:f>IF(S25="","",IF(COUNTIF($S$5:$S$100,S25)=1,"OK","CHECK"))</x:f>
      </x:c>
      <x:c r="Z25" t="str">
        <x:f>IF(A25="","",IF(AND(V25="OK",W25="OK",X25="OK",Y25="OK",T25&gt;0),"OK","CHECK"))</x:f>
      </x:c>
    </x:row>
    <x:row r="26" ht="18" customHeight="1">
      <x:c r="S26" t="str">
        <x:f>IF(A26="","", "JC-"&amp;A26&amp;"-L"&amp;TEXT(B26,"00")&amp;"-"&amp;TEXT(C26,"yyyymmdd")&amp;"-"&amp;D26&amp;"-"&amp;IF(F26="","START",F26)&amp;"-"&amp;G26)</x:f>
      </x:c>
      <x:c r="T26" t="str">
        <x:f>IF(A26="","",SUM(I26:L26)+N26+P26)</x:f>
      </x:c>
      <x:c r="U26" t="str">
        <x:f>IF(S26="","",SUMIF(JobChangeImpact!$B$5:$B$100,S26,JobChangeImpact!$Q$5:$Q$100))</x:f>
      </x:c>
      <x:c r="V26" t="str">
        <x:f>IF(A26="","",IF(ABS(T26-U26)&lt;=0.001,"OK","CHECK"))</x:f>
      </x:c>
      <x:c r="W26" t="str">
        <x:f>IF(A26="","",IF(AND(IF(L26&gt;0,M26&lt;&gt;"",M26=""),IF(N26&gt;0,O26&lt;&gt;"",O26=""),IF(P26&gt;0,Q26&lt;&gt;"",Q26="")),"OK","CHECK"))</x:f>
      </x:c>
      <x:c r="X26" t="str">
        <x:f>IF(A26="","",IF(OR(G26="",AND(F26&lt;&gt;"",F26=G26)),"CHECK","OK"))</x:f>
      </x:c>
      <x:c r="Y26" t="str">
        <x:f>IF(S26="","",IF(COUNTIF($S$5:$S$100,S26)=1,"OK","CHECK"))</x:f>
      </x:c>
      <x:c r="Z26" t="str">
        <x:f>IF(A26="","",IF(AND(V26="OK",W26="OK",X26="OK",Y26="OK",T26&gt;0),"OK","CHECK"))</x:f>
      </x:c>
    </x:row>
    <x:row r="27" ht="18" customHeight="1">
      <x:c r="S27" t="str">
        <x:f>IF(A27="","", "JC-"&amp;A27&amp;"-L"&amp;TEXT(B27,"00")&amp;"-"&amp;TEXT(C27,"yyyymmdd")&amp;"-"&amp;D27&amp;"-"&amp;IF(F27="","START",F27)&amp;"-"&amp;G27)</x:f>
      </x:c>
      <x:c r="T27" t="str">
        <x:f>IF(A27="","",SUM(I27:L27)+N27+P27)</x:f>
      </x:c>
      <x:c r="U27" t="str">
        <x:f>IF(S27="","",SUMIF(JobChangeImpact!$B$5:$B$100,S27,JobChangeImpact!$Q$5:$Q$100))</x:f>
      </x:c>
      <x:c r="V27" t="str">
        <x:f>IF(A27="","",IF(ABS(T27-U27)&lt;=0.001,"OK","CHECK"))</x:f>
      </x:c>
      <x:c r="W27" t="str">
        <x:f>IF(A27="","",IF(AND(IF(L27&gt;0,M27&lt;&gt;"",M27=""),IF(N27&gt;0,O27&lt;&gt;"",O27=""),IF(P27&gt;0,Q27&lt;&gt;"",Q27="")),"OK","CHECK"))</x:f>
      </x:c>
      <x:c r="X27" t="str">
        <x:f>IF(A27="","",IF(OR(G27="",AND(F27&lt;&gt;"",F27=G27)),"CHECK","OK"))</x:f>
      </x:c>
      <x:c r="Y27" t="str">
        <x:f>IF(S27="","",IF(COUNTIF($S$5:$S$100,S27)=1,"OK","CHECK"))</x:f>
      </x:c>
      <x:c r="Z27" t="str">
        <x:f>IF(A27="","",IF(AND(V27="OK",W27="OK",X27="OK",Y27="OK",T27&gt;0),"OK","CHECK"))</x:f>
      </x:c>
    </x:row>
    <x:row r="28" ht="18" customHeight="1">
      <x:c r="S28" t="str">
        <x:f>IF(A28="","", "JC-"&amp;A28&amp;"-L"&amp;TEXT(B28,"00")&amp;"-"&amp;TEXT(C28,"yyyymmdd")&amp;"-"&amp;D28&amp;"-"&amp;IF(F28="","START",F28)&amp;"-"&amp;G28)</x:f>
      </x:c>
      <x:c r="T28" t="str">
        <x:f>IF(A28="","",SUM(I28:L28)+N28+P28)</x:f>
      </x:c>
      <x:c r="U28" t="str">
        <x:f>IF(S28="","",SUMIF(JobChangeImpact!$B$5:$B$100,S28,JobChangeImpact!$Q$5:$Q$100))</x:f>
      </x:c>
      <x:c r="V28" t="str">
        <x:f>IF(A28="","",IF(ABS(T28-U28)&lt;=0.001,"OK","CHECK"))</x:f>
      </x:c>
      <x:c r="W28" t="str">
        <x:f>IF(A28="","",IF(AND(IF(L28&gt;0,M28&lt;&gt;"",M28=""),IF(N28&gt;0,O28&lt;&gt;"",O28=""),IF(P28&gt;0,Q28&lt;&gt;"",Q28="")),"OK","CHECK"))</x:f>
      </x:c>
      <x:c r="X28" t="str">
        <x:f>IF(A28="","",IF(OR(G28="",AND(F28&lt;&gt;"",F28=G28)),"CHECK","OK"))</x:f>
      </x:c>
      <x:c r="Y28" t="str">
        <x:f>IF(S28="","",IF(COUNTIF($S$5:$S$100,S28)=1,"OK","CHECK"))</x:f>
      </x:c>
      <x:c r="Z28" t="str">
        <x:f>IF(A28="","",IF(AND(V28="OK",W28="OK",X28="OK",Y28="OK",T28&gt;0),"OK","CHECK"))</x:f>
      </x:c>
    </x:row>
    <x:row r="29" ht="18" customHeight="1">
      <x:c r="S29" t="str">
        <x:f>IF(A29="","", "JC-"&amp;A29&amp;"-L"&amp;TEXT(B29,"00")&amp;"-"&amp;TEXT(C29,"yyyymmdd")&amp;"-"&amp;D29&amp;"-"&amp;IF(F29="","START",F29)&amp;"-"&amp;G29)</x:f>
      </x:c>
      <x:c r="T29" t="str">
        <x:f>IF(A29="","",SUM(I29:L29)+N29+P29)</x:f>
      </x:c>
      <x:c r="U29" t="str">
        <x:f>IF(S29="","",SUMIF(JobChangeImpact!$B$5:$B$100,S29,JobChangeImpact!$Q$5:$Q$100))</x:f>
      </x:c>
      <x:c r="V29" t="str">
        <x:f>IF(A29="","",IF(ABS(T29-U29)&lt;=0.001,"OK","CHECK"))</x:f>
      </x:c>
      <x:c r="W29" t="str">
        <x:f>IF(A29="","",IF(AND(IF(L29&gt;0,M29&lt;&gt;"",M29=""),IF(N29&gt;0,O29&lt;&gt;"",O29=""),IF(P29&gt;0,Q29&lt;&gt;"",Q29="")),"OK","CHECK"))</x:f>
      </x:c>
      <x:c r="X29" t="str">
        <x:f>IF(A29="","",IF(OR(G29="",AND(F29&lt;&gt;"",F29=G29)),"CHECK","OK"))</x:f>
      </x:c>
      <x:c r="Y29" t="str">
        <x:f>IF(S29="","",IF(COUNTIF($S$5:$S$100,S29)=1,"OK","CHECK"))</x:f>
      </x:c>
      <x:c r="Z29" t="str">
        <x:f>IF(A29="","",IF(AND(V29="OK",W29="OK",X29="OK",Y29="OK",T29&gt;0),"OK","CHECK"))</x:f>
      </x:c>
    </x:row>
    <x:row r="30" ht="18" customHeight="1">
      <x:c r="S30" t="str">
        <x:f>IF(A30="","", "JC-"&amp;A30&amp;"-L"&amp;TEXT(B30,"00")&amp;"-"&amp;TEXT(C30,"yyyymmdd")&amp;"-"&amp;D30&amp;"-"&amp;IF(F30="","START",F30)&amp;"-"&amp;G30)</x:f>
      </x:c>
      <x:c r="T30" t="str">
        <x:f>IF(A30="","",SUM(I30:L30)+N30+P30)</x:f>
      </x:c>
      <x:c r="U30" t="str">
        <x:f>IF(S30="","",SUMIF(JobChangeImpact!$B$5:$B$100,S30,JobChangeImpact!$Q$5:$Q$100))</x:f>
      </x:c>
      <x:c r="V30" t="str">
        <x:f>IF(A30="","",IF(ABS(T30-U30)&lt;=0.001,"OK","CHECK"))</x:f>
      </x:c>
      <x:c r="W30" t="str">
        <x:f>IF(A30="","",IF(AND(IF(L30&gt;0,M30&lt;&gt;"",M30=""),IF(N30&gt;0,O30&lt;&gt;"",O30=""),IF(P30&gt;0,Q30&lt;&gt;"",Q30="")),"OK","CHECK"))</x:f>
      </x:c>
      <x:c r="X30" t="str">
        <x:f>IF(A30="","",IF(OR(G30="",AND(F30&lt;&gt;"",F30=G30)),"CHECK","OK"))</x:f>
      </x:c>
      <x:c r="Y30" t="str">
        <x:f>IF(S30="","",IF(COUNTIF($S$5:$S$100,S30)=1,"OK","CHECK"))</x:f>
      </x:c>
      <x:c r="Z30" t="str">
        <x:f>IF(A30="","",IF(AND(V30="OK",W30="OK",X30="OK",Y30="OK",T30&gt;0),"OK","CHECK"))</x:f>
      </x:c>
    </x:row>
    <x:row r="31" ht="18" customHeight="1">
      <x:c r="S31" t="str">
        <x:f>IF(A31="","", "JC-"&amp;A31&amp;"-L"&amp;TEXT(B31,"00")&amp;"-"&amp;TEXT(C31,"yyyymmdd")&amp;"-"&amp;D31&amp;"-"&amp;IF(F31="","START",F31)&amp;"-"&amp;G31)</x:f>
      </x:c>
      <x:c r="T31" t="str">
        <x:f>IF(A31="","",SUM(I31:L31)+N31+P31)</x:f>
      </x:c>
      <x:c r="U31" t="str">
        <x:f>IF(S31="","",SUMIF(JobChangeImpact!$B$5:$B$100,S31,JobChangeImpact!$Q$5:$Q$100))</x:f>
      </x:c>
      <x:c r="V31" t="str">
        <x:f>IF(A31="","",IF(ABS(T31-U31)&lt;=0.001,"OK","CHECK"))</x:f>
      </x:c>
      <x:c r="W31" t="str">
        <x:f>IF(A31="","",IF(AND(IF(L31&gt;0,M31&lt;&gt;"",M31=""),IF(N31&gt;0,O31&lt;&gt;"",O31=""),IF(P31&gt;0,Q31&lt;&gt;"",Q31="")),"OK","CHECK"))</x:f>
      </x:c>
      <x:c r="X31" t="str">
        <x:f>IF(A31="","",IF(OR(G31="",AND(F31&lt;&gt;"",F31=G31)),"CHECK","OK"))</x:f>
      </x:c>
      <x:c r="Y31" t="str">
        <x:f>IF(S31="","",IF(COUNTIF($S$5:$S$100,S31)=1,"OK","CHECK"))</x:f>
      </x:c>
      <x:c r="Z31" t="str">
        <x:f>IF(A31="","",IF(AND(V31="OK",W31="OK",X31="OK",Y31="OK",T31&gt;0),"OK","CHECK"))</x:f>
      </x:c>
    </x:row>
    <x:row r="32" ht="18" customHeight="1">
      <x:c r="S32" t="str">
        <x:f>IF(A32="","", "JC-"&amp;A32&amp;"-L"&amp;TEXT(B32,"00")&amp;"-"&amp;TEXT(C32,"yyyymmdd")&amp;"-"&amp;D32&amp;"-"&amp;IF(F32="","START",F32)&amp;"-"&amp;G32)</x:f>
      </x:c>
      <x:c r="T32" t="str">
        <x:f>IF(A32="","",SUM(I32:L32)+N32+P32)</x:f>
      </x:c>
      <x:c r="U32" t="str">
        <x:f>IF(S32="","",SUMIF(JobChangeImpact!$B$5:$B$100,S32,JobChangeImpact!$Q$5:$Q$100))</x:f>
      </x:c>
      <x:c r="V32" t="str">
        <x:f>IF(A32="","",IF(ABS(T32-U32)&lt;=0.001,"OK","CHECK"))</x:f>
      </x:c>
      <x:c r="W32" t="str">
        <x:f>IF(A32="","",IF(AND(IF(L32&gt;0,M32&lt;&gt;"",M32=""),IF(N32&gt;0,O32&lt;&gt;"",O32=""),IF(P32&gt;0,Q32&lt;&gt;"",Q32="")),"OK","CHECK"))</x:f>
      </x:c>
      <x:c r="X32" t="str">
        <x:f>IF(A32="","",IF(OR(G32="",AND(F32&lt;&gt;"",F32=G32)),"CHECK","OK"))</x:f>
      </x:c>
      <x:c r="Y32" t="str">
        <x:f>IF(S32="","",IF(COUNTIF($S$5:$S$100,S32)=1,"OK","CHECK"))</x:f>
      </x:c>
      <x:c r="Z32" t="str">
        <x:f>IF(A32="","",IF(AND(V32="OK",W32="OK",X32="OK",Y32="OK",T32&gt;0),"OK","CHECK"))</x:f>
      </x:c>
    </x:row>
    <x:row r="33" ht="18" customHeight="1">
      <x:c r="S33" t="str">
        <x:f>IF(A33="","", "JC-"&amp;A33&amp;"-L"&amp;TEXT(B33,"00")&amp;"-"&amp;TEXT(C33,"yyyymmdd")&amp;"-"&amp;D33&amp;"-"&amp;IF(F33="","START",F33)&amp;"-"&amp;G33)</x:f>
      </x:c>
      <x:c r="T33" t="str">
        <x:f>IF(A33="","",SUM(I33:L33)+N33+P33)</x:f>
      </x:c>
      <x:c r="U33" t="str">
        <x:f>IF(S33="","",SUMIF(JobChangeImpact!$B$5:$B$100,S33,JobChangeImpact!$Q$5:$Q$100))</x:f>
      </x:c>
      <x:c r="V33" t="str">
        <x:f>IF(A33="","",IF(ABS(T33-U33)&lt;=0.001,"OK","CHECK"))</x:f>
      </x:c>
      <x:c r="W33" t="str">
        <x:f>IF(A33="","",IF(AND(IF(L33&gt;0,M33&lt;&gt;"",M33=""),IF(N33&gt;0,O33&lt;&gt;"",O33=""),IF(P33&gt;0,Q33&lt;&gt;"",Q33="")),"OK","CHECK"))</x:f>
      </x:c>
      <x:c r="X33" t="str">
        <x:f>IF(A33="","",IF(OR(G33="",AND(F33&lt;&gt;"",F33=G33)),"CHECK","OK"))</x:f>
      </x:c>
      <x:c r="Y33" t="str">
        <x:f>IF(S33="","",IF(COUNTIF($S$5:$S$100,S33)=1,"OK","CHECK"))</x:f>
      </x:c>
      <x:c r="Z33" t="str">
        <x:f>IF(A33="","",IF(AND(V33="OK",W33="OK",X33="OK",Y33="OK",T33&gt;0),"OK","CHECK"))</x:f>
      </x:c>
    </x:row>
    <x:row r="34" ht="18" customHeight="1">
      <x:c r="S34" t="str">
        <x:f>IF(A34="","", "JC-"&amp;A34&amp;"-L"&amp;TEXT(B34,"00")&amp;"-"&amp;TEXT(C34,"yyyymmdd")&amp;"-"&amp;D34&amp;"-"&amp;IF(F34="","START",F34)&amp;"-"&amp;G34)</x:f>
      </x:c>
      <x:c r="T34" t="str">
        <x:f>IF(A34="","",SUM(I34:L34)+N34+P34)</x:f>
      </x:c>
      <x:c r="U34" t="str">
        <x:f>IF(S34="","",SUMIF(JobChangeImpact!$B$5:$B$100,S34,JobChangeImpact!$Q$5:$Q$100))</x:f>
      </x:c>
      <x:c r="V34" t="str">
        <x:f>IF(A34="","",IF(ABS(T34-U34)&lt;=0.001,"OK","CHECK"))</x:f>
      </x:c>
      <x:c r="W34" t="str">
        <x:f>IF(A34="","",IF(AND(IF(L34&gt;0,M34&lt;&gt;"",M34=""),IF(N34&gt;0,O34&lt;&gt;"",O34=""),IF(P34&gt;0,Q34&lt;&gt;"",Q34="")),"OK","CHECK"))</x:f>
      </x:c>
      <x:c r="X34" t="str">
        <x:f>IF(A34="","",IF(OR(G34="",AND(F34&lt;&gt;"",F34=G34)),"CHECK","OK"))</x:f>
      </x:c>
      <x:c r="Y34" t="str">
        <x:f>IF(S34="","",IF(COUNTIF($S$5:$S$100,S34)=1,"OK","CHECK"))</x:f>
      </x:c>
      <x:c r="Z34" t="str">
        <x:f>IF(A34="","",IF(AND(V34="OK",W34="OK",X34="OK",Y34="OK",T34&gt;0),"OK","CHECK"))</x:f>
      </x:c>
    </x:row>
    <x:row r="35" ht="18" customHeight="1">
      <x:c r="S35" t="str">
        <x:f>IF(A35="","", "JC-"&amp;A35&amp;"-L"&amp;TEXT(B35,"00")&amp;"-"&amp;TEXT(C35,"yyyymmdd")&amp;"-"&amp;D35&amp;"-"&amp;IF(F35="","START",F35)&amp;"-"&amp;G35)</x:f>
      </x:c>
      <x:c r="T35" t="str">
        <x:f>IF(A35="","",SUM(I35:L35)+N35+P35)</x:f>
      </x:c>
      <x:c r="U35" t="str">
        <x:f>IF(S35="","",SUMIF(JobChangeImpact!$B$5:$B$100,S35,JobChangeImpact!$Q$5:$Q$100))</x:f>
      </x:c>
      <x:c r="V35" t="str">
        <x:f>IF(A35="","",IF(ABS(T35-U35)&lt;=0.001,"OK","CHECK"))</x:f>
      </x:c>
      <x:c r="W35" t="str">
        <x:f>IF(A35="","",IF(AND(IF(L35&gt;0,M35&lt;&gt;"",M35=""),IF(N35&gt;0,O35&lt;&gt;"",O35=""),IF(P35&gt;0,Q35&lt;&gt;"",Q35="")),"OK","CHECK"))</x:f>
      </x:c>
      <x:c r="X35" t="str">
        <x:f>IF(A35="","",IF(OR(G35="",AND(F35&lt;&gt;"",F35=G35)),"CHECK","OK"))</x:f>
      </x:c>
      <x:c r="Y35" t="str">
        <x:f>IF(S35="","",IF(COUNTIF($S$5:$S$100,S35)=1,"OK","CHECK"))</x:f>
      </x:c>
      <x:c r="Z35" t="str">
        <x:f>IF(A35="","",IF(AND(V35="OK",W35="OK",X35="OK",Y35="OK",T35&gt;0),"OK","CHECK"))</x:f>
      </x:c>
    </x:row>
    <x:row r="36" ht="18" customHeight="1">
      <x:c r="S36" t="str">
        <x:f>IF(A36="","", "JC-"&amp;A36&amp;"-L"&amp;TEXT(B36,"00")&amp;"-"&amp;TEXT(C36,"yyyymmdd")&amp;"-"&amp;D36&amp;"-"&amp;IF(F36="","START",F36)&amp;"-"&amp;G36)</x:f>
      </x:c>
      <x:c r="T36" t="str">
        <x:f>IF(A36="","",SUM(I36:L36)+N36+P36)</x:f>
      </x:c>
      <x:c r="U36" t="str">
        <x:f>IF(S36="","",SUMIF(JobChangeImpact!$B$5:$B$100,S36,JobChangeImpact!$Q$5:$Q$100))</x:f>
      </x:c>
      <x:c r="V36" t="str">
        <x:f>IF(A36="","",IF(ABS(T36-U36)&lt;=0.001,"OK","CHECK"))</x:f>
      </x:c>
      <x:c r="W36" t="str">
        <x:f>IF(A36="","",IF(AND(IF(L36&gt;0,M36&lt;&gt;"",M36=""),IF(N36&gt;0,O36&lt;&gt;"",O36=""),IF(P36&gt;0,Q36&lt;&gt;"",Q36="")),"OK","CHECK"))</x:f>
      </x:c>
      <x:c r="X36" t="str">
        <x:f>IF(A36="","",IF(OR(G36="",AND(F36&lt;&gt;"",F36=G36)),"CHECK","OK"))</x:f>
      </x:c>
      <x:c r="Y36" t="str">
        <x:f>IF(S36="","",IF(COUNTIF($S$5:$S$100,S36)=1,"OK","CHECK"))</x:f>
      </x:c>
      <x:c r="Z36" t="str">
        <x:f>IF(A36="","",IF(AND(V36="OK",W36="OK",X36="OK",Y36="OK",T36&gt;0),"OK","CHECK"))</x:f>
      </x:c>
    </x:row>
    <x:row r="37" ht="18" customHeight="1">
      <x:c r="S37" t="str">
        <x:f>IF(A37="","", "JC-"&amp;A37&amp;"-L"&amp;TEXT(B37,"00")&amp;"-"&amp;TEXT(C37,"yyyymmdd")&amp;"-"&amp;D37&amp;"-"&amp;IF(F37="","START",F37)&amp;"-"&amp;G37)</x:f>
      </x:c>
      <x:c r="T37" t="str">
        <x:f>IF(A37="","",SUM(I37:L37)+N37+P37)</x:f>
      </x:c>
      <x:c r="U37" t="str">
        <x:f>IF(S37="","",SUMIF(JobChangeImpact!$B$5:$B$100,S37,JobChangeImpact!$Q$5:$Q$100))</x:f>
      </x:c>
      <x:c r="V37" t="str">
        <x:f>IF(A37="","",IF(ABS(T37-U37)&lt;=0.001,"OK","CHECK"))</x:f>
      </x:c>
      <x:c r="W37" t="str">
        <x:f>IF(A37="","",IF(AND(IF(L37&gt;0,M37&lt;&gt;"",M37=""),IF(N37&gt;0,O37&lt;&gt;"",O37=""),IF(P37&gt;0,Q37&lt;&gt;"",Q37="")),"OK","CHECK"))</x:f>
      </x:c>
      <x:c r="X37" t="str">
        <x:f>IF(A37="","",IF(OR(G37="",AND(F37&lt;&gt;"",F37=G37)),"CHECK","OK"))</x:f>
      </x:c>
      <x:c r="Y37" t="str">
        <x:f>IF(S37="","",IF(COUNTIF($S$5:$S$100,S37)=1,"OK","CHECK"))</x:f>
      </x:c>
      <x:c r="Z37" t="str">
        <x:f>IF(A37="","",IF(AND(V37="OK",W37="OK",X37="OK",Y37="OK",T37&gt;0),"OK","CHECK"))</x:f>
      </x:c>
    </x:row>
    <x:row r="38" ht="18" customHeight="1">
      <x:c r="S38" t="str">
        <x:f>IF(A38="","", "JC-"&amp;A38&amp;"-L"&amp;TEXT(B38,"00")&amp;"-"&amp;TEXT(C38,"yyyymmdd")&amp;"-"&amp;D38&amp;"-"&amp;IF(F38="","START",F38)&amp;"-"&amp;G38)</x:f>
      </x:c>
      <x:c r="T38" t="str">
        <x:f>IF(A38="","",SUM(I38:L38)+N38+P38)</x:f>
      </x:c>
      <x:c r="U38" t="str">
        <x:f>IF(S38="","",SUMIF(JobChangeImpact!$B$5:$B$100,S38,JobChangeImpact!$Q$5:$Q$100))</x:f>
      </x:c>
      <x:c r="V38" t="str">
        <x:f>IF(A38="","",IF(ABS(T38-U38)&lt;=0.001,"OK","CHECK"))</x:f>
      </x:c>
      <x:c r="W38" t="str">
        <x:f>IF(A38="","",IF(AND(IF(L38&gt;0,M38&lt;&gt;"",M38=""),IF(N38&gt;0,O38&lt;&gt;"",O38=""),IF(P38&gt;0,Q38&lt;&gt;"",Q38="")),"OK","CHECK"))</x:f>
      </x:c>
      <x:c r="X38" t="str">
        <x:f>IF(A38="","",IF(OR(G38="",AND(F38&lt;&gt;"",F38=G38)),"CHECK","OK"))</x:f>
      </x:c>
      <x:c r="Y38" t="str">
        <x:f>IF(S38="","",IF(COUNTIF($S$5:$S$100,S38)=1,"OK","CHECK"))</x:f>
      </x:c>
      <x:c r="Z38" t="str">
        <x:f>IF(A38="","",IF(AND(V38="OK",W38="OK",X38="OK",Y38="OK",T38&gt;0),"OK","CHECK"))</x:f>
      </x:c>
    </x:row>
    <x:row r="39" ht="18" customHeight="1">
      <x:c r="S39" t="str">
        <x:f>IF(A39="","", "JC-"&amp;A39&amp;"-L"&amp;TEXT(B39,"00")&amp;"-"&amp;TEXT(C39,"yyyymmdd")&amp;"-"&amp;D39&amp;"-"&amp;IF(F39="","START",F39)&amp;"-"&amp;G39)</x:f>
      </x:c>
      <x:c r="T39" t="str">
        <x:f>IF(A39="","",SUM(I39:L39)+N39+P39)</x:f>
      </x:c>
      <x:c r="U39" t="str">
        <x:f>IF(S39="","",SUMIF(JobChangeImpact!$B$5:$B$100,S39,JobChangeImpact!$Q$5:$Q$100))</x:f>
      </x:c>
      <x:c r="V39" t="str">
        <x:f>IF(A39="","",IF(ABS(T39-U39)&lt;=0.001,"OK","CHECK"))</x:f>
      </x:c>
      <x:c r="W39" t="str">
        <x:f>IF(A39="","",IF(AND(IF(L39&gt;0,M39&lt;&gt;"",M39=""),IF(N39&gt;0,O39&lt;&gt;"",O39=""),IF(P39&gt;0,Q39&lt;&gt;"",Q39="")),"OK","CHECK"))</x:f>
      </x:c>
      <x:c r="X39" t="str">
        <x:f>IF(A39="","",IF(OR(G39="",AND(F39&lt;&gt;"",F39=G39)),"CHECK","OK"))</x:f>
      </x:c>
      <x:c r="Y39" t="str">
        <x:f>IF(S39="","",IF(COUNTIF($S$5:$S$100,S39)=1,"OK","CHECK"))</x:f>
      </x:c>
      <x:c r="Z39" t="str">
        <x:f>IF(A39="","",IF(AND(V39="OK",W39="OK",X39="OK",Y39="OK",T39&gt;0),"OK","CHECK"))</x:f>
      </x:c>
    </x:row>
    <x:row r="40" ht="18" customHeight="1">
      <x:c r="S40" t="str">
        <x:f>IF(A40="","", "JC-"&amp;A40&amp;"-L"&amp;TEXT(B40,"00")&amp;"-"&amp;TEXT(C40,"yyyymmdd")&amp;"-"&amp;D40&amp;"-"&amp;IF(F40="","START",F40)&amp;"-"&amp;G40)</x:f>
      </x:c>
      <x:c r="T40" t="str">
        <x:f>IF(A40="","",SUM(I40:L40)+N40+P40)</x:f>
      </x:c>
      <x:c r="U40" t="str">
        <x:f>IF(S40="","",SUMIF(JobChangeImpact!$B$5:$B$100,S40,JobChangeImpact!$Q$5:$Q$100))</x:f>
      </x:c>
      <x:c r="V40" t="str">
        <x:f>IF(A40="","",IF(ABS(T40-U40)&lt;=0.001,"OK","CHECK"))</x:f>
      </x:c>
      <x:c r="W40" t="str">
        <x:f>IF(A40="","",IF(AND(IF(L40&gt;0,M40&lt;&gt;"",M40=""),IF(N40&gt;0,O40&lt;&gt;"",O40=""),IF(P40&gt;0,Q40&lt;&gt;"",Q40="")),"OK","CHECK"))</x:f>
      </x:c>
      <x:c r="X40" t="str">
        <x:f>IF(A40="","",IF(OR(G40="",AND(F40&lt;&gt;"",F40=G40)),"CHECK","OK"))</x:f>
      </x:c>
      <x:c r="Y40" t="str">
        <x:f>IF(S40="","",IF(COUNTIF($S$5:$S$100,S40)=1,"OK","CHECK"))</x:f>
      </x:c>
      <x:c r="Z40" t="str">
        <x:f>IF(A40="","",IF(AND(V40="OK",W40="OK",X40="OK",Y40="OK",T40&gt;0),"OK","CHECK"))</x:f>
      </x:c>
    </x:row>
    <x:row r="41" ht="18" customHeight="1">
      <x:c r="S41" t="str">
        <x:f>IF(A41="","", "JC-"&amp;A41&amp;"-L"&amp;TEXT(B41,"00")&amp;"-"&amp;TEXT(C41,"yyyymmdd")&amp;"-"&amp;D41&amp;"-"&amp;IF(F41="","START",F41)&amp;"-"&amp;G41)</x:f>
      </x:c>
      <x:c r="T41" t="str">
        <x:f>IF(A41="","",SUM(I41:L41)+N41+P41)</x:f>
      </x:c>
      <x:c r="U41" t="str">
        <x:f>IF(S41="","",SUMIF(JobChangeImpact!$B$5:$B$100,S41,JobChangeImpact!$Q$5:$Q$100))</x:f>
      </x:c>
      <x:c r="V41" t="str">
        <x:f>IF(A41="","",IF(ABS(T41-U41)&lt;=0.001,"OK","CHECK"))</x:f>
      </x:c>
      <x:c r="W41" t="str">
        <x:f>IF(A41="","",IF(AND(IF(L41&gt;0,M41&lt;&gt;"",M41=""),IF(N41&gt;0,O41&lt;&gt;"",O41=""),IF(P41&gt;0,Q41&lt;&gt;"",Q41="")),"OK","CHECK"))</x:f>
      </x:c>
      <x:c r="X41" t="str">
        <x:f>IF(A41="","",IF(OR(G41="",AND(F41&lt;&gt;"",F41=G41)),"CHECK","OK"))</x:f>
      </x:c>
      <x:c r="Y41" t="str">
        <x:f>IF(S41="","",IF(COUNTIF($S$5:$S$100,S41)=1,"OK","CHECK"))</x:f>
      </x:c>
      <x:c r="Z41" t="str">
        <x:f>IF(A41="","",IF(AND(V41="OK",W41="OK",X41="OK",Y41="OK",T41&gt;0),"OK","CHECK"))</x:f>
      </x:c>
    </x:row>
    <x:row r="42" ht="18" customHeight="1">
      <x:c r="S42" t="str">
        <x:f>IF(A42="","", "JC-"&amp;A42&amp;"-L"&amp;TEXT(B42,"00")&amp;"-"&amp;TEXT(C42,"yyyymmdd")&amp;"-"&amp;D42&amp;"-"&amp;IF(F42="","START",F42)&amp;"-"&amp;G42)</x:f>
      </x:c>
      <x:c r="T42" t="str">
        <x:f>IF(A42="","",SUM(I42:L42)+N42+P42)</x:f>
      </x:c>
      <x:c r="U42" t="str">
        <x:f>IF(S42="","",SUMIF(JobChangeImpact!$B$5:$B$100,S42,JobChangeImpact!$Q$5:$Q$100))</x:f>
      </x:c>
      <x:c r="V42" t="str">
        <x:f>IF(A42="","",IF(ABS(T42-U42)&lt;=0.001,"OK","CHECK"))</x:f>
      </x:c>
      <x:c r="W42" t="str">
        <x:f>IF(A42="","",IF(AND(IF(L42&gt;0,M42&lt;&gt;"",M42=""),IF(N42&gt;0,O42&lt;&gt;"",O42=""),IF(P42&gt;0,Q42&lt;&gt;"",Q42="")),"OK","CHECK"))</x:f>
      </x:c>
      <x:c r="X42" t="str">
        <x:f>IF(A42="","",IF(OR(G42="",AND(F42&lt;&gt;"",F42=G42)),"CHECK","OK"))</x:f>
      </x:c>
      <x:c r="Y42" t="str">
        <x:f>IF(S42="","",IF(COUNTIF($S$5:$S$100,S42)=1,"OK","CHECK"))</x:f>
      </x:c>
      <x:c r="Z42" t="str">
        <x:f>IF(A42="","",IF(AND(V42="OK",W42="OK",X42="OK",Y42="OK",T42&gt;0),"OK","CHECK"))</x:f>
      </x:c>
    </x:row>
    <x:row r="43" ht="18" customHeight="1">
      <x:c r="S43" t="str">
        <x:f>IF(A43="","", "JC-"&amp;A43&amp;"-L"&amp;TEXT(B43,"00")&amp;"-"&amp;TEXT(C43,"yyyymmdd")&amp;"-"&amp;D43&amp;"-"&amp;IF(F43="","START",F43)&amp;"-"&amp;G43)</x:f>
      </x:c>
      <x:c r="T43" t="str">
        <x:f>IF(A43="","",SUM(I43:L43)+N43+P43)</x:f>
      </x:c>
      <x:c r="U43" t="str">
        <x:f>IF(S43="","",SUMIF(JobChangeImpact!$B$5:$B$100,S43,JobChangeImpact!$Q$5:$Q$100))</x:f>
      </x:c>
      <x:c r="V43" t="str">
        <x:f>IF(A43="","",IF(ABS(T43-U43)&lt;=0.001,"OK","CHECK"))</x:f>
      </x:c>
      <x:c r="W43" t="str">
        <x:f>IF(A43="","",IF(AND(IF(L43&gt;0,M43&lt;&gt;"",M43=""),IF(N43&gt;0,O43&lt;&gt;"",O43=""),IF(P43&gt;0,Q43&lt;&gt;"",Q43="")),"OK","CHECK"))</x:f>
      </x:c>
      <x:c r="X43" t="str">
        <x:f>IF(A43="","",IF(OR(G43="",AND(F43&lt;&gt;"",F43=G43)),"CHECK","OK"))</x:f>
      </x:c>
      <x:c r="Y43" t="str">
        <x:f>IF(S43="","",IF(COUNTIF($S$5:$S$100,S43)=1,"OK","CHECK"))</x:f>
      </x:c>
      <x:c r="Z43" t="str">
        <x:f>IF(A43="","",IF(AND(V43="OK",W43="OK",X43="OK",Y43="OK",T43&gt;0),"OK","CHECK"))</x:f>
      </x:c>
    </x:row>
    <x:row r="44" ht="18" customHeight="1">
      <x:c r="S44" t="str">
        <x:f>IF(A44="","", "JC-"&amp;A44&amp;"-L"&amp;TEXT(B44,"00")&amp;"-"&amp;TEXT(C44,"yyyymmdd")&amp;"-"&amp;D44&amp;"-"&amp;IF(F44="","START",F44)&amp;"-"&amp;G44)</x:f>
      </x:c>
      <x:c r="T44" t="str">
        <x:f>IF(A44="","",SUM(I44:L44)+N44+P44)</x:f>
      </x:c>
      <x:c r="U44" t="str">
        <x:f>IF(S44="","",SUMIF(JobChangeImpact!$B$5:$B$100,S44,JobChangeImpact!$Q$5:$Q$100))</x:f>
      </x:c>
      <x:c r="V44" t="str">
        <x:f>IF(A44="","",IF(ABS(T44-U44)&lt;=0.001,"OK","CHECK"))</x:f>
      </x:c>
      <x:c r="W44" t="str">
        <x:f>IF(A44="","",IF(AND(IF(L44&gt;0,M44&lt;&gt;"",M44=""),IF(N44&gt;0,O44&lt;&gt;"",O44=""),IF(P44&gt;0,Q44&lt;&gt;"",Q44="")),"OK","CHECK"))</x:f>
      </x:c>
      <x:c r="X44" t="str">
        <x:f>IF(A44="","",IF(OR(G44="",AND(F44&lt;&gt;"",F44=G44)),"CHECK","OK"))</x:f>
      </x:c>
      <x:c r="Y44" t="str">
        <x:f>IF(S44="","",IF(COUNTIF($S$5:$S$100,S44)=1,"OK","CHECK"))</x:f>
      </x:c>
      <x:c r="Z44" t="str">
        <x:f>IF(A44="","",IF(AND(V44="OK",W44="OK",X44="OK",Y44="OK",T44&gt;0),"OK","CHECK"))</x:f>
      </x:c>
    </x:row>
    <x:row r="45" ht="18" customHeight="1">
      <x:c r="S45" t="str">
        <x:f>IF(A45="","", "JC-"&amp;A45&amp;"-L"&amp;TEXT(B45,"00")&amp;"-"&amp;TEXT(C45,"yyyymmdd")&amp;"-"&amp;D45&amp;"-"&amp;IF(F45="","START",F45)&amp;"-"&amp;G45)</x:f>
      </x:c>
      <x:c r="T45" t="str">
        <x:f>IF(A45="","",SUM(I45:L45)+N45+P45)</x:f>
      </x:c>
      <x:c r="U45" t="str">
        <x:f>IF(S45="","",SUMIF(JobChangeImpact!$B$5:$B$100,S45,JobChangeImpact!$Q$5:$Q$100))</x:f>
      </x:c>
      <x:c r="V45" t="str">
        <x:f>IF(A45="","",IF(ABS(T45-U45)&lt;=0.001,"OK","CHECK"))</x:f>
      </x:c>
      <x:c r="W45" t="str">
        <x:f>IF(A45="","",IF(AND(IF(L45&gt;0,M45&lt;&gt;"",M45=""),IF(N45&gt;0,O45&lt;&gt;"",O45=""),IF(P45&gt;0,Q45&lt;&gt;"",Q45="")),"OK","CHECK"))</x:f>
      </x:c>
      <x:c r="X45" t="str">
        <x:f>IF(A45="","",IF(OR(G45="",AND(F45&lt;&gt;"",F45=G45)),"CHECK","OK"))</x:f>
      </x:c>
      <x:c r="Y45" t="str">
        <x:f>IF(S45="","",IF(COUNTIF($S$5:$S$100,S45)=1,"OK","CHECK"))</x:f>
      </x:c>
      <x:c r="Z45" t="str">
        <x:f>IF(A45="","",IF(AND(V45="OK",W45="OK",X45="OK",Y45="OK",T45&gt;0),"OK","CHECK"))</x:f>
      </x:c>
    </x:row>
    <x:row r="46" ht="18" customHeight="1">
      <x:c r="S46" t="str">
        <x:f>IF(A46="","", "JC-"&amp;A46&amp;"-L"&amp;TEXT(B46,"00")&amp;"-"&amp;TEXT(C46,"yyyymmdd")&amp;"-"&amp;D46&amp;"-"&amp;IF(F46="","START",F46)&amp;"-"&amp;G46)</x:f>
      </x:c>
      <x:c r="T46" t="str">
        <x:f>IF(A46="","",SUM(I46:L46)+N46+P46)</x:f>
      </x:c>
      <x:c r="U46" t="str">
        <x:f>IF(S46="","",SUMIF(JobChangeImpact!$B$5:$B$100,S46,JobChangeImpact!$Q$5:$Q$100))</x:f>
      </x:c>
      <x:c r="V46" t="str">
        <x:f>IF(A46="","",IF(ABS(T46-U46)&lt;=0.001,"OK","CHECK"))</x:f>
      </x:c>
      <x:c r="W46" t="str">
        <x:f>IF(A46="","",IF(AND(IF(L46&gt;0,M46&lt;&gt;"",M46=""),IF(N46&gt;0,O46&lt;&gt;"",O46=""),IF(P46&gt;0,Q46&lt;&gt;"",Q46="")),"OK","CHECK"))</x:f>
      </x:c>
      <x:c r="X46" t="str">
        <x:f>IF(A46="","",IF(OR(G46="",AND(F46&lt;&gt;"",F46=G46)),"CHECK","OK"))</x:f>
      </x:c>
      <x:c r="Y46" t="str">
        <x:f>IF(S46="","",IF(COUNTIF($S$5:$S$100,S46)=1,"OK","CHECK"))</x:f>
      </x:c>
      <x:c r="Z46" t="str">
        <x:f>IF(A46="","",IF(AND(V46="OK",W46="OK",X46="OK",Y46="OK",T46&gt;0),"OK","CHECK"))</x:f>
      </x:c>
    </x:row>
    <x:row r="47" ht="18" customHeight="1">
      <x:c r="S47" t="str">
        <x:f>IF(A47="","", "JC-"&amp;A47&amp;"-L"&amp;TEXT(B47,"00")&amp;"-"&amp;TEXT(C47,"yyyymmdd")&amp;"-"&amp;D47&amp;"-"&amp;IF(F47="","START",F47)&amp;"-"&amp;G47)</x:f>
      </x:c>
      <x:c r="T47" t="str">
        <x:f>IF(A47="","",SUM(I47:L47)+N47+P47)</x:f>
      </x:c>
      <x:c r="U47" t="str">
        <x:f>IF(S47="","",SUMIF(JobChangeImpact!$B$5:$B$100,S47,JobChangeImpact!$Q$5:$Q$100))</x:f>
      </x:c>
      <x:c r="V47" t="str">
        <x:f>IF(A47="","",IF(ABS(T47-U47)&lt;=0.001,"OK","CHECK"))</x:f>
      </x:c>
      <x:c r="W47" t="str">
        <x:f>IF(A47="","",IF(AND(IF(L47&gt;0,M47&lt;&gt;"",M47=""),IF(N47&gt;0,O47&lt;&gt;"",O47=""),IF(P47&gt;0,Q47&lt;&gt;"",Q47="")),"OK","CHECK"))</x:f>
      </x:c>
      <x:c r="X47" t="str">
        <x:f>IF(A47="","",IF(OR(G47="",AND(F47&lt;&gt;"",F47=G47)),"CHECK","OK"))</x:f>
      </x:c>
      <x:c r="Y47" t="str">
        <x:f>IF(S47="","",IF(COUNTIF($S$5:$S$100,S47)=1,"OK","CHECK"))</x:f>
      </x:c>
      <x:c r="Z47" t="str">
        <x:f>IF(A47="","",IF(AND(V47="OK",W47="OK",X47="OK",Y47="OK",T47&gt;0),"OK","CHECK"))</x:f>
      </x:c>
    </x:row>
    <x:row r="48" ht="18" customHeight="1">
      <x:c r="S48" t="str">
        <x:f>IF(A48="","", "JC-"&amp;A48&amp;"-L"&amp;TEXT(B48,"00")&amp;"-"&amp;TEXT(C48,"yyyymmdd")&amp;"-"&amp;D48&amp;"-"&amp;IF(F48="","START",F48)&amp;"-"&amp;G48)</x:f>
      </x:c>
      <x:c r="T48" t="str">
        <x:f>IF(A48="","",SUM(I48:L48)+N48+P48)</x:f>
      </x:c>
      <x:c r="U48" t="str">
        <x:f>IF(S48="","",SUMIF(JobChangeImpact!$B$5:$B$100,S48,JobChangeImpact!$Q$5:$Q$100))</x:f>
      </x:c>
      <x:c r="V48" t="str">
        <x:f>IF(A48="","",IF(ABS(T48-U48)&lt;=0.001,"OK","CHECK"))</x:f>
      </x:c>
      <x:c r="W48" t="str">
        <x:f>IF(A48="","",IF(AND(IF(L48&gt;0,M48&lt;&gt;"",M48=""),IF(N48&gt;0,O48&lt;&gt;"",O48=""),IF(P48&gt;0,Q48&lt;&gt;"",Q48="")),"OK","CHECK"))</x:f>
      </x:c>
      <x:c r="X48" t="str">
        <x:f>IF(A48="","",IF(OR(G48="",AND(F48&lt;&gt;"",F48=G48)),"CHECK","OK"))</x:f>
      </x:c>
      <x:c r="Y48" t="str">
        <x:f>IF(S48="","",IF(COUNTIF($S$5:$S$100,S48)=1,"OK","CHECK"))</x:f>
      </x:c>
      <x:c r="Z48" t="str">
        <x:f>IF(A48="","",IF(AND(V48="OK",W48="OK",X48="OK",Y48="OK",T48&gt;0),"OK","CHECK"))</x:f>
      </x:c>
    </x:row>
    <x:row r="49" ht="18" customHeight="1">
      <x:c r="S49" t="str">
        <x:f>IF(A49="","", "JC-"&amp;A49&amp;"-L"&amp;TEXT(B49,"00")&amp;"-"&amp;TEXT(C49,"yyyymmdd")&amp;"-"&amp;D49&amp;"-"&amp;IF(F49="","START",F49)&amp;"-"&amp;G49)</x:f>
      </x:c>
      <x:c r="T49" t="str">
        <x:f>IF(A49="","",SUM(I49:L49)+N49+P49)</x:f>
      </x:c>
      <x:c r="U49" t="str">
        <x:f>IF(S49="","",SUMIF(JobChangeImpact!$B$5:$B$100,S49,JobChangeImpact!$Q$5:$Q$100))</x:f>
      </x:c>
      <x:c r="V49" t="str">
        <x:f>IF(A49="","",IF(ABS(T49-U49)&lt;=0.001,"OK","CHECK"))</x:f>
      </x:c>
      <x:c r="W49" t="str">
        <x:f>IF(A49="","",IF(AND(IF(L49&gt;0,M49&lt;&gt;"",M49=""),IF(N49&gt;0,O49&lt;&gt;"",O49=""),IF(P49&gt;0,Q49&lt;&gt;"",Q49="")),"OK","CHECK"))</x:f>
      </x:c>
      <x:c r="X49" t="str">
        <x:f>IF(A49="","",IF(OR(G49="",AND(F49&lt;&gt;"",F49=G49)),"CHECK","OK"))</x:f>
      </x:c>
      <x:c r="Y49" t="str">
        <x:f>IF(S49="","",IF(COUNTIF($S$5:$S$100,S49)=1,"OK","CHECK"))</x:f>
      </x:c>
      <x:c r="Z49" t="str">
        <x:f>IF(A49="","",IF(AND(V49="OK",W49="OK",X49="OK",Y49="OK",T49&gt;0),"OK","CHECK"))</x:f>
      </x:c>
    </x:row>
    <x:row r="50" ht="18" customHeight="1">
      <x:c r="S50" t="str">
        <x:f>IF(A50="","", "JC-"&amp;A50&amp;"-L"&amp;TEXT(B50,"00")&amp;"-"&amp;TEXT(C50,"yyyymmdd")&amp;"-"&amp;D50&amp;"-"&amp;IF(F50="","START",F50)&amp;"-"&amp;G50)</x:f>
      </x:c>
      <x:c r="T50" t="str">
        <x:f>IF(A50="","",SUM(I50:L50)+N50+P50)</x:f>
      </x:c>
      <x:c r="U50" t="str">
        <x:f>IF(S50="","",SUMIF(JobChangeImpact!$B$5:$B$100,S50,JobChangeImpact!$Q$5:$Q$100))</x:f>
      </x:c>
      <x:c r="V50" t="str">
        <x:f>IF(A50="","",IF(ABS(T50-U50)&lt;=0.001,"OK","CHECK"))</x:f>
      </x:c>
      <x:c r="W50" t="str">
        <x:f>IF(A50="","",IF(AND(IF(L50&gt;0,M50&lt;&gt;"",M50=""),IF(N50&gt;0,O50&lt;&gt;"",O50=""),IF(P50&gt;0,Q50&lt;&gt;"",Q50="")),"OK","CHECK"))</x:f>
      </x:c>
      <x:c r="X50" t="str">
        <x:f>IF(A50="","",IF(OR(G50="",AND(F50&lt;&gt;"",F50=G50)),"CHECK","OK"))</x:f>
      </x:c>
      <x:c r="Y50" t="str">
        <x:f>IF(S50="","",IF(COUNTIF($S$5:$S$100,S50)=1,"OK","CHECK"))</x:f>
      </x:c>
      <x:c r="Z50" t="str">
        <x:f>IF(A50="","",IF(AND(V50="OK",W50="OK",X50="OK",Y50="OK",T50&gt;0),"OK","CHECK"))</x:f>
      </x:c>
    </x:row>
    <x:row r="51" ht="18" customHeight="1">
      <x:c r="S51" t="str">
        <x:f>IF(A51="","", "JC-"&amp;A51&amp;"-L"&amp;TEXT(B51,"00")&amp;"-"&amp;TEXT(C51,"yyyymmdd")&amp;"-"&amp;D51&amp;"-"&amp;IF(F51="","START",F51)&amp;"-"&amp;G51)</x:f>
      </x:c>
      <x:c r="T51" t="str">
        <x:f>IF(A51="","",SUM(I51:L51)+N51+P51)</x:f>
      </x:c>
      <x:c r="U51" t="str">
        <x:f>IF(S51="","",SUMIF(JobChangeImpact!$B$5:$B$100,S51,JobChangeImpact!$Q$5:$Q$100))</x:f>
      </x:c>
      <x:c r="V51" t="str">
        <x:f>IF(A51="","",IF(ABS(T51-U51)&lt;=0.001,"OK","CHECK"))</x:f>
      </x:c>
      <x:c r="W51" t="str">
        <x:f>IF(A51="","",IF(AND(IF(L51&gt;0,M51&lt;&gt;"",M51=""),IF(N51&gt;0,O51&lt;&gt;"",O51=""),IF(P51&gt;0,Q51&lt;&gt;"",Q51="")),"OK","CHECK"))</x:f>
      </x:c>
      <x:c r="X51" t="str">
        <x:f>IF(A51="","",IF(OR(G51="",AND(F51&lt;&gt;"",F51=G51)),"CHECK","OK"))</x:f>
      </x:c>
      <x:c r="Y51" t="str">
        <x:f>IF(S51="","",IF(COUNTIF($S$5:$S$100,S51)=1,"OK","CHECK"))</x:f>
      </x:c>
      <x:c r="Z51" t="str">
        <x:f>IF(A51="","",IF(AND(V51="OK",W51="OK",X51="OK",Y51="OK",T51&gt;0),"OK","CHECK"))</x:f>
      </x:c>
    </x:row>
    <x:row r="52" ht="18" customHeight="1">
      <x:c r="S52" t="str">
        <x:f>IF(A52="","", "JC-"&amp;A52&amp;"-L"&amp;TEXT(B52,"00")&amp;"-"&amp;TEXT(C52,"yyyymmdd")&amp;"-"&amp;D52&amp;"-"&amp;IF(F52="","START",F52)&amp;"-"&amp;G52)</x:f>
      </x:c>
      <x:c r="T52" t="str">
        <x:f>IF(A52="","",SUM(I52:L52)+N52+P52)</x:f>
      </x:c>
      <x:c r="U52" t="str">
        <x:f>IF(S52="","",SUMIF(JobChangeImpact!$B$5:$B$100,S52,JobChangeImpact!$Q$5:$Q$100))</x:f>
      </x:c>
      <x:c r="V52" t="str">
        <x:f>IF(A52="","",IF(ABS(T52-U52)&lt;=0.001,"OK","CHECK"))</x:f>
      </x:c>
      <x:c r="W52" t="str">
        <x:f>IF(A52="","",IF(AND(IF(L52&gt;0,M52&lt;&gt;"",M52=""),IF(N52&gt;0,O52&lt;&gt;"",O52=""),IF(P52&gt;0,Q52&lt;&gt;"",Q52="")),"OK","CHECK"))</x:f>
      </x:c>
      <x:c r="X52" t="str">
        <x:f>IF(A52="","",IF(OR(G52="",AND(F52&lt;&gt;"",F52=G52)),"CHECK","OK"))</x:f>
      </x:c>
      <x:c r="Y52" t="str">
        <x:f>IF(S52="","",IF(COUNTIF($S$5:$S$100,S52)=1,"OK","CHECK"))</x:f>
      </x:c>
      <x:c r="Z52" t="str">
        <x:f>IF(A52="","",IF(AND(V52="OK",W52="OK",X52="OK",Y52="OK",T52&gt;0),"OK","CHECK"))</x:f>
      </x:c>
    </x:row>
    <x:row r="53" ht="18" customHeight="1">
      <x:c r="S53" t="str">
        <x:f>IF(A53="","", "JC-"&amp;A53&amp;"-L"&amp;TEXT(B53,"00")&amp;"-"&amp;TEXT(C53,"yyyymmdd")&amp;"-"&amp;D53&amp;"-"&amp;IF(F53="","START",F53)&amp;"-"&amp;G53)</x:f>
      </x:c>
      <x:c r="T53" t="str">
        <x:f>IF(A53="","",SUM(I53:L53)+N53+P53)</x:f>
      </x:c>
      <x:c r="U53" t="str">
        <x:f>IF(S53="","",SUMIF(JobChangeImpact!$B$5:$B$100,S53,JobChangeImpact!$Q$5:$Q$100))</x:f>
      </x:c>
      <x:c r="V53" t="str">
        <x:f>IF(A53="","",IF(ABS(T53-U53)&lt;=0.001,"OK","CHECK"))</x:f>
      </x:c>
      <x:c r="W53" t="str">
        <x:f>IF(A53="","",IF(AND(IF(L53&gt;0,M53&lt;&gt;"",M53=""),IF(N53&gt;0,O53&lt;&gt;"",O53=""),IF(P53&gt;0,Q53&lt;&gt;"",Q53="")),"OK","CHECK"))</x:f>
      </x:c>
      <x:c r="X53" t="str">
        <x:f>IF(A53="","",IF(OR(G53="",AND(F53&lt;&gt;"",F53=G53)),"CHECK","OK"))</x:f>
      </x:c>
      <x:c r="Y53" t="str">
        <x:f>IF(S53="","",IF(COUNTIF($S$5:$S$100,S53)=1,"OK","CHECK"))</x:f>
      </x:c>
      <x:c r="Z53" t="str">
        <x:f>IF(A53="","",IF(AND(V53="OK",W53="OK",X53="OK",Y53="OK",T53&gt;0),"OK","CHECK"))</x:f>
      </x:c>
    </x:row>
    <x:row r="54" ht="18" customHeight="1">
      <x:c r="S54" t="str">
        <x:f>IF(A54="","", "JC-"&amp;A54&amp;"-L"&amp;TEXT(B54,"00")&amp;"-"&amp;TEXT(C54,"yyyymmdd")&amp;"-"&amp;D54&amp;"-"&amp;IF(F54="","START",F54)&amp;"-"&amp;G54)</x:f>
      </x:c>
      <x:c r="T54" t="str">
        <x:f>IF(A54="","",SUM(I54:L54)+N54+P54)</x:f>
      </x:c>
      <x:c r="U54" t="str">
        <x:f>IF(S54="","",SUMIF(JobChangeImpact!$B$5:$B$100,S54,JobChangeImpact!$Q$5:$Q$100))</x:f>
      </x:c>
      <x:c r="V54" t="str">
        <x:f>IF(A54="","",IF(ABS(T54-U54)&lt;=0.001,"OK","CHECK"))</x:f>
      </x:c>
      <x:c r="W54" t="str">
        <x:f>IF(A54="","",IF(AND(IF(L54&gt;0,M54&lt;&gt;"",M54=""),IF(N54&gt;0,O54&lt;&gt;"",O54=""),IF(P54&gt;0,Q54&lt;&gt;"",Q54="")),"OK","CHECK"))</x:f>
      </x:c>
      <x:c r="X54" t="str">
        <x:f>IF(A54="","",IF(OR(G54="",AND(F54&lt;&gt;"",F54=G54)),"CHECK","OK"))</x:f>
      </x:c>
      <x:c r="Y54" t="str">
        <x:f>IF(S54="","",IF(COUNTIF($S$5:$S$100,S54)=1,"OK","CHECK"))</x:f>
      </x:c>
      <x:c r="Z54" t="str">
        <x:f>IF(A54="","",IF(AND(V54="OK",W54="OK",X54="OK",Y54="OK",T54&gt;0),"OK","CHECK"))</x:f>
      </x:c>
    </x:row>
    <x:row r="55" ht="18" customHeight="1">
      <x:c r="S55" t="str">
        <x:f>IF(A55="","", "JC-"&amp;A55&amp;"-L"&amp;TEXT(B55,"00")&amp;"-"&amp;TEXT(C55,"yyyymmdd")&amp;"-"&amp;D55&amp;"-"&amp;IF(F55="","START",F55)&amp;"-"&amp;G55)</x:f>
      </x:c>
      <x:c r="T55" t="str">
        <x:f>IF(A55="","",SUM(I55:L55)+N55+P55)</x:f>
      </x:c>
      <x:c r="U55" t="str">
        <x:f>IF(S55="","",SUMIF(JobChangeImpact!$B$5:$B$100,S55,JobChangeImpact!$Q$5:$Q$100))</x:f>
      </x:c>
      <x:c r="V55" t="str">
        <x:f>IF(A55="","",IF(ABS(T55-U55)&lt;=0.001,"OK","CHECK"))</x:f>
      </x:c>
      <x:c r="W55" t="str">
        <x:f>IF(A55="","",IF(AND(IF(L55&gt;0,M55&lt;&gt;"",M55=""),IF(N55&gt;0,O55&lt;&gt;"",O55=""),IF(P55&gt;0,Q55&lt;&gt;"",Q55="")),"OK","CHECK"))</x:f>
      </x:c>
      <x:c r="X55" t="str">
        <x:f>IF(A55="","",IF(OR(G55="",AND(F55&lt;&gt;"",F55=G55)),"CHECK","OK"))</x:f>
      </x:c>
      <x:c r="Y55" t="str">
        <x:f>IF(S55="","",IF(COUNTIF($S$5:$S$100,S55)=1,"OK","CHECK"))</x:f>
      </x:c>
      <x:c r="Z55" t="str">
        <x:f>IF(A55="","",IF(AND(V55="OK",W55="OK",X55="OK",Y55="OK",T55&gt;0),"OK","CHECK"))</x:f>
      </x:c>
    </x:row>
    <x:row r="56" ht="18" customHeight="1">
      <x:c r="S56" t="str">
        <x:f>IF(A56="","", "JC-"&amp;A56&amp;"-L"&amp;TEXT(B56,"00")&amp;"-"&amp;TEXT(C56,"yyyymmdd")&amp;"-"&amp;D56&amp;"-"&amp;IF(F56="","START",F56)&amp;"-"&amp;G56)</x:f>
      </x:c>
      <x:c r="T56" t="str">
        <x:f>IF(A56="","",SUM(I56:L56)+N56+P56)</x:f>
      </x:c>
      <x:c r="U56" t="str">
        <x:f>IF(S56="","",SUMIF(JobChangeImpact!$B$5:$B$100,S56,JobChangeImpact!$Q$5:$Q$100))</x:f>
      </x:c>
      <x:c r="V56" t="str">
        <x:f>IF(A56="","",IF(ABS(T56-U56)&lt;=0.001,"OK","CHECK"))</x:f>
      </x:c>
      <x:c r="W56" t="str">
        <x:f>IF(A56="","",IF(AND(IF(L56&gt;0,M56&lt;&gt;"",M56=""),IF(N56&gt;0,O56&lt;&gt;"",O56=""),IF(P56&gt;0,Q56&lt;&gt;"",Q56="")),"OK","CHECK"))</x:f>
      </x:c>
      <x:c r="X56" t="str">
        <x:f>IF(A56="","",IF(OR(G56="",AND(F56&lt;&gt;"",F56=G56)),"CHECK","OK"))</x:f>
      </x:c>
      <x:c r="Y56" t="str">
        <x:f>IF(S56="","",IF(COUNTIF($S$5:$S$100,S56)=1,"OK","CHECK"))</x:f>
      </x:c>
      <x:c r="Z56" t="str">
        <x:f>IF(A56="","",IF(AND(V56="OK",W56="OK",X56="OK",Y56="OK",T56&gt;0),"OK","CHECK"))</x:f>
      </x:c>
    </x:row>
    <x:row r="57" ht="18" customHeight="1">
      <x:c r="S57" t="str">
        <x:f>IF(A57="","", "JC-"&amp;A57&amp;"-L"&amp;TEXT(B57,"00")&amp;"-"&amp;TEXT(C57,"yyyymmdd")&amp;"-"&amp;D57&amp;"-"&amp;IF(F57="","START",F57)&amp;"-"&amp;G57)</x:f>
      </x:c>
      <x:c r="T57" t="str">
        <x:f>IF(A57="","",SUM(I57:L57)+N57+P57)</x:f>
      </x:c>
      <x:c r="U57" t="str">
        <x:f>IF(S57="","",SUMIF(JobChangeImpact!$B$5:$B$100,S57,JobChangeImpact!$Q$5:$Q$100))</x:f>
      </x:c>
      <x:c r="V57" t="str">
        <x:f>IF(A57="","",IF(ABS(T57-U57)&lt;=0.001,"OK","CHECK"))</x:f>
      </x:c>
      <x:c r="W57" t="str">
        <x:f>IF(A57="","",IF(AND(IF(L57&gt;0,M57&lt;&gt;"",M57=""),IF(N57&gt;0,O57&lt;&gt;"",O57=""),IF(P57&gt;0,Q57&lt;&gt;"",Q57="")),"OK","CHECK"))</x:f>
      </x:c>
      <x:c r="X57" t="str">
        <x:f>IF(A57="","",IF(OR(G57="",AND(F57&lt;&gt;"",F57=G57)),"CHECK","OK"))</x:f>
      </x:c>
      <x:c r="Y57" t="str">
        <x:f>IF(S57="","",IF(COUNTIF($S$5:$S$100,S57)=1,"OK","CHECK"))</x:f>
      </x:c>
      <x:c r="Z57" t="str">
        <x:f>IF(A57="","",IF(AND(V57="OK",W57="OK",X57="OK",Y57="OK",T57&gt;0),"OK","CHECK"))</x:f>
      </x:c>
    </x:row>
    <x:row r="58" ht="18" customHeight="1">
      <x:c r="S58" t="str">
        <x:f>IF(A58="","", "JC-"&amp;A58&amp;"-L"&amp;TEXT(B58,"00")&amp;"-"&amp;TEXT(C58,"yyyymmdd")&amp;"-"&amp;D58&amp;"-"&amp;IF(F58="","START",F58)&amp;"-"&amp;G58)</x:f>
      </x:c>
      <x:c r="T58" t="str">
        <x:f>IF(A58="","",SUM(I58:L58)+N58+P58)</x:f>
      </x:c>
      <x:c r="U58" t="str">
        <x:f>IF(S58="","",SUMIF(JobChangeImpact!$B$5:$B$100,S58,JobChangeImpact!$Q$5:$Q$100))</x:f>
      </x:c>
      <x:c r="V58" t="str">
        <x:f>IF(A58="","",IF(ABS(T58-U58)&lt;=0.001,"OK","CHECK"))</x:f>
      </x:c>
      <x:c r="W58" t="str">
        <x:f>IF(A58="","",IF(AND(IF(L58&gt;0,M58&lt;&gt;"",M58=""),IF(N58&gt;0,O58&lt;&gt;"",O58=""),IF(P58&gt;0,Q58&lt;&gt;"",Q58="")),"OK","CHECK"))</x:f>
      </x:c>
      <x:c r="X58" t="str">
        <x:f>IF(A58="","",IF(OR(G58="",AND(F58&lt;&gt;"",F58=G58)),"CHECK","OK"))</x:f>
      </x:c>
      <x:c r="Y58" t="str">
        <x:f>IF(S58="","",IF(COUNTIF($S$5:$S$100,S58)=1,"OK","CHECK"))</x:f>
      </x:c>
      <x:c r="Z58" t="str">
        <x:f>IF(A58="","",IF(AND(V58="OK",W58="OK",X58="OK",Y58="OK",T58&gt;0),"OK","CHECK"))</x:f>
      </x:c>
    </x:row>
    <x:row r="59" ht="18" customHeight="1">
      <x:c r="S59" t="str">
        <x:f>IF(A59="","", "JC-"&amp;A59&amp;"-L"&amp;TEXT(B59,"00")&amp;"-"&amp;TEXT(C59,"yyyymmdd")&amp;"-"&amp;D59&amp;"-"&amp;IF(F59="","START",F59)&amp;"-"&amp;G59)</x:f>
      </x:c>
      <x:c r="T59" t="str">
        <x:f>IF(A59="","",SUM(I59:L59)+N59+P59)</x:f>
      </x:c>
      <x:c r="U59" t="str">
        <x:f>IF(S59="","",SUMIF(JobChangeImpact!$B$5:$B$100,S59,JobChangeImpact!$Q$5:$Q$100))</x:f>
      </x:c>
      <x:c r="V59" t="str">
        <x:f>IF(A59="","",IF(ABS(T59-U59)&lt;=0.001,"OK","CHECK"))</x:f>
      </x:c>
      <x:c r="W59" t="str">
        <x:f>IF(A59="","",IF(AND(IF(L59&gt;0,M59&lt;&gt;"",M59=""),IF(N59&gt;0,O59&lt;&gt;"",O59=""),IF(P59&gt;0,Q59&lt;&gt;"",Q59="")),"OK","CHECK"))</x:f>
      </x:c>
      <x:c r="X59" t="str">
        <x:f>IF(A59="","",IF(OR(G59="",AND(F59&lt;&gt;"",F59=G59)),"CHECK","OK"))</x:f>
      </x:c>
      <x:c r="Y59" t="str">
        <x:f>IF(S59="","",IF(COUNTIF($S$5:$S$100,S59)=1,"OK","CHECK"))</x:f>
      </x:c>
      <x:c r="Z59" t="str">
        <x:f>IF(A59="","",IF(AND(V59="OK",W59="OK",X59="OK",Y59="OK",T59&gt;0),"OK","CHECK"))</x:f>
      </x:c>
    </x:row>
    <x:row r="60" ht="18" customHeight="1">
      <x:c r="S60" t="str">
        <x:f>IF(A60="","", "JC-"&amp;A60&amp;"-L"&amp;TEXT(B60,"00")&amp;"-"&amp;TEXT(C60,"yyyymmdd")&amp;"-"&amp;D60&amp;"-"&amp;IF(F60="","START",F60)&amp;"-"&amp;G60)</x:f>
      </x:c>
      <x:c r="T60" t="str">
        <x:f>IF(A60="","",SUM(I60:L60)+N60+P60)</x:f>
      </x:c>
      <x:c r="U60" t="str">
        <x:f>IF(S60="","",SUMIF(JobChangeImpact!$B$5:$B$100,S60,JobChangeImpact!$Q$5:$Q$100))</x:f>
      </x:c>
      <x:c r="V60" t="str">
        <x:f>IF(A60="","",IF(ABS(T60-U60)&lt;=0.001,"OK","CHECK"))</x:f>
      </x:c>
      <x:c r="W60" t="str">
        <x:f>IF(A60="","",IF(AND(IF(L60&gt;0,M60&lt;&gt;"",M60=""),IF(N60&gt;0,O60&lt;&gt;"",O60=""),IF(P60&gt;0,Q60&lt;&gt;"",Q60="")),"OK","CHECK"))</x:f>
      </x:c>
      <x:c r="X60" t="str">
        <x:f>IF(A60="","",IF(OR(G60="",AND(F60&lt;&gt;"",F60=G60)),"CHECK","OK"))</x:f>
      </x:c>
      <x:c r="Y60" t="str">
        <x:f>IF(S60="","",IF(COUNTIF($S$5:$S$100,S60)=1,"OK","CHECK"))</x:f>
      </x:c>
      <x:c r="Z60" t="str">
        <x:f>IF(A60="","",IF(AND(V60="OK",W60="OK",X60="OK",Y60="OK",T60&gt;0),"OK","CHECK"))</x:f>
      </x:c>
    </x:row>
    <x:row r="61" ht="18" customHeight="1">
      <x:c r="S61" t="str">
        <x:f>IF(A61="","", "JC-"&amp;A61&amp;"-L"&amp;TEXT(B61,"00")&amp;"-"&amp;TEXT(C61,"yyyymmdd")&amp;"-"&amp;D61&amp;"-"&amp;IF(F61="","START",F61)&amp;"-"&amp;G61)</x:f>
      </x:c>
      <x:c r="T61" t="str">
        <x:f>IF(A61="","",SUM(I61:L61)+N61+P61)</x:f>
      </x:c>
      <x:c r="U61" t="str">
        <x:f>IF(S61="","",SUMIF(JobChangeImpact!$B$5:$B$100,S61,JobChangeImpact!$Q$5:$Q$100))</x:f>
      </x:c>
      <x:c r="V61" t="str">
        <x:f>IF(A61="","",IF(ABS(T61-U61)&lt;=0.001,"OK","CHECK"))</x:f>
      </x:c>
      <x:c r="W61" t="str">
        <x:f>IF(A61="","",IF(AND(IF(L61&gt;0,M61&lt;&gt;"",M61=""),IF(N61&gt;0,O61&lt;&gt;"",O61=""),IF(P61&gt;0,Q61&lt;&gt;"",Q61="")),"OK","CHECK"))</x:f>
      </x:c>
      <x:c r="X61" t="str">
        <x:f>IF(A61="","",IF(OR(G61="",AND(F61&lt;&gt;"",F61=G61)),"CHECK","OK"))</x:f>
      </x:c>
      <x:c r="Y61" t="str">
        <x:f>IF(S61="","",IF(COUNTIF($S$5:$S$100,S61)=1,"OK","CHECK"))</x:f>
      </x:c>
      <x:c r="Z61" t="str">
        <x:f>IF(A61="","",IF(AND(V61="OK",W61="OK",X61="OK",Y61="OK",T61&gt;0),"OK","CHECK"))</x:f>
      </x:c>
    </x:row>
    <x:row r="62" ht="18" customHeight="1">
      <x:c r="S62" t="str">
        <x:f>IF(A62="","", "JC-"&amp;A62&amp;"-L"&amp;TEXT(B62,"00")&amp;"-"&amp;TEXT(C62,"yyyymmdd")&amp;"-"&amp;D62&amp;"-"&amp;IF(F62="","START",F62)&amp;"-"&amp;G62)</x:f>
      </x:c>
      <x:c r="T62" t="str">
        <x:f>IF(A62="","",SUM(I62:L62)+N62+P62)</x:f>
      </x:c>
      <x:c r="U62" t="str">
        <x:f>IF(S62="","",SUMIF(JobChangeImpact!$B$5:$B$100,S62,JobChangeImpact!$Q$5:$Q$100))</x:f>
      </x:c>
      <x:c r="V62" t="str">
        <x:f>IF(A62="","",IF(ABS(T62-U62)&lt;=0.001,"OK","CHECK"))</x:f>
      </x:c>
      <x:c r="W62" t="str">
        <x:f>IF(A62="","",IF(AND(IF(L62&gt;0,M62&lt;&gt;"",M62=""),IF(N62&gt;0,O62&lt;&gt;"",O62=""),IF(P62&gt;0,Q62&lt;&gt;"",Q62="")),"OK","CHECK"))</x:f>
      </x:c>
      <x:c r="X62" t="str">
        <x:f>IF(A62="","",IF(OR(G62="",AND(F62&lt;&gt;"",F62=G62)),"CHECK","OK"))</x:f>
      </x:c>
      <x:c r="Y62" t="str">
        <x:f>IF(S62="","",IF(COUNTIF($S$5:$S$100,S62)=1,"OK","CHECK"))</x:f>
      </x:c>
      <x:c r="Z62" t="str">
        <x:f>IF(A62="","",IF(AND(V62="OK",W62="OK",X62="OK",Y62="OK",T62&gt;0),"OK","CHECK"))</x:f>
      </x:c>
    </x:row>
    <x:row r="63" ht="18" customHeight="1">
      <x:c r="S63" t="str">
        <x:f>IF(A63="","", "JC-"&amp;A63&amp;"-L"&amp;TEXT(B63,"00")&amp;"-"&amp;TEXT(C63,"yyyymmdd")&amp;"-"&amp;D63&amp;"-"&amp;IF(F63="","START",F63)&amp;"-"&amp;G63)</x:f>
      </x:c>
      <x:c r="T63" t="str">
        <x:f>IF(A63="","",SUM(I63:L63)+N63+P63)</x:f>
      </x:c>
      <x:c r="U63" t="str">
        <x:f>IF(S63="","",SUMIF(JobChangeImpact!$B$5:$B$100,S63,JobChangeImpact!$Q$5:$Q$100))</x:f>
      </x:c>
      <x:c r="V63" t="str">
        <x:f>IF(A63="","",IF(ABS(T63-U63)&lt;=0.001,"OK","CHECK"))</x:f>
      </x:c>
      <x:c r="W63" t="str">
        <x:f>IF(A63="","",IF(AND(IF(L63&gt;0,M63&lt;&gt;"",M63=""),IF(N63&gt;0,O63&lt;&gt;"",O63=""),IF(P63&gt;0,Q63&lt;&gt;"",Q63="")),"OK","CHECK"))</x:f>
      </x:c>
      <x:c r="X63" t="str">
        <x:f>IF(A63="","",IF(OR(G63="",AND(F63&lt;&gt;"",F63=G63)),"CHECK","OK"))</x:f>
      </x:c>
      <x:c r="Y63" t="str">
        <x:f>IF(S63="","",IF(COUNTIF($S$5:$S$100,S63)=1,"OK","CHECK"))</x:f>
      </x:c>
      <x:c r="Z63" t="str">
        <x:f>IF(A63="","",IF(AND(V63="OK",W63="OK",X63="OK",Y63="OK",T63&gt;0),"OK","CHECK"))</x:f>
      </x:c>
    </x:row>
    <x:row r="64" ht="18" customHeight="1">
      <x:c r="S64" t="str">
        <x:f>IF(A64="","", "JC-"&amp;A64&amp;"-L"&amp;TEXT(B64,"00")&amp;"-"&amp;TEXT(C64,"yyyymmdd")&amp;"-"&amp;D64&amp;"-"&amp;IF(F64="","START",F64)&amp;"-"&amp;G64)</x:f>
      </x:c>
      <x:c r="T64" t="str">
        <x:f>IF(A64="","",SUM(I64:L64)+N64+P64)</x:f>
      </x:c>
      <x:c r="U64" t="str">
        <x:f>IF(S64="","",SUMIF(JobChangeImpact!$B$5:$B$100,S64,JobChangeImpact!$Q$5:$Q$100))</x:f>
      </x:c>
      <x:c r="V64" t="str">
        <x:f>IF(A64="","",IF(ABS(T64-U64)&lt;=0.001,"OK","CHECK"))</x:f>
      </x:c>
      <x:c r="W64" t="str">
        <x:f>IF(A64="","",IF(AND(IF(L64&gt;0,M64&lt;&gt;"",M64=""),IF(N64&gt;0,O64&lt;&gt;"",O64=""),IF(P64&gt;0,Q64&lt;&gt;"",Q64="")),"OK","CHECK"))</x:f>
      </x:c>
      <x:c r="X64" t="str">
        <x:f>IF(A64="","",IF(OR(G64="",AND(F64&lt;&gt;"",F64=G64)),"CHECK","OK"))</x:f>
      </x:c>
      <x:c r="Y64" t="str">
        <x:f>IF(S64="","",IF(COUNTIF($S$5:$S$100,S64)=1,"OK","CHECK"))</x:f>
      </x:c>
      <x:c r="Z64" t="str">
        <x:f>IF(A64="","",IF(AND(V64="OK",W64="OK",X64="OK",Y64="OK",T64&gt;0),"OK","CHECK"))</x:f>
      </x:c>
    </x:row>
    <x:row r="65" ht="18" customHeight="1">
      <x:c r="S65" t="str">
        <x:f>IF(A65="","", "JC-"&amp;A65&amp;"-L"&amp;TEXT(B65,"00")&amp;"-"&amp;TEXT(C65,"yyyymmdd")&amp;"-"&amp;D65&amp;"-"&amp;IF(F65="","START",F65)&amp;"-"&amp;G65)</x:f>
      </x:c>
      <x:c r="T65" t="str">
        <x:f>IF(A65="","",SUM(I65:L65)+N65+P65)</x:f>
      </x:c>
      <x:c r="U65" t="str">
        <x:f>IF(S65="","",SUMIF(JobChangeImpact!$B$5:$B$100,S65,JobChangeImpact!$Q$5:$Q$100))</x:f>
      </x:c>
      <x:c r="V65" t="str">
        <x:f>IF(A65="","",IF(ABS(T65-U65)&lt;=0.001,"OK","CHECK"))</x:f>
      </x:c>
      <x:c r="W65" t="str">
        <x:f>IF(A65="","",IF(AND(IF(L65&gt;0,M65&lt;&gt;"",M65=""),IF(N65&gt;0,O65&lt;&gt;"",O65=""),IF(P65&gt;0,Q65&lt;&gt;"",Q65="")),"OK","CHECK"))</x:f>
      </x:c>
      <x:c r="X65" t="str">
        <x:f>IF(A65="","",IF(OR(G65="",AND(F65&lt;&gt;"",F65=G65)),"CHECK","OK"))</x:f>
      </x:c>
      <x:c r="Y65" t="str">
        <x:f>IF(S65="","",IF(COUNTIF($S$5:$S$100,S65)=1,"OK","CHECK"))</x:f>
      </x:c>
      <x:c r="Z65" t="str">
        <x:f>IF(A65="","",IF(AND(V65="OK",W65="OK",X65="OK",Y65="OK",T65&gt;0),"OK","CHECK"))</x:f>
      </x:c>
    </x:row>
    <x:row r="66" ht="18" customHeight="1">
      <x:c r="S66" t="str">
        <x:f>IF(A66="","", "JC-"&amp;A66&amp;"-L"&amp;TEXT(B66,"00")&amp;"-"&amp;TEXT(C66,"yyyymmdd")&amp;"-"&amp;D66&amp;"-"&amp;IF(F66="","START",F66)&amp;"-"&amp;G66)</x:f>
      </x:c>
      <x:c r="T66" t="str">
        <x:f>IF(A66="","",SUM(I66:L66)+N66+P66)</x:f>
      </x:c>
      <x:c r="U66" t="str">
        <x:f>IF(S66="","",SUMIF(JobChangeImpact!$B$5:$B$100,S66,JobChangeImpact!$Q$5:$Q$100))</x:f>
      </x:c>
      <x:c r="V66" t="str">
        <x:f>IF(A66="","",IF(ABS(T66-U66)&lt;=0.001,"OK","CHECK"))</x:f>
      </x:c>
      <x:c r="W66" t="str">
        <x:f>IF(A66="","",IF(AND(IF(L66&gt;0,M66&lt;&gt;"",M66=""),IF(N66&gt;0,O66&lt;&gt;"",O66=""),IF(P66&gt;0,Q66&lt;&gt;"",Q66="")),"OK","CHECK"))</x:f>
      </x:c>
      <x:c r="X66" t="str">
        <x:f>IF(A66="","",IF(OR(G66="",AND(F66&lt;&gt;"",F66=G66)),"CHECK","OK"))</x:f>
      </x:c>
      <x:c r="Y66" t="str">
        <x:f>IF(S66="","",IF(COUNTIF($S$5:$S$100,S66)=1,"OK","CHECK"))</x:f>
      </x:c>
      <x:c r="Z66" t="str">
        <x:f>IF(A66="","",IF(AND(V66="OK",W66="OK",X66="OK",Y66="OK",T66&gt;0),"OK","CHECK"))</x:f>
      </x:c>
    </x:row>
    <x:row r="67" ht="18" customHeight="1">
      <x:c r="S67" t="str">
        <x:f>IF(A67="","", "JC-"&amp;A67&amp;"-L"&amp;TEXT(B67,"00")&amp;"-"&amp;TEXT(C67,"yyyymmdd")&amp;"-"&amp;D67&amp;"-"&amp;IF(F67="","START",F67)&amp;"-"&amp;G67)</x:f>
      </x:c>
      <x:c r="T67" t="str">
        <x:f>IF(A67="","",SUM(I67:L67)+N67+P67)</x:f>
      </x:c>
      <x:c r="U67" t="str">
        <x:f>IF(S67="","",SUMIF(JobChangeImpact!$B$5:$B$100,S67,JobChangeImpact!$Q$5:$Q$100))</x:f>
      </x:c>
      <x:c r="V67" t="str">
        <x:f>IF(A67="","",IF(ABS(T67-U67)&lt;=0.001,"OK","CHECK"))</x:f>
      </x:c>
      <x:c r="W67" t="str">
        <x:f>IF(A67="","",IF(AND(IF(L67&gt;0,M67&lt;&gt;"",M67=""),IF(N67&gt;0,O67&lt;&gt;"",O67=""),IF(P67&gt;0,Q67&lt;&gt;"",Q67="")),"OK","CHECK"))</x:f>
      </x:c>
      <x:c r="X67" t="str">
        <x:f>IF(A67="","",IF(OR(G67="",AND(F67&lt;&gt;"",F67=G67)),"CHECK","OK"))</x:f>
      </x:c>
      <x:c r="Y67" t="str">
        <x:f>IF(S67="","",IF(COUNTIF($S$5:$S$100,S67)=1,"OK","CHECK"))</x:f>
      </x:c>
      <x:c r="Z67" t="str">
        <x:f>IF(A67="","",IF(AND(V67="OK",W67="OK",X67="OK",Y67="OK",T67&gt;0),"OK","CHECK"))</x:f>
      </x:c>
    </x:row>
    <x:row r="68" ht="18" customHeight="1">
      <x:c r="S68" t="str">
        <x:f>IF(A68="","", "JC-"&amp;A68&amp;"-L"&amp;TEXT(B68,"00")&amp;"-"&amp;TEXT(C68,"yyyymmdd")&amp;"-"&amp;D68&amp;"-"&amp;IF(F68="","START",F68)&amp;"-"&amp;G68)</x:f>
      </x:c>
      <x:c r="T68" t="str">
        <x:f>IF(A68="","",SUM(I68:L68)+N68+P68)</x:f>
      </x:c>
      <x:c r="U68" t="str">
        <x:f>IF(S68="","",SUMIF(JobChangeImpact!$B$5:$B$100,S68,JobChangeImpact!$Q$5:$Q$100))</x:f>
      </x:c>
      <x:c r="V68" t="str">
        <x:f>IF(A68="","",IF(ABS(T68-U68)&lt;=0.001,"OK","CHECK"))</x:f>
      </x:c>
      <x:c r="W68" t="str">
        <x:f>IF(A68="","",IF(AND(IF(L68&gt;0,M68&lt;&gt;"",M68=""),IF(N68&gt;0,O68&lt;&gt;"",O68=""),IF(P68&gt;0,Q68&lt;&gt;"",Q68="")),"OK","CHECK"))</x:f>
      </x:c>
      <x:c r="X68" t="str">
        <x:f>IF(A68="","",IF(OR(G68="",AND(F68&lt;&gt;"",F68=G68)),"CHECK","OK"))</x:f>
      </x:c>
      <x:c r="Y68" t="str">
        <x:f>IF(S68="","",IF(COUNTIF($S$5:$S$100,S68)=1,"OK","CHECK"))</x:f>
      </x:c>
      <x:c r="Z68" t="str">
        <x:f>IF(A68="","",IF(AND(V68="OK",W68="OK",X68="OK",Y68="OK",T68&gt;0),"OK","CHECK"))</x:f>
      </x:c>
    </x:row>
    <x:row r="69" ht="18" customHeight="1">
      <x:c r="S69" t="str">
        <x:f>IF(A69="","", "JC-"&amp;A69&amp;"-L"&amp;TEXT(B69,"00")&amp;"-"&amp;TEXT(C69,"yyyymmdd")&amp;"-"&amp;D69&amp;"-"&amp;IF(F69="","START",F69)&amp;"-"&amp;G69)</x:f>
      </x:c>
      <x:c r="T69" t="str">
        <x:f>IF(A69="","",SUM(I69:L69)+N69+P69)</x:f>
      </x:c>
      <x:c r="U69" t="str">
        <x:f>IF(S69="","",SUMIF(JobChangeImpact!$B$5:$B$100,S69,JobChangeImpact!$Q$5:$Q$100))</x:f>
      </x:c>
      <x:c r="V69" t="str">
        <x:f>IF(A69="","",IF(ABS(T69-U69)&lt;=0.001,"OK","CHECK"))</x:f>
      </x:c>
      <x:c r="W69" t="str">
        <x:f>IF(A69="","",IF(AND(IF(L69&gt;0,M69&lt;&gt;"",M69=""),IF(N69&gt;0,O69&lt;&gt;"",O69=""),IF(P69&gt;0,Q69&lt;&gt;"",Q69="")),"OK","CHECK"))</x:f>
      </x:c>
      <x:c r="X69" t="str">
        <x:f>IF(A69="","",IF(OR(G69="",AND(F69&lt;&gt;"",F69=G69)),"CHECK","OK"))</x:f>
      </x:c>
      <x:c r="Y69" t="str">
        <x:f>IF(S69="","",IF(COUNTIF($S$5:$S$100,S69)=1,"OK","CHECK"))</x:f>
      </x:c>
      <x:c r="Z69" t="str">
        <x:f>IF(A69="","",IF(AND(V69="OK",W69="OK",X69="OK",Y69="OK",T69&gt;0),"OK","CHECK"))</x:f>
      </x:c>
    </x:row>
    <x:row r="70" ht="18" customHeight="1">
      <x:c r="S70" t="str">
        <x:f>IF(A70="","", "JC-"&amp;A70&amp;"-L"&amp;TEXT(B70,"00")&amp;"-"&amp;TEXT(C70,"yyyymmdd")&amp;"-"&amp;D70&amp;"-"&amp;IF(F70="","START",F70)&amp;"-"&amp;G70)</x:f>
      </x:c>
      <x:c r="T70" t="str">
        <x:f>IF(A70="","",SUM(I70:L70)+N70+P70)</x:f>
      </x:c>
      <x:c r="U70" t="str">
        <x:f>IF(S70="","",SUMIF(JobChangeImpact!$B$5:$B$100,S70,JobChangeImpact!$Q$5:$Q$100))</x:f>
      </x:c>
      <x:c r="V70" t="str">
        <x:f>IF(A70="","",IF(ABS(T70-U70)&lt;=0.001,"OK","CHECK"))</x:f>
      </x:c>
      <x:c r="W70" t="str">
        <x:f>IF(A70="","",IF(AND(IF(L70&gt;0,M70&lt;&gt;"",M70=""),IF(N70&gt;0,O70&lt;&gt;"",O70=""),IF(P70&gt;0,Q70&lt;&gt;"",Q70="")),"OK","CHECK"))</x:f>
      </x:c>
      <x:c r="X70" t="str">
        <x:f>IF(A70="","",IF(OR(G70="",AND(F70&lt;&gt;"",F70=G70)),"CHECK","OK"))</x:f>
      </x:c>
      <x:c r="Y70" t="str">
        <x:f>IF(S70="","",IF(COUNTIF($S$5:$S$100,S70)=1,"OK","CHECK"))</x:f>
      </x:c>
      <x:c r="Z70" t="str">
        <x:f>IF(A70="","",IF(AND(V70="OK",W70="OK",X70="OK",Y70="OK",T70&gt;0),"OK","CHECK"))</x:f>
      </x:c>
    </x:row>
    <x:row r="71" ht="18" customHeight="1">
      <x:c r="S71" t="str">
        <x:f>IF(A71="","", "JC-"&amp;A71&amp;"-L"&amp;TEXT(B71,"00")&amp;"-"&amp;TEXT(C71,"yyyymmdd")&amp;"-"&amp;D71&amp;"-"&amp;IF(F71="","START",F71)&amp;"-"&amp;G71)</x:f>
      </x:c>
      <x:c r="T71" t="str">
        <x:f>IF(A71="","",SUM(I71:L71)+N71+P71)</x:f>
      </x:c>
      <x:c r="U71" t="str">
        <x:f>IF(S71="","",SUMIF(JobChangeImpact!$B$5:$B$100,S71,JobChangeImpact!$Q$5:$Q$100))</x:f>
      </x:c>
      <x:c r="V71" t="str">
        <x:f>IF(A71="","",IF(ABS(T71-U71)&lt;=0.001,"OK","CHECK"))</x:f>
      </x:c>
      <x:c r="W71" t="str">
        <x:f>IF(A71="","",IF(AND(IF(L71&gt;0,M71&lt;&gt;"",M71=""),IF(N71&gt;0,O71&lt;&gt;"",O71=""),IF(P71&gt;0,Q71&lt;&gt;"",Q71="")),"OK","CHECK"))</x:f>
      </x:c>
      <x:c r="X71" t="str">
        <x:f>IF(A71="","",IF(OR(G71="",AND(F71&lt;&gt;"",F71=G71)),"CHECK","OK"))</x:f>
      </x:c>
      <x:c r="Y71" t="str">
        <x:f>IF(S71="","",IF(COUNTIF($S$5:$S$100,S71)=1,"OK","CHECK"))</x:f>
      </x:c>
      <x:c r="Z71" t="str">
        <x:f>IF(A71="","",IF(AND(V71="OK",W71="OK",X71="OK",Y71="OK",T71&gt;0),"OK","CHECK"))</x:f>
      </x:c>
    </x:row>
    <x:row r="72" ht="18" customHeight="1">
      <x:c r="S72" t="str">
        <x:f>IF(A72="","", "JC-"&amp;A72&amp;"-L"&amp;TEXT(B72,"00")&amp;"-"&amp;TEXT(C72,"yyyymmdd")&amp;"-"&amp;D72&amp;"-"&amp;IF(F72="","START",F72)&amp;"-"&amp;G72)</x:f>
      </x:c>
      <x:c r="T72" t="str">
        <x:f>IF(A72="","",SUM(I72:L72)+N72+P72)</x:f>
      </x:c>
      <x:c r="U72" t="str">
        <x:f>IF(S72="","",SUMIF(JobChangeImpact!$B$5:$B$100,S72,JobChangeImpact!$Q$5:$Q$100))</x:f>
      </x:c>
      <x:c r="V72" t="str">
        <x:f>IF(A72="","",IF(ABS(T72-U72)&lt;=0.001,"OK","CHECK"))</x:f>
      </x:c>
      <x:c r="W72" t="str">
        <x:f>IF(A72="","",IF(AND(IF(L72&gt;0,M72&lt;&gt;"",M72=""),IF(N72&gt;0,O72&lt;&gt;"",O72=""),IF(P72&gt;0,Q72&lt;&gt;"",Q72="")),"OK","CHECK"))</x:f>
      </x:c>
      <x:c r="X72" t="str">
        <x:f>IF(A72="","",IF(OR(G72="",AND(F72&lt;&gt;"",F72=G72)),"CHECK","OK"))</x:f>
      </x:c>
      <x:c r="Y72" t="str">
        <x:f>IF(S72="","",IF(COUNTIF($S$5:$S$100,S72)=1,"OK","CHECK"))</x:f>
      </x:c>
      <x:c r="Z72" t="str">
        <x:f>IF(A72="","",IF(AND(V72="OK",W72="OK",X72="OK",Y72="OK",T72&gt;0),"OK","CHECK"))</x:f>
      </x:c>
    </x:row>
    <x:row r="73" ht="18" customHeight="1">
      <x:c r="S73" t="str">
        <x:f>IF(A73="","", "JC-"&amp;A73&amp;"-L"&amp;TEXT(B73,"00")&amp;"-"&amp;TEXT(C73,"yyyymmdd")&amp;"-"&amp;D73&amp;"-"&amp;IF(F73="","START",F73)&amp;"-"&amp;G73)</x:f>
      </x:c>
      <x:c r="T73" t="str">
        <x:f>IF(A73="","",SUM(I73:L73)+N73+P73)</x:f>
      </x:c>
      <x:c r="U73" t="str">
        <x:f>IF(S73="","",SUMIF(JobChangeImpact!$B$5:$B$100,S73,JobChangeImpact!$Q$5:$Q$100))</x:f>
      </x:c>
      <x:c r="V73" t="str">
        <x:f>IF(A73="","",IF(ABS(T73-U73)&lt;=0.001,"OK","CHECK"))</x:f>
      </x:c>
      <x:c r="W73" t="str">
        <x:f>IF(A73="","",IF(AND(IF(L73&gt;0,M73&lt;&gt;"",M73=""),IF(N73&gt;0,O73&lt;&gt;"",O73=""),IF(P73&gt;0,Q73&lt;&gt;"",Q73="")),"OK","CHECK"))</x:f>
      </x:c>
      <x:c r="X73" t="str">
        <x:f>IF(A73="","",IF(OR(G73="",AND(F73&lt;&gt;"",F73=G73)),"CHECK","OK"))</x:f>
      </x:c>
      <x:c r="Y73" t="str">
        <x:f>IF(S73="","",IF(COUNTIF($S$5:$S$100,S73)=1,"OK","CHECK"))</x:f>
      </x:c>
      <x:c r="Z73" t="str">
        <x:f>IF(A73="","",IF(AND(V73="OK",W73="OK",X73="OK",Y73="OK",T73&gt;0),"OK","CHECK"))</x:f>
      </x:c>
    </x:row>
    <x:row r="74" ht="18" customHeight="1">
      <x:c r="S74" t="str">
        <x:f>IF(A74="","", "JC-"&amp;A74&amp;"-L"&amp;TEXT(B74,"00")&amp;"-"&amp;TEXT(C74,"yyyymmdd")&amp;"-"&amp;D74&amp;"-"&amp;IF(F74="","START",F74)&amp;"-"&amp;G74)</x:f>
      </x:c>
      <x:c r="T74" t="str">
        <x:f>IF(A74="","",SUM(I74:L74)+N74+P74)</x:f>
      </x:c>
      <x:c r="U74" t="str">
        <x:f>IF(S74="","",SUMIF(JobChangeImpact!$B$5:$B$100,S74,JobChangeImpact!$Q$5:$Q$100))</x:f>
      </x:c>
      <x:c r="V74" t="str">
        <x:f>IF(A74="","",IF(ABS(T74-U74)&lt;=0.001,"OK","CHECK"))</x:f>
      </x:c>
      <x:c r="W74" t="str">
        <x:f>IF(A74="","",IF(AND(IF(L74&gt;0,M74&lt;&gt;"",M74=""),IF(N74&gt;0,O74&lt;&gt;"",O74=""),IF(P74&gt;0,Q74&lt;&gt;"",Q74="")),"OK","CHECK"))</x:f>
      </x:c>
      <x:c r="X74" t="str">
        <x:f>IF(A74="","",IF(OR(G74="",AND(F74&lt;&gt;"",F74=G74)),"CHECK","OK"))</x:f>
      </x:c>
      <x:c r="Y74" t="str">
        <x:f>IF(S74="","",IF(COUNTIF($S$5:$S$100,S74)=1,"OK","CHECK"))</x:f>
      </x:c>
      <x:c r="Z74" t="str">
        <x:f>IF(A74="","",IF(AND(V74="OK",W74="OK",X74="OK",Y74="OK",T74&gt;0),"OK","CHECK"))</x:f>
      </x:c>
    </x:row>
    <x:row r="75" ht="18" customHeight="1">
      <x:c r="S75" t="str">
        <x:f>IF(A75="","", "JC-"&amp;A75&amp;"-L"&amp;TEXT(B75,"00")&amp;"-"&amp;TEXT(C75,"yyyymmdd")&amp;"-"&amp;D75&amp;"-"&amp;IF(F75="","START",F75)&amp;"-"&amp;G75)</x:f>
      </x:c>
      <x:c r="T75" t="str">
        <x:f>IF(A75="","",SUM(I75:L75)+N75+P75)</x:f>
      </x:c>
      <x:c r="U75" t="str">
        <x:f>IF(S75="","",SUMIF(JobChangeImpact!$B$5:$B$100,S75,JobChangeImpact!$Q$5:$Q$100))</x:f>
      </x:c>
      <x:c r="V75" t="str">
        <x:f>IF(A75="","",IF(ABS(T75-U75)&lt;=0.001,"OK","CHECK"))</x:f>
      </x:c>
      <x:c r="W75" t="str">
        <x:f>IF(A75="","",IF(AND(IF(L75&gt;0,M75&lt;&gt;"",M75=""),IF(N75&gt;0,O75&lt;&gt;"",O75=""),IF(P75&gt;0,Q75&lt;&gt;"",Q75="")),"OK","CHECK"))</x:f>
      </x:c>
      <x:c r="X75" t="str">
        <x:f>IF(A75="","",IF(OR(G75="",AND(F75&lt;&gt;"",F75=G75)),"CHECK","OK"))</x:f>
      </x:c>
      <x:c r="Y75" t="str">
        <x:f>IF(S75="","",IF(COUNTIF($S$5:$S$100,S75)=1,"OK","CHECK"))</x:f>
      </x:c>
      <x:c r="Z75" t="str">
        <x:f>IF(A75="","",IF(AND(V75="OK",W75="OK",X75="OK",Y75="OK",T75&gt;0),"OK","CHECK"))</x:f>
      </x:c>
    </x:row>
    <x:row r="76" ht="18" customHeight="1">
      <x:c r="S76" t="str">
        <x:f>IF(A76="","", "JC-"&amp;A76&amp;"-L"&amp;TEXT(B76,"00")&amp;"-"&amp;TEXT(C76,"yyyymmdd")&amp;"-"&amp;D76&amp;"-"&amp;IF(F76="","START",F76)&amp;"-"&amp;G76)</x:f>
      </x:c>
      <x:c r="T76" t="str">
        <x:f>IF(A76="","",SUM(I76:L76)+N76+P76)</x:f>
      </x:c>
      <x:c r="U76" t="str">
        <x:f>IF(S76="","",SUMIF(JobChangeImpact!$B$5:$B$100,S76,JobChangeImpact!$Q$5:$Q$100))</x:f>
      </x:c>
      <x:c r="V76" t="str">
        <x:f>IF(A76="","",IF(ABS(T76-U76)&lt;=0.001,"OK","CHECK"))</x:f>
      </x:c>
      <x:c r="W76" t="str">
        <x:f>IF(A76="","",IF(AND(IF(L76&gt;0,M76&lt;&gt;"",M76=""),IF(N76&gt;0,O76&lt;&gt;"",O76=""),IF(P76&gt;0,Q76&lt;&gt;"",Q76="")),"OK","CHECK"))</x:f>
      </x:c>
      <x:c r="X76" t="str">
        <x:f>IF(A76="","",IF(OR(G76="",AND(F76&lt;&gt;"",F76=G76)),"CHECK","OK"))</x:f>
      </x:c>
      <x:c r="Y76" t="str">
        <x:f>IF(S76="","",IF(COUNTIF($S$5:$S$100,S76)=1,"OK","CHECK"))</x:f>
      </x:c>
      <x:c r="Z76" t="str">
        <x:f>IF(A76="","",IF(AND(V76="OK",W76="OK",X76="OK",Y76="OK",T76&gt;0),"OK","CHECK"))</x:f>
      </x:c>
    </x:row>
    <x:row r="77" ht="18" customHeight="1">
      <x:c r="S77" t="str">
        <x:f>IF(A77="","", "JC-"&amp;A77&amp;"-L"&amp;TEXT(B77,"00")&amp;"-"&amp;TEXT(C77,"yyyymmdd")&amp;"-"&amp;D77&amp;"-"&amp;IF(F77="","START",F77)&amp;"-"&amp;G77)</x:f>
      </x:c>
      <x:c r="T77" t="str">
        <x:f>IF(A77="","",SUM(I77:L77)+N77+P77)</x:f>
      </x:c>
      <x:c r="U77" t="str">
        <x:f>IF(S77="","",SUMIF(JobChangeImpact!$B$5:$B$100,S77,JobChangeImpact!$Q$5:$Q$100))</x:f>
      </x:c>
      <x:c r="V77" t="str">
        <x:f>IF(A77="","",IF(ABS(T77-U77)&lt;=0.001,"OK","CHECK"))</x:f>
      </x:c>
      <x:c r="W77" t="str">
        <x:f>IF(A77="","",IF(AND(IF(L77&gt;0,M77&lt;&gt;"",M77=""),IF(N77&gt;0,O77&lt;&gt;"",O77=""),IF(P77&gt;0,Q77&lt;&gt;"",Q77="")),"OK","CHECK"))</x:f>
      </x:c>
      <x:c r="X77" t="str">
        <x:f>IF(A77="","",IF(OR(G77="",AND(F77&lt;&gt;"",F77=G77)),"CHECK","OK"))</x:f>
      </x:c>
      <x:c r="Y77" t="str">
        <x:f>IF(S77="","",IF(COUNTIF($S$5:$S$100,S77)=1,"OK","CHECK"))</x:f>
      </x:c>
      <x:c r="Z77" t="str">
        <x:f>IF(A77="","",IF(AND(V77="OK",W77="OK",X77="OK",Y77="OK",T77&gt;0),"OK","CHECK"))</x:f>
      </x:c>
    </x:row>
    <x:row r="78" ht="18" customHeight="1">
      <x:c r="S78" t="str">
        <x:f>IF(A78="","", "JC-"&amp;A78&amp;"-L"&amp;TEXT(B78,"00")&amp;"-"&amp;TEXT(C78,"yyyymmdd")&amp;"-"&amp;D78&amp;"-"&amp;IF(F78="","START",F78)&amp;"-"&amp;G78)</x:f>
      </x:c>
      <x:c r="T78" t="str">
        <x:f>IF(A78="","",SUM(I78:L78)+N78+P78)</x:f>
      </x:c>
      <x:c r="U78" t="str">
        <x:f>IF(S78="","",SUMIF(JobChangeImpact!$B$5:$B$100,S78,JobChangeImpact!$Q$5:$Q$100))</x:f>
      </x:c>
      <x:c r="V78" t="str">
        <x:f>IF(A78="","",IF(ABS(T78-U78)&lt;=0.001,"OK","CHECK"))</x:f>
      </x:c>
      <x:c r="W78" t="str">
        <x:f>IF(A78="","",IF(AND(IF(L78&gt;0,M78&lt;&gt;"",M78=""),IF(N78&gt;0,O78&lt;&gt;"",O78=""),IF(P78&gt;0,Q78&lt;&gt;"",Q78="")),"OK","CHECK"))</x:f>
      </x:c>
      <x:c r="X78" t="str">
        <x:f>IF(A78="","",IF(OR(G78="",AND(F78&lt;&gt;"",F78=G78)),"CHECK","OK"))</x:f>
      </x:c>
      <x:c r="Y78" t="str">
        <x:f>IF(S78="","",IF(COUNTIF($S$5:$S$100,S78)=1,"OK","CHECK"))</x:f>
      </x:c>
      <x:c r="Z78" t="str">
        <x:f>IF(A78="","",IF(AND(V78="OK",W78="OK",X78="OK",Y78="OK",T78&gt;0),"OK","CHECK"))</x:f>
      </x:c>
    </x:row>
    <x:row r="79" ht="18" customHeight="1">
      <x:c r="S79" t="str">
        <x:f>IF(A79="","", "JC-"&amp;A79&amp;"-L"&amp;TEXT(B79,"00")&amp;"-"&amp;TEXT(C79,"yyyymmdd")&amp;"-"&amp;D79&amp;"-"&amp;IF(F79="","START",F79)&amp;"-"&amp;G79)</x:f>
      </x:c>
      <x:c r="T79" t="str">
        <x:f>IF(A79="","",SUM(I79:L79)+N79+P79)</x:f>
      </x:c>
      <x:c r="U79" t="str">
        <x:f>IF(S79="","",SUMIF(JobChangeImpact!$B$5:$B$100,S79,JobChangeImpact!$Q$5:$Q$100))</x:f>
      </x:c>
      <x:c r="V79" t="str">
        <x:f>IF(A79="","",IF(ABS(T79-U79)&lt;=0.001,"OK","CHECK"))</x:f>
      </x:c>
      <x:c r="W79" t="str">
        <x:f>IF(A79="","",IF(AND(IF(L79&gt;0,M79&lt;&gt;"",M79=""),IF(N79&gt;0,O79&lt;&gt;"",O79=""),IF(P79&gt;0,Q79&lt;&gt;"",Q79="")),"OK","CHECK"))</x:f>
      </x:c>
      <x:c r="X79" t="str">
        <x:f>IF(A79="","",IF(OR(G79="",AND(F79&lt;&gt;"",F79=G79)),"CHECK","OK"))</x:f>
      </x:c>
      <x:c r="Y79" t="str">
        <x:f>IF(S79="","",IF(COUNTIF($S$5:$S$100,S79)=1,"OK","CHECK"))</x:f>
      </x:c>
      <x:c r="Z79" t="str">
        <x:f>IF(A79="","",IF(AND(V79="OK",W79="OK",X79="OK",Y79="OK",T79&gt;0),"OK","CHECK"))</x:f>
      </x:c>
    </x:row>
    <x:row r="80" ht="18" customHeight="1">
      <x:c r="S80" t="str">
        <x:f>IF(A80="","", "JC-"&amp;A80&amp;"-L"&amp;TEXT(B80,"00")&amp;"-"&amp;TEXT(C80,"yyyymmdd")&amp;"-"&amp;D80&amp;"-"&amp;IF(F80="","START",F80)&amp;"-"&amp;G80)</x:f>
      </x:c>
      <x:c r="T80" t="str">
        <x:f>IF(A80="","",SUM(I80:L80)+N80+P80)</x:f>
      </x:c>
      <x:c r="U80" t="str">
        <x:f>IF(S80="","",SUMIF(JobChangeImpact!$B$5:$B$100,S80,JobChangeImpact!$Q$5:$Q$100))</x:f>
      </x:c>
      <x:c r="V80" t="str">
        <x:f>IF(A80="","",IF(ABS(T80-U80)&lt;=0.001,"OK","CHECK"))</x:f>
      </x:c>
      <x:c r="W80" t="str">
        <x:f>IF(A80="","",IF(AND(IF(L80&gt;0,M80&lt;&gt;"",M80=""),IF(N80&gt;0,O80&lt;&gt;"",O80=""),IF(P80&gt;0,Q80&lt;&gt;"",Q80="")),"OK","CHECK"))</x:f>
      </x:c>
      <x:c r="X80" t="str">
        <x:f>IF(A80="","",IF(OR(G80="",AND(F80&lt;&gt;"",F80=G80)),"CHECK","OK"))</x:f>
      </x:c>
      <x:c r="Y80" t="str">
        <x:f>IF(S80="","",IF(COUNTIF($S$5:$S$100,S80)=1,"OK","CHECK"))</x:f>
      </x:c>
      <x:c r="Z80" t="str">
        <x:f>IF(A80="","",IF(AND(V80="OK",W80="OK",X80="OK",Y80="OK",T80&gt;0),"OK","CHECK"))</x:f>
      </x:c>
    </x:row>
    <x:row r="81" ht="18" customHeight="1">
      <x:c r="S81" t="str">
        <x:f>IF(A81="","", "JC-"&amp;A81&amp;"-L"&amp;TEXT(B81,"00")&amp;"-"&amp;TEXT(C81,"yyyymmdd")&amp;"-"&amp;D81&amp;"-"&amp;IF(F81="","START",F81)&amp;"-"&amp;G81)</x:f>
      </x:c>
      <x:c r="T81" t="str">
        <x:f>IF(A81="","",SUM(I81:L81)+N81+P81)</x:f>
      </x:c>
      <x:c r="U81" t="str">
        <x:f>IF(S81="","",SUMIF(JobChangeImpact!$B$5:$B$100,S81,JobChangeImpact!$Q$5:$Q$100))</x:f>
      </x:c>
      <x:c r="V81" t="str">
        <x:f>IF(A81="","",IF(ABS(T81-U81)&lt;=0.001,"OK","CHECK"))</x:f>
      </x:c>
      <x:c r="W81" t="str">
        <x:f>IF(A81="","",IF(AND(IF(L81&gt;0,M81&lt;&gt;"",M81=""),IF(N81&gt;0,O81&lt;&gt;"",O81=""),IF(P81&gt;0,Q81&lt;&gt;"",Q81="")),"OK","CHECK"))</x:f>
      </x:c>
      <x:c r="X81" t="str">
        <x:f>IF(A81="","",IF(OR(G81="",AND(F81&lt;&gt;"",F81=G81)),"CHECK","OK"))</x:f>
      </x:c>
      <x:c r="Y81" t="str">
        <x:f>IF(S81="","",IF(COUNTIF($S$5:$S$100,S81)=1,"OK","CHECK"))</x:f>
      </x:c>
      <x:c r="Z81" t="str">
        <x:f>IF(A81="","",IF(AND(V81="OK",W81="OK",X81="OK",Y81="OK",T81&gt;0),"OK","CHECK"))</x:f>
      </x:c>
    </x:row>
    <x:row r="82" ht="18" customHeight="1">
      <x:c r="S82" t="str">
        <x:f>IF(A82="","", "JC-"&amp;A82&amp;"-L"&amp;TEXT(B82,"00")&amp;"-"&amp;TEXT(C82,"yyyymmdd")&amp;"-"&amp;D82&amp;"-"&amp;IF(F82="","START",F82)&amp;"-"&amp;G82)</x:f>
      </x:c>
      <x:c r="T82" t="str">
        <x:f>IF(A82="","",SUM(I82:L82)+N82+P82)</x:f>
      </x:c>
      <x:c r="U82" t="str">
        <x:f>IF(S82="","",SUMIF(JobChangeImpact!$B$5:$B$100,S82,JobChangeImpact!$Q$5:$Q$100))</x:f>
      </x:c>
      <x:c r="V82" t="str">
        <x:f>IF(A82="","",IF(ABS(T82-U82)&lt;=0.001,"OK","CHECK"))</x:f>
      </x:c>
      <x:c r="W82" t="str">
        <x:f>IF(A82="","",IF(AND(IF(L82&gt;0,M82&lt;&gt;"",M82=""),IF(N82&gt;0,O82&lt;&gt;"",O82=""),IF(P82&gt;0,Q82&lt;&gt;"",Q82="")),"OK","CHECK"))</x:f>
      </x:c>
      <x:c r="X82" t="str">
        <x:f>IF(A82="","",IF(OR(G82="",AND(F82&lt;&gt;"",F82=G82)),"CHECK","OK"))</x:f>
      </x:c>
      <x:c r="Y82" t="str">
        <x:f>IF(S82="","",IF(COUNTIF($S$5:$S$100,S82)=1,"OK","CHECK"))</x:f>
      </x:c>
      <x:c r="Z82" t="str">
        <x:f>IF(A82="","",IF(AND(V82="OK",W82="OK",X82="OK",Y82="OK",T82&gt;0),"OK","CHECK"))</x:f>
      </x:c>
    </x:row>
    <x:row r="83" ht="18" customHeight="1">
      <x:c r="S83" t="str">
        <x:f>IF(A83="","", "JC-"&amp;A83&amp;"-L"&amp;TEXT(B83,"00")&amp;"-"&amp;TEXT(C83,"yyyymmdd")&amp;"-"&amp;D83&amp;"-"&amp;IF(F83="","START",F83)&amp;"-"&amp;G83)</x:f>
      </x:c>
      <x:c r="T83" t="str">
        <x:f>IF(A83="","",SUM(I83:L83)+N83+P83)</x:f>
      </x:c>
      <x:c r="U83" t="str">
        <x:f>IF(S83="","",SUMIF(JobChangeImpact!$B$5:$B$100,S83,JobChangeImpact!$Q$5:$Q$100))</x:f>
      </x:c>
      <x:c r="V83" t="str">
        <x:f>IF(A83="","",IF(ABS(T83-U83)&lt;=0.001,"OK","CHECK"))</x:f>
      </x:c>
      <x:c r="W83" t="str">
        <x:f>IF(A83="","",IF(AND(IF(L83&gt;0,M83&lt;&gt;"",M83=""),IF(N83&gt;0,O83&lt;&gt;"",O83=""),IF(P83&gt;0,Q83&lt;&gt;"",Q83="")),"OK","CHECK"))</x:f>
      </x:c>
      <x:c r="X83" t="str">
        <x:f>IF(A83="","",IF(OR(G83="",AND(F83&lt;&gt;"",F83=G83)),"CHECK","OK"))</x:f>
      </x:c>
      <x:c r="Y83" t="str">
        <x:f>IF(S83="","",IF(COUNTIF($S$5:$S$100,S83)=1,"OK","CHECK"))</x:f>
      </x:c>
      <x:c r="Z83" t="str">
        <x:f>IF(A83="","",IF(AND(V83="OK",W83="OK",X83="OK",Y83="OK",T83&gt;0),"OK","CHECK"))</x:f>
      </x:c>
    </x:row>
    <x:row r="84" ht="18" customHeight="1">
      <x:c r="S84" t="str">
        <x:f>IF(A84="","", "JC-"&amp;A84&amp;"-L"&amp;TEXT(B84,"00")&amp;"-"&amp;TEXT(C84,"yyyymmdd")&amp;"-"&amp;D84&amp;"-"&amp;IF(F84="","START",F84)&amp;"-"&amp;G84)</x:f>
      </x:c>
      <x:c r="T84" t="str">
        <x:f>IF(A84="","",SUM(I84:L84)+N84+P84)</x:f>
      </x:c>
      <x:c r="U84" t="str">
        <x:f>IF(S84="","",SUMIF(JobChangeImpact!$B$5:$B$100,S84,JobChangeImpact!$Q$5:$Q$100))</x:f>
      </x:c>
      <x:c r="V84" t="str">
        <x:f>IF(A84="","",IF(ABS(T84-U84)&lt;=0.001,"OK","CHECK"))</x:f>
      </x:c>
      <x:c r="W84" t="str">
        <x:f>IF(A84="","",IF(AND(IF(L84&gt;0,M84&lt;&gt;"",M84=""),IF(N84&gt;0,O84&lt;&gt;"",O84=""),IF(P84&gt;0,Q84&lt;&gt;"",Q84="")),"OK","CHECK"))</x:f>
      </x:c>
      <x:c r="X84" t="str">
        <x:f>IF(A84="","",IF(OR(G84="",AND(F84&lt;&gt;"",F84=G84)),"CHECK","OK"))</x:f>
      </x:c>
      <x:c r="Y84" t="str">
        <x:f>IF(S84="","",IF(COUNTIF($S$5:$S$100,S84)=1,"OK","CHECK"))</x:f>
      </x:c>
      <x:c r="Z84" t="str">
        <x:f>IF(A84="","",IF(AND(V84="OK",W84="OK",X84="OK",Y84="OK",T84&gt;0),"OK","CHECK"))</x:f>
      </x:c>
    </x:row>
    <x:row r="85" ht="18" customHeight="1">
      <x:c r="S85" t="str">
        <x:f>IF(A85="","", "JC-"&amp;A85&amp;"-L"&amp;TEXT(B85,"00")&amp;"-"&amp;TEXT(C85,"yyyymmdd")&amp;"-"&amp;D85&amp;"-"&amp;IF(F85="","START",F85)&amp;"-"&amp;G85)</x:f>
      </x:c>
      <x:c r="T85" t="str">
        <x:f>IF(A85="","",SUM(I85:L85)+N85+P85)</x:f>
      </x:c>
      <x:c r="U85" t="str">
        <x:f>IF(S85="","",SUMIF(JobChangeImpact!$B$5:$B$100,S85,JobChangeImpact!$Q$5:$Q$100))</x:f>
      </x:c>
      <x:c r="V85" t="str">
        <x:f>IF(A85="","",IF(ABS(T85-U85)&lt;=0.001,"OK","CHECK"))</x:f>
      </x:c>
      <x:c r="W85" t="str">
        <x:f>IF(A85="","",IF(AND(IF(L85&gt;0,M85&lt;&gt;"",M85=""),IF(N85&gt;0,O85&lt;&gt;"",O85=""),IF(P85&gt;0,Q85&lt;&gt;"",Q85="")),"OK","CHECK"))</x:f>
      </x:c>
      <x:c r="X85" t="str">
        <x:f>IF(A85="","",IF(OR(G85="",AND(F85&lt;&gt;"",F85=G85)),"CHECK","OK"))</x:f>
      </x:c>
      <x:c r="Y85" t="str">
        <x:f>IF(S85="","",IF(COUNTIF($S$5:$S$100,S85)=1,"OK","CHECK"))</x:f>
      </x:c>
      <x:c r="Z85" t="str">
        <x:f>IF(A85="","",IF(AND(V85="OK",W85="OK",X85="OK",Y85="OK",T85&gt;0),"OK","CHECK"))</x:f>
      </x:c>
    </x:row>
    <x:row r="86" ht="18" customHeight="1">
      <x:c r="S86" t="str">
        <x:f>IF(A86="","", "JC-"&amp;A86&amp;"-L"&amp;TEXT(B86,"00")&amp;"-"&amp;TEXT(C86,"yyyymmdd")&amp;"-"&amp;D86&amp;"-"&amp;IF(F86="","START",F86)&amp;"-"&amp;G86)</x:f>
      </x:c>
      <x:c r="T86" t="str">
        <x:f>IF(A86="","",SUM(I86:L86)+N86+P86)</x:f>
      </x:c>
      <x:c r="U86" t="str">
        <x:f>IF(S86="","",SUMIF(JobChangeImpact!$B$5:$B$100,S86,JobChangeImpact!$Q$5:$Q$100))</x:f>
      </x:c>
      <x:c r="V86" t="str">
        <x:f>IF(A86="","",IF(ABS(T86-U86)&lt;=0.001,"OK","CHECK"))</x:f>
      </x:c>
      <x:c r="W86" t="str">
        <x:f>IF(A86="","",IF(AND(IF(L86&gt;0,M86&lt;&gt;"",M86=""),IF(N86&gt;0,O86&lt;&gt;"",O86=""),IF(P86&gt;0,Q86&lt;&gt;"",Q86="")),"OK","CHECK"))</x:f>
      </x:c>
      <x:c r="X86" t="str">
        <x:f>IF(A86="","",IF(OR(G86="",AND(F86&lt;&gt;"",F86=G86)),"CHECK","OK"))</x:f>
      </x:c>
      <x:c r="Y86" t="str">
        <x:f>IF(S86="","",IF(COUNTIF($S$5:$S$100,S86)=1,"OK","CHECK"))</x:f>
      </x:c>
      <x:c r="Z86" t="str">
        <x:f>IF(A86="","",IF(AND(V86="OK",W86="OK",X86="OK",Y86="OK",T86&gt;0),"OK","CHECK"))</x:f>
      </x:c>
    </x:row>
    <x:row r="87" ht="18" customHeight="1">
      <x:c r="S87" t="str">
        <x:f>IF(A87="","", "JC-"&amp;A87&amp;"-L"&amp;TEXT(B87,"00")&amp;"-"&amp;TEXT(C87,"yyyymmdd")&amp;"-"&amp;D87&amp;"-"&amp;IF(F87="","START",F87)&amp;"-"&amp;G87)</x:f>
      </x:c>
      <x:c r="T87" t="str">
        <x:f>IF(A87="","",SUM(I87:L87)+N87+P87)</x:f>
      </x:c>
      <x:c r="U87" t="str">
        <x:f>IF(S87="","",SUMIF(JobChangeImpact!$B$5:$B$100,S87,JobChangeImpact!$Q$5:$Q$100))</x:f>
      </x:c>
      <x:c r="V87" t="str">
        <x:f>IF(A87="","",IF(ABS(T87-U87)&lt;=0.001,"OK","CHECK"))</x:f>
      </x:c>
      <x:c r="W87" t="str">
        <x:f>IF(A87="","",IF(AND(IF(L87&gt;0,M87&lt;&gt;"",M87=""),IF(N87&gt;0,O87&lt;&gt;"",O87=""),IF(P87&gt;0,Q87&lt;&gt;"",Q87="")),"OK","CHECK"))</x:f>
      </x:c>
      <x:c r="X87" t="str">
        <x:f>IF(A87="","",IF(OR(G87="",AND(F87&lt;&gt;"",F87=G87)),"CHECK","OK"))</x:f>
      </x:c>
      <x:c r="Y87" t="str">
        <x:f>IF(S87="","",IF(COUNTIF($S$5:$S$100,S87)=1,"OK","CHECK"))</x:f>
      </x:c>
      <x:c r="Z87" t="str">
        <x:f>IF(A87="","",IF(AND(V87="OK",W87="OK",X87="OK",Y87="OK",T87&gt;0),"OK","CHECK"))</x:f>
      </x:c>
    </x:row>
    <x:row r="88" ht="18" customHeight="1">
      <x:c r="S88" t="str">
        <x:f>IF(A88="","", "JC-"&amp;A88&amp;"-L"&amp;TEXT(B88,"00")&amp;"-"&amp;TEXT(C88,"yyyymmdd")&amp;"-"&amp;D88&amp;"-"&amp;IF(F88="","START",F88)&amp;"-"&amp;G88)</x:f>
      </x:c>
      <x:c r="T88" t="str">
        <x:f>IF(A88="","",SUM(I88:L88)+N88+P88)</x:f>
      </x:c>
      <x:c r="U88" t="str">
        <x:f>IF(S88="","",SUMIF(JobChangeImpact!$B$5:$B$100,S88,JobChangeImpact!$Q$5:$Q$100))</x:f>
      </x:c>
      <x:c r="V88" t="str">
        <x:f>IF(A88="","",IF(ABS(T88-U88)&lt;=0.001,"OK","CHECK"))</x:f>
      </x:c>
      <x:c r="W88" t="str">
        <x:f>IF(A88="","",IF(AND(IF(L88&gt;0,M88&lt;&gt;"",M88=""),IF(N88&gt;0,O88&lt;&gt;"",O88=""),IF(P88&gt;0,Q88&lt;&gt;"",Q88="")),"OK","CHECK"))</x:f>
      </x:c>
      <x:c r="X88" t="str">
        <x:f>IF(A88="","",IF(OR(G88="",AND(F88&lt;&gt;"",F88=G88)),"CHECK","OK"))</x:f>
      </x:c>
      <x:c r="Y88" t="str">
        <x:f>IF(S88="","",IF(COUNTIF($S$5:$S$100,S88)=1,"OK","CHECK"))</x:f>
      </x:c>
      <x:c r="Z88" t="str">
        <x:f>IF(A88="","",IF(AND(V88="OK",W88="OK",X88="OK",Y88="OK",T88&gt;0),"OK","CHECK"))</x:f>
      </x:c>
    </x:row>
    <x:row r="89" ht="18" customHeight="1">
      <x:c r="S89" t="str">
        <x:f>IF(A89="","", "JC-"&amp;A89&amp;"-L"&amp;TEXT(B89,"00")&amp;"-"&amp;TEXT(C89,"yyyymmdd")&amp;"-"&amp;D89&amp;"-"&amp;IF(F89="","START",F89)&amp;"-"&amp;G89)</x:f>
      </x:c>
      <x:c r="T89" t="str">
        <x:f>IF(A89="","",SUM(I89:L89)+N89+P89)</x:f>
      </x:c>
      <x:c r="U89" t="str">
        <x:f>IF(S89="","",SUMIF(JobChangeImpact!$B$5:$B$100,S89,JobChangeImpact!$Q$5:$Q$100))</x:f>
      </x:c>
      <x:c r="V89" t="str">
        <x:f>IF(A89="","",IF(ABS(T89-U89)&lt;=0.001,"OK","CHECK"))</x:f>
      </x:c>
      <x:c r="W89" t="str">
        <x:f>IF(A89="","",IF(AND(IF(L89&gt;0,M89&lt;&gt;"",M89=""),IF(N89&gt;0,O89&lt;&gt;"",O89=""),IF(P89&gt;0,Q89&lt;&gt;"",Q89="")),"OK","CHECK"))</x:f>
      </x:c>
      <x:c r="X89" t="str">
        <x:f>IF(A89="","",IF(OR(G89="",AND(F89&lt;&gt;"",F89=G89)),"CHECK","OK"))</x:f>
      </x:c>
      <x:c r="Y89" t="str">
        <x:f>IF(S89="","",IF(COUNTIF($S$5:$S$100,S89)=1,"OK","CHECK"))</x:f>
      </x:c>
      <x:c r="Z89" t="str">
        <x:f>IF(A89="","",IF(AND(V89="OK",W89="OK",X89="OK",Y89="OK",T89&gt;0),"OK","CHECK"))</x:f>
      </x:c>
    </x:row>
    <x:row r="90" ht="18" customHeight="1">
      <x:c r="S90" t="str">
        <x:f>IF(A90="","", "JC-"&amp;A90&amp;"-L"&amp;TEXT(B90,"00")&amp;"-"&amp;TEXT(C90,"yyyymmdd")&amp;"-"&amp;D90&amp;"-"&amp;IF(F90="","START",F90)&amp;"-"&amp;G90)</x:f>
      </x:c>
      <x:c r="T90" t="str">
        <x:f>IF(A90="","",SUM(I90:L90)+N90+P90)</x:f>
      </x:c>
      <x:c r="U90" t="str">
        <x:f>IF(S90="","",SUMIF(JobChangeImpact!$B$5:$B$100,S90,JobChangeImpact!$Q$5:$Q$100))</x:f>
      </x:c>
      <x:c r="V90" t="str">
        <x:f>IF(A90="","",IF(ABS(T90-U90)&lt;=0.001,"OK","CHECK"))</x:f>
      </x:c>
      <x:c r="W90" t="str">
        <x:f>IF(A90="","",IF(AND(IF(L90&gt;0,M90&lt;&gt;"",M90=""),IF(N90&gt;0,O90&lt;&gt;"",O90=""),IF(P90&gt;0,Q90&lt;&gt;"",Q90="")),"OK","CHECK"))</x:f>
      </x:c>
      <x:c r="X90" t="str">
        <x:f>IF(A90="","",IF(OR(G90="",AND(F90&lt;&gt;"",F90=G90)),"CHECK","OK"))</x:f>
      </x:c>
      <x:c r="Y90" t="str">
        <x:f>IF(S90="","",IF(COUNTIF($S$5:$S$100,S90)=1,"OK","CHECK"))</x:f>
      </x:c>
      <x:c r="Z90" t="str">
        <x:f>IF(A90="","",IF(AND(V90="OK",W90="OK",X90="OK",Y90="OK",T90&gt;0),"OK","CHECK"))</x:f>
      </x:c>
    </x:row>
    <x:row r="91" ht="18" customHeight="1">
      <x:c r="S91" t="str">
        <x:f>IF(A91="","", "JC-"&amp;A91&amp;"-L"&amp;TEXT(B91,"00")&amp;"-"&amp;TEXT(C91,"yyyymmdd")&amp;"-"&amp;D91&amp;"-"&amp;IF(F91="","START",F91)&amp;"-"&amp;G91)</x:f>
      </x:c>
      <x:c r="T91" t="str">
        <x:f>IF(A91="","",SUM(I91:L91)+N91+P91)</x:f>
      </x:c>
      <x:c r="U91" t="str">
        <x:f>IF(S91="","",SUMIF(JobChangeImpact!$B$5:$B$100,S91,JobChangeImpact!$Q$5:$Q$100))</x:f>
      </x:c>
      <x:c r="V91" t="str">
        <x:f>IF(A91="","",IF(ABS(T91-U91)&lt;=0.001,"OK","CHECK"))</x:f>
      </x:c>
      <x:c r="W91" t="str">
        <x:f>IF(A91="","",IF(AND(IF(L91&gt;0,M91&lt;&gt;"",M91=""),IF(N91&gt;0,O91&lt;&gt;"",O91=""),IF(P91&gt;0,Q91&lt;&gt;"",Q91="")),"OK","CHECK"))</x:f>
      </x:c>
      <x:c r="X91" t="str">
        <x:f>IF(A91="","",IF(OR(G91="",AND(F91&lt;&gt;"",F91=G91)),"CHECK","OK"))</x:f>
      </x:c>
      <x:c r="Y91" t="str">
        <x:f>IF(S91="","",IF(COUNTIF($S$5:$S$100,S91)=1,"OK","CHECK"))</x:f>
      </x:c>
      <x:c r="Z91" t="str">
        <x:f>IF(A91="","",IF(AND(V91="OK",W91="OK",X91="OK",Y91="OK",T91&gt;0),"OK","CHECK"))</x:f>
      </x:c>
    </x:row>
    <x:row r="92" ht="18" customHeight="1">
      <x:c r="S92" t="str">
        <x:f>IF(A92="","", "JC-"&amp;A92&amp;"-L"&amp;TEXT(B92,"00")&amp;"-"&amp;TEXT(C92,"yyyymmdd")&amp;"-"&amp;D92&amp;"-"&amp;IF(F92="","START",F92)&amp;"-"&amp;G92)</x:f>
      </x:c>
      <x:c r="T92" t="str">
        <x:f>IF(A92="","",SUM(I92:L92)+N92+P92)</x:f>
      </x:c>
      <x:c r="U92" t="str">
        <x:f>IF(S92="","",SUMIF(JobChangeImpact!$B$5:$B$100,S92,JobChangeImpact!$Q$5:$Q$100))</x:f>
      </x:c>
      <x:c r="V92" t="str">
        <x:f>IF(A92="","",IF(ABS(T92-U92)&lt;=0.001,"OK","CHECK"))</x:f>
      </x:c>
      <x:c r="W92" t="str">
        <x:f>IF(A92="","",IF(AND(IF(L92&gt;0,M92&lt;&gt;"",M92=""),IF(N92&gt;0,O92&lt;&gt;"",O92=""),IF(P92&gt;0,Q92&lt;&gt;"",Q92="")),"OK","CHECK"))</x:f>
      </x:c>
      <x:c r="X92" t="str">
        <x:f>IF(A92="","",IF(OR(G92="",AND(F92&lt;&gt;"",F92=G92)),"CHECK","OK"))</x:f>
      </x:c>
      <x:c r="Y92" t="str">
        <x:f>IF(S92="","",IF(COUNTIF($S$5:$S$100,S92)=1,"OK","CHECK"))</x:f>
      </x:c>
      <x:c r="Z92" t="str">
        <x:f>IF(A92="","",IF(AND(V92="OK",W92="OK",X92="OK",Y92="OK",T92&gt;0),"OK","CHECK"))</x:f>
      </x:c>
    </x:row>
    <x:row r="93" ht="18" customHeight="1">
      <x:c r="S93" t="str">
        <x:f>IF(A93="","", "JC-"&amp;A93&amp;"-L"&amp;TEXT(B93,"00")&amp;"-"&amp;TEXT(C93,"yyyymmdd")&amp;"-"&amp;D93&amp;"-"&amp;IF(F93="","START",F93)&amp;"-"&amp;G93)</x:f>
      </x:c>
      <x:c r="T93" t="str">
        <x:f>IF(A93="","",SUM(I93:L93)+N93+P93)</x:f>
      </x:c>
      <x:c r="U93" t="str">
        <x:f>IF(S93="","",SUMIF(JobChangeImpact!$B$5:$B$100,S93,JobChangeImpact!$Q$5:$Q$100))</x:f>
      </x:c>
      <x:c r="V93" t="str">
        <x:f>IF(A93="","",IF(ABS(T93-U93)&lt;=0.001,"OK","CHECK"))</x:f>
      </x:c>
      <x:c r="W93" t="str">
        <x:f>IF(A93="","",IF(AND(IF(L93&gt;0,M93&lt;&gt;"",M93=""),IF(N93&gt;0,O93&lt;&gt;"",O93=""),IF(P93&gt;0,Q93&lt;&gt;"",Q93="")),"OK","CHECK"))</x:f>
      </x:c>
      <x:c r="X93" t="str">
        <x:f>IF(A93="","",IF(OR(G93="",AND(F93&lt;&gt;"",F93=G93)),"CHECK","OK"))</x:f>
      </x:c>
      <x:c r="Y93" t="str">
        <x:f>IF(S93="","",IF(COUNTIF($S$5:$S$100,S93)=1,"OK","CHECK"))</x:f>
      </x:c>
      <x:c r="Z93" t="str">
        <x:f>IF(A93="","",IF(AND(V93="OK",W93="OK",X93="OK",Y93="OK",T93&gt;0),"OK","CHECK"))</x:f>
      </x:c>
    </x:row>
    <x:row r="94" ht="18" customHeight="1">
      <x:c r="S94" t="str">
        <x:f>IF(A94="","", "JC-"&amp;A94&amp;"-L"&amp;TEXT(B94,"00")&amp;"-"&amp;TEXT(C94,"yyyymmdd")&amp;"-"&amp;D94&amp;"-"&amp;IF(F94="","START",F94)&amp;"-"&amp;G94)</x:f>
      </x:c>
      <x:c r="T94" t="str">
        <x:f>IF(A94="","",SUM(I94:L94)+N94+P94)</x:f>
      </x:c>
      <x:c r="U94" t="str">
        <x:f>IF(S94="","",SUMIF(JobChangeImpact!$B$5:$B$100,S94,JobChangeImpact!$Q$5:$Q$100))</x:f>
      </x:c>
      <x:c r="V94" t="str">
        <x:f>IF(A94="","",IF(ABS(T94-U94)&lt;=0.001,"OK","CHECK"))</x:f>
      </x:c>
      <x:c r="W94" t="str">
        <x:f>IF(A94="","",IF(AND(IF(L94&gt;0,M94&lt;&gt;"",M94=""),IF(N94&gt;0,O94&lt;&gt;"",O94=""),IF(P94&gt;0,Q94&lt;&gt;"",Q94="")),"OK","CHECK"))</x:f>
      </x:c>
      <x:c r="X94" t="str">
        <x:f>IF(A94="","",IF(OR(G94="",AND(F94&lt;&gt;"",F94=G94)),"CHECK","OK"))</x:f>
      </x:c>
      <x:c r="Y94" t="str">
        <x:f>IF(S94="","",IF(COUNTIF($S$5:$S$100,S94)=1,"OK","CHECK"))</x:f>
      </x:c>
      <x:c r="Z94" t="str">
        <x:f>IF(A94="","",IF(AND(V94="OK",W94="OK",X94="OK",Y94="OK",T94&gt;0),"OK","CHECK"))</x:f>
      </x:c>
    </x:row>
    <x:row r="95" ht="18" customHeight="1">
      <x:c r="S95" t="str">
        <x:f>IF(A95="","", "JC-"&amp;A95&amp;"-L"&amp;TEXT(B95,"00")&amp;"-"&amp;TEXT(C95,"yyyymmdd")&amp;"-"&amp;D95&amp;"-"&amp;IF(F95="","START",F95)&amp;"-"&amp;G95)</x:f>
      </x:c>
      <x:c r="T95" t="str">
        <x:f>IF(A95="","",SUM(I95:L95)+N95+P95)</x:f>
      </x:c>
      <x:c r="U95" t="str">
        <x:f>IF(S95="","",SUMIF(JobChangeImpact!$B$5:$B$100,S95,JobChangeImpact!$Q$5:$Q$100))</x:f>
      </x:c>
      <x:c r="V95" t="str">
        <x:f>IF(A95="","",IF(ABS(T95-U95)&lt;=0.001,"OK","CHECK"))</x:f>
      </x:c>
      <x:c r="W95" t="str">
        <x:f>IF(A95="","",IF(AND(IF(L95&gt;0,M95&lt;&gt;"",M95=""),IF(N95&gt;0,O95&lt;&gt;"",O95=""),IF(P95&gt;0,Q95&lt;&gt;"",Q95="")),"OK","CHECK"))</x:f>
      </x:c>
      <x:c r="X95" t="str">
        <x:f>IF(A95="","",IF(OR(G95="",AND(F95&lt;&gt;"",F95=G95)),"CHECK","OK"))</x:f>
      </x:c>
      <x:c r="Y95" t="str">
        <x:f>IF(S95="","",IF(COUNTIF($S$5:$S$100,S95)=1,"OK","CHECK"))</x:f>
      </x:c>
      <x:c r="Z95" t="str">
        <x:f>IF(A95="","",IF(AND(V95="OK",W95="OK",X95="OK",Y95="OK",T95&gt;0),"OK","CHECK"))</x:f>
      </x:c>
    </x:row>
    <x:row r="96" ht="18" customHeight="1">
      <x:c r="S96" t="str">
        <x:f>IF(A96="","", "JC-"&amp;A96&amp;"-L"&amp;TEXT(B96,"00")&amp;"-"&amp;TEXT(C96,"yyyymmdd")&amp;"-"&amp;D96&amp;"-"&amp;IF(F96="","START",F96)&amp;"-"&amp;G96)</x:f>
      </x:c>
      <x:c r="T96" t="str">
        <x:f>IF(A96="","",SUM(I96:L96)+N96+P96)</x:f>
      </x:c>
      <x:c r="U96" t="str">
        <x:f>IF(S96="","",SUMIF(JobChangeImpact!$B$5:$B$100,S96,JobChangeImpact!$Q$5:$Q$100))</x:f>
      </x:c>
      <x:c r="V96" t="str">
        <x:f>IF(A96="","",IF(ABS(T96-U96)&lt;=0.001,"OK","CHECK"))</x:f>
      </x:c>
      <x:c r="W96" t="str">
        <x:f>IF(A96="","",IF(AND(IF(L96&gt;0,M96&lt;&gt;"",M96=""),IF(N96&gt;0,O96&lt;&gt;"",O96=""),IF(P96&gt;0,Q96&lt;&gt;"",Q96="")),"OK","CHECK"))</x:f>
      </x:c>
      <x:c r="X96" t="str">
        <x:f>IF(A96="","",IF(OR(G96="",AND(F96&lt;&gt;"",F96=G96)),"CHECK","OK"))</x:f>
      </x:c>
      <x:c r="Y96" t="str">
        <x:f>IF(S96="","",IF(COUNTIF($S$5:$S$100,S96)=1,"OK","CHECK"))</x:f>
      </x:c>
      <x:c r="Z96" t="str">
        <x:f>IF(A96="","",IF(AND(V96="OK",W96="OK",X96="OK",Y96="OK",T96&gt;0),"OK","CHECK"))</x:f>
      </x:c>
    </x:row>
    <x:row r="97" ht="18" customHeight="1">
      <x:c r="S97" t="str">
        <x:f>IF(A97="","", "JC-"&amp;A97&amp;"-L"&amp;TEXT(B97,"00")&amp;"-"&amp;TEXT(C97,"yyyymmdd")&amp;"-"&amp;D97&amp;"-"&amp;IF(F97="","START",F97)&amp;"-"&amp;G97)</x:f>
      </x:c>
      <x:c r="T97" t="str">
        <x:f>IF(A97="","",SUM(I97:L97)+N97+P97)</x:f>
      </x:c>
      <x:c r="U97" t="str">
        <x:f>IF(S97="","",SUMIF(JobChangeImpact!$B$5:$B$100,S97,JobChangeImpact!$Q$5:$Q$100))</x:f>
      </x:c>
      <x:c r="V97" t="str">
        <x:f>IF(A97="","",IF(ABS(T97-U97)&lt;=0.001,"OK","CHECK"))</x:f>
      </x:c>
      <x:c r="W97" t="str">
        <x:f>IF(A97="","",IF(AND(IF(L97&gt;0,M97&lt;&gt;"",M97=""),IF(N97&gt;0,O97&lt;&gt;"",O97=""),IF(P97&gt;0,Q97&lt;&gt;"",Q97="")),"OK","CHECK"))</x:f>
      </x:c>
      <x:c r="X97" t="str">
        <x:f>IF(A97="","",IF(OR(G97="",AND(F97&lt;&gt;"",F97=G97)),"CHECK","OK"))</x:f>
      </x:c>
      <x:c r="Y97" t="str">
        <x:f>IF(S97="","",IF(COUNTIF($S$5:$S$100,S97)=1,"OK","CHECK"))</x:f>
      </x:c>
      <x:c r="Z97" t="str">
        <x:f>IF(A97="","",IF(AND(V97="OK",W97="OK",X97="OK",Y97="OK",T97&gt;0),"OK","CHECK"))</x:f>
      </x:c>
    </x:row>
    <x:row r="98" ht="18" customHeight="1">
      <x:c r="S98" t="str">
        <x:f>IF(A98="","", "JC-"&amp;A98&amp;"-L"&amp;TEXT(B98,"00")&amp;"-"&amp;TEXT(C98,"yyyymmdd")&amp;"-"&amp;D98&amp;"-"&amp;IF(F98="","START",F98)&amp;"-"&amp;G98)</x:f>
      </x:c>
      <x:c r="T98" t="str">
        <x:f>IF(A98="","",SUM(I98:L98)+N98+P98)</x:f>
      </x:c>
      <x:c r="U98" t="str">
        <x:f>IF(S98="","",SUMIF(JobChangeImpact!$B$5:$B$100,S98,JobChangeImpact!$Q$5:$Q$100))</x:f>
      </x:c>
      <x:c r="V98" t="str">
        <x:f>IF(A98="","",IF(ABS(T98-U98)&lt;=0.001,"OK","CHECK"))</x:f>
      </x:c>
      <x:c r="W98" t="str">
        <x:f>IF(A98="","",IF(AND(IF(L98&gt;0,M98&lt;&gt;"",M98=""),IF(N98&gt;0,O98&lt;&gt;"",O98=""),IF(P98&gt;0,Q98&lt;&gt;"",Q98="")),"OK","CHECK"))</x:f>
      </x:c>
      <x:c r="X98" t="str">
        <x:f>IF(A98="","",IF(OR(G98="",AND(F98&lt;&gt;"",F98=G98)),"CHECK","OK"))</x:f>
      </x:c>
      <x:c r="Y98" t="str">
        <x:f>IF(S98="","",IF(COUNTIF($S$5:$S$100,S98)=1,"OK","CHECK"))</x:f>
      </x:c>
      <x:c r="Z98" t="str">
        <x:f>IF(A98="","",IF(AND(V98="OK",W98="OK",X98="OK",Y98="OK",T98&gt;0),"OK","CHECK"))</x:f>
      </x:c>
    </x:row>
    <x:row r="99" ht="18" customHeight="1">
      <x:c r="S99" t="str">
        <x:f>IF(A99="","", "JC-"&amp;A99&amp;"-L"&amp;TEXT(B99,"00")&amp;"-"&amp;TEXT(C99,"yyyymmdd")&amp;"-"&amp;D99&amp;"-"&amp;IF(F99="","START",F99)&amp;"-"&amp;G99)</x:f>
      </x:c>
      <x:c r="T99" t="str">
        <x:f>IF(A99="","",SUM(I99:L99)+N99+P99)</x:f>
      </x:c>
      <x:c r="U99" t="str">
        <x:f>IF(S99="","",SUMIF(JobChangeImpact!$B$5:$B$100,S99,JobChangeImpact!$Q$5:$Q$100))</x:f>
      </x:c>
      <x:c r="V99" t="str">
        <x:f>IF(A99="","",IF(ABS(T99-U99)&lt;=0.001,"OK","CHECK"))</x:f>
      </x:c>
      <x:c r="W99" t="str">
        <x:f>IF(A99="","",IF(AND(IF(L99&gt;0,M99&lt;&gt;"",M99=""),IF(N99&gt;0,O99&lt;&gt;"",O99=""),IF(P99&gt;0,Q99&lt;&gt;"",Q99="")),"OK","CHECK"))</x:f>
      </x:c>
      <x:c r="X99" t="str">
        <x:f>IF(A99="","",IF(OR(G99="",AND(F99&lt;&gt;"",F99=G99)),"CHECK","OK"))</x:f>
      </x:c>
      <x:c r="Y99" t="str">
        <x:f>IF(S99="","",IF(COUNTIF($S$5:$S$100,S99)=1,"OK","CHECK"))</x:f>
      </x:c>
      <x:c r="Z99" t="str">
        <x:f>IF(A99="","",IF(AND(V99="OK",W99="OK",X99="OK",Y99="OK",T99&gt;0),"OK","CHECK"))</x:f>
      </x:c>
    </x:row>
    <x:row r="100" ht="18" customHeight="1">
      <x:c r="S100" t="str">
        <x:f>IF(A100="","", "JC-"&amp;A100&amp;"-L"&amp;TEXT(B100,"00")&amp;"-"&amp;TEXT(C100,"yyyymmdd")&amp;"-"&amp;D100&amp;"-"&amp;IF(F100="","START",F100)&amp;"-"&amp;G100)</x:f>
      </x:c>
      <x:c r="T100" t="str">
        <x:f>IF(A100="","",SUM(I100:L100)+N100+P100)</x:f>
      </x:c>
      <x:c r="U100" t="str">
        <x:f>IF(S100="","",SUMIF(JobChangeImpact!$B$5:$B$100,S100,JobChangeImpact!$Q$5:$Q$100))</x:f>
      </x:c>
      <x:c r="V100" t="str">
        <x:f>IF(A100="","",IF(ABS(T100-U100)&lt;=0.001,"OK","CHECK"))</x:f>
      </x:c>
      <x:c r="W100" t="str">
        <x:f>IF(A100="","",IF(AND(IF(L100&gt;0,M100&lt;&gt;"",M100=""),IF(N100&gt;0,O100&lt;&gt;"",O100=""),IF(P100&gt;0,Q100&lt;&gt;"",Q100="")),"OK","CHECK"))</x:f>
      </x:c>
      <x:c r="X100" t="str">
        <x:f>IF(A100="","",IF(OR(G100="",AND(F100&lt;&gt;"",F100=G100)),"CHECK","OK"))</x:f>
      </x:c>
      <x:c r="Y100" t="str">
        <x:f>IF(S100="","",IF(COUNTIF($S$5:$S$100,S100)=1,"OK","CHECK"))</x:f>
      </x:c>
      <x:c r="Z100" t="str">
        <x:f>IF(A100="","",IF(AND(V100="OK",W100="OK",X100="OK",Y100="OK",T100&gt;0),"OK","CHECK"))</x:f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</x:sheetData>
  <x:dataValidations count="1">
    <x:dataValidation type="list" sqref="B5:B100">
      <x:formula1>_ValidationLists!$A$2:$A$6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dd850929dd4f8d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2" width="14" customWidth="1"/>
    <x:col min="3" max="5" width="12" customWidth="1"/>
    <x:col min="6" max="6" width="20" customWidth="1"/>
    <x:col min="7" max="7" width="14" customWidth="1"/>
    <x:col min="8" max="9" width="12" customWidth="1"/>
    <x:col min="10" max="11" width="22" customWidth="1"/>
    <x:col min="12" max="12" width="14" customWidth="1"/>
    <x:col min="13" max="13" width="18" customWidth="1"/>
    <x:col min="14" max="14" width="16" customWidth="1"/>
    <x:col min="15" max="15" width="14" customWidth="1"/>
    <x:col min="16" max="16" width="16" customWidth="1"/>
    <x:col min="17" max="17" width="40" hidden="0" customWidth="1"/>
  </x:cols>
  <x:sheetData>
    <x:row r="1" ht="24" customHeight="1">
      <x:c r="A1" s="38" t="s">
        <x:v>64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15">
      <x:c r="A2" s="5" t="s">
        <x:v>65</x:v>
      </x:c>
    </x:row>
    <x:row r="3">
      <x:c r="A3" s="6" t="s">
        <x:v>66</x:v>
      </x:c>
    </x:row>
    <x:row r="4" ht="32.099998474121094" customHeight="1">
      <x:c r="A4" s="40" t="s">
        <x:v>12</x:v>
      </x:c>
      <x:c r="B4" s="40" t="s">
        <x:v>14</x:v>
      </x:c>
      <x:c r="C4" s="40" t="s">
        <x:v>15</x:v>
      </x:c>
      <x:c r="D4" s="40" t="s">
        <x:v>16</x:v>
      </x:c>
      <x:c r="E4" s="40" t="s">
        <x:v>13</x:v>
      </x:c>
      <x:c r="F4" s="40" t="s">
        <x:v>67</x:v>
      </x:c>
      <x:c r="G4" s="40" t="s">
        <x:v>68</x:v>
      </x:c>
      <x:c r="H4" s="40" t="s">
        <x:v>69</x:v>
      </x:c>
      <x:c r="I4" s="40" t="s">
        <x:v>70</x:v>
      </x:c>
      <x:c r="J4" s="40" t="s">
        <x:v>71</x:v>
      </x:c>
      <x:c r="K4" s="40" t="s">
        <x:v>72</x:v>
      </x:c>
      <x:c r="L4" s="40" t="s">
        <x:v>73</x:v>
      </x:c>
      <x:c r="M4" s="40" t="s">
        <x:v>74</x:v>
      </x:c>
      <x:c r="N4" s="40" t="s">
        <x:v>75</x:v>
      </x:c>
      <x:c r="O4" s="40" t="s">
        <x:v>76</x:v>
      </x:c>
      <x:c r="P4" s="40" t="s">
        <x:v>77</x:v>
      </x:c>
      <x:c r="Q4" s="44" t="str">
        <x:v>ProductionEventID</x:v>
      </x:c>
      <x:c r="R4" s="44" t="str">
        <x:v>ActiveCavityCount</x:v>
      </x:c>
      <x:c r="S4" s="44" t="str">
        <x:v>PhysicalCapabilityCheck</x:v>
      </x:c>
      <x:c r="T4" s="44" t="str">
        <x:v>DesignCutsFormulaCheck</x:v>
      </x:c>
      <x:c r="U4" s="44" t="str">
        <x:v>DesignOutputCheck</x:v>
      </x:c>
      <x:c r="V4" s="44" t="str">
        <x:v>MaterialBalanceCheck</x:v>
      </x:c>
      <x:c r="W4" s="44" t="str">
        <x:v>ConfigActiveCavityCount</x:v>
      </x:c>
      <x:c r="X4" s="44" t="str">
        <x:v>ConfigurationReconciliationCheck</x:v>
      </x:c>
      <x:c r="Y4" s="44" t="str">
        <x:v>EventIDUniquenessCheck</x:v>
      </x:c>
      <x:c r="Z4" s="44" t="str">
        <x:v>DataQualityCheck</x:v>
      </x:c>
    </x:row>
    <x:row r="5" ht="18" customHeight="1">
      <x:c r="A5" s="12" t="s">
        <x:v>30</x:v>
      </x:c>
      <x:c r="B5" s="13">
        <x:v>45950</x:v>
      </x:c>
      <x:c r="C5" s="12" t="s">
        <x:v>31</x:v>
      </x:c>
      <x:c r="D5" s="12" t="s">
        <x:v>41</x:v>
      </x:c>
      <x:c r="E5" s="14">
        <x:v>21</x:v>
      </x:c>
      <x:c r="F5" s="12" t="s">
        <x:v>33</x:v>
      </x:c>
      <x:c r="G5" s="12" t="s">
        <x:v>78</x:v>
      </x:c>
      <x:c r="H5" s="14">
        <x:v>10</x:v>
      </x:c>
      <x:c r="I5" s="14">
        <x:v>3</x:v>
      </x:c>
      <x:c r="J5" s="14">
        <x:v>12</x:v>
      </x:c>
      <x:c r="K5" s="15">
        <x:v>21600</x:v>
      </x:c>
      <x:c r="L5" s="16">
        <x:v>11.73</x:v>
      </x:c>
      <x:c r="M5" s="15">
        <x:v>253368</x:v>
      </x:c>
      <x:c r="N5" s="15">
        <x:v>238067</x:v>
      </x:c>
      <x:c r="O5" s="15">
        <x:v>2140</x:v>
      </x:c>
      <x:c r="P5" s="15">
        <x:v>13161</x:v>
      </x:c>
      <x:c r="Q5" t="str">
        <x:f>IF(A5="","", "PE-"&amp;A5&amp;"-L"&amp;TEXT(E5,"00")&amp;"-"&amp;TEXT(B5,"yyyymmdd")&amp;"-"&amp;C5&amp;"-"&amp;F5)</x:f>
        <x:v>PE-KG01-L21-20251020-AM-ORD-2025-00019</x:v>
      </x:c>
      <x:c r="R5" t="n">
        <x:f>IF(A5="","",H5*I5)</x:f>
        <x:v>30</x:v>
      </x:c>
      <x:c r="S5" t="str">
        <x:f>IF(A5="","",IF(AND(H5&gt;=1,H5&lt;=13,I5&gt;=1,I5&lt;=3),"OK","CHECK"))</x:f>
        <x:v>OK</x:v>
      </x:c>
      <x:c r="T5" t="str">
        <x:f>IF(A5="","",IF(ABS(K5-(J5*H5*I5*60))&lt;=0.5,"OK","CHECK"))</x:f>
        <x:v>OK</x:v>
      </x:c>
      <x:c r="U5" t="str">
        <x:f>IF(A5="","",IF(ABS(M5-(K5*L5))&lt;=1,"OK","CHECK"))</x:f>
        <x:v>OK</x:v>
      </x:c>
      <x:c r="V5" t="str">
        <x:f>IF(A5="","",IF(ABS(M5-N5-O5-P5)&lt;=1,"OK","CHECK"))</x:f>
        <x:v>OK</x:v>
      </x:c>
      <x:c r="W5" t="n">
        <x:f>IF(Q5="","",SUMIF(ProductionConfiguration!$B$5:$B$914,Q5,ProductionConfiguration!$S$5:$S$914))</x:f>
        <x:v>30</x:v>
      </x:c>
      <x:c r="X5" t="str">
        <x:f>IF(A5="","",IF(R5=W5,"OK","CHECK"))</x:f>
        <x:v>OK</x:v>
      </x:c>
      <x:c r="Y5" t="str">
        <x:f>IF(Q5="","",IF(COUNTIF($Q$5:$Q$100,Q5)=1,"OK","CHECK"))</x:f>
        <x:v>OK</x:v>
      </x:c>
      <x:c r="Z5" t="str">
        <x:f>IF(A5="","",IF(AND(S5="OK",T5="OK",U5="OK",V5="OK",X5="OK",Y5="OK"),"OK","CHECK"))</x:f>
        <x:v>OK</x:v>
      </x:c>
    </x:row>
    <x:row r="6" ht="18" customHeight="1">
      <x:c r="A6" s="12" t="s">
        <x:v>30</x:v>
      </x:c>
      <x:c r="B6" s="13">
        <x:v>45950</x:v>
      </x:c>
      <x:c r="C6" s="12" t="s">
        <x:v>79</x:v>
      </x:c>
      <x:c r="D6" s="12" t="s">
        <x:v>32</x:v>
      </x:c>
      <x:c r="E6" s="14">
        <x:v>21</x:v>
      </x:c>
      <x:c r="F6" s="12" t="s">
        <x:v>33</x:v>
      </x:c>
      <x:c r="G6" s="12" t="s">
        <x:v>78</x:v>
      </x:c>
      <x:c r="H6" s="14">
        <x:v>10</x:v>
      </x:c>
      <x:c r="I6" s="14">
        <x:v>3</x:v>
      </x:c>
      <x:c r="J6" s="14">
        <x:v>11</x:v>
      </x:c>
      <x:c r="K6" s="15">
        <x:v>19800</x:v>
      </x:c>
      <x:c r="L6" s="16">
        <x:v>11.55</x:v>
      </x:c>
      <x:c r="M6" s="15">
        <x:v>228690</x:v>
      </x:c>
      <x:c r="N6" s="15">
        <x:v>215868</x:v>
      </x:c>
      <x:c r="O6" s="15">
        <x:v>2247</x:v>
      </x:c>
      <x:c r="P6" s="15">
        <x:v>10575</x:v>
      </x:c>
      <x:c r="Q6" t="str">
        <x:f>IF(A6="","", "PE-"&amp;A6&amp;"-L"&amp;TEXT(E6,"00")&amp;"-"&amp;TEXT(B6,"yyyymmdd")&amp;"-"&amp;C6&amp;"-"&amp;F6)</x:f>
        <x:v>PE-KG01-L21-20251020-PM-ORD-2025-00019</x:v>
      </x:c>
      <x:c r="R6" t="n">
        <x:f>IF(A6="","",H6*I6)</x:f>
        <x:v>30</x:v>
      </x:c>
      <x:c r="S6" t="str">
        <x:f>IF(A6="","",IF(AND(H6&gt;=1,H6&lt;=13,I6&gt;=1,I6&lt;=3),"OK","CHECK"))</x:f>
        <x:v>OK</x:v>
      </x:c>
      <x:c r="T6" t="str">
        <x:f>IF(A6="","",IF(ABS(K6-(J6*H6*I6*60))&lt;=0.5,"OK","CHECK"))</x:f>
        <x:v>OK</x:v>
      </x:c>
      <x:c r="U6" t="str">
        <x:f>IF(A6="","",IF(ABS(M6-(K6*L6))&lt;=1,"OK","CHECK"))</x:f>
        <x:v>OK</x:v>
      </x:c>
      <x:c r="V6" t="str">
        <x:f>IF(A6="","",IF(ABS(M6-N6-O6-P6)&lt;=1,"OK","CHECK"))</x:f>
        <x:v>OK</x:v>
      </x:c>
      <x:c r="W6" t="n">
        <x:f>IF(Q6="","",SUMIF(ProductionConfiguration!$B$5:$B$914,Q6,ProductionConfiguration!$S$5:$S$914))</x:f>
        <x:v>30</x:v>
      </x:c>
      <x:c r="X6" t="str">
        <x:f>IF(A6="","",IF(R6=W6,"OK","CHECK"))</x:f>
        <x:v>OK</x:v>
      </x:c>
      <x:c r="Y6" t="str">
        <x:f>IF(Q6="","",IF(COUNTIF($Q$5:$Q$100,Q6)=1,"OK","CHECK"))</x:f>
        <x:v>OK</x:v>
      </x:c>
      <x:c r="Z6" t="str">
        <x:f>IF(A6="","",IF(AND(S6="OK",T6="OK",U6="OK",V6="OK",X6="OK",Y6="OK"),"OK","CHECK"))</x:f>
        <x:v>OK</x:v>
      </x:c>
    </x:row>
    <x:row r="7" ht="18" customHeight="1">
      <x:c r="A7" s="12" t="s">
        <x:v>30</x:v>
      </x:c>
      <x:c r="B7" s="13">
        <x:v>45951</x:v>
      </x:c>
      <x:c r="C7" s="12" t="s">
        <x:v>31</x:v>
      </x:c>
      <x:c r="D7" s="12" t="s">
        <x:v>32</x:v>
      </x:c>
      <x:c r="E7" s="14">
        <x:v>21</x:v>
      </x:c>
      <x:c r="F7" s="12" t="s">
        <x:v>34</x:v>
      </x:c>
      <x:c r="G7" s="12" t="s">
        <x:v>80</x:v>
      </x:c>
      <x:c r="H7" s="14">
        <x:v>10</x:v>
      </x:c>
      <x:c r="I7" s="14">
        <x:v>2</x:v>
      </x:c>
      <x:c r="J7" s="14">
        <x:v>10</x:v>
      </x:c>
      <x:c r="K7" s="15">
        <x:v>12000</x:v>
      </x:c>
      <x:c r="L7" s="16">
        <x:v>7.49</x:v>
      </x:c>
      <x:c r="M7" s="15">
        <x:v>89880</x:v>
      </x:c>
      <x:c r="N7" s="15">
        <x:v>79298</x:v>
      </x:c>
      <x:c r="O7" s="15">
        <x:v>1528</x:v>
      </x:c>
      <x:c r="P7" s="15">
        <x:v>9054</x:v>
      </x:c>
      <x:c r="Q7" t="str">
        <x:f>IF(A7="","", "PE-"&amp;A7&amp;"-L"&amp;TEXT(E7,"00")&amp;"-"&amp;TEXT(B7,"yyyymmdd")&amp;"-"&amp;C7&amp;"-"&amp;F7)</x:f>
        <x:v>PE-KG01-L21-20251021-AM-ORD-2025-00020</x:v>
      </x:c>
      <x:c r="R7" t="n">
        <x:f>IF(A7="","",H7*I7)</x:f>
        <x:v>20</x:v>
      </x:c>
      <x:c r="S7" t="str">
        <x:f>IF(A7="","",IF(AND(H7&gt;=1,H7&lt;=13,I7&gt;=1,I7&lt;=3),"OK","CHECK"))</x:f>
        <x:v>OK</x:v>
      </x:c>
      <x:c r="T7" t="str">
        <x:f>IF(A7="","",IF(ABS(K7-(J7*H7*I7*60))&lt;=0.5,"OK","CHECK"))</x:f>
        <x:v>OK</x:v>
      </x:c>
      <x:c r="U7" t="str">
        <x:f>IF(A7="","",IF(ABS(M7-(K7*L7))&lt;=1,"OK","CHECK"))</x:f>
        <x:v>OK</x:v>
      </x:c>
      <x:c r="V7" t="str">
        <x:f>IF(A7="","",IF(ABS(M7-N7-O7-P7)&lt;=1,"OK","CHECK"))</x:f>
        <x:v>OK</x:v>
      </x:c>
      <x:c r="W7" t="n">
        <x:f>IF(Q7="","",SUMIF(ProductionConfiguration!$B$5:$B$914,Q7,ProductionConfiguration!$S$5:$S$914))</x:f>
        <x:v>20</x:v>
      </x:c>
      <x:c r="X7" t="str">
        <x:f>IF(A7="","",IF(R7=W7,"OK","CHECK"))</x:f>
        <x:v>OK</x:v>
      </x:c>
      <x:c r="Y7" t="str">
        <x:f>IF(Q7="","",IF(COUNTIF($Q$5:$Q$100,Q7)=1,"OK","CHECK"))</x:f>
        <x:v>OK</x:v>
      </x:c>
      <x:c r="Z7" t="str">
        <x:f>IF(A7="","",IF(AND(S7="OK",T7="OK",U7="OK",V7="OK",X7="OK",Y7="OK"),"OK","CHECK"))</x:f>
        <x:v>OK</x:v>
      </x:c>
    </x:row>
    <x:row r="8" ht="18" customHeight="1">
      <x:c r="A8" s="12" t="s">
        <x:v>30</x:v>
      </x:c>
      <x:c r="B8" s="13">
        <x:v>45951</x:v>
      </x:c>
      <x:c r="C8" s="12" t="s">
        <x:v>79</x:v>
      </x:c>
      <x:c r="D8" s="12" t="s">
        <x:v>37</x:v>
      </x:c>
      <x:c r="E8" s="14">
        <x:v>21</x:v>
      </x:c>
      <x:c r="F8" s="12" t="s">
        <x:v>34</x:v>
      </x:c>
      <x:c r="G8" s="12" t="s">
        <x:v>78</x:v>
      </x:c>
      <x:c r="H8" s="14">
        <x:v>10</x:v>
      </x:c>
      <x:c r="I8" s="14">
        <x:v>2</x:v>
      </x:c>
      <x:c r="J8" s="14">
        <x:v>10</x:v>
      </x:c>
      <x:c r="K8" s="15">
        <x:v>12000</x:v>
      </x:c>
      <x:c r="L8" s="16">
        <x:v>11.62</x:v>
      </x:c>
      <x:c r="M8" s="15">
        <x:v>139440</x:v>
      </x:c>
      <x:c r="N8" s="15">
        <x:v>132234</x:v>
      </x:c>
      <x:c r="O8" s="15">
        <x:v>560</x:v>
      </x:c>
      <x:c r="P8" s="15">
        <x:v>6646</x:v>
      </x:c>
      <x:c r="Q8" t="str">
        <x:f>IF(A8="","", "PE-"&amp;A8&amp;"-L"&amp;TEXT(E8,"00")&amp;"-"&amp;TEXT(B8,"yyyymmdd")&amp;"-"&amp;C8&amp;"-"&amp;F8)</x:f>
        <x:v>PE-KG01-L21-20251021-PM-ORD-2025-00020</x:v>
      </x:c>
      <x:c r="R8" t="n">
        <x:f>IF(A8="","",H8*I8)</x:f>
        <x:v>20</x:v>
      </x:c>
      <x:c r="S8" t="str">
        <x:f>IF(A8="","",IF(AND(H8&gt;=1,H8&lt;=13,I8&gt;=1,I8&lt;=3),"OK","CHECK"))</x:f>
        <x:v>OK</x:v>
      </x:c>
      <x:c r="T8" t="str">
        <x:f>IF(A8="","",IF(ABS(K8-(J8*H8*I8*60))&lt;=0.5,"OK","CHECK"))</x:f>
        <x:v>OK</x:v>
      </x:c>
      <x:c r="U8" t="str">
        <x:f>IF(A8="","",IF(ABS(M8-(K8*L8))&lt;=1,"OK","CHECK"))</x:f>
        <x:v>OK</x:v>
      </x:c>
      <x:c r="V8" t="str">
        <x:f>IF(A8="","",IF(ABS(M8-N8-O8-P8)&lt;=1,"OK","CHECK"))</x:f>
        <x:v>OK</x:v>
      </x:c>
      <x:c r="W8" t="n">
        <x:f>IF(Q8="","",SUMIF(ProductionConfiguration!$B$5:$B$914,Q8,ProductionConfiguration!$S$5:$S$914))</x:f>
        <x:v>20</x:v>
      </x:c>
      <x:c r="X8" t="str">
        <x:f>IF(A8="","",IF(R8=W8,"OK","CHECK"))</x:f>
        <x:v>OK</x:v>
      </x:c>
      <x:c r="Y8" t="str">
        <x:f>IF(Q8="","",IF(COUNTIF($Q$5:$Q$100,Q8)=1,"OK","CHECK"))</x:f>
        <x:v>OK</x:v>
      </x:c>
      <x:c r="Z8" t="str">
        <x:f>IF(A8="","",IF(AND(S8="OK",T8="OK",U8="OK",V8="OK",X8="OK",Y8="OK"),"OK","CHECK"))</x:f>
        <x:v>OK</x:v>
      </x:c>
    </x:row>
    <x:row r="9" ht="18" customHeight="1">
      <x:c r="A9" s="12" t="s">
        <x:v>30</x:v>
      </x:c>
      <x:c r="B9" s="13">
        <x:v>45952</x:v>
      </x:c>
      <x:c r="C9" s="12" t="s">
        <x:v>31</x:v>
      </x:c>
      <x:c r="D9" s="12" t="s">
        <x:v>37</x:v>
      </x:c>
      <x:c r="E9" s="14">
        <x:v>21</x:v>
      </x:c>
      <x:c r="F9" s="12" t="s">
        <x:v>34</x:v>
      </x:c>
      <x:c r="G9" s="12" t="s">
        <x:v>78</x:v>
      </x:c>
      <x:c r="H9" s="14">
        <x:v>10</x:v>
      </x:c>
      <x:c r="I9" s="14">
        <x:v>2</x:v>
      </x:c>
      <x:c r="J9" s="14">
        <x:v>9</x:v>
      </x:c>
      <x:c r="K9" s="15">
        <x:v>10800</x:v>
      </x:c>
      <x:c r="L9" s="16">
        <x:v>11.54</x:v>
      </x:c>
      <x:c r="M9" s="15">
        <x:v>124632</x:v>
      </x:c>
      <x:c r="N9" s="15">
        <x:v>116395</x:v>
      </x:c>
      <x:c r="O9" s="15">
        <x:v>1286</x:v>
      </x:c>
      <x:c r="P9" s="15">
        <x:v>6951</x:v>
      </x:c>
      <x:c r="Q9" t="str">
        <x:f>IF(A9="","", "PE-"&amp;A9&amp;"-L"&amp;TEXT(E9,"00")&amp;"-"&amp;TEXT(B9,"yyyymmdd")&amp;"-"&amp;C9&amp;"-"&amp;F9)</x:f>
        <x:v>PE-KG01-L21-20251022-AM-ORD-2025-00020</x:v>
      </x:c>
      <x:c r="R9" t="n">
        <x:f>IF(A9="","",H9*I9)</x:f>
        <x:v>20</x:v>
      </x:c>
      <x:c r="S9" t="str">
        <x:f>IF(A9="","",IF(AND(H9&gt;=1,H9&lt;=13,I9&gt;=1,I9&lt;=3),"OK","CHECK"))</x:f>
        <x:v>OK</x:v>
      </x:c>
      <x:c r="T9" t="str">
        <x:f>IF(A9="","",IF(ABS(K9-(J9*H9*I9*60))&lt;=0.5,"OK","CHECK"))</x:f>
        <x:v>OK</x:v>
      </x:c>
      <x:c r="U9" t="str">
        <x:f>IF(A9="","",IF(ABS(M9-(K9*L9))&lt;=1,"OK","CHECK"))</x:f>
        <x:v>OK</x:v>
      </x:c>
      <x:c r="V9" t="str">
        <x:f>IF(A9="","",IF(ABS(M9-N9-O9-P9)&lt;=1,"OK","CHECK"))</x:f>
        <x:v>OK</x:v>
      </x:c>
      <x:c r="W9" t="n">
        <x:f>IF(Q9="","",SUMIF(ProductionConfiguration!$B$5:$B$914,Q9,ProductionConfiguration!$S$5:$S$914))</x:f>
        <x:v>20</x:v>
      </x:c>
      <x:c r="X9" t="str">
        <x:f>IF(A9="","",IF(R9=W9,"OK","CHECK"))</x:f>
        <x:v>OK</x:v>
      </x:c>
      <x:c r="Y9" t="str">
        <x:f>IF(Q9="","",IF(COUNTIF($Q$5:$Q$100,Q9)=1,"OK","CHECK"))</x:f>
        <x:v>OK</x:v>
      </x:c>
      <x:c r="Z9" t="str">
        <x:f>IF(A9="","",IF(AND(S9="OK",T9="OK",U9="OK",V9="OK",X9="OK",Y9="OK"),"OK","CHECK"))</x:f>
        <x:v>OK</x:v>
      </x:c>
    </x:row>
    <x:row r="10" ht="18" customHeight="1">
      <x:c r="A10" s="12" t="s">
        <x:v>30</x:v>
      </x:c>
      <x:c r="B10" s="13">
        <x:v>45952</x:v>
      </x:c>
      <x:c r="C10" s="12" t="s">
        <x:v>79</x:v>
      </x:c>
      <x:c r="D10" s="12" t="s">
        <x:v>41</x:v>
      </x:c>
      <x:c r="E10" s="14">
        <x:v>21</x:v>
      </x:c>
      <x:c r="F10" s="12" t="s">
        <x:v>34</x:v>
      </x:c>
      <x:c r="G10" s="12" t="s">
        <x:v>78</x:v>
      </x:c>
      <x:c r="H10" s="14">
        <x:v>10</x:v>
      </x:c>
      <x:c r="I10" s="14">
        <x:v>2</x:v>
      </x:c>
      <x:c r="J10" s="14">
        <x:v>11</x:v>
      </x:c>
      <x:c r="K10" s="15">
        <x:v>13200</x:v>
      </x:c>
      <x:c r="L10" s="16">
        <x:v>11.68</x:v>
      </x:c>
      <x:c r="M10" s="15">
        <x:v>154176</x:v>
      </x:c>
      <x:c r="N10" s="15">
        <x:v>146166</x:v>
      </x:c>
      <x:c r="O10" s="15">
        <x:v>1622</x:v>
      </x:c>
      <x:c r="P10" s="15">
        <x:v>6388</x:v>
      </x:c>
      <x:c r="Q10" t="str">
        <x:f>IF(A10="","", "PE-"&amp;A10&amp;"-L"&amp;TEXT(E10,"00")&amp;"-"&amp;TEXT(B10,"yyyymmdd")&amp;"-"&amp;C10&amp;"-"&amp;F10)</x:f>
        <x:v>PE-KG01-L21-20251022-PM-ORD-2025-00020</x:v>
      </x:c>
      <x:c r="R10" t="n">
        <x:f>IF(A10="","",H10*I10)</x:f>
        <x:v>20</x:v>
      </x:c>
      <x:c r="S10" t="str">
        <x:f>IF(A10="","",IF(AND(H10&gt;=1,H10&lt;=13,I10&gt;=1,I10&lt;=3),"OK","CHECK"))</x:f>
        <x:v>OK</x:v>
      </x:c>
      <x:c r="T10" t="str">
        <x:f>IF(A10="","",IF(ABS(K10-(J10*H10*I10*60))&lt;=0.5,"OK","CHECK"))</x:f>
        <x:v>OK</x:v>
      </x:c>
      <x:c r="U10" t="str">
        <x:f>IF(A10="","",IF(ABS(M10-(K10*L10))&lt;=1,"OK","CHECK"))</x:f>
        <x:v>OK</x:v>
      </x:c>
      <x:c r="V10" t="str">
        <x:f>IF(A10="","",IF(ABS(M10-N10-O10-P10)&lt;=1,"OK","CHECK"))</x:f>
        <x:v>OK</x:v>
      </x:c>
      <x:c r="W10" t="n">
        <x:f>IF(Q10="","",SUMIF(ProductionConfiguration!$B$5:$B$914,Q10,ProductionConfiguration!$S$5:$S$914))</x:f>
        <x:v>20</x:v>
      </x:c>
      <x:c r="X10" t="str">
        <x:f>IF(A10="","",IF(R10=W10,"OK","CHECK"))</x:f>
        <x:v>OK</x:v>
      </x:c>
      <x:c r="Y10" t="str">
        <x:f>IF(Q10="","",IF(COUNTIF($Q$5:$Q$100,Q10)=1,"OK","CHECK"))</x:f>
        <x:v>OK</x:v>
      </x:c>
      <x:c r="Z10" t="str">
        <x:f>IF(A10="","",IF(AND(S10="OK",T10="OK",U10="OK",V10="OK",X10="OK",Y10="OK"),"OK","CHECK"))</x:f>
        <x:v>OK</x:v>
      </x:c>
    </x:row>
    <x:row r="11" ht="18" customHeight="1">
      <x:c r="A11" s="12" t="s">
        <x:v>30</x:v>
      </x:c>
      <x:c r="B11" s="13">
        <x:v>45953</x:v>
      </x:c>
      <x:c r="C11" s="12" t="s">
        <x:v>31</x:v>
      </x:c>
      <x:c r="D11" s="12" t="s">
        <x:v>41</x:v>
      </x:c>
      <x:c r="E11" s="14">
        <x:v>21</x:v>
      </x:c>
      <x:c r="F11" s="12" t="s">
        <x:v>34</x:v>
      </x:c>
      <x:c r="G11" s="12" t="s">
        <x:v>78</x:v>
      </x:c>
      <x:c r="H11" s="14">
        <x:v>10</x:v>
      </x:c>
      <x:c r="I11" s="14">
        <x:v>2</x:v>
      </x:c>
      <x:c r="J11" s="14">
        <x:v>10</x:v>
      </x:c>
      <x:c r="K11" s="15">
        <x:v>12000</x:v>
      </x:c>
      <x:c r="L11" s="16">
        <x:v>11.45</x:v>
      </x:c>
      <x:c r="M11" s="15">
        <x:v>137400</x:v>
      </x:c>
      <x:c r="N11" s="15">
        <x:v>130459</x:v>
      </x:c>
      <x:c r="O11" s="15">
        <x:v>1515</x:v>
      </x:c>
      <x:c r="P11" s="15">
        <x:v>5426</x:v>
      </x:c>
      <x:c r="Q11" t="str">
        <x:f>IF(A11="","", "PE-"&amp;A11&amp;"-L"&amp;TEXT(E11,"00")&amp;"-"&amp;TEXT(B11,"yyyymmdd")&amp;"-"&amp;C11&amp;"-"&amp;F11)</x:f>
        <x:v>PE-KG01-L21-20251023-AM-ORD-2025-00020</x:v>
      </x:c>
      <x:c r="R11" t="n">
        <x:f>IF(A11="","",H11*I11)</x:f>
        <x:v>20</x:v>
      </x:c>
      <x:c r="S11" t="str">
        <x:f>IF(A11="","",IF(AND(H11&gt;=1,H11&lt;=13,I11&gt;=1,I11&lt;=3),"OK","CHECK"))</x:f>
        <x:v>OK</x:v>
      </x:c>
      <x:c r="T11" t="str">
        <x:f>IF(A11="","",IF(ABS(K11-(J11*H11*I11*60))&lt;=0.5,"OK","CHECK"))</x:f>
        <x:v>OK</x:v>
      </x:c>
      <x:c r="U11" t="str">
        <x:f>IF(A11="","",IF(ABS(M11-(K11*L11))&lt;=1,"OK","CHECK"))</x:f>
        <x:v>OK</x:v>
      </x:c>
      <x:c r="V11" t="str">
        <x:f>IF(A11="","",IF(ABS(M11-N11-O11-P11)&lt;=1,"OK","CHECK"))</x:f>
        <x:v>OK</x:v>
      </x:c>
      <x:c r="W11" t="n">
        <x:f>IF(Q11="","",SUMIF(ProductionConfiguration!$B$5:$B$914,Q11,ProductionConfiguration!$S$5:$S$914))</x:f>
        <x:v>20</x:v>
      </x:c>
      <x:c r="X11" t="str">
        <x:f>IF(A11="","",IF(R11=W11,"OK","CHECK"))</x:f>
        <x:v>OK</x:v>
      </x:c>
      <x:c r="Y11" t="str">
        <x:f>IF(Q11="","",IF(COUNTIF($Q$5:$Q$100,Q11)=1,"OK","CHECK"))</x:f>
        <x:v>OK</x:v>
      </x:c>
      <x:c r="Z11" t="str">
        <x:f>IF(A11="","",IF(AND(S11="OK",T11="OK",U11="OK",V11="OK",X11="OK",Y11="OK"),"OK","CHECK"))</x:f>
        <x:v>OK</x:v>
      </x:c>
    </x:row>
    <x:row r="12" ht="18" customHeight="1">
      <x:c r="A12" s="12" t="s">
        <x:v>30</x:v>
      </x:c>
      <x:c r="B12" s="13">
        <x:v>45953</x:v>
      </x:c>
      <x:c r="C12" s="12" t="s">
        <x:v>79</x:v>
      </x:c>
      <x:c r="D12" s="12" t="s">
        <x:v>32</x:v>
      </x:c>
      <x:c r="E12" s="14">
        <x:v>21</x:v>
      </x:c>
      <x:c r="F12" s="12" t="s">
        <x:v>34</x:v>
      </x:c>
      <x:c r="G12" s="12" t="s">
        <x:v>78</x:v>
      </x:c>
      <x:c r="H12" s="14">
        <x:v>10</x:v>
      </x:c>
      <x:c r="I12" s="14">
        <x:v>2</x:v>
      </x:c>
      <x:c r="J12" s="14">
        <x:v>9</x:v>
      </x:c>
      <x:c r="K12" s="15">
        <x:v>10800</x:v>
      </x:c>
      <x:c r="L12" s="16">
        <x:v>11.69</x:v>
      </x:c>
      <x:c r="M12" s="15">
        <x:v>126252</x:v>
      </x:c>
      <x:c r="N12" s="15">
        <x:v>121745</x:v>
      </x:c>
      <x:c r="O12" s="15">
        <x:v>957</x:v>
      </x:c>
      <x:c r="P12" s="15">
        <x:v>3550</x:v>
      </x:c>
      <x:c r="Q12" t="str">
        <x:f>IF(A12="","", "PE-"&amp;A12&amp;"-L"&amp;TEXT(E12,"00")&amp;"-"&amp;TEXT(B12,"yyyymmdd")&amp;"-"&amp;C12&amp;"-"&amp;F12)</x:f>
        <x:v>PE-KG01-L21-20251023-PM-ORD-2025-00020</x:v>
      </x:c>
      <x:c r="R12" t="n">
        <x:f>IF(A12="","",H12*I12)</x:f>
        <x:v>20</x:v>
      </x:c>
      <x:c r="S12" t="str">
        <x:f>IF(A12="","",IF(AND(H12&gt;=1,H12&lt;=13,I12&gt;=1,I12&lt;=3),"OK","CHECK"))</x:f>
        <x:v>OK</x:v>
      </x:c>
      <x:c r="T12" t="str">
        <x:f>IF(A12="","",IF(ABS(K12-(J12*H12*I12*60))&lt;=0.5,"OK","CHECK"))</x:f>
        <x:v>OK</x:v>
      </x:c>
      <x:c r="U12" t="str">
        <x:f>IF(A12="","",IF(ABS(M12-(K12*L12))&lt;=1,"OK","CHECK"))</x:f>
        <x:v>OK</x:v>
      </x:c>
      <x:c r="V12" t="str">
        <x:f>IF(A12="","",IF(ABS(M12-N12-O12-P12)&lt;=1,"OK","CHECK"))</x:f>
        <x:v>OK</x:v>
      </x:c>
      <x:c r="W12" t="n">
        <x:f>IF(Q12="","",SUMIF(ProductionConfiguration!$B$5:$B$914,Q12,ProductionConfiguration!$S$5:$S$914))</x:f>
        <x:v>20</x:v>
      </x:c>
      <x:c r="X12" t="str">
        <x:f>IF(A12="","",IF(R12=W12,"OK","CHECK"))</x:f>
        <x:v>OK</x:v>
      </x:c>
      <x:c r="Y12" t="str">
        <x:f>IF(Q12="","",IF(COUNTIF($Q$5:$Q$100,Q12)=1,"OK","CHECK"))</x:f>
        <x:v>OK</x:v>
      </x:c>
      <x:c r="Z12" t="str">
        <x:f>IF(A12="","",IF(AND(S12="OK",T12="OK",U12="OK",V12="OK",X12="OK",Y12="OK"),"OK","CHECK"))</x:f>
        <x:v>OK</x:v>
      </x:c>
    </x:row>
    <x:row r="13" ht="18" customHeight="1">
      <x:c r="A13" s="12" t="s">
        <x:v>30</x:v>
      </x:c>
      <x:c r="B13" s="13">
        <x:v>45954</x:v>
      </x:c>
      <x:c r="C13" s="12" t="s">
        <x:v>31</x:v>
      </x:c>
      <x:c r="D13" s="12" t="s">
        <x:v>32</x:v>
      </x:c>
      <x:c r="E13" s="14">
        <x:v>21</x:v>
      </x:c>
      <x:c r="F13" s="12" t="s">
        <x:v>34</x:v>
      </x:c>
      <x:c r="G13" s="12" t="s">
        <x:v>78</x:v>
      </x:c>
      <x:c r="H13" s="14">
        <x:v>10</x:v>
      </x:c>
      <x:c r="I13" s="14">
        <x:v>2</x:v>
      </x:c>
      <x:c r="J13" s="14">
        <x:v>11</x:v>
      </x:c>
      <x:c r="K13" s="15">
        <x:v>13200</x:v>
      </x:c>
      <x:c r="L13" s="16">
        <x:v>11.74</x:v>
      </x:c>
      <x:c r="M13" s="15">
        <x:v>154968</x:v>
      </x:c>
      <x:c r="N13" s="15">
        <x:v>147296</x:v>
      </x:c>
      <x:c r="O13" s="15">
        <x:v>3173</x:v>
      </x:c>
      <x:c r="P13" s="15">
        <x:v>4499</x:v>
      </x:c>
      <x:c r="Q13" t="str">
        <x:f>IF(A13="","", "PE-"&amp;A13&amp;"-L"&amp;TEXT(E13,"00")&amp;"-"&amp;TEXT(B13,"yyyymmdd")&amp;"-"&amp;C13&amp;"-"&amp;F13)</x:f>
        <x:v>PE-KG01-L21-20251024-AM-ORD-2025-00020</x:v>
      </x:c>
      <x:c r="R13" t="n">
        <x:f>IF(A13="","",H13*I13)</x:f>
        <x:v>20</x:v>
      </x:c>
      <x:c r="S13" t="str">
        <x:f>IF(A13="","",IF(AND(H13&gt;=1,H13&lt;=13,I13&gt;=1,I13&lt;=3),"OK","CHECK"))</x:f>
        <x:v>OK</x:v>
      </x:c>
      <x:c r="T13" t="str">
        <x:f>IF(A13="","",IF(ABS(K13-(J13*H13*I13*60))&lt;=0.5,"OK","CHECK"))</x:f>
        <x:v>OK</x:v>
      </x:c>
      <x:c r="U13" t="str">
        <x:f>IF(A13="","",IF(ABS(M13-(K13*L13))&lt;=1,"OK","CHECK"))</x:f>
        <x:v>OK</x:v>
      </x:c>
      <x:c r="V13" t="str">
        <x:f>IF(A13="","",IF(ABS(M13-N13-O13-P13)&lt;=1,"OK","CHECK"))</x:f>
        <x:v>OK</x:v>
      </x:c>
      <x:c r="W13" t="n">
        <x:f>IF(Q13="","",SUMIF(ProductionConfiguration!$B$5:$B$914,Q13,ProductionConfiguration!$S$5:$S$914))</x:f>
        <x:v>20</x:v>
      </x:c>
      <x:c r="X13" t="str">
        <x:f>IF(A13="","",IF(R13=W13,"OK","CHECK"))</x:f>
        <x:v>OK</x:v>
      </x:c>
      <x:c r="Y13" t="str">
        <x:f>IF(Q13="","",IF(COUNTIF($Q$5:$Q$100,Q13)=1,"OK","CHECK"))</x:f>
        <x:v>OK</x:v>
      </x:c>
      <x:c r="Z13" t="str">
        <x:f>IF(A13="","",IF(AND(S13="OK",T13="OK",U13="OK",V13="OK",X13="OK",Y13="OK"),"OK","CHECK"))</x:f>
        <x:v>OK</x:v>
      </x:c>
    </x:row>
    <x:row r="14" ht="18" customHeight="1">
      <x:c r="A14" s="12" t="s">
        <x:v>30</x:v>
      </x:c>
      <x:c r="B14" s="13">
        <x:v>45954</x:v>
      </x:c>
      <x:c r="C14" s="12" t="s">
        <x:v>79</x:v>
      </x:c>
      <x:c r="D14" s="12" t="s">
        <x:v>37</x:v>
      </x:c>
      <x:c r="E14" s="14">
        <x:v>21</x:v>
      </x:c>
      <x:c r="F14" s="12" t="s">
        <x:v>34</x:v>
      </x:c>
      <x:c r="G14" s="12" t="s">
        <x:v>78</x:v>
      </x:c>
      <x:c r="H14" s="14">
        <x:v>10</x:v>
      </x:c>
      <x:c r="I14" s="14">
        <x:v>2</x:v>
      </x:c>
      <x:c r="J14" s="14">
        <x:v>9</x:v>
      </x:c>
      <x:c r="K14" s="15">
        <x:v>10800</x:v>
      </x:c>
      <x:c r="L14" s="16">
        <x:v>11.45</x:v>
      </x:c>
      <x:c r="M14" s="15">
        <x:v>123660</x:v>
      </x:c>
      <x:c r="N14" s="15">
        <x:v>119226</x:v>
      </x:c>
      <x:c r="O14" s="15">
        <x:v>675</x:v>
      </x:c>
      <x:c r="P14" s="15">
        <x:v>3759</x:v>
      </x:c>
      <x:c r="Q14" t="str">
        <x:f>IF(A14="","", "PE-"&amp;A14&amp;"-L"&amp;TEXT(E14,"00")&amp;"-"&amp;TEXT(B14,"yyyymmdd")&amp;"-"&amp;C14&amp;"-"&amp;F14)</x:f>
        <x:v>PE-KG01-L21-20251024-PM-ORD-2025-00020</x:v>
      </x:c>
      <x:c r="R14" t="n">
        <x:f>IF(A14="","",H14*I14)</x:f>
        <x:v>20</x:v>
      </x:c>
      <x:c r="S14" t="str">
        <x:f>IF(A14="","",IF(AND(H14&gt;=1,H14&lt;=13,I14&gt;=1,I14&lt;=3),"OK","CHECK"))</x:f>
        <x:v>OK</x:v>
      </x:c>
      <x:c r="T14" t="str">
        <x:f>IF(A14="","",IF(ABS(K14-(J14*H14*I14*60))&lt;=0.5,"OK","CHECK"))</x:f>
        <x:v>OK</x:v>
      </x:c>
      <x:c r="U14" t="str">
        <x:f>IF(A14="","",IF(ABS(M14-(K14*L14))&lt;=1,"OK","CHECK"))</x:f>
        <x:v>OK</x:v>
      </x:c>
      <x:c r="V14" t="str">
        <x:f>IF(A14="","",IF(ABS(M14-N14-O14-P14)&lt;=1,"OK","CHECK"))</x:f>
        <x:v>OK</x:v>
      </x:c>
      <x:c r="W14" t="n">
        <x:f>IF(Q14="","",SUMIF(ProductionConfiguration!$B$5:$B$914,Q14,ProductionConfiguration!$S$5:$S$914))</x:f>
        <x:v>20</x:v>
      </x:c>
      <x:c r="X14" t="str">
        <x:f>IF(A14="","",IF(R14=W14,"OK","CHECK"))</x:f>
        <x:v>OK</x:v>
      </x:c>
      <x:c r="Y14" t="str">
        <x:f>IF(Q14="","",IF(COUNTIF($Q$5:$Q$100,Q14)=1,"OK","CHECK"))</x:f>
        <x:v>OK</x:v>
      </x:c>
      <x:c r="Z14" t="str">
        <x:f>IF(A14="","",IF(AND(S14="OK",T14="OK",U14="OK",V14="OK",X14="OK",Y14="OK"),"OK","CHECK"))</x:f>
        <x:v>OK</x:v>
      </x:c>
    </x:row>
    <x:row r="15" ht="18" customHeight="1">
      <x:c r="A15" s="12" t="s">
        <x:v>30</x:v>
      </x:c>
      <x:c r="B15" s="13">
        <x:v>45955</x:v>
      </x:c>
      <x:c r="C15" s="12" t="s">
        <x:v>31</x:v>
      </x:c>
      <x:c r="D15" s="12" t="s">
        <x:v>37</x:v>
      </x:c>
      <x:c r="E15" s="14">
        <x:v>21</x:v>
      </x:c>
      <x:c r="F15" s="12" t="s">
        <x:v>38</x:v>
      </x:c>
      <x:c r="G15" s="12" t="s">
        <x:v>80</x:v>
      </x:c>
      <x:c r="H15" s="14">
        <x:v>10</x:v>
      </x:c>
      <x:c r="I15" s="14">
        <x:v>3</x:v>
      </x:c>
      <x:c r="J15" s="14">
        <x:v>11</x:v>
      </x:c>
      <x:c r="K15" s="15">
        <x:v>19800</x:v>
      </x:c>
      <x:c r="L15" s="16">
        <x:v>6.62</x:v>
      </x:c>
      <x:c r="M15" s="15">
        <x:v>131076</x:v>
      </x:c>
      <x:c r="N15" s="15">
        <x:v>114150</x:v>
      </x:c>
      <x:c r="O15" s="15">
        <x:v>2878</x:v>
      </x:c>
      <x:c r="P15" s="15">
        <x:v>14048</x:v>
      </x:c>
      <x:c r="Q15" t="str">
        <x:f>IF(A15="","", "PE-"&amp;A15&amp;"-L"&amp;TEXT(E15,"00")&amp;"-"&amp;TEXT(B15,"yyyymmdd")&amp;"-"&amp;C15&amp;"-"&amp;F15)</x:f>
        <x:v>PE-KG01-L21-20251025-AM-ORD-2025-00021</x:v>
      </x:c>
      <x:c r="R15" t="n">
        <x:f>IF(A15="","",H15*I15)</x:f>
        <x:v>30</x:v>
      </x:c>
      <x:c r="S15" t="str">
        <x:f>IF(A15="","",IF(AND(H15&gt;=1,H15&lt;=13,I15&gt;=1,I15&lt;=3),"OK","CHECK"))</x:f>
        <x:v>OK</x:v>
      </x:c>
      <x:c r="T15" t="str">
        <x:f>IF(A15="","",IF(ABS(K15-(J15*H15*I15*60))&lt;=0.5,"OK","CHECK"))</x:f>
        <x:v>OK</x:v>
      </x:c>
      <x:c r="U15" t="str">
        <x:f>IF(A15="","",IF(ABS(M15-(K15*L15))&lt;=1,"OK","CHECK"))</x:f>
        <x:v>OK</x:v>
      </x:c>
      <x:c r="V15" t="str">
        <x:f>IF(A15="","",IF(ABS(M15-N15-O15-P15)&lt;=1,"OK","CHECK"))</x:f>
        <x:v>OK</x:v>
      </x:c>
      <x:c r="W15" t="n">
        <x:f>IF(Q15="","",SUMIF(ProductionConfiguration!$B$5:$B$914,Q15,ProductionConfiguration!$S$5:$S$914))</x:f>
        <x:v>30</x:v>
      </x:c>
      <x:c r="X15" t="str">
        <x:f>IF(A15="","",IF(R15=W15,"OK","CHECK"))</x:f>
        <x:v>OK</x:v>
      </x:c>
      <x:c r="Y15" t="str">
        <x:f>IF(Q15="","",IF(COUNTIF($Q$5:$Q$100,Q15)=1,"OK","CHECK"))</x:f>
        <x:v>OK</x:v>
      </x:c>
      <x:c r="Z15" t="str">
        <x:f>IF(A15="","",IF(AND(S15="OK",T15="OK",U15="OK",V15="OK",X15="OK",Y15="OK"),"OK","CHECK"))</x:f>
        <x:v>OK</x:v>
      </x:c>
    </x:row>
    <x:row r="16" ht="18" customHeight="1">
      <x:c r="A16" s="12" t="s">
        <x:v>30</x:v>
      </x:c>
      <x:c r="B16" s="13">
        <x:v>45955</x:v>
      </x:c>
      <x:c r="C16" s="12" t="s">
        <x:v>79</x:v>
      </x:c>
      <x:c r="D16" s="12" t="s">
        <x:v>41</x:v>
      </x:c>
      <x:c r="E16" s="14">
        <x:v>21</x:v>
      </x:c>
      <x:c r="F16" s="12" t="s">
        <x:v>38</x:v>
      </x:c>
      <x:c r="G16" s="12" t="s">
        <x:v>78</x:v>
      </x:c>
      <x:c r="H16" s="14">
        <x:v>10</x:v>
      </x:c>
      <x:c r="I16" s="14">
        <x:v>3</x:v>
      </x:c>
      <x:c r="J16" s="14">
        <x:v>13</x:v>
      </x:c>
      <x:c r="K16" s="15">
        <x:v>23400</x:v>
      </x:c>
      <x:c r="L16" s="16">
        <x:v>11.64</x:v>
      </x:c>
      <x:c r="M16" s="15">
        <x:v>272376</x:v>
      </x:c>
      <x:c r="N16" s="15">
        <x:v>255880</x:v>
      </x:c>
      <x:c r="O16" s="15">
        <x:v>2961</x:v>
      </x:c>
      <x:c r="P16" s="15">
        <x:v>13535</x:v>
      </x:c>
      <x:c r="Q16" t="str">
        <x:f>IF(A16="","", "PE-"&amp;A16&amp;"-L"&amp;TEXT(E16,"00")&amp;"-"&amp;TEXT(B16,"yyyymmdd")&amp;"-"&amp;C16&amp;"-"&amp;F16)</x:f>
        <x:v>PE-KG01-L21-20251025-PM-ORD-2025-00021</x:v>
      </x:c>
      <x:c r="R16" t="n">
        <x:f>IF(A16="","",H16*I16)</x:f>
        <x:v>30</x:v>
      </x:c>
      <x:c r="S16" t="str">
        <x:f>IF(A16="","",IF(AND(H16&gt;=1,H16&lt;=13,I16&gt;=1,I16&lt;=3),"OK","CHECK"))</x:f>
        <x:v>OK</x:v>
      </x:c>
      <x:c r="T16" t="str">
        <x:f>IF(A16="","",IF(ABS(K16-(J16*H16*I16*60))&lt;=0.5,"OK","CHECK"))</x:f>
        <x:v>OK</x:v>
      </x:c>
      <x:c r="U16" t="str">
        <x:f>IF(A16="","",IF(ABS(M16-(K16*L16))&lt;=1,"OK","CHECK"))</x:f>
        <x:v>OK</x:v>
      </x:c>
      <x:c r="V16" t="str">
        <x:f>IF(A16="","",IF(ABS(M16-N16-O16-P16)&lt;=1,"OK","CHECK"))</x:f>
        <x:v>OK</x:v>
      </x:c>
      <x:c r="W16" t="n">
        <x:f>IF(Q16="","",SUMIF(ProductionConfiguration!$B$5:$B$914,Q16,ProductionConfiguration!$S$5:$S$914))</x:f>
        <x:v>30</x:v>
      </x:c>
      <x:c r="X16" t="str">
        <x:f>IF(A16="","",IF(R16=W16,"OK","CHECK"))</x:f>
        <x:v>OK</x:v>
      </x:c>
      <x:c r="Y16" t="str">
        <x:f>IF(Q16="","",IF(COUNTIF($Q$5:$Q$100,Q16)=1,"OK","CHECK"))</x:f>
        <x:v>OK</x:v>
      </x:c>
      <x:c r="Z16" t="str">
        <x:f>IF(A16="","",IF(AND(S16="OK",T16="OK",U16="OK",V16="OK",X16="OK",Y16="OK"),"OK","CHECK"))</x:f>
        <x:v>OK</x:v>
      </x:c>
    </x:row>
    <x:row r="17" ht="18" customHeight="1">
      <x:c r="A17" s="12" t="s">
        <x:v>30</x:v>
      </x:c>
      <x:c r="B17" s="13">
        <x:v>45956</x:v>
      </x:c>
      <x:c r="C17" s="12" t="s">
        <x:v>31</x:v>
      </x:c>
      <x:c r="D17" s="12" t="s">
        <x:v>41</x:v>
      </x:c>
      <x:c r="E17" s="14">
        <x:v>21</x:v>
      </x:c>
      <x:c r="F17" s="12" t="s">
        <x:v>38</x:v>
      </x:c>
      <x:c r="G17" s="12" t="s">
        <x:v>78</x:v>
      </x:c>
      <x:c r="H17" s="14">
        <x:v>10</x:v>
      </x:c>
      <x:c r="I17" s="14">
        <x:v>3</x:v>
      </x:c>
      <x:c r="J17" s="14">
        <x:v>13</x:v>
      </x:c>
      <x:c r="K17" s="15">
        <x:v>23400</x:v>
      </x:c>
      <x:c r="L17" s="16">
        <x:v>11.79</x:v>
      </x:c>
      <x:c r="M17" s="15">
        <x:v>275886</x:v>
      </x:c>
      <x:c r="N17" s="15">
        <x:v>261076</x:v>
      </x:c>
      <x:c r="O17" s="15">
        <x:v>1888</x:v>
      </x:c>
      <x:c r="P17" s="15">
        <x:v>12922</x:v>
      </x:c>
      <x:c r="Q17" t="str">
        <x:f>IF(A17="","", "PE-"&amp;A17&amp;"-L"&amp;TEXT(E17,"00")&amp;"-"&amp;TEXT(B17,"yyyymmdd")&amp;"-"&amp;C17&amp;"-"&amp;F17)</x:f>
        <x:v>PE-KG01-L21-20251026-AM-ORD-2025-00021</x:v>
      </x:c>
      <x:c r="R17" t="n">
        <x:f>IF(A17="","",H17*I17)</x:f>
        <x:v>30</x:v>
      </x:c>
      <x:c r="S17" t="str">
        <x:f>IF(A17="","",IF(AND(H17&gt;=1,H17&lt;=13,I17&gt;=1,I17&lt;=3),"OK","CHECK"))</x:f>
        <x:v>OK</x:v>
      </x:c>
      <x:c r="T17" t="str">
        <x:f>IF(A17="","",IF(ABS(K17-(J17*H17*I17*60))&lt;=0.5,"OK","CHECK"))</x:f>
        <x:v>OK</x:v>
      </x:c>
      <x:c r="U17" t="str">
        <x:f>IF(A17="","",IF(ABS(M17-(K17*L17))&lt;=1,"OK","CHECK"))</x:f>
        <x:v>OK</x:v>
      </x:c>
      <x:c r="V17" t="str">
        <x:f>IF(A17="","",IF(ABS(M17-N17-O17-P17)&lt;=1,"OK","CHECK"))</x:f>
        <x:v>OK</x:v>
      </x:c>
      <x:c r="W17" t="n">
        <x:f>IF(Q17="","",SUMIF(ProductionConfiguration!$B$5:$B$914,Q17,ProductionConfiguration!$S$5:$S$914))</x:f>
        <x:v>30</x:v>
      </x:c>
      <x:c r="X17" t="str">
        <x:f>IF(A17="","",IF(R17=W17,"OK","CHECK"))</x:f>
        <x:v>OK</x:v>
      </x:c>
      <x:c r="Y17" t="str">
        <x:f>IF(Q17="","",IF(COUNTIF($Q$5:$Q$100,Q17)=1,"OK","CHECK"))</x:f>
        <x:v>OK</x:v>
      </x:c>
      <x:c r="Z17" t="str">
        <x:f>IF(A17="","",IF(AND(S17="OK",T17="OK",U17="OK",V17="OK",X17="OK",Y17="OK"),"OK","CHECK"))</x:f>
        <x:v>OK</x:v>
      </x:c>
    </x:row>
    <x:row r="18" ht="18" customHeight="1">
      <x:c r="A18" s="12" t="s">
        <x:v>30</x:v>
      </x:c>
      <x:c r="B18" s="13">
        <x:v>45956</x:v>
      </x:c>
      <x:c r="C18" s="12" t="s">
        <x:v>79</x:v>
      </x:c>
      <x:c r="D18" s="12" t="s">
        <x:v>32</x:v>
      </x:c>
      <x:c r="E18" s="14">
        <x:v>21</x:v>
      </x:c>
      <x:c r="F18" s="12" t="s">
        <x:v>38</x:v>
      </x:c>
      <x:c r="G18" s="12" t="s">
        <x:v>78</x:v>
      </x:c>
      <x:c r="H18" s="14">
        <x:v>10</x:v>
      </x:c>
      <x:c r="I18" s="14">
        <x:v>3</x:v>
      </x:c>
      <x:c r="J18" s="14">
        <x:v>13</x:v>
      </x:c>
      <x:c r="K18" s="15">
        <x:v>23400</x:v>
      </x:c>
      <x:c r="L18" s="16">
        <x:v>11.82</x:v>
      </x:c>
      <x:c r="M18" s="15">
        <x:v>276588</x:v>
      </x:c>
      <x:c r="N18" s="15">
        <x:v>265080</x:v>
      </x:c>
      <x:c r="O18" s="15">
        <x:v>553</x:v>
      </x:c>
      <x:c r="P18" s="15">
        <x:v>10955</x:v>
      </x:c>
      <x:c r="Q18" t="str">
        <x:f>IF(A18="","", "PE-"&amp;A18&amp;"-L"&amp;TEXT(E18,"00")&amp;"-"&amp;TEXT(B18,"yyyymmdd")&amp;"-"&amp;C18&amp;"-"&amp;F18)</x:f>
        <x:v>PE-KG01-L21-20251026-PM-ORD-2025-00021</x:v>
      </x:c>
      <x:c r="R18" t="n">
        <x:f>IF(A18="","",H18*I18)</x:f>
        <x:v>30</x:v>
      </x:c>
      <x:c r="S18" t="str">
        <x:f>IF(A18="","",IF(AND(H18&gt;=1,H18&lt;=13,I18&gt;=1,I18&lt;=3),"OK","CHECK"))</x:f>
        <x:v>OK</x:v>
      </x:c>
      <x:c r="T18" t="str">
        <x:f>IF(A18="","",IF(ABS(K18-(J18*H18*I18*60))&lt;=0.5,"OK","CHECK"))</x:f>
        <x:v>OK</x:v>
      </x:c>
      <x:c r="U18" t="str">
        <x:f>IF(A18="","",IF(ABS(M18-(K18*L18))&lt;=1,"OK","CHECK"))</x:f>
        <x:v>OK</x:v>
      </x:c>
      <x:c r="V18" t="str">
        <x:f>IF(A18="","",IF(ABS(M18-N18-O18-P18)&lt;=1,"OK","CHECK"))</x:f>
        <x:v>OK</x:v>
      </x:c>
      <x:c r="W18" t="n">
        <x:f>IF(Q18="","",SUMIF(ProductionConfiguration!$B$5:$B$914,Q18,ProductionConfiguration!$S$5:$S$914))</x:f>
        <x:v>30</x:v>
      </x:c>
      <x:c r="X18" t="str">
        <x:f>IF(A18="","",IF(R18=W18,"OK","CHECK"))</x:f>
        <x:v>OK</x:v>
      </x:c>
      <x:c r="Y18" t="str">
        <x:f>IF(Q18="","",IF(COUNTIF($Q$5:$Q$100,Q18)=1,"OK","CHECK"))</x:f>
        <x:v>OK</x:v>
      </x:c>
      <x:c r="Z18" t="str">
        <x:f>IF(A18="","",IF(AND(S18="OK",T18="OK",U18="OK",V18="OK",X18="OK",Y18="OK"),"OK","CHECK"))</x:f>
        <x:v>OK</x:v>
      </x:c>
    </x:row>
    <x:row r="19" ht="18" customHeight="1">
      <x:c r="A19" s="12" t="s">
        <x:v>30</x:v>
      </x:c>
      <x:c r="B19" s="13">
        <x:v>45950</x:v>
      </x:c>
      <x:c r="C19" s="12" t="s">
        <x:v>31</x:v>
      </x:c>
      <x:c r="D19" s="12" t="s">
        <x:v>41</x:v>
      </x:c>
      <x:c r="E19" s="14">
        <x:v>22</x:v>
      </x:c>
      <x:c r="F19" s="12" t="s">
        <x:v>43</x:v>
      </x:c>
      <x:c r="G19" s="12" t="s">
        <x:v>80</x:v>
      </x:c>
      <x:c r="H19" s="14">
        <x:v>10</x:v>
      </x:c>
      <x:c r="I19" s="14">
        <x:v>2</x:v>
      </x:c>
      <x:c r="J19" s="14">
        <x:v>10</x:v>
      </x:c>
      <x:c r="K19" s="15">
        <x:v>12000</x:v>
      </x:c>
      <x:c r="L19" s="16">
        <x:v>2.2400000000000002</x:v>
      </x:c>
      <x:c r="M19" s="15">
        <x:v>26880</x:v>
      </x:c>
      <x:c r="N19" s="15">
        <x:v>23318</x:v>
      </x:c>
      <x:c r="O19" s="15">
        <x:v>538</x:v>
      </x:c>
      <x:c r="P19" s="15">
        <x:v>3024</x:v>
      </x:c>
      <x:c r="Q19" t="str">
        <x:f>IF(A19="","", "PE-"&amp;A19&amp;"-L"&amp;TEXT(E19,"00")&amp;"-"&amp;TEXT(B19,"yyyymmdd")&amp;"-"&amp;C19&amp;"-"&amp;F19)</x:f>
        <x:v>PE-KG01-L22-20251020-AM-ORD-2025-00056</x:v>
      </x:c>
      <x:c r="R19" t="n">
        <x:f>IF(A19="","",H19*I19)</x:f>
        <x:v>20</x:v>
      </x:c>
      <x:c r="S19" t="str">
        <x:f>IF(A19="","",IF(AND(H19&gt;=1,H19&lt;=13,I19&gt;=1,I19&lt;=3),"OK","CHECK"))</x:f>
        <x:v>OK</x:v>
      </x:c>
      <x:c r="T19" t="str">
        <x:f>IF(A19="","",IF(ABS(K19-(J19*H19*I19*60))&lt;=0.5,"OK","CHECK"))</x:f>
        <x:v>OK</x:v>
      </x:c>
      <x:c r="U19" t="str">
        <x:f>IF(A19="","",IF(ABS(M19-(K19*L19))&lt;=1,"OK","CHECK"))</x:f>
        <x:v>OK</x:v>
      </x:c>
      <x:c r="V19" t="str">
        <x:f>IF(A19="","",IF(ABS(M19-N19-O19-P19)&lt;=1,"OK","CHECK"))</x:f>
        <x:v>OK</x:v>
      </x:c>
      <x:c r="W19" t="n">
        <x:f>IF(Q19="","",SUMIF(ProductionConfiguration!$B$5:$B$914,Q19,ProductionConfiguration!$S$5:$S$914))</x:f>
        <x:v>20</x:v>
      </x:c>
      <x:c r="X19" t="str">
        <x:f>IF(A19="","",IF(R19=W19,"OK","CHECK"))</x:f>
        <x:v>OK</x:v>
      </x:c>
      <x:c r="Y19" t="str">
        <x:f>IF(Q19="","",IF(COUNTIF($Q$5:$Q$100,Q19)=1,"OK","CHECK"))</x:f>
        <x:v>OK</x:v>
      </x:c>
      <x:c r="Z19" t="str">
        <x:f>IF(A19="","",IF(AND(S19="OK",T19="OK",U19="OK",V19="OK",X19="OK",Y19="OK"),"OK","CHECK"))</x:f>
        <x:v>OK</x:v>
      </x:c>
    </x:row>
    <x:row r="20" ht="18" customHeight="1">
      <x:c r="A20" s="12" t="s">
        <x:v>30</x:v>
      </x:c>
      <x:c r="B20" s="13">
        <x:v>45950</x:v>
      </x:c>
      <x:c r="C20" s="12" t="s">
        <x:v>79</x:v>
      </x:c>
      <x:c r="D20" s="12" t="s">
        <x:v>32</x:v>
      </x:c>
      <x:c r="E20" s="14">
        <x:v>22</x:v>
      </x:c>
      <x:c r="F20" s="12" t="s">
        <x:v>43</x:v>
      </x:c>
      <x:c r="G20" s="12" t="s">
        <x:v>78</x:v>
      </x:c>
      <x:c r="H20" s="14">
        <x:v>10</x:v>
      </x:c>
      <x:c r="I20" s="14">
        <x:v>2</x:v>
      </x:c>
      <x:c r="J20" s="14">
        <x:v>11</x:v>
      </x:c>
      <x:c r="K20" s="15">
        <x:v>13200</x:v>
      </x:c>
      <x:c r="L20" s="16">
        <x:v>11.84</x:v>
      </x:c>
      <x:c r="M20" s="15">
        <x:v>156288</x:v>
      </x:c>
      <x:c r="N20" s="15">
        <x:v>145803</x:v>
      </x:c>
      <x:c r="O20" s="15">
        <x:v>1982</x:v>
      </x:c>
      <x:c r="P20" s="15">
        <x:v>8503</x:v>
      </x:c>
      <x:c r="Q20" t="str">
        <x:f>IF(A20="","", "PE-"&amp;A20&amp;"-L"&amp;TEXT(E20,"00")&amp;"-"&amp;TEXT(B20,"yyyymmdd")&amp;"-"&amp;C20&amp;"-"&amp;F20)</x:f>
        <x:v>PE-KG01-L22-20251020-PM-ORD-2025-00056</x:v>
      </x:c>
      <x:c r="R20" t="n">
        <x:f>IF(A20="","",H20*I20)</x:f>
        <x:v>20</x:v>
      </x:c>
      <x:c r="S20" t="str">
        <x:f>IF(A20="","",IF(AND(H20&gt;=1,H20&lt;=13,I20&gt;=1,I20&lt;=3),"OK","CHECK"))</x:f>
        <x:v>OK</x:v>
      </x:c>
      <x:c r="T20" t="str">
        <x:f>IF(A20="","",IF(ABS(K20-(J20*H20*I20*60))&lt;=0.5,"OK","CHECK"))</x:f>
        <x:v>OK</x:v>
      </x:c>
      <x:c r="U20" t="str">
        <x:f>IF(A20="","",IF(ABS(M20-(K20*L20))&lt;=1,"OK","CHECK"))</x:f>
        <x:v>OK</x:v>
      </x:c>
      <x:c r="V20" t="str">
        <x:f>IF(A20="","",IF(ABS(M20-N20-O20-P20)&lt;=1,"OK","CHECK"))</x:f>
        <x:v>OK</x:v>
      </x:c>
      <x:c r="W20" t="n">
        <x:f>IF(Q20="","",SUMIF(ProductionConfiguration!$B$5:$B$914,Q20,ProductionConfiguration!$S$5:$S$914))</x:f>
        <x:v>20</x:v>
      </x:c>
      <x:c r="X20" t="str">
        <x:f>IF(A20="","",IF(R20=W20,"OK","CHECK"))</x:f>
        <x:v>OK</x:v>
      </x:c>
      <x:c r="Y20" t="str">
        <x:f>IF(Q20="","",IF(COUNTIF($Q$5:$Q$100,Q20)=1,"OK","CHECK"))</x:f>
        <x:v>OK</x:v>
      </x:c>
      <x:c r="Z20" t="str">
        <x:f>IF(A20="","",IF(AND(S20="OK",T20="OK",U20="OK",V20="OK",X20="OK",Y20="OK"),"OK","CHECK"))</x:f>
        <x:v>OK</x:v>
      </x:c>
    </x:row>
    <x:row r="21" ht="18" customHeight="1">
      <x:c r="A21" s="12" t="s">
        <x:v>30</x:v>
      </x:c>
      <x:c r="B21" s="13">
        <x:v>45951</x:v>
      </x:c>
      <x:c r="C21" s="12" t="s">
        <x:v>31</x:v>
      </x:c>
      <x:c r="D21" s="12" t="s">
        <x:v>32</x:v>
      </x:c>
      <x:c r="E21" s="14">
        <x:v>22</x:v>
      </x:c>
      <x:c r="F21" s="12" t="s">
        <x:v>43</x:v>
      </x:c>
      <x:c r="G21" s="12" t="s">
        <x:v>78</x:v>
      </x:c>
      <x:c r="H21" s="14">
        <x:v>10</x:v>
      </x:c>
      <x:c r="I21" s="14">
        <x:v>2</x:v>
      </x:c>
      <x:c r="J21" s="14">
        <x:v>10</x:v>
      </x:c>
      <x:c r="K21" s="15">
        <x:v>12000</x:v>
      </x:c>
      <x:c r="L21" s="16">
        <x:v>11.68</x:v>
      </x:c>
      <x:c r="M21" s="15">
        <x:v>140160</x:v>
      </x:c>
      <x:c r="N21" s="15">
        <x:v>133671</x:v>
      </x:c>
      <x:c r="O21" s="15">
        <x:v>938</x:v>
      </x:c>
      <x:c r="P21" s="15">
        <x:v>5551</x:v>
      </x:c>
      <x:c r="Q21" t="str">
        <x:f>IF(A21="","", "PE-"&amp;A21&amp;"-L"&amp;TEXT(E21,"00")&amp;"-"&amp;TEXT(B21,"yyyymmdd")&amp;"-"&amp;C21&amp;"-"&amp;F21)</x:f>
        <x:v>PE-KG01-L22-20251021-AM-ORD-2025-00056</x:v>
      </x:c>
      <x:c r="R21" t="n">
        <x:f>IF(A21="","",H21*I21)</x:f>
        <x:v>20</x:v>
      </x:c>
      <x:c r="S21" t="str">
        <x:f>IF(A21="","",IF(AND(H21&gt;=1,H21&lt;=13,I21&gt;=1,I21&lt;=3),"OK","CHECK"))</x:f>
        <x:v>OK</x:v>
      </x:c>
      <x:c r="T21" t="str">
        <x:f>IF(A21="","",IF(ABS(K21-(J21*H21*I21*60))&lt;=0.5,"OK","CHECK"))</x:f>
        <x:v>OK</x:v>
      </x:c>
      <x:c r="U21" t="str">
        <x:f>IF(A21="","",IF(ABS(M21-(K21*L21))&lt;=1,"OK","CHECK"))</x:f>
        <x:v>OK</x:v>
      </x:c>
      <x:c r="V21" t="str">
        <x:f>IF(A21="","",IF(ABS(M21-N21-O21-P21)&lt;=1,"OK","CHECK"))</x:f>
        <x:v>OK</x:v>
      </x:c>
      <x:c r="W21" t="n">
        <x:f>IF(Q21="","",SUMIF(ProductionConfiguration!$B$5:$B$914,Q21,ProductionConfiguration!$S$5:$S$914))</x:f>
        <x:v>20</x:v>
      </x:c>
      <x:c r="X21" t="str">
        <x:f>IF(A21="","",IF(R21=W21,"OK","CHECK"))</x:f>
        <x:v>OK</x:v>
      </x:c>
      <x:c r="Y21" t="str">
        <x:f>IF(Q21="","",IF(COUNTIF($Q$5:$Q$100,Q21)=1,"OK","CHECK"))</x:f>
        <x:v>OK</x:v>
      </x:c>
      <x:c r="Z21" t="str">
        <x:f>IF(A21="","",IF(AND(S21="OK",T21="OK",U21="OK",V21="OK",X21="OK",Y21="OK"),"OK","CHECK"))</x:f>
        <x:v>OK</x:v>
      </x:c>
    </x:row>
    <x:row r="22" ht="18" customHeight="1">
      <x:c r="A22" s="12" t="s">
        <x:v>30</x:v>
      </x:c>
      <x:c r="B22" s="13">
        <x:v>45951</x:v>
      </x:c>
      <x:c r="C22" s="12" t="s">
        <x:v>79</x:v>
      </x:c>
      <x:c r="D22" s="12" t="s">
        <x:v>37</x:v>
      </x:c>
      <x:c r="E22" s="14">
        <x:v>22</x:v>
      </x:c>
      <x:c r="F22" s="12" t="s">
        <x:v>43</x:v>
      </x:c>
      <x:c r="G22" s="12" t="s">
        <x:v>78</x:v>
      </x:c>
      <x:c r="H22" s="14">
        <x:v>10</x:v>
      </x:c>
      <x:c r="I22" s="14">
        <x:v>2</x:v>
      </x:c>
      <x:c r="J22" s="14">
        <x:v>10</x:v>
      </x:c>
      <x:c r="K22" s="15">
        <x:v>12000</x:v>
      </x:c>
      <x:c r="L22" s="16">
        <x:v>11.57</x:v>
      </x:c>
      <x:c r="M22" s="15">
        <x:v>138840</x:v>
      </x:c>
      <x:c r="N22" s="15">
        <x:v>131761</x:v>
      </x:c>
      <x:c r="O22" s="15">
        <x:v>744</x:v>
      </x:c>
      <x:c r="P22" s="15">
        <x:v>6335</x:v>
      </x:c>
      <x:c r="Q22" t="str">
        <x:f>IF(A22="","", "PE-"&amp;A22&amp;"-L"&amp;TEXT(E22,"00")&amp;"-"&amp;TEXT(B22,"yyyymmdd")&amp;"-"&amp;C22&amp;"-"&amp;F22)</x:f>
        <x:v>PE-KG01-L22-20251021-PM-ORD-2025-00056</x:v>
      </x:c>
      <x:c r="R22" t="n">
        <x:f>IF(A22="","",H22*I22)</x:f>
        <x:v>20</x:v>
      </x:c>
      <x:c r="S22" t="str">
        <x:f>IF(A22="","",IF(AND(H22&gt;=1,H22&lt;=13,I22&gt;=1,I22&lt;=3),"OK","CHECK"))</x:f>
        <x:v>OK</x:v>
      </x:c>
      <x:c r="T22" t="str">
        <x:f>IF(A22="","",IF(ABS(K22-(J22*H22*I22*60))&lt;=0.5,"OK","CHECK"))</x:f>
        <x:v>OK</x:v>
      </x:c>
      <x:c r="U22" t="str">
        <x:f>IF(A22="","",IF(ABS(M22-(K22*L22))&lt;=1,"OK","CHECK"))</x:f>
        <x:v>OK</x:v>
      </x:c>
      <x:c r="V22" t="str">
        <x:f>IF(A22="","",IF(ABS(M22-N22-O22-P22)&lt;=1,"OK","CHECK"))</x:f>
        <x:v>OK</x:v>
      </x:c>
      <x:c r="W22" t="n">
        <x:f>IF(Q22="","",SUMIF(ProductionConfiguration!$B$5:$B$914,Q22,ProductionConfiguration!$S$5:$S$914))</x:f>
        <x:v>20</x:v>
      </x:c>
      <x:c r="X22" t="str">
        <x:f>IF(A22="","",IF(R22=W22,"OK","CHECK"))</x:f>
        <x:v>OK</x:v>
      </x:c>
      <x:c r="Y22" t="str">
        <x:f>IF(Q22="","",IF(COUNTIF($Q$5:$Q$100,Q22)=1,"OK","CHECK"))</x:f>
        <x:v>OK</x:v>
      </x:c>
      <x:c r="Z22" t="str">
        <x:f>IF(A22="","",IF(AND(S22="OK",T22="OK",U22="OK",V22="OK",X22="OK",Y22="OK"),"OK","CHECK"))</x:f>
        <x:v>OK</x:v>
      </x:c>
    </x:row>
    <x:row r="23" ht="18" customHeight="1">
      <x:c r="A23" s="12" t="s">
        <x:v>30</x:v>
      </x:c>
      <x:c r="B23" s="13">
        <x:v>45952</x:v>
      </x:c>
      <x:c r="C23" s="12" t="s">
        <x:v>31</x:v>
      </x:c>
      <x:c r="D23" s="12" t="s">
        <x:v>37</x:v>
      </x:c>
      <x:c r="E23" s="14">
        <x:v>22</x:v>
      </x:c>
      <x:c r="F23" s="12" t="s">
        <x:v>47</x:v>
      </x:c>
      <x:c r="G23" s="12" t="s">
        <x:v>78</x:v>
      </x:c>
      <x:c r="H23" s="14">
        <x:v>10</x:v>
      </x:c>
      <x:c r="I23" s="14">
        <x:v>2</x:v>
      </x:c>
      <x:c r="J23" s="14">
        <x:v>9</x:v>
      </x:c>
      <x:c r="K23" s="15">
        <x:v>10800</x:v>
      </x:c>
      <x:c r="L23" s="16">
        <x:v>11.69</x:v>
      </x:c>
      <x:c r="M23" s="15">
        <x:v>126252</x:v>
      </x:c>
      <x:c r="N23" s="15">
        <x:v>118103</x:v>
      </x:c>
      <x:c r="O23" s="15">
        <x:v>957</x:v>
      </x:c>
      <x:c r="P23" s="15">
        <x:v>7192</x:v>
      </x:c>
      <x:c r="Q23" t="str">
        <x:f>IF(A23="","", "PE-"&amp;A23&amp;"-L"&amp;TEXT(E23,"00")&amp;"-"&amp;TEXT(B23,"yyyymmdd")&amp;"-"&amp;C23&amp;"-"&amp;F23)</x:f>
        <x:v>PE-KG01-L22-20251022-AM-ORD-2025-00057</x:v>
      </x:c>
      <x:c r="R23" t="n">
        <x:f>IF(A23="","",H23*I23)</x:f>
        <x:v>20</x:v>
      </x:c>
      <x:c r="S23" t="str">
        <x:f>IF(A23="","",IF(AND(H23&gt;=1,H23&lt;=13,I23&gt;=1,I23&lt;=3),"OK","CHECK"))</x:f>
        <x:v>OK</x:v>
      </x:c>
      <x:c r="T23" t="str">
        <x:f>IF(A23="","",IF(ABS(K23-(J23*H23*I23*60))&lt;=0.5,"OK","CHECK"))</x:f>
        <x:v>OK</x:v>
      </x:c>
      <x:c r="U23" t="str">
        <x:f>IF(A23="","",IF(ABS(M23-(K23*L23))&lt;=1,"OK","CHECK"))</x:f>
        <x:v>OK</x:v>
      </x:c>
      <x:c r="V23" t="str">
        <x:f>IF(A23="","",IF(ABS(M23-N23-O23-P23)&lt;=1,"OK","CHECK"))</x:f>
        <x:v>OK</x:v>
      </x:c>
      <x:c r="W23" t="n">
        <x:f>IF(Q23="","",SUMIF(ProductionConfiguration!$B$5:$B$914,Q23,ProductionConfiguration!$S$5:$S$914))</x:f>
        <x:v>20</x:v>
      </x:c>
      <x:c r="X23" t="str">
        <x:f>IF(A23="","",IF(R23=W23,"OK","CHECK"))</x:f>
        <x:v>OK</x:v>
      </x:c>
      <x:c r="Y23" t="str">
        <x:f>IF(Q23="","",IF(COUNTIF($Q$5:$Q$100,Q23)=1,"OK","CHECK"))</x:f>
        <x:v>OK</x:v>
      </x:c>
      <x:c r="Z23" t="str">
        <x:f>IF(A23="","",IF(AND(S23="OK",T23="OK",U23="OK",V23="OK",X23="OK",Y23="OK"),"OK","CHECK"))</x:f>
        <x:v>OK</x:v>
      </x:c>
    </x:row>
    <x:row r="24" ht="18" customHeight="1">
      <x:c r="A24" s="12" t="s">
        <x:v>30</x:v>
      </x:c>
      <x:c r="B24" s="13">
        <x:v>45952</x:v>
      </x:c>
      <x:c r="C24" s="12" t="s">
        <x:v>79</x:v>
      </x:c>
      <x:c r="D24" s="12" t="s">
        <x:v>41</x:v>
      </x:c>
      <x:c r="E24" s="14">
        <x:v>22</x:v>
      </x:c>
      <x:c r="F24" s="12" t="s">
        <x:v>47</x:v>
      </x:c>
      <x:c r="G24" s="12" t="s">
        <x:v>78</x:v>
      </x:c>
      <x:c r="H24" s="14">
        <x:v>10</x:v>
      </x:c>
      <x:c r="I24" s="14">
        <x:v>2</x:v>
      </x:c>
      <x:c r="J24" s="14">
        <x:v>10</x:v>
      </x:c>
      <x:c r="K24" s="15">
        <x:v>12000</x:v>
      </x:c>
      <x:c r="L24" s="16">
        <x:v>11.56</x:v>
      </x:c>
      <x:c r="M24" s="15">
        <x:v>138720</x:v>
      </x:c>
      <x:c r="N24" s="15">
        <x:v>132396</x:v>
      </x:c>
      <x:c r="O24" s="15">
        <x:v>949</x:v>
      </x:c>
      <x:c r="P24" s="15">
        <x:v>5375</x:v>
      </x:c>
      <x:c r="Q24" t="str">
        <x:f>IF(A24="","", "PE-"&amp;A24&amp;"-L"&amp;TEXT(E24,"00")&amp;"-"&amp;TEXT(B24,"yyyymmdd")&amp;"-"&amp;C24&amp;"-"&amp;F24)</x:f>
        <x:v>PE-KG01-L22-20251022-PM-ORD-2025-00057</x:v>
      </x:c>
      <x:c r="R24" t="n">
        <x:f>IF(A24="","",H24*I24)</x:f>
        <x:v>20</x:v>
      </x:c>
      <x:c r="S24" t="str">
        <x:f>IF(A24="","",IF(AND(H24&gt;=1,H24&lt;=13,I24&gt;=1,I24&lt;=3),"OK","CHECK"))</x:f>
        <x:v>OK</x:v>
      </x:c>
      <x:c r="T24" t="str">
        <x:f>IF(A24="","",IF(ABS(K24-(J24*H24*I24*60))&lt;=0.5,"OK","CHECK"))</x:f>
        <x:v>OK</x:v>
      </x:c>
      <x:c r="U24" t="str">
        <x:f>IF(A24="","",IF(ABS(M24-(K24*L24))&lt;=1,"OK","CHECK"))</x:f>
        <x:v>OK</x:v>
      </x:c>
      <x:c r="V24" t="str">
        <x:f>IF(A24="","",IF(ABS(M24-N24-O24-P24)&lt;=1,"OK","CHECK"))</x:f>
        <x:v>OK</x:v>
      </x:c>
      <x:c r="W24" t="n">
        <x:f>IF(Q24="","",SUMIF(ProductionConfiguration!$B$5:$B$914,Q24,ProductionConfiguration!$S$5:$S$914))</x:f>
        <x:v>20</x:v>
      </x:c>
      <x:c r="X24" t="str">
        <x:f>IF(A24="","",IF(R24=W24,"OK","CHECK"))</x:f>
        <x:v>OK</x:v>
      </x:c>
      <x:c r="Y24" t="str">
        <x:f>IF(Q24="","",IF(COUNTIF($Q$5:$Q$100,Q24)=1,"OK","CHECK"))</x:f>
        <x:v>OK</x:v>
      </x:c>
      <x:c r="Z24" t="str">
        <x:f>IF(A24="","",IF(AND(S24="OK",T24="OK",U24="OK",V24="OK",X24="OK",Y24="OK"),"OK","CHECK"))</x:f>
        <x:v>OK</x:v>
      </x:c>
    </x:row>
    <x:row r="25" ht="18" customHeight="1">
      <x:c r="A25" s="12" t="s">
        <x:v>30</x:v>
      </x:c>
      <x:c r="B25" s="13">
        <x:v>45953</x:v>
      </x:c>
      <x:c r="C25" s="12" t="s">
        <x:v>31</x:v>
      </x:c>
      <x:c r="D25" s="12" t="s">
        <x:v>41</x:v>
      </x:c>
      <x:c r="E25" s="14">
        <x:v>22</x:v>
      </x:c>
      <x:c r="F25" s="12" t="s">
        <x:v>47</x:v>
      </x:c>
      <x:c r="G25" s="12" t="s">
        <x:v>78</x:v>
      </x:c>
      <x:c r="H25" s="14">
        <x:v>10</x:v>
      </x:c>
      <x:c r="I25" s="14">
        <x:v>2</x:v>
      </x:c>
      <x:c r="J25" s="14">
        <x:v>10</x:v>
      </x:c>
      <x:c r="K25" s="15">
        <x:v>12000</x:v>
      </x:c>
      <x:c r="L25" s="16">
        <x:v>11.7</x:v>
      </x:c>
      <x:c r="M25" s="15">
        <x:v>140400</x:v>
      </x:c>
      <x:c r="N25" s="15">
        <x:v>131376</x:v>
      </x:c>
      <x:c r="O25" s="15">
        <x:v>2097</x:v>
      </x:c>
      <x:c r="P25" s="15">
        <x:v>6927</x:v>
      </x:c>
      <x:c r="Q25" t="str">
        <x:f>IF(A25="","", "PE-"&amp;A25&amp;"-L"&amp;TEXT(E25,"00")&amp;"-"&amp;TEXT(B25,"yyyymmdd")&amp;"-"&amp;C25&amp;"-"&amp;F25)</x:f>
        <x:v>PE-KG01-L22-20251023-AM-ORD-2025-00057</x:v>
      </x:c>
      <x:c r="R25" t="n">
        <x:f>IF(A25="","",H25*I25)</x:f>
        <x:v>20</x:v>
      </x:c>
      <x:c r="S25" t="str">
        <x:f>IF(A25="","",IF(AND(H25&gt;=1,H25&lt;=13,I25&gt;=1,I25&lt;=3),"OK","CHECK"))</x:f>
        <x:v>OK</x:v>
      </x:c>
      <x:c r="T25" t="str">
        <x:f>IF(A25="","",IF(ABS(K25-(J25*H25*I25*60))&lt;=0.5,"OK","CHECK"))</x:f>
        <x:v>OK</x:v>
      </x:c>
      <x:c r="U25" t="str">
        <x:f>IF(A25="","",IF(ABS(M25-(K25*L25))&lt;=1,"OK","CHECK"))</x:f>
        <x:v>OK</x:v>
      </x:c>
      <x:c r="V25" t="str">
        <x:f>IF(A25="","",IF(ABS(M25-N25-O25-P25)&lt;=1,"OK","CHECK"))</x:f>
        <x:v>OK</x:v>
      </x:c>
      <x:c r="W25" t="n">
        <x:f>IF(Q25="","",SUMIF(ProductionConfiguration!$B$5:$B$914,Q25,ProductionConfiguration!$S$5:$S$914))</x:f>
        <x:v>20</x:v>
      </x:c>
      <x:c r="X25" t="str">
        <x:f>IF(A25="","",IF(R25=W25,"OK","CHECK"))</x:f>
        <x:v>OK</x:v>
      </x:c>
      <x:c r="Y25" t="str">
        <x:f>IF(Q25="","",IF(COUNTIF($Q$5:$Q$100,Q25)=1,"OK","CHECK"))</x:f>
        <x:v>OK</x:v>
      </x:c>
      <x:c r="Z25" t="str">
        <x:f>IF(A25="","",IF(AND(S25="OK",T25="OK",U25="OK",V25="OK",X25="OK",Y25="OK"),"OK","CHECK"))</x:f>
        <x:v>OK</x:v>
      </x:c>
    </x:row>
    <x:row r="26" ht="18" customHeight="1">
      <x:c r="A26" s="12" t="s">
        <x:v>30</x:v>
      </x:c>
      <x:c r="B26" s="13">
        <x:v>45953</x:v>
      </x:c>
      <x:c r="C26" s="12" t="s">
        <x:v>79</x:v>
      </x:c>
      <x:c r="D26" s="12" t="s">
        <x:v>32</x:v>
      </x:c>
      <x:c r="E26" s="14">
        <x:v>22</x:v>
      </x:c>
      <x:c r="F26" s="12" t="s">
        <x:v>47</x:v>
      </x:c>
      <x:c r="G26" s="12" t="s">
        <x:v>78</x:v>
      </x:c>
      <x:c r="H26" s="14">
        <x:v>10</x:v>
      </x:c>
      <x:c r="I26" s="14">
        <x:v>2</x:v>
      </x:c>
      <x:c r="J26" s="14">
        <x:v>10</x:v>
      </x:c>
      <x:c r="K26" s="15">
        <x:v>12000</x:v>
      </x:c>
      <x:c r="L26" s="16">
        <x:v>11.77</x:v>
      </x:c>
      <x:c r="M26" s="15">
        <x:v>141240</x:v>
      </x:c>
      <x:c r="N26" s="15">
        <x:v>132228</x:v>
      </x:c>
      <x:c r="O26" s="15">
        <x:v>992</x:v>
      </x:c>
      <x:c r="P26" s="15">
        <x:v>8020</x:v>
      </x:c>
      <x:c r="Q26" t="str">
        <x:f>IF(A26="","", "PE-"&amp;A26&amp;"-L"&amp;TEXT(E26,"00")&amp;"-"&amp;TEXT(B26,"yyyymmdd")&amp;"-"&amp;C26&amp;"-"&amp;F26)</x:f>
        <x:v>PE-KG01-L22-20251023-PM-ORD-2025-00057</x:v>
      </x:c>
      <x:c r="R26" t="n">
        <x:f>IF(A26="","",H26*I26)</x:f>
        <x:v>20</x:v>
      </x:c>
      <x:c r="S26" t="str">
        <x:f>IF(A26="","",IF(AND(H26&gt;=1,H26&lt;=13,I26&gt;=1,I26&lt;=3),"OK","CHECK"))</x:f>
        <x:v>OK</x:v>
      </x:c>
      <x:c r="T26" t="str">
        <x:f>IF(A26="","",IF(ABS(K26-(J26*H26*I26*60))&lt;=0.5,"OK","CHECK"))</x:f>
        <x:v>OK</x:v>
      </x:c>
      <x:c r="U26" t="str">
        <x:f>IF(A26="","",IF(ABS(M26-(K26*L26))&lt;=1,"OK","CHECK"))</x:f>
        <x:v>OK</x:v>
      </x:c>
      <x:c r="V26" t="str">
        <x:f>IF(A26="","",IF(ABS(M26-N26-O26-P26)&lt;=1,"OK","CHECK"))</x:f>
        <x:v>OK</x:v>
      </x:c>
      <x:c r="W26" t="n">
        <x:f>IF(Q26="","",SUMIF(ProductionConfiguration!$B$5:$B$914,Q26,ProductionConfiguration!$S$5:$S$914))</x:f>
        <x:v>20</x:v>
      </x:c>
      <x:c r="X26" t="str">
        <x:f>IF(A26="","",IF(R26=W26,"OK","CHECK"))</x:f>
        <x:v>OK</x:v>
      </x:c>
      <x:c r="Y26" t="str">
        <x:f>IF(Q26="","",IF(COUNTIF($Q$5:$Q$100,Q26)=1,"OK","CHECK"))</x:f>
        <x:v>OK</x:v>
      </x:c>
      <x:c r="Z26" t="str">
        <x:f>IF(A26="","",IF(AND(S26="OK",T26="OK",U26="OK",V26="OK",X26="OK",Y26="OK"),"OK","CHECK"))</x:f>
        <x:v>OK</x:v>
      </x:c>
    </x:row>
    <x:row r="27" ht="18" customHeight="1">
      <x:c r="A27" s="12" t="s">
        <x:v>30</x:v>
      </x:c>
      <x:c r="B27" s="13">
        <x:v>45954</x:v>
      </x:c>
      <x:c r="C27" s="12" t="s">
        <x:v>31</x:v>
      </x:c>
      <x:c r="D27" s="12" t="s">
        <x:v>32</x:v>
      </x:c>
      <x:c r="E27" s="14">
        <x:v>22</x:v>
      </x:c>
      <x:c r="F27" s="12" t="s">
        <x:v>47</x:v>
      </x:c>
      <x:c r="G27" s="12" t="s">
        <x:v>78</x:v>
      </x:c>
      <x:c r="H27" s="14">
        <x:v>10</x:v>
      </x:c>
      <x:c r="I27" s="14">
        <x:v>2</x:v>
      </x:c>
      <x:c r="J27" s="14">
        <x:v>10</x:v>
      </x:c>
      <x:c r="K27" s="15">
        <x:v>12000</x:v>
      </x:c>
      <x:c r="L27" s="16">
        <x:v>11.75</x:v>
      </x:c>
      <x:c r="M27" s="15">
        <x:v>141000</x:v>
      </x:c>
      <x:c r="N27" s="15">
        <x:v>134393</x:v>
      </x:c>
      <x:c r="O27" s="15">
        <x:v>1515</x:v>
      </x:c>
      <x:c r="P27" s="15">
        <x:v>5092</x:v>
      </x:c>
      <x:c r="Q27" t="str">
        <x:f>IF(A27="","", "PE-"&amp;A27&amp;"-L"&amp;TEXT(E27,"00")&amp;"-"&amp;TEXT(B27,"yyyymmdd")&amp;"-"&amp;C27&amp;"-"&amp;F27)</x:f>
        <x:v>PE-KG01-L22-20251024-AM-ORD-2025-00057</x:v>
      </x:c>
      <x:c r="R27" t="n">
        <x:f>IF(A27="","",H27*I27)</x:f>
        <x:v>20</x:v>
      </x:c>
      <x:c r="S27" t="str">
        <x:f>IF(A27="","",IF(AND(H27&gt;=1,H27&lt;=13,I27&gt;=1,I27&lt;=3),"OK","CHECK"))</x:f>
        <x:v>OK</x:v>
      </x:c>
      <x:c r="T27" t="str">
        <x:f>IF(A27="","",IF(ABS(K27-(J27*H27*I27*60))&lt;=0.5,"OK","CHECK"))</x:f>
        <x:v>OK</x:v>
      </x:c>
      <x:c r="U27" t="str">
        <x:f>IF(A27="","",IF(ABS(M27-(K27*L27))&lt;=1,"OK","CHECK"))</x:f>
        <x:v>OK</x:v>
      </x:c>
      <x:c r="V27" t="str">
        <x:f>IF(A27="","",IF(ABS(M27-N27-O27-P27)&lt;=1,"OK","CHECK"))</x:f>
        <x:v>OK</x:v>
      </x:c>
      <x:c r="W27" t="n">
        <x:f>IF(Q27="","",SUMIF(ProductionConfiguration!$B$5:$B$914,Q27,ProductionConfiguration!$S$5:$S$914))</x:f>
        <x:v>20</x:v>
      </x:c>
      <x:c r="X27" t="str">
        <x:f>IF(A27="","",IF(R27=W27,"OK","CHECK"))</x:f>
        <x:v>OK</x:v>
      </x:c>
      <x:c r="Y27" t="str">
        <x:f>IF(Q27="","",IF(COUNTIF($Q$5:$Q$100,Q27)=1,"OK","CHECK"))</x:f>
        <x:v>OK</x:v>
      </x:c>
      <x:c r="Z27" t="str">
        <x:f>IF(A27="","",IF(AND(S27="OK",T27="OK",U27="OK",V27="OK",X27="OK",Y27="OK"),"OK","CHECK"))</x:f>
        <x:v>OK</x:v>
      </x:c>
    </x:row>
    <x:row r="28" ht="18" customHeight="1">
      <x:c r="A28" s="12" t="s">
        <x:v>30</x:v>
      </x:c>
      <x:c r="B28" s="13">
        <x:v>45954</x:v>
      </x:c>
      <x:c r="C28" s="12" t="s">
        <x:v>79</x:v>
      </x:c>
      <x:c r="D28" s="12" t="s">
        <x:v>37</x:v>
      </x:c>
      <x:c r="E28" s="14">
        <x:v>22</x:v>
      </x:c>
      <x:c r="F28" s="12" t="s">
        <x:v>47</x:v>
      </x:c>
      <x:c r="G28" s="12" t="s">
        <x:v>78</x:v>
      </x:c>
      <x:c r="H28" s="14">
        <x:v>10</x:v>
      </x:c>
      <x:c r="I28" s="14">
        <x:v>2</x:v>
      </x:c>
      <x:c r="J28" s="14">
        <x:v>9</x:v>
      </x:c>
      <x:c r="K28" s="15">
        <x:v>10800</x:v>
      </x:c>
      <x:c r="L28" s="16">
        <x:v>11.67</x:v>
      </x:c>
      <x:c r="M28" s="15">
        <x:v>126036</x:v>
      </x:c>
      <x:c r="N28" s="15">
        <x:v>120197</x:v>
      </x:c>
      <x:c r="O28" s="15">
        <x:v>530</x:v>
      </x:c>
      <x:c r="P28" s="15">
        <x:v>5309</x:v>
      </x:c>
      <x:c r="Q28" t="str">
        <x:f>IF(A28="","", "PE-"&amp;A28&amp;"-L"&amp;TEXT(E28,"00")&amp;"-"&amp;TEXT(B28,"yyyymmdd")&amp;"-"&amp;C28&amp;"-"&amp;F28)</x:f>
        <x:v>PE-KG01-L22-20251024-PM-ORD-2025-00057</x:v>
      </x:c>
      <x:c r="R28" t="n">
        <x:f>IF(A28="","",H28*I28)</x:f>
        <x:v>20</x:v>
      </x:c>
      <x:c r="S28" t="str">
        <x:f>IF(A28="","",IF(AND(H28&gt;=1,H28&lt;=13,I28&gt;=1,I28&lt;=3),"OK","CHECK"))</x:f>
        <x:v>OK</x:v>
      </x:c>
      <x:c r="T28" t="str">
        <x:f>IF(A28="","",IF(ABS(K28-(J28*H28*I28*60))&lt;=0.5,"OK","CHECK"))</x:f>
        <x:v>OK</x:v>
      </x:c>
      <x:c r="U28" t="str">
        <x:f>IF(A28="","",IF(ABS(M28-(K28*L28))&lt;=1,"OK","CHECK"))</x:f>
        <x:v>OK</x:v>
      </x:c>
      <x:c r="V28" t="str">
        <x:f>IF(A28="","",IF(ABS(M28-N28-O28-P28)&lt;=1,"OK","CHECK"))</x:f>
        <x:v>OK</x:v>
      </x:c>
      <x:c r="W28" t="n">
        <x:f>IF(Q28="","",SUMIF(ProductionConfiguration!$B$5:$B$914,Q28,ProductionConfiguration!$S$5:$S$914))</x:f>
        <x:v>20</x:v>
      </x:c>
      <x:c r="X28" t="str">
        <x:f>IF(A28="","",IF(R28=W28,"OK","CHECK"))</x:f>
        <x:v>OK</x:v>
      </x:c>
      <x:c r="Y28" t="str">
        <x:f>IF(Q28="","",IF(COUNTIF($Q$5:$Q$100,Q28)=1,"OK","CHECK"))</x:f>
        <x:v>OK</x:v>
      </x:c>
      <x:c r="Z28" t="str">
        <x:f>IF(A28="","",IF(AND(S28="OK",T28="OK",U28="OK",V28="OK",X28="OK",Y28="OK"),"OK","CHECK"))</x:f>
        <x:v>OK</x:v>
      </x:c>
    </x:row>
    <x:row r="29" ht="18" customHeight="1">
      <x:c r="A29" s="12" t="s">
        <x:v>30</x:v>
      </x:c>
      <x:c r="B29" s="13">
        <x:v>45955</x:v>
      </x:c>
      <x:c r="C29" s="12" t="s">
        <x:v>31</x:v>
      </x:c>
      <x:c r="D29" s="12" t="s">
        <x:v>37</x:v>
      </x:c>
      <x:c r="E29" s="14">
        <x:v>22</x:v>
      </x:c>
      <x:c r="F29" s="12" t="s">
        <x:v>47</x:v>
      </x:c>
      <x:c r="G29" s="12" t="s">
        <x:v>78</x:v>
      </x:c>
      <x:c r="H29" s="14">
        <x:v>10</x:v>
      </x:c>
      <x:c r="I29" s="14">
        <x:v>2</x:v>
      </x:c>
      <x:c r="J29" s="14">
        <x:v>10</x:v>
      </x:c>
      <x:c r="K29" s="15">
        <x:v>12000</x:v>
      </x:c>
      <x:c r="L29" s="16">
        <x:v>11.85</x:v>
      </x:c>
      <x:c r="M29" s="15">
        <x:v>142200</x:v>
      </x:c>
      <x:c r="N29" s="15">
        <x:v>134803</x:v>
      </x:c>
      <x:c r="O29" s="15">
        <x:v>1209</x:v>
      </x:c>
      <x:c r="P29" s="15">
        <x:v>6188</x:v>
      </x:c>
      <x:c r="Q29" t="str">
        <x:f>IF(A29="","", "PE-"&amp;A29&amp;"-L"&amp;TEXT(E29,"00")&amp;"-"&amp;TEXT(B29,"yyyymmdd")&amp;"-"&amp;C29&amp;"-"&amp;F29)</x:f>
        <x:v>PE-KG01-L22-20251025-AM-ORD-2025-00057</x:v>
      </x:c>
      <x:c r="R29" t="n">
        <x:f>IF(A29="","",H29*I29)</x:f>
        <x:v>20</x:v>
      </x:c>
      <x:c r="S29" t="str">
        <x:f>IF(A29="","",IF(AND(H29&gt;=1,H29&lt;=13,I29&gt;=1,I29&lt;=3),"OK","CHECK"))</x:f>
        <x:v>OK</x:v>
      </x:c>
      <x:c r="T29" t="str">
        <x:f>IF(A29="","",IF(ABS(K29-(J29*H29*I29*60))&lt;=0.5,"OK","CHECK"))</x:f>
        <x:v>OK</x:v>
      </x:c>
      <x:c r="U29" t="str">
        <x:f>IF(A29="","",IF(ABS(M29-(K29*L29))&lt;=1,"OK","CHECK"))</x:f>
        <x:v>OK</x:v>
      </x:c>
      <x:c r="V29" t="str">
        <x:f>IF(A29="","",IF(ABS(M29-N29-O29-P29)&lt;=1,"OK","CHECK"))</x:f>
        <x:v>OK</x:v>
      </x:c>
      <x:c r="W29" t="n">
        <x:f>IF(Q29="","",SUMIF(ProductionConfiguration!$B$5:$B$914,Q29,ProductionConfiguration!$S$5:$S$914))</x:f>
        <x:v>20</x:v>
      </x:c>
      <x:c r="X29" t="str">
        <x:f>IF(A29="","",IF(R29=W29,"OK","CHECK"))</x:f>
        <x:v>OK</x:v>
      </x:c>
      <x:c r="Y29" t="str">
        <x:f>IF(Q29="","",IF(COUNTIF($Q$5:$Q$100,Q29)=1,"OK","CHECK"))</x:f>
        <x:v>OK</x:v>
      </x:c>
      <x:c r="Z29" t="str">
        <x:f>IF(A29="","",IF(AND(S29="OK",T29="OK",U29="OK",V29="OK",X29="OK",Y29="OK"),"OK","CHECK"))</x:f>
        <x:v>OK</x:v>
      </x:c>
    </x:row>
    <x:row r="30" ht="18" customHeight="1">
      <x:c r="A30" s="12" t="s">
        <x:v>30</x:v>
      </x:c>
      <x:c r="B30" s="13">
        <x:v>45955</x:v>
      </x:c>
      <x:c r="C30" s="12" t="s">
        <x:v>79</x:v>
      </x:c>
      <x:c r="D30" s="12" t="s">
        <x:v>41</x:v>
      </x:c>
      <x:c r="E30" s="14">
        <x:v>22</x:v>
      </x:c>
      <x:c r="F30" s="12" t="s">
        <x:v>47</x:v>
      </x:c>
      <x:c r="G30" s="12" t="s">
        <x:v>78</x:v>
      </x:c>
      <x:c r="H30" s="14">
        <x:v>10</x:v>
      </x:c>
      <x:c r="I30" s="14">
        <x:v>2</x:v>
      </x:c>
      <x:c r="J30" s="14">
        <x:v>11</x:v>
      </x:c>
      <x:c r="K30" s="15">
        <x:v>13200</x:v>
      </x:c>
      <x:c r="L30" s="16">
        <x:v>11.79</x:v>
      </x:c>
      <x:c r="M30" s="15">
        <x:v>155628</x:v>
      </x:c>
      <x:c r="N30" s="15">
        <x:v>148447</x:v>
      </x:c>
      <x:c r="O30" s="15">
        <x:v>1436</x:v>
      </x:c>
      <x:c r="P30" s="15">
        <x:v>5745</x:v>
      </x:c>
      <x:c r="Q30" t="str">
        <x:f>IF(A30="","", "PE-"&amp;A30&amp;"-L"&amp;TEXT(E30,"00")&amp;"-"&amp;TEXT(B30,"yyyymmdd")&amp;"-"&amp;C30&amp;"-"&amp;F30)</x:f>
        <x:v>PE-KG01-L22-20251025-PM-ORD-2025-00057</x:v>
      </x:c>
      <x:c r="R30" t="n">
        <x:f>IF(A30="","",H30*I30)</x:f>
        <x:v>20</x:v>
      </x:c>
      <x:c r="S30" t="str">
        <x:f>IF(A30="","",IF(AND(H30&gt;=1,H30&lt;=13,I30&gt;=1,I30&lt;=3),"OK","CHECK"))</x:f>
        <x:v>OK</x:v>
      </x:c>
      <x:c r="T30" t="str">
        <x:f>IF(A30="","",IF(ABS(K30-(J30*H30*I30*60))&lt;=0.5,"OK","CHECK"))</x:f>
        <x:v>OK</x:v>
      </x:c>
      <x:c r="U30" t="str">
        <x:f>IF(A30="","",IF(ABS(M30-(K30*L30))&lt;=1,"OK","CHECK"))</x:f>
        <x:v>OK</x:v>
      </x:c>
      <x:c r="V30" t="str">
        <x:f>IF(A30="","",IF(ABS(M30-N30-O30-P30)&lt;=1,"OK","CHECK"))</x:f>
        <x:v>OK</x:v>
      </x:c>
      <x:c r="W30" t="n">
        <x:f>IF(Q30="","",SUMIF(ProductionConfiguration!$B$5:$B$914,Q30,ProductionConfiguration!$S$5:$S$914))</x:f>
        <x:v>20</x:v>
      </x:c>
      <x:c r="X30" t="str">
        <x:f>IF(A30="","",IF(R30=W30,"OK","CHECK"))</x:f>
        <x:v>OK</x:v>
      </x:c>
      <x:c r="Y30" t="str">
        <x:f>IF(Q30="","",IF(COUNTIF($Q$5:$Q$100,Q30)=1,"OK","CHECK"))</x:f>
        <x:v>OK</x:v>
      </x:c>
      <x:c r="Z30" t="str">
        <x:f>IF(A30="","",IF(AND(S30="OK",T30="OK",U30="OK",V30="OK",X30="OK",Y30="OK"),"OK","CHECK"))</x:f>
        <x:v>OK</x:v>
      </x:c>
    </x:row>
    <x:row r="31" ht="18" customHeight="1">
      <x:c r="A31" s="12" t="s">
        <x:v>30</x:v>
      </x:c>
      <x:c r="B31" s="13">
        <x:v>45956</x:v>
      </x:c>
      <x:c r="C31" s="12" t="s">
        <x:v>31</x:v>
      </x:c>
      <x:c r="D31" s="12" t="s">
        <x:v>41</x:v>
      </x:c>
      <x:c r="E31" s="14">
        <x:v>22</x:v>
      </x:c>
      <x:c r="F31" s="12" t="s">
        <x:v>48</x:v>
      </x:c>
      <x:c r="G31" s="12" t="s">
        <x:v>80</x:v>
      </x:c>
      <x:c r="H31" s="14">
        <x:v>10</x:v>
      </x:c>
      <x:c r="I31" s="14">
        <x:v>4</x:v>
      </x:c>
      <x:c r="J31" s="14">
        <x:v>14</x:v>
      </x:c>
      <x:c r="K31" s="15">
        <x:v>33600</x:v>
      </x:c>
      <x:c r="L31" s="16">
        <x:v>3.11</x:v>
      </x:c>
      <x:c r="M31" s="15">
        <x:v>104496</x:v>
      </x:c>
      <x:c r="N31" s="15">
        <x:v>85016</x:v>
      </x:c>
      <x:c r="O31" s="15">
        <x:v>3901</x:v>
      </x:c>
      <x:c r="P31" s="15">
        <x:v>15579</x:v>
      </x:c>
      <x:c r="Q31" t="str">
        <x:f>IF(A31="","", "PE-"&amp;A31&amp;"-L"&amp;TEXT(E31,"00")&amp;"-"&amp;TEXT(B31,"yyyymmdd")&amp;"-"&amp;C31&amp;"-"&amp;F31)</x:f>
        <x:v>PE-KG01-L22-20251026-AM-ORD-2025-00058</x:v>
      </x:c>
      <x:c r="R31" t="n">
        <x:f>IF(A31="","",H31*I31)</x:f>
        <x:v>40</x:v>
      </x:c>
      <x:c r="S31" t="str">
        <x:f>IF(A31="","",IF(AND(H31&gt;=1,H31&lt;=13,I31&gt;=1,I31&lt;=3),"OK","CHECK"))</x:f>
        <x:v>CHECK</x:v>
      </x:c>
      <x:c r="T31" t="str">
        <x:f>IF(A31="","",IF(ABS(K31-(J31*H31*I31*60))&lt;=0.5,"OK","CHECK"))</x:f>
        <x:v>OK</x:v>
      </x:c>
      <x:c r="U31" t="str">
        <x:f>IF(A31="","",IF(ABS(M31-(K31*L31))&lt;=1,"OK","CHECK"))</x:f>
        <x:v>OK</x:v>
      </x:c>
      <x:c r="V31" t="str">
        <x:f>IF(A31="","",IF(ABS(M31-N31-O31-P31)&lt;=1,"OK","CHECK"))</x:f>
        <x:v>OK</x:v>
      </x:c>
      <x:c r="W31" t="n">
        <x:f>IF(Q31="","",SUMIF(ProductionConfiguration!$B$5:$B$914,Q31,ProductionConfiguration!$S$5:$S$914))</x:f>
        <x:v>30</x:v>
      </x:c>
      <x:c r="X31" t="str">
        <x:f>IF(A31="","",IF(R31=W31,"OK","CHECK"))</x:f>
        <x:v>CHECK</x:v>
      </x:c>
      <x:c r="Y31" t="str">
        <x:f>IF(Q31="","",IF(COUNTIF($Q$5:$Q$100,Q31)=1,"OK","CHECK"))</x:f>
        <x:v>OK</x:v>
      </x:c>
      <x:c r="Z31" t="str">
        <x:f>IF(A31="","",IF(AND(S31="OK",T31="OK",U31="OK",V31="OK",X31="OK",Y31="OK"),"OK","CHECK"))</x:f>
        <x:v>CHECK</x:v>
      </x:c>
    </x:row>
    <x:row r="32" ht="18" customHeight="1">
      <x:c r="A32" s="12" t="s">
        <x:v>30</x:v>
      </x:c>
      <x:c r="B32" s="13">
        <x:v>45956</x:v>
      </x:c>
      <x:c r="C32" s="12" t="s">
        <x:v>79</x:v>
      </x:c>
      <x:c r="D32" s="12" t="s">
        <x:v>32</x:v>
      </x:c>
      <x:c r="E32" s="14">
        <x:v>22</x:v>
      </x:c>
      <x:c r="F32" s="12" t="s">
        <x:v>48</x:v>
      </x:c>
      <x:c r="G32" s="12" t="s">
        <x:v>78</x:v>
      </x:c>
      <x:c r="H32" s="14">
        <x:v>10</x:v>
      </x:c>
      <x:c r="I32" s="14">
        <x:v>4</x:v>
      </x:c>
      <x:c r="J32" s="14">
        <x:v>12</x:v>
      </x:c>
      <x:c r="K32" s="15">
        <x:v>28800</x:v>
      </x:c>
      <x:c r="L32" s="16">
        <x:v>11.77</x:v>
      </x:c>
      <x:c r="M32" s="15">
        <x:v>338976</x:v>
      </x:c>
      <x:c r="N32" s="15">
        <x:v>323477</x:v>
      </x:c>
      <x:c r="O32" s="15">
        <x:v>7094</x:v>
      </x:c>
      <x:c r="P32" s="15">
        <x:v>8405</x:v>
      </x:c>
      <x:c r="Q32" t="str">
        <x:f>IF(A32="","", "PE-"&amp;A32&amp;"-L"&amp;TEXT(E32,"00")&amp;"-"&amp;TEXT(B32,"yyyymmdd")&amp;"-"&amp;C32&amp;"-"&amp;F32)</x:f>
        <x:v>PE-KG01-L22-20251026-PM-ORD-2025-00058</x:v>
      </x:c>
      <x:c r="R32" t="n">
        <x:f>IF(A32="","",H32*I32)</x:f>
        <x:v>40</x:v>
      </x:c>
      <x:c r="S32" t="str">
        <x:f>IF(A32="","",IF(AND(H32&gt;=1,H32&lt;=13,I32&gt;=1,I32&lt;=3),"OK","CHECK"))</x:f>
        <x:v>CHECK</x:v>
      </x:c>
      <x:c r="T32" t="str">
        <x:f>IF(A32="","",IF(ABS(K32-(J32*H32*I32*60))&lt;=0.5,"OK","CHECK"))</x:f>
        <x:v>OK</x:v>
      </x:c>
      <x:c r="U32" t="str">
        <x:f>IF(A32="","",IF(ABS(M32-(K32*L32))&lt;=1,"OK","CHECK"))</x:f>
        <x:v>OK</x:v>
      </x:c>
      <x:c r="V32" t="str">
        <x:f>IF(A32="","",IF(ABS(M32-N32-O32-P32)&lt;=1,"OK","CHECK"))</x:f>
        <x:v>OK</x:v>
      </x:c>
      <x:c r="W32" t="n">
        <x:f>IF(Q32="","",SUMIF(ProductionConfiguration!$B$5:$B$914,Q32,ProductionConfiguration!$S$5:$S$914))</x:f>
        <x:v>30</x:v>
      </x:c>
      <x:c r="X32" t="str">
        <x:f>IF(A32="","",IF(R32=W32,"OK","CHECK"))</x:f>
        <x:v>CHECK</x:v>
      </x:c>
      <x:c r="Y32" t="str">
        <x:f>IF(Q32="","",IF(COUNTIF($Q$5:$Q$100,Q32)=1,"OK","CHECK"))</x:f>
        <x:v>OK</x:v>
      </x:c>
      <x:c r="Z32" t="str">
        <x:f>IF(A32="","",IF(AND(S32="OK",T32="OK",U32="OK",V32="OK",X32="OK",Y32="OK"),"OK","CHECK"))</x:f>
        <x:v>CHECK</x:v>
      </x:c>
    </x:row>
    <x:row r="33" ht="18" customHeight="1">
      <x:c r="A33" s="12" t="s">
        <x:v>30</x:v>
      </x:c>
      <x:c r="B33" s="13">
        <x:v>45950</x:v>
      </x:c>
      <x:c r="C33" s="12" t="s">
        <x:v>31</x:v>
      </x:c>
      <x:c r="D33" s="12" t="s">
        <x:v>41</x:v>
      </x:c>
      <x:c r="E33" s="14">
        <x:v>23</x:v>
      </x:c>
      <x:c r="F33" s="12" t="s">
        <x:v>50</x:v>
      </x:c>
      <x:c r="G33" s="12" t="s">
        <x:v>78</x:v>
      </x:c>
      <x:c r="H33" s="14">
        <x:v>12</x:v>
      </x:c>
      <x:c r="I33" s="14">
        <x:v>3</x:v>
      </x:c>
      <x:c r="J33" s="14">
        <x:v>11</x:v>
      </x:c>
      <x:c r="K33" s="15">
        <x:v>23760</x:v>
      </x:c>
      <x:c r="L33" s="16">
        <x:v>11.72</x:v>
      </x:c>
      <x:c r="M33" s="15">
        <x:v>278467</x:v>
      </x:c>
      <x:c r="N33" s="15">
        <x:v>254485</x:v>
      </x:c>
      <x:c r="O33" s="15">
        <x:v>5704</x:v>
      </x:c>
      <x:c r="P33" s="15">
        <x:v>18278</x:v>
      </x:c>
      <x:c r="Q33" t="str">
        <x:f>IF(A33="","", "PE-"&amp;A33&amp;"-L"&amp;TEXT(E33,"00")&amp;"-"&amp;TEXT(B33,"yyyymmdd")&amp;"-"&amp;C33&amp;"-"&amp;F33)</x:f>
        <x:v>PE-KG01-L23-20251020-AM-ORD-2025-00092</x:v>
      </x:c>
      <x:c r="R33" t="n">
        <x:f>IF(A33="","",H33*I33)</x:f>
        <x:v>36</x:v>
      </x:c>
      <x:c r="S33" t="str">
        <x:f>IF(A33="","",IF(AND(H33&gt;=1,H33&lt;=13,I33&gt;=1,I33&lt;=3),"OK","CHECK"))</x:f>
        <x:v>OK</x:v>
      </x:c>
      <x:c r="T33" t="str">
        <x:f>IF(A33="","",IF(ABS(K33-(J33*H33*I33*60))&lt;=0.5,"OK","CHECK"))</x:f>
        <x:v>OK</x:v>
      </x:c>
      <x:c r="U33" t="str">
        <x:f>IF(A33="","",IF(ABS(M33-(K33*L33))&lt;=1,"OK","CHECK"))</x:f>
        <x:v>OK</x:v>
      </x:c>
      <x:c r="V33" t="str">
        <x:f>IF(A33="","",IF(ABS(M33-N33-O33-P33)&lt;=1,"OK","CHECK"))</x:f>
        <x:v>OK</x:v>
      </x:c>
      <x:c r="W33" t="n">
        <x:f>IF(Q33="","",SUMIF(ProductionConfiguration!$B$5:$B$914,Q33,ProductionConfiguration!$S$5:$S$914))</x:f>
        <x:v>36</x:v>
      </x:c>
      <x:c r="X33" t="str">
        <x:f>IF(A33="","",IF(R33=W33,"OK","CHECK"))</x:f>
        <x:v>OK</x:v>
      </x:c>
      <x:c r="Y33" t="str">
        <x:f>IF(Q33="","",IF(COUNTIF($Q$5:$Q$100,Q33)=1,"OK","CHECK"))</x:f>
        <x:v>OK</x:v>
      </x:c>
      <x:c r="Z33" t="str">
        <x:f>IF(A33="","",IF(AND(S33="OK",T33="OK",U33="OK",V33="OK",X33="OK",Y33="OK"),"OK","CHECK"))</x:f>
        <x:v>OK</x:v>
      </x:c>
    </x:row>
    <x:row r="34" ht="18" customHeight="1">
      <x:c r="A34" s="12" t="s">
        <x:v>30</x:v>
      </x:c>
      <x:c r="B34" s="13">
        <x:v>45950</x:v>
      </x:c>
      <x:c r="C34" s="12" t="s">
        <x:v>79</x:v>
      </x:c>
      <x:c r="D34" s="12" t="s">
        <x:v>32</x:v>
      </x:c>
      <x:c r="E34" s="14">
        <x:v>23</x:v>
      </x:c>
      <x:c r="F34" s="12" t="s">
        <x:v>50</x:v>
      </x:c>
      <x:c r="G34" s="12" t="s">
        <x:v>78</x:v>
      </x:c>
      <x:c r="H34" s="14">
        <x:v>12</x:v>
      </x:c>
      <x:c r="I34" s="14">
        <x:v>3</x:v>
      </x:c>
      <x:c r="J34" s="14">
        <x:v>11</x:v>
      </x:c>
      <x:c r="K34" s="15">
        <x:v>23760</x:v>
      </x:c>
      <x:c r="L34" s="16">
        <x:v>11.76</x:v>
      </x:c>
      <x:c r="M34" s="15">
        <x:v>279418</x:v>
      </x:c>
      <x:c r="N34" s="15">
        <x:v>261773</x:v>
      </x:c>
      <x:c r="O34" s="15">
        <x:v>2249</x:v>
      </x:c>
      <x:c r="P34" s="15">
        <x:v>15396</x:v>
      </x:c>
      <x:c r="Q34" t="str">
        <x:f>IF(A34="","", "PE-"&amp;A34&amp;"-L"&amp;TEXT(E34,"00")&amp;"-"&amp;TEXT(B34,"yyyymmdd")&amp;"-"&amp;C34&amp;"-"&amp;F34)</x:f>
        <x:v>PE-KG01-L23-20251020-PM-ORD-2025-00092</x:v>
      </x:c>
      <x:c r="R34" t="n">
        <x:f>IF(A34="","",H34*I34)</x:f>
        <x:v>36</x:v>
      </x:c>
      <x:c r="S34" t="str">
        <x:f>IF(A34="","",IF(AND(H34&gt;=1,H34&lt;=13,I34&gt;=1,I34&lt;=3),"OK","CHECK"))</x:f>
        <x:v>OK</x:v>
      </x:c>
      <x:c r="T34" t="str">
        <x:f>IF(A34="","",IF(ABS(K34-(J34*H34*I34*60))&lt;=0.5,"OK","CHECK"))</x:f>
        <x:v>OK</x:v>
      </x:c>
      <x:c r="U34" t="str">
        <x:f>IF(A34="","",IF(ABS(M34-(K34*L34))&lt;=1,"OK","CHECK"))</x:f>
        <x:v>OK</x:v>
      </x:c>
      <x:c r="V34" t="str">
        <x:f>IF(A34="","",IF(ABS(M34-N34-O34-P34)&lt;=1,"OK","CHECK"))</x:f>
        <x:v>OK</x:v>
      </x:c>
      <x:c r="W34" t="n">
        <x:f>IF(Q34="","",SUMIF(ProductionConfiguration!$B$5:$B$914,Q34,ProductionConfiguration!$S$5:$S$914))</x:f>
        <x:v>36</x:v>
      </x:c>
      <x:c r="X34" t="str">
        <x:f>IF(A34="","",IF(R34=W34,"OK","CHECK"))</x:f>
        <x:v>OK</x:v>
      </x:c>
      <x:c r="Y34" t="str">
        <x:f>IF(Q34="","",IF(COUNTIF($Q$5:$Q$100,Q34)=1,"OK","CHECK"))</x:f>
        <x:v>OK</x:v>
      </x:c>
      <x:c r="Z34" t="str">
        <x:f>IF(A34="","",IF(AND(S34="OK",T34="OK",U34="OK",V34="OK",X34="OK",Y34="OK"),"OK","CHECK"))</x:f>
        <x:v>OK</x:v>
      </x:c>
    </x:row>
    <x:row r="35" ht="18" customHeight="1">
      <x:c r="A35" s="12" t="s">
        <x:v>30</x:v>
      </x:c>
      <x:c r="B35" s="13">
        <x:v>45951</x:v>
      </x:c>
      <x:c r="C35" s="12" t="s">
        <x:v>31</x:v>
      </x:c>
      <x:c r="D35" s="12" t="s">
        <x:v>32</x:v>
      </x:c>
      <x:c r="E35" s="14">
        <x:v>23</x:v>
      </x:c>
      <x:c r="F35" s="12" t="s">
        <x:v>50</x:v>
      </x:c>
      <x:c r="G35" s="12" t="s">
        <x:v>78</x:v>
      </x:c>
      <x:c r="H35" s="14">
        <x:v>12</x:v>
      </x:c>
      <x:c r="I35" s="14">
        <x:v>3</x:v>
      </x:c>
      <x:c r="J35" s="14">
        <x:v>13</x:v>
      </x:c>
      <x:c r="K35" s="15">
        <x:v>28080</x:v>
      </x:c>
      <x:c r="L35" s="16">
        <x:v>11.54</x:v>
      </x:c>
      <x:c r="M35" s="15">
        <x:v>324043</x:v>
      </x:c>
      <x:c r="N35" s="15">
        <x:v>302269</x:v>
      </x:c>
      <x:c r="O35" s="15">
        <x:v>4074</x:v>
      </x:c>
      <x:c r="P35" s="15">
        <x:v>17700</x:v>
      </x:c>
      <x:c r="Q35" t="str">
        <x:f>IF(A35="","", "PE-"&amp;A35&amp;"-L"&amp;TEXT(E35,"00")&amp;"-"&amp;TEXT(B35,"yyyymmdd")&amp;"-"&amp;C35&amp;"-"&amp;F35)</x:f>
        <x:v>PE-KG01-L23-20251021-AM-ORD-2025-00092</x:v>
      </x:c>
      <x:c r="R35" t="n">
        <x:f>IF(A35="","",H35*I35)</x:f>
        <x:v>36</x:v>
      </x:c>
      <x:c r="S35" t="str">
        <x:f>IF(A35="","",IF(AND(H35&gt;=1,H35&lt;=13,I35&gt;=1,I35&lt;=3),"OK","CHECK"))</x:f>
        <x:v>OK</x:v>
      </x:c>
      <x:c r="T35" t="str">
        <x:f>IF(A35="","",IF(ABS(K35-(J35*H35*I35*60))&lt;=0.5,"OK","CHECK"))</x:f>
        <x:v>OK</x:v>
      </x:c>
      <x:c r="U35" t="str">
        <x:f>IF(A35="","",IF(ABS(M35-(K35*L35))&lt;=1,"OK","CHECK"))</x:f>
        <x:v>OK</x:v>
      </x:c>
      <x:c r="V35" t="str">
        <x:f>IF(A35="","",IF(ABS(M35-N35-O35-P35)&lt;=1,"OK","CHECK"))</x:f>
        <x:v>OK</x:v>
      </x:c>
      <x:c r="W35" t="n">
        <x:f>IF(Q35="","",SUMIF(ProductionConfiguration!$B$5:$B$914,Q35,ProductionConfiguration!$S$5:$S$914))</x:f>
        <x:v>36</x:v>
      </x:c>
      <x:c r="X35" t="str">
        <x:f>IF(A35="","",IF(R35=W35,"OK","CHECK"))</x:f>
        <x:v>OK</x:v>
      </x:c>
      <x:c r="Y35" t="str">
        <x:f>IF(Q35="","",IF(COUNTIF($Q$5:$Q$100,Q35)=1,"OK","CHECK"))</x:f>
        <x:v>OK</x:v>
      </x:c>
      <x:c r="Z35" t="str">
        <x:f>IF(A35="","",IF(AND(S35="OK",T35="OK",U35="OK",V35="OK",X35="OK",Y35="OK"),"OK","CHECK"))</x:f>
        <x:v>OK</x:v>
      </x:c>
    </x:row>
    <x:row r="36" ht="18" customHeight="1">
      <x:c r="A36" s="12" t="s">
        <x:v>30</x:v>
      </x:c>
      <x:c r="B36" s="13">
        <x:v>45951</x:v>
      </x:c>
      <x:c r="C36" s="12" t="s">
        <x:v>79</x:v>
      </x:c>
      <x:c r="D36" s="12" t="s">
        <x:v>37</x:v>
      </x:c>
      <x:c r="E36" s="14">
        <x:v>23</x:v>
      </x:c>
      <x:c r="F36" s="12" t="s">
        <x:v>50</x:v>
      </x:c>
      <x:c r="G36" s="12" t="s">
        <x:v>78</x:v>
      </x:c>
      <x:c r="H36" s="14">
        <x:v>12</x:v>
      </x:c>
      <x:c r="I36" s="14">
        <x:v>3</x:v>
      </x:c>
      <x:c r="J36" s="14">
        <x:v>13</x:v>
      </x:c>
      <x:c r="K36" s="15">
        <x:v>28080</x:v>
      </x:c>
      <x:c r="L36" s="16">
        <x:v>11.55</x:v>
      </x:c>
      <x:c r="M36" s="15">
        <x:v>324324</x:v>
      </x:c>
      <x:c r="N36" s="15">
        <x:v>298076</x:v>
      </x:c>
      <x:c r="O36" s="15">
        <x:v>5731</x:v>
      </x:c>
      <x:c r="P36" s="15">
        <x:v>20517</x:v>
      </x:c>
      <x:c r="Q36" t="str">
        <x:f>IF(A36="","", "PE-"&amp;A36&amp;"-L"&amp;TEXT(E36,"00")&amp;"-"&amp;TEXT(B36,"yyyymmdd")&amp;"-"&amp;C36&amp;"-"&amp;F36)</x:f>
        <x:v>PE-KG01-L23-20251021-PM-ORD-2025-00092</x:v>
      </x:c>
      <x:c r="R36" t="n">
        <x:f>IF(A36="","",H36*I36)</x:f>
        <x:v>36</x:v>
      </x:c>
      <x:c r="S36" t="str">
        <x:f>IF(A36="","",IF(AND(H36&gt;=1,H36&lt;=13,I36&gt;=1,I36&lt;=3),"OK","CHECK"))</x:f>
        <x:v>OK</x:v>
      </x:c>
      <x:c r="T36" t="str">
        <x:f>IF(A36="","",IF(ABS(K36-(J36*H36*I36*60))&lt;=0.5,"OK","CHECK"))</x:f>
        <x:v>OK</x:v>
      </x:c>
      <x:c r="U36" t="str">
        <x:f>IF(A36="","",IF(ABS(M36-(K36*L36))&lt;=1,"OK","CHECK"))</x:f>
        <x:v>OK</x:v>
      </x:c>
      <x:c r="V36" t="str">
        <x:f>IF(A36="","",IF(ABS(M36-N36-O36-P36)&lt;=1,"OK","CHECK"))</x:f>
        <x:v>OK</x:v>
      </x:c>
      <x:c r="W36" t="n">
        <x:f>IF(Q36="","",SUMIF(ProductionConfiguration!$B$5:$B$914,Q36,ProductionConfiguration!$S$5:$S$914))</x:f>
        <x:v>36</x:v>
      </x:c>
      <x:c r="X36" t="str">
        <x:f>IF(A36="","",IF(R36=W36,"OK","CHECK"))</x:f>
        <x:v>OK</x:v>
      </x:c>
      <x:c r="Y36" t="str">
        <x:f>IF(Q36="","",IF(COUNTIF($Q$5:$Q$100,Q36)=1,"OK","CHECK"))</x:f>
        <x:v>OK</x:v>
      </x:c>
      <x:c r="Z36" t="str">
        <x:f>IF(A36="","",IF(AND(S36="OK",T36="OK",U36="OK",V36="OK",X36="OK",Y36="OK"),"OK","CHECK"))</x:f>
        <x:v>OK</x:v>
      </x:c>
    </x:row>
    <x:row r="37" ht="18" customHeight="1">
      <x:c r="A37" s="12" t="s">
        <x:v>30</x:v>
      </x:c>
      <x:c r="B37" s="13">
        <x:v>45952</x:v>
      </x:c>
      <x:c r="C37" s="12" t="s">
        <x:v>31</x:v>
      </x:c>
      <x:c r="D37" s="12" t="s">
        <x:v>37</x:v>
      </x:c>
      <x:c r="E37" s="14">
        <x:v>23</x:v>
      </x:c>
      <x:c r="F37" s="12" t="s">
        <x:v>51</x:v>
      </x:c>
      <x:c r="G37" s="12" t="s">
        <x:v>78</x:v>
      </x:c>
      <x:c r="H37" s="14">
        <x:v>12</x:v>
      </x:c>
      <x:c r="I37" s="14">
        <x:v>2</x:v>
      </x:c>
      <x:c r="J37" s="14">
        <x:v>9</x:v>
      </x:c>
      <x:c r="K37" s="15">
        <x:v>12960</x:v>
      </x:c>
      <x:c r="L37" s="16">
        <x:v>6.88</x:v>
      </x:c>
      <x:c r="M37" s="15">
        <x:v>89165</x:v>
      </x:c>
      <x:c r="N37" s="15">
        <x:v>83448</x:v>
      </x:c>
      <x:c r="O37" s="15">
        <x:v>822</x:v>
      </x:c>
      <x:c r="P37" s="15">
        <x:v>4895</x:v>
      </x:c>
      <x:c r="Q37" t="str">
        <x:f>IF(A37="","", "PE-"&amp;A37&amp;"-L"&amp;TEXT(E37,"00")&amp;"-"&amp;TEXT(B37,"yyyymmdd")&amp;"-"&amp;C37&amp;"-"&amp;F37)</x:f>
        <x:v>PE-KG01-L23-20251022-AM-ORD-2025-00093</x:v>
      </x:c>
      <x:c r="R37" t="n">
        <x:f>IF(A37="","",H37*I37)</x:f>
        <x:v>24</x:v>
      </x:c>
      <x:c r="S37" t="str">
        <x:f>IF(A37="","",IF(AND(H37&gt;=1,H37&lt;=13,I37&gt;=1,I37&lt;=3),"OK","CHECK"))</x:f>
        <x:v>OK</x:v>
      </x:c>
      <x:c r="T37" t="str">
        <x:f>IF(A37="","",IF(ABS(K37-(J37*H37*I37*60))&lt;=0.5,"OK","CHECK"))</x:f>
        <x:v>OK</x:v>
      </x:c>
      <x:c r="U37" t="str">
        <x:f>IF(A37="","",IF(ABS(M37-(K37*L37))&lt;=1,"OK","CHECK"))</x:f>
        <x:v>OK</x:v>
      </x:c>
      <x:c r="V37" t="str">
        <x:f>IF(A37="","",IF(ABS(M37-N37-O37-P37)&lt;=1,"OK","CHECK"))</x:f>
        <x:v>OK</x:v>
      </x:c>
      <x:c r="W37" t="n">
        <x:f>IF(Q37="","",SUMIF(ProductionConfiguration!$B$5:$B$914,Q37,ProductionConfiguration!$S$5:$S$914))</x:f>
        <x:v>24</x:v>
      </x:c>
      <x:c r="X37" t="str">
        <x:f>IF(A37="","",IF(R37=W37,"OK","CHECK"))</x:f>
        <x:v>OK</x:v>
      </x:c>
      <x:c r="Y37" t="str">
        <x:f>IF(Q37="","",IF(COUNTIF($Q$5:$Q$100,Q37)=1,"OK","CHECK"))</x:f>
        <x:v>OK</x:v>
      </x:c>
      <x:c r="Z37" t="str">
        <x:f>IF(A37="","",IF(AND(S37="OK",T37="OK",U37="OK",V37="OK",X37="OK",Y37="OK"),"OK","CHECK"))</x:f>
        <x:v>OK</x:v>
      </x:c>
    </x:row>
    <x:row r="38" ht="18" customHeight="1">
      <x:c r="A38" s="12" t="s">
        <x:v>30</x:v>
      </x:c>
      <x:c r="B38" s="13">
        <x:v>45952</x:v>
      </x:c>
      <x:c r="C38" s="12" t="s">
        <x:v>79</x:v>
      </x:c>
      <x:c r="D38" s="12" t="s">
        <x:v>41</x:v>
      </x:c>
      <x:c r="E38" s="14">
        <x:v>23</x:v>
      </x:c>
      <x:c r="F38" s="12" t="s">
        <x:v>51</x:v>
      </x:c>
      <x:c r="G38" s="12" t="s">
        <x:v>78</x:v>
      </x:c>
      <x:c r="H38" s="14">
        <x:v>12</x:v>
      </x:c>
      <x:c r="I38" s="14">
        <x:v>2</x:v>
      </x:c>
      <x:c r="J38" s="14">
        <x:v>10</x:v>
      </x:c>
      <x:c r="K38" s="15">
        <x:v>14400</x:v>
      </x:c>
      <x:c r="L38" s="16">
        <x:v>11.5</x:v>
      </x:c>
      <x:c r="M38" s="15">
        <x:v>165600</x:v>
      </x:c>
      <x:c r="N38" s="15">
        <x:v>152167</x:v>
      </x:c>
      <x:c r="O38" s="15">
        <x:v>3335</x:v>
      </x:c>
      <x:c r="P38" s="15">
        <x:v>10098</x:v>
      </x:c>
      <x:c r="Q38" t="str">
        <x:f>IF(A38="","", "PE-"&amp;A38&amp;"-L"&amp;TEXT(E38,"00")&amp;"-"&amp;TEXT(B38,"yyyymmdd")&amp;"-"&amp;C38&amp;"-"&amp;F38)</x:f>
        <x:v>PE-KG01-L23-20251022-PM-ORD-2025-00093</x:v>
      </x:c>
      <x:c r="R38" t="n">
        <x:f>IF(A38="","",H38*I38)</x:f>
        <x:v>24</x:v>
      </x:c>
      <x:c r="S38" t="str">
        <x:f>IF(A38="","",IF(AND(H38&gt;=1,H38&lt;=13,I38&gt;=1,I38&lt;=3),"OK","CHECK"))</x:f>
        <x:v>OK</x:v>
      </x:c>
      <x:c r="T38" t="str">
        <x:f>IF(A38="","",IF(ABS(K38-(J38*H38*I38*60))&lt;=0.5,"OK","CHECK"))</x:f>
        <x:v>OK</x:v>
      </x:c>
      <x:c r="U38" t="str">
        <x:f>IF(A38="","",IF(ABS(M38-(K38*L38))&lt;=1,"OK","CHECK"))</x:f>
        <x:v>OK</x:v>
      </x:c>
      <x:c r="V38" t="str">
        <x:f>IF(A38="","",IF(ABS(M38-N38-O38-P38)&lt;=1,"OK","CHECK"))</x:f>
        <x:v>OK</x:v>
      </x:c>
      <x:c r="W38" t="n">
        <x:f>IF(Q38="","",SUMIF(ProductionConfiguration!$B$5:$B$914,Q38,ProductionConfiguration!$S$5:$S$914))</x:f>
        <x:v>24</x:v>
      </x:c>
      <x:c r="X38" t="str">
        <x:f>IF(A38="","",IF(R38=W38,"OK","CHECK"))</x:f>
        <x:v>OK</x:v>
      </x:c>
      <x:c r="Y38" t="str">
        <x:f>IF(Q38="","",IF(COUNTIF($Q$5:$Q$100,Q38)=1,"OK","CHECK"))</x:f>
        <x:v>OK</x:v>
      </x:c>
      <x:c r="Z38" t="str">
        <x:f>IF(A38="","",IF(AND(S38="OK",T38="OK",U38="OK",V38="OK",X38="OK",Y38="OK"),"OK","CHECK"))</x:f>
        <x:v>OK</x:v>
      </x:c>
    </x:row>
    <x:row r="39" ht="18" customHeight="1">
      <x:c r="A39" s="12" t="s">
        <x:v>30</x:v>
      </x:c>
      <x:c r="B39" s="13">
        <x:v>45953</x:v>
      </x:c>
      <x:c r="C39" s="12" t="s">
        <x:v>31</x:v>
      </x:c>
      <x:c r="D39" s="12" t="s">
        <x:v>41</x:v>
      </x:c>
      <x:c r="E39" s="14">
        <x:v>23</x:v>
      </x:c>
      <x:c r="F39" s="12" t="s">
        <x:v>51</x:v>
      </x:c>
      <x:c r="G39" s="12" t="s">
        <x:v>78</x:v>
      </x:c>
      <x:c r="H39" s="14">
        <x:v>12</x:v>
      </x:c>
      <x:c r="I39" s="14">
        <x:v>2</x:v>
      </x:c>
      <x:c r="J39" s="14">
        <x:v>11</x:v>
      </x:c>
      <x:c r="K39" s="15">
        <x:v>15840</x:v>
      </x:c>
      <x:c r="L39" s="16">
        <x:v>11.71</x:v>
      </x:c>
      <x:c r="M39" s="15">
        <x:v>185486</x:v>
      </x:c>
      <x:c r="N39" s="15">
        <x:v>176967</x:v>
      </x:c>
      <x:c r="O39" s="15">
        <x:v>650</x:v>
      </x:c>
      <x:c r="P39" s="15">
        <x:v>7869</x:v>
      </x:c>
      <x:c r="Q39" t="str">
        <x:f>IF(A39="","", "PE-"&amp;A39&amp;"-L"&amp;TEXT(E39,"00")&amp;"-"&amp;TEXT(B39,"yyyymmdd")&amp;"-"&amp;C39&amp;"-"&amp;F39)</x:f>
        <x:v>PE-KG01-L23-20251023-AM-ORD-2025-00093</x:v>
      </x:c>
      <x:c r="R39" t="n">
        <x:f>IF(A39="","",H39*I39)</x:f>
        <x:v>24</x:v>
      </x:c>
      <x:c r="S39" t="str">
        <x:f>IF(A39="","",IF(AND(H39&gt;=1,H39&lt;=13,I39&gt;=1,I39&lt;=3),"OK","CHECK"))</x:f>
        <x:v>OK</x:v>
      </x:c>
      <x:c r="T39" t="str">
        <x:f>IF(A39="","",IF(ABS(K39-(J39*H39*I39*60))&lt;=0.5,"OK","CHECK"))</x:f>
        <x:v>OK</x:v>
      </x:c>
      <x:c r="U39" t="str">
        <x:f>IF(A39="","",IF(ABS(M39-(K39*L39))&lt;=1,"OK","CHECK"))</x:f>
        <x:v>OK</x:v>
      </x:c>
      <x:c r="V39" t="str">
        <x:f>IF(A39="","",IF(ABS(M39-N39-O39-P39)&lt;=1,"OK","CHECK"))</x:f>
        <x:v>OK</x:v>
      </x:c>
      <x:c r="W39" t="n">
        <x:f>IF(Q39="","",SUMIF(ProductionConfiguration!$B$5:$B$914,Q39,ProductionConfiguration!$S$5:$S$914))</x:f>
        <x:v>24</x:v>
      </x:c>
      <x:c r="X39" t="str">
        <x:f>IF(A39="","",IF(R39=W39,"OK","CHECK"))</x:f>
        <x:v>OK</x:v>
      </x:c>
      <x:c r="Y39" t="str">
        <x:f>IF(Q39="","",IF(COUNTIF($Q$5:$Q$100,Q39)=1,"OK","CHECK"))</x:f>
        <x:v>OK</x:v>
      </x:c>
      <x:c r="Z39" t="str">
        <x:f>IF(A39="","",IF(AND(S39="OK",T39="OK",U39="OK",V39="OK",X39="OK",Y39="OK"),"OK","CHECK"))</x:f>
        <x:v>OK</x:v>
      </x:c>
    </x:row>
    <x:row r="40" ht="18" customHeight="1">
      <x:c r="A40" s="12" t="s">
        <x:v>30</x:v>
      </x:c>
      <x:c r="B40" s="13">
        <x:v>45953</x:v>
      </x:c>
      <x:c r="C40" s="12" t="s">
        <x:v>79</x:v>
      </x:c>
      <x:c r="D40" s="12" t="s">
        <x:v>32</x:v>
      </x:c>
      <x:c r="E40" s="14">
        <x:v>23</x:v>
      </x:c>
      <x:c r="F40" s="12" t="s">
        <x:v>51</x:v>
      </x:c>
      <x:c r="G40" s="12" t="s">
        <x:v>78</x:v>
      </x:c>
      <x:c r="H40" s="14">
        <x:v>12</x:v>
      </x:c>
      <x:c r="I40" s="14">
        <x:v>2</x:v>
      </x:c>
      <x:c r="J40" s="14">
        <x:v>9</x:v>
      </x:c>
      <x:c r="K40" s="15">
        <x:v>12960</x:v>
      </x:c>
      <x:c r="L40" s="16">
        <x:v>11.62</x:v>
      </x:c>
      <x:c r="M40" s="15">
        <x:v>150595</x:v>
      </x:c>
      <x:c r="N40" s="15">
        <x:v>142535</x:v>
      </x:c>
      <x:c r="O40" s="15">
        <x:v>2900</x:v>
      </x:c>
      <x:c r="P40" s="15">
        <x:v>5160</x:v>
      </x:c>
      <x:c r="Q40" t="str">
        <x:f>IF(A40="","", "PE-"&amp;A40&amp;"-L"&amp;TEXT(E40,"00")&amp;"-"&amp;TEXT(B40,"yyyymmdd")&amp;"-"&amp;C40&amp;"-"&amp;F40)</x:f>
        <x:v>PE-KG01-L23-20251023-PM-ORD-2025-00093</x:v>
      </x:c>
      <x:c r="R40" t="n">
        <x:f>IF(A40="","",H40*I40)</x:f>
        <x:v>24</x:v>
      </x:c>
      <x:c r="S40" t="str">
        <x:f>IF(A40="","",IF(AND(H40&gt;=1,H40&lt;=13,I40&gt;=1,I40&lt;=3),"OK","CHECK"))</x:f>
        <x:v>OK</x:v>
      </x:c>
      <x:c r="T40" t="str">
        <x:f>IF(A40="","",IF(ABS(K40-(J40*H40*I40*60))&lt;=0.5,"OK","CHECK"))</x:f>
        <x:v>OK</x:v>
      </x:c>
      <x:c r="U40" t="str">
        <x:f>IF(A40="","",IF(ABS(M40-(K40*L40))&lt;=1,"OK","CHECK"))</x:f>
        <x:v>OK</x:v>
      </x:c>
      <x:c r="V40" t="str">
        <x:f>IF(A40="","",IF(ABS(M40-N40-O40-P40)&lt;=1,"OK","CHECK"))</x:f>
        <x:v>OK</x:v>
      </x:c>
      <x:c r="W40" t="n">
        <x:f>IF(Q40="","",SUMIF(ProductionConfiguration!$B$5:$B$914,Q40,ProductionConfiguration!$S$5:$S$914))</x:f>
        <x:v>24</x:v>
      </x:c>
      <x:c r="X40" t="str">
        <x:f>IF(A40="","",IF(R40=W40,"OK","CHECK"))</x:f>
        <x:v>OK</x:v>
      </x:c>
      <x:c r="Y40" t="str">
        <x:f>IF(Q40="","",IF(COUNTIF($Q$5:$Q$100,Q40)=1,"OK","CHECK"))</x:f>
        <x:v>OK</x:v>
      </x:c>
      <x:c r="Z40" t="str">
        <x:f>IF(A40="","",IF(AND(S40="OK",T40="OK",U40="OK",V40="OK",X40="OK",Y40="OK"),"OK","CHECK"))</x:f>
        <x:v>OK</x:v>
      </x:c>
    </x:row>
    <x:row r="41" ht="18" customHeight="1">
      <x:c r="A41" s="12" t="s">
        <x:v>30</x:v>
      </x:c>
      <x:c r="B41" s="13">
        <x:v>45954</x:v>
      </x:c>
      <x:c r="C41" s="12" t="s">
        <x:v>31</x:v>
      </x:c>
      <x:c r="D41" s="12" t="s">
        <x:v>32</x:v>
      </x:c>
      <x:c r="E41" s="14">
        <x:v>23</x:v>
      </x:c>
      <x:c r="F41" s="12" t="s">
        <x:v>51</x:v>
      </x:c>
      <x:c r="G41" s="12" t="s">
        <x:v>78</x:v>
      </x:c>
      <x:c r="H41" s="14">
        <x:v>12</x:v>
      </x:c>
      <x:c r="I41" s="14">
        <x:v>2</x:v>
      </x:c>
      <x:c r="J41" s="14">
        <x:v>9</x:v>
      </x:c>
      <x:c r="K41" s="15">
        <x:v>12960</x:v>
      </x:c>
      <x:c r="L41" s="16">
        <x:v>11.48</x:v>
      </x:c>
      <x:c r="M41" s="15">
        <x:v>148781</x:v>
      </x:c>
      <x:c r="N41" s="15">
        <x:v>141422</x:v>
      </x:c>
      <x:c r="O41" s="15">
        <x:v>1705</x:v>
      </x:c>
      <x:c r="P41" s="15">
        <x:v>5654</x:v>
      </x:c>
      <x:c r="Q41" t="str">
        <x:f>IF(A41="","", "PE-"&amp;A41&amp;"-L"&amp;TEXT(E41,"00")&amp;"-"&amp;TEXT(B41,"yyyymmdd")&amp;"-"&amp;C41&amp;"-"&amp;F41)</x:f>
        <x:v>PE-KG01-L23-20251024-AM-ORD-2025-00093</x:v>
      </x:c>
      <x:c r="R41" t="n">
        <x:f>IF(A41="","",H41*I41)</x:f>
        <x:v>24</x:v>
      </x:c>
      <x:c r="S41" t="str">
        <x:f>IF(A41="","",IF(AND(H41&gt;=1,H41&lt;=13,I41&gt;=1,I41&lt;=3),"OK","CHECK"))</x:f>
        <x:v>OK</x:v>
      </x:c>
      <x:c r="T41" t="str">
        <x:f>IF(A41="","",IF(ABS(K41-(J41*H41*I41*60))&lt;=0.5,"OK","CHECK"))</x:f>
        <x:v>OK</x:v>
      </x:c>
      <x:c r="U41" t="str">
        <x:f>IF(A41="","",IF(ABS(M41-(K41*L41))&lt;=1,"OK","CHECK"))</x:f>
        <x:v>OK</x:v>
      </x:c>
      <x:c r="V41" t="str">
        <x:f>IF(A41="","",IF(ABS(M41-N41-O41-P41)&lt;=1,"OK","CHECK"))</x:f>
        <x:v>OK</x:v>
      </x:c>
      <x:c r="W41" t="n">
        <x:f>IF(Q41="","",SUMIF(ProductionConfiguration!$B$5:$B$914,Q41,ProductionConfiguration!$S$5:$S$914))</x:f>
        <x:v>24</x:v>
      </x:c>
      <x:c r="X41" t="str">
        <x:f>IF(A41="","",IF(R41=W41,"OK","CHECK"))</x:f>
        <x:v>OK</x:v>
      </x:c>
      <x:c r="Y41" t="str">
        <x:f>IF(Q41="","",IF(COUNTIF($Q$5:$Q$100,Q41)=1,"OK","CHECK"))</x:f>
        <x:v>OK</x:v>
      </x:c>
      <x:c r="Z41" t="str">
        <x:f>IF(A41="","",IF(AND(S41="OK",T41="OK",U41="OK",V41="OK",X41="OK",Y41="OK"),"OK","CHECK"))</x:f>
        <x:v>OK</x:v>
      </x:c>
    </x:row>
    <x:row r="42" ht="18" customHeight="1">
      <x:c r="A42" s="12" t="s">
        <x:v>30</x:v>
      </x:c>
      <x:c r="B42" s="13">
        <x:v>45954</x:v>
      </x:c>
      <x:c r="C42" s="12" t="s">
        <x:v>79</x:v>
      </x:c>
      <x:c r="D42" s="12" t="s">
        <x:v>37</x:v>
      </x:c>
      <x:c r="E42" s="14">
        <x:v>23</x:v>
      </x:c>
      <x:c r="F42" s="12" t="s">
        <x:v>51</x:v>
      </x:c>
      <x:c r="G42" s="12" t="s">
        <x:v>78</x:v>
      </x:c>
      <x:c r="H42" s="14">
        <x:v>12</x:v>
      </x:c>
      <x:c r="I42" s="14">
        <x:v>2</x:v>
      </x:c>
      <x:c r="J42" s="14">
        <x:v>11</x:v>
      </x:c>
      <x:c r="K42" s="15">
        <x:v>15840</x:v>
      </x:c>
      <x:c r="L42" s="16">
        <x:v>11.66</x:v>
      </x:c>
      <x:c r="M42" s="15">
        <x:v>184694</x:v>
      </x:c>
      <x:c r="N42" s="15">
        <x:v>177515</x:v>
      </x:c>
      <x:c r="O42" s="15">
        <x:v>1983</x:v>
      </x:c>
      <x:c r="P42" s="15">
        <x:v>5196</x:v>
      </x:c>
      <x:c r="Q42" t="str">
        <x:f>IF(A42="","", "PE-"&amp;A42&amp;"-L"&amp;TEXT(E42,"00")&amp;"-"&amp;TEXT(B42,"yyyymmdd")&amp;"-"&amp;C42&amp;"-"&amp;F42)</x:f>
        <x:v>PE-KG01-L23-20251024-PM-ORD-2025-00093</x:v>
      </x:c>
      <x:c r="R42" t="n">
        <x:f>IF(A42="","",H42*I42)</x:f>
        <x:v>24</x:v>
      </x:c>
      <x:c r="S42" t="str">
        <x:f>IF(A42="","",IF(AND(H42&gt;=1,H42&lt;=13,I42&gt;=1,I42&lt;=3),"OK","CHECK"))</x:f>
        <x:v>OK</x:v>
      </x:c>
      <x:c r="T42" t="str">
        <x:f>IF(A42="","",IF(ABS(K42-(J42*H42*I42*60))&lt;=0.5,"OK","CHECK"))</x:f>
        <x:v>OK</x:v>
      </x:c>
      <x:c r="U42" t="str">
        <x:f>IF(A42="","",IF(ABS(M42-(K42*L42))&lt;=1,"OK","CHECK"))</x:f>
        <x:v>OK</x:v>
      </x:c>
      <x:c r="V42" t="str">
        <x:f>IF(A42="","",IF(ABS(M42-N42-O42-P42)&lt;=1,"OK","CHECK"))</x:f>
        <x:v>OK</x:v>
      </x:c>
      <x:c r="W42" t="n">
        <x:f>IF(Q42="","",SUMIF(ProductionConfiguration!$B$5:$B$914,Q42,ProductionConfiguration!$S$5:$S$914))</x:f>
        <x:v>24</x:v>
      </x:c>
      <x:c r="X42" t="str">
        <x:f>IF(A42="","",IF(R42=W42,"OK","CHECK"))</x:f>
        <x:v>OK</x:v>
      </x:c>
      <x:c r="Y42" t="str">
        <x:f>IF(Q42="","",IF(COUNTIF($Q$5:$Q$100,Q42)=1,"OK","CHECK"))</x:f>
        <x:v>OK</x:v>
      </x:c>
      <x:c r="Z42" t="str">
        <x:f>IF(A42="","",IF(AND(S42="OK",T42="OK",U42="OK",V42="OK",X42="OK",Y42="OK"),"OK","CHECK"))</x:f>
        <x:v>OK</x:v>
      </x:c>
    </x:row>
    <x:row r="43" ht="18" customHeight="1">
      <x:c r="A43" s="12" t="s">
        <x:v>30</x:v>
      </x:c>
      <x:c r="B43" s="13">
        <x:v>45955</x:v>
      </x:c>
      <x:c r="C43" s="12" t="s">
        <x:v>31</x:v>
      </x:c>
      <x:c r="D43" s="12" t="s">
        <x:v>37</x:v>
      </x:c>
      <x:c r="E43" s="14">
        <x:v>23</x:v>
      </x:c>
      <x:c r="F43" s="12" t="s">
        <x:v>51</x:v>
      </x:c>
      <x:c r="G43" s="12" t="s">
        <x:v>78</x:v>
      </x:c>
      <x:c r="H43" s="14">
        <x:v>12</x:v>
      </x:c>
      <x:c r="I43" s="14">
        <x:v>2</x:v>
      </x:c>
      <x:c r="J43" s="14">
        <x:v>10</x:v>
      </x:c>
      <x:c r="K43" s="15">
        <x:v>14400</x:v>
      </x:c>
      <x:c r="L43" s="16">
        <x:v>11.85</x:v>
      </x:c>
      <x:c r="M43" s="15">
        <x:v>170640</x:v>
      </x:c>
      <x:c r="N43" s="15">
        <x:v>160575</x:v>
      </x:c>
      <x:c r="O43" s="15">
        <x:v>1191</x:v>
      </x:c>
      <x:c r="P43" s="15">
        <x:v>8874</x:v>
      </x:c>
      <x:c r="Q43" t="str">
        <x:f>IF(A43="","", "PE-"&amp;A43&amp;"-L"&amp;TEXT(E43,"00")&amp;"-"&amp;TEXT(B43,"yyyymmdd")&amp;"-"&amp;C43&amp;"-"&amp;F43)</x:f>
        <x:v>PE-KG01-L23-20251025-AM-ORD-2025-00093</x:v>
      </x:c>
      <x:c r="R43" t="n">
        <x:f>IF(A43="","",H43*I43)</x:f>
        <x:v>24</x:v>
      </x:c>
      <x:c r="S43" t="str">
        <x:f>IF(A43="","",IF(AND(H43&gt;=1,H43&lt;=13,I43&gt;=1,I43&lt;=3),"OK","CHECK"))</x:f>
        <x:v>OK</x:v>
      </x:c>
      <x:c r="T43" t="str">
        <x:f>IF(A43="","",IF(ABS(K43-(J43*H43*I43*60))&lt;=0.5,"OK","CHECK"))</x:f>
        <x:v>OK</x:v>
      </x:c>
      <x:c r="U43" t="str">
        <x:f>IF(A43="","",IF(ABS(M43-(K43*L43))&lt;=1,"OK","CHECK"))</x:f>
        <x:v>OK</x:v>
      </x:c>
      <x:c r="V43" t="str">
        <x:f>IF(A43="","",IF(ABS(M43-N43-O43-P43)&lt;=1,"OK","CHECK"))</x:f>
        <x:v>OK</x:v>
      </x:c>
      <x:c r="W43" t="n">
        <x:f>IF(Q43="","",SUMIF(ProductionConfiguration!$B$5:$B$914,Q43,ProductionConfiguration!$S$5:$S$914))</x:f>
        <x:v>24</x:v>
      </x:c>
      <x:c r="X43" t="str">
        <x:f>IF(A43="","",IF(R43=W43,"OK","CHECK"))</x:f>
        <x:v>OK</x:v>
      </x:c>
      <x:c r="Y43" t="str">
        <x:f>IF(Q43="","",IF(COUNTIF($Q$5:$Q$100,Q43)=1,"OK","CHECK"))</x:f>
        <x:v>OK</x:v>
      </x:c>
      <x:c r="Z43" t="str">
        <x:f>IF(A43="","",IF(AND(S43="OK",T43="OK",U43="OK",V43="OK",X43="OK",Y43="OK"),"OK","CHECK"))</x:f>
        <x:v>OK</x:v>
      </x:c>
    </x:row>
    <x:row r="44" ht="18" customHeight="1">
      <x:c r="A44" s="12" t="s">
        <x:v>30</x:v>
      </x:c>
      <x:c r="B44" s="13">
        <x:v>45955</x:v>
      </x:c>
      <x:c r="C44" s="12" t="s">
        <x:v>79</x:v>
      </x:c>
      <x:c r="D44" s="12" t="s">
        <x:v>41</x:v>
      </x:c>
      <x:c r="E44" s="14">
        <x:v>23</x:v>
      </x:c>
      <x:c r="F44" s="12" t="s">
        <x:v>51</x:v>
      </x:c>
      <x:c r="G44" s="12" t="s">
        <x:v>78</x:v>
      </x:c>
      <x:c r="H44" s="14">
        <x:v>12</x:v>
      </x:c>
      <x:c r="I44" s="14">
        <x:v>2</x:v>
      </x:c>
      <x:c r="J44" s="14">
        <x:v>9</x:v>
      </x:c>
      <x:c r="K44" s="15">
        <x:v>12960</x:v>
      </x:c>
      <x:c r="L44" s="16">
        <x:v>11.49</x:v>
      </x:c>
      <x:c r="M44" s="15">
        <x:v>148910</x:v>
      </x:c>
      <x:c r="N44" s="15">
        <x:v>141115</x:v>
      </x:c>
      <x:c r="O44" s="15">
        <x:v>298</x:v>
      </x:c>
      <x:c r="P44" s="15">
        <x:v>7497</x:v>
      </x:c>
      <x:c r="Q44" t="str">
        <x:f>IF(A44="","", "PE-"&amp;A44&amp;"-L"&amp;TEXT(E44,"00")&amp;"-"&amp;TEXT(B44,"yyyymmdd")&amp;"-"&amp;C44&amp;"-"&amp;F44)</x:f>
        <x:v>PE-KG01-L23-20251025-PM-ORD-2025-00093</x:v>
      </x:c>
      <x:c r="R44" t="n">
        <x:f>IF(A44="","",H44*I44)</x:f>
        <x:v>24</x:v>
      </x:c>
      <x:c r="S44" t="str">
        <x:f>IF(A44="","",IF(AND(H44&gt;=1,H44&lt;=13,I44&gt;=1,I44&lt;=3),"OK","CHECK"))</x:f>
        <x:v>OK</x:v>
      </x:c>
      <x:c r="T44" t="str">
        <x:f>IF(A44="","",IF(ABS(K44-(J44*H44*I44*60))&lt;=0.5,"OK","CHECK"))</x:f>
        <x:v>OK</x:v>
      </x:c>
      <x:c r="U44" t="str">
        <x:f>IF(A44="","",IF(ABS(M44-(K44*L44))&lt;=1,"OK","CHECK"))</x:f>
        <x:v>OK</x:v>
      </x:c>
      <x:c r="V44" t="str">
        <x:f>IF(A44="","",IF(ABS(M44-N44-O44-P44)&lt;=1,"OK","CHECK"))</x:f>
        <x:v>OK</x:v>
      </x:c>
      <x:c r="W44" t="n">
        <x:f>IF(Q44="","",SUMIF(ProductionConfiguration!$B$5:$B$914,Q44,ProductionConfiguration!$S$5:$S$914))</x:f>
        <x:v>24</x:v>
      </x:c>
      <x:c r="X44" t="str">
        <x:f>IF(A44="","",IF(R44=W44,"OK","CHECK"))</x:f>
        <x:v>OK</x:v>
      </x:c>
      <x:c r="Y44" t="str">
        <x:f>IF(Q44="","",IF(COUNTIF($Q$5:$Q$100,Q44)=1,"OK","CHECK"))</x:f>
        <x:v>OK</x:v>
      </x:c>
      <x:c r="Z44" t="str">
        <x:f>IF(A44="","",IF(AND(S44="OK",T44="OK",U44="OK",V44="OK",X44="OK",Y44="OK"),"OK","CHECK"))</x:f>
        <x:v>OK</x:v>
      </x:c>
    </x:row>
    <x:row r="45" ht="18" customHeight="1">
      <x:c r="A45" s="12" t="s">
        <x:v>30</x:v>
      </x:c>
      <x:c r="B45" s="13">
        <x:v>45956</x:v>
      </x:c>
      <x:c r="C45" s="12" t="s">
        <x:v>31</x:v>
      </x:c>
      <x:c r="D45" s="12" t="s">
        <x:v>41</x:v>
      </x:c>
      <x:c r="E45" s="14">
        <x:v>23</x:v>
      </x:c>
      <x:c r="F45" s="12" t="s">
        <x:v>53</x:v>
      </x:c>
      <x:c r="G45" s="12" t="s">
        <x:v>80</x:v>
      </x:c>
      <x:c r="H45" s="14">
        <x:v>12</x:v>
      </x:c>
      <x:c r="I45" s="14">
        <x:v>2</x:v>
      </x:c>
      <x:c r="J45" s="14">
        <x:v>10</x:v>
      </x:c>
      <x:c r="K45" s="15">
        <x:v>14400</x:v>
      </x:c>
      <x:c r="L45" s="16">
        <x:v>0.91</x:v>
      </x:c>
      <x:c r="M45" s="15">
        <x:v>13104</x:v>
      </x:c>
      <x:c r="N45" s="15">
        <x:v>11478</x:v>
      </x:c>
      <x:c r="O45" s="15">
        <x:v>465</x:v>
      </x:c>
      <x:c r="P45" s="15">
        <x:v>1161</x:v>
      </x:c>
      <x:c r="Q45" t="str">
        <x:f>IF(A45="","", "PE-"&amp;A45&amp;"-L"&amp;TEXT(E45,"00")&amp;"-"&amp;TEXT(B45,"yyyymmdd")&amp;"-"&amp;C45&amp;"-"&amp;F45)</x:f>
        <x:v>PE-KG01-L23-20251026-AM-ORD-2025-00094</x:v>
      </x:c>
      <x:c r="R45" t="n">
        <x:f>IF(A45="","",H45*I45)</x:f>
        <x:v>24</x:v>
      </x:c>
      <x:c r="S45" t="str">
        <x:f>IF(A45="","",IF(AND(H45&gt;=1,H45&lt;=13,I45&gt;=1,I45&lt;=3),"OK","CHECK"))</x:f>
        <x:v>OK</x:v>
      </x:c>
      <x:c r="T45" t="str">
        <x:f>IF(A45="","",IF(ABS(K45-(J45*H45*I45*60))&lt;=0.5,"OK","CHECK"))</x:f>
        <x:v>OK</x:v>
      </x:c>
      <x:c r="U45" t="str">
        <x:f>IF(A45="","",IF(ABS(M45-(K45*L45))&lt;=1,"OK","CHECK"))</x:f>
        <x:v>OK</x:v>
      </x:c>
      <x:c r="V45" t="str">
        <x:f>IF(A45="","",IF(ABS(M45-N45-O45-P45)&lt;=1,"OK","CHECK"))</x:f>
        <x:v>OK</x:v>
      </x:c>
      <x:c r="W45" t="n">
        <x:f>IF(Q45="","",SUMIF(ProductionConfiguration!$B$5:$B$914,Q45,ProductionConfiguration!$S$5:$S$914))</x:f>
        <x:v>24</x:v>
      </x:c>
      <x:c r="X45" t="str">
        <x:f>IF(A45="","",IF(R45=W45,"OK","CHECK"))</x:f>
        <x:v>OK</x:v>
      </x:c>
      <x:c r="Y45" t="str">
        <x:f>IF(Q45="","",IF(COUNTIF($Q$5:$Q$100,Q45)=1,"OK","CHECK"))</x:f>
        <x:v>OK</x:v>
      </x:c>
      <x:c r="Z45" t="str">
        <x:f>IF(A45="","",IF(AND(S45="OK",T45="OK",U45="OK",V45="OK",X45="OK",Y45="OK"),"OK","CHECK"))</x:f>
        <x:v>OK</x:v>
      </x:c>
    </x:row>
    <x:row r="46" ht="18" customHeight="1">
      <x:c r="A46" s="12" t="s">
        <x:v>30</x:v>
      </x:c>
      <x:c r="B46" s="13">
        <x:v>45956</x:v>
      </x:c>
      <x:c r="C46" s="12" t="s">
        <x:v>79</x:v>
      </x:c>
      <x:c r="D46" s="12" t="s">
        <x:v>32</x:v>
      </x:c>
      <x:c r="E46" s="14">
        <x:v>23</x:v>
      </x:c>
      <x:c r="F46" s="12" t="s">
        <x:v>53</x:v>
      </x:c>
      <x:c r="G46" s="12" t="s">
        <x:v>78</x:v>
      </x:c>
      <x:c r="H46" s="14">
        <x:v>12</x:v>
      </x:c>
      <x:c r="I46" s="14">
        <x:v>2</x:v>
      </x:c>
      <x:c r="J46" s="14">
        <x:v>11</x:v>
      </x:c>
      <x:c r="K46" s="15">
        <x:v>15840</x:v>
      </x:c>
      <x:c r="L46" s="16">
        <x:v>11.55</x:v>
      </x:c>
      <x:c r="M46" s="15">
        <x:v>182952</x:v>
      </x:c>
      <x:c r="N46" s="15">
        <x:v>170721</x:v>
      </x:c>
      <x:c r="O46" s="15">
        <x:v>366</x:v>
      </x:c>
      <x:c r="P46" s="15">
        <x:v>11865</x:v>
      </x:c>
      <x:c r="Q46" t="str">
        <x:f>IF(A46="","", "PE-"&amp;A46&amp;"-L"&amp;TEXT(E46,"00")&amp;"-"&amp;TEXT(B46,"yyyymmdd")&amp;"-"&amp;C46&amp;"-"&amp;F46)</x:f>
        <x:v>PE-KG01-L23-20251026-PM-ORD-2025-00094</x:v>
      </x:c>
      <x:c r="R46" t="n">
        <x:f>IF(A46="","",H46*I46)</x:f>
        <x:v>24</x:v>
      </x:c>
      <x:c r="S46" t="str">
        <x:f>IF(A46="","",IF(AND(H46&gt;=1,H46&lt;=13,I46&gt;=1,I46&lt;=3),"OK","CHECK"))</x:f>
        <x:v>OK</x:v>
      </x:c>
      <x:c r="T46" t="str">
        <x:f>IF(A46="","",IF(ABS(K46-(J46*H46*I46*60))&lt;=0.5,"OK","CHECK"))</x:f>
        <x:v>OK</x:v>
      </x:c>
      <x:c r="U46" t="str">
        <x:f>IF(A46="","",IF(ABS(M46-(K46*L46))&lt;=1,"OK","CHECK"))</x:f>
        <x:v>OK</x:v>
      </x:c>
      <x:c r="V46" t="str">
        <x:f>IF(A46="","",IF(ABS(M46-N46-O46-P46)&lt;=1,"OK","CHECK"))</x:f>
        <x:v>OK</x:v>
      </x:c>
      <x:c r="W46" t="n">
        <x:f>IF(Q46="","",SUMIF(ProductionConfiguration!$B$5:$B$914,Q46,ProductionConfiguration!$S$5:$S$914))</x:f>
        <x:v>24</x:v>
      </x:c>
      <x:c r="X46" t="str">
        <x:f>IF(A46="","",IF(R46=W46,"OK","CHECK"))</x:f>
        <x:v>OK</x:v>
      </x:c>
      <x:c r="Y46" t="str">
        <x:f>IF(Q46="","",IF(COUNTIF($Q$5:$Q$100,Q46)=1,"OK","CHECK"))</x:f>
        <x:v>OK</x:v>
      </x:c>
      <x:c r="Z46" t="str">
        <x:f>IF(A46="","",IF(AND(S46="OK",T46="OK",U46="OK",V46="OK",X46="OK",Y46="OK"),"OK","CHECK"))</x:f>
        <x:v>OK</x:v>
      </x:c>
    </x:row>
    <x:row r="47" ht="18" customHeight="1">
      <x:c r="A47" s="12" t="s">
        <x:v>30</x:v>
      </x:c>
      <x:c r="B47" s="13">
        <x:v>45950</x:v>
      </x:c>
      <x:c r="C47" s="12" t="s">
        <x:v>31</x:v>
      </x:c>
      <x:c r="D47" s="12" t="s">
        <x:v>41</x:v>
      </x:c>
      <x:c r="E47" s="14">
        <x:v>24</x:v>
      </x:c>
      <x:c r="F47" s="12" t="s">
        <x:v>58</x:v>
      </x:c>
      <x:c r="G47" s="12" t="s">
        <x:v>78</x:v>
      </x:c>
      <x:c r="H47" s="14">
        <x:v>12</x:v>
      </x:c>
      <x:c r="I47" s="14">
        <x:v>4</x:v>
      </x:c>
      <x:c r="J47" s="14">
        <x:v>13</x:v>
      </x:c>
      <x:c r="K47" s="15">
        <x:v>37440</x:v>
      </x:c>
      <x:c r="L47" s="16">
        <x:v>11.8</x:v>
      </x:c>
      <x:c r="M47" s="15">
        <x:v>441792</x:v>
      </x:c>
      <x:c r="N47" s="15">
        <x:v>421509</x:v>
      </x:c>
      <x:c r="O47" s="15">
        <x:v>5885</x:v>
      </x:c>
      <x:c r="P47" s="15">
        <x:v>14398</x:v>
      </x:c>
      <x:c r="Q47" t="str">
        <x:f>IF(A47="","", "PE-"&amp;A47&amp;"-L"&amp;TEXT(E47,"00")&amp;"-"&amp;TEXT(B47,"yyyymmdd")&amp;"-"&amp;C47&amp;"-"&amp;F47)</x:f>
        <x:v>PE-KG01-L24-20251020-AM-ORD-2025-00124</x:v>
      </x:c>
      <x:c r="R47" t="n">
        <x:f>IF(A47="","",H47*I47)</x:f>
        <x:v>48</x:v>
      </x:c>
      <x:c r="S47" t="str">
        <x:f>IF(A47="","",IF(AND(H47&gt;=1,H47&lt;=13,I47&gt;=1,I47&lt;=3),"OK","CHECK"))</x:f>
        <x:v>CHECK</x:v>
      </x:c>
      <x:c r="T47" t="str">
        <x:f>IF(A47="","",IF(ABS(K47-(J47*H47*I47*60))&lt;=0.5,"OK","CHECK"))</x:f>
        <x:v>OK</x:v>
      </x:c>
      <x:c r="U47" t="str">
        <x:f>IF(A47="","",IF(ABS(M47-(K47*L47))&lt;=1,"OK","CHECK"))</x:f>
        <x:v>OK</x:v>
      </x:c>
      <x:c r="V47" t="str">
        <x:f>IF(A47="","",IF(ABS(M47-N47-O47-P47)&lt;=1,"OK","CHECK"))</x:f>
        <x:v>OK</x:v>
      </x:c>
      <x:c r="W47" t="n">
        <x:f>IF(Q47="","",SUMIF(ProductionConfiguration!$B$5:$B$914,Q47,ProductionConfiguration!$S$5:$S$914))</x:f>
        <x:v>36</x:v>
      </x:c>
      <x:c r="X47" t="str">
        <x:f>IF(A47="","",IF(R47=W47,"OK","CHECK"))</x:f>
        <x:v>CHECK</x:v>
      </x:c>
      <x:c r="Y47" t="str">
        <x:f>IF(Q47="","",IF(COUNTIF($Q$5:$Q$100,Q47)=1,"OK","CHECK"))</x:f>
        <x:v>OK</x:v>
      </x:c>
      <x:c r="Z47" t="str">
        <x:f>IF(A47="","",IF(AND(S47="OK",T47="OK",U47="OK",V47="OK",X47="OK",Y47="OK"),"OK","CHECK"))</x:f>
        <x:v>CHECK</x:v>
      </x:c>
    </x:row>
    <x:row r="48" ht="18" customHeight="1">
      <x:c r="A48" s="12" t="s">
        <x:v>30</x:v>
      </x:c>
      <x:c r="B48" s="13">
        <x:v>45950</x:v>
      </x:c>
      <x:c r="C48" s="12" t="s">
        <x:v>79</x:v>
      </x:c>
      <x:c r="D48" s="12" t="s">
        <x:v>32</x:v>
      </x:c>
      <x:c r="E48" s="14">
        <x:v>24</x:v>
      </x:c>
      <x:c r="F48" s="12" t="s">
        <x:v>58</x:v>
      </x:c>
      <x:c r="G48" s="12" t="s">
        <x:v>78</x:v>
      </x:c>
      <x:c r="H48" s="14">
        <x:v>12</x:v>
      </x:c>
      <x:c r="I48" s="14">
        <x:v>4</x:v>
      </x:c>
      <x:c r="J48" s="14">
        <x:v>13</x:v>
      </x:c>
      <x:c r="K48" s="15">
        <x:v>37440</x:v>
      </x:c>
      <x:c r="L48" s="16">
        <x:v>11.76</x:v>
      </x:c>
      <x:c r="M48" s="15">
        <x:v>440294</x:v>
      </x:c>
      <x:c r="N48" s="15">
        <x:v>415224</x:v>
      </x:c>
      <x:c r="O48" s="15">
        <x:v>7274</x:v>
      </x:c>
      <x:c r="P48" s="15">
        <x:v>17796</x:v>
      </x:c>
      <x:c r="Q48" t="str">
        <x:f>IF(A48="","", "PE-"&amp;A48&amp;"-L"&amp;TEXT(E48,"00")&amp;"-"&amp;TEXT(B48,"yyyymmdd")&amp;"-"&amp;C48&amp;"-"&amp;F48)</x:f>
        <x:v>PE-KG01-L24-20251020-PM-ORD-2025-00124</x:v>
      </x:c>
      <x:c r="R48" t="n">
        <x:f>IF(A48="","",H48*I48)</x:f>
        <x:v>48</x:v>
      </x:c>
      <x:c r="S48" t="str">
        <x:f>IF(A48="","",IF(AND(H48&gt;=1,H48&lt;=13,I48&gt;=1,I48&lt;=3),"OK","CHECK"))</x:f>
        <x:v>CHECK</x:v>
      </x:c>
      <x:c r="T48" t="str">
        <x:f>IF(A48="","",IF(ABS(K48-(J48*H48*I48*60))&lt;=0.5,"OK","CHECK"))</x:f>
        <x:v>OK</x:v>
      </x:c>
      <x:c r="U48" t="str">
        <x:f>IF(A48="","",IF(ABS(M48-(K48*L48))&lt;=1,"OK","CHECK"))</x:f>
        <x:v>OK</x:v>
      </x:c>
      <x:c r="V48" t="str">
        <x:f>IF(A48="","",IF(ABS(M48-N48-O48-P48)&lt;=1,"OK","CHECK"))</x:f>
        <x:v>OK</x:v>
      </x:c>
      <x:c r="W48" t="n">
        <x:f>IF(Q48="","",SUMIF(ProductionConfiguration!$B$5:$B$914,Q48,ProductionConfiguration!$S$5:$S$914))</x:f>
        <x:v>36</x:v>
      </x:c>
      <x:c r="X48" t="str">
        <x:f>IF(A48="","",IF(R48=W48,"OK","CHECK"))</x:f>
        <x:v>CHECK</x:v>
      </x:c>
      <x:c r="Y48" t="str">
        <x:f>IF(Q48="","",IF(COUNTIF($Q$5:$Q$100,Q48)=1,"OK","CHECK"))</x:f>
        <x:v>OK</x:v>
      </x:c>
      <x:c r="Z48" t="str">
        <x:f>IF(A48="","",IF(AND(S48="OK",T48="OK",U48="OK",V48="OK",X48="OK",Y48="OK"),"OK","CHECK"))</x:f>
        <x:v>CHECK</x:v>
      </x:c>
    </x:row>
    <x:row r="49" ht="18" customHeight="1">
      <x:c r="A49" s="12" t="s">
        <x:v>30</x:v>
      </x:c>
      <x:c r="B49" s="13">
        <x:v>45951</x:v>
      </x:c>
      <x:c r="C49" s="12" t="s">
        <x:v>31</x:v>
      </x:c>
      <x:c r="D49" s="12" t="s">
        <x:v>32</x:v>
      </x:c>
      <x:c r="E49" s="14">
        <x:v>24</x:v>
      </x:c>
      <x:c r="F49" s="12" t="s">
        <x:v>59</x:v>
      </x:c>
      <x:c r="G49" s="12" t="s">
        <x:v>78</x:v>
      </x:c>
      <x:c r="H49" s="14">
        <x:v>12</x:v>
      </x:c>
      <x:c r="I49" s="14">
        <x:v>3</x:v>
      </x:c>
      <x:c r="J49" s="14">
        <x:v>12</x:v>
      </x:c>
      <x:c r="K49" s="15">
        <x:v>25920</x:v>
      </x:c>
      <x:c r="L49" s="16">
        <x:v>6.82</x:v>
      </x:c>
      <x:c r="M49" s="15">
        <x:v>176774</x:v>
      </x:c>
      <x:c r="N49" s="15">
        <x:v>168566</x:v>
      </x:c>
      <x:c r="O49" s="15">
        <x:v>1269</x:v>
      </x:c>
      <x:c r="P49" s="15">
        <x:v>6939</x:v>
      </x:c>
      <x:c r="Q49" t="str">
        <x:f>IF(A49="","", "PE-"&amp;A49&amp;"-L"&amp;TEXT(E49,"00")&amp;"-"&amp;TEXT(B49,"yyyymmdd")&amp;"-"&amp;C49&amp;"-"&amp;F49)</x:f>
        <x:v>PE-KG01-L24-20251021-AM-ORD-2025-00125</x:v>
      </x:c>
      <x:c r="R49" t="n">
        <x:f>IF(A49="","",H49*I49)</x:f>
        <x:v>36</x:v>
      </x:c>
      <x:c r="S49" t="str">
        <x:f>IF(A49="","",IF(AND(H49&gt;=1,H49&lt;=13,I49&gt;=1,I49&lt;=3),"OK","CHECK"))</x:f>
        <x:v>OK</x:v>
      </x:c>
      <x:c r="T49" t="str">
        <x:f>IF(A49="","",IF(ABS(K49-(J49*H49*I49*60))&lt;=0.5,"OK","CHECK"))</x:f>
        <x:v>OK</x:v>
      </x:c>
      <x:c r="U49" t="str">
        <x:f>IF(A49="","",IF(ABS(M49-(K49*L49))&lt;=1,"OK","CHECK"))</x:f>
        <x:v>OK</x:v>
      </x:c>
      <x:c r="V49" t="str">
        <x:f>IF(A49="","",IF(ABS(M49-N49-O49-P49)&lt;=1,"OK","CHECK"))</x:f>
        <x:v>OK</x:v>
      </x:c>
      <x:c r="W49" t="n">
        <x:f>IF(Q49="","",SUMIF(ProductionConfiguration!$B$5:$B$914,Q49,ProductionConfiguration!$S$5:$S$914))</x:f>
        <x:v>36</x:v>
      </x:c>
      <x:c r="X49" t="str">
        <x:f>IF(A49="","",IF(R49=W49,"OK","CHECK"))</x:f>
        <x:v>OK</x:v>
      </x:c>
      <x:c r="Y49" t="str">
        <x:f>IF(Q49="","",IF(COUNTIF($Q$5:$Q$100,Q49)=1,"OK","CHECK"))</x:f>
        <x:v>OK</x:v>
      </x:c>
      <x:c r="Z49" t="str">
        <x:f>IF(A49="","",IF(AND(S49="OK",T49="OK",U49="OK",V49="OK",X49="OK",Y49="OK"),"OK","CHECK"))</x:f>
        <x:v>OK</x:v>
      </x:c>
    </x:row>
    <x:row r="50" ht="18" customHeight="1">
      <x:c r="A50" s="12" t="s">
        <x:v>30</x:v>
      </x:c>
      <x:c r="B50" s="13">
        <x:v>45951</x:v>
      </x:c>
      <x:c r="C50" s="12" t="s">
        <x:v>79</x:v>
      </x:c>
      <x:c r="D50" s="12" t="s">
        <x:v>37</x:v>
      </x:c>
      <x:c r="E50" s="14">
        <x:v>24</x:v>
      </x:c>
      <x:c r="F50" s="12" t="s">
        <x:v>59</x:v>
      </x:c>
      <x:c r="G50" s="12" t="s">
        <x:v>78</x:v>
      </x:c>
      <x:c r="H50" s="14">
        <x:v>12</x:v>
      </x:c>
      <x:c r="I50" s="14">
        <x:v>3</x:v>
      </x:c>
      <x:c r="J50" s="14">
        <x:v>12</x:v>
      </x:c>
      <x:c r="K50" s="15">
        <x:v>25920</x:v>
      </x:c>
      <x:c r="L50" s="16">
        <x:v>11.71</x:v>
      </x:c>
      <x:c r="M50" s="15">
        <x:v>303523</x:v>
      </x:c>
      <x:c r="N50" s="15">
        <x:v>291686</x:v>
      </x:c>
      <x:c r="O50" s="15">
        <x:v>607</x:v>
      </x:c>
      <x:c r="P50" s="15">
        <x:v>11230</x:v>
      </x:c>
      <x:c r="Q50" t="str">
        <x:f>IF(A50="","", "PE-"&amp;A50&amp;"-L"&amp;TEXT(E50,"00")&amp;"-"&amp;TEXT(B50,"yyyymmdd")&amp;"-"&amp;C50&amp;"-"&amp;F50)</x:f>
        <x:v>PE-KG01-L24-20251021-PM-ORD-2025-00125</x:v>
      </x:c>
      <x:c r="R50" t="n">
        <x:f>IF(A50="","",H50*I50)</x:f>
        <x:v>36</x:v>
      </x:c>
      <x:c r="S50" t="str">
        <x:f>IF(A50="","",IF(AND(H50&gt;=1,H50&lt;=13,I50&gt;=1,I50&lt;=3),"OK","CHECK"))</x:f>
        <x:v>OK</x:v>
      </x:c>
      <x:c r="T50" t="str">
        <x:f>IF(A50="","",IF(ABS(K50-(J50*H50*I50*60))&lt;=0.5,"OK","CHECK"))</x:f>
        <x:v>OK</x:v>
      </x:c>
      <x:c r="U50" t="str">
        <x:f>IF(A50="","",IF(ABS(M50-(K50*L50))&lt;=1,"OK","CHECK"))</x:f>
        <x:v>OK</x:v>
      </x:c>
      <x:c r="V50" t="str">
        <x:f>IF(A50="","",IF(ABS(M50-N50-O50-P50)&lt;=1,"OK","CHECK"))</x:f>
        <x:v>OK</x:v>
      </x:c>
      <x:c r="W50" t="n">
        <x:f>IF(Q50="","",SUMIF(ProductionConfiguration!$B$5:$B$914,Q50,ProductionConfiguration!$S$5:$S$914))</x:f>
        <x:v>36</x:v>
      </x:c>
      <x:c r="X50" t="str">
        <x:f>IF(A50="","",IF(R50=W50,"OK","CHECK"))</x:f>
        <x:v>OK</x:v>
      </x:c>
      <x:c r="Y50" t="str">
        <x:f>IF(Q50="","",IF(COUNTIF($Q$5:$Q$100,Q50)=1,"OK","CHECK"))</x:f>
        <x:v>OK</x:v>
      </x:c>
      <x:c r="Z50" t="str">
        <x:f>IF(A50="","",IF(AND(S50="OK",T50="OK",U50="OK",V50="OK",X50="OK",Y50="OK"),"OK","CHECK"))</x:f>
        <x:v>OK</x:v>
      </x:c>
    </x:row>
    <x:row r="51" ht="18" customHeight="1">
      <x:c r="A51" s="12" t="s">
        <x:v>30</x:v>
      </x:c>
      <x:c r="B51" s="13">
        <x:v>45952</x:v>
      </x:c>
      <x:c r="C51" s="12" t="s">
        <x:v>31</x:v>
      </x:c>
      <x:c r="D51" s="12" t="s">
        <x:v>37</x:v>
      </x:c>
      <x:c r="E51" s="14">
        <x:v>24</x:v>
      </x:c>
      <x:c r="F51" s="12" t="s">
        <x:v>59</x:v>
      </x:c>
      <x:c r="G51" s="12" t="s">
        <x:v>78</x:v>
      </x:c>
      <x:c r="H51" s="14">
        <x:v>12</x:v>
      </x:c>
      <x:c r="I51" s="14">
        <x:v>3</x:v>
      </x:c>
      <x:c r="J51" s="14">
        <x:v>12</x:v>
      </x:c>
      <x:c r="K51" s="15">
        <x:v>25920</x:v>
      </x:c>
      <x:c r="L51" s="16">
        <x:v>11.7</x:v>
      </x:c>
      <x:c r="M51" s="15">
        <x:v>303264</x:v>
      </x:c>
      <x:c r="N51" s="15">
        <x:v>294129</x:v>
      </x:c>
      <x:c r="O51" s="15">
        <x:v>2804</x:v>
      </x:c>
      <x:c r="P51" s="15">
        <x:v>6331</x:v>
      </x:c>
      <x:c r="Q51" t="str">
        <x:f>IF(A51="","", "PE-"&amp;A51&amp;"-L"&amp;TEXT(E51,"00")&amp;"-"&amp;TEXT(B51,"yyyymmdd")&amp;"-"&amp;C51&amp;"-"&amp;F51)</x:f>
        <x:v>PE-KG01-L24-20251022-AM-ORD-2025-00125</x:v>
      </x:c>
      <x:c r="R51" t="n">
        <x:f>IF(A51="","",H51*I51)</x:f>
        <x:v>36</x:v>
      </x:c>
      <x:c r="S51" t="str">
        <x:f>IF(A51="","",IF(AND(H51&gt;=1,H51&lt;=13,I51&gt;=1,I51&lt;=3),"OK","CHECK"))</x:f>
        <x:v>OK</x:v>
      </x:c>
      <x:c r="T51" t="str">
        <x:f>IF(A51="","",IF(ABS(K51-(J51*H51*I51*60))&lt;=0.5,"OK","CHECK"))</x:f>
        <x:v>OK</x:v>
      </x:c>
      <x:c r="U51" t="str">
        <x:f>IF(A51="","",IF(ABS(M51-(K51*L51))&lt;=1,"OK","CHECK"))</x:f>
        <x:v>OK</x:v>
      </x:c>
      <x:c r="V51" t="str">
        <x:f>IF(A51="","",IF(ABS(M51-N51-O51-P51)&lt;=1,"OK","CHECK"))</x:f>
        <x:v>OK</x:v>
      </x:c>
      <x:c r="W51" t="n">
        <x:f>IF(Q51="","",SUMIF(ProductionConfiguration!$B$5:$B$914,Q51,ProductionConfiguration!$S$5:$S$914))</x:f>
        <x:v>36</x:v>
      </x:c>
      <x:c r="X51" t="str">
        <x:f>IF(A51="","",IF(R51=W51,"OK","CHECK"))</x:f>
        <x:v>OK</x:v>
      </x:c>
      <x:c r="Y51" t="str">
        <x:f>IF(Q51="","",IF(COUNTIF($Q$5:$Q$100,Q51)=1,"OK","CHECK"))</x:f>
        <x:v>OK</x:v>
      </x:c>
      <x:c r="Z51" t="str">
        <x:f>IF(A51="","",IF(AND(S51="OK",T51="OK",U51="OK",V51="OK",X51="OK",Y51="OK"),"OK","CHECK"))</x:f>
        <x:v>OK</x:v>
      </x:c>
    </x:row>
    <x:row r="52" ht="18" customHeight="1">
      <x:c r="A52" s="12" t="s">
        <x:v>30</x:v>
      </x:c>
      <x:c r="B52" s="13">
        <x:v>45952</x:v>
      </x:c>
      <x:c r="C52" s="12" t="s">
        <x:v>79</x:v>
      </x:c>
      <x:c r="D52" s="12" t="s">
        <x:v>41</x:v>
      </x:c>
      <x:c r="E52" s="14">
        <x:v>24</x:v>
      </x:c>
      <x:c r="F52" s="12" t="s">
        <x:v>59</x:v>
      </x:c>
      <x:c r="G52" s="12" t="s">
        <x:v>78</x:v>
      </x:c>
      <x:c r="H52" s="14">
        <x:v>12</x:v>
      </x:c>
      <x:c r="I52" s="14">
        <x:v>3</x:v>
      </x:c>
      <x:c r="J52" s="14">
        <x:v>12</x:v>
      </x:c>
      <x:c r="K52" s="15">
        <x:v>25920</x:v>
      </x:c>
      <x:c r="L52" s="16">
        <x:v>11.62</x:v>
      </x:c>
      <x:c r="M52" s="15">
        <x:v>301190</x:v>
      </x:c>
      <x:c r="N52" s="15">
        <x:v>284220</x:v>
      </x:c>
      <x:c r="O52" s="15">
        <x:v>4444</x:v>
      </x:c>
      <x:c r="P52" s="15">
        <x:v>12526</x:v>
      </x:c>
      <x:c r="Q52" t="str">
        <x:f>IF(A52="","", "PE-"&amp;A52&amp;"-L"&amp;TEXT(E52,"00")&amp;"-"&amp;TEXT(B52,"yyyymmdd")&amp;"-"&amp;C52&amp;"-"&amp;F52)</x:f>
        <x:v>PE-KG01-L24-20251022-PM-ORD-2025-00125</x:v>
      </x:c>
      <x:c r="R52" t="n">
        <x:f>IF(A52="","",H52*I52)</x:f>
        <x:v>36</x:v>
      </x:c>
      <x:c r="S52" t="str">
        <x:f>IF(A52="","",IF(AND(H52&gt;=1,H52&lt;=13,I52&gt;=1,I52&lt;=3),"OK","CHECK"))</x:f>
        <x:v>OK</x:v>
      </x:c>
      <x:c r="T52" t="str">
        <x:f>IF(A52="","",IF(ABS(K52-(J52*H52*I52*60))&lt;=0.5,"OK","CHECK"))</x:f>
        <x:v>OK</x:v>
      </x:c>
      <x:c r="U52" t="str">
        <x:f>IF(A52="","",IF(ABS(M52-(K52*L52))&lt;=1,"OK","CHECK"))</x:f>
        <x:v>OK</x:v>
      </x:c>
      <x:c r="V52" t="str">
        <x:f>IF(A52="","",IF(ABS(M52-N52-O52-P52)&lt;=1,"OK","CHECK"))</x:f>
        <x:v>OK</x:v>
      </x:c>
      <x:c r="W52" t="n">
        <x:f>IF(Q52="","",SUMIF(ProductionConfiguration!$B$5:$B$914,Q52,ProductionConfiguration!$S$5:$S$914))</x:f>
        <x:v>36</x:v>
      </x:c>
      <x:c r="X52" t="str">
        <x:f>IF(A52="","",IF(R52=W52,"OK","CHECK"))</x:f>
        <x:v>OK</x:v>
      </x:c>
      <x:c r="Y52" t="str">
        <x:f>IF(Q52="","",IF(COUNTIF($Q$5:$Q$100,Q52)=1,"OK","CHECK"))</x:f>
        <x:v>OK</x:v>
      </x:c>
      <x:c r="Z52" t="str">
        <x:f>IF(A52="","",IF(AND(S52="OK",T52="OK",U52="OK",V52="OK",X52="OK",Y52="OK"),"OK","CHECK"))</x:f>
        <x:v>OK</x:v>
      </x:c>
    </x:row>
    <x:row r="53" ht="18" customHeight="1">
      <x:c r="A53" s="12" t="s">
        <x:v>30</x:v>
      </x:c>
      <x:c r="B53" s="13">
        <x:v>45953</x:v>
      </x:c>
      <x:c r="C53" s="12" t="s">
        <x:v>31</x:v>
      </x:c>
      <x:c r="D53" s="12" t="s">
        <x:v>41</x:v>
      </x:c>
      <x:c r="E53" s="14">
        <x:v>24</x:v>
      </x:c>
      <x:c r="F53" s="12" t="s">
        <x:v>59</x:v>
      </x:c>
      <x:c r="G53" s="12" t="s">
        <x:v>78</x:v>
      </x:c>
      <x:c r="H53" s="14">
        <x:v>12</x:v>
      </x:c>
      <x:c r="I53" s="14">
        <x:v>3</x:v>
      </x:c>
      <x:c r="J53" s="14">
        <x:v>13</x:v>
      </x:c>
      <x:c r="K53" s="15">
        <x:v>28080</x:v>
      </x:c>
      <x:c r="L53" s="16">
        <x:v>11.67</x:v>
      </x:c>
      <x:c r="M53" s="15">
        <x:v>327694</x:v>
      </x:c>
      <x:c r="N53" s="15">
        <x:v>308507</x:v>
      </x:c>
      <x:c r="O53" s="15">
        <x:v>2710</x:v>
      </x:c>
      <x:c r="P53" s="15">
        <x:v>16477</x:v>
      </x:c>
      <x:c r="Q53" t="str">
        <x:f>IF(A53="","", "PE-"&amp;A53&amp;"-L"&amp;TEXT(E53,"00")&amp;"-"&amp;TEXT(B53,"yyyymmdd")&amp;"-"&amp;C53&amp;"-"&amp;F53)</x:f>
        <x:v>PE-KG01-L24-20251023-AM-ORD-2025-00125</x:v>
      </x:c>
      <x:c r="R53" t="n">
        <x:f>IF(A53="","",H53*I53)</x:f>
        <x:v>36</x:v>
      </x:c>
      <x:c r="S53" t="str">
        <x:f>IF(A53="","",IF(AND(H53&gt;=1,H53&lt;=13,I53&gt;=1,I53&lt;=3),"OK","CHECK"))</x:f>
        <x:v>OK</x:v>
      </x:c>
      <x:c r="T53" t="str">
        <x:f>IF(A53="","",IF(ABS(K53-(J53*H53*I53*60))&lt;=0.5,"OK","CHECK"))</x:f>
        <x:v>OK</x:v>
      </x:c>
      <x:c r="U53" t="str">
        <x:f>IF(A53="","",IF(ABS(M53-(K53*L53))&lt;=1,"OK","CHECK"))</x:f>
        <x:v>OK</x:v>
      </x:c>
      <x:c r="V53" t="str">
        <x:f>IF(A53="","",IF(ABS(M53-N53-O53-P53)&lt;=1,"OK","CHECK"))</x:f>
        <x:v>OK</x:v>
      </x:c>
      <x:c r="W53" t="n">
        <x:f>IF(Q53="","",SUMIF(ProductionConfiguration!$B$5:$B$914,Q53,ProductionConfiguration!$S$5:$S$914))</x:f>
        <x:v>36</x:v>
      </x:c>
      <x:c r="X53" t="str">
        <x:f>IF(A53="","",IF(R53=W53,"OK","CHECK"))</x:f>
        <x:v>OK</x:v>
      </x:c>
      <x:c r="Y53" t="str">
        <x:f>IF(Q53="","",IF(COUNTIF($Q$5:$Q$100,Q53)=1,"OK","CHECK"))</x:f>
        <x:v>OK</x:v>
      </x:c>
      <x:c r="Z53" t="str">
        <x:f>IF(A53="","",IF(AND(S53="OK",T53="OK",U53="OK",V53="OK",X53="OK",Y53="OK"),"OK","CHECK"))</x:f>
        <x:v>OK</x:v>
      </x:c>
    </x:row>
    <x:row r="54" ht="18" customHeight="1">
      <x:c r="A54" s="12" t="s">
        <x:v>30</x:v>
      </x:c>
      <x:c r="B54" s="13">
        <x:v>45953</x:v>
      </x:c>
      <x:c r="C54" s="12" t="s">
        <x:v>79</x:v>
      </x:c>
      <x:c r="D54" s="12" t="s">
        <x:v>32</x:v>
      </x:c>
      <x:c r="E54" s="14">
        <x:v>24</x:v>
      </x:c>
      <x:c r="F54" s="12" t="s">
        <x:v>59</x:v>
      </x:c>
      <x:c r="G54" s="12" t="s">
        <x:v>78</x:v>
      </x:c>
      <x:c r="H54" s="14">
        <x:v>12</x:v>
      </x:c>
      <x:c r="I54" s="14">
        <x:v>3</x:v>
      </x:c>
      <x:c r="J54" s="14">
        <x:v>11</x:v>
      </x:c>
      <x:c r="K54" s="15">
        <x:v>23760</x:v>
      </x:c>
      <x:c r="L54" s="16">
        <x:v>11.73</x:v>
      </x:c>
      <x:c r="M54" s="15">
        <x:v>278705</x:v>
      </x:c>
      <x:c r="N54" s="15">
        <x:v>265847</x:v>
      </x:c>
      <x:c r="O54" s="15">
        <x:v>3481</x:v>
      </x:c>
      <x:c r="P54" s="15">
        <x:v>9377</x:v>
      </x:c>
      <x:c r="Q54" t="str">
        <x:f>IF(A54="","", "PE-"&amp;A54&amp;"-L"&amp;TEXT(E54,"00")&amp;"-"&amp;TEXT(B54,"yyyymmdd")&amp;"-"&amp;C54&amp;"-"&amp;F54)</x:f>
        <x:v>PE-KG01-L24-20251023-PM-ORD-2025-00125</x:v>
      </x:c>
      <x:c r="R54" t="n">
        <x:f>IF(A54="","",H54*I54)</x:f>
        <x:v>36</x:v>
      </x:c>
      <x:c r="S54" t="str">
        <x:f>IF(A54="","",IF(AND(H54&gt;=1,H54&lt;=13,I54&gt;=1,I54&lt;=3),"OK","CHECK"))</x:f>
        <x:v>OK</x:v>
      </x:c>
      <x:c r="T54" t="str">
        <x:f>IF(A54="","",IF(ABS(K54-(J54*H54*I54*60))&lt;=0.5,"OK","CHECK"))</x:f>
        <x:v>OK</x:v>
      </x:c>
      <x:c r="U54" t="str">
        <x:f>IF(A54="","",IF(ABS(M54-(K54*L54))&lt;=1,"OK","CHECK"))</x:f>
        <x:v>OK</x:v>
      </x:c>
      <x:c r="V54" t="str">
        <x:f>IF(A54="","",IF(ABS(M54-N54-O54-P54)&lt;=1,"OK","CHECK"))</x:f>
        <x:v>OK</x:v>
      </x:c>
      <x:c r="W54" t="n">
        <x:f>IF(Q54="","",SUMIF(ProductionConfiguration!$B$5:$B$914,Q54,ProductionConfiguration!$S$5:$S$914))</x:f>
        <x:v>36</x:v>
      </x:c>
      <x:c r="X54" t="str">
        <x:f>IF(A54="","",IF(R54=W54,"OK","CHECK"))</x:f>
        <x:v>OK</x:v>
      </x:c>
      <x:c r="Y54" t="str">
        <x:f>IF(Q54="","",IF(COUNTIF($Q$5:$Q$100,Q54)=1,"OK","CHECK"))</x:f>
        <x:v>OK</x:v>
      </x:c>
      <x:c r="Z54" t="str">
        <x:f>IF(A54="","",IF(AND(S54="OK",T54="OK",U54="OK",V54="OK",X54="OK",Y54="OK"),"OK","CHECK"))</x:f>
        <x:v>OK</x:v>
      </x:c>
    </x:row>
    <x:row r="55" ht="18" customHeight="1">
      <x:c r="A55" s="12" t="s">
        <x:v>30</x:v>
      </x:c>
      <x:c r="B55" s="13">
        <x:v>45954</x:v>
      </x:c>
      <x:c r="C55" s="12" t="s">
        <x:v>31</x:v>
      </x:c>
      <x:c r="D55" s="12" t="s">
        <x:v>32</x:v>
      </x:c>
      <x:c r="E55" s="14">
        <x:v>24</x:v>
      </x:c>
      <x:c r="F55" s="12" t="s">
        <x:v>59</x:v>
      </x:c>
      <x:c r="G55" s="12" t="s">
        <x:v>78</x:v>
      </x:c>
      <x:c r="H55" s="14">
        <x:v>12</x:v>
      </x:c>
      <x:c r="I55" s="14">
        <x:v>3</x:v>
      </x:c>
      <x:c r="J55" s="14">
        <x:v>11</x:v>
      </x:c>
      <x:c r="K55" s="15">
        <x:v>23760</x:v>
      </x:c>
      <x:c r="L55" s="16">
        <x:v>11.59</x:v>
      </x:c>
      <x:c r="M55" s="15">
        <x:v>275378</x:v>
      </x:c>
      <x:c r="N55" s="15">
        <x:v>260344</x:v>
      </x:c>
      <x:c r="O55" s="15">
        <x:v>1963</x:v>
      </x:c>
      <x:c r="P55" s="15">
        <x:v>13071</x:v>
      </x:c>
      <x:c r="Q55" t="str">
        <x:f>IF(A55="","", "PE-"&amp;A55&amp;"-L"&amp;TEXT(E55,"00")&amp;"-"&amp;TEXT(B55,"yyyymmdd")&amp;"-"&amp;C55&amp;"-"&amp;F55)</x:f>
        <x:v>PE-KG01-L24-20251024-AM-ORD-2025-00125</x:v>
      </x:c>
      <x:c r="R55" t="n">
        <x:f>IF(A55="","",H55*I55)</x:f>
        <x:v>36</x:v>
      </x:c>
      <x:c r="S55" t="str">
        <x:f>IF(A55="","",IF(AND(H55&gt;=1,H55&lt;=13,I55&gt;=1,I55&lt;=3),"OK","CHECK"))</x:f>
        <x:v>OK</x:v>
      </x:c>
      <x:c r="T55" t="str">
        <x:f>IF(A55="","",IF(ABS(K55-(J55*H55*I55*60))&lt;=0.5,"OK","CHECK"))</x:f>
        <x:v>OK</x:v>
      </x:c>
      <x:c r="U55" t="str">
        <x:f>IF(A55="","",IF(ABS(M55-(K55*L55))&lt;=1,"OK","CHECK"))</x:f>
        <x:v>OK</x:v>
      </x:c>
      <x:c r="V55" t="str">
        <x:f>IF(A55="","",IF(ABS(M55-N55-O55-P55)&lt;=1,"OK","CHECK"))</x:f>
        <x:v>OK</x:v>
      </x:c>
      <x:c r="W55" t="n">
        <x:f>IF(Q55="","",SUMIF(ProductionConfiguration!$B$5:$B$914,Q55,ProductionConfiguration!$S$5:$S$914))</x:f>
        <x:v>36</x:v>
      </x:c>
      <x:c r="X55" t="str">
        <x:f>IF(A55="","",IF(R55=W55,"OK","CHECK"))</x:f>
        <x:v>OK</x:v>
      </x:c>
      <x:c r="Y55" t="str">
        <x:f>IF(Q55="","",IF(COUNTIF($Q$5:$Q$100,Q55)=1,"OK","CHECK"))</x:f>
        <x:v>OK</x:v>
      </x:c>
      <x:c r="Z55" t="str">
        <x:f>IF(A55="","",IF(AND(S55="OK",T55="OK",U55="OK",V55="OK",X55="OK",Y55="OK"),"OK","CHECK"))</x:f>
        <x:v>OK</x:v>
      </x:c>
    </x:row>
    <x:row r="56" ht="18" customHeight="1">
      <x:c r="A56" s="12" t="s">
        <x:v>30</x:v>
      </x:c>
      <x:c r="B56" s="13">
        <x:v>45954</x:v>
      </x:c>
      <x:c r="C56" s="12" t="s">
        <x:v>79</x:v>
      </x:c>
      <x:c r="D56" s="12" t="s">
        <x:v>37</x:v>
      </x:c>
      <x:c r="E56" s="14">
        <x:v>24</x:v>
      </x:c>
      <x:c r="F56" s="12" t="s">
        <x:v>59</x:v>
      </x:c>
      <x:c r="G56" s="12" t="s">
        <x:v>78</x:v>
      </x:c>
      <x:c r="H56" s="14">
        <x:v>12</x:v>
      </x:c>
      <x:c r="I56" s="14">
        <x:v>3</x:v>
      </x:c>
      <x:c r="J56" s="14">
        <x:v>13</x:v>
      </x:c>
      <x:c r="K56" s="15">
        <x:v>28080</x:v>
      </x:c>
      <x:c r="L56" s="16">
        <x:v>11.76</x:v>
      </x:c>
      <x:c r="M56" s="15">
        <x:v>330221</x:v>
      </x:c>
      <x:c r="N56" s="15">
        <x:v>313862</x:v>
      </x:c>
      <x:c r="O56" s="15">
        <x:v>2205</x:v>
      </x:c>
      <x:c r="P56" s="15">
        <x:v>14154</x:v>
      </x:c>
      <x:c r="Q56" t="str">
        <x:f>IF(A56="","", "PE-"&amp;A56&amp;"-L"&amp;TEXT(E56,"00")&amp;"-"&amp;TEXT(B56,"yyyymmdd")&amp;"-"&amp;C56&amp;"-"&amp;F56)</x:f>
        <x:v>PE-KG01-L24-20251024-PM-ORD-2025-00125</x:v>
      </x:c>
      <x:c r="R56" t="n">
        <x:f>IF(A56="","",H56*I56)</x:f>
        <x:v>36</x:v>
      </x:c>
      <x:c r="S56" t="str">
        <x:f>IF(A56="","",IF(AND(H56&gt;=1,H56&lt;=13,I56&gt;=1,I56&lt;=3),"OK","CHECK"))</x:f>
        <x:v>OK</x:v>
      </x:c>
      <x:c r="T56" t="str">
        <x:f>IF(A56="","",IF(ABS(K56-(J56*H56*I56*60))&lt;=0.5,"OK","CHECK"))</x:f>
        <x:v>OK</x:v>
      </x:c>
      <x:c r="U56" t="str">
        <x:f>IF(A56="","",IF(ABS(M56-(K56*L56))&lt;=1,"OK","CHECK"))</x:f>
        <x:v>OK</x:v>
      </x:c>
      <x:c r="V56" t="str">
        <x:f>IF(A56="","",IF(ABS(M56-N56-O56-P56)&lt;=1,"OK","CHECK"))</x:f>
        <x:v>OK</x:v>
      </x:c>
      <x:c r="W56" t="n">
        <x:f>IF(Q56="","",SUMIF(ProductionConfiguration!$B$5:$B$914,Q56,ProductionConfiguration!$S$5:$S$914))</x:f>
        <x:v>36</x:v>
      </x:c>
      <x:c r="X56" t="str">
        <x:f>IF(A56="","",IF(R56=W56,"OK","CHECK"))</x:f>
        <x:v>OK</x:v>
      </x:c>
      <x:c r="Y56" t="str">
        <x:f>IF(Q56="","",IF(COUNTIF($Q$5:$Q$100,Q56)=1,"OK","CHECK"))</x:f>
        <x:v>OK</x:v>
      </x:c>
      <x:c r="Z56" t="str">
        <x:f>IF(A56="","",IF(AND(S56="OK",T56="OK",U56="OK",V56="OK",X56="OK",Y56="OK"),"OK","CHECK"))</x:f>
        <x:v>OK</x:v>
      </x:c>
    </x:row>
    <x:row r="57" ht="18" customHeight="1">
      <x:c r="A57" s="12" t="s">
        <x:v>30</x:v>
      </x:c>
      <x:c r="B57" s="13">
        <x:v>45955</x:v>
      </x:c>
      <x:c r="C57" s="12" t="s">
        <x:v>31</x:v>
      </x:c>
      <x:c r="D57" s="12" t="s">
        <x:v>37</x:v>
      </x:c>
      <x:c r="E57" s="14">
        <x:v>24</x:v>
      </x:c>
      <x:c r="F57" s="12" t="s">
        <x:v>60</x:v>
      </x:c>
      <x:c r="G57" s="12" t="s">
        <x:v>78</x:v>
      </x:c>
      <x:c r="H57" s="14">
        <x:v>12</x:v>
      </x:c>
      <x:c r="I57" s="14">
        <x:v>2</x:v>
      </x:c>
      <x:c r="J57" s="14">
        <x:v>11</x:v>
      </x:c>
      <x:c r="K57" s="15">
        <x:v>15840</x:v>
      </x:c>
      <x:c r="L57" s="16">
        <x:v>9.41</x:v>
      </x:c>
      <x:c r="M57" s="15">
        <x:v>149054</x:v>
      </x:c>
      <x:c r="N57" s="15">
        <x:v>141989</x:v>
      </x:c>
      <x:c r="O57" s="15">
        <x:v>2249</x:v>
      </x:c>
      <x:c r="P57" s="15">
        <x:v>4816</x:v>
      </x:c>
      <x:c r="Q57" t="str">
        <x:f>IF(A57="","", "PE-"&amp;A57&amp;"-L"&amp;TEXT(E57,"00")&amp;"-"&amp;TEXT(B57,"yyyymmdd")&amp;"-"&amp;C57&amp;"-"&amp;F57)</x:f>
        <x:v>PE-KG01-L24-20251025-AM-ORD-2025-00126</x:v>
      </x:c>
      <x:c r="R57" t="n">
        <x:f>IF(A57="","",H57*I57)</x:f>
        <x:v>24</x:v>
      </x:c>
      <x:c r="S57" t="str">
        <x:f>IF(A57="","",IF(AND(H57&gt;=1,H57&lt;=13,I57&gt;=1,I57&lt;=3),"OK","CHECK"))</x:f>
        <x:v>OK</x:v>
      </x:c>
      <x:c r="T57" t="str">
        <x:f>IF(A57="","",IF(ABS(K57-(J57*H57*I57*60))&lt;=0.5,"OK","CHECK"))</x:f>
        <x:v>OK</x:v>
      </x:c>
      <x:c r="U57" t="str">
        <x:f>IF(A57="","",IF(ABS(M57-(K57*L57))&lt;=1,"OK","CHECK"))</x:f>
        <x:v>OK</x:v>
      </x:c>
      <x:c r="V57" t="str">
        <x:f>IF(A57="","",IF(ABS(M57-N57-O57-P57)&lt;=1,"OK","CHECK"))</x:f>
        <x:v>OK</x:v>
      </x:c>
      <x:c r="W57" t="n">
        <x:f>IF(Q57="","",SUMIF(ProductionConfiguration!$B$5:$B$914,Q57,ProductionConfiguration!$S$5:$S$914))</x:f>
        <x:v>24</x:v>
      </x:c>
      <x:c r="X57" t="str">
        <x:f>IF(A57="","",IF(R57=W57,"OK","CHECK"))</x:f>
        <x:v>OK</x:v>
      </x:c>
      <x:c r="Y57" t="str">
        <x:f>IF(Q57="","",IF(COUNTIF($Q$5:$Q$100,Q57)=1,"OK","CHECK"))</x:f>
        <x:v>OK</x:v>
      </x:c>
      <x:c r="Z57" t="str">
        <x:f>IF(A57="","",IF(AND(S57="OK",T57="OK",U57="OK",V57="OK",X57="OK",Y57="OK"),"OK","CHECK"))</x:f>
        <x:v>OK</x:v>
      </x:c>
    </x:row>
    <x:row r="58" ht="18" customHeight="1">
      <x:c r="A58" s="12" t="s">
        <x:v>30</x:v>
      </x:c>
      <x:c r="B58" s="13">
        <x:v>45955</x:v>
      </x:c>
      <x:c r="C58" s="12" t="s">
        <x:v>79</x:v>
      </x:c>
      <x:c r="D58" s="12" t="s">
        <x:v>41</x:v>
      </x:c>
      <x:c r="E58" s="14">
        <x:v>24</x:v>
      </x:c>
      <x:c r="F58" s="12" t="s">
        <x:v>60</x:v>
      </x:c>
      <x:c r="G58" s="12" t="s">
        <x:v>78</x:v>
      </x:c>
      <x:c r="H58" s="14">
        <x:v>12</x:v>
      </x:c>
      <x:c r="I58" s="14">
        <x:v>2</x:v>
      </x:c>
      <x:c r="J58" s="14">
        <x:v>9</x:v>
      </x:c>
      <x:c r="K58" s="15">
        <x:v>12960</x:v>
      </x:c>
      <x:c r="L58" s="16">
        <x:v>11.61</x:v>
      </x:c>
      <x:c r="M58" s="15">
        <x:v>150466</x:v>
      </x:c>
      <x:c r="N58" s="15">
        <x:v>141511</x:v>
      </x:c>
      <x:c r="O58" s="15">
        <x:v>2176</x:v>
      </x:c>
      <x:c r="P58" s="15">
        <x:v>6779</x:v>
      </x:c>
      <x:c r="Q58" t="str">
        <x:f>IF(A58="","", "PE-"&amp;A58&amp;"-L"&amp;TEXT(E58,"00")&amp;"-"&amp;TEXT(B58,"yyyymmdd")&amp;"-"&amp;C58&amp;"-"&amp;F58)</x:f>
        <x:v>PE-KG01-L24-20251025-PM-ORD-2025-00126</x:v>
      </x:c>
      <x:c r="R58" t="n">
        <x:f>IF(A58="","",H58*I58)</x:f>
        <x:v>24</x:v>
      </x:c>
      <x:c r="S58" t="str">
        <x:f>IF(A58="","",IF(AND(H58&gt;=1,H58&lt;=13,I58&gt;=1,I58&lt;=3),"OK","CHECK"))</x:f>
        <x:v>OK</x:v>
      </x:c>
      <x:c r="T58" t="str">
        <x:f>IF(A58="","",IF(ABS(K58-(J58*H58*I58*60))&lt;=0.5,"OK","CHECK"))</x:f>
        <x:v>OK</x:v>
      </x:c>
      <x:c r="U58" t="str">
        <x:f>IF(A58="","",IF(ABS(M58-(K58*L58))&lt;=1,"OK","CHECK"))</x:f>
        <x:v>OK</x:v>
      </x:c>
      <x:c r="V58" t="str">
        <x:f>IF(A58="","",IF(ABS(M58-N58-O58-P58)&lt;=1,"OK","CHECK"))</x:f>
        <x:v>OK</x:v>
      </x:c>
      <x:c r="W58" t="n">
        <x:f>IF(Q58="","",SUMIF(ProductionConfiguration!$B$5:$B$914,Q58,ProductionConfiguration!$S$5:$S$914))</x:f>
        <x:v>24</x:v>
      </x:c>
      <x:c r="X58" t="str">
        <x:f>IF(A58="","",IF(R58=W58,"OK","CHECK"))</x:f>
        <x:v>OK</x:v>
      </x:c>
      <x:c r="Y58" t="str">
        <x:f>IF(Q58="","",IF(COUNTIF($Q$5:$Q$100,Q58)=1,"OK","CHECK"))</x:f>
        <x:v>OK</x:v>
      </x:c>
      <x:c r="Z58" t="str">
        <x:f>IF(A58="","",IF(AND(S58="OK",T58="OK",U58="OK",V58="OK",X58="OK",Y58="OK"),"OK","CHECK"))</x:f>
        <x:v>OK</x:v>
      </x:c>
    </x:row>
    <x:row r="59" ht="18" customHeight="1">
      <x:c r="A59" s="12" t="s">
        <x:v>30</x:v>
      </x:c>
      <x:c r="B59" s="13">
        <x:v>45956</x:v>
      </x:c>
      <x:c r="C59" s="12" t="s">
        <x:v>31</x:v>
      </x:c>
      <x:c r="D59" s="12" t="s">
        <x:v>41</x:v>
      </x:c>
      <x:c r="E59" s="14">
        <x:v>24</x:v>
      </x:c>
      <x:c r="F59" s="12" t="s">
        <x:v>60</x:v>
      </x:c>
      <x:c r="G59" s="12" t="s">
        <x:v>78</x:v>
      </x:c>
      <x:c r="H59" s="14">
        <x:v>12</x:v>
      </x:c>
      <x:c r="I59" s="14">
        <x:v>2</x:v>
      </x:c>
      <x:c r="J59" s="14">
        <x:v>11</x:v>
      </x:c>
      <x:c r="K59" s="15">
        <x:v>15840</x:v>
      </x:c>
      <x:c r="L59" s="16">
        <x:v>11.72</x:v>
      </x:c>
      <x:c r="M59" s="15">
        <x:v>185645</x:v>
      </x:c>
      <x:c r="N59" s="15">
        <x:v>177055</x:v>
      </x:c>
      <x:c r="O59" s="15">
        <x:v>1268</x:v>
      </x:c>
      <x:c r="P59" s="15">
        <x:v>7322</x:v>
      </x:c>
      <x:c r="Q59" t="str">
        <x:f>IF(A59="","", "PE-"&amp;A59&amp;"-L"&amp;TEXT(E59,"00")&amp;"-"&amp;TEXT(B59,"yyyymmdd")&amp;"-"&amp;C59&amp;"-"&amp;F59)</x:f>
        <x:v>PE-KG01-L24-20251026-AM-ORD-2025-00126</x:v>
      </x:c>
      <x:c r="R59" t="n">
        <x:f>IF(A59="","",H59*I59)</x:f>
        <x:v>24</x:v>
      </x:c>
      <x:c r="S59" t="str">
        <x:f>IF(A59="","",IF(AND(H59&gt;=1,H59&lt;=13,I59&gt;=1,I59&lt;=3),"OK","CHECK"))</x:f>
        <x:v>OK</x:v>
      </x:c>
      <x:c r="T59" t="str">
        <x:f>IF(A59="","",IF(ABS(K59-(J59*H59*I59*60))&lt;=0.5,"OK","CHECK"))</x:f>
        <x:v>OK</x:v>
      </x:c>
      <x:c r="U59" t="str">
        <x:f>IF(A59="","",IF(ABS(M59-(K59*L59))&lt;=1,"OK","CHECK"))</x:f>
        <x:v>OK</x:v>
      </x:c>
      <x:c r="V59" t="str">
        <x:f>IF(A59="","",IF(ABS(M59-N59-O59-P59)&lt;=1,"OK","CHECK"))</x:f>
        <x:v>OK</x:v>
      </x:c>
      <x:c r="W59" t="n">
        <x:f>IF(Q59="","",SUMIF(ProductionConfiguration!$B$5:$B$914,Q59,ProductionConfiguration!$S$5:$S$914))</x:f>
        <x:v>24</x:v>
      </x:c>
      <x:c r="X59" t="str">
        <x:f>IF(A59="","",IF(R59=W59,"OK","CHECK"))</x:f>
        <x:v>OK</x:v>
      </x:c>
      <x:c r="Y59" t="str">
        <x:f>IF(Q59="","",IF(COUNTIF($Q$5:$Q$100,Q59)=1,"OK","CHECK"))</x:f>
        <x:v>OK</x:v>
      </x:c>
      <x:c r="Z59" t="str">
        <x:f>IF(A59="","",IF(AND(S59="OK",T59="OK",U59="OK",V59="OK",X59="OK",Y59="OK"),"OK","CHECK"))</x:f>
        <x:v>OK</x:v>
      </x:c>
    </x:row>
    <x:row r="60" ht="18" customHeight="1">
      <x:c r="A60" s="12" t="s">
        <x:v>30</x:v>
      </x:c>
      <x:c r="B60" s="13">
        <x:v>45956</x:v>
      </x:c>
      <x:c r="C60" s="12" t="s">
        <x:v>79</x:v>
      </x:c>
      <x:c r="D60" s="12" t="s">
        <x:v>32</x:v>
      </x:c>
      <x:c r="E60" s="14">
        <x:v>24</x:v>
      </x:c>
      <x:c r="F60" s="12" t="s">
        <x:v>60</x:v>
      </x:c>
      <x:c r="G60" s="12" t="s">
        <x:v>78</x:v>
      </x:c>
      <x:c r="H60" s="14">
        <x:v>12</x:v>
      </x:c>
      <x:c r="I60" s="14">
        <x:v>2</x:v>
      </x:c>
      <x:c r="J60" s="14">
        <x:v>9</x:v>
      </x:c>
      <x:c r="K60" s="15">
        <x:v>12960</x:v>
      </x:c>
      <x:c r="L60" s="16">
        <x:v>11.7</x:v>
      </x:c>
      <x:c r="M60" s="15">
        <x:v>151632</x:v>
      </x:c>
      <x:c r="N60" s="15">
        <x:v>144154</x:v>
      </x:c>
      <x:c r="O60" s="15">
        <x:v>393</x:v>
      </x:c>
      <x:c r="P60" s="15">
        <x:v>7085</x:v>
      </x:c>
      <x:c r="Q60" t="str">
        <x:f>IF(A60="","", "PE-"&amp;A60&amp;"-L"&amp;TEXT(E60,"00")&amp;"-"&amp;TEXT(B60,"yyyymmdd")&amp;"-"&amp;C60&amp;"-"&amp;F60)</x:f>
        <x:v>PE-KG01-L24-20251026-PM-ORD-2025-00126</x:v>
      </x:c>
      <x:c r="R60" t="n">
        <x:f>IF(A60="","",H60*I60)</x:f>
        <x:v>24</x:v>
      </x:c>
      <x:c r="S60" t="str">
        <x:f>IF(A60="","",IF(AND(H60&gt;=1,H60&lt;=13,I60&gt;=1,I60&lt;=3),"OK","CHECK"))</x:f>
        <x:v>OK</x:v>
      </x:c>
      <x:c r="T60" t="str">
        <x:f>IF(A60="","",IF(ABS(K60-(J60*H60*I60*60))&lt;=0.5,"OK","CHECK"))</x:f>
        <x:v>OK</x:v>
      </x:c>
      <x:c r="U60" t="str">
        <x:f>IF(A60="","",IF(ABS(M60-(K60*L60))&lt;=1,"OK","CHECK"))</x:f>
        <x:v>OK</x:v>
      </x:c>
      <x:c r="V60" t="str">
        <x:f>IF(A60="","",IF(ABS(M60-N60-O60-P60)&lt;=1,"OK","CHECK"))</x:f>
        <x:v>OK</x:v>
      </x:c>
      <x:c r="W60" t="n">
        <x:f>IF(Q60="","",SUMIF(ProductionConfiguration!$B$5:$B$914,Q60,ProductionConfiguration!$S$5:$S$914))</x:f>
        <x:v>24</x:v>
      </x:c>
      <x:c r="X60" t="str">
        <x:f>IF(A60="","",IF(R60=W60,"OK","CHECK"))</x:f>
        <x:v>OK</x:v>
      </x:c>
      <x:c r="Y60" t="str">
        <x:f>IF(Q60="","",IF(COUNTIF($Q$5:$Q$100,Q60)=1,"OK","CHECK"))</x:f>
        <x:v>OK</x:v>
      </x:c>
      <x:c r="Z60" t="str">
        <x:f>IF(A60="","",IF(AND(S60="OK",T60="OK",U60="OK",V60="OK",X60="OK",Y60="OK"),"OK","CHECK"))</x:f>
        <x:v>OK</x:v>
      </x:c>
    </x:row>
    <x:row r="61" ht="18" customHeight="1">
      <x:c r="A61" s="12" t="s">
        <x:v>30</x:v>
      </x:c>
      <x:c r="B61" s="13">
        <x:v>45950</x:v>
      </x:c>
      <x:c r="C61" s="12" t="s">
        <x:v>31</x:v>
      </x:c>
      <x:c r="D61" s="12" t="s">
        <x:v>41</x:v>
      </x:c>
      <x:c r="E61" s="14">
        <x:v>25</x:v>
      </x:c>
      <x:c r="F61" s="12" t="s">
        <x:v>62</x:v>
      </x:c>
      <x:c r="G61" s="12" t="s">
        <x:v>78</x:v>
      </x:c>
      <x:c r="H61" s="14">
        <x:v>8</x:v>
      </x:c>
      <x:c r="I61" s="14">
        <x:v>2</x:v>
      </x:c>
      <x:c r="J61" s="14">
        <x:v>10</x:v>
      </x:c>
      <x:c r="K61" s="15">
        <x:v>9600</x:v>
      </x:c>
      <x:c r="L61" s="16">
        <x:v>11.77</x:v>
      </x:c>
      <x:c r="M61" s="15">
        <x:v>112992</x:v>
      </x:c>
      <x:c r="N61" s="15">
        <x:v>109631</x:v>
      </x:c>
      <x:c r="O61" s="15">
        <x:v>612</x:v>
      </x:c>
      <x:c r="P61" s="15">
        <x:v>2749</x:v>
      </x:c>
      <x:c r="Q61" t="str">
        <x:f>IF(A61="","", "PE-"&amp;A61&amp;"-L"&amp;TEXT(E61,"00")&amp;"-"&amp;TEXT(B61,"yyyymmdd")&amp;"-"&amp;C61&amp;"-"&amp;F61)</x:f>
        <x:v>PE-KG01-L25-20251020-AM-ORD-2025-00161</x:v>
      </x:c>
      <x:c r="R61" t="n">
        <x:f>IF(A61="","",H61*I61)</x:f>
        <x:v>16</x:v>
      </x:c>
      <x:c r="S61" t="str">
        <x:f>IF(A61="","",IF(AND(H61&gt;=1,H61&lt;=13,I61&gt;=1,I61&lt;=3),"OK","CHECK"))</x:f>
        <x:v>OK</x:v>
      </x:c>
      <x:c r="T61" t="str">
        <x:f>IF(A61="","",IF(ABS(K61-(J61*H61*I61*60))&lt;=0.5,"OK","CHECK"))</x:f>
        <x:v>OK</x:v>
      </x:c>
      <x:c r="U61" t="str">
        <x:f>IF(A61="","",IF(ABS(M61-(K61*L61))&lt;=1,"OK","CHECK"))</x:f>
        <x:v>OK</x:v>
      </x:c>
      <x:c r="V61" t="str">
        <x:f>IF(A61="","",IF(ABS(M61-N61-O61-P61)&lt;=1,"OK","CHECK"))</x:f>
        <x:v>OK</x:v>
      </x:c>
      <x:c r="W61" t="n">
        <x:f>IF(Q61="","",SUMIF(ProductionConfiguration!$B$5:$B$914,Q61,ProductionConfiguration!$S$5:$S$914))</x:f>
        <x:v>16</x:v>
      </x:c>
      <x:c r="X61" t="str">
        <x:f>IF(A61="","",IF(R61=W61,"OK","CHECK"))</x:f>
        <x:v>OK</x:v>
      </x:c>
      <x:c r="Y61" t="str">
        <x:f>IF(Q61="","",IF(COUNTIF($Q$5:$Q$100,Q61)=1,"OK","CHECK"))</x:f>
        <x:v>OK</x:v>
      </x:c>
      <x:c r="Z61" t="str">
        <x:f>IF(A61="","",IF(AND(S61="OK",T61="OK",U61="OK",V61="OK",X61="OK",Y61="OK"),"OK","CHECK"))</x:f>
        <x:v>OK</x:v>
      </x:c>
    </x:row>
    <x:row r="62" ht="18" customHeight="1">
      <x:c r="A62" s="12" t="s">
        <x:v>30</x:v>
      </x:c>
      <x:c r="B62" s="13">
        <x:v>45950</x:v>
      </x:c>
      <x:c r="C62" s="12" t="s">
        <x:v>79</x:v>
      </x:c>
      <x:c r="D62" s="12" t="s">
        <x:v>32</x:v>
      </x:c>
      <x:c r="E62" s="14">
        <x:v>25</x:v>
      </x:c>
      <x:c r="F62" s="12" t="s">
        <x:v>62</x:v>
      </x:c>
      <x:c r="G62" s="12" t="s">
        <x:v>78</x:v>
      </x:c>
      <x:c r="H62" s="14">
        <x:v>8</x:v>
      </x:c>
      <x:c r="I62" s="14">
        <x:v>2</x:v>
      </x:c>
      <x:c r="J62" s="14">
        <x:v>10</x:v>
      </x:c>
      <x:c r="K62" s="15">
        <x:v>9600</x:v>
      </x:c>
      <x:c r="L62" s="16">
        <x:v>11.59</x:v>
      </x:c>
      <x:c r="M62" s="15">
        <x:v>111264</x:v>
      </x:c>
      <x:c r="N62" s="15">
        <x:v>104059</x:v>
      </x:c>
      <x:c r="O62" s="15">
        <x:v>1289</x:v>
      </x:c>
      <x:c r="P62" s="15">
        <x:v>5916</x:v>
      </x:c>
      <x:c r="Q62" t="str">
        <x:f>IF(A62="","", "PE-"&amp;A62&amp;"-L"&amp;TEXT(E62,"00")&amp;"-"&amp;TEXT(B62,"yyyymmdd")&amp;"-"&amp;C62&amp;"-"&amp;F62)</x:f>
        <x:v>PE-KG01-L25-20251020-PM-ORD-2025-00161</x:v>
      </x:c>
      <x:c r="R62" t="n">
        <x:f>IF(A62="","",H62*I62)</x:f>
        <x:v>16</x:v>
      </x:c>
      <x:c r="S62" t="str">
        <x:f>IF(A62="","",IF(AND(H62&gt;=1,H62&lt;=13,I62&gt;=1,I62&lt;=3),"OK","CHECK"))</x:f>
        <x:v>OK</x:v>
      </x:c>
      <x:c r="T62" t="str">
        <x:f>IF(A62="","",IF(ABS(K62-(J62*H62*I62*60))&lt;=0.5,"OK","CHECK"))</x:f>
        <x:v>OK</x:v>
      </x:c>
      <x:c r="U62" t="str">
        <x:f>IF(A62="","",IF(ABS(M62-(K62*L62))&lt;=1,"OK","CHECK"))</x:f>
        <x:v>OK</x:v>
      </x:c>
      <x:c r="V62" t="str">
        <x:f>IF(A62="","",IF(ABS(M62-N62-O62-P62)&lt;=1,"OK","CHECK"))</x:f>
        <x:v>OK</x:v>
      </x:c>
      <x:c r="W62" t="n">
        <x:f>IF(Q62="","",SUMIF(ProductionConfiguration!$B$5:$B$914,Q62,ProductionConfiguration!$S$5:$S$914))</x:f>
        <x:v>16</x:v>
      </x:c>
      <x:c r="X62" t="str">
        <x:f>IF(A62="","",IF(R62=W62,"OK","CHECK"))</x:f>
        <x:v>OK</x:v>
      </x:c>
      <x:c r="Y62" t="str">
        <x:f>IF(Q62="","",IF(COUNTIF($Q$5:$Q$100,Q62)=1,"OK","CHECK"))</x:f>
        <x:v>OK</x:v>
      </x:c>
      <x:c r="Z62" t="str">
        <x:f>IF(A62="","",IF(AND(S62="OK",T62="OK",U62="OK",V62="OK",X62="OK",Y62="OK"),"OK","CHECK"))</x:f>
        <x:v>OK</x:v>
      </x:c>
    </x:row>
    <x:row r="63" ht="18" customHeight="1">
      <x:c r="A63" s="12" t="s">
        <x:v>30</x:v>
      </x:c>
      <x:c r="B63" s="13">
        <x:v>45951</x:v>
      </x:c>
      <x:c r="C63" s="12" t="s">
        <x:v>31</x:v>
      </x:c>
      <x:c r="D63" s="12" t="s">
        <x:v>32</x:v>
      </x:c>
      <x:c r="E63" s="14">
        <x:v>25</x:v>
      </x:c>
      <x:c r="F63" s="12" t="s">
        <x:v>62</x:v>
      </x:c>
      <x:c r="G63" s="12" t="s">
        <x:v>78</x:v>
      </x:c>
      <x:c r="H63" s="14">
        <x:v>8</x:v>
      </x:c>
      <x:c r="I63" s="14">
        <x:v>2</x:v>
      </x:c>
      <x:c r="J63" s="14">
        <x:v>9</x:v>
      </x:c>
      <x:c r="K63" s="15">
        <x:v>8640</x:v>
      </x:c>
      <x:c r="L63" s="16">
        <x:v>11.85</x:v>
      </x:c>
      <x:c r="M63" s="15">
        <x:v>102384</x:v>
      </x:c>
      <x:c r="N63" s="15">
        <x:v>95758</x:v>
      </x:c>
      <x:c r="O63" s="15">
        <x:v>1358</x:v>
      </x:c>
      <x:c r="P63" s="15">
        <x:v>5268</x:v>
      </x:c>
      <x:c r="Q63" t="str">
        <x:f>IF(A63="","", "PE-"&amp;A63&amp;"-L"&amp;TEXT(E63,"00")&amp;"-"&amp;TEXT(B63,"yyyymmdd")&amp;"-"&amp;C63&amp;"-"&amp;F63)</x:f>
        <x:v>PE-KG01-L25-20251021-AM-ORD-2025-00161</x:v>
      </x:c>
      <x:c r="R63" t="n">
        <x:f>IF(A63="","",H63*I63)</x:f>
        <x:v>16</x:v>
      </x:c>
      <x:c r="S63" t="str">
        <x:f>IF(A63="","",IF(AND(H63&gt;=1,H63&lt;=13,I63&gt;=1,I63&lt;=3),"OK","CHECK"))</x:f>
        <x:v>OK</x:v>
      </x:c>
      <x:c r="T63" t="str">
        <x:f>IF(A63="","",IF(ABS(K63-(J63*H63*I63*60))&lt;=0.5,"OK","CHECK"))</x:f>
        <x:v>OK</x:v>
      </x:c>
      <x:c r="U63" t="str">
        <x:f>IF(A63="","",IF(ABS(M63-(K63*L63))&lt;=1,"OK","CHECK"))</x:f>
        <x:v>OK</x:v>
      </x:c>
      <x:c r="V63" t="str">
        <x:f>IF(A63="","",IF(ABS(M63-N63-O63-P63)&lt;=1,"OK","CHECK"))</x:f>
        <x:v>OK</x:v>
      </x:c>
      <x:c r="W63" t="n">
        <x:f>IF(Q63="","",SUMIF(ProductionConfiguration!$B$5:$B$914,Q63,ProductionConfiguration!$S$5:$S$914))</x:f>
        <x:v>16</x:v>
      </x:c>
      <x:c r="X63" t="str">
        <x:f>IF(A63="","",IF(R63=W63,"OK","CHECK"))</x:f>
        <x:v>OK</x:v>
      </x:c>
      <x:c r="Y63" t="str">
        <x:f>IF(Q63="","",IF(COUNTIF($Q$5:$Q$100,Q63)=1,"OK","CHECK"))</x:f>
        <x:v>OK</x:v>
      </x:c>
      <x:c r="Z63" t="str">
        <x:f>IF(A63="","",IF(AND(S63="OK",T63="OK",U63="OK",V63="OK",X63="OK",Y63="OK"),"OK","CHECK"))</x:f>
        <x:v>OK</x:v>
      </x:c>
    </x:row>
    <x:row r="64" ht="18" customHeight="1">
      <x:c r="A64" s="12" t="s">
        <x:v>30</x:v>
      </x:c>
      <x:c r="B64" s="13">
        <x:v>45951</x:v>
      </x:c>
      <x:c r="C64" s="12" t="s">
        <x:v>79</x:v>
      </x:c>
      <x:c r="D64" s="12" t="s">
        <x:v>37</x:v>
      </x:c>
      <x:c r="E64" s="14">
        <x:v>25</x:v>
      </x:c>
      <x:c r="F64" s="12" t="s">
        <x:v>62</x:v>
      </x:c>
      <x:c r="G64" s="12" t="s">
        <x:v>78</x:v>
      </x:c>
      <x:c r="H64" s="14">
        <x:v>8</x:v>
      </x:c>
      <x:c r="I64" s="14">
        <x:v>2</x:v>
      </x:c>
      <x:c r="J64" s="14">
        <x:v>9</x:v>
      </x:c>
      <x:c r="K64" s="15">
        <x:v>8640</x:v>
      </x:c>
      <x:c r="L64" s="16">
        <x:v>11.78</x:v>
      </x:c>
      <x:c r="M64" s="15">
        <x:v>101779</x:v>
      </x:c>
      <x:c r="N64" s="15">
        <x:v>95783</x:v>
      </x:c>
      <x:c r="O64" s="15">
        <x:v>204</x:v>
      </x:c>
      <x:c r="P64" s="15">
        <x:v>5792</x:v>
      </x:c>
      <x:c r="Q64" t="str">
        <x:f>IF(A64="","", "PE-"&amp;A64&amp;"-L"&amp;TEXT(E64,"00")&amp;"-"&amp;TEXT(B64,"yyyymmdd")&amp;"-"&amp;C64&amp;"-"&amp;F64)</x:f>
        <x:v>PE-KG01-L25-20251021-PM-ORD-2025-00161</x:v>
      </x:c>
      <x:c r="R64" t="n">
        <x:f>IF(A64="","",H64*I64)</x:f>
        <x:v>16</x:v>
      </x:c>
      <x:c r="S64" t="str">
        <x:f>IF(A64="","",IF(AND(H64&gt;=1,H64&lt;=13,I64&gt;=1,I64&lt;=3),"OK","CHECK"))</x:f>
        <x:v>OK</x:v>
      </x:c>
      <x:c r="T64" t="str">
        <x:f>IF(A64="","",IF(ABS(K64-(J64*H64*I64*60))&lt;=0.5,"OK","CHECK"))</x:f>
        <x:v>OK</x:v>
      </x:c>
      <x:c r="U64" t="str">
        <x:f>IF(A64="","",IF(ABS(M64-(K64*L64))&lt;=1,"OK","CHECK"))</x:f>
        <x:v>OK</x:v>
      </x:c>
      <x:c r="V64" t="str">
        <x:f>IF(A64="","",IF(ABS(M64-N64-O64-P64)&lt;=1,"OK","CHECK"))</x:f>
        <x:v>OK</x:v>
      </x:c>
      <x:c r="W64" t="n">
        <x:f>IF(Q64="","",SUMIF(ProductionConfiguration!$B$5:$B$914,Q64,ProductionConfiguration!$S$5:$S$914))</x:f>
        <x:v>16</x:v>
      </x:c>
      <x:c r="X64" t="str">
        <x:f>IF(A64="","",IF(R64=W64,"OK","CHECK"))</x:f>
        <x:v>OK</x:v>
      </x:c>
      <x:c r="Y64" t="str">
        <x:f>IF(Q64="","",IF(COUNTIF($Q$5:$Q$100,Q64)=1,"OK","CHECK"))</x:f>
        <x:v>OK</x:v>
      </x:c>
      <x:c r="Z64" t="str">
        <x:f>IF(A64="","",IF(AND(S64="OK",T64="OK",U64="OK",V64="OK",X64="OK",Y64="OK"),"OK","CHECK"))</x:f>
        <x:v>OK</x:v>
      </x:c>
    </x:row>
    <x:row r="65" ht="18" customHeight="1">
      <x:c r="A65" s="12" t="s">
        <x:v>30</x:v>
      </x:c>
      <x:c r="B65" s="13">
        <x:v>45952</x:v>
      </x:c>
      <x:c r="C65" s="12" t="s">
        <x:v>31</x:v>
      </x:c>
      <x:c r="D65" s="12" t="s">
        <x:v>37</x:v>
      </x:c>
      <x:c r="E65" s="14">
        <x:v>25</x:v>
      </x:c>
      <x:c r="F65" s="12" t="s">
        <x:v>62</x:v>
      </x:c>
      <x:c r="G65" s="12" t="s">
        <x:v>78</x:v>
      </x:c>
      <x:c r="H65" s="14">
        <x:v>8</x:v>
      </x:c>
      <x:c r="I65" s="14">
        <x:v>2</x:v>
      </x:c>
      <x:c r="J65" s="14">
        <x:v>9</x:v>
      </x:c>
      <x:c r="K65" s="15">
        <x:v>8640</x:v>
      </x:c>
      <x:c r="L65" s="16">
        <x:v>11.48</x:v>
      </x:c>
      <x:c r="M65" s="15">
        <x:v>99187</x:v>
      </x:c>
      <x:c r="N65" s="15">
        <x:v>93893</x:v>
      </x:c>
      <x:c r="O65" s="15">
        <x:v>1024</x:v>
      </x:c>
      <x:c r="P65" s="15">
        <x:v>4270</x:v>
      </x:c>
      <x:c r="Q65" t="str">
        <x:f>IF(A65="","", "PE-"&amp;A65&amp;"-L"&amp;TEXT(E65,"00")&amp;"-"&amp;TEXT(B65,"yyyymmdd")&amp;"-"&amp;C65&amp;"-"&amp;F65)</x:f>
        <x:v>PE-KG01-L25-20251022-AM-ORD-2025-00161</x:v>
      </x:c>
      <x:c r="R65" t="n">
        <x:f>IF(A65="","",H65*I65)</x:f>
        <x:v>16</x:v>
      </x:c>
      <x:c r="S65" t="str">
        <x:f>IF(A65="","",IF(AND(H65&gt;=1,H65&lt;=13,I65&gt;=1,I65&lt;=3),"OK","CHECK"))</x:f>
        <x:v>OK</x:v>
      </x:c>
      <x:c r="T65" t="str">
        <x:f>IF(A65="","",IF(ABS(K65-(J65*H65*I65*60))&lt;=0.5,"OK","CHECK"))</x:f>
        <x:v>OK</x:v>
      </x:c>
      <x:c r="U65" t="str">
        <x:f>IF(A65="","",IF(ABS(M65-(K65*L65))&lt;=1,"OK","CHECK"))</x:f>
        <x:v>OK</x:v>
      </x:c>
      <x:c r="V65" t="str">
        <x:f>IF(A65="","",IF(ABS(M65-N65-O65-P65)&lt;=1,"OK","CHECK"))</x:f>
        <x:v>OK</x:v>
      </x:c>
      <x:c r="W65" t="n">
        <x:f>IF(Q65="","",SUMIF(ProductionConfiguration!$B$5:$B$914,Q65,ProductionConfiguration!$S$5:$S$914))</x:f>
        <x:v>16</x:v>
      </x:c>
      <x:c r="X65" t="str">
        <x:f>IF(A65="","",IF(R65=W65,"OK","CHECK"))</x:f>
        <x:v>OK</x:v>
      </x:c>
      <x:c r="Y65" t="str">
        <x:f>IF(Q65="","",IF(COUNTIF($Q$5:$Q$100,Q65)=1,"OK","CHECK"))</x:f>
        <x:v>OK</x:v>
      </x:c>
      <x:c r="Z65" t="str">
        <x:f>IF(A65="","",IF(AND(S65="OK",T65="OK",U65="OK",V65="OK",X65="OK",Y65="OK"),"OK","CHECK"))</x:f>
        <x:v>OK</x:v>
      </x:c>
    </x:row>
    <x:row r="66" ht="18" customHeight="1">
      <x:c r="A66" s="12" t="s">
        <x:v>30</x:v>
      </x:c>
      <x:c r="B66" s="13">
        <x:v>45952</x:v>
      </x:c>
      <x:c r="C66" s="12" t="s">
        <x:v>79</x:v>
      </x:c>
      <x:c r="D66" s="12" t="s">
        <x:v>41</x:v>
      </x:c>
      <x:c r="E66" s="14">
        <x:v>25</x:v>
      </x:c>
      <x:c r="F66" s="12" t="s">
        <x:v>62</x:v>
      </x:c>
      <x:c r="G66" s="12" t="s">
        <x:v>78</x:v>
      </x:c>
      <x:c r="H66" s="14">
        <x:v>8</x:v>
      </x:c>
      <x:c r="I66" s="14">
        <x:v>2</x:v>
      </x:c>
      <x:c r="J66" s="14">
        <x:v>9</x:v>
      </x:c>
      <x:c r="K66" s="15">
        <x:v>8640</x:v>
      </x:c>
      <x:c r="L66" s="16">
        <x:v>11.52</x:v>
      </x:c>
      <x:c r="M66" s="15">
        <x:v>99533</x:v>
      </x:c>
      <x:c r="N66" s="15">
        <x:v>92090</x:v>
      </x:c>
      <x:c r="O66" s="15">
        <x:v>1260</x:v>
      </x:c>
      <x:c r="P66" s="15">
        <x:v>6183</x:v>
      </x:c>
      <x:c r="Q66" t="str">
        <x:f>IF(A66="","", "PE-"&amp;A66&amp;"-L"&amp;TEXT(E66,"00")&amp;"-"&amp;TEXT(B66,"yyyymmdd")&amp;"-"&amp;C66&amp;"-"&amp;F66)</x:f>
        <x:v>PE-KG01-L25-20251022-PM-ORD-2025-00161</x:v>
      </x:c>
      <x:c r="R66" t="n">
        <x:f>IF(A66="","",H66*I66)</x:f>
        <x:v>16</x:v>
      </x:c>
      <x:c r="S66" t="str">
        <x:f>IF(A66="","",IF(AND(H66&gt;=1,H66&lt;=13,I66&gt;=1,I66&lt;=3),"OK","CHECK"))</x:f>
        <x:v>OK</x:v>
      </x:c>
      <x:c r="T66" t="str">
        <x:f>IF(A66="","",IF(ABS(K66-(J66*H66*I66*60))&lt;=0.5,"OK","CHECK"))</x:f>
        <x:v>OK</x:v>
      </x:c>
      <x:c r="U66" t="str">
        <x:f>IF(A66="","",IF(ABS(M66-(K66*L66))&lt;=1,"OK","CHECK"))</x:f>
        <x:v>OK</x:v>
      </x:c>
      <x:c r="V66" t="str">
        <x:f>IF(A66="","",IF(ABS(M66-N66-O66-P66)&lt;=1,"OK","CHECK"))</x:f>
        <x:v>OK</x:v>
      </x:c>
      <x:c r="W66" t="n">
        <x:f>IF(Q66="","",SUMIF(ProductionConfiguration!$B$5:$B$914,Q66,ProductionConfiguration!$S$5:$S$914))</x:f>
        <x:v>16</x:v>
      </x:c>
      <x:c r="X66" t="str">
        <x:f>IF(A66="","",IF(R66=W66,"OK","CHECK"))</x:f>
        <x:v>OK</x:v>
      </x:c>
      <x:c r="Y66" t="str">
        <x:f>IF(Q66="","",IF(COUNTIF($Q$5:$Q$100,Q66)=1,"OK","CHECK"))</x:f>
        <x:v>OK</x:v>
      </x:c>
      <x:c r="Z66" t="str">
        <x:f>IF(A66="","",IF(AND(S66="OK",T66="OK",U66="OK",V66="OK",X66="OK",Y66="OK"),"OK","CHECK"))</x:f>
        <x:v>OK</x:v>
      </x:c>
    </x:row>
    <x:row r="67" ht="18" customHeight="1">
      <x:c r="A67" s="12" t="s">
        <x:v>30</x:v>
      </x:c>
      <x:c r="B67" s="13">
        <x:v>45953</x:v>
      </x:c>
      <x:c r="C67" s="12" t="s">
        <x:v>31</x:v>
      </x:c>
      <x:c r="D67" s="12" t="s">
        <x:v>41</x:v>
      </x:c>
      <x:c r="E67" s="14">
        <x:v>25</x:v>
      </x:c>
      <x:c r="F67" s="12" t="s">
        <x:v>63</x:v>
      </x:c>
      <x:c r="G67" s="12" t="s">
        <x:v>78</x:v>
      </x:c>
      <x:c r="H67" s="14">
        <x:v>8</x:v>
      </x:c>
      <x:c r="I67" s="14">
        <x:v>3</x:v>
      </x:c>
      <x:c r="J67" s="14">
        <x:v>12</x:v>
      </x:c>
      <x:c r="K67" s="15">
        <x:v>17280</x:v>
      </x:c>
      <x:c r="L67" s="16">
        <x:v>7.46</x:v>
      </x:c>
      <x:c r="M67" s="15">
        <x:v>128909</x:v>
      </x:c>
      <x:c r="N67" s="15">
        <x:v>121585</x:v>
      </x:c>
      <x:c r="O67" s="15">
        <x:v>711</x:v>
      </x:c>
      <x:c r="P67" s="15">
        <x:v>6613</x:v>
      </x:c>
      <x:c r="Q67" t="str">
        <x:f>IF(A67="","", "PE-"&amp;A67&amp;"-L"&amp;TEXT(E67,"00")&amp;"-"&amp;TEXT(B67,"yyyymmdd")&amp;"-"&amp;C67&amp;"-"&amp;F67)</x:f>
        <x:v>PE-KG01-L25-20251023-AM-ORD-2025-00162</x:v>
      </x:c>
      <x:c r="R67" t="n">
        <x:f>IF(A67="","",H67*I67)</x:f>
        <x:v>24</x:v>
      </x:c>
      <x:c r="S67" t="str">
        <x:f>IF(A67="","",IF(AND(H67&gt;=1,H67&lt;=13,I67&gt;=1,I67&lt;=3),"OK","CHECK"))</x:f>
        <x:v>OK</x:v>
      </x:c>
      <x:c r="T67" t="str">
        <x:f>IF(A67="","",IF(ABS(K67-(J67*H67*I67*60))&lt;=0.5,"OK","CHECK"))</x:f>
        <x:v>OK</x:v>
      </x:c>
      <x:c r="U67" t="str">
        <x:f>IF(A67="","",IF(ABS(M67-(K67*L67))&lt;=1,"OK","CHECK"))</x:f>
        <x:v>OK</x:v>
      </x:c>
      <x:c r="V67" t="str">
        <x:f>IF(A67="","",IF(ABS(M67-N67-O67-P67)&lt;=1,"OK","CHECK"))</x:f>
        <x:v>OK</x:v>
      </x:c>
      <x:c r="W67" t="n">
        <x:f>IF(Q67="","",SUMIF(ProductionConfiguration!$B$5:$B$914,Q67,ProductionConfiguration!$S$5:$S$914))</x:f>
        <x:v>24</x:v>
      </x:c>
      <x:c r="X67" t="str">
        <x:f>IF(A67="","",IF(R67=W67,"OK","CHECK"))</x:f>
        <x:v>OK</x:v>
      </x:c>
      <x:c r="Y67" t="str">
        <x:f>IF(Q67="","",IF(COUNTIF($Q$5:$Q$100,Q67)=1,"OK","CHECK"))</x:f>
        <x:v>OK</x:v>
      </x:c>
      <x:c r="Z67" t="str">
        <x:f>IF(A67="","",IF(AND(S67="OK",T67="OK",U67="OK",V67="OK",X67="OK",Y67="OK"),"OK","CHECK"))</x:f>
        <x:v>OK</x:v>
      </x:c>
    </x:row>
    <x:row r="68" ht="18" customHeight="1">
      <x:c r="A68" s="12" t="s">
        <x:v>30</x:v>
      </x:c>
      <x:c r="B68" s="13">
        <x:v>45953</x:v>
      </x:c>
      <x:c r="C68" s="12" t="s">
        <x:v>79</x:v>
      </x:c>
      <x:c r="D68" s="12" t="s">
        <x:v>32</x:v>
      </x:c>
      <x:c r="E68" s="14">
        <x:v>25</x:v>
      </x:c>
      <x:c r="F68" s="12" t="s">
        <x:v>63</x:v>
      </x:c>
      <x:c r="G68" s="12" t="s">
        <x:v>78</x:v>
      </x:c>
      <x:c r="H68" s="14">
        <x:v>8</x:v>
      </x:c>
      <x:c r="I68" s="14">
        <x:v>3</x:v>
      </x:c>
      <x:c r="J68" s="14">
        <x:v>12</x:v>
      </x:c>
      <x:c r="K68" s="15">
        <x:v>17280</x:v>
      </x:c>
      <x:c r="L68" s="16">
        <x:v>11.49</x:v>
      </x:c>
      <x:c r="M68" s="15">
        <x:v>198547</x:v>
      </x:c>
      <x:c r="N68" s="15">
        <x:v>182198</x:v>
      </x:c>
      <x:c r="O68" s="15">
        <x:v>3631</x:v>
      </x:c>
      <x:c r="P68" s="15">
        <x:v>12718</x:v>
      </x:c>
      <x:c r="Q68" t="str">
        <x:f>IF(A68="","", "PE-"&amp;A68&amp;"-L"&amp;TEXT(E68,"00")&amp;"-"&amp;TEXT(B68,"yyyymmdd")&amp;"-"&amp;C68&amp;"-"&amp;F68)</x:f>
        <x:v>PE-KG01-L25-20251023-PM-ORD-2025-00162</x:v>
      </x:c>
      <x:c r="R68" t="n">
        <x:f>IF(A68="","",H68*I68)</x:f>
        <x:v>24</x:v>
      </x:c>
      <x:c r="S68" t="str">
        <x:f>IF(A68="","",IF(AND(H68&gt;=1,H68&lt;=13,I68&gt;=1,I68&lt;=3),"OK","CHECK"))</x:f>
        <x:v>OK</x:v>
      </x:c>
      <x:c r="T68" t="str">
        <x:f>IF(A68="","",IF(ABS(K68-(J68*H68*I68*60))&lt;=0.5,"OK","CHECK"))</x:f>
        <x:v>OK</x:v>
      </x:c>
      <x:c r="U68" t="str">
        <x:f>IF(A68="","",IF(ABS(M68-(K68*L68))&lt;=1,"OK","CHECK"))</x:f>
        <x:v>OK</x:v>
      </x:c>
      <x:c r="V68" t="str">
        <x:f>IF(A68="","",IF(ABS(M68-N68-O68-P68)&lt;=1,"OK","CHECK"))</x:f>
        <x:v>OK</x:v>
      </x:c>
      <x:c r="W68" t="n">
        <x:f>IF(Q68="","",SUMIF(ProductionConfiguration!$B$5:$B$914,Q68,ProductionConfiguration!$S$5:$S$914))</x:f>
        <x:v>24</x:v>
      </x:c>
      <x:c r="X68" t="str">
        <x:f>IF(A68="","",IF(R68=W68,"OK","CHECK"))</x:f>
        <x:v>OK</x:v>
      </x:c>
      <x:c r="Y68" t="str">
        <x:f>IF(Q68="","",IF(COUNTIF($Q$5:$Q$100,Q68)=1,"OK","CHECK"))</x:f>
        <x:v>OK</x:v>
      </x:c>
      <x:c r="Z68" t="str">
        <x:f>IF(A68="","",IF(AND(S68="OK",T68="OK",U68="OK",V68="OK",X68="OK",Y68="OK"),"OK","CHECK"))</x:f>
        <x:v>OK</x:v>
      </x:c>
    </x:row>
    <x:row r="69" ht="18" customHeight="1">
      <x:c r="A69" s="12" t="s">
        <x:v>30</x:v>
      </x:c>
      <x:c r="B69" s="13">
        <x:v>45954</x:v>
      </x:c>
      <x:c r="C69" s="12" t="s">
        <x:v>31</x:v>
      </x:c>
      <x:c r="D69" s="12" t="s">
        <x:v>32</x:v>
      </x:c>
      <x:c r="E69" s="14">
        <x:v>25</x:v>
      </x:c>
      <x:c r="F69" s="12" t="s">
        <x:v>63</x:v>
      </x:c>
      <x:c r="G69" s="12" t="s">
        <x:v>78</x:v>
      </x:c>
      <x:c r="H69" s="14">
        <x:v>8</x:v>
      </x:c>
      <x:c r="I69" s="14">
        <x:v>3</x:v>
      </x:c>
      <x:c r="J69" s="14">
        <x:v>11</x:v>
      </x:c>
      <x:c r="K69" s="15">
        <x:v>15840</x:v>
      </x:c>
      <x:c r="L69" s="16">
        <x:v>11.63</x:v>
      </x:c>
      <x:c r="M69" s="15">
        <x:v>184219</x:v>
      </x:c>
      <x:c r="N69" s="15">
        <x:v>172194</x:v>
      </x:c>
      <x:c r="O69" s="15">
        <x:v>1886</x:v>
      </x:c>
      <x:c r="P69" s="15">
        <x:v>10139</x:v>
      </x:c>
      <x:c r="Q69" t="str">
        <x:f>IF(A69="","", "PE-"&amp;A69&amp;"-L"&amp;TEXT(E69,"00")&amp;"-"&amp;TEXT(B69,"yyyymmdd")&amp;"-"&amp;C69&amp;"-"&amp;F69)</x:f>
        <x:v>PE-KG01-L25-20251024-AM-ORD-2025-00162</x:v>
      </x:c>
      <x:c r="R69" t="n">
        <x:f>IF(A69="","",H69*I69)</x:f>
        <x:v>24</x:v>
      </x:c>
      <x:c r="S69" t="str">
        <x:f>IF(A69="","",IF(AND(H69&gt;=1,H69&lt;=13,I69&gt;=1,I69&lt;=3),"OK","CHECK"))</x:f>
        <x:v>OK</x:v>
      </x:c>
      <x:c r="T69" t="str">
        <x:f>IF(A69="","",IF(ABS(K69-(J69*H69*I69*60))&lt;=0.5,"OK","CHECK"))</x:f>
        <x:v>OK</x:v>
      </x:c>
      <x:c r="U69" t="str">
        <x:f>IF(A69="","",IF(ABS(M69-(K69*L69))&lt;=1,"OK","CHECK"))</x:f>
        <x:v>OK</x:v>
      </x:c>
      <x:c r="V69" t="str">
        <x:f>IF(A69="","",IF(ABS(M69-N69-O69-P69)&lt;=1,"OK","CHECK"))</x:f>
        <x:v>OK</x:v>
      </x:c>
      <x:c r="W69" t="n">
        <x:f>IF(Q69="","",SUMIF(ProductionConfiguration!$B$5:$B$914,Q69,ProductionConfiguration!$S$5:$S$914))</x:f>
        <x:v>24</x:v>
      </x:c>
      <x:c r="X69" t="str">
        <x:f>IF(A69="","",IF(R69=W69,"OK","CHECK"))</x:f>
        <x:v>OK</x:v>
      </x:c>
      <x:c r="Y69" t="str">
        <x:f>IF(Q69="","",IF(COUNTIF($Q$5:$Q$100,Q69)=1,"OK","CHECK"))</x:f>
        <x:v>OK</x:v>
      </x:c>
      <x:c r="Z69" t="str">
        <x:f>IF(A69="","",IF(AND(S69="OK",T69="OK",U69="OK",V69="OK",X69="OK",Y69="OK"),"OK","CHECK"))</x:f>
        <x:v>OK</x:v>
      </x:c>
    </x:row>
    <x:row r="70" ht="18" customHeight="1">
      <x:c r="A70" s="12" t="s">
        <x:v>30</x:v>
      </x:c>
      <x:c r="B70" s="13">
        <x:v>45954</x:v>
      </x:c>
      <x:c r="C70" s="12" t="s">
        <x:v>79</x:v>
      </x:c>
      <x:c r="D70" s="12" t="s">
        <x:v>37</x:v>
      </x:c>
      <x:c r="E70" s="14">
        <x:v>25</x:v>
      </x:c>
      <x:c r="F70" s="12" t="s">
        <x:v>63</x:v>
      </x:c>
      <x:c r="G70" s="12" t="s">
        <x:v>78</x:v>
      </x:c>
      <x:c r="H70" s="14">
        <x:v>8</x:v>
      </x:c>
      <x:c r="I70" s="14">
        <x:v>3</x:v>
      </x:c>
      <x:c r="J70" s="14">
        <x:v>11</x:v>
      </x:c>
      <x:c r="K70" s="15">
        <x:v>15840</x:v>
      </x:c>
      <x:c r="L70" s="16">
        <x:v>11.59</x:v>
      </x:c>
      <x:c r="M70" s="15">
        <x:v>183586</x:v>
      </x:c>
      <x:c r="N70" s="15">
        <x:v>171431</x:v>
      </x:c>
      <x:c r="O70" s="15">
        <x:v>813</x:v>
      </x:c>
      <x:c r="P70" s="15">
        <x:v>11342</x:v>
      </x:c>
      <x:c r="Q70" t="str">
        <x:f>IF(A70="","", "PE-"&amp;A70&amp;"-L"&amp;TEXT(E70,"00")&amp;"-"&amp;TEXT(B70,"yyyymmdd")&amp;"-"&amp;C70&amp;"-"&amp;F70)</x:f>
        <x:v>PE-KG01-L25-20251024-PM-ORD-2025-00162</x:v>
      </x:c>
      <x:c r="R70" t="n">
        <x:f>IF(A70="","",H70*I70)</x:f>
        <x:v>24</x:v>
      </x:c>
      <x:c r="S70" t="str">
        <x:f>IF(A70="","",IF(AND(H70&gt;=1,H70&lt;=13,I70&gt;=1,I70&lt;=3),"OK","CHECK"))</x:f>
        <x:v>OK</x:v>
      </x:c>
      <x:c r="T70" t="str">
        <x:f>IF(A70="","",IF(ABS(K70-(J70*H70*I70*60))&lt;=0.5,"OK","CHECK"))</x:f>
        <x:v>OK</x:v>
      </x:c>
      <x:c r="U70" t="str">
        <x:f>IF(A70="","",IF(ABS(M70-(K70*L70))&lt;=1,"OK","CHECK"))</x:f>
        <x:v>OK</x:v>
      </x:c>
      <x:c r="V70" t="str">
        <x:f>IF(A70="","",IF(ABS(M70-N70-O70-P70)&lt;=1,"OK","CHECK"))</x:f>
        <x:v>OK</x:v>
      </x:c>
      <x:c r="W70" t="n">
        <x:f>IF(Q70="","",SUMIF(ProductionConfiguration!$B$5:$B$914,Q70,ProductionConfiguration!$S$5:$S$914))</x:f>
        <x:v>24</x:v>
      </x:c>
      <x:c r="X70" t="str">
        <x:f>IF(A70="","",IF(R70=W70,"OK","CHECK"))</x:f>
        <x:v>OK</x:v>
      </x:c>
      <x:c r="Y70" t="str">
        <x:f>IF(Q70="","",IF(COUNTIF($Q$5:$Q$100,Q70)=1,"OK","CHECK"))</x:f>
        <x:v>OK</x:v>
      </x:c>
      <x:c r="Z70" t="str">
        <x:f>IF(A70="","",IF(AND(S70="OK",T70="OK",U70="OK",V70="OK",X70="OK",Y70="OK"),"OK","CHECK"))</x:f>
        <x:v>OK</x:v>
      </x:c>
    </x:row>
    <x:row r="71" ht="18" customHeight="1">
      <x:c r="A71" s="12" t="s">
        <x:v>30</x:v>
      </x:c>
      <x:c r="B71" s="13">
        <x:v>45955</x:v>
      </x:c>
      <x:c r="C71" s="12" t="s">
        <x:v>31</x:v>
      </x:c>
      <x:c r="D71" s="12" t="s">
        <x:v>37</x:v>
      </x:c>
      <x:c r="E71" s="14">
        <x:v>25</x:v>
      </x:c>
      <x:c r="F71" s="12" t="s">
        <x:v>63</x:v>
      </x:c>
      <x:c r="G71" s="12" t="s">
        <x:v>78</x:v>
      </x:c>
      <x:c r="H71" s="14">
        <x:v>8</x:v>
      </x:c>
      <x:c r="I71" s="14">
        <x:v>3</x:v>
      </x:c>
      <x:c r="J71" s="14">
        <x:v>11</x:v>
      </x:c>
      <x:c r="K71" s="15">
        <x:v>15840</x:v>
      </x:c>
      <x:c r="L71" s="16">
        <x:v>11.54</x:v>
      </x:c>
      <x:c r="M71" s="15">
        <x:v>182794</x:v>
      </x:c>
      <x:c r="N71" s="15">
        <x:v>172785</x:v>
      </x:c>
      <x:c r="O71" s="15">
        <x:v>679</x:v>
      </x:c>
      <x:c r="P71" s="15">
        <x:v>9330</x:v>
      </x:c>
      <x:c r="Q71" t="str">
        <x:f>IF(A71="","", "PE-"&amp;A71&amp;"-L"&amp;TEXT(E71,"00")&amp;"-"&amp;TEXT(B71,"yyyymmdd")&amp;"-"&amp;C71&amp;"-"&amp;F71)</x:f>
        <x:v>PE-KG01-L25-20251025-AM-ORD-2025-00162</x:v>
      </x:c>
      <x:c r="R71" t="n">
        <x:f>IF(A71="","",H71*I71)</x:f>
        <x:v>24</x:v>
      </x:c>
      <x:c r="S71" t="str">
        <x:f>IF(A71="","",IF(AND(H71&gt;=1,H71&lt;=13,I71&gt;=1,I71&lt;=3),"OK","CHECK"))</x:f>
        <x:v>OK</x:v>
      </x:c>
      <x:c r="T71" t="str">
        <x:f>IF(A71="","",IF(ABS(K71-(J71*H71*I71*60))&lt;=0.5,"OK","CHECK"))</x:f>
        <x:v>OK</x:v>
      </x:c>
      <x:c r="U71" t="str">
        <x:f>IF(A71="","",IF(ABS(M71-(K71*L71))&lt;=1,"OK","CHECK"))</x:f>
        <x:v>OK</x:v>
      </x:c>
      <x:c r="V71" t="str">
        <x:f>IF(A71="","",IF(ABS(M71-N71-O71-P71)&lt;=1,"OK","CHECK"))</x:f>
        <x:v>OK</x:v>
      </x:c>
      <x:c r="W71" t="n">
        <x:f>IF(Q71="","",SUMIF(ProductionConfiguration!$B$5:$B$914,Q71,ProductionConfiguration!$S$5:$S$914))</x:f>
        <x:v>24</x:v>
      </x:c>
      <x:c r="X71" t="str">
        <x:f>IF(A71="","",IF(R71=W71,"OK","CHECK"))</x:f>
        <x:v>OK</x:v>
      </x:c>
      <x:c r="Y71" t="str">
        <x:f>IF(Q71="","",IF(COUNTIF($Q$5:$Q$100,Q71)=1,"OK","CHECK"))</x:f>
        <x:v>OK</x:v>
      </x:c>
      <x:c r="Z71" t="str">
        <x:f>IF(A71="","",IF(AND(S71="OK",T71="OK",U71="OK",V71="OK",X71="OK",Y71="OK"),"OK","CHECK"))</x:f>
        <x:v>OK</x:v>
      </x:c>
    </x:row>
    <x:row r="72" ht="18" customHeight="1">
      <x:c r="A72" s="12" t="s">
        <x:v>30</x:v>
      </x:c>
      <x:c r="B72" s="13">
        <x:v>45955</x:v>
      </x:c>
      <x:c r="C72" s="12" t="s">
        <x:v>79</x:v>
      </x:c>
      <x:c r="D72" s="12" t="s">
        <x:v>41</x:v>
      </x:c>
      <x:c r="E72" s="14">
        <x:v>25</x:v>
      </x:c>
      <x:c r="F72" s="12" t="s">
        <x:v>63</x:v>
      </x:c>
      <x:c r="G72" s="12" t="s">
        <x:v>78</x:v>
      </x:c>
      <x:c r="H72" s="14">
        <x:v>8</x:v>
      </x:c>
      <x:c r="I72" s="14">
        <x:v>3</x:v>
      </x:c>
      <x:c r="J72" s="14">
        <x:v>12</x:v>
      </x:c>
      <x:c r="K72" s="15">
        <x:v>17280</x:v>
      </x:c>
      <x:c r="L72" s="16">
        <x:v>11.73</x:v>
      </x:c>
      <x:c r="M72" s="15">
        <x:v>202694</x:v>
      </x:c>
      <x:c r="N72" s="15">
        <x:v>195769</x:v>
      </x:c>
      <x:c r="O72" s="15">
        <x:v>922</x:v>
      </x:c>
      <x:c r="P72" s="15">
        <x:v>6003</x:v>
      </x:c>
      <x:c r="Q72" t="str">
        <x:f>IF(A72="","", "PE-"&amp;A72&amp;"-L"&amp;TEXT(E72,"00")&amp;"-"&amp;TEXT(B72,"yyyymmdd")&amp;"-"&amp;C72&amp;"-"&amp;F72)</x:f>
        <x:v>PE-KG01-L25-20251025-PM-ORD-2025-00162</x:v>
      </x:c>
      <x:c r="R72" t="n">
        <x:f>IF(A72="","",H72*I72)</x:f>
        <x:v>24</x:v>
      </x:c>
      <x:c r="S72" t="str">
        <x:f>IF(A72="","",IF(AND(H72&gt;=1,H72&lt;=13,I72&gt;=1,I72&lt;=3),"OK","CHECK"))</x:f>
        <x:v>OK</x:v>
      </x:c>
      <x:c r="T72" t="str">
        <x:f>IF(A72="","",IF(ABS(K72-(J72*H72*I72*60))&lt;=0.5,"OK","CHECK"))</x:f>
        <x:v>OK</x:v>
      </x:c>
      <x:c r="U72" t="str">
        <x:f>IF(A72="","",IF(ABS(M72-(K72*L72))&lt;=1,"OK","CHECK"))</x:f>
        <x:v>OK</x:v>
      </x:c>
      <x:c r="V72" t="str">
        <x:f>IF(A72="","",IF(ABS(M72-N72-O72-P72)&lt;=1,"OK","CHECK"))</x:f>
        <x:v>OK</x:v>
      </x:c>
      <x:c r="W72" t="n">
        <x:f>IF(Q72="","",SUMIF(ProductionConfiguration!$B$5:$B$914,Q72,ProductionConfiguration!$S$5:$S$914))</x:f>
        <x:v>24</x:v>
      </x:c>
      <x:c r="X72" t="str">
        <x:f>IF(A72="","",IF(R72=W72,"OK","CHECK"))</x:f>
        <x:v>OK</x:v>
      </x:c>
      <x:c r="Y72" t="str">
        <x:f>IF(Q72="","",IF(COUNTIF($Q$5:$Q$100,Q72)=1,"OK","CHECK"))</x:f>
        <x:v>OK</x:v>
      </x:c>
      <x:c r="Z72" t="str">
        <x:f>IF(A72="","",IF(AND(S72="OK",T72="OK",U72="OK",V72="OK",X72="OK",Y72="OK"),"OK","CHECK"))</x:f>
        <x:v>OK</x:v>
      </x:c>
    </x:row>
    <x:row r="73" ht="18" customHeight="1">
      <x:c r="A73" s="12" t="s">
        <x:v>30</x:v>
      </x:c>
      <x:c r="B73" s="13">
        <x:v>45956</x:v>
      </x:c>
      <x:c r="C73" s="12" t="s">
        <x:v>31</x:v>
      </x:c>
      <x:c r="D73" s="12" t="s">
        <x:v>41</x:v>
      </x:c>
      <x:c r="E73" s="14">
        <x:v>25</x:v>
      </x:c>
      <x:c r="F73" s="12" t="s">
        <x:v>63</x:v>
      </x:c>
      <x:c r="G73" s="12" t="s">
        <x:v>78</x:v>
      </x:c>
      <x:c r="H73" s="14">
        <x:v>8</x:v>
      </x:c>
      <x:c r="I73" s="14">
        <x:v>3</x:v>
      </x:c>
      <x:c r="J73" s="14">
        <x:v>12</x:v>
      </x:c>
      <x:c r="K73" s="15">
        <x:v>17280</x:v>
      </x:c>
      <x:c r="L73" s="16">
        <x:v>11.63</x:v>
      </x:c>
      <x:c r="M73" s="15">
        <x:v>200966</x:v>
      </x:c>
      <x:c r="N73" s="15">
        <x:v>186889</x:v>
      </x:c>
      <x:c r="O73" s="15">
        <x:v>1031</x:v>
      </x:c>
      <x:c r="P73" s="15">
        <x:v>13046</x:v>
      </x:c>
      <x:c r="Q73" t="str">
        <x:f>IF(A73="","", "PE-"&amp;A73&amp;"-L"&amp;TEXT(E73,"00")&amp;"-"&amp;TEXT(B73,"yyyymmdd")&amp;"-"&amp;C73&amp;"-"&amp;F73)</x:f>
        <x:v>PE-KG01-L25-20251026-AM-ORD-2025-00162</x:v>
      </x:c>
      <x:c r="R73" t="n">
        <x:f>IF(A73="","",H73*I73)</x:f>
        <x:v>24</x:v>
      </x:c>
      <x:c r="S73" t="str">
        <x:f>IF(A73="","",IF(AND(H73&gt;=1,H73&lt;=13,I73&gt;=1,I73&lt;=3),"OK","CHECK"))</x:f>
        <x:v>OK</x:v>
      </x:c>
      <x:c r="T73" t="str">
        <x:f>IF(A73="","",IF(ABS(K73-(J73*H73*I73*60))&lt;=0.5,"OK","CHECK"))</x:f>
        <x:v>OK</x:v>
      </x:c>
      <x:c r="U73" t="str">
        <x:f>IF(A73="","",IF(ABS(M73-(K73*L73))&lt;=1,"OK","CHECK"))</x:f>
        <x:v>OK</x:v>
      </x:c>
      <x:c r="V73" t="str">
        <x:f>IF(A73="","",IF(ABS(M73-N73-O73-P73)&lt;=1,"OK","CHECK"))</x:f>
        <x:v>OK</x:v>
      </x:c>
      <x:c r="W73" t="n">
        <x:f>IF(Q73="","",SUMIF(ProductionConfiguration!$B$5:$B$914,Q73,ProductionConfiguration!$S$5:$S$914))</x:f>
        <x:v>24</x:v>
      </x:c>
      <x:c r="X73" t="str">
        <x:f>IF(A73="","",IF(R73=W73,"OK","CHECK"))</x:f>
        <x:v>OK</x:v>
      </x:c>
      <x:c r="Y73" t="str">
        <x:f>IF(Q73="","",IF(COUNTIF($Q$5:$Q$100,Q73)=1,"OK","CHECK"))</x:f>
        <x:v>OK</x:v>
      </x:c>
      <x:c r="Z73" t="str">
        <x:f>IF(A73="","",IF(AND(S73="OK",T73="OK",U73="OK",V73="OK",X73="OK",Y73="OK"),"OK","CHECK"))</x:f>
        <x:v>OK</x:v>
      </x:c>
    </x:row>
    <x:row r="74" ht="18" customHeight="1">
      <x:c r="A74" s="12" t="s">
        <x:v>30</x:v>
      </x:c>
      <x:c r="B74" s="13">
        <x:v>45956</x:v>
      </x:c>
      <x:c r="C74" s="12" t="s">
        <x:v>79</x:v>
      </x:c>
      <x:c r="D74" s="12" t="s">
        <x:v>32</x:v>
      </x:c>
      <x:c r="E74" s="14">
        <x:v>25</x:v>
      </x:c>
      <x:c r="F74" s="12" t="s">
        <x:v>63</x:v>
      </x:c>
      <x:c r="G74" s="12" t="s">
        <x:v>78</x:v>
      </x:c>
      <x:c r="H74" s="14">
        <x:v>8</x:v>
      </x:c>
      <x:c r="I74" s="14">
        <x:v>3</x:v>
      </x:c>
      <x:c r="J74" s="14">
        <x:v>11</x:v>
      </x:c>
      <x:c r="K74" s="15">
        <x:v>15840</x:v>
      </x:c>
      <x:c r="L74" s="16">
        <x:v>11.74</x:v>
      </x:c>
      <x:c r="M74" s="15">
        <x:v>185962</x:v>
      </x:c>
      <x:c r="N74" s="15">
        <x:v>176117</x:v>
      </x:c>
      <x:c r="O74" s="15">
        <x:v>1546</x:v>
      </x:c>
      <x:c r="P74" s="15">
        <x:v>8299</x:v>
      </x:c>
      <x:c r="Q74" t="str">
        <x:f>IF(A74="","", "PE-"&amp;A74&amp;"-L"&amp;TEXT(E74,"00")&amp;"-"&amp;TEXT(B74,"yyyymmdd")&amp;"-"&amp;C74&amp;"-"&amp;F74)</x:f>
        <x:v>PE-KG01-L25-20251026-PM-ORD-2025-00162</x:v>
      </x:c>
      <x:c r="R74" t="n">
        <x:f>IF(A74="","",H74*I74)</x:f>
        <x:v>24</x:v>
      </x:c>
      <x:c r="S74" t="str">
        <x:f>IF(A74="","",IF(AND(H74&gt;=1,H74&lt;=13,I74&gt;=1,I74&lt;=3),"OK","CHECK"))</x:f>
        <x:v>OK</x:v>
      </x:c>
      <x:c r="T74" t="str">
        <x:f>IF(A74="","",IF(ABS(K74-(J74*H74*I74*60))&lt;=0.5,"OK","CHECK"))</x:f>
        <x:v>OK</x:v>
      </x:c>
      <x:c r="U74" t="str">
        <x:f>IF(A74="","",IF(ABS(M74-(K74*L74))&lt;=1,"OK","CHECK"))</x:f>
        <x:v>OK</x:v>
      </x:c>
      <x:c r="V74" t="str">
        <x:f>IF(A74="","",IF(ABS(M74-N74-O74-P74)&lt;=1,"OK","CHECK"))</x:f>
        <x:v>OK</x:v>
      </x:c>
      <x:c r="W74" t="n">
        <x:f>IF(Q74="","",SUMIF(ProductionConfiguration!$B$5:$B$914,Q74,ProductionConfiguration!$S$5:$S$914))</x:f>
        <x:v>24</x:v>
      </x:c>
      <x:c r="X74" t="str">
        <x:f>IF(A74="","",IF(R74=W74,"OK","CHECK"))</x:f>
        <x:v>OK</x:v>
      </x:c>
      <x:c r="Y74" t="str">
        <x:f>IF(Q74="","",IF(COUNTIF($Q$5:$Q$100,Q74)=1,"OK","CHECK"))</x:f>
        <x:v>OK</x:v>
      </x:c>
      <x:c r="Z74" t="str">
        <x:f>IF(A74="","",IF(AND(S74="OK",T74="OK",U74="OK",V74="OK",X74="OK",Y74="OK"),"OK","CHECK"))</x:f>
        <x:v>OK</x:v>
      </x:c>
    </x:row>
    <x:row r="75" ht="18" customHeight="1">
      <x:c r="Q75" t="str">
        <x:f>IF(A75="","", "PE-"&amp;A75&amp;"-L"&amp;TEXT(E75,"00")&amp;"-"&amp;TEXT(B75,"yyyymmdd")&amp;"-"&amp;C75&amp;"-"&amp;F75)</x:f>
      </x:c>
      <x:c r="R75" t="str">
        <x:f>IF(A75="","",H75*I75)</x:f>
      </x:c>
      <x:c r="S75" t="str">
        <x:f>IF(A75="","",IF(AND(H75&gt;=1,H75&lt;=13,I75&gt;=1,I75&lt;=3),"OK","CHECK"))</x:f>
      </x:c>
      <x:c r="T75" t="str">
        <x:f>IF(A75="","",IF(ABS(K75-(J75*H75*I75*60))&lt;=0.5,"OK","CHECK"))</x:f>
      </x:c>
      <x:c r="U75" t="str">
        <x:f>IF(A75="","",IF(ABS(M75-(K75*L75))&lt;=1,"OK","CHECK"))</x:f>
      </x:c>
      <x:c r="V75" t="str">
        <x:f>IF(A75="","",IF(ABS(M75-N75-O75-P75)&lt;=1,"OK","CHECK"))</x:f>
      </x:c>
      <x:c r="W75" t="str">
        <x:f>IF(Q75="","",SUMIF(ProductionConfiguration!$B$5:$B$914,Q75,ProductionConfiguration!$S$5:$S$914))</x:f>
      </x:c>
      <x:c r="X75" t="str">
        <x:f>IF(A75="","",IF(R75=W75,"OK","CHECK"))</x:f>
      </x:c>
      <x:c r="Y75" t="str">
        <x:f>IF(Q75="","",IF(COUNTIF($Q$5:$Q$100,Q75)=1,"OK","CHECK"))</x:f>
      </x:c>
      <x:c r="Z75" t="str">
        <x:f>IF(A75="","",IF(AND(S75="OK",T75="OK",U75="OK",V75="OK",X75="OK",Y75="OK"),"OK","CHECK"))</x:f>
      </x:c>
    </x:row>
    <x:row r="76" ht="18" customHeight="1">
      <x:c r="Q76" t="str">
        <x:f>IF(A76="","", "PE-"&amp;A76&amp;"-L"&amp;TEXT(E76,"00")&amp;"-"&amp;TEXT(B76,"yyyymmdd")&amp;"-"&amp;C76&amp;"-"&amp;F76)</x:f>
      </x:c>
      <x:c r="R76" t="str">
        <x:f>IF(A76="","",H76*I76)</x:f>
      </x:c>
      <x:c r="S76" t="str">
        <x:f>IF(A76="","",IF(AND(H76&gt;=1,H76&lt;=13,I76&gt;=1,I76&lt;=3),"OK","CHECK"))</x:f>
      </x:c>
      <x:c r="T76" t="str">
        <x:f>IF(A76="","",IF(ABS(K76-(J76*H76*I76*60))&lt;=0.5,"OK","CHECK"))</x:f>
      </x:c>
      <x:c r="U76" t="str">
        <x:f>IF(A76="","",IF(ABS(M76-(K76*L76))&lt;=1,"OK","CHECK"))</x:f>
      </x:c>
      <x:c r="V76" t="str">
        <x:f>IF(A76="","",IF(ABS(M76-N76-O76-P76)&lt;=1,"OK","CHECK"))</x:f>
      </x:c>
      <x:c r="W76" t="str">
        <x:f>IF(Q76="","",SUMIF(ProductionConfiguration!$B$5:$B$914,Q76,ProductionConfiguration!$S$5:$S$914))</x:f>
      </x:c>
      <x:c r="X76" t="str">
        <x:f>IF(A76="","",IF(R76=W76,"OK","CHECK"))</x:f>
      </x:c>
      <x:c r="Y76" t="str">
        <x:f>IF(Q76="","",IF(COUNTIF($Q$5:$Q$100,Q76)=1,"OK","CHECK"))</x:f>
      </x:c>
      <x:c r="Z76" t="str">
        <x:f>IF(A76="","",IF(AND(S76="OK",T76="OK",U76="OK",V76="OK",X76="OK",Y76="OK"),"OK","CHECK"))</x:f>
      </x:c>
    </x:row>
    <x:row r="77" ht="18" customHeight="1">
      <x:c r="Q77" t="str">
        <x:f>IF(A77="","", "PE-"&amp;A77&amp;"-L"&amp;TEXT(E77,"00")&amp;"-"&amp;TEXT(B77,"yyyymmdd")&amp;"-"&amp;C77&amp;"-"&amp;F77)</x:f>
      </x:c>
      <x:c r="R77" t="str">
        <x:f>IF(A77="","",H77*I77)</x:f>
      </x:c>
      <x:c r="S77" t="str">
        <x:f>IF(A77="","",IF(AND(H77&gt;=1,H77&lt;=13,I77&gt;=1,I77&lt;=3),"OK","CHECK"))</x:f>
      </x:c>
      <x:c r="T77" t="str">
        <x:f>IF(A77="","",IF(ABS(K77-(J77*H77*I77*60))&lt;=0.5,"OK","CHECK"))</x:f>
      </x:c>
      <x:c r="U77" t="str">
        <x:f>IF(A77="","",IF(ABS(M77-(K77*L77))&lt;=1,"OK","CHECK"))</x:f>
      </x:c>
      <x:c r="V77" t="str">
        <x:f>IF(A77="","",IF(ABS(M77-N77-O77-P77)&lt;=1,"OK","CHECK"))</x:f>
      </x:c>
      <x:c r="W77" t="str">
        <x:f>IF(Q77="","",SUMIF(ProductionConfiguration!$B$5:$B$914,Q77,ProductionConfiguration!$S$5:$S$914))</x:f>
      </x:c>
      <x:c r="X77" t="str">
        <x:f>IF(A77="","",IF(R77=W77,"OK","CHECK"))</x:f>
      </x:c>
      <x:c r="Y77" t="str">
        <x:f>IF(Q77="","",IF(COUNTIF($Q$5:$Q$100,Q77)=1,"OK","CHECK"))</x:f>
      </x:c>
      <x:c r="Z77" t="str">
        <x:f>IF(A77="","",IF(AND(S77="OK",T77="OK",U77="OK",V77="OK",X77="OK",Y77="OK"),"OK","CHECK"))</x:f>
      </x:c>
    </x:row>
    <x:row r="78" ht="18" customHeight="1">
      <x:c r="Q78" t="str">
        <x:f>IF(A78="","", "PE-"&amp;A78&amp;"-L"&amp;TEXT(E78,"00")&amp;"-"&amp;TEXT(B78,"yyyymmdd")&amp;"-"&amp;C78&amp;"-"&amp;F78)</x:f>
      </x:c>
      <x:c r="R78" t="str">
        <x:f>IF(A78="","",H78*I78)</x:f>
      </x:c>
      <x:c r="S78" t="str">
        <x:f>IF(A78="","",IF(AND(H78&gt;=1,H78&lt;=13,I78&gt;=1,I78&lt;=3),"OK","CHECK"))</x:f>
      </x:c>
      <x:c r="T78" t="str">
        <x:f>IF(A78="","",IF(ABS(K78-(J78*H78*I78*60))&lt;=0.5,"OK","CHECK"))</x:f>
      </x:c>
      <x:c r="U78" t="str">
        <x:f>IF(A78="","",IF(ABS(M78-(K78*L78))&lt;=1,"OK","CHECK"))</x:f>
      </x:c>
      <x:c r="V78" t="str">
        <x:f>IF(A78="","",IF(ABS(M78-N78-O78-P78)&lt;=1,"OK","CHECK"))</x:f>
      </x:c>
      <x:c r="W78" t="str">
        <x:f>IF(Q78="","",SUMIF(ProductionConfiguration!$B$5:$B$914,Q78,ProductionConfiguration!$S$5:$S$914))</x:f>
      </x:c>
      <x:c r="X78" t="str">
        <x:f>IF(A78="","",IF(R78=W78,"OK","CHECK"))</x:f>
      </x:c>
      <x:c r="Y78" t="str">
        <x:f>IF(Q78="","",IF(COUNTIF($Q$5:$Q$100,Q78)=1,"OK","CHECK"))</x:f>
      </x:c>
      <x:c r="Z78" t="str">
        <x:f>IF(A78="","",IF(AND(S78="OK",T78="OK",U78="OK",V78="OK",X78="OK",Y78="OK"),"OK","CHECK"))</x:f>
      </x:c>
    </x:row>
    <x:row r="79" ht="18" customHeight="1">
      <x:c r="Q79" t="str">
        <x:f>IF(A79="","", "PE-"&amp;A79&amp;"-L"&amp;TEXT(E79,"00")&amp;"-"&amp;TEXT(B79,"yyyymmdd")&amp;"-"&amp;C79&amp;"-"&amp;F79)</x:f>
      </x:c>
      <x:c r="R79" t="str">
        <x:f>IF(A79="","",H79*I79)</x:f>
      </x:c>
      <x:c r="S79" t="str">
        <x:f>IF(A79="","",IF(AND(H79&gt;=1,H79&lt;=13,I79&gt;=1,I79&lt;=3),"OK","CHECK"))</x:f>
      </x:c>
      <x:c r="T79" t="str">
        <x:f>IF(A79="","",IF(ABS(K79-(J79*H79*I79*60))&lt;=0.5,"OK","CHECK"))</x:f>
      </x:c>
      <x:c r="U79" t="str">
        <x:f>IF(A79="","",IF(ABS(M79-(K79*L79))&lt;=1,"OK","CHECK"))</x:f>
      </x:c>
      <x:c r="V79" t="str">
        <x:f>IF(A79="","",IF(ABS(M79-N79-O79-P79)&lt;=1,"OK","CHECK"))</x:f>
      </x:c>
      <x:c r="W79" t="str">
        <x:f>IF(Q79="","",SUMIF(ProductionConfiguration!$B$5:$B$914,Q79,ProductionConfiguration!$S$5:$S$914))</x:f>
      </x:c>
      <x:c r="X79" t="str">
        <x:f>IF(A79="","",IF(R79=W79,"OK","CHECK"))</x:f>
      </x:c>
      <x:c r="Y79" t="str">
        <x:f>IF(Q79="","",IF(COUNTIF($Q$5:$Q$100,Q79)=1,"OK","CHECK"))</x:f>
      </x:c>
      <x:c r="Z79" t="str">
        <x:f>IF(A79="","",IF(AND(S79="OK",T79="OK",U79="OK",V79="OK",X79="OK",Y79="OK"),"OK","CHECK"))</x:f>
      </x:c>
    </x:row>
    <x:row r="80" ht="18" customHeight="1">
      <x:c r="Q80" t="str">
        <x:f>IF(A80="","", "PE-"&amp;A80&amp;"-L"&amp;TEXT(E80,"00")&amp;"-"&amp;TEXT(B80,"yyyymmdd")&amp;"-"&amp;C80&amp;"-"&amp;F80)</x:f>
      </x:c>
      <x:c r="R80" t="str">
        <x:f>IF(A80="","",H80*I80)</x:f>
      </x:c>
      <x:c r="S80" t="str">
        <x:f>IF(A80="","",IF(AND(H80&gt;=1,H80&lt;=13,I80&gt;=1,I80&lt;=3),"OK","CHECK"))</x:f>
      </x:c>
      <x:c r="T80" t="str">
        <x:f>IF(A80="","",IF(ABS(K80-(J80*H80*I80*60))&lt;=0.5,"OK","CHECK"))</x:f>
      </x:c>
      <x:c r="U80" t="str">
        <x:f>IF(A80="","",IF(ABS(M80-(K80*L80))&lt;=1,"OK","CHECK"))</x:f>
      </x:c>
      <x:c r="V80" t="str">
        <x:f>IF(A80="","",IF(ABS(M80-N80-O80-P80)&lt;=1,"OK","CHECK"))</x:f>
      </x:c>
      <x:c r="W80" t="str">
        <x:f>IF(Q80="","",SUMIF(ProductionConfiguration!$B$5:$B$914,Q80,ProductionConfiguration!$S$5:$S$914))</x:f>
      </x:c>
      <x:c r="X80" t="str">
        <x:f>IF(A80="","",IF(R80=W80,"OK","CHECK"))</x:f>
      </x:c>
      <x:c r="Y80" t="str">
        <x:f>IF(Q80="","",IF(COUNTIF($Q$5:$Q$100,Q80)=1,"OK","CHECK"))</x:f>
      </x:c>
      <x:c r="Z80" t="str">
        <x:f>IF(A80="","",IF(AND(S80="OK",T80="OK",U80="OK",V80="OK",X80="OK",Y80="OK"),"OK","CHECK"))</x:f>
      </x:c>
    </x:row>
    <x:row r="81" ht="18" customHeight="1">
      <x:c r="Q81" t="str">
        <x:f>IF(A81="","", "PE-"&amp;A81&amp;"-L"&amp;TEXT(E81,"00")&amp;"-"&amp;TEXT(B81,"yyyymmdd")&amp;"-"&amp;C81&amp;"-"&amp;F81)</x:f>
      </x:c>
      <x:c r="R81" t="str">
        <x:f>IF(A81="","",H81*I81)</x:f>
      </x:c>
      <x:c r="S81" t="str">
        <x:f>IF(A81="","",IF(AND(H81&gt;=1,H81&lt;=13,I81&gt;=1,I81&lt;=3),"OK","CHECK"))</x:f>
      </x:c>
      <x:c r="T81" t="str">
        <x:f>IF(A81="","",IF(ABS(K81-(J81*H81*I81*60))&lt;=0.5,"OK","CHECK"))</x:f>
      </x:c>
      <x:c r="U81" t="str">
        <x:f>IF(A81="","",IF(ABS(M81-(K81*L81))&lt;=1,"OK","CHECK"))</x:f>
      </x:c>
      <x:c r="V81" t="str">
        <x:f>IF(A81="","",IF(ABS(M81-N81-O81-P81)&lt;=1,"OK","CHECK"))</x:f>
      </x:c>
      <x:c r="W81" t="str">
        <x:f>IF(Q81="","",SUMIF(ProductionConfiguration!$B$5:$B$914,Q81,ProductionConfiguration!$S$5:$S$914))</x:f>
      </x:c>
      <x:c r="X81" t="str">
        <x:f>IF(A81="","",IF(R81=W81,"OK","CHECK"))</x:f>
      </x:c>
      <x:c r="Y81" t="str">
        <x:f>IF(Q81="","",IF(COUNTIF($Q$5:$Q$100,Q81)=1,"OK","CHECK"))</x:f>
      </x:c>
      <x:c r="Z81" t="str">
        <x:f>IF(A81="","",IF(AND(S81="OK",T81="OK",U81="OK",V81="OK",X81="OK",Y81="OK"),"OK","CHECK"))</x:f>
      </x:c>
    </x:row>
    <x:row r="82" ht="18" customHeight="1">
      <x:c r="Q82" t="str">
        <x:f>IF(A82="","", "PE-"&amp;A82&amp;"-L"&amp;TEXT(E82,"00")&amp;"-"&amp;TEXT(B82,"yyyymmdd")&amp;"-"&amp;C82&amp;"-"&amp;F82)</x:f>
      </x:c>
      <x:c r="R82" t="str">
        <x:f>IF(A82="","",H82*I82)</x:f>
      </x:c>
      <x:c r="S82" t="str">
        <x:f>IF(A82="","",IF(AND(H82&gt;=1,H82&lt;=13,I82&gt;=1,I82&lt;=3),"OK","CHECK"))</x:f>
      </x:c>
      <x:c r="T82" t="str">
        <x:f>IF(A82="","",IF(ABS(K82-(J82*H82*I82*60))&lt;=0.5,"OK","CHECK"))</x:f>
      </x:c>
      <x:c r="U82" t="str">
        <x:f>IF(A82="","",IF(ABS(M82-(K82*L82))&lt;=1,"OK","CHECK"))</x:f>
      </x:c>
      <x:c r="V82" t="str">
        <x:f>IF(A82="","",IF(ABS(M82-N82-O82-P82)&lt;=1,"OK","CHECK"))</x:f>
      </x:c>
      <x:c r="W82" t="str">
        <x:f>IF(Q82="","",SUMIF(ProductionConfiguration!$B$5:$B$914,Q82,ProductionConfiguration!$S$5:$S$914))</x:f>
      </x:c>
      <x:c r="X82" t="str">
        <x:f>IF(A82="","",IF(R82=W82,"OK","CHECK"))</x:f>
      </x:c>
      <x:c r="Y82" t="str">
        <x:f>IF(Q82="","",IF(COUNTIF($Q$5:$Q$100,Q82)=1,"OK","CHECK"))</x:f>
      </x:c>
      <x:c r="Z82" t="str">
        <x:f>IF(A82="","",IF(AND(S82="OK",T82="OK",U82="OK",V82="OK",X82="OK",Y82="OK"),"OK","CHECK"))</x:f>
      </x:c>
    </x:row>
    <x:row r="83" ht="18" customHeight="1">
      <x:c r="Q83" t="str">
        <x:f>IF(A83="","", "PE-"&amp;A83&amp;"-L"&amp;TEXT(E83,"00")&amp;"-"&amp;TEXT(B83,"yyyymmdd")&amp;"-"&amp;C83&amp;"-"&amp;F83)</x:f>
      </x:c>
      <x:c r="R83" t="str">
        <x:f>IF(A83="","",H83*I83)</x:f>
      </x:c>
      <x:c r="S83" t="str">
        <x:f>IF(A83="","",IF(AND(H83&gt;=1,H83&lt;=13,I83&gt;=1,I83&lt;=3),"OK","CHECK"))</x:f>
      </x:c>
      <x:c r="T83" t="str">
        <x:f>IF(A83="","",IF(ABS(K83-(J83*H83*I83*60))&lt;=0.5,"OK","CHECK"))</x:f>
      </x:c>
      <x:c r="U83" t="str">
        <x:f>IF(A83="","",IF(ABS(M83-(K83*L83))&lt;=1,"OK","CHECK"))</x:f>
      </x:c>
      <x:c r="V83" t="str">
        <x:f>IF(A83="","",IF(ABS(M83-N83-O83-P83)&lt;=1,"OK","CHECK"))</x:f>
      </x:c>
      <x:c r="W83" t="str">
        <x:f>IF(Q83="","",SUMIF(ProductionConfiguration!$B$5:$B$914,Q83,ProductionConfiguration!$S$5:$S$914))</x:f>
      </x:c>
      <x:c r="X83" t="str">
        <x:f>IF(A83="","",IF(R83=W83,"OK","CHECK"))</x:f>
      </x:c>
      <x:c r="Y83" t="str">
        <x:f>IF(Q83="","",IF(COUNTIF($Q$5:$Q$100,Q83)=1,"OK","CHECK"))</x:f>
      </x:c>
      <x:c r="Z83" t="str">
        <x:f>IF(A83="","",IF(AND(S83="OK",T83="OK",U83="OK",V83="OK",X83="OK",Y83="OK"),"OK","CHECK"))</x:f>
      </x:c>
    </x:row>
    <x:row r="84" ht="18" customHeight="1">
      <x:c r="Q84" t="str">
        <x:f>IF(A84="","", "PE-"&amp;A84&amp;"-L"&amp;TEXT(E84,"00")&amp;"-"&amp;TEXT(B84,"yyyymmdd")&amp;"-"&amp;C84&amp;"-"&amp;F84)</x:f>
      </x:c>
      <x:c r="R84" t="str">
        <x:f>IF(A84="","",H84*I84)</x:f>
      </x:c>
      <x:c r="S84" t="str">
        <x:f>IF(A84="","",IF(AND(H84&gt;=1,H84&lt;=13,I84&gt;=1,I84&lt;=3),"OK","CHECK"))</x:f>
      </x:c>
      <x:c r="T84" t="str">
        <x:f>IF(A84="","",IF(ABS(K84-(J84*H84*I84*60))&lt;=0.5,"OK","CHECK"))</x:f>
      </x:c>
      <x:c r="U84" t="str">
        <x:f>IF(A84="","",IF(ABS(M84-(K84*L84))&lt;=1,"OK","CHECK"))</x:f>
      </x:c>
      <x:c r="V84" t="str">
        <x:f>IF(A84="","",IF(ABS(M84-N84-O84-P84)&lt;=1,"OK","CHECK"))</x:f>
      </x:c>
      <x:c r="W84" t="str">
        <x:f>IF(Q84="","",SUMIF(ProductionConfiguration!$B$5:$B$914,Q84,ProductionConfiguration!$S$5:$S$914))</x:f>
      </x:c>
      <x:c r="X84" t="str">
        <x:f>IF(A84="","",IF(R84=W84,"OK","CHECK"))</x:f>
      </x:c>
      <x:c r="Y84" t="str">
        <x:f>IF(Q84="","",IF(COUNTIF($Q$5:$Q$100,Q84)=1,"OK","CHECK"))</x:f>
      </x:c>
      <x:c r="Z84" t="str">
        <x:f>IF(A84="","",IF(AND(S84="OK",T84="OK",U84="OK",V84="OK",X84="OK",Y84="OK"),"OK","CHECK"))</x:f>
      </x:c>
    </x:row>
    <x:row r="85" ht="18" customHeight="1">
      <x:c r="Q85" t="str">
        <x:f>IF(A85="","", "PE-"&amp;A85&amp;"-L"&amp;TEXT(E85,"00")&amp;"-"&amp;TEXT(B85,"yyyymmdd")&amp;"-"&amp;C85&amp;"-"&amp;F85)</x:f>
      </x:c>
      <x:c r="R85" t="str">
        <x:f>IF(A85="","",H85*I85)</x:f>
      </x:c>
      <x:c r="S85" t="str">
        <x:f>IF(A85="","",IF(AND(H85&gt;=1,H85&lt;=13,I85&gt;=1,I85&lt;=3),"OK","CHECK"))</x:f>
      </x:c>
      <x:c r="T85" t="str">
        <x:f>IF(A85="","",IF(ABS(K85-(J85*H85*I85*60))&lt;=0.5,"OK","CHECK"))</x:f>
      </x:c>
      <x:c r="U85" t="str">
        <x:f>IF(A85="","",IF(ABS(M85-(K85*L85))&lt;=1,"OK","CHECK"))</x:f>
      </x:c>
      <x:c r="V85" t="str">
        <x:f>IF(A85="","",IF(ABS(M85-N85-O85-P85)&lt;=1,"OK","CHECK"))</x:f>
      </x:c>
      <x:c r="W85" t="str">
        <x:f>IF(Q85="","",SUMIF(ProductionConfiguration!$B$5:$B$914,Q85,ProductionConfiguration!$S$5:$S$914))</x:f>
      </x:c>
      <x:c r="X85" t="str">
        <x:f>IF(A85="","",IF(R85=W85,"OK","CHECK"))</x:f>
      </x:c>
      <x:c r="Y85" t="str">
        <x:f>IF(Q85="","",IF(COUNTIF($Q$5:$Q$100,Q85)=1,"OK","CHECK"))</x:f>
      </x:c>
      <x:c r="Z85" t="str">
        <x:f>IF(A85="","",IF(AND(S85="OK",T85="OK",U85="OK",V85="OK",X85="OK",Y85="OK"),"OK","CHECK"))</x:f>
      </x:c>
    </x:row>
    <x:row r="86" ht="18" customHeight="1">
      <x:c r="Q86" t="str">
        <x:f>IF(A86="","", "PE-"&amp;A86&amp;"-L"&amp;TEXT(E86,"00")&amp;"-"&amp;TEXT(B86,"yyyymmdd")&amp;"-"&amp;C86&amp;"-"&amp;F86)</x:f>
      </x:c>
      <x:c r="R86" t="str">
        <x:f>IF(A86="","",H86*I86)</x:f>
      </x:c>
      <x:c r="S86" t="str">
        <x:f>IF(A86="","",IF(AND(H86&gt;=1,H86&lt;=13,I86&gt;=1,I86&lt;=3),"OK","CHECK"))</x:f>
      </x:c>
      <x:c r="T86" t="str">
        <x:f>IF(A86="","",IF(ABS(K86-(J86*H86*I86*60))&lt;=0.5,"OK","CHECK"))</x:f>
      </x:c>
      <x:c r="U86" t="str">
        <x:f>IF(A86="","",IF(ABS(M86-(K86*L86))&lt;=1,"OK","CHECK"))</x:f>
      </x:c>
      <x:c r="V86" t="str">
        <x:f>IF(A86="","",IF(ABS(M86-N86-O86-P86)&lt;=1,"OK","CHECK"))</x:f>
      </x:c>
      <x:c r="W86" t="str">
        <x:f>IF(Q86="","",SUMIF(ProductionConfiguration!$B$5:$B$914,Q86,ProductionConfiguration!$S$5:$S$914))</x:f>
      </x:c>
      <x:c r="X86" t="str">
        <x:f>IF(A86="","",IF(R86=W86,"OK","CHECK"))</x:f>
      </x:c>
      <x:c r="Y86" t="str">
        <x:f>IF(Q86="","",IF(COUNTIF($Q$5:$Q$100,Q86)=1,"OK","CHECK"))</x:f>
      </x:c>
      <x:c r="Z86" t="str">
        <x:f>IF(A86="","",IF(AND(S86="OK",T86="OK",U86="OK",V86="OK",X86="OK",Y86="OK"),"OK","CHECK"))</x:f>
      </x:c>
    </x:row>
    <x:row r="87" ht="18" customHeight="1">
      <x:c r="Q87" t="str">
        <x:f>IF(A87="","", "PE-"&amp;A87&amp;"-L"&amp;TEXT(E87,"00")&amp;"-"&amp;TEXT(B87,"yyyymmdd")&amp;"-"&amp;C87&amp;"-"&amp;F87)</x:f>
      </x:c>
      <x:c r="R87" t="str">
        <x:f>IF(A87="","",H87*I87)</x:f>
      </x:c>
      <x:c r="S87" t="str">
        <x:f>IF(A87="","",IF(AND(H87&gt;=1,H87&lt;=13,I87&gt;=1,I87&lt;=3),"OK","CHECK"))</x:f>
      </x:c>
      <x:c r="T87" t="str">
        <x:f>IF(A87="","",IF(ABS(K87-(J87*H87*I87*60))&lt;=0.5,"OK","CHECK"))</x:f>
      </x:c>
      <x:c r="U87" t="str">
        <x:f>IF(A87="","",IF(ABS(M87-(K87*L87))&lt;=1,"OK","CHECK"))</x:f>
      </x:c>
      <x:c r="V87" t="str">
        <x:f>IF(A87="","",IF(ABS(M87-N87-O87-P87)&lt;=1,"OK","CHECK"))</x:f>
      </x:c>
      <x:c r="W87" t="str">
        <x:f>IF(Q87="","",SUMIF(ProductionConfiguration!$B$5:$B$914,Q87,ProductionConfiguration!$S$5:$S$914))</x:f>
      </x:c>
      <x:c r="X87" t="str">
        <x:f>IF(A87="","",IF(R87=W87,"OK","CHECK"))</x:f>
      </x:c>
      <x:c r="Y87" t="str">
        <x:f>IF(Q87="","",IF(COUNTIF($Q$5:$Q$100,Q87)=1,"OK","CHECK"))</x:f>
      </x:c>
      <x:c r="Z87" t="str">
        <x:f>IF(A87="","",IF(AND(S87="OK",T87="OK",U87="OK",V87="OK",X87="OK",Y87="OK"),"OK","CHECK"))</x:f>
      </x:c>
    </x:row>
    <x:row r="88" ht="18" customHeight="1">
      <x:c r="Q88" t="str">
        <x:f>IF(A88="","", "PE-"&amp;A88&amp;"-L"&amp;TEXT(E88,"00")&amp;"-"&amp;TEXT(B88,"yyyymmdd")&amp;"-"&amp;C88&amp;"-"&amp;F88)</x:f>
      </x:c>
      <x:c r="R88" t="str">
        <x:f>IF(A88="","",H88*I88)</x:f>
      </x:c>
      <x:c r="S88" t="str">
        <x:f>IF(A88="","",IF(AND(H88&gt;=1,H88&lt;=13,I88&gt;=1,I88&lt;=3),"OK","CHECK"))</x:f>
      </x:c>
      <x:c r="T88" t="str">
        <x:f>IF(A88="","",IF(ABS(K88-(J88*H88*I88*60))&lt;=0.5,"OK","CHECK"))</x:f>
      </x:c>
      <x:c r="U88" t="str">
        <x:f>IF(A88="","",IF(ABS(M88-(K88*L88))&lt;=1,"OK","CHECK"))</x:f>
      </x:c>
      <x:c r="V88" t="str">
        <x:f>IF(A88="","",IF(ABS(M88-N88-O88-P88)&lt;=1,"OK","CHECK"))</x:f>
      </x:c>
      <x:c r="W88" t="str">
        <x:f>IF(Q88="","",SUMIF(ProductionConfiguration!$B$5:$B$914,Q88,ProductionConfiguration!$S$5:$S$914))</x:f>
      </x:c>
      <x:c r="X88" t="str">
        <x:f>IF(A88="","",IF(R88=W88,"OK","CHECK"))</x:f>
      </x:c>
      <x:c r="Y88" t="str">
        <x:f>IF(Q88="","",IF(COUNTIF($Q$5:$Q$100,Q88)=1,"OK","CHECK"))</x:f>
      </x:c>
      <x:c r="Z88" t="str">
        <x:f>IF(A88="","",IF(AND(S88="OK",T88="OK",U88="OK",V88="OK",X88="OK",Y88="OK"),"OK","CHECK"))</x:f>
      </x:c>
    </x:row>
    <x:row r="89" ht="18" customHeight="1">
      <x:c r="Q89" t="str">
        <x:f>IF(A89="","", "PE-"&amp;A89&amp;"-L"&amp;TEXT(E89,"00")&amp;"-"&amp;TEXT(B89,"yyyymmdd")&amp;"-"&amp;C89&amp;"-"&amp;F89)</x:f>
      </x:c>
      <x:c r="R89" t="str">
        <x:f>IF(A89="","",H89*I89)</x:f>
      </x:c>
      <x:c r="S89" t="str">
        <x:f>IF(A89="","",IF(AND(H89&gt;=1,H89&lt;=13,I89&gt;=1,I89&lt;=3),"OK","CHECK"))</x:f>
      </x:c>
      <x:c r="T89" t="str">
        <x:f>IF(A89="","",IF(ABS(K89-(J89*H89*I89*60))&lt;=0.5,"OK","CHECK"))</x:f>
      </x:c>
      <x:c r="U89" t="str">
        <x:f>IF(A89="","",IF(ABS(M89-(K89*L89))&lt;=1,"OK","CHECK"))</x:f>
      </x:c>
      <x:c r="V89" t="str">
        <x:f>IF(A89="","",IF(ABS(M89-N89-O89-P89)&lt;=1,"OK","CHECK"))</x:f>
      </x:c>
      <x:c r="W89" t="str">
        <x:f>IF(Q89="","",SUMIF(ProductionConfiguration!$B$5:$B$914,Q89,ProductionConfiguration!$S$5:$S$914))</x:f>
      </x:c>
      <x:c r="X89" t="str">
        <x:f>IF(A89="","",IF(R89=W89,"OK","CHECK"))</x:f>
      </x:c>
      <x:c r="Y89" t="str">
        <x:f>IF(Q89="","",IF(COUNTIF($Q$5:$Q$100,Q89)=1,"OK","CHECK"))</x:f>
      </x:c>
      <x:c r="Z89" t="str">
        <x:f>IF(A89="","",IF(AND(S89="OK",T89="OK",U89="OK",V89="OK",X89="OK",Y89="OK"),"OK","CHECK"))</x:f>
      </x:c>
    </x:row>
    <x:row r="90" ht="18" customHeight="1">
      <x:c r="Q90" t="str">
        <x:f>IF(A90="","", "PE-"&amp;A90&amp;"-L"&amp;TEXT(E90,"00")&amp;"-"&amp;TEXT(B90,"yyyymmdd")&amp;"-"&amp;C90&amp;"-"&amp;F90)</x:f>
      </x:c>
      <x:c r="R90" t="str">
        <x:f>IF(A90="","",H90*I90)</x:f>
      </x:c>
      <x:c r="S90" t="str">
        <x:f>IF(A90="","",IF(AND(H90&gt;=1,H90&lt;=13,I90&gt;=1,I90&lt;=3),"OK","CHECK"))</x:f>
      </x:c>
      <x:c r="T90" t="str">
        <x:f>IF(A90="","",IF(ABS(K90-(J90*H90*I90*60))&lt;=0.5,"OK","CHECK"))</x:f>
      </x:c>
      <x:c r="U90" t="str">
        <x:f>IF(A90="","",IF(ABS(M90-(K90*L90))&lt;=1,"OK","CHECK"))</x:f>
      </x:c>
      <x:c r="V90" t="str">
        <x:f>IF(A90="","",IF(ABS(M90-N90-O90-P90)&lt;=1,"OK","CHECK"))</x:f>
      </x:c>
      <x:c r="W90" t="str">
        <x:f>IF(Q90="","",SUMIF(ProductionConfiguration!$B$5:$B$914,Q90,ProductionConfiguration!$S$5:$S$914))</x:f>
      </x:c>
      <x:c r="X90" t="str">
        <x:f>IF(A90="","",IF(R90=W90,"OK","CHECK"))</x:f>
      </x:c>
      <x:c r="Y90" t="str">
        <x:f>IF(Q90="","",IF(COUNTIF($Q$5:$Q$100,Q90)=1,"OK","CHECK"))</x:f>
      </x:c>
      <x:c r="Z90" t="str">
        <x:f>IF(A90="","",IF(AND(S90="OK",T90="OK",U90="OK",V90="OK",X90="OK",Y90="OK"),"OK","CHECK"))</x:f>
      </x:c>
    </x:row>
    <x:row r="91" ht="18" customHeight="1">
      <x:c r="Q91" t="str">
        <x:f>IF(A91="","", "PE-"&amp;A91&amp;"-L"&amp;TEXT(E91,"00")&amp;"-"&amp;TEXT(B91,"yyyymmdd")&amp;"-"&amp;C91&amp;"-"&amp;F91)</x:f>
      </x:c>
      <x:c r="R91" t="str">
        <x:f>IF(A91="","",H91*I91)</x:f>
      </x:c>
      <x:c r="S91" t="str">
        <x:f>IF(A91="","",IF(AND(H91&gt;=1,H91&lt;=13,I91&gt;=1,I91&lt;=3),"OK","CHECK"))</x:f>
      </x:c>
      <x:c r="T91" t="str">
        <x:f>IF(A91="","",IF(ABS(K91-(J91*H91*I91*60))&lt;=0.5,"OK","CHECK"))</x:f>
      </x:c>
      <x:c r="U91" t="str">
        <x:f>IF(A91="","",IF(ABS(M91-(K91*L91))&lt;=1,"OK","CHECK"))</x:f>
      </x:c>
      <x:c r="V91" t="str">
        <x:f>IF(A91="","",IF(ABS(M91-N91-O91-P91)&lt;=1,"OK","CHECK"))</x:f>
      </x:c>
      <x:c r="W91" t="str">
        <x:f>IF(Q91="","",SUMIF(ProductionConfiguration!$B$5:$B$914,Q91,ProductionConfiguration!$S$5:$S$914))</x:f>
      </x:c>
      <x:c r="X91" t="str">
        <x:f>IF(A91="","",IF(R91=W91,"OK","CHECK"))</x:f>
      </x:c>
      <x:c r="Y91" t="str">
        <x:f>IF(Q91="","",IF(COUNTIF($Q$5:$Q$100,Q91)=1,"OK","CHECK"))</x:f>
      </x:c>
      <x:c r="Z91" t="str">
        <x:f>IF(A91="","",IF(AND(S91="OK",T91="OK",U91="OK",V91="OK",X91="OK",Y91="OK"),"OK","CHECK"))</x:f>
      </x:c>
    </x:row>
    <x:row r="92" ht="18" customHeight="1">
      <x:c r="Q92" t="str">
        <x:f>IF(A92="","", "PE-"&amp;A92&amp;"-L"&amp;TEXT(E92,"00")&amp;"-"&amp;TEXT(B92,"yyyymmdd")&amp;"-"&amp;C92&amp;"-"&amp;F92)</x:f>
      </x:c>
      <x:c r="R92" t="str">
        <x:f>IF(A92="","",H92*I92)</x:f>
      </x:c>
      <x:c r="S92" t="str">
        <x:f>IF(A92="","",IF(AND(H92&gt;=1,H92&lt;=13,I92&gt;=1,I92&lt;=3),"OK","CHECK"))</x:f>
      </x:c>
      <x:c r="T92" t="str">
        <x:f>IF(A92="","",IF(ABS(K92-(J92*H92*I92*60))&lt;=0.5,"OK","CHECK"))</x:f>
      </x:c>
      <x:c r="U92" t="str">
        <x:f>IF(A92="","",IF(ABS(M92-(K92*L92))&lt;=1,"OK","CHECK"))</x:f>
      </x:c>
      <x:c r="V92" t="str">
        <x:f>IF(A92="","",IF(ABS(M92-N92-O92-P92)&lt;=1,"OK","CHECK"))</x:f>
      </x:c>
      <x:c r="W92" t="str">
        <x:f>IF(Q92="","",SUMIF(ProductionConfiguration!$B$5:$B$914,Q92,ProductionConfiguration!$S$5:$S$914))</x:f>
      </x:c>
      <x:c r="X92" t="str">
        <x:f>IF(A92="","",IF(R92=W92,"OK","CHECK"))</x:f>
      </x:c>
      <x:c r="Y92" t="str">
        <x:f>IF(Q92="","",IF(COUNTIF($Q$5:$Q$100,Q92)=1,"OK","CHECK"))</x:f>
      </x:c>
      <x:c r="Z92" t="str">
        <x:f>IF(A92="","",IF(AND(S92="OK",T92="OK",U92="OK",V92="OK",X92="OK",Y92="OK"),"OK","CHECK"))</x:f>
      </x:c>
    </x:row>
    <x:row r="93" ht="18" customHeight="1">
      <x:c r="Q93" t="str">
        <x:f>IF(A93="","", "PE-"&amp;A93&amp;"-L"&amp;TEXT(E93,"00")&amp;"-"&amp;TEXT(B93,"yyyymmdd")&amp;"-"&amp;C93&amp;"-"&amp;F93)</x:f>
      </x:c>
      <x:c r="R93" t="str">
        <x:f>IF(A93="","",H93*I93)</x:f>
      </x:c>
      <x:c r="S93" t="str">
        <x:f>IF(A93="","",IF(AND(H93&gt;=1,H93&lt;=13,I93&gt;=1,I93&lt;=3),"OK","CHECK"))</x:f>
      </x:c>
      <x:c r="T93" t="str">
        <x:f>IF(A93="","",IF(ABS(K93-(J93*H93*I93*60))&lt;=0.5,"OK","CHECK"))</x:f>
      </x:c>
      <x:c r="U93" t="str">
        <x:f>IF(A93="","",IF(ABS(M93-(K93*L93))&lt;=1,"OK","CHECK"))</x:f>
      </x:c>
      <x:c r="V93" t="str">
        <x:f>IF(A93="","",IF(ABS(M93-N93-O93-P93)&lt;=1,"OK","CHECK"))</x:f>
      </x:c>
      <x:c r="W93" t="str">
        <x:f>IF(Q93="","",SUMIF(ProductionConfiguration!$B$5:$B$914,Q93,ProductionConfiguration!$S$5:$S$914))</x:f>
      </x:c>
      <x:c r="X93" t="str">
        <x:f>IF(A93="","",IF(R93=W93,"OK","CHECK"))</x:f>
      </x:c>
      <x:c r="Y93" t="str">
        <x:f>IF(Q93="","",IF(COUNTIF($Q$5:$Q$100,Q93)=1,"OK","CHECK"))</x:f>
      </x:c>
      <x:c r="Z93" t="str">
        <x:f>IF(A93="","",IF(AND(S93="OK",T93="OK",U93="OK",V93="OK",X93="OK",Y93="OK"),"OK","CHECK"))</x:f>
      </x:c>
    </x:row>
    <x:row r="94" ht="18" customHeight="1">
      <x:c r="Q94" t="str">
        <x:f>IF(A94="","", "PE-"&amp;A94&amp;"-L"&amp;TEXT(E94,"00")&amp;"-"&amp;TEXT(B94,"yyyymmdd")&amp;"-"&amp;C94&amp;"-"&amp;F94)</x:f>
      </x:c>
      <x:c r="R94" t="str">
        <x:f>IF(A94="","",H94*I94)</x:f>
      </x:c>
      <x:c r="S94" t="str">
        <x:f>IF(A94="","",IF(AND(H94&gt;=1,H94&lt;=13,I94&gt;=1,I94&lt;=3),"OK","CHECK"))</x:f>
      </x:c>
      <x:c r="T94" t="str">
        <x:f>IF(A94="","",IF(ABS(K94-(J94*H94*I94*60))&lt;=0.5,"OK","CHECK"))</x:f>
      </x:c>
      <x:c r="U94" t="str">
        <x:f>IF(A94="","",IF(ABS(M94-(K94*L94))&lt;=1,"OK","CHECK"))</x:f>
      </x:c>
      <x:c r="V94" t="str">
        <x:f>IF(A94="","",IF(ABS(M94-N94-O94-P94)&lt;=1,"OK","CHECK"))</x:f>
      </x:c>
      <x:c r="W94" t="str">
        <x:f>IF(Q94="","",SUMIF(ProductionConfiguration!$B$5:$B$914,Q94,ProductionConfiguration!$S$5:$S$914))</x:f>
      </x:c>
      <x:c r="X94" t="str">
        <x:f>IF(A94="","",IF(R94=W94,"OK","CHECK"))</x:f>
      </x:c>
      <x:c r="Y94" t="str">
        <x:f>IF(Q94="","",IF(COUNTIF($Q$5:$Q$100,Q94)=1,"OK","CHECK"))</x:f>
      </x:c>
      <x:c r="Z94" t="str">
        <x:f>IF(A94="","",IF(AND(S94="OK",T94="OK",U94="OK",V94="OK",X94="OK",Y94="OK"),"OK","CHECK"))</x:f>
      </x:c>
    </x:row>
    <x:row r="95" ht="18" customHeight="1">
      <x:c r="Q95" t="str">
        <x:f>IF(A95="","", "PE-"&amp;A95&amp;"-L"&amp;TEXT(E95,"00")&amp;"-"&amp;TEXT(B95,"yyyymmdd")&amp;"-"&amp;C95&amp;"-"&amp;F95)</x:f>
      </x:c>
      <x:c r="R95" t="str">
        <x:f>IF(A95="","",H95*I95)</x:f>
      </x:c>
      <x:c r="S95" t="str">
        <x:f>IF(A95="","",IF(AND(H95&gt;=1,H95&lt;=13,I95&gt;=1,I95&lt;=3),"OK","CHECK"))</x:f>
      </x:c>
      <x:c r="T95" t="str">
        <x:f>IF(A95="","",IF(ABS(K95-(J95*H95*I95*60))&lt;=0.5,"OK","CHECK"))</x:f>
      </x:c>
      <x:c r="U95" t="str">
        <x:f>IF(A95="","",IF(ABS(M95-(K95*L95))&lt;=1,"OK","CHECK"))</x:f>
      </x:c>
      <x:c r="V95" t="str">
        <x:f>IF(A95="","",IF(ABS(M95-N95-O95-P95)&lt;=1,"OK","CHECK"))</x:f>
      </x:c>
      <x:c r="W95" t="str">
        <x:f>IF(Q95="","",SUMIF(ProductionConfiguration!$B$5:$B$914,Q95,ProductionConfiguration!$S$5:$S$914))</x:f>
      </x:c>
      <x:c r="X95" t="str">
        <x:f>IF(A95="","",IF(R95=W95,"OK","CHECK"))</x:f>
      </x:c>
      <x:c r="Y95" t="str">
        <x:f>IF(Q95="","",IF(COUNTIF($Q$5:$Q$100,Q95)=1,"OK","CHECK"))</x:f>
      </x:c>
      <x:c r="Z95" t="str">
        <x:f>IF(A95="","",IF(AND(S95="OK",T95="OK",U95="OK",V95="OK",X95="OK",Y95="OK"),"OK","CHECK"))</x:f>
      </x:c>
    </x:row>
    <x:row r="96" ht="18" customHeight="1">
      <x:c r="Q96" t="str">
        <x:f>IF(A96="","", "PE-"&amp;A96&amp;"-L"&amp;TEXT(E96,"00")&amp;"-"&amp;TEXT(B96,"yyyymmdd")&amp;"-"&amp;C96&amp;"-"&amp;F96)</x:f>
      </x:c>
      <x:c r="R96" t="str">
        <x:f>IF(A96="","",H96*I96)</x:f>
      </x:c>
      <x:c r="S96" t="str">
        <x:f>IF(A96="","",IF(AND(H96&gt;=1,H96&lt;=13,I96&gt;=1,I96&lt;=3),"OK","CHECK"))</x:f>
      </x:c>
      <x:c r="T96" t="str">
        <x:f>IF(A96="","",IF(ABS(K96-(J96*H96*I96*60))&lt;=0.5,"OK","CHECK"))</x:f>
      </x:c>
      <x:c r="U96" t="str">
        <x:f>IF(A96="","",IF(ABS(M96-(K96*L96))&lt;=1,"OK","CHECK"))</x:f>
      </x:c>
      <x:c r="V96" t="str">
        <x:f>IF(A96="","",IF(ABS(M96-N96-O96-P96)&lt;=1,"OK","CHECK"))</x:f>
      </x:c>
      <x:c r="W96" t="str">
        <x:f>IF(Q96="","",SUMIF(ProductionConfiguration!$B$5:$B$914,Q96,ProductionConfiguration!$S$5:$S$914))</x:f>
      </x:c>
      <x:c r="X96" t="str">
        <x:f>IF(A96="","",IF(R96=W96,"OK","CHECK"))</x:f>
      </x:c>
      <x:c r="Y96" t="str">
        <x:f>IF(Q96="","",IF(COUNTIF($Q$5:$Q$100,Q96)=1,"OK","CHECK"))</x:f>
      </x:c>
      <x:c r="Z96" t="str">
        <x:f>IF(A96="","",IF(AND(S96="OK",T96="OK",U96="OK",V96="OK",X96="OK",Y96="OK"),"OK","CHECK"))</x:f>
      </x:c>
    </x:row>
    <x:row r="97" ht="18" customHeight="1">
      <x:c r="Q97" t="str">
        <x:f>IF(A97="","", "PE-"&amp;A97&amp;"-L"&amp;TEXT(E97,"00")&amp;"-"&amp;TEXT(B97,"yyyymmdd")&amp;"-"&amp;C97&amp;"-"&amp;F97)</x:f>
      </x:c>
      <x:c r="R97" t="str">
        <x:f>IF(A97="","",H97*I97)</x:f>
      </x:c>
      <x:c r="S97" t="str">
        <x:f>IF(A97="","",IF(AND(H97&gt;=1,H97&lt;=13,I97&gt;=1,I97&lt;=3),"OK","CHECK"))</x:f>
      </x:c>
      <x:c r="T97" t="str">
        <x:f>IF(A97="","",IF(ABS(K97-(J97*H97*I97*60))&lt;=0.5,"OK","CHECK"))</x:f>
      </x:c>
      <x:c r="U97" t="str">
        <x:f>IF(A97="","",IF(ABS(M97-(K97*L97))&lt;=1,"OK","CHECK"))</x:f>
      </x:c>
      <x:c r="V97" t="str">
        <x:f>IF(A97="","",IF(ABS(M97-N97-O97-P97)&lt;=1,"OK","CHECK"))</x:f>
      </x:c>
      <x:c r="W97" t="str">
        <x:f>IF(Q97="","",SUMIF(ProductionConfiguration!$B$5:$B$914,Q97,ProductionConfiguration!$S$5:$S$914))</x:f>
      </x:c>
      <x:c r="X97" t="str">
        <x:f>IF(A97="","",IF(R97=W97,"OK","CHECK"))</x:f>
      </x:c>
      <x:c r="Y97" t="str">
        <x:f>IF(Q97="","",IF(COUNTIF($Q$5:$Q$100,Q97)=1,"OK","CHECK"))</x:f>
      </x:c>
      <x:c r="Z97" t="str">
        <x:f>IF(A97="","",IF(AND(S97="OK",T97="OK",U97="OK",V97="OK",X97="OK",Y97="OK"),"OK","CHECK"))</x:f>
      </x:c>
    </x:row>
    <x:row r="98" ht="18" customHeight="1">
      <x:c r="Q98" t="str">
        <x:f>IF(A98="","", "PE-"&amp;A98&amp;"-L"&amp;TEXT(E98,"00")&amp;"-"&amp;TEXT(B98,"yyyymmdd")&amp;"-"&amp;C98&amp;"-"&amp;F98)</x:f>
      </x:c>
      <x:c r="R98" t="str">
        <x:f>IF(A98="","",H98*I98)</x:f>
      </x:c>
      <x:c r="S98" t="str">
        <x:f>IF(A98="","",IF(AND(H98&gt;=1,H98&lt;=13,I98&gt;=1,I98&lt;=3),"OK","CHECK"))</x:f>
      </x:c>
      <x:c r="T98" t="str">
        <x:f>IF(A98="","",IF(ABS(K98-(J98*H98*I98*60))&lt;=0.5,"OK","CHECK"))</x:f>
      </x:c>
      <x:c r="U98" t="str">
        <x:f>IF(A98="","",IF(ABS(M98-(K98*L98))&lt;=1,"OK","CHECK"))</x:f>
      </x:c>
      <x:c r="V98" t="str">
        <x:f>IF(A98="","",IF(ABS(M98-N98-O98-P98)&lt;=1,"OK","CHECK"))</x:f>
      </x:c>
      <x:c r="W98" t="str">
        <x:f>IF(Q98="","",SUMIF(ProductionConfiguration!$B$5:$B$914,Q98,ProductionConfiguration!$S$5:$S$914))</x:f>
      </x:c>
      <x:c r="X98" t="str">
        <x:f>IF(A98="","",IF(R98=W98,"OK","CHECK"))</x:f>
      </x:c>
      <x:c r="Y98" t="str">
        <x:f>IF(Q98="","",IF(COUNTIF($Q$5:$Q$100,Q98)=1,"OK","CHECK"))</x:f>
      </x:c>
      <x:c r="Z98" t="str">
        <x:f>IF(A98="","",IF(AND(S98="OK",T98="OK",U98="OK",V98="OK",X98="OK",Y98="OK"),"OK","CHECK"))</x:f>
      </x:c>
    </x:row>
    <x:row r="99" ht="18" customHeight="1">
      <x:c r="Q99" t="str">
        <x:f>IF(A99="","", "PE-"&amp;A99&amp;"-L"&amp;TEXT(E99,"00")&amp;"-"&amp;TEXT(B99,"yyyymmdd")&amp;"-"&amp;C99&amp;"-"&amp;F99)</x:f>
      </x:c>
      <x:c r="R99" t="str">
        <x:f>IF(A99="","",H99*I99)</x:f>
      </x:c>
      <x:c r="S99" t="str">
        <x:f>IF(A99="","",IF(AND(H99&gt;=1,H99&lt;=13,I99&gt;=1,I99&lt;=3),"OK","CHECK"))</x:f>
      </x:c>
      <x:c r="T99" t="str">
        <x:f>IF(A99="","",IF(ABS(K99-(J99*H99*I99*60))&lt;=0.5,"OK","CHECK"))</x:f>
      </x:c>
      <x:c r="U99" t="str">
        <x:f>IF(A99="","",IF(ABS(M99-(K99*L99))&lt;=1,"OK","CHECK"))</x:f>
      </x:c>
      <x:c r="V99" t="str">
        <x:f>IF(A99="","",IF(ABS(M99-N99-O99-P99)&lt;=1,"OK","CHECK"))</x:f>
      </x:c>
      <x:c r="W99" t="str">
        <x:f>IF(Q99="","",SUMIF(ProductionConfiguration!$B$5:$B$914,Q99,ProductionConfiguration!$S$5:$S$914))</x:f>
      </x:c>
      <x:c r="X99" t="str">
        <x:f>IF(A99="","",IF(R99=W99,"OK","CHECK"))</x:f>
      </x:c>
      <x:c r="Y99" t="str">
        <x:f>IF(Q99="","",IF(COUNTIF($Q$5:$Q$100,Q99)=1,"OK","CHECK"))</x:f>
      </x:c>
      <x:c r="Z99" t="str">
        <x:f>IF(A99="","",IF(AND(S99="OK",T99="OK",U99="OK",V99="OK",X99="OK",Y99="OK"),"OK","CHECK"))</x:f>
      </x:c>
    </x:row>
    <x:row r="100" ht="18" customHeight="1">
      <x:c r="Q100" t="str">
        <x:f>IF(A100="","", "PE-"&amp;A100&amp;"-L"&amp;TEXT(E100,"00")&amp;"-"&amp;TEXT(B100,"yyyymmdd")&amp;"-"&amp;C100&amp;"-"&amp;F100)</x:f>
      </x:c>
      <x:c r="R100" t="str">
        <x:f>IF(A100="","",H100*I100)</x:f>
      </x:c>
      <x:c r="S100" t="str">
        <x:f>IF(A100="","",IF(AND(H100&gt;=1,H100&lt;=13,I100&gt;=1,I100&lt;=3),"OK","CHECK"))</x:f>
      </x:c>
      <x:c r="T100" t="str">
        <x:f>IF(A100="","",IF(ABS(K100-(J100*H100*I100*60))&lt;=0.5,"OK","CHECK"))</x:f>
      </x:c>
      <x:c r="U100" t="str">
        <x:f>IF(A100="","",IF(ABS(M100-(K100*L100))&lt;=1,"OK","CHECK"))</x:f>
      </x:c>
      <x:c r="V100" t="str">
        <x:f>IF(A100="","",IF(ABS(M100-N100-O100-P100)&lt;=1,"OK","CHECK"))</x:f>
      </x:c>
      <x:c r="W100" t="str">
        <x:f>IF(Q100="","",SUMIF(ProductionConfiguration!$B$5:$B$914,Q100,ProductionConfiguration!$S$5:$S$914))</x:f>
      </x:c>
      <x:c r="X100" t="str">
        <x:f>IF(A100="","",IF(R100=W100,"OK","CHECK"))</x:f>
      </x:c>
      <x:c r="Y100" t="str">
        <x:f>IF(Q100="","",IF(COUNTIF($Q$5:$Q$100,Q100)=1,"OK","CHECK"))</x:f>
      </x:c>
      <x:c r="Z100" t="str">
        <x:f>IF(A100="","",IF(AND(S100="OK",T100="OK",U100="OK",V100="OK",X100="OK",Y100="OK"),"OK","CHECK"))</x:f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  <x:row r="3001" ht="18" customHeight="1"/>
    <x:row r="3002" ht="18" customHeight="1"/>
    <x:row r="3003" ht="18" customHeight="1"/>
    <x:row r="3004" ht="18" customHeight="1"/>
    <x:row r="3005" ht="18" customHeight="1"/>
    <x:row r="3006" ht="18" customHeight="1"/>
    <x:row r="3007" ht="18" customHeight="1"/>
    <x:row r="3008" ht="18" customHeight="1"/>
    <x:row r="3009" ht="18" customHeight="1"/>
    <x:row r="3010" ht="18" customHeight="1"/>
    <x:row r="3011" ht="18" customHeight="1"/>
    <x:row r="3012" ht="18" customHeight="1"/>
    <x:row r="3013" ht="18" customHeight="1"/>
    <x:row r="3014" ht="18" customHeight="1"/>
    <x:row r="3015" ht="18" customHeight="1"/>
    <x:row r="3016" ht="18" customHeight="1"/>
    <x:row r="3017" ht="18" customHeight="1"/>
    <x:row r="3018" ht="18" customHeight="1"/>
    <x:row r="3019" ht="18" customHeight="1"/>
    <x:row r="3020" ht="18" customHeight="1"/>
    <x:row r="3021" ht="18" customHeight="1"/>
    <x:row r="3022" ht="18" customHeight="1"/>
    <x:row r="3023" ht="18" customHeight="1"/>
    <x:row r="3024" ht="18" customHeight="1"/>
    <x:row r="3025" ht="18" customHeight="1"/>
    <x:row r="3026" ht="18" customHeight="1"/>
    <x:row r="3027" ht="18" customHeight="1"/>
    <x:row r="3028" ht="18" customHeight="1"/>
    <x:row r="3029" ht="18" customHeight="1"/>
    <x:row r="3030" ht="18" customHeight="1"/>
    <x:row r="3031" ht="18" customHeight="1"/>
    <x:row r="3032" ht="18" customHeight="1"/>
    <x:row r="3033" ht="18" customHeight="1"/>
    <x:row r="3034" ht="18" customHeight="1"/>
    <x:row r="3035" ht="18" customHeight="1"/>
    <x:row r="3036" ht="18" customHeight="1"/>
    <x:row r="3037" ht="18" customHeight="1"/>
    <x:row r="3038" ht="18" customHeight="1"/>
    <x:row r="3039" ht="18" customHeight="1"/>
    <x:row r="3040" ht="18" customHeight="1"/>
    <x:row r="3041" ht="18" customHeight="1"/>
    <x:row r="3042" ht="18" customHeight="1"/>
    <x:row r="3043" ht="18" customHeight="1"/>
    <x:row r="3044" ht="18" customHeight="1"/>
    <x:row r="3045" ht="18" customHeight="1"/>
    <x:row r="3046" ht="18" customHeight="1"/>
    <x:row r="3047" ht="18" customHeight="1"/>
    <x:row r="3048" ht="18" customHeight="1"/>
    <x:row r="3049" ht="18" customHeight="1"/>
    <x:row r="3050" ht="18" customHeight="1"/>
    <x:row r="3051" ht="18" customHeight="1"/>
    <x:row r="3052" ht="18" customHeight="1"/>
    <x:row r="3053" ht="18" customHeight="1"/>
    <x:row r="3054" ht="18" customHeight="1"/>
    <x:row r="3055" ht="18" customHeight="1"/>
    <x:row r="3056" ht="18" customHeight="1"/>
    <x:row r="3057" ht="18" customHeight="1"/>
    <x:row r="3058" ht="18" customHeight="1"/>
    <x:row r="3059" ht="18" customHeight="1"/>
    <x:row r="3060" ht="18" customHeight="1"/>
    <x:row r="3061" ht="18" customHeight="1"/>
    <x:row r="3062" ht="18" customHeight="1"/>
    <x:row r="3063" ht="18" customHeight="1"/>
    <x:row r="3064" ht="18" customHeight="1"/>
    <x:row r="3065" ht="18" customHeight="1"/>
    <x:row r="3066" ht="18" customHeight="1"/>
    <x:row r="3067" ht="18" customHeight="1"/>
    <x:row r="3068" ht="18" customHeight="1"/>
    <x:row r="3069" ht="18" customHeight="1"/>
    <x:row r="3070" ht="18" customHeight="1"/>
    <x:row r="3071" ht="18" customHeight="1"/>
    <x:row r="3072" ht="18" customHeight="1"/>
    <x:row r="3073" ht="18" customHeight="1"/>
    <x:row r="3074" ht="18" customHeight="1"/>
    <x:row r="3075" ht="18" customHeight="1"/>
    <x:row r="3076" ht="18" customHeight="1"/>
    <x:row r="3077" ht="18" customHeight="1"/>
    <x:row r="3078" ht="18" customHeight="1"/>
    <x:row r="3079" ht="18" customHeight="1"/>
    <x:row r="3080" ht="18" customHeight="1"/>
    <x:row r="3081" ht="18" customHeight="1"/>
    <x:row r="3082" ht="18" customHeight="1"/>
    <x:row r="3083" ht="18" customHeight="1"/>
    <x:row r="3084" ht="18" customHeight="1"/>
    <x:row r="3085" ht="18" customHeight="1"/>
    <x:row r="3086" ht="18" customHeight="1"/>
    <x:row r="3087" ht="18" customHeight="1"/>
    <x:row r="3088" ht="18" customHeight="1"/>
    <x:row r="3089" ht="18" customHeight="1"/>
    <x:row r="3090" ht="18" customHeight="1"/>
    <x:row r="3091" ht="18" customHeight="1"/>
    <x:row r="3092" ht="18" customHeight="1"/>
    <x:row r="3093" ht="18" customHeight="1"/>
    <x:row r="3094" ht="18" customHeight="1"/>
    <x:row r="3095" ht="18" customHeight="1"/>
    <x:row r="3096" ht="18" customHeight="1"/>
    <x:row r="3097" ht="18" customHeight="1"/>
    <x:row r="3098" ht="18" customHeight="1"/>
    <x:row r="3099" ht="18" customHeight="1"/>
    <x:row r="3100" ht="18" customHeight="1"/>
    <x:row r="3101" ht="18" customHeight="1"/>
    <x:row r="3102" ht="18" customHeight="1"/>
    <x:row r="3103" ht="18" customHeight="1"/>
    <x:row r="3104" ht="18" customHeight="1"/>
    <x:row r="3105" ht="18" customHeight="1"/>
    <x:row r="3106" ht="18" customHeight="1"/>
    <x:row r="3107" ht="18" customHeight="1"/>
    <x:row r="3108" ht="18" customHeight="1"/>
    <x:row r="3109" ht="18" customHeight="1"/>
    <x:row r="3110" ht="18" customHeight="1"/>
    <x:row r="3111" ht="18" customHeight="1"/>
    <x:row r="3112" ht="18" customHeight="1"/>
    <x:row r="3113" ht="18" customHeight="1"/>
    <x:row r="3114" ht="18" customHeight="1"/>
    <x:row r="3115" ht="18" customHeight="1"/>
    <x:row r="3116" ht="18" customHeight="1"/>
    <x:row r="3117" ht="18" customHeight="1"/>
    <x:row r="3118" ht="18" customHeight="1"/>
    <x:row r="3119" ht="18" customHeight="1"/>
    <x:row r="3120" ht="18" customHeight="1"/>
    <x:row r="3121" ht="18" customHeight="1"/>
    <x:row r="3122" ht="18" customHeight="1"/>
    <x:row r="3123" ht="18" customHeight="1"/>
    <x:row r="3124" ht="18" customHeight="1"/>
    <x:row r="3125" ht="18" customHeight="1"/>
    <x:row r="3126" ht="18" customHeight="1"/>
    <x:row r="3127" ht="18" customHeight="1"/>
    <x:row r="3128" ht="18" customHeight="1"/>
    <x:row r="3129" ht="18" customHeight="1"/>
    <x:row r="3130" ht="18" customHeight="1"/>
    <x:row r="3131" ht="18" customHeight="1"/>
    <x:row r="3132" ht="18" customHeight="1"/>
    <x:row r="3133" ht="18" customHeight="1"/>
    <x:row r="3134" ht="18" customHeight="1"/>
    <x:row r="3135" ht="18" customHeight="1"/>
    <x:row r="3136" ht="18" customHeight="1"/>
    <x:row r="3137" ht="18" customHeight="1"/>
    <x:row r="3138" ht="18" customHeight="1"/>
    <x:row r="3139" ht="18" customHeight="1"/>
    <x:row r="3140" ht="18" customHeight="1"/>
    <x:row r="3141" ht="18" customHeight="1"/>
    <x:row r="3142" ht="18" customHeight="1"/>
    <x:row r="3143" ht="18" customHeight="1"/>
    <x:row r="3144" ht="18" customHeight="1"/>
    <x:row r="3145" ht="18" customHeight="1"/>
    <x:row r="3146" ht="18" customHeight="1"/>
    <x:row r="3147" ht="18" customHeight="1"/>
    <x:row r="3148" ht="18" customHeight="1"/>
    <x:row r="3149" ht="18" customHeight="1"/>
    <x:row r="3150" ht="18" customHeight="1"/>
    <x:row r="3151" ht="18" customHeight="1"/>
    <x:row r="3152" ht="18" customHeight="1"/>
    <x:row r="3153" ht="18" customHeight="1"/>
    <x:row r="3154" ht="18" customHeight="1"/>
    <x:row r="3155" ht="18" customHeight="1"/>
    <x:row r="3156" ht="18" customHeight="1"/>
    <x:row r="3157" ht="18" customHeight="1"/>
    <x:row r="3158" ht="18" customHeight="1"/>
    <x:row r="3159" ht="18" customHeight="1"/>
    <x:row r="3160" ht="18" customHeight="1"/>
    <x:row r="3161" ht="18" customHeight="1"/>
    <x:row r="3162" ht="18" customHeight="1"/>
    <x:row r="3163" ht="18" customHeight="1"/>
    <x:row r="3164" ht="18" customHeight="1"/>
    <x:row r="3165" ht="18" customHeight="1"/>
    <x:row r="3166" ht="18" customHeight="1"/>
    <x:row r="3167" ht="18" customHeight="1"/>
    <x:row r="3168" ht="18" customHeight="1"/>
    <x:row r="3169" ht="18" customHeight="1"/>
    <x:row r="3170" ht="18" customHeight="1"/>
    <x:row r="3171" ht="18" customHeight="1"/>
    <x:row r="3172" ht="18" customHeight="1"/>
    <x:row r="3173" ht="18" customHeight="1"/>
    <x:row r="3174" ht="18" customHeight="1"/>
    <x:row r="3175" ht="18" customHeight="1"/>
    <x:row r="3176" ht="18" customHeight="1"/>
    <x:row r="3177" ht="18" customHeight="1"/>
    <x:row r="3178" ht="18" customHeight="1"/>
    <x:row r="3179" ht="18" customHeight="1"/>
    <x:row r="3180" ht="18" customHeight="1"/>
    <x:row r="3181" ht="18" customHeight="1"/>
    <x:row r="3182" ht="18" customHeight="1"/>
    <x:row r="3183" ht="18" customHeight="1"/>
    <x:row r="3184" ht="18" customHeight="1"/>
    <x:row r="3185" ht="18" customHeight="1"/>
    <x:row r="3186" ht="18" customHeight="1"/>
    <x:row r="3187" ht="18" customHeight="1"/>
    <x:row r="3188" ht="18" customHeight="1"/>
    <x:row r="3189" ht="18" customHeight="1"/>
    <x:row r="3190" ht="18" customHeight="1"/>
    <x:row r="3191" ht="18" customHeight="1"/>
    <x:row r="3192" ht="18" customHeight="1"/>
    <x:row r="3193" ht="18" customHeight="1"/>
    <x:row r="3194" ht="18" customHeight="1"/>
    <x:row r="3195" ht="18" customHeight="1"/>
    <x:row r="3196" ht="18" customHeight="1"/>
    <x:row r="3197" ht="18" customHeight="1"/>
    <x:row r="3198" ht="18" customHeight="1"/>
    <x:row r="3199" ht="18" customHeight="1"/>
    <x:row r="3200" ht="18" customHeight="1"/>
    <x:row r="3201" ht="18" customHeight="1"/>
    <x:row r="3202" ht="18" customHeight="1"/>
    <x:row r="3203" ht="18" customHeight="1"/>
    <x:row r="3204" ht="18" customHeight="1"/>
    <x:row r="3205" ht="18" customHeight="1"/>
    <x:row r="3206" ht="18" customHeight="1"/>
    <x:row r="3207" ht="18" customHeight="1"/>
    <x:row r="3208" ht="18" customHeight="1"/>
    <x:row r="3209" ht="18" customHeight="1"/>
    <x:row r="3210" ht="18" customHeight="1"/>
    <x:row r="3211" ht="18" customHeight="1"/>
    <x:row r="3212" ht="18" customHeight="1"/>
    <x:row r="3213" ht="18" customHeight="1"/>
    <x:row r="3214" ht="18" customHeight="1"/>
    <x:row r="3215" ht="18" customHeight="1"/>
    <x:row r="3216" ht="18" customHeight="1"/>
    <x:row r="3217" ht="18" customHeight="1"/>
    <x:row r="3218" ht="18" customHeight="1"/>
    <x:row r="3219" ht="18" customHeight="1"/>
    <x:row r="3220" ht="18" customHeight="1"/>
    <x:row r="3221" ht="18" customHeight="1"/>
    <x:row r="3222" ht="18" customHeight="1"/>
    <x:row r="3223" ht="18" customHeight="1"/>
    <x:row r="3224" ht="18" customHeight="1"/>
    <x:row r="3225" ht="18" customHeight="1"/>
    <x:row r="3226" ht="18" customHeight="1"/>
    <x:row r="3227" ht="18" customHeight="1"/>
    <x:row r="3228" ht="18" customHeight="1"/>
    <x:row r="3229" ht="18" customHeight="1"/>
    <x:row r="3230" ht="18" customHeight="1"/>
    <x:row r="3231" ht="18" customHeight="1"/>
    <x:row r="3232" ht="18" customHeight="1"/>
    <x:row r="3233" ht="18" customHeight="1"/>
    <x:row r="3234" ht="18" customHeight="1"/>
    <x:row r="3235" ht="18" customHeight="1"/>
    <x:row r="3236" ht="18" customHeight="1"/>
    <x:row r="3237" ht="18" customHeight="1"/>
    <x:row r="3238" ht="18" customHeight="1"/>
    <x:row r="3239" ht="18" customHeight="1"/>
    <x:row r="3240" ht="18" customHeight="1"/>
    <x:row r="3241" ht="18" customHeight="1"/>
    <x:row r="3242" ht="18" customHeight="1"/>
    <x:row r="3243" ht="18" customHeight="1"/>
    <x:row r="3244" ht="18" customHeight="1"/>
    <x:row r="3245" ht="18" customHeight="1"/>
    <x:row r="3246" ht="18" customHeight="1"/>
    <x:row r="3247" ht="18" customHeight="1"/>
    <x:row r="3248" ht="18" customHeight="1"/>
    <x:row r="3249" ht="18" customHeight="1"/>
    <x:row r="3250" ht="18" customHeight="1"/>
    <x:row r="3251" ht="18" customHeight="1"/>
    <x:row r="3252" ht="18" customHeight="1"/>
    <x:row r="3253" ht="18" customHeight="1"/>
    <x:row r="3254" ht="18" customHeight="1"/>
    <x:row r="3255" ht="18" customHeight="1"/>
    <x:row r="3256" ht="18" customHeight="1"/>
    <x:row r="3257" ht="18" customHeight="1"/>
    <x:row r="3258" ht="18" customHeight="1"/>
    <x:row r="3259" ht="18" customHeight="1"/>
    <x:row r="3260" ht="18" customHeight="1"/>
    <x:row r="3261" ht="18" customHeight="1"/>
    <x:row r="3262" ht="18" customHeight="1"/>
    <x:row r="3263" ht="18" customHeight="1"/>
    <x:row r="3264" ht="18" customHeight="1"/>
    <x:row r="3265" ht="18" customHeight="1"/>
    <x:row r="3266" ht="18" customHeight="1"/>
    <x:row r="3267" ht="18" customHeight="1"/>
    <x:row r="3268" ht="18" customHeight="1"/>
    <x:row r="3269" ht="18" customHeight="1"/>
    <x:row r="3270" ht="18" customHeight="1"/>
    <x:row r="3271" ht="18" customHeight="1"/>
    <x:row r="3272" ht="18" customHeight="1"/>
    <x:row r="3273" ht="18" customHeight="1"/>
    <x:row r="3274" ht="18" customHeight="1"/>
    <x:row r="3275" ht="18" customHeight="1"/>
    <x:row r="3276" ht="18" customHeight="1"/>
    <x:row r="3277" ht="18" customHeight="1"/>
    <x:row r="3278" ht="18" customHeight="1"/>
    <x:row r="3279" ht="18" customHeight="1"/>
    <x:row r="3280" ht="18" customHeight="1"/>
    <x:row r="3281" ht="18" customHeight="1"/>
    <x:row r="3282" ht="18" customHeight="1"/>
    <x:row r="3283" ht="18" customHeight="1"/>
    <x:row r="3284" ht="18" customHeight="1"/>
    <x:row r="3285" ht="18" customHeight="1"/>
    <x:row r="3286" ht="18" customHeight="1"/>
    <x:row r="3287" ht="18" customHeight="1"/>
    <x:row r="3288" ht="18" customHeight="1"/>
    <x:row r="3289" ht="18" customHeight="1"/>
    <x:row r="3290" ht="18" customHeight="1"/>
    <x:row r="3291" ht="18" customHeight="1"/>
    <x:row r="3292" ht="18" customHeight="1"/>
    <x:row r="3293" ht="18" customHeight="1"/>
    <x:row r="3294" ht="18" customHeight="1"/>
    <x:row r="3295" ht="18" customHeight="1"/>
    <x:row r="3296" ht="18" customHeight="1"/>
    <x:row r="3297" ht="18" customHeight="1"/>
    <x:row r="3298" ht="18" customHeight="1"/>
    <x:row r="3299" ht="18" customHeight="1"/>
    <x:row r="3300" ht="18" customHeight="1"/>
    <x:row r="3301" ht="18" customHeight="1"/>
    <x:row r="3302" ht="18" customHeight="1"/>
    <x:row r="3303" ht="18" customHeight="1"/>
    <x:row r="3304" ht="18" customHeight="1"/>
    <x:row r="3305" ht="18" customHeight="1"/>
    <x:row r="3306" ht="18" customHeight="1"/>
    <x:row r="3307" ht="18" customHeight="1"/>
    <x:row r="3308" ht="18" customHeight="1"/>
    <x:row r="3309" ht="18" customHeight="1"/>
    <x:row r="3310" ht="18" customHeight="1"/>
    <x:row r="3311" ht="18" customHeight="1"/>
    <x:row r="3312" ht="18" customHeight="1"/>
    <x:row r="3313" ht="18" customHeight="1"/>
    <x:row r="3314" ht="18" customHeight="1"/>
    <x:row r="3315" ht="18" customHeight="1"/>
    <x:row r="3316" ht="18" customHeight="1"/>
    <x:row r="3317" ht="18" customHeight="1"/>
    <x:row r="3318" ht="18" customHeight="1"/>
    <x:row r="3319" ht="18" customHeight="1"/>
    <x:row r="3320" ht="18" customHeight="1"/>
    <x:row r="3321" ht="18" customHeight="1"/>
    <x:row r="3322" ht="18" customHeight="1"/>
    <x:row r="3323" ht="18" customHeight="1"/>
    <x:row r="3324" ht="18" customHeight="1"/>
    <x:row r="3325" ht="18" customHeight="1"/>
    <x:row r="3326" ht="18" customHeight="1"/>
    <x:row r="3327" ht="18" customHeight="1"/>
    <x:row r="3328" ht="18" customHeight="1"/>
    <x:row r="3329" ht="18" customHeight="1"/>
    <x:row r="3330" ht="18" customHeight="1"/>
    <x:row r="3331" ht="18" customHeight="1"/>
    <x:row r="3332" ht="18" customHeight="1"/>
    <x:row r="3333" ht="18" customHeight="1"/>
    <x:row r="3334" ht="18" customHeight="1"/>
    <x:row r="3335" ht="18" customHeight="1"/>
    <x:row r="3336" ht="18" customHeight="1"/>
    <x:row r="3337" ht="18" customHeight="1"/>
    <x:row r="3338" ht="18" customHeight="1"/>
    <x:row r="3339" ht="18" customHeight="1"/>
    <x:row r="3340" ht="18" customHeight="1"/>
    <x:row r="3341" ht="18" customHeight="1"/>
    <x:row r="3342" ht="18" customHeight="1"/>
    <x:row r="3343" ht="18" customHeight="1"/>
    <x:row r="3344" ht="18" customHeight="1"/>
    <x:row r="3345" ht="18" customHeight="1"/>
    <x:row r="3346" ht="18" customHeight="1"/>
    <x:row r="3347" ht="18" customHeight="1"/>
    <x:row r="3348" ht="18" customHeight="1"/>
    <x:row r="3349" ht="18" customHeight="1"/>
    <x:row r="3350" ht="18" customHeight="1"/>
    <x:row r="3351" ht="18" customHeight="1"/>
    <x:row r="3352" ht="18" customHeight="1"/>
    <x:row r="3353" ht="18" customHeight="1"/>
    <x:row r="3354" ht="18" customHeight="1"/>
    <x:row r="3355" ht="18" customHeight="1"/>
    <x:row r="3356" ht="18" customHeight="1"/>
    <x:row r="3357" ht="18" customHeight="1"/>
    <x:row r="3358" ht="18" customHeight="1"/>
    <x:row r="3359" ht="18" customHeight="1"/>
    <x:row r="3360" ht="18" customHeight="1"/>
    <x:row r="3361" ht="18" customHeight="1"/>
    <x:row r="3362" ht="18" customHeight="1"/>
    <x:row r="3363" ht="18" customHeight="1"/>
    <x:row r="3364" ht="18" customHeight="1"/>
    <x:row r="3365" ht="18" customHeight="1"/>
    <x:row r="3366" ht="18" customHeight="1"/>
    <x:row r="3367" ht="18" customHeight="1"/>
    <x:row r="3368" ht="18" customHeight="1"/>
    <x:row r="3369" ht="18" customHeight="1"/>
    <x:row r="3370" ht="18" customHeight="1"/>
    <x:row r="3371" ht="18" customHeight="1"/>
    <x:row r="3372" ht="18" customHeight="1"/>
    <x:row r="3373" ht="18" customHeight="1"/>
    <x:row r="3374" ht="18" customHeight="1"/>
    <x:row r="3375" ht="18" customHeight="1"/>
    <x:row r="3376" ht="18" customHeight="1"/>
    <x:row r="3377" ht="18" customHeight="1"/>
    <x:row r="3378" ht="18" customHeight="1"/>
    <x:row r="3379" ht="18" customHeight="1"/>
    <x:row r="3380" ht="18" customHeight="1"/>
    <x:row r="3381" ht="18" customHeight="1"/>
    <x:row r="3382" ht="18" customHeight="1"/>
    <x:row r="3383" ht="18" customHeight="1"/>
    <x:row r="3384" ht="18" customHeight="1"/>
    <x:row r="3385" ht="18" customHeight="1"/>
    <x:row r="3386" ht="18" customHeight="1"/>
    <x:row r="3387" ht="18" customHeight="1"/>
    <x:row r="3388" ht="18" customHeight="1"/>
    <x:row r="3389" ht="18" customHeight="1"/>
    <x:row r="3390" ht="18" customHeight="1"/>
    <x:row r="3391" ht="18" customHeight="1"/>
    <x:row r="3392" ht="18" customHeight="1"/>
    <x:row r="3393" ht="18" customHeight="1"/>
    <x:row r="3394" ht="18" customHeight="1"/>
    <x:row r="3395" ht="18" customHeight="1"/>
    <x:row r="3396" ht="18" customHeight="1"/>
    <x:row r="3397" ht="18" customHeight="1"/>
    <x:row r="3398" ht="18" customHeight="1"/>
    <x:row r="3399" ht="18" customHeight="1"/>
    <x:row r="3400" ht="18" customHeight="1"/>
    <x:row r="3401" ht="18" customHeight="1"/>
    <x:row r="3402" ht="18" customHeight="1"/>
    <x:row r="3403" ht="18" customHeight="1"/>
    <x:row r="3404" ht="18" customHeight="1"/>
    <x:row r="3405" ht="18" customHeight="1"/>
    <x:row r="3406" ht="18" customHeight="1"/>
    <x:row r="3407" ht="18" customHeight="1"/>
    <x:row r="3408" ht="18" customHeight="1"/>
    <x:row r="3409" ht="18" customHeight="1"/>
    <x:row r="3410" ht="18" customHeight="1"/>
    <x:row r="3411" ht="18" customHeight="1"/>
    <x:row r="3412" ht="18" customHeight="1"/>
    <x:row r="3413" ht="18" customHeight="1"/>
    <x:row r="3414" ht="18" customHeight="1"/>
    <x:row r="3415" ht="18" customHeight="1"/>
    <x:row r="3416" ht="18" customHeight="1"/>
    <x:row r="3417" ht="18" customHeight="1"/>
    <x:row r="3418" ht="18" customHeight="1"/>
    <x:row r="3419" ht="18" customHeight="1"/>
    <x:row r="3420" ht="18" customHeight="1"/>
    <x:row r="3421" ht="18" customHeight="1"/>
    <x:row r="3422" ht="18" customHeight="1"/>
    <x:row r="3423" ht="18" customHeight="1"/>
    <x:row r="3424" ht="18" customHeight="1"/>
    <x:row r="3425" ht="18" customHeight="1"/>
    <x:row r="3426" ht="18" customHeight="1"/>
    <x:row r="3427" ht="18" customHeight="1"/>
    <x:row r="3428" ht="18" customHeight="1"/>
    <x:row r="3429" ht="18" customHeight="1"/>
    <x:row r="3430" ht="18" customHeight="1"/>
    <x:row r="3431" ht="18" customHeight="1"/>
    <x:row r="3432" ht="18" customHeight="1"/>
    <x:row r="3433" ht="18" customHeight="1"/>
    <x:row r="3434" ht="18" customHeight="1"/>
    <x:row r="3435" ht="18" customHeight="1"/>
    <x:row r="3436" ht="18" customHeight="1"/>
    <x:row r="3437" ht="18" customHeight="1"/>
    <x:row r="3438" ht="18" customHeight="1"/>
    <x:row r="3439" ht="18" customHeight="1"/>
    <x:row r="3440" ht="18" customHeight="1"/>
    <x:row r="3441" ht="18" customHeight="1"/>
    <x:row r="3442" ht="18" customHeight="1"/>
    <x:row r="3443" ht="18" customHeight="1"/>
    <x:row r="3444" ht="18" customHeight="1"/>
    <x:row r="3445" ht="18" customHeight="1"/>
    <x:row r="3446" ht="18" customHeight="1"/>
    <x:row r="3447" ht="18" customHeight="1"/>
    <x:row r="3448" ht="18" customHeight="1"/>
    <x:row r="3449" ht="18" customHeight="1"/>
    <x:row r="3450" ht="18" customHeight="1"/>
    <x:row r="3451" ht="18" customHeight="1"/>
    <x:row r="3452" ht="18" customHeight="1"/>
    <x:row r="3453" ht="18" customHeight="1"/>
    <x:row r="3454" ht="18" customHeight="1"/>
    <x:row r="3455" ht="18" customHeight="1"/>
    <x:row r="3456" ht="18" customHeight="1"/>
    <x:row r="3457" ht="18" customHeight="1"/>
    <x:row r="3458" ht="18" customHeight="1"/>
    <x:row r="3459" ht="18" customHeight="1"/>
    <x:row r="3460" ht="18" customHeight="1"/>
    <x:row r="3461" ht="18" customHeight="1"/>
    <x:row r="3462" ht="18" customHeight="1"/>
    <x:row r="3463" ht="18" customHeight="1"/>
    <x:row r="3464" ht="18" customHeight="1"/>
    <x:row r="3465" ht="18" customHeight="1"/>
    <x:row r="3466" ht="18" customHeight="1"/>
    <x:row r="3467" ht="18" customHeight="1"/>
    <x:row r="3468" ht="18" customHeight="1"/>
    <x:row r="3469" ht="18" customHeight="1"/>
    <x:row r="3470" ht="18" customHeight="1"/>
    <x:row r="3471" ht="18" customHeight="1"/>
    <x:row r="3472" ht="18" customHeight="1"/>
    <x:row r="3473" ht="18" customHeight="1"/>
    <x:row r="3474" ht="18" customHeight="1"/>
    <x:row r="3475" ht="18" customHeight="1"/>
    <x:row r="3476" ht="18" customHeight="1"/>
    <x:row r="3477" ht="18" customHeight="1"/>
    <x:row r="3478" ht="18" customHeight="1"/>
    <x:row r="3479" ht="18" customHeight="1"/>
    <x:row r="3480" ht="18" customHeight="1"/>
    <x:row r="3481" ht="18" customHeight="1"/>
    <x:row r="3482" ht="18" customHeight="1"/>
    <x:row r="3483" ht="18" customHeight="1"/>
    <x:row r="3484" ht="18" customHeight="1"/>
    <x:row r="3485" ht="18" customHeight="1"/>
    <x:row r="3486" ht="18" customHeight="1"/>
    <x:row r="3487" ht="18" customHeight="1"/>
    <x:row r="3488" ht="18" customHeight="1"/>
    <x:row r="3489" ht="18" customHeight="1"/>
    <x:row r="3490" ht="18" customHeight="1"/>
    <x:row r="3491" ht="18" customHeight="1"/>
    <x:row r="3492" ht="18" customHeight="1"/>
    <x:row r="3493" ht="18" customHeight="1"/>
    <x:row r="3494" ht="18" customHeight="1"/>
    <x:row r="3495" ht="18" customHeight="1"/>
    <x:row r="3496" ht="18" customHeight="1"/>
    <x:row r="3497" ht="18" customHeight="1"/>
    <x:row r="3498" ht="18" customHeight="1"/>
    <x:row r="3499" ht="18" customHeight="1"/>
    <x:row r="3500" ht="18" customHeight="1"/>
    <x:row r="3501" ht="18" customHeight="1"/>
    <x:row r="3502" ht="18" customHeight="1"/>
    <x:row r="3503" ht="18" customHeight="1"/>
    <x:row r="3504" ht="18" customHeight="1"/>
    <x:row r="3505" ht="18" customHeight="1"/>
    <x:row r="3506" ht="18" customHeight="1"/>
    <x:row r="3507" ht="18" customHeight="1"/>
    <x:row r="3508" ht="18" customHeight="1"/>
    <x:row r="3509" ht="18" customHeight="1"/>
    <x:row r="3510" ht="18" customHeight="1"/>
    <x:row r="3511" ht="18" customHeight="1"/>
    <x:row r="3512" ht="18" customHeight="1"/>
    <x:row r="3513" ht="18" customHeight="1"/>
    <x:row r="3514" ht="18" customHeight="1"/>
    <x:row r="3515" ht="18" customHeight="1"/>
    <x:row r="3516" ht="18" customHeight="1"/>
    <x:row r="3517" ht="18" customHeight="1"/>
    <x:row r="3518" ht="18" customHeight="1"/>
    <x:row r="3519" ht="18" customHeight="1"/>
    <x:row r="3520" ht="18" customHeight="1"/>
    <x:row r="3521" ht="18" customHeight="1"/>
    <x:row r="3522" ht="18" customHeight="1"/>
    <x:row r="3523" ht="18" customHeight="1"/>
    <x:row r="3524" ht="18" customHeight="1"/>
    <x:row r="3525" ht="18" customHeight="1"/>
    <x:row r="3526" ht="18" customHeight="1"/>
    <x:row r="3527" ht="18" customHeight="1"/>
    <x:row r="3528" ht="18" customHeight="1"/>
    <x:row r="3529" ht="18" customHeight="1"/>
    <x:row r="3530" ht="18" customHeight="1"/>
    <x:row r="3531" ht="18" customHeight="1"/>
    <x:row r="3532" ht="18" customHeight="1"/>
    <x:row r="3533" ht="18" customHeight="1"/>
    <x:row r="3534" ht="18" customHeight="1"/>
    <x:row r="3535" ht="18" customHeight="1"/>
    <x:row r="3536" ht="18" customHeight="1"/>
    <x:row r="3537" ht="18" customHeight="1"/>
    <x:row r="3538" ht="18" customHeight="1"/>
    <x:row r="3539" ht="18" customHeight="1"/>
    <x:row r="3540" ht="18" customHeight="1"/>
    <x:row r="3541" ht="18" customHeight="1"/>
    <x:row r="3542" ht="18" customHeight="1"/>
    <x:row r="3543" ht="18" customHeight="1"/>
    <x:row r="3544" ht="18" customHeight="1"/>
    <x:row r="3545" ht="18" customHeight="1"/>
    <x:row r="3546" ht="18" customHeight="1"/>
    <x:row r="3547" ht="18" customHeight="1"/>
    <x:row r="3548" ht="18" customHeight="1"/>
    <x:row r="3549" ht="18" customHeight="1"/>
    <x:row r="3550" ht="18" customHeight="1"/>
    <x:row r="3551" ht="18" customHeight="1"/>
    <x:row r="3552" ht="18" customHeight="1"/>
    <x:row r="3553" ht="18" customHeight="1"/>
    <x:row r="3554" ht="18" customHeight="1"/>
    <x:row r="3555" ht="18" customHeight="1"/>
    <x:row r="3556" ht="18" customHeight="1"/>
    <x:row r="3557" ht="18" customHeight="1"/>
    <x:row r="3558" ht="18" customHeight="1"/>
    <x:row r="3559" ht="18" customHeight="1"/>
    <x:row r="3560" ht="18" customHeight="1"/>
    <x:row r="3561" ht="18" customHeight="1"/>
    <x:row r="3562" ht="18" customHeight="1"/>
    <x:row r="3563" ht="18" customHeight="1"/>
    <x:row r="3564" ht="18" customHeight="1"/>
    <x:row r="3565" ht="18" customHeight="1"/>
    <x:row r="3566" ht="18" customHeight="1"/>
    <x:row r="3567" ht="18" customHeight="1"/>
    <x:row r="3568" ht="18" customHeight="1"/>
    <x:row r="3569" ht="18" customHeight="1"/>
    <x:row r="3570" ht="18" customHeight="1"/>
    <x:row r="3571" ht="18" customHeight="1"/>
    <x:row r="3572" ht="18" customHeight="1"/>
    <x:row r="3573" ht="18" customHeight="1"/>
    <x:row r="3574" ht="18" customHeight="1"/>
    <x:row r="3575" ht="18" customHeight="1"/>
    <x:row r="3576" ht="18" customHeight="1"/>
    <x:row r="3577" ht="18" customHeight="1"/>
    <x:row r="3578" ht="18" customHeight="1"/>
    <x:row r="3579" ht="18" customHeight="1"/>
    <x:row r="3580" ht="18" customHeight="1"/>
    <x:row r="3581" ht="18" customHeight="1"/>
    <x:row r="3582" ht="18" customHeight="1"/>
    <x:row r="3583" ht="18" customHeight="1"/>
    <x:row r="3584" ht="18" customHeight="1"/>
    <x:row r="3585" ht="18" customHeight="1"/>
    <x:row r="3586" ht="18" customHeight="1"/>
    <x:row r="3587" ht="18" customHeight="1"/>
    <x:row r="3588" ht="18" customHeight="1"/>
    <x:row r="3589" ht="18" customHeight="1"/>
    <x:row r="3590" ht="18" customHeight="1"/>
    <x:row r="3591" ht="18" customHeight="1"/>
    <x:row r="3592" ht="18" customHeight="1"/>
    <x:row r="3593" ht="18" customHeight="1"/>
    <x:row r="3594" ht="18" customHeight="1"/>
    <x:row r="3595" ht="18" customHeight="1"/>
    <x:row r="3596" ht="18" customHeight="1"/>
    <x:row r="3597" ht="18" customHeight="1"/>
    <x:row r="3598" ht="18" customHeight="1"/>
    <x:row r="3599" ht="18" customHeight="1"/>
    <x:row r="3600" ht="18" customHeight="1"/>
    <x:row r="3601" ht="18" customHeight="1"/>
    <x:row r="3602" ht="18" customHeight="1"/>
    <x:row r="3603" ht="18" customHeight="1"/>
    <x:row r="3604" ht="18" customHeight="1"/>
    <x:row r="3605" ht="18" customHeight="1"/>
    <x:row r="3606" ht="18" customHeight="1"/>
    <x:row r="3607" ht="18" customHeight="1"/>
    <x:row r="3608" ht="18" customHeight="1"/>
    <x:row r="3609" ht="18" customHeight="1"/>
    <x:row r="3610" ht="18" customHeight="1"/>
    <x:row r="3611" ht="18" customHeight="1"/>
    <x:row r="3612" ht="18" customHeight="1"/>
    <x:row r="3613" ht="18" customHeight="1"/>
    <x:row r="3614" ht="18" customHeight="1"/>
    <x:row r="3615" ht="18" customHeight="1"/>
    <x:row r="3616" ht="18" customHeight="1"/>
    <x:row r="3617" ht="18" customHeight="1"/>
    <x:row r="3618" ht="18" customHeight="1"/>
    <x:row r="3619" ht="18" customHeight="1"/>
    <x:row r="3620" ht="18" customHeight="1"/>
    <x:row r="3621" ht="18" customHeight="1"/>
    <x:row r="3622" ht="18" customHeight="1"/>
    <x:row r="3623" ht="18" customHeight="1"/>
    <x:row r="3624" ht="18" customHeight="1"/>
    <x:row r="3625" ht="18" customHeight="1"/>
    <x:row r="3626" ht="18" customHeight="1"/>
    <x:row r="3627" ht="18" customHeight="1"/>
    <x:row r="3628" ht="18" customHeight="1"/>
    <x:row r="3629" ht="18" customHeight="1"/>
    <x:row r="3630" ht="18" customHeight="1"/>
    <x:row r="3631" ht="18" customHeight="1"/>
    <x:row r="3632" ht="18" customHeight="1"/>
    <x:row r="3633" ht="18" customHeight="1"/>
    <x:row r="3634" ht="18" customHeight="1"/>
    <x:row r="3635" ht="18" customHeight="1"/>
    <x:row r="3636" ht="18" customHeight="1"/>
    <x:row r="3637" ht="18" customHeight="1"/>
    <x:row r="3638" ht="18" customHeight="1"/>
    <x:row r="3639" ht="18" customHeight="1"/>
    <x:row r="3640" ht="18" customHeight="1"/>
    <x:row r="3641" ht="18" customHeight="1"/>
    <x:row r="3642" ht="18" customHeight="1"/>
    <x:row r="3643" ht="18" customHeight="1"/>
    <x:row r="3644" ht="18" customHeight="1"/>
    <x:row r="3645" ht="18" customHeight="1"/>
    <x:row r="3646" ht="18" customHeight="1"/>
    <x:row r="3647" ht="18" customHeight="1"/>
    <x:row r="3648" ht="18" customHeight="1"/>
    <x:row r="3649" ht="18" customHeight="1"/>
    <x:row r="3650" ht="18" customHeight="1"/>
    <x:row r="3651" ht="18" customHeight="1"/>
    <x:row r="3652" ht="18" customHeight="1"/>
    <x:row r="3653" ht="18" customHeight="1"/>
    <x:row r="3654" ht="18" customHeight="1"/>
  </x:sheetData>
  <x:dataValidations count="3">
    <x:dataValidation type="list" sqref="E5:E100">
      <x:formula1>_ValidationLists!$A$2:$A$6</x:formula1>
    </x:dataValidation>
    <x:dataValidation operator="between" sqref="H5:H100">
      <x:formula1>1</x:formula1>
      <x:formula2>13</x:formula2>
    </x:dataValidation>
    <x:dataValidation operator="between" sqref="I5:I100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d996482abb4bf0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LineNumber</x:v>
      </x:c>
      <x:c r="B1" t="str">
        <x:v>ShiftCode</x:v>
      </x:c>
      <x:c r="C1" t="str">
        <x:v>CrewCode</x:v>
      </x:c>
      <x:c r="D1" t="str">
        <x:v>OrderNumber</x:v>
      </x:c>
      <x:c r="E1" t="str">
        <x:v>AssetLevel</x:v>
      </x:c>
      <x:c r="F1" t="str">
        <x:v>LossArea</x:v>
      </x:c>
      <x:c r="G1" t="str">
        <x:v>ActiveOverride</x:v>
      </x:c>
      <x:c r="H1" t="str">
        <x:v>AssetScopeKey</x:v>
      </x:c>
    </x:row>
    <x:row r="2">
      <x:c r="A2" t="n">
        <x:v>21</x:v>
      </x:c>
      <x:c r="B2" t="str">
        <x:v>AM</x:v>
      </x:c>
      <x:c r="C2" t="str">
        <x:v>A</x:v>
      </x:c>
      <x:c r="D2" t="str">
        <x:v>ORD-2025-00019</x:v>
      </x:c>
      <x:c r="E2" t="str">
        <x:v>Line</x:v>
      </x:c>
      <x:c r="F2" t="str">
        <x:v>T1</x:v>
      </x:c>
      <x:c r="G2" t="n">
        <x:v>0</x:v>
      </x:c>
      <x:c r="H2" t="str">
        <x:v>L21</x:v>
      </x:c>
    </x:row>
    <x:row r="3">
      <x:c r="A3" t="n">
        <x:v>22</x:v>
      </x:c>
      <x:c r="B3" t="str">
        <x:v>PM</x:v>
      </x:c>
      <x:c r="C3" t="str">
        <x:v>B</x:v>
      </x:c>
      <x:c r="D3" t="str">
        <x:v>ORD-2025-00020</x:v>
      </x:c>
      <x:c r="E3" t="str">
        <x:v>Section</x:v>
      </x:c>
      <x:c r="F3" t="str">
        <x:v>T2</x:v>
      </x:c>
      <x:c r="G3" t="n">
        <x:v>1</x:v>
      </x:c>
      <x:c r="H3" t="str">
        <x:v>L21-S01</x:v>
      </x:c>
    </x:row>
    <x:row r="4">
      <x:c r="A4" t="n">
        <x:v>23</x:v>
      </x:c>
      <x:c r="B4"/>
      <x:c r="C4" t="str">
        <x:v>C</x:v>
      </x:c>
      <x:c r="D4" t="str">
        <x:v>ORD-2025-00021</x:v>
      </x:c>
      <x:c r="E4" t="str">
        <x:v>Cavity</x:v>
      </x:c>
      <x:c r="F4" t="str">
        <x:v>Trial</x:v>
      </x:c>
      <x:c r="G4"/>
      <x:c r="H4" t="str">
        <x:v>L21-S01-C1</x:v>
      </x:c>
    </x:row>
    <x:row r="5">
      <x:c r="A5" t="n">
        <x:v>24</x:v>
      </x:c>
      <x:c r="B5"/>
      <x:c r="C5"/>
      <x:c r="D5" t="str">
        <x:v>ORD-2025-00055</x:v>
      </x:c>
      <x:c r="E5"/>
      <x:c r="F5" t="str">
        <x:v>HE</x:v>
      </x:c>
      <x:c r="G5"/>
      <x:c r="H5" t="str">
        <x:v>L21-S01-C2</x:v>
      </x:c>
    </x:row>
    <x:row r="6">
      <x:c r="A6" t="n">
        <x:v>25</x:v>
      </x:c>
      <x:c r="B6"/>
      <x:c r="C6"/>
      <x:c r="D6" t="str">
        <x:v>ORD-2025-00056</x:v>
      </x:c>
      <x:c r="E6"/>
      <x:c r="F6" t="str">
        <x:v>CE</x:v>
      </x:c>
      <x:c r="G6"/>
      <x:c r="H6" t="str">
        <x:v>L21-S01-C3</x:v>
      </x:c>
    </x:row>
    <x:row r="7">
      <x:c r="A7"/>
      <x:c r="B7"/>
      <x:c r="C7"/>
      <x:c r="D7" t="str">
        <x:v>ORD-2025-00057</x:v>
      </x:c>
      <x:c r="E7"/>
      <x:c r="F7" t="str">
        <x:v>Palletizer</x:v>
      </x:c>
      <x:c r="G7"/>
      <x:c r="H7" t="str">
        <x:v>L21-S02</x:v>
      </x:c>
    </x:row>
    <x:row r="8">
      <x:c r="A8"/>
      <x:c r="B8"/>
      <x:c r="C8"/>
      <x:c r="D8" t="str">
        <x:v>ORD-2025-00058</x:v>
      </x:c>
      <x:c r="E8"/>
      <x:c r="F8"/>
      <x:c r="G8"/>
      <x:c r="H8" t="str">
        <x:v>L21-S02-C1</x:v>
      </x:c>
    </x:row>
    <x:row r="9">
      <x:c r="A9"/>
      <x:c r="B9"/>
      <x:c r="C9"/>
      <x:c r="D9" t="str">
        <x:v>ORD-2025-00092</x:v>
      </x:c>
      <x:c r="E9"/>
      <x:c r="F9"/>
      <x:c r="G9"/>
      <x:c r="H9" t="str">
        <x:v>L21-S02-C2</x:v>
      </x:c>
    </x:row>
    <x:row r="10">
      <x:c r="A10"/>
      <x:c r="B10"/>
      <x:c r="C10"/>
      <x:c r="D10" t="str">
        <x:v>ORD-2025-00093</x:v>
      </x:c>
      <x:c r="E10"/>
      <x:c r="F10"/>
      <x:c r="G10"/>
      <x:c r="H10" t="str">
        <x:v>L21-S02-C3</x:v>
      </x:c>
    </x:row>
    <x:row r="11">
      <x:c r="A11"/>
      <x:c r="B11"/>
      <x:c r="C11"/>
      <x:c r="D11" t="str">
        <x:v>ORD-2025-00094</x:v>
      </x:c>
      <x:c r="E11"/>
      <x:c r="F11"/>
      <x:c r="G11"/>
      <x:c r="H11" t="str">
        <x:v>L21-S03</x:v>
      </x:c>
    </x:row>
    <x:row r="12">
      <x:c r="A12"/>
      <x:c r="B12"/>
      <x:c r="C12"/>
      <x:c r="D12" t="str">
        <x:v>ORD-2025-00124</x:v>
      </x:c>
      <x:c r="E12"/>
      <x:c r="F12"/>
      <x:c r="G12"/>
      <x:c r="H12" t="str">
        <x:v>L21-S03-C1</x:v>
      </x:c>
    </x:row>
    <x:row r="13">
      <x:c r="A13"/>
      <x:c r="B13"/>
      <x:c r="C13"/>
      <x:c r="D13" t="str">
        <x:v>ORD-2025-00125</x:v>
      </x:c>
      <x:c r="E13"/>
      <x:c r="F13"/>
      <x:c r="G13"/>
      <x:c r="H13" t="str">
        <x:v>L21-S03-C2</x:v>
      </x:c>
    </x:row>
    <x:row r="14">
      <x:c r="A14"/>
      <x:c r="B14"/>
      <x:c r="C14"/>
      <x:c r="D14" t="str">
        <x:v>ORD-2025-00126</x:v>
      </x:c>
      <x:c r="E14"/>
      <x:c r="F14"/>
      <x:c r="G14"/>
      <x:c r="H14" t="str">
        <x:v>L21-S03-C3</x:v>
      </x:c>
    </x:row>
    <x:row r="15">
      <x:c r="A15"/>
      <x:c r="B15"/>
      <x:c r="C15"/>
      <x:c r="D15" t="str">
        <x:v>ORD-2025-00161</x:v>
      </x:c>
      <x:c r="E15"/>
      <x:c r="F15"/>
      <x:c r="G15"/>
      <x:c r="H15" t="str">
        <x:v>L21-S04</x:v>
      </x:c>
    </x:row>
    <x:row r="16">
      <x:c r="A16"/>
      <x:c r="B16"/>
      <x:c r="C16"/>
      <x:c r="D16" t="str">
        <x:v>ORD-2025-00162</x:v>
      </x:c>
      <x:c r="E16"/>
      <x:c r="F16"/>
      <x:c r="G16"/>
      <x:c r="H16" t="str">
        <x:v>L21-S04-C1</x:v>
      </x:c>
    </x:row>
    <x:row r="17">
      <x:c r="A17"/>
      <x:c r="B17"/>
      <x:c r="C17"/>
      <x:c r="D17"/>
      <x:c r="E17"/>
      <x:c r="F17"/>
      <x:c r="G17"/>
      <x:c r="H17" t="str">
        <x:v>L21-S04-C2</x:v>
      </x:c>
    </x:row>
    <x:row r="18">
      <x:c r="A18"/>
      <x:c r="B18"/>
      <x:c r="C18"/>
      <x:c r="D18"/>
      <x:c r="E18"/>
      <x:c r="F18"/>
      <x:c r="G18"/>
      <x:c r="H18" t="str">
        <x:v>L21-S04-C3</x:v>
      </x:c>
    </x:row>
    <x:row r="19">
      <x:c r="A19"/>
      <x:c r="B19"/>
      <x:c r="C19"/>
      <x:c r="D19"/>
      <x:c r="E19"/>
      <x:c r="F19"/>
      <x:c r="G19"/>
      <x:c r="H19" t="str">
        <x:v>L21-S05</x:v>
      </x:c>
    </x:row>
    <x:row r="20">
      <x:c r="A20"/>
      <x:c r="B20"/>
      <x:c r="C20"/>
      <x:c r="D20"/>
      <x:c r="E20"/>
      <x:c r="F20"/>
      <x:c r="G20"/>
      <x:c r="H20" t="str">
        <x:v>L21-S05-C1</x:v>
      </x:c>
    </x:row>
    <x:row r="21">
      <x:c r="A21"/>
      <x:c r="B21"/>
      <x:c r="C21"/>
      <x:c r="D21"/>
      <x:c r="E21"/>
      <x:c r="F21"/>
      <x:c r="G21"/>
      <x:c r="H21" t="str">
        <x:v>L21-S05-C2</x:v>
      </x:c>
    </x:row>
    <x:row r="22">
      <x:c r="A22"/>
      <x:c r="B22"/>
      <x:c r="C22"/>
      <x:c r="D22"/>
      <x:c r="E22"/>
      <x:c r="F22"/>
      <x:c r="G22"/>
      <x:c r="H22" t="str">
        <x:v>L21-S05-C3</x:v>
      </x:c>
    </x:row>
    <x:row r="23">
      <x:c r="A23"/>
      <x:c r="B23"/>
      <x:c r="C23"/>
      <x:c r="D23"/>
      <x:c r="E23"/>
      <x:c r="F23"/>
      <x:c r="G23"/>
      <x:c r="H23" t="str">
        <x:v>L21-S06</x:v>
      </x:c>
    </x:row>
    <x:row r="24">
      <x:c r="A24"/>
      <x:c r="B24"/>
      <x:c r="C24"/>
      <x:c r="D24"/>
      <x:c r="E24"/>
      <x:c r="F24"/>
      <x:c r="G24"/>
      <x:c r="H24" t="str">
        <x:v>L21-S06-C1</x:v>
      </x:c>
    </x:row>
    <x:row r="25">
      <x:c r="A25"/>
      <x:c r="B25"/>
      <x:c r="C25"/>
      <x:c r="D25"/>
      <x:c r="E25"/>
      <x:c r="F25"/>
      <x:c r="G25"/>
      <x:c r="H25" t="str">
        <x:v>L21-S06-C2</x:v>
      </x:c>
    </x:row>
    <x:row r="26">
      <x:c r="A26"/>
      <x:c r="B26"/>
      <x:c r="C26"/>
      <x:c r="D26"/>
      <x:c r="E26"/>
      <x:c r="F26"/>
      <x:c r="G26"/>
      <x:c r="H26" t="str">
        <x:v>L21-S06-C3</x:v>
      </x:c>
    </x:row>
    <x:row r="27">
      <x:c r="A27"/>
      <x:c r="B27"/>
      <x:c r="C27"/>
      <x:c r="D27"/>
      <x:c r="E27"/>
      <x:c r="F27"/>
      <x:c r="G27"/>
      <x:c r="H27" t="str">
        <x:v>L21-S07</x:v>
      </x:c>
    </x:row>
    <x:row r="28">
      <x:c r="A28"/>
      <x:c r="B28"/>
      <x:c r="C28"/>
      <x:c r="D28"/>
      <x:c r="E28"/>
      <x:c r="F28"/>
      <x:c r="G28"/>
      <x:c r="H28" t="str">
        <x:v>L21-S07-C1</x:v>
      </x:c>
    </x:row>
    <x:row r="29">
      <x:c r="A29"/>
      <x:c r="B29"/>
      <x:c r="C29"/>
      <x:c r="D29"/>
      <x:c r="E29"/>
      <x:c r="F29"/>
      <x:c r="G29"/>
      <x:c r="H29" t="str">
        <x:v>L21-S07-C2</x:v>
      </x:c>
    </x:row>
    <x:row r="30">
      <x:c r="A30"/>
      <x:c r="B30"/>
      <x:c r="C30"/>
      <x:c r="D30"/>
      <x:c r="E30"/>
      <x:c r="F30"/>
      <x:c r="G30"/>
      <x:c r="H30" t="str">
        <x:v>L21-S07-C3</x:v>
      </x:c>
    </x:row>
    <x:row r="31">
      <x:c r="A31"/>
      <x:c r="B31"/>
      <x:c r="C31"/>
      <x:c r="D31"/>
      <x:c r="E31"/>
      <x:c r="F31"/>
      <x:c r="G31"/>
      <x:c r="H31" t="str">
        <x:v>L21-S08</x:v>
      </x:c>
    </x:row>
    <x:row r="32">
      <x:c r="A32"/>
      <x:c r="B32"/>
      <x:c r="C32"/>
      <x:c r="D32"/>
      <x:c r="E32"/>
      <x:c r="F32"/>
      <x:c r="G32"/>
      <x:c r="H32" t="str">
        <x:v>L21-S08-C1</x:v>
      </x:c>
    </x:row>
    <x:row r="33">
      <x:c r="A33"/>
      <x:c r="B33"/>
      <x:c r="C33"/>
      <x:c r="D33"/>
      <x:c r="E33"/>
      <x:c r="F33"/>
      <x:c r="G33"/>
      <x:c r="H33" t="str">
        <x:v>L21-S08-C2</x:v>
      </x:c>
    </x:row>
    <x:row r="34">
      <x:c r="A34"/>
      <x:c r="B34"/>
      <x:c r="C34"/>
      <x:c r="D34"/>
      <x:c r="E34"/>
      <x:c r="F34"/>
      <x:c r="G34"/>
      <x:c r="H34" t="str">
        <x:v>L21-S08-C3</x:v>
      </x:c>
    </x:row>
    <x:row r="35">
      <x:c r="A35"/>
      <x:c r="B35"/>
      <x:c r="C35"/>
      <x:c r="D35"/>
      <x:c r="E35"/>
      <x:c r="F35"/>
      <x:c r="G35"/>
      <x:c r="H35" t="str">
        <x:v>L21-S09</x:v>
      </x:c>
    </x:row>
    <x:row r="36">
      <x:c r="A36"/>
      <x:c r="B36"/>
      <x:c r="C36"/>
      <x:c r="D36"/>
      <x:c r="E36"/>
      <x:c r="F36"/>
      <x:c r="G36"/>
      <x:c r="H36" t="str">
        <x:v>L21-S09-C1</x:v>
      </x:c>
    </x:row>
    <x:row r="37">
      <x:c r="A37"/>
      <x:c r="B37"/>
      <x:c r="C37"/>
      <x:c r="D37"/>
      <x:c r="E37"/>
      <x:c r="F37"/>
      <x:c r="G37"/>
      <x:c r="H37" t="str">
        <x:v>L21-S09-C2</x:v>
      </x:c>
    </x:row>
    <x:row r="38">
      <x:c r="A38"/>
      <x:c r="B38"/>
      <x:c r="C38"/>
      <x:c r="D38"/>
      <x:c r="E38"/>
      <x:c r="F38"/>
      <x:c r="G38"/>
      <x:c r="H38" t="str">
        <x:v>L21-S09-C3</x:v>
      </x:c>
    </x:row>
    <x:row r="39">
      <x:c r="A39"/>
      <x:c r="B39"/>
      <x:c r="C39"/>
      <x:c r="D39"/>
      <x:c r="E39"/>
      <x:c r="F39"/>
      <x:c r="G39"/>
      <x:c r="H39" t="str">
        <x:v>L21-S10</x:v>
      </x:c>
    </x:row>
    <x:row r="40">
      <x:c r="A40"/>
      <x:c r="B40"/>
      <x:c r="C40"/>
      <x:c r="D40"/>
      <x:c r="E40"/>
      <x:c r="F40"/>
      <x:c r="G40"/>
      <x:c r="H40" t="str">
        <x:v>L21-S10-C1</x:v>
      </x:c>
    </x:row>
    <x:row r="41">
      <x:c r="A41"/>
      <x:c r="B41"/>
      <x:c r="C41"/>
      <x:c r="D41"/>
      <x:c r="E41"/>
      <x:c r="F41"/>
      <x:c r="G41"/>
      <x:c r="H41" t="str">
        <x:v>L21-S10-C2</x:v>
      </x:c>
    </x:row>
    <x:row r="42">
      <x:c r="A42"/>
      <x:c r="B42"/>
      <x:c r="C42"/>
      <x:c r="D42"/>
      <x:c r="E42"/>
      <x:c r="F42"/>
      <x:c r="G42"/>
      <x:c r="H42" t="str">
        <x:v>L21-S10-C3</x:v>
      </x:c>
    </x:row>
    <x:row r="43">
      <x:c r="A43"/>
      <x:c r="B43"/>
      <x:c r="C43"/>
      <x:c r="D43"/>
      <x:c r="E43"/>
      <x:c r="F43"/>
      <x:c r="G43"/>
      <x:c r="H43" t="str">
        <x:v>L21-S11</x:v>
      </x:c>
    </x:row>
    <x:row r="44">
      <x:c r="A44"/>
      <x:c r="B44"/>
      <x:c r="C44"/>
      <x:c r="D44"/>
      <x:c r="E44"/>
      <x:c r="F44"/>
      <x:c r="G44"/>
      <x:c r="H44" t="str">
        <x:v>L21-S11-C1</x:v>
      </x:c>
    </x:row>
    <x:row r="45">
      <x:c r="A45"/>
      <x:c r="B45"/>
      <x:c r="C45"/>
      <x:c r="D45"/>
      <x:c r="E45"/>
      <x:c r="F45"/>
      <x:c r="G45"/>
      <x:c r="H45" t="str">
        <x:v>L21-S11-C2</x:v>
      </x:c>
    </x:row>
    <x:row r="46">
      <x:c r="A46"/>
      <x:c r="B46"/>
      <x:c r="C46"/>
      <x:c r="D46"/>
      <x:c r="E46"/>
      <x:c r="F46"/>
      <x:c r="G46"/>
      <x:c r="H46" t="str">
        <x:v>L21-S11-C3</x:v>
      </x:c>
    </x:row>
    <x:row r="47">
      <x:c r="A47"/>
      <x:c r="B47"/>
      <x:c r="C47"/>
      <x:c r="D47"/>
      <x:c r="E47"/>
      <x:c r="F47"/>
      <x:c r="G47"/>
      <x:c r="H47" t="str">
        <x:v>L21-S12</x:v>
      </x:c>
    </x:row>
    <x:row r="48">
      <x:c r="A48"/>
      <x:c r="B48"/>
      <x:c r="C48"/>
      <x:c r="D48"/>
      <x:c r="E48"/>
      <x:c r="F48"/>
      <x:c r="G48"/>
      <x:c r="H48" t="str">
        <x:v>L21-S12-C1</x:v>
      </x:c>
    </x:row>
    <x:row r="49">
      <x:c r="A49"/>
      <x:c r="B49"/>
      <x:c r="C49"/>
      <x:c r="D49"/>
      <x:c r="E49"/>
      <x:c r="F49"/>
      <x:c r="G49"/>
      <x:c r="H49" t="str">
        <x:v>L21-S12-C2</x:v>
      </x:c>
    </x:row>
    <x:row r="50">
      <x:c r="A50"/>
      <x:c r="B50"/>
      <x:c r="C50"/>
      <x:c r="D50"/>
      <x:c r="E50"/>
      <x:c r="F50"/>
      <x:c r="G50"/>
      <x:c r="H50" t="str">
        <x:v>L21-S12-C3</x:v>
      </x:c>
    </x:row>
    <x:row r="51">
      <x:c r="A51"/>
      <x:c r="B51"/>
      <x:c r="C51"/>
      <x:c r="D51"/>
      <x:c r="E51"/>
      <x:c r="F51"/>
      <x:c r="G51"/>
      <x:c r="H51" t="str">
        <x:v>L21-S13</x:v>
      </x:c>
    </x:row>
    <x:row r="52">
      <x:c r="A52"/>
      <x:c r="B52"/>
      <x:c r="C52"/>
      <x:c r="D52"/>
      <x:c r="E52"/>
      <x:c r="F52"/>
      <x:c r="G52"/>
      <x:c r="H52" t="str">
        <x:v>L21-S13-C1</x:v>
      </x:c>
    </x:row>
    <x:row r="53">
      <x:c r="A53"/>
      <x:c r="B53"/>
      <x:c r="C53"/>
      <x:c r="D53"/>
      <x:c r="E53"/>
      <x:c r="F53"/>
      <x:c r="G53"/>
      <x:c r="H53" t="str">
        <x:v>L21-S13-C2</x:v>
      </x:c>
    </x:row>
    <x:row r="54">
      <x:c r="A54"/>
      <x:c r="B54"/>
      <x:c r="C54"/>
      <x:c r="D54"/>
      <x:c r="E54"/>
      <x:c r="F54"/>
      <x:c r="G54"/>
      <x:c r="H54" t="str">
        <x:v>L21-S13-C3</x:v>
      </x:c>
    </x:row>
    <x:row r="55">
      <x:c r="A55"/>
      <x:c r="B55"/>
      <x:c r="C55"/>
      <x:c r="D55"/>
      <x:c r="E55"/>
      <x:c r="F55"/>
      <x:c r="G55"/>
      <x:c r="H55" t="str">
        <x:v>L22</x:v>
      </x:c>
    </x:row>
    <x:row r="56">
      <x:c r="A56"/>
      <x:c r="B56"/>
      <x:c r="C56"/>
      <x:c r="D56"/>
      <x:c r="E56"/>
      <x:c r="F56"/>
      <x:c r="G56"/>
      <x:c r="H56" t="str">
        <x:v>L22-S01</x:v>
      </x:c>
    </x:row>
    <x:row r="57">
      <x:c r="A57"/>
      <x:c r="B57"/>
      <x:c r="C57"/>
      <x:c r="D57"/>
      <x:c r="E57"/>
      <x:c r="F57"/>
      <x:c r="G57"/>
      <x:c r="H57" t="str">
        <x:v>L22-S01-C1</x:v>
      </x:c>
    </x:row>
    <x:row r="58">
      <x:c r="A58"/>
      <x:c r="B58"/>
      <x:c r="C58"/>
      <x:c r="D58"/>
      <x:c r="E58"/>
      <x:c r="F58"/>
      <x:c r="G58"/>
      <x:c r="H58" t="str">
        <x:v>L22-S01-C2</x:v>
      </x:c>
    </x:row>
    <x:row r="59">
      <x:c r="A59"/>
      <x:c r="B59"/>
      <x:c r="C59"/>
      <x:c r="D59"/>
      <x:c r="E59"/>
      <x:c r="F59"/>
      <x:c r="G59"/>
      <x:c r="H59" t="str">
        <x:v>L22-S01-C3</x:v>
      </x:c>
    </x:row>
    <x:row r="60">
      <x:c r="A60"/>
      <x:c r="B60"/>
      <x:c r="C60"/>
      <x:c r="D60"/>
      <x:c r="E60"/>
      <x:c r="F60"/>
      <x:c r="G60"/>
      <x:c r="H60" t="str">
        <x:v>L22-S02</x:v>
      </x:c>
    </x:row>
    <x:row r="61">
      <x:c r="A61"/>
      <x:c r="B61"/>
      <x:c r="C61"/>
      <x:c r="D61"/>
      <x:c r="E61"/>
      <x:c r="F61"/>
      <x:c r="G61"/>
      <x:c r="H61" t="str">
        <x:v>L22-S02-C1</x:v>
      </x:c>
    </x:row>
    <x:row r="62">
      <x:c r="A62"/>
      <x:c r="B62"/>
      <x:c r="C62"/>
      <x:c r="D62"/>
      <x:c r="E62"/>
      <x:c r="F62"/>
      <x:c r="G62"/>
      <x:c r="H62" t="str">
        <x:v>L22-S02-C2</x:v>
      </x:c>
    </x:row>
    <x:row r="63">
      <x:c r="A63"/>
      <x:c r="B63"/>
      <x:c r="C63"/>
      <x:c r="D63"/>
      <x:c r="E63"/>
      <x:c r="F63"/>
      <x:c r="G63"/>
      <x:c r="H63" t="str">
        <x:v>L22-S02-C3</x:v>
      </x:c>
    </x:row>
    <x:row r="64">
      <x:c r="A64"/>
      <x:c r="B64"/>
      <x:c r="C64"/>
      <x:c r="D64"/>
      <x:c r="E64"/>
      <x:c r="F64"/>
      <x:c r="G64"/>
      <x:c r="H64" t="str">
        <x:v>L22-S03</x:v>
      </x:c>
    </x:row>
    <x:row r="65">
      <x:c r="A65"/>
      <x:c r="B65"/>
      <x:c r="C65"/>
      <x:c r="D65"/>
      <x:c r="E65"/>
      <x:c r="F65"/>
      <x:c r="G65"/>
      <x:c r="H65" t="str">
        <x:v>L22-S03-C1</x:v>
      </x:c>
    </x:row>
    <x:row r="66">
      <x:c r="A66"/>
      <x:c r="B66"/>
      <x:c r="C66"/>
      <x:c r="D66"/>
      <x:c r="E66"/>
      <x:c r="F66"/>
      <x:c r="G66"/>
      <x:c r="H66" t="str">
        <x:v>L22-S03-C2</x:v>
      </x:c>
    </x:row>
    <x:row r="67">
      <x:c r="A67"/>
      <x:c r="B67"/>
      <x:c r="C67"/>
      <x:c r="D67"/>
      <x:c r="E67"/>
      <x:c r="F67"/>
      <x:c r="G67"/>
      <x:c r="H67" t="str">
        <x:v>L22-S03-C3</x:v>
      </x:c>
    </x:row>
    <x:row r="68">
      <x:c r="A68"/>
      <x:c r="B68"/>
      <x:c r="C68"/>
      <x:c r="D68"/>
      <x:c r="E68"/>
      <x:c r="F68"/>
      <x:c r="G68"/>
      <x:c r="H68" t="str">
        <x:v>L22-S04</x:v>
      </x:c>
    </x:row>
    <x:row r="69">
      <x:c r="A69"/>
      <x:c r="B69"/>
      <x:c r="C69"/>
      <x:c r="D69"/>
      <x:c r="E69"/>
      <x:c r="F69"/>
      <x:c r="G69"/>
      <x:c r="H69" t="str">
        <x:v>L22-S04-C1</x:v>
      </x:c>
    </x:row>
    <x:row r="70">
      <x:c r="A70"/>
      <x:c r="B70"/>
      <x:c r="C70"/>
      <x:c r="D70"/>
      <x:c r="E70"/>
      <x:c r="F70"/>
      <x:c r="G70"/>
      <x:c r="H70" t="str">
        <x:v>L22-S04-C2</x:v>
      </x:c>
    </x:row>
    <x:row r="71">
      <x:c r="A71"/>
      <x:c r="B71"/>
      <x:c r="C71"/>
      <x:c r="D71"/>
      <x:c r="E71"/>
      <x:c r="F71"/>
      <x:c r="G71"/>
      <x:c r="H71" t="str">
        <x:v>L22-S04-C3</x:v>
      </x:c>
    </x:row>
    <x:row r="72">
      <x:c r="A72"/>
      <x:c r="B72"/>
      <x:c r="C72"/>
      <x:c r="D72"/>
      <x:c r="E72"/>
      <x:c r="F72"/>
      <x:c r="G72"/>
      <x:c r="H72" t="str">
        <x:v>L22-S05</x:v>
      </x:c>
    </x:row>
    <x:row r="73">
      <x:c r="A73"/>
      <x:c r="B73"/>
      <x:c r="C73"/>
      <x:c r="D73"/>
      <x:c r="E73"/>
      <x:c r="F73"/>
      <x:c r="G73"/>
      <x:c r="H73" t="str">
        <x:v>L22-S05-C1</x:v>
      </x:c>
    </x:row>
    <x:row r="74">
      <x:c r="A74"/>
      <x:c r="B74"/>
      <x:c r="C74"/>
      <x:c r="D74"/>
      <x:c r="E74"/>
      <x:c r="F74"/>
      <x:c r="G74"/>
      <x:c r="H74" t="str">
        <x:v>L22-S05-C2</x:v>
      </x:c>
    </x:row>
    <x:row r="75">
      <x:c r="A75"/>
      <x:c r="B75"/>
      <x:c r="C75"/>
      <x:c r="D75"/>
      <x:c r="E75"/>
      <x:c r="F75"/>
      <x:c r="G75"/>
      <x:c r="H75" t="str">
        <x:v>L22-S05-C3</x:v>
      </x:c>
    </x:row>
    <x:row r="76">
      <x:c r="A76"/>
      <x:c r="B76"/>
      <x:c r="C76"/>
      <x:c r="D76"/>
      <x:c r="E76"/>
      <x:c r="F76"/>
      <x:c r="G76"/>
      <x:c r="H76" t="str">
        <x:v>L22-S06</x:v>
      </x:c>
    </x:row>
    <x:row r="77">
      <x:c r="A77"/>
      <x:c r="B77"/>
      <x:c r="C77"/>
      <x:c r="D77"/>
      <x:c r="E77"/>
      <x:c r="F77"/>
      <x:c r="G77"/>
      <x:c r="H77" t="str">
        <x:v>L22-S06-C1</x:v>
      </x:c>
    </x:row>
    <x:row r="78">
      <x:c r="A78"/>
      <x:c r="B78"/>
      <x:c r="C78"/>
      <x:c r="D78"/>
      <x:c r="E78"/>
      <x:c r="F78"/>
      <x:c r="G78"/>
      <x:c r="H78" t="str">
        <x:v>L22-S06-C2</x:v>
      </x:c>
    </x:row>
    <x:row r="79">
      <x:c r="A79"/>
      <x:c r="B79"/>
      <x:c r="C79"/>
      <x:c r="D79"/>
      <x:c r="E79"/>
      <x:c r="F79"/>
      <x:c r="G79"/>
      <x:c r="H79" t="str">
        <x:v>L22-S06-C3</x:v>
      </x:c>
    </x:row>
    <x:row r="80">
      <x:c r="A80"/>
      <x:c r="B80"/>
      <x:c r="C80"/>
      <x:c r="D80"/>
      <x:c r="E80"/>
      <x:c r="F80"/>
      <x:c r="G80"/>
      <x:c r="H80" t="str">
        <x:v>L22-S07</x:v>
      </x:c>
    </x:row>
    <x:row r="81">
      <x:c r="A81"/>
      <x:c r="B81"/>
      <x:c r="C81"/>
      <x:c r="D81"/>
      <x:c r="E81"/>
      <x:c r="F81"/>
      <x:c r="G81"/>
      <x:c r="H81" t="str">
        <x:v>L22-S07-C1</x:v>
      </x:c>
    </x:row>
    <x:row r="82">
      <x:c r="A82"/>
      <x:c r="B82"/>
      <x:c r="C82"/>
      <x:c r="D82"/>
      <x:c r="E82"/>
      <x:c r="F82"/>
      <x:c r="G82"/>
      <x:c r="H82" t="str">
        <x:v>L22-S07-C2</x:v>
      </x:c>
    </x:row>
    <x:row r="83">
      <x:c r="A83"/>
      <x:c r="B83"/>
      <x:c r="C83"/>
      <x:c r="D83"/>
      <x:c r="E83"/>
      <x:c r="F83"/>
      <x:c r="G83"/>
      <x:c r="H83" t="str">
        <x:v>L22-S07-C3</x:v>
      </x:c>
    </x:row>
    <x:row r="84">
      <x:c r="A84"/>
      <x:c r="B84"/>
      <x:c r="C84"/>
      <x:c r="D84"/>
      <x:c r="E84"/>
      <x:c r="F84"/>
      <x:c r="G84"/>
      <x:c r="H84" t="str">
        <x:v>L22-S08</x:v>
      </x:c>
    </x:row>
    <x:row r="85">
      <x:c r="A85"/>
      <x:c r="B85"/>
      <x:c r="C85"/>
      <x:c r="D85"/>
      <x:c r="E85"/>
      <x:c r="F85"/>
      <x:c r="G85"/>
      <x:c r="H85" t="str">
        <x:v>L22-S08-C1</x:v>
      </x:c>
    </x:row>
    <x:row r="86">
      <x:c r="A86"/>
      <x:c r="B86"/>
      <x:c r="C86"/>
      <x:c r="D86"/>
      <x:c r="E86"/>
      <x:c r="F86"/>
      <x:c r="G86"/>
      <x:c r="H86" t="str">
        <x:v>L22-S08-C2</x:v>
      </x:c>
    </x:row>
    <x:row r="87">
      <x:c r="A87"/>
      <x:c r="B87"/>
      <x:c r="C87"/>
      <x:c r="D87"/>
      <x:c r="E87"/>
      <x:c r="F87"/>
      <x:c r="G87"/>
      <x:c r="H87" t="str">
        <x:v>L22-S08-C3</x:v>
      </x:c>
    </x:row>
    <x:row r="88">
      <x:c r="A88"/>
      <x:c r="B88"/>
      <x:c r="C88"/>
      <x:c r="D88"/>
      <x:c r="E88"/>
      <x:c r="F88"/>
      <x:c r="G88"/>
      <x:c r="H88" t="str">
        <x:v>L22-S09</x:v>
      </x:c>
    </x:row>
    <x:row r="89">
      <x:c r="A89"/>
      <x:c r="B89"/>
      <x:c r="C89"/>
      <x:c r="D89"/>
      <x:c r="E89"/>
      <x:c r="F89"/>
      <x:c r="G89"/>
      <x:c r="H89" t="str">
        <x:v>L22-S09-C1</x:v>
      </x:c>
    </x:row>
    <x:row r="90">
      <x:c r="A90"/>
      <x:c r="B90"/>
      <x:c r="C90"/>
      <x:c r="D90"/>
      <x:c r="E90"/>
      <x:c r="F90"/>
      <x:c r="G90"/>
      <x:c r="H90" t="str">
        <x:v>L22-S09-C2</x:v>
      </x:c>
    </x:row>
    <x:row r="91">
      <x:c r="A91"/>
      <x:c r="B91"/>
      <x:c r="C91"/>
      <x:c r="D91"/>
      <x:c r="E91"/>
      <x:c r="F91"/>
      <x:c r="G91"/>
      <x:c r="H91" t="str">
        <x:v>L22-S09-C3</x:v>
      </x:c>
    </x:row>
    <x:row r="92">
      <x:c r="A92"/>
      <x:c r="B92"/>
      <x:c r="C92"/>
      <x:c r="D92"/>
      <x:c r="E92"/>
      <x:c r="F92"/>
      <x:c r="G92"/>
      <x:c r="H92" t="str">
        <x:v>L22-S10</x:v>
      </x:c>
    </x:row>
    <x:row r="93">
      <x:c r="A93"/>
      <x:c r="B93"/>
      <x:c r="C93"/>
      <x:c r="D93"/>
      <x:c r="E93"/>
      <x:c r="F93"/>
      <x:c r="G93"/>
      <x:c r="H93" t="str">
        <x:v>L22-S10-C1</x:v>
      </x:c>
    </x:row>
    <x:row r="94">
      <x:c r="A94"/>
      <x:c r="B94"/>
      <x:c r="C94"/>
      <x:c r="D94"/>
      <x:c r="E94"/>
      <x:c r="F94"/>
      <x:c r="G94"/>
      <x:c r="H94" t="str">
        <x:v>L22-S10-C2</x:v>
      </x:c>
    </x:row>
    <x:row r="95">
      <x:c r="A95"/>
      <x:c r="B95"/>
      <x:c r="C95"/>
      <x:c r="D95"/>
      <x:c r="E95"/>
      <x:c r="F95"/>
      <x:c r="G95"/>
      <x:c r="H95" t="str">
        <x:v>L22-S10-C3</x:v>
      </x:c>
    </x:row>
    <x:row r="96">
      <x:c r="A96"/>
      <x:c r="B96"/>
      <x:c r="C96"/>
      <x:c r="D96"/>
      <x:c r="E96"/>
      <x:c r="F96"/>
      <x:c r="G96"/>
      <x:c r="H96" t="str">
        <x:v>L22-S11</x:v>
      </x:c>
    </x:row>
    <x:row r="97">
      <x:c r="A97"/>
      <x:c r="B97"/>
      <x:c r="C97"/>
      <x:c r="D97"/>
      <x:c r="E97"/>
      <x:c r="F97"/>
      <x:c r="G97"/>
      <x:c r="H97" t="str">
        <x:v>L22-S11-C1</x:v>
      </x:c>
    </x:row>
    <x:row r="98">
      <x:c r="A98"/>
      <x:c r="B98"/>
      <x:c r="C98"/>
      <x:c r="D98"/>
      <x:c r="E98"/>
      <x:c r="F98"/>
      <x:c r="G98"/>
      <x:c r="H98" t="str">
        <x:v>L22-S11-C2</x:v>
      </x:c>
    </x:row>
    <x:row r="99">
      <x:c r="A99"/>
      <x:c r="B99"/>
      <x:c r="C99"/>
      <x:c r="D99"/>
      <x:c r="E99"/>
      <x:c r="F99"/>
      <x:c r="G99"/>
      <x:c r="H99" t="str">
        <x:v>L22-S11-C3</x:v>
      </x:c>
    </x:row>
    <x:row r="100">
      <x:c r="A100"/>
      <x:c r="B100"/>
      <x:c r="C100"/>
      <x:c r="D100"/>
      <x:c r="E100"/>
      <x:c r="F100"/>
      <x:c r="G100"/>
      <x:c r="H100" t="str">
        <x:v>L22-S12</x:v>
      </x:c>
    </x:row>
    <x:row r="101">
      <x:c r="A101"/>
      <x:c r="B101"/>
      <x:c r="C101"/>
      <x:c r="D101"/>
      <x:c r="E101"/>
      <x:c r="F101"/>
      <x:c r="G101"/>
      <x:c r="H101" t="str">
        <x:v>L22-S12-C1</x:v>
      </x:c>
    </x:row>
    <x:row r="102">
      <x:c r="A102"/>
      <x:c r="B102"/>
      <x:c r="C102"/>
      <x:c r="D102"/>
      <x:c r="E102"/>
      <x:c r="F102"/>
      <x:c r="G102"/>
      <x:c r="H102" t="str">
        <x:v>L22-S12-C2</x:v>
      </x:c>
    </x:row>
    <x:row r="103">
      <x:c r="A103"/>
      <x:c r="B103"/>
      <x:c r="C103"/>
      <x:c r="D103"/>
      <x:c r="E103"/>
      <x:c r="F103"/>
      <x:c r="G103"/>
      <x:c r="H103" t="str">
        <x:v>L22-S12-C3</x:v>
      </x:c>
    </x:row>
    <x:row r="104">
      <x:c r="A104"/>
      <x:c r="B104"/>
      <x:c r="C104"/>
      <x:c r="D104"/>
      <x:c r="E104"/>
      <x:c r="F104"/>
      <x:c r="G104"/>
      <x:c r="H104" t="str">
        <x:v>L22-S13</x:v>
      </x:c>
    </x:row>
    <x:row r="105">
      <x:c r="A105"/>
      <x:c r="B105"/>
      <x:c r="C105"/>
      <x:c r="D105"/>
      <x:c r="E105"/>
      <x:c r="F105"/>
      <x:c r="G105"/>
      <x:c r="H105" t="str">
        <x:v>L22-S13-C1</x:v>
      </x:c>
    </x:row>
    <x:row r="106">
      <x:c r="A106"/>
      <x:c r="B106"/>
      <x:c r="C106"/>
      <x:c r="D106"/>
      <x:c r="E106"/>
      <x:c r="F106"/>
      <x:c r="G106"/>
      <x:c r="H106" t="str">
        <x:v>L22-S13-C2</x:v>
      </x:c>
    </x:row>
    <x:row r="107">
      <x:c r="A107"/>
      <x:c r="B107"/>
      <x:c r="C107"/>
      <x:c r="D107"/>
      <x:c r="E107"/>
      <x:c r="F107"/>
      <x:c r="G107"/>
      <x:c r="H107" t="str">
        <x:v>L22-S13-C3</x:v>
      </x:c>
    </x:row>
    <x:row r="108">
      <x:c r="A108"/>
      <x:c r="B108"/>
      <x:c r="C108"/>
      <x:c r="D108"/>
      <x:c r="E108"/>
      <x:c r="F108"/>
      <x:c r="G108"/>
      <x:c r="H108" t="str">
        <x:v>L23</x:v>
      </x:c>
    </x:row>
    <x:row r="109">
      <x:c r="A109"/>
      <x:c r="B109"/>
      <x:c r="C109"/>
      <x:c r="D109"/>
      <x:c r="E109"/>
      <x:c r="F109"/>
      <x:c r="G109"/>
      <x:c r="H109" t="str">
        <x:v>L23-S01</x:v>
      </x:c>
    </x:row>
    <x:row r="110">
      <x:c r="A110"/>
      <x:c r="B110"/>
      <x:c r="C110"/>
      <x:c r="D110"/>
      <x:c r="E110"/>
      <x:c r="F110"/>
      <x:c r="G110"/>
      <x:c r="H110" t="str">
        <x:v>L23-S01-C1</x:v>
      </x:c>
    </x:row>
    <x:row r="111">
      <x:c r="A111"/>
      <x:c r="B111"/>
      <x:c r="C111"/>
      <x:c r="D111"/>
      <x:c r="E111"/>
      <x:c r="F111"/>
      <x:c r="G111"/>
      <x:c r="H111" t="str">
        <x:v>L23-S01-C2</x:v>
      </x:c>
    </x:row>
    <x:row r="112">
      <x:c r="A112"/>
      <x:c r="B112"/>
      <x:c r="C112"/>
      <x:c r="D112"/>
      <x:c r="E112"/>
      <x:c r="F112"/>
      <x:c r="G112"/>
      <x:c r="H112" t="str">
        <x:v>L23-S01-C3</x:v>
      </x:c>
    </x:row>
    <x:row r="113">
      <x:c r="A113"/>
      <x:c r="B113"/>
      <x:c r="C113"/>
      <x:c r="D113"/>
      <x:c r="E113"/>
      <x:c r="F113"/>
      <x:c r="G113"/>
      <x:c r="H113" t="str">
        <x:v>L23-S02</x:v>
      </x:c>
    </x:row>
    <x:row r="114">
      <x:c r="A114"/>
      <x:c r="B114"/>
      <x:c r="C114"/>
      <x:c r="D114"/>
      <x:c r="E114"/>
      <x:c r="F114"/>
      <x:c r="G114"/>
      <x:c r="H114" t="str">
        <x:v>L23-S02-C1</x:v>
      </x:c>
    </x:row>
    <x:row r="115">
      <x:c r="A115"/>
      <x:c r="B115"/>
      <x:c r="C115"/>
      <x:c r="D115"/>
      <x:c r="E115"/>
      <x:c r="F115"/>
      <x:c r="G115"/>
      <x:c r="H115" t="str">
        <x:v>L23-S02-C2</x:v>
      </x:c>
    </x:row>
    <x:row r="116">
      <x:c r="A116"/>
      <x:c r="B116"/>
      <x:c r="C116"/>
      <x:c r="D116"/>
      <x:c r="E116"/>
      <x:c r="F116"/>
      <x:c r="G116"/>
      <x:c r="H116" t="str">
        <x:v>L23-S02-C3</x:v>
      </x:c>
    </x:row>
    <x:row r="117">
      <x:c r="A117"/>
      <x:c r="B117"/>
      <x:c r="C117"/>
      <x:c r="D117"/>
      <x:c r="E117"/>
      <x:c r="F117"/>
      <x:c r="G117"/>
      <x:c r="H117" t="str">
        <x:v>L23-S03</x:v>
      </x:c>
    </x:row>
    <x:row r="118">
      <x:c r="A118"/>
      <x:c r="B118"/>
      <x:c r="C118"/>
      <x:c r="D118"/>
      <x:c r="E118"/>
      <x:c r="F118"/>
      <x:c r="G118"/>
      <x:c r="H118" t="str">
        <x:v>L23-S03-C1</x:v>
      </x:c>
    </x:row>
    <x:row r="119">
      <x:c r="A119"/>
      <x:c r="B119"/>
      <x:c r="C119"/>
      <x:c r="D119"/>
      <x:c r="E119"/>
      <x:c r="F119"/>
      <x:c r="G119"/>
      <x:c r="H119" t="str">
        <x:v>L23-S03-C2</x:v>
      </x:c>
    </x:row>
    <x:row r="120">
      <x:c r="A120"/>
      <x:c r="B120"/>
      <x:c r="C120"/>
      <x:c r="D120"/>
      <x:c r="E120"/>
      <x:c r="F120"/>
      <x:c r="G120"/>
      <x:c r="H120" t="str">
        <x:v>L23-S03-C3</x:v>
      </x:c>
    </x:row>
    <x:row r="121">
      <x:c r="A121"/>
      <x:c r="B121"/>
      <x:c r="C121"/>
      <x:c r="D121"/>
      <x:c r="E121"/>
      <x:c r="F121"/>
      <x:c r="G121"/>
      <x:c r="H121" t="str">
        <x:v>L23-S04</x:v>
      </x:c>
    </x:row>
    <x:row r="122">
      <x:c r="A122"/>
      <x:c r="B122"/>
      <x:c r="C122"/>
      <x:c r="D122"/>
      <x:c r="E122"/>
      <x:c r="F122"/>
      <x:c r="G122"/>
      <x:c r="H122" t="str">
        <x:v>L23-S04-C1</x:v>
      </x:c>
    </x:row>
    <x:row r="123">
      <x:c r="A123"/>
      <x:c r="B123"/>
      <x:c r="C123"/>
      <x:c r="D123"/>
      <x:c r="E123"/>
      <x:c r="F123"/>
      <x:c r="G123"/>
      <x:c r="H123" t="str">
        <x:v>L23-S04-C2</x:v>
      </x:c>
    </x:row>
    <x:row r="124">
      <x:c r="A124"/>
      <x:c r="B124"/>
      <x:c r="C124"/>
      <x:c r="D124"/>
      <x:c r="E124"/>
      <x:c r="F124"/>
      <x:c r="G124"/>
      <x:c r="H124" t="str">
        <x:v>L23-S04-C3</x:v>
      </x:c>
    </x:row>
    <x:row r="125">
      <x:c r="A125"/>
      <x:c r="B125"/>
      <x:c r="C125"/>
      <x:c r="D125"/>
      <x:c r="E125"/>
      <x:c r="F125"/>
      <x:c r="G125"/>
      <x:c r="H125" t="str">
        <x:v>L23-S05</x:v>
      </x:c>
    </x:row>
    <x:row r="126">
      <x:c r="A126"/>
      <x:c r="B126"/>
      <x:c r="C126"/>
      <x:c r="D126"/>
      <x:c r="E126"/>
      <x:c r="F126"/>
      <x:c r="G126"/>
      <x:c r="H126" t="str">
        <x:v>L23-S05-C1</x:v>
      </x:c>
    </x:row>
    <x:row r="127">
      <x:c r="A127"/>
      <x:c r="B127"/>
      <x:c r="C127"/>
      <x:c r="D127"/>
      <x:c r="E127"/>
      <x:c r="F127"/>
      <x:c r="G127"/>
      <x:c r="H127" t="str">
        <x:v>L23-S05-C2</x:v>
      </x:c>
    </x:row>
    <x:row r="128">
      <x:c r="A128"/>
      <x:c r="B128"/>
      <x:c r="C128"/>
      <x:c r="D128"/>
      <x:c r="E128"/>
      <x:c r="F128"/>
      <x:c r="G128"/>
      <x:c r="H128" t="str">
        <x:v>L23-S05-C3</x:v>
      </x:c>
    </x:row>
    <x:row r="129">
      <x:c r="A129"/>
      <x:c r="B129"/>
      <x:c r="C129"/>
      <x:c r="D129"/>
      <x:c r="E129"/>
      <x:c r="F129"/>
      <x:c r="G129"/>
      <x:c r="H129" t="str">
        <x:v>L23-S06</x:v>
      </x:c>
    </x:row>
    <x:row r="130">
      <x:c r="A130"/>
      <x:c r="B130"/>
      <x:c r="C130"/>
      <x:c r="D130"/>
      <x:c r="E130"/>
      <x:c r="F130"/>
      <x:c r="G130"/>
      <x:c r="H130" t="str">
        <x:v>L23-S06-C1</x:v>
      </x:c>
    </x:row>
    <x:row r="131">
      <x:c r="A131"/>
      <x:c r="B131"/>
      <x:c r="C131"/>
      <x:c r="D131"/>
      <x:c r="E131"/>
      <x:c r="F131"/>
      <x:c r="G131"/>
      <x:c r="H131" t="str">
        <x:v>L23-S06-C2</x:v>
      </x:c>
    </x:row>
    <x:row r="132">
      <x:c r="A132"/>
      <x:c r="B132"/>
      <x:c r="C132"/>
      <x:c r="D132"/>
      <x:c r="E132"/>
      <x:c r="F132"/>
      <x:c r="G132"/>
      <x:c r="H132" t="str">
        <x:v>L23-S06-C3</x:v>
      </x:c>
    </x:row>
    <x:row r="133">
      <x:c r="A133"/>
      <x:c r="B133"/>
      <x:c r="C133"/>
      <x:c r="D133"/>
      <x:c r="E133"/>
      <x:c r="F133"/>
      <x:c r="G133"/>
      <x:c r="H133" t="str">
        <x:v>L23-S07</x:v>
      </x:c>
    </x:row>
    <x:row r="134">
      <x:c r="A134"/>
      <x:c r="B134"/>
      <x:c r="C134"/>
      <x:c r="D134"/>
      <x:c r="E134"/>
      <x:c r="F134"/>
      <x:c r="G134"/>
      <x:c r="H134" t="str">
        <x:v>L23-S07-C1</x:v>
      </x:c>
    </x:row>
    <x:row r="135">
      <x:c r="A135"/>
      <x:c r="B135"/>
      <x:c r="C135"/>
      <x:c r="D135"/>
      <x:c r="E135"/>
      <x:c r="F135"/>
      <x:c r="G135"/>
      <x:c r="H135" t="str">
        <x:v>L23-S07-C2</x:v>
      </x:c>
    </x:row>
    <x:row r="136">
      <x:c r="A136"/>
      <x:c r="B136"/>
      <x:c r="C136"/>
      <x:c r="D136"/>
      <x:c r="E136"/>
      <x:c r="F136"/>
      <x:c r="G136"/>
      <x:c r="H136" t="str">
        <x:v>L23-S07-C3</x:v>
      </x:c>
    </x:row>
    <x:row r="137">
      <x:c r="A137"/>
      <x:c r="B137"/>
      <x:c r="C137"/>
      <x:c r="D137"/>
      <x:c r="E137"/>
      <x:c r="F137"/>
      <x:c r="G137"/>
      <x:c r="H137" t="str">
        <x:v>L23-S08</x:v>
      </x:c>
    </x:row>
    <x:row r="138">
      <x:c r="A138"/>
      <x:c r="B138"/>
      <x:c r="C138"/>
      <x:c r="D138"/>
      <x:c r="E138"/>
      <x:c r="F138"/>
      <x:c r="G138"/>
      <x:c r="H138" t="str">
        <x:v>L23-S08-C1</x:v>
      </x:c>
    </x:row>
    <x:row r="139">
      <x:c r="A139"/>
      <x:c r="B139"/>
      <x:c r="C139"/>
      <x:c r="D139"/>
      <x:c r="E139"/>
      <x:c r="F139"/>
      <x:c r="G139"/>
      <x:c r="H139" t="str">
        <x:v>L23-S08-C2</x:v>
      </x:c>
    </x:row>
    <x:row r="140">
      <x:c r="A140"/>
      <x:c r="B140"/>
      <x:c r="C140"/>
      <x:c r="D140"/>
      <x:c r="E140"/>
      <x:c r="F140"/>
      <x:c r="G140"/>
      <x:c r="H140" t="str">
        <x:v>L23-S08-C3</x:v>
      </x:c>
    </x:row>
    <x:row r="141">
      <x:c r="A141"/>
      <x:c r="B141"/>
      <x:c r="C141"/>
      <x:c r="D141"/>
      <x:c r="E141"/>
      <x:c r="F141"/>
      <x:c r="G141"/>
      <x:c r="H141" t="str">
        <x:v>L23-S09</x:v>
      </x:c>
    </x:row>
    <x:row r="142">
      <x:c r="A142"/>
      <x:c r="B142"/>
      <x:c r="C142"/>
      <x:c r="D142"/>
      <x:c r="E142"/>
      <x:c r="F142"/>
      <x:c r="G142"/>
      <x:c r="H142" t="str">
        <x:v>L23-S09-C1</x:v>
      </x:c>
    </x:row>
    <x:row r="143">
      <x:c r="A143"/>
      <x:c r="B143"/>
      <x:c r="C143"/>
      <x:c r="D143"/>
      <x:c r="E143"/>
      <x:c r="F143"/>
      <x:c r="G143"/>
      <x:c r="H143" t="str">
        <x:v>L23-S09-C2</x:v>
      </x:c>
    </x:row>
    <x:row r="144">
      <x:c r="A144"/>
      <x:c r="B144"/>
      <x:c r="C144"/>
      <x:c r="D144"/>
      <x:c r="E144"/>
      <x:c r="F144"/>
      <x:c r="G144"/>
      <x:c r="H144" t="str">
        <x:v>L23-S09-C3</x:v>
      </x:c>
    </x:row>
    <x:row r="145">
      <x:c r="A145"/>
      <x:c r="B145"/>
      <x:c r="C145"/>
      <x:c r="D145"/>
      <x:c r="E145"/>
      <x:c r="F145"/>
      <x:c r="G145"/>
      <x:c r="H145" t="str">
        <x:v>L23-S10</x:v>
      </x:c>
    </x:row>
    <x:row r="146">
      <x:c r="A146"/>
      <x:c r="B146"/>
      <x:c r="C146"/>
      <x:c r="D146"/>
      <x:c r="E146"/>
      <x:c r="F146"/>
      <x:c r="G146"/>
      <x:c r="H146" t="str">
        <x:v>L23-S10-C1</x:v>
      </x:c>
    </x:row>
    <x:row r="147">
      <x:c r="A147"/>
      <x:c r="B147"/>
      <x:c r="C147"/>
      <x:c r="D147"/>
      <x:c r="E147"/>
      <x:c r="F147"/>
      <x:c r="G147"/>
      <x:c r="H147" t="str">
        <x:v>L23-S10-C2</x:v>
      </x:c>
    </x:row>
    <x:row r="148">
      <x:c r="A148"/>
      <x:c r="B148"/>
      <x:c r="C148"/>
      <x:c r="D148"/>
      <x:c r="E148"/>
      <x:c r="F148"/>
      <x:c r="G148"/>
      <x:c r="H148" t="str">
        <x:v>L23-S10-C3</x:v>
      </x:c>
    </x:row>
    <x:row r="149">
      <x:c r="A149"/>
      <x:c r="B149"/>
      <x:c r="C149"/>
      <x:c r="D149"/>
      <x:c r="E149"/>
      <x:c r="F149"/>
      <x:c r="G149"/>
      <x:c r="H149" t="str">
        <x:v>L23-S11</x:v>
      </x:c>
    </x:row>
    <x:row r="150">
      <x:c r="A150"/>
      <x:c r="B150"/>
      <x:c r="C150"/>
      <x:c r="D150"/>
      <x:c r="E150"/>
      <x:c r="F150"/>
      <x:c r="G150"/>
      <x:c r="H150" t="str">
        <x:v>L23-S11-C1</x:v>
      </x:c>
    </x:row>
    <x:row r="151">
      <x:c r="A151"/>
      <x:c r="B151"/>
      <x:c r="C151"/>
      <x:c r="D151"/>
      <x:c r="E151"/>
      <x:c r="F151"/>
      <x:c r="G151"/>
      <x:c r="H151" t="str">
        <x:v>L23-S11-C2</x:v>
      </x:c>
    </x:row>
    <x:row r="152">
      <x:c r="A152"/>
      <x:c r="B152"/>
      <x:c r="C152"/>
      <x:c r="D152"/>
      <x:c r="E152"/>
      <x:c r="F152"/>
      <x:c r="G152"/>
      <x:c r="H152" t="str">
        <x:v>L23-S11-C3</x:v>
      </x:c>
    </x:row>
    <x:row r="153">
      <x:c r="A153"/>
      <x:c r="B153"/>
      <x:c r="C153"/>
      <x:c r="D153"/>
      <x:c r="E153"/>
      <x:c r="F153"/>
      <x:c r="G153"/>
      <x:c r="H153" t="str">
        <x:v>L23-S12</x:v>
      </x:c>
    </x:row>
    <x:row r="154">
      <x:c r="A154"/>
      <x:c r="B154"/>
      <x:c r="C154"/>
      <x:c r="D154"/>
      <x:c r="E154"/>
      <x:c r="F154"/>
      <x:c r="G154"/>
      <x:c r="H154" t="str">
        <x:v>L23-S12-C1</x:v>
      </x:c>
    </x:row>
    <x:row r="155">
      <x:c r="A155"/>
      <x:c r="B155"/>
      <x:c r="C155"/>
      <x:c r="D155"/>
      <x:c r="E155"/>
      <x:c r="F155"/>
      <x:c r="G155"/>
      <x:c r="H155" t="str">
        <x:v>L23-S12-C2</x:v>
      </x:c>
    </x:row>
    <x:row r="156">
      <x:c r="A156"/>
      <x:c r="B156"/>
      <x:c r="C156"/>
      <x:c r="D156"/>
      <x:c r="E156"/>
      <x:c r="F156"/>
      <x:c r="G156"/>
      <x:c r="H156" t="str">
        <x:v>L23-S12-C3</x:v>
      </x:c>
    </x:row>
    <x:row r="157">
      <x:c r="A157"/>
      <x:c r="B157"/>
      <x:c r="C157"/>
      <x:c r="D157"/>
      <x:c r="E157"/>
      <x:c r="F157"/>
      <x:c r="G157"/>
      <x:c r="H157" t="str">
        <x:v>L23-S13</x:v>
      </x:c>
    </x:row>
    <x:row r="158">
      <x:c r="A158"/>
      <x:c r="B158"/>
      <x:c r="C158"/>
      <x:c r="D158"/>
      <x:c r="E158"/>
      <x:c r="F158"/>
      <x:c r="G158"/>
      <x:c r="H158" t="str">
        <x:v>L23-S13-C1</x:v>
      </x:c>
    </x:row>
    <x:row r="159">
      <x:c r="A159"/>
      <x:c r="B159"/>
      <x:c r="C159"/>
      <x:c r="D159"/>
      <x:c r="E159"/>
      <x:c r="F159"/>
      <x:c r="G159"/>
      <x:c r="H159" t="str">
        <x:v>L23-S13-C2</x:v>
      </x:c>
    </x:row>
    <x:row r="160">
      <x:c r="A160"/>
      <x:c r="B160"/>
      <x:c r="C160"/>
      <x:c r="D160"/>
      <x:c r="E160"/>
      <x:c r="F160"/>
      <x:c r="G160"/>
      <x:c r="H160" t="str">
        <x:v>L23-S13-C3</x:v>
      </x:c>
    </x:row>
    <x:row r="161">
      <x:c r="A161"/>
      <x:c r="B161"/>
      <x:c r="C161"/>
      <x:c r="D161"/>
      <x:c r="E161"/>
      <x:c r="F161"/>
      <x:c r="G161"/>
      <x:c r="H161" t="str">
        <x:v>L24</x:v>
      </x:c>
    </x:row>
    <x:row r="162">
      <x:c r="A162"/>
      <x:c r="B162"/>
      <x:c r="C162"/>
      <x:c r="D162"/>
      <x:c r="E162"/>
      <x:c r="F162"/>
      <x:c r="G162"/>
      <x:c r="H162" t="str">
        <x:v>L24-S01</x:v>
      </x:c>
    </x:row>
    <x:row r="163">
      <x:c r="A163"/>
      <x:c r="B163"/>
      <x:c r="C163"/>
      <x:c r="D163"/>
      <x:c r="E163"/>
      <x:c r="F163"/>
      <x:c r="G163"/>
      <x:c r="H163" t="str">
        <x:v>L24-S01-C1</x:v>
      </x:c>
    </x:row>
    <x:row r="164">
      <x:c r="A164"/>
      <x:c r="B164"/>
      <x:c r="C164"/>
      <x:c r="D164"/>
      <x:c r="E164"/>
      <x:c r="F164"/>
      <x:c r="G164"/>
      <x:c r="H164" t="str">
        <x:v>L24-S01-C2</x:v>
      </x:c>
    </x:row>
    <x:row r="165">
      <x:c r="A165"/>
      <x:c r="B165"/>
      <x:c r="C165"/>
      <x:c r="D165"/>
      <x:c r="E165"/>
      <x:c r="F165"/>
      <x:c r="G165"/>
      <x:c r="H165" t="str">
        <x:v>L24-S01-C3</x:v>
      </x:c>
    </x:row>
    <x:row r="166">
      <x:c r="A166"/>
      <x:c r="B166"/>
      <x:c r="C166"/>
      <x:c r="D166"/>
      <x:c r="E166"/>
      <x:c r="F166"/>
      <x:c r="G166"/>
      <x:c r="H166" t="str">
        <x:v>L24-S02</x:v>
      </x:c>
    </x:row>
    <x:row r="167">
      <x:c r="A167"/>
      <x:c r="B167"/>
      <x:c r="C167"/>
      <x:c r="D167"/>
      <x:c r="E167"/>
      <x:c r="F167"/>
      <x:c r="G167"/>
      <x:c r="H167" t="str">
        <x:v>L24-S02-C1</x:v>
      </x:c>
    </x:row>
    <x:row r="168">
      <x:c r="A168"/>
      <x:c r="B168"/>
      <x:c r="C168"/>
      <x:c r="D168"/>
      <x:c r="E168"/>
      <x:c r="F168"/>
      <x:c r="G168"/>
      <x:c r="H168" t="str">
        <x:v>L24-S02-C2</x:v>
      </x:c>
    </x:row>
    <x:row r="169">
      <x:c r="A169"/>
      <x:c r="B169"/>
      <x:c r="C169"/>
      <x:c r="D169"/>
      <x:c r="E169"/>
      <x:c r="F169"/>
      <x:c r="G169"/>
      <x:c r="H169" t="str">
        <x:v>L24-S02-C3</x:v>
      </x:c>
    </x:row>
    <x:row r="170">
      <x:c r="A170"/>
      <x:c r="B170"/>
      <x:c r="C170"/>
      <x:c r="D170"/>
      <x:c r="E170"/>
      <x:c r="F170"/>
      <x:c r="G170"/>
      <x:c r="H170" t="str">
        <x:v>L24-S03</x:v>
      </x:c>
    </x:row>
    <x:row r="171">
      <x:c r="A171"/>
      <x:c r="B171"/>
      <x:c r="C171"/>
      <x:c r="D171"/>
      <x:c r="E171"/>
      <x:c r="F171"/>
      <x:c r="G171"/>
      <x:c r="H171" t="str">
        <x:v>L24-S03-C1</x:v>
      </x:c>
    </x:row>
    <x:row r="172">
      <x:c r="A172"/>
      <x:c r="B172"/>
      <x:c r="C172"/>
      <x:c r="D172"/>
      <x:c r="E172"/>
      <x:c r="F172"/>
      <x:c r="G172"/>
      <x:c r="H172" t="str">
        <x:v>L24-S03-C2</x:v>
      </x:c>
    </x:row>
    <x:row r="173">
      <x:c r="A173"/>
      <x:c r="B173"/>
      <x:c r="C173"/>
      <x:c r="D173"/>
      <x:c r="E173"/>
      <x:c r="F173"/>
      <x:c r="G173"/>
      <x:c r="H173" t="str">
        <x:v>L24-S03-C3</x:v>
      </x:c>
    </x:row>
    <x:row r="174">
      <x:c r="A174"/>
      <x:c r="B174"/>
      <x:c r="C174"/>
      <x:c r="D174"/>
      <x:c r="E174"/>
      <x:c r="F174"/>
      <x:c r="G174"/>
      <x:c r="H174" t="str">
        <x:v>L24-S04</x:v>
      </x:c>
    </x:row>
    <x:row r="175">
      <x:c r="A175"/>
      <x:c r="B175"/>
      <x:c r="C175"/>
      <x:c r="D175"/>
      <x:c r="E175"/>
      <x:c r="F175"/>
      <x:c r="G175"/>
      <x:c r="H175" t="str">
        <x:v>L24-S04-C1</x:v>
      </x:c>
    </x:row>
    <x:row r="176">
      <x:c r="A176"/>
      <x:c r="B176"/>
      <x:c r="C176"/>
      <x:c r="D176"/>
      <x:c r="E176"/>
      <x:c r="F176"/>
      <x:c r="G176"/>
      <x:c r="H176" t="str">
        <x:v>L24-S04-C2</x:v>
      </x:c>
    </x:row>
    <x:row r="177">
      <x:c r="A177"/>
      <x:c r="B177"/>
      <x:c r="C177"/>
      <x:c r="D177"/>
      <x:c r="E177"/>
      <x:c r="F177"/>
      <x:c r="G177"/>
      <x:c r="H177" t="str">
        <x:v>L24-S04-C3</x:v>
      </x:c>
    </x:row>
    <x:row r="178">
      <x:c r="A178"/>
      <x:c r="B178"/>
      <x:c r="C178"/>
      <x:c r="D178"/>
      <x:c r="E178"/>
      <x:c r="F178"/>
      <x:c r="G178"/>
      <x:c r="H178" t="str">
        <x:v>L24-S05</x:v>
      </x:c>
    </x:row>
    <x:row r="179">
      <x:c r="A179"/>
      <x:c r="B179"/>
      <x:c r="C179"/>
      <x:c r="D179"/>
      <x:c r="E179"/>
      <x:c r="F179"/>
      <x:c r="G179"/>
      <x:c r="H179" t="str">
        <x:v>L24-S05-C1</x:v>
      </x:c>
    </x:row>
    <x:row r="180">
      <x:c r="A180"/>
      <x:c r="B180"/>
      <x:c r="C180"/>
      <x:c r="D180"/>
      <x:c r="E180"/>
      <x:c r="F180"/>
      <x:c r="G180"/>
      <x:c r="H180" t="str">
        <x:v>L24-S05-C2</x:v>
      </x:c>
    </x:row>
    <x:row r="181">
      <x:c r="A181"/>
      <x:c r="B181"/>
      <x:c r="C181"/>
      <x:c r="D181"/>
      <x:c r="E181"/>
      <x:c r="F181"/>
      <x:c r="G181"/>
      <x:c r="H181" t="str">
        <x:v>L24-S05-C3</x:v>
      </x:c>
    </x:row>
    <x:row r="182">
      <x:c r="A182"/>
      <x:c r="B182"/>
      <x:c r="C182"/>
      <x:c r="D182"/>
      <x:c r="E182"/>
      <x:c r="F182"/>
      <x:c r="G182"/>
      <x:c r="H182" t="str">
        <x:v>L24-S06</x:v>
      </x:c>
    </x:row>
    <x:row r="183">
      <x:c r="A183"/>
      <x:c r="B183"/>
      <x:c r="C183"/>
      <x:c r="D183"/>
      <x:c r="E183"/>
      <x:c r="F183"/>
      <x:c r="G183"/>
      <x:c r="H183" t="str">
        <x:v>L24-S06-C1</x:v>
      </x:c>
    </x:row>
    <x:row r="184">
      <x:c r="A184"/>
      <x:c r="B184"/>
      <x:c r="C184"/>
      <x:c r="D184"/>
      <x:c r="E184"/>
      <x:c r="F184"/>
      <x:c r="G184"/>
      <x:c r="H184" t="str">
        <x:v>L24-S06-C2</x:v>
      </x:c>
    </x:row>
    <x:row r="185">
      <x:c r="A185"/>
      <x:c r="B185"/>
      <x:c r="C185"/>
      <x:c r="D185"/>
      <x:c r="E185"/>
      <x:c r="F185"/>
      <x:c r="G185"/>
      <x:c r="H185" t="str">
        <x:v>L24-S06-C3</x:v>
      </x:c>
    </x:row>
    <x:row r="186">
      <x:c r="A186"/>
      <x:c r="B186"/>
      <x:c r="C186"/>
      <x:c r="D186"/>
      <x:c r="E186"/>
      <x:c r="F186"/>
      <x:c r="G186"/>
      <x:c r="H186" t="str">
        <x:v>L24-S07</x:v>
      </x:c>
    </x:row>
    <x:row r="187">
      <x:c r="A187"/>
      <x:c r="B187"/>
      <x:c r="C187"/>
      <x:c r="D187"/>
      <x:c r="E187"/>
      <x:c r="F187"/>
      <x:c r="G187"/>
      <x:c r="H187" t="str">
        <x:v>L24-S07-C1</x:v>
      </x:c>
    </x:row>
    <x:row r="188">
      <x:c r="A188"/>
      <x:c r="B188"/>
      <x:c r="C188"/>
      <x:c r="D188"/>
      <x:c r="E188"/>
      <x:c r="F188"/>
      <x:c r="G188"/>
      <x:c r="H188" t="str">
        <x:v>L24-S07-C2</x:v>
      </x:c>
    </x:row>
    <x:row r="189">
      <x:c r="A189"/>
      <x:c r="B189"/>
      <x:c r="C189"/>
      <x:c r="D189"/>
      <x:c r="E189"/>
      <x:c r="F189"/>
      <x:c r="G189"/>
      <x:c r="H189" t="str">
        <x:v>L24-S07-C3</x:v>
      </x:c>
    </x:row>
    <x:row r="190">
      <x:c r="A190"/>
      <x:c r="B190"/>
      <x:c r="C190"/>
      <x:c r="D190"/>
      <x:c r="E190"/>
      <x:c r="F190"/>
      <x:c r="G190"/>
      <x:c r="H190" t="str">
        <x:v>L24-S08</x:v>
      </x:c>
    </x:row>
    <x:row r="191">
      <x:c r="A191"/>
      <x:c r="B191"/>
      <x:c r="C191"/>
      <x:c r="D191"/>
      <x:c r="E191"/>
      <x:c r="F191"/>
      <x:c r="G191"/>
      <x:c r="H191" t="str">
        <x:v>L24-S08-C1</x:v>
      </x:c>
    </x:row>
    <x:row r="192">
      <x:c r="A192"/>
      <x:c r="B192"/>
      <x:c r="C192"/>
      <x:c r="D192"/>
      <x:c r="E192"/>
      <x:c r="F192"/>
      <x:c r="G192"/>
      <x:c r="H192" t="str">
        <x:v>L24-S08-C2</x:v>
      </x:c>
    </x:row>
    <x:row r="193">
      <x:c r="A193"/>
      <x:c r="B193"/>
      <x:c r="C193"/>
      <x:c r="D193"/>
      <x:c r="E193"/>
      <x:c r="F193"/>
      <x:c r="G193"/>
      <x:c r="H193" t="str">
        <x:v>L24-S08-C3</x:v>
      </x:c>
    </x:row>
    <x:row r="194">
      <x:c r="A194"/>
      <x:c r="B194"/>
      <x:c r="C194"/>
      <x:c r="D194"/>
      <x:c r="E194"/>
      <x:c r="F194"/>
      <x:c r="G194"/>
      <x:c r="H194" t="str">
        <x:v>L24-S09</x:v>
      </x:c>
    </x:row>
    <x:row r="195">
      <x:c r="A195"/>
      <x:c r="B195"/>
      <x:c r="C195"/>
      <x:c r="D195"/>
      <x:c r="E195"/>
      <x:c r="F195"/>
      <x:c r="G195"/>
      <x:c r="H195" t="str">
        <x:v>L24-S09-C1</x:v>
      </x:c>
    </x:row>
    <x:row r="196">
      <x:c r="A196"/>
      <x:c r="B196"/>
      <x:c r="C196"/>
      <x:c r="D196"/>
      <x:c r="E196"/>
      <x:c r="F196"/>
      <x:c r="G196"/>
      <x:c r="H196" t="str">
        <x:v>L24-S09-C2</x:v>
      </x:c>
    </x:row>
    <x:row r="197">
      <x:c r="A197"/>
      <x:c r="B197"/>
      <x:c r="C197"/>
      <x:c r="D197"/>
      <x:c r="E197"/>
      <x:c r="F197"/>
      <x:c r="G197"/>
      <x:c r="H197" t="str">
        <x:v>L24-S09-C3</x:v>
      </x:c>
    </x:row>
    <x:row r="198">
      <x:c r="A198"/>
      <x:c r="B198"/>
      <x:c r="C198"/>
      <x:c r="D198"/>
      <x:c r="E198"/>
      <x:c r="F198"/>
      <x:c r="G198"/>
      <x:c r="H198" t="str">
        <x:v>L24-S10</x:v>
      </x:c>
    </x:row>
    <x:row r="199">
      <x:c r="A199"/>
      <x:c r="B199"/>
      <x:c r="C199"/>
      <x:c r="D199"/>
      <x:c r="E199"/>
      <x:c r="F199"/>
      <x:c r="G199"/>
      <x:c r="H199" t="str">
        <x:v>L24-S10-C1</x:v>
      </x:c>
    </x:row>
    <x:row r="200">
      <x:c r="A200"/>
      <x:c r="B200"/>
      <x:c r="C200"/>
      <x:c r="D200"/>
      <x:c r="E200"/>
      <x:c r="F200"/>
      <x:c r="G200"/>
      <x:c r="H200" t="str">
        <x:v>L24-S10-C2</x:v>
      </x:c>
    </x:row>
    <x:row r="201">
      <x:c r="A201"/>
      <x:c r="B201"/>
      <x:c r="C201"/>
      <x:c r="D201"/>
      <x:c r="E201"/>
      <x:c r="F201"/>
      <x:c r="G201"/>
      <x:c r="H201" t="str">
        <x:v>L24-S10-C3</x:v>
      </x:c>
    </x:row>
    <x:row r="202">
      <x:c r="A202"/>
      <x:c r="B202"/>
      <x:c r="C202"/>
      <x:c r="D202"/>
      <x:c r="E202"/>
      <x:c r="F202"/>
      <x:c r="G202"/>
      <x:c r="H202" t="str">
        <x:v>L24-S11</x:v>
      </x:c>
    </x:row>
    <x:row r="203">
      <x:c r="A203"/>
      <x:c r="B203"/>
      <x:c r="C203"/>
      <x:c r="D203"/>
      <x:c r="E203"/>
      <x:c r="F203"/>
      <x:c r="G203"/>
      <x:c r="H203" t="str">
        <x:v>L24-S11-C1</x:v>
      </x:c>
    </x:row>
    <x:row r="204">
      <x:c r="A204"/>
      <x:c r="B204"/>
      <x:c r="C204"/>
      <x:c r="D204"/>
      <x:c r="E204"/>
      <x:c r="F204"/>
      <x:c r="G204"/>
      <x:c r="H204" t="str">
        <x:v>L24-S11-C2</x:v>
      </x:c>
    </x:row>
    <x:row r="205">
      <x:c r="A205"/>
      <x:c r="B205"/>
      <x:c r="C205"/>
      <x:c r="D205"/>
      <x:c r="E205"/>
      <x:c r="F205"/>
      <x:c r="G205"/>
      <x:c r="H205" t="str">
        <x:v>L24-S11-C3</x:v>
      </x:c>
    </x:row>
    <x:row r="206">
      <x:c r="A206"/>
      <x:c r="B206"/>
      <x:c r="C206"/>
      <x:c r="D206"/>
      <x:c r="E206"/>
      <x:c r="F206"/>
      <x:c r="G206"/>
      <x:c r="H206" t="str">
        <x:v>L24-S12</x:v>
      </x:c>
    </x:row>
    <x:row r="207">
      <x:c r="A207"/>
      <x:c r="B207"/>
      <x:c r="C207"/>
      <x:c r="D207"/>
      <x:c r="E207"/>
      <x:c r="F207"/>
      <x:c r="G207"/>
      <x:c r="H207" t="str">
        <x:v>L24-S12-C1</x:v>
      </x:c>
    </x:row>
    <x:row r="208">
      <x:c r="A208"/>
      <x:c r="B208"/>
      <x:c r="C208"/>
      <x:c r="D208"/>
      <x:c r="E208"/>
      <x:c r="F208"/>
      <x:c r="G208"/>
      <x:c r="H208" t="str">
        <x:v>L24-S12-C2</x:v>
      </x:c>
    </x:row>
    <x:row r="209">
      <x:c r="A209"/>
      <x:c r="B209"/>
      <x:c r="C209"/>
      <x:c r="D209"/>
      <x:c r="E209"/>
      <x:c r="F209"/>
      <x:c r="G209"/>
      <x:c r="H209" t="str">
        <x:v>L24-S12-C3</x:v>
      </x:c>
    </x:row>
    <x:row r="210">
      <x:c r="A210"/>
      <x:c r="B210"/>
      <x:c r="C210"/>
      <x:c r="D210"/>
      <x:c r="E210"/>
      <x:c r="F210"/>
      <x:c r="G210"/>
      <x:c r="H210" t="str">
        <x:v>L24-S13</x:v>
      </x:c>
    </x:row>
    <x:row r="211">
      <x:c r="A211"/>
      <x:c r="B211"/>
      <x:c r="C211"/>
      <x:c r="D211"/>
      <x:c r="E211"/>
      <x:c r="F211"/>
      <x:c r="G211"/>
      <x:c r="H211" t="str">
        <x:v>L24-S13-C1</x:v>
      </x:c>
    </x:row>
    <x:row r="212">
      <x:c r="A212"/>
      <x:c r="B212"/>
      <x:c r="C212"/>
      <x:c r="D212"/>
      <x:c r="E212"/>
      <x:c r="F212"/>
      <x:c r="G212"/>
      <x:c r="H212" t="str">
        <x:v>L24-S13-C2</x:v>
      </x:c>
    </x:row>
    <x:row r="213">
      <x:c r="A213"/>
      <x:c r="B213"/>
      <x:c r="C213"/>
      <x:c r="D213"/>
      <x:c r="E213"/>
      <x:c r="F213"/>
      <x:c r="G213"/>
      <x:c r="H213" t="str">
        <x:v>L24-S13-C3</x:v>
      </x:c>
    </x:row>
    <x:row r="214">
      <x:c r="A214"/>
      <x:c r="B214"/>
      <x:c r="C214"/>
      <x:c r="D214"/>
      <x:c r="E214"/>
      <x:c r="F214"/>
      <x:c r="G214"/>
      <x:c r="H214" t="str">
        <x:v>L25</x:v>
      </x:c>
    </x:row>
    <x:row r="215">
      <x:c r="A215"/>
      <x:c r="B215"/>
      <x:c r="C215"/>
      <x:c r="D215"/>
      <x:c r="E215"/>
      <x:c r="F215"/>
      <x:c r="G215"/>
      <x:c r="H215" t="str">
        <x:v>L25-S01</x:v>
      </x:c>
    </x:row>
    <x:row r="216">
      <x:c r="A216"/>
      <x:c r="B216"/>
      <x:c r="C216"/>
      <x:c r="D216"/>
      <x:c r="E216"/>
      <x:c r="F216"/>
      <x:c r="G216"/>
      <x:c r="H216" t="str">
        <x:v>L25-S01-C1</x:v>
      </x:c>
    </x:row>
    <x:row r="217">
      <x:c r="A217"/>
      <x:c r="B217"/>
      <x:c r="C217"/>
      <x:c r="D217"/>
      <x:c r="E217"/>
      <x:c r="F217"/>
      <x:c r="G217"/>
      <x:c r="H217" t="str">
        <x:v>L25-S01-C2</x:v>
      </x:c>
    </x:row>
    <x:row r="218">
      <x:c r="A218"/>
      <x:c r="B218"/>
      <x:c r="C218"/>
      <x:c r="D218"/>
      <x:c r="E218"/>
      <x:c r="F218"/>
      <x:c r="G218"/>
      <x:c r="H218" t="str">
        <x:v>L25-S01-C3</x:v>
      </x:c>
    </x:row>
    <x:row r="219">
      <x:c r="A219"/>
      <x:c r="B219"/>
      <x:c r="C219"/>
      <x:c r="D219"/>
      <x:c r="E219"/>
      <x:c r="F219"/>
      <x:c r="G219"/>
      <x:c r="H219" t="str">
        <x:v>L25-S02</x:v>
      </x:c>
    </x:row>
    <x:row r="220">
      <x:c r="A220"/>
      <x:c r="B220"/>
      <x:c r="C220"/>
      <x:c r="D220"/>
      <x:c r="E220"/>
      <x:c r="F220"/>
      <x:c r="G220"/>
      <x:c r="H220" t="str">
        <x:v>L25-S02-C1</x:v>
      </x:c>
    </x:row>
    <x:row r="221">
      <x:c r="A221"/>
      <x:c r="B221"/>
      <x:c r="C221"/>
      <x:c r="D221"/>
      <x:c r="E221"/>
      <x:c r="F221"/>
      <x:c r="G221"/>
      <x:c r="H221" t="str">
        <x:v>L25-S02-C2</x:v>
      </x:c>
    </x:row>
    <x:row r="222">
      <x:c r="A222"/>
      <x:c r="B222"/>
      <x:c r="C222"/>
      <x:c r="D222"/>
      <x:c r="E222"/>
      <x:c r="F222"/>
      <x:c r="G222"/>
      <x:c r="H222" t="str">
        <x:v>L25-S02-C3</x:v>
      </x:c>
    </x:row>
    <x:row r="223">
      <x:c r="A223"/>
      <x:c r="B223"/>
      <x:c r="C223"/>
      <x:c r="D223"/>
      <x:c r="E223"/>
      <x:c r="F223"/>
      <x:c r="G223"/>
      <x:c r="H223" t="str">
        <x:v>L25-S03</x:v>
      </x:c>
    </x:row>
    <x:row r="224">
      <x:c r="A224"/>
      <x:c r="B224"/>
      <x:c r="C224"/>
      <x:c r="D224"/>
      <x:c r="E224"/>
      <x:c r="F224"/>
      <x:c r="G224"/>
      <x:c r="H224" t="str">
        <x:v>L25-S03-C1</x:v>
      </x:c>
    </x:row>
    <x:row r="225">
      <x:c r="A225"/>
      <x:c r="B225"/>
      <x:c r="C225"/>
      <x:c r="D225"/>
      <x:c r="E225"/>
      <x:c r="F225"/>
      <x:c r="G225"/>
      <x:c r="H225" t="str">
        <x:v>L25-S03-C2</x:v>
      </x:c>
    </x:row>
    <x:row r="226">
      <x:c r="A226"/>
      <x:c r="B226"/>
      <x:c r="C226"/>
      <x:c r="D226"/>
      <x:c r="E226"/>
      <x:c r="F226"/>
      <x:c r="G226"/>
      <x:c r="H226" t="str">
        <x:v>L25-S03-C3</x:v>
      </x:c>
    </x:row>
    <x:row r="227">
      <x:c r="A227"/>
      <x:c r="B227"/>
      <x:c r="C227"/>
      <x:c r="D227"/>
      <x:c r="E227"/>
      <x:c r="F227"/>
      <x:c r="G227"/>
      <x:c r="H227" t="str">
        <x:v>L25-S04</x:v>
      </x:c>
    </x:row>
    <x:row r="228">
      <x:c r="A228"/>
      <x:c r="B228"/>
      <x:c r="C228"/>
      <x:c r="D228"/>
      <x:c r="E228"/>
      <x:c r="F228"/>
      <x:c r="G228"/>
      <x:c r="H228" t="str">
        <x:v>L25-S04-C1</x:v>
      </x:c>
    </x:row>
    <x:row r="229">
      <x:c r="A229"/>
      <x:c r="B229"/>
      <x:c r="C229"/>
      <x:c r="D229"/>
      <x:c r="E229"/>
      <x:c r="F229"/>
      <x:c r="G229"/>
      <x:c r="H229" t="str">
        <x:v>L25-S04-C2</x:v>
      </x:c>
    </x:row>
    <x:row r="230">
      <x:c r="A230"/>
      <x:c r="B230"/>
      <x:c r="C230"/>
      <x:c r="D230"/>
      <x:c r="E230"/>
      <x:c r="F230"/>
      <x:c r="G230"/>
      <x:c r="H230" t="str">
        <x:v>L25-S04-C3</x:v>
      </x:c>
    </x:row>
    <x:row r="231">
      <x:c r="A231"/>
      <x:c r="B231"/>
      <x:c r="C231"/>
      <x:c r="D231"/>
      <x:c r="E231"/>
      <x:c r="F231"/>
      <x:c r="G231"/>
      <x:c r="H231" t="str">
        <x:v>L25-S05</x:v>
      </x:c>
    </x:row>
    <x:row r="232">
      <x:c r="A232"/>
      <x:c r="B232"/>
      <x:c r="C232"/>
      <x:c r="D232"/>
      <x:c r="E232"/>
      <x:c r="F232"/>
      <x:c r="G232"/>
      <x:c r="H232" t="str">
        <x:v>L25-S05-C1</x:v>
      </x:c>
    </x:row>
    <x:row r="233">
      <x:c r="A233"/>
      <x:c r="B233"/>
      <x:c r="C233"/>
      <x:c r="D233"/>
      <x:c r="E233"/>
      <x:c r="F233"/>
      <x:c r="G233"/>
      <x:c r="H233" t="str">
        <x:v>L25-S05-C2</x:v>
      </x:c>
    </x:row>
    <x:row r="234">
      <x:c r="A234"/>
      <x:c r="B234"/>
      <x:c r="C234"/>
      <x:c r="D234"/>
      <x:c r="E234"/>
      <x:c r="F234"/>
      <x:c r="G234"/>
      <x:c r="H234" t="str">
        <x:v>L25-S05-C3</x:v>
      </x:c>
    </x:row>
    <x:row r="235">
      <x:c r="A235"/>
      <x:c r="B235"/>
      <x:c r="C235"/>
      <x:c r="D235"/>
      <x:c r="E235"/>
      <x:c r="F235"/>
      <x:c r="G235"/>
      <x:c r="H235" t="str">
        <x:v>L25-S06</x:v>
      </x:c>
    </x:row>
    <x:row r="236">
      <x:c r="A236"/>
      <x:c r="B236"/>
      <x:c r="C236"/>
      <x:c r="D236"/>
      <x:c r="E236"/>
      <x:c r="F236"/>
      <x:c r="G236"/>
      <x:c r="H236" t="str">
        <x:v>L25-S06-C1</x:v>
      </x:c>
    </x:row>
    <x:row r="237">
      <x:c r="A237"/>
      <x:c r="B237"/>
      <x:c r="C237"/>
      <x:c r="D237"/>
      <x:c r="E237"/>
      <x:c r="F237"/>
      <x:c r="G237"/>
      <x:c r="H237" t="str">
        <x:v>L25-S06-C2</x:v>
      </x:c>
    </x:row>
    <x:row r="238">
      <x:c r="A238"/>
      <x:c r="B238"/>
      <x:c r="C238"/>
      <x:c r="D238"/>
      <x:c r="E238"/>
      <x:c r="F238"/>
      <x:c r="G238"/>
      <x:c r="H238" t="str">
        <x:v>L25-S06-C3</x:v>
      </x:c>
    </x:row>
    <x:row r="239">
      <x:c r="A239"/>
      <x:c r="B239"/>
      <x:c r="C239"/>
      <x:c r="D239"/>
      <x:c r="E239"/>
      <x:c r="F239"/>
      <x:c r="G239"/>
      <x:c r="H239" t="str">
        <x:v>L25-S07</x:v>
      </x:c>
    </x:row>
    <x:row r="240">
      <x:c r="A240"/>
      <x:c r="B240"/>
      <x:c r="C240"/>
      <x:c r="D240"/>
      <x:c r="E240"/>
      <x:c r="F240"/>
      <x:c r="G240"/>
      <x:c r="H240" t="str">
        <x:v>L25-S07-C1</x:v>
      </x:c>
    </x:row>
    <x:row r="241">
      <x:c r="A241"/>
      <x:c r="B241"/>
      <x:c r="C241"/>
      <x:c r="D241"/>
      <x:c r="E241"/>
      <x:c r="F241"/>
      <x:c r="G241"/>
      <x:c r="H241" t="str">
        <x:v>L25-S07-C2</x:v>
      </x:c>
    </x:row>
    <x:row r="242">
      <x:c r="A242"/>
      <x:c r="B242"/>
      <x:c r="C242"/>
      <x:c r="D242"/>
      <x:c r="E242"/>
      <x:c r="F242"/>
      <x:c r="G242"/>
      <x:c r="H242" t="str">
        <x:v>L25-S07-C3</x:v>
      </x:c>
    </x:row>
    <x:row r="243">
      <x:c r="A243"/>
      <x:c r="B243"/>
      <x:c r="C243"/>
      <x:c r="D243"/>
      <x:c r="E243"/>
      <x:c r="F243"/>
      <x:c r="G243"/>
      <x:c r="H243" t="str">
        <x:v>L25-S08</x:v>
      </x:c>
    </x:row>
    <x:row r="244">
      <x:c r="A244"/>
      <x:c r="B244"/>
      <x:c r="C244"/>
      <x:c r="D244"/>
      <x:c r="E244"/>
      <x:c r="F244"/>
      <x:c r="G244"/>
      <x:c r="H244" t="str">
        <x:v>L25-S08-C1</x:v>
      </x:c>
    </x:row>
    <x:row r="245">
      <x:c r="A245"/>
      <x:c r="B245"/>
      <x:c r="C245"/>
      <x:c r="D245"/>
      <x:c r="E245"/>
      <x:c r="F245"/>
      <x:c r="G245"/>
      <x:c r="H245" t="str">
        <x:v>L25-S08-C2</x:v>
      </x:c>
    </x:row>
    <x:row r="246">
      <x:c r="A246"/>
      <x:c r="B246"/>
      <x:c r="C246"/>
      <x:c r="D246"/>
      <x:c r="E246"/>
      <x:c r="F246"/>
      <x:c r="G246"/>
      <x:c r="H246" t="str">
        <x:v>L25-S08-C3</x:v>
      </x:c>
    </x:row>
    <x:row r="247">
      <x:c r="A247"/>
      <x:c r="B247"/>
      <x:c r="C247"/>
      <x:c r="D247"/>
      <x:c r="E247"/>
      <x:c r="F247"/>
      <x:c r="G247"/>
      <x:c r="H247" t="str">
        <x:v>L25-S09</x:v>
      </x:c>
    </x:row>
    <x:row r="248">
      <x:c r="A248"/>
      <x:c r="B248"/>
      <x:c r="C248"/>
      <x:c r="D248"/>
      <x:c r="E248"/>
      <x:c r="F248"/>
      <x:c r="G248"/>
      <x:c r="H248" t="str">
        <x:v>L25-S09-C1</x:v>
      </x:c>
    </x:row>
    <x:row r="249">
      <x:c r="A249"/>
      <x:c r="B249"/>
      <x:c r="C249"/>
      <x:c r="D249"/>
      <x:c r="E249"/>
      <x:c r="F249"/>
      <x:c r="G249"/>
      <x:c r="H249" t="str">
        <x:v>L25-S09-C2</x:v>
      </x:c>
    </x:row>
    <x:row r="250">
      <x:c r="A250"/>
      <x:c r="B250"/>
      <x:c r="C250"/>
      <x:c r="D250"/>
      <x:c r="E250"/>
      <x:c r="F250"/>
      <x:c r="G250"/>
      <x:c r="H250" t="str">
        <x:v>L25-S09-C3</x:v>
      </x:c>
    </x:row>
    <x:row r="251">
      <x:c r="A251"/>
      <x:c r="B251"/>
      <x:c r="C251"/>
      <x:c r="D251"/>
      <x:c r="E251"/>
      <x:c r="F251"/>
      <x:c r="G251"/>
      <x:c r="H251" t="str">
        <x:v>L25-S10</x:v>
      </x:c>
    </x:row>
    <x:row r="252">
      <x:c r="A252"/>
      <x:c r="B252"/>
      <x:c r="C252"/>
      <x:c r="D252"/>
      <x:c r="E252"/>
      <x:c r="F252"/>
      <x:c r="G252"/>
      <x:c r="H252" t="str">
        <x:v>L25-S10-C1</x:v>
      </x:c>
    </x:row>
    <x:row r="253">
      <x:c r="A253"/>
      <x:c r="B253"/>
      <x:c r="C253"/>
      <x:c r="D253"/>
      <x:c r="E253"/>
      <x:c r="F253"/>
      <x:c r="G253"/>
      <x:c r="H253" t="str">
        <x:v>L25-S10-C2</x:v>
      </x:c>
    </x:row>
    <x:row r="254">
      <x:c r="A254"/>
      <x:c r="B254"/>
      <x:c r="C254"/>
      <x:c r="D254"/>
      <x:c r="E254"/>
      <x:c r="F254"/>
      <x:c r="G254"/>
      <x:c r="H254" t="str">
        <x:v>L25-S10-C3</x:v>
      </x:c>
    </x:row>
    <x:row r="255">
      <x:c r="A255"/>
      <x:c r="B255"/>
      <x:c r="C255"/>
      <x:c r="D255"/>
      <x:c r="E255"/>
      <x:c r="F255"/>
      <x:c r="G255"/>
      <x:c r="H255" t="str">
        <x:v>L25-S11</x:v>
      </x:c>
    </x:row>
    <x:row r="256">
      <x:c r="A256"/>
      <x:c r="B256"/>
      <x:c r="C256"/>
      <x:c r="D256"/>
      <x:c r="E256"/>
      <x:c r="F256"/>
      <x:c r="G256"/>
      <x:c r="H256" t="str">
        <x:v>L25-S11-C1</x:v>
      </x:c>
    </x:row>
    <x:row r="257">
      <x:c r="A257"/>
      <x:c r="B257"/>
      <x:c r="C257"/>
      <x:c r="D257"/>
      <x:c r="E257"/>
      <x:c r="F257"/>
      <x:c r="G257"/>
      <x:c r="H257" t="str">
        <x:v>L25-S11-C2</x:v>
      </x:c>
    </x:row>
    <x:row r="258">
      <x:c r="A258"/>
      <x:c r="B258"/>
      <x:c r="C258"/>
      <x:c r="D258"/>
      <x:c r="E258"/>
      <x:c r="F258"/>
      <x:c r="G258"/>
      <x:c r="H258" t="str">
        <x:v>L25-S11-C3</x:v>
      </x:c>
    </x:row>
    <x:row r="259">
      <x:c r="A259"/>
      <x:c r="B259"/>
      <x:c r="C259"/>
      <x:c r="D259"/>
      <x:c r="E259"/>
      <x:c r="F259"/>
      <x:c r="G259"/>
      <x:c r="H259" t="str">
        <x:v>L25-S12</x:v>
      </x:c>
    </x:row>
    <x:row r="260">
      <x:c r="A260"/>
      <x:c r="B260"/>
      <x:c r="C260"/>
      <x:c r="D260"/>
      <x:c r="E260"/>
      <x:c r="F260"/>
      <x:c r="G260"/>
      <x:c r="H260" t="str">
        <x:v>L25-S12-C1</x:v>
      </x:c>
    </x:row>
    <x:row r="261">
      <x:c r="A261"/>
      <x:c r="B261"/>
      <x:c r="C261"/>
      <x:c r="D261"/>
      <x:c r="E261"/>
      <x:c r="F261"/>
      <x:c r="G261"/>
      <x:c r="H261" t="str">
        <x:v>L25-S12-C2</x:v>
      </x:c>
    </x:row>
    <x:row r="262">
      <x:c r="A262"/>
      <x:c r="B262"/>
      <x:c r="C262"/>
      <x:c r="D262"/>
      <x:c r="E262"/>
      <x:c r="F262"/>
      <x:c r="G262"/>
      <x:c r="H262" t="str">
        <x:v>L25-S12-C3</x:v>
      </x:c>
    </x:row>
    <x:row r="263">
      <x:c r="A263"/>
      <x:c r="B263"/>
      <x:c r="C263"/>
      <x:c r="D263"/>
      <x:c r="E263"/>
      <x:c r="F263"/>
      <x:c r="G263"/>
      <x:c r="H263" t="str">
        <x:v>L25-S13</x:v>
      </x:c>
    </x:row>
    <x:row r="264">
      <x:c r="A264"/>
      <x:c r="B264"/>
      <x:c r="C264"/>
      <x:c r="D264"/>
      <x:c r="E264"/>
      <x:c r="F264"/>
      <x:c r="G264"/>
      <x:c r="H264" t="str">
        <x:v>L25-S13-C1</x:v>
      </x:c>
    </x:row>
    <x:row r="265">
      <x:c r="A265"/>
      <x:c r="B265"/>
      <x:c r="C265"/>
      <x:c r="D265"/>
      <x:c r="E265"/>
      <x:c r="F265"/>
      <x:c r="G265"/>
      <x:c r="H265" t="str">
        <x:v>L25-S13-C2</x:v>
      </x:c>
    </x:row>
    <x:row r="266">
      <x:c r="A266"/>
      <x:c r="B266"/>
      <x:c r="C266"/>
      <x:c r="D266"/>
      <x:c r="E266"/>
      <x:c r="F266"/>
      <x:c r="G266"/>
      <x:c r="H266" t="str">
        <x:v>L25-S13-C3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8" t="str">
        <x:v>PRODUCTION CONFIGURATION — EVENT × SECTION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</x:row>
    <x:row r="2">
      <x:c r="A2" t="str">
        <x:v>Use Cavity1/2/3 overrides to record the exact active subset. Power Query can unpivot the three Active columns into cavity-grain rows.</x:v>
      </x:c>
    </x:row>
    <x:row r="4">
      <x:c r="A4" s="44" t="str">
        <x:v>ProductionConfigID</x:v>
      </x:c>
      <x:c r="B4" s="44" t="str">
        <x:v>ProductionEventID</x:v>
      </x:c>
      <x:c r="C4" s="44" t="str">
        <x:v>FactoryCode</x:v>
      </x:c>
      <x:c r="D4" s="44" t="str">
        <x:v>EventDate</x:v>
      </x:c>
      <x:c r="E4" s="44" t="str">
        <x:v>ShiftCode</x:v>
      </x:c>
      <x:c r="F4" s="44" t="str">
        <x:v>CrewCode</x:v>
      </x:c>
      <x:c r="G4" s="44" t="str">
        <x:v>LineNumber</x:v>
      </x:c>
      <x:c r="H4" s="44" t="str">
        <x:v>OrderNumber</x:v>
      </x:c>
      <x:c r="I4" s="44" t="str">
        <x:v>SectionNumber</x:v>
      </x:c>
      <x:c r="J4" s="44" t="str">
        <x:v>ParentNoSections</x:v>
      </x:c>
      <x:c r="K4" s="44" t="str">
        <x:v>ParentNoCavities</x:v>
      </x:c>
      <x:c r="L4" s="44" t="str">
        <x:v>DefaultSectionActive</x:v>
      </x:c>
      <x:c r="M4" s="44" t="str">
        <x:v>Cavity1Override</x:v>
      </x:c>
      <x:c r="N4" s="44" t="str">
        <x:v>Cavity2Override</x:v>
      </x:c>
      <x:c r="O4" s="44" t="str">
        <x:v>Cavity3Override</x:v>
      </x:c>
      <x:c r="P4" s="44" t="str">
        <x:v>Cavity1Active</x:v>
      </x:c>
      <x:c r="Q4" s="44" t="str">
        <x:v>Cavity2Active</x:v>
      </x:c>
      <x:c r="R4" s="44" t="str">
        <x:v>Cavity3Active</x:v>
      </x:c>
      <x:c r="S4" s="44" t="str">
        <x:v>ActiveCavityCount</x:v>
      </x:c>
      <x:c r="T4" s="44" t="str">
        <x:v>ConfigurationSource</x:v>
      </x:c>
      <x:c r="U4" s="44" t="str">
        <x:v>ParentEventCheck</x:v>
      </x:c>
      <x:c r="V4" s="44" t="str">
        <x:v>PhysicalCapabilityCheck</x:v>
      </x:c>
      <x:c r="W4" s="44" t="str">
        <x:v>EventReconciliationCheck</x:v>
      </x:c>
    </x:row>
    <x:row r="5">
      <x:c r="A5" t="str">
        <x:v>PC-PE-KG01-L21-20251020-AM-ORD-2025-00019-S01</x:v>
      </x:c>
      <x:c r="B5" t="str">
        <x:v>PE-KG01-L21-20251020-AM-ORD-2025-00019</x:v>
      </x:c>
      <x:c r="C5" t="str">
        <x:v>KG01</x:v>
      </x:c>
      <x:c r="D5" t="n">
        <x:v>45950</x:v>
      </x:c>
      <x:c r="E5" t="str">
        <x:v>AM</x:v>
      </x:c>
      <x:c r="F5" t="str">
        <x:v>C</x:v>
      </x:c>
      <x:c r="G5" t="n">
        <x:v>21</x:v>
      </x:c>
      <x:c r="H5" t="str">
        <x:v>ORD-2025-00019</x:v>
      </x:c>
      <x:c r="I5" t="n">
        <x:v>1</x:v>
      </x:c>
      <x:c r="J5" t="n">
        <x:v>10</x:v>
      </x:c>
      <x:c r="K5" t="n">
        <x:v>3</x:v>
      </x:c>
      <x:c r="L5" t="n">
        <x:f>IF(I5&lt;=J5,1,0)</x:f>
        <x:v>1</x:v>
      </x:c>
      <x:c r="P5" t="n">
        <x:f>IF(M5="",IF(AND(L5=1,K5&gt;=1),1,0),M5)</x:f>
        <x:v>1</x:v>
      </x:c>
      <x:c r="Q5" t="n">
        <x:f>IF(N5="",IF(AND(L5=1,K5&gt;=2),1,0),N5)</x:f>
        <x:v>1</x:v>
      </x:c>
      <x:c r="R5" t="n">
        <x:f>IF(O5="",IF(AND(L5=1,K5&gt;=3),1,0),O5)</x:f>
        <x:v>1</x:v>
      </x:c>
      <x:c r="S5" t="n">
        <x:f>SUM(P5:R5)</x:f>
        <x:v>3</x:v>
      </x:c>
      <x:c r="T5" t="str">
        <x:f>IF(COUNTA(M5:O5)=0,"DerivedFromCount","ManualOverride")</x:f>
        <x:v>DerivedFromCount</x:v>
      </x:c>
      <x:c r="U5" t="str">
        <x:f>IF(COUNTIF(DailyProduction!$Q$5:$Q$100,B5)=1,"OK","CHECK")</x:f>
        <x:v>OK</x:v>
      </x:c>
      <x:c r="V5" t="str">
        <x:f>IF(AND(I5&gt;=1,I5&lt;=13,K5&gt;=1,K5&lt;=3),"OK","CHECK")</x:f>
        <x:v>OK</x:v>
      </x:c>
      <x:c r="W5" t="str">
        <x:f>IF(SUMIF($B$5:$B$914,B5,$S$5:$S$914)=SUMIF(DailyProduction!$Q$5:$Q$100,B5,DailyProduction!$R$5:$R$100),"OK","CHECK")</x:f>
        <x:v>OK</x:v>
      </x:c>
    </x:row>
    <x:row r="6">
      <x:c r="A6" t="str">
        <x:v>PC-PE-KG01-L21-20251020-AM-ORD-2025-00019-S02</x:v>
      </x:c>
      <x:c r="B6" t="str">
        <x:v>PE-KG01-L21-20251020-AM-ORD-2025-00019</x:v>
      </x:c>
      <x:c r="C6" t="str">
        <x:v>KG01</x:v>
      </x:c>
      <x:c r="D6" t="n">
        <x:v>45950</x:v>
      </x:c>
      <x:c r="E6" t="str">
        <x:v>AM</x:v>
      </x:c>
      <x:c r="F6" t="str">
        <x:v>C</x:v>
      </x:c>
      <x:c r="G6" t="n">
        <x:v>21</x:v>
      </x:c>
      <x:c r="H6" t="str">
        <x:v>ORD-2025-00019</x:v>
      </x:c>
      <x:c r="I6" t="n">
        <x:v>2</x:v>
      </x:c>
      <x:c r="J6" t="n">
        <x:v>10</x:v>
      </x:c>
      <x:c r="K6" t="n">
        <x:v>3</x:v>
      </x:c>
      <x:c r="L6" t="n">
        <x:f>IF(I6&lt;=J6,1,0)</x:f>
        <x:v>1</x:v>
      </x:c>
      <x:c r="P6" t="n">
        <x:f>IF(M6="",IF(AND(L6=1,K6&gt;=1),1,0),M6)</x:f>
        <x:v>1</x:v>
      </x:c>
      <x:c r="Q6" t="n">
        <x:f>IF(N6="",IF(AND(L6=1,K6&gt;=2),1,0),N6)</x:f>
        <x:v>1</x:v>
      </x:c>
      <x:c r="R6" t="n">
        <x:f>IF(O6="",IF(AND(L6=1,K6&gt;=3),1,0),O6)</x:f>
        <x:v>1</x:v>
      </x:c>
      <x:c r="S6" t="n">
        <x:f>SUM(P6:R6)</x:f>
        <x:v>3</x:v>
      </x:c>
      <x:c r="T6" t="str">
        <x:f>IF(COUNTA(M6:O6)=0,"DerivedFromCount","ManualOverride")</x:f>
        <x:v>DerivedFromCount</x:v>
      </x:c>
      <x:c r="U6" t="str">
        <x:f>IF(COUNTIF(DailyProduction!$Q$5:$Q$100,B6)=1,"OK","CHECK")</x:f>
        <x:v>OK</x:v>
      </x:c>
      <x:c r="V6" t="str">
        <x:f>IF(AND(I6&gt;=1,I6&lt;=13,K6&gt;=1,K6&lt;=3),"OK","CHECK")</x:f>
        <x:v>OK</x:v>
      </x:c>
      <x:c r="W6" t="str">
        <x:f>IF(SUMIF($B$5:$B$914,B6,$S$5:$S$914)=SUMIF(DailyProduction!$Q$5:$Q$100,B6,DailyProduction!$R$5:$R$100),"OK","CHECK")</x:f>
        <x:v>OK</x:v>
      </x:c>
    </x:row>
    <x:row r="7">
      <x:c r="A7" t="str">
        <x:v>PC-PE-KG01-L21-20251020-AM-ORD-2025-00019-S03</x:v>
      </x:c>
      <x:c r="B7" t="str">
        <x:v>PE-KG01-L21-20251020-AM-ORD-2025-00019</x:v>
      </x:c>
      <x:c r="C7" t="str">
        <x:v>KG01</x:v>
      </x:c>
      <x:c r="D7" t="n">
        <x:v>45950</x:v>
      </x:c>
      <x:c r="E7" t="str">
        <x:v>AM</x:v>
      </x:c>
      <x:c r="F7" t="str">
        <x:v>C</x:v>
      </x:c>
      <x:c r="G7" t="n">
        <x:v>21</x:v>
      </x:c>
      <x:c r="H7" t="str">
        <x:v>ORD-2025-00019</x:v>
      </x:c>
      <x:c r="I7" t="n">
        <x:v>3</x:v>
      </x:c>
      <x:c r="J7" t="n">
        <x:v>10</x:v>
      </x:c>
      <x:c r="K7" t="n">
        <x:v>3</x:v>
      </x:c>
      <x:c r="L7" t="n">
        <x:f>IF(I7&lt;=J7,1,0)</x:f>
        <x:v>1</x:v>
      </x:c>
      <x:c r="P7" t="n">
        <x:f>IF(M7="",IF(AND(L7=1,K7&gt;=1),1,0),M7)</x:f>
        <x:v>1</x:v>
      </x:c>
      <x:c r="Q7" t="n">
        <x:f>IF(N7="",IF(AND(L7=1,K7&gt;=2),1,0),N7)</x:f>
        <x:v>1</x:v>
      </x:c>
      <x:c r="R7" t="n">
        <x:f>IF(O7="",IF(AND(L7=1,K7&gt;=3),1,0),O7)</x:f>
        <x:v>1</x:v>
      </x:c>
      <x:c r="S7" t="n">
        <x:f>SUM(P7:R7)</x:f>
        <x:v>3</x:v>
      </x:c>
      <x:c r="T7" t="str">
        <x:f>IF(COUNTA(M7:O7)=0,"DerivedFromCount","ManualOverride")</x:f>
        <x:v>DerivedFromCount</x:v>
      </x:c>
      <x:c r="U7" t="str">
        <x:f>IF(COUNTIF(DailyProduction!$Q$5:$Q$100,B7)=1,"OK","CHECK")</x:f>
        <x:v>OK</x:v>
      </x:c>
      <x:c r="V7" t="str">
        <x:f>IF(AND(I7&gt;=1,I7&lt;=13,K7&gt;=1,K7&lt;=3),"OK","CHECK")</x:f>
        <x:v>OK</x:v>
      </x:c>
      <x:c r="W7" t="str">
        <x:f>IF(SUMIF($B$5:$B$914,B7,$S$5:$S$914)=SUMIF(DailyProduction!$Q$5:$Q$100,B7,DailyProduction!$R$5:$R$100),"OK","CHECK")</x:f>
        <x:v>OK</x:v>
      </x:c>
    </x:row>
    <x:row r="8">
      <x:c r="A8" t="str">
        <x:v>PC-PE-KG01-L21-20251020-AM-ORD-2025-00019-S04</x:v>
      </x:c>
      <x:c r="B8" t="str">
        <x:v>PE-KG01-L21-20251020-AM-ORD-2025-00019</x:v>
      </x:c>
      <x:c r="C8" t="str">
        <x:v>KG01</x:v>
      </x:c>
      <x:c r="D8" t="n">
        <x:v>45950</x:v>
      </x:c>
      <x:c r="E8" t="str">
        <x:v>AM</x:v>
      </x:c>
      <x:c r="F8" t="str">
        <x:v>C</x:v>
      </x:c>
      <x:c r="G8" t="n">
        <x:v>21</x:v>
      </x:c>
      <x:c r="H8" t="str">
        <x:v>ORD-2025-00019</x:v>
      </x:c>
      <x:c r="I8" t="n">
        <x:v>4</x:v>
      </x:c>
      <x:c r="J8" t="n">
        <x:v>10</x:v>
      </x:c>
      <x:c r="K8" t="n">
        <x:v>3</x:v>
      </x:c>
      <x:c r="L8" t="n">
        <x:f>IF(I8&lt;=J8,1,0)</x:f>
        <x:v>1</x:v>
      </x:c>
      <x:c r="P8" t="n">
        <x:f>IF(M8="",IF(AND(L8=1,K8&gt;=1),1,0),M8)</x:f>
        <x:v>1</x:v>
      </x:c>
      <x:c r="Q8" t="n">
        <x:f>IF(N8="",IF(AND(L8=1,K8&gt;=2),1,0),N8)</x:f>
        <x:v>1</x:v>
      </x:c>
      <x:c r="R8" t="n">
        <x:f>IF(O8="",IF(AND(L8=1,K8&gt;=3),1,0),O8)</x:f>
        <x:v>1</x:v>
      </x:c>
      <x:c r="S8" t="n">
        <x:f>SUM(P8:R8)</x:f>
        <x:v>3</x:v>
      </x:c>
      <x:c r="T8" t="str">
        <x:f>IF(COUNTA(M8:O8)=0,"DerivedFromCount","ManualOverride")</x:f>
        <x:v>DerivedFromCount</x:v>
      </x:c>
      <x:c r="U8" t="str">
        <x:f>IF(COUNTIF(DailyProduction!$Q$5:$Q$100,B8)=1,"OK","CHECK")</x:f>
        <x:v>OK</x:v>
      </x:c>
      <x:c r="V8" t="str">
        <x:f>IF(AND(I8&gt;=1,I8&lt;=13,K8&gt;=1,K8&lt;=3),"OK","CHECK")</x:f>
        <x:v>OK</x:v>
      </x:c>
      <x:c r="W8" t="str">
        <x:f>IF(SUMIF($B$5:$B$914,B8,$S$5:$S$914)=SUMIF(DailyProduction!$Q$5:$Q$100,B8,DailyProduction!$R$5:$R$100),"OK","CHECK")</x:f>
        <x:v>OK</x:v>
      </x:c>
    </x:row>
    <x:row r="9">
      <x:c r="A9" t="str">
        <x:v>PC-PE-KG01-L21-20251020-AM-ORD-2025-00019-S05</x:v>
      </x:c>
      <x:c r="B9" t="str">
        <x:v>PE-KG01-L21-20251020-AM-ORD-2025-00019</x:v>
      </x:c>
      <x:c r="C9" t="str">
        <x:v>KG01</x:v>
      </x:c>
      <x:c r="D9" t="n">
        <x:v>45950</x:v>
      </x:c>
      <x:c r="E9" t="str">
        <x:v>AM</x:v>
      </x:c>
      <x:c r="F9" t="str">
        <x:v>C</x:v>
      </x:c>
      <x:c r="G9" t="n">
        <x:v>21</x:v>
      </x:c>
      <x:c r="H9" t="str">
        <x:v>ORD-2025-00019</x:v>
      </x:c>
      <x:c r="I9" t="n">
        <x:v>5</x:v>
      </x:c>
      <x:c r="J9" t="n">
        <x:v>10</x:v>
      </x:c>
      <x:c r="K9" t="n">
        <x:v>3</x:v>
      </x:c>
      <x:c r="L9" t="n">
        <x:f>IF(I9&lt;=J9,1,0)</x:f>
        <x:v>1</x:v>
      </x:c>
      <x:c r="P9" t="n">
        <x:f>IF(M9="",IF(AND(L9=1,K9&gt;=1),1,0),M9)</x:f>
        <x:v>1</x:v>
      </x:c>
      <x:c r="Q9" t="n">
        <x:f>IF(N9="",IF(AND(L9=1,K9&gt;=2),1,0),N9)</x:f>
        <x:v>1</x:v>
      </x:c>
      <x:c r="R9" t="n">
        <x:f>IF(O9="",IF(AND(L9=1,K9&gt;=3),1,0),O9)</x:f>
        <x:v>1</x:v>
      </x:c>
      <x:c r="S9" t="n">
        <x:f>SUM(P9:R9)</x:f>
        <x:v>3</x:v>
      </x:c>
      <x:c r="T9" t="str">
        <x:f>IF(COUNTA(M9:O9)=0,"DerivedFromCount","ManualOverride")</x:f>
        <x:v>DerivedFromCount</x:v>
      </x:c>
      <x:c r="U9" t="str">
        <x:f>IF(COUNTIF(DailyProduction!$Q$5:$Q$100,B9)=1,"OK","CHECK")</x:f>
        <x:v>OK</x:v>
      </x:c>
      <x:c r="V9" t="str">
        <x:f>IF(AND(I9&gt;=1,I9&lt;=13,K9&gt;=1,K9&lt;=3),"OK","CHECK")</x:f>
        <x:v>OK</x:v>
      </x:c>
      <x:c r="W9" t="str">
        <x:f>IF(SUMIF($B$5:$B$914,B9,$S$5:$S$914)=SUMIF(DailyProduction!$Q$5:$Q$100,B9,DailyProduction!$R$5:$R$100),"OK","CHECK")</x:f>
        <x:v>OK</x:v>
      </x:c>
    </x:row>
    <x:row r="10">
      <x:c r="A10" t="str">
        <x:v>PC-PE-KG01-L21-20251020-AM-ORD-2025-00019-S06</x:v>
      </x:c>
      <x:c r="B10" t="str">
        <x:v>PE-KG01-L21-20251020-AM-ORD-2025-00019</x:v>
      </x:c>
      <x:c r="C10" t="str">
        <x:v>KG01</x:v>
      </x:c>
      <x:c r="D10" t="n">
        <x:v>45950</x:v>
      </x:c>
      <x:c r="E10" t="str">
        <x:v>AM</x:v>
      </x:c>
      <x:c r="F10" t="str">
        <x:v>C</x:v>
      </x:c>
      <x:c r="G10" t="n">
        <x:v>21</x:v>
      </x:c>
      <x:c r="H10" t="str">
        <x:v>ORD-2025-00019</x:v>
      </x:c>
      <x:c r="I10" t="n">
        <x:v>6</x:v>
      </x:c>
      <x:c r="J10" t="n">
        <x:v>10</x:v>
      </x:c>
      <x:c r="K10" t="n">
        <x:v>3</x:v>
      </x:c>
      <x:c r="L10" t="n">
        <x:f>IF(I10&lt;=J10,1,0)</x:f>
        <x:v>1</x:v>
      </x:c>
      <x:c r="P10" t="n">
        <x:f>IF(M10="",IF(AND(L10=1,K10&gt;=1),1,0),M10)</x:f>
        <x:v>1</x:v>
      </x:c>
      <x:c r="Q10" t="n">
        <x:f>IF(N10="",IF(AND(L10=1,K10&gt;=2),1,0),N10)</x:f>
        <x:v>1</x:v>
      </x:c>
      <x:c r="R10" t="n">
        <x:f>IF(O10="",IF(AND(L10=1,K10&gt;=3),1,0),O10)</x:f>
        <x:v>1</x:v>
      </x:c>
      <x:c r="S10" t="n">
        <x:f>SUM(P10:R10)</x:f>
        <x:v>3</x:v>
      </x:c>
      <x:c r="T10" t="str">
        <x:f>IF(COUNTA(M10:O10)=0,"DerivedFromCount","ManualOverride")</x:f>
        <x:v>DerivedFromCount</x:v>
      </x:c>
      <x:c r="U10" t="str">
        <x:f>IF(COUNTIF(DailyProduction!$Q$5:$Q$100,B10)=1,"OK","CHECK")</x:f>
        <x:v>OK</x:v>
      </x:c>
      <x:c r="V10" t="str">
        <x:f>IF(AND(I10&gt;=1,I10&lt;=13,K10&gt;=1,K10&lt;=3),"OK","CHECK")</x:f>
        <x:v>OK</x:v>
      </x:c>
      <x:c r="W10" t="str">
        <x:f>IF(SUMIF($B$5:$B$914,B10,$S$5:$S$914)=SUMIF(DailyProduction!$Q$5:$Q$100,B10,DailyProduction!$R$5:$R$100),"OK","CHECK")</x:f>
        <x:v>OK</x:v>
      </x:c>
    </x:row>
    <x:row r="11">
      <x:c r="A11" t="str">
        <x:v>PC-PE-KG01-L21-20251020-AM-ORD-2025-00019-S07</x:v>
      </x:c>
      <x:c r="B11" t="str">
        <x:v>PE-KG01-L21-20251020-AM-ORD-2025-00019</x:v>
      </x:c>
      <x:c r="C11" t="str">
        <x:v>KG01</x:v>
      </x:c>
      <x:c r="D11" t="n">
        <x:v>45950</x:v>
      </x:c>
      <x:c r="E11" t="str">
        <x:v>AM</x:v>
      </x:c>
      <x:c r="F11" t="str">
        <x:v>C</x:v>
      </x:c>
      <x:c r="G11" t="n">
        <x:v>21</x:v>
      </x:c>
      <x:c r="H11" t="str">
        <x:v>ORD-2025-00019</x:v>
      </x:c>
      <x:c r="I11" t="n">
        <x:v>7</x:v>
      </x:c>
      <x:c r="J11" t="n">
        <x:v>10</x:v>
      </x:c>
      <x:c r="K11" t="n">
        <x:v>3</x:v>
      </x:c>
      <x:c r="L11" t="n">
        <x:f>IF(I11&lt;=J11,1,0)</x:f>
        <x:v>1</x:v>
      </x:c>
      <x:c r="P11" t="n">
        <x:f>IF(M11="",IF(AND(L11=1,K11&gt;=1),1,0),M11)</x:f>
        <x:v>1</x:v>
      </x:c>
      <x:c r="Q11" t="n">
        <x:f>IF(N11="",IF(AND(L11=1,K11&gt;=2),1,0),N11)</x:f>
        <x:v>1</x:v>
      </x:c>
      <x:c r="R11" t="n">
        <x:f>IF(O11="",IF(AND(L11=1,K11&gt;=3),1,0),O11)</x:f>
        <x:v>1</x:v>
      </x:c>
      <x:c r="S11" t="n">
        <x:f>SUM(P11:R11)</x:f>
        <x:v>3</x:v>
      </x:c>
      <x:c r="T11" t="str">
        <x:f>IF(COUNTA(M11:O11)=0,"DerivedFromCount","ManualOverride")</x:f>
        <x:v>DerivedFromCount</x:v>
      </x:c>
      <x:c r="U11" t="str">
        <x:f>IF(COUNTIF(DailyProduction!$Q$5:$Q$100,B11)=1,"OK","CHECK")</x:f>
        <x:v>OK</x:v>
      </x:c>
      <x:c r="V11" t="str">
        <x:f>IF(AND(I11&gt;=1,I11&lt;=13,K11&gt;=1,K11&lt;=3),"OK","CHECK")</x:f>
        <x:v>OK</x:v>
      </x:c>
      <x:c r="W11" t="str">
        <x:f>IF(SUMIF($B$5:$B$914,B11,$S$5:$S$914)=SUMIF(DailyProduction!$Q$5:$Q$100,B11,DailyProduction!$R$5:$R$100),"OK","CHECK")</x:f>
        <x:v>OK</x:v>
      </x:c>
    </x:row>
    <x:row r="12">
      <x:c r="A12" t="str">
        <x:v>PC-PE-KG01-L21-20251020-AM-ORD-2025-00019-S08</x:v>
      </x:c>
      <x:c r="B12" t="str">
        <x:v>PE-KG01-L21-20251020-AM-ORD-2025-00019</x:v>
      </x:c>
      <x:c r="C12" t="str">
        <x:v>KG01</x:v>
      </x:c>
      <x:c r="D12" t="n">
        <x:v>45950</x:v>
      </x:c>
      <x:c r="E12" t="str">
        <x:v>AM</x:v>
      </x:c>
      <x:c r="F12" t="str">
        <x:v>C</x:v>
      </x:c>
      <x:c r="G12" t="n">
        <x:v>21</x:v>
      </x:c>
      <x:c r="H12" t="str">
        <x:v>ORD-2025-00019</x:v>
      </x:c>
      <x:c r="I12" t="n">
        <x:v>8</x:v>
      </x:c>
      <x:c r="J12" t="n">
        <x:v>10</x:v>
      </x:c>
      <x:c r="K12" t="n">
        <x:v>3</x:v>
      </x:c>
      <x:c r="L12" t="n">
        <x:f>IF(I12&lt;=J12,1,0)</x:f>
        <x:v>1</x:v>
      </x:c>
      <x:c r="P12" t="n">
        <x:f>IF(M12="",IF(AND(L12=1,K12&gt;=1),1,0),M12)</x:f>
        <x:v>1</x:v>
      </x:c>
      <x:c r="Q12" t="n">
        <x:f>IF(N12="",IF(AND(L12=1,K12&gt;=2),1,0),N12)</x:f>
        <x:v>1</x:v>
      </x:c>
      <x:c r="R12" t="n">
        <x:f>IF(O12="",IF(AND(L12=1,K12&gt;=3),1,0),O12)</x:f>
        <x:v>1</x:v>
      </x:c>
      <x:c r="S12" t="n">
        <x:f>SUM(P12:R12)</x:f>
        <x:v>3</x:v>
      </x:c>
      <x:c r="T12" t="str">
        <x:f>IF(COUNTA(M12:O12)=0,"DerivedFromCount","ManualOverride")</x:f>
        <x:v>DerivedFromCount</x:v>
      </x:c>
      <x:c r="U12" t="str">
        <x:f>IF(COUNTIF(DailyProduction!$Q$5:$Q$100,B12)=1,"OK","CHECK")</x:f>
        <x:v>OK</x:v>
      </x:c>
      <x:c r="V12" t="str">
        <x:f>IF(AND(I12&gt;=1,I12&lt;=13,K12&gt;=1,K12&lt;=3),"OK","CHECK")</x:f>
        <x:v>OK</x:v>
      </x:c>
      <x:c r="W12" t="str">
        <x:f>IF(SUMIF($B$5:$B$914,B12,$S$5:$S$914)=SUMIF(DailyProduction!$Q$5:$Q$100,B12,DailyProduction!$R$5:$R$100),"OK","CHECK")</x:f>
        <x:v>OK</x:v>
      </x:c>
    </x:row>
    <x:row r="13">
      <x:c r="A13" t="str">
        <x:v>PC-PE-KG01-L21-20251020-AM-ORD-2025-00019-S09</x:v>
      </x:c>
      <x:c r="B13" t="str">
        <x:v>PE-KG01-L21-20251020-AM-ORD-2025-00019</x:v>
      </x:c>
      <x:c r="C13" t="str">
        <x:v>KG01</x:v>
      </x:c>
      <x:c r="D13" t="n">
        <x:v>45950</x:v>
      </x:c>
      <x:c r="E13" t="str">
        <x:v>AM</x:v>
      </x:c>
      <x:c r="F13" t="str">
        <x:v>C</x:v>
      </x:c>
      <x:c r="G13" t="n">
        <x:v>21</x:v>
      </x:c>
      <x:c r="H13" t="str">
        <x:v>ORD-2025-00019</x:v>
      </x:c>
      <x:c r="I13" t="n">
        <x:v>9</x:v>
      </x:c>
      <x:c r="J13" t="n">
        <x:v>10</x:v>
      </x:c>
      <x:c r="K13" t="n">
        <x:v>3</x:v>
      </x:c>
      <x:c r="L13" t="n">
        <x:f>IF(I13&lt;=J13,1,0)</x:f>
        <x:v>1</x:v>
      </x:c>
      <x:c r="P13" t="n">
        <x:f>IF(M13="",IF(AND(L13=1,K13&gt;=1),1,0),M13)</x:f>
        <x:v>1</x:v>
      </x:c>
      <x:c r="Q13" t="n">
        <x:f>IF(N13="",IF(AND(L13=1,K13&gt;=2),1,0),N13)</x:f>
        <x:v>1</x:v>
      </x:c>
      <x:c r="R13" t="n">
        <x:f>IF(O13="",IF(AND(L13=1,K13&gt;=3),1,0),O13)</x:f>
        <x:v>1</x:v>
      </x:c>
      <x:c r="S13" t="n">
        <x:f>SUM(P13:R13)</x:f>
        <x:v>3</x:v>
      </x:c>
      <x:c r="T13" t="str">
        <x:f>IF(COUNTA(M13:O13)=0,"DerivedFromCount","ManualOverride")</x:f>
        <x:v>DerivedFromCount</x:v>
      </x:c>
      <x:c r="U13" t="str">
        <x:f>IF(COUNTIF(DailyProduction!$Q$5:$Q$100,B13)=1,"OK","CHECK")</x:f>
        <x:v>OK</x:v>
      </x:c>
      <x:c r="V13" t="str">
        <x:f>IF(AND(I13&gt;=1,I13&lt;=13,K13&gt;=1,K13&lt;=3),"OK","CHECK")</x:f>
        <x:v>OK</x:v>
      </x:c>
      <x:c r="W13" t="str">
        <x:f>IF(SUMIF($B$5:$B$914,B13,$S$5:$S$914)=SUMIF(DailyProduction!$Q$5:$Q$100,B13,DailyProduction!$R$5:$R$100),"OK","CHECK")</x:f>
        <x:v>OK</x:v>
      </x:c>
    </x:row>
    <x:row r="14">
      <x:c r="A14" t="str">
        <x:v>PC-PE-KG01-L21-20251020-AM-ORD-2025-00019-S10</x:v>
      </x:c>
      <x:c r="B14" t="str">
        <x:v>PE-KG01-L21-20251020-AM-ORD-2025-00019</x:v>
      </x:c>
      <x:c r="C14" t="str">
        <x:v>KG01</x:v>
      </x:c>
      <x:c r="D14" t="n">
        <x:v>45950</x:v>
      </x:c>
      <x:c r="E14" t="str">
        <x:v>AM</x:v>
      </x:c>
      <x:c r="F14" t="str">
        <x:v>C</x:v>
      </x:c>
      <x:c r="G14" t="n">
        <x:v>21</x:v>
      </x:c>
      <x:c r="H14" t="str">
        <x:v>ORD-2025-00019</x:v>
      </x:c>
      <x:c r="I14" t="n">
        <x:v>10</x:v>
      </x:c>
      <x:c r="J14" t="n">
        <x:v>10</x:v>
      </x:c>
      <x:c r="K14" t="n">
        <x:v>3</x:v>
      </x:c>
      <x:c r="L14" t="n">
        <x:f>IF(I14&lt;=J14,1,0)</x:f>
        <x:v>1</x:v>
      </x:c>
      <x:c r="P14" t="n">
        <x:f>IF(M14="",IF(AND(L14=1,K14&gt;=1),1,0),M14)</x:f>
        <x:v>1</x:v>
      </x:c>
      <x:c r="Q14" t="n">
        <x:f>IF(N14="",IF(AND(L14=1,K14&gt;=2),1,0),N14)</x:f>
        <x:v>1</x:v>
      </x:c>
      <x:c r="R14" t="n">
        <x:f>IF(O14="",IF(AND(L14=1,K14&gt;=3),1,0),O14)</x:f>
        <x:v>1</x:v>
      </x:c>
      <x:c r="S14" t="n">
        <x:f>SUM(P14:R14)</x:f>
        <x:v>3</x:v>
      </x:c>
      <x:c r="T14" t="str">
        <x:f>IF(COUNTA(M14:O14)=0,"DerivedFromCount","ManualOverride")</x:f>
        <x:v>DerivedFromCount</x:v>
      </x:c>
      <x:c r="U14" t="str">
        <x:f>IF(COUNTIF(DailyProduction!$Q$5:$Q$100,B14)=1,"OK","CHECK")</x:f>
        <x:v>OK</x:v>
      </x:c>
      <x:c r="V14" t="str">
        <x:f>IF(AND(I14&gt;=1,I14&lt;=13,K14&gt;=1,K14&lt;=3),"OK","CHECK")</x:f>
        <x:v>OK</x:v>
      </x:c>
      <x:c r="W14" t="str">
        <x:f>IF(SUMIF($B$5:$B$914,B14,$S$5:$S$914)=SUMIF(DailyProduction!$Q$5:$Q$100,B14,DailyProduction!$R$5:$R$100),"OK","CHECK")</x:f>
        <x:v>OK</x:v>
      </x:c>
    </x:row>
    <x:row r="15">
      <x:c r="A15" t="str">
        <x:v>PC-PE-KG01-L21-20251020-AM-ORD-2025-00019-S11</x:v>
      </x:c>
      <x:c r="B15" t="str">
        <x:v>PE-KG01-L21-20251020-AM-ORD-2025-00019</x:v>
      </x:c>
      <x:c r="C15" t="str">
        <x:v>KG01</x:v>
      </x:c>
      <x:c r="D15" t="n">
        <x:v>45950</x:v>
      </x:c>
      <x:c r="E15" t="str">
        <x:v>AM</x:v>
      </x:c>
      <x:c r="F15" t="str">
        <x:v>C</x:v>
      </x:c>
      <x:c r="G15" t="n">
        <x:v>21</x:v>
      </x:c>
      <x:c r="H15" t="str">
        <x:v>ORD-2025-00019</x:v>
      </x:c>
      <x:c r="I15" t="n">
        <x:v>11</x:v>
      </x:c>
      <x:c r="J15" t="n">
        <x:v>10</x:v>
      </x:c>
      <x:c r="K15" t="n">
        <x:v>3</x:v>
      </x:c>
      <x:c r="L15" t="n">
        <x:f>IF(I15&lt;=J15,1,0)</x:f>
        <x:v>0</x:v>
      </x:c>
      <x:c r="P15" t="n">
        <x:f>IF(M15="",IF(AND(L15=1,K15&gt;=1),1,0),M15)</x:f>
        <x:v>0</x:v>
      </x:c>
      <x:c r="Q15" t="n">
        <x:f>IF(N15="",IF(AND(L15=1,K15&gt;=2),1,0),N15)</x:f>
        <x:v>0</x:v>
      </x:c>
      <x:c r="R15" t="n">
        <x:f>IF(O15="",IF(AND(L15=1,K15&gt;=3),1,0),O15)</x:f>
        <x:v>0</x:v>
      </x:c>
      <x:c r="S15" t="n">
        <x:f>SUM(P15:R15)</x:f>
        <x:v>0</x:v>
      </x:c>
      <x:c r="T15" t="str">
        <x:f>IF(COUNTA(M15:O15)=0,"DerivedFromCount","ManualOverride")</x:f>
        <x:v>DerivedFromCount</x:v>
      </x:c>
      <x:c r="U15" t="str">
        <x:f>IF(COUNTIF(DailyProduction!$Q$5:$Q$100,B15)=1,"OK","CHECK")</x:f>
        <x:v>OK</x:v>
      </x:c>
      <x:c r="V15" t="str">
        <x:f>IF(AND(I15&gt;=1,I15&lt;=13,K15&gt;=1,K15&lt;=3),"OK","CHECK")</x:f>
        <x:v>OK</x:v>
      </x:c>
      <x:c r="W15" t="str">
        <x:f>IF(SUMIF($B$5:$B$914,B15,$S$5:$S$914)=SUMIF(DailyProduction!$Q$5:$Q$100,B15,DailyProduction!$R$5:$R$100),"OK","CHECK")</x:f>
        <x:v>OK</x:v>
      </x:c>
    </x:row>
    <x:row r="16">
      <x:c r="A16" t="str">
        <x:v>PC-PE-KG01-L21-20251020-AM-ORD-2025-00019-S12</x:v>
      </x:c>
      <x:c r="B16" t="str">
        <x:v>PE-KG01-L21-20251020-AM-ORD-2025-00019</x:v>
      </x:c>
      <x:c r="C16" t="str">
        <x:v>KG01</x:v>
      </x:c>
      <x:c r="D16" t="n">
        <x:v>45950</x:v>
      </x:c>
      <x:c r="E16" t="str">
        <x:v>AM</x:v>
      </x:c>
      <x:c r="F16" t="str">
        <x:v>C</x:v>
      </x:c>
      <x:c r="G16" t="n">
        <x:v>21</x:v>
      </x:c>
      <x:c r="H16" t="str">
        <x:v>ORD-2025-00019</x:v>
      </x:c>
      <x:c r="I16" t="n">
        <x:v>12</x:v>
      </x:c>
      <x:c r="J16" t="n">
        <x:v>10</x:v>
      </x:c>
      <x:c r="K16" t="n">
        <x:v>3</x:v>
      </x:c>
      <x:c r="L16" t="n">
        <x:f>IF(I16&lt;=J16,1,0)</x:f>
        <x:v>0</x:v>
      </x:c>
      <x:c r="P16" t="n">
        <x:f>IF(M16="",IF(AND(L16=1,K16&gt;=1),1,0),M16)</x:f>
        <x:v>0</x:v>
      </x:c>
      <x:c r="Q16" t="n">
        <x:f>IF(N16="",IF(AND(L16=1,K16&gt;=2),1,0),N16)</x:f>
        <x:v>0</x:v>
      </x:c>
      <x:c r="R16" t="n">
        <x:f>IF(O16="",IF(AND(L16=1,K16&gt;=3),1,0),O16)</x:f>
        <x:v>0</x:v>
      </x:c>
      <x:c r="S16" t="n">
        <x:f>SUM(P16:R16)</x:f>
        <x:v>0</x:v>
      </x:c>
      <x:c r="T16" t="str">
        <x:f>IF(COUNTA(M16:O16)=0,"DerivedFromCount","ManualOverride")</x:f>
        <x:v>DerivedFromCount</x:v>
      </x:c>
      <x:c r="U16" t="str">
        <x:f>IF(COUNTIF(DailyProduction!$Q$5:$Q$100,B16)=1,"OK","CHECK")</x:f>
        <x:v>OK</x:v>
      </x:c>
      <x:c r="V16" t="str">
        <x:f>IF(AND(I16&gt;=1,I16&lt;=13,K16&gt;=1,K16&lt;=3),"OK","CHECK")</x:f>
        <x:v>OK</x:v>
      </x:c>
      <x:c r="W16" t="str">
        <x:f>IF(SUMIF($B$5:$B$914,B16,$S$5:$S$914)=SUMIF(DailyProduction!$Q$5:$Q$100,B16,DailyProduction!$R$5:$R$100),"OK","CHECK")</x:f>
        <x:v>OK</x:v>
      </x:c>
    </x:row>
    <x:row r="17">
      <x:c r="A17" t="str">
        <x:v>PC-PE-KG01-L21-20251020-AM-ORD-2025-00019-S13</x:v>
      </x:c>
      <x:c r="B17" t="str">
        <x:v>PE-KG01-L21-20251020-AM-ORD-2025-00019</x:v>
      </x:c>
      <x:c r="C17" t="str">
        <x:v>KG01</x:v>
      </x:c>
      <x:c r="D17" t="n">
        <x:v>45950</x:v>
      </x:c>
      <x:c r="E17" t="str">
        <x:v>AM</x:v>
      </x:c>
      <x:c r="F17" t="str">
        <x:v>C</x:v>
      </x:c>
      <x:c r="G17" t="n">
        <x:v>21</x:v>
      </x:c>
      <x:c r="H17" t="str">
        <x:v>ORD-2025-00019</x:v>
      </x:c>
      <x:c r="I17" t="n">
        <x:v>13</x:v>
      </x:c>
      <x:c r="J17" t="n">
        <x:v>10</x:v>
      </x:c>
      <x:c r="K17" t="n">
        <x:v>3</x:v>
      </x:c>
      <x:c r="L17" t="n">
        <x:f>IF(I17&lt;=J17,1,0)</x:f>
        <x:v>0</x:v>
      </x:c>
      <x:c r="P17" t="n">
        <x:f>IF(M17="",IF(AND(L17=1,K17&gt;=1),1,0),M17)</x:f>
        <x:v>0</x:v>
      </x:c>
      <x:c r="Q17" t="n">
        <x:f>IF(N17="",IF(AND(L17=1,K17&gt;=2),1,0),N17)</x:f>
        <x:v>0</x:v>
      </x:c>
      <x:c r="R17" t="n">
        <x:f>IF(O17="",IF(AND(L17=1,K17&gt;=3),1,0),O17)</x:f>
        <x:v>0</x:v>
      </x:c>
      <x:c r="S17" t="n">
        <x:f>SUM(P17:R17)</x:f>
        <x:v>0</x:v>
      </x:c>
      <x:c r="T17" t="str">
        <x:f>IF(COUNTA(M17:O17)=0,"DerivedFromCount","ManualOverride")</x:f>
        <x:v>DerivedFromCount</x:v>
      </x:c>
      <x:c r="U17" t="str">
        <x:f>IF(COUNTIF(DailyProduction!$Q$5:$Q$100,B17)=1,"OK","CHECK")</x:f>
        <x:v>OK</x:v>
      </x:c>
      <x:c r="V17" t="str">
        <x:f>IF(AND(I17&gt;=1,I17&lt;=13,K17&gt;=1,K17&lt;=3),"OK","CHECK")</x:f>
        <x:v>OK</x:v>
      </x:c>
      <x:c r="W17" t="str">
        <x:f>IF(SUMIF($B$5:$B$914,B17,$S$5:$S$914)=SUMIF(DailyProduction!$Q$5:$Q$100,B17,DailyProduction!$R$5:$R$100),"OK","CHECK")</x:f>
        <x:v>OK</x:v>
      </x:c>
    </x:row>
    <x:row r="18">
      <x:c r="A18" t="str">
        <x:v>PC-PE-KG01-L21-20251020-PM-ORD-2025-00019-S01</x:v>
      </x:c>
      <x:c r="B18" t="str">
        <x:v>PE-KG01-L21-20251020-PM-ORD-2025-00019</x:v>
      </x:c>
      <x:c r="C18" t="str">
        <x:v>KG01</x:v>
      </x:c>
      <x:c r="D18" t="n">
        <x:v>45950</x:v>
      </x:c>
      <x:c r="E18" t="str">
        <x:v>PM</x:v>
      </x:c>
      <x:c r="F18" t="str">
        <x:v>A</x:v>
      </x:c>
      <x:c r="G18" t="n">
        <x:v>21</x:v>
      </x:c>
      <x:c r="H18" t="str">
        <x:v>ORD-2025-00019</x:v>
      </x:c>
      <x:c r="I18" t="n">
        <x:v>1</x:v>
      </x:c>
      <x:c r="J18" t="n">
        <x:v>10</x:v>
      </x:c>
      <x:c r="K18" t="n">
        <x:v>3</x:v>
      </x:c>
      <x:c r="L18" t="n">
        <x:f>IF(I18&lt;=J18,1,0)</x:f>
        <x:v>1</x:v>
      </x:c>
      <x:c r="P18" t="n">
        <x:f>IF(M18="",IF(AND(L18=1,K18&gt;=1),1,0),M18)</x:f>
        <x:v>1</x:v>
      </x:c>
      <x:c r="Q18" t="n">
        <x:f>IF(N18="",IF(AND(L18=1,K18&gt;=2),1,0),N18)</x:f>
        <x:v>1</x:v>
      </x:c>
      <x:c r="R18" t="n">
        <x:f>IF(O18="",IF(AND(L18=1,K18&gt;=3),1,0),O18)</x:f>
        <x:v>1</x:v>
      </x:c>
      <x:c r="S18" t="n">
        <x:f>SUM(P18:R18)</x:f>
        <x:v>3</x:v>
      </x:c>
      <x:c r="T18" t="str">
        <x:f>IF(COUNTA(M18:O18)=0,"DerivedFromCount","ManualOverride")</x:f>
        <x:v>DerivedFromCount</x:v>
      </x:c>
      <x:c r="U18" t="str">
        <x:f>IF(COUNTIF(DailyProduction!$Q$5:$Q$100,B18)=1,"OK","CHECK")</x:f>
        <x:v>OK</x:v>
      </x:c>
      <x:c r="V18" t="str">
        <x:f>IF(AND(I18&gt;=1,I18&lt;=13,K18&gt;=1,K18&lt;=3),"OK","CHECK")</x:f>
        <x:v>OK</x:v>
      </x:c>
      <x:c r="W18" t="str">
        <x:f>IF(SUMIF($B$5:$B$914,B18,$S$5:$S$914)=SUMIF(DailyProduction!$Q$5:$Q$100,B18,DailyProduction!$R$5:$R$100),"OK","CHECK")</x:f>
        <x:v>OK</x:v>
      </x:c>
    </x:row>
    <x:row r="19">
      <x:c r="A19" t="str">
        <x:v>PC-PE-KG01-L21-20251020-PM-ORD-2025-00019-S02</x:v>
      </x:c>
      <x:c r="B19" t="str">
        <x:v>PE-KG01-L21-20251020-PM-ORD-2025-00019</x:v>
      </x:c>
      <x:c r="C19" t="str">
        <x:v>KG01</x:v>
      </x:c>
      <x:c r="D19" t="n">
        <x:v>45950</x:v>
      </x:c>
      <x:c r="E19" t="str">
        <x:v>PM</x:v>
      </x:c>
      <x:c r="F19" t="str">
        <x:v>A</x:v>
      </x:c>
      <x:c r="G19" t="n">
        <x:v>21</x:v>
      </x:c>
      <x:c r="H19" t="str">
        <x:v>ORD-2025-00019</x:v>
      </x:c>
      <x:c r="I19" t="n">
        <x:v>2</x:v>
      </x:c>
      <x:c r="J19" t="n">
        <x:v>10</x:v>
      </x:c>
      <x:c r="K19" t="n">
        <x:v>3</x:v>
      </x:c>
      <x:c r="L19" t="n">
        <x:f>IF(I19&lt;=J19,1,0)</x:f>
        <x:v>1</x:v>
      </x:c>
      <x:c r="P19" t="n">
        <x:f>IF(M19="",IF(AND(L19=1,K19&gt;=1),1,0),M19)</x:f>
        <x:v>1</x:v>
      </x:c>
      <x:c r="Q19" t="n">
        <x:f>IF(N19="",IF(AND(L19=1,K19&gt;=2),1,0),N19)</x:f>
        <x:v>1</x:v>
      </x:c>
      <x:c r="R19" t="n">
        <x:f>IF(O19="",IF(AND(L19=1,K19&gt;=3),1,0),O19)</x:f>
        <x:v>1</x:v>
      </x:c>
      <x:c r="S19" t="n">
        <x:f>SUM(P19:R19)</x:f>
        <x:v>3</x:v>
      </x:c>
      <x:c r="T19" t="str">
        <x:f>IF(COUNTA(M19:O19)=0,"DerivedFromCount","ManualOverride")</x:f>
        <x:v>DerivedFromCount</x:v>
      </x:c>
      <x:c r="U19" t="str">
        <x:f>IF(COUNTIF(DailyProduction!$Q$5:$Q$100,B19)=1,"OK","CHECK")</x:f>
        <x:v>OK</x:v>
      </x:c>
      <x:c r="V19" t="str">
        <x:f>IF(AND(I19&gt;=1,I19&lt;=13,K19&gt;=1,K19&lt;=3),"OK","CHECK")</x:f>
        <x:v>OK</x:v>
      </x:c>
      <x:c r="W19" t="str">
        <x:f>IF(SUMIF($B$5:$B$914,B19,$S$5:$S$914)=SUMIF(DailyProduction!$Q$5:$Q$100,B19,DailyProduction!$R$5:$R$100),"OK","CHECK")</x:f>
        <x:v>OK</x:v>
      </x:c>
    </x:row>
    <x:row r="20">
      <x:c r="A20" t="str">
        <x:v>PC-PE-KG01-L21-20251020-PM-ORD-2025-00019-S03</x:v>
      </x:c>
      <x:c r="B20" t="str">
        <x:v>PE-KG01-L21-20251020-PM-ORD-2025-00019</x:v>
      </x:c>
      <x:c r="C20" t="str">
        <x:v>KG01</x:v>
      </x:c>
      <x:c r="D20" t="n">
        <x:v>45950</x:v>
      </x:c>
      <x:c r="E20" t="str">
        <x:v>PM</x:v>
      </x:c>
      <x:c r="F20" t="str">
        <x:v>A</x:v>
      </x:c>
      <x:c r="G20" t="n">
        <x:v>21</x:v>
      </x:c>
      <x:c r="H20" t="str">
        <x:v>ORD-2025-00019</x:v>
      </x:c>
      <x:c r="I20" t="n">
        <x:v>3</x:v>
      </x:c>
      <x:c r="J20" t="n">
        <x:v>10</x:v>
      </x:c>
      <x:c r="K20" t="n">
        <x:v>3</x:v>
      </x:c>
      <x:c r="L20" t="n">
        <x:f>IF(I20&lt;=J20,1,0)</x:f>
        <x:v>1</x:v>
      </x:c>
      <x:c r="P20" t="n">
        <x:f>IF(M20="",IF(AND(L20=1,K20&gt;=1),1,0),M20)</x:f>
        <x:v>1</x:v>
      </x:c>
      <x:c r="Q20" t="n">
        <x:f>IF(N20="",IF(AND(L20=1,K20&gt;=2),1,0),N20)</x:f>
        <x:v>1</x:v>
      </x:c>
      <x:c r="R20" t="n">
        <x:f>IF(O20="",IF(AND(L20=1,K20&gt;=3),1,0),O20)</x:f>
        <x:v>1</x:v>
      </x:c>
      <x:c r="S20" t="n">
        <x:f>SUM(P20:R20)</x:f>
        <x:v>3</x:v>
      </x:c>
      <x:c r="T20" t="str">
        <x:f>IF(COUNTA(M20:O20)=0,"DerivedFromCount","ManualOverride")</x:f>
        <x:v>DerivedFromCount</x:v>
      </x:c>
      <x:c r="U20" t="str">
        <x:f>IF(COUNTIF(DailyProduction!$Q$5:$Q$100,B20)=1,"OK","CHECK")</x:f>
        <x:v>OK</x:v>
      </x:c>
      <x:c r="V20" t="str">
        <x:f>IF(AND(I20&gt;=1,I20&lt;=13,K20&gt;=1,K20&lt;=3),"OK","CHECK")</x:f>
        <x:v>OK</x:v>
      </x:c>
      <x:c r="W20" t="str">
        <x:f>IF(SUMIF($B$5:$B$914,B20,$S$5:$S$914)=SUMIF(DailyProduction!$Q$5:$Q$100,B20,DailyProduction!$R$5:$R$100),"OK","CHECK")</x:f>
        <x:v>OK</x:v>
      </x:c>
    </x:row>
    <x:row r="21">
      <x:c r="A21" t="str">
        <x:v>PC-PE-KG01-L21-20251020-PM-ORD-2025-00019-S04</x:v>
      </x:c>
      <x:c r="B21" t="str">
        <x:v>PE-KG01-L21-20251020-PM-ORD-2025-00019</x:v>
      </x:c>
      <x:c r="C21" t="str">
        <x:v>KG01</x:v>
      </x:c>
      <x:c r="D21" t="n">
        <x:v>45950</x:v>
      </x:c>
      <x:c r="E21" t="str">
        <x:v>PM</x:v>
      </x:c>
      <x:c r="F21" t="str">
        <x:v>A</x:v>
      </x:c>
      <x:c r="G21" t="n">
        <x:v>21</x:v>
      </x:c>
      <x:c r="H21" t="str">
        <x:v>ORD-2025-00019</x:v>
      </x:c>
      <x:c r="I21" t="n">
        <x:v>4</x:v>
      </x:c>
      <x:c r="J21" t="n">
        <x:v>10</x:v>
      </x:c>
      <x:c r="K21" t="n">
        <x:v>3</x:v>
      </x:c>
      <x:c r="L21" t="n">
        <x:f>IF(I21&lt;=J21,1,0)</x:f>
        <x:v>1</x:v>
      </x:c>
      <x:c r="P21" t="n">
        <x:f>IF(M21="",IF(AND(L21=1,K21&gt;=1),1,0),M21)</x:f>
        <x:v>1</x:v>
      </x:c>
      <x:c r="Q21" t="n">
        <x:f>IF(N21="",IF(AND(L21=1,K21&gt;=2),1,0),N21)</x:f>
        <x:v>1</x:v>
      </x:c>
      <x:c r="R21" t="n">
        <x:f>IF(O21="",IF(AND(L21=1,K21&gt;=3),1,0),O21)</x:f>
        <x:v>1</x:v>
      </x:c>
      <x:c r="S21" t="n">
        <x:f>SUM(P21:R21)</x:f>
        <x:v>3</x:v>
      </x:c>
      <x:c r="T21" t="str">
        <x:f>IF(COUNTA(M21:O21)=0,"DerivedFromCount","ManualOverride")</x:f>
        <x:v>DerivedFromCount</x:v>
      </x:c>
      <x:c r="U21" t="str">
        <x:f>IF(COUNTIF(DailyProduction!$Q$5:$Q$100,B21)=1,"OK","CHECK")</x:f>
        <x:v>OK</x:v>
      </x:c>
      <x:c r="V21" t="str">
        <x:f>IF(AND(I21&gt;=1,I21&lt;=13,K21&gt;=1,K21&lt;=3),"OK","CHECK")</x:f>
        <x:v>OK</x:v>
      </x:c>
      <x:c r="W21" t="str">
        <x:f>IF(SUMIF($B$5:$B$914,B21,$S$5:$S$914)=SUMIF(DailyProduction!$Q$5:$Q$100,B21,DailyProduction!$R$5:$R$100),"OK","CHECK")</x:f>
        <x:v>OK</x:v>
      </x:c>
    </x:row>
    <x:row r="22">
      <x:c r="A22" t="str">
        <x:v>PC-PE-KG01-L21-20251020-PM-ORD-2025-00019-S05</x:v>
      </x:c>
      <x:c r="B22" t="str">
        <x:v>PE-KG01-L21-20251020-PM-ORD-2025-00019</x:v>
      </x:c>
      <x:c r="C22" t="str">
        <x:v>KG01</x:v>
      </x:c>
      <x:c r="D22" t="n">
        <x:v>45950</x:v>
      </x:c>
      <x:c r="E22" t="str">
        <x:v>PM</x:v>
      </x:c>
      <x:c r="F22" t="str">
        <x:v>A</x:v>
      </x:c>
      <x:c r="G22" t="n">
        <x:v>21</x:v>
      </x:c>
      <x:c r="H22" t="str">
        <x:v>ORD-2025-00019</x:v>
      </x:c>
      <x:c r="I22" t="n">
        <x:v>5</x:v>
      </x:c>
      <x:c r="J22" t="n">
        <x:v>10</x:v>
      </x:c>
      <x:c r="K22" t="n">
        <x:v>3</x:v>
      </x:c>
      <x:c r="L22" t="n">
        <x:f>IF(I22&lt;=J22,1,0)</x:f>
        <x:v>1</x:v>
      </x:c>
      <x:c r="P22" t="n">
        <x:f>IF(M22="",IF(AND(L22=1,K22&gt;=1),1,0),M22)</x:f>
        <x:v>1</x:v>
      </x:c>
      <x:c r="Q22" t="n">
        <x:f>IF(N22="",IF(AND(L22=1,K22&gt;=2),1,0),N22)</x:f>
        <x:v>1</x:v>
      </x:c>
      <x:c r="R22" t="n">
        <x:f>IF(O22="",IF(AND(L22=1,K22&gt;=3),1,0),O22)</x:f>
        <x:v>1</x:v>
      </x:c>
      <x:c r="S22" t="n">
        <x:f>SUM(P22:R22)</x:f>
        <x:v>3</x:v>
      </x:c>
      <x:c r="T22" t="str">
        <x:f>IF(COUNTA(M22:O22)=0,"DerivedFromCount","ManualOverride")</x:f>
        <x:v>DerivedFromCount</x:v>
      </x:c>
      <x:c r="U22" t="str">
        <x:f>IF(COUNTIF(DailyProduction!$Q$5:$Q$100,B22)=1,"OK","CHECK")</x:f>
        <x:v>OK</x:v>
      </x:c>
      <x:c r="V22" t="str">
        <x:f>IF(AND(I22&gt;=1,I22&lt;=13,K22&gt;=1,K22&lt;=3),"OK","CHECK")</x:f>
        <x:v>OK</x:v>
      </x:c>
      <x:c r="W22" t="str">
        <x:f>IF(SUMIF($B$5:$B$914,B22,$S$5:$S$914)=SUMIF(DailyProduction!$Q$5:$Q$100,B22,DailyProduction!$R$5:$R$100),"OK","CHECK")</x:f>
        <x:v>OK</x:v>
      </x:c>
    </x:row>
    <x:row r="23">
      <x:c r="A23" t="str">
        <x:v>PC-PE-KG01-L21-20251020-PM-ORD-2025-00019-S06</x:v>
      </x:c>
      <x:c r="B23" t="str">
        <x:v>PE-KG01-L21-20251020-PM-ORD-2025-00019</x:v>
      </x:c>
      <x:c r="C23" t="str">
        <x:v>KG01</x:v>
      </x:c>
      <x:c r="D23" t="n">
        <x:v>45950</x:v>
      </x:c>
      <x:c r="E23" t="str">
        <x:v>PM</x:v>
      </x:c>
      <x:c r="F23" t="str">
        <x:v>A</x:v>
      </x:c>
      <x:c r="G23" t="n">
        <x:v>21</x:v>
      </x:c>
      <x:c r="H23" t="str">
        <x:v>ORD-2025-00019</x:v>
      </x:c>
      <x:c r="I23" t="n">
        <x:v>6</x:v>
      </x:c>
      <x:c r="J23" t="n">
        <x:v>10</x:v>
      </x:c>
      <x:c r="K23" t="n">
        <x:v>3</x:v>
      </x:c>
      <x:c r="L23" t="n">
        <x:f>IF(I23&lt;=J23,1,0)</x:f>
        <x:v>1</x:v>
      </x:c>
      <x:c r="P23" t="n">
        <x:f>IF(M23="",IF(AND(L23=1,K23&gt;=1),1,0),M23)</x:f>
        <x:v>1</x:v>
      </x:c>
      <x:c r="Q23" t="n">
        <x:f>IF(N23="",IF(AND(L23=1,K23&gt;=2),1,0),N23)</x:f>
        <x:v>1</x:v>
      </x:c>
      <x:c r="R23" t="n">
        <x:f>IF(O23="",IF(AND(L23=1,K23&gt;=3),1,0),O23)</x:f>
        <x:v>1</x:v>
      </x:c>
      <x:c r="S23" t="n">
        <x:f>SUM(P23:R23)</x:f>
        <x:v>3</x:v>
      </x:c>
      <x:c r="T23" t="str">
        <x:f>IF(COUNTA(M23:O23)=0,"DerivedFromCount","ManualOverride")</x:f>
        <x:v>DerivedFromCount</x:v>
      </x:c>
      <x:c r="U23" t="str">
        <x:f>IF(COUNTIF(DailyProduction!$Q$5:$Q$100,B23)=1,"OK","CHECK")</x:f>
        <x:v>OK</x:v>
      </x:c>
      <x:c r="V23" t="str">
        <x:f>IF(AND(I23&gt;=1,I23&lt;=13,K23&gt;=1,K23&lt;=3),"OK","CHECK")</x:f>
        <x:v>OK</x:v>
      </x:c>
      <x:c r="W23" t="str">
        <x:f>IF(SUMIF($B$5:$B$914,B23,$S$5:$S$914)=SUMIF(DailyProduction!$Q$5:$Q$100,B23,DailyProduction!$R$5:$R$100),"OK","CHECK")</x:f>
        <x:v>OK</x:v>
      </x:c>
    </x:row>
    <x:row r="24">
      <x:c r="A24" t="str">
        <x:v>PC-PE-KG01-L21-20251020-PM-ORD-2025-00019-S07</x:v>
      </x:c>
      <x:c r="B24" t="str">
        <x:v>PE-KG01-L21-20251020-PM-ORD-2025-00019</x:v>
      </x:c>
      <x:c r="C24" t="str">
        <x:v>KG01</x:v>
      </x:c>
      <x:c r="D24" t="n">
        <x:v>45950</x:v>
      </x:c>
      <x:c r="E24" t="str">
        <x:v>PM</x:v>
      </x:c>
      <x:c r="F24" t="str">
        <x:v>A</x:v>
      </x:c>
      <x:c r="G24" t="n">
        <x:v>21</x:v>
      </x:c>
      <x:c r="H24" t="str">
        <x:v>ORD-2025-00019</x:v>
      </x:c>
      <x:c r="I24" t="n">
        <x:v>7</x:v>
      </x:c>
      <x:c r="J24" t="n">
        <x:v>10</x:v>
      </x:c>
      <x:c r="K24" t="n">
        <x:v>3</x:v>
      </x:c>
      <x:c r="L24" t="n">
        <x:f>IF(I24&lt;=J24,1,0)</x:f>
        <x:v>1</x:v>
      </x:c>
      <x:c r="P24" t="n">
        <x:f>IF(M24="",IF(AND(L24=1,K24&gt;=1),1,0),M24)</x:f>
        <x:v>1</x:v>
      </x:c>
      <x:c r="Q24" t="n">
        <x:f>IF(N24="",IF(AND(L24=1,K24&gt;=2),1,0),N24)</x:f>
        <x:v>1</x:v>
      </x:c>
      <x:c r="R24" t="n">
        <x:f>IF(O24="",IF(AND(L24=1,K24&gt;=3),1,0),O24)</x:f>
        <x:v>1</x:v>
      </x:c>
      <x:c r="S24" t="n">
        <x:f>SUM(P24:R24)</x:f>
        <x:v>3</x:v>
      </x:c>
      <x:c r="T24" t="str">
        <x:f>IF(COUNTA(M24:O24)=0,"DerivedFromCount","ManualOverride")</x:f>
        <x:v>DerivedFromCount</x:v>
      </x:c>
      <x:c r="U24" t="str">
        <x:f>IF(COUNTIF(DailyProduction!$Q$5:$Q$100,B24)=1,"OK","CHECK")</x:f>
        <x:v>OK</x:v>
      </x:c>
      <x:c r="V24" t="str">
        <x:f>IF(AND(I24&gt;=1,I24&lt;=13,K24&gt;=1,K24&lt;=3),"OK","CHECK")</x:f>
        <x:v>OK</x:v>
      </x:c>
      <x:c r="W24" t="str">
        <x:f>IF(SUMIF($B$5:$B$914,B24,$S$5:$S$914)=SUMIF(DailyProduction!$Q$5:$Q$100,B24,DailyProduction!$R$5:$R$100),"OK","CHECK")</x:f>
        <x:v>OK</x:v>
      </x:c>
    </x:row>
    <x:row r="25">
      <x:c r="A25" t="str">
        <x:v>PC-PE-KG01-L21-20251020-PM-ORD-2025-00019-S08</x:v>
      </x:c>
      <x:c r="B25" t="str">
        <x:v>PE-KG01-L21-20251020-PM-ORD-2025-00019</x:v>
      </x:c>
      <x:c r="C25" t="str">
        <x:v>KG01</x:v>
      </x:c>
      <x:c r="D25" t="n">
        <x:v>45950</x:v>
      </x:c>
      <x:c r="E25" t="str">
        <x:v>PM</x:v>
      </x:c>
      <x:c r="F25" t="str">
        <x:v>A</x:v>
      </x:c>
      <x:c r="G25" t="n">
        <x:v>21</x:v>
      </x:c>
      <x:c r="H25" t="str">
        <x:v>ORD-2025-00019</x:v>
      </x:c>
      <x:c r="I25" t="n">
        <x:v>8</x:v>
      </x:c>
      <x:c r="J25" t="n">
        <x:v>10</x:v>
      </x:c>
      <x:c r="K25" t="n">
        <x:v>3</x:v>
      </x:c>
      <x:c r="L25" t="n">
        <x:f>IF(I25&lt;=J25,1,0)</x:f>
        <x:v>1</x:v>
      </x:c>
      <x:c r="P25" t="n">
        <x:f>IF(M25="",IF(AND(L25=1,K25&gt;=1),1,0),M25)</x:f>
        <x:v>1</x:v>
      </x:c>
      <x:c r="Q25" t="n">
        <x:f>IF(N25="",IF(AND(L25=1,K25&gt;=2),1,0),N25)</x:f>
        <x:v>1</x:v>
      </x:c>
      <x:c r="R25" t="n">
        <x:f>IF(O25="",IF(AND(L25=1,K25&gt;=3),1,0),O25)</x:f>
        <x:v>1</x:v>
      </x:c>
      <x:c r="S25" t="n">
        <x:f>SUM(P25:R25)</x:f>
        <x:v>3</x:v>
      </x:c>
      <x:c r="T25" t="str">
        <x:f>IF(COUNTA(M25:O25)=0,"DerivedFromCount","ManualOverride")</x:f>
        <x:v>DerivedFromCount</x:v>
      </x:c>
      <x:c r="U25" t="str">
        <x:f>IF(COUNTIF(DailyProduction!$Q$5:$Q$100,B25)=1,"OK","CHECK")</x:f>
        <x:v>OK</x:v>
      </x:c>
      <x:c r="V25" t="str">
        <x:f>IF(AND(I25&gt;=1,I25&lt;=13,K25&gt;=1,K25&lt;=3),"OK","CHECK")</x:f>
        <x:v>OK</x:v>
      </x:c>
      <x:c r="W25" t="str">
        <x:f>IF(SUMIF($B$5:$B$914,B25,$S$5:$S$914)=SUMIF(DailyProduction!$Q$5:$Q$100,B25,DailyProduction!$R$5:$R$100),"OK","CHECK")</x:f>
        <x:v>OK</x:v>
      </x:c>
    </x:row>
    <x:row r="26">
      <x:c r="A26" t="str">
        <x:v>PC-PE-KG01-L21-20251020-PM-ORD-2025-00019-S09</x:v>
      </x:c>
      <x:c r="B26" t="str">
        <x:v>PE-KG01-L21-20251020-PM-ORD-2025-00019</x:v>
      </x:c>
      <x:c r="C26" t="str">
        <x:v>KG01</x:v>
      </x:c>
      <x:c r="D26" t="n">
        <x:v>45950</x:v>
      </x:c>
      <x:c r="E26" t="str">
        <x:v>PM</x:v>
      </x:c>
      <x:c r="F26" t="str">
        <x:v>A</x:v>
      </x:c>
      <x:c r="G26" t="n">
        <x:v>21</x:v>
      </x:c>
      <x:c r="H26" t="str">
        <x:v>ORD-2025-00019</x:v>
      </x:c>
      <x:c r="I26" t="n">
        <x:v>9</x:v>
      </x:c>
      <x:c r="J26" t="n">
        <x:v>10</x:v>
      </x:c>
      <x:c r="K26" t="n">
        <x:v>3</x:v>
      </x:c>
      <x:c r="L26" t="n">
        <x:f>IF(I26&lt;=J26,1,0)</x:f>
        <x:v>1</x:v>
      </x:c>
      <x:c r="P26" t="n">
        <x:f>IF(M26="",IF(AND(L26=1,K26&gt;=1),1,0),M26)</x:f>
        <x:v>1</x:v>
      </x:c>
      <x:c r="Q26" t="n">
        <x:f>IF(N26="",IF(AND(L26=1,K26&gt;=2),1,0),N26)</x:f>
        <x:v>1</x:v>
      </x:c>
      <x:c r="R26" t="n">
        <x:f>IF(O26="",IF(AND(L26=1,K26&gt;=3),1,0),O26)</x:f>
        <x:v>1</x:v>
      </x:c>
      <x:c r="S26" t="n">
        <x:f>SUM(P26:R26)</x:f>
        <x:v>3</x:v>
      </x:c>
      <x:c r="T26" t="str">
        <x:f>IF(COUNTA(M26:O26)=0,"DerivedFromCount","ManualOverride")</x:f>
        <x:v>DerivedFromCount</x:v>
      </x:c>
      <x:c r="U26" t="str">
        <x:f>IF(COUNTIF(DailyProduction!$Q$5:$Q$100,B26)=1,"OK","CHECK")</x:f>
        <x:v>OK</x:v>
      </x:c>
      <x:c r="V26" t="str">
        <x:f>IF(AND(I26&gt;=1,I26&lt;=13,K26&gt;=1,K26&lt;=3),"OK","CHECK")</x:f>
        <x:v>OK</x:v>
      </x:c>
      <x:c r="W26" t="str">
        <x:f>IF(SUMIF($B$5:$B$914,B26,$S$5:$S$914)=SUMIF(DailyProduction!$Q$5:$Q$100,B26,DailyProduction!$R$5:$R$100),"OK","CHECK")</x:f>
        <x:v>OK</x:v>
      </x:c>
    </x:row>
    <x:row r="27">
      <x:c r="A27" t="str">
        <x:v>PC-PE-KG01-L21-20251020-PM-ORD-2025-00019-S10</x:v>
      </x:c>
      <x:c r="B27" t="str">
        <x:v>PE-KG01-L21-20251020-PM-ORD-2025-00019</x:v>
      </x:c>
      <x:c r="C27" t="str">
        <x:v>KG01</x:v>
      </x:c>
      <x:c r="D27" t="n">
        <x:v>45950</x:v>
      </x:c>
      <x:c r="E27" t="str">
        <x:v>PM</x:v>
      </x:c>
      <x:c r="F27" t="str">
        <x:v>A</x:v>
      </x:c>
      <x:c r="G27" t="n">
        <x:v>21</x:v>
      </x:c>
      <x:c r="H27" t="str">
        <x:v>ORD-2025-00019</x:v>
      </x:c>
      <x:c r="I27" t="n">
        <x:v>10</x:v>
      </x:c>
      <x:c r="J27" t="n">
        <x:v>10</x:v>
      </x:c>
      <x:c r="K27" t="n">
        <x:v>3</x:v>
      </x:c>
      <x:c r="L27" t="n">
        <x:f>IF(I27&lt;=J27,1,0)</x:f>
        <x:v>1</x:v>
      </x:c>
      <x:c r="P27" t="n">
        <x:f>IF(M27="",IF(AND(L27=1,K27&gt;=1),1,0),M27)</x:f>
        <x:v>1</x:v>
      </x:c>
      <x:c r="Q27" t="n">
        <x:f>IF(N27="",IF(AND(L27=1,K27&gt;=2),1,0),N27)</x:f>
        <x:v>1</x:v>
      </x:c>
      <x:c r="R27" t="n">
        <x:f>IF(O27="",IF(AND(L27=1,K27&gt;=3),1,0),O27)</x:f>
        <x:v>1</x:v>
      </x:c>
      <x:c r="S27" t="n">
        <x:f>SUM(P27:R27)</x:f>
        <x:v>3</x:v>
      </x:c>
      <x:c r="T27" t="str">
        <x:f>IF(COUNTA(M27:O27)=0,"DerivedFromCount","ManualOverride")</x:f>
        <x:v>DerivedFromCount</x:v>
      </x:c>
      <x:c r="U27" t="str">
        <x:f>IF(COUNTIF(DailyProduction!$Q$5:$Q$100,B27)=1,"OK","CHECK")</x:f>
        <x:v>OK</x:v>
      </x:c>
      <x:c r="V27" t="str">
        <x:f>IF(AND(I27&gt;=1,I27&lt;=13,K27&gt;=1,K27&lt;=3),"OK","CHECK")</x:f>
        <x:v>OK</x:v>
      </x:c>
      <x:c r="W27" t="str">
        <x:f>IF(SUMIF($B$5:$B$914,B27,$S$5:$S$914)=SUMIF(DailyProduction!$Q$5:$Q$100,B27,DailyProduction!$R$5:$R$100),"OK","CHECK")</x:f>
        <x:v>OK</x:v>
      </x:c>
    </x:row>
    <x:row r="28">
      <x:c r="A28" t="str">
        <x:v>PC-PE-KG01-L21-20251020-PM-ORD-2025-00019-S11</x:v>
      </x:c>
      <x:c r="B28" t="str">
        <x:v>PE-KG01-L21-20251020-PM-ORD-2025-00019</x:v>
      </x:c>
      <x:c r="C28" t="str">
        <x:v>KG01</x:v>
      </x:c>
      <x:c r="D28" t="n">
        <x:v>45950</x:v>
      </x:c>
      <x:c r="E28" t="str">
        <x:v>PM</x:v>
      </x:c>
      <x:c r="F28" t="str">
        <x:v>A</x:v>
      </x:c>
      <x:c r="G28" t="n">
        <x:v>21</x:v>
      </x:c>
      <x:c r="H28" t="str">
        <x:v>ORD-2025-00019</x:v>
      </x:c>
      <x:c r="I28" t="n">
        <x:v>11</x:v>
      </x:c>
      <x:c r="J28" t="n">
        <x:v>10</x:v>
      </x:c>
      <x:c r="K28" t="n">
        <x:v>3</x:v>
      </x:c>
      <x:c r="L28" t="n">
        <x:f>IF(I28&lt;=J28,1,0)</x:f>
        <x:v>0</x:v>
      </x:c>
      <x:c r="P28" t="n">
        <x:f>IF(M28="",IF(AND(L28=1,K28&gt;=1),1,0),M28)</x:f>
        <x:v>0</x:v>
      </x:c>
      <x:c r="Q28" t="n">
        <x:f>IF(N28="",IF(AND(L28=1,K28&gt;=2),1,0),N28)</x:f>
        <x:v>0</x:v>
      </x:c>
      <x:c r="R28" t="n">
        <x:f>IF(O28="",IF(AND(L28=1,K28&gt;=3),1,0),O28)</x:f>
        <x:v>0</x:v>
      </x:c>
      <x:c r="S28" t="n">
        <x:f>SUM(P28:R28)</x:f>
        <x:v>0</x:v>
      </x:c>
      <x:c r="T28" t="str">
        <x:f>IF(COUNTA(M28:O28)=0,"DerivedFromCount","ManualOverride")</x:f>
        <x:v>DerivedFromCount</x:v>
      </x:c>
      <x:c r="U28" t="str">
        <x:f>IF(COUNTIF(DailyProduction!$Q$5:$Q$100,B28)=1,"OK","CHECK")</x:f>
        <x:v>OK</x:v>
      </x:c>
      <x:c r="V28" t="str">
        <x:f>IF(AND(I28&gt;=1,I28&lt;=13,K28&gt;=1,K28&lt;=3),"OK","CHECK")</x:f>
        <x:v>OK</x:v>
      </x:c>
      <x:c r="W28" t="str">
        <x:f>IF(SUMIF($B$5:$B$914,B28,$S$5:$S$914)=SUMIF(DailyProduction!$Q$5:$Q$100,B28,DailyProduction!$R$5:$R$100),"OK","CHECK")</x:f>
        <x:v>OK</x:v>
      </x:c>
    </x:row>
    <x:row r="29">
      <x:c r="A29" t="str">
        <x:v>PC-PE-KG01-L21-20251020-PM-ORD-2025-00019-S12</x:v>
      </x:c>
      <x:c r="B29" t="str">
        <x:v>PE-KG01-L21-20251020-PM-ORD-2025-00019</x:v>
      </x:c>
      <x:c r="C29" t="str">
        <x:v>KG01</x:v>
      </x:c>
      <x:c r="D29" t="n">
        <x:v>45950</x:v>
      </x:c>
      <x:c r="E29" t="str">
        <x:v>PM</x:v>
      </x:c>
      <x:c r="F29" t="str">
        <x:v>A</x:v>
      </x:c>
      <x:c r="G29" t="n">
        <x:v>21</x:v>
      </x:c>
      <x:c r="H29" t="str">
        <x:v>ORD-2025-00019</x:v>
      </x:c>
      <x:c r="I29" t="n">
        <x:v>12</x:v>
      </x:c>
      <x:c r="J29" t="n">
        <x:v>10</x:v>
      </x:c>
      <x:c r="K29" t="n">
        <x:v>3</x:v>
      </x:c>
      <x:c r="L29" t="n">
        <x:f>IF(I29&lt;=J29,1,0)</x:f>
        <x:v>0</x:v>
      </x:c>
      <x:c r="P29" t="n">
        <x:f>IF(M29="",IF(AND(L29=1,K29&gt;=1),1,0),M29)</x:f>
        <x:v>0</x:v>
      </x:c>
      <x:c r="Q29" t="n">
        <x:f>IF(N29="",IF(AND(L29=1,K29&gt;=2),1,0),N29)</x:f>
        <x:v>0</x:v>
      </x:c>
      <x:c r="R29" t="n">
        <x:f>IF(O29="",IF(AND(L29=1,K29&gt;=3),1,0),O29)</x:f>
        <x:v>0</x:v>
      </x:c>
      <x:c r="S29" t="n">
        <x:f>SUM(P29:R29)</x:f>
        <x:v>0</x:v>
      </x:c>
      <x:c r="T29" t="str">
        <x:f>IF(COUNTA(M29:O29)=0,"DerivedFromCount","ManualOverride")</x:f>
        <x:v>DerivedFromCount</x:v>
      </x:c>
      <x:c r="U29" t="str">
        <x:f>IF(COUNTIF(DailyProduction!$Q$5:$Q$100,B29)=1,"OK","CHECK")</x:f>
        <x:v>OK</x:v>
      </x:c>
      <x:c r="V29" t="str">
        <x:f>IF(AND(I29&gt;=1,I29&lt;=13,K29&gt;=1,K29&lt;=3),"OK","CHECK")</x:f>
        <x:v>OK</x:v>
      </x:c>
      <x:c r="W29" t="str">
        <x:f>IF(SUMIF($B$5:$B$914,B29,$S$5:$S$914)=SUMIF(DailyProduction!$Q$5:$Q$100,B29,DailyProduction!$R$5:$R$100),"OK","CHECK")</x:f>
        <x:v>OK</x:v>
      </x:c>
    </x:row>
    <x:row r="30">
      <x:c r="A30" t="str">
        <x:v>PC-PE-KG01-L21-20251020-PM-ORD-2025-00019-S13</x:v>
      </x:c>
      <x:c r="B30" t="str">
        <x:v>PE-KG01-L21-20251020-PM-ORD-2025-00019</x:v>
      </x:c>
      <x:c r="C30" t="str">
        <x:v>KG01</x:v>
      </x:c>
      <x:c r="D30" t="n">
        <x:v>45950</x:v>
      </x:c>
      <x:c r="E30" t="str">
        <x:v>PM</x:v>
      </x:c>
      <x:c r="F30" t="str">
        <x:v>A</x:v>
      </x:c>
      <x:c r="G30" t="n">
        <x:v>21</x:v>
      </x:c>
      <x:c r="H30" t="str">
        <x:v>ORD-2025-00019</x:v>
      </x:c>
      <x:c r="I30" t="n">
        <x:v>13</x:v>
      </x:c>
      <x:c r="J30" t="n">
        <x:v>10</x:v>
      </x:c>
      <x:c r="K30" t="n">
        <x:v>3</x:v>
      </x:c>
      <x:c r="L30" t="n">
        <x:f>IF(I30&lt;=J30,1,0)</x:f>
        <x:v>0</x:v>
      </x:c>
      <x:c r="P30" t="n">
        <x:f>IF(M30="",IF(AND(L30=1,K30&gt;=1),1,0),M30)</x:f>
        <x:v>0</x:v>
      </x:c>
      <x:c r="Q30" t="n">
        <x:f>IF(N30="",IF(AND(L30=1,K30&gt;=2),1,0),N30)</x:f>
        <x:v>0</x:v>
      </x:c>
      <x:c r="R30" t="n">
        <x:f>IF(O30="",IF(AND(L30=1,K30&gt;=3),1,0),O30)</x:f>
        <x:v>0</x:v>
      </x:c>
      <x:c r="S30" t="n">
        <x:f>SUM(P30:R30)</x:f>
        <x:v>0</x:v>
      </x:c>
      <x:c r="T30" t="str">
        <x:f>IF(COUNTA(M30:O30)=0,"DerivedFromCount","ManualOverride")</x:f>
        <x:v>DerivedFromCount</x:v>
      </x:c>
      <x:c r="U30" t="str">
        <x:f>IF(COUNTIF(DailyProduction!$Q$5:$Q$100,B30)=1,"OK","CHECK")</x:f>
        <x:v>OK</x:v>
      </x:c>
      <x:c r="V30" t="str">
        <x:f>IF(AND(I30&gt;=1,I30&lt;=13,K30&gt;=1,K30&lt;=3),"OK","CHECK")</x:f>
        <x:v>OK</x:v>
      </x:c>
      <x:c r="W30" t="str">
        <x:f>IF(SUMIF($B$5:$B$914,B30,$S$5:$S$914)=SUMIF(DailyProduction!$Q$5:$Q$100,B30,DailyProduction!$R$5:$R$100),"OK","CHECK")</x:f>
        <x:v>OK</x:v>
      </x:c>
    </x:row>
    <x:row r="31">
      <x:c r="A31" t="str">
        <x:v>PC-PE-KG01-L21-20251021-AM-ORD-2025-00020-S01</x:v>
      </x:c>
      <x:c r="B31" t="str">
        <x:v>PE-KG01-L21-20251021-AM-ORD-2025-00020</x:v>
      </x:c>
      <x:c r="C31" t="str">
        <x:v>KG01</x:v>
      </x:c>
      <x:c r="D31" t="n">
        <x:v>45951</x:v>
      </x:c>
      <x:c r="E31" t="str">
        <x:v>AM</x:v>
      </x:c>
      <x:c r="F31" t="str">
        <x:v>A</x:v>
      </x:c>
      <x:c r="G31" t="n">
        <x:v>21</x:v>
      </x:c>
      <x:c r="H31" t="str">
        <x:v>ORD-2025-00020</x:v>
      </x:c>
      <x:c r="I31" t="n">
        <x:v>1</x:v>
      </x:c>
      <x:c r="J31" t="n">
        <x:v>10</x:v>
      </x:c>
      <x:c r="K31" t="n">
        <x:v>2</x:v>
      </x:c>
      <x:c r="L31" t="n">
        <x:f>IF(I31&lt;=J31,1,0)</x:f>
        <x:v>1</x:v>
      </x:c>
      <x:c r="P31" t="n">
        <x:f>IF(M31="",IF(AND(L31=1,K31&gt;=1),1,0),M31)</x:f>
        <x:v>1</x:v>
      </x:c>
      <x:c r="Q31" t="n">
        <x:f>IF(N31="",IF(AND(L31=1,K31&gt;=2),1,0),N31)</x:f>
        <x:v>1</x:v>
      </x:c>
      <x:c r="R31" t="n">
        <x:f>IF(O31="",IF(AND(L31=1,K31&gt;=3),1,0),O31)</x:f>
        <x:v>0</x:v>
      </x:c>
      <x:c r="S31" t="n">
        <x:f>SUM(P31:R31)</x:f>
        <x:v>2</x:v>
      </x:c>
      <x:c r="T31" t="str">
        <x:f>IF(COUNTA(M31:O31)=0,"DerivedFromCount","ManualOverride")</x:f>
        <x:v>DerivedFromCount</x:v>
      </x:c>
      <x:c r="U31" t="str">
        <x:f>IF(COUNTIF(DailyProduction!$Q$5:$Q$100,B31)=1,"OK","CHECK")</x:f>
        <x:v>OK</x:v>
      </x:c>
      <x:c r="V31" t="str">
        <x:f>IF(AND(I31&gt;=1,I31&lt;=13,K31&gt;=1,K31&lt;=3),"OK","CHECK")</x:f>
        <x:v>OK</x:v>
      </x:c>
      <x:c r="W31" t="str">
        <x:f>IF(SUMIF($B$5:$B$914,B31,$S$5:$S$914)=SUMIF(DailyProduction!$Q$5:$Q$100,B31,DailyProduction!$R$5:$R$100),"OK","CHECK")</x:f>
        <x:v>OK</x:v>
      </x:c>
    </x:row>
    <x:row r="32">
      <x:c r="A32" t="str">
        <x:v>PC-PE-KG01-L21-20251021-AM-ORD-2025-00020-S02</x:v>
      </x:c>
      <x:c r="B32" t="str">
        <x:v>PE-KG01-L21-20251021-AM-ORD-2025-00020</x:v>
      </x:c>
      <x:c r="C32" t="str">
        <x:v>KG01</x:v>
      </x:c>
      <x:c r="D32" t="n">
        <x:v>45951</x:v>
      </x:c>
      <x:c r="E32" t="str">
        <x:v>AM</x:v>
      </x:c>
      <x:c r="F32" t="str">
        <x:v>A</x:v>
      </x:c>
      <x:c r="G32" t="n">
        <x:v>21</x:v>
      </x:c>
      <x:c r="H32" t="str">
        <x:v>ORD-2025-00020</x:v>
      </x:c>
      <x:c r="I32" t="n">
        <x:v>2</x:v>
      </x:c>
      <x:c r="J32" t="n">
        <x:v>10</x:v>
      </x:c>
      <x:c r="K32" t="n">
        <x:v>2</x:v>
      </x:c>
      <x:c r="L32" t="n">
        <x:f>IF(I32&lt;=J32,1,0)</x:f>
        <x:v>1</x:v>
      </x:c>
      <x:c r="P32" t="n">
        <x:f>IF(M32="",IF(AND(L32=1,K32&gt;=1),1,0),M32)</x:f>
        <x:v>1</x:v>
      </x:c>
      <x:c r="Q32" t="n">
        <x:f>IF(N32="",IF(AND(L32=1,K32&gt;=2),1,0),N32)</x:f>
        <x:v>1</x:v>
      </x:c>
      <x:c r="R32" t="n">
        <x:f>IF(O32="",IF(AND(L32=1,K32&gt;=3),1,0),O32)</x:f>
        <x:v>0</x:v>
      </x:c>
      <x:c r="S32" t="n">
        <x:f>SUM(P32:R32)</x:f>
        <x:v>2</x:v>
      </x:c>
      <x:c r="T32" t="str">
        <x:f>IF(COUNTA(M32:O32)=0,"DerivedFromCount","ManualOverride")</x:f>
        <x:v>DerivedFromCount</x:v>
      </x:c>
      <x:c r="U32" t="str">
        <x:f>IF(COUNTIF(DailyProduction!$Q$5:$Q$100,B32)=1,"OK","CHECK")</x:f>
        <x:v>OK</x:v>
      </x:c>
      <x:c r="V32" t="str">
        <x:f>IF(AND(I32&gt;=1,I32&lt;=13,K32&gt;=1,K32&lt;=3),"OK","CHECK")</x:f>
        <x:v>OK</x:v>
      </x:c>
      <x:c r="W32" t="str">
        <x:f>IF(SUMIF($B$5:$B$914,B32,$S$5:$S$914)=SUMIF(DailyProduction!$Q$5:$Q$100,B32,DailyProduction!$R$5:$R$100),"OK","CHECK")</x:f>
        <x:v>OK</x:v>
      </x:c>
    </x:row>
    <x:row r="33">
      <x:c r="A33" t="str">
        <x:v>PC-PE-KG01-L21-20251021-AM-ORD-2025-00020-S03</x:v>
      </x:c>
      <x:c r="B33" t="str">
        <x:v>PE-KG01-L21-20251021-AM-ORD-2025-00020</x:v>
      </x:c>
      <x:c r="C33" t="str">
        <x:v>KG01</x:v>
      </x:c>
      <x:c r="D33" t="n">
        <x:v>45951</x:v>
      </x:c>
      <x:c r="E33" t="str">
        <x:v>AM</x:v>
      </x:c>
      <x:c r="F33" t="str">
        <x:v>A</x:v>
      </x:c>
      <x:c r="G33" t="n">
        <x:v>21</x:v>
      </x:c>
      <x:c r="H33" t="str">
        <x:v>ORD-2025-00020</x:v>
      </x:c>
      <x:c r="I33" t="n">
        <x:v>3</x:v>
      </x:c>
      <x:c r="J33" t="n">
        <x:v>10</x:v>
      </x:c>
      <x:c r="K33" t="n">
        <x:v>2</x:v>
      </x:c>
      <x:c r="L33" t="n">
        <x:f>IF(I33&lt;=J33,1,0)</x:f>
        <x:v>1</x:v>
      </x:c>
      <x:c r="P33" t="n">
        <x:f>IF(M33="",IF(AND(L33=1,K33&gt;=1),1,0),M33)</x:f>
        <x:v>1</x:v>
      </x:c>
      <x:c r="Q33" t="n">
        <x:f>IF(N33="",IF(AND(L33=1,K33&gt;=2),1,0),N33)</x:f>
        <x:v>1</x:v>
      </x:c>
      <x:c r="R33" t="n">
        <x:f>IF(O33="",IF(AND(L33=1,K33&gt;=3),1,0),O33)</x:f>
        <x:v>0</x:v>
      </x:c>
      <x:c r="S33" t="n">
        <x:f>SUM(P33:R33)</x:f>
        <x:v>2</x:v>
      </x:c>
      <x:c r="T33" t="str">
        <x:f>IF(COUNTA(M33:O33)=0,"DerivedFromCount","ManualOverride")</x:f>
        <x:v>DerivedFromCount</x:v>
      </x:c>
      <x:c r="U33" t="str">
        <x:f>IF(COUNTIF(DailyProduction!$Q$5:$Q$100,B33)=1,"OK","CHECK")</x:f>
        <x:v>OK</x:v>
      </x:c>
      <x:c r="V33" t="str">
        <x:f>IF(AND(I33&gt;=1,I33&lt;=13,K33&gt;=1,K33&lt;=3),"OK","CHECK")</x:f>
        <x:v>OK</x:v>
      </x:c>
      <x:c r="W33" t="str">
        <x:f>IF(SUMIF($B$5:$B$914,B33,$S$5:$S$914)=SUMIF(DailyProduction!$Q$5:$Q$100,B33,DailyProduction!$R$5:$R$100),"OK","CHECK")</x:f>
        <x:v>OK</x:v>
      </x:c>
    </x:row>
    <x:row r="34">
      <x:c r="A34" t="str">
        <x:v>PC-PE-KG01-L21-20251021-AM-ORD-2025-00020-S04</x:v>
      </x:c>
      <x:c r="B34" t="str">
        <x:v>PE-KG01-L21-20251021-AM-ORD-2025-00020</x:v>
      </x:c>
      <x:c r="C34" t="str">
        <x:v>KG01</x:v>
      </x:c>
      <x:c r="D34" t="n">
        <x:v>45951</x:v>
      </x:c>
      <x:c r="E34" t="str">
        <x:v>AM</x:v>
      </x:c>
      <x:c r="F34" t="str">
        <x:v>A</x:v>
      </x:c>
      <x:c r="G34" t="n">
        <x:v>21</x:v>
      </x:c>
      <x:c r="H34" t="str">
        <x:v>ORD-2025-00020</x:v>
      </x:c>
      <x:c r="I34" t="n">
        <x:v>4</x:v>
      </x:c>
      <x:c r="J34" t="n">
        <x:v>10</x:v>
      </x:c>
      <x:c r="K34" t="n">
        <x:v>2</x:v>
      </x:c>
      <x:c r="L34" t="n">
        <x:f>IF(I34&lt;=J34,1,0)</x:f>
        <x:v>1</x:v>
      </x:c>
      <x:c r="P34" t="n">
        <x:f>IF(M34="",IF(AND(L34=1,K34&gt;=1),1,0),M34)</x:f>
        <x:v>1</x:v>
      </x:c>
      <x:c r="Q34" t="n">
        <x:f>IF(N34="",IF(AND(L34=1,K34&gt;=2),1,0),N34)</x:f>
        <x:v>1</x:v>
      </x:c>
      <x:c r="R34" t="n">
        <x:f>IF(O34="",IF(AND(L34=1,K34&gt;=3),1,0),O34)</x:f>
        <x:v>0</x:v>
      </x:c>
      <x:c r="S34" t="n">
        <x:f>SUM(P34:R34)</x:f>
        <x:v>2</x:v>
      </x:c>
      <x:c r="T34" t="str">
        <x:f>IF(COUNTA(M34:O34)=0,"DerivedFromCount","ManualOverride")</x:f>
        <x:v>DerivedFromCount</x:v>
      </x:c>
      <x:c r="U34" t="str">
        <x:f>IF(COUNTIF(DailyProduction!$Q$5:$Q$100,B34)=1,"OK","CHECK")</x:f>
        <x:v>OK</x:v>
      </x:c>
      <x:c r="V34" t="str">
        <x:f>IF(AND(I34&gt;=1,I34&lt;=13,K34&gt;=1,K34&lt;=3),"OK","CHECK")</x:f>
        <x:v>OK</x:v>
      </x:c>
      <x:c r="W34" t="str">
        <x:f>IF(SUMIF($B$5:$B$914,B34,$S$5:$S$914)=SUMIF(DailyProduction!$Q$5:$Q$100,B34,DailyProduction!$R$5:$R$100),"OK","CHECK")</x:f>
        <x:v>OK</x:v>
      </x:c>
    </x:row>
    <x:row r="35">
      <x:c r="A35" t="str">
        <x:v>PC-PE-KG01-L21-20251021-AM-ORD-2025-00020-S05</x:v>
      </x:c>
      <x:c r="B35" t="str">
        <x:v>PE-KG01-L21-20251021-AM-ORD-2025-00020</x:v>
      </x:c>
      <x:c r="C35" t="str">
        <x:v>KG01</x:v>
      </x:c>
      <x:c r="D35" t="n">
        <x:v>45951</x:v>
      </x:c>
      <x:c r="E35" t="str">
        <x:v>AM</x:v>
      </x:c>
      <x:c r="F35" t="str">
        <x:v>A</x:v>
      </x:c>
      <x:c r="G35" t="n">
        <x:v>21</x:v>
      </x:c>
      <x:c r="H35" t="str">
        <x:v>ORD-2025-00020</x:v>
      </x:c>
      <x:c r="I35" t="n">
        <x:v>5</x:v>
      </x:c>
      <x:c r="J35" t="n">
        <x:v>10</x:v>
      </x:c>
      <x:c r="K35" t="n">
        <x:v>2</x:v>
      </x:c>
      <x:c r="L35" t="n">
        <x:f>IF(I35&lt;=J35,1,0)</x:f>
        <x:v>1</x:v>
      </x:c>
      <x:c r="P35" t="n">
        <x:f>IF(M35="",IF(AND(L35=1,K35&gt;=1),1,0),M35)</x:f>
        <x:v>1</x:v>
      </x:c>
      <x:c r="Q35" t="n">
        <x:f>IF(N35="",IF(AND(L35=1,K35&gt;=2),1,0),N35)</x:f>
        <x:v>1</x:v>
      </x:c>
      <x:c r="R35" t="n">
        <x:f>IF(O35="",IF(AND(L35=1,K35&gt;=3),1,0),O35)</x:f>
        <x:v>0</x:v>
      </x:c>
      <x:c r="S35" t="n">
        <x:f>SUM(P35:R35)</x:f>
        <x:v>2</x:v>
      </x:c>
      <x:c r="T35" t="str">
        <x:f>IF(COUNTA(M35:O35)=0,"DerivedFromCount","ManualOverride")</x:f>
        <x:v>DerivedFromCount</x:v>
      </x:c>
      <x:c r="U35" t="str">
        <x:f>IF(COUNTIF(DailyProduction!$Q$5:$Q$100,B35)=1,"OK","CHECK")</x:f>
        <x:v>OK</x:v>
      </x:c>
      <x:c r="V35" t="str">
        <x:f>IF(AND(I35&gt;=1,I35&lt;=13,K35&gt;=1,K35&lt;=3),"OK","CHECK")</x:f>
        <x:v>OK</x:v>
      </x:c>
      <x:c r="W35" t="str">
        <x:f>IF(SUMIF($B$5:$B$914,B35,$S$5:$S$914)=SUMIF(DailyProduction!$Q$5:$Q$100,B35,DailyProduction!$R$5:$R$100),"OK","CHECK")</x:f>
        <x:v>OK</x:v>
      </x:c>
    </x:row>
    <x:row r="36">
      <x:c r="A36" t="str">
        <x:v>PC-PE-KG01-L21-20251021-AM-ORD-2025-00020-S06</x:v>
      </x:c>
      <x:c r="B36" t="str">
        <x:v>PE-KG01-L21-20251021-AM-ORD-2025-00020</x:v>
      </x:c>
      <x:c r="C36" t="str">
        <x:v>KG01</x:v>
      </x:c>
      <x:c r="D36" t="n">
        <x:v>45951</x:v>
      </x:c>
      <x:c r="E36" t="str">
        <x:v>AM</x:v>
      </x:c>
      <x:c r="F36" t="str">
        <x:v>A</x:v>
      </x:c>
      <x:c r="G36" t="n">
        <x:v>21</x:v>
      </x:c>
      <x:c r="H36" t="str">
        <x:v>ORD-2025-00020</x:v>
      </x:c>
      <x:c r="I36" t="n">
        <x:v>6</x:v>
      </x:c>
      <x:c r="J36" t="n">
        <x:v>10</x:v>
      </x:c>
      <x:c r="K36" t="n">
        <x:v>2</x:v>
      </x:c>
      <x:c r="L36" t="n">
        <x:f>IF(I36&lt;=J36,1,0)</x:f>
        <x:v>1</x:v>
      </x:c>
      <x:c r="P36" t="n">
        <x:f>IF(M36="",IF(AND(L36=1,K36&gt;=1),1,0),M36)</x:f>
        <x:v>1</x:v>
      </x:c>
      <x:c r="Q36" t="n">
        <x:f>IF(N36="",IF(AND(L36=1,K36&gt;=2),1,0),N36)</x:f>
        <x:v>1</x:v>
      </x:c>
      <x:c r="R36" t="n">
        <x:f>IF(O36="",IF(AND(L36=1,K36&gt;=3),1,0),O36)</x:f>
        <x:v>0</x:v>
      </x:c>
      <x:c r="S36" t="n">
        <x:f>SUM(P36:R36)</x:f>
        <x:v>2</x:v>
      </x:c>
      <x:c r="T36" t="str">
        <x:f>IF(COUNTA(M36:O36)=0,"DerivedFromCount","ManualOverride")</x:f>
        <x:v>DerivedFromCount</x:v>
      </x:c>
      <x:c r="U36" t="str">
        <x:f>IF(COUNTIF(DailyProduction!$Q$5:$Q$100,B36)=1,"OK","CHECK")</x:f>
        <x:v>OK</x:v>
      </x:c>
      <x:c r="V36" t="str">
        <x:f>IF(AND(I36&gt;=1,I36&lt;=13,K36&gt;=1,K36&lt;=3),"OK","CHECK")</x:f>
        <x:v>OK</x:v>
      </x:c>
      <x:c r="W36" t="str">
        <x:f>IF(SUMIF($B$5:$B$914,B36,$S$5:$S$914)=SUMIF(DailyProduction!$Q$5:$Q$100,B36,DailyProduction!$R$5:$R$100),"OK","CHECK")</x:f>
        <x:v>OK</x:v>
      </x:c>
    </x:row>
    <x:row r="37">
      <x:c r="A37" t="str">
        <x:v>PC-PE-KG01-L21-20251021-AM-ORD-2025-00020-S07</x:v>
      </x:c>
      <x:c r="B37" t="str">
        <x:v>PE-KG01-L21-20251021-AM-ORD-2025-00020</x:v>
      </x:c>
      <x:c r="C37" t="str">
        <x:v>KG01</x:v>
      </x:c>
      <x:c r="D37" t="n">
        <x:v>45951</x:v>
      </x:c>
      <x:c r="E37" t="str">
        <x:v>AM</x:v>
      </x:c>
      <x:c r="F37" t="str">
        <x:v>A</x:v>
      </x:c>
      <x:c r="G37" t="n">
        <x:v>21</x:v>
      </x:c>
      <x:c r="H37" t="str">
        <x:v>ORD-2025-00020</x:v>
      </x:c>
      <x:c r="I37" t="n">
        <x:v>7</x:v>
      </x:c>
      <x:c r="J37" t="n">
        <x:v>10</x:v>
      </x:c>
      <x:c r="K37" t="n">
        <x:v>2</x:v>
      </x:c>
      <x:c r="L37" t="n">
        <x:f>IF(I37&lt;=J37,1,0)</x:f>
        <x:v>1</x:v>
      </x:c>
      <x:c r="P37" t="n">
        <x:f>IF(M37="",IF(AND(L37=1,K37&gt;=1),1,0),M37)</x:f>
        <x:v>1</x:v>
      </x:c>
      <x:c r="Q37" t="n">
        <x:f>IF(N37="",IF(AND(L37=1,K37&gt;=2),1,0),N37)</x:f>
        <x:v>1</x:v>
      </x:c>
      <x:c r="R37" t="n">
        <x:f>IF(O37="",IF(AND(L37=1,K37&gt;=3),1,0),O37)</x:f>
        <x:v>0</x:v>
      </x:c>
      <x:c r="S37" t="n">
        <x:f>SUM(P37:R37)</x:f>
        <x:v>2</x:v>
      </x:c>
      <x:c r="T37" t="str">
        <x:f>IF(COUNTA(M37:O37)=0,"DerivedFromCount","ManualOverride")</x:f>
        <x:v>DerivedFromCount</x:v>
      </x:c>
      <x:c r="U37" t="str">
        <x:f>IF(COUNTIF(DailyProduction!$Q$5:$Q$100,B37)=1,"OK","CHECK")</x:f>
        <x:v>OK</x:v>
      </x:c>
      <x:c r="V37" t="str">
        <x:f>IF(AND(I37&gt;=1,I37&lt;=13,K37&gt;=1,K37&lt;=3),"OK","CHECK")</x:f>
        <x:v>OK</x:v>
      </x:c>
      <x:c r="W37" t="str">
        <x:f>IF(SUMIF($B$5:$B$914,B37,$S$5:$S$914)=SUMIF(DailyProduction!$Q$5:$Q$100,B37,DailyProduction!$R$5:$R$100),"OK","CHECK")</x:f>
        <x:v>OK</x:v>
      </x:c>
    </x:row>
    <x:row r="38">
      <x:c r="A38" t="str">
        <x:v>PC-PE-KG01-L21-20251021-AM-ORD-2025-00020-S08</x:v>
      </x:c>
      <x:c r="B38" t="str">
        <x:v>PE-KG01-L21-20251021-AM-ORD-2025-00020</x:v>
      </x:c>
      <x:c r="C38" t="str">
        <x:v>KG01</x:v>
      </x:c>
      <x:c r="D38" t="n">
        <x:v>45951</x:v>
      </x:c>
      <x:c r="E38" t="str">
        <x:v>AM</x:v>
      </x:c>
      <x:c r="F38" t="str">
        <x:v>A</x:v>
      </x:c>
      <x:c r="G38" t="n">
        <x:v>21</x:v>
      </x:c>
      <x:c r="H38" t="str">
        <x:v>ORD-2025-00020</x:v>
      </x:c>
      <x:c r="I38" t="n">
        <x:v>8</x:v>
      </x:c>
      <x:c r="J38" t="n">
        <x:v>10</x:v>
      </x:c>
      <x:c r="K38" t="n">
        <x:v>2</x:v>
      </x:c>
      <x:c r="L38" t="n">
        <x:f>IF(I38&lt;=J38,1,0)</x:f>
        <x:v>1</x:v>
      </x:c>
      <x:c r="P38" t="n">
        <x:f>IF(M38="",IF(AND(L38=1,K38&gt;=1),1,0),M38)</x:f>
        <x:v>1</x:v>
      </x:c>
      <x:c r="Q38" t="n">
        <x:f>IF(N38="",IF(AND(L38=1,K38&gt;=2),1,0),N38)</x:f>
        <x:v>1</x:v>
      </x:c>
      <x:c r="R38" t="n">
        <x:f>IF(O38="",IF(AND(L38=1,K38&gt;=3),1,0),O38)</x:f>
        <x:v>0</x:v>
      </x:c>
      <x:c r="S38" t="n">
        <x:f>SUM(P38:R38)</x:f>
        <x:v>2</x:v>
      </x:c>
      <x:c r="T38" t="str">
        <x:f>IF(COUNTA(M38:O38)=0,"DerivedFromCount","ManualOverride")</x:f>
        <x:v>DerivedFromCount</x:v>
      </x:c>
      <x:c r="U38" t="str">
        <x:f>IF(COUNTIF(DailyProduction!$Q$5:$Q$100,B38)=1,"OK","CHECK")</x:f>
        <x:v>OK</x:v>
      </x:c>
      <x:c r="V38" t="str">
        <x:f>IF(AND(I38&gt;=1,I38&lt;=13,K38&gt;=1,K38&lt;=3),"OK","CHECK")</x:f>
        <x:v>OK</x:v>
      </x:c>
      <x:c r="W38" t="str">
        <x:f>IF(SUMIF($B$5:$B$914,B38,$S$5:$S$914)=SUMIF(DailyProduction!$Q$5:$Q$100,B38,DailyProduction!$R$5:$R$100),"OK","CHECK")</x:f>
        <x:v>OK</x:v>
      </x:c>
    </x:row>
    <x:row r="39">
      <x:c r="A39" t="str">
        <x:v>PC-PE-KG01-L21-20251021-AM-ORD-2025-00020-S09</x:v>
      </x:c>
      <x:c r="B39" t="str">
        <x:v>PE-KG01-L21-20251021-AM-ORD-2025-00020</x:v>
      </x:c>
      <x:c r="C39" t="str">
        <x:v>KG01</x:v>
      </x:c>
      <x:c r="D39" t="n">
        <x:v>45951</x:v>
      </x:c>
      <x:c r="E39" t="str">
        <x:v>AM</x:v>
      </x:c>
      <x:c r="F39" t="str">
        <x:v>A</x:v>
      </x:c>
      <x:c r="G39" t="n">
        <x:v>21</x:v>
      </x:c>
      <x:c r="H39" t="str">
        <x:v>ORD-2025-00020</x:v>
      </x:c>
      <x:c r="I39" t="n">
        <x:v>9</x:v>
      </x:c>
      <x:c r="J39" t="n">
        <x:v>10</x:v>
      </x:c>
      <x:c r="K39" t="n">
        <x:v>2</x:v>
      </x:c>
      <x:c r="L39" t="n">
        <x:f>IF(I39&lt;=J39,1,0)</x:f>
        <x:v>1</x:v>
      </x:c>
      <x:c r="P39" t="n">
        <x:f>IF(M39="",IF(AND(L39=1,K39&gt;=1),1,0),M39)</x:f>
        <x:v>1</x:v>
      </x:c>
      <x:c r="Q39" t="n">
        <x:f>IF(N39="",IF(AND(L39=1,K39&gt;=2),1,0),N39)</x:f>
        <x:v>1</x:v>
      </x:c>
      <x:c r="R39" t="n">
        <x:f>IF(O39="",IF(AND(L39=1,K39&gt;=3),1,0),O39)</x:f>
        <x:v>0</x:v>
      </x:c>
      <x:c r="S39" t="n">
        <x:f>SUM(P39:R39)</x:f>
        <x:v>2</x:v>
      </x:c>
      <x:c r="T39" t="str">
        <x:f>IF(COUNTA(M39:O39)=0,"DerivedFromCount","ManualOverride")</x:f>
        <x:v>DerivedFromCount</x:v>
      </x:c>
      <x:c r="U39" t="str">
        <x:f>IF(COUNTIF(DailyProduction!$Q$5:$Q$100,B39)=1,"OK","CHECK")</x:f>
        <x:v>OK</x:v>
      </x:c>
      <x:c r="V39" t="str">
        <x:f>IF(AND(I39&gt;=1,I39&lt;=13,K39&gt;=1,K39&lt;=3),"OK","CHECK")</x:f>
        <x:v>OK</x:v>
      </x:c>
      <x:c r="W39" t="str">
        <x:f>IF(SUMIF($B$5:$B$914,B39,$S$5:$S$914)=SUMIF(DailyProduction!$Q$5:$Q$100,B39,DailyProduction!$R$5:$R$100),"OK","CHECK")</x:f>
        <x:v>OK</x:v>
      </x:c>
    </x:row>
    <x:row r="40">
      <x:c r="A40" t="str">
        <x:v>PC-PE-KG01-L21-20251021-AM-ORD-2025-00020-S10</x:v>
      </x:c>
      <x:c r="B40" t="str">
        <x:v>PE-KG01-L21-20251021-AM-ORD-2025-00020</x:v>
      </x:c>
      <x:c r="C40" t="str">
        <x:v>KG01</x:v>
      </x:c>
      <x:c r="D40" t="n">
        <x:v>45951</x:v>
      </x:c>
      <x:c r="E40" t="str">
        <x:v>AM</x:v>
      </x:c>
      <x:c r="F40" t="str">
        <x:v>A</x:v>
      </x:c>
      <x:c r="G40" t="n">
        <x:v>21</x:v>
      </x:c>
      <x:c r="H40" t="str">
        <x:v>ORD-2025-00020</x:v>
      </x:c>
      <x:c r="I40" t="n">
        <x:v>10</x:v>
      </x:c>
      <x:c r="J40" t="n">
        <x:v>10</x:v>
      </x:c>
      <x:c r="K40" t="n">
        <x:v>2</x:v>
      </x:c>
      <x:c r="L40" t="n">
        <x:f>IF(I40&lt;=J40,1,0)</x:f>
        <x:v>1</x:v>
      </x:c>
      <x:c r="P40" t="n">
        <x:f>IF(M40="",IF(AND(L40=1,K40&gt;=1),1,0),M40)</x:f>
        <x:v>1</x:v>
      </x:c>
      <x:c r="Q40" t="n">
        <x:f>IF(N40="",IF(AND(L40=1,K40&gt;=2),1,0),N40)</x:f>
        <x:v>1</x:v>
      </x:c>
      <x:c r="R40" t="n">
        <x:f>IF(O40="",IF(AND(L40=1,K40&gt;=3),1,0),O40)</x:f>
        <x:v>0</x:v>
      </x:c>
      <x:c r="S40" t="n">
        <x:f>SUM(P40:R40)</x:f>
        <x:v>2</x:v>
      </x:c>
      <x:c r="T40" t="str">
        <x:f>IF(COUNTA(M40:O40)=0,"DerivedFromCount","ManualOverride")</x:f>
        <x:v>DerivedFromCount</x:v>
      </x:c>
      <x:c r="U40" t="str">
        <x:f>IF(COUNTIF(DailyProduction!$Q$5:$Q$100,B40)=1,"OK","CHECK")</x:f>
        <x:v>OK</x:v>
      </x:c>
      <x:c r="V40" t="str">
        <x:f>IF(AND(I40&gt;=1,I40&lt;=13,K40&gt;=1,K40&lt;=3),"OK","CHECK")</x:f>
        <x:v>OK</x:v>
      </x:c>
      <x:c r="W40" t="str">
        <x:f>IF(SUMIF($B$5:$B$914,B40,$S$5:$S$914)=SUMIF(DailyProduction!$Q$5:$Q$100,B40,DailyProduction!$R$5:$R$100),"OK","CHECK")</x:f>
        <x:v>OK</x:v>
      </x:c>
    </x:row>
    <x:row r="41">
      <x:c r="A41" t="str">
        <x:v>PC-PE-KG01-L21-20251021-AM-ORD-2025-00020-S11</x:v>
      </x:c>
      <x:c r="B41" t="str">
        <x:v>PE-KG01-L21-20251021-AM-ORD-2025-00020</x:v>
      </x:c>
      <x:c r="C41" t="str">
        <x:v>KG01</x:v>
      </x:c>
      <x:c r="D41" t="n">
        <x:v>45951</x:v>
      </x:c>
      <x:c r="E41" t="str">
        <x:v>AM</x:v>
      </x:c>
      <x:c r="F41" t="str">
        <x:v>A</x:v>
      </x:c>
      <x:c r="G41" t="n">
        <x:v>21</x:v>
      </x:c>
      <x:c r="H41" t="str">
        <x:v>ORD-2025-00020</x:v>
      </x:c>
      <x:c r="I41" t="n">
        <x:v>11</x:v>
      </x:c>
      <x:c r="J41" t="n">
        <x:v>10</x:v>
      </x:c>
      <x:c r="K41" t="n">
        <x:v>2</x:v>
      </x:c>
      <x:c r="L41" t="n">
        <x:f>IF(I41&lt;=J41,1,0)</x:f>
        <x:v>0</x:v>
      </x:c>
      <x:c r="P41" t="n">
        <x:f>IF(M41="",IF(AND(L41=1,K41&gt;=1),1,0),M41)</x:f>
        <x:v>0</x:v>
      </x:c>
      <x:c r="Q41" t="n">
        <x:f>IF(N41="",IF(AND(L41=1,K41&gt;=2),1,0),N41)</x:f>
        <x:v>0</x:v>
      </x:c>
      <x:c r="R41" t="n">
        <x:f>IF(O41="",IF(AND(L41=1,K41&gt;=3),1,0),O41)</x:f>
        <x:v>0</x:v>
      </x:c>
      <x:c r="S41" t="n">
        <x:f>SUM(P41:R41)</x:f>
        <x:v>0</x:v>
      </x:c>
      <x:c r="T41" t="str">
        <x:f>IF(COUNTA(M41:O41)=0,"DerivedFromCount","ManualOverride")</x:f>
        <x:v>DerivedFromCount</x:v>
      </x:c>
      <x:c r="U41" t="str">
        <x:f>IF(COUNTIF(DailyProduction!$Q$5:$Q$100,B41)=1,"OK","CHECK")</x:f>
        <x:v>OK</x:v>
      </x:c>
      <x:c r="V41" t="str">
        <x:f>IF(AND(I41&gt;=1,I41&lt;=13,K41&gt;=1,K41&lt;=3),"OK","CHECK")</x:f>
        <x:v>OK</x:v>
      </x:c>
      <x:c r="W41" t="str">
        <x:f>IF(SUMIF($B$5:$B$914,B41,$S$5:$S$914)=SUMIF(DailyProduction!$Q$5:$Q$100,B41,DailyProduction!$R$5:$R$100),"OK","CHECK")</x:f>
        <x:v>OK</x:v>
      </x:c>
    </x:row>
    <x:row r="42">
      <x:c r="A42" t="str">
        <x:v>PC-PE-KG01-L21-20251021-AM-ORD-2025-00020-S12</x:v>
      </x:c>
      <x:c r="B42" t="str">
        <x:v>PE-KG01-L21-20251021-AM-ORD-2025-00020</x:v>
      </x:c>
      <x:c r="C42" t="str">
        <x:v>KG01</x:v>
      </x:c>
      <x:c r="D42" t="n">
        <x:v>45951</x:v>
      </x:c>
      <x:c r="E42" t="str">
        <x:v>AM</x:v>
      </x:c>
      <x:c r="F42" t="str">
        <x:v>A</x:v>
      </x:c>
      <x:c r="G42" t="n">
        <x:v>21</x:v>
      </x:c>
      <x:c r="H42" t="str">
        <x:v>ORD-2025-00020</x:v>
      </x:c>
      <x:c r="I42" t="n">
        <x:v>12</x:v>
      </x:c>
      <x:c r="J42" t="n">
        <x:v>10</x:v>
      </x:c>
      <x:c r="K42" t="n">
        <x:v>2</x:v>
      </x:c>
      <x:c r="L42" t="n">
        <x:f>IF(I42&lt;=J42,1,0)</x:f>
        <x:v>0</x:v>
      </x:c>
      <x:c r="P42" t="n">
        <x:f>IF(M42="",IF(AND(L42=1,K42&gt;=1),1,0),M42)</x:f>
        <x:v>0</x:v>
      </x:c>
      <x:c r="Q42" t="n">
        <x:f>IF(N42="",IF(AND(L42=1,K42&gt;=2),1,0),N42)</x:f>
        <x:v>0</x:v>
      </x:c>
      <x:c r="R42" t="n">
        <x:f>IF(O42="",IF(AND(L42=1,K42&gt;=3),1,0),O42)</x:f>
        <x:v>0</x:v>
      </x:c>
      <x:c r="S42" t="n">
        <x:f>SUM(P42:R42)</x:f>
        <x:v>0</x:v>
      </x:c>
      <x:c r="T42" t="str">
        <x:f>IF(COUNTA(M42:O42)=0,"DerivedFromCount","ManualOverride")</x:f>
        <x:v>DerivedFromCount</x:v>
      </x:c>
      <x:c r="U42" t="str">
        <x:f>IF(COUNTIF(DailyProduction!$Q$5:$Q$100,B42)=1,"OK","CHECK")</x:f>
        <x:v>OK</x:v>
      </x:c>
      <x:c r="V42" t="str">
        <x:f>IF(AND(I42&gt;=1,I42&lt;=13,K42&gt;=1,K42&lt;=3),"OK","CHECK")</x:f>
        <x:v>OK</x:v>
      </x:c>
      <x:c r="W42" t="str">
        <x:f>IF(SUMIF($B$5:$B$914,B42,$S$5:$S$914)=SUMIF(DailyProduction!$Q$5:$Q$100,B42,DailyProduction!$R$5:$R$100),"OK","CHECK")</x:f>
        <x:v>OK</x:v>
      </x:c>
    </x:row>
    <x:row r="43">
      <x:c r="A43" t="str">
        <x:v>PC-PE-KG01-L21-20251021-AM-ORD-2025-00020-S13</x:v>
      </x:c>
      <x:c r="B43" t="str">
        <x:v>PE-KG01-L21-20251021-AM-ORD-2025-00020</x:v>
      </x:c>
      <x:c r="C43" t="str">
        <x:v>KG01</x:v>
      </x:c>
      <x:c r="D43" t="n">
        <x:v>45951</x:v>
      </x:c>
      <x:c r="E43" t="str">
        <x:v>AM</x:v>
      </x:c>
      <x:c r="F43" t="str">
        <x:v>A</x:v>
      </x:c>
      <x:c r="G43" t="n">
        <x:v>21</x:v>
      </x:c>
      <x:c r="H43" t="str">
        <x:v>ORD-2025-00020</x:v>
      </x:c>
      <x:c r="I43" t="n">
        <x:v>13</x:v>
      </x:c>
      <x:c r="J43" t="n">
        <x:v>10</x:v>
      </x:c>
      <x:c r="K43" t="n">
        <x:v>2</x:v>
      </x:c>
      <x:c r="L43" t="n">
        <x:f>IF(I43&lt;=J43,1,0)</x:f>
        <x:v>0</x:v>
      </x:c>
      <x:c r="P43" t="n">
        <x:f>IF(M43="",IF(AND(L43=1,K43&gt;=1),1,0),M43)</x:f>
        <x:v>0</x:v>
      </x:c>
      <x:c r="Q43" t="n">
        <x:f>IF(N43="",IF(AND(L43=1,K43&gt;=2),1,0),N43)</x:f>
        <x:v>0</x:v>
      </x:c>
      <x:c r="R43" t="n">
        <x:f>IF(O43="",IF(AND(L43=1,K43&gt;=3),1,0),O43)</x:f>
        <x:v>0</x:v>
      </x:c>
      <x:c r="S43" t="n">
        <x:f>SUM(P43:R43)</x:f>
        <x:v>0</x:v>
      </x:c>
      <x:c r="T43" t="str">
        <x:f>IF(COUNTA(M43:O43)=0,"DerivedFromCount","ManualOverride")</x:f>
        <x:v>DerivedFromCount</x:v>
      </x:c>
      <x:c r="U43" t="str">
        <x:f>IF(COUNTIF(DailyProduction!$Q$5:$Q$100,B43)=1,"OK","CHECK")</x:f>
        <x:v>OK</x:v>
      </x:c>
      <x:c r="V43" t="str">
        <x:f>IF(AND(I43&gt;=1,I43&lt;=13,K43&gt;=1,K43&lt;=3),"OK","CHECK")</x:f>
        <x:v>OK</x:v>
      </x:c>
      <x:c r="W43" t="str">
        <x:f>IF(SUMIF($B$5:$B$914,B43,$S$5:$S$914)=SUMIF(DailyProduction!$Q$5:$Q$100,B43,DailyProduction!$R$5:$R$100),"OK","CHECK")</x:f>
        <x:v>OK</x:v>
      </x:c>
    </x:row>
    <x:row r="44">
      <x:c r="A44" t="str">
        <x:v>PC-PE-KG01-L21-20251021-PM-ORD-2025-00020-S01</x:v>
      </x:c>
      <x:c r="B44" t="str">
        <x:v>PE-KG01-L21-20251021-PM-ORD-2025-00020</x:v>
      </x:c>
      <x:c r="C44" t="str">
        <x:v>KG01</x:v>
      </x:c>
      <x:c r="D44" t="n">
        <x:v>45951</x:v>
      </x:c>
      <x:c r="E44" t="str">
        <x:v>PM</x:v>
      </x:c>
      <x:c r="F44" t="str">
        <x:v>B</x:v>
      </x:c>
      <x:c r="G44" t="n">
        <x:v>21</x:v>
      </x:c>
      <x:c r="H44" t="str">
        <x:v>ORD-2025-00020</x:v>
      </x:c>
      <x:c r="I44" t="n">
        <x:v>1</x:v>
      </x:c>
      <x:c r="J44" t="n">
        <x:v>10</x:v>
      </x:c>
      <x:c r="K44" t="n">
        <x:v>2</x:v>
      </x:c>
      <x:c r="L44" t="n">
        <x:f>IF(I44&lt;=J44,1,0)</x:f>
        <x:v>1</x:v>
      </x:c>
      <x:c r="P44" t="n">
        <x:f>IF(M44="",IF(AND(L44=1,K44&gt;=1),1,0),M44)</x:f>
        <x:v>1</x:v>
      </x:c>
      <x:c r="Q44" t="n">
        <x:f>IF(N44="",IF(AND(L44=1,K44&gt;=2),1,0),N44)</x:f>
        <x:v>1</x:v>
      </x:c>
      <x:c r="R44" t="n">
        <x:f>IF(O44="",IF(AND(L44=1,K44&gt;=3),1,0),O44)</x:f>
        <x:v>0</x:v>
      </x:c>
      <x:c r="S44" t="n">
        <x:f>SUM(P44:R44)</x:f>
        <x:v>2</x:v>
      </x:c>
      <x:c r="T44" t="str">
        <x:f>IF(COUNTA(M44:O44)=0,"DerivedFromCount","ManualOverride")</x:f>
        <x:v>DerivedFromCount</x:v>
      </x:c>
      <x:c r="U44" t="str">
        <x:f>IF(COUNTIF(DailyProduction!$Q$5:$Q$100,B44)=1,"OK","CHECK")</x:f>
        <x:v>OK</x:v>
      </x:c>
      <x:c r="V44" t="str">
        <x:f>IF(AND(I44&gt;=1,I44&lt;=13,K44&gt;=1,K44&lt;=3),"OK","CHECK")</x:f>
        <x:v>OK</x:v>
      </x:c>
      <x:c r="W44" t="str">
        <x:f>IF(SUMIF($B$5:$B$914,B44,$S$5:$S$914)=SUMIF(DailyProduction!$Q$5:$Q$100,B44,DailyProduction!$R$5:$R$100),"OK","CHECK")</x:f>
        <x:v>OK</x:v>
      </x:c>
    </x:row>
    <x:row r="45">
      <x:c r="A45" t="str">
        <x:v>PC-PE-KG01-L21-20251021-PM-ORD-2025-00020-S02</x:v>
      </x:c>
      <x:c r="B45" t="str">
        <x:v>PE-KG01-L21-20251021-PM-ORD-2025-00020</x:v>
      </x:c>
      <x:c r="C45" t="str">
        <x:v>KG01</x:v>
      </x:c>
      <x:c r="D45" t="n">
        <x:v>45951</x:v>
      </x:c>
      <x:c r="E45" t="str">
        <x:v>PM</x:v>
      </x:c>
      <x:c r="F45" t="str">
        <x:v>B</x:v>
      </x:c>
      <x:c r="G45" t="n">
        <x:v>21</x:v>
      </x:c>
      <x:c r="H45" t="str">
        <x:v>ORD-2025-00020</x:v>
      </x:c>
      <x:c r="I45" t="n">
        <x:v>2</x:v>
      </x:c>
      <x:c r="J45" t="n">
        <x:v>10</x:v>
      </x:c>
      <x:c r="K45" t="n">
        <x:v>2</x:v>
      </x:c>
      <x:c r="L45" t="n">
        <x:f>IF(I45&lt;=J45,1,0)</x:f>
        <x:v>1</x:v>
      </x:c>
      <x:c r="P45" t="n">
        <x:f>IF(M45="",IF(AND(L45=1,K45&gt;=1),1,0),M45)</x:f>
        <x:v>1</x:v>
      </x:c>
      <x:c r="Q45" t="n">
        <x:f>IF(N45="",IF(AND(L45=1,K45&gt;=2),1,0),N45)</x:f>
        <x:v>1</x:v>
      </x:c>
      <x:c r="R45" t="n">
        <x:f>IF(O45="",IF(AND(L45=1,K45&gt;=3),1,0),O45)</x:f>
        <x:v>0</x:v>
      </x:c>
      <x:c r="S45" t="n">
        <x:f>SUM(P45:R45)</x:f>
        <x:v>2</x:v>
      </x:c>
      <x:c r="T45" t="str">
        <x:f>IF(COUNTA(M45:O45)=0,"DerivedFromCount","ManualOverride")</x:f>
        <x:v>DerivedFromCount</x:v>
      </x:c>
      <x:c r="U45" t="str">
        <x:f>IF(COUNTIF(DailyProduction!$Q$5:$Q$100,B45)=1,"OK","CHECK")</x:f>
        <x:v>OK</x:v>
      </x:c>
      <x:c r="V45" t="str">
        <x:f>IF(AND(I45&gt;=1,I45&lt;=13,K45&gt;=1,K45&lt;=3),"OK","CHECK")</x:f>
        <x:v>OK</x:v>
      </x:c>
      <x:c r="W45" t="str">
        <x:f>IF(SUMIF($B$5:$B$914,B45,$S$5:$S$914)=SUMIF(DailyProduction!$Q$5:$Q$100,B45,DailyProduction!$R$5:$R$100),"OK","CHECK")</x:f>
        <x:v>OK</x:v>
      </x:c>
    </x:row>
    <x:row r="46">
      <x:c r="A46" t="str">
        <x:v>PC-PE-KG01-L21-20251021-PM-ORD-2025-00020-S03</x:v>
      </x:c>
      <x:c r="B46" t="str">
        <x:v>PE-KG01-L21-20251021-PM-ORD-2025-00020</x:v>
      </x:c>
      <x:c r="C46" t="str">
        <x:v>KG01</x:v>
      </x:c>
      <x:c r="D46" t="n">
        <x:v>45951</x:v>
      </x:c>
      <x:c r="E46" t="str">
        <x:v>PM</x:v>
      </x:c>
      <x:c r="F46" t="str">
        <x:v>B</x:v>
      </x:c>
      <x:c r="G46" t="n">
        <x:v>21</x:v>
      </x:c>
      <x:c r="H46" t="str">
        <x:v>ORD-2025-00020</x:v>
      </x:c>
      <x:c r="I46" t="n">
        <x:v>3</x:v>
      </x:c>
      <x:c r="J46" t="n">
        <x:v>10</x:v>
      </x:c>
      <x:c r="K46" t="n">
        <x:v>2</x:v>
      </x:c>
      <x:c r="L46" t="n">
        <x:f>IF(I46&lt;=J46,1,0)</x:f>
        <x:v>1</x:v>
      </x:c>
      <x:c r="P46" t="n">
        <x:f>IF(M46="",IF(AND(L46=1,K46&gt;=1),1,0),M46)</x:f>
        <x:v>1</x:v>
      </x:c>
      <x:c r="Q46" t="n">
        <x:f>IF(N46="",IF(AND(L46=1,K46&gt;=2),1,0),N46)</x:f>
        <x:v>1</x:v>
      </x:c>
      <x:c r="R46" t="n">
        <x:f>IF(O46="",IF(AND(L46=1,K46&gt;=3),1,0),O46)</x:f>
        <x:v>0</x:v>
      </x:c>
      <x:c r="S46" t="n">
        <x:f>SUM(P46:R46)</x:f>
        <x:v>2</x:v>
      </x:c>
      <x:c r="T46" t="str">
        <x:f>IF(COUNTA(M46:O46)=0,"DerivedFromCount","ManualOverride")</x:f>
        <x:v>DerivedFromCount</x:v>
      </x:c>
      <x:c r="U46" t="str">
        <x:f>IF(COUNTIF(DailyProduction!$Q$5:$Q$100,B46)=1,"OK","CHECK")</x:f>
        <x:v>OK</x:v>
      </x:c>
      <x:c r="V46" t="str">
        <x:f>IF(AND(I46&gt;=1,I46&lt;=13,K46&gt;=1,K46&lt;=3),"OK","CHECK")</x:f>
        <x:v>OK</x:v>
      </x:c>
      <x:c r="W46" t="str">
        <x:f>IF(SUMIF($B$5:$B$914,B46,$S$5:$S$914)=SUMIF(DailyProduction!$Q$5:$Q$100,B46,DailyProduction!$R$5:$R$100),"OK","CHECK")</x:f>
        <x:v>OK</x:v>
      </x:c>
    </x:row>
    <x:row r="47">
      <x:c r="A47" t="str">
        <x:v>PC-PE-KG01-L21-20251021-PM-ORD-2025-00020-S04</x:v>
      </x:c>
      <x:c r="B47" t="str">
        <x:v>PE-KG01-L21-20251021-PM-ORD-2025-00020</x:v>
      </x:c>
      <x:c r="C47" t="str">
        <x:v>KG01</x:v>
      </x:c>
      <x:c r="D47" t="n">
        <x:v>45951</x:v>
      </x:c>
      <x:c r="E47" t="str">
        <x:v>PM</x:v>
      </x:c>
      <x:c r="F47" t="str">
        <x:v>B</x:v>
      </x:c>
      <x:c r="G47" t="n">
        <x:v>21</x:v>
      </x:c>
      <x:c r="H47" t="str">
        <x:v>ORD-2025-00020</x:v>
      </x:c>
      <x:c r="I47" t="n">
        <x:v>4</x:v>
      </x:c>
      <x:c r="J47" t="n">
        <x:v>10</x:v>
      </x:c>
      <x:c r="K47" t="n">
        <x:v>2</x:v>
      </x:c>
      <x:c r="L47" t="n">
        <x:f>IF(I47&lt;=J47,1,0)</x:f>
        <x:v>1</x:v>
      </x:c>
      <x:c r="P47" t="n">
        <x:f>IF(M47="",IF(AND(L47=1,K47&gt;=1),1,0),M47)</x:f>
        <x:v>1</x:v>
      </x:c>
      <x:c r="Q47" t="n">
        <x:f>IF(N47="",IF(AND(L47=1,K47&gt;=2),1,0),N47)</x:f>
        <x:v>1</x:v>
      </x:c>
      <x:c r="R47" t="n">
        <x:f>IF(O47="",IF(AND(L47=1,K47&gt;=3),1,0),O47)</x:f>
        <x:v>0</x:v>
      </x:c>
      <x:c r="S47" t="n">
        <x:f>SUM(P47:R47)</x:f>
        <x:v>2</x:v>
      </x:c>
      <x:c r="T47" t="str">
        <x:f>IF(COUNTA(M47:O47)=0,"DerivedFromCount","ManualOverride")</x:f>
        <x:v>DerivedFromCount</x:v>
      </x:c>
      <x:c r="U47" t="str">
        <x:f>IF(COUNTIF(DailyProduction!$Q$5:$Q$100,B47)=1,"OK","CHECK")</x:f>
        <x:v>OK</x:v>
      </x:c>
      <x:c r="V47" t="str">
        <x:f>IF(AND(I47&gt;=1,I47&lt;=13,K47&gt;=1,K47&lt;=3),"OK","CHECK")</x:f>
        <x:v>OK</x:v>
      </x:c>
      <x:c r="W47" t="str">
        <x:f>IF(SUMIF($B$5:$B$914,B47,$S$5:$S$914)=SUMIF(DailyProduction!$Q$5:$Q$100,B47,DailyProduction!$R$5:$R$100),"OK","CHECK")</x:f>
        <x:v>OK</x:v>
      </x:c>
    </x:row>
    <x:row r="48">
      <x:c r="A48" t="str">
        <x:v>PC-PE-KG01-L21-20251021-PM-ORD-2025-00020-S05</x:v>
      </x:c>
      <x:c r="B48" t="str">
        <x:v>PE-KG01-L21-20251021-PM-ORD-2025-00020</x:v>
      </x:c>
      <x:c r="C48" t="str">
        <x:v>KG01</x:v>
      </x:c>
      <x:c r="D48" t="n">
        <x:v>45951</x:v>
      </x:c>
      <x:c r="E48" t="str">
        <x:v>PM</x:v>
      </x:c>
      <x:c r="F48" t="str">
        <x:v>B</x:v>
      </x:c>
      <x:c r="G48" t="n">
        <x:v>21</x:v>
      </x:c>
      <x:c r="H48" t="str">
        <x:v>ORD-2025-00020</x:v>
      </x:c>
      <x:c r="I48" t="n">
        <x:v>5</x:v>
      </x:c>
      <x:c r="J48" t="n">
        <x:v>10</x:v>
      </x:c>
      <x:c r="K48" t="n">
        <x:v>2</x:v>
      </x:c>
      <x:c r="L48" t="n">
        <x:f>IF(I48&lt;=J48,1,0)</x:f>
        <x:v>1</x:v>
      </x:c>
      <x:c r="P48" t="n">
        <x:f>IF(M48="",IF(AND(L48=1,K48&gt;=1),1,0),M48)</x:f>
        <x:v>1</x:v>
      </x:c>
      <x:c r="Q48" t="n">
        <x:f>IF(N48="",IF(AND(L48=1,K48&gt;=2),1,0),N48)</x:f>
        <x:v>1</x:v>
      </x:c>
      <x:c r="R48" t="n">
        <x:f>IF(O48="",IF(AND(L48=1,K48&gt;=3),1,0),O48)</x:f>
        <x:v>0</x:v>
      </x:c>
      <x:c r="S48" t="n">
        <x:f>SUM(P48:R48)</x:f>
        <x:v>2</x:v>
      </x:c>
      <x:c r="T48" t="str">
        <x:f>IF(COUNTA(M48:O48)=0,"DerivedFromCount","ManualOverride")</x:f>
        <x:v>DerivedFromCount</x:v>
      </x:c>
      <x:c r="U48" t="str">
        <x:f>IF(COUNTIF(DailyProduction!$Q$5:$Q$100,B48)=1,"OK","CHECK")</x:f>
        <x:v>OK</x:v>
      </x:c>
      <x:c r="V48" t="str">
        <x:f>IF(AND(I48&gt;=1,I48&lt;=13,K48&gt;=1,K48&lt;=3),"OK","CHECK")</x:f>
        <x:v>OK</x:v>
      </x:c>
      <x:c r="W48" t="str">
        <x:f>IF(SUMIF($B$5:$B$914,B48,$S$5:$S$914)=SUMIF(DailyProduction!$Q$5:$Q$100,B48,DailyProduction!$R$5:$R$100),"OK","CHECK")</x:f>
        <x:v>OK</x:v>
      </x:c>
    </x:row>
    <x:row r="49">
      <x:c r="A49" t="str">
        <x:v>PC-PE-KG01-L21-20251021-PM-ORD-2025-00020-S06</x:v>
      </x:c>
      <x:c r="B49" t="str">
        <x:v>PE-KG01-L21-20251021-PM-ORD-2025-00020</x:v>
      </x:c>
      <x:c r="C49" t="str">
        <x:v>KG01</x:v>
      </x:c>
      <x:c r="D49" t="n">
        <x:v>45951</x:v>
      </x:c>
      <x:c r="E49" t="str">
        <x:v>PM</x:v>
      </x:c>
      <x:c r="F49" t="str">
        <x:v>B</x:v>
      </x:c>
      <x:c r="G49" t="n">
        <x:v>21</x:v>
      </x:c>
      <x:c r="H49" t="str">
        <x:v>ORD-2025-00020</x:v>
      </x:c>
      <x:c r="I49" t="n">
        <x:v>6</x:v>
      </x:c>
      <x:c r="J49" t="n">
        <x:v>10</x:v>
      </x:c>
      <x:c r="K49" t="n">
        <x:v>2</x:v>
      </x:c>
      <x:c r="L49" t="n">
        <x:f>IF(I49&lt;=J49,1,0)</x:f>
        <x:v>1</x:v>
      </x:c>
      <x:c r="P49" t="n">
        <x:f>IF(M49="",IF(AND(L49=1,K49&gt;=1),1,0),M49)</x:f>
        <x:v>1</x:v>
      </x:c>
      <x:c r="Q49" t="n">
        <x:f>IF(N49="",IF(AND(L49=1,K49&gt;=2),1,0),N49)</x:f>
        <x:v>1</x:v>
      </x:c>
      <x:c r="R49" t="n">
        <x:f>IF(O49="",IF(AND(L49=1,K49&gt;=3),1,0),O49)</x:f>
        <x:v>0</x:v>
      </x:c>
      <x:c r="S49" t="n">
        <x:f>SUM(P49:R49)</x:f>
        <x:v>2</x:v>
      </x:c>
      <x:c r="T49" t="str">
        <x:f>IF(COUNTA(M49:O49)=0,"DerivedFromCount","ManualOverride")</x:f>
        <x:v>DerivedFromCount</x:v>
      </x:c>
      <x:c r="U49" t="str">
        <x:f>IF(COUNTIF(DailyProduction!$Q$5:$Q$100,B49)=1,"OK","CHECK")</x:f>
        <x:v>OK</x:v>
      </x:c>
      <x:c r="V49" t="str">
        <x:f>IF(AND(I49&gt;=1,I49&lt;=13,K49&gt;=1,K49&lt;=3),"OK","CHECK")</x:f>
        <x:v>OK</x:v>
      </x:c>
      <x:c r="W49" t="str">
        <x:f>IF(SUMIF($B$5:$B$914,B49,$S$5:$S$914)=SUMIF(DailyProduction!$Q$5:$Q$100,B49,DailyProduction!$R$5:$R$100),"OK","CHECK")</x:f>
        <x:v>OK</x:v>
      </x:c>
    </x:row>
    <x:row r="50">
      <x:c r="A50" t="str">
        <x:v>PC-PE-KG01-L21-20251021-PM-ORD-2025-00020-S07</x:v>
      </x:c>
      <x:c r="B50" t="str">
        <x:v>PE-KG01-L21-20251021-PM-ORD-2025-00020</x:v>
      </x:c>
      <x:c r="C50" t="str">
        <x:v>KG01</x:v>
      </x:c>
      <x:c r="D50" t="n">
        <x:v>45951</x:v>
      </x:c>
      <x:c r="E50" t="str">
        <x:v>PM</x:v>
      </x:c>
      <x:c r="F50" t="str">
        <x:v>B</x:v>
      </x:c>
      <x:c r="G50" t="n">
        <x:v>21</x:v>
      </x:c>
      <x:c r="H50" t="str">
        <x:v>ORD-2025-00020</x:v>
      </x:c>
      <x:c r="I50" t="n">
        <x:v>7</x:v>
      </x:c>
      <x:c r="J50" t="n">
        <x:v>10</x:v>
      </x:c>
      <x:c r="K50" t="n">
        <x:v>2</x:v>
      </x:c>
      <x:c r="L50" t="n">
        <x:f>IF(I50&lt;=J50,1,0)</x:f>
        <x:v>1</x:v>
      </x:c>
      <x:c r="P50" t="n">
        <x:f>IF(M50="",IF(AND(L50=1,K50&gt;=1),1,0),M50)</x:f>
        <x:v>1</x:v>
      </x:c>
      <x:c r="Q50" t="n">
        <x:f>IF(N50="",IF(AND(L50=1,K50&gt;=2),1,0),N50)</x:f>
        <x:v>1</x:v>
      </x:c>
      <x:c r="R50" t="n">
        <x:f>IF(O50="",IF(AND(L50=1,K50&gt;=3),1,0),O50)</x:f>
        <x:v>0</x:v>
      </x:c>
      <x:c r="S50" t="n">
        <x:f>SUM(P50:R50)</x:f>
        <x:v>2</x:v>
      </x:c>
      <x:c r="T50" t="str">
        <x:f>IF(COUNTA(M50:O50)=0,"DerivedFromCount","ManualOverride")</x:f>
        <x:v>DerivedFromCount</x:v>
      </x:c>
      <x:c r="U50" t="str">
        <x:f>IF(COUNTIF(DailyProduction!$Q$5:$Q$100,B50)=1,"OK","CHECK")</x:f>
        <x:v>OK</x:v>
      </x:c>
      <x:c r="V50" t="str">
        <x:f>IF(AND(I50&gt;=1,I50&lt;=13,K50&gt;=1,K50&lt;=3),"OK","CHECK")</x:f>
        <x:v>OK</x:v>
      </x:c>
      <x:c r="W50" t="str">
        <x:f>IF(SUMIF($B$5:$B$914,B50,$S$5:$S$914)=SUMIF(DailyProduction!$Q$5:$Q$100,B50,DailyProduction!$R$5:$R$100),"OK","CHECK")</x:f>
        <x:v>OK</x:v>
      </x:c>
    </x:row>
    <x:row r="51">
      <x:c r="A51" t="str">
        <x:v>PC-PE-KG01-L21-20251021-PM-ORD-2025-00020-S08</x:v>
      </x:c>
      <x:c r="B51" t="str">
        <x:v>PE-KG01-L21-20251021-PM-ORD-2025-00020</x:v>
      </x:c>
      <x:c r="C51" t="str">
        <x:v>KG01</x:v>
      </x:c>
      <x:c r="D51" t="n">
        <x:v>45951</x:v>
      </x:c>
      <x:c r="E51" t="str">
        <x:v>PM</x:v>
      </x:c>
      <x:c r="F51" t="str">
        <x:v>B</x:v>
      </x:c>
      <x:c r="G51" t="n">
        <x:v>21</x:v>
      </x:c>
      <x:c r="H51" t="str">
        <x:v>ORD-2025-00020</x:v>
      </x:c>
      <x:c r="I51" t="n">
        <x:v>8</x:v>
      </x:c>
      <x:c r="J51" t="n">
        <x:v>10</x:v>
      </x:c>
      <x:c r="K51" t="n">
        <x:v>2</x:v>
      </x:c>
      <x:c r="L51" t="n">
        <x:f>IF(I51&lt;=J51,1,0)</x:f>
        <x:v>1</x:v>
      </x:c>
      <x:c r="P51" t="n">
        <x:f>IF(M51="",IF(AND(L51=1,K51&gt;=1),1,0),M51)</x:f>
        <x:v>1</x:v>
      </x:c>
      <x:c r="Q51" t="n">
        <x:f>IF(N51="",IF(AND(L51=1,K51&gt;=2),1,0),N51)</x:f>
        <x:v>1</x:v>
      </x:c>
      <x:c r="R51" t="n">
        <x:f>IF(O51="",IF(AND(L51=1,K51&gt;=3),1,0),O51)</x:f>
        <x:v>0</x:v>
      </x:c>
      <x:c r="S51" t="n">
        <x:f>SUM(P51:R51)</x:f>
        <x:v>2</x:v>
      </x:c>
      <x:c r="T51" t="str">
        <x:f>IF(COUNTA(M51:O51)=0,"DerivedFromCount","ManualOverride")</x:f>
        <x:v>DerivedFromCount</x:v>
      </x:c>
      <x:c r="U51" t="str">
        <x:f>IF(COUNTIF(DailyProduction!$Q$5:$Q$100,B51)=1,"OK","CHECK")</x:f>
        <x:v>OK</x:v>
      </x:c>
      <x:c r="V51" t="str">
        <x:f>IF(AND(I51&gt;=1,I51&lt;=13,K51&gt;=1,K51&lt;=3),"OK","CHECK")</x:f>
        <x:v>OK</x:v>
      </x:c>
      <x:c r="W51" t="str">
        <x:f>IF(SUMIF($B$5:$B$914,B51,$S$5:$S$914)=SUMIF(DailyProduction!$Q$5:$Q$100,B51,DailyProduction!$R$5:$R$100),"OK","CHECK")</x:f>
        <x:v>OK</x:v>
      </x:c>
    </x:row>
    <x:row r="52">
      <x:c r="A52" t="str">
        <x:v>PC-PE-KG01-L21-20251021-PM-ORD-2025-00020-S09</x:v>
      </x:c>
      <x:c r="B52" t="str">
        <x:v>PE-KG01-L21-20251021-PM-ORD-2025-00020</x:v>
      </x:c>
      <x:c r="C52" t="str">
        <x:v>KG01</x:v>
      </x:c>
      <x:c r="D52" t="n">
        <x:v>45951</x:v>
      </x:c>
      <x:c r="E52" t="str">
        <x:v>PM</x:v>
      </x:c>
      <x:c r="F52" t="str">
        <x:v>B</x:v>
      </x:c>
      <x:c r="G52" t="n">
        <x:v>21</x:v>
      </x:c>
      <x:c r="H52" t="str">
        <x:v>ORD-2025-00020</x:v>
      </x:c>
      <x:c r="I52" t="n">
        <x:v>9</x:v>
      </x:c>
      <x:c r="J52" t="n">
        <x:v>10</x:v>
      </x:c>
      <x:c r="K52" t="n">
        <x:v>2</x:v>
      </x:c>
      <x:c r="L52" t="n">
        <x:f>IF(I52&lt;=J52,1,0)</x:f>
        <x:v>1</x:v>
      </x:c>
      <x:c r="P52" t="n">
        <x:f>IF(M52="",IF(AND(L52=1,K52&gt;=1),1,0),M52)</x:f>
        <x:v>1</x:v>
      </x:c>
      <x:c r="Q52" t="n">
        <x:f>IF(N52="",IF(AND(L52=1,K52&gt;=2),1,0),N52)</x:f>
        <x:v>1</x:v>
      </x:c>
      <x:c r="R52" t="n">
        <x:f>IF(O52="",IF(AND(L52=1,K52&gt;=3),1,0),O52)</x:f>
        <x:v>0</x:v>
      </x:c>
      <x:c r="S52" t="n">
        <x:f>SUM(P52:R52)</x:f>
        <x:v>2</x:v>
      </x:c>
      <x:c r="T52" t="str">
        <x:f>IF(COUNTA(M52:O52)=0,"DerivedFromCount","ManualOverride")</x:f>
        <x:v>DerivedFromCount</x:v>
      </x:c>
      <x:c r="U52" t="str">
        <x:f>IF(COUNTIF(DailyProduction!$Q$5:$Q$100,B52)=1,"OK","CHECK")</x:f>
        <x:v>OK</x:v>
      </x:c>
      <x:c r="V52" t="str">
        <x:f>IF(AND(I52&gt;=1,I52&lt;=13,K52&gt;=1,K52&lt;=3),"OK","CHECK")</x:f>
        <x:v>OK</x:v>
      </x:c>
      <x:c r="W52" t="str">
        <x:f>IF(SUMIF($B$5:$B$914,B52,$S$5:$S$914)=SUMIF(DailyProduction!$Q$5:$Q$100,B52,DailyProduction!$R$5:$R$100),"OK","CHECK")</x:f>
        <x:v>OK</x:v>
      </x:c>
    </x:row>
    <x:row r="53">
      <x:c r="A53" t="str">
        <x:v>PC-PE-KG01-L21-20251021-PM-ORD-2025-00020-S10</x:v>
      </x:c>
      <x:c r="B53" t="str">
        <x:v>PE-KG01-L21-20251021-PM-ORD-2025-00020</x:v>
      </x:c>
      <x:c r="C53" t="str">
        <x:v>KG01</x:v>
      </x:c>
      <x:c r="D53" t="n">
        <x:v>45951</x:v>
      </x:c>
      <x:c r="E53" t="str">
        <x:v>PM</x:v>
      </x:c>
      <x:c r="F53" t="str">
        <x:v>B</x:v>
      </x:c>
      <x:c r="G53" t="n">
        <x:v>21</x:v>
      </x:c>
      <x:c r="H53" t="str">
        <x:v>ORD-2025-00020</x:v>
      </x:c>
      <x:c r="I53" t="n">
        <x:v>10</x:v>
      </x:c>
      <x:c r="J53" t="n">
        <x:v>10</x:v>
      </x:c>
      <x:c r="K53" t="n">
        <x:v>2</x:v>
      </x:c>
      <x:c r="L53" t="n">
        <x:f>IF(I53&lt;=J53,1,0)</x:f>
        <x:v>1</x:v>
      </x:c>
      <x:c r="P53" t="n">
        <x:f>IF(M53="",IF(AND(L53=1,K53&gt;=1),1,0),M53)</x:f>
        <x:v>1</x:v>
      </x:c>
      <x:c r="Q53" t="n">
        <x:f>IF(N53="",IF(AND(L53=1,K53&gt;=2),1,0),N53)</x:f>
        <x:v>1</x:v>
      </x:c>
      <x:c r="R53" t="n">
        <x:f>IF(O53="",IF(AND(L53=1,K53&gt;=3),1,0),O53)</x:f>
        <x:v>0</x:v>
      </x:c>
      <x:c r="S53" t="n">
        <x:f>SUM(P53:R53)</x:f>
        <x:v>2</x:v>
      </x:c>
      <x:c r="T53" t="str">
        <x:f>IF(COUNTA(M53:O53)=0,"DerivedFromCount","ManualOverride")</x:f>
        <x:v>DerivedFromCount</x:v>
      </x:c>
      <x:c r="U53" t="str">
        <x:f>IF(COUNTIF(DailyProduction!$Q$5:$Q$100,B53)=1,"OK","CHECK")</x:f>
        <x:v>OK</x:v>
      </x:c>
      <x:c r="V53" t="str">
        <x:f>IF(AND(I53&gt;=1,I53&lt;=13,K53&gt;=1,K53&lt;=3),"OK","CHECK")</x:f>
        <x:v>OK</x:v>
      </x:c>
      <x:c r="W53" t="str">
        <x:f>IF(SUMIF($B$5:$B$914,B53,$S$5:$S$914)=SUMIF(DailyProduction!$Q$5:$Q$100,B53,DailyProduction!$R$5:$R$100),"OK","CHECK")</x:f>
        <x:v>OK</x:v>
      </x:c>
    </x:row>
    <x:row r="54">
      <x:c r="A54" t="str">
        <x:v>PC-PE-KG01-L21-20251021-PM-ORD-2025-00020-S11</x:v>
      </x:c>
      <x:c r="B54" t="str">
        <x:v>PE-KG01-L21-20251021-PM-ORD-2025-00020</x:v>
      </x:c>
      <x:c r="C54" t="str">
        <x:v>KG01</x:v>
      </x:c>
      <x:c r="D54" t="n">
        <x:v>45951</x:v>
      </x:c>
      <x:c r="E54" t="str">
        <x:v>PM</x:v>
      </x:c>
      <x:c r="F54" t="str">
        <x:v>B</x:v>
      </x:c>
      <x:c r="G54" t="n">
        <x:v>21</x:v>
      </x:c>
      <x:c r="H54" t="str">
        <x:v>ORD-2025-00020</x:v>
      </x:c>
      <x:c r="I54" t="n">
        <x:v>11</x:v>
      </x:c>
      <x:c r="J54" t="n">
        <x:v>10</x:v>
      </x:c>
      <x:c r="K54" t="n">
        <x:v>2</x:v>
      </x:c>
      <x:c r="L54" t="n">
        <x:f>IF(I54&lt;=J54,1,0)</x:f>
        <x:v>0</x:v>
      </x:c>
      <x:c r="P54" t="n">
        <x:f>IF(M54="",IF(AND(L54=1,K54&gt;=1),1,0),M54)</x:f>
        <x:v>0</x:v>
      </x:c>
      <x:c r="Q54" t="n">
        <x:f>IF(N54="",IF(AND(L54=1,K54&gt;=2),1,0),N54)</x:f>
        <x:v>0</x:v>
      </x:c>
      <x:c r="R54" t="n">
        <x:f>IF(O54="",IF(AND(L54=1,K54&gt;=3),1,0),O54)</x:f>
        <x:v>0</x:v>
      </x:c>
      <x:c r="S54" t="n">
        <x:f>SUM(P54:R54)</x:f>
        <x:v>0</x:v>
      </x:c>
      <x:c r="T54" t="str">
        <x:f>IF(COUNTA(M54:O54)=0,"DerivedFromCount","ManualOverride")</x:f>
        <x:v>DerivedFromCount</x:v>
      </x:c>
      <x:c r="U54" t="str">
        <x:f>IF(COUNTIF(DailyProduction!$Q$5:$Q$100,B54)=1,"OK","CHECK")</x:f>
        <x:v>OK</x:v>
      </x:c>
      <x:c r="V54" t="str">
        <x:f>IF(AND(I54&gt;=1,I54&lt;=13,K54&gt;=1,K54&lt;=3),"OK","CHECK")</x:f>
        <x:v>OK</x:v>
      </x:c>
      <x:c r="W54" t="str">
        <x:f>IF(SUMIF($B$5:$B$914,B54,$S$5:$S$914)=SUMIF(DailyProduction!$Q$5:$Q$100,B54,DailyProduction!$R$5:$R$100),"OK","CHECK")</x:f>
        <x:v>OK</x:v>
      </x:c>
    </x:row>
    <x:row r="55">
      <x:c r="A55" t="str">
        <x:v>PC-PE-KG01-L21-20251021-PM-ORD-2025-00020-S12</x:v>
      </x:c>
      <x:c r="B55" t="str">
        <x:v>PE-KG01-L21-20251021-PM-ORD-2025-00020</x:v>
      </x:c>
      <x:c r="C55" t="str">
        <x:v>KG01</x:v>
      </x:c>
      <x:c r="D55" t="n">
        <x:v>45951</x:v>
      </x:c>
      <x:c r="E55" t="str">
        <x:v>PM</x:v>
      </x:c>
      <x:c r="F55" t="str">
        <x:v>B</x:v>
      </x:c>
      <x:c r="G55" t="n">
        <x:v>21</x:v>
      </x:c>
      <x:c r="H55" t="str">
        <x:v>ORD-2025-00020</x:v>
      </x:c>
      <x:c r="I55" t="n">
        <x:v>12</x:v>
      </x:c>
      <x:c r="J55" t="n">
        <x:v>10</x:v>
      </x:c>
      <x:c r="K55" t="n">
        <x:v>2</x:v>
      </x:c>
      <x:c r="L55" t="n">
        <x:f>IF(I55&lt;=J55,1,0)</x:f>
        <x:v>0</x:v>
      </x:c>
      <x:c r="P55" t="n">
        <x:f>IF(M55="",IF(AND(L55=1,K55&gt;=1),1,0),M55)</x:f>
        <x:v>0</x:v>
      </x:c>
      <x:c r="Q55" t="n">
        <x:f>IF(N55="",IF(AND(L55=1,K55&gt;=2),1,0),N55)</x:f>
        <x:v>0</x:v>
      </x:c>
      <x:c r="R55" t="n">
        <x:f>IF(O55="",IF(AND(L55=1,K55&gt;=3),1,0),O55)</x:f>
        <x:v>0</x:v>
      </x:c>
      <x:c r="S55" t="n">
        <x:f>SUM(P55:R55)</x:f>
        <x:v>0</x:v>
      </x:c>
      <x:c r="T55" t="str">
        <x:f>IF(COUNTA(M55:O55)=0,"DerivedFromCount","ManualOverride")</x:f>
        <x:v>DerivedFromCount</x:v>
      </x:c>
      <x:c r="U55" t="str">
        <x:f>IF(COUNTIF(DailyProduction!$Q$5:$Q$100,B55)=1,"OK","CHECK")</x:f>
        <x:v>OK</x:v>
      </x:c>
      <x:c r="V55" t="str">
        <x:f>IF(AND(I55&gt;=1,I55&lt;=13,K55&gt;=1,K55&lt;=3),"OK","CHECK")</x:f>
        <x:v>OK</x:v>
      </x:c>
      <x:c r="W55" t="str">
        <x:f>IF(SUMIF($B$5:$B$914,B55,$S$5:$S$914)=SUMIF(DailyProduction!$Q$5:$Q$100,B55,DailyProduction!$R$5:$R$100),"OK","CHECK")</x:f>
        <x:v>OK</x:v>
      </x:c>
    </x:row>
    <x:row r="56">
      <x:c r="A56" t="str">
        <x:v>PC-PE-KG01-L21-20251021-PM-ORD-2025-00020-S13</x:v>
      </x:c>
      <x:c r="B56" t="str">
        <x:v>PE-KG01-L21-20251021-PM-ORD-2025-00020</x:v>
      </x:c>
      <x:c r="C56" t="str">
        <x:v>KG01</x:v>
      </x:c>
      <x:c r="D56" t="n">
        <x:v>45951</x:v>
      </x:c>
      <x:c r="E56" t="str">
        <x:v>PM</x:v>
      </x:c>
      <x:c r="F56" t="str">
        <x:v>B</x:v>
      </x:c>
      <x:c r="G56" t="n">
        <x:v>21</x:v>
      </x:c>
      <x:c r="H56" t="str">
        <x:v>ORD-2025-00020</x:v>
      </x:c>
      <x:c r="I56" t="n">
        <x:v>13</x:v>
      </x:c>
      <x:c r="J56" t="n">
        <x:v>10</x:v>
      </x:c>
      <x:c r="K56" t="n">
        <x:v>2</x:v>
      </x:c>
      <x:c r="L56" t="n">
        <x:f>IF(I56&lt;=J56,1,0)</x:f>
        <x:v>0</x:v>
      </x:c>
      <x:c r="P56" t="n">
        <x:f>IF(M56="",IF(AND(L56=1,K56&gt;=1),1,0),M56)</x:f>
        <x:v>0</x:v>
      </x:c>
      <x:c r="Q56" t="n">
        <x:f>IF(N56="",IF(AND(L56=1,K56&gt;=2),1,0),N56)</x:f>
        <x:v>0</x:v>
      </x:c>
      <x:c r="R56" t="n">
        <x:f>IF(O56="",IF(AND(L56=1,K56&gt;=3),1,0),O56)</x:f>
        <x:v>0</x:v>
      </x:c>
      <x:c r="S56" t="n">
        <x:f>SUM(P56:R56)</x:f>
        <x:v>0</x:v>
      </x:c>
      <x:c r="T56" t="str">
        <x:f>IF(COUNTA(M56:O56)=0,"DerivedFromCount","ManualOverride")</x:f>
        <x:v>DerivedFromCount</x:v>
      </x:c>
      <x:c r="U56" t="str">
        <x:f>IF(COUNTIF(DailyProduction!$Q$5:$Q$100,B56)=1,"OK","CHECK")</x:f>
        <x:v>OK</x:v>
      </x:c>
      <x:c r="V56" t="str">
        <x:f>IF(AND(I56&gt;=1,I56&lt;=13,K56&gt;=1,K56&lt;=3),"OK","CHECK")</x:f>
        <x:v>OK</x:v>
      </x:c>
      <x:c r="W56" t="str">
        <x:f>IF(SUMIF($B$5:$B$914,B56,$S$5:$S$914)=SUMIF(DailyProduction!$Q$5:$Q$100,B56,DailyProduction!$R$5:$R$100),"OK","CHECK")</x:f>
        <x:v>OK</x:v>
      </x:c>
    </x:row>
    <x:row r="57">
      <x:c r="A57" t="str">
        <x:v>PC-PE-KG01-L21-20251022-AM-ORD-2025-00020-S01</x:v>
      </x:c>
      <x:c r="B57" t="str">
        <x:v>PE-KG01-L21-20251022-AM-ORD-2025-00020</x:v>
      </x:c>
      <x:c r="C57" t="str">
        <x:v>KG01</x:v>
      </x:c>
      <x:c r="D57" t="n">
        <x:v>45952</x:v>
      </x:c>
      <x:c r="E57" t="str">
        <x:v>AM</x:v>
      </x:c>
      <x:c r="F57" t="str">
        <x:v>B</x:v>
      </x:c>
      <x:c r="G57" t="n">
        <x:v>21</x:v>
      </x:c>
      <x:c r="H57" t="str">
        <x:v>ORD-2025-00020</x:v>
      </x:c>
      <x:c r="I57" t="n">
        <x:v>1</x:v>
      </x:c>
      <x:c r="J57" t="n">
        <x:v>10</x:v>
      </x:c>
      <x:c r="K57" t="n">
        <x:v>2</x:v>
      </x:c>
      <x:c r="L57" t="n">
        <x:f>IF(I57&lt;=J57,1,0)</x:f>
        <x:v>1</x:v>
      </x:c>
      <x:c r="P57" t="n">
        <x:f>IF(M57="",IF(AND(L57=1,K57&gt;=1),1,0),M57)</x:f>
        <x:v>1</x:v>
      </x:c>
      <x:c r="Q57" t="n">
        <x:f>IF(N57="",IF(AND(L57=1,K57&gt;=2),1,0),N57)</x:f>
        <x:v>1</x:v>
      </x:c>
      <x:c r="R57" t="n">
        <x:f>IF(O57="",IF(AND(L57=1,K57&gt;=3),1,0),O57)</x:f>
        <x:v>0</x:v>
      </x:c>
      <x:c r="S57" t="n">
        <x:f>SUM(P57:R57)</x:f>
        <x:v>2</x:v>
      </x:c>
      <x:c r="T57" t="str">
        <x:f>IF(COUNTA(M57:O57)=0,"DerivedFromCount","ManualOverride")</x:f>
        <x:v>DerivedFromCount</x:v>
      </x:c>
      <x:c r="U57" t="str">
        <x:f>IF(COUNTIF(DailyProduction!$Q$5:$Q$100,B57)=1,"OK","CHECK")</x:f>
        <x:v>OK</x:v>
      </x:c>
      <x:c r="V57" t="str">
        <x:f>IF(AND(I57&gt;=1,I57&lt;=13,K57&gt;=1,K57&lt;=3),"OK","CHECK")</x:f>
        <x:v>OK</x:v>
      </x:c>
      <x:c r="W57" t="str">
        <x:f>IF(SUMIF($B$5:$B$914,B57,$S$5:$S$914)=SUMIF(DailyProduction!$Q$5:$Q$100,B57,DailyProduction!$R$5:$R$100),"OK","CHECK")</x:f>
        <x:v>OK</x:v>
      </x:c>
    </x:row>
    <x:row r="58">
      <x:c r="A58" t="str">
        <x:v>PC-PE-KG01-L21-20251022-AM-ORD-2025-00020-S02</x:v>
      </x:c>
      <x:c r="B58" t="str">
        <x:v>PE-KG01-L21-20251022-AM-ORD-2025-00020</x:v>
      </x:c>
      <x:c r="C58" t="str">
        <x:v>KG01</x:v>
      </x:c>
      <x:c r="D58" t="n">
        <x:v>45952</x:v>
      </x:c>
      <x:c r="E58" t="str">
        <x:v>AM</x:v>
      </x:c>
      <x:c r="F58" t="str">
        <x:v>B</x:v>
      </x:c>
      <x:c r="G58" t="n">
        <x:v>21</x:v>
      </x:c>
      <x:c r="H58" t="str">
        <x:v>ORD-2025-00020</x:v>
      </x:c>
      <x:c r="I58" t="n">
        <x:v>2</x:v>
      </x:c>
      <x:c r="J58" t="n">
        <x:v>10</x:v>
      </x:c>
      <x:c r="K58" t="n">
        <x:v>2</x:v>
      </x:c>
      <x:c r="L58" t="n">
        <x:f>IF(I58&lt;=J58,1,0)</x:f>
        <x:v>1</x:v>
      </x:c>
      <x:c r="P58" t="n">
        <x:f>IF(M58="",IF(AND(L58=1,K58&gt;=1),1,0),M58)</x:f>
        <x:v>1</x:v>
      </x:c>
      <x:c r="Q58" t="n">
        <x:f>IF(N58="",IF(AND(L58=1,K58&gt;=2),1,0),N58)</x:f>
        <x:v>1</x:v>
      </x:c>
      <x:c r="R58" t="n">
        <x:f>IF(O58="",IF(AND(L58=1,K58&gt;=3),1,0),O58)</x:f>
        <x:v>0</x:v>
      </x:c>
      <x:c r="S58" t="n">
        <x:f>SUM(P58:R58)</x:f>
        <x:v>2</x:v>
      </x:c>
      <x:c r="T58" t="str">
        <x:f>IF(COUNTA(M58:O58)=0,"DerivedFromCount","ManualOverride")</x:f>
        <x:v>DerivedFromCount</x:v>
      </x:c>
      <x:c r="U58" t="str">
        <x:f>IF(COUNTIF(DailyProduction!$Q$5:$Q$100,B58)=1,"OK","CHECK")</x:f>
        <x:v>OK</x:v>
      </x:c>
      <x:c r="V58" t="str">
        <x:f>IF(AND(I58&gt;=1,I58&lt;=13,K58&gt;=1,K58&lt;=3),"OK","CHECK")</x:f>
        <x:v>OK</x:v>
      </x:c>
      <x:c r="W58" t="str">
        <x:f>IF(SUMIF($B$5:$B$914,B58,$S$5:$S$914)=SUMIF(DailyProduction!$Q$5:$Q$100,B58,DailyProduction!$R$5:$R$100),"OK","CHECK")</x:f>
        <x:v>OK</x:v>
      </x:c>
    </x:row>
    <x:row r="59">
      <x:c r="A59" t="str">
        <x:v>PC-PE-KG01-L21-20251022-AM-ORD-2025-00020-S03</x:v>
      </x:c>
      <x:c r="B59" t="str">
        <x:v>PE-KG01-L21-20251022-AM-ORD-2025-00020</x:v>
      </x:c>
      <x:c r="C59" t="str">
        <x:v>KG01</x:v>
      </x:c>
      <x:c r="D59" t="n">
        <x:v>45952</x:v>
      </x:c>
      <x:c r="E59" t="str">
        <x:v>AM</x:v>
      </x:c>
      <x:c r="F59" t="str">
        <x:v>B</x:v>
      </x:c>
      <x:c r="G59" t="n">
        <x:v>21</x:v>
      </x:c>
      <x:c r="H59" t="str">
        <x:v>ORD-2025-00020</x:v>
      </x:c>
      <x:c r="I59" t="n">
        <x:v>3</x:v>
      </x:c>
      <x:c r="J59" t="n">
        <x:v>10</x:v>
      </x:c>
      <x:c r="K59" t="n">
        <x:v>2</x:v>
      </x:c>
      <x:c r="L59" t="n">
        <x:f>IF(I59&lt;=J59,1,0)</x:f>
        <x:v>1</x:v>
      </x:c>
      <x:c r="P59" t="n">
        <x:f>IF(M59="",IF(AND(L59=1,K59&gt;=1),1,0),M59)</x:f>
        <x:v>1</x:v>
      </x:c>
      <x:c r="Q59" t="n">
        <x:f>IF(N59="",IF(AND(L59=1,K59&gt;=2),1,0),N59)</x:f>
        <x:v>1</x:v>
      </x:c>
      <x:c r="R59" t="n">
        <x:f>IF(O59="",IF(AND(L59=1,K59&gt;=3),1,0),O59)</x:f>
        <x:v>0</x:v>
      </x:c>
      <x:c r="S59" t="n">
        <x:f>SUM(P59:R59)</x:f>
        <x:v>2</x:v>
      </x:c>
      <x:c r="T59" t="str">
        <x:f>IF(COUNTA(M59:O59)=0,"DerivedFromCount","ManualOverride")</x:f>
        <x:v>DerivedFromCount</x:v>
      </x:c>
      <x:c r="U59" t="str">
        <x:f>IF(COUNTIF(DailyProduction!$Q$5:$Q$100,B59)=1,"OK","CHECK")</x:f>
        <x:v>OK</x:v>
      </x:c>
      <x:c r="V59" t="str">
        <x:f>IF(AND(I59&gt;=1,I59&lt;=13,K59&gt;=1,K59&lt;=3),"OK","CHECK")</x:f>
        <x:v>OK</x:v>
      </x:c>
      <x:c r="W59" t="str">
        <x:f>IF(SUMIF($B$5:$B$914,B59,$S$5:$S$914)=SUMIF(DailyProduction!$Q$5:$Q$100,B59,DailyProduction!$R$5:$R$100),"OK","CHECK")</x:f>
        <x:v>OK</x:v>
      </x:c>
    </x:row>
    <x:row r="60">
      <x:c r="A60" t="str">
        <x:v>PC-PE-KG01-L21-20251022-AM-ORD-2025-00020-S04</x:v>
      </x:c>
      <x:c r="B60" t="str">
        <x:v>PE-KG01-L21-20251022-AM-ORD-2025-00020</x:v>
      </x:c>
      <x:c r="C60" t="str">
        <x:v>KG01</x:v>
      </x:c>
      <x:c r="D60" t="n">
        <x:v>45952</x:v>
      </x:c>
      <x:c r="E60" t="str">
        <x:v>AM</x:v>
      </x:c>
      <x:c r="F60" t="str">
        <x:v>B</x:v>
      </x:c>
      <x:c r="G60" t="n">
        <x:v>21</x:v>
      </x:c>
      <x:c r="H60" t="str">
        <x:v>ORD-2025-00020</x:v>
      </x:c>
      <x:c r="I60" t="n">
        <x:v>4</x:v>
      </x:c>
      <x:c r="J60" t="n">
        <x:v>10</x:v>
      </x:c>
      <x:c r="K60" t="n">
        <x:v>2</x:v>
      </x:c>
      <x:c r="L60" t="n">
        <x:f>IF(I60&lt;=J60,1,0)</x:f>
        <x:v>1</x:v>
      </x:c>
      <x:c r="P60" t="n">
        <x:f>IF(M60="",IF(AND(L60=1,K60&gt;=1),1,0),M60)</x:f>
        <x:v>1</x:v>
      </x:c>
      <x:c r="Q60" t="n">
        <x:f>IF(N60="",IF(AND(L60=1,K60&gt;=2),1,0),N60)</x:f>
        <x:v>1</x:v>
      </x:c>
      <x:c r="R60" t="n">
        <x:f>IF(O60="",IF(AND(L60=1,K60&gt;=3),1,0),O60)</x:f>
        <x:v>0</x:v>
      </x:c>
      <x:c r="S60" t="n">
        <x:f>SUM(P60:R60)</x:f>
        <x:v>2</x:v>
      </x:c>
      <x:c r="T60" t="str">
        <x:f>IF(COUNTA(M60:O60)=0,"DerivedFromCount","ManualOverride")</x:f>
        <x:v>DerivedFromCount</x:v>
      </x:c>
      <x:c r="U60" t="str">
        <x:f>IF(COUNTIF(DailyProduction!$Q$5:$Q$100,B60)=1,"OK","CHECK")</x:f>
        <x:v>OK</x:v>
      </x:c>
      <x:c r="V60" t="str">
        <x:f>IF(AND(I60&gt;=1,I60&lt;=13,K60&gt;=1,K60&lt;=3),"OK","CHECK")</x:f>
        <x:v>OK</x:v>
      </x:c>
      <x:c r="W60" t="str">
        <x:f>IF(SUMIF($B$5:$B$914,B60,$S$5:$S$914)=SUMIF(DailyProduction!$Q$5:$Q$100,B60,DailyProduction!$R$5:$R$100),"OK","CHECK")</x:f>
        <x:v>OK</x:v>
      </x:c>
    </x:row>
    <x:row r="61">
      <x:c r="A61" t="str">
        <x:v>PC-PE-KG01-L21-20251022-AM-ORD-2025-00020-S05</x:v>
      </x:c>
      <x:c r="B61" t="str">
        <x:v>PE-KG01-L21-20251022-AM-ORD-2025-00020</x:v>
      </x:c>
      <x:c r="C61" t="str">
        <x:v>KG01</x:v>
      </x:c>
      <x:c r="D61" t="n">
        <x:v>45952</x:v>
      </x:c>
      <x:c r="E61" t="str">
        <x:v>AM</x:v>
      </x:c>
      <x:c r="F61" t="str">
        <x:v>B</x:v>
      </x:c>
      <x:c r="G61" t="n">
        <x:v>21</x:v>
      </x:c>
      <x:c r="H61" t="str">
        <x:v>ORD-2025-00020</x:v>
      </x:c>
      <x:c r="I61" t="n">
        <x:v>5</x:v>
      </x:c>
      <x:c r="J61" t="n">
        <x:v>10</x:v>
      </x:c>
      <x:c r="K61" t="n">
        <x:v>2</x:v>
      </x:c>
      <x:c r="L61" t="n">
        <x:f>IF(I61&lt;=J61,1,0)</x:f>
        <x:v>1</x:v>
      </x:c>
      <x:c r="P61" t="n">
        <x:f>IF(M61="",IF(AND(L61=1,K61&gt;=1),1,0),M61)</x:f>
        <x:v>1</x:v>
      </x:c>
      <x:c r="Q61" t="n">
        <x:f>IF(N61="",IF(AND(L61=1,K61&gt;=2),1,0),N61)</x:f>
        <x:v>1</x:v>
      </x:c>
      <x:c r="R61" t="n">
        <x:f>IF(O61="",IF(AND(L61=1,K61&gt;=3),1,0),O61)</x:f>
        <x:v>0</x:v>
      </x:c>
      <x:c r="S61" t="n">
        <x:f>SUM(P61:R61)</x:f>
        <x:v>2</x:v>
      </x:c>
      <x:c r="T61" t="str">
        <x:f>IF(COUNTA(M61:O61)=0,"DerivedFromCount","ManualOverride")</x:f>
        <x:v>DerivedFromCount</x:v>
      </x:c>
      <x:c r="U61" t="str">
        <x:f>IF(COUNTIF(DailyProduction!$Q$5:$Q$100,B61)=1,"OK","CHECK")</x:f>
        <x:v>OK</x:v>
      </x:c>
      <x:c r="V61" t="str">
        <x:f>IF(AND(I61&gt;=1,I61&lt;=13,K61&gt;=1,K61&lt;=3),"OK","CHECK")</x:f>
        <x:v>OK</x:v>
      </x:c>
      <x:c r="W61" t="str">
        <x:f>IF(SUMIF($B$5:$B$914,B61,$S$5:$S$914)=SUMIF(DailyProduction!$Q$5:$Q$100,B61,DailyProduction!$R$5:$R$100),"OK","CHECK")</x:f>
        <x:v>OK</x:v>
      </x:c>
    </x:row>
    <x:row r="62">
      <x:c r="A62" t="str">
        <x:v>PC-PE-KG01-L21-20251022-AM-ORD-2025-00020-S06</x:v>
      </x:c>
      <x:c r="B62" t="str">
        <x:v>PE-KG01-L21-20251022-AM-ORD-2025-00020</x:v>
      </x:c>
      <x:c r="C62" t="str">
        <x:v>KG01</x:v>
      </x:c>
      <x:c r="D62" t="n">
        <x:v>45952</x:v>
      </x:c>
      <x:c r="E62" t="str">
        <x:v>AM</x:v>
      </x:c>
      <x:c r="F62" t="str">
        <x:v>B</x:v>
      </x:c>
      <x:c r="G62" t="n">
        <x:v>21</x:v>
      </x:c>
      <x:c r="H62" t="str">
        <x:v>ORD-2025-00020</x:v>
      </x:c>
      <x:c r="I62" t="n">
        <x:v>6</x:v>
      </x:c>
      <x:c r="J62" t="n">
        <x:v>10</x:v>
      </x:c>
      <x:c r="K62" t="n">
        <x:v>2</x:v>
      </x:c>
      <x:c r="L62" t="n">
        <x:f>IF(I62&lt;=J62,1,0)</x:f>
        <x:v>1</x:v>
      </x:c>
      <x:c r="P62" t="n">
        <x:f>IF(M62="",IF(AND(L62=1,K62&gt;=1),1,0),M62)</x:f>
        <x:v>1</x:v>
      </x:c>
      <x:c r="Q62" t="n">
        <x:f>IF(N62="",IF(AND(L62=1,K62&gt;=2),1,0),N62)</x:f>
        <x:v>1</x:v>
      </x:c>
      <x:c r="R62" t="n">
        <x:f>IF(O62="",IF(AND(L62=1,K62&gt;=3),1,0),O62)</x:f>
        <x:v>0</x:v>
      </x:c>
      <x:c r="S62" t="n">
        <x:f>SUM(P62:R62)</x:f>
        <x:v>2</x:v>
      </x:c>
      <x:c r="T62" t="str">
        <x:f>IF(COUNTA(M62:O62)=0,"DerivedFromCount","ManualOverride")</x:f>
        <x:v>DerivedFromCount</x:v>
      </x:c>
      <x:c r="U62" t="str">
        <x:f>IF(COUNTIF(DailyProduction!$Q$5:$Q$100,B62)=1,"OK","CHECK")</x:f>
        <x:v>OK</x:v>
      </x:c>
      <x:c r="V62" t="str">
        <x:f>IF(AND(I62&gt;=1,I62&lt;=13,K62&gt;=1,K62&lt;=3),"OK","CHECK")</x:f>
        <x:v>OK</x:v>
      </x:c>
      <x:c r="W62" t="str">
        <x:f>IF(SUMIF($B$5:$B$914,B62,$S$5:$S$914)=SUMIF(DailyProduction!$Q$5:$Q$100,B62,DailyProduction!$R$5:$R$100),"OK","CHECK")</x:f>
        <x:v>OK</x:v>
      </x:c>
    </x:row>
    <x:row r="63">
      <x:c r="A63" t="str">
        <x:v>PC-PE-KG01-L21-20251022-AM-ORD-2025-00020-S07</x:v>
      </x:c>
      <x:c r="B63" t="str">
        <x:v>PE-KG01-L21-20251022-AM-ORD-2025-00020</x:v>
      </x:c>
      <x:c r="C63" t="str">
        <x:v>KG01</x:v>
      </x:c>
      <x:c r="D63" t="n">
        <x:v>45952</x:v>
      </x:c>
      <x:c r="E63" t="str">
        <x:v>AM</x:v>
      </x:c>
      <x:c r="F63" t="str">
        <x:v>B</x:v>
      </x:c>
      <x:c r="G63" t="n">
        <x:v>21</x:v>
      </x:c>
      <x:c r="H63" t="str">
        <x:v>ORD-2025-00020</x:v>
      </x:c>
      <x:c r="I63" t="n">
        <x:v>7</x:v>
      </x:c>
      <x:c r="J63" t="n">
        <x:v>10</x:v>
      </x:c>
      <x:c r="K63" t="n">
        <x:v>2</x:v>
      </x:c>
      <x:c r="L63" t="n">
        <x:f>IF(I63&lt;=J63,1,0)</x:f>
        <x:v>1</x:v>
      </x:c>
      <x:c r="P63" t="n">
        <x:f>IF(M63="",IF(AND(L63=1,K63&gt;=1),1,0),M63)</x:f>
        <x:v>1</x:v>
      </x:c>
      <x:c r="Q63" t="n">
        <x:f>IF(N63="",IF(AND(L63=1,K63&gt;=2),1,0),N63)</x:f>
        <x:v>1</x:v>
      </x:c>
      <x:c r="R63" t="n">
        <x:f>IF(O63="",IF(AND(L63=1,K63&gt;=3),1,0),O63)</x:f>
        <x:v>0</x:v>
      </x:c>
      <x:c r="S63" t="n">
        <x:f>SUM(P63:R63)</x:f>
        <x:v>2</x:v>
      </x:c>
      <x:c r="T63" t="str">
        <x:f>IF(COUNTA(M63:O63)=0,"DerivedFromCount","ManualOverride")</x:f>
        <x:v>DerivedFromCount</x:v>
      </x:c>
      <x:c r="U63" t="str">
        <x:f>IF(COUNTIF(DailyProduction!$Q$5:$Q$100,B63)=1,"OK","CHECK")</x:f>
        <x:v>OK</x:v>
      </x:c>
      <x:c r="V63" t="str">
        <x:f>IF(AND(I63&gt;=1,I63&lt;=13,K63&gt;=1,K63&lt;=3),"OK","CHECK")</x:f>
        <x:v>OK</x:v>
      </x:c>
      <x:c r="W63" t="str">
        <x:f>IF(SUMIF($B$5:$B$914,B63,$S$5:$S$914)=SUMIF(DailyProduction!$Q$5:$Q$100,B63,DailyProduction!$R$5:$R$100),"OK","CHECK")</x:f>
        <x:v>OK</x:v>
      </x:c>
    </x:row>
    <x:row r="64">
      <x:c r="A64" t="str">
        <x:v>PC-PE-KG01-L21-20251022-AM-ORD-2025-00020-S08</x:v>
      </x:c>
      <x:c r="B64" t="str">
        <x:v>PE-KG01-L21-20251022-AM-ORD-2025-00020</x:v>
      </x:c>
      <x:c r="C64" t="str">
        <x:v>KG01</x:v>
      </x:c>
      <x:c r="D64" t="n">
        <x:v>45952</x:v>
      </x:c>
      <x:c r="E64" t="str">
        <x:v>AM</x:v>
      </x:c>
      <x:c r="F64" t="str">
        <x:v>B</x:v>
      </x:c>
      <x:c r="G64" t="n">
        <x:v>21</x:v>
      </x:c>
      <x:c r="H64" t="str">
        <x:v>ORD-2025-00020</x:v>
      </x:c>
      <x:c r="I64" t="n">
        <x:v>8</x:v>
      </x:c>
      <x:c r="J64" t="n">
        <x:v>10</x:v>
      </x:c>
      <x:c r="K64" t="n">
        <x:v>2</x:v>
      </x:c>
      <x:c r="L64" t="n">
        <x:f>IF(I64&lt;=J64,1,0)</x:f>
        <x:v>1</x:v>
      </x:c>
      <x:c r="P64" t="n">
        <x:f>IF(M64="",IF(AND(L64=1,K64&gt;=1),1,0),M64)</x:f>
        <x:v>1</x:v>
      </x:c>
      <x:c r="Q64" t="n">
        <x:f>IF(N64="",IF(AND(L64=1,K64&gt;=2),1,0),N64)</x:f>
        <x:v>1</x:v>
      </x:c>
      <x:c r="R64" t="n">
        <x:f>IF(O64="",IF(AND(L64=1,K64&gt;=3),1,0),O64)</x:f>
        <x:v>0</x:v>
      </x:c>
      <x:c r="S64" t="n">
        <x:f>SUM(P64:R64)</x:f>
        <x:v>2</x:v>
      </x:c>
      <x:c r="T64" t="str">
        <x:f>IF(COUNTA(M64:O64)=0,"DerivedFromCount","ManualOverride")</x:f>
        <x:v>DerivedFromCount</x:v>
      </x:c>
      <x:c r="U64" t="str">
        <x:f>IF(COUNTIF(DailyProduction!$Q$5:$Q$100,B64)=1,"OK","CHECK")</x:f>
        <x:v>OK</x:v>
      </x:c>
      <x:c r="V64" t="str">
        <x:f>IF(AND(I64&gt;=1,I64&lt;=13,K64&gt;=1,K64&lt;=3),"OK","CHECK")</x:f>
        <x:v>OK</x:v>
      </x:c>
      <x:c r="W64" t="str">
        <x:f>IF(SUMIF($B$5:$B$914,B64,$S$5:$S$914)=SUMIF(DailyProduction!$Q$5:$Q$100,B64,DailyProduction!$R$5:$R$100),"OK","CHECK")</x:f>
        <x:v>OK</x:v>
      </x:c>
    </x:row>
    <x:row r="65">
      <x:c r="A65" t="str">
        <x:v>PC-PE-KG01-L21-20251022-AM-ORD-2025-00020-S09</x:v>
      </x:c>
      <x:c r="B65" t="str">
        <x:v>PE-KG01-L21-20251022-AM-ORD-2025-00020</x:v>
      </x:c>
      <x:c r="C65" t="str">
        <x:v>KG01</x:v>
      </x:c>
      <x:c r="D65" t="n">
        <x:v>45952</x:v>
      </x:c>
      <x:c r="E65" t="str">
        <x:v>AM</x:v>
      </x:c>
      <x:c r="F65" t="str">
        <x:v>B</x:v>
      </x:c>
      <x:c r="G65" t="n">
        <x:v>21</x:v>
      </x:c>
      <x:c r="H65" t="str">
        <x:v>ORD-2025-00020</x:v>
      </x:c>
      <x:c r="I65" t="n">
        <x:v>9</x:v>
      </x:c>
      <x:c r="J65" t="n">
        <x:v>10</x:v>
      </x:c>
      <x:c r="K65" t="n">
        <x:v>2</x:v>
      </x:c>
      <x:c r="L65" t="n">
        <x:f>IF(I65&lt;=J65,1,0)</x:f>
        <x:v>1</x:v>
      </x:c>
      <x:c r="P65" t="n">
        <x:f>IF(M65="",IF(AND(L65=1,K65&gt;=1),1,0),M65)</x:f>
        <x:v>1</x:v>
      </x:c>
      <x:c r="Q65" t="n">
        <x:f>IF(N65="",IF(AND(L65=1,K65&gt;=2),1,0),N65)</x:f>
        <x:v>1</x:v>
      </x:c>
      <x:c r="R65" t="n">
        <x:f>IF(O65="",IF(AND(L65=1,K65&gt;=3),1,0),O65)</x:f>
        <x:v>0</x:v>
      </x:c>
      <x:c r="S65" t="n">
        <x:f>SUM(P65:R65)</x:f>
        <x:v>2</x:v>
      </x:c>
      <x:c r="T65" t="str">
        <x:f>IF(COUNTA(M65:O65)=0,"DerivedFromCount","ManualOverride")</x:f>
        <x:v>DerivedFromCount</x:v>
      </x:c>
      <x:c r="U65" t="str">
        <x:f>IF(COUNTIF(DailyProduction!$Q$5:$Q$100,B65)=1,"OK","CHECK")</x:f>
        <x:v>OK</x:v>
      </x:c>
      <x:c r="V65" t="str">
        <x:f>IF(AND(I65&gt;=1,I65&lt;=13,K65&gt;=1,K65&lt;=3),"OK","CHECK")</x:f>
        <x:v>OK</x:v>
      </x:c>
      <x:c r="W65" t="str">
        <x:f>IF(SUMIF($B$5:$B$914,B65,$S$5:$S$914)=SUMIF(DailyProduction!$Q$5:$Q$100,B65,DailyProduction!$R$5:$R$100),"OK","CHECK")</x:f>
        <x:v>OK</x:v>
      </x:c>
    </x:row>
    <x:row r="66">
      <x:c r="A66" t="str">
        <x:v>PC-PE-KG01-L21-20251022-AM-ORD-2025-00020-S10</x:v>
      </x:c>
      <x:c r="B66" t="str">
        <x:v>PE-KG01-L21-20251022-AM-ORD-2025-00020</x:v>
      </x:c>
      <x:c r="C66" t="str">
        <x:v>KG01</x:v>
      </x:c>
      <x:c r="D66" t="n">
        <x:v>45952</x:v>
      </x:c>
      <x:c r="E66" t="str">
        <x:v>AM</x:v>
      </x:c>
      <x:c r="F66" t="str">
        <x:v>B</x:v>
      </x:c>
      <x:c r="G66" t="n">
        <x:v>21</x:v>
      </x:c>
      <x:c r="H66" t="str">
        <x:v>ORD-2025-00020</x:v>
      </x:c>
      <x:c r="I66" t="n">
        <x:v>10</x:v>
      </x:c>
      <x:c r="J66" t="n">
        <x:v>10</x:v>
      </x:c>
      <x:c r="K66" t="n">
        <x:v>2</x:v>
      </x:c>
      <x:c r="L66" t="n">
        <x:f>IF(I66&lt;=J66,1,0)</x:f>
        <x:v>1</x:v>
      </x:c>
      <x:c r="P66" t="n">
        <x:f>IF(M66="",IF(AND(L66=1,K66&gt;=1),1,0),M66)</x:f>
        <x:v>1</x:v>
      </x:c>
      <x:c r="Q66" t="n">
        <x:f>IF(N66="",IF(AND(L66=1,K66&gt;=2),1,0),N66)</x:f>
        <x:v>1</x:v>
      </x:c>
      <x:c r="R66" t="n">
        <x:f>IF(O66="",IF(AND(L66=1,K66&gt;=3),1,0),O66)</x:f>
        <x:v>0</x:v>
      </x:c>
      <x:c r="S66" t="n">
        <x:f>SUM(P66:R66)</x:f>
        <x:v>2</x:v>
      </x:c>
      <x:c r="T66" t="str">
        <x:f>IF(COUNTA(M66:O66)=0,"DerivedFromCount","ManualOverride")</x:f>
        <x:v>DerivedFromCount</x:v>
      </x:c>
      <x:c r="U66" t="str">
        <x:f>IF(COUNTIF(DailyProduction!$Q$5:$Q$100,B66)=1,"OK","CHECK")</x:f>
        <x:v>OK</x:v>
      </x:c>
      <x:c r="V66" t="str">
        <x:f>IF(AND(I66&gt;=1,I66&lt;=13,K66&gt;=1,K66&lt;=3),"OK","CHECK")</x:f>
        <x:v>OK</x:v>
      </x:c>
      <x:c r="W66" t="str">
        <x:f>IF(SUMIF($B$5:$B$914,B66,$S$5:$S$914)=SUMIF(DailyProduction!$Q$5:$Q$100,B66,DailyProduction!$R$5:$R$100),"OK","CHECK")</x:f>
        <x:v>OK</x:v>
      </x:c>
    </x:row>
    <x:row r="67">
      <x:c r="A67" t="str">
        <x:v>PC-PE-KG01-L21-20251022-AM-ORD-2025-00020-S11</x:v>
      </x:c>
      <x:c r="B67" t="str">
        <x:v>PE-KG01-L21-20251022-AM-ORD-2025-00020</x:v>
      </x:c>
      <x:c r="C67" t="str">
        <x:v>KG01</x:v>
      </x:c>
      <x:c r="D67" t="n">
        <x:v>45952</x:v>
      </x:c>
      <x:c r="E67" t="str">
        <x:v>AM</x:v>
      </x:c>
      <x:c r="F67" t="str">
        <x:v>B</x:v>
      </x:c>
      <x:c r="G67" t="n">
        <x:v>21</x:v>
      </x:c>
      <x:c r="H67" t="str">
        <x:v>ORD-2025-00020</x:v>
      </x:c>
      <x:c r="I67" t="n">
        <x:v>11</x:v>
      </x:c>
      <x:c r="J67" t="n">
        <x:v>10</x:v>
      </x:c>
      <x:c r="K67" t="n">
        <x:v>2</x:v>
      </x:c>
      <x:c r="L67" t="n">
        <x:f>IF(I67&lt;=J67,1,0)</x:f>
        <x:v>0</x:v>
      </x:c>
      <x:c r="P67" t="n">
        <x:f>IF(M67="",IF(AND(L67=1,K67&gt;=1),1,0),M67)</x:f>
        <x:v>0</x:v>
      </x:c>
      <x:c r="Q67" t="n">
        <x:f>IF(N67="",IF(AND(L67=1,K67&gt;=2),1,0),N67)</x:f>
        <x:v>0</x:v>
      </x:c>
      <x:c r="R67" t="n">
        <x:f>IF(O67="",IF(AND(L67=1,K67&gt;=3),1,0),O67)</x:f>
        <x:v>0</x:v>
      </x:c>
      <x:c r="S67" t="n">
        <x:f>SUM(P67:R67)</x:f>
        <x:v>0</x:v>
      </x:c>
      <x:c r="T67" t="str">
        <x:f>IF(COUNTA(M67:O67)=0,"DerivedFromCount","ManualOverride")</x:f>
        <x:v>DerivedFromCount</x:v>
      </x:c>
      <x:c r="U67" t="str">
        <x:f>IF(COUNTIF(DailyProduction!$Q$5:$Q$100,B67)=1,"OK","CHECK")</x:f>
        <x:v>OK</x:v>
      </x:c>
      <x:c r="V67" t="str">
        <x:f>IF(AND(I67&gt;=1,I67&lt;=13,K67&gt;=1,K67&lt;=3),"OK","CHECK")</x:f>
        <x:v>OK</x:v>
      </x:c>
      <x:c r="W67" t="str">
        <x:f>IF(SUMIF($B$5:$B$914,B67,$S$5:$S$914)=SUMIF(DailyProduction!$Q$5:$Q$100,B67,DailyProduction!$R$5:$R$100),"OK","CHECK")</x:f>
        <x:v>OK</x:v>
      </x:c>
    </x:row>
    <x:row r="68">
      <x:c r="A68" t="str">
        <x:v>PC-PE-KG01-L21-20251022-AM-ORD-2025-00020-S12</x:v>
      </x:c>
      <x:c r="B68" t="str">
        <x:v>PE-KG01-L21-20251022-AM-ORD-2025-00020</x:v>
      </x:c>
      <x:c r="C68" t="str">
        <x:v>KG01</x:v>
      </x:c>
      <x:c r="D68" t="n">
        <x:v>45952</x:v>
      </x:c>
      <x:c r="E68" t="str">
        <x:v>AM</x:v>
      </x:c>
      <x:c r="F68" t="str">
        <x:v>B</x:v>
      </x:c>
      <x:c r="G68" t="n">
        <x:v>21</x:v>
      </x:c>
      <x:c r="H68" t="str">
        <x:v>ORD-2025-00020</x:v>
      </x:c>
      <x:c r="I68" t="n">
        <x:v>12</x:v>
      </x:c>
      <x:c r="J68" t="n">
        <x:v>10</x:v>
      </x:c>
      <x:c r="K68" t="n">
        <x:v>2</x:v>
      </x:c>
      <x:c r="L68" t="n">
        <x:f>IF(I68&lt;=J68,1,0)</x:f>
        <x:v>0</x:v>
      </x:c>
      <x:c r="P68" t="n">
        <x:f>IF(M68="",IF(AND(L68=1,K68&gt;=1),1,0),M68)</x:f>
        <x:v>0</x:v>
      </x:c>
      <x:c r="Q68" t="n">
        <x:f>IF(N68="",IF(AND(L68=1,K68&gt;=2),1,0),N68)</x:f>
        <x:v>0</x:v>
      </x:c>
      <x:c r="R68" t="n">
        <x:f>IF(O68="",IF(AND(L68=1,K68&gt;=3),1,0),O68)</x:f>
        <x:v>0</x:v>
      </x:c>
      <x:c r="S68" t="n">
        <x:f>SUM(P68:R68)</x:f>
        <x:v>0</x:v>
      </x:c>
      <x:c r="T68" t="str">
        <x:f>IF(COUNTA(M68:O68)=0,"DerivedFromCount","ManualOverride")</x:f>
        <x:v>DerivedFromCount</x:v>
      </x:c>
      <x:c r="U68" t="str">
        <x:f>IF(COUNTIF(DailyProduction!$Q$5:$Q$100,B68)=1,"OK","CHECK")</x:f>
        <x:v>OK</x:v>
      </x:c>
      <x:c r="V68" t="str">
        <x:f>IF(AND(I68&gt;=1,I68&lt;=13,K68&gt;=1,K68&lt;=3),"OK","CHECK")</x:f>
        <x:v>OK</x:v>
      </x:c>
      <x:c r="W68" t="str">
        <x:f>IF(SUMIF($B$5:$B$914,B68,$S$5:$S$914)=SUMIF(DailyProduction!$Q$5:$Q$100,B68,DailyProduction!$R$5:$R$100),"OK","CHECK")</x:f>
        <x:v>OK</x:v>
      </x:c>
    </x:row>
    <x:row r="69">
      <x:c r="A69" t="str">
        <x:v>PC-PE-KG01-L21-20251022-AM-ORD-2025-00020-S13</x:v>
      </x:c>
      <x:c r="B69" t="str">
        <x:v>PE-KG01-L21-20251022-AM-ORD-2025-00020</x:v>
      </x:c>
      <x:c r="C69" t="str">
        <x:v>KG01</x:v>
      </x:c>
      <x:c r="D69" t="n">
        <x:v>45952</x:v>
      </x:c>
      <x:c r="E69" t="str">
        <x:v>AM</x:v>
      </x:c>
      <x:c r="F69" t="str">
        <x:v>B</x:v>
      </x:c>
      <x:c r="G69" t="n">
        <x:v>21</x:v>
      </x:c>
      <x:c r="H69" t="str">
        <x:v>ORD-2025-00020</x:v>
      </x:c>
      <x:c r="I69" t="n">
        <x:v>13</x:v>
      </x:c>
      <x:c r="J69" t="n">
        <x:v>10</x:v>
      </x:c>
      <x:c r="K69" t="n">
        <x:v>2</x:v>
      </x:c>
      <x:c r="L69" t="n">
        <x:f>IF(I69&lt;=J69,1,0)</x:f>
        <x:v>0</x:v>
      </x:c>
      <x:c r="P69" t="n">
        <x:f>IF(M69="",IF(AND(L69=1,K69&gt;=1),1,0),M69)</x:f>
        <x:v>0</x:v>
      </x:c>
      <x:c r="Q69" t="n">
        <x:f>IF(N69="",IF(AND(L69=1,K69&gt;=2),1,0),N69)</x:f>
        <x:v>0</x:v>
      </x:c>
      <x:c r="R69" t="n">
        <x:f>IF(O69="",IF(AND(L69=1,K69&gt;=3),1,0),O69)</x:f>
        <x:v>0</x:v>
      </x:c>
      <x:c r="S69" t="n">
        <x:f>SUM(P69:R69)</x:f>
        <x:v>0</x:v>
      </x:c>
      <x:c r="T69" t="str">
        <x:f>IF(COUNTA(M69:O69)=0,"DerivedFromCount","ManualOverride")</x:f>
        <x:v>DerivedFromCount</x:v>
      </x:c>
      <x:c r="U69" t="str">
        <x:f>IF(COUNTIF(DailyProduction!$Q$5:$Q$100,B69)=1,"OK","CHECK")</x:f>
        <x:v>OK</x:v>
      </x:c>
      <x:c r="V69" t="str">
        <x:f>IF(AND(I69&gt;=1,I69&lt;=13,K69&gt;=1,K69&lt;=3),"OK","CHECK")</x:f>
        <x:v>OK</x:v>
      </x:c>
      <x:c r="W69" t="str">
        <x:f>IF(SUMIF($B$5:$B$914,B69,$S$5:$S$914)=SUMIF(DailyProduction!$Q$5:$Q$100,B69,DailyProduction!$R$5:$R$100),"OK","CHECK")</x:f>
        <x:v>OK</x:v>
      </x:c>
    </x:row>
    <x:row r="70">
      <x:c r="A70" t="str">
        <x:v>PC-PE-KG01-L21-20251022-PM-ORD-2025-00020-S01</x:v>
      </x:c>
      <x:c r="B70" t="str">
        <x:v>PE-KG01-L21-20251022-PM-ORD-2025-00020</x:v>
      </x:c>
      <x:c r="C70" t="str">
        <x:v>KG01</x:v>
      </x:c>
      <x:c r="D70" t="n">
        <x:v>45952</x:v>
      </x:c>
      <x:c r="E70" t="str">
        <x:v>PM</x:v>
      </x:c>
      <x:c r="F70" t="str">
        <x:v>C</x:v>
      </x:c>
      <x:c r="G70" t="n">
        <x:v>21</x:v>
      </x:c>
      <x:c r="H70" t="str">
        <x:v>ORD-2025-00020</x:v>
      </x:c>
      <x:c r="I70" t="n">
        <x:v>1</x:v>
      </x:c>
      <x:c r="J70" t="n">
        <x:v>10</x:v>
      </x:c>
      <x:c r="K70" t="n">
        <x:v>2</x:v>
      </x:c>
      <x:c r="L70" t="n">
        <x:f>IF(I70&lt;=J70,1,0)</x:f>
        <x:v>1</x:v>
      </x:c>
      <x:c r="P70" t="n">
        <x:f>IF(M70="",IF(AND(L70=1,K70&gt;=1),1,0),M70)</x:f>
        <x:v>1</x:v>
      </x:c>
      <x:c r="Q70" t="n">
        <x:f>IF(N70="",IF(AND(L70=1,K70&gt;=2),1,0),N70)</x:f>
        <x:v>1</x:v>
      </x:c>
      <x:c r="R70" t="n">
        <x:f>IF(O70="",IF(AND(L70=1,K70&gt;=3),1,0),O70)</x:f>
        <x:v>0</x:v>
      </x:c>
      <x:c r="S70" t="n">
        <x:f>SUM(P70:R70)</x:f>
        <x:v>2</x:v>
      </x:c>
      <x:c r="T70" t="str">
        <x:f>IF(COUNTA(M70:O70)=0,"DerivedFromCount","ManualOverride")</x:f>
        <x:v>DerivedFromCount</x:v>
      </x:c>
      <x:c r="U70" t="str">
        <x:f>IF(COUNTIF(DailyProduction!$Q$5:$Q$100,B70)=1,"OK","CHECK")</x:f>
        <x:v>OK</x:v>
      </x:c>
      <x:c r="V70" t="str">
        <x:f>IF(AND(I70&gt;=1,I70&lt;=13,K70&gt;=1,K70&lt;=3),"OK","CHECK")</x:f>
        <x:v>OK</x:v>
      </x:c>
      <x:c r="W70" t="str">
        <x:f>IF(SUMIF($B$5:$B$914,B70,$S$5:$S$914)=SUMIF(DailyProduction!$Q$5:$Q$100,B70,DailyProduction!$R$5:$R$100),"OK","CHECK")</x:f>
        <x:v>OK</x:v>
      </x:c>
    </x:row>
    <x:row r="71">
      <x:c r="A71" t="str">
        <x:v>PC-PE-KG01-L21-20251022-PM-ORD-2025-00020-S02</x:v>
      </x:c>
      <x:c r="B71" t="str">
        <x:v>PE-KG01-L21-20251022-PM-ORD-2025-00020</x:v>
      </x:c>
      <x:c r="C71" t="str">
        <x:v>KG01</x:v>
      </x:c>
      <x:c r="D71" t="n">
        <x:v>45952</x:v>
      </x:c>
      <x:c r="E71" t="str">
        <x:v>PM</x:v>
      </x:c>
      <x:c r="F71" t="str">
        <x:v>C</x:v>
      </x:c>
      <x:c r="G71" t="n">
        <x:v>21</x:v>
      </x:c>
      <x:c r="H71" t="str">
        <x:v>ORD-2025-00020</x:v>
      </x:c>
      <x:c r="I71" t="n">
        <x:v>2</x:v>
      </x:c>
      <x:c r="J71" t="n">
        <x:v>10</x:v>
      </x:c>
      <x:c r="K71" t="n">
        <x:v>2</x:v>
      </x:c>
      <x:c r="L71" t="n">
        <x:f>IF(I71&lt;=J71,1,0)</x:f>
        <x:v>1</x:v>
      </x:c>
      <x:c r="P71" t="n">
        <x:f>IF(M71="",IF(AND(L71=1,K71&gt;=1),1,0),M71)</x:f>
        <x:v>1</x:v>
      </x:c>
      <x:c r="Q71" t="n">
        <x:f>IF(N71="",IF(AND(L71=1,K71&gt;=2),1,0),N71)</x:f>
        <x:v>1</x:v>
      </x:c>
      <x:c r="R71" t="n">
        <x:f>IF(O71="",IF(AND(L71=1,K71&gt;=3),1,0),O71)</x:f>
        <x:v>0</x:v>
      </x:c>
      <x:c r="S71" t="n">
        <x:f>SUM(P71:R71)</x:f>
        <x:v>2</x:v>
      </x:c>
      <x:c r="T71" t="str">
        <x:f>IF(COUNTA(M71:O71)=0,"DerivedFromCount","ManualOverride")</x:f>
        <x:v>DerivedFromCount</x:v>
      </x:c>
      <x:c r="U71" t="str">
        <x:f>IF(COUNTIF(DailyProduction!$Q$5:$Q$100,B71)=1,"OK","CHECK")</x:f>
        <x:v>OK</x:v>
      </x:c>
      <x:c r="V71" t="str">
        <x:f>IF(AND(I71&gt;=1,I71&lt;=13,K71&gt;=1,K71&lt;=3),"OK","CHECK")</x:f>
        <x:v>OK</x:v>
      </x:c>
      <x:c r="W71" t="str">
        <x:f>IF(SUMIF($B$5:$B$914,B71,$S$5:$S$914)=SUMIF(DailyProduction!$Q$5:$Q$100,B71,DailyProduction!$R$5:$R$100),"OK","CHECK")</x:f>
        <x:v>OK</x:v>
      </x:c>
    </x:row>
    <x:row r="72">
      <x:c r="A72" t="str">
        <x:v>PC-PE-KG01-L21-20251022-PM-ORD-2025-00020-S03</x:v>
      </x:c>
      <x:c r="B72" t="str">
        <x:v>PE-KG01-L21-20251022-PM-ORD-2025-00020</x:v>
      </x:c>
      <x:c r="C72" t="str">
        <x:v>KG01</x:v>
      </x:c>
      <x:c r="D72" t="n">
        <x:v>45952</x:v>
      </x:c>
      <x:c r="E72" t="str">
        <x:v>PM</x:v>
      </x:c>
      <x:c r="F72" t="str">
        <x:v>C</x:v>
      </x:c>
      <x:c r="G72" t="n">
        <x:v>21</x:v>
      </x:c>
      <x:c r="H72" t="str">
        <x:v>ORD-2025-00020</x:v>
      </x:c>
      <x:c r="I72" t="n">
        <x:v>3</x:v>
      </x:c>
      <x:c r="J72" t="n">
        <x:v>10</x:v>
      </x:c>
      <x:c r="K72" t="n">
        <x:v>2</x:v>
      </x:c>
      <x:c r="L72" t="n">
        <x:f>IF(I72&lt;=J72,1,0)</x:f>
        <x:v>1</x:v>
      </x:c>
      <x:c r="P72" t="n">
        <x:f>IF(M72="",IF(AND(L72=1,K72&gt;=1),1,0),M72)</x:f>
        <x:v>1</x:v>
      </x:c>
      <x:c r="Q72" t="n">
        <x:f>IF(N72="",IF(AND(L72=1,K72&gt;=2),1,0),N72)</x:f>
        <x:v>1</x:v>
      </x:c>
      <x:c r="R72" t="n">
        <x:f>IF(O72="",IF(AND(L72=1,K72&gt;=3),1,0),O72)</x:f>
        <x:v>0</x:v>
      </x:c>
      <x:c r="S72" t="n">
        <x:f>SUM(P72:R72)</x:f>
        <x:v>2</x:v>
      </x:c>
      <x:c r="T72" t="str">
        <x:f>IF(COUNTA(M72:O72)=0,"DerivedFromCount","ManualOverride")</x:f>
        <x:v>DerivedFromCount</x:v>
      </x:c>
      <x:c r="U72" t="str">
        <x:f>IF(COUNTIF(DailyProduction!$Q$5:$Q$100,B72)=1,"OK","CHECK")</x:f>
        <x:v>OK</x:v>
      </x:c>
      <x:c r="V72" t="str">
        <x:f>IF(AND(I72&gt;=1,I72&lt;=13,K72&gt;=1,K72&lt;=3),"OK","CHECK")</x:f>
        <x:v>OK</x:v>
      </x:c>
      <x:c r="W72" t="str">
        <x:f>IF(SUMIF($B$5:$B$914,B72,$S$5:$S$914)=SUMIF(DailyProduction!$Q$5:$Q$100,B72,DailyProduction!$R$5:$R$100),"OK","CHECK")</x:f>
        <x:v>OK</x:v>
      </x:c>
    </x:row>
    <x:row r="73">
      <x:c r="A73" t="str">
        <x:v>PC-PE-KG01-L21-20251022-PM-ORD-2025-00020-S04</x:v>
      </x:c>
      <x:c r="B73" t="str">
        <x:v>PE-KG01-L21-20251022-PM-ORD-2025-00020</x:v>
      </x:c>
      <x:c r="C73" t="str">
        <x:v>KG01</x:v>
      </x:c>
      <x:c r="D73" t="n">
        <x:v>45952</x:v>
      </x:c>
      <x:c r="E73" t="str">
        <x:v>PM</x:v>
      </x:c>
      <x:c r="F73" t="str">
        <x:v>C</x:v>
      </x:c>
      <x:c r="G73" t="n">
        <x:v>21</x:v>
      </x:c>
      <x:c r="H73" t="str">
        <x:v>ORD-2025-00020</x:v>
      </x:c>
      <x:c r="I73" t="n">
        <x:v>4</x:v>
      </x:c>
      <x:c r="J73" t="n">
        <x:v>10</x:v>
      </x:c>
      <x:c r="K73" t="n">
        <x:v>2</x:v>
      </x:c>
      <x:c r="L73" t="n">
        <x:f>IF(I73&lt;=J73,1,0)</x:f>
        <x:v>1</x:v>
      </x:c>
      <x:c r="P73" t="n">
        <x:f>IF(M73="",IF(AND(L73=1,K73&gt;=1),1,0),M73)</x:f>
        <x:v>1</x:v>
      </x:c>
      <x:c r="Q73" t="n">
        <x:f>IF(N73="",IF(AND(L73=1,K73&gt;=2),1,0),N73)</x:f>
        <x:v>1</x:v>
      </x:c>
      <x:c r="R73" t="n">
        <x:f>IF(O73="",IF(AND(L73=1,K73&gt;=3),1,0),O73)</x:f>
        <x:v>0</x:v>
      </x:c>
      <x:c r="S73" t="n">
        <x:f>SUM(P73:R73)</x:f>
        <x:v>2</x:v>
      </x:c>
      <x:c r="T73" t="str">
        <x:f>IF(COUNTA(M73:O73)=0,"DerivedFromCount","ManualOverride")</x:f>
        <x:v>DerivedFromCount</x:v>
      </x:c>
      <x:c r="U73" t="str">
        <x:f>IF(COUNTIF(DailyProduction!$Q$5:$Q$100,B73)=1,"OK","CHECK")</x:f>
        <x:v>OK</x:v>
      </x:c>
      <x:c r="V73" t="str">
        <x:f>IF(AND(I73&gt;=1,I73&lt;=13,K73&gt;=1,K73&lt;=3),"OK","CHECK")</x:f>
        <x:v>OK</x:v>
      </x:c>
      <x:c r="W73" t="str">
        <x:f>IF(SUMIF($B$5:$B$914,B73,$S$5:$S$914)=SUMIF(DailyProduction!$Q$5:$Q$100,B73,DailyProduction!$R$5:$R$100),"OK","CHECK")</x:f>
        <x:v>OK</x:v>
      </x:c>
    </x:row>
    <x:row r="74">
      <x:c r="A74" t="str">
        <x:v>PC-PE-KG01-L21-20251022-PM-ORD-2025-00020-S05</x:v>
      </x:c>
      <x:c r="B74" t="str">
        <x:v>PE-KG01-L21-20251022-PM-ORD-2025-00020</x:v>
      </x:c>
      <x:c r="C74" t="str">
        <x:v>KG01</x:v>
      </x:c>
      <x:c r="D74" t="n">
        <x:v>45952</x:v>
      </x:c>
      <x:c r="E74" t="str">
        <x:v>PM</x:v>
      </x:c>
      <x:c r="F74" t="str">
        <x:v>C</x:v>
      </x:c>
      <x:c r="G74" t="n">
        <x:v>21</x:v>
      </x:c>
      <x:c r="H74" t="str">
        <x:v>ORD-2025-00020</x:v>
      </x:c>
      <x:c r="I74" t="n">
        <x:v>5</x:v>
      </x:c>
      <x:c r="J74" t="n">
        <x:v>10</x:v>
      </x:c>
      <x:c r="K74" t="n">
        <x:v>2</x:v>
      </x:c>
      <x:c r="L74" t="n">
        <x:f>IF(I74&lt;=J74,1,0)</x:f>
        <x:v>1</x:v>
      </x:c>
      <x:c r="P74" t="n">
        <x:f>IF(M74="",IF(AND(L74=1,K74&gt;=1),1,0),M74)</x:f>
        <x:v>1</x:v>
      </x:c>
      <x:c r="Q74" t="n">
        <x:f>IF(N74="",IF(AND(L74=1,K74&gt;=2),1,0),N74)</x:f>
        <x:v>1</x:v>
      </x:c>
      <x:c r="R74" t="n">
        <x:f>IF(O74="",IF(AND(L74=1,K74&gt;=3),1,0),O74)</x:f>
        <x:v>0</x:v>
      </x:c>
      <x:c r="S74" t="n">
        <x:f>SUM(P74:R74)</x:f>
        <x:v>2</x:v>
      </x:c>
      <x:c r="T74" t="str">
        <x:f>IF(COUNTA(M74:O74)=0,"DerivedFromCount","ManualOverride")</x:f>
        <x:v>DerivedFromCount</x:v>
      </x:c>
      <x:c r="U74" t="str">
        <x:f>IF(COUNTIF(DailyProduction!$Q$5:$Q$100,B74)=1,"OK","CHECK")</x:f>
        <x:v>OK</x:v>
      </x:c>
      <x:c r="V74" t="str">
        <x:f>IF(AND(I74&gt;=1,I74&lt;=13,K74&gt;=1,K74&lt;=3),"OK","CHECK")</x:f>
        <x:v>OK</x:v>
      </x:c>
      <x:c r="W74" t="str">
        <x:f>IF(SUMIF($B$5:$B$914,B74,$S$5:$S$914)=SUMIF(DailyProduction!$Q$5:$Q$100,B74,DailyProduction!$R$5:$R$100),"OK","CHECK")</x:f>
        <x:v>OK</x:v>
      </x:c>
    </x:row>
    <x:row r="75">
      <x:c r="A75" t="str">
        <x:v>PC-PE-KG01-L21-20251022-PM-ORD-2025-00020-S06</x:v>
      </x:c>
      <x:c r="B75" t="str">
        <x:v>PE-KG01-L21-20251022-PM-ORD-2025-00020</x:v>
      </x:c>
      <x:c r="C75" t="str">
        <x:v>KG01</x:v>
      </x:c>
      <x:c r="D75" t="n">
        <x:v>45952</x:v>
      </x:c>
      <x:c r="E75" t="str">
        <x:v>PM</x:v>
      </x:c>
      <x:c r="F75" t="str">
        <x:v>C</x:v>
      </x:c>
      <x:c r="G75" t="n">
        <x:v>21</x:v>
      </x:c>
      <x:c r="H75" t="str">
        <x:v>ORD-2025-00020</x:v>
      </x:c>
      <x:c r="I75" t="n">
        <x:v>6</x:v>
      </x:c>
      <x:c r="J75" t="n">
        <x:v>10</x:v>
      </x:c>
      <x:c r="K75" t="n">
        <x:v>2</x:v>
      </x:c>
      <x:c r="L75" t="n">
        <x:f>IF(I75&lt;=J75,1,0)</x:f>
        <x:v>1</x:v>
      </x:c>
      <x:c r="P75" t="n">
        <x:f>IF(M75="",IF(AND(L75=1,K75&gt;=1),1,0),M75)</x:f>
        <x:v>1</x:v>
      </x:c>
      <x:c r="Q75" t="n">
        <x:f>IF(N75="",IF(AND(L75=1,K75&gt;=2),1,0),N75)</x:f>
        <x:v>1</x:v>
      </x:c>
      <x:c r="R75" t="n">
        <x:f>IF(O75="",IF(AND(L75=1,K75&gt;=3),1,0),O75)</x:f>
        <x:v>0</x:v>
      </x:c>
      <x:c r="S75" t="n">
        <x:f>SUM(P75:R75)</x:f>
        <x:v>2</x:v>
      </x:c>
      <x:c r="T75" t="str">
        <x:f>IF(COUNTA(M75:O75)=0,"DerivedFromCount","ManualOverride")</x:f>
        <x:v>DerivedFromCount</x:v>
      </x:c>
      <x:c r="U75" t="str">
        <x:f>IF(COUNTIF(DailyProduction!$Q$5:$Q$100,B75)=1,"OK","CHECK")</x:f>
        <x:v>OK</x:v>
      </x:c>
      <x:c r="V75" t="str">
        <x:f>IF(AND(I75&gt;=1,I75&lt;=13,K75&gt;=1,K75&lt;=3),"OK","CHECK")</x:f>
        <x:v>OK</x:v>
      </x:c>
      <x:c r="W75" t="str">
        <x:f>IF(SUMIF($B$5:$B$914,B75,$S$5:$S$914)=SUMIF(DailyProduction!$Q$5:$Q$100,B75,DailyProduction!$R$5:$R$100),"OK","CHECK")</x:f>
        <x:v>OK</x:v>
      </x:c>
    </x:row>
    <x:row r="76">
      <x:c r="A76" t="str">
        <x:v>PC-PE-KG01-L21-20251022-PM-ORD-2025-00020-S07</x:v>
      </x:c>
      <x:c r="B76" t="str">
        <x:v>PE-KG01-L21-20251022-PM-ORD-2025-00020</x:v>
      </x:c>
      <x:c r="C76" t="str">
        <x:v>KG01</x:v>
      </x:c>
      <x:c r="D76" t="n">
        <x:v>45952</x:v>
      </x:c>
      <x:c r="E76" t="str">
        <x:v>PM</x:v>
      </x:c>
      <x:c r="F76" t="str">
        <x:v>C</x:v>
      </x:c>
      <x:c r="G76" t="n">
        <x:v>21</x:v>
      </x:c>
      <x:c r="H76" t="str">
        <x:v>ORD-2025-00020</x:v>
      </x:c>
      <x:c r="I76" t="n">
        <x:v>7</x:v>
      </x:c>
      <x:c r="J76" t="n">
        <x:v>10</x:v>
      </x:c>
      <x:c r="K76" t="n">
        <x:v>2</x:v>
      </x:c>
      <x:c r="L76" t="n">
        <x:f>IF(I76&lt;=J76,1,0)</x:f>
        <x:v>1</x:v>
      </x:c>
      <x:c r="P76" t="n">
        <x:f>IF(M76="",IF(AND(L76=1,K76&gt;=1),1,0),M76)</x:f>
        <x:v>1</x:v>
      </x:c>
      <x:c r="Q76" t="n">
        <x:f>IF(N76="",IF(AND(L76=1,K76&gt;=2),1,0),N76)</x:f>
        <x:v>1</x:v>
      </x:c>
      <x:c r="R76" t="n">
        <x:f>IF(O76="",IF(AND(L76=1,K76&gt;=3),1,0),O76)</x:f>
        <x:v>0</x:v>
      </x:c>
      <x:c r="S76" t="n">
        <x:f>SUM(P76:R76)</x:f>
        <x:v>2</x:v>
      </x:c>
      <x:c r="T76" t="str">
        <x:f>IF(COUNTA(M76:O76)=0,"DerivedFromCount","ManualOverride")</x:f>
        <x:v>DerivedFromCount</x:v>
      </x:c>
      <x:c r="U76" t="str">
        <x:f>IF(COUNTIF(DailyProduction!$Q$5:$Q$100,B76)=1,"OK","CHECK")</x:f>
        <x:v>OK</x:v>
      </x:c>
      <x:c r="V76" t="str">
        <x:f>IF(AND(I76&gt;=1,I76&lt;=13,K76&gt;=1,K76&lt;=3),"OK","CHECK")</x:f>
        <x:v>OK</x:v>
      </x:c>
      <x:c r="W76" t="str">
        <x:f>IF(SUMIF($B$5:$B$914,B76,$S$5:$S$914)=SUMIF(DailyProduction!$Q$5:$Q$100,B76,DailyProduction!$R$5:$R$100),"OK","CHECK")</x:f>
        <x:v>OK</x:v>
      </x:c>
    </x:row>
    <x:row r="77">
      <x:c r="A77" t="str">
        <x:v>PC-PE-KG01-L21-20251022-PM-ORD-2025-00020-S08</x:v>
      </x:c>
      <x:c r="B77" t="str">
        <x:v>PE-KG01-L21-20251022-PM-ORD-2025-00020</x:v>
      </x:c>
      <x:c r="C77" t="str">
        <x:v>KG01</x:v>
      </x:c>
      <x:c r="D77" t="n">
        <x:v>45952</x:v>
      </x:c>
      <x:c r="E77" t="str">
        <x:v>PM</x:v>
      </x:c>
      <x:c r="F77" t="str">
        <x:v>C</x:v>
      </x:c>
      <x:c r="G77" t="n">
        <x:v>21</x:v>
      </x:c>
      <x:c r="H77" t="str">
        <x:v>ORD-2025-00020</x:v>
      </x:c>
      <x:c r="I77" t="n">
        <x:v>8</x:v>
      </x:c>
      <x:c r="J77" t="n">
        <x:v>10</x:v>
      </x:c>
      <x:c r="K77" t="n">
        <x:v>2</x:v>
      </x:c>
      <x:c r="L77" t="n">
        <x:f>IF(I77&lt;=J77,1,0)</x:f>
        <x:v>1</x:v>
      </x:c>
      <x:c r="P77" t="n">
        <x:f>IF(M77="",IF(AND(L77=1,K77&gt;=1),1,0),M77)</x:f>
        <x:v>1</x:v>
      </x:c>
      <x:c r="Q77" t="n">
        <x:f>IF(N77="",IF(AND(L77=1,K77&gt;=2),1,0),N77)</x:f>
        <x:v>1</x:v>
      </x:c>
      <x:c r="R77" t="n">
        <x:f>IF(O77="",IF(AND(L77=1,K77&gt;=3),1,0),O77)</x:f>
        <x:v>0</x:v>
      </x:c>
      <x:c r="S77" t="n">
        <x:f>SUM(P77:R77)</x:f>
        <x:v>2</x:v>
      </x:c>
      <x:c r="T77" t="str">
        <x:f>IF(COUNTA(M77:O77)=0,"DerivedFromCount","ManualOverride")</x:f>
        <x:v>DerivedFromCount</x:v>
      </x:c>
      <x:c r="U77" t="str">
        <x:f>IF(COUNTIF(DailyProduction!$Q$5:$Q$100,B77)=1,"OK","CHECK")</x:f>
        <x:v>OK</x:v>
      </x:c>
      <x:c r="V77" t="str">
        <x:f>IF(AND(I77&gt;=1,I77&lt;=13,K77&gt;=1,K77&lt;=3),"OK","CHECK")</x:f>
        <x:v>OK</x:v>
      </x:c>
      <x:c r="W77" t="str">
        <x:f>IF(SUMIF($B$5:$B$914,B77,$S$5:$S$914)=SUMIF(DailyProduction!$Q$5:$Q$100,B77,DailyProduction!$R$5:$R$100),"OK","CHECK")</x:f>
        <x:v>OK</x:v>
      </x:c>
    </x:row>
    <x:row r="78">
      <x:c r="A78" t="str">
        <x:v>PC-PE-KG01-L21-20251022-PM-ORD-2025-00020-S09</x:v>
      </x:c>
      <x:c r="B78" t="str">
        <x:v>PE-KG01-L21-20251022-PM-ORD-2025-00020</x:v>
      </x:c>
      <x:c r="C78" t="str">
        <x:v>KG01</x:v>
      </x:c>
      <x:c r="D78" t="n">
        <x:v>45952</x:v>
      </x:c>
      <x:c r="E78" t="str">
        <x:v>PM</x:v>
      </x:c>
      <x:c r="F78" t="str">
        <x:v>C</x:v>
      </x:c>
      <x:c r="G78" t="n">
        <x:v>21</x:v>
      </x:c>
      <x:c r="H78" t="str">
        <x:v>ORD-2025-00020</x:v>
      </x:c>
      <x:c r="I78" t="n">
        <x:v>9</x:v>
      </x:c>
      <x:c r="J78" t="n">
        <x:v>10</x:v>
      </x:c>
      <x:c r="K78" t="n">
        <x:v>2</x:v>
      </x:c>
      <x:c r="L78" t="n">
        <x:f>IF(I78&lt;=J78,1,0)</x:f>
        <x:v>1</x:v>
      </x:c>
      <x:c r="P78" t="n">
        <x:f>IF(M78="",IF(AND(L78=1,K78&gt;=1),1,0),M78)</x:f>
        <x:v>1</x:v>
      </x:c>
      <x:c r="Q78" t="n">
        <x:f>IF(N78="",IF(AND(L78=1,K78&gt;=2),1,0),N78)</x:f>
        <x:v>1</x:v>
      </x:c>
      <x:c r="R78" t="n">
        <x:f>IF(O78="",IF(AND(L78=1,K78&gt;=3),1,0),O78)</x:f>
        <x:v>0</x:v>
      </x:c>
      <x:c r="S78" t="n">
        <x:f>SUM(P78:R78)</x:f>
        <x:v>2</x:v>
      </x:c>
      <x:c r="T78" t="str">
        <x:f>IF(COUNTA(M78:O78)=0,"DerivedFromCount","ManualOverride")</x:f>
        <x:v>DerivedFromCount</x:v>
      </x:c>
      <x:c r="U78" t="str">
        <x:f>IF(COUNTIF(DailyProduction!$Q$5:$Q$100,B78)=1,"OK","CHECK")</x:f>
        <x:v>OK</x:v>
      </x:c>
      <x:c r="V78" t="str">
        <x:f>IF(AND(I78&gt;=1,I78&lt;=13,K78&gt;=1,K78&lt;=3),"OK","CHECK")</x:f>
        <x:v>OK</x:v>
      </x:c>
      <x:c r="W78" t="str">
        <x:f>IF(SUMIF($B$5:$B$914,B78,$S$5:$S$914)=SUMIF(DailyProduction!$Q$5:$Q$100,B78,DailyProduction!$R$5:$R$100),"OK","CHECK")</x:f>
        <x:v>OK</x:v>
      </x:c>
    </x:row>
    <x:row r="79">
      <x:c r="A79" t="str">
        <x:v>PC-PE-KG01-L21-20251022-PM-ORD-2025-00020-S10</x:v>
      </x:c>
      <x:c r="B79" t="str">
        <x:v>PE-KG01-L21-20251022-PM-ORD-2025-00020</x:v>
      </x:c>
      <x:c r="C79" t="str">
        <x:v>KG01</x:v>
      </x:c>
      <x:c r="D79" t="n">
        <x:v>45952</x:v>
      </x:c>
      <x:c r="E79" t="str">
        <x:v>PM</x:v>
      </x:c>
      <x:c r="F79" t="str">
        <x:v>C</x:v>
      </x:c>
      <x:c r="G79" t="n">
        <x:v>21</x:v>
      </x:c>
      <x:c r="H79" t="str">
        <x:v>ORD-2025-00020</x:v>
      </x:c>
      <x:c r="I79" t="n">
        <x:v>10</x:v>
      </x:c>
      <x:c r="J79" t="n">
        <x:v>10</x:v>
      </x:c>
      <x:c r="K79" t="n">
        <x:v>2</x:v>
      </x:c>
      <x:c r="L79" t="n">
        <x:f>IF(I79&lt;=J79,1,0)</x:f>
        <x:v>1</x:v>
      </x:c>
      <x:c r="P79" t="n">
        <x:f>IF(M79="",IF(AND(L79=1,K79&gt;=1),1,0),M79)</x:f>
        <x:v>1</x:v>
      </x:c>
      <x:c r="Q79" t="n">
        <x:f>IF(N79="",IF(AND(L79=1,K79&gt;=2),1,0),N79)</x:f>
        <x:v>1</x:v>
      </x:c>
      <x:c r="R79" t="n">
        <x:f>IF(O79="",IF(AND(L79=1,K79&gt;=3),1,0),O79)</x:f>
        <x:v>0</x:v>
      </x:c>
      <x:c r="S79" t="n">
        <x:f>SUM(P79:R79)</x:f>
        <x:v>2</x:v>
      </x:c>
      <x:c r="T79" t="str">
        <x:f>IF(COUNTA(M79:O79)=0,"DerivedFromCount","ManualOverride")</x:f>
        <x:v>DerivedFromCount</x:v>
      </x:c>
      <x:c r="U79" t="str">
        <x:f>IF(COUNTIF(DailyProduction!$Q$5:$Q$100,B79)=1,"OK","CHECK")</x:f>
        <x:v>OK</x:v>
      </x:c>
      <x:c r="V79" t="str">
        <x:f>IF(AND(I79&gt;=1,I79&lt;=13,K79&gt;=1,K79&lt;=3),"OK","CHECK")</x:f>
        <x:v>OK</x:v>
      </x:c>
      <x:c r="W79" t="str">
        <x:f>IF(SUMIF($B$5:$B$914,B79,$S$5:$S$914)=SUMIF(DailyProduction!$Q$5:$Q$100,B79,DailyProduction!$R$5:$R$100),"OK","CHECK")</x:f>
        <x:v>OK</x:v>
      </x:c>
    </x:row>
    <x:row r="80">
      <x:c r="A80" t="str">
        <x:v>PC-PE-KG01-L21-20251022-PM-ORD-2025-00020-S11</x:v>
      </x:c>
      <x:c r="B80" t="str">
        <x:v>PE-KG01-L21-20251022-PM-ORD-2025-00020</x:v>
      </x:c>
      <x:c r="C80" t="str">
        <x:v>KG01</x:v>
      </x:c>
      <x:c r="D80" t="n">
        <x:v>45952</x:v>
      </x:c>
      <x:c r="E80" t="str">
        <x:v>PM</x:v>
      </x:c>
      <x:c r="F80" t="str">
        <x:v>C</x:v>
      </x:c>
      <x:c r="G80" t="n">
        <x:v>21</x:v>
      </x:c>
      <x:c r="H80" t="str">
        <x:v>ORD-2025-00020</x:v>
      </x:c>
      <x:c r="I80" t="n">
        <x:v>11</x:v>
      </x:c>
      <x:c r="J80" t="n">
        <x:v>10</x:v>
      </x:c>
      <x:c r="K80" t="n">
        <x:v>2</x:v>
      </x:c>
      <x:c r="L80" t="n">
        <x:f>IF(I80&lt;=J80,1,0)</x:f>
        <x:v>0</x:v>
      </x:c>
      <x:c r="P80" t="n">
        <x:f>IF(M80="",IF(AND(L80=1,K80&gt;=1),1,0),M80)</x:f>
        <x:v>0</x:v>
      </x:c>
      <x:c r="Q80" t="n">
        <x:f>IF(N80="",IF(AND(L80=1,K80&gt;=2),1,0),N80)</x:f>
        <x:v>0</x:v>
      </x:c>
      <x:c r="R80" t="n">
        <x:f>IF(O80="",IF(AND(L80=1,K80&gt;=3),1,0),O80)</x:f>
        <x:v>0</x:v>
      </x:c>
      <x:c r="S80" t="n">
        <x:f>SUM(P80:R80)</x:f>
        <x:v>0</x:v>
      </x:c>
      <x:c r="T80" t="str">
        <x:f>IF(COUNTA(M80:O80)=0,"DerivedFromCount","ManualOverride")</x:f>
        <x:v>DerivedFromCount</x:v>
      </x:c>
      <x:c r="U80" t="str">
        <x:f>IF(COUNTIF(DailyProduction!$Q$5:$Q$100,B80)=1,"OK","CHECK")</x:f>
        <x:v>OK</x:v>
      </x:c>
      <x:c r="V80" t="str">
        <x:f>IF(AND(I80&gt;=1,I80&lt;=13,K80&gt;=1,K80&lt;=3),"OK","CHECK")</x:f>
        <x:v>OK</x:v>
      </x:c>
      <x:c r="W80" t="str">
        <x:f>IF(SUMIF($B$5:$B$914,B80,$S$5:$S$914)=SUMIF(DailyProduction!$Q$5:$Q$100,B80,DailyProduction!$R$5:$R$100),"OK","CHECK")</x:f>
        <x:v>OK</x:v>
      </x:c>
    </x:row>
    <x:row r="81">
      <x:c r="A81" t="str">
        <x:v>PC-PE-KG01-L21-20251022-PM-ORD-2025-00020-S12</x:v>
      </x:c>
      <x:c r="B81" t="str">
        <x:v>PE-KG01-L21-20251022-PM-ORD-2025-00020</x:v>
      </x:c>
      <x:c r="C81" t="str">
        <x:v>KG01</x:v>
      </x:c>
      <x:c r="D81" t="n">
        <x:v>45952</x:v>
      </x:c>
      <x:c r="E81" t="str">
        <x:v>PM</x:v>
      </x:c>
      <x:c r="F81" t="str">
        <x:v>C</x:v>
      </x:c>
      <x:c r="G81" t="n">
        <x:v>21</x:v>
      </x:c>
      <x:c r="H81" t="str">
        <x:v>ORD-2025-00020</x:v>
      </x:c>
      <x:c r="I81" t="n">
        <x:v>12</x:v>
      </x:c>
      <x:c r="J81" t="n">
        <x:v>10</x:v>
      </x:c>
      <x:c r="K81" t="n">
        <x:v>2</x:v>
      </x:c>
      <x:c r="L81" t="n">
        <x:f>IF(I81&lt;=J81,1,0)</x:f>
        <x:v>0</x:v>
      </x:c>
      <x:c r="P81" t="n">
        <x:f>IF(M81="",IF(AND(L81=1,K81&gt;=1),1,0),M81)</x:f>
        <x:v>0</x:v>
      </x:c>
      <x:c r="Q81" t="n">
        <x:f>IF(N81="",IF(AND(L81=1,K81&gt;=2),1,0),N81)</x:f>
        <x:v>0</x:v>
      </x:c>
      <x:c r="R81" t="n">
        <x:f>IF(O81="",IF(AND(L81=1,K81&gt;=3),1,0),O81)</x:f>
        <x:v>0</x:v>
      </x:c>
      <x:c r="S81" t="n">
        <x:f>SUM(P81:R81)</x:f>
        <x:v>0</x:v>
      </x:c>
      <x:c r="T81" t="str">
        <x:f>IF(COUNTA(M81:O81)=0,"DerivedFromCount","ManualOverride")</x:f>
        <x:v>DerivedFromCount</x:v>
      </x:c>
      <x:c r="U81" t="str">
        <x:f>IF(COUNTIF(DailyProduction!$Q$5:$Q$100,B81)=1,"OK","CHECK")</x:f>
        <x:v>OK</x:v>
      </x:c>
      <x:c r="V81" t="str">
        <x:f>IF(AND(I81&gt;=1,I81&lt;=13,K81&gt;=1,K81&lt;=3),"OK","CHECK")</x:f>
        <x:v>OK</x:v>
      </x:c>
      <x:c r="W81" t="str">
        <x:f>IF(SUMIF($B$5:$B$914,B81,$S$5:$S$914)=SUMIF(DailyProduction!$Q$5:$Q$100,B81,DailyProduction!$R$5:$R$100),"OK","CHECK")</x:f>
        <x:v>OK</x:v>
      </x:c>
    </x:row>
    <x:row r="82">
      <x:c r="A82" t="str">
        <x:v>PC-PE-KG01-L21-20251022-PM-ORD-2025-00020-S13</x:v>
      </x:c>
      <x:c r="B82" t="str">
        <x:v>PE-KG01-L21-20251022-PM-ORD-2025-00020</x:v>
      </x:c>
      <x:c r="C82" t="str">
        <x:v>KG01</x:v>
      </x:c>
      <x:c r="D82" t="n">
        <x:v>45952</x:v>
      </x:c>
      <x:c r="E82" t="str">
        <x:v>PM</x:v>
      </x:c>
      <x:c r="F82" t="str">
        <x:v>C</x:v>
      </x:c>
      <x:c r="G82" t="n">
        <x:v>21</x:v>
      </x:c>
      <x:c r="H82" t="str">
        <x:v>ORD-2025-00020</x:v>
      </x:c>
      <x:c r="I82" t="n">
        <x:v>13</x:v>
      </x:c>
      <x:c r="J82" t="n">
        <x:v>10</x:v>
      </x:c>
      <x:c r="K82" t="n">
        <x:v>2</x:v>
      </x:c>
      <x:c r="L82" t="n">
        <x:f>IF(I82&lt;=J82,1,0)</x:f>
        <x:v>0</x:v>
      </x:c>
      <x:c r="P82" t="n">
        <x:f>IF(M82="",IF(AND(L82=1,K82&gt;=1),1,0),M82)</x:f>
        <x:v>0</x:v>
      </x:c>
      <x:c r="Q82" t="n">
        <x:f>IF(N82="",IF(AND(L82=1,K82&gt;=2),1,0),N82)</x:f>
        <x:v>0</x:v>
      </x:c>
      <x:c r="R82" t="n">
        <x:f>IF(O82="",IF(AND(L82=1,K82&gt;=3),1,0),O82)</x:f>
        <x:v>0</x:v>
      </x:c>
      <x:c r="S82" t="n">
        <x:f>SUM(P82:R82)</x:f>
        <x:v>0</x:v>
      </x:c>
      <x:c r="T82" t="str">
        <x:f>IF(COUNTA(M82:O82)=0,"DerivedFromCount","ManualOverride")</x:f>
        <x:v>DerivedFromCount</x:v>
      </x:c>
      <x:c r="U82" t="str">
        <x:f>IF(COUNTIF(DailyProduction!$Q$5:$Q$100,B82)=1,"OK","CHECK")</x:f>
        <x:v>OK</x:v>
      </x:c>
      <x:c r="V82" t="str">
        <x:f>IF(AND(I82&gt;=1,I82&lt;=13,K82&gt;=1,K82&lt;=3),"OK","CHECK")</x:f>
        <x:v>OK</x:v>
      </x:c>
      <x:c r="W82" t="str">
        <x:f>IF(SUMIF($B$5:$B$914,B82,$S$5:$S$914)=SUMIF(DailyProduction!$Q$5:$Q$100,B82,DailyProduction!$R$5:$R$100),"OK","CHECK")</x:f>
        <x:v>OK</x:v>
      </x:c>
    </x:row>
    <x:row r="83">
      <x:c r="A83" t="str">
        <x:v>PC-PE-KG01-L21-20251023-AM-ORD-2025-00020-S01</x:v>
      </x:c>
      <x:c r="B83" t="str">
        <x:v>PE-KG01-L21-20251023-AM-ORD-2025-00020</x:v>
      </x:c>
      <x:c r="C83" t="str">
        <x:v>KG01</x:v>
      </x:c>
      <x:c r="D83" t="n">
        <x:v>45953</x:v>
      </x:c>
      <x:c r="E83" t="str">
        <x:v>AM</x:v>
      </x:c>
      <x:c r="F83" t="str">
        <x:v>C</x:v>
      </x:c>
      <x:c r="G83" t="n">
        <x:v>21</x:v>
      </x:c>
      <x:c r="H83" t="str">
        <x:v>ORD-2025-00020</x:v>
      </x:c>
      <x:c r="I83" t="n">
        <x:v>1</x:v>
      </x:c>
      <x:c r="J83" t="n">
        <x:v>10</x:v>
      </x:c>
      <x:c r="K83" t="n">
        <x:v>2</x:v>
      </x:c>
      <x:c r="L83" t="n">
        <x:f>IF(I83&lt;=J83,1,0)</x:f>
        <x:v>1</x:v>
      </x:c>
      <x:c r="P83" t="n">
        <x:f>IF(M83="",IF(AND(L83=1,K83&gt;=1),1,0),M83)</x:f>
        <x:v>1</x:v>
      </x:c>
      <x:c r="Q83" t="n">
        <x:f>IF(N83="",IF(AND(L83=1,K83&gt;=2),1,0),N83)</x:f>
        <x:v>1</x:v>
      </x:c>
      <x:c r="R83" t="n">
        <x:f>IF(O83="",IF(AND(L83=1,K83&gt;=3),1,0),O83)</x:f>
        <x:v>0</x:v>
      </x:c>
      <x:c r="S83" t="n">
        <x:f>SUM(P83:R83)</x:f>
        <x:v>2</x:v>
      </x:c>
      <x:c r="T83" t="str">
        <x:f>IF(COUNTA(M83:O83)=0,"DerivedFromCount","ManualOverride")</x:f>
        <x:v>DerivedFromCount</x:v>
      </x:c>
      <x:c r="U83" t="str">
        <x:f>IF(COUNTIF(DailyProduction!$Q$5:$Q$100,B83)=1,"OK","CHECK")</x:f>
        <x:v>OK</x:v>
      </x:c>
      <x:c r="V83" t="str">
        <x:f>IF(AND(I83&gt;=1,I83&lt;=13,K83&gt;=1,K83&lt;=3),"OK","CHECK")</x:f>
        <x:v>OK</x:v>
      </x:c>
      <x:c r="W83" t="str">
        <x:f>IF(SUMIF($B$5:$B$914,B83,$S$5:$S$914)=SUMIF(DailyProduction!$Q$5:$Q$100,B83,DailyProduction!$R$5:$R$100),"OK","CHECK")</x:f>
        <x:v>OK</x:v>
      </x:c>
    </x:row>
    <x:row r="84">
      <x:c r="A84" t="str">
        <x:v>PC-PE-KG01-L21-20251023-AM-ORD-2025-00020-S02</x:v>
      </x:c>
      <x:c r="B84" t="str">
        <x:v>PE-KG01-L21-20251023-AM-ORD-2025-00020</x:v>
      </x:c>
      <x:c r="C84" t="str">
        <x:v>KG01</x:v>
      </x:c>
      <x:c r="D84" t="n">
        <x:v>45953</x:v>
      </x:c>
      <x:c r="E84" t="str">
        <x:v>AM</x:v>
      </x:c>
      <x:c r="F84" t="str">
        <x:v>C</x:v>
      </x:c>
      <x:c r="G84" t="n">
        <x:v>21</x:v>
      </x:c>
      <x:c r="H84" t="str">
        <x:v>ORD-2025-00020</x:v>
      </x:c>
      <x:c r="I84" t="n">
        <x:v>2</x:v>
      </x:c>
      <x:c r="J84" t="n">
        <x:v>10</x:v>
      </x:c>
      <x:c r="K84" t="n">
        <x:v>2</x:v>
      </x:c>
      <x:c r="L84" t="n">
        <x:f>IF(I84&lt;=J84,1,0)</x:f>
        <x:v>1</x:v>
      </x:c>
      <x:c r="P84" t="n">
        <x:f>IF(M84="",IF(AND(L84=1,K84&gt;=1),1,0),M84)</x:f>
        <x:v>1</x:v>
      </x:c>
      <x:c r="Q84" t="n">
        <x:f>IF(N84="",IF(AND(L84=1,K84&gt;=2),1,0),N84)</x:f>
        <x:v>1</x:v>
      </x:c>
      <x:c r="R84" t="n">
        <x:f>IF(O84="",IF(AND(L84=1,K84&gt;=3),1,0),O84)</x:f>
        <x:v>0</x:v>
      </x:c>
      <x:c r="S84" t="n">
        <x:f>SUM(P84:R84)</x:f>
        <x:v>2</x:v>
      </x:c>
      <x:c r="T84" t="str">
        <x:f>IF(COUNTA(M84:O84)=0,"DerivedFromCount","ManualOverride")</x:f>
        <x:v>DerivedFromCount</x:v>
      </x:c>
      <x:c r="U84" t="str">
        <x:f>IF(COUNTIF(DailyProduction!$Q$5:$Q$100,B84)=1,"OK","CHECK")</x:f>
        <x:v>OK</x:v>
      </x:c>
      <x:c r="V84" t="str">
        <x:f>IF(AND(I84&gt;=1,I84&lt;=13,K84&gt;=1,K84&lt;=3),"OK","CHECK")</x:f>
        <x:v>OK</x:v>
      </x:c>
      <x:c r="W84" t="str">
        <x:f>IF(SUMIF($B$5:$B$914,B84,$S$5:$S$914)=SUMIF(DailyProduction!$Q$5:$Q$100,B84,DailyProduction!$R$5:$R$100),"OK","CHECK")</x:f>
        <x:v>OK</x:v>
      </x:c>
    </x:row>
    <x:row r="85">
      <x:c r="A85" t="str">
        <x:v>PC-PE-KG01-L21-20251023-AM-ORD-2025-00020-S03</x:v>
      </x:c>
      <x:c r="B85" t="str">
        <x:v>PE-KG01-L21-20251023-AM-ORD-2025-00020</x:v>
      </x:c>
      <x:c r="C85" t="str">
        <x:v>KG01</x:v>
      </x:c>
      <x:c r="D85" t="n">
        <x:v>45953</x:v>
      </x:c>
      <x:c r="E85" t="str">
        <x:v>AM</x:v>
      </x:c>
      <x:c r="F85" t="str">
        <x:v>C</x:v>
      </x:c>
      <x:c r="G85" t="n">
        <x:v>21</x:v>
      </x:c>
      <x:c r="H85" t="str">
        <x:v>ORD-2025-00020</x:v>
      </x:c>
      <x:c r="I85" t="n">
        <x:v>3</x:v>
      </x:c>
      <x:c r="J85" t="n">
        <x:v>10</x:v>
      </x:c>
      <x:c r="K85" t="n">
        <x:v>2</x:v>
      </x:c>
      <x:c r="L85" t="n">
        <x:f>IF(I85&lt;=J85,1,0)</x:f>
        <x:v>1</x:v>
      </x:c>
      <x:c r="P85" t="n">
        <x:f>IF(M85="",IF(AND(L85=1,K85&gt;=1),1,0),M85)</x:f>
        <x:v>1</x:v>
      </x:c>
      <x:c r="Q85" t="n">
        <x:f>IF(N85="",IF(AND(L85=1,K85&gt;=2),1,0),N85)</x:f>
        <x:v>1</x:v>
      </x:c>
      <x:c r="R85" t="n">
        <x:f>IF(O85="",IF(AND(L85=1,K85&gt;=3),1,0),O85)</x:f>
        <x:v>0</x:v>
      </x:c>
      <x:c r="S85" t="n">
        <x:f>SUM(P85:R85)</x:f>
        <x:v>2</x:v>
      </x:c>
      <x:c r="T85" t="str">
        <x:f>IF(COUNTA(M85:O85)=0,"DerivedFromCount","ManualOverride")</x:f>
        <x:v>DerivedFromCount</x:v>
      </x:c>
      <x:c r="U85" t="str">
        <x:f>IF(COUNTIF(DailyProduction!$Q$5:$Q$100,B85)=1,"OK","CHECK")</x:f>
        <x:v>OK</x:v>
      </x:c>
      <x:c r="V85" t="str">
        <x:f>IF(AND(I85&gt;=1,I85&lt;=13,K85&gt;=1,K85&lt;=3),"OK","CHECK")</x:f>
        <x:v>OK</x:v>
      </x:c>
      <x:c r="W85" t="str">
        <x:f>IF(SUMIF($B$5:$B$914,B85,$S$5:$S$914)=SUMIF(DailyProduction!$Q$5:$Q$100,B85,DailyProduction!$R$5:$R$100),"OK","CHECK")</x:f>
        <x:v>OK</x:v>
      </x:c>
    </x:row>
    <x:row r="86">
      <x:c r="A86" t="str">
        <x:v>PC-PE-KG01-L21-20251023-AM-ORD-2025-00020-S04</x:v>
      </x:c>
      <x:c r="B86" t="str">
        <x:v>PE-KG01-L21-20251023-AM-ORD-2025-00020</x:v>
      </x:c>
      <x:c r="C86" t="str">
        <x:v>KG01</x:v>
      </x:c>
      <x:c r="D86" t="n">
        <x:v>45953</x:v>
      </x:c>
      <x:c r="E86" t="str">
        <x:v>AM</x:v>
      </x:c>
      <x:c r="F86" t="str">
        <x:v>C</x:v>
      </x:c>
      <x:c r="G86" t="n">
        <x:v>21</x:v>
      </x:c>
      <x:c r="H86" t="str">
        <x:v>ORD-2025-00020</x:v>
      </x:c>
      <x:c r="I86" t="n">
        <x:v>4</x:v>
      </x:c>
      <x:c r="J86" t="n">
        <x:v>10</x:v>
      </x:c>
      <x:c r="K86" t="n">
        <x:v>2</x:v>
      </x:c>
      <x:c r="L86" t="n">
        <x:f>IF(I86&lt;=J86,1,0)</x:f>
        <x:v>1</x:v>
      </x:c>
      <x:c r="P86" t="n">
        <x:f>IF(M86="",IF(AND(L86=1,K86&gt;=1),1,0),M86)</x:f>
        <x:v>1</x:v>
      </x:c>
      <x:c r="Q86" t="n">
        <x:f>IF(N86="",IF(AND(L86=1,K86&gt;=2),1,0),N86)</x:f>
        <x:v>1</x:v>
      </x:c>
      <x:c r="R86" t="n">
        <x:f>IF(O86="",IF(AND(L86=1,K86&gt;=3),1,0),O86)</x:f>
        <x:v>0</x:v>
      </x:c>
      <x:c r="S86" t="n">
        <x:f>SUM(P86:R86)</x:f>
        <x:v>2</x:v>
      </x:c>
      <x:c r="T86" t="str">
        <x:f>IF(COUNTA(M86:O86)=0,"DerivedFromCount","ManualOverride")</x:f>
        <x:v>DerivedFromCount</x:v>
      </x:c>
      <x:c r="U86" t="str">
        <x:f>IF(COUNTIF(DailyProduction!$Q$5:$Q$100,B86)=1,"OK","CHECK")</x:f>
        <x:v>OK</x:v>
      </x:c>
      <x:c r="V86" t="str">
        <x:f>IF(AND(I86&gt;=1,I86&lt;=13,K86&gt;=1,K86&lt;=3),"OK","CHECK")</x:f>
        <x:v>OK</x:v>
      </x:c>
      <x:c r="W86" t="str">
        <x:f>IF(SUMIF($B$5:$B$914,B86,$S$5:$S$914)=SUMIF(DailyProduction!$Q$5:$Q$100,B86,DailyProduction!$R$5:$R$100),"OK","CHECK")</x:f>
        <x:v>OK</x:v>
      </x:c>
    </x:row>
    <x:row r="87">
      <x:c r="A87" t="str">
        <x:v>PC-PE-KG01-L21-20251023-AM-ORD-2025-00020-S05</x:v>
      </x:c>
      <x:c r="B87" t="str">
        <x:v>PE-KG01-L21-20251023-AM-ORD-2025-00020</x:v>
      </x:c>
      <x:c r="C87" t="str">
        <x:v>KG01</x:v>
      </x:c>
      <x:c r="D87" t="n">
        <x:v>45953</x:v>
      </x:c>
      <x:c r="E87" t="str">
        <x:v>AM</x:v>
      </x:c>
      <x:c r="F87" t="str">
        <x:v>C</x:v>
      </x:c>
      <x:c r="G87" t="n">
        <x:v>21</x:v>
      </x:c>
      <x:c r="H87" t="str">
        <x:v>ORD-2025-00020</x:v>
      </x:c>
      <x:c r="I87" t="n">
        <x:v>5</x:v>
      </x:c>
      <x:c r="J87" t="n">
        <x:v>10</x:v>
      </x:c>
      <x:c r="K87" t="n">
        <x:v>2</x:v>
      </x:c>
      <x:c r="L87" t="n">
        <x:f>IF(I87&lt;=J87,1,0)</x:f>
        <x:v>1</x:v>
      </x:c>
      <x:c r="P87" t="n">
        <x:f>IF(M87="",IF(AND(L87=1,K87&gt;=1),1,0),M87)</x:f>
        <x:v>1</x:v>
      </x:c>
      <x:c r="Q87" t="n">
        <x:f>IF(N87="",IF(AND(L87=1,K87&gt;=2),1,0),N87)</x:f>
        <x:v>1</x:v>
      </x:c>
      <x:c r="R87" t="n">
        <x:f>IF(O87="",IF(AND(L87=1,K87&gt;=3),1,0),O87)</x:f>
        <x:v>0</x:v>
      </x:c>
      <x:c r="S87" t="n">
        <x:f>SUM(P87:R87)</x:f>
        <x:v>2</x:v>
      </x:c>
      <x:c r="T87" t="str">
        <x:f>IF(COUNTA(M87:O87)=0,"DerivedFromCount","ManualOverride")</x:f>
        <x:v>DerivedFromCount</x:v>
      </x:c>
      <x:c r="U87" t="str">
        <x:f>IF(COUNTIF(DailyProduction!$Q$5:$Q$100,B87)=1,"OK","CHECK")</x:f>
        <x:v>OK</x:v>
      </x:c>
      <x:c r="V87" t="str">
        <x:f>IF(AND(I87&gt;=1,I87&lt;=13,K87&gt;=1,K87&lt;=3),"OK","CHECK")</x:f>
        <x:v>OK</x:v>
      </x:c>
      <x:c r="W87" t="str">
        <x:f>IF(SUMIF($B$5:$B$914,B87,$S$5:$S$914)=SUMIF(DailyProduction!$Q$5:$Q$100,B87,DailyProduction!$R$5:$R$100),"OK","CHECK")</x:f>
        <x:v>OK</x:v>
      </x:c>
    </x:row>
    <x:row r="88">
      <x:c r="A88" t="str">
        <x:v>PC-PE-KG01-L21-20251023-AM-ORD-2025-00020-S06</x:v>
      </x:c>
      <x:c r="B88" t="str">
        <x:v>PE-KG01-L21-20251023-AM-ORD-2025-00020</x:v>
      </x:c>
      <x:c r="C88" t="str">
        <x:v>KG01</x:v>
      </x:c>
      <x:c r="D88" t="n">
        <x:v>45953</x:v>
      </x:c>
      <x:c r="E88" t="str">
        <x:v>AM</x:v>
      </x:c>
      <x:c r="F88" t="str">
        <x:v>C</x:v>
      </x:c>
      <x:c r="G88" t="n">
        <x:v>21</x:v>
      </x:c>
      <x:c r="H88" t="str">
        <x:v>ORD-2025-00020</x:v>
      </x:c>
      <x:c r="I88" t="n">
        <x:v>6</x:v>
      </x:c>
      <x:c r="J88" t="n">
        <x:v>10</x:v>
      </x:c>
      <x:c r="K88" t="n">
        <x:v>2</x:v>
      </x:c>
      <x:c r="L88" t="n">
        <x:f>IF(I88&lt;=J88,1,0)</x:f>
        <x:v>1</x:v>
      </x:c>
      <x:c r="P88" t="n">
        <x:f>IF(M88="",IF(AND(L88=1,K88&gt;=1),1,0),M88)</x:f>
        <x:v>1</x:v>
      </x:c>
      <x:c r="Q88" t="n">
        <x:f>IF(N88="",IF(AND(L88=1,K88&gt;=2),1,0),N88)</x:f>
        <x:v>1</x:v>
      </x:c>
      <x:c r="R88" t="n">
        <x:f>IF(O88="",IF(AND(L88=1,K88&gt;=3),1,0),O88)</x:f>
        <x:v>0</x:v>
      </x:c>
      <x:c r="S88" t="n">
        <x:f>SUM(P88:R88)</x:f>
        <x:v>2</x:v>
      </x:c>
      <x:c r="T88" t="str">
        <x:f>IF(COUNTA(M88:O88)=0,"DerivedFromCount","ManualOverride")</x:f>
        <x:v>DerivedFromCount</x:v>
      </x:c>
      <x:c r="U88" t="str">
        <x:f>IF(COUNTIF(DailyProduction!$Q$5:$Q$100,B88)=1,"OK","CHECK")</x:f>
        <x:v>OK</x:v>
      </x:c>
      <x:c r="V88" t="str">
        <x:f>IF(AND(I88&gt;=1,I88&lt;=13,K88&gt;=1,K88&lt;=3),"OK","CHECK")</x:f>
        <x:v>OK</x:v>
      </x:c>
      <x:c r="W88" t="str">
        <x:f>IF(SUMIF($B$5:$B$914,B88,$S$5:$S$914)=SUMIF(DailyProduction!$Q$5:$Q$100,B88,DailyProduction!$R$5:$R$100),"OK","CHECK")</x:f>
        <x:v>OK</x:v>
      </x:c>
    </x:row>
    <x:row r="89">
      <x:c r="A89" t="str">
        <x:v>PC-PE-KG01-L21-20251023-AM-ORD-2025-00020-S07</x:v>
      </x:c>
      <x:c r="B89" t="str">
        <x:v>PE-KG01-L21-20251023-AM-ORD-2025-00020</x:v>
      </x:c>
      <x:c r="C89" t="str">
        <x:v>KG01</x:v>
      </x:c>
      <x:c r="D89" t="n">
        <x:v>45953</x:v>
      </x:c>
      <x:c r="E89" t="str">
        <x:v>AM</x:v>
      </x:c>
      <x:c r="F89" t="str">
        <x:v>C</x:v>
      </x:c>
      <x:c r="G89" t="n">
        <x:v>21</x:v>
      </x:c>
      <x:c r="H89" t="str">
        <x:v>ORD-2025-00020</x:v>
      </x:c>
      <x:c r="I89" t="n">
        <x:v>7</x:v>
      </x:c>
      <x:c r="J89" t="n">
        <x:v>10</x:v>
      </x:c>
      <x:c r="K89" t="n">
        <x:v>2</x:v>
      </x:c>
      <x:c r="L89" t="n">
        <x:f>IF(I89&lt;=J89,1,0)</x:f>
        <x:v>1</x:v>
      </x:c>
      <x:c r="P89" t="n">
        <x:f>IF(M89="",IF(AND(L89=1,K89&gt;=1),1,0),M89)</x:f>
        <x:v>1</x:v>
      </x:c>
      <x:c r="Q89" t="n">
        <x:f>IF(N89="",IF(AND(L89=1,K89&gt;=2),1,0),N89)</x:f>
        <x:v>1</x:v>
      </x:c>
      <x:c r="R89" t="n">
        <x:f>IF(O89="",IF(AND(L89=1,K89&gt;=3),1,0),O89)</x:f>
        <x:v>0</x:v>
      </x:c>
      <x:c r="S89" t="n">
        <x:f>SUM(P89:R89)</x:f>
        <x:v>2</x:v>
      </x:c>
      <x:c r="T89" t="str">
        <x:f>IF(COUNTA(M89:O89)=0,"DerivedFromCount","ManualOverride")</x:f>
        <x:v>DerivedFromCount</x:v>
      </x:c>
      <x:c r="U89" t="str">
        <x:f>IF(COUNTIF(DailyProduction!$Q$5:$Q$100,B89)=1,"OK","CHECK")</x:f>
        <x:v>OK</x:v>
      </x:c>
      <x:c r="V89" t="str">
        <x:f>IF(AND(I89&gt;=1,I89&lt;=13,K89&gt;=1,K89&lt;=3),"OK","CHECK")</x:f>
        <x:v>OK</x:v>
      </x:c>
      <x:c r="W89" t="str">
        <x:f>IF(SUMIF($B$5:$B$914,B89,$S$5:$S$914)=SUMIF(DailyProduction!$Q$5:$Q$100,B89,DailyProduction!$R$5:$R$100),"OK","CHECK")</x:f>
        <x:v>OK</x:v>
      </x:c>
    </x:row>
    <x:row r="90">
      <x:c r="A90" t="str">
        <x:v>PC-PE-KG01-L21-20251023-AM-ORD-2025-00020-S08</x:v>
      </x:c>
      <x:c r="B90" t="str">
        <x:v>PE-KG01-L21-20251023-AM-ORD-2025-00020</x:v>
      </x:c>
      <x:c r="C90" t="str">
        <x:v>KG01</x:v>
      </x:c>
      <x:c r="D90" t="n">
        <x:v>45953</x:v>
      </x:c>
      <x:c r="E90" t="str">
        <x:v>AM</x:v>
      </x:c>
      <x:c r="F90" t="str">
        <x:v>C</x:v>
      </x:c>
      <x:c r="G90" t="n">
        <x:v>21</x:v>
      </x:c>
      <x:c r="H90" t="str">
        <x:v>ORD-2025-00020</x:v>
      </x:c>
      <x:c r="I90" t="n">
        <x:v>8</x:v>
      </x:c>
      <x:c r="J90" t="n">
        <x:v>10</x:v>
      </x:c>
      <x:c r="K90" t="n">
        <x:v>2</x:v>
      </x:c>
      <x:c r="L90" t="n">
        <x:f>IF(I90&lt;=J90,1,0)</x:f>
        <x:v>1</x:v>
      </x:c>
      <x:c r="P90" t="n">
        <x:f>IF(M90="",IF(AND(L90=1,K90&gt;=1),1,0),M90)</x:f>
        <x:v>1</x:v>
      </x:c>
      <x:c r="Q90" t="n">
        <x:f>IF(N90="",IF(AND(L90=1,K90&gt;=2),1,0),N90)</x:f>
        <x:v>1</x:v>
      </x:c>
      <x:c r="R90" t="n">
        <x:f>IF(O90="",IF(AND(L90=1,K90&gt;=3),1,0),O90)</x:f>
        <x:v>0</x:v>
      </x:c>
      <x:c r="S90" t="n">
        <x:f>SUM(P90:R90)</x:f>
        <x:v>2</x:v>
      </x:c>
      <x:c r="T90" t="str">
        <x:f>IF(COUNTA(M90:O90)=0,"DerivedFromCount","ManualOverride")</x:f>
        <x:v>DerivedFromCount</x:v>
      </x:c>
      <x:c r="U90" t="str">
        <x:f>IF(COUNTIF(DailyProduction!$Q$5:$Q$100,B90)=1,"OK","CHECK")</x:f>
        <x:v>OK</x:v>
      </x:c>
      <x:c r="V90" t="str">
        <x:f>IF(AND(I90&gt;=1,I90&lt;=13,K90&gt;=1,K90&lt;=3),"OK","CHECK")</x:f>
        <x:v>OK</x:v>
      </x:c>
      <x:c r="W90" t="str">
        <x:f>IF(SUMIF($B$5:$B$914,B90,$S$5:$S$914)=SUMIF(DailyProduction!$Q$5:$Q$100,B90,DailyProduction!$R$5:$R$100),"OK","CHECK")</x:f>
        <x:v>OK</x:v>
      </x:c>
    </x:row>
    <x:row r="91">
      <x:c r="A91" t="str">
        <x:v>PC-PE-KG01-L21-20251023-AM-ORD-2025-00020-S09</x:v>
      </x:c>
      <x:c r="B91" t="str">
        <x:v>PE-KG01-L21-20251023-AM-ORD-2025-00020</x:v>
      </x:c>
      <x:c r="C91" t="str">
        <x:v>KG01</x:v>
      </x:c>
      <x:c r="D91" t="n">
        <x:v>45953</x:v>
      </x:c>
      <x:c r="E91" t="str">
        <x:v>AM</x:v>
      </x:c>
      <x:c r="F91" t="str">
        <x:v>C</x:v>
      </x:c>
      <x:c r="G91" t="n">
        <x:v>21</x:v>
      </x:c>
      <x:c r="H91" t="str">
        <x:v>ORD-2025-00020</x:v>
      </x:c>
      <x:c r="I91" t="n">
        <x:v>9</x:v>
      </x:c>
      <x:c r="J91" t="n">
        <x:v>10</x:v>
      </x:c>
      <x:c r="K91" t="n">
        <x:v>2</x:v>
      </x:c>
      <x:c r="L91" t="n">
        <x:f>IF(I91&lt;=J91,1,0)</x:f>
        <x:v>1</x:v>
      </x:c>
      <x:c r="P91" t="n">
        <x:f>IF(M91="",IF(AND(L91=1,K91&gt;=1),1,0),M91)</x:f>
        <x:v>1</x:v>
      </x:c>
      <x:c r="Q91" t="n">
        <x:f>IF(N91="",IF(AND(L91=1,K91&gt;=2),1,0),N91)</x:f>
        <x:v>1</x:v>
      </x:c>
      <x:c r="R91" t="n">
        <x:f>IF(O91="",IF(AND(L91=1,K91&gt;=3),1,0),O91)</x:f>
        <x:v>0</x:v>
      </x:c>
      <x:c r="S91" t="n">
        <x:f>SUM(P91:R91)</x:f>
        <x:v>2</x:v>
      </x:c>
      <x:c r="T91" t="str">
        <x:f>IF(COUNTA(M91:O91)=0,"DerivedFromCount","ManualOverride")</x:f>
        <x:v>DerivedFromCount</x:v>
      </x:c>
      <x:c r="U91" t="str">
        <x:f>IF(COUNTIF(DailyProduction!$Q$5:$Q$100,B91)=1,"OK","CHECK")</x:f>
        <x:v>OK</x:v>
      </x:c>
      <x:c r="V91" t="str">
        <x:f>IF(AND(I91&gt;=1,I91&lt;=13,K91&gt;=1,K91&lt;=3),"OK","CHECK")</x:f>
        <x:v>OK</x:v>
      </x:c>
      <x:c r="W91" t="str">
        <x:f>IF(SUMIF($B$5:$B$914,B91,$S$5:$S$914)=SUMIF(DailyProduction!$Q$5:$Q$100,B91,DailyProduction!$R$5:$R$100),"OK","CHECK")</x:f>
        <x:v>OK</x:v>
      </x:c>
    </x:row>
    <x:row r="92">
      <x:c r="A92" t="str">
        <x:v>PC-PE-KG01-L21-20251023-AM-ORD-2025-00020-S10</x:v>
      </x:c>
      <x:c r="B92" t="str">
        <x:v>PE-KG01-L21-20251023-AM-ORD-2025-00020</x:v>
      </x:c>
      <x:c r="C92" t="str">
        <x:v>KG01</x:v>
      </x:c>
      <x:c r="D92" t="n">
        <x:v>45953</x:v>
      </x:c>
      <x:c r="E92" t="str">
        <x:v>AM</x:v>
      </x:c>
      <x:c r="F92" t="str">
        <x:v>C</x:v>
      </x:c>
      <x:c r="G92" t="n">
        <x:v>21</x:v>
      </x:c>
      <x:c r="H92" t="str">
        <x:v>ORD-2025-00020</x:v>
      </x:c>
      <x:c r="I92" t="n">
        <x:v>10</x:v>
      </x:c>
      <x:c r="J92" t="n">
        <x:v>10</x:v>
      </x:c>
      <x:c r="K92" t="n">
        <x:v>2</x:v>
      </x:c>
      <x:c r="L92" t="n">
        <x:f>IF(I92&lt;=J92,1,0)</x:f>
        <x:v>1</x:v>
      </x:c>
      <x:c r="P92" t="n">
        <x:f>IF(M92="",IF(AND(L92=1,K92&gt;=1),1,0),M92)</x:f>
        <x:v>1</x:v>
      </x:c>
      <x:c r="Q92" t="n">
        <x:f>IF(N92="",IF(AND(L92=1,K92&gt;=2),1,0),N92)</x:f>
        <x:v>1</x:v>
      </x:c>
      <x:c r="R92" t="n">
        <x:f>IF(O92="",IF(AND(L92=1,K92&gt;=3),1,0),O92)</x:f>
        <x:v>0</x:v>
      </x:c>
      <x:c r="S92" t="n">
        <x:f>SUM(P92:R92)</x:f>
        <x:v>2</x:v>
      </x:c>
      <x:c r="T92" t="str">
        <x:f>IF(COUNTA(M92:O92)=0,"DerivedFromCount","ManualOverride")</x:f>
        <x:v>DerivedFromCount</x:v>
      </x:c>
      <x:c r="U92" t="str">
        <x:f>IF(COUNTIF(DailyProduction!$Q$5:$Q$100,B92)=1,"OK","CHECK")</x:f>
        <x:v>OK</x:v>
      </x:c>
      <x:c r="V92" t="str">
        <x:f>IF(AND(I92&gt;=1,I92&lt;=13,K92&gt;=1,K92&lt;=3),"OK","CHECK")</x:f>
        <x:v>OK</x:v>
      </x:c>
      <x:c r="W92" t="str">
        <x:f>IF(SUMIF($B$5:$B$914,B92,$S$5:$S$914)=SUMIF(DailyProduction!$Q$5:$Q$100,B92,DailyProduction!$R$5:$R$100),"OK","CHECK")</x:f>
        <x:v>OK</x:v>
      </x:c>
    </x:row>
    <x:row r="93">
      <x:c r="A93" t="str">
        <x:v>PC-PE-KG01-L21-20251023-AM-ORD-2025-00020-S11</x:v>
      </x:c>
      <x:c r="B93" t="str">
        <x:v>PE-KG01-L21-20251023-AM-ORD-2025-00020</x:v>
      </x:c>
      <x:c r="C93" t="str">
        <x:v>KG01</x:v>
      </x:c>
      <x:c r="D93" t="n">
        <x:v>45953</x:v>
      </x:c>
      <x:c r="E93" t="str">
        <x:v>AM</x:v>
      </x:c>
      <x:c r="F93" t="str">
        <x:v>C</x:v>
      </x:c>
      <x:c r="G93" t="n">
        <x:v>21</x:v>
      </x:c>
      <x:c r="H93" t="str">
        <x:v>ORD-2025-00020</x:v>
      </x:c>
      <x:c r="I93" t="n">
        <x:v>11</x:v>
      </x:c>
      <x:c r="J93" t="n">
        <x:v>10</x:v>
      </x:c>
      <x:c r="K93" t="n">
        <x:v>2</x:v>
      </x:c>
      <x:c r="L93" t="n">
        <x:f>IF(I93&lt;=J93,1,0)</x:f>
        <x:v>0</x:v>
      </x:c>
      <x:c r="P93" t="n">
        <x:f>IF(M93="",IF(AND(L93=1,K93&gt;=1),1,0),M93)</x:f>
        <x:v>0</x:v>
      </x:c>
      <x:c r="Q93" t="n">
        <x:f>IF(N93="",IF(AND(L93=1,K93&gt;=2),1,0),N93)</x:f>
        <x:v>0</x:v>
      </x:c>
      <x:c r="R93" t="n">
        <x:f>IF(O93="",IF(AND(L93=1,K93&gt;=3),1,0),O93)</x:f>
        <x:v>0</x:v>
      </x:c>
      <x:c r="S93" t="n">
        <x:f>SUM(P93:R93)</x:f>
        <x:v>0</x:v>
      </x:c>
      <x:c r="T93" t="str">
        <x:f>IF(COUNTA(M93:O93)=0,"DerivedFromCount","ManualOverride")</x:f>
        <x:v>DerivedFromCount</x:v>
      </x:c>
      <x:c r="U93" t="str">
        <x:f>IF(COUNTIF(DailyProduction!$Q$5:$Q$100,B93)=1,"OK","CHECK")</x:f>
        <x:v>OK</x:v>
      </x:c>
      <x:c r="V93" t="str">
        <x:f>IF(AND(I93&gt;=1,I93&lt;=13,K93&gt;=1,K93&lt;=3),"OK","CHECK")</x:f>
        <x:v>OK</x:v>
      </x:c>
      <x:c r="W93" t="str">
        <x:f>IF(SUMIF($B$5:$B$914,B93,$S$5:$S$914)=SUMIF(DailyProduction!$Q$5:$Q$100,B93,DailyProduction!$R$5:$R$100),"OK","CHECK")</x:f>
        <x:v>OK</x:v>
      </x:c>
    </x:row>
    <x:row r="94">
      <x:c r="A94" t="str">
        <x:v>PC-PE-KG01-L21-20251023-AM-ORD-2025-00020-S12</x:v>
      </x:c>
      <x:c r="B94" t="str">
        <x:v>PE-KG01-L21-20251023-AM-ORD-2025-00020</x:v>
      </x:c>
      <x:c r="C94" t="str">
        <x:v>KG01</x:v>
      </x:c>
      <x:c r="D94" t="n">
        <x:v>45953</x:v>
      </x:c>
      <x:c r="E94" t="str">
        <x:v>AM</x:v>
      </x:c>
      <x:c r="F94" t="str">
        <x:v>C</x:v>
      </x:c>
      <x:c r="G94" t="n">
        <x:v>21</x:v>
      </x:c>
      <x:c r="H94" t="str">
        <x:v>ORD-2025-00020</x:v>
      </x:c>
      <x:c r="I94" t="n">
        <x:v>12</x:v>
      </x:c>
      <x:c r="J94" t="n">
        <x:v>10</x:v>
      </x:c>
      <x:c r="K94" t="n">
        <x:v>2</x:v>
      </x:c>
      <x:c r="L94" t="n">
        <x:f>IF(I94&lt;=J94,1,0)</x:f>
        <x:v>0</x:v>
      </x:c>
      <x:c r="P94" t="n">
        <x:f>IF(M94="",IF(AND(L94=1,K94&gt;=1),1,0),M94)</x:f>
        <x:v>0</x:v>
      </x:c>
      <x:c r="Q94" t="n">
        <x:f>IF(N94="",IF(AND(L94=1,K94&gt;=2),1,0),N94)</x:f>
        <x:v>0</x:v>
      </x:c>
      <x:c r="R94" t="n">
        <x:f>IF(O94="",IF(AND(L94=1,K94&gt;=3),1,0),O94)</x:f>
        <x:v>0</x:v>
      </x:c>
      <x:c r="S94" t="n">
        <x:f>SUM(P94:R94)</x:f>
        <x:v>0</x:v>
      </x:c>
      <x:c r="T94" t="str">
        <x:f>IF(COUNTA(M94:O94)=0,"DerivedFromCount","ManualOverride")</x:f>
        <x:v>DerivedFromCount</x:v>
      </x:c>
      <x:c r="U94" t="str">
        <x:f>IF(COUNTIF(DailyProduction!$Q$5:$Q$100,B94)=1,"OK","CHECK")</x:f>
        <x:v>OK</x:v>
      </x:c>
      <x:c r="V94" t="str">
        <x:f>IF(AND(I94&gt;=1,I94&lt;=13,K94&gt;=1,K94&lt;=3),"OK","CHECK")</x:f>
        <x:v>OK</x:v>
      </x:c>
      <x:c r="W94" t="str">
        <x:f>IF(SUMIF($B$5:$B$914,B94,$S$5:$S$914)=SUMIF(DailyProduction!$Q$5:$Q$100,B94,DailyProduction!$R$5:$R$100),"OK","CHECK")</x:f>
        <x:v>OK</x:v>
      </x:c>
    </x:row>
    <x:row r="95">
      <x:c r="A95" t="str">
        <x:v>PC-PE-KG01-L21-20251023-AM-ORD-2025-00020-S13</x:v>
      </x:c>
      <x:c r="B95" t="str">
        <x:v>PE-KG01-L21-20251023-AM-ORD-2025-00020</x:v>
      </x:c>
      <x:c r="C95" t="str">
        <x:v>KG01</x:v>
      </x:c>
      <x:c r="D95" t="n">
        <x:v>45953</x:v>
      </x:c>
      <x:c r="E95" t="str">
        <x:v>AM</x:v>
      </x:c>
      <x:c r="F95" t="str">
        <x:v>C</x:v>
      </x:c>
      <x:c r="G95" t="n">
        <x:v>21</x:v>
      </x:c>
      <x:c r="H95" t="str">
        <x:v>ORD-2025-00020</x:v>
      </x:c>
      <x:c r="I95" t="n">
        <x:v>13</x:v>
      </x:c>
      <x:c r="J95" t="n">
        <x:v>10</x:v>
      </x:c>
      <x:c r="K95" t="n">
        <x:v>2</x:v>
      </x:c>
      <x:c r="L95" t="n">
        <x:f>IF(I95&lt;=J95,1,0)</x:f>
        <x:v>0</x:v>
      </x:c>
      <x:c r="P95" t="n">
        <x:f>IF(M95="",IF(AND(L95=1,K95&gt;=1),1,0),M95)</x:f>
        <x:v>0</x:v>
      </x:c>
      <x:c r="Q95" t="n">
        <x:f>IF(N95="",IF(AND(L95=1,K95&gt;=2),1,0),N95)</x:f>
        <x:v>0</x:v>
      </x:c>
      <x:c r="R95" t="n">
        <x:f>IF(O95="",IF(AND(L95=1,K95&gt;=3),1,0),O95)</x:f>
        <x:v>0</x:v>
      </x:c>
      <x:c r="S95" t="n">
        <x:f>SUM(P95:R95)</x:f>
        <x:v>0</x:v>
      </x:c>
      <x:c r="T95" t="str">
        <x:f>IF(COUNTA(M95:O95)=0,"DerivedFromCount","ManualOverride")</x:f>
        <x:v>DerivedFromCount</x:v>
      </x:c>
      <x:c r="U95" t="str">
        <x:f>IF(COUNTIF(DailyProduction!$Q$5:$Q$100,B95)=1,"OK","CHECK")</x:f>
        <x:v>OK</x:v>
      </x:c>
      <x:c r="V95" t="str">
        <x:f>IF(AND(I95&gt;=1,I95&lt;=13,K95&gt;=1,K95&lt;=3),"OK","CHECK")</x:f>
        <x:v>OK</x:v>
      </x:c>
      <x:c r="W95" t="str">
        <x:f>IF(SUMIF($B$5:$B$914,B95,$S$5:$S$914)=SUMIF(DailyProduction!$Q$5:$Q$100,B95,DailyProduction!$R$5:$R$100),"OK","CHECK")</x:f>
        <x:v>OK</x:v>
      </x:c>
    </x:row>
    <x:row r="96">
      <x:c r="A96" t="str">
        <x:v>PC-PE-KG01-L21-20251023-PM-ORD-2025-00020-S01</x:v>
      </x:c>
      <x:c r="B96" t="str">
        <x:v>PE-KG01-L21-20251023-PM-ORD-2025-00020</x:v>
      </x:c>
      <x:c r="C96" t="str">
        <x:v>KG01</x:v>
      </x:c>
      <x:c r="D96" t="n">
        <x:v>45953</x:v>
      </x:c>
      <x:c r="E96" t="str">
        <x:v>PM</x:v>
      </x:c>
      <x:c r="F96" t="str">
        <x:v>A</x:v>
      </x:c>
      <x:c r="G96" t="n">
        <x:v>21</x:v>
      </x:c>
      <x:c r="H96" t="str">
        <x:v>ORD-2025-00020</x:v>
      </x:c>
      <x:c r="I96" t="n">
        <x:v>1</x:v>
      </x:c>
      <x:c r="J96" t="n">
        <x:v>10</x:v>
      </x:c>
      <x:c r="K96" t="n">
        <x:v>2</x:v>
      </x:c>
      <x:c r="L96" t="n">
        <x:f>IF(I96&lt;=J96,1,0)</x:f>
        <x:v>1</x:v>
      </x:c>
      <x:c r="P96" t="n">
        <x:f>IF(M96="",IF(AND(L96=1,K96&gt;=1),1,0),M96)</x:f>
        <x:v>1</x:v>
      </x:c>
      <x:c r="Q96" t="n">
        <x:f>IF(N96="",IF(AND(L96=1,K96&gt;=2),1,0),N96)</x:f>
        <x:v>1</x:v>
      </x:c>
      <x:c r="R96" t="n">
        <x:f>IF(O96="",IF(AND(L96=1,K96&gt;=3),1,0),O96)</x:f>
        <x:v>0</x:v>
      </x:c>
      <x:c r="S96" t="n">
        <x:f>SUM(P96:R96)</x:f>
        <x:v>2</x:v>
      </x:c>
      <x:c r="T96" t="str">
        <x:f>IF(COUNTA(M96:O96)=0,"DerivedFromCount","ManualOverride")</x:f>
        <x:v>DerivedFromCount</x:v>
      </x:c>
      <x:c r="U96" t="str">
        <x:f>IF(COUNTIF(DailyProduction!$Q$5:$Q$100,B96)=1,"OK","CHECK")</x:f>
        <x:v>OK</x:v>
      </x:c>
      <x:c r="V96" t="str">
        <x:f>IF(AND(I96&gt;=1,I96&lt;=13,K96&gt;=1,K96&lt;=3),"OK","CHECK")</x:f>
        <x:v>OK</x:v>
      </x:c>
      <x:c r="W96" t="str">
        <x:f>IF(SUMIF($B$5:$B$914,B96,$S$5:$S$914)=SUMIF(DailyProduction!$Q$5:$Q$100,B96,DailyProduction!$R$5:$R$100),"OK","CHECK")</x:f>
        <x:v>OK</x:v>
      </x:c>
    </x:row>
    <x:row r="97">
      <x:c r="A97" t="str">
        <x:v>PC-PE-KG01-L21-20251023-PM-ORD-2025-00020-S02</x:v>
      </x:c>
      <x:c r="B97" t="str">
        <x:v>PE-KG01-L21-20251023-PM-ORD-2025-00020</x:v>
      </x:c>
      <x:c r="C97" t="str">
        <x:v>KG01</x:v>
      </x:c>
      <x:c r="D97" t="n">
        <x:v>45953</x:v>
      </x:c>
      <x:c r="E97" t="str">
        <x:v>PM</x:v>
      </x:c>
      <x:c r="F97" t="str">
        <x:v>A</x:v>
      </x:c>
      <x:c r="G97" t="n">
        <x:v>21</x:v>
      </x:c>
      <x:c r="H97" t="str">
        <x:v>ORD-2025-00020</x:v>
      </x:c>
      <x:c r="I97" t="n">
        <x:v>2</x:v>
      </x:c>
      <x:c r="J97" t="n">
        <x:v>10</x:v>
      </x:c>
      <x:c r="K97" t="n">
        <x:v>2</x:v>
      </x:c>
      <x:c r="L97" t="n">
        <x:f>IF(I97&lt;=J97,1,0)</x:f>
        <x:v>1</x:v>
      </x:c>
      <x:c r="P97" t="n">
        <x:f>IF(M97="",IF(AND(L97=1,K97&gt;=1),1,0),M97)</x:f>
        <x:v>1</x:v>
      </x:c>
      <x:c r="Q97" t="n">
        <x:f>IF(N97="",IF(AND(L97=1,K97&gt;=2),1,0),N97)</x:f>
        <x:v>1</x:v>
      </x:c>
      <x:c r="R97" t="n">
        <x:f>IF(O97="",IF(AND(L97=1,K97&gt;=3),1,0),O97)</x:f>
        <x:v>0</x:v>
      </x:c>
      <x:c r="S97" t="n">
        <x:f>SUM(P97:R97)</x:f>
        <x:v>2</x:v>
      </x:c>
      <x:c r="T97" t="str">
        <x:f>IF(COUNTA(M97:O97)=0,"DerivedFromCount","ManualOverride")</x:f>
        <x:v>DerivedFromCount</x:v>
      </x:c>
      <x:c r="U97" t="str">
        <x:f>IF(COUNTIF(DailyProduction!$Q$5:$Q$100,B97)=1,"OK","CHECK")</x:f>
        <x:v>OK</x:v>
      </x:c>
      <x:c r="V97" t="str">
        <x:f>IF(AND(I97&gt;=1,I97&lt;=13,K97&gt;=1,K97&lt;=3),"OK","CHECK")</x:f>
        <x:v>OK</x:v>
      </x:c>
      <x:c r="W97" t="str">
        <x:f>IF(SUMIF($B$5:$B$914,B97,$S$5:$S$914)=SUMIF(DailyProduction!$Q$5:$Q$100,B97,DailyProduction!$R$5:$R$100),"OK","CHECK")</x:f>
        <x:v>OK</x:v>
      </x:c>
    </x:row>
    <x:row r="98">
      <x:c r="A98" t="str">
        <x:v>PC-PE-KG01-L21-20251023-PM-ORD-2025-00020-S03</x:v>
      </x:c>
      <x:c r="B98" t="str">
        <x:v>PE-KG01-L21-20251023-PM-ORD-2025-00020</x:v>
      </x:c>
      <x:c r="C98" t="str">
        <x:v>KG01</x:v>
      </x:c>
      <x:c r="D98" t="n">
        <x:v>45953</x:v>
      </x:c>
      <x:c r="E98" t="str">
        <x:v>PM</x:v>
      </x:c>
      <x:c r="F98" t="str">
        <x:v>A</x:v>
      </x:c>
      <x:c r="G98" t="n">
        <x:v>21</x:v>
      </x:c>
      <x:c r="H98" t="str">
        <x:v>ORD-2025-00020</x:v>
      </x:c>
      <x:c r="I98" t="n">
        <x:v>3</x:v>
      </x:c>
      <x:c r="J98" t="n">
        <x:v>10</x:v>
      </x:c>
      <x:c r="K98" t="n">
        <x:v>2</x:v>
      </x:c>
      <x:c r="L98" t="n">
        <x:f>IF(I98&lt;=J98,1,0)</x:f>
        <x:v>1</x:v>
      </x:c>
      <x:c r="P98" t="n">
        <x:f>IF(M98="",IF(AND(L98=1,K98&gt;=1),1,0),M98)</x:f>
        <x:v>1</x:v>
      </x:c>
      <x:c r="Q98" t="n">
        <x:f>IF(N98="",IF(AND(L98=1,K98&gt;=2),1,0),N98)</x:f>
        <x:v>1</x:v>
      </x:c>
      <x:c r="R98" t="n">
        <x:f>IF(O98="",IF(AND(L98=1,K98&gt;=3),1,0),O98)</x:f>
        <x:v>0</x:v>
      </x:c>
      <x:c r="S98" t="n">
        <x:f>SUM(P98:R98)</x:f>
        <x:v>2</x:v>
      </x:c>
      <x:c r="T98" t="str">
        <x:f>IF(COUNTA(M98:O98)=0,"DerivedFromCount","ManualOverride")</x:f>
        <x:v>DerivedFromCount</x:v>
      </x:c>
      <x:c r="U98" t="str">
        <x:f>IF(COUNTIF(DailyProduction!$Q$5:$Q$100,B98)=1,"OK","CHECK")</x:f>
        <x:v>OK</x:v>
      </x:c>
      <x:c r="V98" t="str">
        <x:f>IF(AND(I98&gt;=1,I98&lt;=13,K98&gt;=1,K98&lt;=3),"OK","CHECK")</x:f>
        <x:v>OK</x:v>
      </x:c>
      <x:c r="W98" t="str">
        <x:f>IF(SUMIF($B$5:$B$914,B98,$S$5:$S$914)=SUMIF(DailyProduction!$Q$5:$Q$100,B98,DailyProduction!$R$5:$R$100),"OK","CHECK")</x:f>
        <x:v>OK</x:v>
      </x:c>
    </x:row>
    <x:row r="99">
      <x:c r="A99" t="str">
        <x:v>PC-PE-KG01-L21-20251023-PM-ORD-2025-00020-S04</x:v>
      </x:c>
      <x:c r="B99" t="str">
        <x:v>PE-KG01-L21-20251023-PM-ORD-2025-00020</x:v>
      </x:c>
      <x:c r="C99" t="str">
        <x:v>KG01</x:v>
      </x:c>
      <x:c r="D99" t="n">
        <x:v>45953</x:v>
      </x:c>
      <x:c r="E99" t="str">
        <x:v>PM</x:v>
      </x:c>
      <x:c r="F99" t="str">
        <x:v>A</x:v>
      </x:c>
      <x:c r="G99" t="n">
        <x:v>21</x:v>
      </x:c>
      <x:c r="H99" t="str">
        <x:v>ORD-2025-00020</x:v>
      </x:c>
      <x:c r="I99" t="n">
        <x:v>4</x:v>
      </x:c>
      <x:c r="J99" t="n">
        <x:v>10</x:v>
      </x:c>
      <x:c r="K99" t="n">
        <x:v>2</x:v>
      </x:c>
      <x:c r="L99" t="n">
        <x:f>IF(I99&lt;=J99,1,0)</x:f>
        <x:v>1</x:v>
      </x:c>
      <x:c r="P99" t="n">
        <x:f>IF(M99="",IF(AND(L99=1,K99&gt;=1),1,0),M99)</x:f>
        <x:v>1</x:v>
      </x:c>
      <x:c r="Q99" t="n">
        <x:f>IF(N99="",IF(AND(L99=1,K99&gt;=2),1,0),N99)</x:f>
        <x:v>1</x:v>
      </x:c>
      <x:c r="R99" t="n">
        <x:f>IF(O99="",IF(AND(L99=1,K99&gt;=3),1,0),O99)</x:f>
        <x:v>0</x:v>
      </x:c>
      <x:c r="S99" t="n">
        <x:f>SUM(P99:R99)</x:f>
        <x:v>2</x:v>
      </x:c>
      <x:c r="T99" t="str">
        <x:f>IF(COUNTA(M99:O99)=0,"DerivedFromCount","ManualOverride")</x:f>
        <x:v>DerivedFromCount</x:v>
      </x:c>
      <x:c r="U99" t="str">
        <x:f>IF(COUNTIF(DailyProduction!$Q$5:$Q$100,B99)=1,"OK","CHECK")</x:f>
        <x:v>OK</x:v>
      </x:c>
      <x:c r="V99" t="str">
        <x:f>IF(AND(I99&gt;=1,I99&lt;=13,K99&gt;=1,K99&lt;=3),"OK","CHECK")</x:f>
        <x:v>OK</x:v>
      </x:c>
      <x:c r="W99" t="str">
        <x:f>IF(SUMIF($B$5:$B$914,B99,$S$5:$S$914)=SUMIF(DailyProduction!$Q$5:$Q$100,B99,DailyProduction!$R$5:$R$100),"OK","CHECK")</x:f>
        <x:v>OK</x:v>
      </x:c>
    </x:row>
    <x:row r="100">
      <x:c r="A100" t="str">
        <x:v>PC-PE-KG01-L21-20251023-PM-ORD-2025-00020-S05</x:v>
      </x:c>
      <x:c r="B100" t="str">
        <x:v>PE-KG01-L21-20251023-PM-ORD-2025-00020</x:v>
      </x:c>
      <x:c r="C100" t="str">
        <x:v>KG01</x:v>
      </x:c>
      <x:c r="D100" t="n">
        <x:v>45953</x:v>
      </x:c>
      <x:c r="E100" t="str">
        <x:v>PM</x:v>
      </x:c>
      <x:c r="F100" t="str">
        <x:v>A</x:v>
      </x:c>
      <x:c r="G100" t="n">
        <x:v>21</x:v>
      </x:c>
      <x:c r="H100" t="str">
        <x:v>ORD-2025-00020</x:v>
      </x:c>
      <x:c r="I100" t="n">
        <x:v>5</x:v>
      </x:c>
      <x:c r="J100" t="n">
        <x:v>10</x:v>
      </x:c>
      <x:c r="K100" t="n">
        <x:v>2</x:v>
      </x:c>
      <x:c r="L100" t="n">
        <x:f>IF(I100&lt;=J100,1,0)</x:f>
        <x:v>1</x:v>
      </x:c>
      <x:c r="P100" t="n">
        <x:f>IF(M100="",IF(AND(L100=1,K100&gt;=1),1,0),M100)</x:f>
        <x:v>1</x:v>
      </x:c>
      <x:c r="Q100" t="n">
        <x:f>IF(N100="",IF(AND(L100=1,K100&gt;=2),1,0),N100)</x:f>
        <x:v>1</x:v>
      </x:c>
      <x:c r="R100" t="n">
        <x:f>IF(O100="",IF(AND(L100=1,K100&gt;=3),1,0),O100)</x:f>
        <x:v>0</x:v>
      </x:c>
      <x:c r="S100" t="n">
        <x:f>SUM(P100:R100)</x:f>
        <x:v>2</x:v>
      </x:c>
      <x:c r="T100" t="str">
        <x:f>IF(COUNTA(M100:O100)=0,"DerivedFromCount","ManualOverride")</x:f>
        <x:v>DerivedFromCount</x:v>
      </x:c>
      <x:c r="U100" t="str">
        <x:f>IF(COUNTIF(DailyProduction!$Q$5:$Q$100,B100)=1,"OK","CHECK")</x:f>
        <x:v>OK</x:v>
      </x:c>
      <x:c r="V100" t="str">
        <x:f>IF(AND(I100&gt;=1,I100&lt;=13,K100&gt;=1,K100&lt;=3),"OK","CHECK")</x:f>
        <x:v>OK</x:v>
      </x:c>
      <x:c r="W100" t="str">
        <x:f>IF(SUMIF($B$5:$B$914,B100,$S$5:$S$914)=SUMIF(DailyProduction!$Q$5:$Q$100,B100,DailyProduction!$R$5:$R$100),"OK","CHECK")</x:f>
        <x:v>OK</x:v>
      </x:c>
    </x:row>
    <x:row r="101">
      <x:c r="A101" t="str">
        <x:v>PC-PE-KG01-L21-20251023-PM-ORD-2025-00020-S06</x:v>
      </x:c>
      <x:c r="B101" t="str">
        <x:v>PE-KG01-L21-20251023-PM-ORD-2025-00020</x:v>
      </x:c>
      <x:c r="C101" t="str">
        <x:v>KG01</x:v>
      </x:c>
      <x:c r="D101" t="n">
        <x:v>45953</x:v>
      </x:c>
      <x:c r="E101" t="str">
        <x:v>PM</x:v>
      </x:c>
      <x:c r="F101" t="str">
        <x:v>A</x:v>
      </x:c>
      <x:c r="G101" t="n">
        <x:v>21</x:v>
      </x:c>
      <x:c r="H101" t="str">
        <x:v>ORD-2025-00020</x:v>
      </x:c>
      <x:c r="I101" t="n">
        <x:v>6</x:v>
      </x:c>
      <x:c r="J101" t="n">
        <x:v>10</x:v>
      </x:c>
      <x:c r="K101" t="n">
        <x:v>2</x:v>
      </x:c>
      <x:c r="L101" t="n">
        <x:f>IF(I101&lt;=J101,1,0)</x:f>
        <x:v>1</x:v>
      </x:c>
      <x:c r="P101" t="n">
        <x:f>IF(M101="",IF(AND(L101=1,K101&gt;=1),1,0),M101)</x:f>
        <x:v>1</x:v>
      </x:c>
      <x:c r="Q101" t="n">
        <x:f>IF(N101="",IF(AND(L101=1,K101&gt;=2),1,0),N101)</x:f>
        <x:v>1</x:v>
      </x:c>
      <x:c r="R101" t="n">
        <x:f>IF(O101="",IF(AND(L101=1,K101&gt;=3),1,0),O101)</x:f>
        <x:v>0</x:v>
      </x:c>
      <x:c r="S101" t="n">
        <x:f>SUM(P101:R101)</x:f>
        <x:v>2</x:v>
      </x:c>
      <x:c r="T101" t="str">
        <x:f>IF(COUNTA(M101:O101)=0,"DerivedFromCount","ManualOverride")</x:f>
        <x:v>DerivedFromCount</x:v>
      </x:c>
      <x:c r="U101" t="str">
        <x:f>IF(COUNTIF(DailyProduction!$Q$5:$Q$100,B101)=1,"OK","CHECK")</x:f>
        <x:v>OK</x:v>
      </x:c>
      <x:c r="V101" t="str">
        <x:f>IF(AND(I101&gt;=1,I101&lt;=13,K101&gt;=1,K101&lt;=3),"OK","CHECK")</x:f>
        <x:v>OK</x:v>
      </x:c>
      <x:c r="W101" t="str">
        <x:f>IF(SUMIF($B$5:$B$914,B101,$S$5:$S$914)=SUMIF(DailyProduction!$Q$5:$Q$100,B101,DailyProduction!$R$5:$R$100),"OK","CHECK")</x:f>
        <x:v>OK</x:v>
      </x:c>
    </x:row>
    <x:row r="102">
      <x:c r="A102" t="str">
        <x:v>PC-PE-KG01-L21-20251023-PM-ORD-2025-00020-S07</x:v>
      </x:c>
      <x:c r="B102" t="str">
        <x:v>PE-KG01-L21-20251023-PM-ORD-2025-00020</x:v>
      </x:c>
      <x:c r="C102" t="str">
        <x:v>KG01</x:v>
      </x:c>
      <x:c r="D102" t="n">
        <x:v>45953</x:v>
      </x:c>
      <x:c r="E102" t="str">
        <x:v>PM</x:v>
      </x:c>
      <x:c r="F102" t="str">
        <x:v>A</x:v>
      </x:c>
      <x:c r="G102" t="n">
        <x:v>21</x:v>
      </x:c>
      <x:c r="H102" t="str">
        <x:v>ORD-2025-00020</x:v>
      </x:c>
      <x:c r="I102" t="n">
        <x:v>7</x:v>
      </x:c>
      <x:c r="J102" t="n">
        <x:v>10</x:v>
      </x:c>
      <x:c r="K102" t="n">
        <x:v>2</x:v>
      </x:c>
      <x:c r="L102" t="n">
        <x:f>IF(I102&lt;=J102,1,0)</x:f>
        <x:v>1</x:v>
      </x:c>
      <x:c r="P102" t="n">
        <x:f>IF(M102="",IF(AND(L102=1,K102&gt;=1),1,0),M102)</x:f>
        <x:v>1</x:v>
      </x:c>
      <x:c r="Q102" t="n">
        <x:f>IF(N102="",IF(AND(L102=1,K102&gt;=2),1,0),N102)</x:f>
        <x:v>1</x:v>
      </x:c>
      <x:c r="R102" t="n">
        <x:f>IF(O102="",IF(AND(L102=1,K102&gt;=3),1,0),O102)</x:f>
        <x:v>0</x:v>
      </x:c>
      <x:c r="S102" t="n">
        <x:f>SUM(P102:R102)</x:f>
        <x:v>2</x:v>
      </x:c>
      <x:c r="T102" t="str">
        <x:f>IF(COUNTA(M102:O102)=0,"DerivedFromCount","ManualOverride")</x:f>
        <x:v>DerivedFromCount</x:v>
      </x:c>
      <x:c r="U102" t="str">
        <x:f>IF(COUNTIF(DailyProduction!$Q$5:$Q$100,B102)=1,"OK","CHECK")</x:f>
        <x:v>OK</x:v>
      </x:c>
      <x:c r="V102" t="str">
        <x:f>IF(AND(I102&gt;=1,I102&lt;=13,K102&gt;=1,K102&lt;=3),"OK","CHECK")</x:f>
        <x:v>OK</x:v>
      </x:c>
      <x:c r="W102" t="str">
        <x:f>IF(SUMIF($B$5:$B$914,B102,$S$5:$S$914)=SUMIF(DailyProduction!$Q$5:$Q$100,B102,DailyProduction!$R$5:$R$100),"OK","CHECK")</x:f>
        <x:v>OK</x:v>
      </x:c>
    </x:row>
    <x:row r="103">
      <x:c r="A103" t="str">
        <x:v>PC-PE-KG01-L21-20251023-PM-ORD-2025-00020-S08</x:v>
      </x:c>
      <x:c r="B103" t="str">
        <x:v>PE-KG01-L21-20251023-PM-ORD-2025-00020</x:v>
      </x:c>
      <x:c r="C103" t="str">
        <x:v>KG01</x:v>
      </x:c>
      <x:c r="D103" t="n">
        <x:v>45953</x:v>
      </x:c>
      <x:c r="E103" t="str">
        <x:v>PM</x:v>
      </x:c>
      <x:c r="F103" t="str">
        <x:v>A</x:v>
      </x:c>
      <x:c r="G103" t="n">
        <x:v>21</x:v>
      </x:c>
      <x:c r="H103" t="str">
        <x:v>ORD-2025-00020</x:v>
      </x:c>
      <x:c r="I103" t="n">
        <x:v>8</x:v>
      </x:c>
      <x:c r="J103" t="n">
        <x:v>10</x:v>
      </x:c>
      <x:c r="K103" t="n">
        <x:v>2</x:v>
      </x:c>
      <x:c r="L103" t="n">
        <x:f>IF(I103&lt;=J103,1,0)</x:f>
        <x:v>1</x:v>
      </x:c>
      <x:c r="P103" t="n">
        <x:f>IF(M103="",IF(AND(L103=1,K103&gt;=1),1,0),M103)</x:f>
        <x:v>1</x:v>
      </x:c>
      <x:c r="Q103" t="n">
        <x:f>IF(N103="",IF(AND(L103=1,K103&gt;=2),1,0),N103)</x:f>
        <x:v>1</x:v>
      </x:c>
      <x:c r="R103" t="n">
        <x:f>IF(O103="",IF(AND(L103=1,K103&gt;=3),1,0),O103)</x:f>
        <x:v>0</x:v>
      </x:c>
      <x:c r="S103" t="n">
        <x:f>SUM(P103:R103)</x:f>
        <x:v>2</x:v>
      </x:c>
      <x:c r="T103" t="str">
        <x:f>IF(COUNTA(M103:O103)=0,"DerivedFromCount","ManualOverride")</x:f>
        <x:v>DerivedFromCount</x:v>
      </x:c>
      <x:c r="U103" t="str">
        <x:f>IF(COUNTIF(DailyProduction!$Q$5:$Q$100,B103)=1,"OK","CHECK")</x:f>
        <x:v>OK</x:v>
      </x:c>
      <x:c r="V103" t="str">
        <x:f>IF(AND(I103&gt;=1,I103&lt;=13,K103&gt;=1,K103&lt;=3),"OK","CHECK")</x:f>
        <x:v>OK</x:v>
      </x:c>
      <x:c r="W103" t="str">
        <x:f>IF(SUMIF($B$5:$B$914,B103,$S$5:$S$914)=SUMIF(DailyProduction!$Q$5:$Q$100,B103,DailyProduction!$R$5:$R$100),"OK","CHECK")</x:f>
        <x:v>OK</x:v>
      </x:c>
    </x:row>
    <x:row r="104">
      <x:c r="A104" t="str">
        <x:v>PC-PE-KG01-L21-20251023-PM-ORD-2025-00020-S09</x:v>
      </x:c>
      <x:c r="B104" t="str">
        <x:v>PE-KG01-L21-20251023-PM-ORD-2025-00020</x:v>
      </x:c>
      <x:c r="C104" t="str">
        <x:v>KG01</x:v>
      </x:c>
      <x:c r="D104" t="n">
        <x:v>45953</x:v>
      </x:c>
      <x:c r="E104" t="str">
        <x:v>PM</x:v>
      </x:c>
      <x:c r="F104" t="str">
        <x:v>A</x:v>
      </x:c>
      <x:c r="G104" t="n">
        <x:v>21</x:v>
      </x:c>
      <x:c r="H104" t="str">
        <x:v>ORD-2025-00020</x:v>
      </x:c>
      <x:c r="I104" t="n">
        <x:v>9</x:v>
      </x:c>
      <x:c r="J104" t="n">
        <x:v>10</x:v>
      </x:c>
      <x:c r="K104" t="n">
        <x:v>2</x:v>
      </x:c>
      <x:c r="L104" t="n">
        <x:f>IF(I104&lt;=J104,1,0)</x:f>
        <x:v>1</x:v>
      </x:c>
      <x:c r="P104" t="n">
        <x:f>IF(M104="",IF(AND(L104=1,K104&gt;=1),1,0),M104)</x:f>
        <x:v>1</x:v>
      </x:c>
      <x:c r="Q104" t="n">
        <x:f>IF(N104="",IF(AND(L104=1,K104&gt;=2),1,0),N104)</x:f>
        <x:v>1</x:v>
      </x:c>
      <x:c r="R104" t="n">
        <x:f>IF(O104="",IF(AND(L104=1,K104&gt;=3),1,0),O104)</x:f>
        <x:v>0</x:v>
      </x:c>
      <x:c r="S104" t="n">
        <x:f>SUM(P104:R104)</x:f>
        <x:v>2</x:v>
      </x:c>
      <x:c r="T104" t="str">
        <x:f>IF(COUNTA(M104:O104)=0,"DerivedFromCount","ManualOverride")</x:f>
        <x:v>DerivedFromCount</x:v>
      </x:c>
      <x:c r="U104" t="str">
        <x:f>IF(COUNTIF(DailyProduction!$Q$5:$Q$100,B104)=1,"OK","CHECK")</x:f>
        <x:v>OK</x:v>
      </x:c>
      <x:c r="V104" t="str">
        <x:f>IF(AND(I104&gt;=1,I104&lt;=13,K104&gt;=1,K104&lt;=3),"OK","CHECK")</x:f>
        <x:v>OK</x:v>
      </x:c>
      <x:c r="W104" t="str">
        <x:f>IF(SUMIF($B$5:$B$914,B104,$S$5:$S$914)=SUMIF(DailyProduction!$Q$5:$Q$100,B104,DailyProduction!$R$5:$R$100),"OK","CHECK")</x:f>
        <x:v>OK</x:v>
      </x:c>
    </x:row>
    <x:row r="105">
      <x:c r="A105" t="str">
        <x:v>PC-PE-KG01-L21-20251023-PM-ORD-2025-00020-S10</x:v>
      </x:c>
      <x:c r="B105" t="str">
        <x:v>PE-KG01-L21-20251023-PM-ORD-2025-00020</x:v>
      </x:c>
      <x:c r="C105" t="str">
        <x:v>KG01</x:v>
      </x:c>
      <x:c r="D105" t="n">
        <x:v>45953</x:v>
      </x:c>
      <x:c r="E105" t="str">
        <x:v>PM</x:v>
      </x:c>
      <x:c r="F105" t="str">
        <x:v>A</x:v>
      </x:c>
      <x:c r="G105" t="n">
        <x:v>21</x:v>
      </x:c>
      <x:c r="H105" t="str">
        <x:v>ORD-2025-00020</x:v>
      </x:c>
      <x:c r="I105" t="n">
        <x:v>10</x:v>
      </x:c>
      <x:c r="J105" t="n">
        <x:v>10</x:v>
      </x:c>
      <x:c r="K105" t="n">
        <x:v>2</x:v>
      </x:c>
      <x:c r="L105" t="n">
        <x:f>IF(I105&lt;=J105,1,0)</x:f>
        <x:v>1</x:v>
      </x:c>
      <x:c r="P105" t="n">
        <x:f>IF(M105="",IF(AND(L105=1,K105&gt;=1),1,0),M105)</x:f>
        <x:v>1</x:v>
      </x:c>
      <x:c r="Q105" t="n">
        <x:f>IF(N105="",IF(AND(L105=1,K105&gt;=2),1,0),N105)</x:f>
        <x:v>1</x:v>
      </x:c>
      <x:c r="R105" t="n">
        <x:f>IF(O105="",IF(AND(L105=1,K105&gt;=3),1,0),O105)</x:f>
        <x:v>0</x:v>
      </x:c>
      <x:c r="S105" t="n">
        <x:f>SUM(P105:R105)</x:f>
        <x:v>2</x:v>
      </x:c>
      <x:c r="T105" t="str">
        <x:f>IF(COUNTA(M105:O105)=0,"DerivedFromCount","ManualOverride")</x:f>
        <x:v>DerivedFromCount</x:v>
      </x:c>
      <x:c r="U105" t="str">
        <x:f>IF(COUNTIF(DailyProduction!$Q$5:$Q$100,B105)=1,"OK","CHECK")</x:f>
        <x:v>OK</x:v>
      </x:c>
      <x:c r="V105" t="str">
        <x:f>IF(AND(I105&gt;=1,I105&lt;=13,K105&gt;=1,K105&lt;=3),"OK","CHECK")</x:f>
        <x:v>OK</x:v>
      </x:c>
      <x:c r="W105" t="str">
        <x:f>IF(SUMIF($B$5:$B$914,B105,$S$5:$S$914)=SUMIF(DailyProduction!$Q$5:$Q$100,B105,DailyProduction!$R$5:$R$100),"OK","CHECK")</x:f>
        <x:v>OK</x:v>
      </x:c>
    </x:row>
    <x:row r="106">
      <x:c r="A106" t="str">
        <x:v>PC-PE-KG01-L21-20251023-PM-ORD-2025-00020-S11</x:v>
      </x:c>
      <x:c r="B106" t="str">
        <x:v>PE-KG01-L21-20251023-PM-ORD-2025-00020</x:v>
      </x:c>
      <x:c r="C106" t="str">
        <x:v>KG01</x:v>
      </x:c>
      <x:c r="D106" t="n">
        <x:v>45953</x:v>
      </x:c>
      <x:c r="E106" t="str">
        <x:v>PM</x:v>
      </x:c>
      <x:c r="F106" t="str">
        <x:v>A</x:v>
      </x:c>
      <x:c r="G106" t="n">
        <x:v>21</x:v>
      </x:c>
      <x:c r="H106" t="str">
        <x:v>ORD-2025-00020</x:v>
      </x:c>
      <x:c r="I106" t="n">
        <x:v>11</x:v>
      </x:c>
      <x:c r="J106" t="n">
        <x:v>10</x:v>
      </x:c>
      <x:c r="K106" t="n">
        <x:v>2</x:v>
      </x:c>
      <x:c r="L106" t="n">
        <x:f>IF(I106&lt;=J106,1,0)</x:f>
        <x:v>0</x:v>
      </x:c>
      <x:c r="P106" t="n">
        <x:f>IF(M106="",IF(AND(L106=1,K106&gt;=1),1,0),M106)</x:f>
        <x:v>0</x:v>
      </x:c>
      <x:c r="Q106" t="n">
        <x:f>IF(N106="",IF(AND(L106=1,K106&gt;=2),1,0),N106)</x:f>
        <x:v>0</x:v>
      </x:c>
      <x:c r="R106" t="n">
        <x:f>IF(O106="",IF(AND(L106=1,K106&gt;=3),1,0),O106)</x:f>
        <x:v>0</x:v>
      </x:c>
      <x:c r="S106" t="n">
        <x:f>SUM(P106:R106)</x:f>
        <x:v>0</x:v>
      </x:c>
      <x:c r="T106" t="str">
        <x:f>IF(COUNTA(M106:O106)=0,"DerivedFromCount","ManualOverride")</x:f>
        <x:v>DerivedFromCount</x:v>
      </x:c>
      <x:c r="U106" t="str">
        <x:f>IF(COUNTIF(DailyProduction!$Q$5:$Q$100,B106)=1,"OK","CHECK")</x:f>
        <x:v>OK</x:v>
      </x:c>
      <x:c r="V106" t="str">
        <x:f>IF(AND(I106&gt;=1,I106&lt;=13,K106&gt;=1,K106&lt;=3),"OK","CHECK")</x:f>
        <x:v>OK</x:v>
      </x:c>
      <x:c r="W106" t="str">
        <x:f>IF(SUMIF($B$5:$B$914,B106,$S$5:$S$914)=SUMIF(DailyProduction!$Q$5:$Q$100,B106,DailyProduction!$R$5:$R$100),"OK","CHECK")</x:f>
        <x:v>OK</x:v>
      </x:c>
    </x:row>
    <x:row r="107">
      <x:c r="A107" t="str">
        <x:v>PC-PE-KG01-L21-20251023-PM-ORD-2025-00020-S12</x:v>
      </x:c>
      <x:c r="B107" t="str">
        <x:v>PE-KG01-L21-20251023-PM-ORD-2025-00020</x:v>
      </x:c>
      <x:c r="C107" t="str">
        <x:v>KG01</x:v>
      </x:c>
      <x:c r="D107" t="n">
        <x:v>45953</x:v>
      </x:c>
      <x:c r="E107" t="str">
        <x:v>PM</x:v>
      </x:c>
      <x:c r="F107" t="str">
        <x:v>A</x:v>
      </x:c>
      <x:c r="G107" t="n">
        <x:v>21</x:v>
      </x:c>
      <x:c r="H107" t="str">
        <x:v>ORD-2025-00020</x:v>
      </x:c>
      <x:c r="I107" t="n">
        <x:v>12</x:v>
      </x:c>
      <x:c r="J107" t="n">
        <x:v>10</x:v>
      </x:c>
      <x:c r="K107" t="n">
        <x:v>2</x:v>
      </x:c>
      <x:c r="L107" t="n">
        <x:f>IF(I107&lt;=J107,1,0)</x:f>
        <x:v>0</x:v>
      </x:c>
      <x:c r="P107" t="n">
        <x:f>IF(M107="",IF(AND(L107=1,K107&gt;=1),1,0),M107)</x:f>
        <x:v>0</x:v>
      </x:c>
      <x:c r="Q107" t="n">
        <x:f>IF(N107="",IF(AND(L107=1,K107&gt;=2),1,0),N107)</x:f>
        <x:v>0</x:v>
      </x:c>
      <x:c r="R107" t="n">
        <x:f>IF(O107="",IF(AND(L107=1,K107&gt;=3),1,0),O107)</x:f>
        <x:v>0</x:v>
      </x:c>
      <x:c r="S107" t="n">
        <x:f>SUM(P107:R107)</x:f>
        <x:v>0</x:v>
      </x:c>
      <x:c r="T107" t="str">
        <x:f>IF(COUNTA(M107:O107)=0,"DerivedFromCount","ManualOverride")</x:f>
        <x:v>DerivedFromCount</x:v>
      </x:c>
      <x:c r="U107" t="str">
        <x:f>IF(COUNTIF(DailyProduction!$Q$5:$Q$100,B107)=1,"OK","CHECK")</x:f>
        <x:v>OK</x:v>
      </x:c>
      <x:c r="V107" t="str">
        <x:f>IF(AND(I107&gt;=1,I107&lt;=13,K107&gt;=1,K107&lt;=3),"OK","CHECK")</x:f>
        <x:v>OK</x:v>
      </x:c>
      <x:c r="W107" t="str">
        <x:f>IF(SUMIF($B$5:$B$914,B107,$S$5:$S$914)=SUMIF(DailyProduction!$Q$5:$Q$100,B107,DailyProduction!$R$5:$R$100),"OK","CHECK")</x:f>
        <x:v>OK</x:v>
      </x:c>
    </x:row>
    <x:row r="108">
      <x:c r="A108" t="str">
        <x:v>PC-PE-KG01-L21-20251023-PM-ORD-2025-00020-S13</x:v>
      </x:c>
      <x:c r="B108" t="str">
        <x:v>PE-KG01-L21-20251023-PM-ORD-2025-00020</x:v>
      </x:c>
      <x:c r="C108" t="str">
        <x:v>KG01</x:v>
      </x:c>
      <x:c r="D108" t="n">
        <x:v>45953</x:v>
      </x:c>
      <x:c r="E108" t="str">
        <x:v>PM</x:v>
      </x:c>
      <x:c r="F108" t="str">
        <x:v>A</x:v>
      </x:c>
      <x:c r="G108" t="n">
        <x:v>21</x:v>
      </x:c>
      <x:c r="H108" t="str">
        <x:v>ORD-2025-00020</x:v>
      </x:c>
      <x:c r="I108" t="n">
        <x:v>13</x:v>
      </x:c>
      <x:c r="J108" t="n">
        <x:v>10</x:v>
      </x:c>
      <x:c r="K108" t="n">
        <x:v>2</x:v>
      </x:c>
      <x:c r="L108" t="n">
        <x:f>IF(I108&lt;=J108,1,0)</x:f>
        <x:v>0</x:v>
      </x:c>
      <x:c r="P108" t="n">
        <x:f>IF(M108="",IF(AND(L108=1,K108&gt;=1),1,0),M108)</x:f>
        <x:v>0</x:v>
      </x:c>
      <x:c r="Q108" t="n">
        <x:f>IF(N108="",IF(AND(L108=1,K108&gt;=2),1,0),N108)</x:f>
        <x:v>0</x:v>
      </x:c>
      <x:c r="R108" t="n">
        <x:f>IF(O108="",IF(AND(L108=1,K108&gt;=3),1,0),O108)</x:f>
        <x:v>0</x:v>
      </x:c>
      <x:c r="S108" t="n">
        <x:f>SUM(P108:R108)</x:f>
        <x:v>0</x:v>
      </x:c>
      <x:c r="T108" t="str">
        <x:f>IF(COUNTA(M108:O108)=0,"DerivedFromCount","ManualOverride")</x:f>
        <x:v>DerivedFromCount</x:v>
      </x:c>
      <x:c r="U108" t="str">
        <x:f>IF(COUNTIF(DailyProduction!$Q$5:$Q$100,B108)=1,"OK","CHECK")</x:f>
        <x:v>OK</x:v>
      </x:c>
      <x:c r="V108" t="str">
        <x:f>IF(AND(I108&gt;=1,I108&lt;=13,K108&gt;=1,K108&lt;=3),"OK","CHECK")</x:f>
        <x:v>OK</x:v>
      </x:c>
      <x:c r="W108" t="str">
        <x:f>IF(SUMIF($B$5:$B$914,B108,$S$5:$S$914)=SUMIF(DailyProduction!$Q$5:$Q$100,B108,DailyProduction!$R$5:$R$100),"OK","CHECK")</x:f>
        <x:v>OK</x:v>
      </x:c>
    </x:row>
    <x:row r="109">
      <x:c r="A109" t="str">
        <x:v>PC-PE-KG01-L21-20251024-AM-ORD-2025-00020-S01</x:v>
      </x:c>
      <x:c r="B109" t="str">
        <x:v>PE-KG01-L21-20251024-AM-ORD-2025-00020</x:v>
      </x:c>
      <x:c r="C109" t="str">
        <x:v>KG01</x:v>
      </x:c>
      <x:c r="D109" t="n">
        <x:v>45954</x:v>
      </x:c>
      <x:c r="E109" t="str">
        <x:v>AM</x:v>
      </x:c>
      <x:c r="F109" t="str">
        <x:v>A</x:v>
      </x:c>
      <x:c r="G109" t="n">
        <x:v>21</x:v>
      </x:c>
      <x:c r="H109" t="str">
        <x:v>ORD-2025-00020</x:v>
      </x:c>
      <x:c r="I109" t="n">
        <x:v>1</x:v>
      </x:c>
      <x:c r="J109" t="n">
        <x:v>10</x:v>
      </x:c>
      <x:c r="K109" t="n">
        <x:v>2</x:v>
      </x:c>
      <x:c r="L109" t="n">
        <x:f>IF(I109&lt;=J109,1,0)</x:f>
        <x:v>1</x:v>
      </x:c>
      <x:c r="P109" t="n">
        <x:f>IF(M109="",IF(AND(L109=1,K109&gt;=1),1,0),M109)</x:f>
        <x:v>1</x:v>
      </x:c>
      <x:c r="Q109" t="n">
        <x:f>IF(N109="",IF(AND(L109=1,K109&gt;=2),1,0),N109)</x:f>
        <x:v>1</x:v>
      </x:c>
      <x:c r="R109" t="n">
        <x:f>IF(O109="",IF(AND(L109=1,K109&gt;=3),1,0),O109)</x:f>
        <x:v>0</x:v>
      </x:c>
      <x:c r="S109" t="n">
        <x:f>SUM(P109:R109)</x:f>
        <x:v>2</x:v>
      </x:c>
      <x:c r="T109" t="str">
        <x:f>IF(COUNTA(M109:O109)=0,"DerivedFromCount","ManualOverride")</x:f>
        <x:v>DerivedFromCount</x:v>
      </x:c>
      <x:c r="U109" t="str">
        <x:f>IF(COUNTIF(DailyProduction!$Q$5:$Q$100,B109)=1,"OK","CHECK")</x:f>
        <x:v>OK</x:v>
      </x:c>
      <x:c r="V109" t="str">
        <x:f>IF(AND(I109&gt;=1,I109&lt;=13,K109&gt;=1,K109&lt;=3),"OK","CHECK")</x:f>
        <x:v>OK</x:v>
      </x:c>
      <x:c r="W109" t="str">
        <x:f>IF(SUMIF($B$5:$B$914,B109,$S$5:$S$914)=SUMIF(DailyProduction!$Q$5:$Q$100,B109,DailyProduction!$R$5:$R$100),"OK","CHECK")</x:f>
        <x:v>OK</x:v>
      </x:c>
    </x:row>
    <x:row r="110">
      <x:c r="A110" t="str">
        <x:v>PC-PE-KG01-L21-20251024-AM-ORD-2025-00020-S02</x:v>
      </x:c>
      <x:c r="B110" t="str">
        <x:v>PE-KG01-L21-20251024-AM-ORD-2025-00020</x:v>
      </x:c>
      <x:c r="C110" t="str">
        <x:v>KG01</x:v>
      </x:c>
      <x:c r="D110" t="n">
        <x:v>45954</x:v>
      </x:c>
      <x:c r="E110" t="str">
        <x:v>AM</x:v>
      </x:c>
      <x:c r="F110" t="str">
        <x:v>A</x:v>
      </x:c>
      <x:c r="G110" t="n">
        <x:v>21</x:v>
      </x:c>
      <x:c r="H110" t="str">
        <x:v>ORD-2025-00020</x:v>
      </x:c>
      <x:c r="I110" t="n">
        <x:v>2</x:v>
      </x:c>
      <x:c r="J110" t="n">
        <x:v>10</x:v>
      </x:c>
      <x:c r="K110" t="n">
        <x:v>2</x:v>
      </x:c>
      <x:c r="L110" t="n">
        <x:f>IF(I110&lt;=J110,1,0)</x:f>
        <x:v>1</x:v>
      </x:c>
      <x:c r="P110" t="n">
        <x:f>IF(M110="",IF(AND(L110=1,K110&gt;=1),1,0),M110)</x:f>
        <x:v>1</x:v>
      </x:c>
      <x:c r="Q110" t="n">
        <x:f>IF(N110="",IF(AND(L110=1,K110&gt;=2),1,0),N110)</x:f>
        <x:v>1</x:v>
      </x:c>
      <x:c r="R110" t="n">
        <x:f>IF(O110="",IF(AND(L110=1,K110&gt;=3),1,0),O110)</x:f>
        <x:v>0</x:v>
      </x:c>
      <x:c r="S110" t="n">
        <x:f>SUM(P110:R110)</x:f>
        <x:v>2</x:v>
      </x:c>
      <x:c r="T110" t="str">
        <x:f>IF(COUNTA(M110:O110)=0,"DerivedFromCount","ManualOverride")</x:f>
        <x:v>DerivedFromCount</x:v>
      </x:c>
      <x:c r="U110" t="str">
        <x:f>IF(COUNTIF(DailyProduction!$Q$5:$Q$100,B110)=1,"OK","CHECK")</x:f>
        <x:v>OK</x:v>
      </x:c>
      <x:c r="V110" t="str">
        <x:f>IF(AND(I110&gt;=1,I110&lt;=13,K110&gt;=1,K110&lt;=3),"OK","CHECK")</x:f>
        <x:v>OK</x:v>
      </x:c>
      <x:c r="W110" t="str">
        <x:f>IF(SUMIF($B$5:$B$914,B110,$S$5:$S$914)=SUMIF(DailyProduction!$Q$5:$Q$100,B110,DailyProduction!$R$5:$R$100),"OK","CHECK")</x:f>
        <x:v>OK</x:v>
      </x:c>
    </x:row>
    <x:row r="111">
      <x:c r="A111" t="str">
        <x:v>PC-PE-KG01-L21-20251024-AM-ORD-2025-00020-S03</x:v>
      </x:c>
      <x:c r="B111" t="str">
        <x:v>PE-KG01-L21-20251024-AM-ORD-2025-00020</x:v>
      </x:c>
      <x:c r="C111" t="str">
        <x:v>KG01</x:v>
      </x:c>
      <x:c r="D111" t="n">
        <x:v>45954</x:v>
      </x:c>
      <x:c r="E111" t="str">
        <x:v>AM</x:v>
      </x:c>
      <x:c r="F111" t="str">
        <x:v>A</x:v>
      </x:c>
      <x:c r="G111" t="n">
        <x:v>21</x:v>
      </x:c>
      <x:c r="H111" t="str">
        <x:v>ORD-2025-00020</x:v>
      </x:c>
      <x:c r="I111" t="n">
        <x:v>3</x:v>
      </x:c>
      <x:c r="J111" t="n">
        <x:v>10</x:v>
      </x:c>
      <x:c r="K111" t="n">
        <x:v>2</x:v>
      </x:c>
      <x:c r="L111" t="n">
        <x:f>IF(I111&lt;=J111,1,0)</x:f>
        <x:v>1</x:v>
      </x:c>
      <x:c r="P111" t="n">
        <x:f>IF(M111="",IF(AND(L111=1,K111&gt;=1),1,0),M111)</x:f>
        <x:v>1</x:v>
      </x:c>
      <x:c r="Q111" t="n">
        <x:f>IF(N111="",IF(AND(L111=1,K111&gt;=2),1,0),N111)</x:f>
        <x:v>1</x:v>
      </x:c>
      <x:c r="R111" t="n">
        <x:f>IF(O111="",IF(AND(L111=1,K111&gt;=3),1,0),O111)</x:f>
        <x:v>0</x:v>
      </x:c>
      <x:c r="S111" t="n">
        <x:f>SUM(P111:R111)</x:f>
        <x:v>2</x:v>
      </x:c>
      <x:c r="T111" t="str">
        <x:f>IF(COUNTA(M111:O111)=0,"DerivedFromCount","ManualOverride")</x:f>
        <x:v>DerivedFromCount</x:v>
      </x:c>
      <x:c r="U111" t="str">
        <x:f>IF(COUNTIF(DailyProduction!$Q$5:$Q$100,B111)=1,"OK","CHECK")</x:f>
        <x:v>OK</x:v>
      </x:c>
      <x:c r="V111" t="str">
        <x:f>IF(AND(I111&gt;=1,I111&lt;=13,K111&gt;=1,K111&lt;=3),"OK","CHECK")</x:f>
        <x:v>OK</x:v>
      </x:c>
      <x:c r="W111" t="str">
        <x:f>IF(SUMIF($B$5:$B$914,B111,$S$5:$S$914)=SUMIF(DailyProduction!$Q$5:$Q$100,B111,DailyProduction!$R$5:$R$100),"OK","CHECK")</x:f>
        <x:v>OK</x:v>
      </x:c>
    </x:row>
    <x:row r="112">
      <x:c r="A112" t="str">
        <x:v>PC-PE-KG01-L21-20251024-AM-ORD-2025-00020-S04</x:v>
      </x:c>
      <x:c r="B112" t="str">
        <x:v>PE-KG01-L21-20251024-AM-ORD-2025-00020</x:v>
      </x:c>
      <x:c r="C112" t="str">
        <x:v>KG01</x:v>
      </x:c>
      <x:c r="D112" t="n">
        <x:v>45954</x:v>
      </x:c>
      <x:c r="E112" t="str">
        <x:v>AM</x:v>
      </x:c>
      <x:c r="F112" t="str">
        <x:v>A</x:v>
      </x:c>
      <x:c r="G112" t="n">
        <x:v>21</x:v>
      </x:c>
      <x:c r="H112" t="str">
        <x:v>ORD-2025-00020</x:v>
      </x:c>
      <x:c r="I112" t="n">
        <x:v>4</x:v>
      </x:c>
      <x:c r="J112" t="n">
        <x:v>10</x:v>
      </x:c>
      <x:c r="K112" t="n">
        <x:v>2</x:v>
      </x:c>
      <x:c r="L112" t="n">
        <x:f>IF(I112&lt;=J112,1,0)</x:f>
        <x:v>1</x:v>
      </x:c>
      <x:c r="P112" t="n">
        <x:f>IF(M112="",IF(AND(L112=1,K112&gt;=1),1,0),M112)</x:f>
        <x:v>1</x:v>
      </x:c>
      <x:c r="Q112" t="n">
        <x:f>IF(N112="",IF(AND(L112=1,K112&gt;=2),1,0),N112)</x:f>
        <x:v>1</x:v>
      </x:c>
      <x:c r="R112" t="n">
        <x:f>IF(O112="",IF(AND(L112=1,K112&gt;=3),1,0),O112)</x:f>
        <x:v>0</x:v>
      </x:c>
      <x:c r="S112" t="n">
        <x:f>SUM(P112:R112)</x:f>
        <x:v>2</x:v>
      </x:c>
      <x:c r="T112" t="str">
        <x:f>IF(COUNTA(M112:O112)=0,"DerivedFromCount","ManualOverride")</x:f>
        <x:v>DerivedFromCount</x:v>
      </x:c>
      <x:c r="U112" t="str">
        <x:f>IF(COUNTIF(DailyProduction!$Q$5:$Q$100,B112)=1,"OK","CHECK")</x:f>
        <x:v>OK</x:v>
      </x:c>
      <x:c r="V112" t="str">
        <x:f>IF(AND(I112&gt;=1,I112&lt;=13,K112&gt;=1,K112&lt;=3),"OK","CHECK")</x:f>
        <x:v>OK</x:v>
      </x:c>
      <x:c r="W112" t="str">
        <x:f>IF(SUMIF($B$5:$B$914,B112,$S$5:$S$914)=SUMIF(DailyProduction!$Q$5:$Q$100,B112,DailyProduction!$R$5:$R$100),"OK","CHECK")</x:f>
        <x:v>OK</x:v>
      </x:c>
    </x:row>
    <x:row r="113">
      <x:c r="A113" t="str">
        <x:v>PC-PE-KG01-L21-20251024-AM-ORD-2025-00020-S05</x:v>
      </x:c>
      <x:c r="B113" t="str">
        <x:v>PE-KG01-L21-20251024-AM-ORD-2025-00020</x:v>
      </x:c>
      <x:c r="C113" t="str">
        <x:v>KG01</x:v>
      </x:c>
      <x:c r="D113" t="n">
        <x:v>45954</x:v>
      </x:c>
      <x:c r="E113" t="str">
        <x:v>AM</x:v>
      </x:c>
      <x:c r="F113" t="str">
        <x:v>A</x:v>
      </x:c>
      <x:c r="G113" t="n">
        <x:v>21</x:v>
      </x:c>
      <x:c r="H113" t="str">
        <x:v>ORD-2025-00020</x:v>
      </x:c>
      <x:c r="I113" t="n">
        <x:v>5</x:v>
      </x:c>
      <x:c r="J113" t="n">
        <x:v>10</x:v>
      </x:c>
      <x:c r="K113" t="n">
        <x:v>2</x:v>
      </x:c>
      <x:c r="L113" t="n">
        <x:f>IF(I113&lt;=J113,1,0)</x:f>
        <x:v>1</x:v>
      </x:c>
      <x:c r="P113" t="n">
        <x:f>IF(M113="",IF(AND(L113=1,K113&gt;=1),1,0),M113)</x:f>
        <x:v>1</x:v>
      </x:c>
      <x:c r="Q113" t="n">
        <x:f>IF(N113="",IF(AND(L113=1,K113&gt;=2),1,0),N113)</x:f>
        <x:v>1</x:v>
      </x:c>
      <x:c r="R113" t="n">
        <x:f>IF(O113="",IF(AND(L113=1,K113&gt;=3),1,0),O113)</x:f>
        <x:v>0</x:v>
      </x:c>
      <x:c r="S113" t="n">
        <x:f>SUM(P113:R113)</x:f>
        <x:v>2</x:v>
      </x:c>
      <x:c r="T113" t="str">
        <x:f>IF(COUNTA(M113:O113)=0,"DerivedFromCount","ManualOverride")</x:f>
        <x:v>DerivedFromCount</x:v>
      </x:c>
      <x:c r="U113" t="str">
        <x:f>IF(COUNTIF(DailyProduction!$Q$5:$Q$100,B113)=1,"OK","CHECK")</x:f>
        <x:v>OK</x:v>
      </x:c>
      <x:c r="V113" t="str">
        <x:f>IF(AND(I113&gt;=1,I113&lt;=13,K113&gt;=1,K113&lt;=3),"OK","CHECK")</x:f>
        <x:v>OK</x:v>
      </x:c>
      <x:c r="W113" t="str">
        <x:f>IF(SUMIF($B$5:$B$914,B113,$S$5:$S$914)=SUMIF(DailyProduction!$Q$5:$Q$100,B113,DailyProduction!$R$5:$R$100),"OK","CHECK")</x:f>
        <x:v>OK</x:v>
      </x:c>
    </x:row>
    <x:row r="114">
      <x:c r="A114" t="str">
        <x:v>PC-PE-KG01-L21-20251024-AM-ORD-2025-00020-S06</x:v>
      </x:c>
      <x:c r="B114" t="str">
        <x:v>PE-KG01-L21-20251024-AM-ORD-2025-00020</x:v>
      </x:c>
      <x:c r="C114" t="str">
        <x:v>KG01</x:v>
      </x:c>
      <x:c r="D114" t="n">
        <x:v>45954</x:v>
      </x:c>
      <x:c r="E114" t="str">
        <x:v>AM</x:v>
      </x:c>
      <x:c r="F114" t="str">
        <x:v>A</x:v>
      </x:c>
      <x:c r="G114" t="n">
        <x:v>21</x:v>
      </x:c>
      <x:c r="H114" t="str">
        <x:v>ORD-2025-00020</x:v>
      </x:c>
      <x:c r="I114" t="n">
        <x:v>6</x:v>
      </x:c>
      <x:c r="J114" t="n">
        <x:v>10</x:v>
      </x:c>
      <x:c r="K114" t="n">
        <x:v>2</x:v>
      </x:c>
      <x:c r="L114" t="n">
        <x:f>IF(I114&lt;=J114,1,0)</x:f>
        <x:v>1</x:v>
      </x:c>
      <x:c r="P114" t="n">
        <x:f>IF(M114="",IF(AND(L114=1,K114&gt;=1),1,0),M114)</x:f>
        <x:v>1</x:v>
      </x:c>
      <x:c r="Q114" t="n">
        <x:f>IF(N114="",IF(AND(L114=1,K114&gt;=2),1,0),N114)</x:f>
        <x:v>1</x:v>
      </x:c>
      <x:c r="R114" t="n">
        <x:f>IF(O114="",IF(AND(L114=1,K114&gt;=3),1,0),O114)</x:f>
        <x:v>0</x:v>
      </x:c>
      <x:c r="S114" t="n">
        <x:f>SUM(P114:R114)</x:f>
        <x:v>2</x:v>
      </x:c>
      <x:c r="T114" t="str">
        <x:f>IF(COUNTA(M114:O114)=0,"DerivedFromCount","ManualOverride")</x:f>
        <x:v>DerivedFromCount</x:v>
      </x:c>
      <x:c r="U114" t="str">
        <x:f>IF(COUNTIF(DailyProduction!$Q$5:$Q$100,B114)=1,"OK","CHECK")</x:f>
        <x:v>OK</x:v>
      </x:c>
      <x:c r="V114" t="str">
        <x:f>IF(AND(I114&gt;=1,I114&lt;=13,K114&gt;=1,K114&lt;=3),"OK","CHECK")</x:f>
        <x:v>OK</x:v>
      </x:c>
      <x:c r="W114" t="str">
        <x:f>IF(SUMIF($B$5:$B$914,B114,$S$5:$S$914)=SUMIF(DailyProduction!$Q$5:$Q$100,B114,DailyProduction!$R$5:$R$100),"OK","CHECK")</x:f>
        <x:v>OK</x:v>
      </x:c>
    </x:row>
    <x:row r="115">
      <x:c r="A115" t="str">
        <x:v>PC-PE-KG01-L21-20251024-AM-ORD-2025-00020-S07</x:v>
      </x:c>
      <x:c r="B115" t="str">
        <x:v>PE-KG01-L21-20251024-AM-ORD-2025-00020</x:v>
      </x:c>
      <x:c r="C115" t="str">
        <x:v>KG01</x:v>
      </x:c>
      <x:c r="D115" t="n">
        <x:v>45954</x:v>
      </x:c>
      <x:c r="E115" t="str">
        <x:v>AM</x:v>
      </x:c>
      <x:c r="F115" t="str">
        <x:v>A</x:v>
      </x:c>
      <x:c r="G115" t="n">
        <x:v>21</x:v>
      </x:c>
      <x:c r="H115" t="str">
        <x:v>ORD-2025-00020</x:v>
      </x:c>
      <x:c r="I115" t="n">
        <x:v>7</x:v>
      </x:c>
      <x:c r="J115" t="n">
        <x:v>10</x:v>
      </x:c>
      <x:c r="K115" t="n">
        <x:v>2</x:v>
      </x:c>
      <x:c r="L115" t="n">
        <x:f>IF(I115&lt;=J115,1,0)</x:f>
        <x:v>1</x:v>
      </x:c>
      <x:c r="P115" t="n">
        <x:f>IF(M115="",IF(AND(L115=1,K115&gt;=1),1,0),M115)</x:f>
        <x:v>1</x:v>
      </x:c>
      <x:c r="Q115" t="n">
        <x:f>IF(N115="",IF(AND(L115=1,K115&gt;=2),1,0),N115)</x:f>
        <x:v>1</x:v>
      </x:c>
      <x:c r="R115" t="n">
        <x:f>IF(O115="",IF(AND(L115=1,K115&gt;=3),1,0),O115)</x:f>
        <x:v>0</x:v>
      </x:c>
      <x:c r="S115" t="n">
        <x:f>SUM(P115:R115)</x:f>
        <x:v>2</x:v>
      </x:c>
      <x:c r="T115" t="str">
        <x:f>IF(COUNTA(M115:O115)=0,"DerivedFromCount","ManualOverride")</x:f>
        <x:v>DerivedFromCount</x:v>
      </x:c>
      <x:c r="U115" t="str">
        <x:f>IF(COUNTIF(DailyProduction!$Q$5:$Q$100,B115)=1,"OK","CHECK")</x:f>
        <x:v>OK</x:v>
      </x:c>
      <x:c r="V115" t="str">
        <x:f>IF(AND(I115&gt;=1,I115&lt;=13,K115&gt;=1,K115&lt;=3),"OK","CHECK")</x:f>
        <x:v>OK</x:v>
      </x:c>
      <x:c r="W115" t="str">
        <x:f>IF(SUMIF($B$5:$B$914,B115,$S$5:$S$914)=SUMIF(DailyProduction!$Q$5:$Q$100,B115,DailyProduction!$R$5:$R$100),"OK","CHECK")</x:f>
        <x:v>OK</x:v>
      </x:c>
    </x:row>
    <x:row r="116">
      <x:c r="A116" t="str">
        <x:v>PC-PE-KG01-L21-20251024-AM-ORD-2025-00020-S08</x:v>
      </x:c>
      <x:c r="B116" t="str">
        <x:v>PE-KG01-L21-20251024-AM-ORD-2025-00020</x:v>
      </x:c>
      <x:c r="C116" t="str">
        <x:v>KG01</x:v>
      </x:c>
      <x:c r="D116" t="n">
        <x:v>45954</x:v>
      </x:c>
      <x:c r="E116" t="str">
        <x:v>AM</x:v>
      </x:c>
      <x:c r="F116" t="str">
        <x:v>A</x:v>
      </x:c>
      <x:c r="G116" t="n">
        <x:v>21</x:v>
      </x:c>
      <x:c r="H116" t="str">
        <x:v>ORD-2025-00020</x:v>
      </x:c>
      <x:c r="I116" t="n">
        <x:v>8</x:v>
      </x:c>
      <x:c r="J116" t="n">
        <x:v>10</x:v>
      </x:c>
      <x:c r="K116" t="n">
        <x:v>2</x:v>
      </x:c>
      <x:c r="L116" t="n">
        <x:f>IF(I116&lt;=J116,1,0)</x:f>
        <x:v>1</x:v>
      </x:c>
      <x:c r="P116" t="n">
        <x:f>IF(M116="",IF(AND(L116=1,K116&gt;=1),1,0),M116)</x:f>
        <x:v>1</x:v>
      </x:c>
      <x:c r="Q116" t="n">
        <x:f>IF(N116="",IF(AND(L116=1,K116&gt;=2),1,0),N116)</x:f>
        <x:v>1</x:v>
      </x:c>
      <x:c r="R116" t="n">
        <x:f>IF(O116="",IF(AND(L116=1,K116&gt;=3),1,0),O116)</x:f>
        <x:v>0</x:v>
      </x:c>
      <x:c r="S116" t="n">
        <x:f>SUM(P116:R116)</x:f>
        <x:v>2</x:v>
      </x:c>
      <x:c r="T116" t="str">
        <x:f>IF(COUNTA(M116:O116)=0,"DerivedFromCount","ManualOverride")</x:f>
        <x:v>DerivedFromCount</x:v>
      </x:c>
      <x:c r="U116" t="str">
        <x:f>IF(COUNTIF(DailyProduction!$Q$5:$Q$100,B116)=1,"OK","CHECK")</x:f>
        <x:v>OK</x:v>
      </x:c>
      <x:c r="V116" t="str">
        <x:f>IF(AND(I116&gt;=1,I116&lt;=13,K116&gt;=1,K116&lt;=3),"OK","CHECK")</x:f>
        <x:v>OK</x:v>
      </x:c>
      <x:c r="W116" t="str">
        <x:f>IF(SUMIF($B$5:$B$914,B116,$S$5:$S$914)=SUMIF(DailyProduction!$Q$5:$Q$100,B116,DailyProduction!$R$5:$R$100),"OK","CHECK")</x:f>
        <x:v>OK</x:v>
      </x:c>
    </x:row>
    <x:row r="117">
      <x:c r="A117" t="str">
        <x:v>PC-PE-KG01-L21-20251024-AM-ORD-2025-00020-S09</x:v>
      </x:c>
      <x:c r="B117" t="str">
        <x:v>PE-KG01-L21-20251024-AM-ORD-2025-00020</x:v>
      </x:c>
      <x:c r="C117" t="str">
        <x:v>KG01</x:v>
      </x:c>
      <x:c r="D117" t="n">
        <x:v>45954</x:v>
      </x:c>
      <x:c r="E117" t="str">
        <x:v>AM</x:v>
      </x:c>
      <x:c r="F117" t="str">
        <x:v>A</x:v>
      </x:c>
      <x:c r="G117" t="n">
        <x:v>21</x:v>
      </x:c>
      <x:c r="H117" t="str">
        <x:v>ORD-2025-00020</x:v>
      </x:c>
      <x:c r="I117" t="n">
        <x:v>9</x:v>
      </x:c>
      <x:c r="J117" t="n">
        <x:v>10</x:v>
      </x:c>
      <x:c r="K117" t="n">
        <x:v>2</x:v>
      </x:c>
      <x:c r="L117" t="n">
        <x:f>IF(I117&lt;=J117,1,0)</x:f>
        <x:v>1</x:v>
      </x:c>
      <x:c r="P117" t="n">
        <x:f>IF(M117="",IF(AND(L117=1,K117&gt;=1),1,0),M117)</x:f>
        <x:v>1</x:v>
      </x:c>
      <x:c r="Q117" t="n">
        <x:f>IF(N117="",IF(AND(L117=1,K117&gt;=2),1,0),N117)</x:f>
        <x:v>1</x:v>
      </x:c>
      <x:c r="R117" t="n">
        <x:f>IF(O117="",IF(AND(L117=1,K117&gt;=3),1,0),O117)</x:f>
        <x:v>0</x:v>
      </x:c>
      <x:c r="S117" t="n">
        <x:f>SUM(P117:R117)</x:f>
        <x:v>2</x:v>
      </x:c>
      <x:c r="T117" t="str">
        <x:f>IF(COUNTA(M117:O117)=0,"DerivedFromCount","ManualOverride")</x:f>
        <x:v>DerivedFromCount</x:v>
      </x:c>
      <x:c r="U117" t="str">
        <x:f>IF(COUNTIF(DailyProduction!$Q$5:$Q$100,B117)=1,"OK","CHECK")</x:f>
        <x:v>OK</x:v>
      </x:c>
      <x:c r="V117" t="str">
        <x:f>IF(AND(I117&gt;=1,I117&lt;=13,K117&gt;=1,K117&lt;=3),"OK","CHECK")</x:f>
        <x:v>OK</x:v>
      </x:c>
      <x:c r="W117" t="str">
        <x:f>IF(SUMIF($B$5:$B$914,B117,$S$5:$S$914)=SUMIF(DailyProduction!$Q$5:$Q$100,B117,DailyProduction!$R$5:$R$100),"OK","CHECK")</x:f>
        <x:v>OK</x:v>
      </x:c>
    </x:row>
    <x:row r="118">
      <x:c r="A118" t="str">
        <x:v>PC-PE-KG01-L21-20251024-AM-ORD-2025-00020-S10</x:v>
      </x:c>
      <x:c r="B118" t="str">
        <x:v>PE-KG01-L21-20251024-AM-ORD-2025-00020</x:v>
      </x:c>
      <x:c r="C118" t="str">
        <x:v>KG01</x:v>
      </x:c>
      <x:c r="D118" t="n">
        <x:v>45954</x:v>
      </x:c>
      <x:c r="E118" t="str">
        <x:v>AM</x:v>
      </x:c>
      <x:c r="F118" t="str">
        <x:v>A</x:v>
      </x:c>
      <x:c r="G118" t="n">
        <x:v>21</x:v>
      </x:c>
      <x:c r="H118" t="str">
        <x:v>ORD-2025-00020</x:v>
      </x:c>
      <x:c r="I118" t="n">
        <x:v>10</x:v>
      </x:c>
      <x:c r="J118" t="n">
        <x:v>10</x:v>
      </x:c>
      <x:c r="K118" t="n">
        <x:v>2</x:v>
      </x:c>
      <x:c r="L118" t="n">
        <x:f>IF(I118&lt;=J118,1,0)</x:f>
        <x:v>1</x:v>
      </x:c>
      <x:c r="P118" t="n">
        <x:f>IF(M118="",IF(AND(L118=1,K118&gt;=1),1,0),M118)</x:f>
        <x:v>1</x:v>
      </x:c>
      <x:c r="Q118" t="n">
        <x:f>IF(N118="",IF(AND(L118=1,K118&gt;=2),1,0),N118)</x:f>
        <x:v>1</x:v>
      </x:c>
      <x:c r="R118" t="n">
        <x:f>IF(O118="",IF(AND(L118=1,K118&gt;=3),1,0),O118)</x:f>
        <x:v>0</x:v>
      </x:c>
      <x:c r="S118" t="n">
        <x:f>SUM(P118:R118)</x:f>
        <x:v>2</x:v>
      </x:c>
      <x:c r="T118" t="str">
        <x:f>IF(COUNTA(M118:O118)=0,"DerivedFromCount","ManualOverride")</x:f>
        <x:v>DerivedFromCount</x:v>
      </x:c>
      <x:c r="U118" t="str">
        <x:f>IF(COUNTIF(DailyProduction!$Q$5:$Q$100,B118)=1,"OK","CHECK")</x:f>
        <x:v>OK</x:v>
      </x:c>
      <x:c r="V118" t="str">
        <x:f>IF(AND(I118&gt;=1,I118&lt;=13,K118&gt;=1,K118&lt;=3),"OK","CHECK")</x:f>
        <x:v>OK</x:v>
      </x:c>
      <x:c r="W118" t="str">
        <x:f>IF(SUMIF($B$5:$B$914,B118,$S$5:$S$914)=SUMIF(DailyProduction!$Q$5:$Q$100,B118,DailyProduction!$R$5:$R$100),"OK","CHECK")</x:f>
        <x:v>OK</x:v>
      </x:c>
    </x:row>
    <x:row r="119">
      <x:c r="A119" t="str">
        <x:v>PC-PE-KG01-L21-20251024-AM-ORD-2025-00020-S11</x:v>
      </x:c>
      <x:c r="B119" t="str">
        <x:v>PE-KG01-L21-20251024-AM-ORD-2025-00020</x:v>
      </x:c>
      <x:c r="C119" t="str">
        <x:v>KG01</x:v>
      </x:c>
      <x:c r="D119" t="n">
        <x:v>45954</x:v>
      </x:c>
      <x:c r="E119" t="str">
        <x:v>AM</x:v>
      </x:c>
      <x:c r="F119" t="str">
        <x:v>A</x:v>
      </x:c>
      <x:c r="G119" t="n">
        <x:v>21</x:v>
      </x:c>
      <x:c r="H119" t="str">
        <x:v>ORD-2025-00020</x:v>
      </x:c>
      <x:c r="I119" t="n">
        <x:v>11</x:v>
      </x:c>
      <x:c r="J119" t="n">
        <x:v>10</x:v>
      </x:c>
      <x:c r="K119" t="n">
        <x:v>2</x:v>
      </x:c>
      <x:c r="L119" t="n">
        <x:f>IF(I119&lt;=J119,1,0)</x:f>
        <x:v>0</x:v>
      </x:c>
      <x:c r="P119" t="n">
        <x:f>IF(M119="",IF(AND(L119=1,K119&gt;=1),1,0),M119)</x:f>
        <x:v>0</x:v>
      </x:c>
      <x:c r="Q119" t="n">
        <x:f>IF(N119="",IF(AND(L119=1,K119&gt;=2),1,0),N119)</x:f>
        <x:v>0</x:v>
      </x:c>
      <x:c r="R119" t="n">
        <x:f>IF(O119="",IF(AND(L119=1,K119&gt;=3),1,0),O119)</x:f>
        <x:v>0</x:v>
      </x:c>
      <x:c r="S119" t="n">
        <x:f>SUM(P119:R119)</x:f>
        <x:v>0</x:v>
      </x:c>
      <x:c r="T119" t="str">
        <x:f>IF(COUNTA(M119:O119)=0,"DerivedFromCount","ManualOverride")</x:f>
        <x:v>DerivedFromCount</x:v>
      </x:c>
      <x:c r="U119" t="str">
        <x:f>IF(COUNTIF(DailyProduction!$Q$5:$Q$100,B119)=1,"OK","CHECK")</x:f>
        <x:v>OK</x:v>
      </x:c>
      <x:c r="V119" t="str">
        <x:f>IF(AND(I119&gt;=1,I119&lt;=13,K119&gt;=1,K119&lt;=3),"OK","CHECK")</x:f>
        <x:v>OK</x:v>
      </x:c>
      <x:c r="W119" t="str">
        <x:f>IF(SUMIF($B$5:$B$914,B119,$S$5:$S$914)=SUMIF(DailyProduction!$Q$5:$Q$100,B119,DailyProduction!$R$5:$R$100),"OK","CHECK")</x:f>
        <x:v>OK</x:v>
      </x:c>
    </x:row>
    <x:row r="120">
      <x:c r="A120" t="str">
        <x:v>PC-PE-KG01-L21-20251024-AM-ORD-2025-00020-S12</x:v>
      </x:c>
      <x:c r="B120" t="str">
        <x:v>PE-KG01-L21-20251024-AM-ORD-2025-00020</x:v>
      </x:c>
      <x:c r="C120" t="str">
        <x:v>KG01</x:v>
      </x:c>
      <x:c r="D120" t="n">
        <x:v>45954</x:v>
      </x:c>
      <x:c r="E120" t="str">
        <x:v>AM</x:v>
      </x:c>
      <x:c r="F120" t="str">
        <x:v>A</x:v>
      </x:c>
      <x:c r="G120" t="n">
        <x:v>21</x:v>
      </x:c>
      <x:c r="H120" t="str">
        <x:v>ORD-2025-00020</x:v>
      </x:c>
      <x:c r="I120" t="n">
        <x:v>12</x:v>
      </x:c>
      <x:c r="J120" t="n">
        <x:v>10</x:v>
      </x:c>
      <x:c r="K120" t="n">
        <x:v>2</x:v>
      </x:c>
      <x:c r="L120" t="n">
        <x:f>IF(I120&lt;=J120,1,0)</x:f>
        <x:v>0</x:v>
      </x:c>
      <x:c r="P120" t="n">
        <x:f>IF(M120="",IF(AND(L120=1,K120&gt;=1),1,0),M120)</x:f>
        <x:v>0</x:v>
      </x:c>
      <x:c r="Q120" t="n">
        <x:f>IF(N120="",IF(AND(L120=1,K120&gt;=2),1,0),N120)</x:f>
        <x:v>0</x:v>
      </x:c>
      <x:c r="R120" t="n">
        <x:f>IF(O120="",IF(AND(L120=1,K120&gt;=3),1,0),O120)</x:f>
        <x:v>0</x:v>
      </x:c>
      <x:c r="S120" t="n">
        <x:f>SUM(P120:R120)</x:f>
        <x:v>0</x:v>
      </x:c>
      <x:c r="T120" t="str">
        <x:f>IF(COUNTA(M120:O120)=0,"DerivedFromCount","ManualOverride")</x:f>
        <x:v>DerivedFromCount</x:v>
      </x:c>
      <x:c r="U120" t="str">
        <x:f>IF(COUNTIF(DailyProduction!$Q$5:$Q$100,B120)=1,"OK","CHECK")</x:f>
        <x:v>OK</x:v>
      </x:c>
      <x:c r="V120" t="str">
        <x:f>IF(AND(I120&gt;=1,I120&lt;=13,K120&gt;=1,K120&lt;=3),"OK","CHECK")</x:f>
        <x:v>OK</x:v>
      </x:c>
      <x:c r="W120" t="str">
        <x:f>IF(SUMIF($B$5:$B$914,B120,$S$5:$S$914)=SUMIF(DailyProduction!$Q$5:$Q$100,B120,DailyProduction!$R$5:$R$100),"OK","CHECK")</x:f>
        <x:v>OK</x:v>
      </x:c>
    </x:row>
    <x:row r="121">
      <x:c r="A121" t="str">
        <x:v>PC-PE-KG01-L21-20251024-AM-ORD-2025-00020-S13</x:v>
      </x:c>
      <x:c r="B121" t="str">
        <x:v>PE-KG01-L21-20251024-AM-ORD-2025-00020</x:v>
      </x:c>
      <x:c r="C121" t="str">
        <x:v>KG01</x:v>
      </x:c>
      <x:c r="D121" t="n">
        <x:v>45954</x:v>
      </x:c>
      <x:c r="E121" t="str">
        <x:v>AM</x:v>
      </x:c>
      <x:c r="F121" t="str">
        <x:v>A</x:v>
      </x:c>
      <x:c r="G121" t="n">
        <x:v>21</x:v>
      </x:c>
      <x:c r="H121" t="str">
        <x:v>ORD-2025-00020</x:v>
      </x:c>
      <x:c r="I121" t="n">
        <x:v>13</x:v>
      </x:c>
      <x:c r="J121" t="n">
        <x:v>10</x:v>
      </x:c>
      <x:c r="K121" t="n">
        <x:v>2</x:v>
      </x:c>
      <x:c r="L121" t="n">
        <x:f>IF(I121&lt;=J121,1,0)</x:f>
        <x:v>0</x:v>
      </x:c>
      <x:c r="P121" t="n">
        <x:f>IF(M121="",IF(AND(L121=1,K121&gt;=1),1,0),M121)</x:f>
        <x:v>0</x:v>
      </x:c>
      <x:c r="Q121" t="n">
        <x:f>IF(N121="",IF(AND(L121=1,K121&gt;=2),1,0),N121)</x:f>
        <x:v>0</x:v>
      </x:c>
      <x:c r="R121" t="n">
        <x:f>IF(O121="",IF(AND(L121=1,K121&gt;=3),1,0),O121)</x:f>
        <x:v>0</x:v>
      </x:c>
      <x:c r="S121" t="n">
        <x:f>SUM(P121:R121)</x:f>
        <x:v>0</x:v>
      </x:c>
      <x:c r="T121" t="str">
        <x:f>IF(COUNTA(M121:O121)=0,"DerivedFromCount","ManualOverride")</x:f>
        <x:v>DerivedFromCount</x:v>
      </x:c>
      <x:c r="U121" t="str">
        <x:f>IF(COUNTIF(DailyProduction!$Q$5:$Q$100,B121)=1,"OK","CHECK")</x:f>
        <x:v>OK</x:v>
      </x:c>
      <x:c r="V121" t="str">
        <x:f>IF(AND(I121&gt;=1,I121&lt;=13,K121&gt;=1,K121&lt;=3),"OK","CHECK")</x:f>
        <x:v>OK</x:v>
      </x:c>
      <x:c r="W121" t="str">
        <x:f>IF(SUMIF($B$5:$B$914,B121,$S$5:$S$914)=SUMIF(DailyProduction!$Q$5:$Q$100,B121,DailyProduction!$R$5:$R$100),"OK","CHECK")</x:f>
        <x:v>OK</x:v>
      </x:c>
    </x:row>
    <x:row r="122">
      <x:c r="A122" t="str">
        <x:v>PC-PE-KG01-L21-20251024-PM-ORD-2025-00020-S01</x:v>
      </x:c>
      <x:c r="B122" t="str">
        <x:v>PE-KG01-L21-20251024-PM-ORD-2025-00020</x:v>
      </x:c>
      <x:c r="C122" t="str">
        <x:v>KG01</x:v>
      </x:c>
      <x:c r="D122" t="n">
        <x:v>45954</x:v>
      </x:c>
      <x:c r="E122" t="str">
        <x:v>PM</x:v>
      </x:c>
      <x:c r="F122" t="str">
        <x:v>B</x:v>
      </x:c>
      <x:c r="G122" t="n">
        <x:v>21</x:v>
      </x:c>
      <x:c r="H122" t="str">
        <x:v>ORD-2025-00020</x:v>
      </x:c>
      <x:c r="I122" t="n">
        <x:v>1</x:v>
      </x:c>
      <x:c r="J122" t="n">
        <x:v>10</x:v>
      </x:c>
      <x:c r="K122" t="n">
        <x:v>2</x:v>
      </x:c>
      <x:c r="L122" t="n">
        <x:f>IF(I122&lt;=J122,1,0)</x:f>
        <x:v>1</x:v>
      </x:c>
      <x:c r="P122" t="n">
        <x:f>IF(M122="",IF(AND(L122=1,K122&gt;=1),1,0),M122)</x:f>
        <x:v>1</x:v>
      </x:c>
      <x:c r="Q122" t="n">
        <x:f>IF(N122="",IF(AND(L122=1,K122&gt;=2),1,0),N122)</x:f>
        <x:v>1</x:v>
      </x:c>
      <x:c r="R122" t="n">
        <x:f>IF(O122="",IF(AND(L122=1,K122&gt;=3),1,0),O122)</x:f>
        <x:v>0</x:v>
      </x:c>
      <x:c r="S122" t="n">
        <x:f>SUM(P122:R122)</x:f>
        <x:v>2</x:v>
      </x:c>
      <x:c r="T122" t="str">
        <x:f>IF(COUNTA(M122:O122)=0,"DerivedFromCount","ManualOverride")</x:f>
        <x:v>DerivedFromCount</x:v>
      </x:c>
      <x:c r="U122" t="str">
        <x:f>IF(COUNTIF(DailyProduction!$Q$5:$Q$100,B122)=1,"OK","CHECK")</x:f>
        <x:v>OK</x:v>
      </x:c>
      <x:c r="V122" t="str">
        <x:f>IF(AND(I122&gt;=1,I122&lt;=13,K122&gt;=1,K122&lt;=3),"OK","CHECK")</x:f>
        <x:v>OK</x:v>
      </x:c>
      <x:c r="W122" t="str">
        <x:f>IF(SUMIF($B$5:$B$914,B122,$S$5:$S$914)=SUMIF(DailyProduction!$Q$5:$Q$100,B122,DailyProduction!$R$5:$R$100),"OK","CHECK")</x:f>
        <x:v>OK</x:v>
      </x:c>
    </x:row>
    <x:row r="123">
      <x:c r="A123" t="str">
        <x:v>PC-PE-KG01-L21-20251024-PM-ORD-2025-00020-S02</x:v>
      </x:c>
      <x:c r="B123" t="str">
        <x:v>PE-KG01-L21-20251024-PM-ORD-2025-00020</x:v>
      </x:c>
      <x:c r="C123" t="str">
        <x:v>KG01</x:v>
      </x:c>
      <x:c r="D123" t="n">
        <x:v>45954</x:v>
      </x:c>
      <x:c r="E123" t="str">
        <x:v>PM</x:v>
      </x:c>
      <x:c r="F123" t="str">
        <x:v>B</x:v>
      </x:c>
      <x:c r="G123" t="n">
        <x:v>21</x:v>
      </x:c>
      <x:c r="H123" t="str">
        <x:v>ORD-2025-00020</x:v>
      </x:c>
      <x:c r="I123" t="n">
        <x:v>2</x:v>
      </x:c>
      <x:c r="J123" t="n">
        <x:v>10</x:v>
      </x:c>
      <x:c r="K123" t="n">
        <x:v>2</x:v>
      </x:c>
      <x:c r="L123" t="n">
        <x:f>IF(I123&lt;=J123,1,0)</x:f>
        <x:v>1</x:v>
      </x:c>
      <x:c r="P123" t="n">
        <x:f>IF(M123="",IF(AND(L123=1,K123&gt;=1),1,0),M123)</x:f>
        <x:v>1</x:v>
      </x:c>
      <x:c r="Q123" t="n">
        <x:f>IF(N123="",IF(AND(L123=1,K123&gt;=2),1,0),N123)</x:f>
        <x:v>1</x:v>
      </x:c>
      <x:c r="R123" t="n">
        <x:f>IF(O123="",IF(AND(L123=1,K123&gt;=3),1,0),O123)</x:f>
        <x:v>0</x:v>
      </x:c>
      <x:c r="S123" t="n">
        <x:f>SUM(P123:R123)</x:f>
        <x:v>2</x:v>
      </x:c>
      <x:c r="T123" t="str">
        <x:f>IF(COUNTA(M123:O123)=0,"DerivedFromCount","ManualOverride")</x:f>
        <x:v>DerivedFromCount</x:v>
      </x:c>
      <x:c r="U123" t="str">
        <x:f>IF(COUNTIF(DailyProduction!$Q$5:$Q$100,B123)=1,"OK","CHECK")</x:f>
        <x:v>OK</x:v>
      </x:c>
      <x:c r="V123" t="str">
        <x:f>IF(AND(I123&gt;=1,I123&lt;=13,K123&gt;=1,K123&lt;=3),"OK","CHECK")</x:f>
        <x:v>OK</x:v>
      </x:c>
      <x:c r="W123" t="str">
        <x:f>IF(SUMIF($B$5:$B$914,B123,$S$5:$S$914)=SUMIF(DailyProduction!$Q$5:$Q$100,B123,DailyProduction!$R$5:$R$100),"OK","CHECK")</x:f>
        <x:v>OK</x:v>
      </x:c>
    </x:row>
    <x:row r="124">
      <x:c r="A124" t="str">
        <x:v>PC-PE-KG01-L21-20251024-PM-ORD-2025-00020-S03</x:v>
      </x:c>
      <x:c r="B124" t="str">
        <x:v>PE-KG01-L21-20251024-PM-ORD-2025-00020</x:v>
      </x:c>
      <x:c r="C124" t="str">
        <x:v>KG01</x:v>
      </x:c>
      <x:c r="D124" t="n">
        <x:v>45954</x:v>
      </x:c>
      <x:c r="E124" t="str">
        <x:v>PM</x:v>
      </x:c>
      <x:c r="F124" t="str">
        <x:v>B</x:v>
      </x:c>
      <x:c r="G124" t="n">
        <x:v>21</x:v>
      </x:c>
      <x:c r="H124" t="str">
        <x:v>ORD-2025-00020</x:v>
      </x:c>
      <x:c r="I124" t="n">
        <x:v>3</x:v>
      </x:c>
      <x:c r="J124" t="n">
        <x:v>10</x:v>
      </x:c>
      <x:c r="K124" t="n">
        <x:v>2</x:v>
      </x:c>
      <x:c r="L124" t="n">
        <x:f>IF(I124&lt;=J124,1,0)</x:f>
        <x:v>1</x:v>
      </x:c>
      <x:c r="P124" t="n">
        <x:f>IF(M124="",IF(AND(L124=1,K124&gt;=1),1,0),M124)</x:f>
        <x:v>1</x:v>
      </x:c>
      <x:c r="Q124" t="n">
        <x:f>IF(N124="",IF(AND(L124=1,K124&gt;=2),1,0),N124)</x:f>
        <x:v>1</x:v>
      </x:c>
      <x:c r="R124" t="n">
        <x:f>IF(O124="",IF(AND(L124=1,K124&gt;=3),1,0),O124)</x:f>
        <x:v>0</x:v>
      </x:c>
      <x:c r="S124" t="n">
        <x:f>SUM(P124:R124)</x:f>
        <x:v>2</x:v>
      </x:c>
      <x:c r="T124" t="str">
        <x:f>IF(COUNTA(M124:O124)=0,"DerivedFromCount","ManualOverride")</x:f>
        <x:v>DerivedFromCount</x:v>
      </x:c>
      <x:c r="U124" t="str">
        <x:f>IF(COUNTIF(DailyProduction!$Q$5:$Q$100,B124)=1,"OK","CHECK")</x:f>
        <x:v>OK</x:v>
      </x:c>
      <x:c r="V124" t="str">
        <x:f>IF(AND(I124&gt;=1,I124&lt;=13,K124&gt;=1,K124&lt;=3),"OK","CHECK")</x:f>
        <x:v>OK</x:v>
      </x:c>
      <x:c r="W124" t="str">
        <x:f>IF(SUMIF($B$5:$B$914,B124,$S$5:$S$914)=SUMIF(DailyProduction!$Q$5:$Q$100,B124,DailyProduction!$R$5:$R$100),"OK","CHECK")</x:f>
        <x:v>OK</x:v>
      </x:c>
    </x:row>
    <x:row r="125">
      <x:c r="A125" t="str">
        <x:v>PC-PE-KG01-L21-20251024-PM-ORD-2025-00020-S04</x:v>
      </x:c>
      <x:c r="B125" t="str">
        <x:v>PE-KG01-L21-20251024-PM-ORD-2025-00020</x:v>
      </x:c>
      <x:c r="C125" t="str">
        <x:v>KG01</x:v>
      </x:c>
      <x:c r="D125" t="n">
        <x:v>45954</x:v>
      </x:c>
      <x:c r="E125" t="str">
        <x:v>PM</x:v>
      </x:c>
      <x:c r="F125" t="str">
        <x:v>B</x:v>
      </x:c>
      <x:c r="G125" t="n">
        <x:v>21</x:v>
      </x:c>
      <x:c r="H125" t="str">
        <x:v>ORD-2025-00020</x:v>
      </x:c>
      <x:c r="I125" t="n">
        <x:v>4</x:v>
      </x:c>
      <x:c r="J125" t="n">
        <x:v>10</x:v>
      </x:c>
      <x:c r="K125" t="n">
        <x:v>2</x:v>
      </x:c>
      <x:c r="L125" t="n">
        <x:f>IF(I125&lt;=J125,1,0)</x:f>
        <x:v>1</x:v>
      </x:c>
      <x:c r="P125" t="n">
        <x:f>IF(M125="",IF(AND(L125=1,K125&gt;=1),1,0),M125)</x:f>
        <x:v>1</x:v>
      </x:c>
      <x:c r="Q125" t="n">
        <x:f>IF(N125="",IF(AND(L125=1,K125&gt;=2),1,0),N125)</x:f>
        <x:v>1</x:v>
      </x:c>
      <x:c r="R125" t="n">
        <x:f>IF(O125="",IF(AND(L125=1,K125&gt;=3),1,0),O125)</x:f>
        <x:v>0</x:v>
      </x:c>
      <x:c r="S125" t="n">
        <x:f>SUM(P125:R125)</x:f>
        <x:v>2</x:v>
      </x:c>
      <x:c r="T125" t="str">
        <x:f>IF(COUNTA(M125:O125)=0,"DerivedFromCount","ManualOverride")</x:f>
        <x:v>DerivedFromCount</x:v>
      </x:c>
      <x:c r="U125" t="str">
        <x:f>IF(COUNTIF(DailyProduction!$Q$5:$Q$100,B125)=1,"OK","CHECK")</x:f>
        <x:v>OK</x:v>
      </x:c>
      <x:c r="V125" t="str">
        <x:f>IF(AND(I125&gt;=1,I125&lt;=13,K125&gt;=1,K125&lt;=3),"OK","CHECK")</x:f>
        <x:v>OK</x:v>
      </x:c>
      <x:c r="W125" t="str">
        <x:f>IF(SUMIF($B$5:$B$914,B125,$S$5:$S$914)=SUMIF(DailyProduction!$Q$5:$Q$100,B125,DailyProduction!$R$5:$R$100),"OK","CHECK")</x:f>
        <x:v>OK</x:v>
      </x:c>
    </x:row>
    <x:row r="126">
      <x:c r="A126" t="str">
        <x:v>PC-PE-KG01-L21-20251024-PM-ORD-2025-00020-S05</x:v>
      </x:c>
      <x:c r="B126" t="str">
        <x:v>PE-KG01-L21-20251024-PM-ORD-2025-00020</x:v>
      </x:c>
      <x:c r="C126" t="str">
        <x:v>KG01</x:v>
      </x:c>
      <x:c r="D126" t="n">
        <x:v>45954</x:v>
      </x:c>
      <x:c r="E126" t="str">
        <x:v>PM</x:v>
      </x:c>
      <x:c r="F126" t="str">
        <x:v>B</x:v>
      </x:c>
      <x:c r="G126" t="n">
        <x:v>21</x:v>
      </x:c>
      <x:c r="H126" t="str">
        <x:v>ORD-2025-00020</x:v>
      </x:c>
      <x:c r="I126" t="n">
        <x:v>5</x:v>
      </x:c>
      <x:c r="J126" t="n">
        <x:v>10</x:v>
      </x:c>
      <x:c r="K126" t="n">
        <x:v>2</x:v>
      </x:c>
      <x:c r="L126" t="n">
        <x:f>IF(I126&lt;=J126,1,0)</x:f>
        <x:v>1</x:v>
      </x:c>
      <x:c r="P126" t="n">
        <x:f>IF(M126="",IF(AND(L126=1,K126&gt;=1),1,0),M126)</x:f>
        <x:v>1</x:v>
      </x:c>
      <x:c r="Q126" t="n">
        <x:f>IF(N126="",IF(AND(L126=1,K126&gt;=2),1,0),N126)</x:f>
        <x:v>1</x:v>
      </x:c>
      <x:c r="R126" t="n">
        <x:f>IF(O126="",IF(AND(L126=1,K126&gt;=3),1,0),O126)</x:f>
        <x:v>0</x:v>
      </x:c>
      <x:c r="S126" t="n">
        <x:f>SUM(P126:R126)</x:f>
        <x:v>2</x:v>
      </x:c>
      <x:c r="T126" t="str">
        <x:f>IF(COUNTA(M126:O126)=0,"DerivedFromCount","ManualOverride")</x:f>
        <x:v>DerivedFromCount</x:v>
      </x:c>
      <x:c r="U126" t="str">
        <x:f>IF(COUNTIF(DailyProduction!$Q$5:$Q$100,B126)=1,"OK","CHECK")</x:f>
        <x:v>OK</x:v>
      </x:c>
      <x:c r="V126" t="str">
        <x:f>IF(AND(I126&gt;=1,I126&lt;=13,K126&gt;=1,K126&lt;=3),"OK","CHECK")</x:f>
        <x:v>OK</x:v>
      </x:c>
      <x:c r="W126" t="str">
        <x:f>IF(SUMIF($B$5:$B$914,B126,$S$5:$S$914)=SUMIF(DailyProduction!$Q$5:$Q$100,B126,DailyProduction!$R$5:$R$100),"OK","CHECK")</x:f>
        <x:v>OK</x:v>
      </x:c>
    </x:row>
    <x:row r="127">
      <x:c r="A127" t="str">
        <x:v>PC-PE-KG01-L21-20251024-PM-ORD-2025-00020-S06</x:v>
      </x:c>
      <x:c r="B127" t="str">
        <x:v>PE-KG01-L21-20251024-PM-ORD-2025-00020</x:v>
      </x:c>
      <x:c r="C127" t="str">
        <x:v>KG01</x:v>
      </x:c>
      <x:c r="D127" t="n">
        <x:v>45954</x:v>
      </x:c>
      <x:c r="E127" t="str">
        <x:v>PM</x:v>
      </x:c>
      <x:c r="F127" t="str">
        <x:v>B</x:v>
      </x:c>
      <x:c r="G127" t="n">
        <x:v>21</x:v>
      </x:c>
      <x:c r="H127" t="str">
        <x:v>ORD-2025-00020</x:v>
      </x:c>
      <x:c r="I127" t="n">
        <x:v>6</x:v>
      </x:c>
      <x:c r="J127" t="n">
        <x:v>10</x:v>
      </x:c>
      <x:c r="K127" t="n">
        <x:v>2</x:v>
      </x:c>
      <x:c r="L127" t="n">
        <x:f>IF(I127&lt;=J127,1,0)</x:f>
        <x:v>1</x:v>
      </x:c>
      <x:c r="P127" t="n">
        <x:f>IF(M127="",IF(AND(L127=1,K127&gt;=1),1,0),M127)</x:f>
        <x:v>1</x:v>
      </x:c>
      <x:c r="Q127" t="n">
        <x:f>IF(N127="",IF(AND(L127=1,K127&gt;=2),1,0),N127)</x:f>
        <x:v>1</x:v>
      </x:c>
      <x:c r="R127" t="n">
        <x:f>IF(O127="",IF(AND(L127=1,K127&gt;=3),1,0),O127)</x:f>
        <x:v>0</x:v>
      </x:c>
      <x:c r="S127" t="n">
        <x:f>SUM(P127:R127)</x:f>
        <x:v>2</x:v>
      </x:c>
      <x:c r="T127" t="str">
        <x:f>IF(COUNTA(M127:O127)=0,"DerivedFromCount","ManualOverride")</x:f>
        <x:v>DerivedFromCount</x:v>
      </x:c>
      <x:c r="U127" t="str">
        <x:f>IF(COUNTIF(DailyProduction!$Q$5:$Q$100,B127)=1,"OK","CHECK")</x:f>
        <x:v>OK</x:v>
      </x:c>
      <x:c r="V127" t="str">
        <x:f>IF(AND(I127&gt;=1,I127&lt;=13,K127&gt;=1,K127&lt;=3),"OK","CHECK")</x:f>
        <x:v>OK</x:v>
      </x:c>
      <x:c r="W127" t="str">
        <x:f>IF(SUMIF($B$5:$B$914,B127,$S$5:$S$914)=SUMIF(DailyProduction!$Q$5:$Q$100,B127,DailyProduction!$R$5:$R$100),"OK","CHECK")</x:f>
        <x:v>OK</x:v>
      </x:c>
    </x:row>
    <x:row r="128">
      <x:c r="A128" t="str">
        <x:v>PC-PE-KG01-L21-20251024-PM-ORD-2025-00020-S07</x:v>
      </x:c>
      <x:c r="B128" t="str">
        <x:v>PE-KG01-L21-20251024-PM-ORD-2025-00020</x:v>
      </x:c>
      <x:c r="C128" t="str">
        <x:v>KG01</x:v>
      </x:c>
      <x:c r="D128" t="n">
        <x:v>45954</x:v>
      </x:c>
      <x:c r="E128" t="str">
        <x:v>PM</x:v>
      </x:c>
      <x:c r="F128" t="str">
        <x:v>B</x:v>
      </x:c>
      <x:c r="G128" t="n">
        <x:v>21</x:v>
      </x:c>
      <x:c r="H128" t="str">
        <x:v>ORD-2025-00020</x:v>
      </x:c>
      <x:c r="I128" t="n">
        <x:v>7</x:v>
      </x:c>
      <x:c r="J128" t="n">
        <x:v>10</x:v>
      </x:c>
      <x:c r="K128" t="n">
        <x:v>2</x:v>
      </x:c>
      <x:c r="L128" t="n">
        <x:f>IF(I128&lt;=J128,1,0)</x:f>
        <x:v>1</x:v>
      </x:c>
      <x:c r="P128" t="n">
        <x:f>IF(M128="",IF(AND(L128=1,K128&gt;=1),1,0),M128)</x:f>
        <x:v>1</x:v>
      </x:c>
      <x:c r="Q128" t="n">
        <x:f>IF(N128="",IF(AND(L128=1,K128&gt;=2),1,0),N128)</x:f>
        <x:v>1</x:v>
      </x:c>
      <x:c r="R128" t="n">
        <x:f>IF(O128="",IF(AND(L128=1,K128&gt;=3),1,0),O128)</x:f>
        <x:v>0</x:v>
      </x:c>
      <x:c r="S128" t="n">
        <x:f>SUM(P128:R128)</x:f>
        <x:v>2</x:v>
      </x:c>
      <x:c r="T128" t="str">
        <x:f>IF(COUNTA(M128:O128)=0,"DerivedFromCount","ManualOverride")</x:f>
        <x:v>DerivedFromCount</x:v>
      </x:c>
      <x:c r="U128" t="str">
        <x:f>IF(COUNTIF(DailyProduction!$Q$5:$Q$100,B128)=1,"OK","CHECK")</x:f>
        <x:v>OK</x:v>
      </x:c>
      <x:c r="V128" t="str">
        <x:f>IF(AND(I128&gt;=1,I128&lt;=13,K128&gt;=1,K128&lt;=3),"OK","CHECK")</x:f>
        <x:v>OK</x:v>
      </x:c>
      <x:c r="W128" t="str">
        <x:f>IF(SUMIF($B$5:$B$914,B128,$S$5:$S$914)=SUMIF(DailyProduction!$Q$5:$Q$100,B128,DailyProduction!$R$5:$R$100),"OK","CHECK")</x:f>
        <x:v>OK</x:v>
      </x:c>
    </x:row>
    <x:row r="129">
      <x:c r="A129" t="str">
        <x:v>PC-PE-KG01-L21-20251024-PM-ORD-2025-00020-S08</x:v>
      </x:c>
      <x:c r="B129" t="str">
        <x:v>PE-KG01-L21-20251024-PM-ORD-2025-00020</x:v>
      </x:c>
      <x:c r="C129" t="str">
        <x:v>KG01</x:v>
      </x:c>
      <x:c r="D129" t="n">
        <x:v>45954</x:v>
      </x:c>
      <x:c r="E129" t="str">
        <x:v>PM</x:v>
      </x:c>
      <x:c r="F129" t="str">
        <x:v>B</x:v>
      </x:c>
      <x:c r="G129" t="n">
        <x:v>21</x:v>
      </x:c>
      <x:c r="H129" t="str">
        <x:v>ORD-2025-00020</x:v>
      </x:c>
      <x:c r="I129" t="n">
        <x:v>8</x:v>
      </x:c>
      <x:c r="J129" t="n">
        <x:v>10</x:v>
      </x:c>
      <x:c r="K129" t="n">
        <x:v>2</x:v>
      </x:c>
      <x:c r="L129" t="n">
        <x:f>IF(I129&lt;=J129,1,0)</x:f>
        <x:v>1</x:v>
      </x:c>
      <x:c r="P129" t="n">
        <x:f>IF(M129="",IF(AND(L129=1,K129&gt;=1),1,0),M129)</x:f>
        <x:v>1</x:v>
      </x:c>
      <x:c r="Q129" t="n">
        <x:f>IF(N129="",IF(AND(L129=1,K129&gt;=2),1,0),N129)</x:f>
        <x:v>1</x:v>
      </x:c>
      <x:c r="R129" t="n">
        <x:f>IF(O129="",IF(AND(L129=1,K129&gt;=3),1,0),O129)</x:f>
        <x:v>0</x:v>
      </x:c>
      <x:c r="S129" t="n">
        <x:f>SUM(P129:R129)</x:f>
        <x:v>2</x:v>
      </x:c>
      <x:c r="T129" t="str">
        <x:f>IF(COUNTA(M129:O129)=0,"DerivedFromCount","ManualOverride")</x:f>
        <x:v>DerivedFromCount</x:v>
      </x:c>
      <x:c r="U129" t="str">
        <x:f>IF(COUNTIF(DailyProduction!$Q$5:$Q$100,B129)=1,"OK","CHECK")</x:f>
        <x:v>OK</x:v>
      </x:c>
      <x:c r="V129" t="str">
        <x:f>IF(AND(I129&gt;=1,I129&lt;=13,K129&gt;=1,K129&lt;=3),"OK","CHECK")</x:f>
        <x:v>OK</x:v>
      </x:c>
      <x:c r="W129" t="str">
        <x:f>IF(SUMIF($B$5:$B$914,B129,$S$5:$S$914)=SUMIF(DailyProduction!$Q$5:$Q$100,B129,DailyProduction!$R$5:$R$100),"OK","CHECK")</x:f>
        <x:v>OK</x:v>
      </x:c>
    </x:row>
    <x:row r="130">
      <x:c r="A130" t="str">
        <x:v>PC-PE-KG01-L21-20251024-PM-ORD-2025-00020-S09</x:v>
      </x:c>
      <x:c r="B130" t="str">
        <x:v>PE-KG01-L21-20251024-PM-ORD-2025-00020</x:v>
      </x:c>
      <x:c r="C130" t="str">
        <x:v>KG01</x:v>
      </x:c>
      <x:c r="D130" t="n">
        <x:v>45954</x:v>
      </x:c>
      <x:c r="E130" t="str">
        <x:v>PM</x:v>
      </x:c>
      <x:c r="F130" t="str">
        <x:v>B</x:v>
      </x:c>
      <x:c r="G130" t="n">
        <x:v>21</x:v>
      </x:c>
      <x:c r="H130" t="str">
        <x:v>ORD-2025-00020</x:v>
      </x:c>
      <x:c r="I130" t="n">
        <x:v>9</x:v>
      </x:c>
      <x:c r="J130" t="n">
        <x:v>10</x:v>
      </x:c>
      <x:c r="K130" t="n">
        <x:v>2</x:v>
      </x:c>
      <x:c r="L130" t="n">
        <x:f>IF(I130&lt;=J130,1,0)</x:f>
        <x:v>1</x:v>
      </x:c>
      <x:c r="P130" t="n">
        <x:f>IF(M130="",IF(AND(L130=1,K130&gt;=1),1,0),M130)</x:f>
        <x:v>1</x:v>
      </x:c>
      <x:c r="Q130" t="n">
        <x:f>IF(N130="",IF(AND(L130=1,K130&gt;=2),1,0),N130)</x:f>
        <x:v>1</x:v>
      </x:c>
      <x:c r="R130" t="n">
        <x:f>IF(O130="",IF(AND(L130=1,K130&gt;=3),1,0),O130)</x:f>
        <x:v>0</x:v>
      </x:c>
      <x:c r="S130" t="n">
        <x:f>SUM(P130:R130)</x:f>
        <x:v>2</x:v>
      </x:c>
      <x:c r="T130" t="str">
        <x:f>IF(COUNTA(M130:O130)=0,"DerivedFromCount","ManualOverride")</x:f>
        <x:v>DerivedFromCount</x:v>
      </x:c>
      <x:c r="U130" t="str">
        <x:f>IF(COUNTIF(DailyProduction!$Q$5:$Q$100,B130)=1,"OK","CHECK")</x:f>
        <x:v>OK</x:v>
      </x:c>
      <x:c r="V130" t="str">
        <x:f>IF(AND(I130&gt;=1,I130&lt;=13,K130&gt;=1,K130&lt;=3),"OK","CHECK")</x:f>
        <x:v>OK</x:v>
      </x:c>
      <x:c r="W130" t="str">
        <x:f>IF(SUMIF($B$5:$B$914,B130,$S$5:$S$914)=SUMIF(DailyProduction!$Q$5:$Q$100,B130,DailyProduction!$R$5:$R$100),"OK","CHECK")</x:f>
        <x:v>OK</x:v>
      </x:c>
    </x:row>
    <x:row r="131">
      <x:c r="A131" t="str">
        <x:v>PC-PE-KG01-L21-20251024-PM-ORD-2025-00020-S10</x:v>
      </x:c>
      <x:c r="B131" t="str">
        <x:v>PE-KG01-L21-20251024-PM-ORD-2025-00020</x:v>
      </x:c>
      <x:c r="C131" t="str">
        <x:v>KG01</x:v>
      </x:c>
      <x:c r="D131" t="n">
        <x:v>45954</x:v>
      </x:c>
      <x:c r="E131" t="str">
        <x:v>PM</x:v>
      </x:c>
      <x:c r="F131" t="str">
        <x:v>B</x:v>
      </x:c>
      <x:c r="G131" t="n">
        <x:v>21</x:v>
      </x:c>
      <x:c r="H131" t="str">
        <x:v>ORD-2025-00020</x:v>
      </x:c>
      <x:c r="I131" t="n">
        <x:v>10</x:v>
      </x:c>
      <x:c r="J131" t="n">
        <x:v>10</x:v>
      </x:c>
      <x:c r="K131" t="n">
        <x:v>2</x:v>
      </x:c>
      <x:c r="L131" t="n">
        <x:f>IF(I131&lt;=J131,1,0)</x:f>
        <x:v>1</x:v>
      </x:c>
      <x:c r="P131" t="n">
        <x:f>IF(M131="",IF(AND(L131=1,K131&gt;=1),1,0),M131)</x:f>
        <x:v>1</x:v>
      </x:c>
      <x:c r="Q131" t="n">
        <x:f>IF(N131="",IF(AND(L131=1,K131&gt;=2),1,0),N131)</x:f>
        <x:v>1</x:v>
      </x:c>
      <x:c r="R131" t="n">
        <x:f>IF(O131="",IF(AND(L131=1,K131&gt;=3),1,0),O131)</x:f>
        <x:v>0</x:v>
      </x:c>
      <x:c r="S131" t="n">
        <x:f>SUM(P131:R131)</x:f>
        <x:v>2</x:v>
      </x:c>
      <x:c r="T131" t="str">
        <x:f>IF(COUNTA(M131:O131)=0,"DerivedFromCount","ManualOverride")</x:f>
        <x:v>DerivedFromCount</x:v>
      </x:c>
      <x:c r="U131" t="str">
        <x:f>IF(COUNTIF(DailyProduction!$Q$5:$Q$100,B131)=1,"OK","CHECK")</x:f>
        <x:v>OK</x:v>
      </x:c>
      <x:c r="V131" t="str">
        <x:f>IF(AND(I131&gt;=1,I131&lt;=13,K131&gt;=1,K131&lt;=3),"OK","CHECK")</x:f>
        <x:v>OK</x:v>
      </x:c>
      <x:c r="W131" t="str">
        <x:f>IF(SUMIF($B$5:$B$914,B131,$S$5:$S$914)=SUMIF(DailyProduction!$Q$5:$Q$100,B131,DailyProduction!$R$5:$R$100),"OK","CHECK")</x:f>
        <x:v>OK</x:v>
      </x:c>
    </x:row>
    <x:row r="132">
      <x:c r="A132" t="str">
        <x:v>PC-PE-KG01-L21-20251024-PM-ORD-2025-00020-S11</x:v>
      </x:c>
      <x:c r="B132" t="str">
        <x:v>PE-KG01-L21-20251024-PM-ORD-2025-00020</x:v>
      </x:c>
      <x:c r="C132" t="str">
        <x:v>KG01</x:v>
      </x:c>
      <x:c r="D132" t="n">
        <x:v>45954</x:v>
      </x:c>
      <x:c r="E132" t="str">
        <x:v>PM</x:v>
      </x:c>
      <x:c r="F132" t="str">
        <x:v>B</x:v>
      </x:c>
      <x:c r="G132" t="n">
        <x:v>21</x:v>
      </x:c>
      <x:c r="H132" t="str">
        <x:v>ORD-2025-00020</x:v>
      </x:c>
      <x:c r="I132" t="n">
        <x:v>11</x:v>
      </x:c>
      <x:c r="J132" t="n">
        <x:v>10</x:v>
      </x:c>
      <x:c r="K132" t="n">
        <x:v>2</x:v>
      </x:c>
      <x:c r="L132" t="n">
        <x:f>IF(I132&lt;=J132,1,0)</x:f>
        <x:v>0</x:v>
      </x:c>
      <x:c r="P132" t="n">
        <x:f>IF(M132="",IF(AND(L132=1,K132&gt;=1),1,0),M132)</x:f>
        <x:v>0</x:v>
      </x:c>
      <x:c r="Q132" t="n">
        <x:f>IF(N132="",IF(AND(L132=1,K132&gt;=2),1,0),N132)</x:f>
        <x:v>0</x:v>
      </x:c>
      <x:c r="R132" t="n">
        <x:f>IF(O132="",IF(AND(L132=1,K132&gt;=3),1,0),O132)</x:f>
        <x:v>0</x:v>
      </x:c>
      <x:c r="S132" t="n">
        <x:f>SUM(P132:R132)</x:f>
        <x:v>0</x:v>
      </x:c>
      <x:c r="T132" t="str">
        <x:f>IF(COUNTA(M132:O132)=0,"DerivedFromCount","ManualOverride")</x:f>
        <x:v>DerivedFromCount</x:v>
      </x:c>
      <x:c r="U132" t="str">
        <x:f>IF(COUNTIF(DailyProduction!$Q$5:$Q$100,B132)=1,"OK","CHECK")</x:f>
        <x:v>OK</x:v>
      </x:c>
      <x:c r="V132" t="str">
        <x:f>IF(AND(I132&gt;=1,I132&lt;=13,K132&gt;=1,K132&lt;=3),"OK","CHECK")</x:f>
        <x:v>OK</x:v>
      </x:c>
      <x:c r="W132" t="str">
        <x:f>IF(SUMIF($B$5:$B$914,B132,$S$5:$S$914)=SUMIF(DailyProduction!$Q$5:$Q$100,B132,DailyProduction!$R$5:$R$100),"OK","CHECK")</x:f>
        <x:v>OK</x:v>
      </x:c>
    </x:row>
    <x:row r="133">
      <x:c r="A133" t="str">
        <x:v>PC-PE-KG01-L21-20251024-PM-ORD-2025-00020-S12</x:v>
      </x:c>
      <x:c r="B133" t="str">
        <x:v>PE-KG01-L21-20251024-PM-ORD-2025-00020</x:v>
      </x:c>
      <x:c r="C133" t="str">
        <x:v>KG01</x:v>
      </x:c>
      <x:c r="D133" t="n">
        <x:v>45954</x:v>
      </x:c>
      <x:c r="E133" t="str">
        <x:v>PM</x:v>
      </x:c>
      <x:c r="F133" t="str">
        <x:v>B</x:v>
      </x:c>
      <x:c r="G133" t="n">
        <x:v>21</x:v>
      </x:c>
      <x:c r="H133" t="str">
        <x:v>ORD-2025-00020</x:v>
      </x:c>
      <x:c r="I133" t="n">
        <x:v>12</x:v>
      </x:c>
      <x:c r="J133" t="n">
        <x:v>10</x:v>
      </x:c>
      <x:c r="K133" t="n">
        <x:v>2</x:v>
      </x:c>
      <x:c r="L133" t="n">
        <x:f>IF(I133&lt;=J133,1,0)</x:f>
        <x:v>0</x:v>
      </x:c>
      <x:c r="P133" t="n">
        <x:f>IF(M133="",IF(AND(L133=1,K133&gt;=1),1,0),M133)</x:f>
        <x:v>0</x:v>
      </x:c>
      <x:c r="Q133" t="n">
        <x:f>IF(N133="",IF(AND(L133=1,K133&gt;=2),1,0),N133)</x:f>
        <x:v>0</x:v>
      </x:c>
      <x:c r="R133" t="n">
        <x:f>IF(O133="",IF(AND(L133=1,K133&gt;=3),1,0),O133)</x:f>
        <x:v>0</x:v>
      </x:c>
      <x:c r="S133" t="n">
        <x:f>SUM(P133:R133)</x:f>
        <x:v>0</x:v>
      </x:c>
      <x:c r="T133" t="str">
        <x:f>IF(COUNTA(M133:O133)=0,"DerivedFromCount","ManualOverride")</x:f>
        <x:v>DerivedFromCount</x:v>
      </x:c>
      <x:c r="U133" t="str">
        <x:f>IF(COUNTIF(DailyProduction!$Q$5:$Q$100,B133)=1,"OK","CHECK")</x:f>
        <x:v>OK</x:v>
      </x:c>
      <x:c r="V133" t="str">
        <x:f>IF(AND(I133&gt;=1,I133&lt;=13,K133&gt;=1,K133&lt;=3),"OK","CHECK")</x:f>
        <x:v>OK</x:v>
      </x:c>
      <x:c r="W133" t="str">
        <x:f>IF(SUMIF($B$5:$B$914,B133,$S$5:$S$914)=SUMIF(DailyProduction!$Q$5:$Q$100,B133,DailyProduction!$R$5:$R$100),"OK","CHECK")</x:f>
        <x:v>OK</x:v>
      </x:c>
    </x:row>
    <x:row r="134">
      <x:c r="A134" t="str">
        <x:v>PC-PE-KG01-L21-20251024-PM-ORD-2025-00020-S13</x:v>
      </x:c>
      <x:c r="B134" t="str">
        <x:v>PE-KG01-L21-20251024-PM-ORD-2025-00020</x:v>
      </x:c>
      <x:c r="C134" t="str">
        <x:v>KG01</x:v>
      </x:c>
      <x:c r="D134" t="n">
        <x:v>45954</x:v>
      </x:c>
      <x:c r="E134" t="str">
        <x:v>PM</x:v>
      </x:c>
      <x:c r="F134" t="str">
        <x:v>B</x:v>
      </x:c>
      <x:c r="G134" t="n">
        <x:v>21</x:v>
      </x:c>
      <x:c r="H134" t="str">
        <x:v>ORD-2025-00020</x:v>
      </x:c>
      <x:c r="I134" t="n">
        <x:v>13</x:v>
      </x:c>
      <x:c r="J134" t="n">
        <x:v>10</x:v>
      </x:c>
      <x:c r="K134" t="n">
        <x:v>2</x:v>
      </x:c>
      <x:c r="L134" t="n">
        <x:f>IF(I134&lt;=J134,1,0)</x:f>
        <x:v>0</x:v>
      </x:c>
      <x:c r="P134" t="n">
        <x:f>IF(M134="",IF(AND(L134=1,K134&gt;=1),1,0),M134)</x:f>
        <x:v>0</x:v>
      </x:c>
      <x:c r="Q134" t="n">
        <x:f>IF(N134="",IF(AND(L134=1,K134&gt;=2),1,0),N134)</x:f>
        <x:v>0</x:v>
      </x:c>
      <x:c r="R134" t="n">
        <x:f>IF(O134="",IF(AND(L134=1,K134&gt;=3),1,0),O134)</x:f>
        <x:v>0</x:v>
      </x:c>
      <x:c r="S134" t="n">
        <x:f>SUM(P134:R134)</x:f>
        <x:v>0</x:v>
      </x:c>
      <x:c r="T134" t="str">
        <x:f>IF(COUNTA(M134:O134)=0,"DerivedFromCount","ManualOverride")</x:f>
        <x:v>DerivedFromCount</x:v>
      </x:c>
      <x:c r="U134" t="str">
        <x:f>IF(COUNTIF(DailyProduction!$Q$5:$Q$100,B134)=1,"OK","CHECK")</x:f>
        <x:v>OK</x:v>
      </x:c>
      <x:c r="V134" t="str">
        <x:f>IF(AND(I134&gt;=1,I134&lt;=13,K134&gt;=1,K134&lt;=3),"OK","CHECK")</x:f>
        <x:v>OK</x:v>
      </x:c>
      <x:c r="W134" t="str">
        <x:f>IF(SUMIF($B$5:$B$914,B134,$S$5:$S$914)=SUMIF(DailyProduction!$Q$5:$Q$100,B134,DailyProduction!$R$5:$R$100),"OK","CHECK")</x:f>
        <x:v>OK</x:v>
      </x:c>
    </x:row>
    <x:row r="135">
      <x:c r="A135" t="str">
        <x:v>PC-PE-KG01-L21-20251025-AM-ORD-2025-00021-S01</x:v>
      </x:c>
      <x:c r="B135" t="str">
        <x:v>PE-KG01-L21-20251025-AM-ORD-2025-00021</x:v>
      </x:c>
      <x:c r="C135" t="str">
        <x:v>KG01</x:v>
      </x:c>
      <x:c r="D135" t="n">
        <x:v>45955</x:v>
      </x:c>
      <x:c r="E135" t="str">
        <x:v>AM</x:v>
      </x:c>
      <x:c r="F135" t="str">
        <x:v>B</x:v>
      </x:c>
      <x:c r="G135" t="n">
        <x:v>21</x:v>
      </x:c>
      <x:c r="H135" t="str">
        <x:v>ORD-2025-00021</x:v>
      </x:c>
      <x:c r="I135" t="n">
        <x:v>1</x:v>
      </x:c>
      <x:c r="J135" t="n">
        <x:v>10</x:v>
      </x:c>
      <x:c r="K135" t="n">
        <x:v>3</x:v>
      </x:c>
      <x:c r="L135" t="n">
        <x:f>IF(I135&lt;=J135,1,0)</x:f>
        <x:v>1</x:v>
      </x:c>
      <x:c r="P135" t="n">
        <x:f>IF(M135="",IF(AND(L135=1,K135&gt;=1),1,0),M135)</x:f>
        <x:v>1</x:v>
      </x:c>
      <x:c r="Q135" t="n">
        <x:f>IF(N135="",IF(AND(L135=1,K135&gt;=2),1,0),N135)</x:f>
        <x:v>1</x:v>
      </x:c>
      <x:c r="R135" t="n">
        <x:f>IF(O135="",IF(AND(L135=1,K135&gt;=3),1,0),O135)</x:f>
        <x:v>1</x:v>
      </x:c>
      <x:c r="S135" t="n">
        <x:f>SUM(P135:R135)</x:f>
        <x:v>3</x:v>
      </x:c>
      <x:c r="T135" t="str">
        <x:f>IF(COUNTA(M135:O135)=0,"DerivedFromCount","ManualOverride")</x:f>
        <x:v>DerivedFromCount</x:v>
      </x:c>
      <x:c r="U135" t="str">
        <x:f>IF(COUNTIF(DailyProduction!$Q$5:$Q$100,B135)=1,"OK","CHECK")</x:f>
        <x:v>OK</x:v>
      </x:c>
      <x:c r="V135" t="str">
        <x:f>IF(AND(I135&gt;=1,I135&lt;=13,K135&gt;=1,K135&lt;=3),"OK","CHECK")</x:f>
        <x:v>OK</x:v>
      </x:c>
      <x:c r="W135" t="str">
        <x:f>IF(SUMIF($B$5:$B$914,B135,$S$5:$S$914)=SUMIF(DailyProduction!$Q$5:$Q$100,B135,DailyProduction!$R$5:$R$100),"OK","CHECK")</x:f>
        <x:v>OK</x:v>
      </x:c>
    </x:row>
    <x:row r="136">
      <x:c r="A136" t="str">
        <x:v>PC-PE-KG01-L21-20251025-AM-ORD-2025-00021-S02</x:v>
      </x:c>
      <x:c r="B136" t="str">
        <x:v>PE-KG01-L21-20251025-AM-ORD-2025-00021</x:v>
      </x:c>
      <x:c r="C136" t="str">
        <x:v>KG01</x:v>
      </x:c>
      <x:c r="D136" t="n">
        <x:v>45955</x:v>
      </x:c>
      <x:c r="E136" t="str">
        <x:v>AM</x:v>
      </x:c>
      <x:c r="F136" t="str">
        <x:v>B</x:v>
      </x:c>
      <x:c r="G136" t="n">
        <x:v>21</x:v>
      </x:c>
      <x:c r="H136" t="str">
        <x:v>ORD-2025-00021</x:v>
      </x:c>
      <x:c r="I136" t="n">
        <x:v>2</x:v>
      </x:c>
      <x:c r="J136" t="n">
        <x:v>10</x:v>
      </x:c>
      <x:c r="K136" t="n">
        <x:v>3</x:v>
      </x:c>
      <x:c r="L136" t="n">
        <x:f>IF(I136&lt;=J136,1,0)</x:f>
        <x:v>1</x:v>
      </x:c>
      <x:c r="P136" t="n">
        <x:f>IF(M136="",IF(AND(L136=1,K136&gt;=1),1,0),M136)</x:f>
        <x:v>1</x:v>
      </x:c>
      <x:c r="Q136" t="n">
        <x:f>IF(N136="",IF(AND(L136=1,K136&gt;=2),1,0),N136)</x:f>
        <x:v>1</x:v>
      </x:c>
      <x:c r="R136" t="n">
        <x:f>IF(O136="",IF(AND(L136=1,K136&gt;=3),1,0),O136)</x:f>
        <x:v>1</x:v>
      </x:c>
      <x:c r="S136" t="n">
        <x:f>SUM(P136:R136)</x:f>
        <x:v>3</x:v>
      </x:c>
      <x:c r="T136" t="str">
        <x:f>IF(COUNTA(M136:O136)=0,"DerivedFromCount","ManualOverride")</x:f>
        <x:v>DerivedFromCount</x:v>
      </x:c>
      <x:c r="U136" t="str">
        <x:f>IF(COUNTIF(DailyProduction!$Q$5:$Q$100,B136)=1,"OK","CHECK")</x:f>
        <x:v>OK</x:v>
      </x:c>
      <x:c r="V136" t="str">
        <x:f>IF(AND(I136&gt;=1,I136&lt;=13,K136&gt;=1,K136&lt;=3),"OK","CHECK")</x:f>
        <x:v>OK</x:v>
      </x:c>
      <x:c r="W136" t="str">
        <x:f>IF(SUMIF($B$5:$B$914,B136,$S$5:$S$914)=SUMIF(DailyProduction!$Q$5:$Q$100,B136,DailyProduction!$R$5:$R$100),"OK","CHECK")</x:f>
        <x:v>OK</x:v>
      </x:c>
    </x:row>
    <x:row r="137">
      <x:c r="A137" t="str">
        <x:v>PC-PE-KG01-L21-20251025-AM-ORD-2025-00021-S03</x:v>
      </x:c>
      <x:c r="B137" t="str">
        <x:v>PE-KG01-L21-20251025-AM-ORD-2025-00021</x:v>
      </x:c>
      <x:c r="C137" t="str">
        <x:v>KG01</x:v>
      </x:c>
      <x:c r="D137" t="n">
        <x:v>45955</x:v>
      </x:c>
      <x:c r="E137" t="str">
        <x:v>AM</x:v>
      </x:c>
      <x:c r="F137" t="str">
        <x:v>B</x:v>
      </x:c>
      <x:c r="G137" t="n">
        <x:v>21</x:v>
      </x:c>
      <x:c r="H137" t="str">
        <x:v>ORD-2025-00021</x:v>
      </x:c>
      <x:c r="I137" t="n">
        <x:v>3</x:v>
      </x:c>
      <x:c r="J137" t="n">
        <x:v>10</x:v>
      </x:c>
      <x:c r="K137" t="n">
        <x:v>3</x:v>
      </x:c>
      <x:c r="L137" t="n">
        <x:f>IF(I137&lt;=J137,1,0)</x:f>
        <x:v>1</x:v>
      </x:c>
      <x:c r="P137" t="n">
        <x:f>IF(M137="",IF(AND(L137=1,K137&gt;=1),1,0),M137)</x:f>
        <x:v>1</x:v>
      </x:c>
      <x:c r="Q137" t="n">
        <x:f>IF(N137="",IF(AND(L137=1,K137&gt;=2),1,0),N137)</x:f>
        <x:v>1</x:v>
      </x:c>
      <x:c r="R137" t="n">
        <x:f>IF(O137="",IF(AND(L137=1,K137&gt;=3),1,0),O137)</x:f>
        <x:v>1</x:v>
      </x:c>
      <x:c r="S137" t="n">
        <x:f>SUM(P137:R137)</x:f>
        <x:v>3</x:v>
      </x:c>
      <x:c r="T137" t="str">
        <x:f>IF(COUNTA(M137:O137)=0,"DerivedFromCount","ManualOverride")</x:f>
        <x:v>DerivedFromCount</x:v>
      </x:c>
      <x:c r="U137" t="str">
        <x:f>IF(COUNTIF(DailyProduction!$Q$5:$Q$100,B137)=1,"OK","CHECK")</x:f>
        <x:v>OK</x:v>
      </x:c>
      <x:c r="V137" t="str">
        <x:f>IF(AND(I137&gt;=1,I137&lt;=13,K137&gt;=1,K137&lt;=3),"OK","CHECK")</x:f>
        <x:v>OK</x:v>
      </x:c>
      <x:c r="W137" t="str">
        <x:f>IF(SUMIF($B$5:$B$914,B137,$S$5:$S$914)=SUMIF(DailyProduction!$Q$5:$Q$100,B137,DailyProduction!$R$5:$R$100),"OK","CHECK")</x:f>
        <x:v>OK</x:v>
      </x:c>
    </x:row>
    <x:row r="138">
      <x:c r="A138" t="str">
        <x:v>PC-PE-KG01-L21-20251025-AM-ORD-2025-00021-S04</x:v>
      </x:c>
      <x:c r="B138" t="str">
        <x:v>PE-KG01-L21-20251025-AM-ORD-2025-00021</x:v>
      </x:c>
      <x:c r="C138" t="str">
        <x:v>KG01</x:v>
      </x:c>
      <x:c r="D138" t="n">
        <x:v>45955</x:v>
      </x:c>
      <x:c r="E138" t="str">
        <x:v>AM</x:v>
      </x:c>
      <x:c r="F138" t="str">
        <x:v>B</x:v>
      </x:c>
      <x:c r="G138" t="n">
        <x:v>21</x:v>
      </x:c>
      <x:c r="H138" t="str">
        <x:v>ORD-2025-00021</x:v>
      </x:c>
      <x:c r="I138" t="n">
        <x:v>4</x:v>
      </x:c>
      <x:c r="J138" t="n">
        <x:v>10</x:v>
      </x:c>
      <x:c r="K138" t="n">
        <x:v>3</x:v>
      </x:c>
      <x:c r="L138" t="n">
        <x:f>IF(I138&lt;=J138,1,0)</x:f>
        <x:v>1</x:v>
      </x:c>
      <x:c r="P138" t="n">
        <x:f>IF(M138="",IF(AND(L138=1,K138&gt;=1),1,0),M138)</x:f>
        <x:v>1</x:v>
      </x:c>
      <x:c r="Q138" t="n">
        <x:f>IF(N138="",IF(AND(L138=1,K138&gt;=2),1,0),N138)</x:f>
        <x:v>1</x:v>
      </x:c>
      <x:c r="R138" t="n">
        <x:f>IF(O138="",IF(AND(L138=1,K138&gt;=3),1,0),O138)</x:f>
        <x:v>1</x:v>
      </x:c>
      <x:c r="S138" t="n">
        <x:f>SUM(P138:R138)</x:f>
        <x:v>3</x:v>
      </x:c>
      <x:c r="T138" t="str">
        <x:f>IF(COUNTA(M138:O138)=0,"DerivedFromCount","ManualOverride")</x:f>
        <x:v>DerivedFromCount</x:v>
      </x:c>
      <x:c r="U138" t="str">
        <x:f>IF(COUNTIF(DailyProduction!$Q$5:$Q$100,B138)=1,"OK","CHECK")</x:f>
        <x:v>OK</x:v>
      </x:c>
      <x:c r="V138" t="str">
        <x:f>IF(AND(I138&gt;=1,I138&lt;=13,K138&gt;=1,K138&lt;=3),"OK","CHECK")</x:f>
        <x:v>OK</x:v>
      </x:c>
      <x:c r="W138" t="str">
        <x:f>IF(SUMIF($B$5:$B$914,B138,$S$5:$S$914)=SUMIF(DailyProduction!$Q$5:$Q$100,B138,DailyProduction!$R$5:$R$100),"OK","CHECK")</x:f>
        <x:v>OK</x:v>
      </x:c>
    </x:row>
    <x:row r="139">
      <x:c r="A139" t="str">
        <x:v>PC-PE-KG01-L21-20251025-AM-ORD-2025-00021-S05</x:v>
      </x:c>
      <x:c r="B139" t="str">
        <x:v>PE-KG01-L21-20251025-AM-ORD-2025-00021</x:v>
      </x:c>
      <x:c r="C139" t="str">
        <x:v>KG01</x:v>
      </x:c>
      <x:c r="D139" t="n">
        <x:v>45955</x:v>
      </x:c>
      <x:c r="E139" t="str">
        <x:v>AM</x:v>
      </x:c>
      <x:c r="F139" t="str">
        <x:v>B</x:v>
      </x:c>
      <x:c r="G139" t="n">
        <x:v>21</x:v>
      </x:c>
      <x:c r="H139" t="str">
        <x:v>ORD-2025-00021</x:v>
      </x:c>
      <x:c r="I139" t="n">
        <x:v>5</x:v>
      </x:c>
      <x:c r="J139" t="n">
        <x:v>10</x:v>
      </x:c>
      <x:c r="K139" t="n">
        <x:v>3</x:v>
      </x:c>
      <x:c r="L139" t="n">
        <x:f>IF(I139&lt;=J139,1,0)</x:f>
        <x:v>1</x:v>
      </x:c>
      <x:c r="P139" t="n">
        <x:f>IF(M139="",IF(AND(L139=1,K139&gt;=1),1,0),M139)</x:f>
        <x:v>1</x:v>
      </x:c>
      <x:c r="Q139" t="n">
        <x:f>IF(N139="",IF(AND(L139=1,K139&gt;=2),1,0),N139)</x:f>
        <x:v>1</x:v>
      </x:c>
      <x:c r="R139" t="n">
        <x:f>IF(O139="",IF(AND(L139=1,K139&gt;=3),1,0),O139)</x:f>
        <x:v>1</x:v>
      </x:c>
      <x:c r="S139" t="n">
        <x:f>SUM(P139:R139)</x:f>
        <x:v>3</x:v>
      </x:c>
      <x:c r="T139" t="str">
        <x:f>IF(COUNTA(M139:O139)=0,"DerivedFromCount","ManualOverride")</x:f>
        <x:v>DerivedFromCount</x:v>
      </x:c>
      <x:c r="U139" t="str">
        <x:f>IF(COUNTIF(DailyProduction!$Q$5:$Q$100,B139)=1,"OK","CHECK")</x:f>
        <x:v>OK</x:v>
      </x:c>
      <x:c r="V139" t="str">
        <x:f>IF(AND(I139&gt;=1,I139&lt;=13,K139&gt;=1,K139&lt;=3),"OK","CHECK")</x:f>
        <x:v>OK</x:v>
      </x:c>
      <x:c r="W139" t="str">
        <x:f>IF(SUMIF($B$5:$B$914,B139,$S$5:$S$914)=SUMIF(DailyProduction!$Q$5:$Q$100,B139,DailyProduction!$R$5:$R$100),"OK","CHECK")</x:f>
        <x:v>OK</x:v>
      </x:c>
    </x:row>
    <x:row r="140">
      <x:c r="A140" t="str">
        <x:v>PC-PE-KG01-L21-20251025-AM-ORD-2025-00021-S06</x:v>
      </x:c>
      <x:c r="B140" t="str">
        <x:v>PE-KG01-L21-20251025-AM-ORD-2025-00021</x:v>
      </x:c>
      <x:c r="C140" t="str">
        <x:v>KG01</x:v>
      </x:c>
      <x:c r="D140" t="n">
        <x:v>45955</x:v>
      </x:c>
      <x:c r="E140" t="str">
        <x:v>AM</x:v>
      </x:c>
      <x:c r="F140" t="str">
        <x:v>B</x:v>
      </x:c>
      <x:c r="G140" t="n">
        <x:v>21</x:v>
      </x:c>
      <x:c r="H140" t="str">
        <x:v>ORD-2025-00021</x:v>
      </x:c>
      <x:c r="I140" t="n">
        <x:v>6</x:v>
      </x:c>
      <x:c r="J140" t="n">
        <x:v>10</x:v>
      </x:c>
      <x:c r="K140" t="n">
        <x:v>3</x:v>
      </x:c>
      <x:c r="L140" t="n">
        <x:f>IF(I140&lt;=J140,1,0)</x:f>
        <x:v>1</x:v>
      </x:c>
      <x:c r="P140" t="n">
        <x:f>IF(M140="",IF(AND(L140=1,K140&gt;=1),1,0),M140)</x:f>
        <x:v>1</x:v>
      </x:c>
      <x:c r="Q140" t="n">
        <x:f>IF(N140="",IF(AND(L140=1,K140&gt;=2),1,0),N140)</x:f>
        <x:v>1</x:v>
      </x:c>
      <x:c r="R140" t="n">
        <x:f>IF(O140="",IF(AND(L140=1,K140&gt;=3),1,0),O140)</x:f>
        <x:v>1</x:v>
      </x:c>
      <x:c r="S140" t="n">
        <x:f>SUM(P140:R140)</x:f>
        <x:v>3</x:v>
      </x:c>
      <x:c r="T140" t="str">
        <x:f>IF(COUNTA(M140:O140)=0,"DerivedFromCount","ManualOverride")</x:f>
        <x:v>DerivedFromCount</x:v>
      </x:c>
      <x:c r="U140" t="str">
        <x:f>IF(COUNTIF(DailyProduction!$Q$5:$Q$100,B140)=1,"OK","CHECK")</x:f>
        <x:v>OK</x:v>
      </x:c>
      <x:c r="V140" t="str">
        <x:f>IF(AND(I140&gt;=1,I140&lt;=13,K140&gt;=1,K140&lt;=3),"OK","CHECK")</x:f>
        <x:v>OK</x:v>
      </x:c>
      <x:c r="W140" t="str">
        <x:f>IF(SUMIF($B$5:$B$914,B140,$S$5:$S$914)=SUMIF(DailyProduction!$Q$5:$Q$100,B140,DailyProduction!$R$5:$R$100),"OK","CHECK")</x:f>
        <x:v>OK</x:v>
      </x:c>
    </x:row>
    <x:row r="141">
      <x:c r="A141" t="str">
        <x:v>PC-PE-KG01-L21-20251025-AM-ORD-2025-00021-S07</x:v>
      </x:c>
      <x:c r="B141" t="str">
        <x:v>PE-KG01-L21-20251025-AM-ORD-2025-00021</x:v>
      </x:c>
      <x:c r="C141" t="str">
        <x:v>KG01</x:v>
      </x:c>
      <x:c r="D141" t="n">
        <x:v>45955</x:v>
      </x:c>
      <x:c r="E141" t="str">
        <x:v>AM</x:v>
      </x:c>
      <x:c r="F141" t="str">
        <x:v>B</x:v>
      </x:c>
      <x:c r="G141" t="n">
        <x:v>21</x:v>
      </x:c>
      <x:c r="H141" t="str">
        <x:v>ORD-2025-00021</x:v>
      </x:c>
      <x:c r="I141" t="n">
        <x:v>7</x:v>
      </x:c>
      <x:c r="J141" t="n">
        <x:v>10</x:v>
      </x:c>
      <x:c r="K141" t="n">
        <x:v>3</x:v>
      </x:c>
      <x:c r="L141" t="n">
        <x:f>IF(I141&lt;=J141,1,0)</x:f>
        <x:v>1</x:v>
      </x:c>
      <x:c r="P141" t="n">
        <x:f>IF(M141="",IF(AND(L141=1,K141&gt;=1),1,0),M141)</x:f>
        <x:v>1</x:v>
      </x:c>
      <x:c r="Q141" t="n">
        <x:f>IF(N141="",IF(AND(L141=1,K141&gt;=2),1,0),N141)</x:f>
        <x:v>1</x:v>
      </x:c>
      <x:c r="R141" t="n">
        <x:f>IF(O141="",IF(AND(L141=1,K141&gt;=3),1,0),O141)</x:f>
        <x:v>1</x:v>
      </x:c>
      <x:c r="S141" t="n">
        <x:f>SUM(P141:R141)</x:f>
        <x:v>3</x:v>
      </x:c>
      <x:c r="T141" t="str">
        <x:f>IF(COUNTA(M141:O141)=0,"DerivedFromCount","ManualOverride")</x:f>
        <x:v>DerivedFromCount</x:v>
      </x:c>
      <x:c r="U141" t="str">
        <x:f>IF(COUNTIF(DailyProduction!$Q$5:$Q$100,B141)=1,"OK","CHECK")</x:f>
        <x:v>OK</x:v>
      </x:c>
      <x:c r="V141" t="str">
        <x:f>IF(AND(I141&gt;=1,I141&lt;=13,K141&gt;=1,K141&lt;=3),"OK","CHECK")</x:f>
        <x:v>OK</x:v>
      </x:c>
      <x:c r="W141" t="str">
        <x:f>IF(SUMIF($B$5:$B$914,B141,$S$5:$S$914)=SUMIF(DailyProduction!$Q$5:$Q$100,B141,DailyProduction!$R$5:$R$100),"OK","CHECK")</x:f>
        <x:v>OK</x:v>
      </x:c>
    </x:row>
    <x:row r="142">
      <x:c r="A142" t="str">
        <x:v>PC-PE-KG01-L21-20251025-AM-ORD-2025-00021-S08</x:v>
      </x:c>
      <x:c r="B142" t="str">
        <x:v>PE-KG01-L21-20251025-AM-ORD-2025-00021</x:v>
      </x:c>
      <x:c r="C142" t="str">
        <x:v>KG01</x:v>
      </x:c>
      <x:c r="D142" t="n">
        <x:v>45955</x:v>
      </x:c>
      <x:c r="E142" t="str">
        <x:v>AM</x:v>
      </x:c>
      <x:c r="F142" t="str">
        <x:v>B</x:v>
      </x:c>
      <x:c r="G142" t="n">
        <x:v>21</x:v>
      </x:c>
      <x:c r="H142" t="str">
        <x:v>ORD-2025-00021</x:v>
      </x:c>
      <x:c r="I142" t="n">
        <x:v>8</x:v>
      </x:c>
      <x:c r="J142" t="n">
        <x:v>10</x:v>
      </x:c>
      <x:c r="K142" t="n">
        <x:v>3</x:v>
      </x:c>
      <x:c r="L142" t="n">
        <x:f>IF(I142&lt;=J142,1,0)</x:f>
        <x:v>1</x:v>
      </x:c>
      <x:c r="P142" t="n">
        <x:f>IF(M142="",IF(AND(L142=1,K142&gt;=1),1,0),M142)</x:f>
        <x:v>1</x:v>
      </x:c>
      <x:c r="Q142" t="n">
        <x:f>IF(N142="",IF(AND(L142=1,K142&gt;=2),1,0),N142)</x:f>
        <x:v>1</x:v>
      </x:c>
      <x:c r="R142" t="n">
        <x:f>IF(O142="",IF(AND(L142=1,K142&gt;=3),1,0),O142)</x:f>
        <x:v>1</x:v>
      </x:c>
      <x:c r="S142" t="n">
        <x:f>SUM(P142:R142)</x:f>
        <x:v>3</x:v>
      </x:c>
      <x:c r="T142" t="str">
        <x:f>IF(COUNTA(M142:O142)=0,"DerivedFromCount","ManualOverride")</x:f>
        <x:v>DerivedFromCount</x:v>
      </x:c>
      <x:c r="U142" t="str">
        <x:f>IF(COUNTIF(DailyProduction!$Q$5:$Q$100,B142)=1,"OK","CHECK")</x:f>
        <x:v>OK</x:v>
      </x:c>
      <x:c r="V142" t="str">
        <x:f>IF(AND(I142&gt;=1,I142&lt;=13,K142&gt;=1,K142&lt;=3),"OK","CHECK")</x:f>
        <x:v>OK</x:v>
      </x:c>
      <x:c r="W142" t="str">
        <x:f>IF(SUMIF($B$5:$B$914,B142,$S$5:$S$914)=SUMIF(DailyProduction!$Q$5:$Q$100,B142,DailyProduction!$R$5:$R$100),"OK","CHECK")</x:f>
        <x:v>OK</x:v>
      </x:c>
    </x:row>
    <x:row r="143">
      <x:c r="A143" t="str">
        <x:v>PC-PE-KG01-L21-20251025-AM-ORD-2025-00021-S09</x:v>
      </x:c>
      <x:c r="B143" t="str">
        <x:v>PE-KG01-L21-20251025-AM-ORD-2025-00021</x:v>
      </x:c>
      <x:c r="C143" t="str">
        <x:v>KG01</x:v>
      </x:c>
      <x:c r="D143" t="n">
        <x:v>45955</x:v>
      </x:c>
      <x:c r="E143" t="str">
        <x:v>AM</x:v>
      </x:c>
      <x:c r="F143" t="str">
        <x:v>B</x:v>
      </x:c>
      <x:c r="G143" t="n">
        <x:v>21</x:v>
      </x:c>
      <x:c r="H143" t="str">
        <x:v>ORD-2025-00021</x:v>
      </x:c>
      <x:c r="I143" t="n">
        <x:v>9</x:v>
      </x:c>
      <x:c r="J143" t="n">
        <x:v>10</x:v>
      </x:c>
      <x:c r="K143" t="n">
        <x:v>3</x:v>
      </x:c>
      <x:c r="L143" t="n">
        <x:f>IF(I143&lt;=J143,1,0)</x:f>
        <x:v>1</x:v>
      </x:c>
      <x:c r="P143" t="n">
        <x:f>IF(M143="",IF(AND(L143=1,K143&gt;=1),1,0),M143)</x:f>
        <x:v>1</x:v>
      </x:c>
      <x:c r="Q143" t="n">
        <x:f>IF(N143="",IF(AND(L143=1,K143&gt;=2),1,0),N143)</x:f>
        <x:v>1</x:v>
      </x:c>
      <x:c r="R143" t="n">
        <x:f>IF(O143="",IF(AND(L143=1,K143&gt;=3),1,0),O143)</x:f>
        <x:v>1</x:v>
      </x:c>
      <x:c r="S143" t="n">
        <x:f>SUM(P143:R143)</x:f>
        <x:v>3</x:v>
      </x:c>
      <x:c r="T143" t="str">
        <x:f>IF(COUNTA(M143:O143)=0,"DerivedFromCount","ManualOverride")</x:f>
        <x:v>DerivedFromCount</x:v>
      </x:c>
      <x:c r="U143" t="str">
        <x:f>IF(COUNTIF(DailyProduction!$Q$5:$Q$100,B143)=1,"OK","CHECK")</x:f>
        <x:v>OK</x:v>
      </x:c>
      <x:c r="V143" t="str">
        <x:f>IF(AND(I143&gt;=1,I143&lt;=13,K143&gt;=1,K143&lt;=3),"OK","CHECK")</x:f>
        <x:v>OK</x:v>
      </x:c>
      <x:c r="W143" t="str">
        <x:f>IF(SUMIF($B$5:$B$914,B143,$S$5:$S$914)=SUMIF(DailyProduction!$Q$5:$Q$100,B143,DailyProduction!$R$5:$R$100),"OK","CHECK")</x:f>
        <x:v>OK</x:v>
      </x:c>
    </x:row>
    <x:row r="144">
      <x:c r="A144" t="str">
        <x:v>PC-PE-KG01-L21-20251025-AM-ORD-2025-00021-S10</x:v>
      </x:c>
      <x:c r="B144" t="str">
        <x:v>PE-KG01-L21-20251025-AM-ORD-2025-00021</x:v>
      </x:c>
      <x:c r="C144" t="str">
        <x:v>KG01</x:v>
      </x:c>
      <x:c r="D144" t="n">
        <x:v>45955</x:v>
      </x:c>
      <x:c r="E144" t="str">
        <x:v>AM</x:v>
      </x:c>
      <x:c r="F144" t="str">
        <x:v>B</x:v>
      </x:c>
      <x:c r="G144" t="n">
        <x:v>21</x:v>
      </x:c>
      <x:c r="H144" t="str">
        <x:v>ORD-2025-00021</x:v>
      </x:c>
      <x:c r="I144" t="n">
        <x:v>10</x:v>
      </x:c>
      <x:c r="J144" t="n">
        <x:v>10</x:v>
      </x:c>
      <x:c r="K144" t="n">
        <x:v>3</x:v>
      </x:c>
      <x:c r="L144" t="n">
        <x:f>IF(I144&lt;=J144,1,0)</x:f>
        <x:v>1</x:v>
      </x:c>
      <x:c r="P144" t="n">
        <x:f>IF(M144="",IF(AND(L144=1,K144&gt;=1),1,0),M144)</x:f>
        <x:v>1</x:v>
      </x:c>
      <x:c r="Q144" t="n">
        <x:f>IF(N144="",IF(AND(L144=1,K144&gt;=2),1,0),N144)</x:f>
        <x:v>1</x:v>
      </x:c>
      <x:c r="R144" t="n">
        <x:f>IF(O144="",IF(AND(L144=1,K144&gt;=3),1,0),O144)</x:f>
        <x:v>1</x:v>
      </x:c>
      <x:c r="S144" t="n">
        <x:f>SUM(P144:R144)</x:f>
        <x:v>3</x:v>
      </x:c>
      <x:c r="T144" t="str">
        <x:f>IF(COUNTA(M144:O144)=0,"DerivedFromCount","ManualOverride")</x:f>
        <x:v>DerivedFromCount</x:v>
      </x:c>
      <x:c r="U144" t="str">
        <x:f>IF(COUNTIF(DailyProduction!$Q$5:$Q$100,B144)=1,"OK","CHECK")</x:f>
        <x:v>OK</x:v>
      </x:c>
      <x:c r="V144" t="str">
        <x:f>IF(AND(I144&gt;=1,I144&lt;=13,K144&gt;=1,K144&lt;=3),"OK","CHECK")</x:f>
        <x:v>OK</x:v>
      </x:c>
      <x:c r="W144" t="str">
        <x:f>IF(SUMIF($B$5:$B$914,B144,$S$5:$S$914)=SUMIF(DailyProduction!$Q$5:$Q$100,B144,DailyProduction!$R$5:$R$100),"OK","CHECK")</x:f>
        <x:v>OK</x:v>
      </x:c>
    </x:row>
    <x:row r="145">
      <x:c r="A145" t="str">
        <x:v>PC-PE-KG01-L21-20251025-AM-ORD-2025-00021-S11</x:v>
      </x:c>
      <x:c r="B145" t="str">
        <x:v>PE-KG01-L21-20251025-AM-ORD-2025-00021</x:v>
      </x:c>
      <x:c r="C145" t="str">
        <x:v>KG01</x:v>
      </x:c>
      <x:c r="D145" t="n">
        <x:v>45955</x:v>
      </x:c>
      <x:c r="E145" t="str">
        <x:v>AM</x:v>
      </x:c>
      <x:c r="F145" t="str">
        <x:v>B</x:v>
      </x:c>
      <x:c r="G145" t="n">
        <x:v>21</x:v>
      </x:c>
      <x:c r="H145" t="str">
        <x:v>ORD-2025-00021</x:v>
      </x:c>
      <x:c r="I145" t="n">
        <x:v>11</x:v>
      </x:c>
      <x:c r="J145" t="n">
        <x:v>10</x:v>
      </x:c>
      <x:c r="K145" t="n">
        <x:v>3</x:v>
      </x:c>
      <x:c r="L145" t="n">
        <x:f>IF(I145&lt;=J145,1,0)</x:f>
        <x:v>0</x:v>
      </x:c>
      <x:c r="P145" t="n">
        <x:f>IF(M145="",IF(AND(L145=1,K145&gt;=1),1,0),M145)</x:f>
        <x:v>0</x:v>
      </x:c>
      <x:c r="Q145" t="n">
        <x:f>IF(N145="",IF(AND(L145=1,K145&gt;=2),1,0),N145)</x:f>
        <x:v>0</x:v>
      </x:c>
      <x:c r="R145" t="n">
        <x:f>IF(O145="",IF(AND(L145=1,K145&gt;=3),1,0),O145)</x:f>
        <x:v>0</x:v>
      </x:c>
      <x:c r="S145" t="n">
        <x:f>SUM(P145:R145)</x:f>
        <x:v>0</x:v>
      </x:c>
      <x:c r="T145" t="str">
        <x:f>IF(COUNTA(M145:O145)=0,"DerivedFromCount","ManualOverride")</x:f>
        <x:v>DerivedFromCount</x:v>
      </x:c>
      <x:c r="U145" t="str">
        <x:f>IF(COUNTIF(DailyProduction!$Q$5:$Q$100,B145)=1,"OK","CHECK")</x:f>
        <x:v>OK</x:v>
      </x:c>
      <x:c r="V145" t="str">
        <x:f>IF(AND(I145&gt;=1,I145&lt;=13,K145&gt;=1,K145&lt;=3),"OK","CHECK")</x:f>
        <x:v>OK</x:v>
      </x:c>
      <x:c r="W145" t="str">
        <x:f>IF(SUMIF($B$5:$B$914,B145,$S$5:$S$914)=SUMIF(DailyProduction!$Q$5:$Q$100,B145,DailyProduction!$R$5:$R$100),"OK","CHECK")</x:f>
        <x:v>OK</x:v>
      </x:c>
    </x:row>
    <x:row r="146">
      <x:c r="A146" t="str">
        <x:v>PC-PE-KG01-L21-20251025-AM-ORD-2025-00021-S12</x:v>
      </x:c>
      <x:c r="B146" t="str">
        <x:v>PE-KG01-L21-20251025-AM-ORD-2025-00021</x:v>
      </x:c>
      <x:c r="C146" t="str">
        <x:v>KG01</x:v>
      </x:c>
      <x:c r="D146" t="n">
        <x:v>45955</x:v>
      </x:c>
      <x:c r="E146" t="str">
        <x:v>AM</x:v>
      </x:c>
      <x:c r="F146" t="str">
        <x:v>B</x:v>
      </x:c>
      <x:c r="G146" t="n">
        <x:v>21</x:v>
      </x:c>
      <x:c r="H146" t="str">
        <x:v>ORD-2025-00021</x:v>
      </x:c>
      <x:c r="I146" t="n">
        <x:v>12</x:v>
      </x:c>
      <x:c r="J146" t="n">
        <x:v>10</x:v>
      </x:c>
      <x:c r="K146" t="n">
        <x:v>3</x:v>
      </x:c>
      <x:c r="L146" t="n">
        <x:f>IF(I146&lt;=J146,1,0)</x:f>
        <x:v>0</x:v>
      </x:c>
      <x:c r="P146" t="n">
        <x:f>IF(M146="",IF(AND(L146=1,K146&gt;=1),1,0),M146)</x:f>
        <x:v>0</x:v>
      </x:c>
      <x:c r="Q146" t="n">
        <x:f>IF(N146="",IF(AND(L146=1,K146&gt;=2),1,0),N146)</x:f>
        <x:v>0</x:v>
      </x:c>
      <x:c r="R146" t="n">
        <x:f>IF(O146="",IF(AND(L146=1,K146&gt;=3),1,0),O146)</x:f>
        <x:v>0</x:v>
      </x:c>
      <x:c r="S146" t="n">
        <x:f>SUM(P146:R146)</x:f>
        <x:v>0</x:v>
      </x:c>
      <x:c r="T146" t="str">
        <x:f>IF(COUNTA(M146:O146)=0,"DerivedFromCount","ManualOverride")</x:f>
        <x:v>DerivedFromCount</x:v>
      </x:c>
      <x:c r="U146" t="str">
        <x:f>IF(COUNTIF(DailyProduction!$Q$5:$Q$100,B146)=1,"OK","CHECK")</x:f>
        <x:v>OK</x:v>
      </x:c>
      <x:c r="V146" t="str">
        <x:f>IF(AND(I146&gt;=1,I146&lt;=13,K146&gt;=1,K146&lt;=3),"OK","CHECK")</x:f>
        <x:v>OK</x:v>
      </x:c>
      <x:c r="W146" t="str">
        <x:f>IF(SUMIF($B$5:$B$914,B146,$S$5:$S$914)=SUMIF(DailyProduction!$Q$5:$Q$100,B146,DailyProduction!$R$5:$R$100),"OK","CHECK")</x:f>
        <x:v>OK</x:v>
      </x:c>
    </x:row>
    <x:row r="147">
      <x:c r="A147" t="str">
        <x:v>PC-PE-KG01-L21-20251025-AM-ORD-2025-00021-S13</x:v>
      </x:c>
      <x:c r="B147" t="str">
        <x:v>PE-KG01-L21-20251025-AM-ORD-2025-00021</x:v>
      </x:c>
      <x:c r="C147" t="str">
        <x:v>KG01</x:v>
      </x:c>
      <x:c r="D147" t="n">
        <x:v>45955</x:v>
      </x:c>
      <x:c r="E147" t="str">
        <x:v>AM</x:v>
      </x:c>
      <x:c r="F147" t="str">
        <x:v>B</x:v>
      </x:c>
      <x:c r="G147" t="n">
        <x:v>21</x:v>
      </x:c>
      <x:c r="H147" t="str">
        <x:v>ORD-2025-00021</x:v>
      </x:c>
      <x:c r="I147" t="n">
        <x:v>13</x:v>
      </x:c>
      <x:c r="J147" t="n">
        <x:v>10</x:v>
      </x:c>
      <x:c r="K147" t="n">
        <x:v>3</x:v>
      </x:c>
      <x:c r="L147" t="n">
        <x:f>IF(I147&lt;=J147,1,0)</x:f>
        <x:v>0</x:v>
      </x:c>
      <x:c r="P147" t="n">
        <x:f>IF(M147="",IF(AND(L147=1,K147&gt;=1),1,0),M147)</x:f>
        <x:v>0</x:v>
      </x:c>
      <x:c r="Q147" t="n">
        <x:f>IF(N147="",IF(AND(L147=1,K147&gt;=2),1,0),N147)</x:f>
        <x:v>0</x:v>
      </x:c>
      <x:c r="R147" t="n">
        <x:f>IF(O147="",IF(AND(L147=1,K147&gt;=3),1,0),O147)</x:f>
        <x:v>0</x:v>
      </x:c>
      <x:c r="S147" t="n">
        <x:f>SUM(P147:R147)</x:f>
        <x:v>0</x:v>
      </x:c>
      <x:c r="T147" t="str">
        <x:f>IF(COUNTA(M147:O147)=0,"DerivedFromCount","ManualOverride")</x:f>
        <x:v>DerivedFromCount</x:v>
      </x:c>
      <x:c r="U147" t="str">
        <x:f>IF(COUNTIF(DailyProduction!$Q$5:$Q$100,B147)=1,"OK","CHECK")</x:f>
        <x:v>OK</x:v>
      </x:c>
      <x:c r="V147" t="str">
        <x:f>IF(AND(I147&gt;=1,I147&lt;=13,K147&gt;=1,K147&lt;=3),"OK","CHECK")</x:f>
        <x:v>OK</x:v>
      </x:c>
      <x:c r="W147" t="str">
        <x:f>IF(SUMIF($B$5:$B$914,B147,$S$5:$S$914)=SUMIF(DailyProduction!$Q$5:$Q$100,B147,DailyProduction!$R$5:$R$100),"OK","CHECK")</x:f>
        <x:v>OK</x:v>
      </x:c>
    </x:row>
    <x:row r="148">
      <x:c r="A148" t="str">
        <x:v>PC-PE-KG01-L21-20251025-PM-ORD-2025-00021-S01</x:v>
      </x:c>
      <x:c r="B148" t="str">
        <x:v>PE-KG01-L21-20251025-PM-ORD-2025-00021</x:v>
      </x:c>
      <x:c r="C148" t="str">
        <x:v>KG01</x:v>
      </x:c>
      <x:c r="D148" t="n">
        <x:v>45955</x:v>
      </x:c>
      <x:c r="E148" t="str">
        <x:v>PM</x:v>
      </x:c>
      <x:c r="F148" t="str">
        <x:v>C</x:v>
      </x:c>
      <x:c r="G148" t="n">
        <x:v>21</x:v>
      </x:c>
      <x:c r="H148" t="str">
        <x:v>ORD-2025-00021</x:v>
      </x:c>
      <x:c r="I148" t="n">
        <x:v>1</x:v>
      </x:c>
      <x:c r="J148" t="n">
        <x:v>10</x:v>
      </x:c>
      <x:c r="K148" t="n">
        <x:v>3</x:v>
      </x:c>
      <x:c r="L148" t="n">
        <x:f>IF(I148&lt;=J148,1,0)</x:f>
        <x:v>1</x:v>
      </x:c>
      <x:c r="P148" t="n">
        <x:f>IF(M148="",IF(AND(L148=1,K148&gt;=1),1,0),M148)</x:f>
        <x:v>1</x:v>
      </x:c>
      <x:c r="Q148" t="n">
        <x:f>IF(N148="",IF(AND(L148=1,K148&gt;=2),1,0),N148)</x:f>
        <x:v>1</x:v>
      </x:c>
      <x:c r="R148" t="n">
        <x:f>IF(O148="",IF(AND(L148=1,K148&gt;=3),1,0),O148)</x:f>
        <x:v>1</x:v>
      </x:c>
      <x:c r="S148" t="n">
        <x:f>SUM(P148:R148)</x:f>
        <x:v>3</x:v>
      </x:c>
      <x:c r="T148" t="str">
        <x:f>IF(COUNTA(M148:O148)=0,"DerivedFromCount","ManualOverride")</x:f>
        <x:v>DerivedFromCount</x:v>
      </x:c>
      <x:c r="U148" t="str">
        <x:f>IF(COUNTIF(DailyProduction!$Q$5:$Q$100,B148)=1,"OK","CHECK")</x:f>
        <x:v>OK</x:v>
      </x:c>
      <x:c r="V148" t="str">
        <x:f>IF(AND(I148&gt;=1,I148&lt;=13,K148&gt;=1,K148&lt;=3),"OK","CHECK")</x:f>
        <x:v>OK</x:v>
      </x:c>
      <x:c r="W148" t="str">
        <x:f>IF(SUMIF($B$5:$B$914,B148,$S$5:$S$914)=SUMIF(DailyProduction!$Q$5:$Q$100,B148,DailyProduction!$R$5:$R$100),"OK","CHECK")</x:f>
        <x:v>OK</x:v>
      </x:c>
    </x:row>
    <x:row r="149">
      <x:c r="A149" t="str">
        <x:v>PC-PE-KG01-L21-20251025-PM-ORD-2025-00021-S02</x:v>
      </x:c>
      <x:c r="B149" t="str">
        <x:v>PE-KG01-L21-20251025-PM-ORD-2025-00021</x:v>
      </x:c>
      <x:c r="C149" t="str">
        <x:v>KG01</x:v>
      </x:c>
      <x:c r="D149" t="n">
        <x:v>45955</x:v>
      </x:c>
      <x:c r="E149" t="str">
        <x:v>PM</x:v>
      </x:c>
      <x:c r="F149" t="str">
        <x:v>C</x:v>
      </x:c>
      <x:c r="G149" t="n">
        <x:v>21</x:v>
      </x:c>
      <x:c r="H149" t="str">
        <x:v>ORD-2025-00021</x:v>
      </x:c>
      <x:c r="I149" t="n">
        <x:v>2</x:v>
      </x:c>
      <x:c r="J149" t="n">
        <x:v>10</x:v>
      </x:c>
      <x:c r="K149" t="n">
        <x:v>3</x:v>
      </x:c>
      <x:c r="L149" t="n">
        <x:f>IF(I149&lt;=J149,1,0)</x:f>
        <x:v>1</x:v>
      </x:c>
      <x:c r="P149" t="n">
        <x:f>IF(M149="",IF(AND(L149=1,K149&gt;=1),1,0),M149)</x:f>
        <x:v>1</x:v>
      </x:c>
      <x:c r="Q149" t="n">
        <x:f>IF(N149="",IF(AND(L149=1,K149&gt;=2),1,0),N149)</x:f>
        <x:v>1</x:v>
      </x:c>
      <x:c r="R149" t="n">
        <x:f>IF(O149="",IF(AND(L149=1,K149&gt;=3),1,0),O149)</x:f>
        <x:v>1</x:v>
      </x:c>
      <x:c r="S149" t="n">
        <x:f>SUM(P149:R149)</x:f>
        <x:v>3</x:v>
      </x:c>
      <x:c r="T149" t="str">
        <x:f>IF(COUNTA(M149:O149)=0,"DerivedFromCount","ManualOverride")</x:f>
        <x:v>DerivedFromCount</x:v>
      </x:c>
      <x:c r="U149" t="str">
        <x:f>IF(COUNTIF(DailyProduction!$Q$5:$Q$100,B149)=1,"OK","CHECK")</x:f>
        <x:v>OK</x:v>
      </x:c>
      <x:c r="V149" t="str">
        <x:f>IF(AND(I149&gt;=1,I149&lt;=13,K149&gt;=1,K149&lt;=3),"OK","CHECK")</x:f>
        <x:v>OK</x:v>
      </x:c>
      <x:c r="W149" t="str">
        <x:f>IF(SUMIF($B$5:$B$914,B149,$S$5:$S$914)=SUMIF(DailyProduction!$Q$5:$Q$100,B149,DailyProduction!$R$5:$R$100),"OK","CHECK")</x:f>
        <x:v>OK</x:v>
      </x:c>
    </x:row>
    <x:row r="150">
      <x:c r="A150" t="str">
        <x:v>PC-PE-KG01-L21-20251025-PM-ORD-2025-00021-S03</x:v>
      </x:c>
      <x:c r="B150" t="str">
        <x:v>PE-KG01-L21-20251025-PM-ORD-2025-00021</x:v>
      </x:c>
      <x:c r="C150" t="str">
        <x:v>KG01</x:v>
      </x:c>
      <x:c r="D150" t="n">
        <x:v>45955</x:v>
      </x:c>
      <x:c r="E150" t="str">
        <x:v>PM</x:v>
      </x:c>
      <x:c r="F150" t="str">
        <x:v>C</x:v>
      </x:c>
      <x:c r="G150" t="n">
        <x:v>21</x:v>
      </x:c>
      <x:c r="H150" t="str">
        <x:v>ORD-2025-00021</x:v>
      </x:c>
      <x:c r="I150" t="n">
        <x:v>3</x:v>
      </x:c>
      <x:c r="J150" t="n">
        <x:v>10</x:v>
      </x:c>
      <x:c r="K150" t="n">
        <x:v>3</x:v>
      </x:c>
      <x:c r="L150" t="n">
        <x:f>IF(I150&lt;=J150,1,0)</x:f>
        <x:v>1</x:v>
      </x:c>
      <x:c r="P150" t="n">
        <x:f>IF(M150="",IF(AND(L150=1,K150&gt;=1),1,0),M150)</x:f>
        <x:v>1</x:v>
      </x:c>
      <x:c r="Q150" t="n">
        <x:f>IF(N150="",IF(AND(L150=1,K150&gt;=2),1,0),N150)</x:f>
        <x:v>1</x:v>
      </x:c>
      <x:c r="R150" t="n">
        <x:f>IF(O150="",IF(AND(L150=1,K150&gt;=3),1,0),O150)</x:f>
        <x:v>1</x:v>
      </x:c>
      <x:c r="S150" t="n">
        <x:f>SUM(P150:R150)</x:f>
        <x:v>3</x:v>
      </x:c>
      <x:c r="T150" t="str">
        <x:f>IF(COUNTA(M150:O150)=0,"DerivedFromCount","ManualOverride")</x:f>
        <x:v>DerivedFromCount</x:v>
      </x:c>
      <x:c r="U150" t="str">
        <x:f>IF(COUNTIF(DailyProduction!$Q$5:$Q$100,B150)=1,"OK","CHECK")</x:f>
        <x:v>OK</x:v>
      </x:c>
      <x:c r="V150" t="str">
        <x:f>IF(AND(I150&gt;=1,I150&lt;=13,K150&gt;=1,K150&lt;=3),"OK","CHECK")</x:f>
        <x:v>OK</x:v>
      </x:c>
      <x:c r="W150" t="str">
        <x:f>IF(SUMIF($B$5:$B$914,B150,$S$5:$S$914)=SUMIF(DailyProduction!$Q$5:$Q$100,B150,DailyProduction!$R$5:$R$100),"OK","CHECK")</x:f>
        <x:v>OK</x:v>
      </x:c>
    </x:row>
    <x:row r="151">
      <x:c r="A151" t="str">
        <x:v>PC-PE-KG01-L21-20251025-PM-ORD-2025-00021-S04</x:v>
      </x:c>
      <x:c r="B151" t="str">
        <x:v>PE-KG01-L21-20251025-PM-ORD-2025-00021</x:v>
      </x:c>
      <x:c r="C151" t="str">
        <x:v>KG01</x:v>
      </x:c>
      <x:c r="D151" t="n">
        <x:v>45955</x:v>
      </x:c>
      <x:c r="E151" t="str">
        <x:v>PM</x:v>
      </x:c>
      <x:c r="F151" t="str">
        <x:v>C</x:v>
      </x:c>
      <x:c r="G151" t="n">
        <x:v>21</x:v>
      </x:c>
      <x:c r="H151" t="str">
        <x:v>ORD-2025-00021</x:v>
      </x:c>
      <x:c r="I151" t="n">
        <x:v>4</x:v>
      </x:c>
      <x:c r="J151" t="n">
        <x:v>10</x:v>
      </x:c>
      <x:c r="K151" t="n">
        <x:v>3</x:v>
      </x:c>
      <x:c r="L151" t="n">
        <x:f>IF(I151&lt;=J151,1,0)</x:f>
        <x:v>1</x:v>
      </x:c>
      <x:c r="P151" t="n">
        <x:f>IF(M151="",IF(AND(L151=1,K151&gt;=1),1,0),M151)</x:f>
        <x:v>1</x:v>
      </x:c>
      <x:c r="Q151" t="n">
        <x:f>IF(N151="",IF(AND(L151=1,K151&gt;=2),1,0),N151)</x:f>
        <x:v>1</x:v>
      </x:c>
      <x:c r="R151" t="n">
        <x:f>IF(O151="",IF(AND(L151=1,K151&gt;=3),1,0),O151)</x:f>
        <x:v>1</x:v>
      </x:c>
      <x:c r="S151" t="n">
        <x:f>SUM(P151:R151)</x:f>
        <x:v>3</x:v>
      </x:c>
      <x:c r="T151" t="str">
        <x:f>IF(COUNTA(M151:O151)=0,"DerivedFromCount","ManualOverride")</x:f>
        <x:v>DerivedFromCount</x:v>
      </x:c>
      <x:c r="U151" t="str">
        <x:f>IF(COUNTIF(DailyProduction!$Q$5:$Q$100,B151)=1,"OK","CHECK")</x:f>
        <x:v>OK</x:v>
      </x:c>
      <x:c r="V151" t="str">
        <x:f>IF(AND(I151&gt;=1,I151&lt;=13,K151&gt;=1,K151&lt;=3),"OK","CHECK")</x:f>
        <x:v>OK</x:v>
      </x:c>
      <x:c r="W151" t="str">
        <x:f>IF(SUMIF($B$5:$B$914,B151,$S$5:$S$914)=SUMIF(DailyProduction!$Q$5:$Q$100,B151,DailyProduction!$R$5:$R$100),"OK","CHECK")</x:f>
        <x:v>OK</x:v>
      </x:c>
    </x:row>
    <x:row r="152">
      <x:c r="A152" t="str">
        <x:v>PC-PE-KG01-L21-20251025-PM-ORD-2025-00021-S05</x:v>
      </x:c>
      <x:c r="B152" t="str">
        <x:v>PE-KG01-L21-20251025-PM-ORD-2025-00021</x:v>
      </x:c>
      <x:c r="C152" t="str">
        <x:v>KG01</x:v>
      </x:c>
      <x:c r="D152" t="n">
        <x:v>45955</x:v>
      </x:c>
      <x:c r="E152" t="str">
        <x:v>PM</x:v>
      </x:c>
      <x:c r="F152" t="str">
        <x:v>C</x:v>
      </x:c>
      <x:c r="G152" t="n">
        <x:v>21</x:v>
      </x:c>
      <x:c r="H152" t="str">
        <x:v>ORD-2025-00021</x:v>
      </x:c>
      <x:c r="I152" t="n">
        <x:v>5</x:v>
      </x:c>
      <x:c r="J152" t="n">
        <x:v>10</x:v>
      </x:c>
      <x:c r="K152" t="n">
        <x:v>3</x:v>
      </x:c>
      <x:c r="L152" t="n">
        <x:f>IF(I152&lt;=J152,1,0)</x:f>
        <x:v>1</x:v>
      </x:c>
      <x:c r="P152" t="n">
        <x:f>IF(M152="",IF(AND(L152=1,K152&gt;=1),1,0),M152)</x:f>
        <x:v>1</x:v>
      </x:c>
      <x:c r="Q152" t="n">
        <x:f>IF(N152="",IF(AND(L152=1,K152&gt;=2),1,0),N152)</x:f>
        <x:v>1</x:v>
      </x:c>
      <x:c r="R152" t="n">
        <x:f>IF(O152="",IF(AND(L152=1,K152&gt;=3),1,0),O152)</x:f>
        <x:v>1</x:v>
      </x:c>
      <x:c r="S152" t="n">
        <x:f>SUM(P152:R152)</x:f>
        <x:v>3</x:v>
      </x:c>
      <x:c r="T152" t="str">
        <x:f>IF(COUNTA(M152:O152)=0,"DerivedFromCount","ManualOverride")</x:f>
        <x:v>DerivedFromCount</x:v>
      </x:c>
      <x:c r="U152" t="str">
        <x:f>IF(COUNTIF(DailyProduction!$Q$5:$Q$100,B152)=1,"OK","CHECK")</x:f>
        <x:v>OK</x:v>
      </x:c>
      <x:c r="V152" t="str">
        <x:f>IF(AND(I152&gt;=1,I152&lt;=13,K152&gt;=1,K152&lt;=3),"OK","CHECK")</x:f>
        <x:v>OK</x:v>
      </x:c>
      <x:c r="W152" t="str">
        <x:f>IF(SUMIF($B$5:$B$914,B152,$S$5:$S$914)=SUMIF(DailyProduction!$Q$5:$Q$100,B152,DailyProduction!$R$5:$R$100),"OK","CHECK")</x:f>
        <x:v>OK</x:v>
      </x:c>
    </x:row>
    <x:row r="153">
      <x:c r="A153" t="str">
        <x:v>PC-PE-KG01-L21-20251025-PM-ORD-2025-00021-S06</x:v>
      </x:c>
      <x:c r="B153" t="str">
        <x:v>PE-KG01-L21-20251025-PM-ORD-2025-00021</x:v>
      </x:c>
      <x:c r="C153" t="str">
        <x:v>KG01</x:v>
      </x:c>
      <x:c r="D153" t="n">
        <x:v>45955</x:v>
      </x:c>
      <x:c r="E153" t="str">
        <x:v>PM</x:v>
      </x:c>
      <x:c r="F153" t="str">
        <x:v>C</x:v>
      </x:c>
      <x:c r="G153" t="n">
        <x:v>21</x:v>
      </x:c>
      <x:c r="H153" t="str">
        <x:v>ORD-2025-00021</x:v>
      </x:c>
      <x:c r="I153" t="n">
        <x:v>6</x:v>
      </x:c>
      <x:c r="J153" t="n">
        <x:v>10</x:v>
      </x:c>
      <x:c r="K153" t="n">
        <x:v>3</x:v>
      </x:c>
      <x:c r="L153" t="n">
        <x:f>IF(I153&lt;=J153,1,0)</x:f>
        <x:v>1</x:v>
      </x:c>
      <x:c r="P153" t="n">
        <x:f>IF(M153="",IF(AND(L153=1,K153&gt;=1),1,0),M153)</x:f>
        <x:v>1</x:v>
      </x:c>
      <x:c r="Q153" t="n">
        <x:f>IF(N153="",IF(AND(L153=1,K153&gt;=2),1,0),N153)</x:f>
        <x:v>1</x:v>
      </x:c>
      <x:c r="R153" t="n">
        <x:f>IF(O153="",IF(AND(L153=1,K153&gt;=3),1,0),O153)</x:f>
        <x:v>1</x:v>
      </x:c>
      <x:c r="S153" t="n">
        <x:f>SUM(P153:R153)</x:f>
        <x:v>3</x:v>
      </x:c>
      <x:c r="T153" t="str">
        <x:f>IF(COUNTA(M153:O153)=0,"DerivedFromCount","ManualOverride")</x:f>
        <x:v>DerivedFromCount</x:v>
      </x:c>
      <x:c r="U153" t="str">
        <x:f>IF(COUNTIF(DailyProduction!$Q$5:$Q$100,B153)=1,"OK","CHECK")</x:f>
        <x:v>OK</x:v>
      </x:c>
      <x:c r="V153" t="str">
        <x:f>IF(AND(I153&gt;=1,I153&lt;=13,K153&gt;=1,K153&lt;=3),"OK","CHECK")</x:f>
        <x:v>OK</x:v>
      </x:c>
      <x:c r="W153" t="str">
        <x:f>IF(SUMIF($B$5:$B$914,B153,$S$5:$S$914)=SUMIF(DailyProduction!$Q$5:$Q$100,B153,DailyProduction!$R$5:$R$100),"OK","CHECK")</x:f>
        <x:v>OK</x:v>
      </x:c>
    </x:row>
    <x:row r="154">
      <x:c r="A154" t="str">
        <x:v>PC-PE-KG01-L21-20251025-PM-ORD-2025-00021-S07</x:v>
      </x:c>
      <x:c r="B154" t="str">
        <x:v>PE-KG01-L21-20251025-PM-ORD-2025-00021</x:v>
      </x:c>
      <x:c r="C154" t="str">
        <x:v>KG01</x:v>
      </x:c>
      <x:c r="D154" t="n">
        <x:v>45955</x:v>
      </x:c>
      <x:c r="E154" t="str">
        <x:v>PM</x:v>
      </x:c>
      <x:c r="F154" t="str">
        <x:v>C</x:v>
      </x:c>
      <x:c r="G154" t="n">
        <x:v>21</x:v>
      </x:c>
      <x:c r="H154" t="str">
        <x:v>ORD-2025-00021</x:v>
      </x:c>
      <x:c r="I154" t="n">
        <x:v>7</x:v>
      </x:c>
      <x:c r="J154" t="n">
        <x:v>10</x:v>
      </x:c>
      <x:c r="K154" t="n">
        <x:v>3</x:v>
      </x:c>
      <x:c r="L154" t="n">
        <x:f>IF(I154&lt;=J154,1,0)</x:f>
        <x:v>1</x:v>
      </x:c>
      <x:c r="P154" t="n">
        <x:f>IF(M154="",IF(AND(L154=1,K154&gt;=1),1,0),M154)</x:f>
        <x:v>1</x:v>
      </x:c>
      <x:c r="Q154" t="n">
        <x:f>IF(N154="",IF(AND(L154=1,K154&gt;=2),1,0),N154)</x:f>
        <x:v>1</x:v>
      </x:c>
      <x:c r="R154" t="n">
        <x:f>IF(O154="",IF(AND(L154=1,K154&gt;=3),1,0),O154)</x:f>
        <x:v>1</x:v>
      </x:c>
      <x:c r="S154" t="n">
        <x:f>SUM(P154:R154)</x:f>
        <x:v>3</x:v>
      </x:c>
      <x:c r="T154" t="str">
        <x:f>IF(COUNTA(M154:O154)=0,"DerivedFromCount","ManualOverride")</x:f>
        <x:v>DerivedFromCount</x:v>
      </x:c>
      <x:c r="U154" t="str">
        <x:f>IF(COUNTIF(DailyProduction!$Q$5:$Q$100,B154)=1,"OK","CHECK")</x:f>
        <x:v>OK</x:v>
      </x:c>
      <x:c r="V154" t="str">
        <x:f>IF(AND(I154&gt;=1,I154&lt;=13,K154&gt;=1,K154&lt;=3),"OK","CHECK")</x:f>
        <x:v>OK</x:v>
      </x:c>
      <x:c r="W154" t="str">
        <x:f>IF(SUMIF($B$5:$B$914,B154,$S$5:$S$914)=SUMIF(DailyProduction!$Q$5:$Q$100,B154,DailyProduction!$R$5:$R$100),"OK","CHECK")</x:f>
        <x:v>OK</x:v>
      </x:c>
    </x:row>
    <x:row r="155">
      <x:c r="A155" t="str">
        <x:v>PC-PE-KG01-L21-20251025-PM-ORD-2025-00021-S08</x:v>
      </x:c>
      <x:c r="B155" t="str">
        <x:v>PE-KG01-L21-20251025-PM-ORD-2025-00021</x:v>
      </x:c>
      <x:c r="C155" t="str">
        <x:v>KG01</x:v>
      </x:c>
      <x:c r="D155" t="n">
        <x:v>45955</x:v>
      </x:c>
      <x:c r="E155" t="str">
        <x:v>PM</x:v>
      </x:c>
      <x:c r="F155" t="str">
        <x:v>C</x:v>
      </x:c>
      <x:c r="G155" t="n">
        <x:v>21</x:v>
      </x:c>
      <x:c r="H155" t="str">
        <x:v>ORD-2025-00021</x:v>
      </x:c>
      <x:c r="I155" t="n">
        <x:v>8</x:v>
      </x:c>
      <x:c r="J155" t="n">
        <x:v>10</x:v>
      </x:c>
      <x:c r="K155" t="n">
        <x:v>3</x:v>
      </x:c>
      <x:c r="L155" t="n">
        <x:f>IF(I155&lt;=J155,1,0)</x:f>
        <x:v>1</x:v>
      </x:c>
      <x:c r="P155" t="n">
        <x:f>IF(M155="",IF(AND(L155=1,K155&gt;=1),1,0),M155)</x:f>
        <x:v>1</x:v>
      </x:c>
      <x:c r="Q155" t="n">
        <x:f>IF(N155="",IF(AND(L155=1,K155&gt;=2),1,0),N155)</x:f>
        <x:v>1</x:v>
      </x:c>
      <x:c r="R155" t="n">
        <x:f>IF(O155="",IF(AND(L155=1,K155&gt;=3),1,0),O155)</x:f>
        <x:v>1</x:v>
      </x:c>
      <x:c r="S155" t="n">
        <x:f>SUM(P155:R155)</x:f>
        <x:v>3</x:v>
      </x:c>
      <x:c r="T155" t="str">
        <x:f>IF(COUNTA(M155:O155)=0,"DerivedFromCount","ManualOverride")</x:f>
        <x:v>DerivedFromCount</x:v>
      </x:c>
      <x:c r="U155" t="str">
        <x:f>IF(COUNTIF(DailyProduction!$Q$5:$Q$100,B155)=1,"OK","CHECK")</x:f>
        <x:v>OK</x:v>
      </x:c>
      <x:c r="V155" t="str">
        <x:f>IF(AND(I155&gt;=1,I155&lt;=13,K155&gt;=1,K155&lt;=3),"OK","CHECK")</x:f>
        <x:v>OK</x:v>
      </x:c>
      <x:c r="W155" t="str">
        <x:f>IF(SUMIF($B$5:$B$914,B155,$S$5:$S$914)=SUMIF(DailyProduction!$Q$5:$Q$100,B155,DailyProduction!$R$5:$R$100),"OK","CHECK")</x:f>
        <x:v>OK</x:v>
      </x:c>
    </x:row>
    <x:row r="156">
      <x:c r="A156" t="str">
        <x:v>PC-PE-KG01-L21-20251025-PM-ORD-2025-00021-S09</x:v>
      </x:c>
      <x:c r="B156" t="str">
        <x:v>PE-KG01-L21-20251025-PM-ORD-2025-00021</x:v>
      </x:c>
      <x:c r="C156" t="str">
        <x:v>KG01</x:v>
      </x:c>
      <x:c r="D156" t="n">
        <x:v>45955</x:v>
      </x:c>
      <x:c r="E156" t="str">
        <x:v>PM</x:v>
      </x:c>
      <x:c r="F156" t="str">
        <x:v>C</x:v>
      </x:c>
      <x:c r="G156" t="n">
        <x:v>21</x:v>
      </x:c>
      <x:c r="H156" t="str">
        <x:v>ORD-2025-00021</x:v>
      </x:c>
      <x:c r="I156" t="n">
        <x:v>9</x:v>
      </x:c>
      <x:c r="J156" t="n">
        <x:v>10</x:v>
      </x:c>
      <x:c r="K156" t="n">
        <x:v>3</x:v>
      </x:c>
      <x:c r="L156" t="n">
        <x:f>IF(I156&lt;=J156,1,0)</x:f>
        <x:v>1</x:v>
      </x:c>
      <x:c r="P156" t="n">
        <x:f>IF(M156="",IF(AND(L156=1,K156&gt;=1),1,0),M156)</x:f>
        <x:v>1</x:v>
      </x:c>
      <x:c r="Q156" t="n">
        <x:f>IF(N156="",IF(AND(L156=1,K156&gt;=2),1,0),N156)</x:f>
        <x:v>1</x:v>
      </x:c>
      <x:c r="R156" t="n">
        <x:f>IF(O156="",IF(AND(L156=1,K156&gt;=3),1,0),O156)</x:f>
        <x:v>1</x:v>
      </x:c>
      <x:c r="S156" t="n">
        <x:f>SUM(P156:R156)</x:f>
        <x:v>3</x:v>
      </x:c>
      <x:c r="T156" t="str">
        <x:f>IF(COUNTA(M156:O156)=0,"DerivedFromCount","ManualOverride")</x:f>
        <x:v>DerivedFromCount</x:v>
      </x:c>
      <x:c r="U156" t="str">
        <x:f>IF(COUNTIF(DailyProduction!$Q$5:$Q$100,B156)=1,"OK","CHECK")</x:f>
        <x:v>OK</x:v>
      </x:c>
      <x:c r="V156" t="str">
        <x:f>IF(AND(I156&gt;=1,I156&lt;=13,K156&gt;=1,K156&lt;=3),"OK","CHECK")</x:f>
        <x:v>OK</x:v>
      </x:c>
      <x:c r="W156" t="str">
        <x:f>IF(SUMIF($B$5:$B$914,B156,$S$5:$S$914)=SUMIF(DailyProduction!$Q$5:$Q$100,B156,DailyProduction!$R$5:$R$100),"OK","CHECK")</x:f>
        <x:v>OK</x:v>
      </x:c>
    </x:row>
    <x:row r="157">
      <x:c r="A157" t="str">
        <x:v>PC-PE-KG01-L21-20251025-PM-ORD-2025-00021-S10</x:v>
      </x:c>
      <x:c r="B157" t="str">
        <x:v>PE-KG01-L21-20251025-PM-ORD-2025-00021</x:v>
      </x:c>
      <x:c r="C157" t="str">
        <x:v>KG01</x:v>
      </x:c>
      <x:c r="D157" t="n">
        <x:v>45955</x:v>
      </x:c>
      <x:c r="E157" t="str">
        <x:v>PM</x:v>
      </x:c>
      <x:c r="F157" t="str">
        <x:v>C</x:v>
      </x:c>
      <x:c r="G157" t="n">
        <x:v>21</x:v>
      </x:c>
      <x:c r="H157" t="str">
        <x:v>ORD-2025-00021</x:v>
      </x:c>
      <x:c r="I157" t="n">
        <x:v>10</x:v>
      </x:c>
      <x:c r="J157" t="n">
        <x:v>10</x:v>
      </x:c>
      <x:c r="K157" t="n">
        <x:v>3</x:v>
      </x:c>
      <x:c r="L157" t="n">
        <x:f>IF(I157&lt;=J157,1,0)</x:f>
        <x:v>1</x:v>
      </x:c>
      <x:c r="P157" t="n">
        <x:f>IF(M157="",IF(AND(L157=1,K157&gt;=1),1,0),M157)</x:f>
        <x:v>1</x:v>
      </x:c>
      <x:c r="Q157" t="n">
        <x:f>IF(N157="",IF(AND(L157=1,K157&gt;=2),1,0),N157)</x:f>
        <x:v>1</x:v>
      </x:c>
      <x:c r="R157" t="n">
        <x:f>IF(O157="",IF(AND(L157=1,K157&gt;=3),1,0),O157)</x:f>
        <x:v>1</x:v>
      </x:c>
      <x:c r="S157" t="n">
        <x:f>SUM(P157:R157)</x:f>
        <x:v>3</x:v>
      </x:c>
      <x:c r="T157" t="str">
        <x:f>IF(COUNTA(M157:O157)=0,"DerivedFromCount","ManualOverride")</x:f>
        <x:v>DerivedFromCount</x:v>
      </x:c>
      <x:c r="U157" t="str">
        <x:f>IF(COUNTIF(DailyProduction!$Q$5:$Q$100,B157)=1,"OK","CHECK")</x:f>
        <x:v>OK</x:v>
      </x:c>
      <x:c r="V157" t="str">
        <x:f>IF(AND(I157&gt;=1,I157&lt;=13,K157&gt;=1,K157&lt;=3),"OK","CHECK")</x:f>
        <x:v>OK</x:v>
      </x:c>
      <x:c r="W157" t="str">
        <x:f>IF(SUMIF($B$5:$B$914,B157,$S$5:$S$914)=SUMIF(DailyProduction!$Q$5:$Q$100,B157,DailyProduction!$R$5:$R$100),"OK","CHECK")</x:f>
        <x:v>OK</x:v>
      </x:c>
    </x:row>
    <x:row r="158">
      <x:c r="A158" t="str">
        <x:v>PC-PE-KG01-L21-20251025-PM-ORD-2025-00021-S11</x:v>
      </x:c>
      <x:c r="B158" t="str">
        <x:v>PE-KG01-L21-20251025-PM-ORD-2025-00021</x:v>
      </x:c>
      <x:c r="C158" t="str">
        <x:v>KG01</x:v>
      </x:c>
      <x:c r="D158" t="n">
        <x:v>45955</x:v>
      </x:c>
      <x:c r="E158" t="str">
        <x:v>PM</x:v>
      </x:c>
      <x:c r="F158" t="str">
        <x:v>C</x:v>
      </x:c>
      <x:c r="G158" t="n">
        <x:v>21</x:v>
      </x:c>
      <x:c r="H158" t="str">
        <x:v>ORD-2025-00021</x:v>
      </x:c>
      <x:c r="I158" t="n">
        <x:v>11</x:v>
      </x:c>
      <x:c r="J158" t="n">
        <x:v>10</x:v>
      </x:c>
      <x:c r="K158" t="n">
        <x:v>3</x:v>
      </x:c>
      <x:c r="L158" t="n">
        <x:f>IF(I158&lt;=J158,1,0)</x:f>
        <x:v>0</x:v>
      </x:c>
      <x:c r="P158" t="n">
        <x:f>IF(M158="",IF(AND(L158=1,K158&gt;=1),1,0),M158)</x:f>
        <x:v>0</x:v>
      </x:c>
      <x:c r="Q158" t="n">
        <x:f>IF(N158="",IF(AND(L158=1,K158&gt;=2),1,0),N158)</x:f>
        <x:v>0</x:v>
      </x:c>
      <x:c r="R158" t="n">
        <x:f>IF(O158="",IF(AND(L158=1,K158&gt;=3),1,0),O158)</x:f>
        <x:v>0</x:v>
      </x:c>
      <x:c r="S158" t="n">
        <x:f>SUM(P158:R158)</x:f>
        <x:v>0</x:v>
      </x:c>
      <x:c r="T158" t="str">
        <x:f>IF(COUNTA(M158:O158)=0,"DerivedFromCount","ManualOverride")</x:f>
        <x:v>DerivedFromCount</x:v>
      </x:c>
      <x:c r="U158" t="str">
        <x:f>IF(COUNTIF(DailyProduction!$Q$5:$Q$100,B158)=1,"OK","CHECK")</x:f>
        <x:v>OK</x:v>
      </x:c>
      <x:c r="V158" t="str">
        <x:f>IF(AND(I158&gt;=1,I158&lt;=13,K158&gt;=1,K158&lt;=3),"OK","CHECK")</x:f>
        <x:v>OK</x:v>
      </x:c>
      <x:c r="W158" t="str">
        <x:f>IF(SUMIF($B$5:$B$914,B158,$S$5:$S$914)=SUMIF(DailyProduction!$Q$5:$Q$100,B158,DailyProduction!$R$5:$R$100),"OK","CHECK")</x:f>
        <x:v>OK</x:v>
      </x:c>
    </x:row>
    <x:row r="159">
      <x:c r="A159" t="str">
        <x:v>PC-PE-KG01-L21-20251025-PM-ORD-2025-00021-S12</x:v>
      </x:c>
      <x:c r="B159" t="str">
        <x:v>PE-KG01-L21-20251025-PM-ORD-2025-00021</x:v>
      </x:c>
      <x:c r="C159" t="str">
        <x:v>KG01</x:v>
      </x:c>
      <x:c r="D159" t="n">
        <x:v>45955</x:v>
      </x:c>
      <x:c r="E159" t="str">
        <x:v>PM</x:v>
      </x:c>
      <x:c r="F159" t="str">
        <x:v>C</x:v>
      </x:c>
      <x:c r="G159" t="n">
        <x:v>21</x:v>
      </x:c>
      <x:c r="H159" t="str">
        <x:v>ORD-2025-00021</x:v>
      </x:c>
      <x:c r="I159" t="n">
        <x:v>12</x:v>
      </x:c>
      <x:c r="J159" t="n">
        <x:v>10</x:v>
      </x:c>
      <x:c r="K159" t="n">
        <x:v>3</x:v>
      </x:c>
      <x:c r="L159" t="n">
        <x:f>IF(I159&lt;=J159,1,0)</x:f>
        <x:v>0</x:v>
      </x:c>
      <x:c r="P159" t="n">
        <x:f>IF(M159="",IF(AND(L159=1,K159&gt;=1),1,0),M159)</x:f>
        <x:v>0</x:v>
      </x:c>
      <x:c r="Q159" t="n">
        <x:f>IF(N159="",IF(AND(L159=1,K159&gt;=2),1,0),N159)</x:f>
        <x:v>0</x:v>
      </x:c>
      <x:c r="R159" t="n">
        <x:f>IF(O159="",IF(AND(L159=1,K159&gt;=3),1,0),O159)</x:f>
        <x:v>0</x:v>
      </x:c>
      <x:c r="S159" t="n">
        <x:f>SUM(P159:R159)</x:f>
        <x:v>0</x:v>
      </x:c>
      <x:c r="T159" t="str">
        <x:f>IF(COUNTA(M159:O159)=0,"DerivedFromCount","ManualOverride")</x:f>
        <x:v>DerivedFromCount</x:v>
      </x:c>
      <x:c r="U159" t="str">
        <x:f>IF(COUNTIF(DailyProduction!$Q$5:$Q$100,B159)=1,"OK","CHECK")</x:f>
        <x:v>OK</x:v>
      </x:c>
      <x:c r="V159" t="str">
        <x:f>IF(AND(I159&gt;=1,I159&lt;=13,K159&gt;=1,K159&lt;=3),"OK","CHECK")</x:f>
        <x:v>OK</x:v>
      </x:c>
      <x:c r="W159" t="str">
        <x:f>IF(SUMIF($B$5:$B$914,B159,$S$5:$S$914)=SUMIF(DailyProduction!$Q$5:$Q$100,B159,DailyProduction!$R$5:$R$100),"OK","CHECK")</x:f>
        <x:v>OK</x:v>
      </x:c>
    </x:row>
    <x:row r="160">
      <x:c r="A160" t="str">
        <x:v>PC-PE-KG01-L21-20251025-PM-ORD-2025-00021-S13</x:v>
      </x:c>
      <x:c r="B160" t="str">
        <x:v>PE-KG01-L21-20251025-PM-ORD-2025-00021</x:v>
      </x:c>
      <x:c r="C160" t="str">
        <x:v>KG01</x:v>
      </x:c>
      <x:c r="D160" t="n">
        <x:v>45955</x:v>
      </x:c>
      <x:c r="E160" t="str">
        <x:v>PM</x:v>
      </x:c>
      <x:c r="F160" t="str">
        <x:v>C</x:v>
      </x:c>
      <x:c r="G160" t="n">
        <x:v>21</x:v>
      </x:c>
      <x:c r="H160" t="str">
        <x:v>ORD-2025-00021</x:v>
      </x:c>
      <x:c r="I160" t="n">
        <x:v>13</x:v>
      </x:c>
      <x:c r="J160" t="n">
        <x:v>10</x:v>
      </x:c>
      <x:c r="K160" t="n">
        <x:v>3</x:v>
      </x:c>
      <x:c r="L160" t="n">
        <x:f>IF(I160&lt;=J160,1,0)</x:f>
        <x:v>0</x:v>
      </x:c>
      <x:c r="P160" t="n">
        <x:f>IF(M160="",IF(AND(L160=1,K160&gt;=1),1,0),M160)</x:f>
        <x:v>0</x:v>
      </x:c>
      <x:c r="Q160" t="n">
        <x:f>IF(N160="",IF(AND(L160=1,K160&gt;=2),1,0),N160)</x:f>
        <x:v>0</x:v>
      </x:c>
      <x:c r="R160" t="n">
        <x:f>IF(O160="",IF(AND(L160=1,K160&gt;=3),1,0),O160)</x:f>
        <x:v>0</x:v>
      </x:c>
      <x:c r="S160" t="n">
        <x:f>SUM(P160:R160)</x:f>
        <x:v>0</x:v>
      </x:c>
      <x:c r="T160" t="str">
        <x:f>IF(COUNTA(M160:O160)=0,"DerivedFromCount","ManualOverride")</x:f>
        <x:v>DerivedFromCount</x:v>
      </x:c>
      <x:c r="U160" t="str">
        <x:f>IF(COUNTIF(DailyProduction!$Q$5:$Q$100,B160)=1,"OK","CHECK")</x:f>
        <x:v>OK</x:v>
      </x:c>
      <x:c r="V160" t="str">
        <x:f>IF(AND(I160&gt;=1,I160&lt;=13,K160&gt;=1,K160&lt;=3),"OK","CHECK")</x:f>
        <x:v>OK</x:v>
      </x:c>
      <x:c r="W160" t="str">
        <x:f>IF(SUMIF($B$5:$B$914,B160,$S$5:$S$914)=SUMIF(DailyProduction!$Q$5:$Q$100,B160,DailyProduction!$R$5:$R$100),"OK","CHECK")</x:f>
        <x:v>OK</x:v>
      </x:c>
    </x:row>
    <x:row r="161">
      <x:c r="A161" t="str">
        <x:v>PC-PE-KG01-L21-20251026-AM-ORD-2025-00021-S01</x:v>
      </x:c>
      <x:c r="B161" t="str">
        <x:v>PE-KG01-L21-20251026-AM-ORD-2025-00021</x:v>
      </x:c>
      <x:c r="C161" t="str">
        <x:v>KG01</x:v>
      </x:c>
      <x:c r="D161" t="n">
        <x:v>45956</x:v>
      </x:c>
      <x:c r="E161" t="str">
        <x:v>AM</x:v>
      </x:c>
      <x:c r="F161" t="str">
        <x:v>C</x:v>
      </x:c>
      <x:c r="G161" t="n">
        <x:v>21</x:v>
      </x:c>
      <x:c r="H161" t="str">
        <x:v>ORD-2025-00021</x:v>
      </x:c>
      <x:c r="I161" t="n">
        <x:v>1</x:v>
      </x:c>
      <x:c r="J161" t="n">
        <x:v>10</x:v>
      </x:c>
      <x:c r="K161" t="n">
        <x:v>3</x:v>
      </x:c>
      <x:c r="L161" t="n">
        <x:f>IF(I161&lt;=J161,1,0)</x:f>
        <x:v>1</x:v>
      </x:c>
      <x:c r="P161" t="n">
        <x:f>IF(M161="",IF(AND(L161=1,K161&gt;=1),1,0),M161)</x:f>
        <x:v>1</x:v>
      </x:c>
      <x:c r="Q161" t="n">
        <x:f>IF(N161="",IF(AND(L161=1,K161&gt;=2),1,0),N161)</x:f>
        <x:v>1</x:v>
      </x:c>
      <x:c r="R161" t="n">
        <x:f>IF(O161="",IF(AND(L161=1,K161&gt;=3),1,0),O161)</x:f>
        <x:v>1</x:v>
      </x:c>
      <x:c r="S161" t="n">
        <x:f>SUM(P161:R161)</x:f>
        <x:v>3</x:v>
      </x:c>
      <x:c r="T161" t="str">
        <x:f>IF(COUNTA(M161:O161)=0,"DerivedFromCount","ManualOverride")</x:f>
        <x:v>DerivedFromCount</x:v>
      </x:c>
      <x:c r="U161" t="str">
        <x:f>IF(COUNTIF(DailyProduction!$Q$5:$Q$100,B161)=1,"OK","CHECK")</x:f>
        <x:v>OK</x:v>
      </x:c>
      <x:c r="V161" t="str">
        <x:f>IF(AND(I161&gt;=1,I161&lt;=13,K161&gt;=1,K161&lt;=3),"OK","CHECK")</x:f>
        <x:v>OK</x:v>
      </x:c>
      <x:c r="W161" t="str">
        <x:f>IF(SUMIF($B$5:$B$914,B161,$S$5:$S$914)=SUMIF(DailyProduction!$Q$5:$Q$100,B161,DailyProduction!$R$5:$R$100),"OK","CHECK")</x:f>
        <x:v>OK</x:v>
      </x:c>
    </x:row>
    <x:row r="162">
      <x:c r="A162" t="str">
        <x:v>PC-PE-KG01-L21-20251026-AM-ORD-2025-00021-S02</x:v>
      </x:c>
      <x:c r="B162" t="str">
        <x:v>PE-KG01-L21-20251026-AM-ORD-2025-00021</x:v>
      </x:c>
      <x:c r="C162" t="str">
        <x:v>KG01</x:v>
      </x:c>
      <x:c r="D162" t="n">
        <x:v>45956</x:v>
      </x:c>
      <x:c r="E162" t="str">
        <x:v>AM</x:v>
      </x:c>
      <x:c r="F162" t="str">
        <x:v>C</x:v>
      </x:c>
      <x:c r="G162" t="n">
        <x:v>21</x:v>
      </x:c>
      <x:c r="H162" t="str">
        <x:v>ORD-2025-00021</x:v>
      </x:c>
      <x:c r="I162" t="n">
        <x:v>2</x:v>
      </x:c>
      <x:c r="J162" t="n">
        <x:v>10</x:v>
      </x:c>
      <x:c r="K162" t="n">
        <x:v>3</x:v>
      </x:c>
      <x:c r="L162" t="n">
        <x:f>IF(I162&lt;=J162,1,0)</x:f>
        <x:v>1</x:v>
      </x:c>
      <x:c r="P162" t="n">
        <x:f>IF(M162="",IF(AND(L162=1,K162&gt;=1),1,0),M162)</x:f>
        <x:v>1</x:v>
      </x:c>
      <x:c r="Q162" t="n">
        <x:f>IF(N162="",IF(AND(L162=1,K162&gt;=2),1,0),N162)</x:f>
        <x:v>1</x:v>
      </x:c>
      <x:c r="R162" t="n">
        <x:f>IF(O162="",IF(AND(L162=1,K162&gt;=3),1,0),O162)</x:f>
        <x:v>1</x:v>
      </x:c>
      <x:c r="S162" t="n">
        <x:f>SUM(P162:R162)</x:f>
        <x:v>3</x:v>
      </x:c>
      <x:c r="T162" t="str">
        <x:f>IF(COUNTA(M162:O162)=0,"DerivedFromCount","ManualOverride")</x:f>
        <x:v>DerivedFromCount</x:v>
      </x:c>
      <x:c r="U162" t="str">
        <x:f>IF(COUNTIF(DailyProduction!$Q$5:$Q$100,B162)=1,"OK","CHECK")</x:f>
        <x:v>OK</x:v>
      </x:c>
      <x:c r="V162" t="str">
        <x:f>IF(AND(I162&gt;=1,I162&lt;=13,K162&gt;=1,K162&lt;=3),"OK","CHECK")</x:f>
        <x:v>OK</x:v>
      </x:c>
      <x:c r="W162" t="str">
        <x:f>IF(SUMIF($B$5:$B$914,B162,$S$5:$S$914)=SUMIF(DailyProduction!$Q$5:$Q$100,B162,DailyProduction!$R$5:$R$100),"OK","CHECK")</x:f>
        <x:v>OK</x:v>
      </x:c>
    </x:row>
    <x:row r="163">
      <x:c r="A163" t="str">
        <x:v>PC-PE-KG01-L21-20251026-AM-ORD-2025-00021-S03</x:v>
      </x:c>
      <x:c r="B163" t="str">
        <x:v>PE-KG01-L21-20251026-AM-ORD-2025-00021</x:v>
      </x:c>
      <x:c r="C163" t="str">
        <x:v>KG01</x:v>
      </x:c>
      <x:c r="D163" t="n">
        <x:v>45956</x:v>
      </x:c>
      <x:c r="E163" t="str">
        <x:v>AM</x:v>
      </x:c>
      <x:c r="F163" t="str">
        <x:v>C</x:v>
      </x:c>
      <x:c r="G163" t="n">
        <x:v>21</x:v>
      </x:c>
      <x:c r="H163" t="str">
        <x:v>ORD-2025-00021</x:v>
      </x:c>
      <x:c r="I163" t="n">
        <x:v>3</x:v>
      </x:c>
      <x:c r="J163" t="n">
        <x:v>10</x:v>
      </x:c>
      <x:c r="K163" t="n">
        <x:v>3</x:v>
      </x:c>
      <x:c r="L163" t="n">
        <x:f>IF(I163&lt;=J163,1,0)</x:f>
        <x:v>1</x:v>
      </x:c>
      <x:c r="P163" t="n">
        <x:f>IF(M163="",IF(AND(L163=1,K163&gt;=1),1,0),M163)</x:f>
        <x:v>1</x:v>
      </x:c>
      <x:c r="Q163" t="n">
        <x:f>IF(N163="",IF(AND(L163=1,K163&gt;=2),1,0),N163)</x:f>
        <x:v>1</x:v>
      </x:c>
      <x:c r="R163" t="n">
        <x:f>IF(O163="",IF(AND(L163=1,K163&gt;=3),1,0),O163)</x:f>
        <x:v>1</x:v>
      </x:c>
      <x:c r="S163" t="n">
        <x:f>SUM(P163:R163)</x:f>
        <x:v>3</x:v>
      </x:c>
      <x:c r="T163" t="str">
        <x:f>IF(COUNTA(M163:O163)=0,"DerivedFromCount","ManualOverride")</x:f>
        <x:v>DerivedFromCount</x:v>
      </x:c>
      <x:c r="U163" t="str">
        <x:f>IF(COUNTIF(DailyProduction!$Q$5:$Q$100,B163)=1,"OK","CHECK")</x:f>
        <x:v>OK</x:v>
      </x:c>
      <x:c r="V163" t="str">
        <x:f>IF(AND(I163&gt;=1,I163&lt;=13,K163&gt;=1,K163&lt;=3),"OK","CHECK")</x:f>
        <x:v>OK</x:v>
      </x:c>
      <x:c r="W163" t="str">
        <x:f>IF(SUMIF($B$5:$B$914,B163,$S$5:$S$914)=SUMIF(DailyProduction!$Q$5:$Q$100,B163,DailyProduction!$R$5:$R$100),"OK","CHECK")</x:f>
        <x:v>OK</x:v>
      </x:c>
    </x:row>
    <x:row r="164">
      <x:c r="A164" t="str">
        <x:v>PC-PE-KG01-L21-20251026-AM-ORD-2025-00021-S04</x:v>
      </x:c>
      <x:c r="B164" t="str">
        <x:v>PE-KG01-L21-20251026-AM-ORD-2025-00021</x:v>
      </x:c>
      <x:c r="C164" t="str">
        <x:v>KG01</x:v>
      </x:c>
      <x:c r="D164" t="n">
        <x:v>45956</x:v>
      </x:c>
      <x:c r="E164" t="str">
        <x:v>AM</x:v>
      </x:c>
      <x:c r="F164" t="str">
        <x:v>C</x:v>
      </x:c>
      <x:c r="G164" t="n">
        <x:v>21</x:v>
      </x:c>
      <x:c r="H164" t="str">
        <x:v>ORD-2025-00021</x:v>
      </x:c>
      <x:c r="I164" t="n">
        <x:v>4</x:v>
      </x:c>
      <x:c r="J164" t="n">
        <x:v>10</x:v>
      </x:c>
      <x:c r="K164" t="n">
        <x:v>3</x:v>
      </x:c>
      <x:c r="L164" t="n">
        <x:f>IF(I164&lt;=J164,1,0)</x:f>
        <x:v>1</x:v>
      </x:c>
      <x:c r="P164" t="n">
        <x:f>IF(M164="",IF(AND(L164=1,K164&gt;=1),1,0),M164)</x:f>
        <x:v>1</x:v>
      </x:c>
      <x:c r="Q164" t="n">
        <x:f>IF(N164="",IF(AND(L164=1,K164&gt;=2),1,0),N164)</x:f>
        <x:v>1</x:v>
      </x:c>
      <x:c r="R164" t="n">
        <x:f>IF(O164="",IF(AND(L164=1,K164&gt;=3),1,0),O164)</x:f>
        <x:v>1</x:v>
      </x:c>
      <x:c r="S164" t="n">
        <x:f>SUM(P164:R164)</x:f>
        <x:v>3</x:v>
      </x:c>
      <x:c r="T164" t="str">
        <x:f>IF(COUNTA(M164:O164)=0,"DerivedFromCount","ManualOverride")</x:f>
        <x:v>DerivedFromCount</x:v>
      </x:c>
      <x:c r="U164" t="str">
        <x:f>IF(COUNTIF(DailyProduction!$Q$5:$Q$100,B164)=1,"OK","CHECK")</x:f>
        <x:v>OK</x:v>
      </x:c>
      <x:c r="V164" t="str">
        <x:f>IF(AND(I164&gt;=1,I164&lt;=13,K164&gt;=1,K164&lt;=3),"OK","CHECK")</x:f>
        <x:v>OK</x:v>
      </x:c>
      <x:c r="W164" t="str">
        <x:f>IF(SUMIF($B$5:$B$914,B164,$S$5:$S$914)=SUMIF(DailyProduction!$Q$5:$Q$100,B164,DailyProduction!$R$5:$R$100),"OK","CHECK")</x:f>
        <x:v>OK</x:v>
      </x:c>
    </x:row>
    <x:row r="165">
      <x:c r="A165" t="str">
        <x:v>PC-PE-KG01-L21-20251026-AM-ORD-2025-00021-S05</x:v>
      </x:c>
      <x:c r="B165" t="str">
        <x:v>PE-KG01-L21-20251026-AM-ORD-2025-00021</x:v>
      </x:c>
      <x:c r="C165" t="str">
        <x:v>KG01</x:v>
      </x:c>
      <x:c r="D165" t="n">
        <x:v>45956</x:v>
      </x:c>
      <x:c r="E165" t="str">
        <x:v>AM</x:v>
      </x:c>
      <x:c r="F165" t="str">
        <x:v>C</x:v>
      </x:c>
      <x:c r="G165" t="n">
        <x:v>21</x:v>
      </x:c>
      <x:c r="H165" t="str">
        <x:v>ORD-2025-00021</x:v>
      </x:c>
      <x:c r="I165" t="n">
        <x:v>5</x:v>
      </x:c>
      <x:c r="J165" t="n">
        <x:v>10</x:v>
      </x:c>
      <x:c r="K165" t="n">
        <x:v>3</x:v>
      </x:c>
      <x:c r="L165" t="n">
        <x:f>IF(I165&lt;=J165,1,0)</x:f>
        <x:v>1</x:v>
      </x:c>
      <x:c r="P165" t="n">
        <x:f>IF(M165="",IF(AND(L165=1,K165&gt;=1),1,0),M165)</x:f>
        <x:v>1</x:v>
      </x:c>
      <x:c r="Q165" t="n">
        <x:f>IF(N165="",IF(AND(L165=1,K165&gt;=2),1,0),N165)</x:f>
        <x:v>1</x:v>
      </x:c>
      <x:c r="R165" t="n">
        <x:f>IF(O165="",IF(AND(L165=1,K165&gt;=3),1,0),O165)</x:f>
        <x:v>1</x:v>
      </x:c>
      <x:c r="S165" t="n">
        <x:f>SUM(P165:R165)</x:f>
        <x:v>3</x:v>
      </x:c>
      <x:c r="T165" t="str">
        <x:f>IF(COUNTA(M165:O165)=0,"DerivedFromCount","ManualOverride")</x:f>
        <x:v>DerivedFromCount</x:v>
      </x:c>
      <x:c r="U165" t="str">
        <x:f>IF(COUNTIF(DailyProduction!$Q$5:$Q$100,B165)=1,"OK","CHECK")</x:f>
        <x:v>OK</x:v>
      </x:c>
      <x:c r="V165" t="str">
        <x:f>IF(AND(I165&gt;=1,I165&lt;=13,K165&gt;=1,K165&lt;=3),"OK","CHECK")</x:f>
        <x:v>OK</x:v>
      </x:c>
      <x:c r="W165" t="str">
        <x:f>IF(SUMIF($B$5:$B$914,B165,$S$5:$S$914)=SUMIF(DailyProduction!$Q$5:$Q$100,B165,DailyProduction!$R$5:$R$100),"OK","CHECK")</x:f>
        <x:v>OK</x:v>
      </x:c>
    </x:row>
    <x:row r="166">
      <x:c r="A166" t="str">
        <x:v>PC-PE-KG01-L21-20251026-AM-ORD-2025-00021-S06</x:v>
      </x:c>
      <x:c r="B166" t="str">
        <x:v>PE-KG01-L21-20251026-AM-ORD-2025-00021</x:v>
      </x:c>
      <x:c r="C166" t="str">
        <x:v>KG01</x:v>
      </x:c>
      <x:c r="D166" t="n">
        <x:v>45956</x:v>
      </x:c>
      <x:c r="E166" t="str">
        <x:v>AM</x:v>
      </x:c>
      <x:c r="F166" t="str">
        <x:v>C</x:v>
      </x:c>
      <x:c r="G166" t="n">
        <x:v>21</x:v>
      </x:c>
      <x:c r="H166" t="str">
        <x:v>ORD-2025-00021</x:v>
      </x:c>
      <x:c r="I166" t="n">
        <x:v>6</x:v>
      </x:c>
      <x:c r="J166" t="n">
        <x:v>10</x:v>
      </x:c>
      <x:c r="K166" t="n">
        <x:v>3</x:v>
      </x:c>
      <x:c r="L166" t="n">
        <x:f>IF(I166&lt;=J166,1,0)</x:f>
        <x:v>1</x:v>
      </x:c>
      <x:c r="P166" t="n">
        <x:f>IF(M166="",IF(AND(L166=1,K166&gt;=1),1,0),M166)</x:f>
        <x:v>1</x:v>
      </x:c>
      <x:c r="Q166" t="n">
        <x:f>IF(N166="",IF(AND(L166=1,K166&gt;=2),1,0),N166)</x:f>
        <x:v>1</x:v>
      </x:c>
      <x:c r="R166" t="n">
        <x:f>IF(O166="",IF(AND(L166=1,K166&gt;=3),1,0),O166)</x:f>
        <x:v>1</x:v>
      </x:c>
      <x:c r="S166" t="n">
        <x:f>SUM(P166:R166)</x:f>
        <x:v>3</x:v>
      </x:c>
      <x:c r="T166" t="str">
        <x:f>IF(COUNTA(M166:O166)=0,"DerivedFromCount","ManualOverride")</x:f>
        <x:v>DerivedFromCount</x:v>
      </x:c>
      <x:c r="U166" t="str">
        <x:f>IF(COUNTIF(DailyProduction!$Q$5:$Q$100,B166)=1,"OK","CHECK")</x:f>
        <x:v>OK</x:v>
      </x:c>
      <x:c r="V166" t="str">
        <x:f>IF(AND(I166&gt;=1,I166&lt;=13,K166&gt;=1,K166&lt;=3),"OK","CHECK")</x:f>
        <x:v>OK</x:v>
      </x:c>
      <x:c r="W166" t="str">
        <x:f>IF(SUMIF($B$5:$B$914,B166,$S$5:$S$914)=SUMIF(DailyProduction!$Q$5:$Q$100,B166,DailyProduction!$R$5:$R$100),"OK","CHECK")</x:f>
        <x:v>OK</x:v>
      </x:c>
    </x:row>
    <x:row r="167">
      <x:c r="A167" t="str">
        <x:v>PC-PE-KG01-L21-20251026-AM-ORD-2025-00021-S07</x:v>
      </x:c>
      <x:c r="B167" t="str">
        <x:v>PE-KG01-L21-20251026-AM-ORD-2025-00021</x:v>
      </x:c>
      <x:c r="C167" t="str">
        <x:v>KG01</x:v>
      </x:c>
      <x:c r="D167" t="n">
        <x:v>45956</x:v>
      </x:c>
      <x:c r="E167" t="str">
        <x:v>AM</x:v>
      </x:c>
      <x:c r="F167" t="str">
        <x:v>C</x:v>
      </x:c>
      <x:c r="G167" t="n">
        <x:v>21</x:v>
      </x:c>
      <x:c r="H167" t="str">
        <x:v>ORD-2025-00021</x:v>
      </x:c>
      <x:c r="I167" t="n">
        <x:v>7</x:v>
      </x:c>
      <x:c r="J167" t="n">
        <x:v>10</x:v>
      </x:c>
      <x:c r="K167" t="n">
        <x:v>3</x:v>
      </x:c>
      <x:c r="L167" t="n">
        <x:f>IF(I167&lt;=J167,1,0)</x:f>
        <x:v>1</x:v>
      </x:c>
      <x:c r="P167" t="n">
        <x:f>IF(M167="",IF(AND(L167=1,K167&gt;=1),1,0),M167)</x:f>
        <x:v>1</x:v>
      </x:c>
      <x:c r="Q167" t="n">
        <x:f>IF(N167="",IF(AND(L167=1,K167&gt;=2),1,0),N167)</x:f>
        <x:v>1</x:v>
      </x:c>
      <x:c r="R167" t="n">
        <x:f>IF(O167="",IF(AND(L167=1,K167&gt;=3),1,0),O167)</x:f>
        <x:v>1</x:v>
      </x:c>
      <x:c r="S167" t="n">
        <x:f>SUM(P167:R167)</x:f>
        <x:v>3</x:v>
      </x:c>
      <x:c r="T167" t="str">
        <x:f>IF(COUNTA(M167:O167)=0,"DerivedFromCount","ManualOverride")</x:f>
        <x:v>DerivedFromCount</x:v>
      </x:c>
      <x:c r="U167" t="str">
        <x:f>IF(COUNTIF(DailyProduction!$Q$5:$Q$100,B167)=1,"OK","CHECK")</x:f>
        <x:v>OK</x:v>
      </x:c>
      <x:c r="V167" t="str">
        <x:f>IF(AND(I167&gt;=1,I167&lt;=13,K167&gt;=1,K167&lt;=3),"OK","CHECK")</x:f>
        <x:v>OK</x:v>
      </x:c>
      <x:c r="W167" t="str">
        <x:f>IF(SUMIF($B$5:$B$914,B167,$S$5:$S$914)=SUMIF(DailyProduction!$Q$5:$Q$100,B167,DailyProduction!$R$5:$R$100),"OK","CHECK")</x:f>
        <x:v>OK</x:v>
      </x:c>
    </x:row>
    <x:row r="168">
      <x:c r="A168" t="str">
        <x:v>PC-PE-KG01-L21-20251026-AM-ORD-2025-00021-S08</x:v>
      </x:c>
      <x:c r="B168" t="str">
        <x:v>PE-KG01-L21-20251026-AM-ORD-2025-00021</x:v>
      </x:c>
      <x:c r="C168" t="str">
        <x:v>KG01</x:v>
      </x:c>
      <x:c r="D168" t="n">
        <x:v>45956</x:v>
      </x:c>
      <x:c r="E168" t="str">
        <x:v>AM</x:v>
      </x:c>
      <x:c r="F168" t="str">
        <x:v>C</x:v>
      </x:c>
      <x:c r="G168" t="n">
        <x:v>21</x:v>
      </x:c>
      <x:c r="H168" t="str">
        <x:v>ORD-2025-00021</x:v>
      </x:c>
      <x:c r="I168" t="n">
        <x:v>8</x:v>
      </x:c>
      <x:c r="J168" t="n">
        <x:v>10</x:v>
      </x:c>
      <x:c r="K168" t="n">
        <x:v>3</x:v>
      </x:c>
      <x:c r="L168" t="n">
        <x:f>IF(I168&lt;=J168,1,0)</x:f>
        <x:v>1</x:v>
      </x:c>
      <x:c r="P168" t="n">
        <x:f>IF(M168="",IF(AND(L168=1,K168&gt;=1),1,0),M168)</x:f>
        <x:v>1</x:v>
      </x:c>
      <x:c r="Q168" t="n">
        <x:f>IF(N168="",IF(AND(L168=1,K168&gt;=2),1,0),N168)</x:f>
        <x:v>1</x:v>
      </x:c>
      <x:c r="R168" t="n">
        <x:f>IF(O168="",IF(AND(L168=1,K168&gt;=3),1,0),O168)</x:f>
        <x:v>1</x:v>
      </x:c>
      <x:c r="S168" t="n">
        <x:f>SUM(P168:R168)</x:f>
        <x:v>3</x:v>
      </x:c>
      <x:c r="T168" t="str">
        <x:f>IF(COUNTA(M168:O168)=0,"DerivedFromCount","ManualOverride")</x:f>
        <x:v>DerivedFromCount</x:v>
      </x:c>
      <x:c r="U168" t="str">
        <x:f>IF(COUNTIF(DailyProduction!$Q$5:$Q$100,B168)=1,"OK","CHECK")</x:f>
        <x:v>OK</x:v>
      </x:c>
      <x:c r="V168" t="str">
        <x:f>IF(AND(I168&gt;=1,I168&lt;=13,K168&gt;=1,K168&lt;=3),"OK","CHECK")</x:f>
        <x:v>OK</x:v>
      </x:c>
      <x:c r="W168" t="str">
        <x:f>IF(SUMIF($B$5:$B$914,B168,$S$5:$S$914)=SUMIF(DailyProduction!$Q$5:$Q$100,B168,DailyProduction!$R$5:$R$100),"OK","CHECK")</x:f>
        <x:v>OK</x:v>
      </x:c>
    </x:row>
    <x:row r="169">
      <x:c r="A169" t="str">
        <x:v>PC-PE-KG01-L21-20251026-AM-ORD-2025-00021-S09</x:v>
      </x:c>
      <x:c r="B169" t="str">
        <x:v>PE-KG01-L21-20251026-AM-ORD-2025-00021</x:v>
      </x:c>
      <x:c r="C169" t="str">
        <x:v>KG01</x:v>
      </x:c>
      <x:c r="D169" t="n">
        <x:v>45956</x:v>
      </x:c>
      <x:c r="E169" t="str">
        <x:v>AM</x:v>
      </x:c>
      <x:c r="F169" t="str">
        <x:v>C</x:v>
      </x:c>
      <x:c r="G169" t="n">
        <x:v>21</x:v>
      </x:c>
      <x:c r="H169" t="str">
        <x:v>ORD-2025-00021</x:v>
      </x:c>
      <x:c r="I169" t="n">
        <x:v>9</x:v>
      </x:c>
      <x:c r="J169" t="n">
        <x:v>10</x:v>
      </x:c>
      <x:c r="K169" t="n">
        <x:v>3</x:v>
      </x:c>
      <x:c r="L169" t="n">
        <x:f>IF(I169&lt;=J169,1,0)</x:f>
        <x:v>1</x:v>
      </x:c>
      <x:c r="P169" t="n">
        <x:f>IF(M169="",IF(AND(L169=1,K169&gt;=1),1,0),M169)</x:f>
        <x:v>1</x:v>
      </x:c>
      <x:c r="Q169" t="n">
        <x:f>IF(N169="",IF(AND(L169=1,K169&gt;=2),1,0),N169)</x:f>
        <x:v>1</x:v>
      </x:c>
      <x:c r="R169" t="n">
        <x:f>IF(O169="",IF(AND(L169=1,K169&gt;=3),1,0),O169)</x:f>
        <x:v>1</x:v>
      </x:c>
      <x:c r="S169" t="n">
        <x:f>SUM(P169:R169)</x:f>
        <x:v>3</x:v>
      </x:c>
      <x:c r="T169" t="str">
        <x:f>IF(COUNTA(M169:O169)=0,"DerivedFromCount","ManualOverride")</x:f>
        <x:v>DerivedFromCount</x:v>
      </x:c>
      <x:c r="U169" t="str">
        <x:f>IF(COUNTIF(DailyProduction!$Q$5:$Q$100,B169)=1,"OK","CHECK")</x:f>
        <x:v>OK</x:v>
      </x:c>
      <x:c r="V169" t="str">
        <x:f>IF(AND(I169&gt;=1,I169&lt;=13,K169&gt;=1,K169&lt;=3),"OK","CHECK")</x:f>
        <x:v>OK</x:v>
      </x:c>
      <x:c r="W169" t="str">
        <x:f>IF(SUMIF($B$5:$B$914,B169,$S$5:$S$914)=SUMIF(DailyProduction!$Q$5:$Q$100,B169,DailyProduction!$R$5:$R$100),"OK","CHECK")</x:f>
        <x:v>OK</x:v>
      </x:c>
    </x:row>
    <x:row r="170">
      <x:c r="A170" t="str">
        <x:v>PC-PE-KG01-L21-20251026-AM-ORD-2025-00021-S10</x:v>
      </x:c>
      <x:c r="B170" t="str">
        <x:v>PE-KG01-L21-20251026-AM-ORD-2025-00021</x:v>
      </x:c>
      <x:c r="C170" t="str">
        <x:v>KG01</x:v>
      </x:c>
      <x:c r="D170" t="n">
        <x:v>45956</x:v>
      </x:c>
      <x:c r="E170" t="str">
        <x:v>AM</x:v>
      </x:c>
      <x:c r="F170" t="str">
        <x:v>C</x:v>
      </x:c>
      <x:c r="G170" t="n">
        <x:v>21</x:v>
      </x:c>
      <x:c r="H170" t="str">
        <x:v>ORD-2025-00021</x:v>
      </x:c>
      <x:c r="I170" t="n">
        <x:v>10</x:v>
      </x:c>
      <x:c r="J170" t="n">
        <x:v>10</x:v>
      </x:c>
      <x:c r="K170" t="n">
        <x:v>3</x:v>
      </x:c>
      <x:c r="L170" t="n">
        <x:f>IF(I170&lt;=J170,1,0)</x:f>
        <x:v>1</x:v>
      </x:c>
      <x:c r="P170" t="n">
        <x:f>IF(M170="",IF(AND(L170=1,K170&gt;=1),1,0),M170)</x:f>
        <x:v>1</x:v>
      </x:c>
      <x:c r="Q170" t="n">
        <x:f>IF(N170="",IF(AND(L170=1,K170&gt;=2),1,0),N170)</x:f>
        <x:v>1</x:v>
      </x:c>
      <x:c r="R170" t="n">
        <x:f>IF(O170="",IF(AND(L170=1,K170&gt;=3),1,0),O170)</x:f>
        <x:v>1</x:v>
      </x:c>
      <x:c r="S170" t="n">
        <x:f>SUM(P170:R170)</x:f>
        <x:v>3</x:v>
      </x:c>
      <x:c r="T170" t="str">
        <x:f>IF(COUNTA(M170:O170)=0,"DerivedFromCount","ManualOverride")</x:f>
        <x:v>DerivedFromCount</x:v>
      </x:c>
      <x:c r="U170" t="str">
        <x:f>IF(COUNTIF(DailyProduction!$Q$5:$Q$100,B170)=1,"OK","CHECK")</x:f>
        <x:v>OK</x:v>
      </x:c>
      <x:c r="V170" t="str">
        <x:f>IF(AND(I170&gt;=1,I170&lt;=13,K170&gt;=1,K170&lt;=3),"OK","CHECK")</x:f>
        <x:v>OK</x:v>
      </x:c>
      <x:c r="W170" t="str">
        <x:f>IF(SUMIF($B$5:$B$914,B170,$S$5:$S$914)=SUMIF(DailyProduction!$Q$5:$Q$100,B170,DailyProduction!$R$5:$R$100),"OK","CHECK")</x:f>
        <x:v>OK</x:v>
      </x:c>
    </x:row>
    <x:row r="171">
      <x:c r="A171" t="str">
        <x:v>PC-PE-KG01-L21-20251026-AM-ORD-2025-00021-S11</x:v>
      </x:c>
      <x:c r="B171" t="str">
        <x:v>PE-KG01-L21-20251026-AM-ORD-2025-00021</x:v>
      </x:c>
      <x:c r="C171" t="str">
        <x:v>KG01</x:v>
      </x:c>
      <x:c r="D171" t="n">
        <x:v>45956</x:v>
      </x:c>
      <x:c r="E171" t="str">
        <x:v>AM</x:v>
      </x:c>
      <x:c r="F171" t="str">
        <x:v>C</x:v>
      </x:c>
      <x:c r="G171" t="n">
        <x:v>21</x:v>
      </x:c>
      <x:c r="H171" t="str">
        <x:v>ORD-2025-00021</x:v>
      </x:c>
      <x:c r="I171" t="n">
        <x:v>11</x:v>
      </x:c>
      <x:c r="J171" t="n">
        <x:v>10</x:v>
      </x:c>
      <x:c r="K171" t="n">
        <x:v>3</x:v>
      </x:c>
      <x:c r="L171" t="n">
        <x:f>IF(I171&lt;=J171,1,0)</x:f>
        <x:v>0</x:v>
      </x:c>
      <x:c r="P171" t="n">
        <x:f>IF(M171="",IF(AND(L171=1,K171&gt;=1),1,0),M171)</x:f>
        <x:v>0</x:v>
      </x:c>
      <x:c r="Q171" t="n">
        <x:f>IF(N171="",IF(AND(L171=1,K171&gt;=2),1,0),N171)</x:f>
        <x:v>0</x:v>
      </x:c>
      <x:c r="R171" t="n">
        <x:f>IF(O171="",IF(AND(L171=1,K171&gt;=3),1,0),O171)</x:f>
        <x:v>0</x:v>
      </x:c>
      <x:c r="S171" t="n">
        <x:f>SUM(P171:R171)</x:f>
        <x:v>0</x:v>
      </x:c>
      <x:c r="T171" t="str">
        <x:f>IF(COUNTA(M171:O171)=0,"DerivedFromCount","ManualOverride")</x:f>
        <x:v>DerivedFromCount</x:v>
      </x:c>
      <x:c r="U171" t="str">
        <x:f>IF(COUNTIF(DailyProduction!$Q$5:$Q$100,B171)=1,"OK","CHECK")</x:f>
        <x:v>OK</x:v>
      </x:c>
      <x:c r="V171" t="str">
        <x:f>IF(AND(I171&gt;=1,I171&lt;=13,K171&gt;=1,K171&lt;=3),"OK","CHECK")</x:f>
        <x:v>OK</x:v>
      </x:c>
      <x:c r="W171" t="str">
        <x:f>IF(SUMIF($B$5:$B$914,B171,$S$5:$S$914)=SUMIF(DailyProduction!$Q$5:$Q$100,B171,DailyProduction!$R$5:$R$100),"OK","CHECK")</x:f>
        <x:v>OK</x:v>
      </x:c>
    </x:row>
    <x:row r="172">
      <x:c r="A172" t="str">
        <x:v>PC-PE-KG01-L21-20251026-AM-ORD-2025-00021-S12</x:v>
      </x:c>
      <x:c r="B172" t="str">
        <x:v>PE-KG01-L21-20251026-AM-ORD-2025-00021</x:v>
      </x:c>
      <x:c r="C172" t="str">
        <x:v>KG01</x:v>
      </x:c>
      <x:c r="D172" t="n">
        <x:v>45956</x:v>
      </x:c>
      <x:c r="E172" t="str">
        <x:v>AM</x:v>
      </x:c>
      <x:c r="F172" t="str">
        <x:v>C</x:v>
      </x:c>
      <x:c r="G172" t="n">
        <x:v>21</x:v>
      </x:c>
      <x:c r="H172" t="str">
        <x:v>ORD-2025-00021</x:v>
      </x:c>
      <x:c r="I172" t="n">
        <x:v>12</x:v>
      </x:c>
      <x:c r="J172" t="n">
        <x:v>10</x:v>
      </x:c>
      <x:c r="K172" t="n">
        <x:v>3</x:v>
      </x:c>
      <x:c r="L172" t="n">
        <x:f>IF(I172&lt;=J172,1,0)</x:f>
        <x:v>0</x:v>
      </x:c>
      <x:c r="P172" t="n">
        <x:f>IF(M172="",IF(AND(L172=1,K172&gt;=1),1,0),M172)</x:f>
        <x:v>0</x:v>
      </x:c>
      <x:c r="Q172" t="n">
        <x:f>IF(N172="",IF(AND(L172=1,K172&gt;=2),1,0),N172)</x:f>
        <x:v>0</x:v>
      </x:c>
      <x:c r="R172" t="n">
        <x:f>IF(O172="",IF(AND(L172=1,K172&gt;=3),1,0),O172)</x:f>
        <x:v>0</x:v>
      </x:c>
      <x:c r="S172" t="n">
        <x:f>SUM(P172:R172)</x:f>
        <x:v>0</x:v>
      </x:c>
      <x:c r="T172" t="str">
        <x:f>IF(COUNTA(M172:O172)=0,"DerivedFromCount","ManualOverride")</x:f>
        <x:v>DerivedFromCount</x:v>
      </x:c>
      <x:c r="U172" t="str">
        <x:f>IF(COUNTIF(DailyProduction!$Q$5:$Q$100,B172)=1,"OK","CHECK")</x:f>
        <x:v>OK</x:v>
      </x:c>
      <x:c r="V172" t="str">
        <x:f>IF(AND(I172&gt;=1,I172&lt;=13,K172&gt;=1,K172&lt;=3),"OK","CHECK")</x:f>
        <x:v>OK</x:v>
      </x:c>
      <x:c r="W172" t="str">
        <x:f>IF(SUMIF($B$5:$B$914,B172,$S$5:$S$914)=SUMIF(DailyProduction!$Q$5:$Q$100,B172,DailyProduction!$R$5:$R$100),"OK","CHECK")</x:f>
        <x:v>OK</x:v>
      </x:c>
    </x:row>
    <x:row r="173">
      <x:c r="A173" t="str">
        <x:v>PC-PE-KG01-L21-20251026-AM-ORD-2025-00021-S13</x:v>
      </x:c>
      <x:c r="B173" t="str">
        <x:v>PE-KG01-L21-20251026-AM-ORD-2025-00021</x:v>
      </x:c>
      <x:c r="C173" t="str">
        <x:v>KG01</x:v>
      </x:c>
      <x:c r="D173" t="n">
        <x:v>45956</x:v>
      </x:c>
      <x:c r="E173" t="str">
        <x:v>AM</x:v>
      </x:c>
      <x:c r="F173" t="str">
        <x:v>C</x:v>
      </x:c>
      <x:c r="G173" t="n">
        <x:v>21</x:v>
      </x:c>
      <x:c r="H173" t="str">
        <x:v>ORD-2025-00021</x:v>
      </x:c>
      <x:c r="I173" t="n">
        <x:v>13</x:v>
      </x:c>
      <x:c r="J173" t="n">
        <x:v>10</x:v>
      </x:c>
      <x:c r="K173" t="n">
        <x:v>3</x:v>
      </x:c>
      <x:c r="L173" t="n">
        <x:f>IF(I173&lt;=J173,1,0)</x:f>
        <x:v>0</x:v>
      </x:c>
      <x:c r="P173" t="n">
        <x:f>IF(M173="",IF(AND(L173=1,K173&gt;=1),1,0),M173)</x:f>
        <x:v>0</x:v>
      </x:c>
      <x:c r="Q173" t="n">
        <x:f>IF(N173="",IF(AND(L173=1,K173&gt;=2),1,0),N173)</x:f>
        <x:v>0</x:v>
      </x:c>
      <x:c r="R173" t="n">
        <x:f>IF(O173="",IF(AND(L173=1,K173&gt;=3),1,0),O173)</x:f>
        <x:v>0</x:v>
      </x:c>
      <x:c r="S173" t="n">
        <x:f>SUM(P173:R173)</x:f>
        <x:v>0</x:v>
      </x:c>
      <x:c r="T173" t="str">
        <x:f>IF(COUNTA(M173:O173)=0,"DerivedFromCount","ManualOverride")</x:f>
        <x:v>DerivedFromCount</x:v>
      </x:c>
      <x:c r="U173" t="str">
        <x:f>IF(COUNTIF(DailyProduction!$Q$5:$Q$100,B173)=1,"OK","CHECK")</x:f>
        <x:v>OK</x:v>
      </x:c>
      <x:c r="V173" t="str">
        <x:f>IF(AND(I173&gt;=1,I173&lt;=13,K173&gt;=1,K173&lt;=3),"OK","CHECK")</x:f>
        <x:v>OK</x:v>
      </x:c>
      <x:c r="W173" t="str">
        <x:f>IF(SUMIF($B$5:$B$914,B173,$S$5:$S$914)=SUMIF(DailyProduction!$Q$5:$Q$100,B173,DailyProduction!$R$5:$R$100),"OK","CHECK")</x:f>
        <x:v>OK</x:v>
      </x:c>
    </x:row>
    <x:row r="174">
      <x:c r="A174" t="str">
        <x:v>PC-PE-KG01-L21-20251026-PM-ORD-2025-00021-S01</x:v>
      </x:c>
      <x:c r="B174" t="str">
        <x:v>PE-KG01-L21-20251026-PM-ORD-2025-00021</x:v>
      </x:c>
      <x:c r="C174" t="str">
        <x:v>KG01</x:v>
      </x:c>
      <x:c r="D174" t="n">
        <x:v>45956</x:v>
      </x:c>
      <x:c r="E174" t="str">
        <x:v>PM</x:v>
      </x:c>
      <x:c r="F174" t="str">
        <x:v>A</x:v>
      </x:c>
      <x:c r="G174" t="n">
        <x:v>21</x:v>
      </x:c>
      <x:c r="H174" t="str">
        <x:v>ORD-2025-00021</x:v>
      </x:c>
      <x:c r="I174" t="n">
        <x:v>1</x:v>
      </x:c>
      <x:c r="J174" t="n">
        <x:v>10</x:v>
      </x:c>
      <x:c r="K174" t="n">
        <x:v>3</x:v>
      </x:c>
      <x:c r="L174" t="n">
        <x:f>IF(I174&lt;=J174,1,0)</x:f>
        <x:v>1</x:v>
      </x:c>
      <x:c r="P174" t="n">
        <x:f>IF(M174="",IF(AND(L174=1,K174&gt;=1),1,0),M174)</x:f>
        <x:v>1</x:v>
      </x:c>
      <x:c r="Q174" t="n">
        <x:f>IF(N174="",IF(AND(L174=1,K174&gt;=2),1,0),N174)</x:f>
        <x:v>1</x:v>
      </x:c>
      <x:c r="R174" t="n">
        <x:f>IF(O174="",IF(AND(L174=1,K174&gt;=3),1,0),O174)</x:f>
        <x:v>1</x:v>
      </x:c>
      <x:c r="S174" t="n">
        <x:f>SUM(P174:R174)</x:f>
        <x:v>3</x:v>
      </x:c>
      <x:c r="T174" t="str">
        <x:f>IF(COUNTA(M174:O174)=0,"DerivedFromCount","ManualOverride")</x:f>
        <x:v>DerivedFromCount</x:v>
      </x:c>
      <x:c r="U174" t="str">
        <x:f>IF(COUNTIF(DailyProduction!$Q$5:$Q$100,B174)=1,"OK","CHECK")</x:f>
        <x:v>OK</x:v>
      </x:c>
      <x:c r="V174" t="str">
        <x:f>IF(AND(I174&gt;=1,I174&lt;=13,K174&gt;=1,K174&lt;=3),"OK","CHECK")</x:f>
        <x:v>OK</x:v>
      </x:c>
      <x:c r="W174" t="str">
        <x:f>IF(SUMIF($B$5:$B$914,B174,$S$5:$S$914)=SUMIF(DailyProduction!$Q$5:$Q$100,B174,DailyProduction!$R$5:$R$100),"OK","CHECK")</x:f>
        <x:v>OK</x:v>
      </x:c>
    </x:row>
    <x:row r="175">
      <x:c r="A175" t="str">
        <x:v>PC-PE-KG01-L21-20251026-PM-ORD-2025-00021-S02</x:v>
      </x:c>
      <x:c r="B175" t="str">
        <x:v>PE-KG01-L21-20251026-PM-ORD-2025-00021</x:v>
      </x:c>
      <x:c r="C175" t="str">
        <x:v>KG01</x:v>
      </x:c>
      <x:c r="D175" t="n">
        <x:v>45956</x:v>
      </x:c>
      <x:c r="E175" t="str">
        <x:v>PM</x:v>
      </x:c>
      <x:c r="F175" t="str">
        <x:v>A</x:v>
      </x:c>
      <x:c r="G175" t="n">
        <x:v>21</x:v>
      </x:c>
      <x:c r="H175" t="str">
        <x:v>ORD-2025-00021</x:v>
      </x:c>
      <x:c r="I175" t="n">
        <x:v>2</x:v>
      </x:c>
      <x:c r="J175" t="n">
        <x:v>10</x:v>
      </x:c>
      <x:c r="K175" t="n">
        <x:v>3</x:v>
      </x:c>
      <x:c r="L175" t="n">
        <x:f>IF(I175&lt;=J175,1,0)</x:f>
        <x:v>1</x:v>
      </x:c>
      <x:c r="P175" t="n">
        <x:f>IF(M175="",IF(AND(L175=1,K175&gt;=1),1,0),M175)</x:f>
        <x:v>1</x:v>
      </x:c>
      <x:c r="Q175" t="n">
        <x:f>IF(N175="",IF(AND(L175=1,K175&gt;=2),1,0),N175)</x:f>
        <x:v>1</x:v>
      </x:c>
      <x:c r="R175" t="n">
        <x:f>IF(O175="",IF(AND(L175=1,K175&gt;=3),1,0),O175)</x:f>
        <x:v>1</x:v>
      </x:c>
      <x:c r="S175" t="n">
        <x:f>SUM(P175:R175)</x:f>
        <x:v>3</x:v>
      </x:c>
      <x:c r="T175" t="str">
        <x:f>IF(COUNTA(M175:O175)=0,"DerivedFromCount","ManualOverride")</x:f>
        <x:v>DerivedFromCount</x:v>
      </x:c>
      <x:c r="U175" t="str">
        <x:f>IF(COUNTIF(DailyProduction!$Q$5:$Q$100,B175)=1,"OK","CHECK")</x:f>
        <x:v>OK</x:v>
      </x:c>
      <x:c r="V175" t="str">
        <x:f>IF(AND(I175&gt;=1,I175&lt;=13,K175&gt;=1,K175&lt;=3),"OK","CHECK")</x:f>
        <x:v>OK</x:v>
      </x:c>
      <x:c r="W175" t="str">
        <x:f>IF(SUMIF($B$5:$B$914,B175,$S$5:$S$914)=SUMIF(DailyProduction!$Q$5:$Q$100,B175,DailyProduction!$R$5:$R$100),"OK","CHECK")</x:f>
        <x:v>OK</x:v>
      </x:c>
    </x:row>
    <x:row r="176">
      <x:c r="A176" t="str">
        <x:v>PC-PE-KG01-L21-20251026-PM-ORD-2025-00021-S03</x:v>
      </x:c>
      <x:c r="B176" t="str">
        <x:v>PE-KG01-L21-20251026-PM-ORD-2025-00021</x:v>
      </x:c>
      <x:c r="C176" t="str">
        <x:v>KG01</x:v>
      </x:c>
      <x:c r="D176" t="n">
        <x:v>45956</x:v>
      </x:c>
      <x:c r="E176" t="str">
        <x:v>PM</x:v>
      </x:c>
      <x:c r="F176" t="str">
        <x:v>A</x:v>
      </x:c>
      <x:c r="G176" t="n">
        <x:v>21</x:v>
      </x:c>
      <x:c r="H176" t="str">
        <x:v>ORD-2025-00021</x:v>
      </x:c>
      <x:c r="I176" t="n">
        <x:v>3</x:v>
      </x:c>
      <x:c r="J176" t="n">
        <x:v>10</x:v>
      </x:c>
      <x:c r="K176" t="n">
        <x:v>3</x:v>
      </x:c>
      <x:c r="L176" t="n">
        <x:f>IF(I176&lt;=J176,1,0)</x:f>
        <x:v>1</x:v>
      </x:c>
      <x:c r="P176" t="n">
        <x:f>IF(M176="",IF(AND(L176=1,K176&gt;=1),1,0),M176)</x:f>
        <x:v>1</x:v>
      </x:c>
      <x:c r="Q176" t="n">
        <x:f>IF(N176="",IF(AND(L176=1,K176&gt;=2),1,0),N176)</x:f>
        <x:v>1</x:v>
      </x:c>
      <x:c r="R176" t="n">
        <x:f>IF(O176="",IF(AND(L176=1,K176&gt;=3),1,0),O176)</x:f>
        <x:v>1</x:v>
      </x:c>
      <x:c r="S176" t="n">
        <x:f>SUM(P176:R176)</x:f>
        <x:v>3</x:v>
      </x:c>
      <x:c r="T176" t="str">
        <x:f>IF(COUNTA(M176:O176)=0,"DerivedFromCount","ManualOverride")</x:f>
        <x:v>DerivedFromCount</x:v>
      </x:c>
      <x:c r="U176" t="str">
        <x:f>IF(COUNTIF(DailyProduction!$Q$5:$Q$100,B176)=1,"OK","CHECK")</x:f>
        <x:v>OK</x:v>
      </x:c>
      <x:c r="V176" t="str">
        <x:f>IF(AND(I176&gt;=1,I176&lt;=13,K176&gt;=1,K176&lt;=3),"OK","CHECK")</x:f>
        <x:v>OK</x:v>
      </x:c>
      <x:c r="W176" t="str">
        <x:f>IF(SUMIF($B$5:$B$914,B176,$S$5:$S$914)=SUMIF(DailyProduction!$Q$5:$Q$100,B176,DailyProduction!$R$5:$R$100),"OK","CHECK")</x:f>
        <x:v>OK</x:v>
      </x:c>
    </x:row>
    <x:row r="177">
      <x:c r="A177" t="str">
        <x:v>PC-PE-KG01-L21-20251026-PM-ORD-2025-00021-S04</x:v>
      </x:c>
      <x:c r="B177" t="str">
        <x:v>PE-KG01-L21-20251026-PM-ORD-2025-00021</x:v>
      </x:c>
      <x:c r="C177" t="str">
        <x:v>KG01</x:v>
      </x:c>
      <x:c r="D177" t="n">
        <x:v>45956</x:v>
      </x:c>
      <x:c r="E177" t="str">
        <x:v>PM</x:v>
      </x:c>
      <x:c r="F177" t="str">
        <x:v>A</x:v>
      </x:c>
      <x:c r="G177" t="n">
        <x:v>21</x:v>
      </x:c>
      <x:c r="H177" t="str">
        <x:v>ORD-2025-00021</x:v>
      </x:c>
      <x:c r="I177" t="n">
        <x:v>4</x:v>
      </x:c>
      <x:c r="J177" t="n">
        <x:v>10</x:v>
      </x:c>
      <x:c r="K177" t="n">
        <x:v>3</x:v>
      </x:c>
      <x:c r="L177" t="n">
        <x:f>IF(I177&lt;=J177,1,0)</x:f>
        <x:v>1</x:v>
      </x:c>
      <x:c r="P177" t="n">
        <x:f>IF(M177="",IF(AND(L177=1,K177&gt;=1),1,0),M177)</x:f>
        <x:v>1</x:v>
      </x:c>
      <x:c r="Q177" t="n">
        <x:f>IF(N177="",IF(AND(L177=1,K177&gt;=2),1,0),N177)</x:f>
        <x:v>1</x:v>
      </x:c>
      <x:c r="R177" t="n">
        <x:f>IF(O177="",IF(AND(L177=1,K177&gt;=3),1,0),O177)</x:f>
        <x:v>1</x:v>
      </x:c>
      <x:c r="S177" t="n">
        <x:f>SUM(P177:R177)</x:f>
        <x:v>3</x:v>
      </x:c>
      <x:c r="T177" t="str">
        <x:f>IF(COUNTA(M177:O177)=0,"DerivedFromCount","ManualOverride")</x:f>
        <x:v>DerivedFromCount</x:v>
      </x:c>
      <x:c r="U177" t="str">
        <x:f>IF(COUNTIF(DailyProduction!$Q$5:$Q$100,B177)=1,"OK","CHECK")</x:f>
        <x:v>OK</x:v>
      </x:c>
      <x:c r="V177" t="str">
        <x:f>IF(AND(I177&gt;=1,I177&lt;=13,K177&gt;=1,K177&lt;=3),"OK","CHECK")</x:f>
        <x:v>OK</x:v>
      </x:c>
      <x:c r="W177" t="str">
        <x:f>IF(SUMIF($B$5:$B$914,B177,$S$5:$S$914)=SUMIF(DailyProduction!$Q$5:$Q$100,B177,DailyProduction!$R$5:$R$100),"OK","CHECK")</x:f>
        <x:v>OK</x:v>
      </x:c>
    </x:row>
    <x:row r="178">
      <x:c r="A178" t="str">
        <x:v>PC-PE-KG01-L21-20251026-PM-ORD-2025-00021-S05</x:v>
      </x:c>
      <x:c r="B178" t="str">
        <x:v>PE-KG01-L21-20251026-PM-ORD-2025-00021</x:v>
      </x:c>
      <x:c r="C178" t="str">
        <x:v>KG01</x:v>
      </x:c>
      <x:c r="D178" t="n">
        <x:v>45956</x:v>
      </x:c>
      <x:c r="E178" t="str">
        <x:v>PM</x:v>
      </x:c>
      <x:c r="F178" t="str">
        <x:v>A</x:v>
      </x:c>
      <x:c r="G178" t="n">
        <x:v>21</x:v>
      </x:c>
      <x:c r="H178" t="str">
        <x:v>ORD-2025-00021</x:v>
      </x:c>
      <x:c r="I178" t="n">
        <x:v>5</x:v>
      </x:c>
      <x:c r="J178" t="n">
        <x:v>10</x:v>
      </x:c>
      <x:c r="K178" t="n">
        <x:v>3</x:v>
      </x:c>
      <x:c r="L178" t="n">
        <x:f>IF(I178&lt;=J178,1,0)</x:f>
        <x:v>1</x:v>
      </x:c>
      <x:c r="P178" t="n">
        <x:f>IF(M178="",IF(AND(L178=1,K178&gt;=1),1,0),M178)</x:f>
        <x:v>1</x:v>
      </x:c>
      <x:c r="Q178" t="n">
        <x:f>IF(N178="",IF(AND(L178=1,K178&gt;=2),1,0),N178)</x:f>
        <x:v>1</x:v>
      </x:c>
      <x:c r="R178" t="n">
        <x:f>IF(O178="",IF(AND(L178=1,K178&gt;=3),1,0),O178)</x:f>
        <x:v>1</x:v>
      </x:c>
      <x:c r="S178" t="n">
        <x:f>SUM(P178:R178)</x:f>
        <x:v>3</x:v>
      </x:c>
      <x:c r="T178" t="str">
        <x:f>IF(COUNTA(M178:O178)=0,"DerivedFromCount","ManualOverride")</x:f>
        <x:v>DerivedFromCount</x:v>
      </x:c>
      <x:c r="U178" t="str">
        <x:f>IF(COUNTIF(DailyProduction!$Q$5:$Q$100,B178)=1,"OK","CHECK")</x:f>
        <x:v>OK</x:v>
      </x:c>
      <x:c r="V178" t="str">
        <x:f>IF(AND(I178&gt;=1,I178&lt;=13,K178&gt;=1,K178&lt;=3),"OK","CHECK")</x:f>
        <x:v>OK</x:v>
      </x:c>
      <x:c r="W178" t="str">
        <x:f>IF(SUMIF($B$5:$B$914,B178,$S$5:$S$914)=SUMIF(DailyProduction!$Q$5:$Q$100,B178,DailyProduction!$R$5:$R$100),"OK","CHECK")</x:f>
        <x:v>OK</x:v>
      </x:c>
    </x:row>
    <x:row r="179">
      <x:c r="A179" t="str">
        <x:v>PC-PE-KG01-L21-20251026-PM-ORD-2025-00021-S06</x:v>
      </x:c>
      <x:c r="B179" t="str">
        <x:v>PE-KG01-L21-20251026-PM-ORD-2025-00021</x:v>
      </x:c>
      <x:c r="C179" t="str">
        <x:v>KG01</x:v>
      </x:c>
      <x:c r="D179" t="n">
        <x:v>45956</x:v>
      </x:c>
      <x:c r="E179" t="str">
        <x:v>PM</x:v>
      </x:c>
      <x:c r="F179" t="str">
        <x:v>A</x:v>
      </x:c>
      <x:c r="G179" t="n">
        <x:v>21</x:v>
      </x:c>
      <x:c r="H179" t="str">
        <x:v>ORD-2025-00021</x:v>
      </x:c>
      <x:c r="I179" t="n">
        <x:v>6</x:v>
      </x:c>
      <x:c r="J179" t="n">
        <x:v>10</x:v>
      </x:c>
      <x:c r="K179" t="n">
        <x:v>3</x:v>
      </x:c>
      <x:c r="L179" t="n">
        <x:f>IF(I179&lt;=J179,1,0)</x:f>
        <x:v>1</x:v>
      </x:c>
      <x:c r="P179" t="n">
        <x:f>IF(M179="",IF(AND(L179=1,K179&gt;=1),1,0),M179)</x:f>
        <x:v>1</x:v>
      </x:c>
      <x:c r="Q179" t="n">
        <x:f>IF(N179="",IF(AND(L179=1,K179&gt;=2),1,0),N179)</x:f>
        <x:v>1</x:v>
      </x:c>
      <x:c r="R179" t="n">
        <x:f>IF(O179="",IF(AND(L179=1,K179&gt;=3),1,0),O179)</x:f>
        <x:v>1</x:v>
      </x:c>
      <x:c r="S179" t="n">
        <x:f>SUM(P179:R179)</x:f>
        <x:v>3</x:v>
      </x:c>
      <x:c r="T179" t="str">
        <x:f>IF(COUNTA(M179:O179)=0,"DerivedFromCount","ManualOverride")</x:f>
        <x:v>DerivedFromCount</x:v>
      </x:c>
      <x:c r="U179" t="str">
        <x:f>IF(COUNTIF(DailyProduction!$Q$5:$Q$100,B179)=1,"OK","CHECK")</x:f>
        <x:v>OK</x:v>
      </x:c>
      <x:c r="V179" t="str">
        <x:f>IF(AND(I179&gt;=1,I179&lt;=13,K179&gt;=1,K179&lt;=3),"OK","CHECK")</x:f>
        <x:v>OK</x:v>
      </x:c>
      <x:c r="W179" t="str">
        <x:f>IF(SUMIF($B$5:$B$914,B179,$S$5:$S$914)=SUMIF(DailyProduction!$Q$5:$Q$100,B179,DailyProduction!$R$5:$R$100),"OK","CHECK")</x:f>
        <x:v>OK</x:v>
      </x:c>
    </x:row>
    <x:row r="180">
      <x:c r="A180" t="str">
        <x:v>PC-PE-KG01-L21-20251026-PM-ORD-2025-00021-S07</x:v>
      </x:c>
      <x:c r="B180" t="str">
        <x:v>PE-KG01-L21-20251026-PM-ORD-2025-00021</x:v>
      </x:c>
      <x:c r="C180" t="str">
        <x:v>KG01</x:v>
      </x:c>
      <x:c r="D180" t="n">
        <x:v>45956</x:v>
      </x:c>
      <x:c r="E180" t="str">
        <x:v>PM</x:v>
      </x:c>
      <x:c r="F180" t="str">
        <x:v>A</x:v>
      </x:c>
      <x:c r="G180" t="n">
        <x:v>21</x:v>
      </x:c>
      <x:c r="H180" t="str">
        <x:v>ORD-2025-00021</x:v>
      </x:c>
      <x:c r="I180" t="n">
        <x:v>7</x:v>
      </x:c>
      <x:c r="J180" t="n">
        <x:v>10</x:v>
      </x:c>
      <x:c r="K180" t="n">
        <x:v>3</x:v>
      </x:c>
      <x:c r="L180" t="n">
        <x:f>IF(I180&lt;=J180,1,0)</x:f>
        <x:v>1</x:v>
      </x:c>
      <x:c r="P180" t="n">
        <x:f>IF(M180="",IF(AND(L180=1,K180&gt;=1),1,0),M180)</x:f>
        <x:v>1</x:v>
      </x:c>
      <x:c r="Q180" t="n">
        <x:f>IF(N180="",IF(AND(L180=1,K180&gt;=2),1,0),N180)</x:f>
        <x:v>1</x:v>
      </x:c>
      <x:c r="R180" t="n">
        <x:f>IF(O180="",IF(AND(L180=1,K180&gt;=3),1,0),O180)</x:f>
        <x:v>1</x:v>
      </x:c>
      <x:c r="S180" t="n">
        <x:f>SUM(P180:R180)</x:f>
        <x:v>3</x:v>
      </x:c>
      <x:c r="T180" t="str">
        <x:f>IF(COUNTA(M180:O180)=0,"DerivedFromCount","ManualOverride")</x:f>
        <x:v>DerivedFromCount</x:v>
      </x:c>
      <x:c r="U180" t="str">
        <x:f>IF(COUNTIF(DailyProduction!$Q$5:$Q$100,B180)=1,"OK","CHECK")</x:f>
        <x:v>OK</x:v>
      </x:c>
      <x:c r="V180" t="str">
        <x:f>IF(AND(I180&gt;=1,I180&lt;=13,K180&gt;=1,K180&lt;=3),"OK","CHECK")</x:f>
        <x:v>OK</x:v>
      </x:c>
      <x:c r="W180" t="str">
        <x:f>IF(SUMIF($B$5:$B$914,B180,$S$5:$S$914)=SUMIF(DailyProduction!$Q$5:$Q$100,B180,DailyProduction!$R$5:$R$100),"OK","CHECK")</x:f>
        <x:v>OK</x:v>
      </x:c>
    </x:row>
    <x:row r="181">
      <x:c r="A181" t="str">
        <x:v>PC-PE-KG01-L21-20251026-PM-ORD-2025-00021-S08</x:v>
      </x:c>
      <x:c r="B181" t="str">
        <x:v>PE-KG01-L21-20251026-PM-ORD-2025-00021</x:v>
      </x:c>
      <x:c r="C181" t="str">
        <x:v>KG01</x:v>
      </x:c>
      <x:c r="D181" t="n">
        <x:v>45956</x:v>
      </x:c>
      <x:c r="E181" t="str">
        <x:v>PM</x:v>
      </x:c>
      <x:c r="F181" t="str">
        <x:v>A</x:v>
      </x:c>
      <x:c r="G181" t="n">
        <x:v>21</x:v>
      </x:c>
      <x:c r="H181" t="str">
        <x:v>ORD-2025-00021</x:v>
      </x:c>
      <x:c r="I181" t="n">
        <x:v>8</x:v>
      </x:c>
      <x:c r="J181" t="n">
        <x:v>10</x:v>
      </x:c>
      <x:c r="K181" t="n">
        <x:v>3</x:v>
      </x:c>
      <x:c r="L181" t="n">
        <x:f>IF(I181&lt;=J181,1,0)</x:f>
        <x:v>1</x:v>
      </x:c>
      <x:c r="P181" t="n">
        <x:f>IF(M181="",IF(AND(L181=1,K181&gt;=1),1,0),M181)</x:f>
        <x:v>1</x:v>
      </x:c>
      <x:c r="Q181" t="n">
        <x:f>IF(N181="",IF(AND(L181=1,K181&gt;=2),1,0),N181)</x:f>
        <x:v>1</x:v>
      </x:c>
      <x:c r="R181" t="n">
        <x:f>IF(O181="",IF(AND(L181=1,K181&gt;=3),1,0),O181)</x:f>
        <x:v>1</x:v>
      </x:c>
      <x:c r="S181" t="n">
        <x:f>SUM(P181:R181)</x:f>
        <x:v>3</x:v>
      </x:c>
      <x:c r="T181" t="str">
        <x:f>IF(COUNTA(M181:O181)=0,"DerivedFromCount","ManualOverride")</x:f>
        <x:v>DerivedFromCount</x:v>
      </x:c>
      <x:c r="U181" t="str">
        <x:f>IF(COUNTIF(DailyProduction!$Q$5:$Q$100,B181)=1,"OK","CHECK")</x:f>
        <x:v>OK</x:v>
      </x:c>
      <x:c r="V181" t="str">
        <x:f>IF(AND(I181&gt;=1,I181&lt;=13,K181&gt;=1,K181&lt;=3),"OK","CHECK")</x:f>
        <x:v>OK</x:v>
      </x:c>
      <x:c r="W181" t="str">
        <x:f>IF(SUMIF($B$5:$B$914,B181,$S$5:$S$914)=SUMIF(DailyProduction!$Q$5:$Q$100,B181,DailyProduction!$R$5:$R$100),"OK","CHECK")</x:f>
        <x:v>OK</x:v>
      </x:c>
    </x:row>
    <x:row r="182">
      <x:c r="A182" t="str">
        <x:v>PC-PE-KG01-L21-20251026-PM-ORD-2025-00021-S09</x:v>
      </x:c>
      <x:c r="B182" t="str">
        <x:v>PE-KG01-L21-20251026-PM-ORD-2025-00021</x:v>
      </x:c>
      <x:c r="C182" t="str">
        <x:v>KG01</x:v>
      </x:c>
      <x:c r="D182" t="n">
        <x:v>45956</x:v>
      </x:c>
      <x:c r="E182" t="str">
        <x:v>PM</x:v>
      </x:c>
      <x:c r="F182" t="str">
        <x:v>A</x:v>
      </x:c>
      <x:c r="G182" t="n">
        <x:v>21</x:v>
      </x:c>
      <x:c r="H182" t="str">
        <x:v>ORD-2025-00021</x:v>
      </x:c>
      <x:c r="I182" t="n">
        <x:v>9</x:v>
      </x:c>
      <x:c r="J182" t="n">
        <x:v>10</x:v>
      </x:c>
      <x:c r="K182" t="n">
        <x:v>3</x:v>
      </x:c>
      <x:c r="L182" t="n">
        <x:f>IF(I182&lt;=J182,1,0)</x:f>
        <x:v>1</x:v>
      </x:c>
      <x:c r="P182" t="n">
        <x:f>IF(M182="",IF(AND(L182=1,K182&gt;=1),1,0),M182)</x:f>
        <x:v>1</x:v>
      </x:c>
      <x:c r="Q182" t="n">
        <x:f>IF(N182="",IF(AND(L182=1,K182&gt;=2),1,0),N182)</x:f>
        <x:v>1</x:v>
      </x:c>
      <x:c r="R182" t="n">
        <x:f>IF(O182="",IF(AND(L182=1,K182&gt;=3),1,0),O182)</x:f>
        <x:v>1</x:v>
      </x:c>
      <x:c r="S182" t="n">
        <x:f>SUM(P182:R182)</x:f>
        <x:v>3</x:v>
      </x:c>
      <x:c r="T182" t="str">
        <x:f>IF(COUNTA(M182:O182)=0,"DerivedFromCount","ManualOverride")</x:f>
        <x:v>DerivedFromCount</x:v>
      </x:c>
      <x:c r="U182" t="str">
        <x:f>IF(COUNTIF(DailyProduction!$Q$5:$Q$100,B182)=1,"OK","CHECK")</x:f>
        <x:v>OK</x:v>
      </x:c>
      <x:c r="V182" t="str">
        <x:f>IF(AND(I182&gt;=1,I182&lt;=13,K182&gt;=1,K182&lt;=3),"OK","CHECK")</x:f>
        <x:v>OK</x:v>
      </x:c>
      <x:c r="W182" t="str">
        <x:f>IF(SUMIF($B$5:$B$914,B182,$S$5:$S$914)=SUMIF(DailyProduction!$Q$5:$Q$100,B182,DailyProduction!$R$5:$R$100),"OK","CHECK")</x:f>
        <x:v>OK</x:v>
      </x:c>
    </x:row>
    <x:row r="183">
      <x:c r="A183" t="str">
        <x:v>PC-PE-KG01-L21-20251026-PM-ORD-2025-00021-S10</x:v>
      </x:c>
      <x:c r="B183" t="str">
        <x:v>PE-KG01-L21-20251026-PM-ORD-2025-00021</x:v>
      </x:c>
      <x:c r="C183" t="str">
        <x:v>KG01</x:v>
      </x:c>
      <x:c r="D183" t="n">
        <x:v>45956</x:v>
      </x:c>
      <x:c r="E183" t="str">
        <x:v>PM</x:v>
      </x:c>
      <x:c r="F183" t="str">
        <x:v>A</x:v>
      </x:c>
      <x:c r="G183" t="n">
        <x:v>21</x:v>
      </x:c>
      <x:c r="H183" t="str">
        <x:v>ORD-2025-00021</x:v>
      </x:c>
      <x:c r="I183" t="n">
        <x:v>10</x:v>
      </x:c>
      <x:c r="J183" t="n">
        <x:v>10</x:v>
      </x:c>
      <x:c r="K183" t="n">
        <x:v>3</x:v>
      </x:c>
      <x:c r="L183" t="n">
        <x:f>IF(I183&lt;=J183,1,0)</x:f>
        <x:v>1</x:v>
      </x:c>
      <x:c r="P183" t="n">
        <x:f>IF(M183="",IF(AND(L183=1,K183&gt;=1),1,0),M183)</x:f>
        <x:v>1</x:v>
      </x:c>
      <x:c r="Q183" t="n">
        <x:f>IF(N183="",IF(AND(L183=1,K183&gt;=2),1,0),N183)</x:f>
        <x:v>1</x:v>
      </x:c>
      <x:c r="R183" t="n">
        <x:f>IF(O183="",IF(AND(L183=1,K183&gt;=3),1,0),O183)</x:f>
        <x:v>1</x:v>
      </x:c>
      <x:c r="S183" t="n">
        <x:f>SUM(P183:R183)</x:f>
        <x:v>3</x:v>
      </x:c>
      <x:c r="T183" t="str">
        <x:f>IF(COUNTA(M183:O183)=0,"DerivedFromCount","ManualOverride")</x:f>
        <x:v>DerivedFromCount</x:v>
      </x:c>
      <x:c r="U183" t="str">
        <x:f>IF(COUNTIF(DailyProduction!$Q$5:$Q$100,B183)=1,"OK","CHECK")</x:f>
        <x:v>OK</x:v>
      </x:c>
      <x:c r="V183" t="str">
        <x:f>IF(AND(I183&gt;=1,I183&lt;=13,K183&gt;=1,K183&lt;=3),"OK","CHECK")</x:f>
        <x:v>OK</x:v>
      </x:c>
      <x:c r="W183" t="str">
        <x:f>IF(SUMIF($B$5:$B$914,B183,$S$5:$S$914)=SUMIF(DailyProduction!$Q$5:$Q$100,B183,DailyProduction!$R$5:$R$100),"OK","CHECK")</x:f>
        <x:v>OK</x:v>
      </x:c>
    </x:row>
    <x:row r="184">
      <x:c r="A184" t="str">
        <x:v>PC-PE-KG01-L21-20251026-PM-ORD-2025-00021-S11</x:v>
      </x:c>
      <x:c r="B184" t="str">
        <x:v>PE-KG01-L21-20251026-PM-ORD-2025-00021</x:v>
      </x:c>
      <x:c r="C184" t="str">
        <x:v>KG01</x:v>
      </x:c>
      <x:c r="D184" t="n">
        <x:v>45956</x:v>
      </x:c>
      <x:c r="E184" t="str">
        <x:v>PM</x:v>
      </x:c>
      <x:c r="F184" t="str">
        <x:v>A</x:v>
      </x:c>
      <x:c r="G184" t="n">
        <x:v>21</x:v>
      </x:c>
      <x:c r="H184" t="str">
        <x:v>ORD-2025-00021</x:v>
      </x:c>
      <x:c r="I184" t="n">
        <x:v>11</x:v>
      </x:c>
      <x:c r="J184" t="n">
        <x:v>10</x:v>
      </x:c>
      <x:c r="K184" t="n">
        <x:v>3</x:v>
      </x:c>
      <x:c r="L184" t="n">
        <x:f>IF(I184&lt;=J184,1,0)</x:f>
        <x:v>0</x:v>
      </x:c>
      <x:c r="P184" t="n">
        <x:f>IF(M184="",IF(AND(L184=1,K184&gt;=1),1,0),M184)</x:f>
        <x:v>0</x:v>
      </x:c>
      <x:c r="Q184" t="n">
        <x:f>IF(N184="",IF(AND(L184=1,K184&gt;=2),1,0),N184)</x:f>
        <x:v>0</x:v>
      </x:c>
      <x:c r="R184" t="n">
        <x:f>IF(O184="",IF(AND(L184=1,K184&gt;=3),1,0),O184)</x:f>
        <x:v>0</x:v>
      </x:c>
      <x:c r="S184" t="n">
        <x:f>SUM(P184:R184)</x:f>
        <x:v>0</x:v>
      </x:c>
      <x:c r="T184" t="str">
        <x:f>IF(COUNTA(M184:O184)=0,"DerivedFromCount","ManualOverride")</x:f>
        <x:v>DerivedFromCount</x:v>
      </x:c>
      <x:c r="U184" t="str">
        <x:f>IF(COUNTIF(DailyProduction!$Q$5:$Q$100,B184)=1,"OK","CHECK")</x:f>
        <x:v>OK</x:v>
      </x:c>
      <x:c r="V184" t="str">
        <x:f>IF(AND(I184&gt;=1,I184&lt;=13,K184&gt;=1,K184&lt;=3),"OK","CHECK")</x:f>
        <x:v>OK</x:v>
      </x:c>
      <x:c r="W184" t="str">
        <x:f>IF(SUMIF($B$5:$B$914,B184,$S$5:$S$914)=SUMIF(DailyProduction!$Q$5:$Q$100,B184,DailyProduction!$R$5:$R$100),"OK","CHECK")</x:f>
        <x:v>OK</x:v>
      </x:c>
    </x:row>
    <x:row r="185">
      <x:c r="A185" t="str">
        <x:v>PC-PE-KG01-L21-20251026-PM-ORD-2025-00021-S12</x:v>
      </x:c>
      <x:c r="B185" t="str">
        <x:v>PE-KG01-L21-20251026-PM-ORD-2025-00021</x:v>
      </x:c>
      <x:c r="C185" t="str">
        <x:v>KG01</x:v>
      </x:c>
      <x:c r="D185" t="n">
        <x:v>45956</x:v>
      </x:c>
      <x:c r="E185" t="str">
        <x:v>PM</x:v>
      </x:c>
      <x:c r="F185" t="str">
        <x:v>A</x:v>
      </x:c>
      <x:c r="G185" t="n">
        <x:v>21</x:v>
      </x:c>
      <x:c r="H185" t="str">
        <x:v>ORD-2025-00021</x:v>
      </x:c>
      <x:c r="I185" t="n">
        <x:v>12</x:v>
      </x:c>
      <x:c r="J185" t="n">
        <x:v>10</x:v>
      </x:c>
      <x:c r="K185" t="n">
        <x:v>3</x:v>
      </x:c>
      <x:c r="L185" t="n">
        <x:f>IF(I185&lt;=J185,1,0)</x:f>
        <x:v>0</x:v>
      </x:c>
      <x:c r="P185" t="n">
        <x:f>IF(M185="",IF(AND(L185=1,K185&gt;=1),1,0),M185)</x:f>
        <x:v>0</x:v>
      </x:c>
      <x:c r="Q185" t="n">
        <x:f>IF(N185="",IF(AND(L185=1,K185&gt;=2),1,0),N185)</x:f>
        <x:v>0</x:v>
      </x:c>
      <x:c r="R185" t="n">
        <x:f>IF(O185="",IF(AND(L185=1,K185&gt;=3),1,0),O185)</x:f>
        <x:v>0</x:v>
      </x:c>
      <x:c r="S185" t="n">
        <x:f>SUM(P185:R185)</x:f>
        <x:v>0</x:v>
      </x:c>
      <x:c r="T185" t="str">
        <x:f>IF(COUNTA(M185:O185)=0,"DerivedFromCount","ManualOverride")</x:f>
        <x:v>DerivedFromCount</x:v>
      </x:c>
      <x:c r="U185" t="str">
        <x:f>IF(COUNTIF(DailyProduction!$Q$5:$Q$100,B185)=1,"OK","CHECK")</x:f>
        <x:v>OK</x:v>
      </x:c>
      <x:c r="V185" t="str">
        <x:f>IF(AND(I185&gt;=1,I185&lt;=13,K185&gt;=1,K185&lt;=3),"OK","CHECK")</x:f>
        <x:v>OK</x:v>
      </x:c>
      <x:c r="W185" t="str">
        <x:f>IF(SUMIF($B$5:$B$914,B185,$S$5:$S$914)=SUMIF(DailyProduction!$Q$5:$Q$100,B185,DailyProduction!$R$5:$R$100),"OK","CHECK")</x:f>
        <x:v>OK</x:v>
      </x:c>
    </x:row>
    <x:row r="186">
      <x:c r="A186" t="str">
        <x:v>PC-PE-KG01-L21-20251026-PM-ORD-2025-00021-S13</x:v>
      </x:c>
      <x:c r="B186" t="str">
        <x:v>PE-KG01-L21-20251026-PM-ORD-2025-00021</x:v>
      </x:c>
      <x:c r="C186" t="str">
        <x:v>KG01</x:v>
      </x:c>
      <x:c r="D186" t="n">
        <x:v>45956</x:v>
      </x:c>
      <x:c r="E186" t="str">
        <x:v>PM</x:v>
      </x:c>
      <x:c r="F186" t="str">
        <x:v>A</x:v>
      </x:c>
      <x:c r="G186" t="n">
        <x:v>21</x:v>
      </x:c>
      <x:c r="H186" t="str">
        <x:v>ORD-2025-00021</x:v>
      </x:c>
      <x:c r="I186" t="n">
        <x:v>13</x:v>
      </x:c>
      <x:c r="J186" t="n">
        <x:v>10</x:v>
      </x:c>
      <x:c r="K186" t="n">
        <x:v>3</x:v>
      </x:c>
      <x:c r="L186" t="n">
        <x:f>IF(I186&lt;=J186,1,0)</x:f>
        <x:v>0</x:v>
      </x:c>
      <x:c r="P186" t="n">
        <x:f>IF(M186="",IF(AND(L186=1,K186&gt;=1),1,0),M186)</x:f>
        <x:v>0</x:v>
      </x:c>
      <x:c r="Q186" t="n">
        <x:f>IF(N186="",IF(AND(L186=1,K186&gt;=2),1,0),N186)</x:f>
        <x:v>0</x:v>
      </x:c>
      <x:c r="R186" t="n">
        <x:f>IF(O186="",IF(AND(L186=1,K186&gt;=3),1,0),O186)</x:f>
        <x:v>0</x:v>
      </x:c>
      <x:c r="S186" t="n">
        <x:f>SUM(P186:R186)</x:f>
        <x:v>0</x:v>
      </x:c>
      <x:c r="T186" t="str">
        <x:f>IF(COUNTA(M186:O186)=0,"DerivedFromCount","ManualOverride")</x:f>
        <x:v>DerivedFromCount</x:v>
      </x:c>
      <x:c r="U186" t="str">
        <x:f>IF(COUNTIF(DailyProduction!$Q$5:$Q$100,B186)=1,"OK","CHECK")</x:f>
        <x:v>OK</x:v>
      </x:c>
      <x:c r="V186" t="str">
        <x:f>IF(AND(I186&gt;=1,I186&lt;=13,K186&gt;=1,K186&lt;=3),"OK","CHECK")</x:f>
        <x:v>OK</x:v>
      </x:c>
      <x:c r="W186" t="str">
        <x:f>IF(SUMIF($B$5:$B$914,B186,$S$5:$S$914)=SUMIF(DailyProduction!$Q$5:$Q$100,B186,DailyProduction!$R$5:$R$100),"OK","CHECK")</x:f>
        <x:v>OK</x:v>
      </x:c>
    </x:row>
    <x:row r="187">
      <x:c r="A187" t="str">
        <x:v>PC-PE-KG01-L22-20251020-AM-ORD-2025-00056-S01</x:v>
      </x:c>
      <x:c r="B187" t="str">
        <x:v>PE-KG01-L22-20251020-AM-ORD-2025-00056</x:v>
      </x:c>
      <x:c r="C187" t="str">
        <x:v>KG01</x:v>
      </x:c>
      <x:c r="D187" t="n">
        <x:v>45950</x:v>
      </x:c>
      <x:c r="E187" t="str">
        <x:v>AM</x:v>
      </x:c>
      <x:c r="F187" t="str">
        <x:v>C</x:v>
      </x:c>
      <x:c r="G187" t="n">
        <x:v>22</x:v>
      </x:c>
      <x:c r="H187" t="str">
        <x:v>ORD-2025-00056</x:v>
      </x:c>
      <x:c r="I187" t="n">
        <x:v>1</x:v>
      </x:c>
      <x:c r="J187" t="n">
        <x:v>10</x:v>
      </x:c>
      <x:c r="K187" t="n">
        <x:v>2</x:v>
      </x:c>
      <x:c r="L187" t="n">
        <x:f>IF(I187&lt;=J187,1,0)</x:f>
        <x:v>1</x:v>
      </x:c>
      <x:c r="P187" t="n">
        <x:f>IF(M187="",IF(AND(L187=1,K187&gt;=1),1,0),M187)</x:f>
        <x:v>1</x:v>
      </x:c>
      <x:c r="Q187" t="n">
        <x:f>IF(N187="",IF(AND(L187=1,K187&gt;=2),1,0),N187)</x:f>
        <x:v>1</x:v>
      </x:c>
      <x:c r="R187" t="n">
        <x:f>IF(O187="",IF(AND(L187=1,K187&gt;=3),1,0),O187)</x:f>
        <x:v>0</x:v>
      </x:c>
      <x:c r="S187" t="n">
        <x:f>SUM(P187:R187)</x:f>
        <x:v>2</x:v>
      </x:c>
      <x:c r="T187" t="str">
        <x:f>IF(COUNTA(M187:O187)=0,"DerivedFromCount","ManualOverride")</x:f>
        <x:v>DerivedFromCount</x:v>
      </x:c>
      <x:c r="U187" t="str">
        <x:f>IF(COUNTIF(DailyProduction!$Q$5:$Q$100,B187)=1,"OK","CHECK")</x:f>
        <x:v>OK</x:v>
      </x:c>
      <x:c r="V187" t="str">
        <x:f>IF(AND(I187&gt;=1,I187&lt;=13,K187&gt;=1,K187&lt;=3),"OK","CHECK")</x:f>
        <x:v>OK</x:v>
      </x:c>
      <x:c r="W187" t="str">
        <x:f>IF(SUMIF($B$5:$B$914,B187,$S$5:$S$914)=SUMIF(DailyProduction!$Q$5:$Q$100,B187,DailyProduction!$R$5:$R$100),"OK","CHECK")</x:f>
        <x:v>OK</x:v>
      </x:c>
    </x:row>
    <x:row r="188">
      <x:c r="A188" t="str">
        <x:v>PC-PE-KG01-L22-20251020-AM-ORD-2025-00056-S02</x:v>
      </x:c>
      <x:c r="B188" t="str">
        <x:v>PE-KG01-L22-20251020-AM-ORD-2025-00056</x:v>
      </x:c>
      <x:c r="C188" t="str">
        <x:v>KG01</x:v>
      </x:c>
      <x:c r="D188" t="n">
        <x:v>45950</x:v>
      </x:c>
      <x:c r="E188" t="str">
        <x:v>AM</x:v>
      </x:c>
      <x:c r="F188" t="str">
        <x:v>C</x:v>
      </x:c>
      <x:c r="G188" t="n">
        <x:v>22</x:v>
      </x:c>
      <x:c r="H188" t="str">
        <x:v>ORD-2025-00056</x:v>
      </x:c>
      <x:c r="I188" t="n">
        <x:v>2</x:v>
      </x:c>
      <x:c r="J188" t="n">
        <x:v>10</x:v>
      </x:c>
      <x:c r="K188" t="n">
        <x:v>2</x:v>
      </x:c>
      <x:c r="L188" t="n">
        <x:f>IF(I188&lt;=J188,1,0)</x:f>
        <x:v>1</x:v>
      </x:c>
      <x:c r="P188" t="n">
        <x:f>IF(M188="",IF(AND(L188=1,K188&gt;=1),1,0),M188)</x:f>
        <x:v>1</x:v>
      </x:c>
      <x:c r="Q188" t="n">
        <x:f>IF(N188="",IF(AND(L188=1,K188&gt;=2),1,0),N188)</x:f>
        <x:v>1</x:v>
      </x:c>
      <x:c r="R188" t="n">
        <x:f>IF(O188="",IF(AND(L188=1,K188&gt;=3),1,0),O188)</x:f>
        <x:v>0</x:v>
      </x:c>
      <x:c r="S188" t="n">
        <x:f>SUM(P188:R188)</x:f>
        <x:v>2</x:v>
      </x:c>
      <x:c r="T188" t="str">
        <x:f>IF(COUNTA(M188:O188)=0,"DerivedFromCount","ManualOverride")</x:f>
        <x:v>DerivedFromCount</x:v>
      </x:c>
      <x:c r="U188" t="str">
        <x:f>IF(COUNTIF(DailyProduction!$Q$5:$Q$100,B188)=1,"OK","CHECK")</x:f>
        <x:v>OK</x:v>
      </x:c>
      <x:c r="V188" t="str">
        <x:f>IF(AND(I188&gt;=1,I188&lt;=13,K188&gt;=1,K188&lt;=3),"OK","CHECK")</x:f>
        <x:v>OK</x:v>
      </x:c>
      <x:c r="W188" t="str">
        <x:f>IF(SUMIF($B$5:$B$914,B188,$S$5:$S$914)=SUMIF(DailyProduction!$Q$5:$Q$100,B188,DailyProduction!$R$5:$R$100),"OK","CHECK")</x:f>
        <x:v>OK</x:v>
      </x:c>
    </x:row>
    <x:row r="189">
      <x:c r="A189" t="str">
        <x:v>PC-PE-KG01-L22-20251020-AM-ORD-2025-00056-S03</x:v>
      </x:c>
      <x:c r="B189" t="str">
        <x:v>PE-KG01-L22-20251020-AM-ORD-2025-00056</x:v>
      </x:c>
      <x:c r="C189" t="str">
        <x:v>KG01</x:v>
      </x:c>
      <x:c r="D189" t="n">
        <x:v>45950</x:v>
      </x:c>
      <x:c r="E189" t="str">
        <x:v>AM</x:v>
      </x:c>
      <x:c r="F189" t="str">
        <x:v>C</x:v>
      </x:c>
      <x:c r="G189" t="n">
        <x:v>22</x:v>
      </x:c>
      <x:c r="H189" t="str">
        <x:v>ORD-2025-00056</x:v>
      </x:c>
      <x:c r="I189" t="n">
        <x:v>3</x:v>
      </x:c>
      <x:c r="J189" t="n">
        <x:v>10</x:v>
      </x:c>
      <x:c r="K189" t="n">
        <x:v>2</x:v>
      </x:c>
      <x:c r="L189" t="n">
        <x:f>IF(I189&lt;=J189,1,0)</x:f>
        <x:v>1</x:v>
      </x:c>
      <x:c r="P189" t="n">
        <x:f>IF(M189="",IF(AND(L189=1,K189&gt;=1),1,0),M189)</x:f>
        <x:v>1</x:v>
      </x:c>
      <x:c r="Q189" t="n">
        <x:f>IF(N189="",IF(AND(L189=1,K189&gt;=2),1,0),N189)</x:f>
        <x:v>1</x:v>
      </x:c>
      <x:c r="R189" t="n">
        <x:f>IF(O189="",IF(AND(L189=1,K189&gt;=3),1,0),O189)</x:f>
        <x:v>0</x:v>
      </x:c>
      <x:c r="S189" t="n">
        <x:f>SUM(P189:R189)</x:f>
        <x:v>2</x:v>
      </x:c>
      <x:c r="T189" t="str">
        <x:f>IF(COUNTA(M189:O189)=0,"DerivedFromCount","ManualOverride")</x:f>
        <x:v>DerivedFromCount</x:v>
      </x:c>
      <x:c r="U189" t="str">
        <x:f>IF(COUNTIF(DailyProduction!$Q$5:$Q$100,B189)=1,"OK","CHECK")</x:f>
        <x:v>OK</x:v>
      </x:c>
      <x:c r="V189" t="str">
        <x:f>IF(AND(I189&gt;=1,I189&lt;=13,K189&gt;=1,K189&lt;=3),"OK","CHECK")</x:f>
        <x:v>OK</x:v>
      </x:c>
      <x:c r="W189" t="str">
        <x:f>IF(SUMIF($B$5:$B$914,B189,$S$5:$S$914)=SUMIF(DailyProduction!$Q$5:$Q$100,B189,DailyProduction!$R$5:$R$100),"OK","CHECK")</x:f>
        <x:v>OK</x:v>
      </x:c>
    </x:row>
    <x:row r="190">
      <x:c r="A190" t="str">
        <x:v>PC-PE-KG01-L22-20251020-AM-ORD-2025-00056-S04</x:v>
      </x:c>
      <x:c r="B190" t="str">
        <x:v>PE-KG01-L22-20251020-AM-ORD-2025-00056</x:v>
      </x:c>
      <x:c r="C190" t="str">
        <x:v>KG01</x:v>
      </x:c>
      <x:c r="D190" t="n">
        <x:v>45950</x:v>
      </x:c>
      <x:c r="E190" t="str">
        <x:v>AM</x:v>
      </x:c>
      <x:c r="F190" t="str">
        <x:v>C</x:v>
      </x:c>
      <x:c r="G190" t="n">
        <x:v>22</x:v>
      </x:c>
      <x:c r="H190" t="str">
        <x:v>ORD-2025-00056</x:v>
      </x:c>
      <x:c r="I190" t="n">
        <x:v>4</x:v>
      </x:c>
      <x:c r="J190" t="n">
        <x:v>10</x:v>
      </x:c>
      <x:c r="K190" t="n">
        <x:v>2</x:v>
      </x:c>
      <x:c r="L190" t="n">
        <x:f>IF(I190&lt;=J190,1,0)</x:f>
        <x:v>1</x:v>
      </x:c>
      <x:c r="P190" t="n">
        <x:f>IF(M190="",IF(AND(L190=1,K190&gt;=1),1,0),M190)</x:f>
        <x:v>1</x:v>
      </x:c>
      <x:c r="Q190" t="n">
        <x:f>IF(N190="",IF(AND(L190=1,K190&gt;=2),1,0),N190)</x:f>
        <x:v>1</x:v>
      </x:c>
      <x:c r="R190" t="n">
        <x:f>IF(O190="",IF(AND(L190=1,K190&gt;=3),1,0),O190)</x:f>
        <x:v>0</x:v>
      </x:c>
      <x:c r="S190" t="n">
        <x:f>SUM(P190:R190)</x:f>
        <x:v>2</x:v>
      </x:c>
      <x:c r="T190" t="str">
        <x:f>IF(COUNTA(M190:O190)=0,"DerivedFromCount","ManualOverride")</x:f>
        <x:v>DerivedFromCount</x:v>
      </x:c>
      <x:c r="U190" t="str">
        <x:f>IF(COUNTIF(DailyProduction!$Q$5:$Q$100,B190)=1,"OK","CHECK")</x:f>
        <x:v>OK</x:v>
      </x:c>
      <x:c r="V190" t="str">
        <x:f>IF(AND(I190&gt;=1,I190&lt;=13,K190&gt;=1,K190&lt;=3),"OK","CHECK")</x:f>
        <x:v>OK</x:v>
      </x:c>
      <x:c r="W190" t="str">
        <x:f>IF(SUMIF($B$5:$B$914,B190,$S$5:$S$914)=SUMIF(DailyProduction!$Q$5:$Q$100,B190,DailyProduction!$R$5:$R$100),"OK","CHECK")</x:f>
        <x:v>OK</x:v>
      </x:c>
    </x:row>
    <x:row r="191">
      <x:c r="A191" t="str">
        <x:v>PC-PE-KG01-L22-20251020-AM-ORD-2025-00056-S05</x:v>
      </x:c>
      <x:c r="B191" t="str">
        <x:v>PE-KG01-L22-20251020-AM-ORD-2025-00056</x:v>
      </x:c>
      <x:c r="C191" t="str">
        <x:v>KG01</x:v>
      </x:c>
      <x:c r="D191" t="n">
        <x:v>45950</x:v>
      </x:c>
      <x:c r="E191" t="str">
        <x:v>AM</x:v>
      </x:c>
      <x:c r="F191" t="str">
        <x:v>C</x:v>
      </x:c>
      <x:c r="G191" t="n">
        <x:v>22</x:v>
      </x:c>
      <x:c r="H191" t="str">
        <x:v>ORD-2025-00056</x:v>
      </x:c>
      <x:c r="I191" t="n">
        <x:v>5</x:v>
      </x:c>
      <x:c r="J191" t="n">
        <x:v>10</x:v>
      </x:c>
      <x:c r="K191" t="n">
        <x:v>2</x:v>
      </x:c>
      <x:c r="L191" t="n">
        <x:f>IF(I191&lt;=J191,1,0)</x:f>
        <x:v>1</x:v>
      </x:c>
      <x:c r="P191" t="n">
        <x:f>IF(M191="",IF(AND(L191=1,K191&gt;=1),1,0),M191)</x:f>
        <x:v>1</x:v>
      </x:c>
      <x:c r="Q191" t="n">
        <x:f>IF(N191="",IF(AND(L191=1,K191&gt;=2),1,0),N191)</x:f>
        <x:v>1</x:v>
      </x:c>
      <x:c r="R191" t="n">
        <x:f>IF(O191="",IF(AND(L191=1,K191&gt;=3),1,0),O191)</x:f>
        <x:v>0</x:v>
      </x:c>
      <x:c r="S191" t="n">
        <x:f>SUM(P191:R191)</x:f>
        <x:v>2</x:v>
      </x:c>
      <x:c r="T191" t="str">
        <x:f>IF(COUNTA(M191:O191)=0,"DerivedFromCount","ManualOverride")</x:f>
        <x:v>DerivedFromCount</x:v>
      </x:c>
      <x:c r="U191" t="str">
        <x:f>IF(COUNTIF(DailyProduction!$Q$5:$Q$100,B191)=1,"OK","CHECK")</x:f>
        <x:v>OK</x:v>
      </x:c>
      <x:c r="V191" t="str">
        <x:f>IF(AND(I191&gt;=1,I191&lt;=13,K191&gt;=1,K191&lt;=3),"OK","CHECK")</x:f>
        <x:v>OK</x:v>
      </x:c>
      <x:c r="W191" t="str">
        <x:f>IF(SUMIF($B$5:$B$914,B191,$S$5:$S$914)=SUMIF(DailyProduction!$Q$5:$Q$100,B191,DailyProduction!$R$5:$R$100),"OK","CHECK")</x:f>
        <x:v>OK</x:v>
      </x:c>
    </x:row>
    <x:row r="192">
      <x:c r="A192" t="str">
        <x:v>PC-PE-KG01-L22-20251020-AM-ORD-2025-00056-S06</x:v>
      </x:c>
      <x:c r="B192" t="str">
        <x:v>PE-KG01-L22-20251020-AM-ORD-2025-00056</x:v>
      </x:c>
      <x:c r="C192" t="str">
        <x:v>KG01</x:v>
      </x:c>
      <x:c r="D192" t="n">
        <x:v>45950</x:v>
      </x:c>
      <x:c r="E192" t="str">
        <x:v>AM</x:v>
      </x:c>
      <x:c r="F192" t="str">
        <x:v>C</x:v>
      </x:c>
      <x:c r="G192" t="n">
        <x:v>22</x:v>
      </x:c>
      <x:c r="H192" t="str">
        <x:v>ORD-2025-00056</x:v>
      </x:c>
      <x:c r="I192" t="n">
        <x:v>6</x:v>
      </x:c>
      <x:c r="J192" t="n">
        <x:v>10</x:v>
      </x:c>
      <x:c r="K192" t="n">
        <x:v>2</x:v>
      </x:c>
      <x:c r="L192" t="n">
        <x:f>IF(I192&lt;=J192,1,0)</x:f>
        <x:v>1</x:v>
      </x:c>
      <x:c r="P192" t="n">
        <x:f>IF(M192="",IF(AND(L192=1,K192&gt;=1),1,0),M192)</x:f>
        <x:v>1</x:v>
      </x:c>
      <x:c r="Q192" t="n">
        <x:f>IF(N192="",IF(AND(L192=1,K192&gt;=2),1,0),N192)</x:f>
        <x:v>1</x:v>
      </x:c>
      <x:c r="R192" t="n">
        <x:f>IF(O192="",IF(AND(L192=1,K192&gt;=3),1,0),O192)</x:f>
        <x:v>0</x:v>
      </x:c>
      <x:c r="S192" t="n">
        <x:f>SUM(P192:R192)</x:f>
        <x:v>2</x:v>
      </x:c>
      <x:c r="T192" t="str">
        <x:f>IF(COUNTA(M192:O192)=0,"DerivedFromCount","ManualOverride")</x:f>
        <x:v>DerivedFromCount</x:v>
      </x:c>
      <x:c r="U192" t="str">
        <x:f>IF(COUNTIF(DailyProduction!$Q$5:$Q$100,B192)=1,"OK","CHECK")</x:f>
        <x:v>OK</x:v>
      </x:c>
      <x:c r="V192" t="str">
        <x:f>IF(AND(I192&gt;=1,I192&lt;=13,K192&gt;=1,K192&lt;=3),"OK","CHECK")</x:f>
        <x:v>OK</x:v>
      </x:c>
      <x:c r="W192" t="str">
        <x:f>IF(SUMIF($B$5:$B$914,B192,$S$5:$S$914)=SUMIF(DailyProduction!$Q$5:$Q$100,B192,DailyProduction!$R$5:$R$100),"OK","CHECK")</x:f>
        <x:v>OK</x:v>
      </x:c>
    </x:row>
    <x:row r="193">
      <x:c r="A193" t="str">
        <x:v>PC-PE-KG01-L22-20251020-AM-ORD-2025-00056-S07</x:v>
      </x:c>
      <x:c r="B193" t="str">
        <x:v>PE-KG01-L22-20251020-AM-ORD-2025-00056</x:v>
      </x:c>
      <x:c r="C193" t="str">
        <x:v>KG01</x:v>
      </x:c>
      <x:c r="D193" t="n">
        <x:v>45950</x:v>
      </x:c>
      <x:c r="E193" t="str">
        <x:v>AM</x:v>
      </x:c>
      <x:c r="F193" t="str">
        <x:v>C</x:v>
      </x:c>
      <x:c r="G193" t="n">
        <x:v>22</x:v>
      </x:c>
      <x:c r="H193" t="str">
        <x:v>ORD-2025-00056</x:v>
      </x:c>
      <x:c r="I193" t="n">
        <x:v>7</x:v>
      </x:c>
      <x:c r="J193" t="n">
        <x:v>10</x:v>
      </x:c>
      <x:c r="K193" t="n">
        <x:v>2</x:v>
      </x:c>
      <x:c r="L193" t="n">
        <x:f>IF(I193&lt;=J193,1,0)</x:f>
        <x:v>1</x:v>
      </x:c>
      <x:c r="P193" t="n">
        <x:f>IF(M193="",IF(AND(L193=1,K193&gt;=1),1,0),M193)</x:f>
        <x:v>1</x:v>
      </x:c>
      <x:c r="Q193" t="n">
        <x:f>IF(N193="",IF(AND(L193=1,K193&gt;=2),1,0),N193)</x:f>
        <x:v>1</x:v>
      </x:c>
      <x:c r="R193" t="n">
        <x:f>IF(O193="",IF(AND(L193=1,K193&gt;=3),1,0),O193)</x:f>
        <x:v>0</x:v>
      </x:c>
      <x:c r="S193" t="n">
        <x:f>SUM(P193:R193)</x:f>
        <x:v>2</x:v>
      </x:c>
      <x:c r="T193" t="str">
        <x:f>IF(COUNTA(M193:O193)=0,"DerivedFromCount","ManualOverride")</x:f>
        <x:v>DerivedFromCount</x:v>
      </x:c>
      <x:c r="U193" t="str">
        <x:f>IF(COUNTIF(DailyProduction!$Q$5:$Q$100,B193)=1,"OK","CHECK")</x:f>
        <x:v>OK</x:v>
      </x:c>
      <x:c r="V193" t="str">
        <x:f>IF(AND(I193&gt;=1,I193&lt;=13,K193&gt;=1,K193&lt;=3),"OK","CHECK")</x:f>
        <x:v>OK</x:v>
      </x:c>
      <x:c r="W193" t="str">
        <x:f>IF(SUMIF($B$5:$B$914,B193,$S$5:$S$914)=SUMIF(DailyProduction!$Q$5:$Q$100,B193,DailyProduction!$R$5:$R$100),"OK","CHECK")</x:f>
        <x:v>OK</x:v>
      </x:c>
    </x:row>
    <x:row r="194">
      <x:c r="A194" t="str">
        <x:v>PC-PE-KG01-L22-20251020-AM-ORD-2025-00056-S08</x:v>
      </x:c>
      <x:c r="B194" t="str">
        <x:v>PE-KG01-L22-20251020-AM-ORD-2025-00056</x:v>
      </x:c>
      <x:c r="C194" t="str">
        <x:v>KG01</x:v>
      </x:c>
      <x:c r="D194" t="n">
        <x:v>45950</x:v>
      </x:c>
      <x:c r="E194" t="str">
        <x:v>AM</x:v>
      </x:c>
      <x:c r="F194" t="str">
        <x:v>C</x:v>
      </x:c>
      <x:c r="G194" t="n">
        <x:v>22</x:v>
      </x:c>
      <x:c r="H194" t="str">
        <x:v>ORD-2025-00056</x:v>
      </x:c>
      <x:c r="I194" t="n">
        <x:v>8</x:v>
      </x:c>
      <x:c r="J194" t="n">
        <x:v>10</x:v>
      </x:c>
      <x:c r="K194" t="n">
        <x:v>2</x:v>
      </x:c>
      <x:c r="L194" t="n">
        <x:f>IF(I194&lt;=J194,1,0)</x:f>
        <x:v>1</x:v>
      </x:c>
      <x:c r="P194" t="n">
        <x:f>IF(M194="",IF(AND(L194=1,K194&gt;=1),1,0),M194)</x:f>
        <x:v>1</x:v>
      </x:c>
      <x:c r="Q194" t="n">
        <x:f>IF(N194="",IF(AND(L194=1,K194&gt;=2),1,0),N194)</x:f>
        <x:v>1</x:v>
      </x:c>
      <x:c r="R194" t="n">
        <x:f>IF(O194="",IF(AND(L194=1,K194&gt;=3),1,0),O194)</x:f>
        <x:v>0</x:v>
      </x:c>
      <x:c r="S194" t="n">
        <x:f>SUM(P194:R194)</x:f>
        <x:v>2</x:v>
      </x:c>
      <x:c r="T194" t="str">
        <x:f>IF(COUNTA(M194:O194)=0,"DerivedFromCount","ManualOverride")</x:f>
        <x:v>DerivedFromCount</x:v>
      </x:c>
      <x:c r="U194" t="str">
        <x:f>IF(COUNTIF(DailyProduction!$Q$5:$Q$100,B194)=1,"OK","CHECK")</x:f>
        <x:v>OK</x:v>
      </x:c>
      <x:c r="V194" t="str">
        <x:f>IF(AND(I194&gt;=1,I194&lt;=13,K194&gt;=1,K194&lt;=3),"OK","CHECK")</x:f>
        <x:v>OK</x:v>
      </x:c>
      <x:c r="W194" t="str">
        <x:f>IF(SUMIF($B$5:$B$914,B194,$S$5:$S$914)=SUMIF(DailyProduction!$Q$5:$Q$100,B194,DailyProduction!$R$5:$R$100),"OK","CHECK")</x:f>
        <x:v>OK</x:v>
      </x:c>
    </x:row>
    <x:row r="195">
      <x:c r="A195" t="str">
        <x:v>PC-PE-KG01-L22-20251020-AM-ORD-2025-00056-S09</x:v>
      </x:c>
      <x:c r="B195" t="str">
        <x:v>PE-KG01-L22-20251020-AM-ORD-2025-00056</x:v>
      </x:c>
      <x:c r="C195" t="str">
        <x:v>KG01</x:v>
      </x:c>
      <x:c r="D195" t="n">
        <x:v>45950</x:v>
      </x:c>
      <x:c r="E195" t="str">
        <x:v>AM</x:v>
      </x:c>
      <x:c r="F195" t="str">
        <x:v>C</x:v>
      </x:c>
      <x:c r="G195" t="n">
        <x:v>22</x:v>
      </x:c>
      <x:c r="H195" t="str">
        <x:v>ORD-2025-00056</x:v>
      </x:c>
      <x:c r="I195" t="n">
        <x:v>9</x:v>
      </x:c>
      <x:c r="J195" t="n">
        <x:v>10</x:v>
      </x:c>
      <x:c r="K195" t="n">
        <x:v>2</x:v>
      </x:c>
      <x:c r="L195" t="n">
        <x:f>IF(I195&lt;=J195,1,0)</x:f>
        <x:v>1</x:v>
      </x:c>
      <x:c r="P195" t="n">
        <x:f>IF(M195="",IF(AND(L195=1,K195&gt;=1),1,0),M195)</x:f>
        <x:v>1</x:v>
      </x:c>
      <x:c r="Q195" t="n">
        <x:f>IF(N195="",IF(AND(L195=1,K195&gt;=2),1,0),N195)</x:f>
        <x:v>1</x:v>
      </x:c>
      <x:c r="R195" t="n">
        <x:f>IF(O195="",IF(AND(L195=1,K195&gt;=3),1,0),O195)</x:f>
        <x:v>0</x:v>
      </x:c>
      <x:c r="S195" t="n">
        <x:f>SUM(P195:R195)</x:f>
        <x:v>2</x:v>
      </x:c>
      <x:c r="T195" t="str">
        <x:f>IF(COUNTA(M195:O195)=0,"DerivedFromCount","ManualOverride")</x:f>
        <x:v>DerivedFromCount</x:v>
      </x:c>
      <x:c r="U195" t="str">
        <x:f>IF(COUNTIF(DailyProduction!$Q$5:$Q$100,B195)=1,"OK","CHECK")</x:f>
        <x:v>OK</x:v>
      </x:c>
      <x:c r="V195" t="str">
        <x:f>IF(AND(I195&gt;=1,I195&lt;=13,K195&gt;=1,K195&lt;=3),"OK","CHECK")</x:f>
        <x:v>OK</x:v>
      </x:c>
      <x:c r="W195" t="str">
        <x:f>IF(SUMIF($B$5:$B$914,B195,$S$5:$S$914)=SUMIF(DailyProduction!$Q$5:$Q$100,B195,DailyProduction!$R$5:$R$100),"OK","CHECK")</x:f>
        <x:v>OK</x:v>
      </x:c>
    </x:row>
    <x:row r="196">
      <x:c r="A196" t="str">
        <x:v>PC-PE-KG01-L22-20251020-AM-ORD-2025-00056-S10</x:v>
      </x:c>
      <x:c r="B196" t="str">
        <x:v>PE-KG01-L22-20251020-AM-ORD-2025-00056</x:v>
      </x:c>
      <x:c r="C196" t="str">
        <x:v>KG01</x:v>
      </x:c>
      <x:c r="D196" t="n">
        <x:v>45950</x:v>
      </x:c>
      <x:c r="E196" t="str">
        <x:v>AM</x:v>
      </x:c>
      <x:c r="F196" t="str">
        <x:v>C</x:v>
      </x:c>
      <x:c r="G196" t="n">
        <x:v>22</x:v>
      </x:c>
      <x:c r="H196" t="str">
        <x:v>ORD-2025-00056</x:v>
      </x:c>
      <x:c r="I196" t="n">
        <x:v>10</x:v>
      </x:c>
      <x:c r="J196" t="n">
        <x:v>10</x:v>
      </x:c>
      <x:c r="K196" t="n">
        <x:v>2</x:v>
      </x:c>
      <x:c r="L196" t="n">
        <x:f>IF(I196&lt;=J196,1,0)</x:f>
        <x:v>1</x:v>
      </x:c>
      <x:c r="P196" t="n">
        <x:f>IF(M196="",IF(AND(L196=1,K196&gt;=1),1,0),M196)</x:f>
        <x:v>1</x:v>
      </x:c>
      <x:c r="Q196" t="n">
        <x:f>IF(N196="",IF(AND(L196=1,K196&gt;=2),1,0),N196)</x:f>
        <x:v>1</x:v>
      </x:c>
      <x:c r="R196" t="n">
        <x:f>IF(O196="",IF(AND(L196=1,K196&gt;=3),1,0),O196)</x:f>
        <x:v>0</x:v>
      </x:c>
      <x:c r="S196" t="n">
        <x:f>SUM(P196:R196)</x:f>
        <x:v>2</x:v>
      </x:c>
      <x:c r="T196" t="str">
        <x:f>IF(COUNTA(M196:O196)=0,"DerivedFromCount","ManualOverride")</x:f>
        <x:v>DerivedFromCount</x:v>
      </x:c>
      <x:c r="U196" t="str">
        <x:f>IF(COUNTIF(DailyProduction!$Q$5:$Q$100,B196)=1,"OK","CHECK")</x:f>
        <x:v>OK</x:v>
      </x:c>
      <x:c r="V196" t="str">
        <x:f>IF(AND(I196&gt;=1,I196&lt;=13,K196&gt;=1,K196&lt;=3),"OK","CHECK")</x:f>
        <x:v>OK</x:v>
      </x:c>
      <x:c r="W196" t="str">
        <x:f>IF(SUMIF($B$5:$B$914,B196,$S$5:$S$914)=SUMIF(DailyProduction!$Q$5:$Q$100,B196,DailyProduction!$R$5:$R$100),"OK","CHECK")</x:f>
        <x:v>OK</x:v>
      </x:c>
    </x:row>
    <x:row r="197">
      <x:c r="A197" t="str">
        <x:v>PC-PE-KG01-L22-20251020-AM-ORD-2025-00056-S11</x:v>
      </x:c>
      <x:c r="B197" t="str">
        <x:v>PE-KG01-L22-20251020-AM-ORD-2025-00056</x:v>
      </x:c>
      <x:c r="C197" t="str">
        <x:v>KG01</x:v>
      </x:c>
      <x:c r="D197" t="n">
        <x:v>45950</x:v>
      </x:c>
      <x:c r="E197" t="str">
        <x:v>AM</x:v>
      </x:c>
      <x:c r="F197" t="str">
        <x:v>C</x:v>
      </x:c>
      <x:c r="G197" t="n">
        <x:v>22</x:v>
      </x:c>
      <x:c r="H197" t="str">
        <x:v>ORD-2025-00056</x:v>
      </x:c>
      <x:c r="I197" t="n">
        <x:v>11</x:v>
      </x:c>
      <x:c r="J197" t="n">
        <x:v>10</x:v>
      </x:c>
      <x:c r="K197" t="n">
        <x:v>2</x:v>
      </x:c>
      <x:c r="L197" t="n">
        <x:f>IF(I197&lt;=J197,1,0)</x:f>
        <x:v>0</x:v>
      </x:c>
      <x:c r="P197" t="n">
        <x:f>IF(M197="",IF(AND(L197=1,K197&gt;=1),1,0),M197)</x:f>
        <x:v>0</x:v>
      </x:c>
      <x:c r="Q197" t="n">
        <x:f>IF(N197="",IF(AND(L197=1,K197&gt;=2),1,0),N197)</x:f>
        <x:v>0</x:v>
      </x:c>
      <x:c r="R197" t="n">
        <x:f>IF(O197="",IF(AND(L197=1,K197&gt;=3),1,0),O197)</x:f>
        <x:v>0</x:v>
      </x:c>
      <x:c r="S197" t="n">
        <x:f>SUM(P197:R197)</x:f>
        <x:v>0</x:v>
      </x:c>
      <x:c r="T197" t="str">
        <x:f>IF(COUNTA(M197:O197)=0,"DerivedFromCount","ManualOverride")</x:f>
        <x:v>DerivedFromCount</x:v>
      </x:c>
      <x:c r="U197" t="str">
        <x:f>IF(COUNTIF(DailyProduction!$Q$5:$Q$100,B197)=1,"OK","CHECK")</x:f>
        <x:v>OK</x:v>
      </x:c>
      <x:c r="V197" t="str">
        <x:f>IF(AND(I197&gt;=1,I197&lt;=13,K197&gt;=1,K197&lt;=3),"OK","CHECK")</x:f>
        <x:v>OK</x:v>
      </x:c>
      <x:c r="W197" t="str">
        <x:f>IF(SUMIF($B$5:$B$914,B197,$S$5:$S$914)=SUMIF(DailyProduction!$Q$5:$Q$100,B197,DailyProduction!$R$5:$R$100),"OK","CHECK")</x:f>
        <x:v>OK</x:v>
      </x:c>
    </x:row>
    <x:row r="198">
      <x:c r="A198" t="str">
        <x:v>PC-PE-KG01-L22-20251020-AM-ORD-2025-00056-S12</x:v>
      </x:c>
      <x:c r="B198" t="str">
        <x:v>PE-KG01-L22-20251020-AM-ORD-2025-00056</x:v>
      </x:c>
      <x:c r="C198" t="str">
        <x:v>KG01</x:v>
      </x:c>
      <x:c r="D198" t="n">
        <x:v>45950</x:v>
      </x:c>
      <x:c r="E198" t="str">
        <x:v>AM</x:v>
      </x:c>
      <x:c r="F198" t="str">
        <x:v>C</x:v>
      </x:c>
      <x:c r="G198" t="n">
        <x:v>22</x:v>
      </x:c>
      <x:c r="H198" t="str">
        <x:v>ORD-2025-00056</x:v>
      </x:c>
      <x:c r="I198" t="n">
        <x:v>12</x:v>
      </x:c>
      <x:c r="J198" t="n">
        <x:v>10</x:v>
      </x:c>
      <x:c r="K198" t="n">
        <x:v>2</x:v>
      </x:c>
      <x:c r="L198" t="n">
        <x:f>IF(I198&lt;=J198,1,0)</x:f>
        <x:v>0</x:v>
      </x:c>
      <x:c r="P198" t="n">
        <x:f>IF(M198="",IF(AND(L198=1,K198&gt;=1),1,0),M198)</x:f>
        <x:v>0</x:v>
      </x:c>
      <x:c r="Q198" t="n">
        <x:f>IF(N198="",IF(AND(L198=1,K198&gt;=2),1,0),N198)</x:f>
        <x:v>0</x:v>
      </x:c>
      <x:c r="R198" t="n">
        <x:f>IF(O198="",IF(AND(L198=1,K198&gt;=3),1,0),O198)</x:f>
        <x:v>0</x:v>
      </x:c>
      <x:c r="S198" t="n">
        <x:f>SUM(P198:R198)</x:f>
        <x:v>0</x:v>
      </x:c>
      <x:c r="T198" t="str">
        <x:f>IF(COUNTA(M198:O198)=0,"DerivedFromCount","ManualOverride")</x:f>
        <x:v>DerivedFromCount</x:v>
      </x:c>
      <x:c r="U198" t="str">
        <x:f>IF(COUNTIF(DailyProduction!$Q$5:$Q$100,B198)=1,"OK","CHECK")</x:f>
        <x:v>OK</x:v>
      </x:c>
      <x:c r="V198" t="str">
        <x:f>IF(AND(I198&gt;=1,I198&lt;=13,K198&gt;=1,K198&lt;=3),"OK","CHECK")</x:f>
        <x:v>OK</x:v>
      </x:c>
      <x:c r="W198" t="str">
        <x:f>IF(SUMIF($B$5:$B$914,B198,$S$5:$S$914)=SUMIF(DailyProduction!$Q$5:$Q$100,B198,DailyProduction!$R$5:$R$100),"OK","CHECK")</x:f>
        <x:v>OK</x:v>
      </x:c>
    </x:row>
    <x:row r="199">
      <x:c r="A199" t="str">
        <x:v>PC-PE-KG01-L22-20251020-AM-ORD-2025-00056-S13</x:v>
      </x:c>
      <x:c r="B199" t="str">
        <x:v>PE-KG01-L22-20251020-AM-ORD-2025-00056</x:v>
      </x:c>
      <x:c r="C199" t="str">
        <x:v>KG01</x:v>
      </x:c>
      <x:c r="D199" t="n">
        <x:v>45950</x:v>
      </x:c>
      <x:c r="E199" t="str">
        <x:v>AM</x:v>
      </x:c>
      <x:c r="F199" t="str">
        <x:v>C</x:v>
      </x:c>
      <x:c r="G199" t="n">
        <x:v>22</x:v>
      </x:c>
      <x:c r="H199" t="str">
        <x:v>ORD-2025-00056</x:v>
      </x:c>
      <x:c r="I199" t="n">
        <x:v>13</x:v>
      </x:c>
      <x:c r="J199" t="n">
        <x:v>10</x:v>
      </x:c>
      <x:c r="K199" t="n">
        <x:v>2</x:v>
      </x:c>
      <x:c r="L199" t="n">
        <x:f>IF(I199&lt;=J199,1,0)</x:f>
        <x:v>0</x:v>
      </x:c>
      <x:c r="P199" t="n">
        <x:f>IF(M199="",IF(AND(L199=1,K199&gt;=1),1,0),M199)</x:f>
        <x:v>0</x:v>
      </x:c>
      <x:c r="Q199" t="n">
        <x:f>IF(N199="",IF(AND(L199=1,K199&gt;=2),1,0),N199)</x:f>
        <x:v>0</x:v>
      </x:c>
      <x:c r="R199" t="n">
        <x:f>IF(O199="",IF(AND(L199=1,K199&gt;=3),1,0),O199)</x:f>
        <x:v>0</x:v>
      </x:c>
      <x:c r="S199" t="n">
        <x:f>SUM(P199:R199)</x:f>
        <x:v>0</x:v>
      </x:c>
      <x:c r="T199" t="str">
        <x:f>IF(COUNTA(M199:O199)=0,"DerivedFromCount","ManualOverride")</x:f>
        <x:v>DerivedFromCount</x:v>
      </x:c>
      <x:c r="U199" t="str">
        <x:f>IF(COUNTIF(DailyProduction!$Q$5:$Q$100,B199)=1,"OK","CHECK")</x:f>
        <x:v>OK</x:v>
      </x:c>
      <x:c r="V199" t="str">
        <x:f>IF(AND(I199&gt;=1,I199&lt;=13,K199&gt;=1,K199&lt;=3),"OK","CHECK")</x:f>
        <x:v>OK</x:v>
      </x:c>
      <x:c r="W199" t="str">
        <x:f>IF(SUMIF($B$5:$B$914,B199,$S$5:$S$914)=SUMIF(DailyProduction!$Q$5:$Q$100,B199,DailyProduction!$R$5:$R$100),"OK","CHECK")</x:f>
        <x:v>OK</x:v>
      </x:c>
    </x:row>
    <x:row r="200">
      <x:c r="A200" t="str">
        <x:v>PC-PE-KG01-L22-20251020-PM-ORD-2025-00056-S01</x:v>
      </x:c>
      <x:c r="B200" t="str">
        <x:v>PE-KG01-L22-20251020-PM-ORD-2025-00056</x:v>
      </x:c>
      <x:c r="C200" t="str">
        <x:v>KG01</x:v>
      </x:c>
      <x:c r="D200" t="n">
        <x:v>45950</x:v>
      </x:c>
      <x:c r="E200" t="str">
        <x:v>PM</x:v>
      </x:c>
      <x:c r="F200" t="str">
        <x:v>A</x:v>
      </x:c>
      <x:c r="G200" t="n">
        <x:v>22</x:v>
      </x:c>
      <x:c r="H200" t="str">
        <x:v>ORD-2025-00056</x:v>
      </x:c>
      <x:c r="I200" t="n">
        <x:v>1</x:v>
      </x:c>
      <x:c r="J200" t="n">
        <x:v>10</x:v>
      </x:c>
      <x:c r="K200" t="n">
        <x:v>2</x:v>
      </x:c>
      <x:c r="L200" t="n">
        <x:f>IF(I200&lt;=J200,1,0)</x:f>
        <x:v>1</x:v>
      </x:c>
      <x:c r="P200" t="n">
        <x:f>IF(M200="",IF(AND(L200=1,K200&gt;=1),1,0),M200)</x:f>
        <x:v>1</x:v>
      </x:c>
      <x:c r="Q200" t="n">
        <x:f>IF(N200="",IF(AND(L200=1,K200&gt;=2),1,0),N200)</x:f>
        <x:v>1</x:v>
      </x:c>
      <x:c r="R200" t="n">
        <x:f>IF(O200="",IF(AND(L200=1,K200&gt;=3),1,0),O200)</x:f>
        <x:v>0</x:v>
      </x:c>
      <x:c r="S200" t="n">
        <x:f>SUM(P200:R200)</x:f>
        <x:v>2</x:v>
      </x:c>
      <x:c r="T200" t="str">
        <x:f>IF(COUNTA(M200:O200)=0,"DerivedFromCount","ManualOverride")</x:f>
        <x:v>DerivedFromCount</x:v>
      </x:c>
      <x:c r="U200" t="str">
        <x:f>IF(COUNTIF(DailyProduction!$Q$5:$Q$100,B200)=1,"OK","CHECK")</x:f>
        <x:v>OK</x:v>
      </x:c>
      <x:c r="V200" t="str">
        <x:f>IF(AND(I200&gt;=1,I200&lt;=13,K200&gt;=1,K200&lt;=3),"OK","CHECK")</x:f>
        <x:v>OK</x:v>
      </x:c>
      <x:c r="W200" t="str">
        <x:f>IF(SUMIF($B$5:$B$914,B200,$S$5:$S$914)=SUMIF(DailyProduction!$Q$5:$Q$100,B200,DailyProduction!$R$5:$R$100),"OK","CHECK")</x:f>
        <x:v>OK</x:v>
      </x:c>
    </x:row>
    <x:row r="201">
      <x:c r="A201" t="str">
        <x:v>PC-PE-KG01-L22-20251020-PM-ORD-2025-00056-S02</x:v>
      </x:c>
      <x:c r="B201" t="str">
        <x:v>PE-KG01-L22-20251020-PM-ORD-2025-00056</x:v>
      </x:c>
      <x:c r="C201" t="str">
        <x:v>KG01</x:v>
      </x:c>
      <x:c r="D201" t="n">
        <x:v>45950</x:v>
      </x:c>
      <x:c r="E201" t="str">
        <x:v>PM</x:v>
      </x:c>
      <x:c r="F201" t="str">
        <x:v>A</x:v>
      </x:c>
      <x:c r="G201" t="n">
        <x:v>22</x:v>
      </x:c>
      <x:c r="H201" t="str">
        <x:v>ORD-2025-00056</x:v>
      </x:c>
      <x:c r="I201" t="n">
        <x:v>2</x:v>
      </x:c>
      <x:c r="J201" t="n">
        <x:v>10</x:v>
      </x:c>
      <x:c r="K201" t="n">
        <x:v>2</x:v>
      </x:c>
      <x:c r="L201" t="n">
        <x:f>IF(I201&lt;=J201,1,0)</x:f>
        <x:v>1</x:v>
      </x:c>
      <x:c r="P201" t="n">
        <x:f>IF(M201="",IF(AND(L201=1,K201&gt;=1),1,0),M201)</x:f>
        <x:v>1</x:v>
      </x:c>
      <x:c r="Q201" t="n">
        <x:f>IF(N201="",IF(AND(L201=1,K201&gt;=2),1,0),N201)</x:f>
        <x:v>1</x:v>
      </x:c>
      <x:c r="R201" t="n">
        <x:f>IF(O201="",IF(AND(L201=1,K201&gt;=3),1,0),O201)</x:f>
        <x:v>0</x:v>
      </x:c>
      <x:c r="S201" t="n">
        <x:f>SUM(P201:R201)</x:f>
        <x:v>2</x:v>
      </x:c>
      <x:c r="T201" t="str">
        <x:f>IF(COUNTA(M201:O201)=0,"DerivedFromCount","ManualOverride")</x:f>
        <x:v>DerivedFromCount</x:v>
      </x:c>
      <x:c r="U201" t="str">
        <x:f>IF(COUNTIF(DailyProduction!$Q$5:$Q$100,B201)=1,"OK","CHECK")</x:f>
        <x:v>OK</x:v>
      </x:c>
      <x:c r="V201" t="str">
        <x:f>IF(AND(I201&gt;=1,I201&lt;=13,K201&gt;=1,K201&lt;=3),"OK","CHECK")</x:f>
        <x:v>OK</x:v>
      </x:c>
      <x:c r="W201" t="str">
        <x:f>IF(SUMIF($B$5:$B$914,B201,$S$5:$S$914)=SUMIF(DailyProduction!$Q$5:$Q$100,B201,DailyProduction!$R$5:$R$100),"OK","CHECK")</x:f>
        <x:v>OK</x:v>
      </x:c>
    </x:row>
    <x:row r="202">
      <x:c r="A202" t="str">
        <x:v>PC-PE-KG01-L22-20251020-PM-ORD-2025-00056-S03</x:v>
      </x:c>
      <x:c r="B202" t="str">
        <x:v>PE-KG01-L22-20251020-PM-ORD-2025-00056</x:v>
      </x:c>
      <x:c r="C202" t="str">
        <x:v>KG01</x:v>
      </x:c>
      <x:c r="D202" t="n">
        <x:v>45950</x:v>
      </x:c>
      <x:c r="E202" t="str">
        <x:v>PM</x:v>
      </x:c>
      <x:c r="F202" t="str">
        <x:v>A</x:v>
      </x:c>
      <x:c r="G202" t="n">
        <x:v>22</x:v>
      </x:c>
      <x:c r="H202" t="str">
        <x:v>ORD-2025-00056</x:v>
      </x:c>
      <x:c r="I202" t="n">
        <x:v>3</x:v>
      </x:c>
      <x:c r="J202" t="n">
        <x:v>10</x:v>
      </x:c>
      <x:c r="K202" t="n">
        <x:v>2</x:v>
      </x:c>
      <x:c r="L202" t="n">
        <x:f>IF(I202&lt;=J202,1,0)</x:f>
        <x:v>1</x:v>
      </x:c>
      <x:c r="P202" t="n">
        <x:f>IF(M202="",IF(AND(L202=1,K202&gt;=1),1,0),M202)</x:f>
        <x:v>1</x:v>
      </x:c>
      <x:c r="Q202" t="n">
        <x:f>IF(N202="",IF(AND(L202=1,K202&gt;=2),1,0),N202)</x:f>
        <x:v>1</x:v>
      </x:c>
      <x:c r="R202" t="n">
        <x:f>IF(O202="",IF(AND(L202=1,K202&gt;=3),1,0),O202)</x:f>
        <x:v>0</x:v>
      </x:c>
      <x:c r="S202" t="n">
        <x:f>SUM(P202:R202)</x:f>
        <x:v>2</x:v>
      </x:c>
      <x:c r="T202" t="str">
        <x:f>IF(COUNTA(M202:O202)=0,"DerivedFromCount","ManualOverride")</x:f>
        <x:v>DerivedFromCount</x:v>
      </x:c>
      <x:c r="U202" t="str">
        <x:f>IF(COUNTIF(DailyProduction!$Q$5:$Q$100,B202)=1,"OK","CHECK")</x:f>
        <x:v>OK</x:v>
      </x:c>
      <x:c r="V202" t="str">
        <x:f>IF(AND(I202&gt;=1,I202&lt;=13,K202&gt;=1,K202&lt;=3),"OK","CHECK")</x:f>
        <x:v>OK</x:v>
      </x:c>
      <x:c r="W202" t="str">
        <x:f>IF(SUMIF($B$5:$B$914,B202,$S$5:$S$914)=SUMIF(DailyProduction!$Q$5:$Q$100,B202,DailyProduction!$R$5:$R$100),"OK","CHECK")</x:f>
        <x:v>OK</x:v>
      </x:c>
    </x:row>
    <x:row r="203">
      <x:c r="A203" t="str">
        <x:v>PC-PE-KG01-L22-20251020-PM-ORD-2025-00056-S04</x:v>
      </x:c>
      <x:c r="B203" t="str">
        <x:v>PE-KG01-L22-20251020-PM-ORD-2025-00056</x:v>
      </x:c>
      <x:c r="C203" t="str">
        <x:v>KG01</x:v>
      </x:c>
      <x:c r="D203" t="n">
        <x:v>45950</x:v>
      </x:c>
      <x:c r="E203" t="str">
        <x:v>PM</x:v>
      </x:c>
      <x:c r="F203" t="str">
        <x:v>A</x:v>
      </x:c>
      <x:c r="G203" t="n">
        <x:v>22</x:v>
      </x:c>
      <x:c r="H203" t="str">
        <x:v>ORD-2025-00056</x:v>
      </x:c>
      <x:c r="I203" t="n">
        <x:v>4</x:v>
      </x:c>
      <x:c r="J203" t="n">
        <x:v>10</x:v>
      </x:c>
      <x:c r="K203" t="n">
        <x:v>2</x:v>
      </x:c>
      <x:c r="L203" t="n">
        <x:f>IF(I203&lt;=J203,1,0)</x:f>
        <x:v>1</x:v>
      </x:c>
      <x:c r="P203" t="n">
        <x:f>IF(M203="",IF(AND(L203=1,K203&gt;=1),1,0),M203)</x:f>
        <x:v>1</x:v>
      </x:c>
      <x:c r="Q203" t="n">
        <x:f>IF(N203="",IF(AND(L203=1,K203&gt;=2),1,0),N203)</x:f>
        <x:v>1</x:v>
      </x:c>
      <x:c r="R203" t="n">
        <x:f>IF(O203="",IF(AND(L203=1,K203&gt;=3),1,0),O203)</x:f>
        <x:v>0</x:v>
      </x:c>
      <x:c r="S203" t="n">
        <x:f>SUM(P203:R203)</x:f>
        <x:v>2</x:v>
      </x:c>
      <x:c r="T203" t="str">
        <x:f>IF(COUNTA(M203:O203)=0,"DerivedFromCount","ManualOverride")</x:f>
        <x:v>DerivedFromCount</x:v>
      </x:c>
      <x:c r="U203" t="str">
        <x:f>IF(COUNTIF(DailyProduction!$Q$5:$Q$100,B203)=1,"OK","CHECK")</x:f>
        <x:v>OK</x:v>
      </x:c>
      <x:c r="V203" t="str">
        <x:f>IF(AND(I203&gt;=1,I203&lt;=13,K203&gt;=1,K203&lt;=3),"OK","CHECK")</x:f>
        <x:v>OK</x:v>
      </x:c>
      <x:c r="W203" t="str">
        <x:f>IF(SUMIF($B$5:$B$914,B203,$S$5:$S$914)=SUMIF(DailyProduction!$Q$5:$Q$100,B203,DailyProduction!$R$5:$R$100),"OK","CHECK")</x:f>
        <x:v>OK</x:v>
      </x:c>
    </x:row>
    <x:row r="204">
      <x:c r="A204" t="str">
        <x:v>PC-PE-KG01-L22-20251020-PM-ORD-2025-00056-S05</x:v>
      </x:c>
      <x:c r="B204" t="str">
        <x:v>PE-KG01-L22-20251020-PM-ORD-2025-00056</x:v>
      </x:c>
      <x:c r="C204" t="str">
        <x:v>KG01</x:v>
      </x:c>
      <x:c r="D204" t="n">
        <x:v>45950</x:v>
      </x:c>
      <x:c r="E204" t="str">
        <x:v>PM</x:v>
      </x:c>
      <x:c r="F204" t="str">
        <x:v>A</x:v>
      </x:c>
      <x:c r="G204" t="n">
        <x:v>22</x:v>
      </x:c>
      <x:c r="H204" t="str">
        <x:v>ORD-2025-00056</x:v>
      </x:c>
      <x:c r="I204" t="n">
        <x:v>5</x:v>
      </x:c>
      <x:c r="J204" t="n">
        <x:v>10</x:v>
      </x:c>
      <x:c r="K204" t="n">
        <x:v>2</x:v>
      </x:c>
      <x:c r="L204" t="n">
        <x:f>IF(I204&lt;=J204,1,0)</x:f>
        <x:v>1</x:v>
      </x:c>
      <x:c r="P204" t="n">
        <x:f>IF(M204="",IF(AND(L204=1,K204&gt;=1),1,0),M204)</x:f>
        <x:v>1</x:v>
      </x:c>
      <x:c r="Q204" t="n">
        <x:f>IF(N204="",IF(AND(L204=1,K204&gt;=2),1,0),N204)</x:f>
        <x:v>1</x:v>
      </x:c>
      <x:c r="R204" t="n">
        <x:f>IF(O204="",IF(AND(L204=1,K204&gt;=3),1,0),O204)</x:f>
        <x:v>0</x:v>
      </x:c>
      <x:c r="S204" t="n">
        <x:f>SUM(P204:R204)</x:f>
        <x:v>2</x:v>
      </x:c>
      <x:c r="T204" t="str">
        <x:f>IF(COUNTA(M204:O204)=0,"DerivedFromCount","ManualOverride")</x:f>
        <x:v>DerivedFromCount</x:v>
      </x:c>
      <x:c r="U204" t="str">
        <x:f>IF(COUNTIF(DailyProduction!$Q$5:$Q$100,B204)=1,"OK","CHECK")</x:f>
        <x:v>OK</x:v>
      </x:c>
      <x:c r="V204" t="str">
        <x:f>IF(AND(I204&gt;=1,I204&lt;=13,K204&gt;=1,K204&lt;=3),"OK","CHECK")</x:f>
        <x:v>OK</x:v>
      </x:c>
      <x:c r="W204" t="str">
        <x:f>IF(SUMIF($B$5:$B$914,B204,$S$5:$S$914)=SUMIF(DailyProduction!$Q$5:$Q$100,B204,DailyProduction!$R$5:$R$100),"OK","CHECK")</x:f>
        <x:v>OK</x:v>
      </x:c>
    </x:row>
    <x:row r="205">
      <x:c r="A205" t="str">
        <x:v>PC-PE-KG01-L22-20251020-PM-ORD-2025-00056-S06</x:v>
      </x:c>
      <x:c r="B205" t="str">
        <x:v>PE-KG01-L22-20251020-PM-ORD-2025-00056</x:v>
      </x:c>
      <x:c r="C205" t="str">
        <x:v>KG01</x:v>
      </x:c>
      <x:c r="D205" t="n">
        <x:v>45950</x:v>
      </x:c>
      <x:c r="E205" t="str">
        <x:v>PM</x:v>
      </x:c>
      <x:c r="F205" t="str">
        <x:v>A</x:v>
      </x:c>
      <x:c r="G205" t="n">
        <x:v>22</x:v>
      </x:c>
      <x:c r="H205" t="str">
        <x:v>ORD-2025-00056</x:v>
      </x:c>
      <x:c r="I205" t="n">
        <x:v>6</x:v>
      </x:c>
      <x:c r="J205" t="n">
        <x:v>10</x:v>
      </x:c>
      <x:c r="K205" t="n">
        <x:v>2</x:v>
      </x:c>
      <x:c r="L205" t="n">
        <x:f>IF(I205&lt;=J205,1,0)</x:f>
        <x:v>1</x:v>
      </x:c>
      <x:c r="P205" t="n">
        <x:f>IF(M205="",IF(AND(L205=1,K205&gt;=1),1,0),M205)</x:f>
        <x:v>1</x:v>
      </x:c>
      <x:c r="Q205" t="n">
        <x:f>IF(N205="",IF(AND(L205=1,K205&gt;=2),1,0),N205)</x:f>
        <x:v>1</x:v>
      </x:c>
      <x:c r="R205" t="n">
        <x:f>IF(O205="",IF(AND(L205=1,K205&gt;=3),1,0),O205)</x:f>
        <x:v>0</x:v>
      </x:c>
      <x:c r="S205" t="n">
        <x:f>SUM(P205:R205)</x:f>
        <x:v>2</x:v>
      </x:c>
      <x:c r="T205" t="str">
        <x:f>IF(COUNTA(M205:O205)=0,"DerivedFromCount","ManualOverride")</x:f>
        <x:v>DerivedFromCount</x:v>
      </x:c>
      <x:c r="U205" t="str">
        <x:f>IF(COUNTIF(DailyProduction!$Q$5:$Q$100,B205)=1,"OK","CHECK")</x:f>
        <x:v>OK</x:v>
      </x:c>
      <x:c r="V205" t="str">
        <x:f>IF(AND(I205&gt;=1,I205&lt;=13,K205&gt;=1,K205&lt;=3),"OK","CHECK")</x:f>
        <x:v>OK</x:v>
      </x:c>
      <x:c r="W205" t="str">
        <x:f>IF(SUMIF($B$5:$B$914,B205,$S$5:$S$914)=SUMIF(DailyProduction!$Q$5:$Q$100,B205,DailyProduction!$R$5:$R$100),"OK","CHECK")</x:f>
        <x:v>OK</x:v>
      </x:c>
    </x:row>
    <x:row r="206">
      <x:c r="A206" t="str">
        <x:v>PC-PE-KG01-L22-20251020-PM-ORD-2025-00056-S07</x:v>
      </x:c>
      <x:c r="B206" t="str">
        <x:v>PE-KG01-L22-20251020-PM-ORD-2025-00056</x:v>
      </x:c>
      <x:c r="C206" t="str">
        <x:v>KG01</x:v>
      </x:c>
      <x:c r="D206" t="n">
        <x:v>45950</x:v>
      </x:c>
      <x:c r="E206" t="str">
        <x:v>PM</x:v>
      </x:c>
      <x:c r="F206" t="str">
        <x:v>A</x:v>
      </x:c>
      <x:c r="G206" t="n">
        <x:v>22</x:v>
      </x:c>
      <x:c r="H206" t="str">
        <x:v>ORD-2025-00056</x:v>
      </x:c>
      <x:c r="I206" t="n">
        <x:v>7</x:v>
      </x:c>
      <x:c r="J206" t="n">
        <x:v>10</x:v>
      </x:c>
      <x:c r="K206" t="n">
        <x:v>2</x:v>
      </x:c>
      <x:c r="L206" t="n">
        <x:f>IF(I206&lt;=J206,1,0)</x:f>
        <x:v>1</x:v>
      </x:c>
      <x:c r="P206" t="n">
        <x:f>IF(M206="",IF(AND(L206=1,K206&gt;=1),1,0),M206)</x:f>
        <x:v>1</x:v>
      </x:c>
      <x:c r="Q206" t="n">
        <x:f>IF(N206="",IF(AND(L206=1,K206&gt;=2),1,0),N206)</x:f>
        <x:v>1</x:v>
      </x:c>
      <x:c r="R206" t="n">
        <x:f>IF(O206="",IF(AND(L206=1,K206&gt;=3),1,0),O206)</x:f>
        <x:v>0</x:v>
      </x:c>
      <x:c r="S206" t="n">
        <x:f>SUM(P206:R206)</x:f>
        <x:v>2</x:v>
      </x:c>
      <x:c r="T206" t="str">
        <x:f>IF(COUNTA(M206:O206)=0,"DerivedFromCount","ManualOverride")</x:f>
        <x:v>DerivedFromCount</x:v>
      </x:c>
      <x:c r="U206" t="str">
        <x:f>IF(COUNTIF(DailyProduction!$Q$5:$Q$100,B206)=1,"OK","CHECK")</x:f>
        <x:v>OK</x:v>
      </x:c>
      <x:c r="V206" t="str">
        <x:f>IF(AND(I206&gt;=1,I206&lt;=13,K206&gt;=1,K206&lt;=3),"OK","CHECK")</x:f>
        <x:v>OK</x:v>
      </x:c>
      <x:c r="W206" t="str">
        <x:f>IF(SUMIF($B$5:$B$914,B206,$S$5:$S$914)=SUMIF(DailyProduction!$Q$5:$Q$100,B206,DailyProduction!$R$5:$R$100),"OK","CHECK")</x:f>
        <x:v>OK</x:v>
      </x:c>
    </x:row>
    <x:row r="207">
      <x:c r="A207" t="str">
        <x:v>PC-PE-KG01-L22-20251020-PM-ORD-2025-00056-S08</x:v>
      </x:c>
      <x:c r="B207" t="str">
        <x:v>PE-KG01-L22-20251020-PM-ORD-2025-00056</x:v>
      </x:c>
      <x:c r="C207" t="str">
        <x:v>KG01</x:v>
      </x:c>
      <x:c r="D207" t="n">
        <x:v>45950</x:v>
      </x:c>
      <x:c r="E207" t="str">
        <x:v>PM</x:v>
      </x:c>
      <x:c r="F207" t="str">
        <x:v>A</x:v>
      </x:c>
      <x:c r="G207" t="n">
        <x:v>22</x:v>
      </x:c>
      <x:c r="H207" t="str">
        <x:v>ORD-2025-00056</x:v>
      </x:c>
      <x:c r="I207" t="n">
        <x:v>8</x:v>
      </x:c>
      <x:c r="J207" t="n">
        <x:v>10</x:v>
      </x:c>
      <x:c r="K207" t="n">
        <x:v>2</x:v>
      </x:c>
      <x:c r="L207" t="n">
        <x:f>IF(I207&lt;=J207,1,0)</x:f>
        <x:v>1</x:v>
      </x:c>
      <x:c r="P207" t="n">
        <x:f>IF(M207="",IF(AND(L207=1,K207&gt;=1),1,0),M207)</x:f>
        <x:v>1</x:v>
      </x:c>
      <x:c r="Q207" t="n">
        <x:f>IF(N207="",IF(AND(L207=1,K207&gt;=2),1,0),N207)</x:f>
        <x:v>1</x:v>
      </x:c>
      <x:c r="R207" t="n">
        <x:f>IF(O207="",IF(AND(L207=1,K207&gt;=3),1,0),O207)</x:f>
        <x:v>0</x:v>
      </x:c>
      <x:c r="S207" t="n">
        <x:f>SUM(P207:R207)</x:f>
        <x:v>2</x:v>
      </x:c>
      <x:c r="T207" t="str">
        <x:f>IF(COUNTA(M207:O207)=0,"DerivedFromCount","ManualOverride")</x:f>
        <x:v>DerivedFromCount</x:v>
      </x:c>
      <x:c r="U207" t="str">
        <x:f>IF(COUNTIF(DailyProduction!$Q$5:$Q$100,B207)=1,"OK","CHECK")</x:f>
        <x:v>OK</x:v>
      </x:c>
      <x:c r="V207" t="str">
        <x:f>IF(AND(I207&gt;=1,I207&lt;=13,K207&gt;=1,K207&lt;=3),"OK","CHECK")</x:f>
        <x:v>OK</x:v>
      </x:c>
      <x:c r="W207" t="str">
        <x:f>IF(SUMIF($B$5:$B$914,B207,$S$5:$S$914)=SUMIF(DailyProduction!$Q$5:$Q$100,B207,DailyProduction!$R$5:$R$100),"OK","CHECK")</x:f>
        <x:v>OK</x:v>
      </x:c>
    </x:row>
    <x:row r="208">
      <x:c r="A208" t="str">
        <x:v>PC-PE-KG01-L22-20251020-PM-ORD-2025-00056-S09</x:v>
      </x:c>
      <x:c r="B208" t="str">
        <x:v>PE-KG01-L22-20251020-PM-ORD-2025-00056</x:v>
      </x:c>
      <x:c r="C208" t="str">
        <x:v>KG01</x:v>
      </x:c>
      <x:c r="D208" t="n">
        <x:v>45950</x:v>
      </x:c>
      <x:c r="E208" t="str">
        <x:v>PM</x:v>
      </x:c>
      <x:c r="F208" t="str">
        <x:v>A</x:v>
      </x:c>
      <x:c r="G208" t="n">
        <x:v>22</x:v>
      </x:c>
      <x:c r="H208" t="str">
        <x:v>ORD-2025-00056</x:v>
      </x:c>
      <x:c r="I208" t="n">
        <x:v>9</x:v>
      </x:c>
      <x:c r="J208" t="n">
        <x:v>10</x:v>
      </x:c>
      <x:c r="K208" t="n">
        <x:v>2</x:v>
      </x:c>
      <x:c r="L208" t="n">
        <x:f>IF(I208&lt;=J208,1,0)</x:f>
        <x:v>1</x:v>
      </x:c>
      <x:c r="P208" t="n">
        <x:f>IF(M208="",IF(AND(L208=1,K208&gt;=1),1,0),M208)</x:f>
        <x:v>1</x:v>
      </x:c>
      <x:c r="Q208" t="n">
        <x:f>IF(N208="",IF(AND(L208=1,K208&gt;=2),1,0),N208)</x:f>
        <x:v>1</x:v>
      </x:c>
      <x:c r="R208" t="n">
        <x:f>IF(O208="",IF(AND(L208=1,K208&gt;=3),1,0),O208)</x:f>
        <x:v>0</x:v>
      </x:c>
      <x:c r="S208" t="n">
        <x:f>SUM(P208:R208)</x:f>
        <x:v>2</x:v>
      </x:c>
      <x:c r="T208" t="str">
        <x:f>IF(COUNTA(M208:O208)=0,"DerivedFromCount","ManualOverride")</x:f>
        <x:v>DerivedFromCount</x:v>
      </x:c>
      <x:c r="U208" t="str">
        <x:f>IF(COUNTIF(DailyProduction!$Q$5:$Q$100,B208)=1,"OK","CHECK")</x:f>
        <x:v>OK</x:v>
      </x:c>
      <x:c r="V208" t="str">
        <x:f>IF(AND(I208&gt;=1,I208&lt;=13,K208&gt;=1,K208&lt;=3),"OK","CHECK")</x:f>
        <x:v>OK</x:v>
      </x:c>
      <x:c r="W208" t="str">
        <x:f>IF(SUMIF($B$5:$B$914,B208,$S$5:$S$914)=SUMIF(DailyProduction!$Q$5:$Q$100,B208,DailyProduction!$R$5:$R$100),"OK","CHECK")</x:f>
        <x:v>OK</x:v>
      </x:c>
    </x:row>
    <x:row r="209">
      <x:c r="A209" t="str">
        <x:v>PC-PE-KG01-L22-20251020-PM-ORD-2025-00056-S10</x:v>
      </x:c>
      <x:c r="B209" t="str">
        <x:v>PE-KG01-L22-20251020-PM-ORD-2025-00056</x:v>
      </x:c>
      <x:c r="C209" t="str">
        <x:v>KG01</x:v>
      </x:c>
      <x:c r="D209" t="n">
        <x:v>45950</x:v>
      </x:c>
      <x:c r="E209" t="str">
        <x:v>PM</x:v>
      </x:c>
      <x:c r="F209" t="str">
        <x:v>A</x:v>
      </x:c>
      <x:c r="G209" t="n">
        <x:v>22</x:v>
      </x:c>
      <x:c r="H209" t="str">
        <x:v>ORD-2025-00056</x:v>
      </x:c>
      <x:c r="I209" t="n">
        <x:v>10</x:v>
      </x:c>
      <x:c r="J209" t="n">
        <x:v>10</x:v>
      </x:c>
      <x:c r="K209" t="n">
        <x:v>2</x:v>
      </x:c>
      <x:c r="L209" t="n">
        <x:f>IF(I209&lt;=J209,1,0)</x:f>
        <x:v>1</x:v>
      </x:c>
      <x:c r="P209" t="n">
        <x:f>IF(M209="",IF(AND(L209=1,K209&gt;=1),1,0),M209)</x:f>
        <x:v>1</x:v>
      </x:c>
      <x:c r="Q209" t="n">
        <x:f>IF(N209="",IF(AND(L209=1,K209&gt;=2),1,0),N209)</x:f>
        <x:v>1</x:v>
      </x:c>
      <x:c r="R209" t="n">
        <x:f>IF(O209="",IF(AND(L209=1,K209&gt;=3),1,0),O209)</x:f>
        <x:v>0</x:v>
      </x:c>
      <x:c r="S209" t="n">
        <x:f>SUM(P209:R209)</x:f>
        <x:v>2</x:v>
      </x:c>
      <x:c r="T209" t="str">
        <x:f>IF(COUNTA(M209:O209)=0,"DerivedFromCount","ManualOverride")</x:f>
        <x:v>DerivedFromCount</x:v>
      </x:c>
      <x:c r="U209" t="str">
        <x:f>IF(COUNTIF(DailyProduction!$Q$5:$Q$100,B209)=1,"OK","CHECK")</x:f>
        <x:v>OK</x:v>
      </x:c>
      <x:c r="V209" t="str">
        <x:f>IF(AND(I209&gt;=1,I209&lt;=13,K209&gt;=1,K209&lt;=3),"OK","CHECK")</x:f>
        <x:v>OK</x:v>
      </x:c>
      <x:c r="W209" t="str">
        <x:f>IF(SUMIF($B$5:$B$914,B209,$S$5:$S$914)=SUMIF(DailyProduction!$Q$5:$Q$100,B209,DailyProduction!$R$5:$R$100),"OK","CHECK")</x:f>
        <x:v>OK</x:v>
      </x:c>
    </x:row>
    <x:row r="210">
      <x:c r="A210" t="str">
        <x:v>PC-PE-KG01-L22-20251020-PM-ORD-2025-00056-S11</x:v>
      </x:c>
      <x:c r="B210" t="str">
        <x:v>PE-KG01-L22-20251020-PM-ORD-2025-00056</x:v>
      </x:c>
      <x:c r="C210" t="str">
        <x:v>KG01</x:v>
      </x:c>
      <x:c r="D210" t="n">
        <x:v>45950</x:v>
      </x:c>
      <x:c r="E210" t="str">
        <x:v>PM</x:v>
      </x:c>
      <x:c r="F210" t="str">
        <x:v>A</x:v>
      </x:c>
      <x:c r="G210" t="n">
        <x:v>22</x:v>
      </x:c>
      <x:c r="H210" t="str">
        <x:v>ORD-2025-00056</x:v>
      </x:c>
      <x:c r="I210" t="n">
        <x:v>11</x:v>
      </x:c>
      <x:c r="J210" t="n">
        <x:v>10</x:v>
      </x:c>
      <x:c r="K210" t="n">
        <x:v>2</x:v>
      </x:c>
      <x:c r="L210" t="n">
        <x:f>IF(I210&lt;=J210,1,0)</x:f>
        <x:v>0</x:v>
      </x:c>
      <x:c r="P210" t="n">
        <x:f>IF(M210="",IF(AND(L210=1,K210&gt;=1),1,0),M210)</x:f>
        <x:v>0</x:v>
      </x:c>
      <x:c r="Q210" t="n">
        <x:f>IF(N210="",IF(AND(L210=1,K210&gt;=2),1,0),N210)</x:f>
        <x:v>0</x:v>
      </x:c>
      <x:c r="R210" t="n">
        <x:f>IF(O210="",IF(AND(L210=1,K210&gt;=3),1,0),O210)</x:f>
        <x:v>0</x:v>
      </x:c>
      <x:c r="S210" t="n">
        <x:f>SUM(P210:R210)</x:f>
        <x:v>0</x:v>
      </x:c>
      <x:c r="T210" t="str">
        <x:f>IF(COUNTA(M210:O210)=0,"DerivedFromCount","ManualOverride")</x:f>
        <x:v>DerivedFromCount</x:v>
      </x:c>
      <x:c r="U210" t="str">
        <x:f>IF(COUNTIF(DailyProduction!$Q$5:$Q$100,B210)=1,"OK","CHECK")</x:f>
        <x:v>OK</x:v>
      </x:c>
      <x:c r="V210" t="str">
        <x:f>IF(AND(I210&gt;=1,I210&lt;=13,K210&gt;=1,K210&lt;=3),"OK","CHECK")</x:f>
        <x:v>OK</x:v>
      </x:c>
      <x:c r="W210" t="str">
        <x:f>IF(SUMIF($B$5:$B$914,B210,$S$5:$S$914)=SUMIF(DailyProduction!$Q$5:$Q$100,B210,DailyProduction!$R$5:$R$100),"OK","CHECK")</x:f>
        <x:v>OK</x:v>
      </x:c>
    </x:row>
    <x:row r="211">
      <x:c r="A211" t="str">
        <x:v>PC-PE-KG01-L22-20251020-PM-ORD-2025-00056-S12</x:v>
      </x:c>
      <x:c r="B211" t="str">
        <x:v>PE-KG01-L22-20251020-PM-ORD-2025-00056</x:v>
      </x:c>
      <x:c r="C211" t="str">
        <x:v>KG01</x:v>
      </x:c>
      <x:c r="D211" t="n">
        <x:v>45950</x:v>
      </x:c>
      <x:c r="E211" t="str">
        <x:v>PM</x:v>
      </x:c>
      <x:c r="F211" t="str">
        <x:v>A</x:v>
      </x:c>
      <x:c r="G211" t="n">
        <x:v>22</x:v>
      </x:c>
      <x:c r="H211" t="str">
        <x:v>ORD-2025-00056</x:v>
      </x:c>
      <x:c r="I211" t="n">
        <x:v>12</x:v>
      </x:c>
      <x:c r="J211" t="n">
        <x:v>10</x:v>
      </x:c>
      <x:c r="K211" t="n">
        <x:v>2</x:v>
      </x:c>
      <x:c r="L211" t="n">
        <x:f>IF(I211&lt;=J211,1,0)</x:f>
        <x:v>0</x:v>
      </x:c>
      <x:c r="P211" t="n">
        <x:f>IF(M211="",IF(AND(L211=1,K211&gt;=1),1,0),M211)</x:f>
        <x:v>0</x:v>
      </x:c>
      <x:c r="Q211" t="n">
        <x:f>IF(N211="",IF(AND(L211=1,K211&gt;=2),1,0),N211)</x:f>
        <x:v>0</x:v>
      </x:c>
      <x:c r="R211" t="n">
        <x:f>IF(O211="",IF(AND(L211=1,K211&gt;=3),1,0),O211)</x:f>
        <x:v>0</x:v>
      </x:c>
      <x:c r="S211" t="n">
        <x:f>SUM(P211:R211)</x:f>
        <x:v>0</x:v>
      </x:c>
      <x:c r="T211" t="str">
        <x:f>IF(COUNTA(M211:O211)=0,"DerivedFromCount","ManualOverride")</x:f>
        <x:v>DerivedFromCount</x:v>
      </x:c>
      <x:c r="U211" t="str">
        <x:f>IF(COUNTIF(DailyProduction!$Q$5:$Q$100,B211)=1,"OK","CHECK")</x:f>
        <x:v>OK</x:v>
      </x:c>
      <x:c r="V211" t="str">
        <x:f>IF(AND(I211&gt;=1,I211&lt;=13,K211&gt;=1,K211&lt;=3),"OK","CHECK")</x:f>
        <x:v>OK</x:v>
      </x:c>
      <x:c r="W211" t="str">
        <x:f>IF(SUMIF($B$5:$B$914,B211,$S$5:$S$914)=SUMIF(DailyProduction!$Q$5:$Q$100,B211,DailyProduction!$R$5:$R$100),"OK","CHECK")</x:f>
        <x:v>OK</x:v>
      </x:c>
    </x:row>
    <x:row r="212">
      <x:c r="A212" t="str">
        <x:v>PC-PE-KG01-L22-20251020-PM-ORD-2025-00056-S13</x:v>
      </x:c>
      <x:c r="B212" t="str">
        <x:v>PE-KG01-L22-20251020-PM-ORD-2025-00056</x:v>
      </x:c>
      <x:c r="C212" t="str">
        <x:v>KG01</x:v>
      </x:c>
      <x:c r="D212" t="n">
        <x:v>45950</x:v>
      </x:c>
      <x:c r="E212" t="str">
        <x:v>PM</x:v>
      </x:c>
      <x:c r="F212" t="str">
        <x:v>A</x:v>
      </x:c>
      <x:c r="G212" t="n">
        <x:v>22</x:v>
      </x:c>
      <x:c r="H212" t="str">
        <x:v>ORD-2025-00056</x:v>
      </x:c>
      <x:c r="I212" t="n">
        <x:v>13</x:v>
      </x:c>
      <x:c r="J212" t="n">
        <x:v>10</x:v>
      </x:c>
      <x:c r="K212" t="n">
        <x:v>2</x:v>
      </x:c>
      <x:c r="L212" t="n">
        <x:f>IF(I212&lt;=J212,1,0)</x:f>
        <x:v>0</x:v>
      </x:c>
      <x:c r="P212" t="n">
        <x:f>IF(M212="",IF(AND(L212=1,K212&gt;=1),1,0),M212)</x:f>
        <x:v>0</x:v>
      </x:c>
      <x:c r="Q212" t="n">
        <x:f>IF(N212="",IF(AND(L212=1,K212&gt;=2),1,0),N212)</x:f>
        <x:v>0</x:v>
      </x:c>
      <x:c r="R212" t="n">
        <x:f>IF(O212="",IF(AND(L212=1,K212&gt;=3),1,0),O212)</x:f>
        <x:v>0</x:v>
      </x:c>
      <x:c r="S212" t="n">
        <x:f>SUM(P212:R212)</x:f>
        <x:v>0</x:v>
      </x:c>
      <x:c r="T212" t="str">
        <x:f>IF(COUNTA(M212:O212)=0,"DerivedFromCount","ManualOverride")</x:f>
        <x:v>DerivedFromCount</x:v>
      </x:c>
      <x:c r="U212" t="str">
        <x:f>IF(COUNTIF(DailyProduction!$Q$5:$Q$100,B212)=1,"OK","CHECK")</x:f>
        <x:v>OK</x:v>
      </x:c>
      <x:c r="V212" t="str">
        <x:f>IF(AND(I212&gt;=1,I212&lt;=13,K212&gt;=1,K212&lt;=3),"OK","CHECK")</x:f>
        <x:v>OK</x:v>
      </x:c>
      <x:c r="W212" t="str">
        <x:f>IF(SUMIF($B$5:$B$914,B212,$S$5:$S$914)=SUMIF(DailyProduction!$Q$5:$Q$100,B212,DailyProduction!$R$5:$R$100),"OK","CHECK")</x:f>
        <x:v>OK</x:v>
      </x:c>
    </x:row>
    <x:row r="213">
      <x:c r="A213" t="str">
        <x:v>PC-PE-KG01-L22-20251021-AM-ORD-2025-00056-S01</x:v>
      </x:c>
      <x:c r="B213" t="str">
        <x:v>PE-KG01-L22-20251021-AM-ORD-2025-00056</x:v>
      </x:c>
      <x:c r="C213" t="str">
        <x:v>KG01</x:v>
      </x:c>
      <x:c r="D213" t="n">
        <x:v>45951</x:v>
      </x:c>
      <x:c r="E213" t="str">
        <x:v>AM</x:v>
      </x:c>
      <x:c r="F213" t="str">
        <x:v>A</x:v>
      </x:c>
      <x:c r="G213" t="n">
        <x:v>22</x:v>
      </x:c>
      <x:c r="H213" t="str">
        <x:v>ORD-2025-00056</x:v>
      </x:c>
      <x:c r="I213" t="n">
        <x:v>1</x:v>
      </x:c>
      <x:c r="J213" t="n">
        <x:v>10</x:v>
      </x:c>
      <x:c r="K213" t="n">
        <x:v>2</x:v>
      </x:c>
      <x:c r="L213" t="n">
        <x:f>IF(I213&lt;=J213,1,0)</x:f>
        <x:v>1</x:v>
      </x:c>
      <x:c r="P213" t="n">
        <x:f>IF(M213="",IF(AND(L213=1,K213&gt;=1),1,0),M213)</x:f>
        <x:v>1</x:v>
      </x:c>
      <x:c r="Q213" t="n">
        <x:f>IF(N213="",IF(AND(L213=1,K213&gt;=2),1,0),N213)</x:f>
        <x:v>1</x:v>
      </x:c>
      <x:c r="R213" t="n">
        <x:f>IF(O213="",IF(AND(L213=1,K213&gt;=3),1,0),O213)</x:f>
        <x:v>0</x:v>
      </x:c>
      <x:c r="S213" t="n">
        <x:f>SUM(P213:R213)</x:f>
        <x:v>2</x:v>
      </x:c>
      <x:c r="T213" t="str">
        <x:f>IF(COUNTA(M213:O213)=0,"DerivedFromCount","ManualOverride")</x:f>
        <x:v>DerivedFromCount</x:v>
      </x:c>
      <x:c r="U213" t="str">
        <x:f>IF(COUNTIF(DailyProduction!$Q$5:$Q$100,B213)=1,"OK","CHECK")</x:f>
        <x:v>OK</x:v>
      </x:c>
      <x:c r="V213" t="str">
        <x:f>IF(AND(I213&gt;=1,I213&lt;=13,K213&gt;=1,K213&lt;=3),"OK","CHECK")</x:f>
        <x:v>OK</x:v>
      </x:c>
      <x:c r="W213" t="str">
        <x:f>IF(SUMIF($B$5:$B$914,B213,$S$5:$S$914)=SUMIF(DailyProduction!$Q$5:$Q$100,B213,DailyProduction!$R$5:$R$100),"OK","CHECK")</x:f>
        <x:v>OK</x:v>
      </x:c>
    </x:row>
    <x:row r="214">
      <x:c r="A214" t="str">
        <x:v>PC-PE-KG01-L22-20251021-AM-ORD-2025-00056-S02</x:v>
      </x:c>
      <x:c r="B214" t="str">
        <x:v>PE-KG01-L22-20251021-AM-ORD-2025-00056</x:v>
      </x:c>
      <x:c r="C214" t="str">
        <x:v>KG01</x:v>
      </x:c>
      <x:c r="D214" t="n">
        <x:v>45951</x:v>
      </x:c>
      <x:c r="E214" t="str">
        <x:v>AM</x:v>
      </x:c>
      <x:c r="F214" t="str">
        <x:v>A</x:v>
      </x:c>
      <x:c r="G214" t="n">
        <x:v>22</x:v>
      </x:c>
      <x:c r="H214" t="str">
        <x:v>ORD-2025-00056</x:v>
      </x:c>
      <x:c r="I214" t="n">
        <x:v>2</x:v>
      </x:c>
      <x:c r="J214" t="n">
        <x:v>10</x:v>
      </x:c>
      <x:c r="K214" t="n">
        <x:v>2</x:v>
      </x:c>
      <x:c r="L214" t="n">
        <x:f>IF(I214&lt;=J214,1,0)</x:f>
        <x:v>1</x:v>
      </x:c>
      <x:c r="P214" t="n">
        <x:f>IF(M214="",IF(AND(L214=1,K214&gt;=1),1,0),M214)</x:f>
        <x:v>1</x:v>
      </x:c>
      <x:c r="Q214" t="n">
        <x:f>IF(N214="",IF(AND(L214=1,K214&gt;=2),1,0),N214)</x:f>
        <x:v>1</x:v>
      </x:c>
      <x:c r="R214" t="n">
        <x:f>IF(O214="",IF(AND(L214=1,K214&gt;=3),1,0),O214)</x:f>
        <x:v>0</x:v>
      </x:c>
      <x:c r="S214" t="n">
        <x:f>SUM(P214:R214)</x:f>
        <x:v>2</x:v>
      </x:c>
      <x:c r="T214" t="str">
        <x:f>IF(COUNTA(M214:O214)=0,"DerivedFromCount","ManualOverride")</x:f>
        <x:v>DerivedFromCount</x:v>
      </x:c>
      <x:c r="U214" t="str">
        <x:f>IF(COUNTIF(DailyProduction!$Q$5:$Q$100,B214)=1,"OK","CHECK")</x:f>
        <x:v>OK</x:v>
      </x:c>
      <x:c r="V214" t="str">
        <x:f>IF(AND(I214&gt;=1,I214&lt;=13,K214&gt;=1,K214&lt;=3),"OK","CHECK")</x:f>
        <x:v>OK</x:v>
      </x:c>
      <x:c r="W214" t="str">
        <x:f>IF(SUMIF($B$5:$B$914,B214,$S$5:$S$914)=SUMIF(DailyProduction!$Q$5:$Q$100,B214,DailyProduction!$R$5:$R$100),"OK","CHECK")</x:f>
        <x:v>OK</x:v>
      </x:c>
    </x:row>
    <x:row r="215">
      <x:c r="A215" t="str">
        <x:v>PC-PE-KG01-L22-20251021-AM-ORD-2025-00056-S03</x:v>
      </x:c>
      <x:c r="B215" t="str">
        <x:v>PE-KG01-L22-20251021-AM-ORD-2025-00056</x:v>
      </x:c>
      <x:c r="C215" t="str">
        <x:v>KG01</x:v>
      </x:c>
      <x:c r="D215" t="n">
        <x:v>45951</x:v>
      </x:c>
      <x:c r="E215" t="str">
        <x:v>AM</x:v>
      </x:c>
      <x:c r="F215" t="str">
        <x:v>A</x:v>
      </x:c>
      <x:c r="G215" t="n">
        <x:v>22</x:v>
      </x:c>
      <x:c r="H215" t="str">
        <x:v>ORD-2025-00056</x:v>
      </x:c>
      <x:c r="I215" t="n">
        <x:v>3</x:v>
      </x:c>
      <x:c r="J215" t="n">
        <x:v>10</x:v>
      </x:c>
      <x:c r="K215" t="n">
        <x:v>2</x:v>
      </x:c>
      <x:c r="L215" t="n">
        <x:f>IF(I215&lt;=J215,1,0)</x:f>
        <x:v>1</x:v>
      </x:c>
      <x:c r="P215" t="n">
        <x:f>IF(M215="",IF(AND(L215=1,K215&gt;=1),1,0),M215)</x:f>
        <x:v>1</x:v>
      </x:c>
      <x:c r="Q215" t="n">
        <x:f>IF(N215="",IF(AND(L215=1,K215&gt;=2),1,0),N215)</x:f>
        <x:v>1</x:v>
      </x:c>
      <x:c r="R215" t="n">
        <x:f>IF(O215="",IF(AND(L215=1,K215&gt;=3),1,0),O215)</x:f>
        <x:v>0</x:v>
      </x:c>
      <x:c r="S215" t="n">
        <x:f>SUM(P215:R215)</x:f>
        <x:v>2</x:v>
      </x:c>
      <x:c r="T215" t="str">
        <x:f>IF(COUNTA(M215:O215)=0,"DerivedFromCount","ManualOverride")</x:f>
        <x:v>DerivedFromCount</x:v>
      </x:c>
      <x:c r="U215" t="str">
        <x:f>IF(COUNTIF(DailyProduction!$Q$5:$Q$100,B215)=1,"OK","CHECK")</x:f>
        <x:v>OK</x:v>
      </x:c>
      <x:c r="V215" t="str">
        <x:f>IF(AND(I215&gt;=1,I215&lt;=13,K215&gt;=1,K215&lt;=3),"OK","CHECK")</x:f>
        <x:v>OK</x:v>
      </x:c>
      <x:c r="W215" t="str">
        <x:f>IF(SUMIF($B$5:$B$914,B215,$S$5:$S$914)=SUMIF(DailyProduction!$Q$5:$Q$100,B215,DailyProduction!$R$5:$R$100),"OK","CHECK")</x:f>
        <x:v>OK</x:v>
      </x:c>
    </x:row>
    <x:row r="216">
      <x:c r="A216" t="str">
        <x:v>PC-PE-KG01-L22-20251021-AM-ORD-2025-00056-S04</x:v>
      </x:c>
      <x:c r="B216" t="str">
        <x:v>PE-KG01-L22-20251021-AM-ORD-2025-00056</x:v>
      </x:c>
      <x:c r="C216" t="str">
        <x:v>KG01</x:v>
      </x:c>
      <x:c r="D216" t="n">
        <x:v>45951</x:v>
      </x:c>
      <x:c r="E216" t="str">
        <x:v>AM</x:v>
      </x:c>
      <x:c r="F216" t="str">
        <x:v>A</x:v>
      </x:c>
      <x:c r="G216" t="n">
        <x:v>22</x:v>
      </x:c>
      <x:c r="H216" t="str">
        <x:v>ORD-2025-00056</x:v>
      </x:c>
      <x:c r="I216" t="n">
        <x:v>4</x:v>
      </x:c>
      <x:c r="J216" t="n">
        <x:v>10</x:v>
      </x:c>
      <x:c r="K216" t="n">
        <x:v>2</x:v>
      </x:c>
      <x:c r="L216" t="n">
        <x:f>IF(I216&lt;=J216,1,0)</x:f>
        <x:v>1</x:v>
      </x:c>
      <x:c r="P216" t="n">
        <x:f>IF(M216="",IF(AND(L216=1,K216&gt;=1),1,0),M216)</x:f>
        <x:v>1</x:v>
      </x:c>
      <x:c r="Q216" t="n">
        <x:f>IF(N216="",IF(AND(L216=1,K216&gt;=2),1,0),N216)</x:f>
        <x:v>1</x:v>
      </x:c>
      <x:c r="R216" t="n">
        <x:f>IF(O216="",IF(AND(L216=1,K216&gt;=3),1,0),O216)</x:f>
        <x:v>0</x:v>
      </x:c>
      <x:c r="S216" t="n">
        <x:f>SUM(P216:R216)</x:f>
        <x:v>2</x:v>
      </x:c>
      <x:c r="T216" t="str">
        <x:f>IF(COUNTA(M216:O216)=0,"DerivedFromCount","ManualOverride")</x:f>
        <x:v>DerivedFromCount</x:v>
      </x:c>
      <x:c r="U216" t="str">
        <x:f>IF(COUNTIF(DailyProduction!$Q$5:$Q$100,B216)=1,"OK","CHECK")</x:f>
        <x:v>OK</x:v>
      </x:c>
      <x:c r="V216" t="str">
        <x:f>IF(AND(I216&gt;=1,I216&lt;=13,K216&gt;=1,K216&lt;=3),"OK","CHECK")</x:f>
        <x:v>OK</x:v>
      </x:c>
      <x:c r="W216" t="str">
        <x:f>IF(SUMIF($B$5:$B$914,B216,$S$5:$S$914)=SUMIF(DailyProduction!$Q$5:$Q$100,B216,DailyProduction!$R$5:$R$100),"OK","CHECK")</x:f>
        <x:v>OK</x:v>
      </x:c>
    </x:row>
    <x:row r="217">
      <x:c r="A217" t="str">
        <x:v>PC-PE-KG01-L22-20251021-AM-ORD-2025-00056-S05</x:v>
      </x:c>
      <x:c r="B217" t="str">
        <x:v>PE-KG01-L22-20251021-AM-ORD-2025-00056</x:v>
      </x:c>
      <x:c r="C217" t="str">
        <x:v>KG01</x:v>
      </x:c>
      <x:c r="D217" t="n">
        <x:v>45951</x:v>
      </x:c>
      <x:c r="E217" t="str">
        <x:v>AM</x:v>
      </x:c>
      <x:c r="F217" t="str">
        <x:v>A</x:v>
      </x:c>
      <x:c r="G217" t="n">
        <x:v>22</x:v>
      </x:c>
      <x:c r="H217" t="str">
        <x:v>ORD-2025-00056</x:v>
      </x:c>
      <x:c r="I217" t="n">
        <x:v>5</x:v>
      </x:c>
      <x:c r="J217" t="n">
        <x:v>10</x:v>
      </x:c>
      <x:c r="K217" t="n">
        <x:v>2</x:v>
      </x:c>
      <x:c r="L217" t="n">
        <x:f>IF(I217&lt;=J217,1,0)</x:f>
        <x:v>1</x:v>
      </x:c>
      <x:c r="P217" t="n">
        <x:f>IF(M217="",IF(AND(L217=1,K217&gt;=1),1,0),M217)</x:f>
        <x:v>1</x:v>
      </x:c>
      <x:c r="Q217" t="n">
        <x:f>IF(N217="",IF(AND(L217=1,K217&gt;=2),1,0),N217)</x:f>
        <x:v>1</x:v>
      </x:c>
      <x:c r="R217" t="n">
        <x:f>IF(O217="",IF(AND(L217=1,K217&gt;=3),1,0),O217)</x:f>
        <x:v>0</x:v>
      </x:c>
      <x:c r="S217" t="n">
        <x:f>SUM(P217:R217)</x:f>
        <x:v>2</x:v>
      </x:c>
      <x:c r="T217" t="str">
        <x:f>IF(COUNTA(M217:O217)=0,"DerivedFromCount","ManualOverride")</x:f>
        <x:v>DerivedFromCount</x:v>
      </x:c>
      <x:c r="U217" t="str">
        <x:f>IF(COUNTIF(DailyProduction!$Q$5:$Q$100,B217)=1,"OK","CHECK")</x:f>
        <x:v>OK</x:v>
      </x:c>
      <x:c r="V217" t="str">
        <x:f>IF(AND(I217&gt;=1,I217&lt;=13,K217&gt;=1,K217&lt;=3),"OK","CHECK")</x:f>
        <x:v>OK</x:v>
      </x:c>
      <x:c r="W217" t="str">
        <x:f>IF(SUMIF($B$5:$B$914,B217,$S$5:$S$914)=SUMIF(DailyProduction!$Q$5:$Q$100,B217,DailyProduction!$R$5:$R$100),"OK","CHECK")</x:f>
        <x:v>OK</x:v>
      </x:c>
    </x:row>
    <x:row r="218">
      <x:c r="A218" t="str">
        <x:v>PC-PE-KG01-L22-20251021-AM-ORD-2025-00056-S06</x:v>
      </x:c>
      <x:c r="B218" t="str">
        <x:v>PE-KG01-L22-20251021-AM-ORD-2025-00056</x:v>
      </x:c>
      <x:c r="C218" t="str">
        <x:v>KG01</x:v>
      </x:c>
      <x:c r="D218" t="n">
        <x:v>45951</x:v>
      </x:c>
      <x:c r="E218" t="str">
        <x:v>AM</x:v>
      </x:c>
      <x:c r="F218" t="str">
        <x:v>A</x:v>
      </x:c>
      <x:c r="G218" t="n">
        <x:v>22</x:v>
      </x:c>
      <x:c r="H218" t="str">
        <x:v>ORD-2025-00056</x:v>
      </x:c>
      <x:c r="I218" t="n">
        <x:v>6</x:v>
      </x:c>
      <x:c r="J218" t="n">
        <x:v>10</x:v>
      </x:c>
      <x:c r="K218" t="n">
        <x:v>2</x:v>
      </x:c>
      <x:c r="L218" t="n">
        <x:f>IF(I218&lt;=J218,1,0)</x:f>
        <x:v>1</x:v>
      </x:c>
      <x:c r="P218" t="n">
        <x:f>IF(M218="",IF(AND(L218=1,K218&gt;=1),1,0),M218)</x:f>
        <x:v>1</x:v>
      </x:c>
      <x:c r="Q218" t="n">
        <x:f>IF(N218="",IF(AND(L218=1,K218&gt;=2),1,0),N218)</x:f>
        <x:v>1</x:v>
      </x:c>
      <x:c r="R218" t="n">
        <x:f>IF(O218="",IF(AND(L218=1,K218&gt;=3),1,0),O218)</x:f>
        <x:v>0</x:v>
      </x:c>
      <x:c r="S218" t="n">
        <x:f>SUM(P218:R218)</x:f>
        <x:v>2</x:v>
      </x:c>
      <x:c r="T218" t="str">
        <x:f>IF(COUNTA(M218:O218)=0,"DerivedFromCount","ManualOverride")</x:f>
        <x:v>DerivedFromCount</x:v>
      </x:c>
      <x:c r="U218" t="str">
        <x:f>IF(COUNTIF(DailyProduction!$Q$5:$Q$100,B218)=1,"OK","CHECK")</x:f>
        <x:v>OK</x:v>
      </x:c>
      <x:c r="V218" t="str">
        <x:f>IF(AND(I218&gt;=1,I218&lt;=13,K218&gt;=1,K218&lt;=3),"OK","CHECK")</x:f>
        <x:v>OK</x:v>
      </x:c>
      <x:c r="W218" t="str">
        <x:f>IF(SUMIF($B$5:$B$914,B218,$S$5:$S$914)=SUMIF(DailyProduction!$Q$5:$Q$100,B218,DailyProduction!$R$5:$R$100),"OK","CHECK")</x:f>
        <x:v>OK</x:v>
      </x:c>
    </x:row>
    <x:row r="219">
      <x:c r="A219" t="str">
        <x:v>PC-PE-KG01-L22-20251021-AM-ORD-2025-00056-S07</x:v>
      </x:c>
      <x:c r="B219" t="str">
        <x:v>PE-KG01-L22-20251021-AM-ORD-2025-00056</x:v>
      </x:c>
      <x:c r="C219" t="str">
        <x:v>KG01</x:v>
      </x:c>
      <x:c r="D219" t="n">
        <x:v>45951</x:v>
      </x:c>
      <x:c r="E219" t="str">
        <x:v>AM</x:v>
      </x:c>
      <x:c r="F219" t="str">
        <x:v>A</x:v>
      </x:c>
      <x:c r="G219" t="n">
        <x:v>22</x:v>
      </x:c>
      <x:c r="H219" t="str">
        <x:v>ORD-2025-00056</x:v>
      </x:c>
      <x:c r="I219" t="n">
        <x:v>7</x:v>
      </x:c>
      <x:c r="J219" t="n">
        <x:v>10</x:v>
      </x:c>
      <x:c r="K219" t="n">
        <x:v>2</x:v>
      </x:c>
      <x:c r="L219" t="n">
        <x:f>IF(I219&lt;=J219,1,0)</x:f>
        <x:v>1</x:v>
      </x:c>
      <x:c r="P219" t="n">
        <x:f>IF(M219="",IF(AND(L219=1,K219&gt;=1),1,0),M219)</x:f>
        <x:v>1</x:v>
      </x:c>
      <x:c r="Q219" t="n">
        <x:f>IF(N219="",IF(AND(L219=1,K219&gt;=2),1,0),N219)</x:f>
        <x:v>1</x:v>
      </x:c>
      <x:c r="R219" t="n">
        <x:f>IF(O219="",IF(AND(L219=1,K219&gt;=3),1,0),O219)</x:f>
        <x:v>0</x:v>
      </x:c>
      <x:c r="S219" t="n">
        <x:f>SUM(P219:R219)</x:f>
        <x:v>2</x:v>
      </x:c>
      <x:c r="T219" t="str">
        <x:f>IF(COUNTA(M219:O219)=0,"DerivedFromCount","ManualOverride")</x:f>
        <x:v>DerivedFromCount</x:v>
      </x:c>
      <x:c r="U219" t="str">
        <x:f>IF(COUNTIF(DailyProduction!$Q$5:$Q$100,B219)=1,"OK","CHECK")</x:f>
        <x:v>OK</x:v>
      </x:c>
      <x:c r="V219" t="str">
        <x:f>IF(AND(I219&gt;=1,I219&lt;=13,K219&gt;=1,K219&lt;=3),"OK","CHECK")</x:f>
        <x:v>OK</x:v>
      </x:c>
      <x:c r="W219" t="str">
        <x:f>IF(SUMIF($B$5:$B$914,B219,$S$5:$S$914)=SUMIF(DailyProduction!$Q$5:$Q$100,B219,DailyProduction!$R$5:$R$100),"OK","CHECK")</x:f>
        <x:v>OK</x:v>
      </x:c>
    </x:row>
    <x:row r="220">
      <x:c r="A220" t="str">
        <x:v>PC-PE-KG01-L22-20251021-AM-ORD-2025-00056-S08</x:v>
      </x:c>
      <x:c r="B220" t="str">
        <x:v>PE-KG01-L22-20251021-AM-ORD-2025-00056</x:v>
      </x:c>
      <x:c r="C220" t="str">
        <x:v>KG01</x:v>
      </x:c>
      <x:c r="D220" t="n">
        <x:v>45951</x:v>
      </x:c>
      <x:c r="E220" t="str">
        <x:v>AM</x:v>
      </x:c>
      <x:c r="F220" t="str">
        <x:v>A</x:v>
      </x:c>
      <x:c r="G220" t="n">
        <x:v>22</x:v>
      </x:c>
      <x:c r="H220" t="str">
        <x:v>ORD-2025-00056</x:v>
      </x:c>
      <x:c r="I220" t="n">
        <x:v>8</x:v>
      </x:c>
      <x:c r="J220" t="n">
        <x:v>10</x:v>
      </x:c>
      <x:c r="K220" t="n">
        <x:v>2</x:v>
      </x:c>
      <x:c r="L220" t="n">
        <x:f>IF(I220&lt;=J220,1,0)</x:f>
        <x:v>1</x:v>
      </x:c>
      <x:c r="P220" t="n">
        <x:f>IF(M220="",IF(AND(L220=1,K220&gt;=1),1,0),M220)</x:f>
        <x:v>1</x:v>
      </x:c>
      <x:c r="Q220" t="n">
        <x:f>IF(N220="",IF(AND(L220=1,K220&gt;=2),1,0),N220)</x:f>
        <x:v>1</x:v>
      </x:c>
      <x:c r="R220" t="n">
        <x:f>IF(O220="",IF(AND(L220=1,K220&gt;=3),1,0),O220)</x:f>
        <x:v>0</x:v>
      </x:c>
      <x:c r="S220" t="n">
        <x:f>SUM(P220:R220)</x:f>
        <x:v>2</x:v>
      </x:c>
      <x:c r="T220" t="str">
        <x:f>IF(COUNTA(M220:O220)=0,"DerivedFromCount","ManualOverride")</x:f>
        <x:v>DerivedFromCount</x:v>
      </x:c>
      <x:c r="U220" t="str">
        <x:f>IF(COUNTIF(DailyProduction!$Q$5:$Q$100,B220)=1,"OK","CHECK")</x:f>
        <x:v>OK</x:v>
      </x:c>
      <x:c r="V220" t="str">
        <x:f>IF(AND(I220&gt;=1,I220&lt;=13,K220&gt;=1,K220&lt;=3),"OK","CHECK")</x:f>
        <x:v>OK</x:v>
      </x:c>
      <x:c r="W220" t="str">
        <x:f>IF(SUMIF($B$5:$B$914,B220,$S$5:$S$914)=SUMIF(DailyProduction!$Q$5:$Q$100,B220,DailyProduction!$R$5:$R$100),"OK","CHECK")</x:f>
        <x:v>OK</x:v>
      </x:c>
    </x:row>
    <x:row r="221">
      <x:c r="A221" t="str">
        <x:v>PC-PE-KG01-L22-20251021-AM-ORD-2025-00056-S09</x:v>
      </x:c>
      <x:c r="B221" t="str">
        <x:v>PE-KG01-L22-20251021-AM-ORD-2025-00056</x:v>
      </x:c>
      <x:c r="C221" t="str">
        <x:v>KG01</x:v>
      </x:c>
      <x:c r="D221" t="n">
        <x:v>45951</x:v>
      </x:c>
      <x:c r="E221" t="str">
        <x:v>AM</x:v>
      </x:c>
      <x:c r="F221" t="str">
        <x:v>A</x:v>
      </x:c>
      <x:c r="G221" t="n">
        <x:v>22</x:v>
      </x:c>
      <x:c r="H221" t="str">
        <x:v>ORD-2025-00056</x:v>
      </x:c>
      <x:c r="I221" t="n">
        <x:v>9</x:v>
      </x:c>
      <x:c r="J221" t="n">
        <x:v>10</x:v>
      </x:c>
      <x:c r="K221" t="n">
        <x:v>2</x:v>
      </x:c>
      <x:c r="L221" t="n">
        <x:f>IF(I221&lt;=J221,1,0)</x:f>
        <x:v>1</x:v>
      </x:c>
      <x:c r="P221" t="n">
        <x:f>IF(M221="",IF(AND(L221=1,K221&gt;=1),1,0),M221)</x:f>
        <x:v>1</x:v>
      </x:c>
      <x:c r="Q221" t="n">
        <x:f>IF(N221="",IF(AND(L221=1,K221&gt;=2),1,0),N221)</x:f>
        <x:v>1</x:v>
      </x:c>
      <x:c r="R221" t="n">
        <x:f>IF(O221="",IF(AND(L221=1,K221&gt;=3),1,0),O221)</x:f>
        <x:v>0</x:v>
      </x:c>
      <x:c r="S221" t="n">
        <x:f>SUM(P221:R221)</x:f>
        <x:v>2</x:v>
      </x:c>
      <x:c r="T221" t="str">
        <x:f>IF(COUNTA(M221:O221)=0,"DerivedFromCount","ManualOverride")</x:f>
        <x:v>DerivedFromCount</x:v>
      </x:c>
      <x:c r="U221" t="str">
        <x:f>IF(COUNTIF(DailyProduction!$Q$5:$Q$100,B221)=1,"OK","CHECK")</x:f>
        <x:v>OK</x:v>
      </x:c>
      <x:c r="V221" t="str">
        <x:f>IF(AND(I221&gt;=1,I221&lt;=13,K221&gt;=1,K221&lt;=3),"OK","CHECK")</x:f>
        <x:v>OK</x:v>
      </x:c>
      <x:c r="W221" t="str">
        <x:f>IF(SUMIF($B$5:$B$914,B221,$S$5:$S$914)=SUMIF(DailyProduction!$Q$5:$Q$100,B221,DailyProduction!$R$5:$R$100),"OK","CHECK")</x:f>
        <x:v>OK</x:v>
      </x:c>
    </x:row>
    <x:row r="222">
      <x:c r="A222" t="str">
        <x:v>PC-PE-KG01-L22-20251021-AM-ORD-2025-00056-S10</x:v>
      </x:c>
      <x:c r="B222" t="str">
        <x:v>PE-KG01-L22-20251021-AM-ORD-2025-00056</x:v>
      </x:c>
      <x:c r="C222" t="str">
        <x:v>KG01</x:v>
      </x:c>
      <x:c r="D222" t="n">
        <x:v>45951</x:v>
      </x:c>
      <x:c r="E222" t="str">
        <x:v>AM</x:v>
      </x:c>
      <x:c r="F222" t="str">
        <x:v>A</x:v>
      </x:c>
      <x:c r="G222" t="n">
        <x:v>22</x:v>
      </x:c>
      <x:c r="H222" t="str">
        <x:v>ORD-2025-00056</x:v>
      </x:c>
      <x:c r="I222" t="n">
        <x:v>10</x:v>
      </x:c>
      <x:c r="J222" t="n">
        <x:v>10</x:v>
      </x:c>
      <x:c r="K222" t="n">
        <x:v>2</x:v>
      </x:c>
      <x:c r="L222" t="n">
        <x:f>IF(I222&lt;=J222,1,0)</x:f>
        <x:v>1</x:v>
      </x:c>
      <x:c r="P222" t="n">
        <x:f>IF(M222="",IF(AND(L222=1,K222&gt;=1),1,0),M222)</x:f>
        <x:v>1</x:v>
      </x:c>
      <x:c r="Q222" t="n">
        <x:f>IF(N222="",IF(AND(L222=1,K222&gt;=2),1,0),N222)</x:f>
        <x:v>1</x:v>
      </x:c>
      <x:c r="R222" t="n">
        <x:f>IF(O222="",IF(AND(L222=1,K222&gt;=3),1,0),O222)</x:f>
        <x:v>0</x:v>
      </x:c>
      <x:c r="S222" t="n">
        <x:f>SUM(P222:R222)</x:f>
        <x:v>2</x:v>
      </x:c>
      <x:c r="T222" t="str">
        <x:f>IF(COUNTA(M222:O222)=0,"DerivedFromCount","ManualOverride")</x:f>
        <x:v>DerivedFromCount</x:v>
      </x:c>
      <x:c r="U222" t="str">
        <x:f>IF(COUNTIF(DailyProduction!$Q$5:$Q$100,B222)=1,"OK","CHECK")</x:f>
        <x:v>OK</x:v>
      </x:c>
      <x:c r="V222" t="str">
        <x:f>IF(AND(I222&gt;=1,I222&lt;=13,K222&gt;=1,K222&lt;=3),"OK","CHECK")</x:f>
        <x:v>OK</x:v>
      </x:c>
      <x:c r="W222" t="str">
        <x:f>IF(SUMIF($B$5:$B$914,B222,$S$5:$S$914)=SUMIF(DailyProduction!$Q$5:$Q$100,B222,DailyProduction!$R$5:$R$100),"OK","CHECK")</x:f>
        <x:v>OK</x:v>
      </x:c>
    </x:row>
    <x:row r="223">
      <x:c r="A223" t="str">
        <x:v>PC-PE-KG01-L22-20251021-AM-ORD-2025-00056-S11</x:v>
      </x:c>
      <x:c r="B223" t="str">
        <x:v>PE-KG01-L22-20251021-AM-ORD-2025-00056</x:v>
      </x:c>
      <x:c r="C223" t="str">
        <x:v>KG01</x:v>
      </x:c>
      <x:c r="D223" t="n">
        <x:v>45951</x:v>
      </x:c>
      <x:c r="E223" t="str">
        <x:v>AM</x:v>
      </x:c>
      <x:c r="F223" t="str">
        <x:v>A</x:v>
      </x:c>
      <x:c r="G223" t="n">
        <x:v>22</x:v>
      </x:c>
      <x:c r="H223" t="str">
        <x:v>ORD-2025-00056</x:v>
      </x:c>
      <x:c r="I223" t="n">
        <x:v>11</x:v>
      </x:c>
      <x:c r="J223" t="n">
        <x:v>10</x:v>
      </x:c>
      <x:c r="K223" t="n">
        <x:v>2</x:v>
      </x:c>
      <x:c r="L223" t="n">
        <x:f>IF(I223&lt;=J223,1,0)</x:f>
        <x:v>0</x:v>
      </x:c>
      <x:c r="P223" t="n">
        <x:f>IF(M223="",IF(AND(L223=1,K223&gt;=1),1,0),M223)</x:f>
        <x:v>0</x:v>
      </x:c>
      <x:c r="Q223" t="n">
        <x:f>IF(N223="",IF(AND(L223=1,K223&gt;=2),1,0),N223)</x:f>
        <x:v>0</x:v>
      </x:c>
      <x:c r="R223" t="n">
        <x:f>IF(O223="",IF(AND(L223=1,K223&gt;=3),1,0),O223)</x:f>
        <x:v>0</x:v>
      </x:c>
      <x:c r="S223" t="n">
        <x:f>SUM(P223:R223)</x:f>
        <x:v>0</x:v>
      </x:c>
      <x:c r="T223" t="str">
        <x:f>IF(COUNTA(M223:O223)=0,"DerivedFromCount","ManualOverride")</x:f>
        <x:v>DerivedFromCount</x:v>
      </x:c>
      <x:c r="U223" t="str">
        <x:f>IF(COUNTIF(DailyProduction!$Q$5:$Q$100,B223)=1,"OK","CHECK")</x:f>
        <x:v>OK</x:v>
      </x:c>
      <x:c r="V223" t="str">
        <x:f>IF(AND(I223&gt;=1,I223&lt;=13,K223&gt;=1,K223&lt;=3),"OK","CHECK")</x:f>
        <x:v>OK</x:v>
      </x:c>
      <x:c r="W223" t="str">
        <x:f>IF(SUMIF($B$5:$B$914,B223,$S$5:$S$914)=SUMIF(DailyProduction!$Q$5:$Q$100,B223,DailyProduction!$R$5:$R$100),"OK","CHECK")</x:f>
        <x:v>OK</x:v>
      </x:c>
    </x:row>
    <x:row r="224">
      <x:c r="A224" t="str">
        <x:v>PC-PE-KG01-L22-20251021-AM-ORD-2025-00056-S12</x:v>
      </x:c>
      <x:c r="B224" t="str">
        <x:v>PE-KG01-L22-20251021-AM-ORD-2025-00056</x:v>
      </x:c>
      <x:c r="C224" t="str">
        <x:v>KG01</x:v>
      </x:c>
      <x:c r="D224" t="n">
        <x:v>45951</x:v>
      </x:c>
      <x:c r="E224" t="str">
        <x:v>AM</x:v>
      </x:c>
      <x:c r="F224" t="str">
        <x:v>A</x:v>
      </x:c>
      <x:c r="G224" t="n">
        <x:v>22</x:v>
      </x:c>
      <x:c r="H224" t="str">
        <x:v>ORD-2025-00056</x:v>
      </x:c>
      <x:c r="I224" t="n">
        <x:v>12</x:v>
      </x:c>
      <x:c r="J224" t="n">
        <x:v>10</x:v>
      </x:c>
      <x:c r="K224" t="n">
        <x:v>2</x:v>
      </x:c>
      <x:c r="L224" t="n">
        <x:f>IF(I224&lt;=J224,1,0)</x:f>
        <x:v>0</x:v>
      </x:c>
      <x:c r="P224" t="n">
        <x:f>IF(M224="",IF(AND(L224=1,K224&gt;=1),1,0),M224)</x:f>
        <x:v>0</x:v>
      </x:c>
      <x:c r="Q224" t="n">
        <x:f>IF(N224="",IF(AND(L224=1,K224&gt;=2),1,0),N224)</x:f>
        <x:v>0</x:v>
      </x:c>
      <x:c r="R224" t="n">
        <x:f>IF(O224="",IF(AND(L224=1,K224&gt;=3),1,0),O224)</x:f>
        <x:v>0</x:v>
      </x:c>
      <x:c r="S224" t="n">
        <x:f>SUM(P224:R224)</x:f>
        <x:v>0</x:v>
      </x:c>
      <x:c r="T224" t="str">
        <x:f>IF(COUNTA(M224:O224)=0,"DerivedFromCount","ManualOverride")</x:f>
        <x:v>DerivedFromCount</x:v>
      </x:c>
      <x:c r="U224" t="str">
        <x:f>IF(COUNTIF(DailyProduction!$Q$5:$Q$100,B224)=1,"OK","CHECK")</x:f>
        <x:v>OK</x:v>
      </x:c>
      <x:c r="V224" t="str">
        <x:f>IF(AND(I224&gt;=1,I224&lt;=13,K224&gt;=1,K224&lt;=3),"OK","CHECK")</x:f>
        <x:v>OK</x:v>
      </x:c>
      <x:c r="W224" t="str">
        <x:f>IF(SUMIF($B$5:$B$914,B224,$S$5:$S$914)=SUMIF(DailyProduction!$Q$5:$Q$100,B224,DailyProduction!$R$5:$R$100),"OK","CHECK")</x:f>
        <x:v>OK</x:v>
      </x:c>
    </x:row>
    <x:row r="225">
      <x:c r="A225" t="str">
        <x:v>PC-PE-KG01-L22-20251021-AM-ORD-2025-00056-S13</x:v>
      </x:c>
      <x:c r="B225" t="str">
        <x:v>PE-KG01-L22-20251021-AM-ORD-2025-00056</x:v>
      </x:c>
      <x:c r="C225" t="str">
        <x:v>KG01</x:v>
      </x:c>
      <x:c r="D225" t="n">
        <x:v>45951</x:v>
      </x:c>
      <x:c r="E225" t="str">
        <x:v>AM</x:v>
      </x:c>
      <x:c r="F225" t="str">
        <x:v>A</x:v>
      </x:c>
      <x:c r="G225" t="n">
        <x:v>22</x:v>
      </x:c>
      <x:c r="H225" t="str">
        <x:v>ORD-2025-00056</x:v>
      </x:c>
      <x:c r="I225" t="n">
        <x:v>13</x:v>
      </x:c>
      <x:c r="J225" t="n">
        <x:v>10</x:v>
      </x:c>
      <x:c r="K225" t="n">
        <x:v>2</x:v>
      </x:c>
      <x:c r="L225" t="n">
        <x:f>IF(I225&lt;=J225,1,0)</x:f>
        <x:v>0</x:v>
      </x:c>
      <x:c r="P225" t="n">
        <x:f>IF(M225="",IF(AND(L225=1,K225&gt;=1),1,0),M225)</x:f>
        <x:v>0</x:v>
      </x:c>
      <x:c r="Q225" t="n">
        <x:f>IF(N225="",IF(AND(L225=1,K225&gt;=2),1,0),N225)</x:f>
        <x:v>0</x:v>
      </x:c>
      <x:c r="R225" t="n">
        <x:f>IF(O225="",IF(AND(L225=1,K225&gt;=3),1,0),O225)</x:f>
        <x:v>0</x:v>
      </x:c>
      <x:c r="S225" t="n">
        <x:f>SUM(P225:R225)</x:f>
        <x:v>0</x:v>
      </x:c>
      <x:c r="T225" t="str">
        <x:f>IF(COUNTA(M225:O225)=0,"DerivedFromCount","ManualOverride")</x:f>
        <x:v>DerivedFromCount</x:v>
      </x:c>
      <x:c r="U225" t="str">
        <x:f>IF(COUNTIF(DailyProduction!$Q$5:$Q$100,B225)=1,"OK","CHECK")</x:f>
        <x:v>OK</x:v>
      </x:c>
      <x:c r="V225" t="str">
        <x:f>IF(AND(I225&gt;=1,I225&lt;=13,K225&gt;=1,K225&lt;=3),"OK","CHECK")</x:f>
        <x:v>OK</x:v>
      </x:c>
      <x:c r="W225" t="str">
        <x:f>IF(SUMIF($B$5:$B$914,B225,$S$5:$S$914)=SUMIF(DailyProduction!$Q$5:$Q$100,B225,DailyProduction!$R$5:$R$100),"OK","CHECK")</x:f>
        <x:v>OK</x:v>
      </x:c>
    </x:row>
    <x:row r="226">
      <x:c r="A226" t="str">
        <x:v>PC-PE-KG01-L22-20251021-PM-ORD-2025-00056-S01</x:v>
      </x:c>
      <x:c r="B226" t="str">
        <x:v>PE-KG01-L22-20251021-PM-ORD-2025-00056</x:v>
      </x:c>
      <x:c r="C226" t="str">
        <x:v>KG01</x:v>
      </x:c>
      <x:c r="D226" t="n">
        <x:v>45951</x:v>
      </x:c>
      <x:c r="E226" t="str">
        <x:v>PM</x:v>
      </x:c>
      <x:c r="F226" t="str">
        <x:v>B</x:v>
      </x:c>
      <x:c r="G226" t="n">
        <x:v>22</x:v>
      </x:c>
      <x:c r="H226" t="str">
        <x:v>ORD-2025-00056</x:v>
      </x:c>
      <x:c r="I226" t="n">
        <x:v>1</x:v>
      </x:c>
      <x:c r="J226" t="n">
        <x:v>10</x:v>
      </x:c>
      <x:c r="K226" t="n">
        <x:v>2</x:v>
      </x:c>
      <x:c r="L226" t="n">
        <x:f>IF(I226&lt;=J226,1,0)</x:f>
        <x:v>1</x:v>
      </x:c>
      <x:c r="P226" t="n">
        <x:f>IF(M226="",IF(AND(L226=1,K226&gt;=1),1,0),M226)</x:f>
        <x:v>1</x:v>
      </x:c>
      <x:c r="Q226" t="n">
        <x:f>IF(N226="",IF(AND(L226=1,K226&gt;=2),1,0),N226)</x:f>
        <x:v>1</x:v>
      </x:c>
      <x:c r="R226" t="n">
        <x:f>IF(O226="",IF(AND(L226=1,K226&gt;=3),1,0),O226)</x:f>
        <x:v>0</x:v>
      </x:c>
      <x:c r="S226" t="n">
        <x:f>SUM(P226:R226)</x:f>
        <x:v>2</x:v>
      </x:c>
      <x:c r="T226" t="str">
        <x:f>IF(COUNTA(M226:O226)=0,"DerivedFromCount","ManualOverride")</x:f>
        <x:v>DerivedFromCount</x:v>
      </x:c>
      <x:c r="U226" t="str">
        <x:f>IF(COUNTIF(DailyProduction!$Q$5:$Q$100,B226)=1,"OK","CHECK")</x:f>
        <x:v>OK</x:v>
      </x:c>
      <x:c r="V226" t="str">
        <x:f>IF(AND(I226&gt;=1,I226&lt;=13,K226&gt;=1,K226&lt;=3),"OK","CHECK")</x:f>
        <x:v>OK</x:v>
      </x:c>
      <x:c r="W226" t="str">
        <x:f>IF(SUMIF($B$5:$B$914,B226,$S$5:$S$914)=SUMIF(DailyProduction!$Q$5:$Q$100,B226,DailyProduction!$R$5:$R$100),"OK","CHECK")</x:f>
        <x:v>OK</x:v>
      </x:c>
    </x:row>
    <x:row r="227">
      <x:c r="A227" t="str">
        <x:v>PC-PE-KG01-L22-20251021-PM-ORD-2025-00056-S02</x:v>
      </x:c>
      <x:c r="B227" t="str">
        <x:v>PE-KG01-L22-20251021-PM-ORD-2025-00056</x:v>
      </x:c>
      <x:c r="C227" t="str">
        <x:v>KG01</x:v>
      </x:c>
      <x:c r="D227" t="n">
        <x:v>45951</x:v>
      </x:c>
      <x:c r="E227" t="str">
        <x:v>PM</x:v>
      </x:c>
      <x:c r="F227" t="str">
        <x:v>B</x:v>
      </x:c>
      <x:c r="G227" t="n">
        <x:v>22</x:v>
      </x:c>
      <x:c r="H227" t="str">
        <x:v>ORD-2025-00056</x:v>
      </x:c>
      <x:c r="I227" t="n">
        <x:v>2</x:v>
      </x:c>
      <x:c r="J227" t="n">
        <x:v>10</x:v>
      </x:c>
      <x:c r="K227" t="n">
        <x:v>2</x:v>
      </x:c>
      <x:c r="L227" t="n">
        <x:f>IF(I227&lt;=J227,1,0)</x:f>
        <x:v>1</x:v>
      </x:c>
      <x:c r="P227" t="n">
        <x:f>IF(M227="",IF(AND(L227=1,K227&gt;=1),1,0),M227)</x:f>
        <x:v>1</x:v>
      </x:c>
      <x:c r="Q227" t="n">
        <x:f>IF(N227="",IF(AND(L227=1,K227&gt;=2),1,0),N227)</x:f>
        <x:v>1</x:v>
      </x:c>
      <x:c r="R227" t="n">
        <x:f>IF(O227="",IF(AND(L227=1,K227&gt;=3),1,0),O227)</x:f>
        <x:v>0</x:v>
      </x:c>
      <x:c r="S227" t="n">
        <x:f>SUM(P227:R227)</x:f>
        <x:v>2</x:v>
      </x:c>
      <x:c r="T227" t="str">
        <x:f>IF(COUNTA(M227:O227)=0,"DerivedFromCount","ManualOverride")</x:f>
        <x:v>DerivedFromCount</x:v>
      </x:c>
      <x:c r="U227" t="str">
        <x:f>IF(COUNTIF(DailyProduction!$Q$5:$Q$100,B227)=1,"OK","CHECK")</x:f>
        <x:v>OK</x:v>
      </x:c>
      <x:c r="V227" t="str">
        <x:f>IF(AND(I227&gt;=1,I227&lt;=13,K227&gt;=1,K227&lt;=3),"OK","CHECK")</x:f>
        <x:v>OK</x:v>
      </x:c>
      <x:c r="W227" t="str">
        <x:f>IF(SUMIF($B$5:$B$914,B227,$S$5:$S$914)=SUMIF(DailyProduction!$Q$5:$Q$100,B227,DailyProduction!$R$5:$R$100),"OK","CHECK")</x:f>
        <x:v>OK</x:v>
      </x:c>
    </x:row>
    <x:row r="228">
      <x:c r="A228" t="str">
        <x:v>PC-PE-KG01-L22-20251021-PM-ORD-2025-00056-S03</x:v>
      </x:c>
      <x:c r="B228" t="str">
        <x:v>PE-KG01-L22-20251021-PM-ORD-2025-00056</x:v>
      </x:c>
      <x:c r="C228" t="str">
        <x:v>KG01</x:v>
      </x:c>
      <x:c r="D228" t="n">
        <x:v>45951</x:v>
      </x:c>
      <x:c r="E228" t="str">
        <x:v>PM</x:v>
      </x:c>
      <x:c r="F228" t="str">
        <x:v>B</x:v>
      </x:c>
      <x:c r="G228" t="n">
        <x:v>22</x:v>
      </x:c>
      <x:c r="H228" t="str">
        <x:v>ORD-2025-00056</x:v>
      </x:c>
      <x:c r="I228" t="n">
        <x:v>3</x:v>
      </x:c>
      <x:c r="J228" t="n">
        <x:v>10</x:v>
      </x:c>
      <x:c r="K228" t="n">
        <x:v>2</x:v>
      </x:c>
      <x:c r="L228" t="n">
        <x:f>IF(I228&lt;=J228,1,0)</x:f>
        <x:v>1</x:v>
      </x:c>
      <x:c r="P228" t="n">
        <x:f>IF(M228="",IF(AND(L228=1,K228&gt;=1),1,0),M228)</x:f>
        <x:v>1</x:v>
      </x:c>
      <x:c r="Q228" t="n">
        <x:f>IF(N228="",IF(AND(L228=1,K228&gt;=2),1,0),N228)</x:f>
        <x:v>1</x:v>
      </x:c>
      <x:c r="R228" t="n">
        <x:f>IF(O228="",IF(AND(L228=1,K228&gt;=3),1,0),O228)</x:f>
        <x:v>0</x:v>
      </x:c>
      <x:c r="S228" t="n">
        <x:f>SUM(P228:R228)</x:f>
        <x:v>2</x:v>
      </x:c>
      <x:c r="T228" t="str">
        <x:f>IF(COUNTA(M228:O228)=0,"DerivedFromCount","ManualOverride")</x:f>
        <x:v>DerivedFromCount</x:v>
      </x:c>
      <x:c r="U228" t="str">
        <x:f>IF(COUNTIF(DailyProduction!$Q$5:$Q$100,B228)=1,"OK","CHECK")</x:f>
        <x:v>OK</x:v>
      </x:c>
      <x:c r="V228" t="str">
        <x:f>IF(AND(I228&gt;=1,I228&lt;=13,K228&gt;=1,K228&lt;=3),"OK","CHECK")</x:f>
        <x:v>OK</x:v>
      </x:c>
      <x:c r="W228" t="str">
        <x:f>IF(SUMIF($B$5:$B$914,B228,$S$5:$S$914)=SUMIF(DailyProduction!$Q$5:$Q$100,B228,DailyProduction!$R$5:$R$100),"OK","CHECK")</x:f>
        <x:v>OK</x:v>
      </x:c>
    </x:row>
    <x:row r="229">
      <x:c r="A229" t="str">
        <x:v>PC-PE-KG01-L22-20251021-PM-ORD-2025-00056-S04</x:v>
      </x:c>
      <x:c r="B229" t="str">
        <x:v>PE-KG01-L22-20251021-PM-ORD-2025-00056</x:v>
      </x:c>
      <x:c r="C229" t="str">
        <x:v>KG01</x:v>
      </x:c>
      <x:c r="D229" t="n">
        <x:v>45951</x:v>
      </x:c>
      <x:c r="E229" t="str">
        <x:v>PM</x:v>
      </x:c>
      <x:c r="F229" t="str">
        <x:v>B</x:v>
      </x:c>
      <x:c r="G229" t="n">
        <x:v>22</x:v>
      </x:c>
      <x:c r="H229" t="str">
        <x:v>ORD-2025-00056</x:v>
      </x:c>
      <x:c r="I229" t="n">
        <x:v>4</x:v>
      </x:c>
      <x:c r="J229" t="n">
        <x:v>10</x:v>
      </x:c>
      <x:c r="K229" t="n">
        <x:v>2</x:v>
      </x:c>
      <x:c r="L229" t="n">
        <x:f>IF(I229&lt;=J229,1,0)</x:f>
        <x:v>1</x:v>
      </x:c>
      <x:c r="P229" t="n">
        <x:f>IF(M229="",IF(AND(L229=1,K229&gt;=1),1,0),M229)</x:f>
        <x:v>1</x:v>
      </x:c>
      <x:c r="Q229" t="n">
        <x:f>IF(N229="",IF(AND(L229=1,K229&gt;=2),1,0),N229)</x:f>
        <x:v>1</x:v>
      </x:c>
      <x:c r="R229" t="n">
        <x:f>IF(O229="",IF(AND(L229=1,K229&gt;=3),1,0),O229)</x:f>
        <x:v>0</x:v>
      </x:c>
      <x:c r="S229" t="n">
        <x:f>SUM(P229:R229)</x:f>
        <x:v>2</x:v>
      </x:c>
      <x:c r="T229" t="str">
        <x:f>IF(COUNTA(M229:O229)=0,"DerivedFromCount","ManualOverride")</x:f>
        <x:v>DerivedFromCount</x:v>
      </x:c>
      <x:c r="U229" t="str">
        <x:f>IF(COUNTIF(DailyProduction!$Q$5:$Q$100,B229)=1,"OK","CHECK")</x:f>
        <x:v>OK</x:v>
      </x:c>
      <x:c r="V229" t="str">
        <x:f>IF(AND(I229&gt;=1,I229&lt;=13,K229&gt;=1,K229&lt;=3),"OK","CHECK")</x:f>
        <x:v>OK</x:v>
      </x:c>
      <x:c r="W229" t="str">
        <x:f>IF(SUMIF($B$5:$B$914,B229,$S$5:$S$914)=SUMIF(DailyProduction!$Q$5:$Q$100,B229,DailyProduction!$R$5:$R$100),"OK","CHECK")</x:f>
        <x:v>OK</x:v>
      </x:c>
    </x:row>
    <x:row r="230">
      <x:c r="A230" t="str">
        <x:v>PC-PE-KG01-L22-20251021-PM-ORD-2025-00056-S05</x:v>
      </x:c>
      <x:c r="B230" t="str">
        <x:v>PE-KG01-L22-20251021-PM-ORD-2025-00056</x:v>
      </x:c>
      <x:c r="C230" t="str">
        <x:v>KG01</x:v>
      </x:c>
      <x:c r="D230" t="n">
        <x:v>45951</x:v>
      </x:c>
      <x:c r="E230" t="str">
        <x:v>PM</x:v>
      </x:c>
      <x:c r="F230" t="str">
        <x:v>B</x:v>
      </x:c>
      <x:c r="G230" t="n">
        <x:v>22</x:v>
      </x:c>
      <x:c r="H230" t="str">
        <x:v>ORD-2025-00056</x:v>
      </x:c>
      <x:c r="I230" t="n">
        <x:v>5</x:v>
      </x:c>
      <x:c r="J230" t="n">
        <x:v>10</x:v>
      </x:c>
      <x:c r="K230" t="n">
        <x:v>2</x:v>
      </x:c>
      <x:c r="L230" t="n">
        <x:f>IF(I230&lt;=J230,1,0)</x:f>
        <x:v>1</x:v>
      </x:c>
      <x:c r="P230" t="n">
        <x:f>IF(M230="",IF(AND(L230=1,K230&gt;=1),1,0),M230)</x:f>
        <x:v>1</x:v>
      </x:c>
      <x:c r="Q230" t="n">
        <x:f>IF(N230="",IF(AND(L230=1,K230&gt;=2),1,0),N230)</x:f>
        <x:v>1</x:v>
      </x:c>
      <x:c r="R230" t="n">
        <x:f>IF(O230="",IF(AND(L230=1,K230&gt;=3),1,0),O230)</x:f>
        <x:v>0</x:v>
      </x:c>
      <x:c r="S230" t="n">
        <x:f>SUM(P230:R230)</x:f>
        <x:v>2</x:v>
      </x:c>
      <x:c r="T230" t="str">
        <x:f>IF(COUNTA(M230:O230)=0,"DerivedFromCount","ManualOverride")</x:f>
        <x:v>DerivedFromCount</x:v>
      </x:c>
      <x:c r="U230" t="str">
        <x:f>IF(COUNTIF(DailyProduction!$Q$5:$Q$100,B230)=1,"OK","CHECK")</x:f>
        <x:v>OK</x:v>
      </x:c>
      <x:c r="V230" t="str">
        <x:f>IF(AND(I230&gt;=1,I230&lt;=13,K230&gt;=1,K230&lt;=3),"OK","CHECK")</x:f>
        <x:v>OK</x:v>
      </x:c>
      <x:c r="W230" t="str">
        <x:f>IF(SUMIF($B$5:$B$914,B230,$S$5:$S$914)=SUMIF(DailyProduction!$Q$5:$Q$100,B230,DailyProduction!$R$5:$R$100),"OK","CHECK")</x:f>
        <x:v>OK</x:v>
      </x:c>
    </x:row>
    <x:row r="231">
      <x:c r="A231" t="str">
        <x:v>PC-PE-KG01-L22-20251021-PM-ORD-2025-00056-S06</x:v>
      </x:c>
      <x:c r="B231" t="str">
        <x:v>PE-KG01-L22-20251021-PM-ORD-2025-00056</x:v>
      </x:c>
      <x:c r="C231" t="str">
        <x:v>KG01</x:v>
      </x:c>
      <x:c r="D231" t="n">
        <x:v>45951</x:v>
      </x:c>
      <x:c r="E231" t="str">
        <x:v>PM</x:v>
      </x:c>
      <x:c r="F231" t="str">
        <x:v>B</x:v>
      </x:c>
      <x:c r="G231" t="n">
        <x:v>22</x:v>
      </x:c>
      <x:c r="H231" t="str">
        <x:v>ORD-2025-00056</x:v>
      </x:c>
      <x:c r="I231" t="n">
        <x:v>6</x:v>
      </x:c>
      <x:c r="J231" t="n">
        <x:v>10</x:v>
      </x:c>
      <x:c r="K231" t="n">
        <x:v>2</x:v>
      </x:c>
      <x:c r="L231" t="n">
        <x:f>IF(I231&lt;=J231,1,0)</x:f>
        <x:v>1</x:v>
      </x:c>
      <x:c r="P231" t="n">
        <x:f>IF(M231="",IF(AND(L231=1,K231&gt;=1),1,0),M231)</x:f>
        <x:v>1</x:v>
      </x:c>
      <x:c r="Q231" t="n">
        <x:f>IF(N231="",IF(AND(L231=1,K231&gt;=2),1,0),N231)</x:f>
        <x:v>1</x:v>
      </x:c>
      <x:c r="R231" t="n">
        <x:f>IF(O231="",IF(AND(L231=1,K231&gt;=3),1,0),O231)</x:f>
        <x:v>0</x:v>
      </x:c>
      <x:c r="S231" t="n">
        <x:f>SUM(P231:R231)</x:f>
        <x:v>2</x:v>
      </x:c>
      <x:c r="T231" t="str">
        <x:f>IF(COUNTA(M231:O231)=0,"DerivedFromCount","ManualOverride")</x:f>
        <x:v>DerivedFromCount</x:v>
      </x:c>
      <x:c r="U231" t="str">
        <x:f>IF(COUNTIF(DailyProduction!$Q$5:$Q$100,B231)=1,"OK","CHECK")</x:f>
        <x:v>OK</x:v>
      </x:c>
      <x:c r="V231" t="str">
        <x:f>IF(AND(I231&gt;=1,I231&lt;=13,K231&gt;=1,K231&lt;=3),"OK","CHECK")</x:f>
        <x:v>OK</x:v>
      </x:c>
      <x:c r="W231" t="str">
        <x:f>IF(SUMIF($B$5:$B$914,B231,$S$5:$S$914)=SUMIF(DailyProduction!$Q$5:$Q$100,B231,DailyProduction!$R$5:$R$100),"OK","CHECK")</x:f>
        <x:v>OK</x:v>
      </x:c>
    </x:row>
    <x:row r="232">
      <x:c r="A232" t="str">
        <x:v>PC-PE-KG01-L22-20251021-PM-ORD-2025-00056-S07</x:v>
      </x:c>
      <x:c r="B232" t="str">
        <x:v>PE-KG01-L22-20251021-PM-ORD-2025-00056</x:v>
      </x:c>
      <x:c r="C232" t="str">
        <x:v>KG01</x:v>
      </x:c>
      <x:c r="D232" t="n">
        <x:v>45951</x:v>
      </x:c>
      <x:c r="E232" t="str">
        <x:v>PM</x:v>
      </x:c>
      <x:c r="F232" t="str">
        <x:v>B</x:v>
      </x:c>
      <x:c r="G232" t="n">
        <x:v>22</x:v>
      </x:c>
      <x:c r="H232" t="str">
        <x:v>ORD-2025-00056</x:v>
      </x:c>
      <x:c r="I232" t="n">
        <x:v>7</x:v>
      </x:c>
      <x:c r="J232" t="n">
        <x:v>10</x:v>
      </x:c>
      <x:c r="K232" t="n">
        <x:v>2</x:v>
      </x:c>
      <x:c r="L232" t="n">
        <x:f>IF(I232&lt;=J232,1,0)</x:f>
        <x:v>1</x:v>
      </x:c>
      <x:c r="P232" t="n">
        <x:f>IF(M232="",IF(AND(L232=1,K232&gt;=1),1,0),M232)</x:f>
        <x:v>1</x:v>
      </x:c>
      <x:c r="Q232" t="n">
        <x:f>IF(N232="",IF(AND(L232=1,K232&gt;=2),1,0),N232)</x:f>
        <x:v>1</x:v>
      </x:c>
      <x:c r="R232" t="n">
        <x:f>IF(O232="",IF(AND(L232=1,K232&gt;=3),1,0),O232)</x:f>
        <x:v>0</x:v>
      </x:c>
      <x:c r="S232" t="n">
        <x:f>SUM(P232:R232)</x:f>
        <x:v>2</x:v>
      </x:c>
      <x:c r="T232" t="str">
        <x:f>IF(COUNTA(M232:O232)=0,"DerivedFromCount","ManualOverride")</x:f>
        <x:v>DerivedFromCount</x:v>
      </x:c>
      <x:c r="U232" t="str">
        <x:f>IF(COUNTIF(DailyProduction!$Q$5:$Q$100,B232)=1,"OK","CHECK")</x:f>
        <x:v>OK</x:v>
      </x:c>
      <x:c r="V232" t="str">
        <x:f>IF(AND(I232&gt;=1,I232&lt;=13,K232&gt;=1,K232&lt;=3),"OK","CHECK")</x:f>
        <x:v>OK</x:v>
      </x:c>
      <x:c r="W232" t="str">
        <x:f>IF(SUMIF($B$5:$B$914,B232,$S$5:$S$914)=SUMIF(DailyProduction!$Q$5:$Q$100,B232,DailyProduction!$R$5:$R$100),"OK","CHECK")</x:f>
        <x:v>OK</x:v>
      </x:c>
    </x:row>
    <x:row r="233">
      <x:c r="A233" t="str">
        <x:v>PC-PE-KG01-L22-20251021-PM-ORD-2025-00056-S08</x:v>
      </x:c>
      <x:c r="B233" t="str">
        <x:v>PE-KG01-L22-20251021-PM-ORD-2025-00056</x:v>
      </x:c>
      <x:c r="C233" t="str">
        <x:v>KG01</x:v>
      </x:c>
      <x:c r="D233" t="n">
        <x:v>45951</x:v>
      </x:c>
      <x:c r="E233" t="str">
        <x:v>PM</x:v>
      </x:c>
      <x:c r="F233" t="str">
        <x:v>B</x:v>
      </x:c>
      <x:c r="G233" t="n">
        <x:v>22</x:v>
      </x:c>
      <x:c r="H233" t="str">
        <x:v>ORD-2025-00056</x:v>
      </x:c>
      <x:c r="I233" t="n">
        <x:v>8</x:v>
      </x:c>
      <x:c r="J233" t="n">
        <x:v>10</x:v>
      </x:c>
      <x:c r="K233" t="n">
        <x:v>2</x:v>
      </x:c>
      <x:c r="L233" t="n">
        <x:f>IF(I233&lt;=J233,1,0)</x:f>
        <x:v>1</x:v>
      </x:c>
      <x:c r="P233" t="n">
        <x:f>IF(M233="",IF(AND(L233=1,K233&gt;=1),1,0),M233)</x:f>
        <x:v>1</x:v>
      </x:c>
      <x:c r="Q233" t="n">
        <x:f>IF(N233="",IF(AND(L233=1,K233&gt;=2),1,0),N233)</x:f>
        <x:v>1</x:v>
      </x:c>
      <x:c r="R233" t="n">
        <x:f>IF(O233="",IF(AND(L233=1,K233&gt;=3),1,0),O233)</x:f>
        <x:v>0</x:v>
      </x:c>
      <x:c r="S233" t="n">
        <x:f>SUM(P233:R233)</x:f>
        <x:v>2</x:v>
      </x:c>
      <x:c r="T233" t="str">
        <x:f>IF(COUNTA(M233:O233)=0,"DerivedFromCount","ManualOverride")</x:f>
        <x:v>DerivedFromCount</x:v>
      </x:c>
      <x:c r="U233" t="str">
        <x:f>IF(COUNTIF(DailyProduction!$Q$5:$Q$100,B233)=1,"OK","CHECK")</x:f>
        <x:v>OK</x:v>
      </x:c>
      <x:c r="V233" t="str">
        <x:f>IF(AND(I233&gt;=1,I233&lt;=13,K233&gt;=1,K233&lt;=3),"OK","CHECK")</x:f>
        <x:v>OK</x:v>
      </x:c>
      <x:c r="W233" t="str">
        <x:f>IF(SUMIF($B$5:$B$914,B233,$S$5:$S$914)=SUMIF(DailyProduction!$Q$5:$Q$100,B233,DailyProduction!$R$5:$R$100),"OK","CHECK")</x:f>
        <x:v>OK</x:v>
      </x:c>
    </x:row>
    <x:row r="234">
      <x:c r="A234" t="str">
        <x:v>PC-PE-KG01-L22-20251021-PM-ORD-2025-00056-S09</x:v>
      </x:c>
      <x:c r="B234" t="str">
        <x:v>PE-KG01-L22-20251021-PM-ORD-2025-00056</x:v>
      </x:c>
      <x:c r="C234" t="str">
        <x:v>KG01</x:v>
      </x:c>
      <x:c r="D234" t="n">
        <x:v>45951</x:v>
      </x:c>
      <x:c r="E234" t="str">
        <x:v>PM</x:v>
      </x:c>
      <x:c r="F234" t="str">
        <x:v>B</x:v>
      </x:c>
      <x:c r="G234" t="n">
        <x:v>22</x:v>
      </x:c>
      <x:c r="H234" t="str">
        <x:v>ORD-2025-00056</x:v>
      </x:c>
      <x:c r="I234" t="n">
        <x:v>9</x:v>
      </x:c>
      <x:c r="J234" t="n">
        <x:v>10</x:v>
      </x:c>
      <x:c r="K234" t="n">
        <x:v>2</x:v>
      </x:c>
      <x:c r="L234" t="n">
        <x:f>IF(I234&lt;=J234,1,0)</x:f>
        <x:v>1</x:v>
      </x:c>
      <x:c r="P234" t="n">
        <x:f>IF(M234="",IF(AND(L234=1,K234&gt;=1),1,0),M234)</x:f>
        <x:v>1</x:v>
      </x:c>
      <x:c r="Q234" t="n">
        <x:f>IF(N234="",IF(AND(L234=1,K234&gt;=2),1,0),N234)</x:f>
        <x:v>1</x:v>
      </x:c>
      <x:c r="R234" t="n">
        <x:f>IF(O234="",IF(AND(L234=1,K234&gt;=3),1,0),O234)</x:f>
        <x:v>0</x:v>
      </x:c>
      <x:c r="S234" t="n">
        <x:f>SUM(P234:R234)</x:f>
        <x:v>2</x:v>
      </x:c>
      <x:c r="T234" t="str">
        <x:f>IF(COUNTA(M234:O234)=0,"DerivedFromCount","ManualOverride")</x:f>
        <x:v>DerivedFromCount</x:v>
      </x:c>
      <x:c r="U234" t="str">
        <x:f>IF(COUNTIF(DailyProduction!$Q$5:$Q$100,B234)=1,"OK","CHECK")</x:f>
        <x:v>OK</x:v>
      </x:c>
      <x:c r="V234" t="str">
        <x:f>IF(AND(I234&gt;=1,I234&lt;=13,K234&gt;=1,K234&lt;=3),"OK","CHECK")</x:f>
        <x:v>OK</x:v>
      </x:c>
      <x:c r="W234" t="str">
        <x:f>IF(SUMIF($B$5:$B$914,B234,$S$5:$S$914)=SUMIF(DailyProduction!$Q$5:$Q$100,B234,DailyProduction!$R$5:$R$100),"OK","CHECK")</x:f>
        <x:v>OK</x:v>
      </x:c>
    </x:row>
    <x:row r="235">
      <x:c r="A235" t="str">
        <x:v>PC-PE-KG01-L22-20251021-PM-ORD-2025-00056-S10</x:v>
      </x:c>
      <x:c r="B235" t="str">
        <x:v>PE-KG01-L22-20251021-PM-ORD-2025-00056</x:v>
      </x:c>
      <x:c r="C235" t="str">
        <x:v>KG01</x:v>
      </x:c>
      <x:c r="D235" t="n">
        <x:v>45951</x:v>
      </x:c>
      <x:c r="E235" t="str">
        <x:v>PM</x:v>
      </x:c>
      <x:c r="F235" t="str">
        <x:v>B</x:v>
      </x:c>
      <x:c r="G235" t="n">
        <x:v>22</x:v>
      </x:c>
      <x:c r="H235" t="str">
        <x:v>ORD-2025-00056</x:v>
      </x:c>
      <x:c r="I235" t="n">
        <x:v>10</x:v>
      </x:c>
      <x:c r="J235" t="n">
        <x:v>10</x:v>
      </x:c>
      <x:c r="K235" t="n">
        <x:v>2</x:v>
      </x:c>
      <x:c r="L235" t="n">
        <x:f>IF(I235&lt;=J235,1,0)</x:f>
        <x:v>1</x:v>
      </x:c>
      <x:c r="P235" t="n">
        <x:f>IF(M235="",IF(AND(L235=1,K235&gt;=1),1,0),M235)</x:f>
        <x:v>1</x:v>
      </x:c>
      <x:c r="Q235" t="n">
        <x:f>IF(N235="",IF(AND(L235=1,K235&gt;=2),1,0),N235)</x:f>
        <x:v>1</x:v>
      </x:c>
      <x:c r="R235" t="n">
        <x:f>IF(O235="",IF(AND(L235=1,K235&gt;=3),1,0),O235)</x:f>
        <x:v>0</x:v>
      </x:c>
      <x:c r="S235" t="n">
        <x:f>SUM(P235:R235)</x:f>
        <x:v>2</x:v>
      </x:c>
      <x:c r="T235" t="str">
        <x:f>IF(COUNTA(M235:O235)=0,"DerivedFromCount","ManualOverride")</x:f>
        <x:v>DerivedFromCount</x:v>
      </x:c>
      <x:c r="U235" t="str">
        <x:f>IF(COUNTIF(DailyProduction!$Q$5:$Q$100,B235)=1,"OK","CHECK")</x:f>
        <x:v>OK</x:v>
      </x:c>
      <x:c r="V235" t="str">
        <x:f>IF(AND(I235&gt;=1,I235&lt;=13,K235&gt;=1,K235&lt;=3),"OK","CHECK")</x:f>
        <x:v>OK</x:v>
      </x:c>
      <x:c r="W235" t="str">
        <x:f>IF(SUMIF($B$5:$B$914,B235,$S$5:$S$914)=SUMIF(DailyProduction!$Q$5:$Q$100,B235,DailyProduction!$R$5:$R$100),"OK","CHECK")</x:f>
        <x:v>OK</x:v>
      </x:c>
    </x:row>
    <x:row r="236">
      <x:c r="A236" t="str">
        <x:v>PC-PE-KG01-L22-20251021-PM-ORD-2025-00056-S11</x:v>
      </x:c>
      <x:c r="B236" t="str">
        <x:v>PE-KG01-L22-20251021-PM-ORD-2025-00056</x:v>
      </x:c>
      <x:c r="C236" t="str">
        <x:v>KG01</x:v>
      </x:c>
      <x:c r="D236" t="n">
        <x:v>45951</x:v>
      </x:c>
      <x:c r="E236" t="str">
        <x:v>PM</x:v>
      </x:c>
      <x:c r="F236" t="str">
        <x:v>B</x:v>
      </x:c>
      <x:c r="G236" t="n">
        <x:v>22</x:v>
      </x:c>
      <x:c r="H236" t="str">
        <x:v>ORD-2025-00056</x:v>
      </x:c>
      <x:c r="I236" t="n">
        <x:v>11</x:v>
      </x:c>
      <x:c r="J236" t="n">
        <x:v>10</x:v>
      </x:c>
      <x:c r="K236" t="n">
        <x:v>2</x:v>
      </x:c>
      <x:c r="L236" t="n">
        <x:f>IF(I236&lt;=J236,1,0)</x:f>
        <x:v>0</x:v>
      </x:c>
      <x:c r="P236" t="n">
        <x:f>IF(M236="",IF(AND(L236=1,K236&gt;=1),1,0),M236)</x:f>
        <x:v>0</x:v>
      </x:c>
      <x:c r="Q236" t="n">
        <x:f>IF(N236="",IF(AND(L236=1,K236&gt;=2),1,0),N236)</x:f>
        <x:v>0</x:v>
      </x:c>
      <x:c r="R236" t="n">
        <x:f>IF(O236="",IF(AND(L236=1,K236&gt;=3),1,0),O236)</x:f>
        <x:v>0</x:v>
      </x:c>
      <x:c r="S236" t="n">
        <x:f>SUM(P236:R236)</x:f>
        <x:v>0</x:v>
      </x:c>
      <x:c r="T236" t="str">
        <x:f>IF(COUNTA(M236:O236)=0,"DerivedFromCount","ManualOverride")</x:f>
        <x:v>DerivedFromCount</x:v>
      </x:c>
      <x:c r="U236" t="str">
        <x:f>IF(COUNTIF(DailyProduction!$Q$5:$Q$100,B236)=1,"OK","CHECK")</x:f>
        <x:v>OK</x:v>
      </x:c>
      <x:c r="V236" t="str">
        <x:f>IF(AND(I236&gt;=1,I236&lt;=13,K236&gt;=1,K236&lt;=3),"OK","CHECK")</x:f>
        <x:v>OK</x:v>
      </x:c>
      <x:c r="W236" t="str">
        <x:f>IF(SUMIF($B$5:$B$914,B236,$S$5:$S$914)=SUMIF(DailyProduction!$Q$5:$Q$100,B236,DailyProduction!$R$5:$R$100),"OK","CHECK")</x:f>
        <x:v>OK</x:v>
      </x:c>
    </x:row>
    <x:row r="237">
      <x:c r="A237" t="str">
        <x:v>PC-PE-KG01-L22-20251021-PM-ORD-2025-00056-S12</x:v>
      </x:c>
      <x:c r="B237" t="str">
        <x:v>PE-KG01-L22-20251021-PM-ORD-2025-00056</x:v>
      </x:c>
      <x:c r="C237" t="str">
        <x:v>KG01</x:v>
      </x:c>
      <x:c r="D237" t="n">
        <x:v>45951</x:v>
      </x:c>
      <x:c r="E237" t="str">
        <x:v>PM</x:v>
      </x:c>
      <x:c r="F237" t="str">
        <x:v>B</x:v>
      </x:c>
      <x:c r="G237" t="n">
        <x:v>22</x:v>
      </x:c>
      <x:c r="H237" t="str">
        <x:v>ORD-2025-00056</x:v>
      </x:c>
      <x:c r="I237" t="n">
        <x:v>12</x:v>
      </x:c>
      <x:c r="J237" t="n">
        <x:v>10</x:v>
      </x:c>
      <x:c r="K237" t="n">
        <x:v>2</x:v>
      </x:c>
      <x:c r="L237" t="n">
        <x:f>IF(I237&lt;=J237,1,0)</x:f>
        <x:v>0</x:v>
      </x:c>
      <x:c r="P237" t="n">
        <x:f>IF(M237="",IF(AND(L237=1,K237&gt;=1),1,0),M237)</x:f>
        <x:v>0</x:v>
      </x:c>
      <x:c r="Q237" t="n">
        <x:f>IF(N237="",IF(AND(L237=1,K237&gt;=2),1,0),N237)</x:f>
        <x:v>0</x:v>
      </x:c>
      <x:c r="R237" t="n">
        <x:f>IF(O237="",IF(AND(L237=1,K237&gt;=3),1,0),O237)</x:f>
        <x:v>0</x:v>
      </x:c>
      <x:c r="S237" t="n">
        <x:f>SUM(P237:R237)</x:f>
        <x:v>0</x:v>
      </x:c>
      <x:c r="T237" t="str">
        <x:f>IF(COUNTA(M237:O237)=0,"DerivedFromCount","ManualOverride")</x:f>
        <x:v>DerivedFromCount</x:v>
      </x:c>
      <x:c r="U237" t="str">
        <x:f>IF(COUNTIF(DailyProduction!$Q$5:$Q$100,B237)=1,"OK","CHECK")</x:f>
        <x:v>OK</x:v>
      </x:c>
      <x:c r="V237" t="str">
        <x:f>IF(AND(I237&gt;=1,I237&lt;=13,K237&gt;=1,K237&lt;=3),"OK","CHECK")</x:f>
        <x:v>OK</x:v>
      </x:c>
      <x:c r="W237" t="str">
        <x:f>IF(SUMIF($B$5:$B$914,B237,$S$5:$S$914)=SUMIF(DailyProduction!$Q$5:$Q$100,B237,DailyProduction!$R$5:$R$100),"OK","CHECK")</x:f>
        <x:v>OK</x:v>
      </x:c>
    </x:row>
    <x:row r="238">
      <x:c r="A238" t="str">
        <x:v>PC-PE-KG01-L22-20251021-PM-ORD-2025-00056-S13</x:v>
      </x:c>
      <x:c r="B238" t="str">
        <x:v>PE-KG01-L22-20251021-PM-ORD-2025-00056</x:v>
      </x:c>
      <x:c r="C238" t="str">
        <x:v>KG01</x:v>
      </x:c>
      <x:c r="D238" t="n">
        <x:v>45951</x:v>
      </x:c>
      <x:c r="E238" t="str">
        <x:v>PM</x:v>
      </x:c>
      <x:c r="F238" t="str">
        <x:v>B</x:v>
      </x:c>
      <x:c r="G238" t="n">
        <x:v>22</x:v>
      </x:c>
      <x:c r="H238" t="str">
        <x:v>ORD-2025-00056</x:v>
      </x:c>
      <x:c r="I238" t="n">
        <x:v>13</x:v>
      </x:c>
      <x:c r="J238" t="n">
        <x:v>10</x:v>
      </x:c>
      <x:c r="K238" t="n">
        <x:v>2</x:v>
      </x:c>
      <x:c r="L238" t="n">
        <x:f>IF(I238&lt;=J238,1,0)</x:f>
        <x:v>0</x:v>
      </x:c>
      <x:c r="P238" t="n">
        <x:f>IF(M238="",IF(AND(L238=1,K238&gt;=1),1,0),M238)</x:f>
        <x:v>0</x:v>
      </x:c>
      <x:c r="Q238" t="n">
        <x:f>IF(N238="",IF(AND(L238=1,K238&gt;=2),1,0),N238)</x:f>
        <x:v>0</x:v>
      </x:c>
      <x:c r="R238" t="n">
        <x:f>IF(O238="",IF(AND(L238=1,K238&gt;=3),1,0),O238)</x:f>
        <x:v>0</x:v>
      </x:c>
      <x:c r="S238" t="n">
        <x:f>SUM(P238:R238)</x:f>
        <x:v>0</x:v>
      </x:c>
      <x:c r="T238" t="str">
        <x:f>IF(COUNTA(M238:O238)=0,"DerivedFromCount","ManualOverride")</x:f>
        <x:v>DerivedFromCount</x:v>
      </x:c>
      <x:c r="U238" t="str">
        <x:f>IF(COUNTIF(DailyProduction!$Q$5:$Q$100,B238)=1,"OK","CHECK")</x:f>
        <x:v>OK</x:v>
      </x:c>
      <x:c r="V238" t="str">
        <x:f>IF(AND(I238&gt;=1,I238&lt;=13,K238&gt;=1,K238&lt;=3),"OK","CHECK")</x:f>
        <x:v>OK</x:v>
      </x:c>
      <x:c r="W238" t="str">
        <x:f>IF(SUMIF($B$5:$B$914,B238,$S$5:$S$914)=SUMIF(DailyProduction!$Q$5:$Q$100,B238,DailyProduction!$R$5:$R$100),"OK","CHECK")</x:f>
        <x:v>OK</x:v>
      </x:c>
    </x:row>
    <x:row r="239">
      <x:c r="A239" t="str">
        <x:v>PC-PE-KG01-L22-20251022-AM-ORD-2025-00057-S01</x:v>
      </x:c>
      <x:c r="B239" t="str">
        <x:v>PE-KG01-L22-20251022-AM-ORD-2025-00057</x:v>
      </x:c>
      <x:c r="C239" t="str">
        <x:v>KG01</x:v>
      </x:c>
      <x:c r="D239" t="n">
        <x:v>45952</x:v>
      </x:c>
      <x:c r="E239" t="str">
        <x:v>AM</x:v>
      </x:c>
      <x:c r="F239" t="str">
        <x:v>B</x:v>
      </x:c>
      <x:c r="G239" t="n">
        <x:v>22</x:v>
      </x:c>
      <x:c r="H239" t="str">
        <x:v>ORD-2025-00057</x:v>
      </x:c>
      <x:c r="I239" t="n">
        <x:v>1</x:v>
      </x:c>
      <x:c r="J239" t="n">
        <x:v>10</x:v>
      </x:c>
      <x:c r="K239" t="n">
        <x:v>2</x:v>
      </x:c>
      <x:c r="L239" t="n">
        <x:f>IF(I239&lt;=J239,1,0)</x:f>
        <x:v>1</x:v>
      </x:c>
      <x:c r="P239" t="n">
        <x:f>IF(M239="",IF(AND(L239=1,K239&gt;=1),1,0),M239)</x:f>
        <x:v>1</x:v>
      </x:c>
      <x:c r="Q239" t="n">
        <x:f>IF(N239="",IF(AND(L239=1,K239&gt;=2),1,0),N239)</x:f>
        <x:v>1</x:v>
      </x:c>
      <x:c r="R239" t="n">
        <x:f>IF(O239="",IF(AND(L239=1,K239&gt;=3),1,0),O239)</x:f>
        <x:v>0</x:v>
      </x:c>
      <x:c r="S239" t="n">
        <x:f>SUM(P239:R239)</x:f>
        <x:v>2</x:v>
      </x:c>
      <x:c r="T239" t="str">
        <x:f>IF(COUNTA(M239:O239)=0,"DerivedFromCount","ManualOverride")</x:f>
        <x:v>DerivedFromCount</x:v>
      </x:c>
      <x:c r="U239" t="str">
        <x:f>IF(COUNTIF(DailyProduction!$Q$5:$Q$100,B239)=1,"OK","CHECK")</x:f>
        <x:v>OK</x:v>
      </x:c>
      <x:c r="V239" t="str">
        <x:f>IF(AND(I239&gt;=1,I239&lt;=13,K239&gt;=1,K239&lt;=3),"OK","CHECK")</x:f>
        <x:v>OK</x:v>
      </x:c>
      <x:c r="W239" t="str">
        <x:f>IF(SUMIF($B$5:$B$914,B239,$S$5:$S$914)=SUMIF(DailyProduction!$Q$5:$Q$100,B239,DailyProduction!$R$5:$R$100),"OK","CHECK")</x:f>
        <x:v>OK</x:v>
      </x:c>
    </x:row>
    <x:row r="240">
      <x:c r="A240" t="str">
        <x:v>PC-PE-KG01-L22-20251022-AM-ORD-2025-00057-S02</x:v>
      </x:c>
      <x:c r="B240" t="str">
        <x:v>PE-KG01-L22-20251022-AM-ORD-2025-00057</x:v>
      </x:c>
      <x:c r="C240" t="str">
        <x:v>KG01</x:v>
      </x:c>
      <x:c r="D240" t="n">
        <x:v>45952</x:v>
      </x:c>
      <x:c r="E240" t="str">
        <x:v>AM</x:v>
      </x:c>
      <x:c r="F240" t="str">
        <x:v>B</x:v>
      </x:c>
      <x:c r="G240" t="n">
        <x:v>22</x:v>
      </x:c>
      <x:c r="H240" t="str">
        <x:v>ORD-2025-00057</x:v>
      </x:c>
      <x:c r="I240" t="n">
        <x:v>2</x:v>
      </x:c>
      <x:c r="J240" t="n">
        <x:v>10</x:v>
      </x:c>
      <x:c r="K240" t="n">
        <x:v>2</x:v>
      </x:c>
      <x:c r="L240" t="n">
        <x:f>IF(I240&lt;=J240,1,0)</x:f>
        <x:v>1</x:v>
      </x:c>
      <x:c r="P240" t="n">
        <x:f>IF(M240="",IF(AND(L240=1,K240&gt;=1),1,0),M240)</x:f>
        <x:v>1</x:v>
      </x:c>
      <x:c r="Q240" t="n">
        <x:f>IF(N240="",IF(AND(L240=1,K240&gt;=2),1,0),N240)</x:f>
        <x:v>1</x:v>
      </x:c>
      <x:c r="R240" t="n">
        <x:f>IF(O240="",IF(AND(L240=1,K240&gt;=3),1,0),O240)</x:f>
        <x:v>0</x:v>
      </x:c>
      <x:c r="S240" t="n">
        <x:f>SUM(P240:R240)</x:f>
        <x:v>2</x:v>
      </x:c>
      <x:c r="T240" t="str">
        <x:f>IF(COUNTA(M240:O240)=0,"DerivedFromCount","ManualOverride")</x:f>
        <x:v>DerivedFromCount</x:v>
      </x:c>
      <x:c r="U240" t="str">
        <x:f>IF(COUNTIF(DailyProduction!$Q$5:$Q$100,B240)=1,"OK","CHECK")</x:f>
        <x:v>OK</x:v>
      </x:c>
      <x:c r="V240" t="str">
        <x:f>IF(AND(I240&gt;=1,I240&lt;=13,K240&gt;=1,K240&lt;=3),"OK","CHECK")</x:f>
        <x:v>OK</x:v>
      </x:c>
      <x:c r="W240" t="str">
        <x:f>IF(SUMIF($B$5:$B$914,B240,$S$5:$S$914)=SUMIF(DailyProduction!$Q$5:$Q$100,B240,DailyProduction!$R$5:$R$100),"OK","CHECK")</x:f>
        <x:v>OK</x:v>
      </x:c>
    </x:row>
    <x:row r="241">
      <x:c r="A241" t="str">
        <x:v>PC-PE-KG01-L22-20251022-AM-ORD-2025-00057-S03</x:v>
      </x:c>
      <x:c r="B241" t="str">
        <x:v>PE-KG01-L22-20251022-AM-ORD-2025-00057</x:v>
      </x:c>
      <x:c r="C241" t="str">
        <x:v>KG01</x:v>
      </x:c>
      <x:c r="D241" t="n">
        <x:v>45952</x:v>
      </x:c>
      <x:c r="E241" t="str">
        <x:v>AM</x:v>
      </x:c>
      <x:c r="F241" t="str">
        <x:v>B</x:v>
      </x:c>
      <x:c r="G241" t="n">
        <x:v>22</x:v>
      </x:c>
      <x:c r="H241" t="str">
        <x:v>ORD-2025-00057</x:v>
      </x:c>
      <x:c r="I241" t="n">
        <x:v>3</x:v>
      </x:c>
      <x:c r="J241" t="n">
        <x:v>10</x:v>
      </x:c>
      <x:c r="K241" t="n">
        <x:v>2</x:v>
      </x:c>
      <x:c r="L241" t="n">
        <x:f>IF(I241&lt;=J241,1,0)</x:f>
        <x:v>1</x:v>
      </x:c>
      <x:c r="P241" t="n">
        <x:f>IF(M241="",IF(AND(L241=1,K241&gt;=1),1,0),M241)</x:f>
        <x:v>1</x:v>
      </x:c>
      <x:c r="Q241" t="n">
        <x:f>IF(N241="",IF(AND(L241=1,K241&gt;=2),1,0),N241)</x:f>
        <x:v>1</x:v>
      </x:c>
      <x:c r="R241" t="n">
        <x:f>IF(O241="",IF(AND(L241=1,K241&gt;=3),1,0),O241)</x:f>
        <x:v>0</x:v>
      </x:c>
      <x:c r="S241" t="n">
        <x:f>SUM(P241:R241)</x:f>
        <x:v>2</x:v>
      </x:c>
      <x:c r="T241" t="str">
        <x:f>IF(COUNTA(M241:O241)=0,"DerivedFromCount","ManualOverride")</x:f>
        <x:v>DerivedFromCount</x:v>
      </x:c>
      <x:c r="U241" t="str">
        <x:f>IF(COUNTIF(DailyProduction!$Q$5:$Q$100,B241)=1,"OK","CHECK")</x:f>
        <x:v>OK</x:v>
      </x:c>
      <x:c r="V241" t="str">
        <x:f>IF(AND(I241&gt;=1,I241&lt;=13,K241&gt;=1,K241&lt;=3),"OK","CHECK")</x:f>
        <x:v>OK</x:v>
      </x:c>
      <x:c r="W241" t="str">
        <x:f>IF(SUMIF($B$5:$B$914,B241,$S$5:$S$914)=SUMIF(DailyProduction!$Q$5:$Q$100,B241,DailyProduction!$R$5:$R$100),"OK","CHECK")</x:f>
        <x:v>OK</x:v>
      </x:c>
    </x:row>
    <x:row r="242">
      <x:c r="A242" t="str">
        <x:v>PC-PE-KG01-L22-20251022-AM-ORD-2025-00057-S04</x:v>
      </x:c>
      <x:c r="B242" t="str">
        <x:v>PE-KG01-L22-20251022-AM-ORD-2025-00057</x:v>
      </x:c>
      <x:c r="C242" t="str">
        <x:v>KG01</x:v>
      </x:c>
      <x:c r="D242" t="n">
        <x:v>45952</x:v>
      </x:c>
      <x:c r="E242" t="str">
        <x:v>AM</x:v>
      </x:c>
      <x:c r="F242" t="str">
        <x:v>B</x:v>
      </x:c>
      <x:c r="G242" t="n">
        <x:v>22</x:v>
      </x:c>
      <x:c r="H242" t="str">
        <x:v>ORD-2025-00057</x:v>
      </x:c>
      <x:c r="I242" t="n">
        <x:v>4</x:v>
      </x:c>
      <x:c r="J242" t="n">
        <x:v>10</x:v>
      </x:c>
      <x:c r="K242" t="n">
        <x:v>2</x:v>
      </x:c>
      <x:c r="L242" t="n">
        <x:f>IF(I242&lt;=J242,1,0)</x:f>
        <x:v>1</x:v>
      </x:c>
      <x:c r="P242" t="n">
        <x:f>IF(M242="",IF(AND(L242=1,K242&gt;=1),1,0),M242)</x:f>
        <x:v>1</x:v>
      </x:c>
      <x:c r="Q242" t="n">
        <x:f>IF(N242="",IF(AND(L242=1,K242&gt;=2),1,0),N242)</x:f>
        <x:v>1</x:v>
      </x:c>
      <x:c r="R242" t="n">
        <x:f>IF(O242="",IF(AND(L242=1,K242&gt;=3),1,0),O242)</x:f>
        <x:v>0</x:v>
      </x:c>
      <x:c r="S242" t="n">
        <x:f>SUM(P242:R242)</x:f>
        <x:v>2</x:v>
      </x:c>
      <x:c r="T242" t="str">
        <x:f>IF(COUNTA(M242:O242)=0,"DerivedFromCount","ManualOverride")</x:f>
        <x:v>DerivedFromCount</x:v>
      </x:c>
      <x:c r="U242" t="str">
        <x:f>IF(COUNTIF(DailyProduction!$Q$5:$Q$100,B242)=1,"OK","CHECK")</x:f>
        <x:v>OK</x:v>
      </x:c>
      <x:c r="V242" t="str">
        <x:f>IF(AND(I242&gt;=1,I242&lt;=13,K242&gt;=1,K242&lt;=3),"OK","CHECK")</x:f>
        <x:v>OK</x:v>
      </x:c>
      <x:c r="W242" t="str">
        <x:f>IF(SUMIF($B$5:$B$914,B242,$S$5:$S$914)=SUMIF(DailyProduction!$Q$5:$Q$100,B242,DailyProduction!$R$5:$R$100),"OK","CHECK")</x:f>
        <x:v>OK</x:v>
      </x:c>
    </x:row>
    <x:row r="243">
      <x:c r="A243" t="str">
        <x:v>PC-PE-KG01-L22-20251022-AM-ORD-2025-00057-S05</x:v>
      </x:c>
      <x:c r="B243" t="str">
        <x:v>PE-KG01-L22-20251022-AM-ORD-2025-00057</x:v>
      </x:c>
      <x:c r="C243" t="str">
        <x:v>KG01</x:v>
      </x:c>
      <x:c r="D243" t="n">
        <x:v>45952</x:v>
      </x:c>
      <x:c r="E243" t="str">
        <x:v>AM</x:v>
      </x:c>
      <x:c r="F243" t="str">
        <x:v>B</x:v>
      </x:c>
      <x:c r="G243" t="n">
        <x:v>22</x:v>
      </x:c>
      <x:c r="H243" t="str">
        <x:v>ORD-2025-00057</x:v>
      </x:c>
      <x:c r="I243" t="n">
        <x:v>5</x:v>
      </x:c>
      <x:c r="J243" t="n">
        <x:v>10</x:v>
      </x:c>
      <x:c r="K243" t="n">
        <x:v>2</x:v>
      </x:c>
      <x:c r="L243" t="n">
        <x:f>IF(I243&lt;=J243,1,0)</x:f>
        <x:v>1</x:v>
      </x:c>
      <x:c r="P243" t="n">
        <x:f>IF(M243="",IF(AND(L243=1,K243&gt;=1),1,0),M243)</x:f>
        <x:v>1</x:v>
      </x:c>
      <x:c r="Q243" t="n">
        <x:f>IF(N243="",IF(AND(L243=1,K243&gt;=2),1,0),N243)</x:f>
        <x:v>1</x:v>
      </x:c>
      <x:c r="R243" t="n">
        <x:f>IF(O243="",IF(AND(L243=1,K243&gt;=3),1,0),O243)</x:f>
        <x:v>0</x:v>
      </x:c>
      <x:c r="S243" t="n">
        <x:f>SUM(P243:R243)</x:f>
        <x:v>2</x:v>
      </x:c>
      <x:c r="T243" t="str">
        <x:f>IF(COUNTA(M243:O243)=0,"DerivedFromCount","ManualOverride")</x:f>
        <x:v>DerivedFromCount</x:v>
      </x:c>
      <x:c r="U243" t="str">
        <x:f>IF(COUNTIF(DailyProduction!$Q$5:$Q$100,B243)=1,"OK","CHECK")</x:f>
        <x:v>OK</x:v>
      </x:c>
      <x:c r="V243" t="str">
        <x:f>IF(AND(I243&gt;=1,I243&lt;=13,K243&gt;=1,K243&lt;=3),"OK","CHECK")</x:f>
        <x:v>OK</x:v>
      </x:c>
      <x:c r="W243" t="str">
        <x:f>IF(SUMIF($B$5:$B$914,B243,$S$5:$S$914)=SUMIF(DailyProduction!$Q$5:$Q$100,B243,DailyProduction!$R$5:$R$100),"OK","CHECK")</x:f>
        <x:v>OK</x:v>
      </x:c>
    </x:row>
    <x:row r="244">
      <x:c r="A244" t="str">
        <x:v>PC-PE-KG01-L22-20251022-AM-ORD-2025-00057-S06</x:v>
      </x:c>
      <x:c r="B244" t="str">
        <x:v>PE-KG01-L22-20251022-AM-ORD-2025-00057</x:v>
      </x:c>
      <x:c r="C244" t="str">
        <x:v>KG01</x:v>
      </x:c>
      <x:c r="D244" t="n">
        <x:v>45952</x:v>
      </x:c>
      <x:c r="E244" t="str">
        <x:v>AM</x:v>
      </x:c>
      <x:c r="F244" t="str">
        <x:v>B</x:v>
      </x:c>
      <x:c r="G244" t="n">
        <x:v>22</x:v>
      </x:c>
      <x:c r="H244" t="str">
        <x:v>ORD-2025-00057</x:v>
      </x:c>
      <x:c r="I244" t="n">
        <x:v>6</x:v>
      </x:c>
      <x:c r="J244" t="n">
        <x:v>10</x:v>
      </x:c>
      <x:c r="K244" t="n">
        <x:v>2</x:v>
      </x:c>
      <x:c r="L244" t="n">
        <x:f>IF(I244&lt;=J244,1,0)</x:f>
        <x:v>1</x:v>
      </x:c>
      <x:c r="P244" t="n">
        <x:f>IF(M244="",IF(AND(L244=1,K244&gt;=1),1,0),M244)</x:f>
        <x:v>1</x:v>
      </x:c>
      <x:c r="Q244" t="n">
        <x:f>IF(N244="",IF(AND(L244=1,K244&gt;=2),1,0),N244)</x:f>
        <x:v>1</x:v>
      </x:c>
      <x:c r="R244" t="n">
        <x:f>IF(O244="",IF(AND(L244=1,K244&gt;=3),1,0),O244)</x:f>
        <x:v>0</x:v>
      </x:c>
      <x:c r="S244" t="n">
        <x:f>SUM(P244:R244)</x:f>
        <x:v>2</x:v>
      </x:c>
      <x:c r="T244" t="str">
        <x:f>IF(COUNTA(M244:O244)=0,"DerivedFromCount","ManualOverride")</x:f>
        <x:v>DerivedFromCount</x:v>
      </x:c>
      <x:c r="U244" t="str">
        <x:f>IF(COUNTIF(DailyProduction!$Q$5:$Q$100,B244)=1,"OK","CHECK")</x:f>
        <x:v>OK</x:v>
      </x:c>
      <x:c r="V244" t="str">
        <x:f>IF(AND(I244&gt;=1,I244&lt;=13,K244&gt;=1,K244&lt;=3),"OK","CHECK")</x:f>
        <x:v>OK</x:v>
      </x:c>
      <x:c r="W244" t="str">
        <x:f>IF(SUMIF($B$5:$B$914,B244,$S$5:$S$914)=SUMIF(DailyProduction!$Q$5:$Q$100,B244,DailyProduction!$R$5:$R$100),"OK","CHECK")</x:f>
        <x:v>OK</x:v>
      </x:c>
    </x:row>
    <x:row r="245">
      <x:c r="A245" t="str">
        <x:v>PC-PE-KG01-L22-20251022-AM-ORD-2025-00057-S07</x:v>
      </x:c>
      <x:c r="B245" t="str">
        <x:v>PE-KG01-L22-20251022-AM-ORD-2025-00057</x:v>
      </x:c>
      <x:c r="C245" t="str">
        <x:v>KG01</x:v>
      </x:c>
      <x:c r="D245" t="n">
        <x:v>45952</x:v>
      </x:c>
      <x:c r="E245" t="str">
        <x:v>AM</x:v>
      </x:c>
      <x:c r="F245" t="str">
        <x:v>B</x:v>
      </x:c>
      <x:c r="G245" t="n">
        <x:v>22</x:v>
      </x:c>
      <x:c r="H245" t="str">
        <x:v>ORD-2025-00057</x:v>
      </x:c>
      <x:c r="I245" t="n">
        <x:v>7</x:v>
      </x:c>
      <x:c r="J245" t="n">
        <x:v>10</x:v>
      </x:c>
      <x:c r="K245" t="n">
        <x:v>2</x:v>
      </x:c>
      <x:c r="L245" t="n">
        <x:f>IF(I245&lt;=J245,1,0)</x:f>
        <x:v>1</x:v>
      </x:c>
      <x:c r="P245" t="n">
        <x:f>IF(M245="",IF(AND(L245=1,K245&gt;=1),1,0),M245)</x:f>
        <x:v>1</x:v>
      </x:c>
      <x:c r="Q245" t="n">
        <x:f>IF(N245="",IF(AND(L245=1,K245&gt;=2),1,0),N245)</x:f>
        <x:v>1</x:v>
      </x:c>
      <x:c r="R245" t="n">
        <x:f>IF(O245="",IF(AND(L245=1,K245&gt;=3),1,0),O245)</x:f>
        <x:v>0</x:v>
      </x:c>
      <x:c r="S245" t="n">
        <x:f>SUM(P245:R245)</x:f>
        <x:v>2</x:v>
      </x:c>
      <x:c r="T245" t="str">
        <x:f>IF(COUNTA(M245:O245)=0,"DerivedFromCount","ManualOverride")</x:f>
        <x:v>DerivedFromCount</x:v>
      </x:c>
      <x:c r="U245" t="str">
        <x:f>IF(COUNTIF(DailyProduction!$Q$5:$Q$100,B245)=1,"OK","CHECK")</x:f>
        <x:v>OK</x:v>
      </x:c>
      <x:c r="V245" t="str">
        <x:f>IF(AND(I245&gt;=1,I245&lt;=13,K245&gt;=1,K245&lt;=3),"OK","CHECK")</x:f>
        <x:v>OK</x:v>
      </x:c>
      <x:c r="W245" t="str">
        <x:f>IF(SUMIF($B$5:$B$914,B245,$S$5:$S$914)=SUMIF(DailyProduction!$Q$5:$Q$100,B245,DailyProduction!$R$5:$R$100),"OK","CHECK")</x:f>
        <x:v>OK</x:v>
      </x:c>
    </x:row>
    <x:row r="246">
      <x:c r="A246" t="str">
        <x:v>PC-PE-KG01-L22-20251022-AM-ORD-2025-00057-S08</x:v>
      </x:c>
      <x:c r="B246" t="str">
        <x:v>PE-KG01-L22-20251022-AM-ORD-2025-00057</x:v>
      </x:c>
      <x:c r="C246" t="str">
        <x:v>KG01</x:v>
      </x:c>
      <x:c r="D246" t="n">
        <x:v>45952</x:v>
      </x:c>
      <x:c r="E246" t="str">
        <x:v>AM</x:v>
      </x:c>
      <x:c r="F246" t="str">
        <x:v>B</x:v>
      </x:c>
      <x:c r="G246" t="n">
        <x:v>22</x:v>
      </x:c>
      <x:c r="H246" t="str">
        <x:v>ORD-2025-00057</x:v>
      </x:c>
      <x:c r="I246" t="n">
        <x:v>8</x:v>
      </x:c>
      <x:c r="J246" t="n">
        <x:v>10</x:v>
      </x:c>
      <x:c r="K246" t="n">
        <x:v>2</x:v>
      </x:c>
      <x:c r="L246" t="n">
        <x:f>IF(I246&lt;=J246,1,0)</x:f>
        <x:v>1</x:v>
      </x:c>
      <x:c r="P246" t="n">
        <x:f>IF(M246="",IF(AND(L246=1,K246&gt;=1),1,0),M246)</x:f>
        <x:v>1</x:v>
      </x:c>
      <x:c r="Q246" t="n">
        <x:f>IF(N246="",IF(AND(L246=1,K246&gt;=2),1,0),N246)</x:f>
        <x:v>1</x:v>
      </x:c>
      <x:c r="R246" t="n">
        <x:f>IF(O246="",IF(AND(L246=1,K246&gt;=3),1,0),O246)</x:f>
        <x:v>0</x:v>
      </x:c>
      <x:c r="S246" t="n">
        <x:f>SUM(P246:R246)</x:f>
        <x:v>2</x:v>
      </x:c>
      <x:c r="T246" t="str">
        <x:f>IF(COUNTA(M246:O246)=0,"DerivedFromCount","ManualOverride")</x:f>
        <x:v>DerivedFromCount</x:v>
      </x:c>
      <x:c r="U246" t="str">
        <x:f>IF(COUNTIF(DailyProduction!$Q$5:$Q$100,B246)=1,"OK","CHECK")</x:f>
        <x:v>OK</x:v>
      </x:c>
      <x:c r="V246" t="str">
        <x:f>IF(AND(I246&gt;=1,I246&lt;=13,K246&gt;=1,K246&lt;=3),"OK","CHECK")</x:f>
        <x:v>OK</x:v>
      </x:c>
      <x:c r="W246" t="str">
        <x:f>IF(SUMIF($B$5:$B$914,B246,$S$5:$S$914)=SUMIF(DailyProduction!$Q$5:$Q$100,B246,DailyProduction!$R$5:$R$100),"OK","CHECK")</x:f>
        <x:v>OK</x:v>
      </x:c>
    </x:row>
    <x:row r="247">
      <x:c r="A247" t="str">
        <x:v>PC-PE-KG01-L22-20251022-AM-ORD-2025-00057-S09</x:v>
      </x:c>
      <x:c r="B247" t="str">
        <x:v>PE-KG01-L22-20251022-AM-ORD-2025-00057</x:v>
      </x:c>
      <x:c r="C247" t="str">
        <x:v>KG01</x:v>
      </x:c>
      <x:c r="D247" t="n">
        <x:v>45952</x:v>
      </x:c>
      <x:c r="E247" t="str">
        <x:v>AM</x:v>
      </x:c>
      <x:c r="F247" t="str">
        <x:v>B</x:v>
      </x:c>
      <x:c r="G247" t="n">
        <x:v>22</x:v>
      </x:c>
      <x:c r="H247" t="str">
        <x:v>ORD-2025-00057</x:v>
      </x:c>
      <x:c r="I247" t="n">
        <x:v>9</x:v>
      </x:c>
      <x:c r="J247" t="n">
        <x:v>10</x:v>
      </x:c>
      <x:c r="K247" t="n">
        <x:v>2</x:v>
      </x:c>
      <x:c r="L247" t="n">
        <x:f>IF(I247&lt;=J247,1,0)</x:f>
        <x:v>1</x:v>
      </x:c>
      <x:c r="P247" t="n">
        <x:f>IF(M247="",IF(AND(L247=1,K247&gt;=1),1,0),M247)</x:f>
        <x:v>1</x:v>
      </x:c>
      <x:c r="Q247" t="n">
        <x:f>IF(N247="",IF(AND(L247=1,K247&gt;=2),1,0),N247)</x:f>
        <x:v>1</x:v>
      </x:c>
      <x:c r="R247" t="n">
        <x:f>IF(O247="",IF(AND(L247=1,K247&gt;=3),1,0),O247)</x:f>
        <x:v>0</x:v>
      </x:c>
      <x:c r="S247" t="n">
        <x:f>SUM(P247:R247)</x:f>
        <x:v>2</x:v>
      </x:c>
      <x:c r="T247" t="str">
        <x:f>IF(COUNTA(M247:O247)=0,"DerivedFromCount","ManualOverride")</x:f>
        <x:v>DerivedFromCount</x:v>
      </x:c>
      <x:c r="U247" t="str">
        <x:f>IF(COUNTIF(DailyProduction!$Q$5:$Q$100,B247)=1,"OK","CHECK")</x:f>
        <x:v>OK</x:v>
      </x:c>
      <x:c r="V247" t="str">
        <x:f>IF(AND(I247&gt;=1,I247&lt;=13,K247&gt;=1,K247&lt;=3),"OK","CHECK")</x:f>
        <x:v>OK</x:v>
      </x:c>
      <x:c r="W247" t="str">
        <x:f>IF(SUMIF($B$5:$B$914,B247,$S$5:$S$914)=SUMIF(DailyProduction!$Q$5:$Q$100,B247,DailyProduction!$R$5:$R$100),"OK","CHECK")</x:f>
        <x:v>OK</x:v>
      </x:c>
    </x:row>
    <x:row r="248">
      <x:c r="A248" t="str">
        <x:v>PC-PE-KG01-L22-20251022-AM-ORD-2025-00057-S10</x:v>
      </x:c>
      <x:c r="B248" t="str">
        <x:v>PE-KG01-L22-20251022-AM-ORD-2025-00057</x:v>
      </x:c>
      <x:c r="C248" t="str">
        <x:v>KG01</x:v>
      </x:c>
      <x:c r="D248" t="n">
        <x:v>45952</x:v>
      </x:c>
      <x:c r="E248" t="str">
        <x:v>AM</x:v>
      </x:c>
      <x:c r="F248" t="str">
        <x:v>B</x:v>
      </x:c>
      <x:c r="G248" t="n">
        <x:v>22</x:v>
      </x:c>
      <x:c r="H248" t="str">
        <x:v>ORD-2025-00057</x:v>
      </x:c>
      <x:c r="I248" t="n">
        <x:v>10</x:v>
      </x:c>
      <x:c r="J248" t="n">
        <x:v>10</x:v>
      </x:c>
      <x:c r="K248" t="n">
        <x:v>2</x:v>
      </x:c>
      <x:c r="L248" t="n">
        <x:f>IF(I248&lt;=J248,1,0)</x:f>
        <x:v>1</x:v>
      </x:c>
      <x:c r="P248" t="n">
        <x:f>IF(M248="",IF(AND(L248=1,K248&gt;=1),1,0),M248)</x:f>
        <x:v>1</x:v>
      </x:c>
      <x:c r="Q248" t="n">
        <x:f>IF(N248="",IF(AND(L248=1,K248&gt;=2),1,0),N248)</x:f>
        <x:v>1</x:v>
      </x:c>
      <x:c r="R248" t="n">
        <x:f>IF(O248="",IF(AND(L248=1,K248&gt;=3),1,0),O248)</x:f>
        <x:v>0</x:v>
      </x:c>
      <x:c r="S248" t="n">
        <x:f>SUM(P248:R248)</x:f>
        <x:v>2</x:v>
      </x:c>
      <x:c r="T248" t="str">
        <x:f>IF(COUNTA(M248:O248)=0,"DerivedFromCount","ManualOverride")</x:f>
        <x:v>DerivedFromCount</x:v>
      </x:c>
      <x:c r="U248" t="str">
        <x:f>IF(COUNTIF(DailyProduction!$Q$5:$Q$100,B248)=1,"OK","CHECK")</x:f>
        <x:v>OK</x:v>
      </x:c>
      <x:c r="V248" t="str">
        <x:f>IF(AND(I248&gt;=1,I248&lt;=13,K248&gt;=1,K248&lt;=3),"OK","CHECK")</x:f>
        <x:v>OK</x:v>
      </x:c>
      <x:c r="W248" t="str">
        <x:f>IF(SUMIF($B$5:$B$914,B248,$S$5:$S$914)=SUMIF(DailyProduction!$Q$5:$Q$100,B248,DailyProduction!$R$5:$R$100),"OK","CHECK")</x:f>
        <x:v>OK</x:v>
      </x:c>
    </x:row>
    <x:row r="249">
      <x:c r="A249" t="str">
        <x:v>PC-PE-KG01-L22-20251022-AM-ORD-2025-00057-S11</x:v>
      </x:c>
      <x:c r="B249" t="str">
        <x:v>PE-KG01-L22-20251022-AM-ORD-2025-00057</x:v>
      </x:c>
      <x:c r="C249" t="str">
        <x:v>KG01</x:v>
      </x:c>
      <x:c r="D249" t="n">
        <x:v>45952</x:v>
      </x:c>
      <x:c r="E249" t="str">
        <x:v>AM</x:v>
      </x:c>
      <x:c r="F249" t="str">
        <x:v>B</x:v>
      </x:c>
      <x:c r="G249" t="n">
        <x:v>22</x:v>
      </x:c>
      <x:c r="H249" t="str">
        <x:v>ORD-2025-00057</x:v>
      </x:c>
      <x:c r="I249" t="n">
        <x:v>11</x:v>
      </x:c>
      <x:c r="J249" t="n">
        <x:v>10</x:v>
      </x:c>
      <x:c r="K249" t="n">
        <x:v>2</x:v>
      </x:c>
      <x:c r="L249" t="n">
        <x:f>IF(I249&lt;=J249,1,0)</x:f>
        <x:v>0</x:v>
      </x:c>
      <x:c r="P249" t="n">
        <x:f>IF(M249="",IF(AND(L249=1,K249&gt;=1),1,0),M249)</x:f>
        <x:v>0</x:v>
      </x:c>
      <x:c r="Q249" t="n">
        <x:f>IF(N249="",IF(AND(L249=1,K249&gt;=2),1,0),N249)</x:f>
        <x:v>0</x:v>
      </x:c>
      <x:c r="R249" t="n">
        <x:f>IF(O249="",IF(AND(L249=1,K249&gt;=3),1,0),O249)</x:f>
        <x:v>0</x:v>
      </x:c>
      <x:c r="S249" t="n">
        <x:f>SUM(P249:R249)</x:f>
        <x:v>0</x:v>
      </x:c>
      <x:c r="T249" t="str">
        <x:f>IF(COUNTA(M249:O249)=0,"DerivedFromCount","ManualOverride")</x:f>
        <x:v>DerivedFromCount</x:v>
      </x:c>
      <x:c r="U249" t="str">
        <x:f>IF(COUNTIF(DailyProduction!$Q$5:$Q$100,B249)=1,"OK","CHECK")</x:f>
        <x:v>OK</x:v>
      </x:c>
      <x:c r="V249" t="str">
        <x:f>IF(AND(I249&gt;=1,I249&lt;=13,K249&gt;=1,K249&lt;=3),"OK","CHECK")</x:f>
        <x:v>OK</x:v>
      </x:c>
      <x:c r="W249" t="str">
        <x:f>IF(SUMIF($B$5:$B$914,B249,$S$5:$S$914)=SUMIF(DailyProduction!$Q$5:$Q$100,B249,DailyProduction!$R$5:$R$100),"OK","CHECK")</x:f>
        <x:v>OK</x:v>
      </x:c>
    </x:row>
    <x:row r="250">
      <x:c r="A250" t="str">
        <x:v>PC-PE-KG01-L22-20251022-AM-ORD-2025-00057-S12</x:v>
      </x:c>
      <x:c r="B250" t="str">
        <x:v>PE-KG01-L22-20251022-AM-ORD-2025-00057</x:v>
      </x:c>
      <x:c r="C250" t="str">
        <x:v>KG01</x:v>
      </x:c>
      <x:c r="D250" t="n">
        <x:v>45952</x:v>
      </x:c>
      <x:c r="E250" t="str">
        <x:v>AM</x:v>
      </x:c>
      <x:c r="F250" t="str">
        <x:v>B</x:v>
      </x:c>
      <x:c r="G250" t="n">
        <x:v>22</x:v>
      </x:c>
      <x:c r="H250" t="str">
        <x:v>ORD-2025-00057</x:v>
      </x:c>
      <x:c r="I250" t="n">
        <x:v>12</x:v>
      </x:c>
      <x:c r="J250" t="n">
        <x:v>10</x:v>
      </x:c>
      <x:c r="K250" t="n">
        <x:v>2</x:v>
      </x:c>
      <x:c r="L250" t="n">
        <x:f>IF(I250&lt;=J250,1,0)</x:f>
        <x:v>0</x:v>
      </x:c>
      <x:c r="P250" t="n">
        <x:f>IF(M250="",IF(AND(L250=1,K250&gt;=1),1,0),M250)</x:f>
        <x:v>0</x:v>
      </x:c>
      <x:c r="Q250" t="n">
        <x:f>IF(N250="",IF(AND(L250=1,K250&gt;=2),1,0),N250)</x:f>
        <x:v>0</x:v>
      </x:c>
      <x:c r="R250" t="n">
        <x:f>IF(O250="",IF(AND(L250=1,K250&gt;=3),1,0),O250)</x:f>
        <x:v>0</x:v>
      </x:c>
      <x:c r="S250" t="n">
        <x:f>SUM(P250:R250)</x:f>
        <x:v>0</x:v>
      </x:c>
      <x:c r="T250" t="str">
        <x:f>IF(COUNTA(M250:O250)=0,"DerivedFromCount","ManualOverride")</x:f>
        <x:v>DerivedFromCount</x:v>
      </x:c>
      <x:c r="U250" t="str">
        <x:f>IF(COUNTIF(DailyProduction!$Q$5:$Q$100,B250)=1,"OK","CHECK")</x:f>
        <x:v>OK</x:v>
      </x:c>
      <x:c r="V250" t="str">
        <x:f>IF(AND(I250&gt;=1,I250&lt;=13,K250&gt;=1,K250&lt;=3),"OK","CHECK")</x:f>
        <x:v>OK</x:v>
      </x:c>
      <x:c r="W250" t="str">
        <x:f>IF(SUMIF($B$5:$B$914,B250,$S$5:$S$914)=SUMIF(DailyProduction!$Q$5:$Q$100,B250,DailyProduction!$R$5:$R$100),"OK","CHECK")</x:f>
        <x:v>OK</x:v>
      </x:c>
    </x:row>
    <x:row r="251">
      <x:c r="A251" t="str">
        <x:v>PC-PE-KG01-L22-20251022-AM-ORD-2025-00057-S13</x:v>
      </x:c>
      <x:c r="B251" t="str">
        <x:v>PE-KG01-L22-20251022-AM-ORD-2025-00057</x:v>
      </x:c>
      <x:c r="C251" t="str">
        <x:v>KG01</x:v>
      </x:c>
      <x:c r="D251" t="n">
        <x:v>45952</x:v>
      </x:c>
      <x:c r="E251" t="str">
        <x:v>AM</x:v>
      </x:c>
      <x:c r="F251" t="str">
        <x:v>B</x:v>
      </x:c>
      <x:c r="G251" t="n">
        <x:v>22</x:v>
      </x:c>
      <x:c r="H251" t="str">
        <x:v>ORD-2025-00057</x:v>
      </x:c>
      <x:c r="I251" t="n">
        <x:v>13</x:v>
      </x:c>
      <x:c r="J251" t="n">
        <x:v>10</x:v>
      </x:c>
      <x:c r="K251" t="n">
        <x:v>2</x:v>
      </x:c>
      <x:c r="L251" t="n">
        <x:f>IF(I251&lt;=J251,1,0)</x:f>
        <x:v>0</x:v>
      </x:c>
      <x:c r="P251" t="n">
        <x:f>IF(M251="",IF(AND(L251=1,K251&gt;=1),1,0),M251)</x:f>
        <x:v>0</x:v>
      </x:c>
      <x:c r="Q251" t="n">
        <x:f>IF(N251="",IF(AND(L251=1,K251&gt;=2),1,0),N251)</x:f>
        <x:v>0</x:v>
      </x:c>
      <x:c r="R251" t="n">
        <x:f>IF(O251="",IF(AND(L251=1,K251&gt;=3),1,0),O251)</x:f>
        <x:v>0</x:v>
      </x:c>
      <x:c r="S251" t="n">
        <x:f>SUM(P251:R251)</x:f>
        <x:v>0</x:v>
      </x:c>
      <x:c r="T251" t="str">
        <x:f>IF(COUNTA(M251:O251)=0,"DerivedFromCount","ManualOverride")</x:f>
        <x:v>DerivedFromCount</x:v>
      </x:c>
      <x:c r="U251" t="str">
        <x:f>IF(COUNTIF(DailyProduction!$Q$5:$Q$100,B251)=1,"OK","CHECK")</x:f>
        <x:v>OK</x:v>
      </x:c>
      <x:c r="V251" t="str">
        <x:f>IF(AND(I251&gt;=1,I251&lt;=13,K251&gt;=1,K251&lt;=3),"OK","CHECK")</x:f>
        <x:v>OK</x:v>
      </x:c>
      <x:c r="W251" t="str">
        <x:f>IF(SUMIF($B$5:$B$914,B251,$S$5:$S$914)=SUMIF(DailyProduction!$Q$5:$Q$100,B251,DailyProduction!$R$5:$R$100),"OK","CHECK")</x:f>
        <x:v>OK</x:v>
      </x:c>
    </x:row>
    <x:row r="252">
      <x:c r="A252" t="str">
        <x:v>PC-PE-KG01-L22-20251022-PM-ORD-2025-00057-S01</x:v>
      </x:c>
      <x:c r="B252" t="str">
        <x:v>PE-KG01-L22-20251022-PM-ORD-2025-00057</x:v>
      </x:c>
      <x:c r="C252" t="str">
        <x:v>KG01</x:v>
      </x:c>
      <x:c r="D252" t="n">
        <x:v>45952</x:v>
      </x:c>
      <x:c r="E252" t="str">
        <x:v>PM</x:v>
      </x:c>
      <x:c r="F252" t="str">
        <x:v>C</x:v>
      </x:c>
      <x:c r="G252" t="n">
        <x:v>22</x:v>
      </x:c>
      <x:c r="H252" t="str">
        <x:v>ORD-2025-00057</x:v>
      </x:c>
      <x:c r="I252" t="n">
        <x:v>1</x:v>
      </x:c>
      <x:c r="J252" t="n">
        <x:v>10</x:v>
      </x:c>
      <x:c r="K252" t="n">
        <x:v>2</x:v>
      </x:c>
      <x:c r="L252" t="n">
        <x:f>IF(I252&lt;=J252,1,0)</x:f>
        <x:v>1</x:v>
      </x:c>
      <x:c r="P252" t="n">
        <x:f>IF(M252="",IF(AND(L252=1,K252&gt;=1),1,0),M252)</x:f>
        <x:v>1</x:v>
      </x:c>
      <x:c r="Q252" t="n">
        <x:f>IF(N252="",IF(AND(L252=1,K252&gt;=2),1,0),N252)</x:f>
        <x:v>1</x:v>
      </x:c>
      <x:c r="R252" t="n">
        <x:f>IF(O252="",IF(AND(L252=1,K252&gt;=3),1,0),O252)</x:f>
        <x:v>0</x:v>
      </x:c>
      <x:c r="S252" t="n">
        <x:f>SUM(P252:R252)</x:f>
        <x:v>2</x:v>
      </x:c>
      <x:c r="T252" t="str">
        <x:f>IF(COUNTA(M252:O252)=0,"DerivedFromCount","ManualOverride")</x:f>
        <x:v>DerivedFromCount</x:v>
      </x:c>
      <x:c r="U252" t="str">
        <x:f>IF(COUNTIF(DailyProduction!$Q$5:$Q$100,B252)=1,"OK","CHECK")</x:f>
        <x:v>OK</x:v>
      </x:c>
      <x:c r="V252" t="str">
        <x:f>IF(AND(I252&gt;=1,I252&lt;=13,K252&gt;=1,K252&lt;=3),"OK","CHECK")</x:f>
        <x:v>OK</x:v>
      </x:c>
      <x:c r="W252" t="str">
        <x:f>IF(SUMIF($B$5:$B$914,B252,$S$5:$S$914)=SUMIF(DailyProduction!$Q$5:$Q$100,B252,DailyProduction!$R$5:$R$100),"OK","CHECK")</x:f>
        <x:v>OK</x:v>
      </x:c>
    </x:row>
    <x:row r="253">
      <x:c r="A253" t="str">
        <x:v>PC-PE-KG01-L22-20251022-PM-ORD-2025-00057-S02</x:v>
      </x:c>
      <x:c r="B253" t="str">
        <x:v>PE-KG01-L22-20251022-PM-ORD-2025-00057</x:v>
      </x:c>
      <x:c r="C253" t="str">
        <x:v>KG01</x:v>
      </x:c>
      <x:c r="D253" t="n">
        <x:v>45952</x:v>
      </x:c>
      <x:c r="E253" t="str">
        <x:v>PM</x:v>
      </x:c>
      <x:c r="F253" t="str">
        <x:v>C</x:v>
      </x:c>
      <x:c r="G253" t="n">
        <x:v>22</x:v>
      </x:c>
      <x:c r="H253" t="str">
        <x:v>ORD-2025-00057</x:v>
      </x:c>
      <x:c r="I253" t="n">
        <x:v>2</x:v>
      </x:c>
      <x:c r="J253" t="n">
        <x:v>10</x:v>
      </x:c>
      <x:c r="K253" t="n">
        <x:v>2</x:v>
      </x:c>
      <x:c r="L253" t="n">
        <x:f>IF(I253&lt;=J253,1,0)</x:f>
        <x:v>1</x:v>
      </x:c>
      <x:c r="P253" t="n">
        <x:f>IF(M253="",IF(AND(L253=1,K253&gt;=1),1,0),M253)</x:f>
        <x:v>1</x:v>
      </x:c>
      <x:c r="Q253" t="n">
        <x:f>IF(N253="",IF(AND(L253=1,K253&gt;=2),1,0),N253)</x:f>
        <x:v>1</x:v>
      </x:c>
      <x:c r="R253" t="n">
        <x:f>IF(O253="",IF(AND(L253=1,K253&gt;=3),1,0),O253)</x:f>
        <x:v>0</x:v>
      </x:c>
      <x:c r="S253" t="n">
        <x:f>SUM(P253:R253)</x:f>
        <x:v>2</x:v>
      </x:c>
      <x:c r="T253" t="str">
        <x:f>IF(COUNTA(M253:O253)=0,"DerivedFromCount","ManualOverride")</x:f>
        <x:v>DerivedFromCount</x:v>
      </x:c>
      <x:c r="U253" t="str">
        <x:f>IF(COUNTIF(DailyProduction!$Q$5:$Q$100,B253)=1,"OK","CHECK")</x:f>
        <x:v>OK</x:v>
      </x:c>
      <x:c r="V253" t="str">
        <x:f>IF(AND(I253&gt;=1,I253&lt;=13,K253&gt;=1,K253&lt;=3),"OK","CHECK")</x:f>
        <x:v>OK</x:v>
      </x:c>
      <x:c r="W253" t="str">
        <x:f>IF(SUMIF($B$5:$B$914,B253,$S$5:$S$914)=SUMIF(DailyProduction!$Q$5:$Q$100,B253,DailyProduction!$R$5:$R$100),"OK","CHECK")</x:f>
        <x:v>OK</x:v>
      </x:c>
    </x:row>
    <x:row r="254">
      <x:c r="A254" t="str">
        <x:v>PC-PE-KG01-L22-20251022-PM-ORD-2025-00057-S03</x:v>
      </x:c>
      <x:c r="B254" t="str">
        <x:v>PE-KG01-L22-20251022-PM-ORD-2025-00057</x:v>
      </x:c>
      <x:c r="C254" t="str">
        <x:v>KG01</x:v>
      </x:c>
      <x:c r="D254" t="n">
        <x:v>45952</x:v>
      </x:c>
      <x:c r="E254" t="str">
        <x:v>PM</x:v>
      </x:c>
      <x:c r="F254" t="str">
        <x:v>C</x:v>
      </x:c>
      <x:c r="G254" t="n">
        <x:v>22</x:v>
      </x:c>
      <x:c r="H254" t="str">
        <x:v>ORD-2025-00057</x:v>
      </x:c>
      <x:c r="I254" t="n">
        <x:v>3</x:v>
      </x:c>
      <x:c r="J254" t="n">
        <x:v>10</x:v>
      </x:c>
      <x:c r="K254" t="n">
        <x:v>2</x:v>
      </x:c>
      <x:c r="L254" t="n">
        <x:f>IF(I254&lt;=J254,1,0)</x:f>
        <x:v>1</x:v>
      </x:c>
      <x:c r="P254" t="n">
        <x:f>IF(M254="",IF(AND(L254=1,K254&gt;=1),1,0),M254)</x:f>
        <x:v>1</x:v>
      </x:c>
      <x:c r="Q254" t="n">
        <x:f>IF(N254="",IF(AND(L254=1,K254&gt;=2),1,0),N254)</x:f>
        <x:v>1</x:v>
      </x:c>
      <x:c r="R254" t="n">
        <x:f>IF(O254="",IF(AND(L254=1,K254&gt;=3),1,0),O254)</x:f>
        <x:v>0</x:v>
      </x:c>
      <x:c r="S254" t="n">
        <x:f>SUM(P254:R254)</x:f>
        <x:v>2</x:v>
      </x:c>
      <x:c r="T254" t="str">
        <x:f>IF(COUNTA(M254:O254)=0,"DerivedFromCount","ManualOverride")</x:f>
        <x:v>DerivedFromCount</x:v>
      </x:c>
      <x:c r="U254" t="str">
        <x:f>IF(COUNTIF(DailyProduction!$Q$5:$Q$100,B254)=1,"OK","CHECK")</x:f>
        <x:v>OK</x:v>
      </x:c>
      <x:c r="V254" t="str">
        <x:f>IF(AND(I254&gt;=1,I254&lt;=13,K254&gt;=1,K254&lt;=3),"OK","CHECK")</x:f>
        <x:v>OK</x:v>
      </x:c>
      <x:c r="W254" t="str">
        <x:f>IF(SUMIF($B$5:$B$914,B254,$S$5:$S$914)=SUMIF(DailyProduction!$Q$5:$Q$100,B254,DailyProduction!$R$5:$R$100),"OK","CHECK")</x:f>
        <x:v>OK</x:v>
      </x:c>
    </x:row>
    <x:row r="255">
      <x:c r="A255" t="str">
        <x:v>PC-PE-KG01-L22-20251022-PM-ORD-2025-00057-S04</x:v>
      </x:c>
      <x:c r="B255" t="str">
        <x:v>PE-KG01-L22-20251022-PM-ORD-2025-00057</x:v>
      </x:c>
      <x:c r="C255" t="str">
        <x:v>KG01</x:v>
      </x:c>
      <x:c r="D255" t="n">
        <x:v>45952</x:v>
      </x:c>
      <x:c r="E255" t="str">
        <x:v>PM</x:v>
      </x:c>
      <x:c r="F255" t="str">
        <x:v>C</x:v>
      </x:c>
      <x:c r="G255" t="n">
        <x:v>22</x:v>
      </x:c>
      <x:c r="H255" t="str">
        <x:v>ORD-2025-00057</x:v>
      </x:c>
      <x:c r="I255" t="n">
        <x:v>4</x:v>
      </x:c>
      <x:c r="J255" t="n">
        <x:v>10</x:v>
      </x:c>
      <x:c r="K255" t="n">
        <x:v>2</x:v>
      </x:c>
      <x:c r="L255" t="n">
        <x:f>IF(I255&lt;=J255,1,0)</x:f>
        <x:v>1</x:v>
      </x:c>
      <x:c r="P255" t="n">
        <x:f>IF(M255="",IF(AND(L255=1,K255&gt;=1),1,0),M255)</x:f>
        <x:v>1</x:v>
      </x:c>
      <x:c r="Q255" t="n">
        <x:f>IF(N255="",IF(AND(L255=1,K255&gt;=2),1,0),N255)</x:f>
        <x:v>1</x:v>
      </x:c>
      <x:c r="R255" t="n">
        <x:f>IF(O255="",IF(AND(L255=1,K255&gt;=3),1,0),O255)</x:f>
        <x:v>0</x:v>
      </x:c>
      <x:c r="S255" t="n">
        <x:f>SUM(P255:R255)</x:f>
        <x:v>2</x:v>
      </x:c>
      <x:c r="T255" t="str">
        <x:f>IF(COUNTA(M255:O255)=0,"DerivedFromCount","ManualOverride")</x:f>
        <x:v>DerivedFromCount</x:v>
      </x:c>
      <x:c r="U255" t="str">
        <x:f>IF(COUNTIF(DailyProduction!$Q$5:$Q$100,B255)=1,"OK","CHECK")</x:f>
        <x:v>OK</x:v>
      </x:c>
      <x:c r="V255" t="str">
        <x:f>IF(AND(I255&gt;=1,I255&lt;=13,K255&gt;=1,K255&lt;=3),"OK","CHECK")</x:f>
        <x:v>OK</x:v>
      </x:c>
      <x:c r="W255" t="str">
        <x:f>IF(SUMIF($B$5:$B$914,B255,$S$5:$S$914)=SUMIF(DailyProduction!$Q$5:$Q$100,B255,DailyProduction!$R$5:$R$100),"OK","CHECK")</x:f>
        <x:v>OK</x:v>
      </x:c>
    </x:row>
    <x:row r="256">
      <x:c r="A256" t="str">
        <x:v>PC-PE-KG01-L22-20251022-PM-ORD-2025-00057-S05</x:v>
      </x:c>
      <x:c r="B256" t="str">
        <x:v>PE-KG01-L22-20251022-PM-ORD-2025-00057</x:v>
      </x:c>
      <x:c r="C256" t="str">
        <x:v>KG01</x:v>
      </x:c>
      <x:c r="D256" t="n">
        <x:v>45952</x:v>
      </x:c>
      <x:c r="E256" t="str">
        <x:v>PM</x:v>
      </x:c>
      <x:c r="F256" t="str">
        <x:v>C</x:v>
      </x:c>
      <x:c r="G256" t="n">
        <x:v>22</x:v>
      </x:c>
      <x:c r="H256" t="str">
        <x:v>ORD-2025-00057</x:v>
      </x:c>
      <x:c r="I256" t="n">
        <x:v>5</x:v>
      </x:c>
      <x:c r="J256" t="n">
        <x:v>10</x:v>
      </x:c>
      <x:c r="K256" t="n">
        <x:v>2</x:v>
      </x:c>
      <x:c r="L256" t="n">
        <x:f>IF(I256&lt;=J256,1,0)</x:f>
        <x:v>1</x:v>
      </x:c>
      <x:c r="P256" t="n">
        <x:f>IF(M256="",IF(AND(L256=1,K256&gt;=1),1,0),M256)</x:f>
        <x:v>1</x:v>
      </x:c>
      <x:c r="Q256" t="n">
        <x:f>IF(N256="",IF(AND(L256=1,K256&gt;=2),1,0),N256)</x:f>
        <x:v>1</x:v>
      </x:c>
      <x:c r="R256" t="n">
        <x:f>IF(O256="",IF(AND(L256=1,K256&gt;=3),1,0),O256)</x:f>
        <x:v>0</x:v>
      </x:c>
      <x:c r="S256" t="n">
        <x:f>SUM(P256:R256)</x:f>
        <x:v>2</x:v>
      </x:c>
      <x:c r="T256" t="str">
        <x:f>IF(COUNTA(M256:O256)=0,"DerivedFromCount","ManualOverride")</x:f>
        <x:v>DerivedFromCount</x:v>
      </x:c>
      <x:c r="U256" t="str">
        <x:f>IF(COUNTIF(DailyProduction!$Q$5:$Q$100,B256)=1,"OK","CHECK")</x:f>
        <x:v>OK</x:v>
      </x:c>
      <x:c r="V256" t="str">
        <x:f>IF(AND(I256&gt;=1,I256&lt;=13,K256&gt;=1,K256&lt;=3),"OK","CHECK")</x:f>
        <x:v>OK</x:v>
      </x:c>
      <x:c r="W256" t="str">
        <x:f>IF(SUMIF($B$5:$B$914,B256,$S$5:$S$914)=SUMIF(DailyProduction!$Q$5:$Q$100,B256,DailyProduction!$R$5:$R$100),"OK","CHECK")</x:f>
        <x:v>OK</x:v>
      </x:c>
    </x:row>
    <x:row r="257">
      <x:c r="A257" t="str">
        <x:v>PC-PE-KG01-L22-20251022-PM-ORD-2025-00057-S06</x:v>
      </x:c>
      <x:c r="B257" t="str">
        <x:v>PE-KG01-L22-20251022-PM-ORD-2025-00057</x:v>
      </x:c>
      <x:c r="C257" t="str">
        <x:v>KG01</x:v>
      </x:c>
      <x:c r="D257" t="n">
        <x:v>45952</x:v>
      </x:c>
      <x:c r="E257" t="str">
        <x:v>PM</x:v>
      </x:c>
      <x:c r="F257" t="str">
        <x:v>C</x:v>
      </x:c>
      <x:c r="G257" t="n">
        <x:v>22</x:v>
      </x:c>
      <x:c r="H257" t="str">
        <x:v>ORD-2025-00057</x:v>
      </x:c>
      <x:c r="I257" t="n">
        <x:v>6</x:v>
      </x:c>
      <x:c r="J257" t="n">
        <x:v>10</x:v>
      </x:c>
      <x:c r="K257" t="n">
        <x:v>2</x:v>
      </x:c>
      <x:c r="L257" t="n">
        <x:f>IF(I257&lt;=J257,1,0)</x:f>
        <x:v>1</x:v>
      </x:c>
      <x:c r="P257" t="n">
        <x:f>IF(M257="",IF(AND(L257=1,K257&gt;=1),1,0),M257)</x:f>
        <x:v>1</x:v>
      </x:c>
      <x:c r="Q257" t="n">
        <x:f>IF(N257="",IF(AND(L257=1,K257&gt;=2),1,0),N257)</x:f>
        <x:v>1</x:v>
      </x:c>
      <x:c r="R257" t="n">
        <x:f>IF(O257="",IF(AND(L257=1,K257&gt;=3),1,0),O257)</x:f>
        <x:v>0</x:v>
      </x:c>
      <x:c r="S257" t="n">
        <x:f>SUM(P257:R257)</x:f>
        <x:v>2</x:v>
      </x:c>
      <x:c r="T257" t="str">
        <x:f>IF(COUNTA(M257:O257)=0,"DerivedFromCount","ManualOverride")</x:f>
        <x:v>DerivedFromCount</x:v>
      </x:c>
      <x:c r="U257" t="str">
        <x:f>IF(COUNTIF(DailyProduction!$Q$5:$Q$100,B257)=1,"OK","CHECK")</x:f>
        <x:v>OK</x:v>
      </x:c>
      <x:c r="V257" t="str">
        <x:f>IF(AND(I257&gt;=1,I257&lt;=13,K257&gt;=1,K257&lt;=3),"OK","CHECK")</x:f>
        <x:v>OK</x:v>
      </x:c>
      <x:c r="W257" t="str">
        <x:f>IF(SUMIF($B$5:$B$914,B257,$S$5:$S$914)=SUMIF(DailyProduction!$Q$5:$Q$100,B257,DailyProduction!$R$5:$R$100),"OK","CHECK")</x:f>
        <x:v>OK</x:v>
      </x:c>
    </x:row>
    <x:row r="258">
      <x:c r="A258" t="str">
        <x:v>PC-PE-KG01-L22-20251022-PM-ORD-2025-00057-S07</x:v>
      </x:c>
      <x:c r="B258" t="str">
        <x:v>PE-KG01-L22-20251022-PM-ORD-2025-00057</x:v>
      </x:c>
      <x:c r="C258" t="str">
        <x:v>KG01</x:v>
      </x:c>
      <x:c r="D258" t="n">
        <x:v>45952</x:v>
      </x:c>
      <x:c r="E258" t="str">
        <x:v>PM</x:v>
      </x:c>
      <x:c r="F258" t="str">
        <x:v>C</x:v>
      </x:c>
      <x:c r="G258" t="n">
        <x:v>22</x:v>
      </x:c>
      <x:c r="H258" t="str">
        <x:v>ORD-2025-00057</x:v>
      </x:c>
      <x:c r="I258" t="n">
        <x:v>7</x:v>
      </x:c>
      <x:c r="J258" t="n">
        <x:v>10</x:v>
      </x:c>
      <x:c r="K258" t="n">
        <x:v>2</x:v>
      </x:c>
      <x:c r="L258" t="n">
        <x:f>IF(I258&lt;=J258,1,0)</x:f>
        <x:v>1</x:v>
      </x:c>
      <x:c r="P258" t="n">
        <x:f>IF(M258="",IF(AND(L258=1,K258&gt;=1),1,0),M258)</x:f>
        <x:v>1</x:v>
      </x:c>
      <x:c r="Q258" t="n">
        <x:f>IF(N258="",IF(AND(L258=1,K258&gt;=2),1,0),N258)</x:f>
        <x:v>1</x:v>
      </x:c>
      <x:c r="R258" t="n">
        <x:f>IF(O258="",IF(AND(L258=1,K258&gt;=3),1,0),O258)</x:f>
        <x:v>0</x:v>
      </x:c>
      <x:c r="S258" t="n">
        <x:f>SUM(P258:R258)</x:f>
        <x:v>2</x:v>
      </x:c>
      <x:c r="T258" t="str">
        <x:f>IF(COUNTA(M258:O258)=0,"DerivedFromCount","ManualOverride")</x:f>
        <x:v>DerivedFromCount</x:v>
      </x:c>
      <x:c r="U258" t="str">
        <x:f>IF(COUNTIF(DailyProduction!$Q$5:$Q$100,B258)=1,"OK","CHECK")</x:f>
        <x:v>OK</x:v>
      </x:c>
      <x:c r="V258" t="str">
        <x:f>IF(AND(I258&gt;=1,I258&lt;=13,K258&gt;=1,K258&lt;=3),"OK","CHECK")</x:f>
        <x:v>OK</x:v>
      </x:c>
      <x:c r="W258" t="str">
        <x:f>IF(SUMIF($B$5:$B$914,B258,$S$5:$S$914)=SUMIF(DailyProduction!$Q$5:$Q$100,B258,DailyProduction!$R$5:$R$100),"OK","CHECK")</x:f>
        <x:v>OK</x:v>
      </x:c>
    </x:row>
    <x:row r="259">
      <x:c r="A259" t="str">
        <x:v>PC-PE-KG01-L22-20251022-PM-ORD-2025-00057-S08</x:v>
      </x:c>
      <x:c r="B259" t="str">
        <x:v>PE-KG01-L22-20251022-PM-ORD-2025-00057</x:v>
      </x:c>
      <x:c r="C259" t="str">
        <x:v>KG01</x:v>
      </x:c>
      <x:c r="D259" t="n">
        <x:v>45952</x:v>
      </x:c>
      <x:c r="E259" t="str">
        <x:v>PM</x:v>
      </x:c>
      <x:c r="F259" t="str">
        <x:v>C</x:v>
      </x:c>
      <x:c r="G259" t="n">
        <x:v>22</x:v>
      </x:c>
      <x:c r="H259" t="str">
        <x:v>ORD-2025-00057</x:v>
      </x:c>
      <x:c r="I259" t="n">
        <x:v>8</x:v>
      </x:c>
      <x:c r="J259" t="n">
        <x:v>10</x:v>
      </x:c>
      <x:c r="K259" t="n">
        <x:v>2</x:v>
      </x:c>
      <x:c r="L259" t="n">
        <x:f>IF(I259&lt;=J259,1,0)</x:f>
        <x:v>1</x:v>
      </x:c>
      <x:c r="P259" t="n">
        <x:f>IF(M259="",IF(AND(L259=1,K259&gt;=1),1,0),M259)</x:f>
        <x:v>1</x:v>
      </x:c>
      <x:c r="Q259" t="n">
        <x:f>IF(N259="",IF(AND(L259=1,K259&gt;=2),1,0),N259)</x:f>
        <x:v>1</x:v>
      </x:c>
      <x:c r="R259" t="n">
        <x:f>IF(O259="",IF(AND(L259=1,K259&gt;=3),1,0),O259)</x:f>
        <x:v>0</x:v>
      </x:c>
      <x:c r="S259" t="n">
        <x:f>SUM(P259:R259)</x:f>
        <x:v>2</x:v>
      </x:c>
      <x:c r="T259" t="str">
        <x:f>IF(COUNTA(M259:O259)=0,"DerivedFromCount","ManualOverride")</x:f>
        <x:v>DerivedFromCount</x:v>
      </x:c>
      <x:c r="U259" t="str">
        <x:f>IF(COUNTIF(DailyProduction!$Q$5:$Q$100,B259)=1,"OK","CHECK")</x:f>
        <x:v>OK</x:v>
      </x:c>
      <x:c r="V259" t="str">
        <x:f>IF(AND(I259&gt;=1,I259&lt;=13,K259&gt;=1,K259&lt;=3),"OK","CHECK")</x:f>
        <x:v>OK</x:v>
      </x:c>
      <x:c r="W259" t="str">
        <x:f>IF(SUMIF($B$5:$B$914,B259,$S$5:$S$914)=SUMIF(DailyProduction!$Q$5:$Q$100,B259,DailyProduction!$R$5:$R$100),"OK","CHECK")</x:f>
        <x:v>OK</x:v>
      </x:c>
    </x:row>
    <x:row r="260">
      <x:c r="A260" t="str">
        <x:v>PC-PE-KG01-L22-20251022-PM-ORD-2025-00057-S09</x:v>
      </x:c>
      <x:c r="B260" t="str">
        <x:v>PE-KG01-L22-20251022-PM-ORD-2025-00057</x:v>
      </x:c>
      <x:c r="C260" t="str">
        <x:v>KG01</x:v>
      </x:c>
      <x:c r="D260" t="n">
        <x:v>45952</x:v>
      </x:c>
      <x:c r="E260" t="str">
        <x:v>PM</x:v>
      </x:c>
      <x:c r="F260" t="str">
        <x:v>C</x:v>
      </x:c>
      <x:c r="G260" t="n">
        <x:v>22</x:v>
      </x:c>
      <x:c r="H260" t="str">
        <x:v>ORD-2025-00057</x:v>
      </x:c>
      <x:c r="I260" t="n">
        <x:v>9</x:v>
      </x:c>
      <x:c r="J260" t="n">
        <x:v>10</x:v>
      </x:c>
      <x:c r="K260" t="n">
        <x:v>2</x:v>
      </x:c>
      <x:c r="L260" t="n">
        <x:f>IF(I260&lt;=J260,1,0)</x:f>
        <x:v>1</x:v>
      </x:c>
      <x:c r="P260" t="n">
        <x:f>IF(M260="",IF(AND(L260=1,K260&gt;=1),1,0),M260)</x:f>
        <x:v>1</x:v>
      </x:c>
      <x:c r="Q260" t="n">
        <x:f>IF(N260="",IF(AND(L260=1,K260&gt;=2),1,0),N260)</x:f>
        <x:v>1</x:v>
      </x:c>
      <x:c r="R260" t="n">
        <x:f>IF(O260="",IF(AND(L260=1,K260&gt;=3),1,0),O260)</x:f>
        <x:v>0</x:v>
      </x:c>
      <x:c r="S260" t="n">
        <x:f>SUM(P260:R260)</x:f>
        <x:v>2</x:v>
      </x:c>
      <x:c r="T260" t="str">
        <x:f>IF(COUNTA(M260:O260)=0,"DerivedFromCount","ManualOverride")</x:f>
        <x:v>DerivedFromCount</x:v>
      </x:c>
      <x:c r="U260" t="str">
        <x:f>IF(COUNTIF(DailyProduction!$Q$5:$Q$100,B260)=1,"OK","CHECK")</x:f>
        <x:v>OK</x:v>
      </x:c>
      <x:c r="V260" t="str">
        <x:f>IF(AND(I260&gt;=1,I260&lt;=13,K260&gt;=1,K260&lt;=3),"OK","CHECK")</x:f>
        <x:v>OK</x:v>
      </x:c>
      <x:c r="W260" t="str">
        <x:f>IF(SUMIF($B$5:$B$914,B260,$S$5:$S$914)=SUMIF(DailyProduction!$Q$5:$Q$100,B260,DailyProduction!$R$5:$R$100),"OK","CHECK")</x:f>
        <x:v>OK</x:v>
      </x:c>
    </x:row>
    <x:row r="261">
      <x:c r="A261" t="str">
        <x:v>PC-PE-KG01-L22-20251022-PM-ORD-2025-00057-S10</x:v>
      </x:c>
      <x:c r="B261" t="str">
        <x:v>PE-KG01-L22-20251022-PM-ORD-2025-00057</x:v>
      </x:c>
      <x:c r="C261" t="str">
        <x:v>KG01</x:v>
      </x:c>
      <x:c r="D261" t="n">
        <x:v>45952</x:v>
      </x:c>
      <x:c r="E261" t="str">
        <x:v>PM</x:v>
      </x:c>
      <x:c r="F261" t="str">
        <x:v>C</x:v>
      </x:c>
      <x:c r="G261" t="n">
        <x:v>22</x:v>
      </x:c>
      <x:c r="H261" t="str">
        <x:v>ORD-2025-00057</x:v>
      </x:c>
      <x:c r="I261" t="n">
        <x:v>10</x:v>
      </x:c>
      <x:c r="J261" t="n">
        <x:v>10</x:v>
      </x:c>
      <x:c r="K261" t="n">
        <x:v>2</x:v>
      </x:c>
      <x:c r="L261" t="n">
        <x:f>IF(I261&lt;=J261,1,0)</x:f>
        <x:v>1</x:v>
      </x:c>
      <x:c r="P261" t="n">
        <x:f>IF(M261="",IF(AND(L261=1,K261&gt;=1),1,0),M261)</x:f>
        <x:v>1</x:v>
      </x:c>
      <x:c r="Q261" t="n">
        <x:f>IF(N261="",IF(AND(L261=1,K261&gt;=2),1,0),N261)</x:f>
        <x:v>1</x:v>
      </x:c>
      <x:c r="R261" t="n">
        <x:f>IF(O261="",IF(AND(L261=1,K261&gt;=3),1,0),O261)</x:f>
        <x:v>0</x:v>
      </x:c>
      <x:c r="S261" t="n">
        <x:f>SUM(P261:R261)</x:f>
        <x:v>2</x:v>
      </x:c>
      <x:c r="T261" t="str">
        <x:f>IF(COUNTA(M261:O261)=0,"DerivedFromCount","ManualOverride")</x:f>
        <x:v>DerivedFromCount</x:v>
      </x:c>
      <x:c r="U261" t="str">
        <x:f>IF(COUNTIF(DailyProduction!$Q$5:$Q$100,B261)=1,"OK","CHECK")</x:f>
        <x:v>OK</x:v>
      </x:c>
      <x:c r="V261" t="str">
        <x:f>IF(AND(I261&gt;=1,I261&lt;=13,K261&gt;=1,K261&lt;=3),"OK","CHECK")</x:f>
        <x:v>OK</x:v>
      </x:c>
      <x:c r="W261" t="str">
        <x:f>IF(SUMIF($B$5:$B$914,B261,$S$5:$S$914)=SUMIF(DailyProduction!$Q$5:$Q$100,B261,DailyProduction!$R$5:$R$100),"OK","CHECK")</x:f>
        <x:v>OK</x:v>
      </x:c>
    </x:row>
    <x:row r="262">
      <x:c r="A262" t="str">
        <x:v>PC-PE-KG01-L22-20251022-PM-ORD-2025-00057-S11</x:v>
      </x:c>
      <x:c r="B262" t="str">
        <x:v>PE-KG01-L22-20251022-PM-ORD-2025-00057</x:v>
      </x:c>
      <x:c r="C262" t="str">
        <x:v>KG01</x:v>
      </x:c>
      <x:c r="D262" t="n">
        <x:v>45952</x:v>
      </x:c>
      <x:c r="E262" t="str">
        <x:v>PM</x:v>
      </x:c>
      <x:c r="F262" t="str">
        <x:v>C</x:v>
      </x:c>
      <x:c r="G262" t="n">
        <x:v>22</x:v>
      </x:c>
      <x:c r="H262" t="str">
        <x:v>ORD-2025-00057</x:v>
      </x:c>
      <x:c r="I262" t="n">
        <x:v>11</x:v>
      </x:c>
      <x:c r="J262" t="n">
        <x:v>10</x:v>
      </x:c>
      <x:c r="K262" t="n">
        <x:v>2</x:v>
      </x:c>
      <x:c r="L262" t="n">
        <x:f>IF(I262&lt;=J262,1,0)</x:f>
        <x:v>0</x:v>
      </x:c>
      <x:c r="P262" t="n">
        <x:f>IF(M262="",IF(AND(L262=1,K262&gt;=1),1,0),M262)</x:f>
        <x:v>0</x:v>
      </x:c>
      <x:c r="Q262" t="n">
        <x:f>IF(N262="",IF(AND(L262=1,K262&gt;=2),1,0),N262)</x:f>
        <x:v>0</x:v>
      </x:c>
      <x:c r="R262" t="n">
        <x:f>IF(O262="",IF(AND(L262=1,K262&gt;=3),1,0),O262)</x:f>
        <x:v>0</x:v>
      </x:c>
      <x:c r="S262" t="n">
        <x:f>SUM(P262:R262)</x:f>
        <x:v>0</x:v>
      </x:c>
      <x:c r="T262" t="str">
        <x:f>IF(COUNTA(M262:O262)=0,"DerivedFromCount","ManualOverride")</x:f>
        <x:v>DerivedFromCount</x:v>
      </x:c>
      <x:c r="U262" t="str">
        <x:f>IF(COUNTIF(DailyProduction!$Q$5:$Q$100,B262)=1,"OK","CHECK")</x:f>
        <x:v>OK</x:v>
      </x:c>
      <x:c r="V262" t="str">
        <x:f>IF(AND(I262&gt;=1,I262&lt;=13,K262&gt;=1,K262&lt;=3),"OK","CHECK")</x:f>
        <x:v>OK</x:v>
      </x:c>
      <x:c r="W262" t="str">
        <x:f>IF(SUMIF($B$5:$B$914,B262,$S$5:$S$914)=SUMIF(DailyProduction!$Q$5:$Q$100,B262,DailyProduction!$R$5:$R$100),"OK","CHECK")</x:f>
        <x:v>OK</x:v>
      </x:c>
    </x:row>
    <x:row r="263">
      <x:c r="A263" t="str">
        <x:v>PC-PE-KG01-L22-20251022-PM-ORD-2025-00057-S12</x:v>
      </x:c>
      <x:c r="B263" t="str">
        <x:v>PE-KG01-L22-20251022-PM-ORD-2025-00057</x:v>
      </x:c>
      <x:c r="C263" t="str">
        <x:v>KG01</x:v>
      </x:c>
      <x:c r="D263" t="n">
        <x:v>45952</x:v>
      </x:c>
      <x:c r="E263" t="str">
        <x:v>PM</x:v>
      </x:c>
      <x:c r="F263" t="str">
        <x:v>C</x:v>
      </x:c>
      <x:c r="G263" t="n">
        <x:v>22</x:v>
      </x:c>
      <x:c r="H263" t="str">
        <x:v>ORD-2025-00057</x:v>
      </x:c>
      <x:c r="I263" t="n">
        <x:v>12</x:v>
      </x:c>
      <x:c r="J263" t="n">
        <x:v>10</x:v>
      </x:c>
      <x:c r="K263" t="n">
        <x:v>2</x:v>
      </x:c>
      <x:c r="L263" t="n">
        <x:f>IF(I263&lt;=J263,1,0)</x:f>
        <x:v>0</x:v>
      </x:c>
      <x:c r="P263" t="n">
        <x:f>IF(M263="",IF(AND(L263=1,K263&gt;=1),1,0),M263)</x:f>
        <x:v>0</x:v>
      </x:c>
      <x:c r="Q263" t="n">
        <x:f>IF(N263="",IF(AND(L263=1,K263&gt;=2),1,0),N263)</x:f>
        <x:v>0</x:v>
      </x:c>
      <x:c r="R263" t="n">
        <x:f>IF(O263="",IF(AND(L263=1,K263&gt;=3),1,0),O263)</x:f>
        <x:v>0</x:v>
      </x:c>
      <x:c r="S263" t="n">
        <x:f>SUM(P263:R263)</x:f>
        <x:v>0</x:v>
      </x:c>
      <x:c r="T263" t="str">
        <x:f>IF(COUNTA(M263:O263)=0,"DerivedFromCount","ManualOverride")</x:f>
        <x:v>DerivedFromCount</x:v>
      </x:c>
      <x:c r="U263" t="str">
        <x:f>IF(COUNTIF(DailyProduction!$Q$5:$Q$100,B263)=1,"OK","CHECK")</x:f>
        <x:v>OK</x:v>
      </x:c>
      <x:c r="V263" t="str">
        <x:f>IF(AND(I263&gt;=1,I263&lt;=13,K263&gt;=1,K263&lt;=3),"OK","CHECK")</x:f>
        <x:v>OK</x:v>
      </x:c>
      <x:c r="W263" t="str">
        <x:f>IF(SUMIF($B$5:$B$914,B263,$S$5:$S$914)=SUMIF(DailyProduction!$Q$5:$Q$100,B263,DailyProduction!$R$5:$R$100),"OK","CHECK")</x:f>
        <x:v>OK</x:v>
      </x:c>
    </x:row>
    <x:row r="264">
      <x:c r="A264" t="str">
        <x:v>PC-PE-KG01-L22-20251022-PM-ORD-2025-00057-S13</x:v>
      </x:c>
      <x:c r="B264" t="str">
        <x:v>PE-KG01-L22-20251022-PM-ORD-2025-00057</x:v>
      </x:c>
      <x:c r="C264" t="str">
        <x:v>KG01</x:v>
      </x:c>
      <x:c r="D264" t="n">
        <x:v>45952</x:v>
      </x:c>
      <x:c r="E264" t="str">
        <x:v>PM</x:v>
      </x:c>
      <x:c r="F264" t="str">
        <x:v>C</x:v>
      </x:c>
      <x:c r="G264" t="n">
        <x:v>22</x:v>
      </x:c>
      <x:c r="H264" t="str">
        <x:v>ORD-2025-00057</x:v>
      </x:c>
      <x:c r="I264" t="n">
        <x:v>13</x:v>
      </x:c>
      <x:c r="J264" t="n">
        <x:v>10</x:v>
      </x:c>
      <x:c r="K264" t="n">
        <x:v>2</x:v>
      </x:c>
      <x:c r="L264" t="n">
        <x:f>IF(I264&lt;=J264,1,0)</x:f>
        <x:v>0</x:v>
      </x:c>
      <x:c r="P264" t="n">
        <x:f>IF(M264="",IF(AND(L264=1,K264&gt;=1),1,0),M264)</x:f>
        <x:v>0</x:v>
      </x:c>
      <x:c r="Q264" t="n">
        <x:f>IF(N264="",IF(AND(L264=1,K264&gt;=2),1,0),N264)</x:f>
        <x:v>0</x:v>
      </x:c>
      <x:c r="R264" t="n">
        <x:f>IF(O264="",IF(AND(L264=1,K264&gt;=3),1,0),O264)</x:f>
        <x:v>0</x:v>
      </x:c>
      <x:c r="S264" t="n">
        <x:f>SUM(P264:R264)</x:f>
        <x:v>0</x:v>
      </x:c>
      <x:c r="T264" t="str">
        <x:f>IF(COUNTA(M264:O264)=0,"DerivedFromCount","ManualOverride")</x:f>
        <x:v>DerivedFromCount</x:v>
      </x:c>
      <x:c r="U264" t="str">
        <x:f>IF(COUNTIF(DailyProduction!$Q$5:$Q$100,B264)=1,"OK","CHECK")</x:f>
        <x:v>OK</x:v>
      </x:c>
      <x:c r="V264" t="str">
        <x:f>IF(AND(I264&gt;=1,I264&lt;=13,K264&gt;=1,K264&lt;=3),"OK","CHECK")</x:f>
        <x:v>OK</x:v>
      </x:c>
      <x:c r="W264" t="str">
        <x:f>IF(SUMIF($B$5:$B$914,B264,$S$5:$S$914)=SUMIF(DailyProduction!$Q$5:$Q$100,B264,DailyProduction!$R$5:$R$100),"OK","CHECK")</x:f>
        <x:v>OK</x:v>
      </x:c>
    </x:row>
    <x:row r="265">
      <x:c r="A265" t="str">
        <x:v>PC-PE-KG01-L22-20251023-AM-ORD-2025-00057-S01</x:v>
      </x:c>
      <x:c r="B265" t="str">
        <x:v>PE-KG01-L22-20251023-AM-ORD-2025-00057</x:v>
      </x:c>
      <x:c r="C265" t="str">
        <x:v>KG01</x:v>
      </x:c>
      <x:c r="D265" t="n">
        <x:v>45953</x:v>
      </x:c>
      <x:c r="E265" t="str">
        <x:v>AM</x:v>
      </x:c>
      <x:c r="F265" t="str">
        <x:v>C</x:v>
      </x:c>
      <x:c r="G265" t="n">
        <x:v>22</x:v>
      </x:c>
      <x:c r="H265" t="str">
        <x:v>ORD-2025-00057</x:v>
      </x:c>
      <x:c r="I265" t="n">
        <x:v>1</x:v>
      </x:c>
      <x:c r="J265" t="n">
        <x:v>10</x:v>
      </x:c>
      <x:c r="K265" t="n">
        <x:v>2</x:v>
      </x:c>
      <x:c r="L265" t="n">
        <x:f>IF(I265&lt;=J265,1,0)</x:f>
        <x:v>1</x:v>
      </x:c>
      <x:c r="P265" t="n">
        <x:f>IF(M265="",IF(AND(L265=1,K265&gt;=1),1,0),M265)</x:f>
        <x:v>1</x:v>
      </x:c>
      <x:c r="Q265" t="n">
        <x:f>IF(N265="",IF(AND(L265=1,K265&gt;=2),1,0),N265)</x:f>
        <x:v>1</x:v>
      </x:c>
      <x:c r="R265" t="n">
        <x:f>IF(O265="",IF(AND(L265=1,K265&gt;=3),1,0),O265)</x:f>
        <x:v>0</x:v>
      </x:c>
      <x:c r="S265" t="n">
        <x:f>SUM(P265:R265)</x:f>
        <x:v>2</x:v>
      </x:c>
      <x:c r="T265" t="str">
        <x:f>IF(COUNTA(M265:O265)=0,"DerivedFromCount","ManualOverride")</x:f>
        <x:v>DerivedFromCount</x:v>
      </x:c>
      <x:c r="U265" t="str">
        <x:f>IF(COUNTIF(DailyProduction!$Q$5:$Q$100,B265)=1,"OK","CHECK")</x:f>
        <x:v>OK</x:v>
      </x:c>
      <x:c r="V265" t="str">
        <x:f>IF(AND(I265&gt;=1,I265&lt;=13,K265&gt;=1,K265&lt;=3),"OK","CHECK")</x:f>
        <x:v>OK</x:v>
      </x:c>
      <x:c r="W265" t="str">
        <x:f>IF(SUMIF($B$5:$B$914,B265,$S$5:$S$914)=SUMIF(DailyProduction!$Q$5:$Q$100,B265,DailyProduction!$R$5:$R$100),"OK","CHECK")</x:f>
        <x:v>OK</x:v>
      </x:c>
    </x:row>
    <x:row r="266">
      <x:c r="A266" t="str">
        <x:v>PC-PE-KG01-L22-20251023-AM-ORD-2025-00057-S02</x:v>
      </x:c>
      <x:c r="B266" t="str">
        <x:v>PE-KG01-L22-20251023-AM-ORD-2025-00057</x:v>
      </x:c>
      <x:c r="C266" t="str">
        <x:v>KG01</x:v>
      </x:c>
      <x:c r="D266" t="n">
        <x:v>45953</x:v>
      </x:c>
      <x:c r="E266" t="str">
        <x:v>AM</x:v>
      </x:c>
      <x:c r="F266" t="str">
        <x:v>C</x:v>
      </x:c>
      <x:c r="G266" t="n">
        <x:v>22</x:v>
      </x:c>
      <x:c r="H266" t="str">
        <x:v>ORD-2025-00057</x:v>
      </x:c>
      <x:c r="I266" t="n">
        <x:v>2</x:v>
      </x:c>
      <x:c r="J266" t="n">
        <x:v>10</x:v>
      </x:c>
      <x:c r="K266" t="n">
        <x:v>2</x:v>
      </x:c>
      <x:c r="L266" t="n">
        <x:f>IF(I266&lt;=J266,1,0)</x:f>
        <x:v>1</x:v>
      </x:c>
      <x:c r="P266" t="n">
        <x:f>IF(M266="",IF(AND(L266=1,K266&gt;=1),1,0),M266)</x:f>
        <x:v>1</x:v>
      </x:c>
      <x:c r="Q266" t="n">
        <x:f>IF(N266="",IF(AND(L266=1,K266&gt;=2),1,0),N266)</x:f>
        <x:v>1</x:v>
      </x:c>
      <x:c r="R266" t="n">
        <x:f>IF(O266="",IF(AND(L266=1,K266&gt;=3),1,0),O266)</x:f>
        <x:v>0</x:v>
      </x:c>
      <x:c r="S266" t="n">
        <x:f>SUM(P266:R266)</x:f>
        <x:v>2</x:v>
      </x:c>
      <x:c r="T266" t="str">
        <x:f>IF(COUNTA(M266:O266)=0,"DerivedFromCount","ManualOverride")</x:f>
        <x:v>DerivedFromCount</x:v>
      </x:c>
      <x:c r="U266" t="str">
        <x:f>IF(COUNTIF(DailyProduction!$Q$5:$Q$100,B266)=1,"OK","CHECK")</x:f>
        <x:v>OK</x:v>
      </x:c>
      <x:c r="V266" t="str">
        <x:f>IF(AND(I266&gt;=1,I266&lt;=13,K266&gt;=1,K266&lt;=3),"OK","CHECK")</x:f>
        <x:v>OK</x:v>
      </x:c>
      <x:c r="W266" t="str">
        <x:f>IF(SUMIF($B$5:$B$914,B266,$S$5:$S$914)=SUMIF(DailyProduction!$Q$5:$Q$100,B266,DailyProduction!$R$5:$R$100),"OK","CHECK")</x:f>
        <x:v>OK</x:v>
      </x:c>
    </x:row>
    <x:row r="267">
      <x:c r="A267" t="str">
        <x:v>PC-PE-KG01-L22-20251023-AM-ORD-2025-00057-S03</x:v>
      </x:c>
      <x:c r="B267" t="str">
        <x:v>PE-KG01-L22-20251023-AM-ORD-2025-00057</x:v>
      </x:c>
      <x:c r="C267" t="str">
        <x:v>KG01</x:v>
      </x:c>
      <x:c r="D267" t="n">
        <x:v>45953</x:v>
      </x:c>
      <x:c r="E267" t="str">
        <x:v>AM</x:v>
      </x:c>
      <x:c r="F267" t="str">
        <x:v>C</x:v>
      </x:c>
      <x:c r="G267" t="n">
        <x:v>22</x:v>
      </x:c>
      <x:c r="H267" t="str">
        <x:v>ORD-2025-00057</x:v>
      </x:c>
      <x:c r="I267" t="n">
        <x:v>3</x:v>
      </x:c>
      <x:c r="J267" t="n">
        <x:v>10</x:v>
      </x:c>
      <x:c r="K267" t="n">
        <x:v>2</x:v>
      </x:c>
      <x:c r="L267" t="n">
        <x:f>IF(I267&lt;=J267,1,0)</x:f>
        <x:v>1</x:v>
      </x:c>
      <x:c r="P267" t="n">
        <x:f>IF(M267="",IF(AND(L267=1,K267&gt;=1),1,0),M267)</x:f>
        <x:v>1</x:v>
      </x:c>
      <x:c r="Q267" t="n">
        <x:f>IF(N267="",IF(AND(L267=1,K267&gt;=2),1,0),N267)</x:f>
        <x:v>1</x:v>
      </x:c>
      <x:c r="R267" t="n">
        <x:f>IF(O267="",IF(AND(L267=1,K267&gt;=3),1,0),O267)</x:f>
        <x:v>0</x:v>
      </x:c>
      <x:c r="S267" t="n">
        <x:f>SUM(P267:R267)</x:f>
        <x:v>2</x:v>
      </x:c>
      <x:c r="T267" t="str">
        <x:f>IF(COUNTA(M267:O267)=0,"DerivedFromCount","ManualOverride")</x:f>
        <x:v>DerivedFromCount</x:v>
      </x:c>
      <x:c r="U267" t="str">
        <x:f>IF(COUNTIF(DailyProduction!$Q$5:$Q$100,B267)=1,"OK","CHECK")</x:f>
        <x:v>OK</x:v>
      </x:c>
      <x:c r="V267" t="str">
        <x:f>IF(AND(I267&gt;=1,I267&lt;=13,K267&gt;=1,K267&lt;=3),"OK","CHECK")</x:f>
        <x:v>OK</x:v>
      </x:c>
      <x:c r="W267" t="str">
        <x:f>IF(SUMIF($B$5:$B$914,B267,$S$5:$S$914)=SUMIF(DailyProduction!$Q$5:$Q$100,B267,DailyProduction!$R$5:$R$100),"OK","CHECK")</x:f>
        <x:v>OK</x:v>
      </x:c>
    </x:row>
    <x:row r="268">
      <x:c r="A268" t="str">
        <x:v>PC-PE-KG01-L22-20251023-AM-ORD-2025-00057-S04</x:v>
      </x:c>
      <x:c r="B268" t="str">
        <x:v>PE-KG01-L22-20251023-AM-ORD-2025-00057</x:v>
      </x:c>
      <x:c r="C268" t="str">
        <x:v>KG01</x:v>
      </x:c>
      <x:c r="D268" t="n">
        <x:v>45953</x:v>
      </x:c>
      <x:c r="E268" t="str">
        <x:v>AM</x:v>
      </x:c>
      <x:c r="F268" t="str">
        <x:v>C</x:v>
      </x:c>
      <x:c r="G268" t="n">
        <x:v>22</x:v>
      </x:c>
      <x:c r="H268" t="str">
        <x:v>ORD-2025-00057</x:v>
      </x:c>
      <x:c r="I268" t="n">
        <x:v>4</x:v>
      </x:c>
      <x:c r="J268" t="n">
        <x:v>10</x:v>
      </x:c>
      <x:c r="K268" t="n">
        <x:v>2</x:v>
      </x:c>
      <x:c r="L268" t="n">
        <x:f>IF(I268&lt;=J268,1,0)</x:f>
        <x:v>1</x:v>
      </x:c>
      <x:c r="P268" t="n">
        <x:f>IF(M268="",IF(AND(L268=1,K268&gt;=1),1,0),M268)</x:f>
        <x:v>1</x:v>
      </x:c>
      <x:c r="Q268" t="n">
        <x:f>IF(N268="",IF(AND(L268=1,K268&gt;=2),1,0),N268)</x:f>
        <x:v>1</x:v>
      </x:c>
      <x:c r="R268" t="n">
        <x:f>IF(O268="",IF(AND(L268=1,K268&gt;=3),1,0),O268)</x:f>
        <x:v>0</x:v>
      </x:c>
      <x:c r="S268" t="n">
        <x:f>SUM(P268:R268)</x:f>
        <x:v>2</x:v>
      </x:c>
      <x:c r="T268" t="str">
        <x:f>IF(COUNTA(M268:O268)=0,"DerivedFromCount","ManualOverride")</x:f>
        <x:v>DerivedFromCount</x:v>
      </x:c>
      <x:c r="U268" t="str">
        <x:f>IF(COUNTIF(DailyProduction!$Q$5:$Q$100,B268)=1,"OK","CHECK")</x:f>
        <x:v>OK</x:v>
      </x:c>
      <x:c r="V268" t="str">
        <x:f>IF(AND(I268&gt;=1,I268&lt;=13,K268&gt;=1,K268&lt;=3),"OK","CHECK")</x:f>
        <x:v>OK</x:v>
      </x:c>
      <x:c r="W268" t="str">
        <x:f>IF(SUMIF($B$5:$B$914,B268,$S$5:$S$914)=SUMIF(DailyProduction!$Q$5:$Q$100,B268,DailyProduction!$R$5:$R$100),"OK","CHECK")</x:f>
        <x:v>OK</x:v>
      </x:c>
    </x:row>
    <x:row r="269">
      <x:c r="A269" t="str">
        <x:v>PC-PE-KG01-L22-20251023-AM-ORD-2025-00057-S05</x:v>
      </x:c>
      <x:c r="B269" t="str">
        <x:v>PE-KG01-L22-20251023-AM-ORD-2025-00057</x:v>
      </x:c>
      <x:c r="C269" t="str">
        <x:v>KG01</x:v>
      </x:c>
      <x:c r="D269" t="n">
        <x:v>45953</x:v>
      </x:c>
      <x:c r="E269" t="str">
        <x:v>AM</x:v>
      </x:c>
      <x:c r="F269" t="str">
        <x:v>C</x:v>
      </x:c>
      <x:c r="G269" t="n">
        <x:v>22</x:v>
      </x:c>
      <x:c r="H269" t="str">
        <x:v>ORD-2025-00057</x:v>
      </x:c>
      <x:c r="I269" t="n">
        <x:v>5</x:v>
      </x:c>
      <x:c r="J269" t="n">
        <x:v>10</x:v>
      </x:c>
      <x:c r="K269" t="n">
        <x:v>2</x:v>
      </x:c>
      <x:c r="L269" t="n">
        <x:f>IF(I269&lt;=J269,1,0)</x:f>
        <x:v>1</x:v>
      </x:c>
      <x:c r="P269" t="n">
        <x:f>IF(M269="",IF(AND(L269=1,K269&gt;=1),1,0),M269)</x:f>
        <x:v>1</x:v>
      </x:c>
      <x:c r="Q269" t="n">
        <x:f>IF(N269="",IF(AND(L269=1,K269&gt;=2),1,0),N269)</x:f>
        <x:v>1</x:v>
      </x:c>
      <x:c r="R269" t="n">
        <x:f>IF(O269="",IF(AND(L269=1,K269&gt;=3),1,0),O269)</x:f>
        <x:v>0</x:v>
      </x:c>
      <x:c r="S269" t="n">
        <x:f>SUM(P269:R269)</x:f>
        <x:v>2</x:v>
      </x:c>
      <x:c r="T269" t="str">
        <x:f>IF(COUNTA(M269:O269)=0,"DerivedFromCount","ManualOverride")</x:f>
        <x:v>DerivedFromCount</x:v>
      </x:c>
      <x:c r="U269" t="str">
        <x:f>IF(COUNTIF(DailyProduction!$Q$5:$Q$100,B269)=1,"OK","CHECK")</x:f>
        <x:v>OK</x:v>
      </x:c>
      <x:c r="V269" t="str">
        <x:f>IF(AND(I269&gt;=1,I269&lt;=13,K269&gt;=1,K269&lt;=3),"OK","CHECK")</x:f>
        <x:v>OK</x:v>
      </x:c>
      <x:c r="W269" t="str">
        <x:f>IF(SUMIF($B$5:$B$914,B269,$S$5:$S$914)=SUMIF(DailyProduction!$Q$5:$Q$100,B269,DailyProduction!$R$5:$R$100),"OK","CHECK")</x:f>
        <x:v>OK</x:v>
      </x:c>
    </x:row>
    <x:row r="270">
      <x:c r="A270" t="str">
        <x:v>PC-PE-KG01-L22-20251023-AM-ORD-2025-00057-S06</x:v>
      </x:c>
      <x:c r="B270" t="str">
        <x:v>PE-KG01-L22-20251023-AM-ORD-2025-00057</x:v>
      </x:c>
      <x:c r="C270" t="str">
        <x:v>KG01</x:v>
      </x:c>
      <x:c r="D270" t="n">
        <x:v>45953</x:v>
      </x:c>
      <x:c r="E270" t="str">
        <x:v>AM</x:v>
      </x:c>
      <x:c r="F270" t="str">
        <x:v>C</x:v>
      </x:c>
      <x:c r="G270" t="n">
        <x:v>22</x:v>
      </x:c>
      <x:c r="H270" t="str">
        <x:v>ORD-2025-00057</x:v>
      </x:c>
      <x:c r="I270" t="n">
        <x:v>6</x:v>
      </x:c>
      <x:c r="J270" t="n">
        <x:v>10</x:v>
      </x:c>
      <x:c r="K270" t="n">
        <x:v>2</x:v>
      </x:c>
      <x:c r="L270" t="n">
        <x:f>IF(I270&lt;=J270,1,0)</x:f>
        <x:v>1</x:v>
      </x:c>
      <x:c r="P270" t="n">
        <x:f>IF(M270="",IF(AND(L270=1,K270&gt;=1),1,0),M270)</x:f>
        <x:v>1</x:v>
      </x:c>
      <x:c r="Q270" t="n">
        <x:f>IF(N270="",IF(AND(L270=1,K270&gt;=2),1,0),N270)</x:f>
        <x:v>1</x:v>
      </x:c>
      <x:c r="R270" t="n">
        <x:f>IF(O270="",IF(AND(L270=1,K270&gt;=3),1,0),O270)</x:f>
        <x:v>0</x:v>
      </x:c>
      <x:c r="S270" t="n">
        <x:f>SUM(P270:R270)</x:f>
        <x:v>2</x:v>
      </x:c>
      <x:c r="T270" t="str">
        <x:f>IF(COUNTA(M270:O270)=0,"DerivedFromCount","ManualOverride")</x:f>
        <x:v>DerivedFromCount</x:v>
      </x:c>
      <x:c r="U270" t="str">
        <x:f>IF(COUNTIF(DailyProduction!$Q$5:$Q$100,B270)=1,"OK","CHECK")</x:f>
        <x:v>OK</x:v>
      </x:c>
      <x:c r="V270" t="str">
        <x:f>IF(AND(I270&gt;=1,I270&lt;=13,K270&gt;=1,K270&lt;=3),"OK","CHECK")</x:f>
        <x:v>OK</x:v>
      </x:c>
      <x:c r="W270" t="str">
        <x:f>IF(SUMIF($B$5:$B$914,B270,$S$5:$S$914)=SUMIF(DailyProduction!$Q$5:$Q$100,B270,DailyProduction!$R$5:$R$100),"OK","CHECK")</x:f>
        <x:v>OK</x:v>
      </x:c>
    </x:row>
    <x:row r="271">
      <x:c r="A271" t="str">
        <x:v>PC-PE-KG01-L22-20251023-AM-ORD-2025-00057-S07</x:v>
      </x:c>
      <x:c r="B271" t="str">
        <x:v>PE-KG01-L22-20251023-AM-ORD-2025-00057</x:v>
      </x:c>
      <x:c r="C271" t="str">
        <x:v>KG01</x:v>
      </x:c>
      <x:c r="D271" t="n">
        <x:v>45953</x:v>
      </x:c>
      <x:c r="E271" t="str">
        <x:v>AM</x:v>
      </x:c>
      <x:c r="F271" t="str">
        <x:v>C</x:v>
      </x:c>
      <x:c r="G271" t="n">
        <x:v>22</x:v>
      </x:c>
      <x:c r="H271" t="str">
        <x:v>ORD-2025-00057</x:v>
      </x:c>
      <x:c r="I271" t="n">
        <x:v>7</x:v>
      </x:c>
      <x:c r="J271" t="n">
        <x:v>10</x:v>
      </x:c>
      <x:c r="K271" t="n">
        <x:v>2</x:v>
      </x:c>
      <x:c r="L271" t="n">
        <x:f>IF(I271&lt;=J271,1,0)</x:f>
        <x:v>1</x:v>
      </x:c>
      <x:c r="P271" t="n">
        <x:f>IF(M271="",IF(AND(L271=1,K271&gt;=1),1,0),M271)</x:f>
        <x:v>1</x:v>
      </x:c>
      <x:c r="Q271" t="n">
        <x:f>IF(N271="",IF(AND(L271=1,K271&gt;=2),1,0),N271)</x:f>
        <x:v>1</x:v>
      </x:c>
      <x:c r="R271" t="n">
        <x:f>IF(O271="",IF(AND(L271=1,K271&gt;=3),1,0),O271)</x:f>
        <x:v>0</x:v>
      </x:c>
      <x:c r="S271" t="n">
        <x:f>SUM(P271:R271)</x:f>
        <x:v>2</x:v>
      </x:c>
      <x:c r="T271" t="str">
        <x:f>IF(COUNTA(M271:O271)=0,"DerivedFromCount","ManualOverride")</x:f>
        <x:v>DerivedFromCount</x:v>
      </x:c>
      <x:c r="U271" t="str">
        <x:f>IF(COUNTIF(DailyProduction!$Q$5:$Q$100,B271)=1,"OK","CHECK")</x:f>
        <x:v>OK</x:v>
      </x:c>
      <x:c r="V271" t="str">
        <x:f>IF(AND(I271&gt;=1,I271&lt;=13,K271&gt;=1,K271&lt;=3),"OK","CHECK")</x:f>
        <x:v>OK</x:v>
      </x:c>
      <x:c r="W271" t="str">
        <x:f>IF(SUMIF($B$5:$B$914,B271,$S$5:$S$914)=SUMIF(DailyProduction!$Q$5:$Q$100,B271,DailyProduction!$R$5:$R$100),"OK","CHECK")</x:f>
        <x:v>OK</x:v>
      </x:c>
    </x:row>
    <x:row r="272">
      <x:c r="A272" t="str">
        <x:v>PC-PE-KG01-L22-20251023-AM-ORD-2025-00057-S08</x:v>
      </x:c>
      <x:c r="B272" t="str">
        <x:v>PE-KG01-L22-20251023-AM-ORD-2025-00057</x:v>
      </x:c>
      <x:c r="C272" t="str">
        <x:v>KG01</x:v>
      </x:c>
      <x:c r="D272" t="n">
        <x:v>45953</x:v>
      </x:c>
      <x:c r="E272" t="str">
        <x:v>AM</x:v>
      </x:c>
      <x:c r="F272" t="str">
        <x:v>C</x:v>
      </x:c>
      <x:c r="G272" t="n">
        <x:v>22</x:v>
      </x:c>
      <x:c r="H272" t="str">
        <x:v>ORD-2025-00057</x:v>
      </x:c>
      <x:c r="I272" t="n">
        <x:v>8</x:v>
      </x:c>
      <x:c r="J272" t="n">
        <x:v>10</x:v>
      </x:c>
      <x:c r="K272" t="n">
        <x:v>2</x:v>
      </x:c>
      <x:c r="L272" t="n">
        <x:f>IF(I272&lt;=J272,1,0)</x:f>
        <x:v>1</x:v>
      </x:c>
      <x:c r="P272" t="n">
        <x:f>IF(M272="",IF(AND(L272=1,K272&gt;=1),1,0),M272)</x:f>
        <x:v>1</x:v>
      </x:c>
      <x:c r="Q272" t="n">
        <x:f>IF(N272="",IF(AND(L272=1,K272&gt;=2),1,0),N272)</x:f>
        <x:v>1</x:v>
      </x:c>
      <x:c r="R272" t="n">
        <x:f>IF(O272="",IF(AND(L272=1,K272&gt;=3),1,0),O272)</x:f>
        <x:v>0</x:v>
      </x:c>
      <x:c r="S272" t="n">
        <x:f>SUM(P272:R272)</x:f>
        <x:v>2</x:v>
      </x:c>
      <x:c r="T272" t="str">
        <x:f>IF(COUNTA(M272:O272)=0,"DerivedFromCount","ManualOverride")</x:f>
        <x:v>DerivedFromCount</x:v>
      </x:c>
      <x:c r="U272" t="str">
        <x:f>IF(COUNTIF(DailyProduction!$Q$5:$Q$100,B272)=1,"OK","CHECK")</x:f>
        <x:v>OK</x:v>
      </x:c>
      <x:c r="V272" t="str">
        <x:f>IF(AND(I272&gt;=1,I272&lt;=13,K272&gt;=1,K272&lt;=3),"OK","CHECK")</x:f>
        <x:v>OK</x:v>
      </x:c>
      <x:c r="W272" t="str">
        <x:f>IF(SUMIF($B$5:$B$914,B272,$S$5:$S$914)=SUMIF(DailyProduction!$Q$5:$Q$100,B272,DailyProduction!$R$5:$R$100),"OK","CHECK")</x:f>
        <x:v>OK</x:v>
      </x:c>
    </x:row>
    <x:row r="273">
      <x:c r="A273" t="str">
        <x:v>PC-PE-KG01-L22-20251023-AM-ORD-2025-00057-S09</x:v>
      </x:c>
      <x:c r="B273" t="str">
        <x:v>PE-KG01-L22-20251023-AM-ORD-2025-00057</x:v>
      </x:c>
      <x:c r="C273" t="str">
        <x:v>KG01</x:v>
      </x:c>
      <x:c r="D273" t="n">
        <x:v>45953</x:v>
      </x:c>
      <x:c r="E273" t="str">
        <x:v>AM</x:v>
      </x:c>
      <x:c r="F273" t="str">
        <x:v>C</x:v>
      </x:c>
      <x:c r="G273" t="n">
        <x:v>22</x:v>
      </x:c>
      <x:c r="H273" t="str">
        <x:v>ORD-2025-00057</x:v>
      </x:c>
      <x:c r="I273" t="n">
        <x:v>9</x:v>
      </x:c>
      <x:c r="J273" t="n">
        <x:v>10</x:v>
      </x:c>
      <x:c r="K273" t="n">
        <x:v>2</x:v>
      </x:c>
      <x:c r="L273" t="n">
        <x:f>IF(I273&lt;=J273,1,0)</x:f>
        <x:v>1</x:v>
      </x:c>
      <x:c r="P273" t="n">
        <x:f>IF(M273="",IF(AND(L273=1,K273&gt;=1),1,0),M273)</x:f>
        <x:v>1</x:v>
      </x:c>
      <x:c r="Q273" t="n">
        <x:f>IF(N273="",IF(AND(L273=1,K273&gt;=2),1,0),N273)</x:f>
        <x:v>1</x:v>
      </x:c>
      <x:c r="R273" t="n">
        <x:f>IF(O273="",IF(AND(L273=1,K273&gt;=3),1,0),O273)</x:f>
        <x:v>0</x:v>
      </x:c>
      <x:c r="S273" t="n">
        <x:f>SUM(P273:R273)</x:f>
        <x:v>2</x:v>
      </x:c>
      <x:c r="T273" t="str">
        <x:f>IF(COUNTA(M273:O273)=0,"DerivedFromCount","ManualOverride")</x:f>
        <x:v>DerivedFromCount</x:v>
      </x:c>
      <x:c r="U273" t="str">
        <x:f>IF(COUNTIF(DailyProduction!$Q$5:$Q$100,B273)=1,"OK","CHECK")</x:f>
        <x:v>OK</x:v>
      </x:c>
      <x:c r="V273" t="str">
        <x:f>IF(AND(I273&gt;=1,I273&lt;=13,K273&gt;=1,K273&lt;=3),"OK","CHECK")</x:f>
        <x:v>OK</x:v>
      </x:c>
      <x:c r="W273" t="str">
        <x:f>IF(SUMIF($B$5:$B$914,B273,$S$5:$S$914)=SUMIF(DailyProduction!$Q$5:$Q$100,B273,DailyProduction!$R$5:$R$100),"OK","CHECK")</x:f>
        <x:v>OK</x:v>
      </x:c>
    </x:row>
    <x:row r="274">
      <x:c r="A274" t="str">
        <x:v>PC-PE-KG01-L22-20251023-AM-ORD-2025-00057-S10</x:v>
      </x:c>
      <x:c r="B274" t="str">
        <x:v>PE-KG01-L22-20251023-AM-ORD-2025-00057</x:v>
      </x:c>
      <x:c r="C274" t="str">
        <x:v>KG01</x:v>
      </x:c>
      <x:c r="D274" t="n">
        <x:v>45953</x:v>
      </x:c>
      <x:c r="E274" t="str">
        <x:v>AM</x:v>
      </x:c>
      <x:c r="F274" t="str">
        <x:v>C</x:v>
      </x:c>
      <x:c r="G274" t="n">
        <x:v>22</x:v>
      </x:c>
      <x:c r="H274" t="str">
        <x:v>ORD-2025-00057</x:v>
      </x:c>
      <x:c r="I274" t="n">
        <x:v>10</x:v>
      </x:c>
      <x:c r="J274" t="n">
        <x:v>10</x:v>
      </x:c>
      <x:c r="K274" t="n">
        <x:v>2</x:v>
      </x:c>
      <x:c r="L274" t="n">
        <x:f>IF(I274&lt;=J274,1,0)</x:f>
        <x:v>1</x:v>
      </x:c>
      <x:c r="P274" t="n">
        <x:f>IF(M274="",IF(AND(L274=1,K274&gt;=1),1,0),M274)</x:f>
        <x:v>1</x:v>
      </x:c>
      <x:c r="Q274" t="n">
        <x:f>IF(N274="",IF(AND(L274=1,K274&gt;=2),1,0),N274)</x:f>
        <x:v>1</x:v>
      </x:c>
      <x:c r="R274" t="n">
        <x:f>IF(O274="",IF(AND(L274=1,K274&gt;=3),1,0),O274)</x:f>
        <x:v>0</x:v>
      </x:c>
      <x:c r="S274" t="n">
        <x:f>SUM(P274:R274)</x:f>
        <x:v>2</x:v>
      </x:c>
      <x:c r="T274" t="str">
        <x:f>IF(COUNTA(M274:O274)=0,"DerivedFromCount","ManualOverride")</x:f>
        <x:v>DerivedFromCount</x:v>
      </x:c>
      <x:c r="U274" t="str">
        <x:f>IF(COUNTIF(DailyProduction!$Q$5:$Q$100,B274)=1,"OK","CHECK")</x:f>
        <x:v>OK</x:v>
      </x:c>
      <x:c r="V274" t="str">
        <x:f>IF(AND(I274&gt;=1,I274&lt;=13,K274&gt;=1,K274&lt;=3),"OK","CHECK")</x:f>
        <x:v>OK</x:v>
      </x:c>
      <x:c r="W274" t="str">
        <x:f>IF(SUMIF($B$5:$B$914,B274,$S$5:$S$914)=SUMIF(DailyProduction!$Q$5:$Q$100,B274,DailyProduction!$R$5:$R$100),"OK","CHECK")</x:f>
        <x:v>OK</x:v>
      </x:c>
    </x:row>
    <x:row r="275">
      <x:c r="A275" t="str">
        <x:v>PC-PE-KG01-L22-20251023-AM-ORD-2025-00057-S11</x:v>
      </x:c>
      <x:c r="B275" t="str">
        <x:v>PE-KG01-L22-20251023-AM-ORD-2025-00057</x:v>
      </x:c>
      <x:c r="C275" t="str">
        <x:v>KG01</x:v>
      </x:c>
      <x:c r="D275" t="n">
        <x:v>45953</x:v>
      </x:c>
      <x:c r="E275" t="str">
        <x:v>AM</x:v>
      </x:c>
      <x:c r="F275" t="str">
        <x:v>C</x:v>
      </x:c>
      <x:c r="G275" t="n">
        <x:v>22</x:v>
      </x:c>
      <x:c r="H275" t="str">
        <x:v>ORD-2025-00057</x:v>
      </x:c>
      <x:c r="I275" t="n">
        <x:v>11</x:v>
      </x:c>
      <x:c r="J275" t="n">
        <x:v>10</x:v>
      </x:c>
      <x:c r="K275" t="n">
        <x:v>2</x:v>
      </x:c>
      <x:c r="L275" t="n">
        <x:f>IF(I275&lt;=J275,1,0)</x:f>
        <x:v>0</x:v>
      </x:c>
      <x:c r="P275" t="n">
        <x:f>IF(M275="",IF(AND(L275=1,K275&gt;=1),1,0),M275)</x:f>
        <x:v>0</x:v>
      </x:c>
      <x:c r="Q275" t="n">
        <x:f>IF(N275="",IF(AND(L275=1,K275&gt;=2),1,0),N275)</x:f>
        <x:v>0</x:v>
      </x:c>
      <x:c r="R275" t="n">
        <x:f>IF(O275="",IF(AND(L275=1,K275&gt;=3),1,0),O275)</x:f>
        <x:v>0</x:v>
      </x:c>
      <x:c r="S275" t="n">
        <x:f>SUM(P275:R275)</x:f>
        <x:v>0</x:v>
      </x:c>
      <x:c r="T275" t="str">
        <x:f>IF(COUNTA(M275:O275)=0,"DerivedFromCount","ManualOverride")</x:f>
        <x:v>DerivedFromCount</x:v>
      </x:c>
      <x:c r="U275" t="str">
        <x:f>IF(COUNTIF(DailyProduction!$Q$5:$Q$100,B275)=1,"OK","CHECK")</x:f>
        <x:v>OK</x:v>
      </x:c>
      <x:c r="V275" t="str">
        <x:f>IF(AND(I275&gt;=1,I275&lt;=13,K275&gt;=1,K275&lt;=3),"OK","CHECK")</x:f>
        <x:v>OK</x:v>
      </x:c>
      <x:c r="W275" t="str">
        <x:f>IF(SUMIF($B$5:$B$914,B275,$S$5:$S$914)=SUMIF(DailyProduction!$Q$5:$Q$100,B275,DailyProduction!$R$5:$R$100),"OK","CHECK")</x:f>
        <x:v>OK</x:v>
      </x:c>
    </x:row>
    <x:row r="276">
      <x:c r="A276" t="str">
        <x:v>PC-PE-KG01-L22-20251023-AM-ORD-2025-00057-S12</x:v>
      </x:c>
      <x:c r="B276" t="str">
        <x:v>PE-KG01-L22-20251023-AM-ORD-2025-00057</x:v>
      </x:c>
      <x:c r="C276" t="str">
        <x:v>KG01</x:v>
      </x:c>
      <x:c r="D276" t="n">
        <x:v>45953</x:v>
      </x:c>
      <x:c r="E276" t="str">
        <x:v>AM</x:v>
      </x:c>
      <x:c r="F276" t="str">
        <x:v>C</x:v>
      </x:c>
      <x:c r="G276" t="n">
        <x:v>22</x:v>
      </x:c>
      <x:c r="H276" t="str">
        <x:v>ORD-2025-00057</x:v>
      </x:c>
      <x:c r="I276" t="n">
        <x:v>12</x:v>
      </x:c>
      <x:c r="J276" t="n">
        <x:v>10</x:v>
      </x:c>
      <x:c r="K276" t="n">
        <x:v>2</x:v>
      </x:c>
      <x:c r="L276" t="n">
        <x:f>IF(I276&lt;=J276,1,0)</x:f>
        <x:v>0</x:v>
      </x:c>
      <x:c r="P276" t="n">
        <x:f>IF(M276="",IF(AND(L276=1,K276&gt;=1),1,0),M276)</x:f>
        <x:v>0</x:v>
      </x:c>
      <x:c r="Q276" t="n">
        <x:f>IF(N276="",IF(AND(L276=1,K276&gt;=2),1,0),N276)</x:f>
        <x:v>0</x:v>
      </x:c>
      <x:c r="R276" t="n">
        <x:f>IF(O276="",IF(AND(L276=1,K276&gt;=3),1,0),O276)</x:f>
        <x:v>0</x:v>
      </x:c>
      <x:c r="S276" t="n">
        <x:f>SUM(P276:R276)</x:f>
        <x:v>0</x:v>
      </x:c>
      <x:c r="T276" t="str">
        <x:f>IF(COUNTA(M276:O276)=0,"DerivedFromCount","ManualOverride")</x:f>
        <x:v>DerivedFromCount</x:v>
      </x:c>
      <x:c r="U276" t="str">
        <x:f>IF(COUNTIF(DailyProduction!$Q$5:$Q$100,B276)=1,"OK","CHECK")</x:f>
        <x:v>OK</x:v>
      </x:c>
      <x:c r="V276" t="str">
        <x:f>IF(AND(I276&gt;=1,I276&lt;=13,K276&gt;=1,K276&lt;=3),"OK","CHECK")</x:f>
        <x:v>OK</x:v>
      </x:c>
      <x:c r="W276" t="str">
        <x:f>IF(SUMIF($B$5:$B$914,B276,$S$5:$S$914)=SUMIF(DailyProduction!$Q$5:$Q$100,B276,DailyProduction!$R$5:$R$100),"OK","CHECK")</x:f>
        <x:v>OK</x:v>
      </x:c>
    </x:row>
    <x:row r="277">
      <x:c r="A277" t="str">
        <x:v>PC-PE-KG01-L22-20251023-AM-ORD-2025-00057-S13</x:v>
      </x:c>
      <x:c r="B277" t="str">
        <x:v>PE-KG01-L22-20251023-AM-ORD-2025-00057</x:v>
      </x:c>
      <x:c r="C277" t="str">
        <x:v>KG01</x:v>
      </x:c>
      <x:c r="D277" t="n">
        <x:v>45953</x:v>
      </x:c>
      <x:c r="E277" t="str">
        <x:v>AM</x:v>
      </x:c>
      <x:c r="F277" t="str">
        <x:v>C</x:v>
      </x:c>
      <x:c r="G277" t="n">
        <x:v>22</x:v>
      </x:c>
      <x:c r="H277" t="str">
        <x:v>ORD-2025-00057</x:v>
      </x:c>
      <x:c r="I277" t="n">
        <x:v>13</x:v>
      </x:c>
      <x:c r="J277" t="n">
        <x:v>10</x:v>
      </x:c>
      <x:c r="K277" t="n">
        <x:v>2</x:v>
      </x:c>
      <x:c r="L277" t="n">
        <x:f>IF(I277&lt;=J277,1,0)</x:f>
        <x:v>0</x:v>
      </x:c>
      <x:c r="P277" t="n">
        <x:f>IF(M277="",IF(AND(L277=1,K277&gt;=1),1,0),M277)</x:f>
        <x:v>0</x:v>
      </x:c>
      <x:c r="Q277" t="n">
        <x:f>IF(N277="",IF(AND(L277=1,K277&gt;=2),1,0),N277)</x:f>
        <x:v>0</x:v>
      </x:c>
      <x:c r="R277" t="n">
        <x:f>IF(O277="",IF(AND(L277=1,K277&gt;=3),1,0),O277)</x:f>
        <x:v>0</x:v>
      </x:c>
      <x:c r="S277" t="n">
        <x:f>SUM(P277:R277)</x:f>
        <x:v>0</x:v>
      </x:c>
      <x:c r="T277" t="str">
        <x:f>IF(COUNTA(M277:O277)=0,"DerivedFromCount","ManualOverride")</x:f>
        <x:v>DerivedFromCount</x:v>
      </x:c>
      <x:c r="U277" t="str">
        <x:f>IF(COUNTIF(DailyProduction!$Q$5:$Q$100,B277)=1,"OK","CHECK")</x:f>
        <x:v>OK</x:v>
      </x:c>
      <x:c r="V277" t="str">
        <x:f>IF(AND(I277&gt;=1,I277&lt;=13,K277&gt;=1,K277&lt;=3),"OK","CHECK")</x:f>
        <x:v>OK</x:v>
      </x:c>
      <x:c r="W277" t="str">
        <x:f>IF(SUMIF($B$5:$B$914,B277,$S$5:$S$914)=SUMIF(DailyProduction!$Q$5:$Q$100,B277,DailyProduction!$R$5:$R$100),"OK","CHECK")</x:f>
        <x:v>OK</x:v>
      </x:c>
    </x:row>
    <x:row r="278">
      <x:c r="A278" t="str">
        <x:v>PC-PE-KG01-L22-20251023-PM-ORD-2025-00057-S01</x:v>
      </x:c>
      <x:c r="B278" t="str">
        <x:v>PE-KG01-L22-20251023-PM-ORD-2025-00057</x:v>
      </x:c>
      <x:c r="C278" t="str">
        <x:v>KG01</x:v>
      </x:c>
      <x:c r="D278" t="n">
        <x:v>45953</x:v>
      </x:c>
      <x:c r="E278" t="str">
        <x:v>PM</x:v>
      </x:c>
      <x:c r="F278" t="str">
        <x:v>A</x:v>
      </x:c>
      <x:c r="G278" t="n">
        <x:v>22</x:v>
      </x:c>
      <x:c r="H278" t="str">
        <x:v>ORD-2025-00057</x:v>
      </x:c>
      <x:c r="I278" t="n">
        <x:v>1</x:v>
      </x:c>
      <x:c r="J278" t="n">
        <x:v>10</x:v>
      </x:c>
      <x:c r="K278" t="n">
        <x:v>2</x:v>
      </x:c>
      <x:c r="L278" t="n">
        <x:f>IF(I278&lt;=J278,1,0)</x:f>
        <x:v>1</x:v>
      </x:c>
      <x:c r="P278" t="n">
        <x:f>IF(M278="",IF(AND(L278=1,K278&gt;=1),1,0),M278)</x:f>
        <x:v>1</x:v>
      </x:c>
      <x:c r="Q278" t="n">
        <x:f>IF(N278="",IF(AND(L278=1,K278&gt;=2),1,0),N278)</x:f>
        <x:v>1</x:v>
      </x:c>
      <x:c r="R278" t="n">
        <x:f>IF(O278="",IF(AND(L278=1,K278&gt;=3),1,0),O278)</x:f>
        <x:v>0</x:v>
      </x:c>
      <x:c r="S278" t="n">
        <x:f>SUM(P278:R278)</x:f>
        <x:v>2</x:v>
      </x:c>
      <x:c r="T278" t="str">
        <x:f>IF(COUNTA(M278:O278)=0,"DerivedFromCount","ManualOverride")</x:f>
        <x:v>DerivedFromCount</x:v>
      </x:c>
      <x:c r="U278" t="str">
        <x:f>IF(COUNTIF(DailyProduction!$Q$5:$Q$100,B278)=1,"OK","CHECK")</x:f>
        <x:v>OK</x:v>
      </x:c>
      <x:c r="V278" t="str">
        <x:f>IF(AND(I278&gt;=1,I278&lt;=13,K278&gt;=1,K278&lt;=3),"OK","CHECK")</x:f>
        <x:v>OK</x:v>
      </x:c>
      <x:c r="W278" t="str">
        <x:f>IF(SUMIF($B$5:$B$914,B278,$S$5:$S$914)=SUMIF(DailyProduction!$Q$5:$Q$100,B278,DailyProduction!$R$5:$R$100),"OK","CHECK")</x:f>
        <x:v>OK</x:v>
      </x:c>
    </x:row>
    <x:row r="279">
      <x:c r="A279" t="str">
        <x:v>PC-PE-KG01-L22-20251023-PM-ORD-2025-00057-S02</x:v>
      </x:c>
      <x:c r="B279" t="str">
        <x:v>PE-KG01-L22-20251023-PM-ORD-2025-00057</x:v>
      </x:c>
      <x:c r="C279" t="str">
        <x:v>KG01</x:v>
      </x:c>
      <x:c r="D279" t="n">
        <x:v>45953</x:v>
      </x:c>
      <x:c r="E279" t="str">
        <x:v>PM</x:v>
      </x:c>
      <x:c r="F279" t="str">
        <x:v>A</x:v>
      </x:c>
      <x:c r="G279" t="n">
        <x:v>22</x:v>
      </x:c>
      <x:c r="H279" t="str">
        <x:v>ORD-2025-00057</x:v>
      </x:c>
      <x:c r="I279" t="n">
        <x:v>2</x:v>
      </x:c>
      <x:c r="J279" t="n">
        <x:v>10</x:v>
      </x:c>
      <x:c r="K279" t="n">
        <x:v>2</x:v>
      </x:c>
      <x:c r="L279" t="n">
        <x:f>IF(I279&lt;=J279,1,0)</x:f>
        <x:v>1</x:v>
      </x:c>
      <x:c r="P279" t="n">
        <x:f>IF(M279="",IF(AND(L279=1,K279&gt;=1),1,0),M279)</x:f>
        <x:v>1</x:v>
      </x:c>
      <x:c r="Q279" t="n">
        <x:f>IF(N279="",IF(AND(L279=1,K279&gt;=2),1,0),N279)</x:f>
        <x:v>1</x:v>
      </x:c>
      <x:c r="R279" t="n">
        <x:f>IF(O279="",IF(AND(L279=1,K279&gt;=3),1,0),O279)</x:f>
        <x:v>0</x:v>
      </x:c>
      <x:c r="S279" t="n">
        <x:f>SUM(P279:R279)</x:f>
        <x:v>2</x:v>
      </x:c>
      <x:c r="T279" t="str">
        <x:f>IF(COUNTA(M279:O279)=0,"DerivedFromCount","ManualOverride")</x:f>
        <x:v>DerivedFromCount</x:v>
      </x:c>
      <x:c r="U279" t="str">
        <x:f>IF(COUNTIF(DailyProduction!$Q$5:$Q$100,B279)=1,"OK","CHECK")</x:f>
        <x:v>OK</x:v>
      </x:c>
      <x:c r="V279" t="str">
        <x:f>IF(AND(I279&gt;=1,I279&lt;=13,K279&gt;=1,K279&lt;=3),"OK","CHECK")</x:f>
        <x:v>OK</x:v>
      </x:c>
      <x:c r="W279" t="str">
        <x:f>IF(SUMIF($B$5:$B$914,B279,$S$5:$S$914)=SUMIF(DailyProduction!$Q$5:$Q$100,B279,DailyProduction!$R$5:$R$100),"OK","CHECK")</x:f>
        <x:v>OK</x:v>
      </x:c>
    </x:row>
    <x:row r="280">
      <x:c r="A280" t="str">
        <x:v>PC-PE-KG01-L22-20251023-PM-ORD-2025-00057-S03</x:v>
      </x:c>
      <x:c r="B280" t="str">
        <x:v>PE-KG01-L22-20251023-PM-ORD-2025-00057</x:v>
      </x:c>
      <x:c r="C280" t="str">
        <x:v>KG01</x:v>
      </x:c>
      <x:c r="D280" t="n">
        <x:v>45953</x:v>
      </x:c>
      <x:c r="E280" t="str">
        <x:v>PM</x:v>
      </x:c>
      <x:c r="F280" t="str">
        <x:v>A</x:v>
      </x:c>
      <x:c r="G280" t="n">
        <x:v>22</x:v>
      </x:c>
      <x:c r="H280" t="str">
        <x:v>ORD-2025-00057</x:v>
      </x:c>
      <x:c r="I280" t="n">
        <x:v>3</x:v>
      </x:c>
      <x:c r="J280" t="n">
        <x:v>10</x:v>
      </x:c>
      <x:c r="K280" t="n">
        <x:v>2</x:v>
      </x:c>
      <x:c r="L280" t="n">
        <x:f>IF(I280&lt;=J280,1,0)</x:f>
        <x:v>1</x:v>
      </x:c>
      <x:c r="P280" t="n">
        <x:f>IF(M280="",IF(AND(L280=1,K280&gt;=1),1,0),M280)</x:f>
        <x:v>1</x:v>
      </x:c>
      <x:c r="Q280" t="n">
        <x:f>IF(N280="",IF(AND(L280=1,K280&gt;=2),1,0),N280)</x:f>
        <x:v>1</x:v>
      </x:c>
      <x:c r="R280" t="n">
        <x:f>IF(O280="",IF(AND(L280=1,K280&gt;=3),1,0),O280)</x:f>
        <x:v>0</x:v>
      </x:c>
      <x:c r="S280" t="n">
        <x:f>SUM(P280:R280)</x:f>
        <x:v>2</x:v>
      </x:c>
      <x:c r="T280" t="str">
        <x:f>IF(COUNTA(M280:O280)=0,"DerivedFromCount","ManualOverride")</x:f>
        <x:v>DerivedFromCount</x:v>
      </x:c>
      <x:c r="U280" t="str">
        <x:f>IF(COUNTIF(DailyProduction!$Q$5:$Q$100,B280)=1,"OK","CHECK")</x:f>
        <x:v>OK</x:v>
      </x:c>
      <x:c r="V280" t="str">
        <x:f>IF(AND(I280&gt;=1,I280&lt;=13,K280&gt;=1,K280&lt;=3),"OK","CHECK")</x:f>
        <x:v>OK</x:v>
      </x:c>
      <x:c r="W280" t="str">
        <x:f>IF(SUMIF($B$5:$B$914,B280,$S$5:$S$914)=SUMIF(DailyProduction!$Q$5:$Q$100,B280,DailyProduction!$R$5:$R$100),"OK","CHECK")</x:f>
        <x:v>OK</x:v>
      </x:c>
    </x:row>
    <x:row r="281">
      <x:c r="A281" t="str">
        <x:v>PC-PE-KG01-L22-20251023-PM-ORD-2025-00057-S04</x:v>
      </x:c>
      <x:c r="B281" t="str">
        <x:v>PE-KG01-L22-20251023-PM-ORD-2025-00057</x:v>
      </x:c>
      <x:c r="C281" t="str">
        <x:v>KG01</x:v>
      </x:c>
      <x:c r="D281" t="n">
        <x:v>45953</x:v>
      </x:c>
      <x:c r="E281" t="str">
        <x:v>PM</x:v>
      </x:c>
      <x:c r="F281" t="str">
        <x:v>A</x:v>
      </x:c>
      <x:c r="G281" t="n">
        <x:v>22</x:v>
      </x:c>
      <x:c r="H281" t="str">
        <x:v>ORD-2025-00057</x:v>
      </x:c>
      <x:c r="I281" t="n">
        <x:v>4</x:v>
      </x:c>
      <x:c r="J281" t="n">
        <x:v>10</x:v>
      </x:c>
      <x:c r="K281" t="n">
        <x:v>2</x:v>
      </x:c>
      <x:c r="L281" t="n">
        <x:f>IF(I281&lt;=J281,1,0)</x:f>
        <x:v>1</x:v>
      </x:c>
      <x:c r="P281" t="n">
        <x:f>IF(M281="",IF(AND(L281=1,K281&gt;=1),1,0),M281)</x:f>
        <x:v>1</x:v>
      </x:c>
      <x:c r="Q281" t="n">
        <x:f>IF(N281="",IF(AND(L281=1,K281&gt;=2),1,0),N281)</x:f>
        <x:v>1</x:v>
      </x:c>
      <x:c r="R281" t="n">
        <x:f>IF(O281="",IF(AND(L281=1,K281&gt;=3),1,0),O281)</x:f>
        <x:v>0</x:v>
      </x:c>
      <x:c r="S281" t="n">
        <x:f>SUM(P281:R281)</x:f>
        <x:v>2</x:v>
      </x:c>
      <x:c r="T281" t="str">
        <x:f>IF(COUNTA(M281:O281)=0,"DerivedFromCount","ManualOverride")</x:f>
        <x:v>DerivedFromCount</x:v>
      </x:c>
      <x:c r="U281" t="str">
        <x:f>IF(COUNTIF(DailyProduction!$Q$5:$Q$100,B281)=1,"OK","CHECK")</x:f>
        <x:v>OK</x:v>
      </x:c>
      <x:c r="V281" t="str">
        <x:f>IF(AND(I281&gt;=1,I281&lt;=13,K281&gt;=1,K281&lt;=3),"OK","CHECK")</x:f>
        <x:v>OK</x:v>
      </x:c>
      <x:c r="W281" t="str">
        <x:f>IF(SUMIF($B$5:$B$914,B281,$S$5:$S$914)=SUMIF(DailyProduction!$Q$5:$Q$100,B281,DailyProduction!$R$5:$R$100),"OK","CHECK")</x:f>
        <x:v>OK</x:v>
      </x:c>
    </x:row>
    <x:row r="282">
      <x:c r="A282" t="str">
        <x:v>PC-PE-KG01-L22-20251023-PM-ORD-2025-00057-S05</x:v>
      </x:c>
      <x:c r="B282" t="str">
        <x:v>PE-KG01-L22-20251023-PM-ORD-2025-00057</x:v>
      </x:c>
      <x:c r="C282" t="str">
        <x:v>KG01</x:v>
      </x:c>
      <x:c r="D282" t="n">
        <x:v>45953</x:v>
      </x:c>
      <x:c r="E282" t="str">
        <x:v>PM</x:v>
      </x:c>
      <x:c r="F282" t="str">
        <x:v>A</x:v>
      </x:c>
      <x:c r="G282" t="n">
        <x:v>22</x:v>
      </x:c>
      <x:c r="H282" t="str">
        <x:v>ORD-2025-00057</x:v>
      </x:c>
      <x:c r="I282" t="n">
        <x:v>5</x:v>
      </x:c>
      <x:c r="J282" t="n">
        <x:v>10</x:v>
      </x:c>
      <x:c r="K282" t="n">
        <x:v>2</x:v>
      </x:c>
      <x:c r="L282" t="n">
        <x:f>IF(I282&lt;=J282,1,0)</x:f>
        <x:v>1</x:v>
      </x:c>
      <x:c r="P282" t="n">
        <x:f>IF(M282="",IF(AND(L282=1,K282&gt;=1),1,0),M282)</x:f>
        <x:v>1</x:v>
      </x:c>
      <x:c r="Q282" t="n">
        <x:f>IF(N282="",IF(AND(L282=1,K282&gt;=2),1,0),N282)</x:f>
        <x:v>1</x:v>
      </x:c>
      <x:c r="R282" t="n">
        <x:f>IF(O282="",IF(AND(L282=1,K282&gt;=3),1,0),O282)</x:f>
        <x:v>0</x:v>
      </x:c>
      <x:c r="S282" t="n">
        <x:f>SUM(P282:R282)</x:f>
        <x:v>2</x:v>
      </x:c>
      <x:c r="T282" t="str">
        <x:f>IF(COUNTA(M282:O282)=0,"DerivedFromCount","ManualOverride")</x:f>
        <x:v>DerivedFromCount</x:v>
      </x:c>
      <x:c r="U282" t="str">
        <x:f>IF(COUNTIF(DailyProduction!$Q$5:$Q$100,B282)=1,"OK","CHECK")</x:f>
        <x:v>OK</x:v>
      </x:c>
      <x:c r="V282" t="str">
        <x:f>IF(AND(I282&gt;=1,I282&lt;=13,K282&gt;=1,K282&lt;=3),"OK","CHECK")</x:f>
        <x:v>OK</x:v>
      </x:c>
      <x:c r="W282" t="str">
        <x:f>IF(SUMIF($B$5:$B$914,B282,$S$5:$S$914)=SUMIF(DailyProduction!$Q$5:$Q$100,B282,DailyProduction!$R$5:$R$100),"OK","CHECK")</x:f>
        <x:v>OK</x:v>
      </x:c>
    </x:row>
    <x:row r="283">
      <x:c r="A283" t="str">
        <x:v>PC-PE-KG01-L22-20251023-PM-ORD-2025-00057-S06</x:v>
      </x:c>
      <x:c r="B283" t="str">
        <x:v>PE-KG01-L22-20251023-PM-ORD-2025-00057</x:v>
      </x:c>
      <x:c r="C283" t="str">
        <x:v>KG01</x:v>
      </x:c>
      <x:c r="D283" t="n">
        <x:v>45953</x:v>
      </x:c>
      <x:c r="E283" t="str">
        <x:v>PM</x:v>
      </x:c>
      <x:c r="F283" t="str">
        <x:v>A</x:v>
      </x:c>
      <x:c r="G283" t="n">
        <x:v>22</x:v>
      </x:c>
      <x:c r="H283" t="str">
        <x:v>ORD-2025-00057</x:v>
      </x:c>
      <x:c r="I283" t="n">
        <x:v>6</x:v>
      </x:c>
      <x:c r="J283" t="n">
        <x:v>10</x:v>
      </x:c>
      <x:c r="K283" t="n">
        <x:v>2</x:v>
      </x:c>
      <x:c r="L283" t="n">
        <x:f>IF(I283&lt;=J283,1,0)</x:f>
        <x:v>1</x:v>
      </x:c>
      <x:c r="P283" t="n">
        <x:f>IF(M283="",IF(AND(L283=1,K283&gt;=1),1,0),M283)</x:f>
        <x:v>1</x:v>
      </x:c>
      <x:c r="Q283" t="n">
        <x:f>IF(N283="",IF(AND(L283=1,K283&gt;=2),1,0),N283)</x:f>
        <x:v>1</x:v>
      </x:c>
      <x:c r="R283" t="n">
        <x:f>IF(O283="",IF(AND(L283=1,K283&gt;=3),1,0),O283)</x:f>
        <x:v>0</x:v>
      </x:c>
      <x:c r="S283" t="n">
        <x:f>SUM(P283:R283)</x:f>
        <x:v>2</x:v>
      </x:c>
      <x:c r="T283" t="str">
        <x:f>IF(COUNTA(M283:O283)=0,"DerivedFromCount","ManualOverride")</x:f>
        <x:v>DerivedFromCount</x:v>
      </x:c>
      <x:c r="U283" t="str">
        <x:f>IF(COUNTIF(DailyProduction!$Q$5:$Q$100,B283)=1,"OK","CHECK")</x:f>
        <x:v>OK</x:v>
      </x:c>
      <x:c r="V283" t="str">
        <x:f>IF(AND(I283&gt;=1,I283&lt;=13,K283&gt;=1,K283&lt;=3),"OK","CHECK")</x:f>
        <x:v>OK</x:v>
      </x:c>
      <x:c r="W283" t="str">
        <x:f>IF(SUMIF($B$5:$B$914,B283,$S$5:$S$914)=SUMIF(DailyProduction!$Q$5:$Q$100,B283,DailyProduction!$R$5:$R$100),"OK","CHECK")</x:f>
        <x:v>OK</x:v>
      </x:c>
    </x:row>
    <x:row r="284">
      <x:c r="A284" t="str">
        <x:v>PC-PE-KG01-L22-20251023-PM-ORD-2025-00057-S07</x:v>
      </x:c>
      <x:c r="B284" t="str">
        <x:v>PE-KG01-L22-20251023-PM-ORD-2025-00057</x:v>
      </x:c>
      <x:c r="C284" t="str">
        <x:v>KG01</x:v>
      </x:c>
      <x:c r="D284" t="n">
        <x:v>45953</x:v>
      </x:c>
      <x:c r="E284" t="str">
        <x:v>PM</x:v>
      </x:c>
      <x:c r="F284" t="str">
        <x:v>A</x:v>
      </x:c>
      <x:c r="G284" t="n">
        <x:v>22</x:v>
      </x:c>
      <x:c r="H284" t="str">
        <x:v>ORD-2025-00057</x:v>
      </x:c>
      <x:c r="I284" t="n">
        <x:v>7</x:v>
      </x:c>
      <x:c r="J284" t="n">
        <x:v>10</x:v>
      </x:c>
      <x:c r="K284" t="n">
        <x:v>2</x:v>
      </x:c>
      <x:c r="L284" t="n">
        <x:f>IF(I284&lt;=J284,1,0)</x:f>
        <x:v>1</x:v>
      </x:c>
      <x:c r="P284" t="n">
        <x:f>IF(M284="",IF(AND(L284=1,K284&gt;=1),1,0),M284)</x:f>
        <x:v>1</x:v>
      </x:c>
      <x:c r="Q284" t="n">
        <x:f>IF(N284="",IF(AND(L284=1,K284&gt;=2),1,0),N284)</x:f>
        <x:v>1</x:v>
      </x:c>
      <x:c r="R284" t="n">
        <x:f>IF(O284="",IF(AND(L284=1,K284&gt;=3),1,0),O284)</x:f>
        <x:v>0</x:v>
      </x:c>
      <x:c r="S284" t="n">
        <x:f>SUM(P284:R284)</x:f>
        <x:v>2</x:v>
      </x:c>
      <x:c r="T284" t="str">
        <x:f>IF(COUNTA(M284:O284)=0,"DerivedFromCount","ManualOverride")</x:f>
        <x:v>DerivedFromCount</x:v>
      </x:c>
      <x:c r="U284" t="str">
        <x:f>IF(COUNTIF(DailyProduction!$Q$5:$Q$100,B284)=1,"OK","CHECK")</x:f>
        <x:v>OK</x:v>
      </x:c>
      <x:c r="V284" t="str">
        <x:f>IF(AND(I284&gt;=1,I284&lt;=13,K284&gt;=1,K284&lt;=3),"OK","CHECK")</x:f>
        <x:v>OK</x:v>
      </x:c>
      <x:c r="W284" t="str">
        <x:f>IF(SUMIF($B$5:$B$914,B284,$S$5:$S$914)=SUMIF(DailyProduction!$Q$5:$Q$100,B284,DailyProduction!$R$5:$R$100),"OK","CHECK")</x:f>
        <x:v>OK</x:v>
      </x:c>
    </x:row>
    <x:row r="285">
      <x:c r="A285" t="str">
        <x:v>PC-PE-KG01-L22-20251023-PM-ORD-2025-00057-S08</x:v>
      </x:c>
      <x:c r="B285" t="str">
        <x:v>PE-KG01-L22-20251023-PM-ORD-2025-00057</x:v>
      </x:c>
      <x:c r="C285" t="str">
        <x:v>KG01</x:v>
      </x:c>
      <x:c r="D285" t="n">
        <x:v>45953</x:v>
      </x:c>
      <x:c r="E285" t="str">
        <x:v>PM</x:v>
      </x:c>
      <x:c r="F285" t="str">
        <x:v>A</x:v>
      </x:c>
      <x:c r="G285" t="n">
        <x:v>22</x:v>
      </x:c>
      <x:c r="H285" t="str">
        <x:v>ORD-2025-00057</x:v>
      </x:c>
      <x:c r="I285" t="n">
        <x:v>8</x:v>
      </x:c>
      <x:c r="J285" t="n">
        <x:v>10</x:v>
      </x:c>
      <x:c r="K285" t="n">
        <x:v>2</x:v>
      </x:c>
      <x:c r="L285" t="n">
        <x:f>IF(I285&lt;=J285,1,0)</x:f>
        <x:v>1</x:v>
      </x:c>
      <x:c r="P285" t="n">
        <x:f>IF(M285="",IF(AND(L285=1,K285&gt;=1),1,0),M285)</x:f>
        <x:v>1</x:v>
      </x:c>
      <x:c r="Q285" t="n">
        <x:f>IF(N285="",IF(AND(L285=1,K285&gt;=2),1,0),N285)</x:f>
        <x:v>1</x:v>
      </x:c>
      <x:c r="R285" t="n">
        <x:f>IF(O285="",IF(AND(L285=1,K285&gt;=3),1,0),O285)</x:f>
        <x:v>0</x:v>
      </x:c>
      <x:c r="S285" t="n">
        <x:f>SUM(P285:R285)</x:f>
        <x:v>2</x:v>
      </x:c>
      <x:c r="T285" t="str">
        <x:f>IF(COUNTA(M285:O285)=0,"DerivedFromCount","ManualOverride")</x:f>
        <x:v>DerivedFromCount</x:v>
      </x:c>
      <x:c r="U285" t="str">
        <x:f>IF(COUNTIF(DailyProduction!$Q$5:$Q$100,B285)=1,"OK","CHECK")</x:f>
        <x:v>OK</x:v>
      </x:c>
      <x:c r="V285" t="str">
        <x:f>IF(AND(I285&gt;=1,I285&lt;=13,K285&gt;=1,K285&lt;=3),"OK","CHECK")</x:f>
        <x:v>OK</x:v>
      </x:c>
      <x:c r="W285" t="str">
        <x:f>IF(SUMIF($B$5:$B$914,B285,$S$5:$S$914)=SUMIF(DailyProduction!$Q$5:$Q$100,B285,DailyProduction!$R$5:$R$100),"OK","CHECK")</x:f>
        <x:v>OK</x:v>
      </x:c>
    </x:row>
    <x:row r="286">
      <x:c r="A286" t="str">
        <x:v>PC-PE-KG01-L22-20251023-PM-ORD-2025-00057-S09</x:v>
      </x:c>
      <x:c r="B286" t="str">
        <x:v>PE-KG01-L22-20251023-PM-ORD-2025-00057</x:v>
      </x:c>
      <x:c r="C286" t="str">
        <x:v>KG01</x:v>
      </x:c>
      <x:c r="D286" t="n">
        <x:v>45953</x:v>
      </x:c>
      <x:c r="E286" t="str">
        <x:v>PM</x:v>
      </x:c>
      <x:c r="F286" t="str">
        <x:v>A</x:v>
      </x:c>
      <x:c r="G286" t="n">
        <x:v>22</x:v>
      </x:c>
      <x:c r="H286" t="str">
        <x:v>ORD-2025-00057</x:v>
      </x:c>
      <x:c r="I286" t="n">
        <x:v>9</x:v>
      </x:c>
      <x:c r="J286" t="n">
        <x:v>10</x:v>
      </x:c>
      <x:c r="K286" t="n">
        <x:v>2</x:v>
      </x:c>
      <x:c r="L286" t="n">
        <x:f>IF(I286&lt;=J286,1,0)</x:f>
        <x:v>1</x:v>
      </x:c>
      <x:c r="P286" t="n">
        <x:f>IF(M286="",IF(AND(L286=1,K286&gt;=1),1,0),M286)</x:f>
        <x:v>1</x:v>
      </x:c>
      <x:c r="Q286" t="n">
        <x:f>IF(N286="",IF(AND(L286=1,K286&gt;=2),1,0),N286)</x:f>
        <x:v>1</x:v>
      </x:c>
      <x:c r="R286" t="n">
        <x:f>IF(O286="",IF(AND(L286=1,K286&gt;=3),1,0),O286)</x:f>
        <x:v>0</x:v>
      </x:c>
      <x:c r="S286" t="n">
        <x:f>SUM(P286:R286)</x:f>
        <x:v>2</x:v>
      </x:c>
      <x:c r="T286" t="str">
        <x:f>IF(COUNTA(M286:O286)=0,"DerivedFromCount","ManualOverride")</x:f>
        <x:v>DerivedFromCount</x:v>
      </x:c>
      <x:c r="U286" t="str">
        <x:f>IF(COUNTIF(DailyProduction!$Q$5:$Q$100,B286)=1,"OK","CHECK")</x:f>
        <x:v>OK</x:v>
      </x:c>
      <x:c r="V286" t="str">
        <x:f>IF(AND(I286&gt;=1,I286&lt;=13,K286&gt;=1,K286&lt;=3),"OK","CHECK")</x:f>
        <x:v>OK</x:v>
      </x:c>
      <x:c r="W286" t="str">
        <x:f>IF(SUMIF($B$5:$B$914,B286,$S$5:$S$914)=SUMIF(DailyProduction!$Q$5:$Q$100,B286,DailyProduction!$R$5:$R$100),"OK","CHECK")</x:f>
        <x:v>OK</x:v>
      </x:c>
    </x:row>
    <x:row r="287">
      <x:c r="A287" t="str">
        <x:v>PC-PE-KG01-L22-20251023-PM-ORD-2025-00057-S10</x:v>
      </x:c>
      <x:c r="B287" t="str">
        <x:v>PE-KG01-L22-20251023-PM-ORD-2025-00057</x:v>
      </x:c>
      <x:c r="C287" t="str">
        <x:v>KG01</x:v>
      </x:c>
      <x:c r="D287" t="n">
        <x:v>45953</x:v>
      </x:c>
      <x:c r="E287" t="str">
        <x:v>PM</x:v>
      </x:c>
      <x:c r="F287" t="str">
        <x:v>A</x:v>
      </x:c>
      <x:c r="G287" t="n">
        <x:v>22</x:v>
      </x:c>
      <x:c r="H287" t="str">
        <x:v>ORD-2025-00057</x:v>
      </x:c>
      <x:c r="I287" t="n">
        <x:v>10</x:v>
      </x:c>
      <x:c r="J287" t="n">
        <x:v>10</x:v>
      </x:c>
      <x:c r="K287" t="n">
        <x:v>2</x:v>
      </x:c>
      <x:c r="L287" t="n">
        <x:f>IF(I287&lt;=J287,1,0)</x:f>
        <x:v>1</x:v>
      </x:c>
      <x:c r="P287" t="n">
        <x:f>IF(M287="",IF(AND(L287=1,K287&gt;=1),1,0),M287)</x:f>
        <x:v>1</x:v>
      </x:c>
      <x:c r="Q287" t="n">
        <x:f>IF(N287="",IF(AND(L287=1,K287&gt;=2),1,0),N287)</x:f>
        <x:v>1</x:v>
      </x:c>
      <x:c r="R287" t="n">
        <x:f>IF(O287="",IF(AND(L287=1,K287&gt;=3),1,0),O287)</x:f>
        <x:v>0</x:v>
      </x:c>
      <x:c r="S287" t="n">
        <x:f>SUM(P287:R287)</x:f>
        <x:v>2</x:v>
      </x:c>
      <x:c r="T287" t="str">
        <x:f>IF(COUNTA(M287:O287)=0,"DerivedFromCount","ManualOverride")</x:f>
        <x:v>DerivedFromCount</x:v>
      </x:c>
      <x:c r="U287" t="str">
        <x:f>IF(COUNTIF(DailyProduction!$Q$5:$Q$100,B287)=1,"OK","CHECK")</x:f>
        <x:v>OK</x:v>
      </x:c>
      <x:c r="V287" t="str">
        <x:f>IF(AND(I287&gt;=1,I287&lt;=13,K287&gt;=1,K287&lt;=3),"OK","CHECK")</x:f>
        <x:v>OK</x:v>
      </x:c>
      <x:c r="W287" t="str">
        <x:f>IF(SUMIF($B$5:$B$914,B287,$S$5:$S$914)=SUMIF(DailyProduction!$Q$5:$Q$100,B287,DailyProduction!$R$5:$R$100),"OK","CHECK")</x:f>
        <x:v>OK</x:v>
      </x:c>
    </x:row>
    <x:row r="288">
      <x:c r="A288" t="str">
        <x:v>PC-PE-KG01-L22-20251023-PM-ORD-2025-00057-S11</x:v>
      </x:c>
      <x:c r="B288" t="str">
        <x:v>PE-KG01-L22-20251023-PM-ORD-2025-00057</x:v>
      </x:c>
      <x:c r="C288" t="str">
        <x:v>KG01</x:v>
      </x:c>
      <x:c r="D288" t="n">
        <x:v>45953</x:v>
      </x:c>
      <x:c r="E288" t="str">
        <x:v>PM</x:v>
      </x:c>
      <x:c r="F288" t="str">
        <x:v>A</x:v>
      </x:c>
      <x:c r="G288" t="n">
        <x:v>22</x:v>
      </x:c>
      <x:c r="H288" t="str">
        <x:v>ORD-2025-00057</x:v>
      </x:c>
      <x:c r="I288" t="n">
        <x:v>11</x:v>
      </x:c>
      <x:c r="J288" t="n">
        <x:v>10</x:v>
      </x:c>
      <x:c r="K288" t="n">
        <x:v>2</x:v>
      </x:c>
      <x:c r="L288" t="n">
        <x:f>IF(I288&lt;=J288,1,0)</x:f>
        <x:v>0</x:v>
      </x:c>
      <x:c r="P288" t="n">
        <x:f>IF(M288="",IF(AND(L288=1,K288&gt;=1),1,0),M288)</x:f>
        <x:v>0</x:v>
      </x:c>
      <x:c r="Q288" t="n">
        <x:f>IF(N288="",IF(AND(L288=1,K288&gt;=2),1,0),N288)</x:f>
        <x:v>0</x:v>
      </x:c>
      <x:c r="R288" t="n">
        <x:f>IF(O288="",IF(AND(L288=1,K288&gt;=3),1,0),O288)</x:f>
        <x:v>0</x:v>
      </x:c>
      <x:c r="S288" t="n">
        <x:f>SUM(P288:R288)</x:f>
        <x:v>0</x:v>
      </x:c>
      <x:c r="T288" t="str">
        <x:f>IF(COUNTA(M288:O288)=0,"DerivedFromCount","ManualOverride")</x:f>
        <x:v>DerivedFromCount</x:v>
      </x:c>
      <x:c r="U288" t="str">
        <x:f>IF(COUNTIF(DailyProduction!$Q$5:$Q$100,B288)=1,"OK","CHECK")</x:f>
        <x:v>OK</x:v>
      </x:c>
      <x:c r="V288" t="str">
        <x:f>IF(AND(I288&gt;=1,I288&lt;=13,K288&gt;=1,K288&lt;=3),"OK","CHECK")</x:f>
        <x:v>OK</x:v>
      </x:c>
      <x:c r="W288" t="str">
        <x:f>IF(SUMIF($B$5:$B$914,B288,$S$5:$S$914)=SUMIF(DailyProduction!$Q$5:$Q$100,B288,DailyProduction!$R$5:$R$100),"OK","CHECK")</x:f>
        <x:v>OK</x:v>
      </x:c>
    </x:row>
    <x:row r="289">
      <x:c r="A289" t="str">
        <x:v>PC-PE-KG01-L22-20251023-PM-ORD-2025-00057-S12</x:v>
      </x:c>
      <x:c r="B289" t="str">
        <x:v>PE-KG01-L22-20251023-PM-ORD-2025-00057</x:v>
      </x:c>
      <x:c r="C289" t="str">
        <x:v>KG01</x:v>
      </x:c>
      <x:c r="D289" t="n">
        <x:v>45953</x:v>
      </x:c>
      <x:c r="E289" t="str">
        <x:v>PM</x:v>
      </x:c>
      <x:c r="F289" t="str">
        <x:v>A</x:v>
      </x:c>
      <x:c r="G289" t="n">
        <x:v>22</x:v>
      </x:c>
      <x:c r="H289" t="str">
        <x:v>ORD-2025-00057</x:v>
      </x:c>
      <x:c r="I289" t="n">
        <x:v>12</x:v>
      </x:c>
      <x:c r="J289" t="n">
        <x:v>10</x:v>
      </x:c>
      <x:c r="K289" t="n">
        <x:v>2</x:v>
      </x:c>
      <x:c r="L289" t="n">
        <x:f>IF(I289&lt;=J289,1,0)</x:f>
        <x:v>0</x:v>
      </x:c>
      <x:c r="P289" t="n">
        <x:f>IF(M289="",IF(AND(L289=1,K289&gt;=1),1,0),M289)</x:f>
        <x:v>0</x:v>
      </x:c>
      <x:c r="Q289" t="n">
        <x:f>IF(N289="",IF(AND(L289=1,K289&gt;=2),1,0),N289)</x:f>
        <x:v>0</x:v>
      </x:c>
      <x:c r="R289" t="n">
        <x:f>IF(O289="",IF(AND(L289=1,K289&gt;=3),1,0),O289)</x:f>
        <x:v>0</x:v>
      </x:c>
      <x:c r="S289" t="n">
        <x:f>SUM(P289:R289)</x:f>
        <x:v>0</x:v>
      </x:c>
      <x:c r="T289" t="str">
        <x:f>IF(COUNTA(M289:O289)=0,"DerivedFromCount","ManualOverride")</x:f>
        <x:v>DerivedFromCount</x:v>
      </x:c>
      <x:c r="U289" t="str">
        <x:f>IF(COUNTIF(DailyProduction!$Q$5:$Q$100,B289)=1,"OK","CHECK")</x:f>
        <x:v>OK</x:v>
      </x:c>
      <x:c r="V289" t="str">
        <x:f>IF(AND(I289&gt;=1,I289&lt;=13,K289&gt;=1,K289&lt;=3),"OK","CHECK")</x:f>
        <x:v>OK</x:v>
      </x:c>
      <x:c r="W289" t="str">
        <x:f>IF(SUMIF($B$5:$B$914,B289,$S$5:$S$914)=SUMIF(DailyProduction!$Q$5:$Q$100,B289,DailyProduction!$R$5:$R$100),"OK","CHECK")</x:f>
        <x:v>OK</x:v>
      </x:c>
    </x:row>
    <x:row r="290">
      <x:c r="A290" t="str">
        <x:v>PC-PE-KG01-L22-20251023-PM-ORD-2025-00057-S13</x:v>
      </x:c>
      <x:c r="B290" t="str">
        <x:v>PE-KG01-L22-20251023-PM-ORD-2025-00057</x:v>
      </x:c>
      <x:c r="C290" t="str">
        <x:v>KG01</x:v>
      </x:c>
      <x:c r="D290" t="n">
        <x:v>45953</x:v>
      </x:c>
      <x:c r="E290" t="str">
        <x:v>PM</x:v>
      </x:c>
      <x:c r="F290" t="str">
        <x:v>A</x:v>
      </x:c>
      <x:c r="G290" t="n">
        <x:v>22</x:v>
      </x:c>
      <x:c r="H290" t="str">
        <x:v>ORD-2025-00057</x:v>
      </x:c>
      <x:c r="I290" t="n">
        <x:v>13</x:v>
      </x:c>
      <x:c r="J290" t="n">
        <x:v>10</x:v>
      </x:c>
      <x:c r="K290" t="n">
        <x:v>2</x:v>
      </x:c>
      <x:c r="L290" t="n">
        <x:f>IF(I290&lt;=J290,1,0)</x:f>
        <x:v>0</x:v>
      </x:c>
      <x:c r="P290" t="n">
        <x:f>IF(M290="",IF(AND(L290=1,K290&gt;=1),1,0),M290)</x:f>
        <x:v>0</x:v>
      </x:c>
      <x:c r="Q290" t="n">
        <x:f>IF(N290="",IF(AND(L290=1,K290&gt;=2),1,0),N290)</x:f>
        <x:v>0</x:v>
      </x:c>
      <x:c r="R290" t="n">
        <x:f>IF(O290="",IF(AND(L290=1,K290&gt;=3),1,0),O290)</x:f>
        <x:v>0</x:v>
      </x:c>
      <x:c r="S290" t="n">
        <x:f>SUM(P290:R290)</x:f>
        <x:v>0</x:v>
      </x:c>
      <x:c r="T290" t="str">
        <x:f>IF(COUNTA(M290:O290)=0,"DerivedFromCount","ManualOverride")</x:f>
        <x:v>DerivedFromCount</x:v>
      </x:c>
      <x:c r="U290" t="str">
        <x:f>IF(COUNTIF(DailyProduction!$Q$5:$Q$100,B290)=1,"OK","CHECK")</x:f>
        <x:v>OK</x:v>
      </x:c>
      <x:c r="V290" t="str">
        <x:f>IF(AND(I290&gt;=1,I290&lt;=13,K290&gt;=1,K290&lt;=3),"OK","CHECK")</x:f>
        <x:v>OK</x:v>
      </x:c>
      <x:c r="W290" t="str">
        <x:f>IF(SUMIF($B$5:$B$914,B290,$S$5:$S$914)=SUMIF(DailyProduction!$Q$5:$Q$100,B290,DailyProduction!$R$5:$R$100),"OK","CHECK")</x:f>
        <x:v>OK</x:v>
      </x:c>
    </x:row>
    <x:row r="291">
      <x:c r="A291" t="str">
        <x:v>PC-PE-KG01-L22-20251024-AM-ORD-2025-00057-S01</x:v>
      </x:c>
      <x:c r="B291" t="str">
        <x:v>PE-KG01-L22-20251024-AM-ORD-2025-00057</x:v>
      </x:c>
      <x:c r="C291" t="str">
        <x:v>KG01</x:v>
      </x:c>
      <x:c r="D291" t="n">
        <x:v>45954</x:v>
      </x:c>
      <x:c r="E291" t="str">
        <x:v>AM</x:v>
      </x:c>
      <x:c r="F291" t="str">
        <x:v>A</x:v>
      </x:c>
      <x:c r="G291" t="n">
        <x:v>22</x:v>
      </x:c>
      <x:c r="H291" t="str">
        <x:v>ORD-2025-00057</x:v>
      </x:c>
      <x:c r="I291" t="n">
        <x:v>1</x:v>
      </x:c>
      <x:c r="J291" t="n">
        <x:v>10</x:v>
      </x:c>
      <x:c r="K291" t="n">
        <x:v>2</x:v>
      </x:c>
      <x:c r="L291" t="n">
        <x:f>IF(I291&lt;=J291,1,0)</x:f>
        <x:v>1</x:v>
      </x:c>
      <x:c r="P291" t="n">
        <x:f>IF(M291="",IF(AND(L291=1,K291&gt;=1),1,0),M291)</x:f>
        <x:v>1</x:v>
      </x:c>
      <x:c r="Q291" t="n">
        <x:f>IF(N291="",IF(AND(L291=1,K291&gt;=2),1,0),N291)</x:f>
        <x:v>1</x:v>
      </x:c>
      <x:c r="R291" t="n">
        <x:f>IF(O291="",IF(AND(L291=1,K291&gt;=3),1,0),O291)</x:f>
        <x:v>0</x:v>
      </x:c>
      <x:c r="S291" t="n">
        <x:f>SUM(P291:R291)</x:f>
        <x:v>2</x:v>
      </x:c>
      <x:c r="T291" t="str">
        <x:f>IF(COUNTA(M291:O291)=0,"DerivedFromCount","ManualOverride")</x:f>
        <x:v>DerivedFromCount</x:v>
      </x:c>
      <x:c r="U291" t="str">
        <x:f>IF(COUNTIF(DailyProduction!$Q$5:$Q$100,B291)=1,"OK","CHECK")</x:f>
        <x:v>OK</x:v>
      </x:c>
      <x:c r="V291" t="str">
        <x:f>IF(AND(I291&gt;=1,I291&lt;=13,K291&gt;=1,K291&lt;=3),"OK","CHECK")</x:f>
        <x:v>OK</x:v>
      </x:c>
      <x:c r="W291" t="str">
        <x:f>IF(SUMIF($B$5:$B$914,B291,$S$5:$S$914)=SUMIF(DailyProduction!$Q$5:$Q$100,B291,DailyProduction!$R$5:$R$100),"OK","CHECK")</x:f>
        <x:v>OK</x:v>
      </x:c>
    </x:row>
    <x:row r="292">
      <x:c r="A292" t="str">
        <x:v>PC-PE-KG01-L22-20251024-AM-ORD-2025-00057-S02</x:v>
      </x:c>
      <x:c r="B292" t="str">
        <x:v>PE-KG01-L22-20251024-AM-ORD-2025-00057</x:v>
      </x:c>
      <x:c r="C292" t="str">
        <x:v>KG01</x:v>
      </x:c>
      <x:c r="D292" t="n">
        <x:v>45954</x:v>
      </x:c>
      <x:c r="E292" t="str">
        <x:v>AM</x:v>
      </x:c>
      <x:c r="F292" t="str">
        <x:v>A</x:v>
      </x:c>
      <x:c r="G292" t="n">
        <x:v>22</x:v>
      </x:c>
      <x:c r="H292" t="str">
        <x:v>ORD-2025-00057</x:v>
      </x:c>
      <x:c r="I292" t="n">
        <x:v>2</x:v>
      </x:c>
      <x:c r="J292" t="n">
        <x:v>10</x:v>
      </x:c>
      <x:c r="K292" t="n">
        <x:v>2</x:v>
      </x:c>
      <x:c r="L292" t="n">
        <x:f>IF(I292&lt;=J292,1,0)</x:f>
        <x:v>1</x:v>
      </x:c>
      <x:c r="P292" t="n">
        <x:f>IF(M292="",IF(AND(L292=1,K292&gt;=1),1,0),M292)</x:f>
        <x:v>1</x:v>
      </x:c>
      <x:c r="Q292" t="n">
        <x:f>IF(N292="",IF(AND(L292=1,K292&gt;=2),1,0),N292)</x:f>
        <x:v>1</x:v>
      </x:c>
      <x:c r="R292" t="n">
        <x:f>IF(O292="",IF(AND(L292=1,K292&gt;=3),1,0),O292)</x:f>
        <x:v>0</x:v>
      </x:c>
      <x:c r="S292" t="n">
        <x:f>SUM(P292:R292)</x:f>
        <x:v>2</x:v>
      </x:c>
      <x:c r="T292" t="str">
        <x:f>IF(COUNTA(M292:O292)=0,"DerivedFromCount","ManualOverride")</x:f>
        <x:v>DerivedFromCount</x:v>
      </x:c>
      <x:c r="U292" t="str">
        <x:f>IF(COUNTIF(DailyProduction!$Q$5:$Q$100,B292)=1,"OK","CHECK")</x:f>
        <x:v>OK</x:v>
      </x:c>
      <x:c r="V292" t="str">
        <x:f>IF(AND(I292&gt;=1,I292&lt;=13,K292&gt;=1,K292&lt;=3),"OK","CHECK")</x:f>
        <x:v>OK</x:v>
      </x:c>
      <x:c r="W292" t="str">
        <x:f>IF(SUMIF($B$5:$B$914,B292,$S$5:$S$914)=SUMIF(DailyProduction!$Q$5:$Q$100,B292,DailyProduction!$R$5:$R$100),"OK","CHECK")</x:f>
        <x:v>OK</x:v>
      </x:c>
    </x:row>
    <x:row r="293">
      <x:c r="A293" t="str">
        <x:v>PC-PE-KG01-L22-20251024-AM-ORD-2025-00057-S03</x:v>
      </x:c>
      <x:c r="B293" t="str">
        <x:v>PE-KG01-L22-20251024-AM-ORD-2025-00057</x:v>
      </x:c>
      <x:c r="C293" t="str">
        <x:v>KG01</x:v>
      </x:c>
      <x:c r="D293" t="n">
        <x:v>45954</x:v>
      </x:c>
      <x:c r="E293" t="str">
        <x:v>AM</x:v>
      </x:c>
      <x:c r="F293" t="str">
        <x:v>A</x:v>
      </x:c>
      <x:c r="G293" t="n">
        <x:v>22</x:v>
      </x:c>
      <x:c r="H293" t="str">
        <x:v>ORD-2025-00057</x:v>
      </x:c>
      <x:c r="I293" t="n">
        <x:v>3</x:v>
      </x:c>
      <x:c r="J293" t="n">
        <x:v>10</x:v>
      </x:c>
      <x:c r="K293" t="n">
        <x:v>2</x:v>
      </x:c>
      <x:c r="L293" t="n">
        <x:f>IF(I293&lt;=J293,1,0)</x:f>
        <x:v>1</x:v>
      </x:c>
      <x:c r="P293" t="n">
        <x:f>IF(M293="",IF(AND(L293=1,K293&gt;=1),1,0),M293)</x:f>
        <x:v>1</x:v>
      </x:c>
      <x:c r="Q293" t="n">
        <x:f>IF(N293="",IF(AND(L293=1,K293&gt;=2),1,0),N293)</x:f>
        <x:v>1</x:v>
      </x:c>
      <x:c r="R293" t="n">
        <x:f>IF(O293="",IF(AND(L293=1,K293&gt;=3),1,0),O293)</x:f>
        <x:v>0</x:v>
      </x:c>
      <x:c r="S293" t="n">
        <x:f>SUM(P293:R293)</x:f>
        <x:v>2</x:v>
      </x:c>
      <x:c r="T293" t="str">
        <x:f>IF(COUNTA(M293:O293)=0,"DerivedFromCount","ManualOverride")</x:f>
        <x:v>DerivedFromCount</x:v>
      </x:c>
      <x:c r="U293" t="str">
        <x:f>IF(COUNTIF(DailyProduction!$Q$5:$Q$100,B293)=1,"OK","CHECK")</x:f>
        <x:v>OK</x:v>
      </x:c>
      <x:c r="V293" t="str">
        <x:f>IF(AND(I293&gt;=1,I293&lt;=13,K293&gt;=1,K293&lt;=3),"OK","CHECK")</x:f>
        <x:v>OK</x:v>
      </x:c>
      <x:c r="W293" t="str">
        <x:f>IF(SUMIF($B$5:$B$914,B293,$S$5:$S$914)=SUMIF(DailyProduction!$Q$5:$Q$100,B293,DailyProduction!$R$5:$R$100),"OK","CHECK")</x:f>
        <x:v>OK</x:v>
      </x:c>
    </x:row>
    <x:row r="294">
      <x:c r="A294" t="str">
        <x:v>PC-PE-KG01-L22-20251024-AM-ORD-2025-00057-S04</x:v>
      </x:c>
      <x:c r="B294" t="str">
        <x:v>PE-KG01-L22-20251024-AM-ORD-2025-00057</x:v>
      </x:c>
      <x:c r="C294" t="str">
        <x:v>KG01</x:v>
      </x:c>
      <x:c r="D294" t="n">
        <x:v>45954</x:v>
      </x:c>
      <x:c r="E294" t="str">
        <x:v>AM</x:v>
      </x:c>
      <x:c r="F294" t="str">
        <x:v>A</x:v>
      </x:c>
      <x:c r="G294" t="n">
        <x:v>22</x:v>
      </x:c>
      <x:c r="H294" t="str">
        <x:v>ORD-2025-00057</x:v>
      </x:c>
      <x:c r="I294" t="n">
        <x:v>4</x:v>
      </x:c>
      <x:c r="J294" t="n">
        <x:v>10</x:v>
      </x:c>
      <x:c r="K294" t="n">
        <x:v>2</x:v>
      </x:c>
      <x:c r="L294" t="n">
        <x:f>IF(I294&lt;=J294,1,0)</x:f>
        <x:v>1</x:v>
      </x:c>
      <x:c r="P294" t="n">
        <x:f>IF(M294="",IF(AND(L294=1,K294&gt;=1),1,0),M294)</x:f>
        <x:v>1</x:v>
      </x:c>
      <x:c r="Q294" t="n">
        <x:f>IF(N294="",IF(AND(L294=1,K294&gt;=2),1,0),N294)</x:f>
        <x:v>1</x:v>
      </x:c>
      <x:c r="R294" t="n">
        <x:f>IF(O294="",IF(AND(L294=1,K294&gt;=3),1,0),O294)</x:f>
        <x:v>0</x:v>
      </x:c>
      <x:c r="S294" t="n">
        <x:f>SUM(P294:R294)</x:f>
        <x:v>2</x:v>
      </x:c>
      <x:c r="T294" t="str">
        <x:f>IF(COUNTA(M294:O294)=0,"DerivedFromCount","ManualOverride")</x:f>
        <x:v>DerivedFromCount</x:v>
      </x:c>
      <x:c r="U294" t="str">
        <x:f>IF(COUNTIF(DailyProduction!$Q$5:$Q$100,B294)=1,"OK","CHECK")</x:f>
        <x:v>OK</x:v>
      </x:c>
      <x:c r="V294" t="str">
        <x:f>IF(AND(I294&gt;=1,I294&lt;=13,K294&gt;=1,K294&lt;=3),"OK","CHECK")</x:f>
        <x:v>OK</x:v>
      </x:c>
      <x:c r="W294" t="str">
        <x:f>IF(SUMIF($B$5:$B$914,B294,$S$5:$S$914)=SUMIF(DailyProduction!$Q$5:$Q$100,B294,DailyProduction!$R$5:$R$100),"OK","CHECK")</x:f>
        <x:v>OK</x:v>
      </x:c>
    </x:row>
    <x:row r="295">
      <x:c r="A295" t="str">
        <x:v>PC-PE-KG01-L22-20251024-AM-ORD-2025-00057-S05</x:v>
      </x:c>
      <x:c r="B295" t="str">
        <x:v>PE-KG01-L22-20251024-AM-ORD-2025-00057</x:v>
      </x:c>
      <x:c r="C295" t="str">
        <x:v>KG01</x:v>
      </x:c>
      <x:c r="D295" t="n">
        <x:v>45954</x:v>
      </x:c>
      <x:c r="E295" t="str">
        <x:v>AM</x:v>
      </x:c>
      <x:c r="F295" t="str">
        <x:v>A</x:v>
      </x:c>
      <x:c r="G295" t="n">
        <x:v>22</x:v>
      </x:c>
      <x:c r="H295" t="str">
        <x:v>ORD-2025-00057</x:v>
      </x:c>
      <x:c r="I295" t="n">
        <x:v>5</x:v>
      </x:c>
      <x:c r="J295" t="n">
        <x:v>10</x:v>
      </x:c>
      <x:c r="K295" t="n">
        <x:v>2</x:v>
      </x:c>
      <x:c r="L295" t="n">
        <x:f>IF(I295&lt;=J295,1,0)</x:f>
        <x:v>1</x:v>
      </x:c>
      <x:c r="P295" t="n">
        <x:f>IF(M295="",IF(AND(L295=1,K295&gt;=1),1,0),M295)</x:f>
        <x:v>1</x:v>
      </x:c>
      <x:c r="Q295" t="n">
        <x:f>IF(N295="",IF(AND(L295=1,K295&gt;=2),1,0),N295)</x:f>
        <x:v>1</x:v>
      </x:c>
      <x:c r="R295" t="n">
        <x:f>IF(O295="",IF(AND(L295=1,K295&gt;=3),1,0),O295)</x:f>
        <x:v>0</x:v>
      </x:c>
      <x:c r="S295" t="n">
        <x:f>SUM(P295:R295)</x:f>
        <x:v>2</x:v>
      </x:c>
      <x:c r="T295" t="str">
        <x:f>IF(COUNTA(M295:O295)=0,"DerivedFromCount","ManualOverride")</x:f>
        <x:v>DerivedFromCount</x:v>
      </x:c>
      <x:c r="U295" t="str">
        <x:f>IF(COUNTIF(DailyProduction!$Q$5:$Q$100,B295)=1,"OK","CHECK")</x:f>
        <x:v>OK</x:v>
      </x:c>
      <x:c r="V295" t="str">
        <x:f>IF(AND(I295&gt;=1,I295&lt;=13,K295&gt;=1,K295&lt;=3),"OK","CHECK")</x:f>
        <x:v>OK</x:v>
      </x:c>
      <x:c r="W295" t="str">
        <x:f>IF(SUMIF($B$5:$B$914,B295,$S$5:$S$914)=SUMIF(DailyProduction!$Q$5:$Q$100,B295,DailyProduction!$R$5:$R$100),"OK","CHECK")</x:f>
        <x:v>OK</x:v>
      </x:c>
    </x:row>
    <x:row r="296">
      <x:c r="A296" t="str">
        <x:v>PC-PE-KG01-L22-20251024-AM-ORD-2025-00057-S06</x:v>
      </x:c>
      <x:c r="B296" t="str">
        <x:v>PE-KG01-L22-20251024-AM-ORD-2025-00057</x:v>
      </x:c>
      <x:c r="C296" t="str">
        <x:v>KG01</x:v>
      </x:c>
      <x:c r="D296" t="n">
        <x:v>45954</x:v>
      </x:c>
      <x:c r="E296" t="str">
        <x:v>AM</x:v>
      </x:c>
      <x:c r="F296" t="str">
        <x:v>A</x:v>
      </x:c>
      <x:c r="G296" t="n">
        <x:v>22</x:v>
      </x:c>
      <x:c r="H296" t="str">
        <x:v>ORD-2025-00057</x:v>
      </x:c>
      <x:c r="I296" t="n">
        <x:v>6</x:v>
      </x:c>
      <x:c r="J296" t="n">
        <x:v>10</x:v>
      </x:c>
      <x:c r="K296" t="n">
        <x:v>2</x:v>
      </x:c>
      <x:c r="L296" t="n">
        <x:f>IF(I296&lt;=J296,1,0)</x:f>
        <x:v>1</x:v>
      </x:c>
      <x:c r="P296" t="n">
        <x:f>IF(M296="",IF(AND(L296=1,K296&gt;=1),1,0),M296)</x:f>
        <x:v>1</x:v>
      </x:c>
      <x:c r="Q296" t="n">
        <x:f>IF(N296="",IF(AND(L296=1,K296&gt;=2),1,0),N296)</x:f>
        <x:v>1</x:v>
      </x:c>
      <x:c r="R296" t="n">
        <x:f>IF(O296="",IF(AND(L296=1,K296&gt;=3),1,0),O296)</x:f>
        <x:v>0</x:v>
      </x:c>
      <x:c r="S296" t="n">
        <x:f>SUM(P296:R296)</x:f>
        <x:v>2</x:v>
      </x:c>
      <x:c r="T296" t="str">
        <x:f>IF(COUNTA(M296:O296)=0,"DerivedFromCount","ManualOverride")</x:f>
        <x:v>DerivedFromCount</x:v>
      </x:c>
      <x:c r="U296" t="str">
        <x:f>IF(COUNTIF(DailyProduction!$Q$5:$Q$100,B296)=1,"OK","CHECK")</x:f>
        <x:v>OK</x:v>
      </x:c>
      <x:c r="V296" t="str">
        <x:f>IF(AND(I296&gt;=1,I296&lt;=13,K296&gt;=1,K296&lt;=3),"OK","CHECK")</x:f>
        <x:v>OK</x:v>
      </x:c>
      <x:c r="W296" t="str">
        <x:f>IF(SUMIF($B$5:$B$914,B296,$S$5:$S$914)=SUMIF(DailyProduction!$Q$5:$Q$100,B296,DailyProduction!$R$5:$R$100),"OK","CHECK")</x:f>
        <x:v>OK</x:v>
      </x:c>
    </x:row>
    <x:row r="297">
      <x:c r="A297" t="str">
        <x:v>PC-PE-KG01-L22-20251024-AM-ORD-2025-00057-S07</x:v>
      </x:c>
      <x:c r="B297" t="str">
        <x:v>PE-KG01-L22-20251024-AM-ORD-2025-00057</x:v>
      </x:c>
      <x:c r="C297" t="str">
        <x:v>KG01</x:v>
      </x:c>
      <x:c r="D297" t="n">
        <x:v>45954</x:v>
      </x:c>
      <x:c r="E297" t="str">
        <x:v>AM</x:v>
      </x:c>
      <x:c r="F297" t="str">
        <x:v>A</x:v>
      </x:c>
      <x:c r="G297" t="n">
        <x:v>22</x:v>
      </x:c>
      <x:c r="H297" t="str">
        <x:v>ORD-2025-00057</x:v>
      </x:c>
      <x:c r="I297" t="n">
        <x:v>7</x:v>
      </x:c>
      <x:c r="J297" t="n">
        <x:v>10</x:v>
      </x:c>
      <x:c r="K297" t="n">
        <x:v>2</x:v>
      </x:c>
      <x:c r="L297" t="n">
        <x:f>IF(I297&lt;=J297,1,0)</x:f>
        <x:v>1</x:v>
      </x:c>
      <x:c r="P297" t="n">
        <x:f>IF(M297="",IF(AND(L297=1,K297&gt;=1),1,0),M297)</x:f>
        <x:v>1</x:v>
      </x:c>
      <x:c r="Q297" t="n">
        <x:f>IF(N297="",IF(AND(L297=1,K297&gt;=2),1,0),N297)</x:f>
        <x:v>1</x:v>
      </x:c>
      <x:c r="R297" t="n">
        <x:f>IF(O297="",IF(AND(L297=1,K297&gt;=3),1,0),O297)</x:f>
        <x:v>0</x:v>
      </x:c>
      <x:c r="S297" t="n">
        <x:f>SUM(P297:R297)</x:f>
        <x:v>2</x:v>
      </x:c>
      <x:c r="T297" t="str">
        <x:f>IF(COUNTA(M297:O297)=0,"DerivedFromCount","ManualOverride")</x:f>
        <x:v>DerivedFromCount</x:v>
      </x:c>
      <x:c r="U297" t="str">
        <x:f>IF(COUNTIF(DailyProduction!$Q$5:$Q$100,B297)=1,"OK","CHECK")</x:f>
        <x:v>OK</x:v>
      </x:c>
      <x:c r="V297" t="str">
        <x:f>IF(AND(I297&gt;=1,I297&lt;=13,K297&gt;=1,K297&lt;=3),"OK","CHECK")</x:f>
        <x:v>OK</x:v>
      </x:c>
      <x:c r="W297" t="str">
        <x:f>IF(SUMIF($B$5:$B$914,B297,$S$5:$S$914)=SUMIF(DailyProduction!$Q$5:$Q$100,B297,DailyProduction!$R$5:$R$100),"OK","CHECK")</x:f>
        <x:v>OK</x:v>
      </x:c>
    </x:row>
    <x:row r="298">
      <x:c r="A298" t="str">
        <x:v>PC-PE-KG01-L22-20251024-AM-ORD-2025-00057-S08</x:v>
      </x:c>
      <x:c r="B298" t="str">
        <x:v>PE-KG01-L22-20251024-AM-ORD-2025-00057</x:v>
      </x:c>
      <x:c r="C298" t="str">
        <x:v>KG01</x:v>
      </x:c>
      <x:c r="D298" t="n">
        <x:v>45954</x:v>
      </x:c>
      <x:c r="E298" t="str">
        <x:v>AM</x:v>
      </x:c>
      <x:c r="F298" t="str">
        <x:v>A</x:v>
      </x:c>
      <x:c r="G298" t="n">
        <x:v>22</x:v>
      </x:c>
      <x:c r="H298" t="str">
        <x:v>ORD-2025-00057</x:v>
      </x:c>
      <x:c r="I298" t="n">
        <x:v>8</x:v>
      </x:c>
      <x:c r="J298" t="n">
        <x:v>10</x:v>
      </x:c>
      <x:c r="K298" t="n">
        <x:v>2</x:v>
      </x:c>
      <x:c r="L298" t="n">
        <x:f>IF(I298&lt;=J298,1,0)</x:f>
        <x:v>1</x:v>
      </x:c>
      <x:c r="P298" t="n">
        <x:f>IF(M298="",IF(AND(L298=1,K298&gt;=1),1,0),M298)</x:f>
        <x:v>1</x:v>
      </x:c>
      <x:c r="Q298" t="n">
        <x:f>IF(N298="",IF(AND(L298=1,K298&gt;=2),1,0),N298)</x:f>
        <x:v>1</x:v>
      </x:c>
      <x:c r="R298" t="n">
        <x:f>IF(O298="",IF(AND(L298=1,K298&gt;=3),1,0),O298)</x:f>
        <x:v>0</x:v>
      </x:c>
      <x:c r="S298" t="n">
        <x:f>SUM(P298:R298)</x:f>
        <x:v>2</x:v>
      </x:c>
      <x:c r="T298" t="str">
        <x:f>IF(COUNTA(M298:O298)=0,"DerivedFromCount","ManualOverride")</x:f>
        <x:v>DerivedFromCount</x:v>
      </x:c>
      <x:c r="U298" t="str">
        <x:f>IF(COUNTIF(DailyProduction!$Q$5:$Q$100,B298)=1,"OK","CHECK")</x:f>
        <x:v>OK</x:v>
      </x:c>
      <x:c r="V298" t="str">
        <x:f>IF(AND(I298&gt;=1,I298&lt;=13,K298&gt;=1,K298&lt;=3),"OK","CHECK")</x:f>
        <x:v>OK</x:v>
      </x:c>
      <x:c r="W298" t="str">
        <x:f>IF(SUMIF($B$5:$B$914,B298,$S$5:$S$914)=SUMIF(DailyProduction!$Q$5:$Q$100,B298,DailyProduction!$R$5:$R$100),"OK","CHECK")</x:f>
        <x:v>OK</x:v>
      </x:c>
    </x:row>
    <x:row r="299">
      <x:c r="A299" t="str">
        <x:v>PC-PE-KG01-L22-20251024-AM-ORD-2025-00057-S09</x:v>
      </x:c>
      <x:c r="B299" t="str">
        <x:v>PE-KG01-L22-20251024-AM-ORD-2025-00057</x:v>
      </x:c>
      <x:c r="C299" t="str">
        <x:v>KG01</x:v>
      </x:c>
      <x:c r="D299" t="n">
        <x:v>45954</x:v>
      </x:c>
      <x:c r="E299" t="str">
        <x:v>AM</x:v>
      </x:c>
      <x:c r="F299" t="str">
        <x:v>A</x:v>
      </x:c>
      <x:c r="G299" t="n">
        <x:v>22</x:v>
      </x:c>
      <x:c r="H299" t="str">
        <x:v>ORD-2025-00057</x:v>
      </x:c>
      <x:c r="I299" t="n">
        <x:v>9</x:v>
      </x:c>
      <x:c r="J299" t="n">
        <x:v>10</x:v>
      </x:c>
      <x:c r="K299" t="n">
        <x:v>2</x:v>
      </x:c>
      <x:c r="L299" t="n">
        <x:f>IF(I299&lt;=J299,1,0)</x:f>
        <x:v>1</x:v>
      </x:c>
      <x:c r="P299" t="n">
        <x:f>IF(M299="",IF(AND(L299=1,K299&gt;=1),1,0),M299)</x:f>
        <x:v>1</x:v>
      </x:c>
      <x:c r="Q299" t="n">
        <x:f>IF(N299="",IF(AND(L299=1,K299&gt;=2),1,0),N299)</x:f>
        <x:v>1</x:v>
      </x:c>
      <x:c r="R299" t="n">
        <x:f>IF(O299="",IF(AND(L299=1,K299&gt;=3),1,0),O299)</x:f>
        <x:v>0</x:v>
      </x:c>
      <x:c r="S299" t="n">
        <x:f>SUM(P299:R299)</x:f>
        <x:v>2</x:v>
      </x:c>
      <x:c r="T299" t="str">
        <x:f>IF(COUNTA(M299:O299)=0,"DerivedFromCount","ManualOverride")</x:f>
        <x:v>DerivedFromCount</x:v>
      </x:c>
      <x:c r="U299" t="str">
        <x:f>IF(COUNTIF(DailyProduction!$Q$5:$Q$100,B299)=1,"OK","CHECK")</x:f>
        <x:v>OK</x:v>
      </x:c>
      <x:c r="V299" t="str">
        <x:f>IF(AND(I299&gt;=1,I299&lt;=13,K299&gt;=1,K299&lt;=3),"OK","CHECK")</x:f>
        <x:v>OK</x:v>
      </x:c>
      <x:c r="W299" t="str">
        <x:f>IF(SUMIF($B$5:$B$914,B299,$S$5:$S$914)=SUMIF(DailyProduction!$Q$5:$Q$100,B299,DailyProduction!$R$5:$R$100),"OK","CHECK")</x:f>
        <x:v>OK</x:v>
      </x:c>
    </x:row>
    <x:row r="300">
      <x:c r="A300" t="str">
        <x:v>PC-PE-KG01-L22-20251024-AM-ORD-2025-00057-S10</x:v>
      </x:c>
      <x:c r="B300" t="str">
        <x:v>PE-KG01-L22-20251024-AM-ORD-2025-00057</x:v>
      </x:c>
      <x:c r="C300" t="str">
        <x:v>KG01</x:v>
      </x:c>
      <x:c r="D300" t="n">
        <x:v>45954</x:v>
      </x:c>
      <x:c r="E300" t="str">
        <x:v>AM</x:v>
      </x:c>
      <x:c r="F300" t="str">
        <x:v>A</x:v>
      </x:c>
      <x:c r="G300" t="n">
        <x:v>22</x:v>
      </x:c>
      <x:c r="H300" t="str">
        <x:v>ORD-2025-00057</x:v>
      </x:c>
      <x:c r="I300" t="n">
        <x:v>10</x:v>
      </x:c>
      <x:c r="J300" t="n">
        <x:v>10</x:v>
      </x:c>
      <x:c r="K300" t="n">
        <x:v>2</x:v>
      </x:c>
      <x:c r="L300" t="n">
        <x:f>IF(I300&lt;=J300,1,0)</x:f>
        <x:v>1</x:v>
      </x:c>
      <x:c r="P300" t="n">
        <x:f>IF(M300="",IF(AND(L300=1,K300&gt;=1),1,0),M300)</x:f>
        <x:v>1</x:v>
      </x:c>
      <x:c r="Q300" t="n">
        <x:f>IF(N300="",IF(AND(L300=1,K300&gt;=2),1,0),N300)</x:f>
        <x:v>1</x:v>
      </x:c>
      <x:c r="R300" t="n">
        <x:f>IF(O300="",IF(AND(L300=1,K300&gt;=3),1,0),O300)</x:f>
        <x:v>0</x:v>
      </x:c>
      <x:c r="S300" t="n">
        <x:f>SUM(P300:R300)</x:f>
        <x:v>2</x:v>
      </x:c>
      <x:c r="T300" t="str">
        <x:f>IF(COUNTA(M300:O300)=0,"DerivedFromCount","ManualOverride")</x:f>
        <x:v>DerivedFromCount</x:v>
      </x:c>
      <x:c r="U300" t="str">
        <x:f>IF(COUNTIF(DailyProduction!$Q$5:$Q$100,B300)=1,"OK","CHECK")</x:f>
        <x:v>OK</x:v>
      </x:c>
      <x:c r="V300" t="str">
        <x:f>IF(AND(I300&gt;=1,I300&lt;=13,K300&gt;=1,K300&lt;=3),"OK","CHECK")</x:f>
        <x:v>OK</x:v>
      </x:c>
      <x:c r="W300" t="str">
        <x:f>IF(SUMIF($B$5:$B$914,B300,$S$5:$S$914)=SUMIF(DailyProduction!$Q$5:$Q$100,B300,DailyProduction!$R$5:$R$100),"OK","CHECK")</x:f>
        <x:v>OK</x:v>
      </x:c>
    </x:row>
    <x:row r="301">
      <x:c r="A301" t="str">
        <x:v>PC-PE-KG01-L22-20251024-AM-ORD-2025-00057-S11</x:v>
      </x:c>
      <x:c r="B301" t="str">
        <x:v>PE-KG01-L22-20251024-AM-ORD-2025-00057</x:v>
      </x:c>
      <x:c r="C301" t="str">
        <x:v>KG01</x:v>
      </x:c>
      <x:c r="D301" t="n">
        <x:v>45954</x:v>
      </x:c>
      <x:c r="E301" t="str">
        <x:v>AM</x:v>
      </x:c>
      <x:c r="F301" t="str">
        <x:v>A</x:v>
      </x:c>
      <x:c r="G301" t="n">
        <x:v>22</x:v>
      </x:c>
      <x:c r="H301" t="str">
        <x:v>ORD-2025-00057</x:v>
      </x:c>
      <x:c r="I301" t="n">
        <x:v>11</x:v>
      </x:c>
      <x:c r="J301" t="n">
        <x:v>10</x:v>
      </x:c>
      <x:c r="K301" t="n">
        <x:v>2</x:v>
      </x:c>
      <x:c r="L301" t="n">
        <x:f>IF(I301&lt;=J301,1,0)</x:f>
        <x:v>0</x:v>
      </x:c>
      <x:c r="P301" t="n">
        <x:f>IF(M301="",IF(AND(L301=1,K301&gt;=1),1,0),M301)</x:f>
        <x:v>0</x:v>
      </x:c>
      <x:c r="Q301" t="n">
        <x:f>IF(N301="",IF(AND(L301=1,K301&gt;=2),1,0),N301)</x:f>
        <x:v>0</x:v>
      </x:c>
      <x:c r="R301" t="n">
        <x:f>IF(O301="",IF(AND(L301=1,K301&gt;=3),1,0),O301)</x:f>
        <x:v>0</x:v>
      </x:c>
      <x:c r="S301" t="n">
        <x:f>SUM(P301:R301)</x:f>
        <x:v>0</x:v>
      </x:c>
      <x:c r="T301" t="str">
        <x:f>IF(COUNTA(M301:O301)=0,"DerivedFromCount","ManualOverride")</x:f>
        <x:v>DerivedFromCount</x:v>
      </x:c>
      <x:c r="U301" t="str">
        <x:f>IF(COUNTIF(DailyProduction!$Q$5:$Q$100,B301)=1,"OK","CHECK")</x:f>
        <x:v>OK</x:v>
      </x:c>
      <x:c r="V301" t="str">
        <x:f>IF(AND(I301&gt;=1,I301&lt;=13,K301&gt;=1,K301&lt;=3),"OK","CHECK")</x:f>
        <x:v>OK</x:v>
      </x:c>
      <x:c r="W301" t="str">
        <x:f>IF(SUMIF($B$5:$B$914,B301,$S$5:$S$914)=SUMIF(DailyProduction!$Q$5:$Q$100,B301,DailyProduction!$R$5:$R$100),"OK","CHECK")</x:f>
        <x:v>OK</x:v>
      </x:c>
    </x:row>
    <x:row r="302">
      <x:c r="A302" t="str">
        <x:v>PC-PE-KG01-L22-20251024-AM-ORD-2025-00057-S12</x:v>
      </x:c>
      <x:c r="B302" t="str">
        <x:v>PE-KG01-L22-20251024-AM-ORD-2025-00057</x:v>
      </x:c>
      <x:c r="C302" t="str">
        <x:v>KG01</x:v>
      </x:c>
      <x:c r="D302" t="n">
        <x:v>45954</x:v>
      </x:c>
      <x:c r="E302" t="str">
        <x:v>AM</x:v>
      </x:c>
      <x:c r="F302" t="str">
        <x:v>A</x:v>
      </x:c>
      <x:c r="G302" t="n">
        <x:v>22</x:v>
      </x:c>
      <x:c r="H302" t="str">
        <x:v>ORD-2025-00057</x:v>
      </x:c>
      <x:c r="I302" t="n">
        <x:v>12</x:v>
      </x:c>
      <x:c r="J302" t="n">
        <x:v>10</x:v>
      </x:c>
      <x:c r="K302" t="n">
        <x:v>2</x:v>
      </x:c>
      <x:c r="L302" t="n">
        <x:f>IF(I302&lt;=J302,1,0)</x:f>
        <x:v>0</x:v>
      </x:c>
      <x:c r="P302" t="n">
        <x:f>IF(M302="",IF(AND(L302=1,K302&gt;=1),1,0),M302)</x:f>
        <x:v>0</x:v>
      </x:c>
      <x:c r="Q302" t="n">
        <x:f>IF(N302="",IF(AND(L302=1,K302&gt;=2),1,0),N302)</x:f>
        <x:v>0</x:v>
      </x:c>
      <x:c r="R302" t="n">
        <x:f>IF(O302="",IF(AND(L302=1,K302&gt;=3),1,0),O302)</x:f>
        <x:v>0</x:v>
      </x:c>
      <x:c r="S302" t="n">
        <x:f>SUM(P302:R302)</x:f>
        <x:v>0</x:v>
      </x:c>
      <x:c r="T302" t="str">
        <x:f>IF(COUNTA(M302:O302)=0,"DerivedFromCount","ManualOverride")</x:f>
        <x:v>DerivedFromCount</x:v>
      </x:c>
      <x:c r="U302" t="str">
        <x:f>IF(COUNTIF(DailyProduction!$Q$5:$Q$100,B302)=1,"OK","CHECK")</x:f>
        <x:v>OK</x:v>
      </x:c>
      <x:c r="V302" t="str">
        <x:f>IF(AND(I302&gt;=1,I302&lt;=13,K302&gt;=1,K302&lt;=3),"OK","CHECK")</x:f>
        <x:v>OK</x:v>
      </x:c>
      <x:c r="W302" t="str">
        <x:f>IF(SUMIF($B$5:$B$914,B302,$S$5:$S$914)=SUMIF(DailyProduction!$Q$5:$Q$100,B302,DailyProduction!$R$5:$R$100),"OK","CHECK")</x:f>
        <x:v>OK</x:v>
      </x:c>
    </x:row>
    <x:row r="303">
      <x:c r="A303" t="str">
        <x:v>PC-PE-KG01-L22-20251024-AM-ORD-2025-00057-S13</x:v>
      </x:c>
      <x:c r="B303" t="str">
        <x:v>PE-KG01-L22-20251024-AM-ORD-2025-00057</x:v>
      </x:c>
      <x:c r="C303" t="str">
        <x:v>KG01</x:v>
      </x:c>
      <x:c r="D303" t="n">
        <x:v>45954</x:v>
      </x:c>
      <x:c r="E303" t="str">
        <x:v>AM</x:v>
      </x:c>
      <x:c r="F303" t="str">
        <x:v>A</x:v>
      </x:c>
      <x:c r="G303" t="n">
        <x:v>22</x:v>
      </x:c>
      <x:c r="H303" t="str">
        <x:v>ORD-2025-00057</x:v>
      </x:c>
      <x:c r="I303" t="n">
        <x:v>13</x:v>
      </x:c>
      <x:c r="J303" t="n">
        <x:v>10</x:v>
      </x:c>
      <x:c r="K303" t="n">
        <x:v>2</x:v>
      </x:c>
      <x:c r="L303" t="n">
        <x:f>IF(I303&lt;=J303,1,0)</x:f>
        <x:v>0</x:v>
      </x:c>
      <x:c r="P303" t="n">
        <x:f>IF(M303="",IF(AND(L303=1,K303&gt;=1),1,0),M303)</x:f>
        <x:v>0</x:v>
      </x:c>
      <x:c r="Q303" t="n">
        <x:f>IF(N303="",IF(AND(L303=1,K303&gt;=2),1,0),N303)</x:f>
        <x:v>0</x:v>
      </x:c>
      <x:c r="R303" t="n">
        <x:f>IF(O303="",IF(AND(L303=1,K303&gt;=3),1,0),O303)</x:f>
        <x:v>0</x:v>
      </x:c>
      <x:c r="S303" t="n">
        <x:f>SUM(P303:R303)</x:f>
        <x:v>0</x:v>
      </x:c>
      <x:c r="T303" t="str">
        <x:f>IF(COUNTA(M303:O303)=0,"DerivedFromCount","ManualOverride")</x:f>
        <x:v>DerivedFromCount</x:v>
      </x:c>
      <x:c r="U303" t="str">
        <x:f>IF(COUNTIF(DailyProduction!$Q$5:$Q$100,B303)=1,"OK","CHECK")</x:f>
        <x:v>OK</x:v>
      </x:c>
      <x:c r="V303" t="str">
        <x:f>IF(AND(I303&gt;=1,I303&lt;=13,K303&gt;=1,K303&lt;=3),"OK","CHECK")</x:f>
        <x:v>OK</x:v>
      </x:c>
      <x:c r="W303" t="str">
        <x:f>IF(SUMIF($B$5:$B$914,B303,$S$5:$S$914)=SUMIF(DailyProduction!$Q$5:$Q$100,B303,DailyProduction!$R$5:$R$100),"OK","CHECK")</x:f>
        <x:v>OK</x:v>
      </x:c>
    </x:row>
    <x:row r="304">
      <x:c r="A304" t="str">
        <x:v>PC-PE-KG01-L22-20251024-PM-ORD-2025-00057-S01</x:v>
      </x:c>
      <x:c r="B304" t="str">
        <x:v>PE-KG01-L22-20251024-PM-ORD-2025-00057</x:v>
      </x:c>
      <x:c r="C304" t="str">
        <x:v>KG01</x:v>
      </x:c>
      <x:c r="D304" t="n">
        <x:v>45954</x:v>
      </x:c>
      <x:c r="E304" t="str">
        <x:v>PM</x:v>
      </x:c>
      <x:c r="F304" t="str">
        <x:v>B</x:v>
      </x:c>
      <x:c r="G304" t="n">
        <x:v>22</x:v>
      </x:c>
      <x:c r="H304" t="str">
        <x:v>ORD-2025-00057</x:v>
      </x:c>
      <x:c r="I304" t="n">
        <x:v>1</x:v>
      </x:c>
      <x:c r="J304" t="n">
        <x:v>10</x:v>
      </x:c>
      <x:c r="K304" t="n">
        <x:v>2</x:v>
      </x:c>
      <x:c r="L304" t="n">
        <x:f>IF(I304&lt;=J304,1,0)</x:f>
        <x:v>1</x:v>
      </x:c>
      <x:c r="P304" t="n">
        <x:f>IF(M304="",IF(AND(L304=1,K304&gt;=1),1,0),M304)</x:f>
        <x:v>1</x:v>
      </x:c>
      <x:c r="Q304" t="n">
        <x:f>IF(N304="",IF(AND(L304=1,K304&gt;=2),1,0),N304)</x:f>
        <x:v>1</x:v>
      </x:c>
      <x:c r="R304" t="n">
        <x:f>IF(O304="",IF(AND(L304=1,K304&gt;=3),1,0),O304)</x:f>
        <x:v>0</x:v>
      </x:c>
      <x:c r="S304" t="n">
        <x:f>SUM(P304:R304)</x:f>
        <x:v>2</x:v>
      </x:c>
      <x:c r="T304" t="str">
        <x:f>IF(COUNTA(M304:O304)=0,"DerivedFromCount","ManualOverride")</x:f>
        <x:v>DerivedFromCount</x:v>
      </x:c>
      <x:c r="U304" t="str">
        <x:f>IF(COUNTIF(DailyProduction!$Q$5:$Q$100,B304)=1,"OK","CHECK")</x:f>
        <x:v>OK</x:v>
      </x:c>
      <x:c r="V304" t="str">
        <x:f>IF(AND(I304&gt;=1,I304&lt;=13,K304&gt;=1,K304&lt;=3),"OK","CHECK")</x:f>
        <x:v>OK</x:v>
      </x:c>
      <x:c r="W304" t="str">
        <x:f>IF(SUMIF($B$5:$B$914,B304,$S$5:$S$914)=SUMIF(DailyProduction!$Q$5:$Q$100,B304,DailyProduction!$R$5:$R$100),"OK","CHECK")</x:f>
        <x:v>OK</x:v>
      </x:c>
    </x:row>
    <x:row r="305">
      <x:c r="A305" t="str">
        <x:v>PC-PE-KG01-L22-20251024-PM-ORD-2025-00057-S02</x:v>
      </x:c>
      <x:c r="B305" t="str">
        <x:v>PE-KG01-L22-20251024-PM-ORD-2025-00057</x:v>
      </x:c>
      <x:c r="C305" t="str">
        <x:v>KG01</x:v>
      </x:c>
      <x:c r="D305" t="n">
        <x:v>45954</x:v>
      </x:c>
      <x:c r="E305" t="str">
        <x:v>PM</x:v>
      </x:c>
      <x:c r="F305" t="str">
        <x:v>B</x:v>
      </x:c>
      <x:c r="G305" t="n">
        <x:v>22</x:v>
      </x:c>
      <x:c r="H305" t="str">
        <x:v>ORD-2025-00057</x:v>
      </x:c>
      <x:c r="I305" t="n">
        <x:v>2</x:v>
      </x:c>
      <x:c r="J305" t="n">
        <x:v>10</x:v>
      </x:c>
      <x:c r="K305" t="n">
        <x:v>2</x:v>
      </x:c>
      <x:c r="L305" t="n">
        <x:f>IF(I305&lt;=J305,1,0)</x:f>
        <x:v>1</x:v>
      </x:c>
      <x:c r="P305" t="n">
        <x:f>IF(M305="",IF(AND(L305=1,K305&gt;=1),1,0),M305)</x:f>
        <x:v>1</x:v>
      </x:c>
      <x:c r="Q305" t="n">
        <x:f>IF(N305="",IF(AND(L305=1,K305&gt;=2),1,0),N305)</x:f>
        <x:v>1</x:v>
      </x:c>
      <x:c r="R305" t="n">
        <x:f>IF(O305="",IF(AND(L305=1,K305&gt;=3),1,0),O305)</x:f>
        <x:v>0</x:v>
      </x:c>
      <x:c r="S305" t="n">
        <x:f>SUM(P305:R305)</x:f>
        <x:v>2</x:v>
      </x:c>
      <x:c r="T305" t="str">
        <x:f>IF(COUNTA(M305:O305)=0,"DerivedFromCount","ManualOverride")</x:f>
        <x:v>DerivedFromCount</x:v>
      </x:c>
      <x:c r="U305" t="str">
        <x:f>IF(COUNTIF(DailyProduction!$Q$5:$Q$100,B305)=1,"OK","CHECK")</x:f>
        <x:v>OK</x:v>
      </x:c>
      <x:c r="V305" t="str">
        <x:f>IF(AND(I305&gt;=1,I305&lt;=13,K305&gt;=1,K305&lt;=3),"OK","CHECK")</x:f>
        <x:v>OK</x:v>
      </x:c>
      <x:c r="W305" t="str">
        <x:f>IF(SUMIF($B$5:$B$914,B305,$S$5:$S$914)=SUMIF(DailyProduction!$Q$5:$Q$100,B305,DailyProduction!$R$5:$R$100),"OK","CHECK")</x:f>
        <x:v>OK</x:v>
      </x:c>
    </x:row>
    <x:row r="306">
      <x:c r="A306" t="str">
        <x:v>PC-PE-KG01-L22-20251024-PM-ORD-2025-00057-S03</x:v>
      </x:c>
      <x:c r="B306" t="str">
        <x:v>PE-KG01-L22-20251024-PM-ORD-2025-00057</x:v>
      </x:c>
      <x:c r="C306" t="str">
        <x:v>KG01</x:v>
      </x:c>
      <x:c r="D306" t="n">
        <x:v>45954</x:v>
      </x:c>
      <x:c r="E306" t="str">
        <x:v>PM</x:v>
      </x:c>
      <x:c r="F306" t="str">
        <x:v>B</x:v>
      </x:c>
      <x:c r="G306" t="n">
        <x:v>22</x:v>
      </x:c>
      <x:c r="H306" t="str">
        <x:v>ORD-2025-00057</x:v>
      </x:c>
      <x:c r="I306" t="n">
        <x:v>3</x:v>
      </x:c>
      <x:c r="J306" t="n">
        <x:v>10</x:v>
      </x:c>
      <x:c r="K306" t="n">
        <x:v>2</x:v>
      </x:c>
      <x:c r="L306" t="n">
        <x:f>IF(I306&lt;=J306,1,0)</x:f>
        <x:v>1</x:v>
      </x:c>
      <x:c r="P306" t="n">
        <x:f>IF(M306="",IF(AND(L306=1,K306&gt;=1),1,0),M306)</x:f>
        <x:v>1</x:v>
      </x:c>
      <x:c r="Q306" t="n">
        <x:f>IF(N306="",IF(AND(L306=1,K306&gt;=2),1,0),N306)</x:f>
        <x:v>1</x:v>
      </x:c>
      <x:c r="R306" t="n">
        <x:f>IF(O306="",IF(AND(L306=1,K306&gt;=3),1,0),O306)</x:f>
        <x:v>0</x:v>
      </x:c>
      <x:c r="S306" t="n">
        <x:f>SUM(P306:R306)</x:f>
        <x:v>2</x:v>
      </x:c>
      <x:c r="T306" t="str">
        <x:f>IF(COUNTA(M306:O306)=0,"DerivedFromCount","ManualOverride")</x:f>
        <x:v>DerivedFromCount</x:v>
      </x:c>
      <x:c r="U306" t="str">
        <x:f>IF(COUNTIF(DailyProduction!$Q$5:$Q$100,B306)=1,"OK","CHECK")</x:f>
        <x:v>OK</x:v>
      </x:c>
      <x:c r="V306" t="str">
        <x:f>IF(AND(I306&gt;=1,I306&lt;=13,K306&gt;=1,K306&lt;=3),"OK","CHECK")</x:f>
        <x:v>OK</x:v>
      </x:c>
      <x:c r="W306" t="str">
        <x:f>IF(SUMIF($B$5:$B$914,B306,$S$5:$S$914)=SUMIF(DailyProduction!$Q$5:$Q$100,B306,DailyProduction!$R$5:$R$100),"OK","CHECK")</x:f>
        <x:v>OK</x:v>
      </x:c>
    </x:row>
    <x:row r="307">
      <x:c r="A307" t="str">
        <x:v>PC-PE-KG01-L22-20251024-PM-ORD-2025-00057-S04</x:v>
      </x:c>
      <x:c r="B307" t="str">
        <x:v>PE-KG01-L22-20251024-PM-ORD-2025-00057</x:v>
      </x:c>
      <x:c r="C307" t="str">
        <x:v>KG01</x:v>
      </x:c>
      <x:c r="D307" t="n">
        <x:v>45954</x:v>
      </x:c>
      <x:c r="E307" t="str">
        <x:v>PM</x:v>
      </x:c>
      <x:c r="F307" t="str">
        <x:v>B</x:v>
      </x:c>
      <x:c r="G307" t="n">
        <x:v>22</x:v>
      </x:c>
      <x:c r="H307" t="str">
        <x:v>ORD-2025-00057</x:v>
      </x:c>
      <x:c r="I307" t="n">
        <x:v>4</x:v>
      </x:c>
      <x:c r="J307" t="n">
        <x:v>10</x:v>
      </x:c>
      <x:c r="K307" t="n">
        <x:v>2</x:v>
      </x:c>
      <x:c r="L307" t="n">
        <x:f>IF(I307&lt;=J307,1,0)</x:f>
        <x:v>1</x:v>
      </x:c>
      <x:c r="P307" t="n">
        <x:f>IF(M307="",IF(AND(L307=1,K307&gt;=1),1,0),M307)</x:f>
        <x:v>1</x:v>
      </x:c>
      <x:c r="Q307" t="n">
        <x:f>IF(N307="",IF(AND(L307=1,K307&gt;=2),1,0),N307)</x:f>
        <x:v>1</x:v>
      </x:c>
      <x:c r="R307" t="n">
        <x:f>IF(O307="",IF(AND(L307=1,K307&gt;=3),1,0),O307)</x:f>
        <x:v>0</x:v>
      </x:c>
      <x:c r="S307" t="n">
        <x:f>SUM(P307:R307)</x:f>
        <x:v>2</x:v>
      </x:c>
      <x:c r="T307" t="str">
        <x:f>IF(COUNTA(M307:O307)=0,"DerivedFromCount","ManualOverride")</x:f>
        <x:v>DerivedFromCount</x:v>
      </x:c>
      <x:c r="U307" t="str">
        <x:f>IF(COUNTIF(DailyProduction!$Q$5:$Q$100,B307)=1,"OK","CHECK")</x:f>
        <x:v>OK</x:v>
      </x:c>
      <x:c r="V307" t="str">
        <x:f>IF(AND(I307&gt;=1,I307&lt;=13,K307&gt;=1,K307&lt;=3),"OK","CHECK")</x:f>
        <x:v>OK</x:v>
      </x:c>
      <x:c r="W307" t="str">
        <x:f>IF(SUMIF($B$5:$B$914,B307,$S$5:$S$914)=SUMIF(DailyProduction!$Q$5:$Q$100,B307,DailyProduction!$R$5:$R$100),"OK","CHECK")</x:f>
        <x:v>OK</x:v>
      </x:c>
    </x:row>
    <x:row r="308">
      <x:c r="A308" t="str">
        <x:v>PC-PE-KG01-L22-20251024-PM-ORD-2025-00057-S05</x:v>
      </x:c>
      <x:c r="B308" t="str">
        <x:v>PE-KG01-L22-20251024-PM-ORD-2025-00057</x:v>
      </x:c>
      <x:c r="C308" t="str">
        <x:v>KG01</x:v>
      </x:c>
      <x:c r="D308" t="n">
        <x:v>45954</x:v>
      </x:c>
      <x:c r="E308" t="str">
        <x:v>PM</x:v>
      </x:c>
      <x:c r="F308" t="str">
        <x:v>B</x:v>
      </x:c>
      <x:c r="G308" t="n">
        <x:v>22</x:v>
      </x:c>
      <x:c r="H308" t="str">
        <x:v>ORD-2025-00057</x:v>
      </x:c>
      <x:c r="I308" t="n">
        <x:v>5</x:v>
      </x:c>
      <x:c r="J308" t="n">
        <x:v>10</x:v>
      </x:c>
      <x:c r="K308" t="n">
        <x:v>2</x:v>
      </x:c>
      <x:c r="L308" t="n">
        <x:f>IF(I308&lt;=J308,1,0)</x:f>
        <x:v>1</x:v>
      </x:c>
      <x:c r="P308" t="n">
        <x:f>IF(M308="",IF(AND(L308=1,K308&gt;=1),1,0),M308)</x:f>
        <x:v>1</x:v>
      </x:c>
      <x:c r="Q308" t="n">
        <x:f>IF(N308="",IF(AND(L308=1,K308&gt;=2),1,0),N308)</x:f>
        <x:v>1</x:v>
      </x:c>
      <x:c r="R308" t="n">
        <x:f>IF(O308="",IF(AND(L308=1,K308&gt;=3),1,0),O308)</x:f>
        <x:v>0</x:v>
      </x:c>
      <x:c r="S308" t="n">
        <x:f>SUM(P308:R308)</x:f>
        <x:v>2</x:v>
      </x:c>
      <x:c r="T308" t="str">
        <x:f>IF(COUNTA(M308:O308)=0,"DerivedFromCount","ManualOverride")</x:f>
        <x:v>DerivedFromCount</x:v>
      </x:c>
      <x:c r="U308" t="str">
        <x:f>IF(COUNTIF(DailyProduction!$Q$5:$Q$100,B308)=1,"OK","CHECK")</x:f>
        <x:v>OK</x:v>
      </x:c>
      <x:c r="V308" t="str">
        <x:f>IF(AND(I308&gt;=1,I308&lt;=13,K308&gt;=1,K308&lt;=3),"OK","CHECK")</x:f>
        <x:v>OK</x:v>
      </x:c>
      <x:c r="W308" t="str">
        <x:f>IF(SUMIF($B$5:$B$914,B308,$S$5:$S$914)=SUMIF(DailyProduction!$Q$5:$Q$100,B308,DailyProduction!$R$5:$R$100),"OK","CHECK")</x:f>
        <x:v>OK</x:v>
      </x:c>
    </x:row>
    <x:row r="309">
      <x:c r="A309" t="str">
        <x:v>PC-PE-KG01-L22-20251024-PM-ORD-2025-00057-S06</x:v>
      </x:c>
      <x:c r="B309" t="str">
        <x:v>PE-KG01-L22-20251024-PM-ORD-2025-00057</x:v>
      </x:c>
      <x:c r="C309" t="str">
        <x:v>KG01</x:v>
      </x:c>
      <x:c r="D309" t="n">
        <x:v>45954</x:v>
      </x:c>
      <x:c r="E309" t="str">
        <x:v>PM</x:v>
      </x:c>
      <x:c r="F309" t="str">
        <x:v>B</x:v>
      </x:c>
      <x:c r="G309" t="n">
        <x:v>22</x:v>
      </x:c>
      <x:c r="H309" t="str">
        <x:v>ORD-2025-00057</x:v>
      </x:c>
      <x:c r="I309" t="n">
        <x:v>6</x:v>
      </x:c>
      <x:c r="J309" t="n">
        <x:v>10</x:v>
      </x:c>
      <x:c r="K309" t="n">
        <x:v>2</x:v>
      </x:c>
      <x:c r="L309" t="n">
        <x:f>IF(I309&lt;=J309,1,0)</x:f>
        <x:v>1</x:v>
      </x:c>
      <x:c r="P309" t="n">
        <x:f>IF(M309="",IF(AND(L309=1,K309&gt;=1),1,0),M309)</x:f>
        <x:v>1</x:v>
      </x:c>
      <x:c r="Q309" t="n">
        <x:f>IF(N309="",IF(AND(L309=1,K309&gt;=2),1,0),N309)</x:f>
        <x:v>1</x:v>
      </x:c>
      <x:c r="R309" t="n">
        <x:f>IF(O309="",IF(AND(L309=1,K309&gt;=3),1,0),O309)</x:f>
        <x:v>0</x:v>
      </x:c>
      <x:c r="S309" t="n">
        <x:f>SUM(P309:R309)</x:f>
        <x:v>2</x:v>
      </x:c>
      <x:c r="T309" t="str">
        <x:f>IF(COUNTA(M309:O309)=0,"DerivedFromCount","ManualOverride")</x:f>
        <x:v>DerivedFromCount</x:v>
      </x:c>
      <x:c r="U309" t="str">
        <x:f>IF(COUNTIF(DailyProduction!$Q$5:$Q$100,B309)=1,"OK","CHECK")</x:f>
        <x:v>OK</x:v>
      </x:c>
      <x:c r="V309" t="str">
        <x:f>IF(AND(I309&gt;=1,I309&lt;=13,K309&gt;=1,K309&lt;=3),"OK","CHECK")</x:f>
        <x:v>OK</x:v>
      </x:c>
      <x:c r="W309" t="str">
        <x:f>IF(SUMIF($B$5:$B$914,B309,$S$5:$S$914)=SUMIF(DailyProduction!$Q$5:$Q$100,B309,DailyProduction!$R$5:$R$100),"OK","CHECK")</x:f>
        <x:v>OK</x:v>
      </x:c>
    </x:row>
    <x:row r="310">
      <x:c r="A310" t="str">
        <x:v>PC-PE-KG01-L22-20251024-PM-ORD-2025-00057-S07</x:v>
      </x:c>
      <x:c r="B310" t="str">
        <x:v>PE-KG01-L22-20251024-PM-ORD-2025-00057</x:v>
      </x:c>
      <x:c r="C310" t="str">
        <x:v>KG01</x:v>
      </x:c>
      <x:c r="D310" t="n">
        <x:v>45954</x:v>
      </x:c>
      <x:c r="E310" t="str">
        <x:v>PM</x:v>
      </x:c>
      <x:c r="F310" t="str">
        <x:v>B</x:v>
      </x:c>
      <x:c r="G310" t="n">
        <x:v>22</x:v>
      </x:c>
      <x:c r="H310" t="str">
        <x:v>ORD-2025-00057</x:v>
      </x:c>
      <x:c r="I310" t="n">
        <x:v>7</x:v>
      </x:c>
      <x:c r="J310" t="n">
        <x:v>10</x:v>
      </x:c>
      <x:c r="K310" t="n">
        <x:v>2</x:v>
      </x:c>
      <x:c r="L310" t="n">
        <x:f>IF(I310&lt;=J310,1,0)</x:f>
        <x:v>1</x:v>
      </x:c>
      <x:c r="P310" t="n">
        <x:f>IF(M310="",IF(AND(L310=1,K310&gt;=1),1,0),M310)</x:f>
        <x:v>1</x:v>
      </x:c>
      <x:c r="Q310" t="n">
        <x:f>IF(N310="",IF(AND(L310=1,K310&gt;=2),1,0),N310)</x:f>
        <x:v>1</x:v>
      </x:c>
      <x:c r="R310" t="n">
        <x:f>IF(O310="",IF(AND(L310=1,K310&gt;=3),1,0),O310)</x:f>
        <x:v>0</x:v>
      </x:c>
      <x:c r="S310" t="n">
        <x:f>SUM(P310:R310)</x:f>
        <x:v>2</x:v>
      </x:c>
      <x:c r="T310" t="str">
        <x:f>IF(COUNTA(M310:O310)=0,"DerivedFromCount","ManualOverride")</x:f>
        <x:v>DerivedFromCount</x:v>
      </x:c>
      <x:c r="U310" t="str">
        <x:f>IF(COUNTIF(DailyProduction!$Q$5:$Q$100,B310)=1,"OK","CHECK")</x:f>
        <x:v>OK</x:v>
      </x:c>
      <x:c r="V310" t="str">
        <x:f>IF(AND(I310&gt;=1,I310&lt;=13,K310&gt;=1,K310&lt;=3),"OK","CHECK")</x:f>
        <x:v>OK</x:v>
      </x:c>
      <x:c r="W310" t="str">
        <x:f>IF(SUMIF($B$5:$B$914,B310,$S$5:$S$914)=SUMIF(DailyProduction!$Q$5:$Q$100,B310,DailyProduction!$R$5:$R$100),"OK","CHECK")</x:f>
        <x:v>OK</x:v>
      </x:c>
    </x:row>
    <x:row r="311">
      <x:c r="A311" t="str">
        <x:v>PC-PE-KG01-L22-20251024-PM-ORD-2025-00057-S08</x:v>
      </x:c>
      <x:c r="B311" t="str">
        <x:v>PE-KG01-L22-20251024-PM-ORD-2025-00057</x:v>
      </x:c>
      <x:c r="C311" t="str">
        <x:v>KG01</x:v>
      </x:c>
      <x:c r="D311" t="n">
        <x:v>45954</x:v>
      </x:c>
      <x:c r="E311" t="str">
        <x:v>PM</x:v>
      </x:c>
      <x:c r="F311" t="str">
        <x:v>B</x:v>
      </x:c>
      <x:c r="G311" t="n">
        <x:v>22</x:v>
      </x:c>
      <x:c r="H311" t="str">
        <x:v>ORD-2025-00057</x:v>
      </x:c>
      <x:c r="I311" t="n">
        <x:v>8</x:v>
      </x:c>
      <x:c r="J311" t="n">
        <x:v>10</x:v>
      </x:c>
      <x:c r="K311" t="n">
        <x:v>2</x:v>
      </x:c>
      <x:c r="L311" t="n">
        <x:f>IF(I311&lt;=J311,1,0)</x:f>
        <x:v>1</x:v>
      </x:c>
      <x:c r="P311" t="n">
        <x:f>IF(M311="",IF(AND(L311=1,K311&gt;=1),1,0),M311)</x:f>
        <x:v>1</x:v>
      </x:c>
      <x:c r="Q311" t="n">
        <x:f>IF(N311="",IF(AND(L311=1,K311&gt;=2),1,0),N311)</x:f>
        <x:v>1</x:v>
      </x:c>
      <x:c r="R311" t="n">
        <x:f>IF(O311="",IF(AND(L311=1,K311&gt;=3),1,0),O311)</x:f>
        <x:v>0</x:v>
      </x:c>
      <x:c r="S311" t="n">
        <x:f>SUM(P311:R311)</x:f>
        <x:v>2</x:v>
      </x:c>
      <x:c r="T311" t="str">
        <x:f>IF(COUNTA(M311:O311)=0,"DerivedFromCount","ManualOverride")</x:f>
        <x:v>DerivedFromCount</x:v>
      </x:c>
      <x:c r="U311" t="str">
        <x:f>IF(COUNTIF(DailyProduction!$Q$5:$Q$100,B311)=1,"OK","CHECK")</x:f>
        <x:v>OK</x:v>
      </x:c>
      <x:c r="V311" t="str">
        <x:f>IF(AND(I311&gt;=1,I311&lt;=13,K311&gt;=1,K311&lt;=3),"OK","CHECK")</x:f>
        <x:v>OK</x:v>
      </x:c>
      <x:c r="W311" t="str">
        <x:f>IF(SUMIF($B$5:$B$914,B311,$S$5:$S$914)=SUMIF(DailyProduction!$Q$5:$Q$100,B311,DailyProduction!$R$5:$R$100),"OK","CHECK")</x:f>
        <x:v>OK</x:v>
      </x:c>
    </x:row>
    <x:row r="312">
      <x:c r="A312" t="str">
        <x:v>PC-PE-KG01-L22-20251024-PM-ORD-2025-00057-S09</x:v>
      </x:c>
      <x:c r="B312" t="str">
        <x:v>PE-KG01-L22-20251024-PM-ORD-2025-00057</x:v>
      </x:c>
      <x:c r="C312" t="str">
        <x:v>KG01</x:v>
      </x:c>
      <x:c r="D312" t="n">
        <x:v>45954</x:v>
      </x:c>
      <x:c r="E312" t="str">
        <x:v>PM</x:v>
      </x:c>
      <x:c r="F312" t="str">
        <x:v>B</x:v>
      </x:c>
      <x:c r="G312" t="n">
        <x:v>22</x:v>
      </x:c>
      <x:c r="H312" t="str">
        <x:v>ORD-2025-00057</x:v>
      </x:c>
      <x:c r="I312" t="n">
        <x:v>9</x:v>
      </x:c>
      <x:c r="J312" t="n">
        <x:v>10</x:v>
      </x:c>
      <x:c r="K312" t="n">
        <x:v>2</x:v>
      </x:c>
      <x:c r="L312" t="n">
        <x:f>IF(I312&lt;=J312,1,0)</x:f>
        <x:v>1</x:v>
      </x:c>
      <x:c r="P312" t="n">
        <x:f>IF(M312="",IF(AND(L312=1,K312&gt;=1),1,0),M312)</x:f>
        <x:v>1</x:v>
      </x:c>
      <x:c r="Q312" t="n">
        <x:f>IF(N312="",IF(AND(L312=1,K312&gt;=2),1,0),N312)</x:f>
        <x:v>1</x:v>
      </x:c>
      <x:c r="R312" t="n">
        <x:f>IF(O312="",IF(AND(L312=1,K312&gt;=3),1,0),O312)</x:f>
        <x:v>0</x:v>
      </x:c>
      <x:c r="S312" t="n">
        <x:f>SUM(P312:R312)</x:f>
        <x:v>2</x:v>
      </x:c>
      <x:c r="T312" t="str">
        <x:f>IF(COUNTA(M312:O312)=0,"DerivedFromCount","ManualOverride")</x:f>
        <x:v>DerivedFromCount</x:v>
      </x:c>
      <x:c r="U312" t="str">
        <x:f>IF(COUNTIF(DailyProduction!$Q$5:$Q$100,B312)=1,"OK","CHECK")</x:f>
        <x:v>OK</x:v>
      </x:c>
      <x:c r="V312" t="str">
        <x:f>IF(AND(I312&gt;=1,I312&lt;=13,K312&gt;=1,K312&lt;=3),"OK","CHECK")</x:f>
        <x:v>OK</x:v>
      </x:c>
      <x:c r="W312" t="str">
        <x:f>IF(SUMIF($B$5:$B$914,B312,$S$5:$S$914)=SUMIF(DailyProduction!$Q$5:$Q$100,B312,DailyProduction!$R$5:$R$100),"OK","CHECK")</x:f>
        <x:v>OK</x:v>
      </x:c>
    </x:row>
    <x:row r="313">
      <x:c r="A313" t="str">
        <x:v>PC-PE-KG01-L22-20251024-PM-ORD-2025-00057-S10</x:v>
      </x:c>
      <x:c r="B313" t="str">
        <x:v>PE-KG01-L22-20251024-PM-ORD-2025-00057</x:v>
      </x:c>
      <x:c r="C313" t="str">
        <x:v>KG01</x:v>
      </x:c>
      <x:c r="D313" t="n">
        <x:v>45954</x:v>
      </x:c>
      <x:c r="E313" t="str">
        <x:v>PM</x:v>
      </x:c>
      <x:c r="F313" t="str">
        <x:v>B</x:v>
      </x:c>
      <x:c r="G313" t="n">
        <x:v>22</x:v>
      </x:c>
      <x:c r="H313" t="str">
        <x:v>ORD-2025-00057</x:v>
      </x:c>
      <x:c r="I313" t="n">
        <x:v>10</x:v>
      </x:c>
      <x:c r="J313" t="n">
        <x:v>10</x:v>
      </x:c>
      <x:c r="K313" t="n">
        <x:v>2</x:v>
      </x:c>
      <x:c r="L313" t="n">
        <x:f>IF(I313&lt;=J313,1,0)</x:f>
        <x:v>1</x:v>
      </x:c>
      <x:c r="P313" t="n">
        <x:f>IF(M313="",IF(AND(L313=1,K313&gt;=1),1,0),M313)</x:f>
        <x:v>1</x:v>
      </x:c>
      <x:c r="Q313" t="n">
        <x:f>IF(N313="",IF(AND(L313=1,K313&gt;=2),1,0),N313)</x:f>
        <x:v>1</x:v>
      </x:c>
      <x:c r="R313" t="n">
        <x:f>IF(O313="",IF(AND(L313=1,K313&gt;=3),1,0),O313)</x:f>
        <x:v>0</x:v>
      </x:c>
      <x:c r="S313" t="n">
        <x:f>SUM(P313:R313)</x:f>
        <x:v>2</x:v>
      </x:c>
      <x:c r="T313" t="str">
        <x:f>IF(COUNTA(M313:O313)=0,"DerivedFromCount","ManualOverride")</x:f>
        <x:v>DerivedFromCount</x:v>
      </x:c>
      <x:c r="U313" t="str">
        <x:f>IF(COUNTIF(DailyProduction!$Q$5:$Q$100,B313)=1,"OK","CHECK")</x:f>
        <x:v>OK</x:v>
      </x:c>
      <x:c r="V313" t="str">
        <x:f>IF(AND(I313&gt;=1,I313&lt;=13,K313&gt;=1,K313&lt;=3),"OK","CHECK")</x:f>
        <x:v>OK</x:v>
      </x:c>
      <x:c r="W313" t="str">
        <x:f>IF(SUMIF($B$5:$B$914,B313,$S$5:$S$914)=SUMIF(DailyProduction!$Q$5:$Q$100,B313,DailyProduction!$R$5:$R$100),"OK","CHECK")</x:f>
        <x:v>OK</x:v>
      </x:c>
    </x:row>
    <x:row r="314">
      <x:c r="A314" t="str">
        <x:v>PC-PE-KG01-L22-20251024-PM-ORD-2025-00057-S11</x:v>
      </x:c>
      <x:c r="B314" t="str">
        <x:v>PE-KG01-L22-20251024-PM-ORD-2025-00057</x:v>
      </x:c>
      <x:c r="C314" t="str">
        <x:v>KG01</x:v>
      </x:c>
      <x:c r="D314" t="n">
        <x:v>45954</x:v>
      </x:c>
      <x:c r="E314" t="str">
        <x:v>PM</x:v>
      </x:c>
      <x:c r="F314" t="str">
        <x:v>B</x:v>
      </x:c>
      <x:c r="G314" t="n">
        <x:v>22</x:v>
      </x:c>
      <x:c r="H314" t="str">
        <x:v>ORD-2025-00057</x:v>
      </x:c>
      <x:c r="I314" t="n">
        <x:v>11</x:v>
      </x:c>
      <x:c r="J314" t="n">
        <x:v>10</x:v>
      </x:c>
      <x:c r="K314" t="n">
        <x:v>2</x:v>
      </x:c>
      <x:c r="L314" t="n">
        <x:f>IF(I314&lt;=J314,1,0)</x:f>
        <x:v>0</x:v>
      </x:c>
      <x:c r="P314" t="n">
        <x:f>IF(M314="",IF(AND(L314=1,K314&gt;=1),1,0),M314)</x:f>
        <x:v>0</x:v>
      </x:c>
      <x:c r="Q314" t="n">
        <x:f>IF(N314="",IF(AND(L314=1,K314&gt;=2),1,0),N314)</x:f>
        <x:v>0</x:v>
      </x:c>
      <x:c r="R314" t="n">
        <x:f>IF(O314="",IF(AND(L314=1,K314&gt;=3),1,0),O314)</x:f>
        <x:v>0</x:v>
      </x:c>
      <x:c r="S314" t="n">
        <x:f>SUM(P314:R314)</x:f>
        <x:v>0</x:v>
      </x:c>
      <x:c r="T314" t="str">
        <x:f>IF(COUNTA(M314:O314)=0,"DerivedFromCount","ManualOverride")</x:f>
        <x:v>DerivedFromCount</x:v>
      </x:c>
      <x:c r="U314" t="str">
        <x:f>IF(COUNTIF(DailyProduction!$Q$5:$Q$100,B314)=1,"OK","CHECK")</x:f>
        <x:v>OK</x:v>
      </x:c>
      <x:c r="V314" t="str">
        <x:f>IF(AND(I314&gt;=1,I314&lt;=13,K314&gt;=1,K314&lt;=3),"OK","CHECK")</x:f>
        <x:v>OK</x:v>
      </x:c>
      <x:c r="W314" t="str">
        <x:f>IF(SUMIF($B$5:$B$914,B314,$S$5:$S$914)=SUMIF(DailyProduction!$Q$5:$Q$100,B314,DailyProduction!$R$5:$R$100),"OK","CHECK")</x:f>
        <x:v>OK</x:v>
      </x:c>
    </x:row>
    <x:row r="315">
      <x:c r="A315" t="str">
        <x:v>PC-PE-KG01-L22-20251024-PM-ORD-2025-00057-S12</x:v>
      </x:c>
      <x:c r="B315" t="str">
        <x:v>PE-KG01-L22-20251024-PM-ORD-2025-00057</x:v>
      </x:c>
      <x:c r="C315" t="str">
        <x:v>KG01</x:v>
      </x:c>
      <x:c r="D315" t="n">
        <x:v>45954</x:v>
      </x:c>
      <x:c r="E315" t="str">
        <x:v>PM</x:v>
      </x:c>
      <x:c r="F315" t="str">
        <x:v>B</x:v>
      </x:c>
      <x:c r="G315" t="n">
        <x:v>22</x:v>
      </x:c>
      <x:c r="H315" t="str">
        <x:v>ORD-2025-00057</x:v>
      </x:c>
      <x:c r="I315" t="n">
        <x:v>12</x:v>
      </x:c>
      <x:c r="J315" t="n">
        <x:v>10</x:v>
      </x:c>
      <x:c r="K315" t="n">
        <x:v>2</x:v>
      </x:c>
      <x:c r="L315" t="n">
        <x:f>IF(I315&lt;=J315,1,0)</x:f>
        <x:v>0</x:v>
      </x:c>
      <x:c r="P315" t="n">
        <x:f>IF(M315="",IF(AND(L315=1,K315&gt;=1),1,0),M315)</x:f>
        <x:v>0</x:v>
      </x:c>
      <x:c r="Q315" t="n">
        <x:f>IF(N315="",IF(AND(L315=1,K315&gt;=2),1,0),N315)</x:f>
        <x:v>0</x:v>
      </x:c>
      <x:c r="R315" t="n">
        <x:f>IF(O315="",IF(AND(L315=1,K315&gt;=3),1,0),O315)</x:f>
        <x:v>0</x:v>
      </x:c>
      <x:c r="S315" t="n">
        <x:f>SUM(P315:R315)</x:f>
        <x:v>0</x:v>
      </x:c>
      <x:c r="T315" t="str">
        <x:f>IF(COUNTA(M315:O315)=0,"DerivedFromCount","ManualOverride")</x:f>
        <x:v>DerivedFromCount</x:v>
      </x:c>
      <x:c r="U315" t="str">
        <x:f>IF(COUNTIF(DailyProduction!$Q$5:$Q$100,B315)=1,"OK","CHECK")</x:f>
        <x:v>OK</x:v>
      </x:c>
      <x:c r="V315" t="str">
        <x:f>IF(AND(I315&gt;=1,I315&lt;=13,K315&gt;=1,K315&lt;=3),"OK","CHECK")</x:f>
        <x:v>OK</x:v>
      </x:c>
      <x:c r="W315" t="str">
        <x:f>IF(SUMIF($B$5:$B$914,B315,$S$5:$S$914)=SUMIF(DailyProduction!$Q$5:$Q$100,B315,DailyProduction!$R$5:$R$100),"OK","CHECK")</x:f>
        <x:v>OK</x:v>
      </x:c>
    </x:row>
    <x:row r="316">
      <x:c r="A316" t="str">
        <x:v>PC-PE-KG01-L22-20251024-PM-ORD-2025-00057-S13</x:v>
      </x:c>
      <x:c r="B316" t="str">
        <x:v>PE-KG01-L22-20251024-PM-ORD-2025-00057</x:v>
      </x:c>
      <x:c r="C316" t="str">
        <x:v>KG01</x:v>
      </x:c>
      <x:c r="D316" t="n">
        <x:v>45954</x:v>
      </x:c>
      <x:c r="E316" t="str">
        <x:v>PM</x:v>
      </x:c>
      <x:c r="F316" t="str">
        <x:v>B</x:v>
      </x:c>
      <x:c r="G316" t="n">
        <x:v>22</x:v>
      </x:c>
      <x:c r="H316" t="str">
        <x:v>ORD-2025-00057</x:v>
      </x:c>
      <x:c r="I316" t="n">
        <x:v>13</x:v>
      </x:c>
      <x:c r="J316" t="n">
        <x:v>10</x:v>
      </x:c>
      <x:c r="K316" t="n">
        <x:v>2</x:v>
      </x:c>
      <x:c r="L316" t="n">
        <x:f>IF(I316&lt;=J316,1,0)</x:f>
        <x:v>0</x:v>
      </x:c>
      <x:c r="P316" t="n">
        <x:f>IF(M316="",IF(AND(L316=1,K316&gt;=1),1,0),M316)</x:f>
        <x:v>0</x:v>
      </x:c>
      <x:c r="Q316" t="n">
        <x:f>IF(N316="",IF(AND(L316=1,K316&gt;=2),1,0),N316)</x:f>
        <x:v>0</x:v>
      </x:c>
      <x:c r="R316" t="n">
        <x:f>IF(O316="",IF(AND(L316=1,K316&gt;=3),1,0),O316)</x:f>
        <x:v>0</x:v>
      </x:c>
      <x:c r="S316" t="n">
        <x:f>SUM(P316:R316)</x:f>
        <x:v>0</x:v>
      </x:c>
      <x:c r="T316" t="str">
        <x:f>IF(COUNTA(M316:O316)=0,"DerivedFromCount","ManualOverride")</x:f>
        <x:v>DerivedFromCount</x:v>
      </x:c>
      <x:c r="U316" t="str">
        <x:f>IF(COUNTIF(DailyProduction!$Q$5:$Q$100,B316)=1,"OK","CHECK")</x:f>
        <x:v>OK</x:v>
      </x:c>
      <x:c r="V316" t="str">
        <x:f>IF(AND(I316&gt;=1,I316&lt;=13,K316&gt;=1,K316&lt;=3),"OK","CHECK")</x:f>
        <x:v>OK</x:v>
      </x:c>
      <x:c r="W316" t="str">
        <x:f>IF(SUMIF($B$5:$B$914,B316,$S$5:$S$914)=SUMIF(DailyProduction!$Q$5:$Q$100,B316,DailyProduction!$R$5:$R$100),"OK","CHECK")</x:f>
        <x:v>OK</x:v>
      </x:c>
    </x:row>
    <x:row r="317">
      <x:c r="A317" t="str">
        <x:v>PC-PE-KG01-L22-20251025-AM-ORD-2025-00057-S01</x:v>
      </x:c>
      <x:c r="B317" t="str">
        <x:v>PE-KG01-L22-20251025-AM-ORD-2025-00057</x:v>
      </x:c>
      <x:c r="C317" t="str">
        <x:v>KG01</x:v>
      </x:c>
      <x:c r="D317" t="n">
        <x:v>45955</x:v>
      </x:c>
      <x:c r="E317" t="str">
        <x:v>AM</x:v>
      </x:c>
      <x:c r="F317" t="str">
        <x:v>B</x:v>
      </x:c>
      <x:c r="G317" t="n">
        <x:v>22</x:v>
      </x:c>
      <x:c r="H317" t="str">
        <x:v>ORD-2025-00057</x:v>
      </x:c>
      <x:c r="I317" t="n">
        <x:v>1</x:v>
      </x:c>
      <x:c r="J317" t="n">
        <x:v>10</x:v>
      </x:c>
      <x:c r="K317" t="n">
        <x:v>2</x:v>
      </x:c>
      <x:c r="L317" t="n">
        <x:f>IF(I317&lt;=J317,1,0)</x:f>
        <x:v>1</x:v>
      </x:c>
      <x:c r="P317" t="n">
        <x:f>IF(M317="",IF(AND(L317=1,K317&gt;=1),1,0),M317)</x:f>
        <x:v>1</x:v>
      </x:c>
      <x:c r="Q317" t="n">
        <x:f>IF(N317="",IF(AND(L317=1,K317&gt;=2),1,0),N317)</x:f>
        <x:v>1</x:v>
      </x:c>
      <x:c r="R317" t="n">
        <x:f>IF(O317="",IF(AND(L317=1,K317&gt;=3),1,0),O317)</x:f>
        <x:v>0</x:v>
      </x:c>
      <x:c r="S317" t="n">
        <x:f>SUM(P317:R317)</x:f>
        <x:v>2</x:v>
      </x:c>
      <x:c r="T317" t="str">
        <x:f>IF(COUNTA(M317:O317)=0,"DerivedFromCount","ManualOverride")</x:f>
        <x:v>DerivedFromCount</x:v>
      </x:c>
      <x:c r="U317" t="str">
        <x:f>IF(COUNTIF(DailyProduction!$Q$5:$Q$100,B317)=1,"OK","CHECK")</x:f>
        <x:v>OK</x:v>
      </x:c>
      <x:c r="V317" t="str">
        <x:f>IF(AND(I317&gt;=1,I317&lt;=13,K317&gt;=1,K317&lt;=3),"OK","CHECK")</x:f>
        <x:v>OK</x:v>
      </x:c>
      <x:c r="W317" t="str">
        <x:f>IF(SUMIF($B$5:$B$914,B317,$S$5:$S$914)=SUMIF(DailyProduction!$Q$5:$Q$100,B317,DailyProduction!$R$5:$R$100),"OK","CHECK")</x:f>
        <x:v>OK</x:v>
      </x:c>
    </x:row>
    <x:row r="318">
      <x:c r="A318" t="str">
        <x:v>PC-PE-KG01-L22-20251025-AM-ORD-2025-00057-S02</x:v>
      </x:c>
      <x:c r="B318" t="str">
        <x:v>PE-KG01-L22-20251025-AM-ORD-2025-00057</x:v>
      </x:c>
      <x:c r="C318" t="str">
        <x:v>KG01</x:v>
      </x:c>
      <x:c r="D318" t="n">
        <x:v>45955</x:v>
      </x:c>
      <x:c r="E318" t="str">
        <x:v>AM</x:v>
      </x:c>
      <x:c r="F318" t="str">
        <x:v>B</x:v>
      </x:c>
      <x:c r="G318" t="n">
        <x:v>22</x:v>
      </x:c>
      <x:c r="H318" t="str">
        <x:v>ORD-2025-00057</x:v>
      </x:c>
      <x:c r="I318" t="n">
        <x:v>2</x:v>
      </x:c>
      <x:c r="J318" t="n">
        <x:v>10</x:v>
      </x:c>
      <x:c r="K318" t="n">
        <x:v>2</x:v>
      </x:c>
      <x:c r="L318" t="n">
        <x:f>IF(I318&lt;=J318,1,0)</x:f>
        <x:v>1</x:v>
      </x:c>
      <x:c r="P318" t="n">
        <x:f>IF(M318="",IF(AND(L318=1,K318&gt;=1),1,0),M318)</x:f>
        <x:v>1</x:v>
      </x:c>
      <x:c r="Q318" t="n">
        <x:f>IF(N318="",IF(AND(L318=1,K318&gt;=2),1,0),N318)</x:f>
        <x:v>1</x:v>
      </x:c>
      <x:c r="R318" t="n">
        <x:f>IF(O318="",IF(AND(L318=1,K318&gt;=3),1,0),O318)</x:f>
        <x:v>0</x:v>
      </x:c>
      <x:c r="S318" t="n">
        <x:f>SUM(P318:R318)</x:f>
        <x:v>2</x:v>
      </x:c>
      <x:c r="T318" t="str">
        <x:f>IF(COUNTA(M318:O318)=0,"DerivedFromCount","ManualOverride")</x:f>
        <x:v>DerivedFromCount</x:v>
      </x:c>
      <x:c r="U318" t="str">
        <x:f>IF(COUNTIF(DailyProduction!$Q$5:$Q$100,B318)=1,"OK","CHECK")</x:f>
        <x:v>OK</x:v>
      </x:c>
      <x:c r="V318" t="str">
        <x:f>IF(AND(I318&gt;=1,I318&lt;=13,K318&gt;=1,K318&lt;=3),"OK","CHECK")</x:f>
        <x:v>OK</x:v>
      </x:c>
      <x:c r="W318" t="str">
        <x:f>IF(SUMIF($B$5:$B$914,B318,$S$5:$S$914)=SUMIF(DailyProduction!$Q$5:$Q$100,B318,DailyProduction!$R$5:$R$100),"OK","CHECK")</x:f>
        <x:v>OK</x:v>
      </x:c>
    </x:row>
    <x:row r="319">
      <x:c r="A319" t="str">
        <x:v>PC-PE-KG01-L22-20251025-AM-ORD-2025-00057-S03</x:v>
      </x:c>
      <x:c r="B319" t="str">
        <x:v>PE-KG01-L22-20251025-AM-ORD-2025-00057</x:v>
      </x:c>
      <x:c r="C319" t="str">
        <x:v>KG01</x:v>
      </x:c>
      <x:c r="D319" t="n">
        <x:v>45955</x:v>
      </x:c>
      <x:c r="E319" t="str">
        <x:v>AM</x:v>
      </x:c>
      <x:c r="F319" t="str">
        <x:v>B</x:v>
      </x:c>
      <x:c r="G319" t="n">
        <x:v>22</x:v>
      </x:c>
      <x:c r="H319" t="str">
        <x:v>ORD-2025-00057</x:v>
      </x:c>
      <x:c r="I319" t="n">
        <x:v>3</x:v>
      </x:c>
      <x:c r="J319" t="n">
        <x:v>10</x:v>
      </x:c>
      <x:c r="K319" t="n">
        <x:v>2</x:v>
      </x:c>
      <x:c r="L319" t="n">
        <x:f>IF(I319&lt;=J319,1,0)</x:f>
        <x:v>1</x:v>
      </x:c>
      <x:c r="P319" t="n">
        <x:f>IF(M319="",IF(AND(L319=1,K319&gt;=1),1,0),M319)</x:f>
        <x:v>1</x:v>
      </x:c>
      <x:c r="Q319" t="n">
        <x:f>IF(N319="",IF(AND(L319=1,K319&gt;=2),1,0),N319)</x:f>
        <x:v>1</x:v>
      </x:c>
      <x:c r="R319" t="n">
        <x:f>IF(O319="",IF(AND(L319=1,K319&gt;=3),1,0),O319)</x:f>
        <x:v>0</x:v>
      </x:c>
      <x:c r="S319" t="n">
        <x:f>SUM(P319:R319)</x:f>
        <x:v>2</x:v>
      </x:c>
      <x:c r="T319" t="str">
        <x:f>IF(COUNTA(M319:O319)=0,"DerivedFromCount","ManualOverride")</x:f>
        <x:v>DerivedFromCount</x:v>
      </x:c>
      <x:c r="U319" t="str">
        <x:f>IF(COUNTIF(DailyProduction!$Q$5:$Q$100,B319)=1,"OK","CHECK")</x:f>
        <x:v>OK</x:v>
      </x:c>
      <x:c r="V319" t="str">
        <x:f>IF(AND(I319&gt;=1,I319&lt;=13,K319&gt;=1,K319&lt;=3),"OK","CHECK")</x:f>
        <x:v>OK</x:v>
      </x:c>
      <x:c r="W319" t="str">
        <x:f>IF(SUMIF($B$5:$B$914,B319,$S$5:$S$914)=SUMIF(DailyProduction!$Q$5:$Q$100,B319,DailyProduction!$R$5:$R$100),"OK","CHECK")</x:f>
        <x:v>OK</x:v>
      </x:c>
    </x:row>
    <x:row r="320">
      <x:c r="A320" t="str">
        <x:v>PC-PE-KG01-L22-20251025-AM-ORD-2025-00057-S04</x:v>
      </x:c>
      <x:c r="B320" t="str">
        <x:v>PE-KG01-L22-20251025-AM-ORD-2025-00057</x:v>
      </x:c>
      <x:c r="C320" t="str">
        <x:v>KG01</x:v>
      </x:c>
      <x:c r="D320" t="n">
        <x:v>45955</x:v>
      </x:c>
      <x:c r="E320" t="str">
        <x:v>AM</x:v>
      </x:c>
      <x:c r="F320" t="str">
        <x:v>B</x:v>
      </x:c>
      <x:c r="G320" t="n">
        <x:v>22</x:v>
      </x:c>
      <x:c r="H320" t="str">
        <x:v>ORD-2025-00057</x:v>
      </x:c>
      <x:c r="I320" t="n">
        <x:v>4</x:v>
      </x:c>
      <x:c r="J320" t="n">
        <x:v>10</x:v>
      </x:c>
      <x:c r="K320" t="n">
        <x:v>2</x:v>
      </x:c>
      <x:c r="L320" t="n">
        <x:f>IF(I320&lt;=J320,1,0)</x:f>
        <x:v>1</x:v>
      </x:c>
      <x:c r="P320" t="n">
        <x:f>IF(M320="",IF(AND(L320=1,K320&gt;=1),1,0),M320)</x:f>
        <x:v>1</x:v>
      </x:c>
      <x:c r="Q320" t="n">
        <x:f>IF(N320="",IF(AND(L320=1,K320&gt;=2),1,0),N320)</x:f>
        <x:v>1</x:v>
      </x:c>
      <x:c r="R320" t="n">
        <x:f>IF(O320="",IF(AND(L320=1,K320&gt;=3),1,0),O320)</x:f>
        <x:v>0</x:v>
      </x:c>
      <x:c r="S320" t="n">
        <x:f>SUM(P320:R320)</x:f>
        <x:v>2</x:v>
      </x:c>
      <x:c r="T320" t="str">
        <x:f>IF(COUNTA(M320:O320)=0,"DerivedFromCount","ManualOverride")</x:f>
        <x:v>DerivedFromCount</x:v>
      </x:c>
      <x:c r="U320" t="str">
        <x:f>IF(COUNTIF(DailyProduction!$Q$5:$Q$100,B320)=1,"OK","CHECK")</x:f>
        <x:v>OK</x:v>
      </x:c>
      <x:c r="V320" t="str">
        <x:f>IF(AND(I320&gt;=1,I320&lt;=13,K320&gt;=1,K320&lt;=3),"OK","CHECK")</x:f>
        <x:v>OK</x:v>
      </x:c>
      <x:c r="W320" t="str">
        <x:f>IF(SUMIF($B$5:$B$914,B320,$S$5:$S$914)=SUMIF(DailyProduction!$Q$5:$Q$100,B320,DailyProduction!$R$5:$R$100),"OK","CHECK")</x:f>
        <x:v>OK</x:v>
      </x:c>
    </x:row>
    <x:row r="321">
      <x:c r="A321" t="str">
        <x:v>PC-PE-KG01-L22-20251025-AM-ORD-2025-00057-S05</x:v>
      </x:c>
      <x:c r="B321" t="str">
        <x:v>PE-KG01-L22-20251025-AM-ORD-2025-00057</x:v>
      </x:c>
      <x:c r="C321" t="str">
        <x:v>KG01</x:v>
      </x:c>
      <x:c r="D321" t="n">
        <x:v>45955</x:v>
      </x:c>
      <x:c r="E321" t="str">
        <x:v>AM</x:v>
      </x:c>
      <x:c r="F321" t="str">
        <x:v>B</x:v>
      </x:c>
      <x:c r="G321" t="n">
        <x:v>22</x:v>
      </x:c>
      <x:c r="H321" t="str">
        <x:v>ORD-2025-00057</x:v>
      </x:c>
      <x:c r="I321" t="n">
        <x:v>5</x:v>
      </x:c>
      <x:c r="J321" t="n">
        <x:v>10</x:v>
      </x:c>
      <x:c r="K321" t="n">
        <x:v>2</x:v>
      </x:c>
      <x:c r="L321" t="n">
        <x:f>IF(I321&lt;=J321,1,0)</x:f>
        <x:v>1</x:v>
      </x:c>
      <x:c r="P321" t="n">
        <x:f>IF(M321="",IF(AND(L321=1,K321&gt;=1),1,0),M321)</x:f>
        <x:v>1</x:v>
      </x:c>
      <x:c r="Q321" t="n">
        <x:f>IF(N321="",IF(AND(L321=1,K321&gt;=2),1,0),N321)</x:f>
        <x:v>1</x:v>
      </x:c>
      <x:c r="R321" t="n">
        <x:f>IF(O321="",IF(AND(L321=1,K321&gt;=3),1,0),O321)</x:f>
        <x:v>0</x:v>
      </x:c>
      <x:c r="S321" t="n">
        <x:f>SUM(P321:R321)</x:f>
        <x:v>2</x:v>
      </x:c>
      <x:c r="T321" t="str">
        <x:f>IF(COUNTA(M321:O321)=0,"DerivedFromCount","ManualOverride")</x:f>
        <x:v>DerivedFromCount</x:v>
      </x:c>
      <x:c r="U321" t="str">
        <x:f>IF(COUNTIF(DailyProduction!$Q$5:$Q$100,B321)=1,"OK","CHECK")</x:f>
        <x:v>OK</x:v>
      </x:c>
      <x:c r="V321" t="str">
        <x:f>IF(AND(I321&gt;=1,I321&lt;=13,K321&gt;=1,K321&lt;=3),"OK","CHECK")</x:f>
        <x:v>OK</x:v>
      </x:c>
      <x:c r="W321" t="str">
        <x:f>IF(SUMIF($B$5:$B$914,B321,$S$5:$S$914)=SUMIF(DailyProduction!$Q$5:$Q$100,B321,DailyProduction!$R$5:$R$100),"OK","CHECK")</x:f>
        <x:v>OK</x:v>
      </x:c>
    </x:row>
    <x:row r="322">
      <x:c r="A322" t="str">
        <x:v>PC-PE-KG01-L22-20251025-AM-ORD-2025-00057-S06</x:v>
      </x:c>
      <x:c r="B322" t="str">
        <x:v>PE-KG01-L22-20251025-AM-ORD-2025-00057</x:v>
      </x:c>
      <x:c r="C322" t="str">
        <x:v>KG01</x:v>
      </x:c>
      <x:c r="D322" t="n">
        <x:v>45955</x:v>
      </x:c>
      <x:c r="E322" t="str">
        <x:v>AM</x:v>
      </x:c>
      <x:c r="F322" t="str">
        <x:v>B</x:v>
      </x:c>
      <x:c r="G322" t="n">
        <x:v>22</x:v>
      </x:c>
      <x:c r="H322" t="str">
        <x:v>ORD-2025-00057</x:v>
      </x:c>
      <x:c r="I322" t="n">
        <x:v>6</x:v>
      </x:c>
      <x:c r="J322" t="n">
        <x:v>10</x:v>
      </x:c>
      <x:c r="K322" t="n">
        <x:v>2</x:v>
      </x:c>
      <x:c r="L322" t="n">
        <x:f>IF(I322&lt;=J322,1,0)</x:f>
        <x:v>1</x:v>
      </x:c>
      <x:c r="P322" t="n">
        <x:f>IF(M322="",IF(AND(L322=1,K322&gt;=1),1,0),M322)</x:f>
        <x:v>1</x:v>
      </x:c>
      <x:c r="Q322" t="n">
        <x:f>IF(N322="",IF(AND(L322=1,K322&gt;=2),1,0),N322)</x:f>
        <x:v>1</x:v>
      </x:c>
      <x:c r="R322" t="n">
        <x:f>IF(O322="",IF(AND(L322=1,K322&gt;=3),1,0),O322)</x:f>
        <x:v>0</x:v>
      </x:c>
      <x:c r="S322" t="n">
        <x:f>SUM(P322:R322)</x:f>
        <x:v>2</x:v>
      </x:c>
      <x:c r="T322" t="str">
        <x:f>IF(COUNTA(M322:O322)=0,"DerivedFromCount","ManualOverride")</x:f>
        <x:v>DerivedFromCount</x:v>
      </x:c>
      <x:c r="U322" t="str">
        <x:f>IF(COUNTIF(DailyProduction!$Q$5:$Q$100,B322)=1,"OK","CHECK")</x:f>
        <x:v>OK</x:v>
      </x:c>
      <x:c r="V322" t="str">
        <x:f>IF(AND(I322&gt;=1,I322&lt;=13,K322&gt;=1,K322&lt;=3),"OK","CHECK")</x:f>
        <x:v>OK</x:v>
      </x:c>
      <x:c r="W322" t="str">
        <x:f>IF(SUMIF($B$5:$B$914,B322,$S$5:$S$914)=SUMIF(DailyProduction!$Q$5:$Q$100,B322,DailyProduction!$R$5:$R$100),"OK","CHECK")</x:f>
        <x:v>OK</x:v>
      </x:c>
    </x:row>
    <x:row r="323">
      <x:c r="A323" t="str">
        <x:v>PC-PE-KG01-L22-20251025-AM-ORD-2025-00057-S07</x:v>
      </x:c>
      <x:c r="B323" t="str">
        <x:v>PE-KG01-L22-20251025-AM-ORD-2025-00057</x:v>
      </x:c>
      <x:c r="C323" t="str">
        <x:v>KG01</x:v>
      </x:c>
      <x:c r="D323" t="n">
        <x:v>45955</x:v>
      </x:c>
      <x:c r="E323" t="str">
        <x:v>AM</x:v>
      </x:c>
      <x:c r="F323" t="str">
        <x:v>B</x:v>
      </x:c>
      <x:c r="G323" t="n">
        <x:v>22</x:v>
      </x:c>
      <x:c r="H323" t="str">
        <x:v>ORD-2025-00057</x:v>
      </x:c>
      <x:c r="I323" t="n">
        <x:v>7</x:v>
      </x:c>
      <x:c r="J323" t="n">
        <x:v>10</x:v>
      </x:c>
      <x:c r="K323" t="n">
        <x:v>2</x:v>
      </x:c>
      <x:c r="L323" t="n">
        <x:f>IF(I323&lt;=J323,1,0)</x:f>
        <x:v>1</x:v>
      </x:c>
      <x:c r="P323" t="n">
        <x:f>IF(M323="",IF(AND(L323=1,K323&gt;=1),1,0),M323)</x:f>
        <x:v>1</x:v>
      </x:c>
      <x:c r="Q323" t="n">
        <x:f>IF(N323="",IF(AND(L323=1,K323&gt;=2),1,0),N323)</x:f>
        <x:v>1</x:v>
      </x:c>
      <x:c r="R323" t="n">
        <x:f>IF(O323="",IF(AND(L323=1,K323&gt;=3),1,0),O323)</x:f>
        <x:v>0</x:v>
      </x:c>
      <x:c r="S323" t="n">
        <x:f>SUM(P323:R323)</x:f>
        <x:v>2</x:v>
      </x:c>
      <x:c r="T323" t="str">
        <x:f>IF(COUNTA(M323:O323)=0,"DerivedFromCount","ManualOverride")</x:f>
        <x:v>DerivedFromCount</x:v>
      </x:c>
      <x:c r="U323" t="str">
        <x:f>IF(COUNTIF(DailyProduction!$Q$5:$Q$100,B323)=1,"OK","CHECK")</x:f>
        <x:v>OK</x:v>
      </x:c>
      <x:c r="V323" t="str">
        <x:f>IF(AND(I323&gt;=1,I323&lt;=13,K323&gt;=1,K323&lt;=3),"OK","CHECK")</x:f>
        <x:v>OK</x:v>
      </x:c>
      <x:c r="W323" t="str">
        <x:f>IF(SUMIF($B$5:$B$914,B323,$S$5:$S$914)=SUMIF(DailyProduction!$Q$5:$Q$100,B323,DailyProduction!$R$5:$R$100),"OK","CHECK")</x:f>
        <x:v>OK</x:v>
      </x:c>
    </x:row>
    <x:row r="324">
      <x:c r="A324" t="str">
        <x:v>PC-PE-KG01-L22-20251025-AM-ORD-2025-00057-S08</x:v>
      </x:c>
      <x:c r="B324" t="str">
        <x:v>PE-KG01-L22-20251025-AM-ORD-2025-00057</x:v>
      </x:c>
      <x:c r="C324" t="str">
        <x:v>KG01</x:v>
      </x:c>
      <x:c r="D324" t="n">
        <x:v>45955</x:v>
      </x:c>
      <x:c r="E324" t="str">
        <x:v>AM</x:v>
      </x:c>
      <x:c r="F324" t="str">
        <x:v>B</x:v>
      </x:c>
      <x:c r="G324" t="n">
        <x:v>22</x:v>
      </x:c>
      <x:c r="H324" t="str">
        <x:v>ORD-2025-00057</x:v>
      </x:c>
      <x:c r="I324" t="n">
        <x:v>8</x:v>
      </x:c>
      <x:c r="J324" t="n">
        <x:v>10</x:v>
      </x:c>
      <x:c r="K324" t="n">
        <x:v>2</x:v>
      </x:c>
      <x:c r="L324" t="n">
        <x:f>IF(I324&lt;=J324,1,0)</x:f>
        <x:v>1</x:v>
      </x:c>
      <x:c r="P324" t="n">
        <x:f>IF(M324="",IF(AND(L324=1,K324&gt;=1),1,0),M324)</x:f>
        <x:v>1</x:v>
      </x:c>
      <x:c r="Q324" t="n">
        <x:f>IF(N324="",IF(AND(L324=1,K324&gt;=2),1,0),N324)</x:f>
        <x:v>1</x:v>
      </x:c>
      <x:c r="R324" t="n">
        <x:f>IF(O324="",IF(AND(L324=1,K324&gt;=3),1,0),O324)</x:f>
        <x:v>0</x:v>
      </x:c>
      <x:c r="S324" t="n">
        <x:f>SUM(P324:R324)</x:f>
        <x:v>2</x:v>
      </x:c>
      <x:c r="T324" t="str">
        <x:f>IF(COUNTA(M324:O324)=0,"DerivedFromCount","ManualOverride")</x:f>
        <x:v>DerivedFromCount</x:v>
      </x:c>
      <x:c r="U324" t="str">
        <x:f>IF(COUNTIF(DailyProduction!$Q$5:$Q$100,B324)=1,"OK","CHECK")</x:f>
        <x:v>OK</x:v>
      </x:c>
      <x:c r="V324" t="str">
        <x:f>IF(AND(I324&gt;=1,I324&lt;=13,K324&gt;=1,K324&lt;=3),"OK","CHECK")</x:f>
        <x:v>OK</x:v>
      </x:c>
      <x:c r="W324" t="str">
        <x:f>IF(SUMIF($B$5:$B$914,B324,$S$5:$S$914)=SUMIF(DailyProduction!$Q$5:$Q$100,B324,DailyProduction!$R$5:$R$100),"OK","CHECK")</x:f>
        <x:v>OK</x:v>
      </x:c>
    </x:row>
    <x:row r="325">
      <x:c r="A325" t="str">
        <x:v>PC-PE-KG01-L22-20251025-AM-ORD-2025-00057-S09</x:v>
      </x:c>
      <x:c r="B325" t="str">
        <x:v>PE-KG01-L22-20251025-AM-ORD-2025-00057</x:v>
      </x:c>
      <x:c r="C325" t="str">
        <x:v>KG01</x:v>
      </x:c>
      <x:c r="D325" t="n">
        <x:v>45955</x:v>
      </x:c>
      <x:c r="E325" t="str">
        <x:v>AM</x:v>
      </x:c>
      <x:c r="F325" t="str">
        <x:v>B</x:v>
      </x:c>
      <x:c r="G325" t="n">
        <x:v>22</x:v>
      </x:c>
      <x:c r="H325" t="str">
        <x:v>ORD-2025-00057</x:v>
      </x:c>
      <x:c r="I325" t="n">
        <x:v>9</x:v>
      </x:c>
      <x:c r="J325" t="n">
        <x:v>10</x:v>
      </x:c>
      <x:c r="K325" t="n">
        <x:v>2</x:v>
      </x:c>
      <x:c r="L325" t="n">
        <x:f>IF(I325&lt;=J325,1,0)</x:f>
        <x:v>1</x:v>
      </x:c>
      <x:c r="P325" t="n">
        <x:f>IF(M325="",IF(AND(L325=1,K325&gt;=1),1,0),M325)</x:f>
        <x:v>1</x:v>
      </x:c>
      <x:c r="Q325" t="n">
        <x:f>IF(N325="",IF(AND(L325=1,K325&gt;=2),1,0),N325)</x:f>
        <x:v>1</x:v>
      </x:c>
      <x:c r="R325" t="n">
        <x:f>IF(O325="",IF(AND(L325=1,K325&gt;=3),1,0),O325)</x:f>
        <x:v>0</x:v>
      </x:c>
      <x:c r="S325" t="n">
        <x:f>SUM(P325:R325)</x:f>
        <x:v>2</x:v>
      </x:c>
      <x:c r="T325" t="str">
        <x:f>IF(COUNTA(M325:O325)=0,"DerivedFromCount","ManualOverride")</x:f>
        <x:v>DerivedFromCount</x:v>
      </x:c>
      <x:c r="U325" t="str">
        <x:f>IF(COUNTIF(DailyProduction!$Q$5:$Q$100,B325)=1,"OK","CHECK")</x:f>
        <x:v>OK</x:v>
      </x:c>
      <x:c r="V325" t="str">
        <x:f>IF(AND(I325&gt;=1,I325&lt;=13,K325&gt;=1,K325&lt;=3),"OK","CHECK")</x:f>
        <x:v>OK</x:v>
      </x:c>
      <x:c r="W325" t="str">
        <x:f>IF(SUMIF($B$5:$B$914,B325,$S$5:$S$914)=SUMIF(DailyProduction!$Q$5:$Q$100,B325,DailyProduction!$R$5:$R$100),"OK","CHECK")</x:f>
        <x:v>OK</x:v>
      </x:c>
    </x:row>
    <x:row r="326">
      <x:c r="A326" t="str">
        <x:v>PC-PE-KG01-L22-20251025-AM-ORD-2025-00057-S10</x:v>
      </x:c>
      <x:c r="B326" t="str">
        <x:v>PE-KG01-L22-20251025-AM-ORD-2025-00057</x:v>
      </x:c>
      <x:c r="C326" t="str">
        <x:v>KG01</x:v>
      </x:c>
      <x:c r="D326" t="n">
        <x:v>45955</x:v>
      </x:c>
      <x:c r="E326" t="str">
        <x:v>AM</x:v>
      </x:c>
      <x:c r="F326" t="str">
        <x:v>B</x:v>
      </x:c>
      <x:c r="G326" t="n">
        <x:v>22</x:v>
      </x:c>
      <x:c r="H326" t="str">
        <x:v>ORD-2025-00057</x:v>
      </x:c>
      <x:c r="I326" t="n">
        <x:v>10</x:v>
      </x:c>
      <x:c r="J326" t="n">
        <x:v>10</x:v>
      </x:c>
      <x:c r="K326" t="n">
        <x:v>2</x:v>
      </x:c>
      <x:c r="L326" t="n">
        <x:f>IF(I326&lt;=J326,1,0)</x:f>
        <x:v>1</x:v>
      </x:c>
      <x:c r="P326" t="n">
        <x:f>IF(M326="",IF(AND(L326=1,K326&gt;=1),1,0),M326)</x:f>
        <x:v>1</x:v>
      </x:c>
      <x:c r="Q326" t="n">
        <x:f>IF(N326="",IF(AND(L326=1,K326&gt;=2),1,0),N326)</x:f>
        <x:v>1</x:v>
      </x:c>
      <x:c r="R326" t="n">
        <x:f>IF(O326="",IF(AND(L326=1,K326&gt;=3),1,0),O326)</x:f>
        <x:v>0</x:v>
      </x:c>
      <x:c r="S326" t="n">
        <x:f>SUM(P326:R326)</x:f>
        <x:v>2</x:v>
      </x:c>
      <x:c r="T326" t="str">
        <x:f>IF(COUNTA(M326:O326)=0,"DerivedFromCount","ManualOverride")</x:f>
        <x:v>DerivedFromCount</x:v>
      </x:c>
      <x:c r="U326" t="str">
        <x:f>IF(COUNTIF(DailyProduction!$Q$5:$Q$100,B326)=1,"OK","CHECK")</x:f>
        <x:v>OK</x:v>
      </x:c>
      <x:c r="V326" t="str">
        <x:f>IF(AND(I326&gt;=1,I326&lt;=13,K326&gt;=1,K326&lt;=3),"OK","CHECK")</x:f>
        <x:v>OK</x:v>
      </x:c>
      <x:c r="W326" t="str">
        <x:f>IF(SUMIF($B$5:$B$914,B326,$S$5:$S$914)=SUMIF(DailyProduction!$Q$5:$Q$100,B326,DailyProduction!$R$5:$R$100),"OK","CHECK")</x:f>
        <x:v>OK</x:v>
      </x:c>
    </x:row>
    <x:row r="327">
      <x:c r="A327" t="str">
        <x:v>PC-PE-KG01-L22-20251025-AM-ORD-2025-00057-S11</x:v>
      </x:c>
      <x:c r="B327" t="str">
        <x:v>PE-KG01-L22-20251025-AM-ORD-2025-00057</x:v>
      </x:c>
      <x:c r="C327" t="str">
        <x:v>KG01</x:v>
      </x:c>
      <x:c r="D327" t="n">
        <x:v>45955</x:v>
      </x:c>
      <x:c r="E327" t="str">
        <x:v>AM</x:v>
      </x:c>
      <x:c r="F327" t="str">
        <x:v>B</x:v>
      </x:c>
      <x:c r="G327" t="n">
        <x:v>22</x:v>
      </x:c>
      <x:c r="H327" t="str">
        <x:v>ORD-2025-00057</x:v>
      </x:c>
      <x:c r="I327" t="n">
        <x:v>11</x:v>
      </x:c>
      <x:c r="J327" t="n">
        <x:v>10</x:v>
      </x:c>
      <x:c r="K327" t="n">
        <x:v>2</x:v>
      </x:c>
      <x:c r="L327" t="n">
        <x:f>IF(I327&lt;=J327,1,0)</x:f>
        <x:v>0</x:v>
      </x:c>
      <x:c r="P327" t="n">
        <x:f>IF(M327="",IF(AND(L327=1,K327&gt;=1),1,0),M327)</x:f>
        <x:v>0</x:v>
      </x:c>
      <x:c r="Q327" t="n">
        <x:f>IF(N327="",IF(AND(L327=1,K327&gt;=2),1,0),N327)</x:f>
        <x:v>0</x:v>
      </x:c>
      <x:c r="R327" t="n">
        <x:f>IF(O327="",IF(AND(L327=1,K327&gt;=3),1,0),O327)</x:f>
        <x:v>0</x:v>
      </x:c>
      <x:c r="S327" t="n">
        <x:f>SUM(P327:R327)</x:f>
        <x:v>0</x:v>
      </x:c>
      <x:c r="T327" t="str">
        <x:f>IF(COUNTA(M327:O327)=0,"DerivedFromCount","ManualOverride")</x:f>
        <x:v>DerivedFromCount</x:v>
      </x:c>
      <x:c r="U327" t="str">
        <x:f>IF(COUNTIF(DailyProduction!$Q$5:$Q$100,B327)=1,"OK","CHECK")</x:f>
        <x:v>OK</x:v>
      </x:c>
      <x:c r="V327" t="str">
        <x:f>IF(AND(I327&gt;=1,I327&lt;=13,K327&gt;=1,K327&lt;=3),"OK","CHECK")</x:f>
        <x:v>OK</x:v>
      </x:c>
      <x:c r="W327" t="str">
        <x:f>IF(SUMIF($B$5:$B$914,B327,$S$5:$S$914)=SUMIF(DailyProduction!$Q$5:$Q$100,B327,DailyProduction!$R$5:$R$100),"OK","CHECK")</x:f>
        <x:v>OK</x:v>
      </x:c>
    </x:row>
    <x:row r="328">
      <x:c r="A328" t="str">
        <x:v>PC-PE-KG01-L22-20251025-AM-ORD-2025-00057-S12</x:v>
      </x:c>
      <x:c r="B328" t="str">
        <x:v>PE-KG01-L22-20251025-AM-ORD-2025-00057</x:v>
      </x:c>
      <x:c r="C328" t="str">
        <x:v>KG01</x:v>
      </x:c>
      <x:c r="D328" t="n">
        <x:v>45955</x:v>
      </x:c>
      <x:c r="E328" t="str">
        <x:v>AM</x:v>
      </x:c>
      <x:c r="F328" t="str">
        <x:v>B</x:v>
      </x:c>
      <x:c r="G328" t="n">
        <x:v>22</x:v>
      </x:c>
      <x:c r="H328" t="str">
        <x:v>ORD-2025-00057</x:v>
      </x:c>
      <x:c r="I328" t="n">
        <x:v>12</x:v>
      </x:c>
      <x:c r="J328" t="n">
        <x:v>10</x:v>
      </x:c>
      <x:c r="K328" t="n">
        <x:v>2</x:v>
      </x:c>
      <x:c r="L328" t="n">
        <x:f>IF(I328&lt;=J328,1,0)</x:f>
        <x:v>0</x:v>
      </x:c>
      <x:c r="P328" t="n">
        <x:f>IF(M328="",IF(AND(L328=1,K328&gt;=1),1,0),M328)</x:f>
        <x:v>0</x:v>
      </x:c>
      <x:c r="Q328" t="n">
        <x:f>IF(N328="",IF(AND(L328=1,K328&gt;=2),1,0),N328)</x:f>
        <x:v>0</x:v>
      </x:c>
      <x:c r="R328" t="n">
        <x:f>IF(O328="",IF(AND(L328=1,K328&gt;=3),1,0),O328)</x:f>
        <x:v>0</x:v>
      </x:c>
      <x:c r="S328" t="n">
        <x:f>SUM(P328:R328)</x:f>
        <x:v>0</x:v>
      </x:c>
      <x:c r="T328" t="str">
        <x:f>IF(COUNTA(M328:O328)=0,"DerivedFromCount","ManualOverride")</x:f>
        <x:v>DerivedFromCount</x:v>
      </x:c>
      <x:c r="U328" t="str">
        <x:f>IF(COUNTIF(DailyProduction!$Q$5:$Q$100,B328)=1,"OK","CHECK")</x:f>
        <x:v>OK</x:v>
      </x:c>
      <x:c r="V328" t="str">
        <x:f>IF(AND(I328&gt;=1,I328&lt;=13,K328&gt;=1,K328&lt;=3),"OK","CHECK")</x:f>
        <x:v>OK</x:v>
      </x:c>
      <x:c r="W328" t="str">
        <x:f>IF(SUMIF($B$5:$B$914,B328,$S$5:$S$914)=SUMIF(DailyProduction!$Q$5:$Q$100,B328,DailyProduction!$R$5:$R$100),"OK","CHECK")</x:f>
        <x:v>OK</x:v>
      </x:c>
    </x:row>
    <x:row r="329">
      <x:c r="A329" t="str">
        <x:v>PC-PE-KG01-L22-20251025-AM-ORD-2025-00057-S13</x:v>
      </x:c>
      <x:c r="B329" t="str">
        <x:v>PE-KG01-L22-20251025-AM-ORD-2025-00057</x:v>
      </x:c>
      <x:c r="C329" t="str">
        <x:v>KG01</x:v>
      </x:c>
      <x:c r="D329" t="n">
        <x:v>45955</x:v>
      </x:c>
      <x:c r="E329" t="str">
        <x:v>AM</x:v>
      </x:c>
      <x:c r="F329" t="str">
        <x:v>B</x:v>
      </x:c>
      <x:c r="G329" t="n">
        <x:v>22</x:v>
      </x:c>
      <x:c r="H329" t="str">
        <x:v>ORD-2025-00057</x:v>
      </x:c>
      <x:c r="I329" t="n">
        <x:v>13</x:v>
      </x:c>
      <x:c r="J329" t="n">
        <x:v>10</x:v>
      </x:c>
      <x:c r="K329" t="n">
        <x:v>2</x:v>
      </x:c>
      <x:c r="L329" t="n">
        <x:f>IF(I329&lt;=J329,1,0)</x:f>
        <x:v>0</x:v>
      </x:c>
      <x:c r="P329" t="n">
        <x:f>IF(M329="",IF(AND(L329=1,K329&gt;=1),1,0),M329)</x:f>
        <x:v>0</x:v>
      </x:c>
      <x:c r="Q329" t="n">
        <x:f>IF(N329="",IF(AND(L329=1,K329&gt;=2),1,0),N329)</x:f>
        <x:v>0</x:v>
      </x:c>
      <x:c r="R329" t="n">
        <x:f>IF(O329="",IF(AND(L329=1,K329&gt;=3),1,0),O329)</x:f>
        <x:v>0</x:v>
      </x:c>
      <x:c r="S329" t="n">
        <x:f>SUM(P329:R329)</x:f>
        <x:v>0</x:v>
      </x:c>
      <x:c r="T329" t="str">
        <x:f>IF(COUNTA(M329:O329)=0,"DerivedFromCount","ManualOverride")</x:f>
        <x:v>DerivedFromCount</x:v>
      </x:c>
      <x:c r="U329" t="str">
        <x:f>IF(COUNTIF(DailyProduction!$Q$5:$Q$100,B329)=1,"OK","CHECK")</x:f>
        <x:v>OK</x:v>
      </x:c>
      <x:c r="V329" t="str">
        <x:f>IF(AND(I329&gt;=1,I329&lt;=13,K329&gt;=1,K329&lt;=3),"OK","CHECK")</x:f>
        <x:v>OK</x:v>
      </x:c>
      <x:c r="W329" t="str">
        <x:f>IF(SUMIF($B$5:$B$914,B329,$S$5:$S$914)=SUMIF(DailyProduction!$Q$5:$Q$100,B329,DailyProduction!$R$5:$R$100),"OK","CHECK")</x:f>
        <x:v>OK</x:v>
      </x:c>
    </x:row>
    <x:row r="330">
      <x:c r="A330" t="str">
        <x:v>PC-PE-KG01-L22-20251025-PM-ORD-2025-00057-S01</x:v>
      </x:c>
      <x:c r="B330" t="str">
        <x:v>PE-KG01-L22-20251025-PM-ORD-2025-00057</x:v>
      </x:c>
      <x:c r="C330" t="str">
        <x:v>KG01</x:v>
      </x:c>
      <x:c r="D330" t="n">
        <x:v>45955</x:v>
      </x:c>
      <x:c r="E330" t="str">
        <x:v>PM</x:v>
      </x:c>
      <x:c r="F330" t="str">
        <x:v>C</x:v>
      </x:c>
      <x:c r="G330" t="n">
        <x:v>22</x:v>
      </x:c>
      <x:c r="H330" t="str">
        <x:v>ORD-2025-00057</x:v>
      </x:c>
      <x:c r="I330" t="n">
        <x:v>1</x:v>
      </x:c>
      <x:c r="J330" t="n">
        <x:v>10</x:v>
      </x:c>
      <x:c r="K330" t="n">
        <x:v>2</x:v>
      </x:c>
      <x:c r="L330" t="n">
        <x:f>IF(I330&lt;=J330,1,0)</x:f>
        <x:v>1</x:v>
      </x:c>
      <x:c r="P330" t="n">
        <x:f>IF(M330="",IF(AND(L330=1,K330&gt;=1),1,0),M330)</x:f>
        <x:v>1</x:v>
      </x:c>
      <x:c r="Q330" t="n">
        <x:f>IF(N330="",IF(AND(L330=1,K330&gt;=2),1,0),N330)</x:f>
        <x:v>1</x:v>
      </x:c>
      <x:c r="R330" t="n">
        <x:f>IF(O330="",IF(AND(L330=1,K330&gt;=3),1,0),O330)</x:f>
        <x:v>0</x:v>
      </x:c>
      <x:c r="S330" t="n">
        <x:f>SUM(P330:R330)</x:f>
        <x:v>2</x:v>
      </x:c>
      <x:c r="T330" t="str">
        <x:f>IF(COUNTA(M330:O330)=0,"DerivedFromCount","ManualOverride")</x:f>
        <x:v>DerivedFromCount</x:v>
      </x:c>
      <x:c r="U330" t="str">
        <x:f>IF(COUNTIF(DailyProduction!$Q$5:$Q$100,B330)=1,"OK","CHECK")</x:f>
        <x:v>OK</x:v>
      </x:c>
      <x:c r="V330" t="str">
        <x:f>IF(AND(I330&gt;=1,I330&lt;=13,K330&gt;=1,K330&lt;=3),"OK","CHECK")</x:f>
        <x:v>OK</x:v>
      </x:c>
      <x:c r="W330" t="str">
        <x:f>IF(SUMIF($B$5:$B$914,B330,$S$5:$S$914)=SUMIF(DailyProduction!$Q$5:$Q$100,B330,DailyProduction!$R$5:$R$100),"OK","CHECK")</x:f>
        <x:v>OK</x:v>
      </x:c>
    </x:row>
    <x:row r="331">
      <x:c r="A331" t="str">
        <x:v>PC-PE-KG01-L22-20251025-PM-ORD-2025-00057-S02</x:v>
      </x:c>
      <x:c r="B331" t="str">
        <x:v>PE-KG01-L22-20251025-PM-ORD-2025-00057</x:v>
      </x:c>
      <x:c r="C331" t="str">
        <x:v>KG01</x:v>
      </x:c>
      <x:c r="D331" t="n">
        <x:v>45955</x:v>
      </x:c>
      <x:c r="E331" t="str">
        <x:v>PM</x:v>
      </x:c>
      <x:c r="F331" t="str">
        <x:v>C</x:v>
      </x:c>
      <x:c r="G331" t="n">
        <x:v>22</x:v>
      </x:c>
      <x:c r="H331" t="str">
        <x:v>ORD-2025-00057</x:v>
      </x:c>
      <x:c r="I331" t="n">
        <x:v>2</x:v>
      </x:c>
      <x:c r="J331" t="n">
        <x:v>10</x:v>
      </x:c>
      <x:c r="K331" t="n">
        <x:v>2</x:v>
      </x:c>
      <x:c r="L331" t="n">
        <x:f>IF(I331&lt;=J331,1,0)</x:f>
        <x:v>1</x:v>
      </x:c>
      <x:c r="P331" t="n">
        <x:f>IF(M331="",IF(AND(L331=1,K331&gt;=1),1,0),M331)</x:f>
        <x:v>1</x:v>
      </x:c>
      <x:c r="Q331" t="n">
        <x:f>IF(N331="",IF(AND(L331=1,K331&gt;=2),1,0),N331)</x:f>
        <x:v>1</x:v>
      </x:c>
      <x:c r="R331" t="n">
        <x:f>IF(O331="",IF(AND(L331=1,K331&gt;=3),1,0),O331)</x:f>
        <x:v>0</x:v>
      </x:c>
      <x:c r="S331" t="n">
        <x:f>SUM(P331:R331)</x:f>
        <x:v>2</x:v>
      </x:c>
      <x:c r="T331" t="str">
        <x:f>IF(COUNTA(M331:O331)=0,"DerivedFromCount","ManualOverride")</x:f>
        <x:v>DerivedFromCount</x:v>
      </x:c>
      <x:c r="U331" t="str">
        <x:f>IF(COUNTIF(DailyProduction!$Q$5:$Q$100,B331)=1,"OK","CHECK")</x:f>
        <x:v>OK</x:v>
      </x:c>
      <x:c r="V331" t="str">
        <x:f>IF(AND(I331&gt;=1,I331&lt;=13,K331&gt;=1,K331&lt;=3),"OK","CHECK")</x:f>
        <x:v>OK</x:v>
      </x:c>
      <x:c r="W331" t="str">
        <x:f>IF(SUMIF($B$5:$B$914,B331,$S$5:$S$914)=SUMIF(DailyProduction!$Q$5:$Q$100,B331,DailyProduction!$R$5:$R$100),"OK","CHECK")</x:f>
        <x:v>OK</x:v>
      </x:c>
    </x:row>
    <x:row r="332">
      <x:c r="A332" t="str">
        <x:v>PC-PE-KG01-L22-20251025-PM-ORD-2025-00057-S03</x:v>
      </x:c>
      <x:c r="B332" t="str">
        <x:v>PE-KG01-L22-20251025-PM-ORD-2025-00057</x:v>
      </x:c>
      <x:c r="C332" t="str">
        <x:v>KG01</x:v>
      </x:c>
      <x:c r="D332" t="n">
        <x:v>45955</x:v>
      </x:c>
      <x:c r="E332" t="str">
        <x:v>PM</x:v>
      </x:c>
      <x:c r="F332" t="str">
        <x:v>C</x:v>
      </x:c>
      <x:c r="G332" t="n">
        <x:v>22</x:v>
      </x:c>
      <x:c r="H332" t="str">
        <x:v>ORD-2025-00057</x:v>
      </x:c>
      <x:c r="I332" t="n">
        <x:v>3</x:v>
      </x:c>
      <x:c r="J332" t="n">
        <x:v>10</x:v>
      </x:c>
      <x:c r="K332" t="n">
        <x:v>2</x:v>
      </x:c>
      <x:c r="L332" t="n">
        <x:f>IF(I332&lt;=J332,1,0)</x:f>
        <x:v>1</x:v>
      </x:c>
      <x:c r="P332" t="n">
        <x:f>IF(M332="",IF(AND(L332=1,K332&gt;=1),1,0),M332)</x:f>
        <x:v>1</x:v>
      </x:c>
      <x:c r="Q332" t="n">
        <x:f>IF(N332="",IF(AND(L332=1,K332&gt;=2),1,0),N332)</x:f>
        <x:v>1</x:v>
      </x:c>
      <x:c r="R332" t="n">
        <x:f>IF(O332="",IF(AND(L332=1,K332&gt;=3),1,0),O332)</x:f>
        <x:v>0</x:v>
      </x:c>
      <x:c r="S332" t="n">
        <x:f>SUM(P332:R332)</x:f>
        <x:v>2</x:v>
      </x:c>
      <x:c r="T332" t="str">
        <x:f>IF(COUNTA(M332:O332)=0,"DerivedFromCount","ManualOverride")</x:f>
        <x:v>DerivedFromCount</x:v>
      </x:c>
      <x:c r="U332" t="str">
        <x:f>IF(COUNTIF(DailyProduction!$Q$5:$Q$100,B332)=1,"OK","CHECK")</x:f>
        <x:v>OK</x:v>
      </x:c>
      <x:c r="V332" t="str">
        <x:f>IF(AND(I332&gt;=1,I332&lt;=13,K332&gt;=1,K332&lt;=3),"OK","CHECK")</x:f>
        <x:v>OK</x:v>
      </x:c>
      <x:c r="W332" t="str">
        <x:f>IF(SUMIF($B$5:$B$914,B332,$S$5:$S$914)=SUMIF(DailyProduction!$Q$5:$Q$100,B332,DailyProduction!$R$5:$R$100),"OK","CHECK")</x:f>
        <x:v>OK</x:v>
      </x:c>
    </x:row>
    <x:row r="333">
      <x:c r="A333" t="str">
        <x:v>PC-PE-KG01-L22-20251025-PM-ORD-2025-00057-S04</x:v>
      </x:c>
      <x:c r="B333" t="str">
        <x:v>PE-KG01-L22-20251025-PM-ORD-2025-00057</x:v>
      </x:c>
      <x:c r="C333" t="str">
        <x:v>KG01</x:v>
      </x:c>
      <x:c r="D333" t="n">
        <x:v>45955</x:v>
      </x:c>
      <x:c r="E333" t="str">
        <x:v>PM</x:v>
      </x:c>
      <x:c r="F333" t="str">
        <x:v>C</x:v>
      </x:c>
      <x:c r="G333" t="n">
        <x:v>22</x:v>
      </x:c>
      <x:c r="H333" t="str">
        <x:v>ORD-2025-00057</x:v>
      </x:c>
      <x:c r="I333" t="n">
        <x:v>4</x:v>
      </x:c>
      <x:c r="J333" t="n">
        <x:v>10</x:v>
      </x:c>
      <x:c r="K333" t="n">
        <x:v>2</x:v>
      </x:c>
      <x:c r="L333" t="n">
        <x:f>IF(I333&lt;=J333,1,0)</x:f>
        <x:v>1</x:v>
      </x:c>
      <x:c r="P333" t="n">
        <x:f>IF(M333="",IF(AND(L333=1,K333&gt;=1),1,0),M333)</x:f>
        <x:v>1</x:v>
      </x:c>
      <x:c r="Q333" t="n">
        <x:f>IF(N333="",IF(AND(L333=1,K333&gt;=2),1,0),N333)</x:f>
        <x:v>1</x:v>
      </x:c>
      <x:c r="R333" t="n">
        <x:f>IF(O333="",IF(AND(L333=1,K333&gt;=3),1,0),O333)</x:f>
        <x:v>0</x:v>
      </x:c>
      <x:c r="S333" t="n">
        <x:f>SUM(P333:R333)</x:f>
        <x:v>2</x:v>
      </x:c>
      <x:c r="T333" t="str">
        <x:f>IF(COUNTA(M333:O333)=0,"DerivedFromCount","ManualOverride")</x:f>
        <x:v>DerivedFromCount</x:v>
      </x:c>
      <x:c r="U333" t="str">
        <x:f>IF(COUNTIF(DailyProduction!$Q$5:$Q$100,B333)=1,"OK","CHECK")</x:f>
        <x:v>OK</x:v>
      </x:c>
      <x:c r="V333" t="str">
        <x:f>IF(AND(I333&gt;=1,I333&lt;=13,K333&gt;=1,K333&lt;=3),"OK","CHECK")</x:f>
        <x:v>OK</x:v>
      </x:c>
      <x:c r="W333" t="str">
        <x:f>IF(SUMIF($B$5:$B$914,B333,$S$5:$S$914)=SUMIF(DailyProduction!$Q$5:$Q$100,B333,DailyProduction!$R$5:$R$100),"OK","CHECK")</x:f>
        <x:v>OK</x:v>
      </x:c>
    </x:row>
    <x:row r="334">
      <x:c r="A334" t="str">
        <x:v>PC-PE-KG01-L22-20251025-PM-ORD-2025-00057-S05</x:v>
      </x:c>
      <x:c r="B334" t="str">
        <x:v>PE-KG01-L22-20251025-PM-ORD-2025-00057</x:v>
      </x:c>
      <x:c r="C334" t="str">
        <x:v>KG01</x:v>
      </x:c>
      <x:c r="D334" t="n">
        <x:v>45955</x:v>
      </x:c>
      <x:c r="E334" t="str">
        <x:v>PM</x:v>
      </x:c>
      <x:c r="F334" t="str">
        <x:v>C</x:v>
      </x:c>
      <x:c r="G334" t="n">
        <x:v>22</x:v>
      </x:c>
      <x:c r="H334" t="str">
        <x:v>ORD-2025-00057</x:v>
      </x:c>
      <x:c r="I334" t="n">
        <x:v>5</x:v>
      </x:c>
      <x:c r="J334" t="n">
        <x:v>10</x:v>
      </x:c>
      <x:c r="K334" t="n">
        <x:v>2</x:v>
      </x:c>
      <x:c r="L334" t="n">
        <x:f>IF(I334&lt;=J334,1,0)</x:f>
        <x:v>1</x:v>
      </x:c>
      <x:c r="P334" t="n">
        <x:f>IF(M334="",IF(AND(L334=1,K334&gt;=1),1,0),M334)</x:f>
        <x:v>1</x:v>
      </x:c>
      <x:c r="Q334" t="n">
        <x:f>IF(N334="",IF(AND(L334=1,K334&gt;=2),1,0),N334)</x:f>
        <x:v>1</x:v>
      </x:c>
      <x:c r="R334" t="n">
        <x:f>IF(O334="",IF(AND(L334=1,K334&gt;=3),1,0),O334)</x:f>
        <x:v>0</x:v>
      </x:c>
      <x:c r="S334" t="n">
        <x:f>SUM(P334:R334)</x:f>
        <x:v>2</x:v>
      </x:c>
      <x:c r="T334" t="str">
        <x:f>IF(COUNTA(M334:O334)=0,"DerivedFromCount","ManualOverride")</x:f>
        <x:v>DerivedFromCount</x:v>
      </x:c>
      <x:c r="U334" t="str">
        <x:f>IF(COUNTIF(DailyProduction!$Q$5:$Q$100,B334)=1,"OK","CHECK")</x:f>
        <x:v>OK</x:v>
      </x:c>
      <x:c r="V334" t="str">
        <x:f>IF(AND(I334&gt;=1,I334&lt;=13,K334&gt;=1,K334&lt;=3),"OK","CHECK")</x:f>
        <x:v>OK</x:v>
      </x:c>
      <x:c r="W334" t="str">
        <x:f>IF(SUMIF($B$5:$B$914,B334,$S$5:$S$914)=SUMIF(DailyProduction!$Q$5:$Q$100,B334,DailyProduction!$R$5:$R$100),"OK","CHECK")</x:f>
        <x:v>OK</x:v>
      </x:c>
    </x:row>
    <x:row r="335">
      <x:c r="A335" t="str">
        <x:v>PC-PE-KG01-L22-20251025-PM-ORD-2025-00057-S06</x:v>
      </x:c>
      <x:c r="B335" t="str">
        <x:v>PE-KG01-L22-20251025-PM-ORD-2025-00057</x:v>
      </x:c>
      <x:c r="C335" t="str">
        <x:v>KG01</x:v>
      </x:c>
      <x:c r="D335" t="n">
        <x:v>45955</x:v>
      </x:c>
      <x:c r="E335" t="str">
        <x:v>PM</x:v>
      </x:c>
      <x:c r="F335" t="str">
        <x:v>C</x:v>
      </x:c>
      <x:c r="G335" t="n">
        <x:v>22</x:v>
      </x:c>
      <x:c r="H335" t="str">
        <x:v>ORD-2025-00057</x:v>
      </x:c>
      <x:c r="I335" t="n">
        <x:v>6</x:v>
      </x:c>
      <x:c r="J335" t="n">
        <x:v>10</x:v>
      </x:c>
      <x:c r="K335" t="n">
        <x:v>2</x:v>
      </x:c>
      <x:c r="L335" t="n">
        <x:f>IF(I335&lt;=J335,1,0)</x:f>
        <x:v>1</x:v>
      </x:c>
      <x:c r="P335" t="n">
        <x:f>IF(M335="",IF(AND(L335=1,K335&gt;=1),1,0),M335)</x:f>
        <x:v>1</x:v>
      </x:c>
      <x:c r="Q335" t="n">
        <x:f>IF(N335="",IF(AND(L335=1,K335&gt;=2),1,0),N335)</x:f>
        <x:v>1</x:v>
      </x:c>
      <x:c r="R335" t="n">
        <x:f>IF(O335="",IF(AND(L335=1,K335&gt;=3),1,0),O335)</x:f>
        <x:v>0</x:v>
      </x:c>
      <x:c r="S335" t="n">
        <x:f>SUM(P335:R335)</x:f>
        <x:v>2</x:v>
      </x:c>
      <x:c r="T335" t="str">
        <x:f>IF(COUNTA(M335:O335)=0,"DerivedFromCount","ManualOverride")</x:f>
        <x:v>DerivedFromCount</x:v>
      </x:c>
      <x:c r="U335" t="str">
        <x:f>IF(COUNTIF(DailyProduction!$Q$5:$Q$100,B335)=1,"OK","CHECK")</x:f>
        <x:v>OK</x:v>
      </x:c>
      <x:c r="V335" t="str">
        <x:f>IF(AND(I335&gt;=1,I335&lt;=13,K335&gt;=1,K335&lt;=3),"OK","CHECK")</x:f>
        <x:v>OK</x:v>
      </x:c>
      <x:c r="W335" t="str">
        <x:f>IF(SUMIF($B$5:$B$914,B335,$S$5:$S$914)=SUMIF(DailyProduction!$Q$5:$Q$100,B335,DailyProduction!$R$5:$R$100),"OK","CHECK")</x:f>
        <x:v>OK</x:v>
      </x:c>
    </x:row>
    <x:row r="336">
      <x:c r="A336" t="str">
        <x:v>PC-PE-KG01-L22-20251025-PM-ORD-2025-00057-S07</x:v>
      </x:c>
      <x:c r="B336" t="str">
        <x:v>PE-KG01-L22-20251025-PM-ORD-2025-00057</x:v>
      </x:c>
      <x:c r="C336" t="str">
        <x:v>KG01</x:v>
      </x:c>
      <x:c r="D336" t="n">
        <x:v>45955</x:v>
      </x:c>
      <x:c r="E336" t="str">
        <x:v>PM</x:v>
      </x:c>
      <x:c r="F336" t="str">
        <x:v>C</x:v>
      </x:c>
      <x:c r="G336" t="n">
        <x:v>22</x:v>
      </x:c>
      <x:c r="H336" t="str">
        <x:v>ORD-2025-00057</x:v>
      </x:c>
      <x:c r="I336" t="n">
        <x:v>7</x:v>
      </x:c>
      <x:c r="J336" t="n">
        <x:v>10</x:v>
      </x:c>
      <x:c r="K336" t="n">
        <x:v>2</x:v>
      </x:c>
      <x:c r="L336" t="n">
        <x:f>IF(I336&lt;=J336,1,0)</x:f>
        <x:v>1</x:v>
      </x:c>
      <x:c r="P336" t="n">
        <x:f>IF(M336="",IF(AND(L336=1,K336&gt;=1),1,0),M336)</x:f>
        <x:v>1</x:v>
      </x:c>
      <x:c r="Q336" t="n">
        <x:f>IF(N336="",IF(AND(L336=1,K336&gt;=2),1,0),N336)</x:f>
        <x:v>1</x:v>
      </x:c>
      <x:c r="R336" t="n">
        <x:f>IF(O336="",IF(AND(L336=1,K336&gt;=3),1,0),O336)</x:f>
        <x:v>0</x:v>
      </x:c>
      <x:c r="S336" t="n">
        <x:f>SUM(P336:R336)</x:f>
        <x:v>2</x:v>
      </x:c>
      <x:c r="T336" t="str">
        <x:f>IF(COUNTA(M336:O336)=0,"DerivedFromCount","ManualOverride")</x:f>
        <x:v>DerivedFromCount</x:v>
      </x:c>
      <x:c r="U336" t="str">
        <x:f>IF(COUNTIF(DailyProduction!$Q$5:$Q$100,B336)=1,"OK","CHECK")</x:f>
        <x:v>OK</x:v>
      </x:c>
      <x:c r="V336" t="str">
        <x:f>IF(AND(I336&gt;=1,I336&lt;=13,K336&gt;=1,K336&lt;=3),"OK","CHECK")</x:f>
        <x:v>OK</x:v>
      </x:c>
      <x:c r="W336" t="str">
        <x:f>IF(SUMIF($B$5:$B$914,B336,$S$5:$S$914)=SUMIF(DailyProduction!$Q$5:$Q$100,B336,DailyProduction!$R$5:$R$100),"OK","CHECK")</x:f>
        <x:v>OK</x:v>
      </x:c>
    </x:row>
    <x:row r="337">
      <x:c r="A337" t="str">
        <x:v>PC-PE-KG01-L22-20251025-PM-ORD-2025-00057-S08</x:v>
      </x:c>
      <x:c r="B337" t="str">
        <x:v>PE-KG01-L22-20251025-PM-ORD-2025-00057</x:v>
      </x:c>
      <x:c r="C337" t="str">
        <x:v>KG01</x:v>
      </x:c>
      <x:c r="D337" t="n">
        <x:v>45955</x:v>
      </x:c>
      <x:c r="E337" t="str">
        <x:v>PM</x:v>
      </x:c>
      <x:c r="F337" t="str">
        <x:v>C</x:v>
      </x:c>
      <x:c r="G337" t="n">
        <x:v>22</x:v>
      </x:c>
      <x:c r="H337" t="str">
        <x:v>ORD-2025-00057</x:v>
      </x:c>
      <x:c r="I337" t="n">
        <x:v>8</x:v>
      </x:c>
      <x:c r="J337" t="n">
        <x:v>10</x:v>
      </x:c>
      <x:c r="K337" t="n">
        <x:v>2</x:v>
      </x:c>
      <x:c r="L337" t="n">
        <x:f>IF(I337&lt;=J337,1,0)</x:f>
        <x:v>1</x:v>
      </x:c>
      <x:c r="P337" t="n">
        <x:f>IF(M337="",IF(AND(L337=1,K337&gt;=1),1,0),M337)</x:f>
        <x:v>1</x:v>
      </x:c>
      <x:c r="Q337" t="n">
        <x:f>IF(N337="",IF(AND(L337=1,K337&gt;=2),1,0),N337)</x:f>
        <x:v>1</x:v>
      </x:c>
      <x:c r="R337" t="n">
        <x:f>IF(O337="",IF(AND(L337=1,K337&gt;=3),1,0),O337)</x:f>
        <x:v>0</x:v>
      </x:c>
      <x:c r="S337" t="n">
        <x:f>SUM(P337:R337)</x:f>
        <x:v>2</x:v>
      </x:c>
      <x:c r="T337" t="str">
        <x:f>IF(COUNTA(M337:O337)=0,"DerivedFromCount","ManualOverride")</x:f>
        <x:v>DerivedFromCount</x:v>
      </x:c>
      <x:c r="U337" t="str">
        <x:f>IF(COUNTIF(DailyProduction!$Q$5:$Q$100,B337)=1,"OK","CHECK")</x:f>
        <x:v>OK</x:v>
      </x:c>
      <x:c r="V337" t="str">
        <x:f>IF(AND(I337&gt;=1,I337&lt;=13,K337&gt;=1,K337&lt;=3),"OK","CHECK")</x:f>
        <x:v>OK</x:v>
      </x:c>
      <x:c r="W337" t="str">
        <x:f>IF(SUMIF($B$5:$B$914,B337,$S$5:$S$914)=SUMIF(DailyProduction!$Q$5:$Q$100,B337,DailyProduction!$R$5:$R$100),"OK","CHECK")</x:f>
        <x:v>OK</x:v>
      </x:c>
    </x:row>
    <x:row r="338">
      <x:c r="A338" t="str">
        <x:v>PC-PE-KG01-L22-20251025-PM-ORD-2025-00057-S09</x:v>
      </x:c>
      <x:c r="B338" t="str">
        <x:v>PE-KG01-L22-20251025-PM-ORD-2025-00057</x:v>
      </x:c>
      <x:c r="C338" t="str">
        <x:v>KG01</x:v>
      </x:c>
      <x:c r="D338" t="n">
        <x:v>45955</x:v>
      </x:c>
      <x:c r="E338" t="str">
        <x:v>PM</x:v>
      </x:c>
      <x:c r="F338" t="str">
        <x:v>C</x:v>
      </x:c>
      <x:c r="G338" t="n">
        <x:v>22</x:v>
      </x:c>
      <x:c r="H338" t="str">
        <x:v>ORD-2025-00057</x:v>
      </x:c>
      <x:c r="I338" t="n">
        <x:v>9</x:v>
      </x:c>
      <x:c r="J338" t="n">
        <x:v>10</x:v>
      </x:c>
      <x:c r="K338" t="n">
        <x:v>2</x:v>
      </x:c>
      <x:c r="L338" t="n">
        <x:f>IF(I338&lt;=J338,1,0)</x:f>
        <x:v>1</x:v>
      </x:c>
      <x:c r="P338" t="n">
        <x:f>IF(M338="",IF(AND(L338=1,K338&gt;=1),1,0),M338)</x:f>
        <x:v>1</x:v>
      </x:c>
      <x:c r="Q338" t="n">
        <x:f>IF(N338="",IF(AND(L338=1,K338&gt;=2),1,0),N338)</x:f>
        <x:v>1</x:v>
      </x:c>
      <x:c r="R338" t="n">
        <x:f>IF(O338="",IF(AND(L338=1,K338&gt;=3),1,0),O338)</x:f>
        <x:v>0</x:v>
      </x:c>
      <x:c r="S338" t="n">
        <x:f>SUM(P338:R338)</x:f>
        <x:v>2</x:v>
      </x:c>
      <x:c r="T338" t="str">
        <x:f>IF(COUNTA(M338:O338)=0,"DerivedFromCount","ManualOverride")</x:f>
        <x:v>DerivedFromCount</x:v>
      </x:c>
      <x:c r="U338" t="str">
        <x:f>IF(COUNTIF(DailyProduction!$Q$5:$Q$100,B338)=1,"OK","CHECK")</x:f>
        <x:v>OK</x:v>
      </x:c>
      <x:c r="V338" t="str">
        <x:f>IF(AND(I338&gt;=1,I338&lt;=13,K338&gt;=1,K338&lt;=3),"OK","CHECK")</x:f>
        <x:v>OK</x:v>
      </x:c>
      <x:c r="W338" t="str">
        <x:f>IF(SUMIF($B$5:$B$914,B338,$S$5:$S$914)=SUMIF(DailyProduction!$Q$5:$Q$100,B338,DailyProduction!$R$5:$R$100),"OK","CHECK")</x:f>
        <x:v>OK</x:v>
      </x:c>
    </x:row>
    <x:row r="339">
      <x:c r="A339" t="str">
        <x:v>PC-PE-KG01-L22-20251025-PM-ORD-2025-00057-S10</x:v>
      </x:c>
      <x:c r="B339" t="str">
        <x:v>PE-KG01-L22-20251025-PM-ORD-2025-00057</x:v>
      </x:c>
      <x:c r="C339" t="str">
        <x:v>KG01</x:v>
      </x:c>
      <x:c r="D339" t="n">
        <x:v>45955</x:v>
      </x:c>
      <x:c r="E339" t="str">
        <x:v>PM</x:v>
      </x:c>
      <x:c r="F339" t="str">
        <x:v>C</x:v>
      </x:c>
      <x:c r="G339" t="n">
        <x:v>22</x:v>
      </x:c>
      <x:c r="H339" t="str">
        <x:v>ORD-2025-00057</x:v>
      </x:c>
      <x:c r="I339" t="n">
        <x:v>10</x:v>
      </x:c>
      <x:c r="J339" t="n">
        <x:v>10</x:v>
      </x:c>
      <x:c r="K339" t="n">
        <x:v>2</x:v>
      </x:c>
      <x:c r="L339" t="n">
        <x:f>IF(I339&lt;=J339,1,0)</x:f>
        <x:v>1</x:v>
      </x:c>
      <x:c r="P339" t="n">
        <x:f>IF(M339="",IF(AND(L339=1,K339&gt;=1),1,0),M339)</x:f>
        <x:v>1</x:v>
      </x:c>
      <x:c r="Q339" t="n">
        <x:f>IF(N339="",IF(AND(L339=1,K339&gt;=2),1,0),N339)</x:f>
        <x:v>1</x:v>
      </x:c>
      <x:c r="R339" t="n">
        <x:f>IF(O339="",IF(AND(L339=1,K339&gt;=3),1,0),O339)</x:f>
        <x:v>0</x:v>
      </x:c>
      <x:c r="S339" t="n">
        <x:f>SUM(P339:R339)</x:f>
        <x:v>2</x:v>
      </x:c>
      <x:c r="T339" t="str">
        <x:f>IF(COUNTA(M339:O339)=0,"DerivedFromCount","ManualOverride")</x:f>
        <x:v>DerivedFromCount</x:v>
      </x:c>
      <x:c r="U339" t="str">
        <x:f>IF(COUNTIF(DailyProduction!$Q$5:$Q$100,B339)=1,"OK","CHECK")</x:f>
        <x:v>OK</x:v>
      </x:c>
      <x:c r="V339" t="str">
        <x:f>IF(AND(I339&gt;=1,I339&lt;=13,K339&gt;=1,K339&lt;=3),"OK","CHECK")</x:f>
        <x:v>OK</x:v>
      </x:c>
      <x:c r="W339" t="str">
        <x:f>IF(SUMIF($B$5:$B$914,B339,$S$5:$S$914)=SUMIF(DailyProduction!$Q$5:$Q$100,B339,DailyProduction!$R$5:$R$100),"OK","CHECK")</x:f>
        <x:v>OK</x:v>
      </x:c>
    </x:row>
    <x:row r="340">
      <x:c r="A340" t="str">
        <x:v>PC-PE-KG01-L22-20251025-PM-ORD-2025-00057-S11</x:v>
      </x:c>
      <x:c r="B340" t="str">
        <x:v>PE-KG01-L22-20251025-PM-ORD-2025-00057</x:v>
      </x:c>
      <x:c r="C340" t="str">
        <x:v>KG01</x:v>
      </x:c>
      <x:c r="D340" t="n">
        <x:v>45955</x:v>
      </x:c>
      <x:c r="E340" t="str">
        <x:v>PM</x:v>
      </x:c>
      <x:c r="F340" t="str">
        <x:v>C</x:v>
      </x:c>
      <x:c r="G340" t="n">
        <x:v>22</x:v>
      </x:c>
      <x:c r="H340" t="str">
        <x:v>ORD-2025-00057</x:v>
      </x:c>
      <x:c r="I340" t="n">
        <x:v>11</x:v>
      </x:c>
      <x:c r="J340" t="n">
        <x:v>10</x:v>
      </x:c>
      <x:c r="K340" t="n">
        <x:v>2</x:v>
      </x:c>
      <x:c r="L340" t="n">
        <x:f>IF(I340&lt;=J340,1,0)</x:f>
        <x:v>0</x:v>
      </x:c>
      <x:c r="P340" t="n">
        <x:f>IF(M340="",IF(AND(L340=1,K340&gt;=1),1,0),M340)</x:f>
        <x:v>0</x:v>
      </x:c>
      <x:c r="Q340" t="n">
        <x:f>IF(N340="",IF(AND(L340=1,K340&gt;=2),1,0),N340)</x:f>
        <x:v>0</x:v>
      </x:c>
      <x:c r="R340" t="n">
        <x:f>IF(O340="",IF(AND(L340=1,K340&gt;=3),1,0),O340)</x:f>
        <x:v>0</x:v>
      </x:c>
      <x:c r="S340" t="n">
        <x:f>SUM(P340:R340)</x:f>
        <x:v>0</x:v>
      </x:c>
      <x:c r="T340" t="str">
        <x:f>IF(COUNTA(M340:O340)=0,"DerivedFromCount","ManualOverride")</x:f>
        <x:v>DerivedFromCount</x:v>
      </x:c>
      <x:c r="U340" t="str">
        <x:f>IF(COUNTIF(DailyProduction!$Q$5:$Q$100,B340)=1,"OK","CHECK")</x:f>
        <x:v>OK</x:v>
      </x:c>
      <x:c r="V340" t="str">
        <x:f>IF(AND(I340&gt;=1,I340&lt;=13,K340&gt;=1,K340&lt;=3),"OK","CHECK")</x:f>
        <x:v>OK</x:v>
      </x:c>
      <x:c r="W340" t="str">
        <x:f>IF(SUMIF($B$5:$B$914,B340,$S$5:$S$914)=SUMIF(DailyProduction!$Q$5:$Q$100,B340,DailyProduction!$R$5:$R$100),"OK","CHECK")</x:f>
        <x:v>OK</x:v>
      </x:c>
    </x:row>
    <x:row r="341">
      <x:c r="A341" t="str">
        <x:v>PC-PE-KG01-L22-20251025-PM-ORD-2025-00057-S12</x:v>
      </x:c>
      <x:c r="B341" t="str">
        <x:v>PE-KG01-L22-20251025-PM-ORD-2025-00057</x:v>
      </x:c>
      <x:c r="C341" t="str">
        <x:v>KG01</x:v>
      </x:c>
      <x:c r="D341" t="n">
        <x:v>45955</x:v>
      </x:c>
      <x:c r="E341" t="str">
        <x:v>PM</x:v>
      </x:c>
      <x:c r="F341" t="str">
        <x:v>C</x:v>
      </x:c>
      <x:c r="G341" t="n">
        <x:v>22</x:v>
      </x:c>
      <x:c r="H341" t="str">
        <x:v>ORD-2025-00057</x:v>
      </x:c>
      <x:c r="I341" t="n">
        <x:v>12</x:v>
      </x:c>
      <x:c r="J341" t="n">
        <x:v>10</x:v>
      </x:c>
      <x:c r="K341" t="n">
        <x:v>2</x:v>
      </x:c>
      <x:c r="L341" t="n">
        <x:f>IF(I341&lt;=J341,1,0)</x:f>
        <x:v>0</x:v>
      </x:c>
      <x:c r="P341" t="n">
        <x:f>IF(M341="",IF(AND(L341=1,K341&gt;=1),1,0),M341)</x:f>
        <x:v>0</x:v>
      </x:c>
      <x:c r="Q341" t="n">
        <x:f>IF(N341="",IF(AND(L341=1,K341&gt;=2),1,0),N341)</x:f>
        <x:v>0</x:v>
      </x:c>
      <x:c r="R341" t="n">
        <x:f>IF(O341="",IF(AND(L341=1,K341&gt;=3),1,0),O341)</x:f>
        <x:v>0</x:v>
      </x:c>
      <x:c r="S341" t="n">
        <x:f>SUM(P341:R341)</x:f>
        <x:v>0</x:v>
      </x:c>
      <x:c r="T341" t="str">
        <x:f>IF(COUNTA(M341:O341)=0,"DerivedFromCount","ManualOverride")</x:f>
        <x:v>DerivedFromCount</x:v>
      </x:c>
      <x:c r="U341" t="str">
        <x:f>IF(COUNTIF(DailyProduction!$Q$5:$Q$100,B341)=1,"OK","CHECK")</x:f>
        <x:v>OK</x:v>
      </x:c>
      <x:c r="V341" t="str">
        <x:f>IF(AND(I341&gt;=1,I341&lt;=13,K341&gt;=1,K341&lt;=3),"OK","CHECK")</x:f>
        <x:v>OK</x:v>
      </x:c>
      <x:c r="W341" t="str">
        <x:f>IF(SUMIF($B$5:$B$914,B341,$S$5:$S$914)=SUMIF(DailyProduction!$Q$5:$Q$100,B341,DailyProduction!$R$5:$R$100),"OK","CHECK")</x:f>
        <x:v>OK</x:v>
      </x:c>
    </x:row>
    <x:row r="342">
      <x:c r="A342" t="str">
        <x:v>PC-PE-KG01-L22-20251025-PM-ORD-2025-00057-S13</x:v>
      </x:c>
      <x:c r="B342" t="str">
        <x:v>PE-KG01-L22-20251025-PM-ORD-2025-00057</x:v>
      </x:c>
      <x:c r="C342" t="str">
        <x:v>KG01</x:v>
      </x:c>
      <x:c r="D342" t="n">
        <x:v>45955</x:v>
      </x:c>
      <x:c r="E342" t="str">
        <x:v>PM</x:v>
      </x:c>
      <x:c r="F342" t="str">
        <x:v>C</x:v>
      </x:c>
      <x:c r="G342" t="n">
        <x:v>22</x:v>
      </x:c>
      <x:c r="H342" t="str">
        <x:v>ORD-2025-00057</x:v>
      </x:c>
      <x:c r="I342" t="n">
        <x:v>13</x:v>
      </x:c>
      <x:c r="J342" t="n">
        <x:v>10</x:v>
      </x:c>
      <x:c r="K342" t="n">
        <x:v>2</x:v>
      </x:c>
      <x:c r="L342" t="n">
        <x:f>IF(I342&lt;=J342,1,0)</x:f>
        <x:v>0</x:v>
      </x:c>
      <x:c r="P342" t="n">
        <x:f>IF(M342="",IF(AND(L342=1,K342&gt;=1),1,0),M342)</x:f>
        <x:v>0</x:v>
      </x:c>
      <x:c r="Q342" t="n">
        <x:f>IF(N342="",IF(AND(L342=1,K342&gt;=2),1,0),N342)</x:f>
        <x:v>0</x:v>
      </x:c>
      <x:c r="R342" t="n">
        <x:f>IF(O342="",IF(AND(L342=1,K342&gt;=3),1,0),O342)</x:f>
        <x:v>0</x:v>
      </x:c>
      <x:c r="S342" t="n">
        <x:f>SUM(P342:R342)</x:f>
        <x:v>0</x:v>
      </x:c>
      <x:c r="T342" t="str">
        <x:f>IF(COUNTA(M342:O342)=0,"DerivedFromCount","ManualOverride")</x:f>
        <x:v>DerivedFromCount</x:v>
      </x:c>
      <x:c r="U342" t="str">
        <x:f>IF(COUNTIF(DailyProduction!$Q$5:$Q$100,B342)=1,"OK","CHECK")</x:f>
        <x:v>OK</x:v>
      </x:c>
      <x:c r="V342" t="str">
        <x:f>IF(AND(I342&gt;=1,I342&lt;=13,K342&gt;=1,K342&lt;=3),"OK","CHECK")</x:f>
        <x:v>OK</x:v>
      </x:c>
      <x:c r="W342" t="str">
        <x:f>IF(SUMIF($B$5:$B$914,B342,$S$5:$S$914)=SUMIF(DailyProduction!$Q$5:$Q$100,B342,DailyProduction!$R$5:$R$100),"OK","CHECK")</x:f>
        <x:v>OK</x:v>
      </x:c>
    </x:row>
    <x:row r="343">
      <x:c r="A343" t="str">
        <x:v>PC-PE-KG01-L22-20251026-AM-ORD-2025-00058-S01</x:v>
      </x:c>
      <x:c r="B343" t="str">
        <x:v>PE-KG01-L22-20251026-AM-ORD-2025-00058</x:v>
      </x:c>
      <x:c r="C343" t="str">
        <x:v>KG01</x:v>
      </x:c>
      <x:c r="D343" t="n">
        <x:v>45956</x:v>
      </x:c>
      <x:c r="E343" t="str">
        <x:v>AM</x:v>
      </x:c>
      <x:c r="F343" t="str">
        <x:v>C</x:v>
      </x:c>
      <x:c r="G343" t="n">
        <x:v>22</x:v>
      </x:c>
      <x:c r="H343" t="str">
        <x:v>ORD-2025-00058</x:v>
      </x:c>
      <x:c r="I343" t="n">
        <x:v>1</x:v>
      </x:c>
      <x:c r="J343" t="n">
        <x:v>10</x:v>
      </x:c>
      <x:c r="K343" t="n">
        <x:v>4</x:v>
      </x:c>
      <x:c r="L343" t="n">
        <x:f>IF(I343&lt;=J343,1,0)</x:f>
        <x:v>1</x:v>
      </x:c>
      <x:c r="P343" t="n">
        <x:f>IF(M343="",IF(AND(L343=1,K343&gt;=1),1,0),M343)</x:f>
        <x:v>1</x:v>
      </x:c>
      <x:c r="Q343" t="n">
        <x:f>IF(N343="",IF(AND(L343=1,K343&gt;=2),1,0),N343)</x:f>
        <x:v>1</x:v>
      </x:c>
      <x:c r="R343" t="n">
        <x:f>IF(O343="",IF(AND(L343=1,K343&gt;=3),1,0),O343)</x:f>
        <x:v>1</x:v>
      </x:c>
      <x:c r="S343" t="n">
        <x:f>SUM(P343:R343)</x:f>
        <x:v>3</x:v>
      </x:c>
      <x:c r="T343" t="str">
        <x:f>IF(COUNTA(M343:O343)=0,"DerivedFromCount","ManualOverride")</x:f>
        <x:v>DerivedFromCount</x:v>
      </x:c>
      <x:c r="U343" t="str">
        <x:f>IF(COUNTIF(DailyProduction!$Q$5:$Q$100,B343)=1,"OK","CHECK")</x:f>
        <x:v>OK</x:v>
      </x:c>
      <x:c r="V343" t="str">
        <x:f>IF(AND(I343&gt;=1,I343&lt;=13,K343&gt;=1,K343&lt;=3),"OK","CHECK")</x:f>
        <x:v>CHECK</x:v>
      </x:c>
      <x:c r="W343" t="str">
        <x:f>IF(SUMIF($B$5:$B$914,B343,$S$5:$S$914)=SUMIF(DailyProduction!$Q$5:$Q$100,B343,DailyProduction!$R$5:$R$100),"OK","CHECK")</x:f>
        <x:v>CHECK</x:v>
      </x:c>
    </x:row>
    <x:row r="344">
      <x:c r="A344" t="str">
        <x:v>PC-PE-KG01-L22-20251026-AM-ORD-2025-00058-S02</x:v>
      </x:c>
      <x:c r="B344" t="str">
        <x:v>PE-KG01-L22-20251026-AM-ORD-2025-00058</x:v>
      </x:c>
      <x:c r="C344" t="str">
        <x:v>KG01</x:v>
      </x:c>
      <x:c r="D344" t="n">
        <x:v>45956</x:v>
      </x:c>
      <x:c r="E344" t="str">
        <x:v>AM</x:v>
      </x:c>
      <x:c r="F344" t="str">
        <x:v>C</x:v>
      </x:c>
      <x:c r="G344" t="n">
        <x:v>22</x:v>
      </x:c>
      <x:c r="H344" t="str">
        <x:v>ORD-2025-00058</x:v>
      </x:c>
      <x:c r="I344" t="n">
        <x:v>2</x:v>
      </x:c>
      <x:c r="J344" t="n">
        <x:v>10</x:v>
      </x:c>
      <x:c r="K344" t="n">
        <x:v>4</x:v>
      </x:c>
      <x:c r="L344" t="n">
        <x:f>IF(I344&lt;=J344,1,0)</x:f>
        <x:v>1</x:v>
      </x:c>
      <x:c r="P344" t="n">
        <x:f>IF(M344="",IF(AND(L344=1,K344&gt;=1),1,0),M344)</x:f>
        <x:v>1</x:v>
      </x:c>
      <x:c r="Q344" t="n">
        <x:f>IF(N344="",IF(AND(L344=1,K344&gt;=2),1,0),N344)</x:f>
        <x:v>1</x:v>
      </x:c>
      <x:c r="R344" t="n">
        <x:f>IF(O344="",IF(AND(L344=1,K344&gt;=3),1,0),O344)</x:f>
        <x:v>1</x:v>
      </x:c>
      <x:c r="S344" t="n">
        <x:f>SUM(P344:R344)</x:f>
        <x:v>3</x:v>
      </x:c>
      <x:c r="T344" t="str">
        <x:f>IF(COUNTA(M344:O344)=0,"DerivedFromCount","ManualOverride")</x:f>
        <x:v>DerivedFromCount</x:v>
      </x:c>
      <x:c r="U344" t="str">
        <x:f>IF(COUNTIF(DailyProduction!$Q$5:$Q$100,B344)=1,"OK","CHECK")</x:f>
        <x:v>OK</x:v>
      </x:c>
      <x:c r="V344" t="str">
        <x:f>IF(AND(I344&gt;=1,I344&lt;=13,K344&gt;=1,K344&lt;=3),"OK","CHECK")</x:f>
        <x:v>CHECK</x:v>
      </x:c>
      <x:c r="W344" t="str">
        <x:f>IF(SUMIF($B$5:$B$914,B344,$S$5:$S$914)=SUMIF(DailyProduction!$Q$5:$Q$100,B344,DailyProduction!$R$5:$R$100),"OK","CHECK")</x:f>
        <x:v>CHECK</x:v>
      </x:c>
    </x:row>
    <x:row r="345">
      <x:c r="A345" t="str">
        <x:v>PC-PE-KG01-L22-20251026-AM-ORD-2025-00058-S03</x:v>
      </x:c>
      <x:c r="B345" t="str">
        <x:v>PE-KG01-L22-20251026-AM-ORD-2025-00058</x:v>
      </x:c>
      <x:c r="C345" t="str">
        <x:v>KG01</x:v>
      </x:c>
      <x:c r="D345" t="n">
        <x:v>45956</x:v>
      </x:c>
      <x:c r="E345" t="str">
        <x:v>AM</x:v>
      </x:c>
      <x:c r="F345" t="str">
        <x:v>C</x:v>
      </x:c>
      <x:c r="G345" t="n">
        <x:v>22</x:v>
      </x:c>
      <x:c r="H345" t="str">
        <x:v>ORD-2025-00058</x:v>
      </x:c>
      <x:c r="I345" t="n">
        <x:v>3</x:v>
      </x:c>
      <x:c r="J345" t="n">
        <x:v>10</x:v>
      </x:c>
      <x:c r="K345" t="n">
        <x:v>4</x:v>
      </x:c>
      <x:c r="L345" t="n">
        <x:f>IF(I345&lt;=J345,1,0)</x:f>
        <x:v>1</x:v>
      </x:c>
      <x:c r="P345" t="n">
        <x:f>IF(M345="",IF(AND(L345=1,K345&gt;=1),1,0),M345)</x:f>
        <x:v>1</x:v>
      </x:c>
      <x:c r="Q345" t="n">
        <x:f>IF(N345="",IF(AND(L345=1,K345&gt;=2),1,0),N345)</x:f>
        <x:v>1</x:v>
      </x:c>
      <x:c r="R345" t="n">
        <x:f>IF(O345="",IF(AND(L345=1,K345&gt;=3),1,0),O345)</x:f>
        <x:v>1</x:v>
      </x:c>
      <x:c r="S345" t="n">
        <x:f>SUM(P345:R345)</x:f>
        <x:v>3</x:v>
      </x:c>
      <x:c r="T345" t="str">
        <x:f>IF(COUNTA(M345:O345)=0,"DerivedFromCount","ManualOverride")</x:f>
        <x:v>DerivedFromCount</x:v>
      </x:c>
      <x:c r="U345" t="str">
        <x:f>IF(COUNTIF(DailyProduction!$Q$5:$Q$100,B345)=1,"OK","CHECK")</x:f>
        <x:v>OK</x:v>
      </x:c>
      <x:c r="V345" t="str">
        <x:f>IF(AND(I345&gt;=1,I345&lt;=13,K345&gt;=1,K345&lt;=3),"OK","CHECK")</x:f>
        <x:v>CHECK</x:v>
      </x:c>
      <x:c r="W345" t="str">
        <x:f>IF(SUMIF($B$5:$B$914,B345,$S$5:$S$914)=SUMIF(DailyProduction!$Q$5:$Q$100,B345,DailyProduction!$R$5:$R$100),"OK","CHECK")</x:f>
        <x:v>CHECK</x:v>
      </x:c>
    </x:row>
    <x:row r="346">
      <x:c r="A346" t="str">
        <x:v>PC-PE-KG01-L22-20251026-AM-ORD-2025-00058-S04</x:v>
      </x:c>
      <x:c r="B346" t="str">
        <x:v>PE-KG01-L22-20251026-AM-ORD-2025-00058</x:v>
      </x:c>
      <x:c r="C346" t="str">
        <x:v>KG01</x:v>
      </x:c>
      <x:c r="D346" t="n">
        <x:v>45956</x:v>
      </x:c>
      <x:c r="E346" t="str">
        <x:v>AM</x:v>
      </x:c>
      <x:c r="F346" t="str">
        <x:v>C</x:v>
      </x:c>
      <x:c r="G346" t="n">
        <x:v>22</x:v>
      </x:c>
      <x:c r="H346" t="str">
        <x:v>ORD-2025-00058</x:v>
      </x:c>
      <x:c r="I346" t="n">
        <x:v>4</x:v>
      </x:c>
      <x:c r="J346" t="n">
        <x:v>10</x:v>
      </x:c>
      <x:c r="K346" t="n">
        <x:v>4</x:v>
      </x:c>
      <x:c r="L346" t="n">
        <x:f>IF(I346&lt;=J346,1,0)</x:f>
        <x:v>1</x:v>
      </x:c>
      <x:c r="P346" t="n">
        <x:f>IF(M346="",IF(AND(L346=1,K346&gt;=1),1,0),M346)</x:f>
        <x:v>1</x:v>
      </x:c>
      <x:c r="Q346" t="n">
        <x:f>IF(N346="",IF(AND(L346=1,K346&gt;=2),1,0),N346)</x:f>
        <x:v>1</x:v>
      </x:c>
      <x:c r="R346" t="n">
        <x:f>IF(O346="",IF(AND(L346=1,K346&gt;=3),1,0),O346)</x:f>
        <x:v>1</x:v>
      </x:c>
      <x:c r="S346" t="n">
        <x:f>SUM(P346:R346)</x:f>
        <x:v>3</x:v>
      </x:c>
      <x:c r="T346" t="str">
        <x:f>IF(COUNTA(M346:O346)=0,"DerivedFromCount","ManualOverride")</x:f>
        <x:v>DerivedFromCount</x:v>
      </x:c>
      <x:c r="U346" t="str">
        <x:f>IF(COUNTIF(DailyProduction!$Q$5:$Q$100,B346)=1,"OK","CHECK")</x:f>
        <x:v>OK</x:v>
      </x:c>
      <x:c r="V346" t="str">
        <x:f>IF(AND(I346&gt;=1,I346&lt;=13,K346&gt;=1,K346&lt;=3),"OK","CHECK")</x:f>
        <x:v>CHECK</x:v>
      </x:c>
      <x:c r="W346" t="str">
        <x:f>IF(SUMIF($B$5:$B$914,B346,$S$5:$S$914)=SUMIF(DailyProduction!$Q$5:$Q$100,B346,DailyProduction!$R$5:$R$100),"OK","CHECK")</x:f>
        <x:v>CHECK</x:v>
      </x:c>
    </x:row>
    <x:row r="347">
      <x:c r="A347" t="str">
        <x:v>PC-PE-KG01-L22-20251026-AM-ORD-2025-00058-S05</x:v>
      </x:c>
      <x:c r="B347" t="str">
        <x:v>PE-KG01-L22-20251026-AM-ORD-2025-00058</x:v>
      </x:c>
      <x:c r="C347" t="str">
        <x:v>KG01</x:v>
      </x:c>
      <x:c r="D347" t="n">
        <x:v>45956</x:v>
      </x:c>
      <x:c r="E347" t="str">
        <x:v>AM</x:v>
      </x:c>
      <x:c r="F347" t="str">
        <x:v>C</x:v>
      </x:c>
      <x:c r="G347" t="n">
        <x:v>22</x:v>
      </x:c>
      <x:c r="H347" t="str">
        <x:v>ORD-2025-00058</x:v>
      </x:c>
      <x:c r="I347" t="n">
        <x:v>5</x:v>
      </x:c>
      <x:c r="J347" t="n">
        <x:v>10</x:v>
      </x:c>
      <x:c r="K347" t="n">
        <x:v>4</x:v>
      </x:c>
      <x:c r="L347" t="n">
        <x:f>IF(I347&lt;=J347,1,0)</x:f>
        <x:v>1</x:v>
      </x:c>
      <x:c r="P347" t="n">
        <x:f>IF(M347="",IF(AND(L347=1,K347&gt;=1),1,0),M347)</x:f>
        <x:v>1</x:v>
      </x:c>
      <x:c r="Q347" t="n">
        <x:f>IF(N347="",IF(AND(L347=1,K347&gt;=2),1,0),N347)</x:f>
        <x:v>1</x:v>
      </x:c>
      <x:c r="R347" t="n">
        <x:f>IF(O347="",IF(AND(L347=1,K347&gt;=3),1,0),O347)</x:f>
        <x:v>1</x:v>
      </x:c>
      <x:c r="S347" t="n">
        <x:f>SUM(P347:R347)</x:f>
        <x:v>3</x:v>
      </x:c>
      <x:c r="T347" t="str">
        <x:f>IF(COUNTA(M347:O347)=0,"DerivedFromCount","ManualOverride")</x:f>
        <x:v>DerivedFromCount</x:v>
      </x:c>
      <x:c r="U347" t="str">
        <x:f>IF(COUNTIF(DailyProduction!$Q$5:$Q$100,B347)=1,"OK","CHECK")</x:f>
        <x:v>OK</x:v>
      </x:c>
      <x:c r="V347" t="str">
        <x:f>IF(AND(I347&gt;=1,I347&lt;=13,K347&gt;=1,K347&lt;=3),"OK","CHECK")</x:f>
        <x:v>CHECK</x:v>
      </x:c>
      <x:c r="W347" t="str">
        <x:f>IF(SUMIF($B$5:$B$914,B347,$S$5:$S$914)=SUMIF(DailyProduction!$Q$5:$Q$100,B347,DailyProduction!$R$5:$R$100),"OK","CHECK")</x:f>
        <x:v>CHECK</x:v>
      </x:c>
    </x:row>
    <x:row r="348">
      <x:c r="A348" t="str">
        <x:v>PC-PE-KG01-L22-20251026-AM-ORD-2025-00058-S06</x:v>
      </x:c>
      <x:c r="B348" t="str">
        <x:v>PE-KG01-L22-20251026-AM-ORD-2025-00058</x:v>
      </x:c>
      <x:c r="C348" t="str">
        <x:v>KG01</x:v>
      </x:c>
      <x:c r="D348" t="n">
        <x:v>45956</x:v>
      </x:c>
      <x:c r="E348" t="str">
        <x:v>AM</x:v>
      </x:c>
      <x:c r="F348" t="str">
        <x:v>C</x:v>
      </x:c>
      <x:c r="G348" t="n">
        <x:v>22</x:v>
      </x:c>
      <x:c r="H348" t="str">
        <x:v>ORD-2025-00058</x:v>
      </x:c>
      <x:c r="I348" t="n">
        <x:v>6</x:v>
      </x:c>
      <x:c r="J348" t="n">
        <x:v>10</x:v>
      </x:c>
      <x:c r="K348" t="n">
        <x:v>4</x:v>
      </x:c>
      <x:c r="L348" t="n">
        <x:f>IF(I348&lt;=J348,1,0)</x:f>
        <x:v>1</x:v>
      </x:c>
      <x:c r="P348" t="n">
        <x:f>IF(M348="",IF(AND(L348=1,K348&gt;=1),1,0),M348)</x:f>
        <x:v>1</x:v>
      </x:c>
      <x:c r="Q348" t="n">
        <x:f>IF(N348="",IF(AND(L348=1,K348&gt;=2),1,0),N348)</x:f>
        <x:v>1</x:v>
      </x:c>
      <x:c r="R348" t="n">
        <x:f>IF(O348="",IF(AND(L348=1,K348&gt;=3),1,0),O348)</x:f>
        <x:v>1</x:v>
      </x:c>
      <x:c r="S348" t="n">
        <x:f>SUM(P348:R348)</x:f>
        <x:v>3</x:v>
      </x:c>
      <x:c r="T348" t="str">
        <x:f>IF(COUNTA(M348:O348)=0,"DerivedFromCount","ManualOverride")</x:f>
        <x:v>DerivedFromCount</x:v>
      </x:c>
      <x:c r="U348" t="str">
        <x:f>IF(COUNTIF(DailyProduction!$Q$5:$Q$100,B348)=1,"OK","CHECK")</x:f>
        <x:v>OK</x:v>
      </x:c>
      <x:c r="V348" t="str">
        <x:f>IF(AND(I348&gt;=1,I348&lt;=13,K348&gt;=1,K348&lt;=3),"OK","CHECK")</x:f>
        <x:v>CHECK</x:v>
      </x:c>
      <x:c r="W348" t="str">
        <x:f>IF(SUMIF($B$5:$B$914,B348,$S$5:$S$914)=SUMIF(DailyProduction!$Q$5:$Q$100,B348,DailyProduction!$R$5:$R$100),"OK","CHECK")</x:f>
        <x:v>CHECK</x:v>
      </x:c>
    </x:row>
    <x:row r="349">
      <x:c r="A349" t="str">
        <x:v>PC-PE-KG01-L22-20251026-AM-ORD-2025-00058-S07</x:v>
      </x:c>
      <x:c r="B349" t="str">
        <x:v>PE-KG01-L22-20251026-AM-ORD-2025-00058</x:v>
      </x:c>
      <x:c r="C349" t="str">
        <x:v>KG01</x:v>
      </x:c>
      <x:c r="D349" t="n">
        <x:v>45956</x:v>
      </x:c>
      <x:c r="E349" t="str">
        <x:v>AM</x:v>
      </x:c>
      <x:c r="F349" t="str">
        <x:v>C</x:v>
      </x:c>
      <x:c r="G349" t="n">
        <x:v>22</x:v>
      </x:c>
      <x:c r="H349" t="str">
        <x:v>ORD-2025-00058</x:v>
      </x:c>
      <x:c r="I349" t="n">
        <x:v>7</x:v>
      </x:c>
      <x:c r="J349" t="n">
        <x:v>10</x:v>
      </x:c>
      <x:c r="K349" t="n">
        <x:v>4</x:v>
      </x:c>
      <x:c r="L349" t="n">
        <x:f>IF(I349&lt;=J349,1,0)</x:f>
        <x:v>1</x:v>
      </x:c>
      <x:c r="P349" t="n">
        <x:f>IF(M349="",IF(AND(L349=1,K349&gt;=1),1,0),M349)</x:f>
        <x:v>1</x:v>
      </x:c>
      <x:c r="Q349" t="n">
        <x:f>IF(N349="",IF(AND(L349=1,K349&gt;=2),1,0),N349)</x:f>
        <x:v>1</x:v>
      </x:c>
      <x:c r="R349" t="n">
        <x:f>IF(O349="",IF(AND(L349=1,K349&gt;=3),1,0),O349)</x:f>
        <x:v>1</x:v>
      </x:c>
      <x:c r="S349" t="n">
        <x:f>SUM(P349:R349)</x:f>
        <x:v>3</x:v>
      </x:c>
      <x:c r="T349" t="str">
        <x:f>IF(COUNTA(M349:O349)=0,"DerivedFromCount","ManualOverride")</x:f>
        <x:v>DerivedFromCount</x:v>
      </x:c>
      <x:c r="U349" t="str">
        <x:f>IF(COUNTIF(DailyProduction!$Q$5:$Q$100,B349)=1,"OK","CHECK")</x:f>
        <x:v>OK</x:v>
      </x:c>
      <x:c r="V349" t="str">
        <x:f>IF(AND(I349&gt;=1,I349&lt;=13,K349&gt;=1,K349&lt;=3),"OK","CHECK")</x:f>
        <x:v>CHECK</x:v>
      </x:c>
      <x:c r="W349" t="str">
        <x:f>IF(SUMIF($B$5:$B$914,B349,$S$5:$S$914)=SUMIF(DailyProduction!$Q$5:$Q$100,B349,DailyProduction!$R$5:$R$100),"OK","CHECK")</x:f>
        <x:v>CHECK</x:v>
      </x:c>
    </x:row>
    <x:row r="350">
      <x:c r="A350" t="str">
        <x:v>PC-PE-KG01-L22-20251026-AM-ORD-2025-00058-S08</x:v>
      </x:c>
      <x:c r="B350" t="str">
        <x:v>PE-KG01-L22-20251026-AM-ORD-2025-00058</x:v>
      </x:c>
      <x:c r="C350" t="str">
        <x:v>KG01</x:v>
      </x:c>
      <x:c r="D350" t="n">
        <x:v>45956</x:v>
      </x:c>
      <x:c r="E350" t="str">
        <x:v>AM</x:v>
      </x:c>
      <x:c r="F350" t="str">
        <x:v>C</x:v>
      </x:c>
      <x:c r="G350" t="n">
        <x:v>22</x:v>
      </x:c>
      <x:c r="H350" t="str">
        <x:v>ORD-2025-00058</x:v>
      </x:c>
      <x:c r="I350" t="n">
        <x:v>8</x:v>
      </x:c>
      <x:c r="J350" t="n">
        <x:v>10</x:v>
      </x:c>
      <x:c r="K350" t="n">
        <x:v>4</x:v>
      </x:c>
      <x:c r="L350" t="n">
        <x:f>IF(I350&lt;=J350,1,0)</x:f>
        <x:v>1</x:v>
      </x:c>
      <x:c r="P350" t="n">
        <x:f>IF(M350="",IF(AND(L350=1,K350&gt;=1),1,0),M350)</x:f>
        <x:v>1</x:v>
      </x:c>
      <x:c r="Q350" t="n">
        <x:f>IF(N350="",IF(AND(L350=1,K350&gt;=2),1,0),N350)</x:f>
        <x:v>1</x:v>
      </x:c>
      <x:c r="R350" t="n">
        <x:f>IF(O350="",IF(AND(L350=1,K350&gt;=3),1,0),O350)</x:f>
        <x:v>1</x:v>
      </x:c>
      <x:c r="S350" t="n">
        <x:f>SUM(P350:R350)</x:f>
        <x:v>3</x:v>
      </x:c>
      <x:c r="T350" t="str">
        <x:f>IF(COUNTA(M350:O350)=0,"DerivedFromCount","ManualOverride")</x:f>
        <x:v>DerivedFromCount</x:v>
      </x:c>
      <x:c r="U350" t="str">
        <x:f>IF(COUNTIF(DailyProduction!$Q$5:$Q$100,B350)=1,"OK","CHECK")</x:f>
        <x:v>OK</x:v>
      </x:c>
      <x:c r="V350" t="str">
        <x:f>IF(AND(I350&gt;=1,I350&lt;=13,K350&gt;=1,K350&lt;=3),"OK","CHECK")</x:f>
        <x:v>CHECK</x:v>
      </x:c>
      <x:c r="W350" t="str">
        <x:f>IF(SUMIF($B$5:$B$914,B350,$S$5:$S$914)=SUMIF(DailyProduction!$Q$5:$Q$100,B350,DailyProduction!$R$5:$R$100),"OK","CHECK")</x:f>
        <x:v>CHECK</x:v>
      </x:c>
    </x:row>
    <x:row r="351">
      <x:c r="A351" t="str">
        <x:v>PC-PE-KG01-L22-20251026-AM-ORD-2025-00058-S09</x:v>
      </x:c>
      <x:c r="B351" t="str">
        <x:v>PE-KG01-L22-20251026-AM-ORD-2025-00058</x:v>
      </x:c>
      <x:c r="C351" t="str">
        <x:v>KG01</x:v>
      </x:c>
      <x:c r="D351" t="n">
        <x:v>45956</x:v>
      </x:c>
      <x:c r="E351" t="str">
        <x:v>AM</x:v>
      </x:c>
      <x:c r="F351" t="str">
        <x:v>C</x:v>
      </x:c>
      <x:c r="G351" t="n">
        <x:v>22</x:v>
      </x:c>
      <x:c r="H351" t="str">
        <x:v>ORD-2025-00058</x:v>
      </x:c>
      <x:c r="I351" t="n">
        <x:v>9</x:v>
      </x:c>
      <x:c r="J351" t="n">
        <x:v>10</x:v>
      </x:c>
      <x:c r="K351" t="n">
        <x:v>4</x:v>
      </x:c>
      <x:c r="L351" t="n">
        <x:f>IF(I351&lt;=J351,1,0)</x:f>
        <x:v>1</x:v>
      </x:c>
      <x:c r="P351" t="n">
        <x:f>IF(M351="",IF(AND(L351=1,K351&gt;=1),1,0),M351)</x:f>
        <x:v>1</x:v>
      </x:c>
      <x:c r="Q351" t="n">
        <x:f>IF(N351="",IF(AND(L351=1,K351&gt;=2),1,0),N351)</x:f>
        <x:v>1</x:v>
      </x:c>
      <x:c r="R351" t="n">
        <x:f>IF(O351="",IF(AND(L351=1,K351&gt;=3),1,0),O351)</x:f>
        <x:v>1</x:v>
      </x:c>
      <x:c r="S351" t="n">
        <x:f>SUM(P351:R351)</x:f>
        <x:v>3</x:v>
      </x:c>
      <x:c r="T351" t="str">
        <x:f>IF(COUNTA(M351:O351)=0,"DerivedFromCount","ManualOverride")</x:f>
        <x:v>DerivedFromCount</x:v>
      </x:c>
      <x:c r="U351" t="str">
        <x:f>IF(COUNTIF(DailyProduction!$Q$5:$Q$100,B351)=1,"OK","CHECK")</x:f>
        <x:v>OK</x:v>
      </x:c>
      <x:c r="V351" t="str">
        <x:f>IF(AND(I351&gt;=1,I351&lt;=13,K351&gt;=1,K351&lt;=3),"OK","CHECK")</x:f>
        <x:v>CHECK</x:v>
      </x:c>
      <x:c r="W351" t="str">
        <x:f>IF(SUMIF($B$5:$B$914,B351,$S$5:$S$914)=SUMIF(DailyProduction!$Q$5:$Q$100,B351,DailyProduction!$R$5:$R$100),"OK","CHECK")</x:f>
        <x:v>CHECK</x:v>
      </x:c>
    </x:row>
    <x:row r="352">
      <x:c r="A352" t="str">
        <x:v>PC-PE-KG01-L22-20251026-AM-ORD-2025-00058-S10</x:v>
      </x:c>
      <x:c r="B352" t="str">
        <x:v>PE-KG01-L22-20251026-AM-ORD-2025-00058</x:v>
      </x:c>
      <x:c r="C352" t="str">
        <x:v>KG01</x:v>
      </x:c>
      <x:c r="D352" t="n">
        <x:v>45956</x:v>
      </x:c>
      <x:c r="E352" t="str">
        <x:v>AM</x:v>
      </x:c>
      <x:c r="F352" t="str">
        <x:v>C</x:v>
      </x:c>
      <x:c r="G352" t="n">
        <x:v>22</x:v>
      </x:c>
      <x:c r="H352" t="str">
        <x:v>ORD-2025-00058</x:v>
      </x:c>
      <x:c r="I352" t="n">
        <x:v>10</x:v>
      </x:c>
      <x:c r="J352" t="n">
        <x:v>10</x:v>
      </x:c>
      <x:c r="K352" t="n">
        <x:v>4</x:v>
      </x:c>
      <x:c r="L352" t="n">
        <x:f>IF(I352&lt;=J352,1,0)</x:f>
        <x:v>1</x:v>
      </x:c>
      <x:c r="P352" t="n">
        <x:f>IF(M352="",IF(AND(L352=1,K352&gt;=1),1,0),M352)</x:f>
        <x:v>1</x:v>
      </x:c>
      <x:c r="Q352" t="n">
        <x:f>IF(N352="",IF(AND(L352=1,K352&gt;=2),1,0),N352)</x:f>
        <x:v>1</x:v>
      </x:c>
      <x:c r="R352" t="n">
        <x:f>IF(O352="",IF(AND(L352=1,K352&gt;=3),1,0),O352)</x:f>
        <x:v>1</x:v>
      </x:c>
      <x:c r="S352" t="n">
        <x:f>SUM(P352:R352)</x:f>
        <x:v>3</x:v>
      </x:c>
      <x:c r="T352" t="str">
        <x:f>IF(COUNTA(M352:O352)=0,"DerivedFromCount","ManualOverride")</x:f>
        <x:v>DerivedFromCount</x:v>
      </x:c>
      <x:c r="U352" t="str">
        <x:f>IF(COUNTIF(DailyProduction!$Q$5:$Q$100,B352)=1,"OK","CHECK")</x:f>
        <x:v>OK</x:v>
      </x:c>
      <x:c r="V352" t="str">
        <x:f>IF(AND(I352&gt;=1,I352&lt;=13,K352&gt;=1,K352&lt;=3),"OK","CHECK")</x:f>
        <x:v>CHECK</x:v>
      </x:c>
      <x:c r="W352" t="str">
        <x:f>IF(SUMIF($B$5:$B$914,B352,$S$5:$S$914)=SUMIF(DailyProduction!$Q$5:$Q$100,B352,DailyProduction!$R$5:$R$100),"OK","CHECK")</x:f>
        <x:v>CHECK</x:v>
      </x:c>
    </x:row>
    <x:row r="353">
      <x:c r="A353" t="str">
        <x:v>PC-PE-KG01-L22-20251026-AM-ORD-2025-00058-S11</x:v>
      </x:c>
      <x:c r="B353" t="str">
        <x:v>PE-KG01-L22-20251026-AM-ORD-2025-00058</x:v>
      </x:c>
      <x:c r="C353" t="str">
        <x:v>KG01</x:v>
      </x:c>
      <x:c r="D353" t="n">
        <x:v>45956</x:v>
      </x:c>
      <x:c r="E353" t="str">
        <x:v>AM</x:v>
      </x:c>
      <x:c r="F353" t="str">
        <x:v>C</x:v>
      </x:c>
      <x:c r="G353" t="n">
        <x:v>22</x:v>
      </x:c>
      <x:c r="H353" t="str">
        <x:v>ORD-2025-00058</x:v>
      </x:c>
      <x:c r="I353" t="n">
        <x:v>11</x:v>
      </x:c>
      <x:c r="J353" t="n">
        <x:v>10</x:v>
      </x:c>
      <x:c r="K353" t="n">
        <x:v>4</x:v>
      </x:c>
      <x:c r="L353" t="n">
        <x:f>IF(I353&lt;=J353,1,0)</x:f>
        <x:v>0</x:v>
      </x:c>
      <x:c r="P353" t="n">
        <x:f>IF(M353="",IF(AND(L353=1,K353&gt;=1),1,0),M353)</x:f>
        <x:v>0</x:v>
      </x:c>
      <x:c r="Q353" t="n">
        <x:f>IF(N353="",IF(AND(L353=1,K353&gt;=2),1,0),N353)</x:f>
        <x:v>0</x:v>
      </x:c>
      <x:c r="R353" t="n">
        <x:f>IF(O353="",IF(AND(L353=1,K353&gt;=3),1,0),O353)</x:f>
        <x:v>0</x:v>
      </x:c>
      <x:c r="S353" t="n">
        <x:f>SUM(P353:R353)</x:f>
        <x:v>0</x:v>
      </x:c>
      <x:c r="T353" t="str">
        <x:f>IF(COUNTA(M353:O353)=0,"DerivedFromCount","ManualOverride")</x:f>
        <x:v>DerivedFromCount</x:v>
      </x:c>
      <x:c r="U353" t="str">
        <x:f>IF(COUNTIF(DailyProduction!$Q$5:$Q$100,B353)=1,"OK","CHECK")</x:f>
        <x:v>OK</x:v>
      </x:c>
      <x:c r="V353" t="str">
        <x:f>IF(AND(I353&gt;=1,I353&lt;=13,K353&gt;=1,K353&lt;=3),"OK","CHECK")</x:f>
        <x:v>CHECK</x:v>
      </x:c>
      <x:c r="W353" t="str">
        <x:f>IF(SUMIF($B$5:$B$914,B353,$S$5:$S$914)=SUMIF(DailyProduction!$Q$5:$Q$100,B353,DailyProduction!$R$5:$R$100),"OK","CHECK")</x:f>
        <x:v>CHECK</x:v>
      </x:c>
    </x:row>
    <x:row r="354">
      <x:c r="A354" t="str">
        <x:v>PC-PE-KG01-L22-20251026-AM-ORD-2025-00058-S12</x:v>
      </x:c>
      <x:c r="B354" t="str">
        <x:v>PE-KG01-L22-20251026-AM-ORD-2025-00058</x:v>
      </x:c>
      <x:c r="C354" t="str">
        <x:v>KG01</x:v>
      </x:c>
      <x:c r="D354" t="n">
        <x:v>45956</x:v>
      </x:c>
      <x:c r="E354" t="str">
        <x:v>AM</x:v>
      </x:c>
      <x:c r="F354" t="str">
        <x:v>C</x:v>
      </x:c>
      <x:c r="G354" t="n">
        <x:v>22</x:v>
      </x:c>
      <x:c r="H354" t="str">
        <x:v>ORD-2025-00058</x:v>
      </x:c>
      <x:c r="I354" t="n">
        <x:v>12</x:v>
      </x:c>
      <x:c r="J354" t="n">
        <x:v>10</x:v>
      </x:c>
      <x:c r="K354" t="n">
        <x:v>4</x:v>
      </x:c>
      <x:c r="L354" t="n">
        <x:f>IF(I354&lt;=J354,1,0)</x:f>
        <x:v>0</x:v>
      </x:c>
      <x:c r="P354" t="n">
        <x:f>IF(M354="",IF(AND(L354=1,K354&gt;=1),1,0),M354)</x:f>
        <x:v>0</x:v>
      </x:c>
      <x:c r="Q354" t="n">
        <x:f>IF(N354="",IF(AND(L354=1,K354&gt;=2),1,0),N354)</x:f>
        <x:v>0</x:v>
      </x:c>
      <x:c r="R354" t="n">
        <x:f>IF(O354="",IF(AND(L354=1,K354&gt;=3),1,0),O354)</x:f>
        <x:v>0</x:v>
      </x:c>
      <x:c r="S354" t="n">
        <x:f>SUM(P354:R354)</x:f>
        <x:v>0</x:v>
      </x:c>
      <x:c r="T354" t="str">
        <x:f>IF(COUNTA(M354:O354)=0,"DerivedFromCount","ManualOverride")</x:f>
        <x:v>DerivedFromCount</x:v>
      </x:c>
      <x:c r="U354" t="str">
        <x:f>IF(COUNTIF(DailyProduction!$Q$5:$Q$100,B354)=1,"OK","CHECK")</x:f>
        <x:v>OK</x:v>
      </x:c>
      <x:c r="V354" t="str">
        <x:f>IF(AND(I354&gt;=1,I354&lt;=13,K354&gt;=1,K354&lt;=3),"OK","CHECK")</x:f>
        <x:v>CHECK</x:v>
      </x:c>
      <x:c r="W354" t="str">
        <x:f>IF(SUMIF($B$5:$B$914,B354,$S$5:$S$914)=SUMIF(DailyProduction!$Q$5:$Q$100,B354,DailyProduction!$R$5:$R$100),"OK","CHECK")</x:f>
        <x:v>CHECK</x:v>
      </x:c>
    </x:row>
    <x:row r="355">
      <x:c r="A355" t="str">
        <x:v>PC-PE-KG01-L22-20251026-AM-ORD-2025-00058-S13</x:v>
      </x:c>
      <x:c r="B355" t="str">
        <x:v>PE-KG01-L22-20251026-AM-ORD-2025-00058</x:v>
      </x:c>
      <x:c r="C355" t="str">
        <x:v>KG01</x:v>
      </x:c>
      <x:c r="D355" t="n">
        <x:v>45956</x:v>
      </x:c>
      <x:c r="E355" t="str">
        <x:v>AM</x:v>
      </x:c>
      <x:c r="F355" t="str">
        <x:v>C</x:v>
      </x:c>
      <x:c r="G355" t="n">
        <x:v>22</x:v>
      </x:c>
      <x:c r="H355" t="str">
        <x:v>ORD-2025-00058</x:v>
      </x:c>
      <x:c r="I355" t="n">
        <x:v>13</x:v>
      </x:c>
      <x:c r="J355" t="n">
        <x:v>10</x:v>
      </x:c>
      <x:c r="K355" t="n">
        <x:v>4</x:v>
      </x:c>
      <x:c r="L355" t="n">
        <x:f>IF(I355&lt;=J355,1,0)</x:f>
        <x:v>0</x:v>
      </x:c>
      <x:c r="P355" t="n">
        <x:f>IF(M355="",IF(AND(L355=1,K355&gt;=1),1,0),M355)</x:f>
        <x:v>0</x:v>
      </x:c>
      <x:c r="Q355" t="n">
        <x:f>IF(N355="",IF(AND(L355=1,K355&gt;=2),1,0),N355)</x:f>
        <x:v>0</x:v>
      </x:c>
      <x:c r="R355" t="n">
        <x:f>IF(O355="",IF(AND(L355=1,K355&gt;=3),1,0),O355)</x:f>
        <x:v>0</x:v>
      </x:c>
      <x:c r="S355" t="n">
        <x:f>SUM(P355:R355)</x:f>
        <x:v>0</x:v>
      </x:c>
      <x:c r="T355" t="str">
        <x:f>IF(COUNTA(M355:O355)=0,"DerivedFromCount","ManualOverride")</x:f>
        <x:v>DerivedFromCount</x:v>
      </x:c>
      <x:c r="U355" t="str">
        <x:f>IF(COUNTIF(DailyProduction!$Q$5:$Q$100,B355)=1,"OK","CHECK")</x:f>
        <x:v>OK</x:v>
      </x:c>
      <x:c r="V355" t="str">
        <x:f>IF(AND(I355&gt;=1,I355&lt;=13,K355&gt;=1,K355&lt;=3),"OK","CHECK")</x:f>
        <x:v>CHECK</x:v>
      </x:c>
      <x:c r="W355" t="str">
        <x:f>IF(SUMIF($B$5:$B$914,B355,$S$5:$S$914)=SUMIF(DailyProduction!$Q$5:$Q$100,B355,DailyProduction!$R$5:$R$100),"OK","CHECK")</x:f>
        <x:v>CHECK</x:v>
      </x:c>
    </x:row>
    <x:row r="356">
      <x:c r="A356" t="str">
        <x:v>PC-PE-KG01-L22-20251026-PM-ORD-2025-00058-S01</x:v>
      </x:c>
      <x:c r="B356" t="str">
        <x:v>PE-KG01-L22-20251026-PM-ORD-2025-00058</x:v>
      </x:c>
      <x:c r="C356" t="str">
        <x:v>KG01</x:v>
      </x:c>
      <x:c r="D356" t="n">
        <x:v>45956</x:v>
      </x:c>
      <x:c r="E356" t="str">
        <x:v>PM</x:v>
      </x:c>
      <x:c r="F356" t="str">
        <x:v>A</x:v>
      </x:c>
      <x:c r="G356" t="n">
        <x:v>22</x:v>
      </x:c>
      <x:c r="H356" t="str">
        <x:v>ORD-2025-00058</x:v>
      </x:c>
      <x:c r="I356" t="n">
        <x:v>1</x:v>
      </x:c>
      <x:c r="J356" t="n">
        <x:v>10</x:v>
      </x:c>
      <x:c r="K356" t="n">
        <x:v>4</x:v>
      </x:c>
      <x:c r="L356" t="n">
        <x:f>IF(I356&lt;=J356,1,0)</x:f>
        <x:v>1</x:v>
      </x:c>
      <x:c r="P356" t="n">
        <x:f>IF(M356="",IF(AND(L356=1,K356&gt;=1),1,0),M356)</x:f>
        <x:v>1</x:v>
      </x:c>
      <x:c r="Q356" t="n">
        <x:f>IF(N356="",IF(AND(L356=1,K356&gt;=2),1,0),N356)</x:f>
        <x:v>1</x:v>
      </x:c>
      <x:c r="R356" t="n">
        <x:f>IF(O356="",IF(AND(L356=1,K356&gt;=3),1,0),O356)</x:f>
        <x:v>1</x:v>
      </x:c>
      <x:c r="S356" t="n">
        <x:f>SUM(P356:R356)</x:f>
        <x:v>3</x:v>
      </x:c>
      <x:c r="T356" t="str">
        <x:f>IF(COUNTA(M356:O356)=0,"DerivedFromCount","ManualOverride")</x:f>
        <x:v>DerivedFromCount</x:v>
      </x:c>
      <x:c r="U356" t="str">
        <x:f>IF(COUNTIF(DailyProduction!$Q$5:$Q$100,B356)=1,"OK","CHECK")</x:f>
        <x:v>OK</x:v>
      </x:c>
      <x:c r="V356" t="str">
        <x:f>IF(AND(I356&gt;=1,I356&lt;=13,K356&gt;=1,K356&lt;=3),"OK","CHECK")</x:f>
        <x:v>CHECK</x:v>
      </x:c>
      <x:c r="W356" t="str">
        <x:f>IF(SUMIF($B$5:$B$914,B356,$S$5:$S$914)=SUMIF(DailyProduction!$Q$5:$Q$100,B356,DailyProduction!$R$5:$R$100),"OK","CHECK")</x:f>
        <x:v>CHECK</x:v>
      </x:c>
    </x:row>
    <x:row r="357">
      <x:c r="A357" t="str">
        <x:v>PC-PE-KG01-L22-20251026-PM-ORD-2025-00058-S02</x:v>
      </x:c>
      <x:c r="B357" t="str">
        <x:v>PE-KG01-L22-20251026-PM-ORD-2025-00058</x:v>
      </x:c>
      <x:c r="C357" t="str">
        <x:v>KG01</x:v>
      </x:c>
      <x:c r="D357" t="n">
        <x:v>45956</x:v>
      </x:c>
      <x:c r="E357" t="str">
        <x:v>PM</x:v>
      </x:c>
      <x:c r="F357" t="str">
        <x:v>A</x:v>
      </x:c>
      <x:c r="G357" t="n">
        <x:v>22</x:v>
      </x:c>
      <x:c r="H357" t="str">
        <x:v>ORD-2025-00058</x:v>
      </x:c>
      <x:c r="I357" t="n">
        <x:v>2</x:v>
      </x:c>
      <x:c r="J357" t="n">
        <x:v>10</x:v>
      </x:c>
      <x:c r="K357" t="n">
        <x:v>4</x:v>
      </x:c>
      <x:c r="L357" t="n">
        <x:f>IF(I357&lt;=J357,1,0)</x:f>
        <x:v>1</x:v>
      </x:c>
      <x:c r="P357" t="n">
        <x:f>IF(M357="",IF(AND(L357=1,K357&gt;=1),1,0),M357)</x:f>
        <x:v>1</x:v>
      </x:c>
      <x:c r="Q357" t="n">
        <x:f>IF(N357="",IF(AND(L357=1,K357&gt;=2),1,0),N357)</x:f>
        <x:v>1</x:v>
      </x:c>
      <x:c r="R357" t="n">
        <x:f>IF(O357="",IF(AND(L357=1,K357&gt;=3),1,0),O357)</x:f>
        <x:v>1</x:v>
      </x:c>
      <x:c r="S357" t="n">
        <x:f>SUM(P357:R357)</x:f>
        <x:v>3</x:v>
      </x:c>
      <x:c r="T357" t="str">
        <x:f>IF(COUNTA(M357:O357)=0,"DerivedFromCount","ManualOverride")</x:f>
        <x:v>DerivedFromCount</x:v>
      </x:c>
      <x:c r="U357" t="str">
        <x:f>IF(COUNTIF(DailyProduction!$Q$5:$Q$100,B357)=1,"OK","CHECK")</x:f>
        <x:v>OK</x:v>
      </x:c>
      <x:c r="V357" t="str">
        <x:f>IF(AND(I357&gt;=1,I357&lt;=13,K357&gt;=1,K357&lt;=3),"OK","CHECK")</x:f>
        <x:v>CHECK</x:v>
      </x:c>
      <x:c r="W357" t="str">
        <x:f>IF(SUMIF($B$5:$B$914,B357,$S$5:$S$914)=SUMIF(DailyProduction!$Q$5:$Q$100,B357,DailyProduction!$R$5:$R$100),"OK","CHECK")</x:f>
        <x:v>CHECK</x:v>
      </x:c>
    </x:row>
    <x:row r="358">
      <x:c r="A358" t="str">
        <x:v>PC-PE-KG01-L22-20251026-PM-ORD-2025-00058-S03</x:v>
      </x:c>
      <x:c r="B358" t="str">
        <x:v>PE-KG01-L22-20251026-PM-ORD-2025-00058</x:v>
      </x:c>
      <x:c r="C358" t="str">
        <x:v>KG01</x:v>
      </x:c>
      <x:c r="D358" t="n">
        <x:v>45956</x:v>
      </x:c>
      <x:c r="E358" t="str">
        <x:v>PM</x:v>
      </x:c>
      <x:c r="F358" t="str">
        <x:v>A</x:v>
      </x:c>
      <x:c r="G358" t="n">
        <x:v>22</x:v>
      </x:c>
      <x:c r="H358" t="str">
        <x:v>ORD-2025-00058</x:v>
      </x:c>
      <x:c r="I358" t="n">
        <x:v>3</x:v>
      </x:c>
      <x:c r="J358" t="n">
        <x:v>10</x:v>
      </x:c>
      <x:c r="K358" t="n">
        <x:v>4</x:v>
      </x:c>
      <x:c r="L358" t="n">
        <x:f>IF(I358&lt;=J358,1,0)</x:f>
        <x:v>1</x:v>
      </x:c>
      <x:c r="P358" t="n">
        <x:f>IF(M358="",IF(AND(L358=1,K358&gt;=1),1,0),M358)</x:f>
        <x:v>1</x:v>
      </x:c>
      <x:c r="Q358" t="n">
        <x:f>IF(N358="",IF(AND(L358=1,K358&gt;=2),1,0),N358)</x:f>
        <x:v>1</x:v>
      </x:c>
      <x:c r="R358" t="n">
        <x:f>IF(O358="",IF(AND(L358=1,K358&gt;=3),1,0),O358)</x:f>
        <x:v>1</x:v>
      </x:c>
      <x:c r="S358" t="n">
        <x:f>SUM(P358:R358)</x:f>
        <x:v>3</x:v>
      </x:c>
      <x:c r="T358" t="str">
        <x:f>IF(COUNTA(M358:O358)=0,"DerivedFromCount","ManualOverride")</x:f>
        <x:v>DerivedFromCount</x:v>
      </x:c>
      <x:c r="U358" t="str">
        <x:f>IF(COUNTIF(DailyProduction!$Q$5:$Q$100,B358)=1,"OK","CHECK")</x:f>
        <x:v>OK</x:v>
      </x:c>
      <x:c r="V358" t="str">
        <x:f>IF(AND(I358&gt;=1,I358&lt;=13,K358&gt;=1,K358&lt;=3),"OK","CHECK")</x:f>
        <x:v>CHECK</x:v>
      </x:c>
      <x:c r="W358" t="str">
        <x:f>IF(SUMIF($B$5:$B$914,B358,$S$5:$S$914)=SUMIF(DailyProduction!$Q$5:$Q$100,B358,DailyProduction!$R$5:$R$100),"OK","CHECK")</x:f>
        <x:v>CHECK</x:v>
      </x:c>
    </x:row>
    <x:row r="359">
      <x:c r="A359" t="str">
        <x:v>PC-PE-KG01-L22-20251026-PM-ORD-2025-00058-S04</x:v>
      </x:c>
      <x:c r="B359" t="str">
        <x:v>PE-KG01-L22-20251026-PM-ORD-2025-00058</x:v>
      </x:c>
      <x:c r="C359" t="str">
        <x:v>KG01</x:v>
      </x:c>
      <x:c r="D359" t="n">
        <x:v>45956</x:v>
      </x:c>
      <x:c r="E359" t="str">
        <x:v>PM</x:v>
      </x:c>
      <x:c r="F359" t="str">
        <x:v>A</x:v>
      </x:c>
      <x:c r="G359" t="n">
        <x:v>22</x:v>
      </x:c>
      <x:c r="H359" t="str">
        <x:v>ORD-2025-00058</x:v>
      </x:c>
      <x:c r="I359" t="n">
        <x:v>4</x:v>
      </x:c>
      <x:c r="J359" t="n">
        <x:v>10</x:v>
      </x:c>
      <x:c r="K359" t="n">
        <x:v>4</x:v>
      </x:c>
      <x:c r="L359" t="n">
        <x:f>IF(I359&lt;=J359,1,0)</x:f>
        <x:v>1</x:v>
      </x:c>
      <x:c r="P359" t="n">
        <x:f>IF(M359="",IF(AND(L359=1,K359&gt;=1),1,0),M359)</x:f>
        <x:v>1</x:v>
      </x:c>
      <x:c r="Q359" t="n">
        <x:f>IF(N359="",IF(AND(L359=1,K359&gt;=2),1,0),N359)</x:f>
        <x:v>1</x:v>
      </x:c>
      <x:c r="R359" t="n">
        <x:f>IF(O359="",IF(AND(L359=1,K359&gt;=3),1,0),O359)</x:f>
        <x:v>1</x:v>
      </x:c>
      <x:c r="S359" t="n">
        <x:f>SUM(P359:R359)</x:f>
        <x:v>3</x:v>
      </x:c>
      <x:c r="T359" t="str">
        <x:f>IF(COUNTA(M359:O359)=0,"DerivedFromCount","ManualOverride")</x:f>
        <x:v>DerivedFromCount</x:v>
      </x:c>
      <x:c r="U359" t="str">
        <x:f>IF(COUNTIF(DailyProduction!$Q$5:$Q$100,B359)=1,"OK","CHECK")</x:f>
        <x:v>OK</x:v>
      </x:c>
      <x:c r="V359" t="str">
        <x:f>IF(AND(I359&gt;=1,I359&lt;=13,K359&gt;=1,K359&lt;=3),"OK","CHECK")</x:f>
        <x:v>CHECK</x:v>
      </x:c>
      <x:c r="W359" t="str">
        <x:f>IF(SUMIF($B$5:$B$914,B359,$S$5:$S$914)=SUMIF(DailyProduction!$Q$5:$Q$100,B359,DailyProduction!$R$5:$R$100),"OK","CHECK")</x:f>
        <x:v>CHECK</x:v>
      </x:c>
    </x:row>
    <x:row r="360">
      <x:c r="A360" t="str">
        <x:v>PC-PE-KG01-L22-20251026-PM-ORD-2025-00058-S05</x:v>
      </x:c>
      <x:c r="B360" t="str">
        <x:v>PE-KG01-L22-20251026-PM-ORD-2025-00058</x:v>
      </x:c>
      <x:c r="C360" t="str">
        <x:v>KG01</x:v>
      </x:c>
      <x:c r="D360" t="n">
        <x:v>45956</x:v>
      </x:c>
      <x:c r="E360" t="str">
        <x:v>PM</x:v>
      </x:c>
      <x:c r="F360" t="str">
        <x:v>A</x:v>
      </x:c>
      <x:c r="G360" t="n">
        <x:v>22</x:v>
      </x:c>
      <x:c r="H360" t="str">
        <x:v>ORD-2025-00058</x:v>
      </x:c>
      <x:c r="I360" t="n">
        <x:v>5</x:v>
      </x:c>
      <x:c r="J360" t="n">
        <x:v>10</x:v>
      </x:c>
      <x:c r="K360" t="n">
        <x:v>4</x:v>
      </x:c>
      <x:c r="L360" t="n">
        <x:f>IF(I360&lt;=J360,1,0)</x:f>
        <x:v>1</x:v>
      </x:c>
      <x:c r="P360" t="n">
        <x:f>IF(M360="",IF(AND(L360=1,K360&gt;=1),1,0),M360)</x:f>
        <x:v>1</x:v>
      </x:c>
      <x:c r="Q360" t="n">
        <x:f>IF(N360="",IF(AND(L360=1,K360&gt;=2),1,0),N360)</x:f>
        <x:v>1</x:v>
      </x:c>
      <x:c r="R360" t="n">
        <x:f>IF(O360="",IF(AND(L360=1,K360&gt;=3),1,0),O360)</x:f>
        <x:v>1</x:v>
      </x:c>
      <x:c r="S360" t="n">
        <x:f>SUM(P360:R360)</x:f>
        <x:v>3</x:v>
      </x:c>
      <x:c r="T360" t="str">
        <x:f>IF(COUNTA(M360:O360)=0,"DerivedFromCount","ManualOverride")</x:f>
        <x:v>DerivedFromCount</x:v>
      </x:c>
      <x:c r="U360" t="str">
        <x:f>IF(COUNTIF(DailyProduction!$Q$5:$Q$100,B360)=1,"OK","CHECK")</x:f>
        <x:v>OK</x:v>
      </x:c>
      <x:c r="V360" t="str">
        <x:f>IF(AND(I360&gt;=1,I360&lt;=13,K360&gt;=1,K360&lt;=3),"OK","CHECK")</x:f>
        <x:v>CHECK</x:v>
      </x:c>
      <x:c r="W360" t="str">
        <x:f>IF(SUMIF($B$5:$B$914,B360,$S$5:$S$914)=SUMIF(DailyProduction!$Q$5:$Q$100,B360,DailyProduction!$R$5:$R$100),"OK","CHECK")</x:f>
        <x:v>CHECK</x:v>
      </x:c>
    </x:row>
    <x:row r="361">
      <x:c r="A361" t="str">
        <x:v>PC-PE-KG01-L22-20251026-PM-ORD-2025-00058-S06</x:v>
      </x:c>
      <x:c r="B361" t="str">
        <x:v>PE-KG01-L22-20251026-PM-ORD-2025-00058</x:v>
      </x:c>
      <x:c r="C361" t="str">
        <x:v>KG01</x:v>
      </x:c>
      <x:c r="D361" t="n">
        <x:v>45956</x:v>
      </x:c>
      <x:c r="E361" t="str">
        <x:v>PM</x:v>
      </x:c>
      <x:c r="F361" t="str">
        <x:v>A</x:v>
      </x:c>
      <x:c r="G361" t="n">
        <x:v>22</x:v>
      </x:c>
      <x:c r="H361" t="str">
        <x:v>ORD-2025-00058</x:v>
      </x:c>
      <x:c r="I361" t="n">
        <x:v>6</x:v>
      </x:c>
      <x:c r="J361" t="n">
        <x:v>10</x:v>
      </x:c>
      <x:c r="K361" t="n">
        <x:v>4</x:v>
      </x:c>
      <x:c r="L361" t="n">
        <x:f>IF(I361&lt;=J361,1,0)</x:f>
        <x:v>1</x:v>
      </x:c>
      <x:c r="P361" t="n">
        <x:f>IF(M361="",IF(AND(L361=1,K361&gt;=1),1,0),M361)</x:f>
        <x:v>1</x:v>
      </x:c>
      <x:c r="Q361" t="n">
        <x:f>IF(N361="",IF(AND(L361=1,K361&gt;=2),1,0),N361)</x:f>
        <x:v>1</x:v>
      </x:c>
      <x:c r="R361" t="n">
        <x:f>IF(O361="",IF(AND(L361=1,K361&gt;=3),1,0),O361)</x:f>
        <x:v>1</x:v>
      </x:c>
      <x:c r="S361" t="n">
        <x:f>SUM(P361:R361)</x:f>
        <x:v>3</x:v>
      </x:c>
      <x:c r="T361" t="str">
        <x:f>IF(COUNTA(M361:O361)=0,"DerivedFromCount","ManualOverride")</x:f>
        <x:v>DerivedFromCount</x:v>
      </x:c>
      <x:c r="U361" t="str">
        <x:f>IF(COUNTIF(DailyProduction!$Q$5:$Q$100,B361)=1,"OK","CHECK")</x:f>
        <x:v>OK</x:v>
      </x:c>
      <x:c r="V361" t="str">
        <x:f>IF(AND(I361&gt;=1,I361&lt;=13,K361&gt;=1,K361&lt;=3),"OK","CHECK")</x:f>
        <x:v>CHECK</x:v>
      </x:c>
      <x:c r="W361" t="str">
        <x:f>IF(SUMIF($B$5:$B$914,B361,$S$5:$S$914)=SUMIF(DailyProduction!$Q$5:$Q$100,B361,DailyProduction!$R$5:$R$100),"OK","CHECK")</x:f>
        <x:v>CHECK</x:v>
      </x:c>
    </x:row>
    <x:row r="362">
      <x:c r="A362" t="str">
        <x:v>PC-PE-KG01-L22-20251026-PM-ORD-2025-00058-S07</x:v>
      </x:c>
      <x:c r="B362" t="str">
        <x:v>PE-KG01-L22-20251026-PM-ORD-2025-00058</x:v>
      </x:c>
      <x:c r="C362" t="str">
        <x:v>KG01</x:v>
      </x:c>
      <x:c r="D362" t="n">
        <x:v>45956</x:v>
      </x:c>
      <x:c r="E362" t="str">
        <x:v>PM</x:v>
      </x:c>
      <x:c r="F362" t="str">
        <x:v>A</x:v>
      </x:c>
      <x:c r="G362" t="n">
        <x:v>22</x:v>
      </x:c>
      <x:c r="H362" t="str">
        <x:v>ORD-2025-00058</x:v>
      </x:c>
      <x:c r="I362" t="n">
        <x:v>7</x:v>
      </x:c>
      <x:c r="J362" t="n">
        <x:v>10</x:v>
      </x:c>
      <x:c r="K362" t="n">
        <x:v>4</x:v>
      </x:c>
      <x:c r="L362" t="n">
        <x:f>IF(I362&lt;=J362,1,0)</x:f>
        <x:v>1</x:v>
      </x:c>
      <x:c r="P362" t="n">
        <x:f>IF(M362="",IF(AND(L362=1,K362&gt;=1),1,0),M362)</x:f>
        <x:v>1</x:v>
      </x:c>
      <x:c r="Q362" t="n">
        <x:f>IF(N362="",IF(AND(L362=1,K362&gt;=2),1,0),N362)</x:f>
        <x:v>1</x:v>
      </x:c>
      <x:c r="R362" t="n">
        <x:f>IF(O362="",IF(AND(L362=1,K362&gt;=3),1,0),O362)</x:f>
        <x:v>1</x:v>
      </x:c>
      <x:c r="S362" t="n">
        <x:f>SUM(P362:R362)</x:f>
        <x:v>3</x:v>
      </x:c>
      <x:c r="T362" t="str">
        <x:f>IF(COUNTA(M362:O362)=0,"DerivedFromCount","ManualOverride")</x:f>
        <x:v>DerivedFromCount</x:v>
      </x:c>
      <x:c r="U362" t="str">
        <x:f>IF(COUNTIF(DailyProduction!$Q$5:$Q$100,B362)=1,"OK","CHECK")</x:f>
        <x:v>OK</x:v>
      </x:c>
      <x:c r="V362" t="str">
        <x:f>IF(AND(I362&gt;=1,I362&lt;=13,K362&gt;=1,K362&lt;=3),"OK","CHECK")</x:f>
        <x:v>CHECK</x:v>
      </x:c>
      <x:c r="W362" t="str">
        <x:f>IF(SUMIF($B$5:$B$914,B362,$S$5:$S$914)=SUMIF(DailyProduction!$Q$5:$Q$100,B362,DailyProduction!$R$5:$R$100),"OK","CHECK")</x:f>
        <x:v>CHECK</x:v>
      </x:c>
    </x:row>
    <x:row r="363">
      <x:c r="A363" t="str">
        <x:v>PC-PE-KG01-L22-20251026-PM-ORD-2025-00058-S08</x:v>
      </x:c>
      <x:c r="B363" t="str">
        <x:v>PE-KG01-L22-20251026-PM-ORD-2025-00058</x:v>
      </x:c>
      <x:c r="C363" t="str">
        <x:v>KG01</x:v>
      </x:c>
      <x:c r="D363" t="n">
        <x:v>45956</x:v>
      </x:c>
      <x:c r="E363" t="str">
        <x:v>PM</x:v>
      </x:c>
      <x:c r="F363" t="str">
        <x:v>A</x:v>
      </x:c>
      <x:c r="G363" t="n">
        <x:v>22</x:v>
      </x:c>
      <x:c r="H363" t="str">
        <x:v>ORD-2025-00058</x:v>
      </x:c>
      <x:c r="I363" t="n">
        <x:v>8</x:v>
      </x:c>
      <x:c r="J363" t="n">
        <x:v>10</x:v>
      </x:c>
      <x:c r="K363" t="n">
        <x:v>4</x:v>
      </x:c>
      <x:c r="L363" t="n">
        <x:f>IF(I363&lt;=J363,1,0)</x:f>
        <x:v>1</x:v>
      </x:c>
      <x:c r="P363" t="n">
        <x:f>IF(M363="",IF(AND(L363=1,K363&gt;=1),1,0),M363)</x:f>
        <x:v>1</x:v>
      </x:c>
      <x:c r="Q363" t="n">
        <x:f>IF(N363="",IF(AND(L363=1,K363&gt;=2),1,0),N363)</x:f>
        <x:v>1</x:v>
      </x:c>
      <x:c r="R363" t="n">
        <x:f>IF(O363="",IF(AND(L363=1,K363&gt;=3),1,0),O363)</x:f>
        <x:v>1</x:v>
      </x:c>
      <x:c r="S363" t="n">
        <x:f>SUM(P363:R363)</x:f>
        <x:v>3</x:v>
      </x:c>
      <x:c r="T363" t="str">
        <x:f>IF(COUNTA(M363:O363)=0,"DerivedFromCount","ManualOverride")</x:f>
        <x:v>DerivedFromCount</x:v>
      </x:c>
      <x:c r="U363" t="str">
        <x:f>IF(COUNTIF(DailyProduction!$Q$5:$Q$100,B363)=1,"OK","CHECK")</x:f>
        <x:v>OK</x:v>
      </x:c>
      <x:c r="V363" t="str">
        <x:f>IF(AND(I363&gt;=1,I363&lt;=13,K363&gt;=1,K363&lt;=3),"OK","CHECK")</x:f>
        <x:v>CHECK</x:v>
      </x:c>
      <x:c r="W363" t="str">
        <x:f>IF(SUMIF($B$5:$B$914,B363,$S$5:$S$914)=SUMIF(DailyProduction!$Q$5:$Q$100,B363,DailyProduction!$R$5:$R$100),"OK","CHECK")</x:f>
        <x:v>CHECK</x:v>
      </x:c>
    </x:row>
    <x:row r="364">
      <x:c r="A364" t="str">
        <x:v>PC-PE-KG01-L22-20251026-PM-ORD-2025-00058-S09</x:v>
      </x:c>
      <x:c r="B364" t="str">
        <x:v>PE-KG01-L22-20251026-PM-ORD-2025-00058</x:v>
      </x:c>
      <x:c r="C364" t="str">
        <x:v>KG01</x:v>
      </x:c>
      <x:c r="D364" t="n">
        <x:v>45956</x:v>
      </x:c>
      <x:c r="E364" t="str">
        <x:v>PM</x:v>
      </x:c>
      <x:c r="F364" t="str">
        <x:v>A</x:v>
      </x:c>
      <x:c r="G364" t="n">
        <x:v>22</x:v>
      </x:c>
      <x:c r="H364" t="str">
        <x:v>ORD-2025-00058</x:v>
      </x:c>
      <x:c r="I364" t="n">
        <x:v>9</x:v>
      </x:c>
      <x:c r="J364" t="n">
        <x:v>10</x:v>
      </x:c>
      <x:c r="K364" t="n">
        <x:v>4</x:v>
      </x:c>
      <x:c r="L364" t="n">
        <x:f>IF(I364&lt;=J364,1,0)</x:f>
        <x:v>1</x:v>
      </x:c>
      <x:c r="P364" t="n">
        <x:f>IF(M364="",IF(AND(L364=1,K364&gt;=1),1,0),M364)</x:f>
        <x:v>1</x:v>
      </x:c>
      <x:c r="Q364" t="n">
        <x:f>IF(N364="",IF(AND(L364=1,K364&gt;=2),1,0),N364)</x:f>
        <x:v>1</x:v>
      </x:c>
      <x:c r="R364" t="n">
        <x:f>IF(O364="",IF(AND(L364=1,K364&gt;=3),1,0),O364)</x:f>
        <x:v>1</x:v>
      </x:c>
      <x:c r="S364" t="n">
        <x:f>SUM(P364:R364)</x:f>
        <x:v>3</x:v>
      </x:c>
      <x:c r="T364" t="str">
        <x:f>IF(COUNTA(M364:O364)=0,"DerivedFromCount","ManualOverride")</x:f>
        <x:v>DerivedFromCount</x:v>
      </x:c>
      <x:c r="U364" t="str">
        <x:f>IF(COUNTIF(DailyProduction!$Q$5:$Q$100,B364)=1,"OK","CHECK")</x:f>
        <x:v>OK</x:v>
      </x:c>
      <x:c r="V364" t="str">
        <x:f>IF(AND(I364&gt;=1,I364&lt;=13,K364&gt;=1,K364&lt;=3),"OK","CHECK")</x:f>
        <x:v>CHECK</x:v>
      </x:c>
      <x:c r="W364" t="str">
        <x:f>IF(SUMIF($B$5:$B$914,B364,$S$5:$S$914)=SUMIF(DailyProduction!$Q$5:$Q$100,B364,DailyProduction!$R$5:$R$100),"OK","CHECK")</x:f>
        <x:v>CHECK</x:v>
      </x:c>
    </x:row>
    <x:row r="365">
      <x:c r="A365" t="str">
        <x:v>PC-PE-KG01-L22-20251026-PM-ORD-2025-00058-S10</x:v>
      </x:c>
      <x:c r="B365" t="str">
        <x:v>PE-KG01-L22-20251026-PM-ORD-2025-00058</x:v>
      </x:c>
      <x:c r="C365" t="str">
        <x:v>KG01</x:v>
      </x:c>
      <x:c r="D365" t="n">
        <x:v>45956</x:v>
      </x:c>
      <x:c r="E365" t="str">
        <x:v>PM</x:v>
      </x:c>
      <x:c r="F365" t="str">
        <x:v>A</x:v>
      </x:c>
      <x:c r="G365" t="n">
        <x:v>22</x:v>
      </x:c>
      <x:c r="H365" t="str">
        <x:v>ORD-2025-00058</x:v>
      </x:c>
      <x:c r="I365" t="n">
        <x:v>10</x:v>
      </x:c>
      <x:c r="J365" t="n">
        <x:v>10</x:v>
      </x:c>
      <x:c r="K365" t="n">
        <x:v>4</x:v>
      </x:c>
      <x:c r="L365" t="n">
        <x:f>IF(I365&lt;=J365,1,0)</x:f>
        <x:v>1</x:v>
      </x:c>
      <x:c r="P365" t="n">
        <x:f>IF(M365="",IF(AND(L365=1,K365&gt;=1),1,0),M365)</x:f>
        <x:v>1</x:v>
      </x:c>
      <x:c r="Q365" t="n">
        <x:f>IF(N365="",IF(AND(L365=1,K365&gt;=2),1,0),N365)</x:f>
        <x:v>1</x:v>
      </x:c>
      <x:c r="R365" t="n">
        <x:f>IF(O365="",IF(AND(L365=1,K365&gt;=3),1,0),O365)</x:f>
        <x:v>1</x:v>
      </x:c>
      <x:c r="S365" t="n">
        <x:f>SUM(P365:R365)</x:f>
        <x:v>3</x:v>
      </x:c>
      <x:c r="T365" t="str">
        <x:f>IF(COUNTA(M365:O365)=0,"DerivedFromCount","ManualOverride")</x:f>
        <x:v>DerivedFromCount</x:v>
      </x:c>
      <x:c r="U365" t="str">
        <x:f>IF(COUNTIF(DailyProduction!$Q$5:$Q$100,B365)=1,"OK","CHECK")</x:f>
        <x:v>OK</x:v>
      </x:c>
      <x:c r="V365" t="str">
        <x:f>IF(AND(I365&gt;=1,I365&lt;=13,K365&gt;=1,K365&lt;=3),"OK","CHECK")</x:f>
        <x:v>CHECK</x:v>
      </x:c>
      <x:c r="W365" t="str">
        <x:f>IF(SUMIF($B$5:$B$914,B365,$S$5:$S$914)=SUMIF(DailyProduction!$Q$5:$Q$100,B365,DailyProduction!$R$5:$R$100),"OK","CHECK")</x:f>
        <x:v>CHECK</x:v>
      </x:c>
    </x:row>
    <x:row r="366">
      <x:c r="A366" t="str">
        <x:v>PC-PE-KG01-L22-20251026-PM-ORD-2025-00058-S11</x:v>
      </x:c>
      <x:c r="B366" t="str">
        <x:v>PE-KG01-L22-20251026-PM-ORD-2025-00058</x:v>
      </x:c>
      <x:c r="C366" t="str">
        <x:v>KG01</x:v>
      </x:c>
      <x:c r="D366" t="n">
        <x:v>45956</x:v>
      </x:c>
      <x:c r="E366" t="str">
        <x:v>PM</x:v>
      </x:c>
      <x:c r="F366" t="str">
        <x:v>A</x:v>
      </x:c>
      <x:c r="G366" t="n">
        <x:v>22</x:v>
      </x:c>
      <x:c r="H366" t="str">
        <x:v>ORD-2025-00058</x:v>
      </x:c>
      <x:c r="I366" t="n">
        <x:v>11</x:v>
      </x:c>
      <x:c r="J366" t="n">
        <x:v>10</x:v>
      </x:c>
      <x:c r="K366" t="n">
        <x:v>4</x:v>
      </x:c>
      <x:c r="L366" t="n">
        <x:f>IF(I366&lt;=J366,1,0)</x:f>
        <x:v>0</x:v>
      </x:c>
      <x:c r="P366" t="n">
        <x:f>IF(M366="",IF(AND(L366=1,K366&gt;=1),1,0),M366)</x:f>
        <x:v>0</x:v>
      </x:c>
      <x:c r="Q366" t="n">
        <x:f>IF(N366="",IF(AND(L366=1,K366&gt;=2),1,0),N366)</x:f>
        <x:v>0</x:v>
      </x:c>
      <x:c r="R366" t="n">
        <x:f>IF(O366="",IF(AND(L366=1,K366&gt;=3),1,0),O366)</x:f>
        <x:v>0</x:v>
      </x:c>
      <x:c r="S366" t="n">
        <x:f>SUM(P366:R366)</x:f>
        <x:v>0</x:v>
      </x:c>
      <x:c r="T366" t="str">
        <x:f>IF(COUNTA(M366:O366)=0,"DerivedFromCount","ManualOverride")</x:f>
        <x:v>DerivedFromCount</x:v>
      </x:c>
      <x:c r="U366" t="str">
        <x:f>IF(COUNTIF(DailyProduction!$Q$5:$Q$100,B366)=1,"OK","CHECK")</x:f>
        <x:v>OK</x:v>
      </x:c>
      <x:c r="V366" t="str">
        <x:f>IF(AND(I366&gt;=1,I366&lt;=13,K366&gt;=1,K366&lt;=3),"OK","CHECK")</x:f>
        <x:v>CHECK</x:v>
      </x:c>
      <x:c r="W366" t="str">
        <x:f>IF(SUMIF($B$5:$B$914,B366,$S$5:$S$914)=SUMIF(DailyProduction!$Q$5:$Q$100,B366,DailyProduction!$R$5:$R$100),"OK","CHECK")</x:f>
        <x:v>CHECK</x:v>
      </x:c>
    </x:row>
    <x:row r="367">
      <x:c r="A367" t="str">
        <x:v>PC-PE-KG01-L22-20251026-PM-ORD-2025-00058-S12</x:v>
      </x:c>
      <x:c r="B367" t="str">
        <x:v>PE-KG01-L22-20251026-PM-ORD-2025-00058</x:v>
      </x:c>
      <x:c r="C367" t="str">
        <x:v>KG01</x:v>
      </x:c>
      <x:c r="D367" t="n">
        <x:v>45956</x:v>
      </x:c>
      <x:c r="E367" t="str">
        <x:v>PM</x:v>
      </x:c>
      <x:c r="F367" t="str">
        <x:v>A</x:v>
      </x:c>
      <x:c r="G367" t="n">
        <x:v>22</x:v>
      </x:c>
      <x:c r="H367" t="str">
        <x:v>ORD-2025-00058</x:v>
      </x:c>
      <x:c r="I367" t="n">
        <x:v>12</x:v>
      </x:c>
      <x:c r="J367" t="n">
        <x:v>10</x:v>
      </x:c>
      <x:c r="K367" t="n">
        <x:v>4</x:v>
      </x:c>
      <x:c r="L367" t="n">
        <x:f>IF(I367&lt;=J367,1,0)</x:f>
        <x:v>0</x:v>
      </x:c>
      <x:c r="P367" t="n">
        <x:f>IF(M367="",IF(AND(L367=1,K367&gt;=1),1,0),M367)</x:f>
        <x:v>0</x:v>
      </x:c>
      <x:c r="Q367" t="n">
        <x:f>IF(N367="",IF(AND(L367=1,K367&gt;=2),1,0),N367)</x:f>
        <x:v>0</x:v>
      </x:c>
      <x:c r="R367" t="n">
        <x:f>IF(O367="",IF(AND(L367=1,K367&gt;=3),1,0),O367)</x:f>
        <x:v>0</x:v>
      </x:c>
      <x:c r="S367" t="n">
        <x:f>SUM(P367:R367)</x:f>
        <x:v>0</x:v>
      </x:c>
      <x:c r="T367" t="str">
        <x:f>IF(COUNTA(M367:O367)=0,"DerivedFromCount","ManualOverride")</x:f>
        <x:v>DerivedFromCount</x:v>
      </x:c>
      <x:c r="U367" t="str">
        <x:f>IF(COUNTIF(DailyProduction!$Q$5:$Q$100,B367)=1,"OK","CHECK")</x:f>
        <x:v>OK</x:v>
      </x:c>
      <x:c r="V367" t="str">
        <x:f>IF(AND(I367&gt;=1,I367&lt;=13,K367&gt;=1,K367&lt;=3),"OK","CHECK")</x:f>
        <x:v>CHECK</x:v>
      </x:c>
      <x:c r="W367" t="str">
        <x:f>IF(SUMIF($B$5:$B$914,B367,$S$5:$S$914)=SUMIF(DailyProduction!$Q$5:$Q$100,B367,DailyProduction!$R$5:$R$100),"OK","CHECK")</x:f>
        <x:v>CHECK</x:v>
      </x:c>
    </x:row>
    <x:row r="368">
      <x:c r="A368" t="str">
        <x:v>PC-PE-KG01-L22-20251026-PM-ORD-2025-00058-S13</x:v>
      </x:c>
      <x:c r="B368" t="str">
        <x:v>PE-KG01-L22-20251026-PM-ORD-2025-00058</x:v>
      </x:c>
      <x:c r="C368" t="str">
        <x:v>KG01</x:v>
      </x:c>
      <x:c r="D368" t="n">
        <x:v>45956</x:v>
      </x:c>
      <x:c r="E368" t="str">
        <x:v>PM</x:v>
      </x:c>
      <x:c r="F368" t="str">
        <x:v>A</x:v>
      </x:c>
      <x:c r="G368" t="n">
        <x:v>22</x:v>
      </x:c>
      <x:c r="H368" t="str">
        <x:v>ORD-2025-00058</x:v>
      </x:c>
      <x:c r="I368" t="n">
        <x:v>13</x:v>
      </x:c>
      <x:c r="J368" t="n">
        <x:v>10</x:v>
      </x:c>
      <x:c r="K368" t="n">
        <x:v>4</x:v>
      </x:c>
      <x:c r="L368" t="n">
        <x:f>IF(I368&lt;=J368,1,0)</x:f>
        <x:v>0</x:v>
      </x:c>
      <x:c r="P368" t="n">
        <x:f>IF(M368="",IF(AND(L368=1,K368&gt;=1),1,0),M368)</x:f>
        <x:v>0</x:v>
      </x:c>
      <x:c r="Q368" t="n">
        <x:f>IF(N368="",IF(AND(L368=1,K368&gt;=2),1,0),N368)</x:f>
        <x:v>0</x:v>
      </x:c>
      <x:c r="R368" t="n">
        <x:f>IF(O368="",IF(AND(L368=1,K368&gt;=3),1,0),O368)</x:f>
        <x:v>0</x:v>
      </x:c>
      <x:c r="S368" t="n">
        <x:f>SUM(P368:R368)</x:f>
        <x:v>0</x:v>
      </x:c>
      <x:c r="T368" t="str">
        <x:f>IF(COUNTA(M368:O368)=0,"DerivedFromCount","ManualOverride")</x:f>
        <x:v>DerivedFromCount</x:v>
      </x:c>
      <x:c r="U368" t="str">
        <x:f>IF(COUNTIF(DailyProduction!$Q$5:$Q$100,B368)=1,"OK","CHECK")</x:f>
        <x:v>OK</x:v>
      </x:c>
      <x:c r="V368" t="str">
        <x:f>IF(AND(I368&gt;=1,I368&lt;=13,K368&gt;=1,K368&lt;=3),"OK","CHECK")</x:f>
        <x:v>CHECK</x:v>
      </x:c>
      <x:c r="W368" t="str">
        <x:f>IF(SUMIF($B$5:$B$914,B368,$S$5:$S$914)=SUMIF(DailyProduction!$Q$5:$Q$100,B368,DailyProduction!$R$5:$R$100),"OK","CHECK")</x:f>
        <x:v>CHECK</x:v>
      </x:c>
    </x:row>
    <x:row r="369">
      <x:c r="A369" t="str">
        <x:v>PC-PE-KG01-L23-20251020-AM-ORD-2025-00092-S01</x:v>
      </x:c>
      <x:c r="B369" t="str">
        <x:v>PE-KG01-L23-20251020-AM-ORD-2025-00092</x:v>
      </x:c>
      <x:c r="C369" t="str">
        <x:v>KG01</x:v>
      </x:c>
      <x:c r="D369" t="n">
        <x:v>45950</x:v>
      </x:c>
      <x:c r="E369" t="str">
        <x:v>AM</x:v>
      </x:c>
      <x:c r="F369" t="str">
        <x:v>C</x:v>
      </x:c>
      <x:c r="G369" t="n">
        <x:v>23</x:v>
      </x:c>
      <x:c r="H369" t="str">
        <x:v>ORD-2025-00092</x:v>
      </x:c>
      <x:c r="I369" t="n">
        <x:v>1</x:v>
      </x:c>
      <x:c r="J369" t="n">
        <x:v>12</x:v>
      </x:c>
      <x:c r="K369" t="n">
        <x:v>3</x:v>
      </x:c>
      <x:c r="L369" t="n">
        <x:f>IF(I369&lt;=J369,1,0)</x:f>
        <x:v>1</x:v>
      </x:c>
      <x:c r="P369" t="n">
        <x:f>IF(M369="",IF(AND(L369=1,K369&gt;=1),1,0),M369)</x:f>
        <x:v>1</x:v>
      </x:c>
      <x:c r="Q369" t="n">
        <x:f>IF(N369="",IF(AND(L369=1,K369&gt;=2),1,0),N369)</x:f>
        <x:v>1</x:v>
      </x:c>
      <x:c r="R369" t="n">
        <x:f>IF(O369="",IF(AND(L369=1,K369&gt;=3),1,0),O369)</x:f>
        <x:v>1</x:v>
      </x:c>
      <x:c r="S369" t="n">
        <x:f>SUM(P369:R369)</x:f>
        <x:v>3</x:v>
      </x:c>
      <x:c r="T369" t="str">
        <x:f>IF(COUNTA(M369:O369)=0,"DerivedFromCount","ManualOverride")</x:f>
        <x:v>DerivedFromCount</x:v>
      </x:c>
      <x:c r="U369" t="str">
        <x:f>IF(COUNTIF(DailyProduction!$Q$5:$Q$100,B369)=1,"OK","CHECK")</x:f>
        <x:v>OK</x:v>
      </x:c>
      <x:c r="V369" t="str">
        <x:f>IF(AND(I369&gt;=1,I369&lt;=13,K369&gt;=1,K369&lt;=3),"OK","CHECK")</x:f>
        <x:v>OK</x:v>
      </x:c>
      <x:c r="W369" t="str">
        <x:f>IF(SUMIF($B$5:$B$914,B369,$S$5:$S$914)=SUMIF(DailyProduction!$Q$5:$Q$100,B369,DailyProduction!$R$5:$R$100),"OK","CHECK")</x:f>
        <x:v>OK</x:v>
      </x:c>
    </x:row>
    <x:row r="370">
      <x:c r="A370" t="str">
        <x:v>PC-PE-KG01-L23-20251020-AM-ORD-2025-00092-S02</x:v>
      </x:c>
      <x:c r="B370" t="str">
        <x:v>PE-KG01-L23-20251020-AM-ORD-2025-00092</x:v>
      </x:c>
      <x:c r="C370" t="str">
        <x:v>KG01</x:v>
      </x:c>
      <x:c r="D370" t="n">
        <x:v>45950</x:v>
      </x:c>
      <x:c r="E370" t="str">
        <x:v>AM</x:v>
      </x:c>
      <x:c r="F370" t="str">
        <x:v>C</x:v>
      </x:c>
      <x:c r="G370" t="n">
        <x:v>23</x:v>
      </x:c>
      <x:c r="H370" t="str">
        <x:v>ORD-2025-00092</x:v>
      </x:c>
      <x:c r="I370" t="n">
        <x:v>2</x:v>
      </x:c>
      <x:c r="J370" t="n">
        <x:v>12</x:v>
      </x:c>
      <x:c r="K370" t="n">
        <x:v>3</x:v>
      </x:c>
      <x:c r="L370" t="n">
        <x:f>IF(I370&lt;=J370,1,0)</x:f>
        <x:v>1</x:v>
      </x:c>
      <x:c r="P370" t="n">
        <x:f>IF(M370="",IF(AND(L370=1,K370&gt;=1),1,0),M370)</x:f>
        <x:v>1</x:v>
      </x:c>
      <x:c r="Q370" t="n">
        <x:f>IF(N370="",IF(AND(L370=1,K370&gt;=2),1,0),N370)</x:f>
        <x:v>1</x:v>
      </x:c>
      <x:c r="R370" t="n">
        <x:f>IF(O370="",IF(AND(L370=1,K370&gt;=3),1,0),O370)</x:f>
        <x:v>1</x:v>
      </x:c>
      <x:c r="S370" t="n">
        <x:f>SUM(P370:R370)</x:f>
        <x:v>3</x:v>
      </x:c>
      <x:c r="T370" t="str">
        <x:f>IF(COUNTA(M370:O370)=0,"DerivedFromCount","ManualOverride")</x:f>
        <x:v>DerivedFromCount</x:v>
      </x:c>
      <x:c r="U370" t="str">
        <x:f>IF(COUNTIF(DailyProduction!$Q$5:$Q$100,B370)=1,"OK","CHECK")</x:f>
        <x:v>OK</x:v>
      </x:c>
      <x:c r="V370" t="str">
        <x:f>IF(AND(I370&gt;=1,I370&lt;=13,K370&gt;=1,K370&lt;=3),"OK","CHECK")</x:f>
        <x:v>OK</x:v>
      </x:c>
      <x:c r="W370" t="str">
        <x:f>IF(SUMIF($B$5:$B$914,B370,$S$5:$S$914)=SUMIF(DailyProduction!$Q$5:$Q$100,B370,DailyProduction!$R$5:$R$100),"OK","CHECK")</x:f>
        <x:v>OK</x:v>
      </x:c>
    </x:row>
    <x:row r="371">
      <x:c r="A371" t="str">
        <x:v>PC-PE-KG01-L23-20251020-AM-ORD-2025-00092-S03</x:v>
      </x:c>
      <x:c r="B371" t="str">
        <x:v>PE-KG01-L23-20251020-AM-ORD-2025-00092</x:v>
      </x:c>
      <x:c r="C371" t="str">
        <x:v>KG01</x:v>
      </x:c>
      <x:c r="D371" t="n">
        <x:v>45950</x:v>
      </x:c>
      <x:c r="E371" t="str">
        <x:v>AM</x:v>
      </x:c>
      <x:c r="F371" t="str">
        <x:v>C</x:v>
      </x:c>
      <x:c r="G371" t="n">
        <x:v>23</x:v>
      </x:c>
      <x:c r="H371" t="str">
        <x:v>ORD-2025-00092</x:v>
      </x:c>
      <x:c r="I371" t="n">
        <x:v>3</x:v>
      </x:c>
      <x:c r="J371" t="n">
        <x:v>12</x:v>
      </x:c>
      <x:c r="K371" t="n">
        <x:v>3</x:v>
      </x:c>
      <x:c r="L371" t="n">
        <x:f>IF(I371&lt;=J371,1,0)</x:f>
        <x:v>1</x:v>
      </x:c>
      <x:c r="P371" t="n">
        <x:f>IF(M371="",IF(AND(L371=1,K371&gt;=1),1,0),M371)</x:f>
        <x:v>1</x:v>
      </x:c>
      <x:c r="Q371" t="n">
        <x:f>IF(N371="",IF(AND(L371=1,K371&gt;=2),1,0),N371)</x:f>
        <x:v>1</x:v>
      </x:c>
      <x:c r="R371" t="n">
        <x:f>IF(O371="",IF(AND(L371=1,K371&gt;=3),1,0),O371)</x:f>
        <x:v>1</x:v>
      </x:c>
      <x:c r="S371" t="n">
        <x:f>SUM(P371:R371)</x:f>
        <x:v>3</x:v>
      </x:c>
      <x:c r="T371" t="str">
        <x:f>IF(COUNTA(M371:O371)=0,"DerivedFromCount","ManualOverride")</x:f>
        <x:v>DerivedFromCount</x:v>
      </x:c>
      <x:c r="U371" t="str">
        <x:f>IF(COUNTIF(DailyProduction!$Q$5:$Q$100,B371)=1,"OK","CHECK")</x:f>
        <x:v>OK</x:v>
      </x:c>
      <x:c r="V371" t="str">
        <x:f>IF(AND(I371&gt;=1,I371&lt;=13,K371&gt;=1,K371&lt;=3),"OK","CHECK")</x:f>
        <x:v>OK</x:v>
      </x:c>
      <x:c r="W371" t="str">
        <x:f>IF(SUMIF($B$5:$B$914,B371,$S$5:$S$914)=SUMIF(DailyProduction!$Q$5:$Q$100,B371,DailyProduction!$R$5:$R$100),"OK","CHECK")</x:f>
        <x:v>OK</x:v>
      </x:c>
    </x:row>
    <x:row r="372">
      <x:c r="A372" t="str">
        <x:v>PC-PE-KG01-L23-20251020-AM-ORD-2025-00092-S04</x:v>
      </x:c>
      <x:c r="B372" t="str">
        <x:v>PE-KG01-L23-20251020-AM-ORD-2025-00092</x:v>
      </x:c>
      <x:c r="C372" t="str">
        <x:v>KG01</x:v>
      </x:c>
      <x:c r="D372" t="n">
        <x:v>45950</x:v>
      </x:c>
      <x:c r="E372" t="str">
        <x:v>AM</x:v>
      </x:c>
      <x:c r="F372" t="str">
        <x:v>C</x:v>
      </x:c>
      <x:c r="G372" t="n">
        <x:v>23</x:v>
      </x:c>
      <x:c r="H372" t="str">
        <x:v>ORD-2025-00092</x:v>
      </x:c>
      <x:c r="I372" t="n">
        <x:v>4</x:v>
      </x:c>
      <x:c r="J372" t="n">
        <x:v>12</x:v>
      </x:c>
      <x:c r="K372" t="n">
        <x:v>3</x:v>
      </x:c>
      <x:c r="L372" t="n">
        <x:f>IF(I372&lt;=J372,1,0)</x:f>
        <x:v>1</x:v>
      </x:c>
      <x:c r="P372" t="n">
        <x:f>IF(M372="",IF(AND(L372=1,K372&gt;=1),1,0),M372)</x:f>
        <x:v>1</x:v>
      </x:c>
      <x:c r="Q372" t="n">
        <x:f>IF(N372="",IF(AND(L372=1,K372&gt;=2),1,0),N372)</x:f>
        <x:v>1</x:v>
      </x:c>
      <x:c r="R372" t="n">
        <x:f>IF(O372="",IF(AND(L372=1,K372&gt;=3),1,0),O372)</x:f>
        <x:v>1</x:v>
      </x:c>
      <x:c r="S372" t="n">
        <x:f>SUM(P372:R372)</x:f>
        <x:v>3</x:v>
      </x:c>
      <x:c r="T372" t="str">
        <x:f>IF(COUNTA(M372:O372)=0,"DerivedFromCount","ManualOverride")</x:f>
        <x:v>DerivedFromCount</x:v>
      </x:c>
      <x:c r="U372" t="str">
        <x:f>IF(COUNTIF(DailyProduction!$Q$5:$Q$100,B372)=1,"OK","CHECK")</x:f>
        <x:v>OK</x:v>
      </x:c>
      <x:c r="V372" t="str">
        <x:f>IF(AND(I372&gt;=1,I372&lt;=13,K372&gt;=1,K372&lt;=3),"OK","CHECK")</x:f>
        <x:v>OK</x:v>
      </x:c>
      <x:c r="W372" t="str">
        <x:f>IF(SUMIF($B$5:$B$914,B372,$S$5:$S$914)=SUMIF(DailyProduction!$Q$5:$Q$100,B372,DailyProduction!$R$5:$R$100),"OK","CHECK")</x:f>
        <x:v>OK</x:v>
      </x:c>
    </x:row>
    <x:row r="373">
      <x:c r="A373" t="str">
        <x:v>PC-PE-KG01-L23-20251020-AM-ORD-2025-00092-S05</x:v>
      </x:c>
      <x:c r="B373" t="str">
        <x:v>PE-KG01-L23-20251020-AM-ORD-2025-00092</x:v>
      </x:c>
      <x:c r="C373" t="str">
        <x:v>KG01</x:v>
      </x:c>
      <x:c r="D373" t="n">
        <x:v>45950</x:v>
      </x:c>
      <x:c r="E373" t="str">
        <x:v>AM</x:v>
      </x:c>
      <x:c r="F373" t="str">
        <x:v>C</x:v>
      </x:c>
      <x:c r="G373" t="n">
        <x:v>23</x:v>
      </x:c>
      <x:c r="H373" t="str">
        <x:v>ORD-2025-00092</x:v>
      </x:c>
      <x:c r="I373" t="n">
        <x:v>5</x:v>
      </x:c>
      <x:c r="J373" t="n">
        <x:v>12</x:v>
      </x:c>
      <x:c r="K373" t="n">
        <x:v>3</x:v>
      </x:c>
      <x:c r="L373" t="n">
        <x:f>IF(I373&lt;=J373,1,0)</x:f>
        <x:v>1</x:v>
      </x:c>
      <x:c r="P373" t="n">
        <x:f>IF(M373="",IF(AND(L373=1,K373&gt;=1),1,0),M373)</x:f>
        <x:v>1</x:v>
      </x:c>
      <x:c r="Q373" t="n">
        <x:f>IF(N373="",IF(AND(L373=1,K373&gt;=2),1,0),N373)</x:f>
        <x:v>1</x:v>
      </x:c>
      <x:c r="R373" t="n">
        <x:f>IF(O373="",IF(AND(L373=1,K373&gt;=3),1,0),O373)</x:f>
        <x:v>1</x:v>
      </x:c>
      <x:c r="S373" t="n">
        <x:f>SUM(P373:R373)</x:f>
        <x:v>3</x:v>
      </x:c>
      <x:c r="T373" t="str">
        <x:f>IF(COUNTA(M373:O373)=0,"DerivedFromCount","ManualOverride")</x:f>
        <x:v>DerivedFromCount</x:v>
      </x:c>
      <x:c r="U373" t="str">
        <x:f>IF(COUNTIF(DailyProduction!$Q$5:$Q$100,B373)=1,"OK","CHECK")</x:f>
        <x:v>OK</x:v>
      </x:c>
      <x:c r="V373" t="str">
        <x:f>IF(AND(I373&gt;=1,I373&lt;=13,K373&gt;=1,K373&lt;=3),"OK","CHECK")</x:f>
        <x:v>OK</x:v>
      </x:c>
      <x:c r="W373" t="str">
        <x:f>IF(SUMIF($B$5:$B$914,B373,$S$5:$S$914)=SUMIF(DailyProduction!$Q$5:$Q$100,B373,DailyProduction!$R$5:$R$100),"OK","CHECK")</x:f>
        <x:v>OK</x:v>
      </x:c>
    </x:row>
    <x:row r="374">
      <x:c r="A374" t="str">
        <x:v>PC-PE-KG01-L23-20251020-AM-ORD-2025-00092-S06</x:v>
      </x:c>
      <x:c r="B374" t="str">
        <x:v>PE-KG01-L23-20251020-AM-ORD-2025-00092</x:v>
      </x:c>
      <x:c r="C374" t="str">
        <x:v>KG01</x:v>
      </x:c>
      <x:c r="D374" t="n">
        <x:v>45950</x:v>
      </x:c>
      <x:c r="E374" t="str">
        <x:v>AM</x:v>
      </x:c>
      <x:c r="F374" t="str">
        <x:v>C</x:v>
      </x:c>
      <x:c r="G374" t="n">
        <x:v>23</x:v>
      </x:c>
      <x:c r="H374" t="str">
        <x:v>ORD-2025-00092</x:v>
      </x:c>
      <x:c r="I374" t="n">
        <x:v>6</x:v>
      </x:c>
      <x:c r="J374" t="n">
        <x:v>12</x:v>
      </x:c>
      <x:c r="K374" t="n">
        <x:v>3</x:v>
      </x:c>
      <x:c r="L374" t="n">
        <x:f>IF(I374&lt;=J374,1,0)</x:f>
        <x:v>1</x:v>
      </x:c>
      <x:c r="P374" t="n">
        <x:f>IF(M374="",IF(AND(L374=1,K374&gt;=1),1,0),M374)</x:f>
        <x:v>1</x:v>
      </x:c>
      <x:c r="Q374" t="n">
        <x:f>IF(N374="",IF(AND(L374=1,K374&gt;=2),1,0),N374)</x:f>
        <x:v>1</x:v>
      </x:c>
      <x:c r="R374" t="n">
        <x:f>IF(O374="",IF(AND(L374=1,K374&gt;=3),1,0),O374)</x:f>
        <x:v>1</x:v>
      </x:c>
      <x:c r="S374" t="n">
        <x:f>SUM(P374:R374)</x:f>
        <x:v>3</x:v>
      </x:c>
      <x:c r="T374" t="str">
        <x:f>IF(COUNTA(M374:O374)=0,"DerivedFromCount","ManualOverride")</x:f>
        <x:v>DerivedFromCount</x:v>
      </x:c>
      <x:c r="U374" t="str">
        <x:f>IF(COUNTIF(DailyProduction!$Q$5:$Q$100,B374)=1,"OK","CHECK")</x:f>
        <x:v>OK</x:v>
      </x:c>
      <x:c r="V374" t="str">
        <x:f>IF(AND(I374&gt;=1,I374&lt;=13,K374&gt;=1,K374&lt;=3),"OK","CHECK")</x:f>
        <x:v>OK</x:v>
      </x:c>
      <x:c r="W374" t="str">
        <x:f>IF(SUMIF($B$5:$B$914,B374,$S$5:$S$914)=SUMIF(DailyProduction!$Q$5:$Q$100,B374,DailyProduction!$R$5:$R$100),"OK","CHECK")</x:f>
        <x:v>OK</x:v>
      </x:c>
    </x:row>
    <x:row r="375">
      <x:c r="A375" t="str">
        <x:v>PC-PE-KG01-L23-20251020-AM-ORD-2025-00092-S07</x:v>
      </x:c>
      <x:c r="B375" t="str">
        <x:v>PE-KG01-L23-20251020-AM-ORD-2025-00092</x:v>
      </x:c>
      <x:c r="C375" t="str">
        <x:v>KG01</x:v>
      </x:c>
      <x:c r="D375" t="n">
        <x:v>45950</x:v>
      </x:c>
      <x:c r="E375" t="str">
        <x:v>AM</x:v>
      </x:c>
      <x:c r="F375" t="str">
        <x:v>C</x:v>
      </x:c>
      <x:c r="G375" t="n">
        <x:v>23</x:v>
      </x:c>
      <x:c r="H375" t="str">
        <x:v>ORD-2025-00092</x:v>
      </x:c>
      <x:c r="I375" t="n">
        <x:v>7</x:v>
      </x:c>
      <x:c r="J375" t="n">
        <x:v>12</x:v>
      </x:c>
      <x:c r="K375" t="n">
        <x:v>3</x:v>
      </x:c>
      <x:c r="L375" t="n">
        <x:f>IF(I375&lt;=J375,1,0)</x:f>
        <x:v>1</x:v>
      </x:c>
      <x:c r="P375" t="n">
        <x:f>IF(M375="",IF(AND(L375=1,K375&gt;=1),1,0),M375)</x:f>
        <x:v>1</x:v>
      </x:c>
      <x:c r="Q375" t="n">
        <x:f>IF(N375="",IF(AND(L375=1,K375&gt;=2),1,0),N375)</x:f>
        <x:v>1</x:v>
      </x:c>
      <x:c r="R375" t="n">
        <x:f>IF(O375="",IF(AND(L375=1,K375&gt;=3),1,0),O375)</x:f>
        <x:v>1</x:v>
      </x:c>
      <x:c r="S375" t="n">
        <x:f>SUM(P375:R375)</x:f>
        <x:v>3</x:v>
      </x:c>
      <x:c r="T375" t="str">
        <x:f>IF(COUNTA(M375:O375)=0,"DerivedFromCount","ManualOverride")</x:f>
        <x:v>DerivedFromCount</x:v>
      </x:c>
      <x:c r="U375" t="str">
        <x:f>IF(COUNTIF(DailyProduction!$Q$5:$Q$100,B375)=1,"OK","CHECK")</x:f>
        <x:v>OK</x:v>
      </x:c>
      <x:c r="V375" t="str">
        <x:f>IF(AND(I375&gt;=1,I375&lt;=13,K375&gt;=1,K375&lt;=3),"OK","CHECK")</x:f>
        <x:v>OK</x:v>
      </x:c>
      <x:c r="W375" t="str">
        <x:f>IF(SUMIF($B$5:$B$914,B375,$S$5:$S$914)=SUMIF(DailyProduction!$Q$5:$Q$100,B375,DailyProduction!$R$5:$R$100),"OK","CHECK")</x:f>
        <x:v>OK</x:v>
      </x:c>
    </x:row>
    <x:row r="376">
      <x:c r="A376" t="str">
        <x:v>PC-PE-KG01-L23-20251020-AM-ORD-2025-00092-S08</x:v>
      </x:c>
      <x:c r="B376" t="str">
        <x:v>PE-KG01-L23-20251020-AM-ORD-2025-00092</x:v>
      </x:c>
      <x:c r="C376" t="str">
        <x:v>KG01</x:v>
      </x:c>
      <x:c r="D376" t="n">
        <x:v>45950</x:v>
      </x:c>
      <x:c r="E376" t="str">
        <x:v>AM</x:v>
      </x:c>
      <x:c r="F376" t="str">
        <x:v>C</x:v>
      </x:c>
      <x:c r="G376" t="n">
        <x:v>23</x:v>
      </x:c>
      <x:c r="H376" t="str">
        <x:v>ORD-2025-00092</x:v>
      </x:c>
      <x:c r="I376" t="n">
        <x:v>8</x:v>
      </x:c>
      <x:c r="J376" t="n">
        <x:v>12</x:v>
      </x:c>
      <x:c r="K376" t="n">
        <x:v>3</x:v>
      </x:c>
      <x:c r="L376" t="n">
        <x:f>IF(I376&lt;=J376,1,0)</x:f>
        <x:v>1</x:v>
      </x:c>
      <x:c r="P376" t="n">
        <x:f>IF(M376="",IF(AND(L376=1,K376&gt;=1),1,0),M376)</x:f>
        <x:v>1</x:v>
      </x:c>
      <x:c r="Q376" t="n">
        <x:f>IF(N376="",IF(AND(L376=1,K376&gt;=2),1,0),N376)</x:f>
        <x:v>1</x:v>
      </x:c>
      <x:c r="R376" t="n">
        <x:f>IF(O376="",IF(AND(L376=1,K376&gt;=3),1,0),O376)</x:f>
        <x:v>1</x:v>
      </x:c>
      <x:c r="S376" t="n">
        <x:f>SUM(P376:R376)</x:f>
        <x:v>3</x:v>
      </x:c>
      <x:c r="T376" t="str">
        <x:f>IF(COUNTA(M376:O376)=0,"DerivedFromCount","ManualOverride")</x:f>
        <x:v>DerivedFromCount</x:v>
      </x:c>
      <x:c r="U376" t="str">
        <x:f>IF(COUNTIF(DailyProduction!$Q$5:$Q$100,B376)=1,"OK","CHECK")</x:f>
        <x:v>OK</x:v>
      </x:c>
      <x:c r="V376" t="str">
        <x:f>IF(AND(I376&gt;=1,I376&lt;=13,K376&gt;=1,K376&lt;=3),"OK","CHECK")</x:f>
        <x:v>OK</x:v>
      </x:c>
      <x:c r="W376" t="str">
        <x:f>IF(SUMIF($B$5:$B$914,B376,$S$5:$S$914)=SUMIF(DailyProduction!$Q$5:$Q$100,B376,DailyProduction!$R$5:$R$100),"OK","CHECK")</x:f>
        <x:v>OK</x:v>
      </x:c>
    </x:row>
    <x:row r="377">
      <x:c r="A377" t="str">
        <x:v>PC-PE-KG01-L23-20251020-AM-ORD-2025-00092-S09</x:v>
      </x:c>
      <x:c r="B377" t="str">
        <x:v>PE-KG01-L23-20251020-AM-ORD-2025-00092</x:v>
      </x:c>
      <x:c r="C377" t="str">
        <x:v>KG01</x:v>
      </x:c>
      <x:c r="D377" t="n">
        <x:v>45950</x:v>
      </x:c>
      <x:c r="E377" t="str">
        <x:v>AM</x:v>
      </x:c>
      <x:c r="F377" t="str">
        <x:v>C</x:v>
      </x:c>
      <x:c r="G377" t="n">
        <x:v>23</x:v>
      </x:c>
      <x:c r="H377" t="str">
        <x:v>ORD-2025-00092</x:v>
      </x:c>
      <x:c r="I377" t="n">
        <x:v>9</x:v>
      </x:c>
      <x:c r="J377" t="n">
        <x:v>12</x:v>
      </x:c>
      <x:c r="K377" t="n">
        <x:v>3</x:v>
      </x:c>
      <x:c r="L377" t="n">
        <x:f>IF(I377&lt;=J377,1,0)</x:f>
        <x:v>1</x:v>
      </x:c>
      <x:c r="P377" t="n">
        <x:f>IF(M377="",IF(AND(L377=1,K377&gt;=1),1,0),M377)</x:f>
        <x:v>1</x:v>
      </x:c>
      <x:c r="Q377" t="n">
        <x:f>IF(N377="",IF(AND(L377=1,K377&gt;=2),1,0),N377)</x:f>
        <x:v>1</x:v>
      </x:c>
      <x:c r="R377" t="n">
        <x:f>IF(O377="",IF(AND(L377=1,K377&gt;=3),1,0),O377)</x:f>
        <x:v>1</x:v>
      </x:c>
      <x:c r="S377" t="n">
        <x:f>SUM(P377:R377)</x:f>
        <x:v>3</x:v>
      </x:c>
      <x:c r="T377" t="str">
        <x:f>IF(COUNTA(M377:O377)=0,"DerivedFromCount","ManualOverride")</x:f>
        <x:v>DerivedFromCount</x:v>
      </x:c>
      <x:c r="U377" t="str">
        <x:f>IF(COUNTIF(DailyProduction!$Q$5:$Q$100,B377)=1,"OK","CHECK")</x:f>
        <x:v>OK</x:v>
      </x:c>
      <x:c r="V377" t="str">
        <x:f>IF(AND(I377&gt;=1,I377&lt;=13,K377&gt;=1,K377&lt;=3),"OK","CHECK")</x:f>
        <x:v>OK</x:v>
      </x:c>
      <x:c r="W377" t="str">
        <x:f>IF(SUMIF($B$5:$B$914,B377,$S$5:$S$914)=SUMIF(DailyProduction!$Q$5:$Q$100,B377,DailyProduction!$R$5:$R$100),"OK","CHECK")</x:f>
        <x:v>OK</x:v>
      </x:c>
    </x:row>
    <x:row r="378">
      <x:c r="A378" t="str">
        <x:v>PC-PE-KG01-L23-20251020-AM-ORD-2025-00092-S10</x:v>
      </x:c>
      <x:c r="B378" t="str">
        <x:v>PE-KG01-L23-20251020-AM-ORD-2025-00092</x:v>
      </x:c>
      <x:c r="C378" t="str">
        <x:v>KG01</x:v>
      </x:c>
      <x:c r="D378" t="n">
        <x:v>45950</x:v>
      </x:c>
      <x:c r="E378" t="str">
        <x:v>AM</x:v>
      </x:c>
      <x:c r="F378" t="str">
        <x:v>C</x:v>
      </x:c>
      <x:c r="G378" t="n">
        <x:v>23</x:v>
      </x:c>
      <x:c r="H378" t="str">
        <x:v>ORD-2025-00092</x:v>
      </x:c>
      <x:c r="I378" t="n">
        <x:v>10</x:v>
      </x:c>
      <x:c r="J378" t="n">
        <x:v>12</x:v>
      </x:c>
      <x:c r="K378" t="n">
        <x:v>3</x:v>
      </x:c>
      <x:c r="L378" t="n">
        <x:f>IF(I378&lt;=J378,1,0)</x:f>
        <x:v>1</x:v>
      </x:c>
      <x:c r="P378" t="n">
        <x:f>IF(M378="",IF(AND(L378=1,K378&gt;=1),1,0),M378)</x:f>
        <x:v>1</x:v>
      </x:c>
      <x:c r="Q378" t="n">
        <x:f>IF(N378="",IF(AND(L378=1,K378&gt;=2),1,0),N378)</x:f>
        <x:v>1</x:v>
      </x:c>
      <x:c r="R378" t="n">
        <x:f>IF(O378="",IF(AND(L378=1,K378&gt;=3),1,0),O378)</x:f>
        <x:v>1</x:v>
      </x:c>
      <x:c r="S378" t="n">
        <x:f>SUM(P378:R378)</x:f>
        <x:v>3</x:v>
      </x:c>
      <x:c r="T378" t="str">
        <x:f>IF(COUNTA(M378:O378)=0,"DerivedFromCount","ManualOverride")</x:f>
        <x:v>DerivedFromCount</x:v>
      </x:c>
      <x:c r="U378" t="str">
        <x:f>IF(COUNTIF(DailyProduction!$Q$5:$Q$100,B378)=1,"OK","CHECK")</x:f>
        <x:v>OK</x:v>
      </x:c>
      <x:c r="V378" t="str">
        <x:f>IF(AND(I378&gt;=1,I378&lt;=13,K378&gt;=1,K378&lt;=3),"OK","CHECK")</x:f>
        <x:v>OK</x:v>
      </x:c>
      <x:c r="W378" t="str">
        <x:f>IF(SUMIF($B$5:$B$914,B378,$S$5:$S$914)=SUMIF(DailyProduction!$Q$5:$Q$100,B378,DailyProduction!$R$5:$R$100),"OK","CHECK")</x:f>
        <x:v>OK</x:v>
      </x:c>
    </x:row>
    <x:row r="379">
      <x:c r="A379" t="str">
        <x:v>PC-PE-KG01-L23-20251020-AM-ORD-2025-00092-S11</x:v>
      </x:c>
      <x:c r="B379" t="str">
        <x:v>PE-KG01-L23-20251020-AM-ORD-2025-00092</x:v>
      </x:c>
      <x:c r="C379" t="str">
        <x:v>KG01</x:v>
      </x:c>
      <x:c r="D379" t="n">
        <x:v>45950</x:v>
      </x:c>
      <x:c r="E379" t="str">
        <x:v>AM</x:v>
      </x:c>
      <x:c r="F379" t="str">
        <x:v>C</x:v>
      </x:c>
      <x:c r="G379" t="n">
        <x:v>23</x:v>
      </x:c>
      <x:c r="H379" t="str">
        <x:v>ORD-2025-00092</x:v>
      </x:c>
      <x:c r="I379" t="n">
        <x:v>11</x:v>
      </x:c>
      <x:c r="J379" t="n">
        <x:v>12</x:v>
      </x:c>
      <x:c r="K379" t="n">
        <x:v>3</x:v>
      </x:c>
      <x:c r="L379" t="n">
        <x:f>IF(I379&lt;=J379,1,0)</x:f>
        <x:v>1</x:v>
      </x:c>
      <x:c r="P379" t="n">
        <x:f>IF(M379="",IF(AND(L379=1,K379&gt;=1),1,0),M379)</x:f>
        <x:v>1</x:v>
      </x:c>
      <x:c r="Q379" t="n">
        <x:f>IF(N379="",IF(AND(L379=1,K379&gt;=2),1,0),N379)</x:f>
        <x:v>1</x:v>
      </x:c>
      <x:c r="R379" t="n">
        <x:f>IF(O379="",IF(AND(L379=1,K379&gt;=3),1,0),O379)</x:f>
        <x:v>1</x:v>
      </x:c>
      <x:c r="S379" t="n">
        <x:f>SUM(P379:R379)</x:f>
        <x:v>3</x:v>
      </x:c>
      <x:c r="T379" t="str">
        <x:f>IF(COUNTA(M379:O379)=0,"DerivedFromCount","ManualOverride")</x:f>
        <x:v>DerivedFromCount</x:v>
      </x:c>
      <x:c r="U379" t="str">
        <x:f>IF(COUNTIF(DailyProduction!$Q$5:$Q$100,B379)=1,"OK","CHECK")</x:f>
        <x:v>OK</x:v>
      </x:c>
      <x:c r="V379" t="str">
        <x:f>IF(AND(I379&gt;=1,I379&lt;=13,K379&gt;=1,K379&lt;=3),"OK","CHECK")</x:f>
        <x:v>OK</x:v>
      </x:c>
      <x:c r="W379" t="str">
        <x:f>IF(SUMIF($B$5:$B$914,B379,$S$5:$S$914)=SUMIF(DailyProduction!$Q$5:$Q$100,B379,DailyProduction!$R$5:$R$100),"OK","CHECK")</x:f>
        <x:v>OK</x:v>
      </x:c>
    </x:row>
    <x:row r="380">
      <x:c r="A380" t="str">
        <x:v>PC-PE-KG01-L23-20251020-AM-ORD-2025-00092-S12</x:v>
      </x:c>
      <x:c r="B380" t="str">
        <x:v>PE-KG01-L23-20251020-AM-ORD-2025-00092</x:v>
      </x:c>
      <x:c r="C380" t="str">
        <x:v>KG01</x:v>
      </x:c>
      <x:c r="D380" t="n">
        <x:v>45950</x:v>
      </x:c>
      <x:c r="E380" t="str">
        <x:v>AM</x:v>
      </x:c>
      <x:c r="F380" t="str">
        <x:v>C</x:v>
      </x:c>
      <x:c r="G380" t="n">
        <x:v>23</x:v>
      </x:c>
      <x:c r="H380" t="str">
        <x:v>ORD-2025-00092</x:v>
      </x:c>
      <x:c r="I380" t="n">
        <x:v>12</x:v>
      </x:c>
      <x:c r="J380" t="n">
        <x:v>12</x:v>
      </x:c>
      <x:c r="K380" t="n">
        <x:v>3</x:v>
      </x:c>
      <x:c r="L380" t="n">
        <x:f>IF(I380&lt;=J380,1,0)</x:f>
        <x:v>1</x:v>
      </x:c>
      <x:c r="P380" t="n">
        <x:f>IF(M380="",IF(AND(L380=1,K380&gt;=1),1,0),M380)</x:f>
        <x:v>1</x:v>
      </x:c>
      <x:c r="Q380" t="n">
        <x:f>IF(N380="",IF(AND(L380=1,K380&gt;=2),1,0),N380)</x:f>
        <x:v>1</x:v>
      </x:c>
      <x:c r="R380" t="n">
        <x:f>IF(O380="",IF(AND(L380=1,K380&gt;=3),1,0),O380)</x:f>
        <x:v>1</x:v>
      </x:c>
      <x:c r="S380" t="n">
        <x:f>SUM(P380:R380)</x:f>
        <x:v>3</x:v>
      </x:c>
      <x:c r="T380" t="str">
        <x:f>IF(COUNTA(M380:O380)=0,"DerivedFromCount","ManualOverride")</x:f>
        <x:v>DerivedFromCount</x:v>
      </x:c>
      <x:c r="U380" t="str">
        <x:f>IF(COUNTIF(DailyProduction!$Q$5:$Q$100,B380)=1,"OK","CHECK")</x:f>
        <x:v>OK</x:v>
      </x:c>
      <x:c r="V380" t="str">
        <x:f>IF(AND(I380&gt;=1,I380&lt;=13,K380&gt;=1,K380&lt;=3),"OK","CHECK")</x:f>
        <x:v>OK</x:v>
      </x:c>
      <x:c r="W380" t="str">
        <x:f>IF(SUMIF($B$5:$B$914,B380,$S$5:$S$914)=SUMIF(DailyProduction!$Q$5:$Q$100,B380,DailyProduction!$R$5:$R$100),"OK","CHECK")</x:f>
        <x:v>OK</x:v>
      </x:c>
    </x:row>
    <x:row r="381">
      <x:c r="A381" t="str">
        <x:v>PC-PE-KG01-L23-20251020-AM-ORD-2025-00092-S13</x:v>
      </x:c>
      <x:c r="B381" t="str">
        <x:v>PE-KG01-L23-20251020-AM-ORD-2025-00092</x:v>
      </x:c>
      <x:c r="C381" t="str">
        <x:v>KG01</x:v>
      </x:c>
      <x:c r="D381" t="n">
        <x:v>45950</x:v>
      </x:c>
      <x:c r="E381" t="str">
        <x:v>AM</x:v>
      </x:c>
      <x:c r="F381" t="str">
        <x:v>C</x:v>
      </x:c>
      <x:c r="G381" t="n">
        <x:v>23</x:v>
      </x:c>
      <x:c r="H381" t="str">
        <x:v>ORD-2025-00092</x:v>
      </x:c>
      <x:c r="I381" t="n">
        <x:v>13</x:v>
      </x:c>
      <x:c r="J381" t="n">
        <x:v>12</x:v>
      </x:c>
      <x:c r="K381" t="n">
        <x:v>3</x:v>
      </x:c>
      <x:c r="L381" t="n">
        <x:f>IF(I381&lt;=J381,1,0)</x:f>
        <x:v>0</x:v>
      </x:c>
      <x:c r="P381" t="n">
        <x:f>IF(M381="",IF(AND(L381=1,K381&gt;=1),1,0),M381)</x:f>
        <x:v>0</x:v>
      </x:c>
      <x:c r="Q381" t="n">
        <x:f>IF(N381="",IF(AND(L381=1,K381&gt;=2),1,0),N381)</x:f>
        <x:v>0</x:v>
      </x:c>
      <x:c r="R381" t="n">
        <x:f>IF(O381="",IF(AND(L381=1,K381&gt;=3),1,0),O381)</x:f>
        <x:v>0</x:v>
      </x:c>
      <x:c r="S381" t="n">
        <x:f>SUM(P381:R381)</x:f>
        <x:v>0</x:v>
      </x:c>
      <x:c r="T381" t="str">
        <x:f>IF(COUNTA(M381:O381)=0,"DerivedFromCount","ManualOverride")</x:f>
        <x:v>DerivedFromCount</x:v>
      </x:c>
      <x:c r="U381" t="str">
        <x:f>IF(COUNTIF(DailyProduction!$Q$5:$Q$100,B381)=1,"OK","CHECK")</x:f>
        <x:v>OK</x:v>
      </x:c>
      <x:c r="V381" t="str">
        <x:f>IF(AND(I381&gt;=1,I381&lt;=13,K381&gt;=1,K381&lt;=3),"OK","CHECK")</x:f>
        <x:v>OK</x:v>
      </x:c>
      <x:c r="W381" t="str">
        <x:f>IF(SUMIF($B$5:$B$914,B381,$S$5:$S$914)=SUMIF(DailyProduction!$Q$5:$Q$100,B381,DailyProduction!$R$5:$R$100),"OK","CHECK")</x:f>
        <x:v>OK</x:v>
      </x:c>
    </x:row>
    <x:row r="382">
      <x:c r="A382" t="str">
        <x:v>PC-PE-KG01-L23-20251020-PM-ORD-2025-00092-S01</x:v>
      </x:c>
      <x:c r="B382" t="str">
        <x:v>PE-KG01-L23-20251020-PM-ORD-2025-00092</x:v>
      </x:c>
      <x:c r="C382" t="str">
        <x:v>KG01</x:v>
      </x:c>
      <x:c r="D382" t="n">
        <x:v>45950</x:v>
      </x:c>
      <x:c r="E382" t="str">
        <x:v>PM</x:v>
      </x:c>
      <x:c r="F382" t="str">
        <x:v>A</x:v>
      </x:c>
      <x:c r="G382" t="n">
        <x:v>23</x:v>
      </x:c>
      <x:c r="H382" t="str">
        <x:v>ORD-2025-00092</x:v>
      </x:c>
      <x:c r="I382" t="n">
        <x:v>1</x:v>
      </x:c>
      <x:c r="J382" t="n">
        <x:v>12</x:v>
      </x:c>
      <x:c r="K382" t="n">
        <x:v>3</x:v>
      </x:c>
      <x:c r="L382" t="n">
        <x:f>IF(I382&lt;=J382,1,0)</x:f>
        <x:v>1</x:v>
      </x:c>
      <x:c r="P382" t="n">
        <x:f>IF(M382="",IF(AND(L382=1,K382&gt;=1),1,0),M382)</x:f>
        <x:v>1</x:v>
      </x:c>
      <x:c r="Q382" t="n">
        <x:f>IF(N382="",IF(AND(L382=1,K382&gt;=2),1,0),N382)</x:f>
        <x:v>1</x:v>
      </x:c>
      <x:c r="R382" t="n">
        <x:f>IF(O382="",IF(AND(L382=1,K382&gt;=3),1,0),O382)</x:f>
        <x:v>1</x:v>
      </x:c>
      <x:c r="S382" t="n">
        <x:f>SUM(P382:R382)</x:f>
        <x:v>3</x:v>
      </x:c>
      <x:c r="T382" t="str">
        <x:f>IF(COUNTA(M382:O382)=0,"DerivedFromCount","ManualOverride")</x:f>
        <x:v>DerivedFromCount</x:v>
      </x:c>
      <x:c r="U382" t="str">
        <x:f>IF(COUNTIF(DailyProduction!$Q$5:$Q$100,B382)=1,"OK","CHECK")</x:f>
        <x:v>OK</x:v>
      </x:c>
      <x:c r="V382" t="str">
        <x:f>IF(AND(I382&gt;=1,I382&lt;=13,K382&gt;=1,K382&lt;=3),"OK","CHECK")</x:f>
        <x:v>OK</x:v>
      </x:c>
      <x:c r="W382" t="str">
        <x:f>IF(SUMIF($B$5:$B$914,B382,$S$5:$S$914)=SUMIF(DailyProduction!$Q$5:$Q$100,B382,DailyProduction!$R$5:$R$100),"OK","CHECK")</x:f>
        <x:v>OK</x:v>
      </x:c>
    </x:row>
    <x:row r="383">
      <x:c r="A383" t="str">
        <x:v>PC-PE-KG01-L23-20251020-PM-ORD-2025-00092-S02</x:v>
      </x:c>
      <x:c r="B383" t="str">
        <x:v>PE-KG01-L23-20251020-PM-ORD-2025-00092</x:v>
      </x:c>
      <x:c r="C383" t="str">
        <x:v>KG01</x:v>
      </x:c>
      <x:c r="D383" t="n">
        <x:v>45950</x:v>
      </x:c>
      <x:c r="E383" t="str">
        <x:v>PM</x:v>
      </x:c>
      <x:c r="F383" t="str">
        <x:v>A</x:v>
      </x:c>
      <x:c r="G383" t="n">
        <x:v>23</x:v>
      </x:c>
      <x:c r="H383" t="str">
        <x:v>ORD-2025-00092</x:v>
      </x:c>
      <x:c r="I383" t="n">
        <x:v>2</x:v>
      </x:c>
      <x:c r="J383" t="n">
        <x:v>12</x:v>
      </x:c>
      <x:c r="K383" t="n">
        <x:v>3</x:v>
      </x:c>
      <x:c r="L383" t="n">
        <x:f>IF(I383&lt;=J383,1,0)</x:f>
        <x:v>1</x:v>
      </x:c>
      <x:c r="P383" t="n">
        <x:f>IF(M383="",IF(AND(L383=1,K383&gt;=1),1,0),M383)</x:f>
        <x:v>1</x:v>
      </x:c>
      <x:c r="Q383" t="n">
        <x:f>IF(N383="",IF(AND(L383=1,K383&gt;=2),1,0),N383)</x:f>
        <x:v>1</x:v>
      </x:c>
      <x:c r="R383" t="n">
        <x:f>IF(O383="",IF(AND(L383=1,K383&gt;=3),1,0),O383)</x:f>
        <x:v>1</x:v>
      </x:c>
      <x:c r="S383" t="n">
        <x:f>SUM(P383:R383)</x:f>
        <x:v>3</x:v>
      </x:c>
      <x:c r="T383" t="str">
        <x:f>IF(COUNTA(M383:O383)=0,"DerivedFromCount","ManualOverride")</x:f>
        <x:v>DerivedFromCount</x:v>
      </x:c>
      <x:c r="U383" t="str">
        <x:f>IF(COUNTIF(DailyProduction!$Q$5:$Q$100,B383)=1,"OK","CHECK")</x:f>
        <x:v>OK</x:v>
      </x:c>
      <x:c r="V383" t="str">
        <x:f>IF(AND(I383&gt;=1,I383&lt;=13,K383&gt;=1,K383&lt;=3),"OK","CHECK")</x:f>
        <x:v>OK</x:v>
      </x:c>
      <x:c r="W383" t="str">
        <x:f>IF(SUMIF($B$5:$B$914,B383,$S$5:$S$914)=SUMIF(DailyProduction!$Q$5:$Q$100,B383,DailyProduction!$R$5:$R$100),"OK","CHECK")</x:f>
        <x:v>OK</x:v>
      </x:c>
    </x:row>
    <x:row r="384">
      <x:c r="A384" t="str">
        <x:v>PC-PE-KG01-L23-20251020-PM-ORD-2025-00092-S03</x:v>
      </x:c>
      <x:c r="B384" t="str">
        <x:v>PE-KG01-L23-20251020-PM-ORD-2025-00092</x:v>
      </x:c>
      <x:c r="C384" t="str">
        <x:v>KG01</x:v>
      </x:c>
      <x:c r="D384" t="n">
        <x:v>45950</x:v>
      </x:c>
      <x:c r="E384" t="str">
        <x:v>PM</x:v>
      </x:c>
      <x:c r="F384" t="str">
        <x:v>A</x:v>
      </x:c>
      <x:c r="G384" t="n">
        <x:v>23</x:v>
      </x:c>
      <x:c r="H384" t="str">
        <x:v>ORD-2025-00092</x:v>
      </x:c>
      <x:c r="I384" t="n">
        <x:v>3</x:v>
      </x:c>
      <x:c r="J384" t="n">
        <x:v>12</x:v>
      </x:c>
      <x:c r="K384" t="n">
        <x:v>3</x:v>
      </x:c>
      <x:c r="L384" t="n">
        <x:f>IF(I384&lt;=J384,1,0)</x:f>
        <x:v>1</x:v>
      </x:c>
      <x:c r="P384" t="n">
        <x:f>IF(M384="",IF(AND(L384=1,K384&gt;=1),1,0),M384)</x:f>
        <x:v>1</x:v>
      </x:c>
      <x:c r="Q384" t="n">
        <x:f>IF(N384="",IF(AND(L384=1,K384&gt;=2),1,0),N384)</x:f>
        <x:v>1</x:v>
      </x:c>
      <x:c r="R384" t="n">
        <x:f>IF(O384="",IF(AND(L384=1,K384&gt;=3),1,0),O384)</x:f>
        <x:v>1</x:v>
      </x:c>
      <x:c r="S384" t="n">
        <x:f>SUM(P384:R384)</x:f>
        <x:v>3</x:v>
      </x:c>
      <x:c r="T384" t="str">
        <x:f>IF(COUNTA(M384:O384)=0,"DerivedFromCount","ManualOverride")</x:f>
        <x:v>DerivedFromCount</x:v>
      </x:c>
      <x:c r="U384" t="str">
        <x:f>IF(COUNTIF(DailyProduction!$Q$5:$Q$100,B384)=1,"OK","CHECK")</x:f>
        <x:v>OK</x:v>
      </x:c>
      <x:c r="V384" t="str">
        <x:f>IF(AND(I384&gt;=1,I384&lt;=13,K384&gt;=1,K384&lt;=3),"OK","CHECK")</x:f>
        <x:v>OK</x:v>
      </x:c>
      <x:c r="W384" t="str">
        <x:f>IF(SUMIF($B$5:$B$914,B384,$S$5:$S$914)=SUMIF(DailyProduction!$Q$5:$Q$100,B384,DailyProduction!$R$5:$R$100),"OK","CHECK")</x:f>
        <x:v>OK</x:v>
      </x:c>
    </x:row>
    <x:row r="385">
      <x:c r="A385" t="str">
        <x:v>PC-PE-KG01-L23-20251020-PM-ORD-2025-00092-S04</x:v>
      </x:c>
      <x:c r="B385" t="str">
        <x:v>PE-KG01-L23-20251020-PM-ORD-2025-00092</x:v>
      </x:c>
      <x:c r="C385" t="str">
        <x:v>KG01</x:v>
      </x:c>
      <x:c r="D385" t="n">
        <x:v>45950</x:v>
      </x:c>
      <x:c r="E385" t="str">
        <x:v>PM</x:v>
      </x:c>
      <x:c r="F385" t="str">
        <x:v>A</x:v>
      </x:c>
      <x:c r="G385" t="n">
        <x:v>23</x:v>
      </x:c>
      <x:c r="H385" t="str">
        <x:v>ORD-2025-00092</x:v>
      </x:c>
      <x:c r="I385" t="n">
        <x:v>4</x:v>
      </x:c>
      <x:c r="J385" t="n">
        <x:v>12</x:v>
      </x:c>
      <x:c r="K385" t="n">
        <x:v>3</x:v>
      </x:c>
      <x:c r="L385" t="n">
        <x:f>IF(I385&lt;=J385,1,0)</x:f>
        <x:v>1</x:v>
      </x:c>
      <x:c r="P385" t="n">
        <x:f>IF(M385="",IF(AND(L385=1,K385&gt;=1),1,0),M385)</x:f>
        <x:v>1</x:v>
      </x:c>
      <x:c r="Q385" t="n">
        <x:f>IF(N385="",IF(AND(L385=1,K385&gt;=2),1,0),N385)</x:f>
        <x:v>1</x:v>
      </x:c>
      <x:c r="R385" t="n">
        <x:f>IF(O385="",IF(AND(L385=1,K385&gt;=3),1,0),O385)</x:f>
        <x:v>1</x:v>
      </x:c>
      <x:c r="S385" t="n">
        <x:f>SUM(P385:R385)</x:f>
        <x:v>3</x:v>
      </x:c>
      <x:c r="T385" t="str">
        <x:f>IF(COUNTA(M385:O385)=0,"DerivedFromCount","ManualOverride")</x:f>
        <x:v>DerivedFromCount</x:v>
      </x:c>
      <x:c r="U385" t="str">
        <x:f>IF(COUNTIF(DailyProduction!$Q$5:$Q$100,B385)=1,"OK","CHECK")</x:f>
        <x:v>OK</x:v>
      </x:c>
      <x:c r="V385" t="str">
        <x:f>IF(AND(I385&gt;=1,I385&lt;=13,K385&gt;=1,K385&lt;=3),"OK","CHECK")</x:f>
        <x:v>OK</x:v>
      </x:c>
      <x:c r="W385" t="str">
        <x:f>IF(SUMIF($B$5:$B$914,B385,$S$5:$S$914)=SUMIF(DailyProduction!$Q$5:$Q$100,B385,DailyProduction!$R$5:$R$100),"OK","CHECK")</x:f>
        <x:v>OK</x:v>
      </x:c>
    </x:row>
    <x:row r="386">
      <x:c r="A386" t="str">
        <x:v>PC-PE-KG01-L23-20251020-PM-ORD-2025-00092-S05</x:v>
      </x:c>
      <x:c r="B386" t="str">
        <x:v>PE-KG01-L23-20251020-PM-ORD-2025-00092</x:v>
      </x:c>
      <x:c r="C386" t="str">
        <x:v>KG01</x:v>
      </x:c>
      <x:c r="D386" t="n">
        <x:v>45950</x:v>
      </x:c>
      <x:c r="E386" t="str">
        <x:v>PM</x:v>
      </x:c>
      <x:c r="F386" t="str">
        <x:v>A</x:v>
      </x:c>
      <x:c r="G386" t="n">
        <x:v>23</x:v>
      </x:c>
      <x:c r="H386" t="str">
        <x:v>ORD-2025-00092</x:v>
      </x:c>
      <x:c r="I386" t="n">
        <x:v>5</x:v>
      </x:c>
      <x:c r="J386" t="n">
        <x:v>12</x:v>
      </x:c>
      <x:c r="K386" t="n">
        <x:v>3</x:v>
      </x:c>
      <x:c r="L386" t="n">
        <x:f>IF(I386&lt;=J386,1,0)</x:f>
        <x:v>1</x:v>
      </x:c>
      <x:c r="P386" t="n">
        <x:f>IF(M386="",IF(AND(L386=1,K386&gt;=1),1,0),M386)</x:f>
        <x:v>1</x:v>
      </x:c>
      <x:c r="Q386" t="n">
        <x:f>IF(N386="",IF(AND(L386=1,K386&gt;=2),1,0),N386)</x:f>
        <x:v>1</x:v>
      </x:c>
      <x:c r="R386" t="n">
        <x:f>IF(O386="",IF(AND(L386=1,K386&gt;=3),1,0),O386)</x:f>
        <x:v>1</x:v>
      </x:c>
      <x:c r="S386" t="n">
        <x:f>SUM(P386:R386)</x:f>
        <x:v>3</x:v>
      </x:c>
      <x:c r="T386" t="str">
        <x:f>IF(COUNTA(M386:O386)=0,"DerivedFromCount","ManualOverride")</x:f>
        <x:v>DerivedFromCount</x:v>
      </x:c>
      <x:c r="U386" t="str">
        <x:f>IF(COUNTIF(DailyProduction!$Q$5:$Q$100,B386)=1,"OK","CHECK")</x:f>
        <x:v>OK</x:v>
      </x:c>
      <x:c r="V386" t="str">
        <x:f>IF(AND(I386&gt;=1,I386&lt;=13,K386&gt;=1,K386&lt;=3),"OK","CHECK")</x:f>
        <x:v>OK</x:v>
      </x:c>
      <x:c r="W386" t="str">
        <x:f>IF(SUMIF($B$5:$B$914,B386,$S$5:$S$914)=SUMIF(DailyProduction!$Q$5:$Q$100,B386,DailyProduction!$R$5:$R$100),"OK","CHECK")</x:f>
        <x:v>OK</x:v>
      </x:c>
    </x:row>
    <x:row r="387">
      <x:c r="A387" t="str">
        <x:v>PC-PE-KG01-L23-20251020-PM-ORD-2025-00092-S06</x:v>
      </x:c>
      <x:c r="B387" t="str">
        <x:v>PE-KG01-L23-20251020-PM-ORD-2025-00092</x:v>
      </x:c>
      <x:c r="C387" t="str">
        <x:v>KG01</x:v>
      </x:c>
      <x:c r="D387" t="n">
        <x:v>45950</x:v>
      </x:c>
      <x:c r="E387" t="str">
        <x:v>PM</x:v>
      </x:c>
      <x:c r="F387" t="str">
        <x:v>A</x:v>
      </x:c>
      <x:c r="G387" t="n">
        <x:v>23</x:v>
      </x:c>
      <x:c r="H387" t="str">
        <x:v>ORD-2025-00092</x:v>
      </x:c>
      <x:c r="I387" t="n">
        <x:v>6</x:v>
      </x:c>
      <x:c r="J387" t="n">
        <x:v>12</x:v>
      </x:c>
      <x:c r="K387" t="n">
        <x:v>3</x:v>
      </x:c>
      <x:c r="L387" t="n">
        <x:f>IF(I387&lt;=J387,1,0)</x:f>
        <x:v>1</x:v>
      </x:c>
      <x:c r="P387" t="n">
        <x:f>IF(M387="",IF(AND(L387=1,K387&gt;=1),1,0),M387)</x:f>
        <x:v>1</x:v>
      </x:c>
      <x:c r="Q387" t="n">
        <x:f>IF(N387="",IF(AND(L387=1,K387&gt;=2),1,0),N387)</x:f>
        <x:v>1</x:v>
      </x:c>
      <x:c r="R387" t="n">
        <x:f>IF(O387="",IF(AND(L387=1,K387&gt;=3),1,0),O387)</x:f>
        <x:v>1</x:v>
      </x:c>
      <x:c r="S387" t="n">
        <x:f>SUM(P387:R387)</x:f>
        <x:v>3</x:v>
      </x:c>
      <x:c r="T387" t="str">
        <x:f>IF(COUNTA(M387:O387)=0,"DerivedFromCount","ManualOverride")</x:f>
        <x:v>DerivedFromCount</x:v>
      </x:c>
      <x:c r="U387" t="str">
        <x:f>IF(COUNTIF(DailyProduction!$Q$5:$Q$100,B387)=1,"OK","CHECK")</x:f>
        <x:v>OK</x:v>
      </x:c>
      <x:c r="V387" t="str">
        <x:f>IF(AND(I387&gt;=1,I387&lt;=13,K387&gt;=1,K387&lt;=3),"OK","CHECK")</x:f>
        <x:v>OK</x:v>
      </x:c>
      <x:c r="W387" t="str">
        <x:f>IF(SUMIF($B$5:$B$914,B387,$S$5:$S$914)=SUMIF(DailyProduction!$Q$5:$Q$100,B387,DailyProduction!$R$5:$R$100),"OK","CHECK")</x:f>
        <x:v>OK</x:v>
      </x:c>
    </x:row>
    <x:row r="388">
      <x:c r="A388" t="str">
        <x:v>PC-PE-KG01-L23-20251020-PM-ORD-2025-00092-S07</x:v>
      </x:c>
      <x:c r="B388" t="str">
        <x:v>PE-KG01-L23-20251020-PM-ORD-2025-00092</x:v>
      </x:c>
      <x:c r="C388" t="str">
        <x:v>KG01</x:v>
      </x:c>
      <x:c r="D388" t="n">
        <x:v>45950</x:v>
      </x:c>
      <x:c r="E388" t="str">
        <x:v>PM</x:v>
      </x:c>
      <x:c r="F388" t="str">
        <x:v>A</x:v>
      </x:c>
      <x:c r="G388" t="n">
        <x:v>23</x:v>
      </x:c>
      <x:c r="H388" t="str">
        <x:v>ORD-2025-00092</x:v>
      </x:c>
      <x:c r="I388" t="n">
        <x:v>7</x:v>
      </x:c>
      <x:c r="J388" t="n">
        <x:v>12</x:v>
      </x:c>
      <x:c r="K388" t="n">
        <x:v>3</x:v>
      </x:c>
      <x:c r="L388" t="n">
        <x:f>IF(I388&lt;=J388,1,0)</x:f>
        <x:v>1</x:v>
      </x:c>
      <x:c r="P388" t="n">
        <x:f>IF(M388="",IF(AND(L388=1,K388&gt;=1),1,0),M388)</x:f>
        <x:v>1</x:v>
      </x:c>
      <x:c r="Q388" t="n">
        <x:f>IF(N388="",IF(AND(L388=1,K388&gt;=2),1,0),N388)</x:f>
        <x:v>1</x:v>
      </x:c>
      <x:c r="R388" t="n">
        <x:f>IF(O388="",IF(AND(L388=1,K388&gt;=3),1,0),O388)</x:f>
        <x:v>1</x:v>
      </x:c>
      <x:c r="S388" t="n">
        <x:f>SUM(P388:R388)</x:f>
        <x:v>3</x:v>
      </x:c>
      <x:c r="T388" t="str">
        <x:f>IF(COUNTA(M388:O388)=0,"DerivedFromCount","ManualOverride")</x:f>
        <x:v>DerivedFromCount</x:v>
      </x:c>
      <x:c r="U388" t="str">
        <x:f>IF(COUNTIF(DailyProduction!$Q$5:$Q$100,B388)=1,"OK","CHECK")</x:f>
        <x:v>OK</x:v>
      </x:c>
      <x:c r="V388" t="str">
        <x:f>IF(AND(I388&gt;=1,I388&lt;=13,K388&gt;=1,K388&lt;=3),"OK","CHECK")</x:f>
        <x:v>OK</x:v>
      </x:c>
      <x:c r="W388" t="str">
        <x:f>IF(SUMIF($B$5:$B$914,B388,$S$5:$S$914)=SUMIF(DailyProduction!$Q$5:$Q$100,B388,DailyProduction!$R$5:$R$100),"OK","CHECK")</x:f>
        <x:v>OK</x:v>
      </x:c>
    </x:row>
    <x:row r="389">
      <x:c r="A389" t="str">
        <x:v>PC-PE-KG01-L23-20251020-PM-ORD-2025-00092-S08</x:v>
      </x:c>
      <x:c r="B389" t="str">
        <x:v>PE-KG01-L23-20251020-PM-ORD-2025-00092</x:v>
      </x:c>
      <x:c r="C389" t="str">
        <x:v>KG01</x:v>
      </x:c>
      <x:c r="D389" t="n">
        <x:v>45950</x:v>
      </x:c>
      <x:c r="E389" t="str">
        <x:v>PM</x:v>
      </x:c>
      <x:c r="F389" t="str">
        <x:v>A</x:v>
      </x:c>
      <x:c r="G389" t="n">
        <x:v>23</x:v>
      </x:c>
      <x:c r="H389" t="str">
        <x:v>ORD-2025-00092</x:v>
      </x:c>
      <x:c r="I389" t="n">
        <x:v>8</x:v>
      </x:c>
      <x:c r="J389" t="n">
        <x:v>12</x:v>
      </x:c>
      <x:c r="K389" t="n">
        <x:v>3</x:v>
      </x:c>
      <x:c r="L389" t="n">
        <x:f>IF(I389&lt;=J389,1,0)</x:f>
        <x:v>1</x:v>
      </x:c>
      <x:c r="P389" t="n">
        <x:f>IF(M389="",IF(AND(L389=1,K389&gt;=1),1,0),M389)</x:f>
        <x:v>1</x:v>
      </x:c>
      <x:c r="Q389" t="n">
        <x:f>IF(N389="",IF(AND(L389=1,K389&gt;=2),1,0),N389)</x:f>
        <x:v>1</x:v>
      </x:c>
      <x:c r="R389" t="n">
        <x:f>IF(O389="",IF(AND(L389=1,K389&gt;=3),1,0),O389)</x:f>
        <x:v>1</x:v>
      </x:c>
      <x:c r="S389" t="n">
        <x:f>SUM(P389:R389)</x:f>
        <x:v>3</x:v>
      </x:c>
      <x:c r="T389" t="str">
        <x:f>IF(COUNTA(M389:O389)=0,"DerivedFromCount","ManualOverride")</x:f>
        <x:v>DerivedFromCount</x:v>
      </x:c>
      <x:c r="U389" t="str">
        <x:f>IF(COUNTIF(DailyProduction!$Q$5:$Q$100,B389)=1,"OK","CHECK")</x:f>
        <x:v>OK</x:v>
      </x:c>
      <x:c r="V389" t="str">
        <x:f>IF(AND(I389&gt;=1,I389&lt;=13,K389&gt;=1,K389&lt;=3),"OK","CHECK")</x:f>
        <x:v>OK</x:v>
      </x:c>
      <x:c r="W389" t="str">
        <x:f>IF(SUMIF($B$5:$B$914,B389,$S$5:$S$914)=SUMIF(DailyProduction!$Q$5:$Q$100,B389,DailyProduction!$R$5:$R$100),"OK","CHECK")</x:f>
        <x:v>OK</x:v>
      </x:c>
    </x:row>
    <x:row r="390">
      <x:c r="A390" t="str">
        <x:v>PC-PE-KG01-L23-20251020-PM-ORD-2025-00092-S09</x:v>
      </x:c>
      <x:c r="B390" t="str">
        <x:v>PE-KG01-L23-20251020-PM-ORD-2025-00092</x:v>
      </x:c>
      <x:c r="C390" t="str">
        <x:v>KG01</x:v>
      </x:c>
      <x:c r="D390" t="n">
        <x:v>45950</x:v>
      </x:c>
      <x:c r="E390" t="str">
        <x:v>PM</x:v>
      </x:c>
      <x:c r="F390" t="str">
        <x:v>A</x:v>
      </x:c>
      <x:c r="G390" t="n">
        <x:v>23</x:v>
      </x:c>
      <x:c r="H390" t="str">
        <x:v>ORD-2025-00092</x:v>
      </x:c>
      <x:c r="I390" t="n">
        <x:v>9</x:v>
      </x:c>
      <x:c r="J390" t="n">
        <x:v>12</x:v>
      </x:c>
      <x:c r="K390" t="n">
        <x:v>3</x:v>
      </x:c>
      <x:c r="L390" t="n">
        <x:f>IF(I390&lt;=J390,1,0)</x:f>
        <x:v>1</x:v>
      </x:c>
      <x:c r="P390" t="n">
        <x:f>IF(M390="",IF(AND(L390=1,K390&gt;=1),1,0),M390)</x:f>
        <x:v>1</x:v>
      </x:c>
      <x:c r="Q390" t="n">
        <x:f>IF(N390="",IF(AND(L390=1,K390&gt;=2),1,0),N390)</x:f>
        <x:v>1</x:v>
      </x:c>
      <x:c r="R390" t="n">
        <x:f>IF(O390="",IF(AND(L390=1,K390&gt;=3),1,0),O390)</x:f>
        <x:v>1</x:v>
      </x:c>
      <x:c r="S390" t="n">
        <x:f>SUM(P390:R390)</x:f>
        <x:v>3</x:v>
      </x:c>
      <x:c r="T390" t="str">
        <x:f>IF(COUNTA(M390:O390)=0,"DerivedFromCount","ManualOverride")</x:f>
        <x:v>DerivedFromCount</x:v>
      </x:c>
      <x:c r="U390" t="str">
        <x:f>IF(COUNTIF(DailyProduction!$Q$5:$Q$100,B390)=1,"OK","CHECK")</x:f>
        <x:v>OK</x:v>
      </x:c>
      <x:c r="V390" t="str">
        <x:f>IF(AND(I390&gt;=1,I390&lt;=13,K390&gt;=1,K390&lt;=3),"OK","CHECK")</x:f>
        <x:v>OK</x:v>
      </x:c>
      <x:c r="W390" t="str">
        <x:f>IF(SUMIF($B$5:$B$914,B390,$S$5:$S$914)=SUMIF(DailyProduction!$Q$5:$Q$100,B390,DailyProduction!$R$5:$R$100),"OK","CHECK")</x:f>
        <x:v>OK</x:v>
      </x:c>
    </x:row>
    <x:row r="391">
      <x:c r="A391" t="str">
        <x:v>PC-PE-KG01-L23-20251020-PM-ORD-2025-00092-S10</x:v>
      </x:c>
      <x:c r="B391" t="str">
        <x:v>PE-KG01-L23-20251020-PM-ORD-2025-00092</x:v>
      </x:c>
      <x:c r="C391" t="str">
        <x:v>KG01</x:v>
      </x:c>
      <x:c r="D391" t="n">
        <x:v>45950</x:v>
      </x:c>
      <x:c r="E391" t="str">
        <x:v>PM</x:v>
      </x:c>
      <x:c r="F391" t="str">
        <x:v>A</x:v>
      </x:c>
      <x:c r="G391" t="n">
        <x:v>23</x:v>
      </x:c>
      <x:c r="H391" t="str">
        <x:v>ORD-2025-00092</x:v>
      </x:c>
      <x:c r="I391" t="n">
        <x:v>10</x:v>
      </x:c>
      <x:c r="J391" t="n">
        <x:v>12</x:v>
      </x:c>
      <x:c r="K391" t="n">
        <x:v>3</x:v>
      </x:c>
      <x:c r="L391" t="n">
        <x:f>IF(I391&lt;=J391,1,0)</x:f>
        <x:v>1</x:v>
      </x:c>
      <x:c r="P391" t="n">
        <x:f>IF(M391="",IF(AND(L391=1,K391&gt;=1),1,0),M391)</x:f>
        <x:v>1</x:v>
      </x:c>
      <x:c r="Q391" t="n">
        <x:f>IF(N391="",IF(AND(L391=1,K391&gt;=2),1,0),N391)</x:f>
        <x:v>1</x:v>
      </x:c>
      <x:c r="R391" t="n">
        <x:f>IF(O391="",IF(AND(L391=1,K391&gt;=3),1,0),O391)</x:f>
        <x:v>1</x:v>
      </x:c>
      <x:c r="S391" t="n">
        <x:f>SUM(P391:R391)</x:f>
        <x:v>3</x:v>
      </x:c>
      <x:c r="T391" t="str">
        <x:f>IF(COUNTA(M391:O391)=0,"DerivedFromCount","ManualOverride")</x:f>
        <x:v>DerivedFromCount</x:v>
      </x:c>
      <x:c r="U391" t="str">
        <x:f>IF(COUNTIF(DailyProduction!$Q$5:$Q$100,B391)=1,"OK","CHECK")</x:f>
        <x:v>OK</x:v>
      </x:c>
      <x:c r="V391" t="str">
        <x:f>IF(AND(I391&gt;=1,I391&lt;=13,K391&gt;=1,K391&lt;=3),"OK","CHECK")</x:f>
        <x:v>OK</x:v>
      </x:c>
      <x:c r="W391" t="str">
        <x:f>IF(SUMIF($B$5:$B$914,B391,$S$5:$S$914)=SUMIF(DailyProduction!$Q$5:$Q$100,B391,DailyProduction!$R$5:$R$100),"OK","CHECK")</x:f>
        <x:v>OK</x:v>
      </x:c>
    </x:row>
    <x:row r="392">
      <x:c r="A392" t="str">
        <x:v>PC-PE-KG01-L23-20251020-PM-ORD-2025-00092-S11</x:v>
      </x:c>
      <x:c r="B392" t="str">
        <x:v>PE-KG01-L23-20251020-PM-ORD-2025-00092</x:v>
      </x:c>
      <x:c r="C392" t="str">
        <x:v>KG01</x:v>
      </x:c>
      <x:c r="D392" t="n">
        <x:v>45950</x:v>
      </x:c>
      <x:c r="E392" t="str">
        <x:v>PM</x:v>
      </x:c>
      <x:c r="F392" t="str">
        <x:v>A</x:v>
      </x:c>
      <x:c r="G392" t="n">
        <x:v>23</x:v>
      </x:c>
      <x:c r="H392" t="str">
        <x:v>ORD-2025-00092</x:v>
      </x:c>
      <x:c r="I392" t="n">
        <x:v>11</x:v>
      </x:c>
      <x:c r="J392" t="n">
        <x:v>12</x:v>
      </x:c>
      <x:c r="K392" t="n">
        <x:v>3</x:v>
      </x:c>
      <x:c r="L392" t="n">
        <x:f>IF(I392&lt;=J392,1,0)</x:f>
        <x:v>1</x:v>
      </x:c>
      <x:c r="P392" t="n">
        <x:f>IF(M392="",IF(AND(L392=1,K392&gt;=1),1,0),M392)</x:f>
        <x:v>1</x:v>
      </x:c>
      <x:c r="Q392" t="n">
        <x:f>IF(N392="",IF(AND(L392=1,K392&gt;=2),1,0),N392)</x:f>
        <x:v>1</x:v>
      </x:c>
      <x:c r="R392" t="n">
        <x:f>IF(O392="",IF(AND(L392=1,K392&gt;=3),1,0),O392)</x:f>
        <x:v>1</x:v>
      </x:c>
      <x:c r="S392" t="n">
        <x:f>SUM(P392:R392)</x:f>
        <x:v>3</x:v>
      </x:c>
      <x:c r="T392" t="str">
        <x:f>IF(COUNTA(M392:O392)=0,"DerivedFromCount","ManualOverride")</x:f>
        <x:v>DerivedFromCount</x:v>
      </x:c>
      <x:c r="U392" t="str">
        <x:f>IF(COUNTIF(DailyProduction!$Q$5:$Q$100,B392)=1,"OK","CHECK")</x:f>
        <x:v>OK</x:v>
      </x:c>
      <x:c r="V392" t="str">
        <x:f>IF(AND(I392&gt;=1,I392&lt;=13,K392&gt;=1,K392&lt;=3),"OK","CHECK")</x:f>
        <x:v>OK</x:v>
      </x:c>
      <x:c r="W392" t="str">
        <x:f>IF(SUMIF($B$5:$B$914,B392,$S$5:$S$914)=SUMIF(DailyProduction!$Q$5:$Q$100,B392,DailyProduction!$R$5:$R$100),"OK","CHECK")</x:f>
        <x:v>OK</x:v>
      </x:c>
    </x:row>
    <x:row r="393">
      <x:c r="A393" t="str">
        <x:v>PC-PE-KG01-L23-20251020-PM-ORD-2025-00092-S12</x:v>
      </x:c>
      <x:c r="B393" t="str">
        <x:v>PE-KG01-L23-20251020-PM-ORD-2025-00092</x:v>
      </x:c>
      <x:c r="C393" t="str">
        <x:v>KG01</x:v>
      </x:c>
      <x:c r="D393" t="n">
        <x:v>45950</x:v>
      </x:c>
      <x:c r="E393" t="str">
        <x:v>PM</x:v>
      </x:c>
      <x:c r="F393" t="str">
        <x:v>A</x:v>
      </x:c>
      <x:c r="G393" t="n">
        <x:v>23</x:v>
      </x:c>
      <x:c r="H393" t="str">
        <x:v>ORD-2025-00092</x:v>
      </x:c>
      <x:c r="I393" t="n">
        <x:v>12</x:v>
      </x:c>
      <x:c r="J393" t="n">
        <x:v>12</x:v>
      </x:c>
      <x:c r="K393" t="n">
        <x:v>3</x:v>
      </x:c>
      <x:c r="L393" t="n">
        <x:f>IF(I393&lt;=J393,1,0)</x:f>
        <x:v>1</x:v>
      </x:c>
      <x:c r="P393" t="n">
        <x:f>IF(M393="",IF(AND(L393=1,K393&gt;=1),1,0),M393)</x:f>
        <x:v>1</x:v>
      </x:c>
      <x:c r="Q393" t="n">
        <x:f>IF(N393="",IF(AND(L393=1,K393&gt;=2),1,0),N393)</x:f>
        <x:v>1</x:v>
      </x:c>
      <x:c r="R393" t="n">
        <x:f>IF(O393="",IF(AND(L393=1,K393&gt;=3),1,0),O393)</x:f>
        <x:v>1</x:v>
      </x:c>
      <x:c r="S393" t="n">
        <x:f>SUM(P393:R393)</x:f>
        <x:v>3</x:v>
      </x:c>
      <x:c r="T393" t="str">
        <x:f>IF(COUNTA(M393:O393)=0,"DerivedFromCount","ManualOverride")</x:f>
        <x:v>DerivedFromCount</x:v>
      </x:c>
      <x:c r="U393" t="str">
        <x:f>IF(COUNTIF(DailyProduction!$Q$5:$Q$100,B393)=1,"OK","CHECK")</x:f>
        <x:v>OK</x:v>
      </x:c>
      <x:c r="V393" t="str">
        <x:f>IF(AND(I393&gt;=1,I393&lt;=13,K393&gt;=1,K393&lt;=3),"OK","CHECK")</x:f>
        <x:v>OK</x:v>
      </x:c>
      <x:c r="W393" t="str">
        <x:f>IF(SUMIF($B$5:$B$914,B393,$S$5:$S$914)=SUMIF(DailyProduction!$Q$5:$Q$100,B393,DailyProduction!$R$5:$R$100),"OK","CHECK")</x:f>
        <x:v>OK</x:v>
      </x:c>
    </x:row>
    <x:row r="394">
      <x:c r="A394" t="str">
        <x:v>PC-PE-KG01-L23-20251020-PM-ORD-2025-00092-S13</x:v>
      </x:c>
      <x:c r="B394" t="str">
        <x:v>PE-KG01-L23-20251020-PM-ORD-2025-00092</x:v>
      </x:c>
      <x:c r="C394" t="str">
        <x:v>KG01</x:v>
      </x:c>
      <x:c r="D394" t="n">
        <x:v>45950</x:v>
      </x:c>
      <x:c r="E394" t="str">
        <x:v>PM</x:v>
      </x:c>
      <x:c r="F394" t="str">
        <x:v>A</x:v>
      </x:c>
      <x:c r="G394" t="n">
        <x:v>23</x:v>
      </x:c>
      <x:c r="H394" t="str">
        <x:v>ORD-2025-00092</x:v>
      </x:c>
      <x:c r="I394" t="n">
        <x:v>13</x:v>
      </x:c>
      <x:c r="J394" t="n">
        <x:v>12</x:v>
      </x:c>
      <x:c r="K394" t="n">
        <x:v>3</x:v>
      </x:c>
      <x:c r="L394" t="n">
        <x:f>IF(I394&lt;=J394,1,0)</x:f>
        <x:v>0</x:v>
      </x:c>
      <x:c r="P394" t="n">
        <x:f>IF(M394="",IF(AND(L394=1,K394&gt;=1),1,0),M394)</x:f>
        <x:v>0</x:v>
      </x:c>
      <x:c r="Q394" t="n">
        <x:f>IF(N394="",IF(AND(L394=1,K394&gt;=2),1,0),N394)</x:f>
        <x:v>0</x:v>
      </x:c>
      <x:c r="R394" t="n">
        <x:f>IF(O394="",IF(AND(L394=1,K394&gt;=3),1,0),O394)</x:f>
        <x:v>0</x:v>
      </x:c>
      <x:c r="S394" t="n">
        <x:f>SUM(P394:R394)</x:f>
        <x:v>0</x:v>
      </x:c>
      <x:c r="T394" t="str">
        <x:f>IF(COUNTA(M394:O394)=0,"DerivedFromCount","ManualOverride")</x:f>
        <x:v>DerivedFromCount</x:v>
      </x:c>
      <x:c r="U394" t="str">
        <x:f>IF(COUNTIF(DailyProduction!$Q$5:$Q$100,B394)=1,"OK","CHECK")</x:f>
        <x:v>OK</x:v>
      </x:c>
      <x:c r="V394" t="str">
        <x:f>IF(AND(I394&gt;=1,I394&lt;=13,K394&gt;=1,K394&lt;=3),"OK","CHECK")</x:f>
        <x:v>OK</x:v>
      </x:c>
      <x:c r="W394" t="str">
        <x:f>IF(SUMIF($B$5:$B$914,B394,$S$5:$S$914)=SUMIF(DailyProduction!$Q$5:$Q$100,B394,DailyProduction!$R$5:$R$100),"OK","CHECK")</x:f>
        <x:v>OK</x:v>
      </x:c>
    </x:row>
    <x:row r="395">
      <x:c r="A395" t="str">
        <x:v>PC-PE-KG01-L23-20251021-AM-ORD-2025-00092-S01</x:v>
      </x:c>
      <x:c r="B395" t="str">
        <x:v>PE-KG01-L23-20251021-AM-ORD-2025-00092</x:v>
      </x:c>
      <x:c r="C395" t="str">
        <x:v>KG01</x:v>
      </x:c>
      <x:c r="D395" t="n">
        <x:v>45951</x:v>
      </x:c>
      <x:c r="E395" t="str">
        <x:v>AM</x:v>
      </x:c>
      <x:c r="F395" t="str">
        <x:v>A</x:v>
      </x:c>
      <x:c r="G395" t="n">
        <x:v>23</x:v>
      </x:c>
      <x:c r="H395" t="str">
        <x:v>ORD-2025-00092</x:v>
      </x:c>
      <x:c r="I395" t="n">
        <x:v>1</x:v>
      </x:c>
      <x:c r="J395" t="n">
        <x:v>12</x:v>
      </x:c>
      <x:c r="K395" t="n">
        <x:v>3</x:v>
      </x:c>
      <x:c r="L395" t="n">
        <x:f>IF(I395&lt;=J395,1,0)</x:f>
        <x:v>1</x:v>
      </x:c>
      <x:c r="P395" t="n">
        <x:f>IF(M395="",IF(AND(L395=1,K395&gt;=1),1,0),M395)</x:f>
        <x:v>1</x:v>
      </x:c>
      <x:c r="Q395" t="n">
        <x:f>IF(N395="",IF(AND(L395=1,K395&gt;=2),1,0),N395)</x:f>
        <x:v>1</x:v>
      </x:c>
      <x:c r="R395" t="n">
        <x:f>IF(O395="",IF(AND(L395=1,K395&gt;=3),1,0),O395)</x:f>
        <x:v>1</x:v>
      </x:c>
      <x:c r="S395" t="n">
        <x:f>SUM(P395:R395)</x:f>
        <x:v>3</x:v>
      </x:c>
      <x:c r="T395" t="str">
        <x:f>IF(COUNTA(M395:O395)=0,"DerivedFromCount","ManualOverride")</x:f>
        <x:v>DerivedFromCount</x:v>
      </x:c>
      <x:c r="U395" t="str">
        <x:f>IF(COUNTIF(DailyProduction!$Q$5:$Q$100,B395)=1,"OK","CHECK")</x:f>
        <x:v>OK</x:v>
      </x:c>
      <x:c r="V395" t="str">
        <x:f>IF(AND(I395&gt;=1,I395&lt;=13,K395&gt;=1,K395&lt;=3),"OK","CHECK")</x:f>
        <x:v>OK</x:v>
      </x:c>
      <x:c r="W395" t="str">
        <x:f>IF(SUMIF($B$5:$B$914,B395,$S$5:$S$914)=SUMIF(DailyProduction!$Q$5:$Q$100,B395,DailyProduction!$R$5:$R$100),"OK","CHECK")</x:f>
        <x:v>OK</x:v>
      </x:c>
    </x:row>
    <x:row r="396">
      <x:c r="A396" t="str">
        <x:v>PC-PE-KG01-L23-20251021-AM-ORD-2025-00092-S02</x:v>
      </x:c>
      <x:c r="B396" t="str">
        <x:v>PE-KG01-L23-20251021-AM-ORD-2025-00092</x:v>
      </x:c>
      <x:c r="C396" t="str">
        <x:v>KG01</x:v>
      </x:c>
      <x:c r="D396" t="n">
        <x:v>45951</x:v>
      </x:c>
      <x:c r="E396" t="str">
        <x:v>AM</x:v>
      </x:c>
      <x:c r="F396" t="str">
        <x:v>A</x:v>
      </x:c>
      <x:c r="G396" t="n">
        <x:v>23</x:v>
      </x:c>
      <x:c r="H396" t="str">
        <x:v>ORD-2025-00092</x:v>
      </x:c>
      <x:c r="I396" t="n">
        <x:v>2</x:v>
      </x:c>
      <x:c r="J396" t="n">
        <x:v>12</x:v>
      </x:c>
      <x:c r="K396" t="n">
        <x:v>3</x:v>
      </x:c>
      <x:c r="L396" t="n">
        <x:f>IF(I396&lt;=J396,1,0)</x:f>
        <x:v>1</x:v>
      </x:c>
      <x:c r="P396" t="n">
        <x:f>IF(M396="",IF(AND(L396=1,K396&gt;=1),1,0),M396)</x:f>
        <x:v>1</x:v>
      </x:c>
      <x:c r="Q396" t="n">
        <x:f>IF(N396="",IF(AND(L396=1,K396&gt;=2),1,0),N396)</x:f>
        <x:v>1</x:v>
      </x:c>
      <x:c r="R396" t="n">
        <x:f>IF(O396="",IF(AND(L396=1,K396&gt;=3),1,0),O396)</x:f>
        <x:v>1</x:v>
      </x:c>
      <x:c r="S396" t="n">
        <x:f>SUM(P396:R396)</x:f>
        <x:v>3</x:v>
      </x:c>
      <x:c r="T396" t="str">
        <x:f>IF(COUNTA(M396:O396)=0,"DerivedFromCount","ManualOverride")</x:f>
        <x:v>DerivedFromCount</x:v>
      </x:c>
      <x:c r="U396" t="str">
        <x:f>IF(COUNTIF(DailyProduction!$Q$5:$Q$100,B396)=1,"OK","CHECK")</x:f>
        <x:v>OK</x:v>
      </x:c>
      <x:c r="V396" t="str">
        <x:f>IF(AND(I396&gt;=1,I396&lt;=13,K396&gt;=1,K396&lt;=3),"OK","CHECK")</x:f>
        <x:v>OK</x:v>
      </x:c>
      <x:c r="W396" t="str">
        <x:f>IF(SUMIF($B$5:$B$914,B396,$S$5:$S$914)=SUMIF(DailyProduction!$Q$5:$Q$100,B396,DailyProduction!$R$5:$R$100),"OK","CHECK")</x:f>
        <x:v>OK</x:v>
      </x:c>
    </x:row>
    <x:row r="397">
      <x:c r="A397" t="str">
        <x:v>PC-PE-KG01-L23-20251021-AM-ORD-2025-00092-S03</x:v>
      </x:c>
      <x:c r="B397" t="str">
        <x:v>PE-KG01-L23-20251021-AM-ORD-2025-00092</x:v>
      </x:c>
      <x:c r="C397" t="str">
        <x:v>KG01</x:v>
      </x:c>
      <x:c r="D397" t="n">
        <x:v>45951</x:v>
      </x:c>
      <x:c r="E397" t="str">
        <x:v>AM</x:v>
      </x:c>
      <x:c r="F397" t="str">
        <x:v>A</x:v>
      </x:c>
      <x:c r="G397" t="n">
        <x:v>23</x:v>
      </x:c>
      <x:c r="H397" t="str">
        <x:v>ORD-2025-00092</x:v>
      </x:c>
      <x:c r="I397" t="n">
        <x:v>3</x:v>
      </x:c>
      <x:c r="J397" t="n">
        <x:v>12</x:v>
      </x:c>
      <x:c r="K397" t="n">
        <x:v>3</x:v>
      </x:c>
      <x:c r="L397" t="n">
        <x:f>IF(I397&lt;=J397,1,0)</x:f>
        <x:v>1</x:v>
      </x:c>
      <x:c r="P397" t="n">
        <x:f>IF(M397="",IF(AND(L397=1,K397&gt;=1),1,0),M397)</x:f>
        <x:v>1</x:v>
      </x:c>
      <x:c r="Q397" t="n">
        <x:f>IF(N397="",IF(AND(L397=1,K397&gt;=2),1,0),N397)</x:f>
        <x:v>1</x:v>
      </x:c>
      <x:c r="R397" t="n">
        <x:f>IF(O397="",IF(AND(L397=1,K397&gt;=3),1,0),O397)</x:f>
        <x:v>1</x:v>
      </x:c>
      <x:c r="S397" t="n">
        <x:f>SUM(P397:R397)</x:f>
        <x:v>3</x:v>
      </x:c>
      <x:c r="T397" t="str">
        <x:f>IF(COUNTA(M397:O397)=0,"DerivedFromCount","ManualOverride")</x:f>
        <x:v>DerivedFromCount</x:v>
      </x:c>
      <x:c r="U397" t="str">
        <x:f>IF(COUNTIF(DailyProduction!$Q$5:$Q$100,B397)=1,"OK","CHECK")</x:f>
        <x:v>OK</x:v>
      </x:c>
      <x:c r="V397" t="str">
        <x:f>IF(AND(I397&gt;=1,I397&lt;=13,K397&gt;=1,K397&lt;=3),"OK","CHECK")</x:f>
        <x:v>OK</x:v>
      </x:c>
      <x:c r="W397" t="str">
        <x:f>IF(SUMIF($B$5:$B$914,B397,$S$5:$S$914)=SUMIF(DailyProduction!$Q$5:$Q$100,B397,DailyProduction!$R$5:$R$100),"OK","CHECK")</x:f>
        <x:v>OK</x:v>
      </x:c>
    </x:row>
    <x:row r="398">
      <x:c r="A398" t="str">
        <x:v>PC-PE-KG01-L23-20251021-AM-ORD-2025-00092-S04</x:v>
      </x:c>
      <x:c r="B398" t="str">
        <x:v>PE-KG01-L23-20251021-AM-ORD-2025-00092</x:v>
      </x:c>
      <x:c r="C398" t="str">
        <x:v>KG01</x:v>
      </x:c>
      <x:c r="D398" t="n">
        <x:v>45951</x:v>
      </x:c>
      <x:c r="E398" t="str">
        <x:v>AM</x:v>
      </x:c>
      <x:c r="F398" t="str">
        <x:v>A</x:v>
      </x:c>
      <x:c r="G398" t="n">
        <x:v>23</x:v>
      </x:c>
      <x:c r="H398" t="str">
        <x:v>ORD-2025-00092</x:v>
      </x:c>
      <x:c r="I398" t="n">
        <x:v>4</x:v>
      </x:c>
      <x:c r="J398" t="n">
        <x:v>12</x:v>
      </x:c>
      <x:c r="K398" t="n">
        <x:v>3</x:v>
      </x:c>
      <x:c r="L398" t="n">
        <x:f>IF(I398&lt;=J398,1,0)</x:f>
        <x:v>1</x:v>
      </x:c>
      <x:c r="P398" t="n">
        <x:f>IF(M398="",IF(AND(L398=1,K398&gt;=1),1,0),M398)</x:f>
        <x:v>1</x:v>
      </x:c>
      <x:c r="Q398" t="n">
        <x:f>IF(N398="",IF(AND(L398=1,K398&gt;=2),1,0),N398)</x:f>
        <x:v>1</x:v>
      </x:c>
      <x:c r="R398" t="n">
        <x:f>IF(O398="",IF(AND(L398=1,K398&gt;=3),1,0),O398)</x:f>
        <x:v>1</x:v>
      </x:c>
      <x:c r="S398" t="n">
        <x:f>SUM(P398:R398)</x:f>
        <x:v>3</x:v>
      </x:c>
      <x:c r="T398" t="str">
        <x:f>IF(COUNTA(M398:O398)=0,"DerivedFromCount","ManualOverride")</x:f>
        <x:v>DerivedFromCount</x:v>
      </x:c>
      <x:c r="U398" t="str">
        <x:f>IF(COUNTIF(DailyProduction!$Q$5:$Q$100,B398)=1,"OK","CHECK")</x:f>
        <x:v>OK</x:v>
      </x:c>
      <x:c r="V398" t="str">
        <x:f>IF(AND(I398&gt;=1,I398&lt;=13,K398&gt;=1,K398&lt;=3),"OK","CHECK")</x:f>
        <x:v>OK</x:v>
      </x:c>
      <x:c r="W398" t="str">
        <x:f>IF(SUMIF($B$5:$B$914,B398,$S$5:$S$914)=SUMIF(DailyProduction!$Q$5:$Q$100,B398,DailyProduction!$R$5:$R$100),"OK","CHECK")</x:f>
        <x:v>OK</x:v>
      </x:c>
    </x:row>
    <x:row r="399">
      <x:c r="A399" t="str">
        <x:v>PC-PE-KG01-L23-20251021-AM-ORD-2025-00092-S05</x:v>
      </x:c>
      <x:c r="B399" t="str">
        <x:v>PE-KG01-L23-20251021-AM-ORD-2025-00092</x:v>
      </x:c>
      <x:c r="C399" t="str">
        <x:v>KG01</x:v>
      </x:c>
      <x:c r="D399" t="n">
        <x:v>45951</x:v>
      </x:c>
      <x:c r="E399" t="str">
        <x:v>AM</x:v>
      </x:c>
      <x:c r="F399" t="str">
        <x:v>A</x:v>
      </x:c>
      <x:c r="G399" t="n">
        <x:v>23</x:v>
      </x:c>
      <x:c r="H399" t="str">
        <x:v>ORD-2025-00092</x:v>
      </x:c>
      <x:c r="I399" t="n">
        <x:v>5</x:v>
      </x:c>
      <x:c r="J399" t="n">
        <x:v>12</x:v>
      </x:c>
      <x:c r="K399" t="n">
        <x:v>3</x:v>
      </x:c>
      <x:c r="L399" t="n">
        <x:f>IF(I399&lt;=J399,1,0)</x:f>
        <x:v>1</x:v>
      </x:c>
      <x:c r="P399" t="n">
        <x:f>IF(M399="",IF(AND(L399=1,K399&gt;=1),1,0),M399)</x:f>
        <x:v>1</x:v>
      </x:c>
      <x:c r="Q399" t="n">
        <x:f>IF(N399="",IF(AND(L399=1,K399&gt;=2),1,0),N399)</x:f>
        <x:v>1</x:v>
      </x:c>
      <x:c r="R399" t="n">
        <x:f>IF(O399="",IF(AND(L399=1,K399&gt;=3),1,0),O399)</x:f>
        <x:v>1</x:v>
      </x:c>
      <x:c r="S399" t="n">
        <x:f>SUM(P399:R399)</x:f>
        <x:v>3</x:v>
      </x:c>
      <x:c r="T399" t="str">
        <x:f>IF(COUNTA(M399:O399)=0,"DerivedFromCount","ManualOverride")</x:f>
        <x:v>DerivedFromCount</x:v>
      </x:c>
      <x:c r="U399" t="str">
        <x:f>IF(COUNTIF(DailyProduction!$Q$5:$Q$100,B399)=1,"OK","CHECK")</x:f>
        <x:v>OK</x:v>
      </x:c>
      <x:c r="V399" t="str">
        <x:f>IF(AND(I399&gt;=1,I399&lt;=13,K399&gt;=1,K399&lt;=3),"OK","CHECK")</x:f>
        <x:v>OK</x:v>
      </x:c>
      <x:c r="W399" t="str">
        <x:f>IF(SUMIF($B$5:$B$914,B399,$S$5:$S$914)=SUMIF(DailyProduction!$Q$5:$Q$100,B399,DailyProduction!$R$5:$R$100),"OK","CHECK")</x:f>
        <x:v>OK</x:v>
      </x:c>
    </x:row>
    <x:row r="400">
      <x:c r="A400" t="str">
        <x:v>PC-PE-KG01-L23-20251021-AM-ORD-2025-00092-S06</x:v>
      </x:c>
      <x:c r="B400" t="str">
        <x:v>PE-KG01-L23-20251021-AM-ORD-2025-00092</x:v>
      </x:c>
      <x:c r="C400" t="str">
        <x:v>KG01</x:v>
      </x:c>
      <x:c r="D400" t="n">
        <x:v>45951</x:v>
      </x:c>
      <x:c r="E400" t="str">
        <x:v>AM</x:v>
      </x:c>
      <x:c r="F400" t="str">
        <x:v>A</x:v>
      </x:c>
      <x:c r="G400" t="n">
        <x:v>23</x:v>
      </x:c>
      <x:c r="H400" t="str">
        <x:v>ORD-2025-00092</x:v>
      </x:c>
      <x:c r="I400" t="n">
        <x:v>6</x:v>
      </x:c>
      <x:c r="J400" t="n">
        <x:v>12</x:v>
      </x:c>
      <x:c r="K400" t="n">
        <x:v>3</x:v>
      </x:c>
      <x:c r="L400" t="n">
        <x:f>IF(I400&lt;=J400,1,0)</x:f>
        <x:v>1</x:v>
      </x:c>
      <x:c r="P400" t="n">
        <x:f>IF(M400="",IF(AND(L400=1,K400&gt;=1),1,0),M400)</x:f>
        <x:v>1</x:v>
      </x:c>
      <x:c r="Q400" t="n">
        <x:f>IF(N400="",IF(AND(L400=1,K400&gt;=2),1,0),N400)</x:f>
        <x:v>1</x:v>
      </x:c>
      <x:c r="R400" t="n">
        <x:f>IF(O400="",IF(AND(L400=1,K400&gt;=3),1,0),O400)</x:f>
        <x:v>1</x:v>
      </x:c>
      <x:c r="S400" t="n">
        <x:f>SUM(P400:R400)</x:f>
        <x:v>3</x:v>
      </x:c>
      <x:c r="T400" t="str">
        <x:f>IF(COUNTA(M400:O400)=0,"DerivedFromCount","ManualOverride")</x:f>
        <x:v>DerivedFromCount</x:v>
      </x:c>
      <x:c r="U400" t="str">
        <x:f>IF(COUNTIF(DailyProduction!$Q$5:$Q$100,B400)=1,"OK","CHECK")</x:f>
        <x:v>OK</x:v>
      </x:c>
      <x:c r="V400" t="str">
        <x:f>IF(AND(I400&gt;=1,I400&lt;=13,K400&gt;=1,K400&lt;=3),"OK","CHECK")</x:f>
        <x:v>OK</x:v>
      </x:c>
      <x:c r="W400" t="str">
        <x:f>IF(SUMIF($B$5:$B$914,B400,$S$5:$S$914)=SUMIF(DailyProduction!$Q$5:$Q$100,B400,DailyProduction!$R$5:$R$100),"OK","CHECK")</x:f>
        <x:v>OK</x:v>
      </x:c>
    </x:row>
    <x:row r="401">
      <x:c r="A401" t="str">
        <x:v>PC-PE-KG01-L23-20251021-AM-ORD-2025-00092-S07</x:v>
      </x:c>
      <x:c r="B401" t="str">
        <x:v>PE-KG01-L23-20251021-AM-ORD-2025-00092</x:v>
      </x:c>
      <x:c r="C401" t="str">
        <x:v>KG01</x:v>
      </x:c>
      <x:c r="D401" t="n">
        <x:v>45951</x:v>
      </x:c>
      <x:c r="E401" t="str">
        <x:v>AM</x:v>
      </x:c>
      <x:c r="F401" t="str">
        <x:v>A</x:v>
      </x:c>
      <x:c r="G401" t="n">
        <x:v>23</x:v>
      </x:c>
      <x:c r="H401" t="str">
        <x:v>ORD-2025-00092</x:v>
      </x:c>
      <x:c r="I401" t="n">
        <x:v>7</x:v>
      </x:c>
      <x:c r="J401" t="n">
        <x:v>12</x:v>
      </x:c>
      <x:c r="K401" t="n">
        <x:v>3</x:v>
      </x:c>
      <x:c r="L401" t="n">
        <x:f>IF(I401&lt;=J401,1,0)</x:f>
        <x:v>1</x:v>
      </x:c>
      <x:c r="P401" t="n">
        <x:f>IF(M401="",IF(AND(L401=1,K401&gt;=1),1,0),M401)</x:f>
        <x:v>1</x:v>
      </x:c>
      <x:c r="Q401" t="n">
        <x:f>IF(N401="",IF(AND(L401=1,K401&gt;=2),1,0),N401)</x:f>
        <x:v>1</x:v>
      </x:c>
      <x:c r="R401" t="n">
        <x:f>IF(O401="",IF(AND(L401=1,K401&gt;=3),1,0),O401)</x:f>
        <x:v>1</x:v>
      </x:c>
      <x:c r="S401" t="n">
        <x:f>SUM(P401:R401)</x:f>
        <x:v>3</x:v>
      </x:c>
      <x:c r="T401" t="str">
        <x:f>IF(COUNTA(M401:O401)=0,"DerivedFromCount","ManualOverride")</x:f>
        <x:v>DerivedFromCount</x:v>
      </x:c>
      <x:c r="U401" t="str">
        <x:f>IF(COUNTIF(DailyProduction!$Q$5:$Q$100,B401)=1,"OK","CHECK")</x:f>
        <x:v>OK</x:v>
      </x:c>
      <x:c r="V401" t="str">
        <x:f>IF(AND(I401&gt;=1,I401&lt;=13,K401&gt;=1,K401&lt;=3),"OK","CHECK")</x:f>
        <x:v>OK</x:v>
      </x:c>
      <x:c r="W401" t="str">
        <x:f>IF(SUMIF($B$5:$B$914,B401,$S$5:$S$914)=SUMIF(DailyProduction!$Q$5:$Q$100,B401,DailyProduction!$R$5:$R$100),"OK","CHECK")</x:f>
        <x:v>OK</x:v>
      </x:c>
    </x:row>
    <x:row r="402">
      <x:c r="A402" t="str">
        <x:v>PC-PE-KG01-L23-20251021-AM-ORD-2025-00092-S08</x:v>
      </x:c>
      <x:c r="B402" t="str">
        <x:v>PE-KG01-L23-20251021-AM-ORD-2025-00092</x:v>
      </x:c>
      <x:c r="C402" t="str">
        <x:v>KG01</x:v>
      </x:c>
      <x:c r="D402" t="n">
        <x:v>45951</x:v>
      </x:c>
      <x:c r="E402" t="str">
        <x:v>AM</x:v>
      </x:c>
      <x:c r="F402" t="str">
        <x:v>A</x:v>
      </x:c>
      <x:c r="G402" t="n">
        <x:v>23</x:v>
      </x:c>
      <x:c r="H402" t="str">
        <x:v>ORD-2025-00092</x:v>
      </x:c>
      <x:c r="I402" t="n">
        <x:v>8</x:v>
      </x:c>
      <x:c r="J402" t="n">
        <x:v>12</x:v>
      </x:c>
      <x:c r="K402" t="n">
        <x:v>3</x:v>
      </x:c>
      <x:c r="L402" t="n">
        <x:f>IF(I402&lt;=J402,1,0)</x:f>
        <x:v>1</x:v>
      </x:c>
      <x:c r="P402" t="n">
        <x:f>IF(M402="",IF(AND(L402=1,K402&gt;=1),1,0),M402)</x:f>
        <x:v>1</x:v>
      </x:c>
      <x:c r="Q402" t="n">
        <x:f>IF(N402="",IF(AND(L402=1,K402&gt;=2),1,0),N402)</x:f>
        <x:v>1</x:v>
      </x:c>
      <x:c r="R402" t="n">
        <x:f>IF(O402="",IF(AND(L402=1,K402&gt;=3),1,0),O402)</x:f>
        <x:v>1</x:v>
      </x:c>
      <x:c r="S402" t="n">
        <x:f>SUM(P402:R402)</x:f>
        <x:v>3</x:v>
      </x:c>
      <x:c r="T402" t="str">
        <x:f>IF(COUNTA(M402:O402)=0,"DerivedFromCount","ManualOverride")</x:f>
        <x:v>DerivedFromCount</x:v>
      </x:c>
      <x:c r="U402" t="str">
        <x:f>IF(COUNTIF(DailyProduction!$Q$5:$Q$100,B402)=1,"OK","CHECK")</x:f>
        <x:v>OK</x:v>
      </x:c>
      <x:c r="V402" t="str">
        <x:f>IF(AND(I402&gt;=1,I402&lt;=13,K402&gt;=1,K402&lt;=3),"OK","CHECK")</x:f>
        <x:v>OK</x:v>
      </x:c>
      <x:c r="W402" t="str">
        <x:f>IF(SUMIF($B$5:$B$914,B402,$S$5:$S$914)=SUMIF(DailyProduction!$Q$5:$Q$100,B402,DailyProduction!$R$5:$R$100),"OK","CHECK")</x:f>
        <x:v>OK</x:v>
      </x:c>
    </x:row>
    <x:row r="403">
      <x:c r="A403" t="str">
        <x:v>PC-PE-KG01-L23-20251021-AM-ORD-2025-00092-S09</x:v>
      </x:c>
      <x:c r="B403" t="str">
        <x:v>PE-KG01-L23-20251021-AM-ORD-2025-00092</x:v>
      </x:c>
      <x:c r="C403" t="str">
        <x:v>KG01</x:v>
      </x:c>
      <x:c r="D403" t="n">
        <x:v>45951</x:v>
      </x:c>
      <x:c r="E403" t="str">
        <x:v>AM</x:v>
      </x:c>
      <x:c r="F403" t="str">
        <x:v>A</x:v>
      </x:c>
      <x:c r="G403" t="n">
        <x:v>23</x:v>
      </x:c>
      <x:c r="H403" t="str">
        <x:v>ORD-2025-00092</x:v>
      </x:c>
      <x:c r="I403" t="n">
        <x:v>9</x:v>
      </x:c>
      <x:c r="J403" t="n">
        <x:v>12</x:v>
      </x:c>
      <x:c r="K403" t="n">
        <x:v>3</x:v>
      </x:c>
      <x:c r="L403" t="n">
        <x:f>IF(I403&lt;=J403,1,0)</x:f>
        <x:v>1</x:v>
      </x:c>
      <x:c r="P403" t="n">
        <x:f>IF(M403="",IF(AND(L403=1,K403&gt;=1),1,0),M403)</x:f>
        <x:v>1</x:v>
      </x:c>
      <x:c r="Q403" t="n">
        <x:f>IF(N403="",IF(AND(L403=1,K403&gt;=2),1,0),N403)</x:f>
        <x:v>1</x:v>
      </x:c>
      <x:c r="R403" t="n">
        <x:f>IF(O403="",IF(AND(L403=1,K403&gt;=3),1,0),O403)</x:f>
        <x:v>1</x:v>
      </x:c>
      <x:c r="S403" t="n">
        <x:f>SUM(P403:R403)</x:f>
        <x:v>3</x:v>
      </x:c>
      <x:c r="T403" t="str">
        <x:f>IF(COUNTA(M403:O403)=0,"DerivedFromCount","ManualOverride")</x:f>
        <x:v>DerivedFromCount</x:v>
      </x:c>
      <x:c r="U403" t="str">
        <x:f>IF(COUNTIF(DailyProduction!$Q$5:$Q$100,B403)=1,"OK","CHECK")</x:f>
        <x:v>OK</x:v>
      </x:c>
      <x:c r="V403" t="str">
        <x:f>IF(AND(I403&gt;=1,I403&lt;=13,K403&gt;=1,K403&lt;=3),"OK","CHECK")</x:f>
        <x:v>OK</x:v>
      </x:c>
      <x:c r="W403" t="str">
        <x:f>IF(SUMIF($B$5:$B$914,B403,$S$5:$S$914)=SUMIF(DailyProduction!$Q$5:$Q$100,B403,DailyProduction!$R$5:$R$100),"OK","CHECK")</x:f>
        <x:v>OK</x:v>
      </x:c>
    </x:row>
    <x:row r="404">
      <x:c r="A404" t="str">
        <x:v>PC-PE-KG01-L23-20251021-AM-ORD-2025-00092-S10</x:v>
      </x:c>
      <x:c r="B404" t="str">
        <x:v>PE-KG01-L23-20251021-AM-ORD-2025-00092</x:v>
      </x:c>
      <x:c r="C404" t="str">
        <x:v>KG01</x:v>
      </x:c>
      <x:c r="D404" t="n">
        <x:v>45951</x:v>
      </x:c>
      <x:c r="E404" t="str">
        <x:v>AM</x:v>
      </x:c>
      <x:c r="F404" t="str">
        <x:v>A</x:v>
      </x:c>
      <x:c r="G404" t="n">
        <x:v>23</x:v>
      </x:c>
      <x:c r="H404" t="str">
        <x:v>ORD-2025-00092</x:v>
      </x:c>
      <x:c r="I404" t="n">
        <x:v>10</x:v>
      </x:c>
      <x:c r="J404" t="n">
        <x:v>12</x:v>
      </x:c>
      <x:c r="K404" t="n">
        <x:v>3</x:v>
      </x:c>
      <x:c r="L404" t="n">
        <x:f>IF(I404&lt;=J404,1,0)</x:f>
        <x:v>1</x:v>
      </x:c>
      <x:c r="P404" t="n">
        <x:f>IF(M404="",IF(AND(L404=1,K404&gt;=1),1,0),M404)</x:f>
        <x:v>1</x:v>
      </x:c>
      <x:c r="Q404" t="n">
        <x:f>IF(N404="",IF(AND(L404=1,K404&gt;=2),1,0),N404)</x:f>
        <x:v>1</x:v>
      </x:c>
      <x:c r="R404" t="n">
        <x:f>IF(O404="",IF(AND(L404=1,K404&gt;=3),1,0),O404)</x:f>
        <x:v>1</x:v>
      </x:c>
      <x:c r="S404" t="n">
        <x:f>SUM(P404:R404)</x:f>
        <x:v>3</x:v>
      </x:c>
      <x:c r="T404" t="str">
        <x:f>IF(COUNTA(M404:O404)=0,"DerivedFromCount","ManualOverride")</x:f>
        <x:v>DerivedFromCount</x:v>
      </x:c>
      <x:c r="U404" t="str">
        <x:f>IF(COUNTIF(DailyProduction!$Q$5:$Q$100,B404)=1,"OK","CHECK")</x:f>
        <x:v>OK</x:v>
      </x:c>
      <x:c r="V404" t="str">
        <x:f>IF(AND(I404&gt;=1,I404&lt;=13,K404&gt;=1,K404&lt;=3),"OK","CHECK")</x:f>
        <x:v>OK</x:v>
      </x:c>
      <x:c r="W404" t="str">
        <x:f>IF(SUMIF($B$5:$B$914,B404,$S$5:$S$914)=SUMIF(DailyProduction!$Q$5:$Q$100,B404,DailyProduction!$R$5:$R$100),"OK","CHECK")</x:f>
        <x:v>OK</x:v>
      </x:c>
    </x:row>
    <x:row r="405">
      <x:c r="A405" t="str">
        <x:v>PC-PE-KG01-L23-20251021-AM-ORD-2025-00092-S11</x:v>
      </x:c>
      <x:c r="B405" t="str">
        <x:v>PE-KG01-L23-20251021-AM-ORD-2025-00092</x:v>
      </x:c>
      <x:c r="C405" t="str">
        <x:v>KG01</x:v>
      </x:c>
      <x:c r="D405" t="n">
        <x:v>45951</x:v>
      </x:c>
      <x:c r="E405" t="str">
        <x:v>AM</x:v>
      </x:c>
      <x:c r="F405" t="str">
        <x:v>A</x:v>
      </x:c>
      <x:c r="G405" t="n">
        <x:v>23</x:v>
      </x:c>
      <x:c r="H405" t="str">
        <x:v>ORD-2025-00092</x:v>
      </x:c>
      <x:c r="I405" t="n">
        <x:v>11</x:v>
      </x:c>
      <x:c r="J405" t="n">
        <x:v>12</x:v>
      </x:c>
      <x:c r="K405" t="n">
        <x:v>3</x:v>
      </x:c>
      <x:c r="L405" t="n">
        <x:f>IF(I405&lt;=J405,1,0)</x:f>
        <x:v>1</x:v>
      </x:c>
      <x:c r="P405" t="n">
        <x:f>IF(M405="",IF(AND(L405=1,K405&gt;=1),1,0),M405)</x:f>
        <x:v>1</x:v>
      </x:c>
      <x:c r="Q405" t="n">
        <x:f>IF(N405="",IF(AND(L405=1,K405&gt;=2),1,0),N405)</x:f>
        <x:v>1</x:v>
      </x:c>
      <x:c r="R405" t="n">
        <x:f>IF(O405="",IF(AND(L405=1,K405&gt;=3),1,0),O405)</x:f>
        <x:v>1</x:v>
      </x:c>
      <x:c r="S405" t="n">
        <x:f>SUM(P405:R405)</x:f>
        <x:v>3</x:v>
      </x:c>
      <x:c r="T405" t="str">
        <x:f>IF(COUNTA(M405:O405)=0,"DerivedFromCount","ManualOverride")</x:f>
        <x:v>DerivedFromCount</x:v>
      </x:c>
      <x:c r="U405" t="str">
        <x:f>IF(COUNTIF(DailyProduction!$Q$5:$Q$100,B405)=1,"OK","CHECK")</x:f>
        <x:v>OK</x:v>
      </x:c>
      <x:c r="V405" t="str">
        <x:f>IF(AND(I405&gt;=1,I405&lt;=13,K405&gt;=1,K405&lt;=3),"OK","CHECK")</x:f>
        <x:v>OK</x:v>
      </x:c>
      <x:c r="W405" t="str">
        <x:f>IF(SUMIF($B$5:$B$914,B405,$S$5:$S$914)=SUMIF(DailyProduction!$Q$5:$Q$100,B405,DailyProduction!$R$5:$R$100),"OK","CHECK")</x:f>
        <x:v>OK</x:v>
      </x:c>
    </x:row>
    <x:row r="406">
      <x:c r="A406" t="str">
        <x:v>PC-PE-KG01-L23-20251021-AM-ORD-2025-00092-S12</x:v>
      </x:c>
      <x:c r="B406" t="str">
        <x:v>PE-KG01-L23-20251021-AM-ORD-2025-00092</x:v>
      </x:c>
      <x:c r="C406" t="str">
        <x:v>KG01</x:v>
      </x:c>
      <x:c r="D406" t="n">
        <x:v>45951</x:v>
      </x:c>
      <x:c r="E406" t="str">
        <x:v>AM</x:v>
      </x:c>
      <x:c r="F406" t="str">
        <x:v>A</x:v>
      </x:c>
      <x:c r="G406" t="n">
        <x:v>23</x:v>
      </x:c>
      <x:c r="H406" t="str">
        <x:v>ORD-2025-00092</x:v>
      </x:c>
      <x:c r="I406" t="n">
        <x:v>12</x:v>
      </x:c>
      <x:c r="J406" t="n">
        <x:v>12</x:v>
      </x:c>
      <x:c r="K406" t="n">
        <x:v>3</x:v>
      </x:c>
      <x:c r="L406" t="n">
        <x:f>IF(I406&lt;=J406,1,0)</x:f>
        <x:v>1</x:v>
      </x:c>
      <x:c r="P406" t="n">
        <x:f>IF(M406="",IF(AND(L406=1,K406&gt;=1),1,0),M406)</x:f>
        <x:v>1</x:v>
      </x:c>
      <x:c r="Q406" t="n">
        <x:f>IF(N406="",IF(AND(L406=1,K406&gt;=2),1,0),N406)</x:f>
        <x:v>1</x:v>
      </x:c>
      <x:c r="R406" t="n">
        <x:f>IF(O406="",IF(AND(L406=1,K406&gt;=3),1,0),O406)</x:f>
        <x:v>1</x:v>
      </x:c>
      <x:c r="S406" t="n">
        <x:f>SUM(P406:R406)</x:f>
        <x:v>3</x:v>
      </x:c>
      <x:c r="T406" t="str">
        <x:f>IF(COUNTA(M406:O406)=0,"DerivedFromCount","ManualOverride")</x:f>
        <x:v>DerivedFromCount</x:v>
      </x:c>
      <x:c r="U406" t="str">
        <x:f>IF(COUNTIF(DailyProduction!$Q$5:$Q$100,B406)=1,"OK","CHECK")</x:f>
        <x:v>OK</x:v>
      </x:c>
      <x:c r="V406" t="str">
        <x:f>IF(AND(I406&gt;=1,I406&lt;=13,K406&gt;=1,K406&lt;=3),"OK","CHECK")</x:f>
        <x:v>OK</x:v>
      </x:c>
      <x:c r="W406" t="str">
        <x:f>IF(SUMIF($B$5:$B$914,B406,$S$5:$S$914)=SUMIF(DailyProduction!$Q$5:$Q$100,B406,DailyProduction!$R$5:$R$100),"OK","CHECK")</x:f>
        <x:v>OK</x:v>
      </x:c>
    </x:row>
    <x:row r="407">
      <x:c r="A407" t="str">
        <x:v>PC-PE-KG01-L23-20251021-AM-ORD-2025-00092-S13</x:v>
      </x:c>
      <x:c r="B407" t="str">
        <x:v>PE-KG01-L23-20251021-AM-ORD-2025-00092</x:v>
      </x:c>
      <x:c r="C407" t="str">
        <x:v>KG01</x:v>
      </x:c>
      <x:c r="D407" t="n">
        <x:v>45951</x:v>
      </x:c>
      <x:c r="E407" t="str">
        <x:v>AM</x:v>
      </x:c>
      <x:c r="F407" t="str">
        <x:v>A</x:v>
      </x:c>
      <x:c r="G407" t="n">
        <x:v>23</x:v>
      </x:c>
      <x:c r="H407" t="str">
        <x:v>ORD-2025-00092</x:v>
      </x:c>
      <x:c r="I407" t="n">
        <x:v>13</x:v>
      </x:c>
      <x:c r="J407" t="n">
        <x:v>12</x:v>
      </x:c>
      <x:c r="K407" t="n">
        <x:v>3</x:v>
      </x:c>
      <x:c r="L407" t="n">
        <x:f>IF(I407&lt;=J407,1,0)</x:f>
        <x:v>0</x:v>
      </x:c>
      <x:c r="P407" t="n">
        <x:f>IF(M407="",IF(AND(L407=1,K407&gt;=1),1,0),M407)</x:f>
        <x:v>0</x:v>
      </x:c>
      <x:c r="Q407" t="n">
        <x:f>IF(N407="",IF(AND(L407=1,K407&gt;=2),1,0),N407)</x:f>
        <x:v>0</x:v>
      </x:c>
      <x:c r="R407" t="n">
        <x:f>IF(O407="",IF(AND(L407=1,K407&gt;=3),1,0),O407)</x:f>
        <x:v>0</x:v>
      </x:c>
      <x:c r="S407" t="n">
        <x:f>SUM(P407:R407)</x:f>
        <x:v>0</x:v>
      </x:c>
      <x:c r="T407" t="str">
        <x:f>IF(COUNTA(M407:O407)=0,"DerivedFromCount","ManualOverride")</x:f>
        <x:v>DerivedFromCount</x:v>
      </x:c>
      <x:c r="U407" t="str">
        <x:f>IF(COUNTIF(DailyProduction!$Q$5:$Q$100,B407)=1,"OK","CHECK")</x:f>
        <x:v>OK</x:v>
      </x:c>
      <x:c r="V407" t="str">
        <x:f>IF(AND(I407&gt;=1,I407&lt;=13,K407&gt;=1,K407&lt;=3),"OK","CHECK")</x:f>
        <x:v>OK</x:v>
      </x:c>
      <x:c r="W407" t="str">
        <x:f>IF(SUMIF($B$5:$B$914,B407,$S$5:$S$914)=SUMIF(DailyProduction!$Q$5:$Q$100,B407,DailyProduction!$R$5:$R$100),"OK","CHECK")</x:f>
        <x:v>OK</x:v>
      </x:c>
    </x:row>
    <x:row r="408">
      <x:c r="A408" t="str">
        <x:v>PC-PE-KG01-L23-20251021-PM-ORD-2025-00092-S01</x:v>
      </x:c>
      <x:c r="B408" t="str">
        <x:v>PE-KG01-L23-20251021-PM-ORD-2025-00092</x:v>
      </x:c>
      <x:c r="C408" t="str">
        <x:v>KG01</x:v>
      </x:c>
      <x:c r="D408" t="n">
        <x:v>45951</x:v>
      </x:c>
      <x:c r="E408" t="str">
        <x:v>PM</x:v>
      </x:c>
      <x:c r="F408" t="str">
        <x:v>B</x:v>
      </x:c>
      <x:c r="G408" t="n">
        <x:v>23</x:v>
      </x:c>
      <x:c r="H408" t="str">
        <x:v>ORD-2025-00092</x:v>
      </x:c>
      <x:c r="I408" t="n">
        <x:v>1</x:v>
      </x:c>
      <x:c r="J408" t="n">
        <x:v>12</x:v>
      </x:c>
      <x:c r="K408" t="n">
        <x:v>3</x:v>
      </x:c>
      <x:c r="L408" t="n">
        <x:f>IF(I408&lt;=J408,1,0)</x:f>
        <x:v>1</x:v>
      </x:c>
      <x:c r="P408" t="n">
        <x:f>IF(M408="",IF(AND(L408=1,K408&gt;=1),1,0),M408)</x:f>
        <x:v>1</x:v>
      </x:c>
      <x:c r="Q408" t="n">
        <x:f>IF(N408="",IF(AND(L408=1,K408&gt;=2),1,0),N408)</x:f>
        <x:v>1</x:v>
      </x:c>
      <x:c r="R408" t="n">
        <x:f>IF(O408="",IF(AND(L408=1,K408&gt;=3),1,0),O408)</x:f>
        <x:v>1</x:v>
      </x:c>
      <x:c r="S408" t="n">
        <x:f>SUM(P408:R408)</x:f>
        <x:v>3</x:v>
      </x:c>
      <x:c r="T408" t="str">
        <x:f>IF(COUNTA(M408:O408)=0,"DerivedFromCount","ManualOverride")</x:f>
        <x:v>DerivedFromCount</x:v>
      </x:c>
      <x:c r="U408" t="str">
        <x:f>IF(COUNTIF(DailyProduction!$Q$5:$Q$100,B408)=1,"OK","CHECK")</x:f>
        <x:v>OK</x:v>
      </x:c>
      <x:c r="V408" t="str">
        <x:f>IF(AND(I408&gt;=1,I408&lt;=13,K408&gt;=1,K408&lt;=3),"OK","CHECK")</x:f>
        <x:v>OK</x:v>
      </x:c>
      <x:c r="W408" t="str">
        <x:f>IF(SUMIF($B$5:$B$914,B408,$S$5:$S$914)=SUMIF(DailyProduction!$Q$5:$Q$100,B408,DailyProduction!$R$5:$R$100),"OK","CHECK")</x:f>
        <x:v>OK</x:v>
      </x:c>
    </x:row>
    <x:row r="409">
      <x:c r="A409" t="str">
        <x:v>PC-PE-KG01-L23-20251021-PM-ORD-2025-00092-S02</x:v>
      </x:c>
      <x:c r="B409" t="str">
        <x:v>PE-KG01-L23-20251021-PM-ORD-2025-00092</x:v>
      </x:c>
      <x:c r="C409" t="str">
        <x:v>KG01</x:v>
      </x:c>
      <x:c r="D409" t="n">
        <x:v>45951</x:v>
      </x:c>
      <x:c r="E409" t="str">
        <x:v>PM</x:v>
      </x:c>
      <x:c r="F409" t="str">
        <x:v>B</x:v>
      </x:c>
      <x:c r="G409" t="n">
        <x:v>23</x:v>
      </x:c>
      <x:c r="H409" t="str">
        <x:v>ORD-2025-00092</x:v>
      </x:c>
      <x:c r="I409" t="n">
        <x:v>2</x:v>
      </x:c>
      <x:c r="J409" t="n">
        <x:v>12</x:v>
      </x:c>
      <x:c r="K409" t="n">
        <x:v>3</x:v>
      </x:c>
      <x:c r="L409" t="n">
        <x:f>IF(I409&lt;=J409,1,0)</x:f>
        <x:v>1</x:v>
      </x:c>
      <x:c r="P409" t="n">
        <x:f>IF(M409="",IF(AND(L409=1,K409&gt;=1),1,0),M409)</x:f>
        <x:v>1</x:v>
      </x:c>
      <x:c r="Q409" t="n">
        <x:f>IF(N409="",IF(AND(L409=1,K409&gt;=2),1,0),N409)</x:f>
        <x:v>1</x:v>
      </x:c>
      <x:c r="R409" t="n">
        <x:f>IF(O409="",IF(AND(L409=1,K409&gt;=3),1,0),O409)</x:f>
        <x:v>1</x:v>
      </x:c>
      <x:c r="S409" t="n">
        <x:f>SUM(P409:R409)</x:f>
        <x:v>3</x:v>
      </x:c>
      <x:c r="T409" t="str">
        <x:f>IF(COUNTA(M409:O409)=0,"DerivedFromCount","ManualOverride")</x:f>
        <x:v>DerivedFromCount</x:v>
      </x:c>
      <x:c r="U409" t="str">
        <x:f>IF(COUNTIF(DailyProduction!$Q$5:$Q$100,B409)=1,"OK","CHECK")</x:f>
        <x:v>OK</x:v>
      </x:c>
      <x:c r="V409" t="str">
        <x:f>IF(AND(I409&gt;=1,I409&lt;=13,K409&gt;=1,K409&lt;=3),"OK","CHECK")</x:f>
        <x:v>OK</x:v>
      </x:c>
      <x:c r="W409" t="str">
        <x:f>IF(SUMIF($B$5:$B$914,B409,$S$5:$S$914)=SUMIF(DailyProduction!$Q$5:$Q$100,B409,DailyProduction!$R$5:$R$100),"OK","CHECK")</x:f>
        <x:v>OK</x:v>
      </x:c>
    </x:row>
    <x:row r="410">
      <x:c r="A410" t="str">
        <x:v>PC-PE-KG01-L23-20251021-PM-ORD-2025-00092-S03</x:v>
      </x:c>
      <x:c r="B410" t="str">
        <x:v>PE-KG01-L23-20251021-PM-ORD-2025-00092</x:v>
      </x:c>
      <x:c r="C410" t="str">
        <x:v>KG01</x:v>
      </x:c>
      <x:c r="D410" t="n">
        <x:v>45951</x:v>
      </x:c>
      <x:c r="E410" t="str">
        <x:v>PM</x:v>
      </x:c>
      <x:c r="F410" t="str">
        <x:v>B</x:v>
      </x:c>
      <x:c r="G410" t="n">
        <x:v>23</x:v>
      </x:c>
      <x:c r="H410" t="str">
        <x:v>ORD-2025-00092</x:v>
      </x:c>
      <x:c r="I410" t="n">
        <x:v>3</x:v>
      </x:c>
      <x:c r="J410" t="n">
        <x:v>12</x:v>
      </x:c>
      <x:c r="K410" t="n">
        <x:v>3</x:v>
      </x:c>
      <x:c r="L410" t="n">
        <x:f>IF(I410&lt;=J410,1,0)</x:f>
        <x:v>1</x:v>
      </x:c>
      <x:c r="P410" t="n">
        <x:f>IF(M410="",IF(AND(L410=1,K410&gt;=1),1,0),M410)</x:f>
        <x:v>1</x:v>
      </x:c>
      <x:c r="Q410" t="n">
        <x:f>IF(N410="",IF(AND(L410=1,K410&gt;=2),1,0),N410)</x:f>
        <x:v>1</x:v>
      </x:c>
      <x:c r="R410" t="n">
        <x:f>IF(O410="",IF(AND(L410=1,K410&gt;=3),1,0),O410)</x:f>
        <x:v>1</x:v>
      </x:c>
      <x:c r="S410" t="n">
        <x:f>SUM(P410:R410)</x:f>
        <x:v>3</x:v>
      </x:c>
      <x:c r="T410" t="str">
        <x:f>IF(COUNTA(M410:O410)=0,"DerivedFromCount","ManualOverride")</x:f>
        <x:v>DerivedFromCount</x:v>
      </x:c>
      <x:c r="U410" t="str">
        <x:f>IF(COUNTIF(DailyProduction!$Q$5:$Q$100,B410)=1,"OK","CHECK")</x:f>
        <x:v>OK</x:v>
      </x:c>
      <x:c r="V410" t="str">
        <x:f>IF(AND(I410&gt;=1,I410&lt;=13,K410&gt;=1,K410&lt;=3),"OK","CHECK")</x:f>
        <x:v>OK</x:v>
      </x:c>
      <x:c r="W410" t="str">
        <x:f>IF(SUMIF($B$5:$B$914,B410,$S$5:$S$914)=SUMIF(DailyProduction!$Q$5:$Q$100,B410,DailyProduction!$R$5:$R$100),"OK","CHECK")</x:f>
        <x:v>OK</x:v>
      </x:c>
    </x:row>
    <x:row r="411">
      <x:c r="A411" t="str">
        <x:v>PC-PE-KG01-L23-20251021-PM-ORD-2025-00092-S04</x:v>
      </x:c>
      <x:c r="B411" t="str">
        <x:v>PE-KG01-L23-20251021-PM-ORD-2025-00092</x:v>
      </x:c>
      <x:c r="C411" t="str">
        <x:v>KG01</x:v>
      </x:c>
      <x:c r="D411" t="n">
        <x:v>45951</x:v>
      </x:c>
      <x:c r="E411" t="str">
        <x:v>PM</x:v>
      </x:c>
      <x:c r="F411" t="str">
        <x:v>B</x:v>
      </x:c>
      <x:c r="G411" t="n">
        <x:v>23</x:v>
      </x:c>
      <x:c r="H411" t="str">
        <x:v>ORD-2025-00092</x:v>
      </x:c>
      <x:c r="I411" t="n">
        <x:v>4</x:v>
      </x:c>
      <x:c r="J411" t="n">
        <x:v>12</x:v>
      </x:c>
      <x:c r="K411" t="n">
        <x:v>3</x:v>
      </x:c>
      <x:c r="L411" t="n">
        <x:f>IF(I411&lt;=J411,1,0)</x:f>
        <x:v>1</x:v>
      </x:c>
      <x:c r="P411" t="n">
        <x:f>IF(M411="",IF(AND(L411=1,K411&gt;=1),1,0),M411)</x:f>
        <x:v>1</x:v>
      </x:c>
      <x:c r="Q411" t="n">
        <x:f>IF(N411="",IF(AND(L411=1,K411&gt;=2),1,0),N411)</x:f>
        <x:v>1</x:v>
      </x:c>
      <x:c r="R411" t="n">
        <x:f>IF(O411="",IF(AND(L411=1,K411&gt;=3),1,0),O411)</x:f>
        <x:v>1</x:v>
      </x:c>
      <x:c r="S411" t="n">
        <x:f>SUM(P411:R411)</x:f>
        <x:v>3</x:v>
      </x:c>
      <x:c r="T411" t="str">
        <x:f>IF(COUNTA(M411:O411)=0,"DerivedFromCount","ManualOverride")</x:f>
        <x:v>DerivedFromCount</x:v>
      </x:c>
      <x:c r="U411" t="str">
        <x:f>IF(COUNTIF(DailyProduction!$Q$5:$Q$100,B411)=1,"OK","CHECK")</x:f>
        <x:v>OK</x:v>
      </x:c>
      <x:c r="V411" t="str">
        <x:f>IF(AND(I411&gt;=1,I411&lt;=13,K411&gt;=1,K411&lt;=3),"OK","CHECK")</x:f>
        <x:v>OK</x:v>
      </x:c>
      <x:c r="W411" t="str">
        <x:f>IF(SUMIF($B$5:$B$914,B411,$S$5:$S$914)=SUMIF(DailyProduction!$Q$5:$Q$100,B411,DailyProduction!$R$5:$R$100),"OK","CHECK")</x:f>
        <x:v>OK</x:v>
      </x:c>
    </x:row>
    <x:row r="412">
      <x:c r="A412" t="str">
        <x:v>PC-PE-KG01-L23-20251021-PM-ORD-2025-00092-S05</x:v>
      </x:c>
      <x:c r="B412" t="str">
        <x:v>PE-KG01-L23-20251021-PM-ORD-2025-00092</x:v>
      </x:c>
      <x:c r="C412" t="str">
        <x:v>KG01</x:v>
      </x:c>
      <x:c r="D412" t="n">
        <x:v>45951</x:v>
      </x:c>
      <x:c r="E412" t="str">
        <x:v>PM</x:v>
      </x:c>
      <x:c r="F412" t="str">
        <x:v>B</x:v>
      </x:c>
      <x:c r="G412" t="n">
        <x:v>23</x:v>
      </x:c>
      <x:c r="H412" t="str">
        <x:v>ORD-2025-00092</x:v>
      </x:c>
      <x:c r="I412" t="n">
        <x:v>5</x:v>
      </x:c>
      <x:c r="J412" t="n">
        <x:v>12</x:v>
      </x:c>
      <x:c r="K412" t="n">
        <x:v>3</x:v>
      </x:c>
      <x:c r="L412" t="n">
        <x:f>IF(I412&lt;=J412,1,0)</x:f>
        <x:v>1</x:v>
      </x:c>
      <x:c r="P412" t="n">
        <x:f>IF(M412="",IF(AND(L412=1,K412&gt;=1),1,0),M412)</x:f>
        <x:v>1</x:v>
      </x:c>
      <x:c r="Q412" t="n">
        <x:f>IF(N412="",IF(AND(L412=1,K412&gt;=2),1,0),N412)</x:f>
        <x:v>1</x:v>
      </x:c>
      <x:c r="R412" t="n">
        <x:f>IF(O412="",IF(AND(L412=1,K412&gt;=3),1,0),O412)</x:f>
        <x:v>1</x:v>
      </x:c>
      <x:c r="S412" t="n">
        <x:f>SUM(P412:R412)</x:f>
        <x:v>3</x:v>
      </x:c>
      <x:c r="T412" t="str">
        <x:f>IF(COUNTA(M412:O412)=0,"DerivedFromCount","ManualOverride")</x:f>
        <x:v>DerivedFromCount</x:v>
      </x:c>
      <x:c r="U412" t="str">
        <x:f>IF(COUNTIF(DailyProduction!$Q$5:$Q$100,B412)=1,"OK","CHECK")</x:f>
        <x:v>OK</x:v>
      </x:c>
      <x:c r="V412" t="str">
        <x:f>IF(AND(I412&gt;=1,I412&lt;=13,K412&gt;=1,K412&lt;=3),"OK","CHECK")</x:f>
        <x:v>OK</x:v>
      </x:c>
      <x:c r="W412" t="str">
        <x:f>IF(SUMIF($B$5:$B$914,B412,$S$5:$S$914)=SUMIF(DailyProduction!$Q$5:$Q$100,B412,DailyProduction!$R$5:$R$100),"OK","CHECK")</x:f>
        <x:v>OK</x:v>
      </x:c>
    </x:row>
    <x:row r="413">
      <x:c r="A413" t="str">
        <x:v>PC-PE-KG01-L23-20251021-PM-ORD-2025-00092-S06</x:v>
      </x:c>
      <x:c r="B413" t="str">
        <x:v>PE-KG01-L23-20251021-PM-ORD-2025-00092</x:v>
      </x:c>
      <x:c r="C413" t="str">
        <x:v>KG01</x:v>
      </x:c>
      <x:c r="D413" t="n">
        <x:v>45951</x:v>
      </x:c>
      <x:c r="E413" t="str">
        <x:v>PM</x:v>
      </x:c>
      <x:c r="F413" t="str">
        <x:v>B</x:v>
      </x:c>
      <x:c r="G413" t="n">
        <x:v>23</x:v>
      </x:c>
      <x:c r="H413" t="str">
        <x:v>ORD-2025-00092</x:v>
      </x:c>
      <x:c r="I413" t="n">
        <x:v>6</x:v>
      </x:c>
      <x:c r="J413" t="n">
        <x:v>12</x:v>
      </x:c>
      <x:c r="K413" t="n">
        <x:v>3</x:v>
      </x:c>
      <x:c r="L413" t="n">
        <x:f>IF(I413&lt;=J413,1,0)</x:f>
        <x:v>1</x:v>
      </x:c>
      <x:c r="P413" t="n">
        <x:f>IF(M413="",IF(AND(L413=1,K413&gt;=1),1,0),M413)</x:f>
        <x:v>1</x:v>
      </x:c>
      <x:c r="Q413" t="n">
        <x:f>IF(N413="",IF(AND(L413=1,K413&gt;=2),1,0),N413)</x:f>
        <x:v>1</x:v>
      </x:c>
      <x:c r="R413" t="n">
        <x:f>IF(O413="",IF(AND(L413=1,K413&gt;=3),1,0),O413)</x:f>
        <x:v>1</x:v>
      </x:c>
      <x:c r="S413" t="n">
        <x:f>SUM(P413:R413)</x:f>
        <x:v>3</x:v>
      </x:c>
      <x:c r="T413" t="str">
        <x:f>IF(COUNTA(M413:O413)=0,"DerivedFromCount","ManualOverride")</x:f>
        <x:v>DerivedFromCount</x:v>
      </x:c>
      <x:c r="U413" t="str">
        <x:f>IF(COUNTIF(DailyProduction!$Q$5:$Q$100,B413)=1,"OK","CHECK")</x:f>
        <x:v>OK</x:v>
      </x:c>
      <x:c r="V413" t="str">
        <x:f>IF(AND(I413&gt;=1,I413&lt;=13,K413&gt;=1,K413&lt;=3),"OK","CHECK")</x:f>
        <x:v>OK</x:v>
      </x:c>
      <x:c r="W413" t="str">
        <x:f>IF(SUMIF($B$5:$B$914,B413,$S$5:$S$914)=SUMIF(DailyProduction!$Q$5:$Q$100,B413,DailyProduction!$R$5:$R$100),"OK","CHECK")</x:f>
        <x:v>OK</x:v>
      </x:c>
    </x:row>
    <x:row r="414">
      <x:c r="A414" t="str">
        <x:v>PC-PE-KG01-L23-20251021-PM-ORD-2025-00092-S07</x:v>
      </x:c>
      <x:c r="B414" t="str">
        <x:v>PE-KG01-L23-20251021-PM-ORD-2025-00092</x:v>
      </x:c>
      <x:c r="C414" t="str">
        <x:v>KG01</x:v>
      </x:c>
      <x:c r="D414" t="n">
        <x:v>45951</x:v>
      </x:c>
      <x:c r="E414" t="str">
        <x:v>PM</x:v>
      </x:c>
      <x:c r="F414" t="str">
        <x:v>B</x:v>
      </x:c>
      <x:c r="G414" t="n">
        <x:v>23</x:v>
      </x:c>
      <x:c r="H414" t="str">
        <x:v>ORD-2025-00092</x:v>
      </x:c>
      <x:c r="I414" t="n">
        <x:v>7</x:v>
      </x:c>
      <x:c r="J414" t="n">
        <x:v>12</x:v>
      </x:c>
      <x:c r="K414" t="n">
        <x:v>3</x:v>
      </x:c>
      <x:c r="L414" t="n">
        <x:f>IF(I414&lt;=J414,1,0)</x:f>
        <x:v>1</x:v>
      </x:c>
      <x:c r="P414" t="n">
        <x:f>IF(M414="",IF(AND(L414=1,K414&gt;=1),1,0),M414)</x:f>
        <x:v>1</x:v>
      </x:c>
      <x:c r="Q414" t="n">
        <x:f>IF(N414="",IF(AND(L414=1,K414&gt;=2),1,0),N414)</x:f>
        <x:v>1</x:v>
      </x:c>
      <x:c r="R414" t="n">
        <x:f>IF(O414="",IF(AND(L414=1,K414&gt;=3),1,0),O414)</x:f>
        <x:v>1</x:v>
      </x:c>
      <x:c r="S414" t="n">
        <x:f>SUM(P414:R414)</x:f>
        <x:v>3</x:v>
      </x:c>
      <x:c r="T414" t="str">
        <x:f>IF(COUNTA(M414:O414)=0,"DerivedFromCount","ManualOverride")</x:f>
        <x:v>DerivedFromCount</x:v>
      </x:c>
      <x:c r="U414" t="str">
        <x:f>IF(COUNTIF(DailyProduction!$Q$5:$Q$100,B414)=1,"OK","CHECK")</x:f>
        <x:v>OK</x:v>
      </x:c>
      <x:c r="V414" t="str">
        <x:f>IF(AND(I414&gt;=1,I414&lt;=13,K414&gt;=1,K414&lt;=3),"OK","CHECK")</x:f>
        <x:v>OK</x:v>
      </x:c>
      <x:c r="W414" t="str">
        <x:f>IF(SUMIF($B$5:$B$914,B414,$S$5:$S$914)=SUMIF(DailyProduction!$Q$5:$Q$100,B414,DailyProduction!$R$5:$R$100),"OK","CHECK")</x:f>
        <x:v>OK</x:v>
      </x:c>
    </x:row>
    <x:row r="415">
      <x:c r="A415" t="str">
        <x:v>PC-PE-KG01-L23-20251021-PM-ORD-2025-00092-S08</x:v>
      </x:c>
      <x:c r="B415" t="str">
        <x:v>PE-KG01-L23-20251021-PM-ORD-2025-00092</x:v>
      </x:c>
      <x:c r="C415" t="str">
        <x:v>KG01</x:v>
      </x:c>
      <x:c r="D415" t="n">
        <x:v>45951</x:v>
      </x:c>
      <x:c r="E415" t="str">
        <x:v>PM</x:v>
      </x:c>
      <x:c r="F415" t="str">
        <x:v>B</x:v>
      </x:c>
      <x:c r="G415" t="n">
        <x:v>23</x:v>
      </x:c>
      <x:c r="H415" t="str">
        <x:v>ORD-2025-00092</x:v>
      </x:c>
      <x:c r="I415" t="n">
        <x:v>8</x:v>
      </x:c>
      <x:c r="J415" t="n">
        <x:v>12</x:v>
      </x:c>
      <x:c r="K415" t="n">
        <x:v>3</x:v>
      </x:c>
      <x:c r="L415" t="n">
        <x:f>IF(I415&lt;=J415,1,0)</x:f>
        <x:v>1</x:v>
      </x:c>
      <x:c r="P415" t="n">
        <x:f>IF(M415="",IF(AND(L415=1,K415&gt;=1),1,0),M415)</x:f>
        <x:v>1</x:v>
      </x:c>
      <x:c r="Q415" t="n">
        <x:f>IF(N415="",IF(AND(L415=1,K415&gt;=2),1,0),N415)</x:f>
        <x:v>1</x:v>
      </x:c>
      <x:c r="R415" t="n">
        <x:f>IF(O415="",IF(AND(L415=1,K415&gt;=3),1,0),O415)</x:f>
        <x:v>1</x:v>
      </x:c>
      <x:c r="S415" t="n">
        <x:f>SUM(P415:R415)</x:f>
        <x:v>3</x:v>
      </x:c>
      <x:c r="T415" t="str">
        <x:f>IF(COUNTA(M415:O415)=0,"DerivedFromCount","ManualOverride")</x:f>
        <x:v>DerivedFromCount</x:v>
      </x:c>
      <x:c r="U415" t="str">
        <x:f>IF(COUNTIF(DailyProduction!$Q$5:$Q$100,B415)=1,"OK","CHECK")</x:f>
        <x:v>OK</x:v>
      </x:c>
      <x:c r="V415" t="str">
        <x:f>IF(AND(I415&gt;=1,I415&lt;=13,K415&gt;=1,K415&lt;=3),"OK","CHECK")</x:f>
        <x:v>OK</x:v>
      </x:c>
      <x:c r="W415" t="str">
        <x:f>IF(SUMIF($B$5:$B$914,B415,$S$5:$S$914)=SUMIF(DailyProduction!$Q$5:$Q$100,B415,DailyProduction!$R$5:$R$100),"OK","CHECK")</x:f>
        <x:v>OK</x:v>
      </x:c>
    </x:row>
    <x:row r="416">
      <x:c r="A416" t="str">
        <x:v>PC-PE-KG01-L23-20251021-PM-ORD-2025-00092-S09</x:v>
      </x:c>
      <x:c r="B416" t="str">
        <x:v>PE-KG01-L23-20251021-PM-ORD-2025-00092</x:v>
      </x:c>
      <x:c r="C416" t="str">
        <x:v>KG01</x:v>
      </x:c>
      <x:c r="D416" t="n">
        <x:v>45951</x:v>
      </x:c>
      <x:c r="E416" t="str">
        <x:v>PM</x:v>
      </x:c>
      <x:c r="F416" t="str">
        <x:v>B</x:v>
      </x:c>
      <x:c r="G416" t="n">
        <x:v>23</x:v>
      </x:c>
      <x:c r="H416" t="str">
        <x:v>ORD-2025-00092</x:v>
      </x:c>
      <x:c r="I416" t="n">
        <x:v>9</x:v>
      </x:c>
      <x:c r="J416" t="n">
        <x:v>12</x:v>
      </x:c>
      <x:c r="K416" t="n">
        <x:v>3</x:v>
      </x:c>
      <x:c r="L416" t="n">
        <x:f>IF(I416&lt;=J416,1,0)</x:f>
        <x:v>1</x:v>
      </x:c>
      <x:c r="P416" t="n">
        <x:f>IF(M416="",IF(AND(L416=1,K416&gt;=1),1,0),M416)</x:f>
        <x:v>1</x:v>
      </x:c>
      <x:c r="Q416" t="n">
        <x:f>IF(N416="",IF(AND(L416=1,K416&gt;=2),1,0),N416)</x:f>
        <x:v>1</x:v>
      </x:c>
      <x:c r="R416" t="n">
        <x:f>IF(O416="",IF(AND(L416=1,K416&gt;=3),1,0),O416)</x:f>
        <x:v>1</x:v>
      </x:c>
      <x:c r="S416" t="n">
        <x:f>SUM(P416:R416)</x:f>
        <x:v>3</x:v>
      </x:c>
      <x:c r="T416" t="str">
        <x:f>IF(COUNTA(M416:O416)=0,"DerivedFromCount","ManualOverride")</x:f>
        <x:v>DerivedFromCount</x:v>
      </x:c>
      <x:c r="U416" t="str">
        <x:f>IF(COUNTIF(DailyProduction!$Q$5:$Q$100,B416)=1,"OK","CHECK")</x:f>
        <x:v>OK</x:v>
      </x:c>
      <x:c r="V416" t="str">
        <x:f>IF(AND(I416&gt;=1,I416&lt;=13,K416&gt;=1,K416&lt;=3),"OK","CHECK")</x:f>
        <x:v>OK</x:v>
      </x:c>
      <x:c r="W416" t="str">
        <x:f>IF(SUMIF($B$5:$B$914,B416,$S$5:$S$914)=SUMIF(DailyProduction!$Q$5:$Q$100,B416,DailyProduction!$R$5:$R$100),"OK","CHECK")</x:f>
        <x:v>OK</x:v>
      </x:c>
    </x:row>
    <x:row r="417">
      <x:c r="A417" t="str">
        <x:v>PC-PE-KG01-L23-20251021-PM-ORD-2025-00092-S10</x:v>
      </x:c>
      <x:c r="B417" t="str">
        <x:v>PE-KG01-L23-20251021-PM-ORD-2025-00092</x:v>
      </x:c>
      <x:c r="C417" t="str">
        <x:v>KG01</x:v>
      </x:c>
      <x:c r="D417" t="n">
        <x:v>45951</x:v>
      </x:c>
      <x:c r="E417" t="str">
        <x:v>PM</x:v>
      </x:c>
      <x:c r="F417" t="str">
        <x:v>B</x:v>
      </x:c>
      <x:c r="G417" t="n">
        <x:v>23</x:v>
      </x:c>
      <x:c r="H417" t="str">
        <x:v>ORD-2025-00092</x:v>
      </x:c>
      <x:c r="I417" t="n">
        <x:v>10</x:v>
      </x:c>
      <x:c r="J417" t="n">
        <x:v>12</x:v>
      </x:c>
      <x:c r="K417" t="n">
        <x:v>3</x:v>
      </x:c>
      <x:c r="L417" t="n">
        <x:f>IF(I417&lt;=J417,1,0)</x:f>
        <x:v>1</x:v>
      </x:c>
      <x:c r="P417" t="n">
        <x:f>IF(M417="",IF(AND(L417=1,K417&gt;=1),1,0),M417)</x:f>
        <x:v>1</x:v>
      </x:c>
      <x:c r="Q417" t="n">
        <x:f>IF(N417="",IF(AND(L417=1,K417&gt;=2),1,0),N417)</x:f>
        <x:v>1</x:v>
      </x:c>
      <x:c r="R417" t="n">
        <x:f>IF(O417="",IF(AND(L417=1,K417&gt;=3),1,0),O417)</x:f>
        <x:v>1</x:v>
      </x:c>
      <x:c r="S417" t="n">
        <x:f>SUM(P417:R417)</x:f>
        <x:v>3</x:v>
      </x:c>
      <x:c r="T417" t="str">
        <x:f>IF(COUNTA(M417:O417)=0,"DerivedFromCount","ManualOverride")</x:f>
        <x:v>DerivedFromCount</x:v>
      </x:c>
      <x:c r="U417" t="str">
        <x:f>IF(COUNTIF(DailyProduction!$Q$5:$Q$100,B417)=1,"OK","CHECK")</x:f>
        <x:v>OK</x:v>
      </x:c>
      <x:c r="V417" t="str">
        <x:f>IF(AND(I417&gt;=1,I417&lt;=13,K417&gt;=1,K417&lt;=3),"OK","CHECK")</x:f>
        <x:v>OK</x:v>
      </x:c>
      <x:c r="W417" t="str">
        <x:f>IF(SUMIF($B$5:$B$914,B417,$S$5:$S$914)=SUMIF(DailyProduction!$Q$5:$Q$100,B417,DailyProduction!$R$5:$R$100),"OK","CHECK")</x:f>
        <x:v>OK</x:v>
      </x:c>
    </x:row>
    <x:row r="418">
      <x:c r="A418" t="str">
        <x:v>PC-PE-KG01-L23-20251021-PM-ORD-2025-00092-S11</x:v>
      </x:c>
      <x:c r="B418" t="str">
        <x:v>PE-KG01-L23-20251021-PM-ORD-2025-00092</x:v>
      </x:c>
      <x:c r="C418" t="str">
        <x:v>KG01</x:v>
      </x:c>
      <x:c r="D418" t="n">
        <x:v>45951</x:v>
      </x:c>
      <x:c r="E418" t="str">
        <x:v>PM</x:v>
      </x:c>
      <x:c r="F418" t="str">
        <x:v>B</x:v>
      </x:c>
      <x:c r="G418" t="n">
        <x:v>23</x:v>
      </x:c>
      <x:c r="H418" t="str">
        <x:v>ORD-2025-00092</x:v>
      </x:c>
      <x:c r="I418" t="n">
        <x:v>11</x:v>
      </x:c>
      <x:c r="J418" t="n">
        <x:v>12</x:v>
      </x:c>
      <x:c r="K418" t="n">
        <x:v>3</x:v>
      </x:c>
      <x:c r="L418" t="n">
        <x:f>IF(I418&lt;=J418,1,0)</x:f>
        <x:v>1</x:v>
      </x:c>
      <x:c r="P418" t="n">
        <x:f>IF(M418="",IF(AND(L418=1,K418&gt;=1),1,0),M418)</x:f>
        <x:v>1</x:v>
      </x:c>
      <x:c r="Q418" t="n">
        <x:f>IF(N418="",IF(AND(L418=1,K418&gt;=2),1,0),N418)</x:f>
        <x:v>1</x:v>
      </x:c>
      <x:c r="R418" t="n">
        <x:f>IF(O418="",IF(AND(L418=1,K418&gt;=3),1,0),O418)</x:f>
        <x:v>1</x:v>
      </x:c>
      <x:c r="S418" t="n">
        <x:f>SUM(P418:R418)</x:f>
        <x:v>3</x:v>
      </x:c>
      <x:c r="T418" t="str">
        <x:f>IF(COUNTA(M418:O418)=0,"DerivedFromCount","ManualOverride")</x:f>
        <x:v>DerivedFromCount</x:v>
      </x:c>
      <x:c r="U418" t="str">
        <x:f>IF(COUNTIF(DailyProduction!$Q$5:$Q$100,B418)=1,"OK","CHECK")</x:f>
        <x:v>OK</x:v>
      </x:c>
      <x:c r="V418" t="str">
        <x:f>IF(AND(I418&gt;=1,I418&lt;=13,K418&gt;=1,K418&lt;=3),"OK","CHECK")</x:f>
        <x:v>OK</x:v>
      </x:c>
      <x:c r="W418" t="str">
        <x:f>IF(SUMIF($B$5:$B$914,B418,$S$5:$S$914)=SUMIF(DailyProduction!$Q$5:$Q$100,B418,DailyProduction!$R$5:$R$100),"OK","CHECK")</x:f>
        <x:v>OK</x:v>
      </x:c>
    </x:row>
    <x:row r="419">
      <x:c r="A419" t="str">
        <x:v>PC-PE-KG01-L23-20251021-PM-ORD-2025-00092-S12</x:v>
      </x:c>
      <x:c r="B419" t="str">
        <x:v>PE-KG01-L23-20251021-PM-ORD-2025-00092</x:v>
      </x:c>
      <x:c r="C419" t="str">
        <x:v>KG01</x:v>
      </x:c>
      <x:c r="D419" t="n">
        <x:v>45951</x:v>
      </x:c>
      <x:c r="E419" t="str">
        <x:v>PM</x:v>
      </x:c>
      <x:c r="F419" t="str">
        <x:v>B</x:v>
      </x:c>
      <x:c r="G419" t="n">
        <x:v>23</x:v>
      </x:c>
      <x:c r="H419" t="str">
        <x:v>ORD-2025-00092</x:v>
      </x:c>
      <x:c r="I419" t="n">
        <x:v>12</x:v>
      </x:c>
      <x:c r="J419" t="n">
        <x:v>12</x:v>
      </x:c>
      <x:c r="K419" t="n">
        <x:v>3</x:v>
      </x:c>
      <x:c r="L419" t="n">
        <x:f>IF(I419&lt;=J419,1,0)</x:f>
        <x:v>1</x:v>
      </x:c>
      <x:c r="P419" t="n">
        <x:f>IF(M419="",IF(AND(L419=1,K419&gt;=1),1,0),M419)</x:f>
        <x:v>1</x:v>
      </x:c>
      <x:c r="Q419" t="n">
        <x:f>IF(N419="",IF(AND(L419=1,K419&gt;=2),1,0),N419)</x:f>
        <x:v>1</x:v>
      </x:c>
      <x:c r="R419" t="n">
        <x:f>IF(O419="",IF(AND(L419=1,K419&gt;=3),1,0),O419)</x:f>
        <x:v>1</x:v>
      </x:c>
      <x:c r="S419" t="n">
        <x:f>SUM(P419:R419)</x:f>
        <x:v>3</x:v>
      </x:c>
      <x:c r="T419" t="str">
        <x:f>IF(COUNTA(M419:O419)=0,"DerivedFromCount","ManualOverride")</x:f>
        <x:v>DerivedFromCount</x:v>
      </x:c>
      <x:c r="U419" t="str">
        <x:f>IF(COUNTIF(DailyProduction!$Q$5:$Q$100,B419)=1,"OK","CHECK")</x:f>
        <x:v>OK</x:v>
      </x:c>
      <x:c r="V419" t="str">
        <x:f>IF(AND(I419&gt;=1,I419&lt;=13,K419&gt;=1,K419&lt;=3),"OK","CHECK")</x:f>
        <x:v>OK</x:v>
      </x:c>
      <x:c r="W419" t="str">
        <x:f>IF(SUMIF($B$5:$B$914,B419,$S$5:$S$914)=SUMIF(DailyProduction!$Q$5:$Q$100,B419,DailyProduction!$R$5:$R$100),"OK","CHECK")</x:f>
        <x:v>OK</x:v>
      </x:c>
    </x:row>
    <x:row r="420">
      <x:c r="A420" t="str">
        <x:v>PC-PE-KG01-L23-20251021-PM-ORD-2025-00092-S13</x:v>
      </x:c>
      <x:c r="B420" t="str">
        <x:v>PE-KG01-L23-20251021-PM-ORD-2025-00092</x:v>
      </x:c>
      <x:c r="C420" t="str">
        <x:v>KG01</x:v>
      </x:c>
      <x:c r="D420" t="n">
        <x:v>45951</x:v>
      </x:c>
      <x:c r="E420" t="str">
        <x:v>PM</x:v>
      </x:c>
      <x:c r="F420" t="str">
        <x:v>B</x:v>
      </x:c>
      <x:c r="G420" t="n">
        <x:v>23</x:v>
      </x:c>
      <x:c r="H420" t="str">
        <x:v>ORD-2025-00092</x:v>
      </x:c>
      <x:c r="I420" t="n">
        <x:v>13</x:v>
      </x:c>
      <x:c r="J420" t="n">
        <x:v>12</x:v>
      </x:c>
      <x:c r="K420" t="n">
        <x:v>3</x:v>
      </x:c>
      <x:c r="L420" t="n">
        <x:f>IF(I420&lt;=J420,1,0)</x:f>
        <x:v>0</x:v>
      </x:c>
      <x:c r="P420" t="n">
        <x:f>IF(M420="",IF(AND(L420=1,K420&gt;=1),1,0),M420)</x:f>
        <x:v>0</x:v>
      </x:c>
      <x:c r="Q420" t="n">
        <x:f>IF(N420="",IF(AND(L420=1,K420&gt;=2),1,0),N420)</x:f>
        <x:v>0</x:v>
      </x:c>
      <x:c r="R420" t="n">
        <x:f>IF(O420="",IF(AND(L420=1,K420&gt;=3),1,0),O420)</x:f>
        <x:v>0</x:v>
      </x:c>
      <x:c r="S420" t="n">
        <x:f>SUM(P420:R420)</x:f>
        <x:v>0</x:v>
      </x:c>
      <x:c r="T420" t="str">
        <x:f>IF(COUNTA(M420:O420)=0,"DerivedFromCount","ManualOverride")</x:f>
        <x:v>DerivedFromCount</x:v>
      </x:c>
      <x:c r="U420" t="str">
        <x:f>IF(COUNTIF(DailyProduction!$Q$5:$Q$100,B420)=1,"OK","CHECK")</x:f>
        <x:v>OK</x:v>
      </x:c>
      <x:c r="V420" t="str">
        <x:f>IF(AND(I420&gt;=1,I420&lt;=13,K420&gt;=1,K420&lt;=3),"OK","CHECK")</x:f>
        <x:v>OK</x:v>
      </x:c>
      <x:c r="W420" t="str">
        <x:f>IF(SUMIF($B$5:$B$914,B420,$S$5:$S$914)=SUMIF(DailyProduction!$Q$5:$Q$100,B420,DailyProduction!$R$5:$R$100),"OK","CHECK")</x:f>
        <x:v>OK</x:v>
      </x:c>
    </x:row>
    <x:row r="421">
      <x:c r="A421" t="str">
        <x:v>PC-PE-KG01-L23-20251022-AM-ORD-2025-00093-S01</x:v>
      </x:c>
      <x:c r="B421" t="str">
        <x:v>PE-KG01-L23-20251022-AM-ORD-2025-00093</x:v>
      </x:c>
      <x:c r="C421" t="str">
        <x:v>KG01</x:v>
      </x:c>
      <x:c r="D421" t="n">
        <x:v>45952</x:v>
      </x:c>
      <x:c r="E421" t="str">
        <x:v>AM</x:v>
      </x:c>
      <x:c r="F421" t="str">
        <x:v>B</x:v>
      </x:c>
      <x:c r="G421" t="n">
        <x:v>23</x:v>
      </x:c>
      <x:c r="H421" t="str">
        <x:v>ORD-2025-00093</x:v>
      </x:c>
      <x:c r="I421" t="n">
        <x:v>1</x:v>
      </x:c>
      <x:c r="J421" t="n">
        <x:v>12</x:v>
      </x:c>
      <x:c r="K421" t="n">
        <x:v>2</x:v>
      </x:c>
      <x:c r="L421" t="n">
        <x:f>IF(I421&lt;=J421,1,0)</x:f>
        <x:v>1</x:v>
      </x:c>
      <x:c r="P421" t="n">
        <x:f>IF(M421="",IF(AND(L421=1,K421&gt;=1),1,0),M421)</x:f>
        <x:v>1</x:v>
      </x:c>
      <x:c r="Q421" t="n">
        <x:f>IF(N421="",IF(AND(L421=1,K421&gt;=2),1,0),N421)</x:f>
        <x:v>1</x:v>
      </x:c>
      <x:c r="R421" t="n">
        <x:f>IF(O421="",IF(AND(L421=1,K421&gt;=3),1,0),O421)</x:f>
        <x:v>0</x:v>
      </x:c>
      <x:c r="S421" t="n">
        <x:f>SUM(P421:R421)</x:f>
        <x:v>2</x:v>
      </x:c>
      <x:c r="T421" t="str">
        <x:f>IF(COUNTA(M421:O421)=0,"DerivedFromCount","ManualOverride")</x:f>
        <x:v>DerivedFromCount</x:v>
      </x:c>
      <x:c r="U421" t="str">
        <x:f>IF(COUNTIF(DailyProduction!$Q$5:$Q$100,B421)=1,"OK","CHECK")</x:f>
        <x:v>OK</x:v>
      </x:c>
      <x:c r="V421" t="str">
        <x:f>IF(AND(I421&gt;=1,I421&lt;=13,K421&gt;=1,K421&lt;=3),"OK","CHECK")</x:f>
        <x:v>OK</x:v>
      </x:c>
      <x:c r="W421" t="str">
        <x:f>IF(SUMIF($B$5:$B$914,B421,$S$5:$S$914)=SUMIF(DailyProduction!$Q$5:$Q$100,B421,DailyProduction!$R$5:$R$100),"OK","CHECK")</x:f>
        <x:v>OK</x:v>
      </x:c>
    </x:row>
    <x:row r="422">
      <x:c r="A422" t="str">
        <x:v>PC-PE-KG01-L23-20251022-AM-ORD-2025-00093-S02</x:v>
      </x:c>
      <x:c r="B422" t="str">
        <x:v>PE-KG01-L23-20251022-AM-ORD-2025-00093</x:v>
      </x:c>
      <x:c r="C422" t="str">
        <x:v>KG01</x:v>
      </x:c>
      <x:c r="D422" t="n">
        <x:v>45952</x:v>
      </x:c>
      <x:c r="E422" t="str">
        <x:v>AM</x:v>
      </x:c>
      <x:c r="F422" t="str">
        <x:v>B</x:v>
      </x:c>
      <x:c r="G422" t="n">
        <x:v>23</x:v>
      </x:c>
      <x:c r="H422" t="str">
        <x:v>ORD-2025-00093</x:v>
      </x:c>
      <x:c r="I422" t="n">
        <x:v>2</x:v>
      </x:c>
      <x:c r="J422" t="n">
        <x:v>12</x:v>
      </x:c>
      <x:c r="K422" t="n">
        <x:v>2</x:v>
      </x:c>
      <x:c r="L422" t="n">
        <x:f>IF(I422&lt;=J422,1,0)</x:f>
        <x:v>1</x:v>
      </x:c>
      <x:c r="P422" t="n">
        <x:f>IF(M422="",IF(AND(L422=1,K422&gt;=1),1,0),M422)</x:f>
        <x:v>1</x:v>
      </x:c>
      <x:c r="Q422" t="n">
        <x:f>IF(N422="",IF(AND(L422=1,K422&gt;=2),1,0),N422)</x:f>
        <x:v>1</x:v>
      </x:c>
      <x:c r="R422" t="n">
        <x:f>IF(O422="",IF(AND(L422=1,K422&gt;=3),1,0),O422)</x:f>
        <x:v>0</x:v>
      </x:c>
      <x:c r="S422" t="n">
        <x:f>SUM(P422:R422)</x:f>
        <x:v>2</x:v>
      </x:c>
      <x:c r="T422" t="str">
        <x:f>IF(COUNTA(M422:O422)=0,"DerivedFromCount","ManualOverride")</x:f>
        <x:v>DerivedFromCount</x:v>
      </x:c>
      <x:c r="U422" t="str">
        <x:f>IF(COUNTIF(DailyProduction!$Q$5:$Q$100,B422)=1,"OK","CHECK")</x:f>
        <x:v>OK</x:v>
      </x:c>
      <x:c r="V422" t="str">
        <x:f>IF(AND(I422&gt;=1,I422&lt;=13,K422&gt;=1,K422&lt;=3),"OK","CHECK")</x:f>
        <x:v>OK</x:v>
      </x:c>
      <x:c r="W422" t="str">
        <x:f>IF(SUMIF($B$5:$B$914,B422,$S$5:$S$914)=SUMIF(DailyProduction!$Q$5:$Q$100,B422,DailyProduction!$R$5:$R$100),"OK","CHECK")</x:f>
        <x:v>OK</x:v>
      </x:c>
    </x:row>
    <x:row r="423">
      <x:c r="A423" t="str">
        <x:v>PC-PE-KG01-L23-20251022-AM-ORD-2025-00093-S03</x:v>
      </x:c>
      <x:c r="B423" t="str">
        <x:v>PE-KG01-L23-20251022-AM-ORD-2025-00093</x:v>
      </x:c>
      <x:c r="C423" t="str">
        <x:v>KG01</x:v>
      </x:c>
      <x:c r="D423" t="n">
        <x:v>45952</x:v>
      </x:c>
      <x:c r="E423" t="str">
        <x:v>AM</x:v>
      </x:c>
      <x:c r="F423" t="str">
        <x:v>B</x:v>
      </x:c>
      <x:c r="G423" t="n">
        <x:v>23</x:v>
      </x:c>
      <x:c r="H423" t="str">
        <x:v>ORD-2025-00093</x:v>
      </x:c>
      <x:c r="I423" t="n">
        <x:v>3</x:v>
      </x:c>
      <x:c r="J423" t="n">
        <x:v>12</x:v>
      </x:c>
      <x:c r="K423" t="n">
        <x:v>2</x:v>
      </x:c>
      <x:c r="L423" t="n">
        <x:f>IF(I423&lt;=J423,1,0)</x:f>
        <x:v>1</x:v>
      </x:c>
      <x:c r="P423" t="n">
        <x:f>IF(M423="",IF(AND(L423=1,K423&gt;=1),1,0),M423)</x:f>
        <x:v>1</x:v>
      </x:c>
      <x:c r="Q423" t="n">
        <x:f>IF(N423="",IF(AND(L423=1,K423&gt;=2),1,0),N423)</x:f>
        <x:v>1</x:v>
      </x:c>
      <x:c r="R423" t="n">
        <x:f>IF(O423="",IF(AND(L423=1,K423&gt;=3),1,0),O423)</x:f>
        <x:v>0</x:v>
      </x:c>
      <x:c r="S423" t="n">
        <x:f>SUM(P423:R423)</x:f>
        <x:v>2</x:v>
      </x:c>
      <x:c r="T423" t="str">
        <x:f>IF(COUNTA(M423:O423)=0,"DerivedFromCount","ManualOverride")</x:f>
        <x:v>DerivedFromCount</x:v>
      </x:c>
      <x:c r="U423" t="str">
        <x:f>IF(COUNTIF(DailyProduction!$Q$5:$Q$100,B423)=1,"OK","CHECK")</x:f>
        <x:v>OK</x:v>
      </x:c>
      <x:c r="V423" t="str">
        <x:f>IF(AND(I423&gt;=1,I423&lt;=13,K423&gt;=1,K423&lt;=3),"OK","CHECK")</x:f>
        <x:v>OK</x:v>
      </x:c>
      <x:c r="W423" t="str">
        <x:f>IF(SUMIF($B$5:$B$914,B423,$S$5:$S$914)=SUMIF(DailyProduction!$Q$5:$Q$100,B423,DailyProduction!$R$5:$R$100),"OK","CHECK")</x:f>
        <x:v>OK</x:v>
      </x:c>
    </x:row>
    <x:row r="424">
      <x:c r="A424" t="str">
        <x:v>PC-PE-KG01-L23-20251022-AM-ORD-2025-00093-S04</x:v>
      </x:c>
      <x:c r="B424" t="str">
        <x:v>PE-KG01-L23-20251022-AM-ORD-2025-00093</x:v>
      </x:c>
      <x:c r="C424" t="str">
        <x:v>KG01</x:v>
      </x:c>
      <x:c r="D424" t="n">
        <x:v>45952</x:v>
      </x:c>
      <x:c r="E424" t="str">
        <x:v>AM</x:v>
      </x:c>
      <x:c r="F424" t="str">
        <x:v>B</x:v>
      </x:c>
      <x:c r="G424" t="n">
        <x:v>23</x:v>
      </x:c>
      <x:c r="H424" t="str">
        <x:v>ORD-2025-00093</x:v>
      </x:c>
      <x:c r="I424" t="n">
        <x:v>4</x:v>
      </x:c>
      <x:c r="J424" t="n">
        <x:v>12</x:v>
      </x:c>
      <x:c r="K424" t="n">
        <x:v>2</x:v>
      </x:c>
      <x:c r="L424" t="n">
        <x:f>IF(I424&lt;=J424,1,0)</x:f>
        <x:v>1</x:v>
      </x:c>
      <x:c r="P424" t="n">
        <x:f>IF(M424="",IF(AND(L424=1,K424&gt;=1),1,0),M424)</x:f>
        <x:v>1</x:v>
      </x:c>
      <x:c r="Q424" t="n">
        <x:f>IF(N424="",IF(AND(L424=1,K424&gt;=2),1,0),N424)</x:f>
        <x:v>1</x:v>
      </x:c>
      <x:c r="R424" t="n">
        <x:f>IF(O424="",IF(AND(L424=1,K424&gt;=3),1,0),O424)</x:f>
        <x:v>0</x:v>
      </x:c>
      <x:c r="S424" t="n">
        <x:f>SUM(P424:R424)</x:f>
        <x:v>2</x:v>
      </x:c>
      <x:c r="T424" t="str">
        <x:f>IF(COUNTA(M424:O424)=0,"DerivedFromCount","ManualOverride")</x:f>
        <x:v>DerivedFromCount</x:v>
      </x:c>
      <x:c r="U424" t="str">
        <x:f>IF(COUNTIF(DailyProduction!$Q$5:$Q$100,B424)=1,"OK","CHECK")</x:f>
        <x:v>OK</x:v>
      </x:c>
      <x:c r="V424" t="str">
        <x:f>IF(AND(I424&gt;=1,I424&lt;=13,K424&gt;=1,K424&lt;=3),"OK","CHECK")</x:f>
        <x:v>OK</x:v>
      </x:c>
      <x:c r="W424" t="str">
        <x:f>IF(SUMIF($B$5:$B$914,B424,$S$5:$S$914)=SUMIF(DailyProduction!$Q$5:$Q$100,B424,DailyProduction!$R$5:$R$100),"OK","CHECK")</x:f>
        <x:v>OK</x:v>
      </x:c>
    </x:row>
    <x:row r="425">
      <x:c r="A425" t="str">
        <x:v>PC-PE-KG01-L23-20251022-AM-ORD-2025-00093-S05</x:v>
      </x:c>
      <x:c r="B425" t="str">
        <x:v>PE-KG01-L23-20251022-AM-ORD-2025-00093</x:v>
      </x:c>
      <x:c r="C425" t="str">
        <x:v>KG01</x:v>
      </x:c>
      <x:c r="D425" t="n">
        <x:v>45952</x:v>
      </x:c>
      <x:c r="E425" t="str">
        <x:v>AM</x:v>
      </x:c>
      <x:c r="F425" t="str">
        <x:v>B</x:v>
      </x:c>
      <x:c r="G425" t="n">
        <x:v>23</x:v>
      </x:c>
      <x:c r="H425" t="str">
        <x:v>ORD-2025-00093</x:v>
      </x:c>
      <x:c r="I425" t="n">
        <x:v>5</x:v>
      </x:c>
      <x:c r="J425" t="n">
        <x:v>12</x:v>
      </x:c>
      <x:c r="K425" t="n">
        <x:v>2</x:v>
      </x:c>
      <x:c r="L425" t="n">
        <x:f>IF(I425&lt;=J425,1,0)</x:f>
        <x:v>1</x:v>
      </x:c>
      <x:c r="P425" t="n">
        <x:f>IF(M425="",IF(AND(L425=1,K425&gt;=1),1,0),M425)</x:f>
        <x:v>1</x:v>
      </x:c>
      <x:c r="Q425" t="n">
        <x:f>IF(N425="",IF(AND(L425=1,K425&gt;=2),1,0),N425)</x:f>
        <x:v>1</x:v>
      </x:c>
      <x:c r="R425" t="n">
        <x:f>IF(O425="",IF(AND(L425=1,K425&gt;=3),1,0),O425)</x:f>
        <x:v>0</x:v>
      </x:c>
      <x:c r="S425" t="n">
        <x:f>SUM(P425:R425)</x:f>
        <x:v>2</x:v>
      </x:c>
      <x:c r="T425" t="str">
        <x:f>IF(COUNTA(M425:O425)=0,"DerivedFromCount","ManualOverride")</x:f>
        <x:v>DerivedFromCount</x:v>
      </x:c>
      <x:c r="U425" t="str">
        <x:f>IF(COUNTIF(DailyProduction!$Q$5:$Q$100,B425)=1,"OK","CHECK")</x:f>
        <x:v>OK</x:v>
      </x:c>
      <x:c r="V425" t="str">
        <x:f>IF(AND(I425&gt;=1,I425&lt;=13,K425&gt;=1,K425&lt;=3),"OK","CHECK")</x:f>
        <x:v>OK</x:v>
      </x:c>
      <x:c r="W425" t="str">
        <x:f>IF(SUMIF($B$5:$B$914,B425,$S$5:$S$914)=SUMIF(DailyProduction!$Q$5:$Q$100,B425,DailyProduction!$R$5:$R$100),"OK","CHECK")</x:f>
        <x:v>OK</x:v>
      </x:c>
    </x:row>
    <x:row r="426">
      <x:c r="A426" t="str">
        <x:v>PC-PE-KG01-L23-20251022-AM-ORD-2025-00093-S06</x:v>
      </x:c>
      <x:c r="B426" t="str">
        <x:v>PE-KG01-L23-20251022-AM-ORD-2025-00093</x:v>
      </x:c>
      <x:c r="C426" t="str">
        <x:v>KG01</x:v>
      </x:c>
      <x:c r="D426" t="n">
        <x:v>45952</x:v>
      </x:c>
      <x:c r="E426" t="str">
        <x:v>AM</x:v>
      </x:c>
      <x:c r="F426" t="str">
        <x:v>B</x:v>
      </x:c>
      <x:c r="G426" t="n">
        <x:v>23</x:v>
      </x:c>
      <x:c r="H426" t="str">
        <x:v>ORD-2025-00093</x:v>
      </x:c>
      <x:c r="I426" t="n">
        <x:v>6</x:v>
      </x:c>
      <x:c r="J426" t="n">
        <x:v>12</x:v>
      </x:c>
      <x:c r="K426" t="n">
        <x:v>2</x:v>
      </x:c>
      <x:c r="L426" t="n">
        <x:f>IF(I426&lt;=J426,1,0)</x:f>
        <x:v>1</x:v>
      </x:c>
      <x:c r="P426" t="n">
        <x:f>IF(M426="",IF(AND(L426=1,K426&gt;=1),1,0),M426)</x:f>
        <x:v>1</x:v>
      </x:c>
      <x:c r="Q426" t="n">
        <x:f>IF(N426="",IF(AND(L426=1,K426&gt;=2),1,0),N426)</x:f>
        <x:v>1</x:v>
      </x:c>
      <x:c r="R426" t="n">
        <x:f>IF(O426="",IF(AND(L426=1,K426&gt;=3),1,0),O426)</x:f>
        <x:v>0</x:v>
      </x:c>
      <x:c r="S426" t="n">
        <x:f>SUM(P426:R426)</x:f>
        <x:v>2</x:v>
      </x:c>
      <x:c r="T426" t="str">
        <x:f>IF(COUNTA(M426:O426)=0,"DerivedFromCount","ManualOverride")</x:f>
        <x:v>DerivedFromCount</x:v>
      </x:c>
      <x:c r="U426" t="str">
        <x:f>IF(COUNTIF(DailyProduction!$Q$5:$Q$100,B426)=1,"OK","CHECK")</x:f>
        <x:v>OK</x:v>
      </x:c>
      <x:c r="V426" t="str">
        <x:f>IF(AND(I426&gt;=1,I426&lt;=13,K426&gt;=1,K426&lt;=3),"OK","CHECK")</x:f>
        <x:v>OK</x:v>
      </x:c>
      <x:c r="W426" t="str">
        <x:f>IF(SUMIF($B$5:$B$914,B426,$S$5:$S$914)=SUMIF(DailyProduction!$Q$5:$Q$100,B426,DailyProduction!$R$5:$R$100),"OK","CHECK")</x:f>
        <x:v>OK</x:v>
      </x:c>
    </x:row>
    <x:row r="427">
      <x:c r="A427" t="str">
        <x:v>PC-PE-KG01-L23-20251022-AM-ORD-2025-00093-S07</x:v>
      </x:c>
      <x:c r="B427" t="str">
        <x:v>PE-KG01-L23-20251022-AM-ORD-2025-00093</x:v>
      </x:c>
      <x:c r="C427" t="str">
        <x:v>KG01</x:v>
      </x:c>
      <x:c r="D427" t="n">
        <x:v>45952</x:v>
      </x:c>
      <x:c r="E427" t="str">
        <x:v>AM</x:v>
      </x:c>
      <x:c r="F427" t="str">
        <x:v>B</x:v>
      </x:c>
      <x:c r="G427" t="n">
        <x:v>23</x:v>
      </x:c>
      <x:c r="H427" t="str">
        <x:v>ORD-2025-00093</x:v>
      </x:c>
      <x:c r="I427" t="n">
        <x:v>7</x:v>
      </x:c>
      <x:c r="J427" t="n">
        <x:v>12</x:v>
      </x:c>
      <x:c r="K427" t="n">
        <x:v>2</x:v>
      </x:c>
      <x:c r="L427" t="n">
        <x:f>IF(I427&lt;=J427,1,0)</x:f>
        <x:v>1</x:v>
      </x:c>
      <x:c r="P427" t="n">
        <x:f>IF(M427="",IF(AND(L427=1,K427&gt;=1),1,0),M427)</x:f>
        <x:v>1</x:v>
      </x:c>
      <x:c r="Q427" t="n">
        <x:f>IF(N427="",IF(AND(L427=1,K427&gt;=2),1,0),N427)</x:f>
        <x:v>1</x:v>
      </x:c>
      <x:c r="R427" t="n">
        <x:f>IF(O427="",IF(AND(L427=1,K427&gt;=3),1,0),O427)</x:f>
        <x:v>0</x:v>
      </x:c>
      <x:c r="S427" t="n">
        <x:f>SUM(P427:R427)</x:f>
        <x:v>2</x:v>
      </x:c>
      <x:c r="T427" t="str">
        <x:f>IF(COUNTA(M427:O427)=0,"DerivedFromCount","ManualOverride")</x:f>
        <x:v>DerivedFromCount</x:v>
      </x:c>
      <x:c r="U427" t="str">
        <x:f>IF(COUNTIF(DailyProduction!$Q$5:$Q$100,B427)=1,"OK","CHECK")</x:f>
        <x:v>OK</x:v>
      </x:c>
      <x:c r="V427" t="str">
        <x:f>IF(AND(I427&gt;=1,I427&lt;=13,K427&gt;=1,K427&lt;=3),"OK","CHECK")</x:f>
        <x:v>OK</x:v>
      </x:c>
      <x:c r="W427" t="str">
        <x:f>IF(SUMIF($B$5:$B$914,B427,$S$5:$S$914)=SUMIF(DailyProduction!$Q$5:$Q$100,B427,DailyProduction!$R$5:$R$100),"OK","CHECK")</x:f>
        <x:v>OK</x:v>
      </x:c>
    </x:row>
    <x:row r="428">
      <x:c r="A428" t="str">
        <x:v>PC-PE-KG01-L23-20251022-AM-ORD-2025-00093-S08</x:v>
      </x:c>
      <x:c r="B428" t="str">
        <x:v>PE-KG01-L23-20251022-AM-ORD-2025-00093</x:v>
      </x:c>
      <x:c r="C428" t="str">
        <x:v>KG01</x:v>
      </x:c>
      <x:c r="D428" t="n">
        <x:v>45952</x:v>
      </x:c>
      <x:c r="E428" t="str">
        <x:v>AM</x:v>
      </x:c>
      <x:c r="F428" t="str">
        <x:v>B</x:v>
      </x:c>
      <x:c r="G428" t="n">
        <x:v>23</x:v>
      </x:c>
      <x:c r="H428" t="str">
        <x:v>ORD-2025-00093</x:v>
      </x:c>
      <x:c r="I428" t="n">
        <x:v>8</x:v>
      </x:c>
      <x:c r="J428" t="n">
        <x:v>12</x:v>
      </x:c>
      <x:c r="K428" t="n">
        <x:v>2</x:v>
      </x:c>
      <x:c r="L428" t="n">
        <x:f>IF(I428&lt;=J428,1,0)</x:f>
        <x:v>1</x:v>
      </x:c>
      <x:c r="P428" t="n">
        <x:f>IF(M428="",IF(AND(L428=1,K428&gt;=1),1,0),M428)</x:f>
        <x:v>1</x:v>
      </x:c>
      <x:c r="Q428" t="n">
        <x:f>IF(N428="",IF(AND(L428=1,K428&gt;=2),1,0),N428)</x:f>
        <x:v>1</x:v>
      </x:c>
      <x:c r="R428" t="n">
        <x:f>IF(O428="",IF(AND(L428=1,K428&gt;=3),1,0),O428)</x:f>
        <x:v>0</x:v>
      </x:c>
      <x:c r="S428" t="n">
        <x:f>SUM(P428:R428)</x:f>
        <x:v>2</x:v>
      </x:c>
      <x:c r="T428" t="str">
        <x:f>IF(COUNTA(M428:O428)=0,"DerivedFromCount","ManualOverride")</x:f>
        <x:v>DerivedFromCount</x:v>
      </x:c>
      <x:c r="U428" t="str">
        <x:f>IF(COUNTIF(DailyProduction!$Q$5:$Q$100,B428)=1,"OK","CHECK")</x:f>
        <x:v>OK</x:v>
      </x:c>
      <x:c r="V428" t="str">
        <x:f>IF(AND(I428&gt;=1,I428&lt;=13,K428&gt;=1,K428&lt;=3),"OK","CHECK")</x:f>
        <x:v>OK</x:v>
      </x:c>
      <x:c r="W428" t="str">
        <x:f>IF(SUMIF($B$5:$B$914,B428,$S$5:$S$914)=SUMIF(DailyProduction!$Q$5:$Q$100,B428,DailyProduction!$R$5:$R$100),"OK","CHECK")</x:f>
        <x:v>OK</x:v>
      </x:c>
    </x:row>
    <x:row r="429">
      <x:c r="A429" t="str">
        <x:v>PC-PE-KG01-L23-20251022-AM-ORD-2025-00093-S09</x:v>
      </x:c>
      <x:c r="B429" t="str">
        <x:v>PE-KG01-L23-20251022-AM-ORD-2025-00093</x:v>
      </x:c>
      <x:c r="C429" t="str">
        <x:v>KG01</x:v>
      </x:c>
      <x:c r="D429" t="n">
        <x:v>45952</x:v>
      </x:c>
      <x:c r="E429" t="str">
        <x:v>AM</x:v>
      </x:c>
      <x:c r="F429" t="str">
        <x:v>B</x:v>
      </x:c>
      <x:c r="G429" t="n">
        <x:v>23</x:v>
      </x:c>
      <x:c r="H429" t="str">
        <x:v>ORD-2025-00093</x:v>
      </x:c>
      <x:c r="I429" t="n">
        <x:v>9</x:v>
      </x:c>
      <x:c r="J429" t="n">
        <x:v>12</x:v>
      </x:c>
      <x:c r="K429" t="n">
        <x:v>2</x:v>
      </x:c>
      <x:c r="L429" t="n">
        <x:f>IF(I429&lt;=J429,1,0)</x:f>
        <x:v>1</x:v>
      </x:c>
      <x:c r="P429" t="n">
        <x:f>IF(M429="",IF(AND(L429=1,K429&gt;=1),1,0),M429)</x:f>
        <x:v>1</x:v>
      </x:c>
      <x:c r="Q429" t="n">
        <x:f>IF(N429="",IF(AND(L429=1,K429&gt;=2),1,0),N429)</x:f>
        <x:v>1</x:v>
      </x:c>
      <x:c r="R429" t="n">
        <x:f>IF(O429="",IF(AND(L429=1,K429&gt;=3),1,0),O429)</x:f>
        <x:v>0</x:v>
      </x:c>
      <x:c r="S429" t="n">
        <x:f>SUM(P429:R429)</x:f>
        <x:v>2</x:v>
      </x:c>
      <x:c r="T429" t="str">
        <x:f>IF(COUNTA(M429:O429)=0,"DerivedFromCount","ManualOverride")</x:f>
        <x:v>DerivedFromCount</x:v>
      </x:c>
      <x:c r="U429" t="str">
        <x:f>IF(COUNTIF(DailyProduction!$Q$5:$Q$100,B429)=1,"OK","CHECK")</x:f>
        <x:v>OK</x:v>
      </x:c>
      <x:c r="V429" t="str">
        <x:f>IF(AND(I429&gt;=1,I429&lt;=13,K429&gt;=1,K429&lt;=3),"OK","CHECK")</x:f>
        <x:v>OK</x:v>
      </x:c>
      <x:c r="W429" t="str">
        <x:f>IF(SUMIF($B$5:$B$914,B429,$S$5:$S$914)=SUMIF(DailyProduction!$Q$5:$Q$100,B429,DailyProduction!$R$5:$R$100),"OK","CHECK")</x:f>
        <x:v>OK</x:v>
      </x:c>
    </x:row>
    <x:row r="430">
      <x:c r="A430" t="str">
        <x:v>PC-PE-KG01-L23-20251022-AM-ORD-2025-00093-S10</x:v>
      </x:c>
      <x:c r="B430" t="str">
        <x:v>PE-KG01-L23-20251022-AM-ORD-2025-00093</x:v>
      </x:c>
      <x:c r="C430" t="str">
        <x:v>KG01</x:v>
      </x:c>
      <x:c r="D430" t="n">
        <x:v>45952</x:v>
      </x:c>
      <x:c r="E430" t="str">
        <x:v>AM</x:v>
      </x:c>
      <x:c r="F430" t="str">
        <x:v>B</x:v>
      </x:c>
      <x:c r="G430" t="n">
        <x:v>23</x:v>
      </x:c>
      <x:c r="H430" t="str">
        <x:v>ORD-2025-00093</x:v>
      </x:c>
      <x:c r="I430" t="n">
        <x:v>10</x:v>
      </x:c>
      <x:c r="J430" t="n">
        <x:v>12</x:v>
      </x:c>
      <x:c r="K430" t="n">
        <x:v>2</x:v>
      </x:c>
      <x:c r="L430" t="n">
        <x:f>IF(I430&lt;=J430,1,0)</x:f>
        <x:v>1</x:v>
      </x:c>
      <x:c r="P430" t="n">
        <x:f>IF(M430="",IF(AND(L430=1,K430&gt;=1),1,0),M430)</x:f>
        <x:v>1</x:v>
      </x:c>
      <x:c r="Q430" t="n">
        <x:f>IF(N430="",IF(AND(L430=1,K430&gt;=2),1,0),N430)</x:f>
        <x:v>1</x:v>
      </x:c>
      <x:c r="R430" t="n">
        <x:f>IF(O430="",IF(AND(L430=1,K430&gt;=3),1,0),O430)</x:f>
        <x:v>0</x:v>
      </x:c>
      <x:c r="S430" t="n">
        <x:f>SUM(P430:R430)</x:f>
        <x:v>2</x:v>
      </x:c>
      <x:c r="T430" t="str">
        <x:f>IF(COUNTA(M430:O430)=0,"DerivedFromCount","ManualOverride")</x:f>
        <x:v>DerivedFromCount</x:v>
      </x:c>
      <x:c r="U430" t="str">
        <x:f>IF(COUNTIF(DailyProduction!$Q$5:$Q$100,B430)=1,"OK","CHECK")</x:f>
        <x:v>OK</x:v>
      </x:c>
      <x:c r="V430" t="str">
        <x:f>IF(AND(I430&gt;=1,I430&lt;=13,K430&gt;=1,K430&lt;=3),"OK","CHECK")</x:f>
        <x:v>OK</x:v>
      </x:c>
      <x:c r="W430" t="str">
        <x:f>IF(SUMIF($B$5:$B$914,B430,$S$5:$S$914)=SUMIF(DailyProduction!$Q$5:$Q$100,B430,DailyProduction!$R$5:$R$100),"OK","CHECK")</x:f>
        <x:v>OK</x:v>
      </x:c>
    </x:row>
    <x:row r="431">
      <x:c r="A431" t="str">
        <x:v>PC-PE-KG01-L23-20251022-AM-ORD-2025-00093-S11</x:v>
      </x:c>
      <x:c r="B431" t="str">
        <x:v>PE-KG01-L23-20251022-AM-ORD-2025-00093</x:v>
      </x:c>
      <x:c r="C431" t="str">
        <x:v>KG01</x:v>
      </x:c>
      <x:c r="D431" t="n">
        <x:v>45952</x:v>
      </x:c>
      <x:c r="E431" t="str">
        <x:v>AM</x:v>
      </x:c>
      <x:c r="F431" t="str">
        <x:v>B</x:v>
      </x:c>
      <x:c r="G431" t="n">
        <x:v>23</x:v>
      </x:c>
      <x:c r="H431" t="str">
        <x:v>ORD-2025-00093</x:v>
      </x:c>
      <x:c r="I431" t="n">
        <x:v>11</x:v>
      </x:c>
      <x:c r="J431" t="n">
        <x:v>12</x:v>
      </x:c>
      <x:c r="K431" t="n">
        <x:v>2</x:v>
      </x:c>
      <x:c r="L431" t="n">
        <x:f>IF(I431&lt;=J431,1,0)</x:f>
        <x:v>1</x:v>
      </x:c>
      <x:c r="P431" t="n">
        <x:f>IF(M431="",IF(AND(L431=1,K431&gt;=1),1,0),M431)</x:f>
        <x:v>1</x:v>
      </x:c>
      <x:c r="Q431" t="n">
        <x:f>IF(N431="",IF(AND(L431=1,K431&gt;=2),1,0),N431)</x:f>
        <x:v>1</x:v>
      </x:c>
      <x:c r="R431" t="n">
        <x:f>IF(O431="",IF(AND(L431=1,K431&gt;=3),1,0),O431)</x:f>
        <x:v>0</x:v>
      </x:c>
      <x:c r="S431" t="n">
        <x:f>SUM(P431:R431)</x:f>
        <x:v>2</x:v>
      </x:c>
      <x:c r="T431" t="str">
        <x:f>IF(COUNTA(M431:O431)=0,"DerivedFromCount","ManualOverride")</x:f>
        <x:v>DerivedFromCount</x:v>
      </x:c>
      <x:c r="U431" t="str">
        <x:f>IF(COUNTIF(DailyProduction!$Q$5:$Q$100,B431)=1,"OK","CHECK")</x:f>
        <x:v>OK</x:v>
      </x:c>
      <x:c r="V431" t="str">
        <x:f>IF(AND(I431&gt;=1,I431&lt;=13,K431&gt;=1,K431&lt;=3),"OK","CHECK")</x:f>
        <x:v>OK</x:v>
      </x:c>
      <x:c r="W431" t="str">
        <x:f>IF(SUMIF($B$5:$B$914,B431,$S$5:$S$914)=SUMIF(DailyProduction!$Q$5:$Q$100,B431,DailyProduction!$R$5:$R$100),"OK","CHECK")</x:f>
        <x:v>OK</x:v>
      </x:c>
    </x:row>
    <x:row r="432">
      <x:c r="A432" t="str">
        <x:v>PC-PE-KG01-L23-20251022-AM-ORD-2025-00093-S12</x:v>
      </x:c>
      <x:c r="B432" t="str">
        <x:v>PE-KG01-L23-20251022-AM-ORD-2025-00093</x:v>
      </x:c>
      <x:c r="C432" t="str">
        <x:v>KG01</x:v>
      </x:c>
      <x:c r="D432" t="n">
        <x:v>45952</x:v>
      </x:c>
      <x:c r="E432" t="str">
        <x:v>AM</x:v>
      </x:c>
      <x:c r="F432" t="str">
        <x:v>B</x:v>
      </x:c>
      <x:c r="G432" t="n">
        <x:v>23</x:v>
      </x:c>
      <x:c r="H432" t="str">
        <x:v>ORD-2025-00093</x:v>
      </x:c>
      <x:c r="I432" t="n">
        <x:v>12</x:v>
      </x:c>
      <x:c r="J432" t="n">
        <x:v>12</x:v>
      </x:c>
      <x:c r="K432" t="n">
        <x:v>2</x:v>
      </x:c>
      <x:c r="L432" t="n">
        <x:f>IF(I432&lt;=J432,1,0)</x:f>
        <x:v>1</x:v>
      </x:c>
      <x:c r="P432" t="n">
        <x:f>IF(M432="",IF(AND(L432=1,K432&gt;=1),1,0),M432)</x:f>
        <x:v>1</x:v>
      </x:c>
      <x:c r="Q432" t="n">
        <x:f>IF(N432="",IF(AND(L432=1,K432&gt;=2),1,0),N432)</x:f>
        <x:v>1</x:v>
      </x:c>
      <x:c r="R432" t="n">
        <x:f>IF(O432="",IF(AND(L432=1,K432&gt;=3),1,0),O432)</x:f>
        <x:v>0</x:v>
      </x:c>
      <x:c r="S432" t="n">
        <x:f>SUM(P432:R432)</x:f>
        <x:v>2</x:v>
      </x:c>
      <x:c r="T432" t="str">
        <x:f>IF(COUNTA(M432:O432)=0,"DerivedFromCount","ManualOverride")</x:f>
        <x:v>DerivedFromCount</x:v>
      </x:c>
      <x:c r="U432" t="str">
        <x:f>IF(COUNTIF(DailyProduction!$Q$5:$Q$100,B432)=1,"OK","CHECK")</x:f>
        <x:v>OK</x:v>
      </x:c>
      <x:c r="V432" t="str">
        <x:f>IF(AND(I432&gt;=1,I432&lt;=13,K432&gt;=1,K432&lt;=3),"OK","CHECK")</x:f>
        <x:v>OK</x:v>
      </x:c>
      <x:c r="W432" t="str">
        <x:f>IF(SUMIF($B$5:$B$914,B432,$S$5:$S$914)=SUMIF(DailyProduction!$Q$5:$Q$100,B432,DailyProduction!$R$5:$R$100),"OK","CHECK")</x:f>
        <x:v>OK</x:v>
      </x:c>
    </x:row>
    <x:row r="433">
      <x:c r="A433" t="str">
        <x:v>PC-PE-KG01-L23-20251022-AM-ORD-2025-00093-S13</x:v>
      </x:c>
      <x:c r="B433" t="str">
        <x:v>PE-KG01-L23-20251022-AM-ORD-2025-00093</x:v>
      </x:c>
      <x:c r="C433" t="str">
        <x:v>KG01</x:v>
      </x:c>
      <x:c r="D433" t="n">
        <x:v>45952</x:v>
      </x:c>
      <x:c r="E433" t="str">
        <x:v>AM</x:v>
      </x:c>
      <x:c r="F433" t="str">
        <x:v>B</x:v>
      </x:c>
      <x:c r="G433" t="n">
        <x:v>23</x:v>
      </x:c>
      <x:c r="H433" t="str">
        <x:v>ORD-2025-00093</x:v>
      </x:c>
      <x:c r="I433" t="n">
        <x:v>13</x:v>
      </x:c>
      <x:c r="J433" t="n">
        <x:v>12</x:v>
      </x:c>
      <x:c r="K433" t="n">
        <x:v>2</x:v>
      </x:c>
      <x:c r="L433" t="n">
        <x:f>IF(I433&lt;=J433,1,0)</x:f>
        <x:v>0</x:v>
      </x:c>
      <x:c r="P433" t="n">
        <x:f>IF(M433="",IF(AND(L433=1,K433&gt;=1),1,0),M433)</x:f>
        <x:v>0</x:v>
      </x:c>
      <x:c r="Q433" t="n">
        <x:f>IF(N433="",IF(AND(L433=1,K433&gt;=2),1,0),N433)</x:f>
        <x:v>0</x:v>
      </x:c>
      <x:c r="R433" t="n">
        <x:f>IF(O433="",IF(AND(L433=1,K433&gt;=3),1,0),O433)</x:f>
        <x:v>0</x:v>
      </x:c>
      <x:c r="S433" t="n">
        <x:f>SUM(P433:R433)</x:f>
        <x:v>0</x:v>
      </x:c>
      <x:c r="T433" t="str">
        <x:f>IF(COUNTA(M433:O433)=0,"DerivedFromCount","ManualOverride")</x:f>
        <x:v>DerivedFromCount</x:v>
      </x:c>
      <x:c r="U433" t="str">
        <x:f>IF(COUNTIF(DailyProduction!$Q$5:$Q$100,B433)=1,"OK","CHECK")</x:f>
        <x:v>OK</x:v>
      </x:c>
      <x:c r="V433" t="str">
        <x:f>IF(AND(I433&gt;=1,I433&lt;=13,K433&gt;=1,K433&lt;=3),"OK","CHECK")</x:f>
        <x:v>OK</x:v>
      </x:c>
      <x:c r="W433" t="str">
        <x:f>IF(SUMIF($B$5:$B$914,B433,$S$5:$S$914)=SUMIF(DailyProduction!$Q$5:$Q$100,B433,DailyProduction!$R$5:$R$100),"OK","CHECK")</x:f>
        <x:v>OK</x:v>
      </x:c>
    </x:row>
    <x:row r="434">
      <x:c r="A434" t="str">
        <x:v>PC-PE-KG01-L23-20251022-PM-ORD-2025-00093-S01</x:v>
      </x:c>
      <x:c r="B434" t="str">
        <x:v>PE-KG01-L23-20251022-PM-ORD-2025-00093</x:v>
      </x:c>
      <x:c r="C434" t="str">
        <x:v>KG01</x:v>
      </x:c>
      <x:c r="D434" t="n">
        <x:v>45952</x:v>
      </x:c>
      <x:c r="E434" t="str">
        <x:v>PM</x:v>
      </x:c>
      <x:c r="F434" t="str">
        <x:v>C</x:v>
      </x:c>
      <x:c r="G434" t="n">
        <x:v>23</x:v>
      </x:c>
      <x:c r="H434" t="str">
        <x:v>ORD-2025-00093</x:v>
      </x:c>
      <x:c r="I434" t="n">
        <x:v>1</x:v>
      </x:c>
      <x:c r="J434" t="n">
        <x:v>12</x:v>
      </x:c>
      <x:c r="K434" t="n">
        <x:v>2</x:v>
      </x:c>
      <x:c r="L434" t="n">
        <x:f>IF(I434&lt;=J434,1,0)</x:f>
        <x:v>1</x:v>
      </x:c>
      <x:c r="P434" t="n">
        <x:f>IF(M434="",IF(AND(L434=1,K434&gt;=1),1,0),M434)</x:f>
        <x:v>1</x:v>
      </x:c>
      <x:c r="Q434" t="n">
        <x:f>IF(N434="",IF(AND(L434=1,K434&gt;=2),1,0),N434)</x:f>
        <x:v>1</x:v>
      </x:c>
      <x:c r="R434" t="n">
        <x:f>IF(O434="",IF(AND(L434=1,K434&gt;=3),1,0),O434)</x:f>
        <x:v>0</x:v>
      </x:c>
      <x:c r="S434" t="n">
        <x:f>SUM(P434:R434)</x:f>
        <x:v>2</x:v>
      </x:c>
      <x:c r="T434" t="str">
        <x:f>IF(COUNTA(M434:O434)=0,"DerivedFromCount","ManualOverride")</x:f>
        <x:v>DerivedFromCount</x:v>
      </x:c>
      <x:c r="U434" t="str">
        <x:f>IF(COUNTIF(DailyProduction!$Q$5:$Q$100,B434)=1,"OK","CHECK")</x:f>
        <x:v>OK</x:v>
      </x:c>
      <x:c r="V434" t="str">
        <x:f>IF(AND(I434&gt;=1,I434&lt;=13,K434&gt;=1,K434&lt;=3),"OK","CHECK")</x:f>
        <x:v>OK</x:v>
      </x:c>
      <x:c r="W434" t="str">
        <x:f>IF(SUMIF($B$5:$B$914,B434,$S$5:$S$914)=SUMIF(DailyProduction!$Q$5:$Q$100,B434,DailyProduction!$R$5:$R$100),"OK","CHECK")</x:f>
        <x:v>OK</x:v>
      </x:c>
    </x:row>
    <x:row r="435">
      <x:c r="A435" t="str">
        <x:v>PC-PE-KG01-L23-20251022-PM-ORD-2025-00093-S02</x:v>
      </x:c>
      <x:c r="B435" t="str">
        <x:v>PE-KG01-L23-20251022-PM-ORD-2025-00093</x:v>
      </x:c>
      <x:c r="C435" t="str">
        <x:v>KG01</x:v>
      </x:c>
      <x:c r="D435" t="n">
        <x:v>45952</x:v>
      </x:c>
      <x:c r="E435" t="str">
        <x:v>PM</x:v>
      </x:c>
      <x:c r="F435" t="str">
        <x:v>C</x:v>
      </x:c>
      <x:c r="G435" t="n">
        <x:v>23</x:v>
      </x:c>
      <x:c r="H435" t="str">
        <x:v>ORD-2025-00093</x:v>
      </x:c>
      <x:c r="I435" t="n">
        <x:v>2</x:v>
      </x:c>
      <x:c r="J435" t="n">
        <x:v>12</x:v>
      </x:c>
      <x:c r="K435" t="n">
        <x:v>2</x:v>
      </x:c>
      <x:c r="L435" t="n">
        <x:f>IF(I435&lt;=J435,1,0)</x:f>
        <x:v>1</x:v>
      </x:c>
      <x:c r="P435" t="n">
        <x:f>IF(M435="",IF(AND(L435=1,K435&gt;=1),1,0),M435)</x:f>
        <x:v>1</x:v>
      </x:c>
      <x:c r="Q435" t="n">
        <x:f>IF(N435="",IF(AND(L435=1,K435&gt;=2),1,0),N435)</x:f>
        <x:v>1</x:v>
      </x:c>
      <x:c r="R435" t="n">
        <x:f>IF(O435="",IF(AND(L435=1,K435&gt;=3),1,0),O435)</x:f>
        <x:v>0</x:v>
      </x:c>
      <x:c r="S435" t="n">
        <x:f>SUM(P435:R435)</x:f>
        <x:v>2</x:v>
      </x:c>
      <x:c r="T435" t="str">
        <x:f>IF(COUNTA(M435:O435)=0,"DerivedFromCount","ManualOverride")</x:f>
        <x:v>DerivedFromCount</x:v>
      </x:c>
      <x:c r="U435" t="str">
        <x:f>IF(COUNTIF(DailyProduction!$Q$5:$Q$100,B435)=1,"OK","CHECK")</x:f>
        <x:v>OK</x:v>
      </x:c>
      <x:c r="V435" t="str">
        <x:f>IF(AND(I435&gt;=1,I435&lt;=13,K435&gt;=1,K435&lt;=3),"OK","CHECK")</x:f>
        <x:v>OK</x:v>
      </x:c>
      <x:c r="W435" t="str">
        <x:f>IF(SUMIF($B$5:$B$914,B435,$S$5:$S$914)=SUMIF(DailyProduction!$Q$5:$Q$100,B435,DailyProduction!$R$5:$R$100),"OK","CHECK")</x:f>
        <x:v>OK</x:v>
      </x:c>
    </x:row>
    <x:row r="436">
      <x:c r="A436" t="str">
        <x:v>PC-PE-KG01-L23-20251022-PM-ORD-2025-00093-S03</x:v>
      </x:c>
      <x:c r="B436" t="str">
        <x:v>PE-KG01-L23-20251022-PM-ORD-2025-00093</x:v>
      </x:c>
      <x:c r="C436" t="str">
        <x:v>KG01</x:v>
      </x:c>
      <x:c r="D436" t="n">
        <x:v>45952</x:v>
      </x:c>
      <x:c r="E436" t="str">
        <x:v>PM</x:v>
      </x:c>
      <x:c r="F436" t="str">
        <x:v>C</x:v>
      </x:c>
      <x:c r="G436" t="n">
        <x:v>23</x:v>
      </x:c>
      <x:c r="H436" t="str">
        <x:v>ORD-2025-00093</x:v>
      </x:c>
      <x:c r="I436" t="n">
        <x:v>3</x:v>
      </x:c>
      <x:c r="J436" t="n">
        <x:v>12</x:v>
      </x:c>
      <x:c r="K436" t="n">
        <x:v>2</x:v>
      </x:c>
      <x:c r="L436" t="n">
        <x:f>IF(I436&lt;=J436,1,0)</x:f>
        <x:v>1</x:v>
      </x:c>
      <x:c r="P436" t="n">
        <x:f>IF(M436="",IF(AND(L436=1,K436&gt;=1),1,0),M436)</x:f>
        <x:v>1</x:v>
      </x:c>
      <x:c r="Q436" t="n">
        <x:f>IF(N436="",IF(AND(L436=1,K436&gt;=2),1,0),N436)</x:f>
        <x:v>1</x:v>
      </x:c>
      <x:c r="R436" t="n">
        <x:f>IF(O436="",IF(AND(L436=1,K436&gt;=3),1,0),O436)</x:f>
        <x:v>0</x:v>
      </x:c>
      <x:c r="S436" t="n">
        <x:f>SUM(P436:R436)</x:f>
        <x:v>2</x:v>
      </x:c>
      <x:c r="T436" t="str">
        <x:f>IF(COUNTA(M436:O436)=0,"DerivedFromCount","ManualOverride")</x:f>
        <x:v>DerivedFromCount</x:v>
      </x:c>
      <x:c r="U436" t="str">
        <x:f>IF(COUNTIF(DailyProduction!$Q$5:$Q$100,B436)=1,"OK","CHECK")</x:f>
        <x:v>OK</x:v>
      </x:c>
      <x:c r="V436" t="str">
        <x:f>IF(AND(I436&gt;=1,I436&lt;=13,K436&gt;=1,K436&lt;=3),"OK","CHECK")</x:f>
        <x:v>OK</x:v>
      </x:c>
      <x:c r="W436" t="str">
        <x:f>IF(SUMIF($B$5:$B$914,B436,$S$5:$S$914)=SUMIF(DailyProduction!$Q$5:$Q$100,B436,DailyProduction!$R$5:$R$100),"OK","CHECK")</x:f>
        <x:v>OK</x:v>
      </x:c>
    </x:row>
    <x:row r="437">
      <x:c r="A437" t="str">
        <x:v>PC-PE-KG01-L23-20251022-PM-ORD-2025-00093-S04</x:v>
      </x:c>
      <x:c r="B437" t="str">
        <x:v>PE-KG01-L23-20251022-PM-ORD-2025-00093</x:v>
      </x:c>
      <x:c r="C437" t="str">
        <x:v>KG01</x:v>
      </x:c>
      <x:c r="D437" t="n">
        <x:v>45952</x:v>
      </x:c>
      <x:c r="E437" t="str">
        <x:v>PM</x:v>
      </x:c>
      <x:c r="F437" t="str">
        <x:v>C</x:v>
      </x:c>
      <x:c r="G437" t="n">
        <x:v>23</x:v>
      </x:c>
      <x:c r="H437" t="str">
        <x:v>ORD-2025-00093</x:v>
      </x:c>
      <x:c r="I437" t="n">
        <x:v>4</x:v>
      </x:c>
      <x:c r="J437" t="n">
        <x:v>12</x:v>
      </x:c>
      <x:c r="K437" t="n">
        <x:v>2</x:v>
      </x:c>
      <x:c r="L437" t="n">
        <x:f>IF(I437&lt;=J437,1,0)</x:f>
        <x:v>1</x:v>
      </x:c>
      <x:c r="P437" t="n">
        <x:f>IF(M437="",IF(AND(L437=1,K437&gt;=1),1,0),M437)</x:f>
        <x:v>1</x:v>
      </x:c>
      <x:c r="Q437" t="n">
        <x:f>IF(N437="",IF(AND(L437=1,K437&gt;=2),1,0),N437)</x:f>
        <x:v>1</x:v>
      </x:c>
      <x:c r="R437" t="n">
        <x:f>IF(O437="",IF(AND(L437=1,K437&gt;=3),1,0),O437)</x:f>
        <x:v>0</x:v>
      </x:c>
      <x:c r="S437" t="n">
        <x:f>SUM(P437:R437)</x:f>
        <x:v>2</x:v>
      </x:c>
      <x:c r="T437" t="str">
        <x:f>IF(COUNTA(M437:O437)=0,"DerivedFromCount","ManualOverride")</x:f>
        <x:v>DerivedFromCount</x:v>
      </x:c>
      <x:c r="U437" t="str">
        <x:f>IF(COUNTIF(DailyProduction!$Q$5:$Q$100,B437)=1,"OK","CHECK")</x:f>
        <x:v>OK</x:v>
      </x:c>
      <x:c r="V437" t="str">
        <x:f>IF(AND(I437&gt;=1,I437&lt;=13,K437&gt;=1,K437&lt;=3),"OK","CHECK")</x:f>
        <x:v>OK</x:v>
      </x:c>
      <x:c r="W437" t="str">
        <x:f>IF(SUMIF($B$5:$B$914,B437,$S$5:$S$914)=SUMIF(DailyProduction!$Q$5:$Q$100,B437,DailyProduction!$R$5:$R$100),"OK","CHECK")</x:f>
        <x:v>OK</x:v>
      </x:c>
    </x:row>
    <x:row r="438">
      <x:c r="A438" t="str">
        <x:v>PC-PE-KG01-L23-20251022-PM-ORD-2025-00093-S05</x:v>
      </x:c>
      <x:c r="B438" t="str">
        <x:v>PE-KG01-L23-20251022-PM-ORD-2025-00093</x:v>
      </x:c>
      <x:c r="C438" t="str">
        <x:v>KG01</x:v>
      </x:c>
      <x:c r="D438" t="n">
        <x:v>45952</x:v>
      </x:c>
      <x:c r="E438" t="str">
        <x:v>PM</x:v>
      </x:c>
      <x:c r="F438" t="str">
        <x:v>C</x:v>
      </x:c>
      <x:c r="G438" t="n">
        <x:v>23</x:v>
      </x:c>
      <x:c r="H438" t="str">
        <x:v>ORD-2025-00093</x:v>
      </x:c>
      <x:c r="I438" t="n">
        <x:v>5</x:v>
      </x:c>
      <x:c r="J438" t="n">
        <x:v>12</x:v>
      </x:c>
      <x:c r="K438" t="n">
        <x:v>2</x:v>
      </x:c>
      <x:c r="L438" t="n">
        <x:f>IF(I438&lt;=J438,1,0)</x:f>
        <x:v>1</x:v>
      </x:c>
      <x:c r="P438" t="n">
        <x:f>IF(M438="",IF(AND(L438=1,K438&gt;=1),1,0),M438)</x:f>
        <x:v>1</x:v>
      </x:c>
      <x:c r="Q438" t="n">
        <x:f>IF(N438="",IF(AND(L438=1,K438&gt;=2),1,0),N438)</x:f>
        <x:v>1</x:v>
      </x:c>
      <x:c r="R438" t="n">
        <x:f>IF(O438="",IF(AND(L438=1,K438&gt;=3),1,0),O438)</x:f>
        <x:v>0</x:v>
      </x:c>
      <x:c r="S438" t="n">
        <x:f>SUM(P438:R438)</x:f>
        <x:v>2</x:v>
      </x:c>
      <x:c r="T438" t="str">
        <x:f>IF(COUNTA(M438:O438)=0,"DerivedFromCount","ManualOverride")</x:f>
        <x:v>DerivedFromCount</x:v>
      </x:c>
      <x:c r="U438" t="str">
        <x:f>IF(COUNTIF(DailyProduction!$Q$5:$Q$100,B438)=1,"OK","CHECK")</x:f>
        <x:v>OK</x:v>
      </x:c>
      <x:c r="V438" t="str">
        <x:f>IF(AND(I438&gt;=1,I438&lt;=13,K438&gt;=1,K438&lt;=3),"OK","CHECK")</x:f>
        <x:v>OK</x:v>
      </x:c>
      <x:c r="W438" t="str">
        <x:f>IF(SUMIF($B$5:$B$914,B438,$S$5:$S$914)=SUMIF(DailyProduction!$Q$5:$Q$100,B438,DailyProduction!$R$5:$R$100),"OK","CHECK")</x:f>
        <x:v>OK</x:v>
      </x:c>
    </x:row>
    <x:row r="439">
      <x:c r="A439" t="str">
        <x:v>PC-PE-KG01-L23-20251022-PM-ORD-2025-00093-S06</x:v>
      </x:c>
      <x:c r="B439" t="str">
        <x:v>PE-KG01-L23-20251022-PM-ORD-2025-00093</x:v>
      </x:c>
      <x:c r="C439" t="str">
        <x:v>KG01</x:v>
      </x:c>
      <x:c r="D439" t="n">
        <x:v>45952</x:v>
      </x:c>
      <x:c r="E439" t="str">
        <x:v>PM</x:v>
      </x:c>
      <x:c r="F439" t="str">
        <x:v>C</x:v>
      </x:c>
      <x:c r="G439" t="n">
        <x:v>23</x:v>
      </x:c>
      <x:c r="H439" t="str">
        <x:v>ORD-2025-00093</x:v>
      </x:c>
      <x:c r="I439" t="n">
        <x:v>6</x:v>
      </x:c>
      <x:c r="J439" t="n">
        <x:v>12</x:v>
      </x:c>
      <x:c r="K439" t="n">
        <x:v>2</x:v>
      </x:c>
      <x:c r="L439" t="n">
        <x:f>IF(I439&lt;=J439,1,0)</x:f>
        <x:v>1</x:v>
      </x:c>
      <x:c r="P439" t="n">
        <x:f>IF(M439="",IF(AND(L439=1,K439&gt;=1),1,0),M439)</x:f>
        <x:v>1</x:v>
      </x:c>
      <x:c r="Q439" t="n">
        <x:f>IF(N439="",IF(AND(L439=1,K439&gt;=2),1,0),N439)</x:f>
        <x:v>1</x:v>
      </x:c>
      <x:c r="R439" t="n">
        <x:f>IF(O439="",IF(AND(L439=1,K439&gt;=3),1,0),O439)</x:f>
        <x:v>0</x:v>
      </x:c>
      <x:c r="S439" t="n">
        <x:f>SUM(P439:R439)</x:f>
        <x:v>2</x:v>
      </x:c>
      <x:c r="T439" t="str">
        <x:f>IF(COUNTA(M439:O439)=0,"DerivedFromCount","ManualOverride")</x:f>
        <x:v>DerivedFromCount</x:v>
      </x:c>
      <x:c r="U439" t="str">
        <x:f>IF(COUNTIF(DailyProduction!$Q$5:$Q$100,B439)=1,"OK","CHECK")</x:f>
        <x:v>OK</x:v>
      </x:c>
      <x:c r="V439" t="str">
        <x:f>IF(AND(I439&gt;=1,I439&lt;=13,K439&gt;=1,K439&lt;=3),"OK","CHECK")</x:f>
        <x:v>OK</x:v>
      </x:c>
      <x:c r="W439" t="str">
        <x:f>IF(SUMIF($B$5:$B$914,B439,$S$5:$S$914)=SUMIF(DailyProduction!$Q$5:$Q$100,B439,DailyProduction!$R$5:$R$100),"OK","CHECK")</x:f>
        <x:v>OK</x:v>
      </x:c>
    </x:row>
    <x:row r="440">
      <x:c r="A440" t="str">
        <x:v>PC-PE-KG01-L23-20251022-PM-ORD-2025-00093-S07</x:v>
      </x:c>
      <x:c r="B440" t="str">
        <x:v>PE-KG01-L23-20251022-PM-ORD-2025-00093</x:v>
      </x:c>
      <x:c r="C440" t="str">
        <x:v>KG01</x:v>
      </x:c>
      <x:c r="D440" t="n">
        <x:v>45952</x:v>
      </x:c>
      <x:c r="E440" t="str">
        <x:v>PM</x:v>
      </x:c>
      <x:c r="F440" t="str">
        <x:v>C</x:v>
      </x:c>
      <x:c r="G440" t="n">
        <x:v>23</x:v>
      </x:c>
      <x:c r="H440" t="str">
        <x:v>ORD-2025-00093</x:v>
      </x:c>
      <x:c r="I440" t="n">
        <x:v>7</x:v>
      </x:c>
      <x:c r="J440" t="n">
        <x:v>12</x:v>
      </x:c>
      <x:c r="K440" t="n">
        <x:v>2</x:v>
      </x:c>
      <x:c r="L440" t="n">
        <x:f>IF(I440&lt;=J440,1,0)</x:f>
        <x:v>1</x:v>
      </x:c>
      <x:c r="P440" t="n">
        <x:f>IF(M440="",IF(AND(L440=1,K440&gt;=1),1,0),M440)</x:f>
        <x:v>1</x:v>
      </x:c>
      <x:c r="Q440" t="n">
        <x:f>IF(N440="",IF(AND(L440=1,K440&gt;=2),1,0),N440)</x:f>
        <x:v>1</x:v>
      </x:c>
      <x:c r="R440" t="n">
        <x:f>IF(O440="",IF(AND(L440=1,K440&gt;=3),1,0),O440)</x:f>
        <x:v>0</x:v>
      </x:c>
      <x:c r="S440" t="n">
        <x:f>SUM(P440:R440)</x:f>
        <x:v>2</x:v>
      </x:c>
      <x:c r="T440" t="str">
        <x:f>IF(COUNTA(M440:O440)=0,"DerivedFromCount","ManualOverride")</x:f>
        <x:v>DerivedFromCount</x:v>
      </x:c>
      <x:c r="U440" t="str">
        <x:f>IF(COUNTIF(DailyProduction!$Q$5:$Q$100,B440)=1,"OK","CHECK")</x:f>
        <x:v>OK</x:v>
      </x:c>
      <x:c r="V440" t="str">
        <x:f>IF(AND(I440&gt;=1,I440&lt;=13,K440&gt;=1,K440&lt;=3),"OK","CHECK")</x:f>
        <x:v>OK</x:v>
      </x:c>
      <x:c r="W440" t="str">
        <x:f>IF(SUMIF($B$5:$B$914,B440,$S$5:$S$914)=SUMIF(DailyProduction!$Q$5:$Q$100,B440,DailyProduction!$R$5:$R$100),"OK","CHECK")</x:f>
        <x:v>OK</x:v>
      </x:c>
    </x:row>
    <x:row r="441">
      <x:c r="A441" t="str">
        <x:v>PC-PE-KG01-L23-20251022-PM-ORD-2025-00093-S08</x:v>
      </x:c>
      <x:c r="B441" t="str">
        <x:v>PE-KG01-L23-20251022-PM-ORD-2025-00093</x:v>
      </x:c>
      <x:c r="C441" t="str">
        <x:v>KG01</x:v>
      </x:c>
      <x:c r="D441" t="n">
        <x:v>45952</x:v>
      </x:c>
      <x:c r="E441" t="str">
        <x:v>PM</x:v>
      </x:c>
      <x:c r="F441" t="str">
        <x:v>C</x:v>
      </x:c>
      <x:c r="G441" t="n">
        <x:v>23</x:v>
      </x:c>
      <x:c r="H441" t="str">
        <x:v>ORD-2025-00093</x:v>
      </x:c>
      <x:c r="I441" t="n">
        <x:v>8</x:v>
      </x:c>
      <x:c r="J441" t="n">
        <x:v>12</x:v>
      </x:c>
      <x:c r="K441" t="n">
        <x:v>2</x:v>
      </x:c>
      <x:c r="L441" t="n">
        <x:f>IF(I441&lt;=J441,1,0)</x:f>
        <x:v>1</x:v>
      </x:c>
      <x:c r="P441" t="n">
        <x:f>IF(M441="",IF(AND(L441=1,K441&gt;=1),1,0),M441)</x:f>
        <x:v>1</x:v>
      </x:c>
      <x:c r="Q441" t="n">
        <x:f>IF(N441="",IF(AND(L441=1,K441&gt;=2),1,0),N441)</x:f>
        <x:v>1</x:v>
      </x:c>
      <x:c r="R441" t="n">
        <x:f>IF(O441="",IF(AND(L441=1,K441&gt;=3),1,0),O441)</x:f>
        <x:v>0</x:v>
      </x:c>
      <x:c r="S441" t="n">
        <x:f>SUM(P441:R441)</x:f>
        <x:v>2</x:v>
      </x:c>
      <x:c r="T441" t="str">
        <x:f>IF(COUNTA(M441:O441)=0,"DerivedFromCount","ManualOverride")</x:f>
        <x:v>DerivedFromCount</x:v>
      </x:c>
      <x:c r="U441" t="str">
        <x:f>IF(COUNTIF(DailyProduction!$Q$5:$Q$100,B441)=1,"OK","CHECK")</x:f>
        <x:v>OK</x:v>
      </x:c>
      <x:c r="V441" t="str">
        <x:f>IF(AND(I441&gt;=1,I441&lt;=13,K441&gt;=1,K441&lt;=3),"OK","CHECK")</x:f>
        <x:v>OK</x:v>
      </x:c>
      <x:c r="W441" t="str">
        <x:f>IF(SUMIF($B$5:$B$914,B441,$S$5:$S$914)=SUMIF(DailyProduction!$Q$5:$Q$100,B441,DailyProduction!$R$5:$R$100),"OK","CHECK")</x:f>
        <x:v>OK</x:v>
      </x:c>
    </x:row>
    <x:row r="442">
      <x:c r="A442" t="str">
        <x:v>PC-PE-KG01-L23-20251022-PM-ORD-2025-00093-S09</x:v>
      </x:c>
      <x:c r="B442" t="str">
        <x:v>PE-KG01-L23-20251022-PM-ORD-2025-00093</x:v>
      </x:c>
      <x:c r="C442" t="str">
        <x:v>KG01</x:v>
      </x:c>
      <x:c r="D442" t="n">
        <x:v>45952</x:v>
      </x:c>
      <x:c r="E442" t="str">
        <x:v>PM</x:v>
      </x:c>
      <x:c r="F442" t="str">
        <x:v>C</x:v>
      </x:c>
      <x:c r="G442" t="n">
        <x:v>23</x:v>
      </x:c>
      <x:c r="H442" t="str">
        <x:v>ORD-2025-00093</x:v>
      </x:c>
      <x:c r="I442" t="n">
        <x:v>9</x:v>
      </x:c>
      <x:c r="J442" t="n">
        <x:v>12</x:v>
      </x:c>
      <x:c r="K442" t="n">
        <x:v>2</x:v>
      </x:c>
      <x:c r="L442" t="n">
        <x:f>IF(I442&lt;=J442,1,0)</x:f>
        <x:v>1</x:v>
      </x:c>
      <x:c r="P442" t="n">
        <x:f>IF(M442="",IF(AND(L442=1,K442&gt;=1),1,0),M442)</x:f>
        <x:v>1</x:v>
      </x:c>
      <x:c r="Q442" t="n">
        <x:f>IF(N442="",IF(AND(L442=1,K442&gt;=2),1,0),N442)</x:f>
        <x:v>1</x:v>
      </x:c>
      <x:c r="R442" t="n">
        <x:f>IF(O442="",IF(AND(L442=1,K442&gt;=3),1,0),O442)</x:f>
        <x:v>0</x:v>
      </x:c>
      <x:c r="S442" t="n">
        <x:f>SUM(P442:R442)</x:f>
        <x:v>2</x:v>
      </x:c>
      <x:c r="T442" t="str">
        <x:f>IF(COUNTA(M442:O442)=0,"DerivedFromCount","ManualOverride")</x:f>
        <x:v>DerivedFromCount</x:v>
      </x:c>
      <x:c r="U442" t="str">
        <x:f>IF(COUNTIF(DailyProduction!$Q$5:$Q$100,B442)=1,"OK","CHECK")</x:f>
        <x:v>OK</x:v>
      </x:c>
      <x:c r="V442" t="str">
        <x:f>IF(AND(I442&gt;=1,I442&lt;=13,K442&gt;=1,K442&lt;=3),"OK","CHECK")</x:f>
        <x:v>OK</x:v>
      </x:c>
      <x:c r="W442" t="str">
        <x:f>IF(SUMIF($B$5:$B$914,B442,$S$5:$S$914)=SUMIF(DailyProduction!$Q$5:$Q$100,B442,DailyProduction!$R$5:$R$100),"OK","CHECK")</x:f>
        <x:v>OK</x:v>
      </x:c>
    </x:row>
    <x:row r="443">
      <x:c r="A443" t="str">
        <x:v>PC-PE-KG01-L23-20251022-PM-ORD-2025-00093-S10</x:v>
      </x:c>
      <x:c r="B443" t="str">
        <x:v>PE-KG01-L23-20251022-PM-ORD-2025-00093</x:v>
      </x:c>
      <x:c r="C443" t="str">
        <x:v>KG01</x:v>
      </x:c>
      <x:c r="D443" t="n">
        <x:v>45952</x:v>
      </x:c>
      <x:c r="E443" t="str">
        <x:v>PM</x:v>
      </x:c>
      <x:c r="F443" t="str">
        <x:v>C</x:v>
      </x:c>
      <x:c r="G443" t="n">
        <x:v>23</x:v>
      </x:c>
      <x:c r="H443" t="str">
        <x:v>ORD-2025-00093</x:v>
      </x:c>
      <x:c r="I443" t="n">
        <x:v>10</x:v>
      </x:c>
      <x:c r="J443" t="n">
        <x:v>12</x:v>
      </x:c>
      <x:c r="K443" t="n">
        <x:v>2</x:v>
      </x:c>
      <x:c r="L443" t="n">
        <x:f>IF(I443&lt;=J443,1,0)</x:f>
        <x:v>1</x:v>
      </x:c>
      <x:c r="P443" t="n">
        <x:f>IF(M443="",IF(AND(L443=1,K443&gt;=1),1,0),M443)</x:f>
        <x:v>1</x:v>
      </x:c>
      <x:c r="Q443" t="n">
        <x:f>IF(N443="",IF(AND(L443=1,K443&gt;=2),1,0),N443)</x:f>
        <x:v>1</x:v>
      </x:c>
      <x:c r="R443" t="n">
        <x:f>IF(O443="",IF(AND(L443=1,K443&gt;=3),1,0),O443)</x:f>
        <x:v>0</x:v>
      </x:c>
      <x:c r="S443" t="n">
        <x:f>SUM(P443:R443)</x:f>
        <x:v>2</x:v>
      </x:c>
      <x:c r="T443" t="str">
        <x:f>IF(COUNTA(M443:O443)=0,"DerivedFromCount","ManualOverride")</x:f>
        <x:v>DerivedFromCount</x:v>
      </x:c>
      <x:c r="U443" t="str">
        <x:f>IF(COUNTIF(DailyProduction!$Q$5:$Q$100,B443)=1,"OK","CHECK")</x:f>
        <x:v>OK</x:v>
      </x:c>
      <x:c r="V443" t="str">
        <x:f>IF(AND(I443&gt;=1,I443&lt;=13,K443&gt;=1,K443&lt;=3),"OK","CHECK")</x:f>
        <x:v>OK</x:v>
      </x:c>
      <x:c r="W443" t="str">
        <x:f>IF(SUMIF($B$5:$B$914,B443,$S$5:$S$914)=SUMIF(DailyProduction!$Q$5:$Q$100,B443,DailyProduction!$R$5:$R$100),"OK","CHECK")</x:f>
        <x:v>OK</x:v>
      </x:c>
    </x:row>
    <x:row r="444">
      <x:c r="A444" t="str">
        <x:v>PC-PE-KG01-L23-20251022-PM-ORD-2025-00093-S11</x:v>
      </x:c>
      <x:c r="B444" t="str">
        <x:v>PE-KG01-L23-20251022-PM-ORD-2025-00093</x:v>
      </x:c>
      <x:c r="C444" t="str">
        <x:v>KG01</x:v>
      </x:c>
      <x:c r="D444" t="n">
        <x:v>45952</x:v>
      </x:c>
      <x:c r="E444" t="str">
        <x:v>PM</x:v>
      </x:c>
      <x:c r="F444" t="str">
        <x:v>C</x:v>
      </x:c>
      <x:c r="G444" t="n">
        <x:v>23</x:v>
      </x:c>
      <x:c r="H444" t="str">
        <x:v>ORD-2025-00093</x:v>
      </x:c>
      <x:c r="I444" t="n">
        <x:v>11</x:v>
      </x:c>
      <x:c r="J444" t="n">
        <x:v>12</x:v>
      </x:c>
      <x:c r="K444" t="n">
        <x:v>2</x:v>
      </x:c>
      <x:c r="L444" t="n">
        <x:f>IF(I444&lt;=J444,1,0)</x:f>
        <x:v>1</x:v>
      </x:c>
      <x:c r="P444" t="n">
        <x:f>IF(M444="",IF(AND(L444=1,K444&gt;=1),1,0),M444)</x:f>
        <x:v>1</x:v>
      </x:c>
      <x:c r="Q444" t="n">
        <x:f>IF(N444="",IF(AND(L444=1,K444&gt;=2),1,0),N444)</x:f>
        <x:v>1</x:v>
      </x:c>
      <x:c r="R444" t="n">
        <x:f>IF(O444="",IF(AND(L444=1,K444&gt;=3),1,0),O444)</x:f>
        <x:v>0</x:v>
      </x:c>
      <x:c r="S444" t="n">
        <x:f>SUM(P444:R444)</x:f>
        <x:v>2</x:v>
      </x:c>
      <x:c r="T444" t="str">
        <x:f>IF(COUNTA(M444:O444)=0,"DerivedFromCount","ManualOverride")</x:f>
        <x:v>DerivedFromCount</x:v>
      </x:c>
      <x:c r="U444" t="str">
        <x:f>IF(COUNTIF(DailyProduction!$Q$5:$Q$100,B444)=1,"OK","CHECK")</x:f>
        <x:v>OK</x:v>
      </x:c>
      <x:c r="V444" t="str">
        <x:f>IF(AND(I444&gt;=1,I444&lt;=13,K444&gt;=1,K444&lt;=3),"OK","CHECK")</x:f>
        <x:v>OK</x:v>
      </x:c>
      <x:c r="W444" t="str">
        <x:f>IF(SUMIF($B$5:$B$914,B444,$S$5:$S$914)=SUMIF(DailyProduction!$Q$5:$Q$100,B444,DailyProduction!$R$5:$R$100),"OK","CHECK")</x:f>
        <x:v>OK</x:v>
      </x:c>
    </x:row>
    <x:row r="445">
      <x:c r="A445" t="str">
        <x:v>PC-PE-KG01-L23-20251022-PM-ORD-2025-00093-S12</x:v>
      </x:c>
      <x:c r="B445" t="str">
        <x:v>PE-KG01-L23-20251022-PM-ORD-2025-00093</x:v>
      </x:c>
      <x:c r="C445" t="str">
        <x:v>KG01</x:v>
      </x:c>
      <x:c r="D445" t="n">
        <x:v>45952</x:v>
      </x:c>
      <x:c r="E445" t="str">
        <x:v>PM</x:v>
      </x:c>
      <x:c r="F445" t="str">
        <x:v>C</x:v>
      </x:c>
      <x:c r="G445" t="n">
        <x:v>23</x:v>
      </x:c>
      <x:c r="H445" t="str">
        <x:v>ORD-2025-00093</x:v>
      </x:c>
      <x:c r="I445" t="n">
        <x:v>12</x:v>
      </x:c>
      <x:c r="J445" t="n">
        <x:v>12</x:v>
      </x:c>
      <x:c r="K445" t="n">
        <x:v>2</x:v>
      </x:c>
      <x:c r="L445" t="n">
        <x:f>IF(I445&lt;=J445,1,0)</x:f>
        <x:v>1</x:v>
      </x:c>
      <x:c r="P445" t="n">
        <x:f>IF(M445="",IF(AND(L445=1,K445&gt;=1),1,0),M445)</x:f>
        <x:v>1</x:v>
      </x:c>
      <x:c r="Q445" t="n">
        <x:f>IF(N445="",IF(AND(L445=1,K445&gt;=2),1,0),N445)</x:f>
        <x:v>1</x:v>
      </x:c>
      <x:c r="R445" t="n">
        <x:f>IF(O445="",IF(AND(L445=1,K445&gt;=3),1,0),O445)</x:f>
        <x:v>0</x:v>
      </x:c>
      <x:c r="S445" t="n">
        <x:f>SUM(P445:R445)</x:f>
        <x:v>2</x:v>
      </x:c>
      <x:c r="T445" t="str">
        <x:f>IF(COUNTA(M445:O445)=0,"DerivedFromCount","ManualOverride")</x:f>
        <x:v>DerivedFromCount</x:v>
      </x:c>
      <x:c r="U445" t="str">
        <x:f>IF(COUNTIF(DailyProduction!$Q$5:$Q$100,B445)=1,"OK","CHECK")</x:f>
        <x:v>OK</x:v>
      </x:c>
      <x:c r="V445" t="str">
        <x:f>IF(AND(I445&gt;=1,I445&lt;=13,K445&gt;=1,K445&lt;=3),"OK","CHECK")</x:f>
        <x:v>OK</x:v>
      </x:c>
      <x:c r="W445" t="str">
        <x:f>IF(SUMIF($B$5:$B$914,B445,$S$5:$S$914)=SUMIF(DailyProduction!$Q$5:$Q$100,B445,DailyProduction!$R$5:$R$100),"OK","CHECK")</x:f>
        <x:v>OK</x:v>
      </x:c>
    </x:row>
    <x:row r="446">
      <x:c r="A446" t="str">
        <x:v>PC-PE-KG01-L23-20251022-PM-ORD-2025-00093-S13</x:v>
      </x:c>
      <x:c r="B446" t="str">
        <x:v>PE-KG01-L23-20251022-PM-ORD-2025-00093</x:v>
      </x:c>
      <x:c r="C446" t="str">
        <x:v>KG01</x:v>
      </x:c>
      <x:c r="D446" t="n">
        <x:v>45952</x:v>
      </x:c>
      <x:c r="E446" t="str">
        <x:v>PM</x:v>
      </x:c>
      <x:c r="F446" t="str">
        <x:v>C</x:v>
      </x:c>
      <x:c r="G446" t="n">
        <x:v>23</x:v>
      </x:c>
      <x:c r="H446" t="str">
        <x:v>ORD-2025-00093</x:v>
      </x:c>
      <x:c r="I446" t="n">
        <x:v>13</x:v>
      </x:c>
      <x:c r="J446" t="n">
        <x:v>12</x:v>
      </x:c>
      <x:c r="K446" t="n">
        <x:v>2</x:v>
      </x:c>
      <x:c r="L446" t="n">
        <x:f>IF(I446&lt;=J446,1,0)</x:f>
        <x:v>0</x:v>
      </x:c>
      <x:c r="P446" t="n">
        <x:f>IF(M446="",IF(AND(L446=1,K446&gt;=1),1,0),M446)</x:f>
        <x:v>0</x:v>
      </x:c>
      <x:c r="Q446" t="n">
        <x:f>IF(N446="",IF(AND(L446=1,K446&gt;=2),1,0),N446)</x:f>
        <x:v>0</x:v>
      </x:c>
      <x:c r="R446" t="n">
        <x:f>IF(O446="",IF(AND(L446=1,K446&gt;=3),1,0),O446)</x:f>
        <x:v>0</x:v>
      </x:c>
      <x:c r="S446" t="n">
        <x:f>SUM(P446:R446)</x:f>
        <x:v>0</x:v>
      </x:c>
      <x:c r="T446" t="str">
        <x:f>IF(COUNTA(M446:O446)=0,"DerivedFromCount","ManualOverride")</x:f>
        <x:v>DerivedFromCount</x:v>
      </x:c>
      <x:c r="U446" t="str">
        <x:f>IF(COUNTIF(DailyProduction!$Q$5:$Q$100,B446)=1,"OK","CHECK")</x:f>
        <x:v>OK</x:v>
      </x:c>
      <x:c r="V446" t="str">
        <x:f>IF(AND(I446&gt;=1,I446&lt;=13,K446&gt;=1,K446&lt;=3),"OK","CHECK")</x:f>
        <x:v>OK</x:v>
      </x:c>
      <x:c r="W446" t="str">
        <x:f>IF(SUMIF($B$5:$B$914,B446,$S$5:$S$914)=SUMIF(DailyProduction!$Q$5:$Q$100,B446,DailyProduction!$R$5:$R$100),"OK","CHECK")</x:f>
        <x:v>OK</x:v>
      </x:c>
    </x:row>
    <x:row r="447">
      <x:c r="A447" t="str">
        <x:v>PC-PE-KG01-L23-20251023-AM-ORD-2025-00093-S01</x:v>
      </x:c>
      <x:c r="B447" t="str">
        <x:v>PE-KG01-L23-20251023-AM-ORD-2025-00093</x:v>
      </x:c>
      <x:c r="C447" t="str">
        <x:v>KG01</x:v>
      </x:c>
      <x:c r="D447" t="n">
        <x:v>45953</x:v>
      </x:c>
      <x:c r="E447" t="str">
        <x:v>AM</x:v>
      </x:c>
      <x:c r="F447" t="str">
        <x:v>C</x:v>
      </x:c>
      <x:c r="G447" t="n">
        <x:v>23</x:v>
      </x:c>
      <x:c r="H447" t="str">
        <x:v>ORD-2025-00093</x:v>
      </x:c>
      <x:c r="I447" t="n">
        <x:v>1</x:v>
      </x:c>
      <x:c r="J447" t="n">
        <x:v>12</x:v>
      </x:c>
      <x:c r="K447" t="n">
        <x:v>2</x:v>
      </x:c>
      <x:c r="L447" t="n">
        <x:f>IF(I447&lt;=J447,1,0)</x:f>
        <x:v>1</x:v>
      </x:c>
      <x:c r="P447" t="n">
        <x:f>IF(M447="",IF(AND(L447=1,K447&gt;=1),1,0),M447)</x:f>
        <x:v>1</x:v>
      </x:c>
      <x:c r="Q447" t="n">
        <x:f>IF(N447="",IF(AND(L447=1,K447&gt;=2),1,0),N447)</x:f>
        <x:v>1</x:v>
      </x:c>
      <x:c r="R447" t="n">
        <x:f>IF(O447="",IF(AND(L447=1,K447&gt;=3),1,0),O447)</x:f>
        <x:v>0</x:v>
      </x:c>
      <x:c r="S447" t="n">
        <x:f>SUM(P447:R447)</x:f>
        <x:v>2</x:v>
      </x:c>
      <x:c r="T447" t="str">
        <x:f>IF(COUNTA(M447:O447)=0,"DerivedFromCount","ManualOverride")</x:f>
        <x:v>DerivedFromCount</x:v>
      </x:c>
      <x:c r="U447" t="str">
        <x:f>IF(COUNTIF(DailyProduction!$Q$5:$Q$100,B447)=1,"OK","CHECK")</x:f>
        <x:v>OK</x:v>
      </x:c>
      <x:c r="V447" t="str">
        <x:f>IF(AND(I447&gt;=1,I447&lt;=13,K447&gt;=1,K447&lt;=3),"OK","CHECK")</x:f>
        <x:v>OK</x:v>
      </x:c>
      <x:c r="W447" t="str">
        <x:f>IF(SUMIF($B$5:$B$914,B447,$S$5:$S$914)=SUMIF(DailyProduction!$Q$5:$Q$100,B447,DailyProduction!$R$5:$R$100),"OK","CHECK")</x:f>
        <x:v>OK</x:v>
      </x:c>
    </x:row>
    <x:row r="448">
      <x:c r="A448" t="str">
        <x:v>PC-PE-KG01-L23-20251023-AM-ORD-2025-00093-S02</x:v>
      </x:c>
      <x:c r="B448" t="str">
        <x:v>PE-KG01-L23-20251023-AM-ORD-2025-00093</x:v>
      </x:c>
      <x:c r="C448" t="str">
        <x:v>KG01</x:v>
      </x:c>
      <x:c r="D448" t="n">
        <x:v>45953</x:v>
      </x:c>
      <x:c r="E448" t="str">
        <x:v>AM</x:v>
      </x:c>
      <x:c r="F448" t="str">
        <x:v>C</x:v>
      </x:c>
      <x:c r="G448" t="n">
        <x:v>23</x:v>
      </x:c>
      <x:c r="H448" t="str">
        <x:v>ORD-2025-00093</x:v>
      </x:c>
      <x:c r="I448" t="n">
        <x:v>2</x:v>
      </x:c>
      <x:c r="J448" t="n">
        <x:v>12</x:v>
      </x:c>
      <x:c r="K448" t="n">
        <x:v>2</x:v>
      </x:c>
      <x:c r="L448" t="n">
        <x:f>IF(I448&lt;=J448,1,0)</x:f>
        <x:v>1</x:v>
      </x:c>
      <x:c r="P448" t="n">
        <x:f>IF(M448="",IF(AND(L448=1,K448&gt;=1),1,0),M448)</x:f>
        <x:v>1</x:v>
      </x:c>
      <x:c r="Q448" t="n">
        <x:f>IF(N448="",IF(AND(L448=1,K448&gt;=2),1,0),N448)</x:f>
        <x:v>1</x:v>
      </x:c>
      <x:c r="R448" t="n">
        <x:f>IF(O448="",IF(AND(L448=1,K448&gt;=3),1,0),O448)</x:f>
        <x:v>0</x:v>
      </x:c>
      <x:c r="S448" t="n">
        <x:f>SUM(P448:R448)</x:f>
        <x:v>2</x:v>
      </x:c>
      <x:c r="T448" t="str">
        <x:f>IF(COUNTA(M448:O448)=0,"DerivedFromCount","ManualOverride")</x:f>
        <x:v>DerivedFromCount</x:v>
      </x:c>
      <x:c r="U448" t="str">
        <x:f>IF(COUNTIF(DailyProduction!$Q$5:$Q$100,B448)=1,"OK","CHECK")</x:f>
        <x:v>OK</x:v>
      </x:c>
      <x:c r="V448" t="str">
        <x:f>IF(AND(I448&gt;=1,I448&lt;=13,K448&gt;=1,K448&lt;=3),"OK","CHECK")</x:f>
        <x:v>OK</x:v>
      </x:c>
      <x:c r="W448" t="str">
        <x:f>IF(SUMIF($B$5:$B$914,B448,$S$5:$S$914)=SUMIF(DailyProduction!$Q$5:$Q$100,B448,DailyProduction!$R$5:$R$100),"OK","CHECK")</x:f>
        <x:v>OK</x:v>
      </x:c>
    </x:row>
    <x:row r="449">
      <x:c r="A449" t="str">
        <x:v>PC-PE-KG01-L23-20251023-AM-ORD-2025-00093-S03</x:v>
      </x:c>
      <x:c r="B449" t="str">
        <x:v>PE-KG01-L23-20251023-AM-ORD-2025-00093</x:v>
      </x:c>
      <x:c r="C449" t="str">
        <x:v>KG01</x:v>
      </x:c>
      <x:c r="D449" t="n">
        <x:v>45953</x:v>
      </x:c>
      <x:c r="E449" t="str">
        <x:v>AM</x:v>
      </x:c>
      <x:c r="F449" t="str">
        <x:v>C</x:v>
      </x:c>
      <x:c r="G449" t="n">
        <x:v>23</x:v>
      </x:c>
      <x:c r="H449" t="str">
        <x:v>ORD-2025-00093</x:v>
      </x:c>
      <x:c r="I449" t="n">
        <x:v>3</x:v>
      </x:c>
      <x:c r="J449" t="n">
        <x:v>12</x:v>
      </x:c>
      <x:c r="K449" t="n">
        <x:v>2</x:v>
      </x:c>
      <x:c r="L449" t="n">
        <x:f>IF(I449&lt;=J449,1,0)</x:f>
        <x:v>1</x:v>
      </x:c>
      <x:c r="P449" t="n">
        <x:f>IF(M449="",IF(AND(L449=1,K449&gt;=1),1,0),M449)</x:f>
        <x:v>1</x:v>
      </x:c>
      <x:c r="Q449" t="n">
        <x:f>IF(N449="",IF(AND(L449=1,K449&gt;=2),1,0),N449)</x:f>
        <x:v>1</x:v>
      </x:c>
      <x:c r="R449" t="n">
        <x:f>IF(O449="",IF(AND(L449=1,K449&gt;=3),1,0),O449)</x:f>
        <x:v>0</x:v>
      </x:c>
      <x:c r="S449" t="n">
        <x:f>SUM(P449:R449)</x:f>
        <x:v>2</x:v>
      </x:c>
      <x:c r="T449" t="str">
        <x:f>IF(COUNTA(M449:O449)=0,"DerivedFromCount","ManualOverride")</x:f>
        <x:v>DerivedFromCount</x:v>
      </x:c>
      <x:c r="U449" t="str">
        <x:f>IF(COUNTIF(DailyProduction!$Q$5:$Q$100,B449)=1,"OK","CHECK")</x:f>
        <x:v>OK</x:v>
      </x:c>
      <x:c r="V449" t="str">
        <x:f>IF(AND(I449&gt;=1,I449&lt;=13,K449&gt;=1,K449&lt;=3),"OK","CHECK")</x:f>
        <x:v>OK</x:v>
      </x:c>
      <x:c r="W449" t="str">
        <x:f>IF(SUMIF($B$5:$B$914,B449,$S$5:$S$914)=SUMIF(DailyProduction!$Q$5:$Q$100,B449,DailyProduction!$R$5:$R$100),"OK","CHECK")</x:f>
        <x:v>OK</x:v>
      </x:c>
    </x:row>
    <x:row r="450">
      <x:c r="A450" t="str">
        <x:v>PC-PE-KG01-L23-20251023-AM-ORD-2025-00093-S04</x:v>
      </x:c>
      <x:c r="B450" t="str">
        <x:v>PE-KG01-L23-20251023-AM-ORD-2025-00093</x:v>
      </x:c>
      <x:c r="C450" t="str">
        <x:v>KG01</x:v>
      </x:c>
      <x:c r="D450" t="n">
        <x:v>45953</x:v>
      </x:c>
      <x:c r="E450" t="str">
        <x:v>AM</x:v>
      </x:c>
      <x:c r="F450" t="str">
        <x:v>C</x:v>
      </x:c>
      <x:c r="G450" t="n">
        <x:v>23</x:v>
      </x:c>
      <x:c r="H450" t="str">
        <x:v>ORD-2025-00093</x:v>
      </x:c>
      <x:c r="I450" t="n">
        <x:v>4</x:v>
      </x:c>
      <x:c r="J450" t="n">
        <x:v>12</x:v>
      </x:c>
      <x:c r="K450" t="n">
        <x:v>2</x:v>
      </x:c>
      <x:c r="L450" t="n">
        <x:f>IF(I450&lt;=J450,1,0)</x:f>
        <x:v>1</x:v>
      </x:c>
      <x:c r="P450" t="n">
        <x:f>IF(M450="",IF(AND(L450=1,K450&gt;=1),1,0),M450)</x:f>
        <x:v>1</x:v>
      </x:c>
      <x:c r="Q450" t="n">
        <x:f>IF(N450="",IF(AND(L450=1,K450&gt;=2),1,0),N450)</x:f>
        <x:v>1</x:v>
      </x:c>
      <x:c r="R450" t="n">
        <x:f>IF(O450="",IF(AND(L450=1,K450&gt;=3),1,0),O450)</x:f>
        <x:v>0</x:v>
      </x:c>
      <x:c r="S450" t="n">
        <x:f>SUM(P450:R450)</x:f>
        <x:v>2</x:v>
      </x:c>
      <x:c r="T450" t="str">
        <x:f>IF(COUNTA(M450:O450)=0,"DerivedFromCount","ManualOverride")</x:f>
        <x:v>DerivedFromCount</x:v>
      </x:c>
      <x:c r="U450" t="str">
        <x:f>IF(COUNTIF(DailyProduction!$Q$5:$Q$100,B450)=1,"OK","CHECK")</x:f>
        <x:v>OK</x:v>
      </x:c>
      <x:c r="V450" t="str">
        <x:f>IF(AND(I450&gt;=1,I450&lt;=13,K450&gt;=1,K450&lt;=3),"OK","CHECK")</x:f>
        <x:v>OK</x:v>
      </x:c>
      <x:c r="W450" t="str">
        <x:f>IF(SUMIF($B$5:$B$914,B450,$S$5:$S$914)=SUMIF(DailyProduction!$Q$5:$Q$100,B450,DailyProduction!$R$5:$R$100),"OK","CHECK")</x:f>
        <x:v>OK</x:v>
      </x:c>
    </x:row>
    <x:row r="451">
      <x:c r="A451" t="str">
        <x:v>PC-PE-KG01-L23-20251023-AM-ORD-2025-00093-S05</x:v>
      </x:c>
      <x:c r="B451" t="str">
        <x:v>PE-KG01-L23-20251023-AM-ORD-2025-00093</x:v>
      </x:c>
      <x:c r="C451" t="str">
        <x:v>KG01</x:v>
      </x:c>
      <x:c r="D451" t="n">
        <x:v>45953</x:v>
      </x:c>
      <x:c r="E451" t="str">
        <x:v>AM</x:v>
      </x:c>
      <x:c r="F451" t="str">
        <x:v>C</x:v>
      </x:c>
      <x:c r="G451" t="n">
        <x:v>23</x:v>
      </x:c>
      <x:c r="H451" t="str">
        <x:v>ORD-2025-00093</x:v>
      </x:c>
      <x:c r="I451" t="n">
        <x:v>5</x:v>
      </x:c>
      <x:c r="J451" t="n">
        <x:v>12</x:v>
      </x:c>
      <x:c r="K451" t="n">
        <x:v>2</x:v>
      </x:c>
      <x:c r="L451" t="n">
        <x:f>IF(I451&lt;=J451,1,0)</x:f>
        <x:v>1</x:v>
      </x:c>
      <x:c r="P451" t="n">
        <x:f>IF(M451="",IF(AND(L451=1,K451&gt;=1),1,0),M451)</x:f>
        <x:v>1</x:v>
      </x:c>
      <x:c r="Q451" t="n">
        <x:f>IF(N451="",IF(AND(L451=1,K451&gt;=2),1,0),N451)</x:f>
        <x:v>1</x:v>
      </x:c>
      <x:c r="R451" t="n">
        <x:f>IF(O451="",IF(AND(L451=1,K451&gt;=3),1,0),O451)</x:f>
        <x:v>0</x:v>
      </x:c>
      <x:c r="S451" t="n">
        <x:f>SUM(P451:R451)</x:f>
        <x:v>2</x:v>
      </x:c>
      <x:c r="T451" t="str">
        <x:f>IF(COUNTA(M451:O451)=0,"DerivedFromCount","ManualOverride")</x:f>
        <x:v>DerivedFromCount</x:v>
      </x:c>
      <x:c r="U451" t="str">
        <x:f>IF(COUNTIF(DailyProduction!$Q$5:$Q$100,B451)=1,"OK","CHECK")</x:f>
        <x:v>OK</x:v>
      </x:c>
      <x:c r="V451" t="str">
        <x:f>IF(AND(I451&gt;=1,I451&lt;=13,K451&gt;=1,K451&lt;=3),"OK","CHECK")</x:f>
        <x:v>OK</x:v>
      </x:c>
      <x:c r="W451" t="str">
        <x:f>IF(SUMIF($B$5:$B$914,B451,$S$5:$S$914)=SUMIF(DailyProduction!$Q$5:$Q$100,B451,DailyProduction!$R$5:$R$100),"OK","CHECK")</x:f>
        <x:v>OK</x:v>
      </x:c>
    </x:row>
    <x:row r="452">
      <x:c r="A452" t="str">
        <x:v>PC-PE-KG01-L23-20251023-AM-ORD-2025-00093-S06</x:v>
      </x:c>
      <x:c r="B452" t="str">
        <x:v>PE-KG01-L23-20251023-AM-ORD-2025-00093</x:v>
      </x:c>
      <x:c r="C452" t="str">
        <x:v>KG01</x:v>
      </x:c>
      <x:c r="D452" t="n">
        <x:v>45953</x:v>
      </x:c>
      <x:c r="E452" t="str">
        <x:v>AM</x:v>
      </x:c>
      <x:c r="F452" t="str">
        <x:v>C</x:v>
      </x:c>
      <x:c r="G452" t="n">
        <x:v>23</x:v>
      </x:c>
      <x:c r="H452" t="str">
        <x:v>ORD-2025-00093</x:v>
      </x:c>
      <x:c r="I452" t="n">
        <x:v>6</x:v>
      </x:c>
      <x:c r="J452" t="n">
        <x:v>12</x:v>
      </x:c>
      <x:c r="K452" t="n">
        <x:v>2</x:v>
      </x:c>
      <x:c r="L452" t="n">
        <x:f>IF(I452&lt;=J452,1,0)</x:f>
        <x:v>1</x:v>
      </x:c>
      <x:c r="P452" t="n">
        <x:f>IF(M452="",IF(AND(L452=1,K452&gt;=1),1,0),M452)</x:f>
        <x:v>1</x:v>
      </x:c>
      <x:c r="Q452" t="n">
        <x:f>IF(N452="",IF(AND(L452=1,K452&gt;=2),1,0),N452)</x:f>
        <x:v>1</x:v>
      </x:c>
      <x:c r="R452" t="n">
        <x:f>IF(O452="",IF(AND(L452=1,K452&gt;=3),1,0),O452)</x:f>
        <x:v>0</x:v>
      </x:c>
      <x:c r="S452" t="n">
        <x:f>SUM(P452:R452)</x:f>
        <x:v>2</x:v>
      </x:c>
      <x:c r="T452" t="str">
        <x:f>IF(COUNTA(M452:O452)=0,"DerivedFromCount","ManualOverride")</x:f>
        <x:v>DerivedFromCount</x:v>
      </x:c>
      <x:c r="U452" t="str">
        <x:f>IF(COUNTIF(DailyProduction!$Q$5:$Q$100,B452)=1,"OK","CHECK")</x:f>
        <x:v>OK</x:v>
      </x:c>
      <x:c r="V452" t="str">
        <x:f>IF(AND(I452&gt;=1,I452&lt;=13,K452&gt;=1,K452&lt;=3),"OK","CHECK")</x:f>
        <x:v>OK</x:v>
      </x:c>
      <x:c r="W452" t="str">
        <x:f>IF(SUMIF($B$5:$B$914,B452,$S$5:$S$914)=SUMIF(DailyProduction!$Q$5:$Q$100,B452,DailyProduction!$R$5:$R$100),"OK","CHECK")</x:f>
        <x:v>OK</x:v>
      </x:c>
    </x:row>
    <x:row r="453">
      <x:c r="A453" t="str">
        <x:v>PC-PE-KG01-L23-20251023-AM-ORD-2025-00093-S07</x:v>
      </x:c>
      <x:c r="B453" t="str">
        <x:v>PE-KG01-L23-20251023-AM-ORD-2025-00093</x:v>
      </x:c>
      <x:c r="C453" t="str">
        <x:v>KG01</x:v>
      </x:c>
      <x:c r="D453" t="n">
        <x:v>45953</x:v>
      </x:c>
      <x:c r="E453" t="str">
        <x:v>AM</x:v>
      </x:c>
      <x:c r="F453" t="str">
        <x:v>C</x:v>
      </x:c>
      <x:c r="G453" t="n">
        <x:v>23</x:v>
      </x:c>
      <x:c r="H453" t="str">
        <x:v>ORD-2025-00093</x:v>
      </x:c>
      <x:c r="I453" t="n">
        <x:v>7</x:v>
      </x:c>
      <x:c r="J453" t="n">
        <x:v>12</x:v>
      </x:c>
      <x:c r="K453" t="n">
        <x:v>2</x:v>
      </x:c>
      <x:c r="L453" t="n">
        <x:f>IF(I453&lt;=J453,1,0)</x:f>
        <x:v>1</x:v>
      </x:c>
      <x:c r="P453" t="n">
        <x:f>IF(M453="",IF(AND(L453=1,K453&gt;=1),1,0),M453)</x:f>
        <x:v>1</x:v>
      </x:c>
      <x:c r="Q453" t="n">
        <x:f>IF(N453="",IF(AND(L453=1,K453&gt;=2),1,0),N453)</x:f>
        <x:v>1</x:v>
      </x:c>
      <x:c r="R453" t="n">
        <x:f>IF(O453="",IF(AND(L453=1,K453&gt;=3),1,0),O453)</x:f>
        <x:v>0</x:v>
      </x:c>
      <x:c r="S453" t="n">
        <x:f>SUM(P453:R453)</x:f>
        <x:v>2</x:v>
      </x:c>
      <x:c r="T453" t="str">
        <x:f>IF(COUNTA(M453:O453)=0,"DerivedFromCount","ManualOverride")</x:f>
        <x:v>DerivedFromCount</x:v>
      </x:c>
      <x:c r="U453" t="str">
        <x:f>IF(COUNTIF(DailyProduction!$Q$5:$Q$100,B453)=1,"OK","CHECK")</x:f>
        <x:v>OK</x:v>
      </x:c>
      <x:c r="V453" t="str">
        <x:f>IF(AND(I453&gt;=1,I453&lt;=13,K453&gt;=1,K453&lt;=3),"OK","CHECK")</x:f>
        <x:v>OK</x:v>
      </x:c>
      <x:c r="W453" t="str">
        <x:f>IF(SUMIF($B$5:$B$914,B453,$S$5:$S$914)=SUMIF(DailyProduction!$Q$5:$Q$100,B453,DailyProduction!$R$5:$R$100),"OK","CHECK")</x:f>
        <x:v>OK</x:v>
      </x:c>
    </x:row>
    <x:row r="454">
      <x:c r="A454" t="str">
        <x:v>PC-PE-KG01-L23-20251023-AM-ORD-2025-00093-S08</x:v>
      </x:c>
      <x:c r="B454" t="str">
        <x:v>PE-KG01-L23-20251023-AM-ORD-2025-00093</x:v>
      </x:c>
      <x:c r="C454" t="str">
        <x:v>KG01</x:v>
      </x:c>
      <x:c r="D454" t="n">
        <x:v>45953</x:v>
      </x:c>
      <x:c r="E454" t="str">
        <x:v>AM</x:v>
      </x:c>
      <x:c r="F454" t="str">
        <x:v>C</x:v>
      </x:c>
      <x:c r="G454" t="n">
        <x:v>23</x:v>
      </x:c>
      <x:c r="H454" t="str">
        <x:v>ORD-2025-00093</x:v>
      </x:c>
      <x:c r="I454" t="n">
        <x:v>8</x:v>
      </x:c>
      <x:c r="J454" t="n">
        <x:v>12</x:v>
      </x:c>
      <x:c r="K454" t="n">
        <x:v>2</x:v>
      </x:c>
      <x:c r="L454" t="n">
        <x:f>IF(I454&lt;=J454,1,0)</x:f>
        <x:v>1</x:v>
      </x:c>
      <x:c r="P454" t="n">
        <x:f>IF(M454="",IF(AND(L454=1,K454&gt;=1),1,0),M454)</x:f>
        <x:v>1</x:v>
      </x:c>
      <x:c r="Q454" t="n">
        <x:f>IF(N454="",IF(AND(L454=1,K454&gt;=2),1,0),N454)</x:f>
        <x:v>1</x:v>
      </x:c>
      <x:c r="R454" t="n">
        <x:f>IF(O454="",IF(AND(L454=1,K454&gt;=3),1,0),O454)</x:f>
        <x:v>0</x:v>
      </x:c>
      <x:c r="S454" t="n">
        <x:f>SUM(P454:R454)</x:f>
        <x:v>2</x:v>
      </x:c>
      <x:c r="T454" t="str">
        <x:f>IF(COUNTA(M454:O454)=0,"DerivedFromCount","ManualOverride")</x:f>
        <x:v>DerivedFromCount</x:v>
      </x:c>
      <x:c r="U454" t="str">
        <x:f>IF(COUNTIF(DailyProduction!$Q$5:$Q$100,B454)=1,"OK","CHECK")</x:f>
        <x:v>OK</x:v>
      </x:c>
      <x:c r="V454" t="str">
        <x:f>IF(AND(I454&gt;=1,I454&lt;=13,K454&gt;=1,K454&lt;=3),"OK","CHECK")</x:f>
        <x:v>OK</x:v>
      </x:c>
      <x:c r="W454" t="str">
        <x:f>IF(SUMIF($B$5:$B$914,B454,$S$5:$S$914)=SUMIF(DailyProduction!$Q$5:$Q$100,B454,DailyProduction!$R$5:$R$100),"OK","CHECK")</x:f>
        <x:v>OK</x:v>
      </x:c>
    </x:row>
    <x:row r="455">
      <x:c r="A455" t="str">
        <x:v>PC-PE-KG01-L23-20251023-AM-ORD-2025-00093-S09</x:v>
      </x:c>
      <x:c r="B455" t="str">
        <x:v>PE-KG01-L23-20251023-AM-ORD-2025-00093</x:v>
      </x:c>
      <x:c r="C455" t="str">
        <x:v>KG01</x:v>
      </x:c>
      <x:c r="D455" t="n">
        <x:v>45953</x:v>
      </x:c>
      <x:c r="E455" t="str">
        <x:v>AM</x:v>
      </x:c>
      <x:c r="F455" t="str">
        <x:v>C</x:v>
      </x:c>
      <x:c r="G455" t="n">
        <x:v>23</x:v>
      </x:c>
      <x:c r="H455" t="str">
        <x:v>ORD-2025-00093</x:v>
      </x:c>
      <x:c r="I455" t="n">
        <x:v>9</x:v>
      </x:c>
      <x:c r="J455" t="n">
        <x:v>12</x:v>
      </x:c>
      <x:c r="K455" t="n">
        <x:v>2</x:v>
      </x:c>
      <x:c r="L455" t="n">
        <x:f>IF(I455&lt;=J455,1,0)</x:f>
        <x:v>1</x:v>
      </x:c>
      <x:c r="P455" t="n">
        <x:f>IF(M455="",IF(AND(L455=1,K455&gt;=1),1,0),M455)</x:f>
        <x:v>1</x:v>
      </x:c>
      <x:c r="Q455" t="n">
        <x:f>IF(N455="",IF(AND(L455=1,K455&gt;=2),1,0),N455)</x:f>
        <x:v>1</x:v>
      </x:c>
      <x:c r="R455" t="n">
        <x:f>IF(O455="",IF(AND(L455=1,K455&gt;=3),1,0),O455)</x:f>
        <x:v>0</x:v>
      </x:c>
      <x:c r="S455" t="n">
        <x:f>SUM(P455:R455)</x:f>
        <x:v>2</x:v>
      </x:c>
      <x:c r="T455" t="str">
        <x:f>IF(COUNTA(M455:O455)=0,"DerivedFromCount","ManualOverride")</x:f>
        <x:v>DerivedFromCount</x:v>
      </x:c>
      <x:c r="U455" t="str">
        <x:f>IF(COUNTIF(DailyProduction!$Q$5:$Q$100,B455)=1,"OK","CHECK")</x:f>
        <x:v>OK</x:v>
      </x:c>
      <x:c r="V455" t="str">
        <x:f>IF(AND(I455&gt;=1,I455&lt;=13,K455&gt;=1,K455&lt;=3),"OK","CHECK")</x:f>
        <x:v>OK</x:v>
      </x:c>
      <x:c r="W455" t="str">
        <x:f>IF(SUMIF($B$5:$B$914,B455,$S$5:$S$914)=SUMIF(DailyProduction!$Q$5:$Q$100,B455,DailyProduction!$R$5:$R$100),"OK","CHECK")</x:f>
        <x:v>OK</x:v>
      </x:c>
    </x:row>
    <x:row r="456">
      <x:c r="A456" t="str">
        <x:v>PC-PE-KG01-L23-20251023-AM-ORD-2025-00093-S10</x:v>
      </x:c>
      <x:c r="B456" t="str">
        <x:v>PE-KG01-L23-20251023-AM-ORD-2025-00093</x:v>
      </x:c>
      <x:c r="C456" t="str">
        <x:v>KG01</x:v>
      </x:c>
      <x:c r="D456" t="n">
        <x:v>45953</x:v>
      </x:c>
      <x:c r="E456" t="str">
        <x:v>AM</x:v>
      </x:c>
      <x:c r="F456" t="str">
        <x:v>C</x:v>
      </x:c>
      <x:c r="G456" t="n">
        <x:v>23</x:v>
      </x:c>
      <x:c r="H456" t="str">
        <x:v>ORD-2025-00093</x:v>
      </x:c>
      <x:c r="I456" t="n">
        <x:v>10</x:v>
      </x:c>
      <x:c r="J456" t="n">
        <x:v>12</x:v>
      </x:c>
      <x:c r="K456" t="n">
        <x:v>2</x:v>
      </x:c>
      <x:c r="L456" t="n">
        <x:f>IF(I456&lt;=J456,1,0)</x:f>
        <x:v>1</x:v>
      </x:c>
      <x:c r="P456" t="n">
        <x:f>IF(M456="",IF(AND(L456=1,K456&gt;=1),1,0),M456)</x:f>
        <x:v>1</x:v>
      </x:c>
      <x:c r="Q456" t="n">
        <x:f>IF(N456="",IF(AND(L456=1,K456&gt;=2),1,0),N456)</x:f>
        <x:v>1</x:v>
      </x:c>
      <x:c r="R456" t="n">
        <x:f>IF(O456="",IF(AND(L456=1,K456&gt;=3),1,0),O456)</x:f>
        <x:v>0</x:v>
      </x:c>
      <x:c r="S456" t="n">
        <x:f>SUM(P456:R456)</x:f>
        <x:v>2</x:v>
      </x:c>
      <x:c r="T456" t="str">
        <x:f>IF(COUNTA(M456:O456)=0,"DerivedFromCount","ManualOverride")</x:f>
        <x:v>DerivedFromCount</x:v>
      </x:c>
      <x:c r="U456" t="str">
        <x:f>IF(COUNTIF(DailyProduction!$Q$5:$Q$100,B456)=1,"OK","CHECK")</x:f>
        <x:v>OK</x:v>
      </x:c>
      <x:c r="V456" t="str">
        <x:f>IF(AND(I456&gt;=1,I456&lt;=13,K456&gt;=1,K456&lt;=3),"OK","CHECK")</x:f>
        <x:v>OK</x:v>
      </x:c>
      <x:c r="W456" t="str">
        <x:f>IF(SUMIF($B$5:$B$914,B456,$S$5:$S$914)=SUMIF(DailyProduction!$Q$5:$Q$100,B456,DailyProduction!$R$5:$R$100),"OK","CHECK")</x:f>
        <x:v>OK</x:v>
      </x:c>
    </x:row>
    <x:row r="457">
      <x:c r="A457" t="str">
        <x:v>PC-PE-KG01-L23-20251023-AM-ORD-2025-00093-S11</x:v>
      </x:c>
      <x:c r="B457" t="str">
        <x:v>PE-KG01-L23-20251023-AM-ORD-2025-00093</x:v>
      </x:c>
      <x:c r="C457" t="str">
        <x:v>KG01</x:v>
      </x:c>
      <x:c r="D457" t="n">
        <x:v>45953</x:v>
      </x:c>
      <x:c r="E457" t="str">
        <x:v>AM</x:v>
      </x:c>
      <x:c r="F457" t="str">
        <x:v>C</x:v>
      </x:c>
      <x:c r="G457" t="n">
        <x:v>23</x:v>
      </x:c>
      <x:c r="H457" t="str">
        <x:v>ORD-2025-00093</x:v>
      </x:c>
      <x:c r="I457" t="n">
        <x:v>11</x:v>
      </x:c>
      <x:c r="J457" t="n">
        <x:v>12</x:v>
      </x:c>
      <x:c r="K457" t="n">
        <x:v>2</x:v>
      </x:c>
      <x:c r="L457" t="n">
        <x:f>IF(I457&lt;=J457,1,0)</x:f>
        <x:v>1</x:v>
      </x:c>
      <x:c r="P457" t="n">
        <x:f>IF(M457="",IF(AND(L457=1,K457&gt;=1),1,0),M457)</x:f>
        <x:v>1</x:v>
      </x:c>
      <x:c r="Q457" t="n">
        <x:f>IF(N457="",IF(AND(L457=1,K457&gt;=2),1,0),N457)</x:f>
        <x:v>1</x:v>
      </x:c>
      <x:c r="R457" t="n">
        <x:f>IF(O457="",IF(AND(L457=1,K457&gt;=3),1,0),O457)</x:f>
        <x:v>0</x:v>
      </x:c>
      <x:c r="S457" t="n">
        <x:f>SUM(P457:R457)</x:f>
        <x:v>2</x:v>
      </x:c>
      <x:c r="T457" t="str">
        <x:f>IF(COUNTA(M457:O457)=0,"DerivedFromCount","ManualOverride")</x:f>
        <x:v>DerivedFromCount</x:v>
      </x:c>
      <x:c r="U457" t="str">
        <x:f>IF(COUNTIF(DailyProduction!$Q$5:$Q$100,B457)=1,"OK","CHECK")</x:f>
        <x:v>OK</x:v>
      </x:c>
      <x:c r="V457" t="str">
        <x:f>IF(AND(I457&gt;=1,I457&lt;=13,K457&gt;=1,K457&lt;=3),"OK","CHECK")</x:f>
        <x:v>OK</x:v>
      </x:c>
      <x:c r="W457" t="str">
        <x:f>IF(SUMIF($B$5:$B$914,B457,$S$5:$S$914)=SUMIF(DailyProduction!$Q$5:$Q$100,B457,DailyProduction!$R$5:$R$100),"OK","CHECK")</x:f>
        <x:v>OK</x:v>
      </x:c>
    </x:row>
    <x:row r="458">
      <x:c r="A458" t="str">
        <x:v>PC-PE-KG01-L23-20251023-AM-ORD-2025-00093-S12</x:v>
      </x:c>
      <x:c r="B458" t="str">
        <x:v>PE-KG01-L23-20251023-AM-ORD-2025-00093</x:v>
      </x:c>
      <x:c r="C458" t="str">
        <x:v>KG01</x:v>
      </x:c>
      <x:c r="D458" t="n">
        <x:v>45953</x:v>
      </x:c>
      <x:c r="E458" t="str">
        <x:v>AM</x:v>
      </x:c>
      <x:c r="F458" t="str">
        <x:v>C</x:v>
      </x:c>
      <x:c r="G458" t="n">
        <x:v>23</x:v>
      </x:c>
      <x:c r="H458" t="str">
        <x:v>ORD-2025-00093</x:v>
      </x:c>
      <x:c r="I458" t="n">
        <x:v>12</x:v>
      </x:c>
      <x:c r="J458" t="n">
        <x:v>12</x:v>
      </x:c>
      <x:c r="K458" t="n">
        <x:v>2</x:v>
      </x:c>
      <x:c r="L458" t="n">
        <x:f>IF(I458&lt;=J458,1,0)</x:f>
        <x:v>1</x:v>
      </x:c>
      <x:c r="P458" t="n">
        <x:f>IF(M458="",IF(AND(L458=1,K458&gt;=1),1,0),M458)</x:f>
        <x:v>1</x:v>
      </x:c>
      <x:c r="Q458" t="n">
        <x:f>IF(N458="",IF(AND(L458=1,K458&gt;=2),1,0),N458)</x:f>
        <x:v>1</x:v>
      </x:c>
      <x:c r="R458" t="n">
        <x:f>IF(O458="",IF(AND(L458=1,K458&gt;=3),1,0),O458)</x:f>
        <x:v>0</x:v>
      </x:c>
      <x:c r="S458" t="n">
        <x:f>SUM(P458:R458)</x:f>
        <x:v>2</x:v>
      </x:c>
      <x:c r="T458" t="str">
        <x:f>IF(COUNTA(M458:O458)=0,"DerivedFromCount","ManualOverride")</x:f>
        <x:v>DerivedFromCount</x:v>
      </x:c>
      <x:c r="U458" t="str">
        <x:f>IF(COUNTIF(DailyProduction!$Q$5:$Q$100,B458)=1,"OK","CHECK")</x:f>
        <x:v>OK</x:v>
      </x:c>
      <x:c r="V458" t="str">
        <x:f>IF(AND(I458&gt;=1,I458&lt;=13,K458&gt;=1,K458&lt;=3),"OK","CHECK")</x:f>
        <x:v>OK</x:v>
      </x:c>
      <x:c r="W458" t="str">
        <x:f>IF(SUMIF($B$5:$B$914,B458,$S$5:$S$914)=SUMIF(DailyProduction!$Q$5:$Q$100,B458,DailyProduction!$R$5:$R$100),"OK","CHECK")</x:f>
        <x:v>OK</x:v>
      </x:c>
    </x:row>
    <x:row r="459">
      <x:c r="A459" t="str">
        <x:v>PC-PE-KG01-L23-20251023-AM-ORD-2025-00093-S13</x:v>
      </x:c>
      <x:c r="B459" t="str">
        <x:v>PE-KG01-L23-20251023-AM-ORD-2025-00093</x:v>
      </x:c>
      <x:c r="C459" t="str">
        <x:v>KG01</x:v>
      </x:c>
      <x:c r="D459" t="n">
        <x:v>45953</x:v>
      </x:c>
      <x:c r="E459" t="str">
        <x:v>AM</x:v>
      </x:c>
      <x:c r="F459" t="str">
        <x:v>C</x:v>
      </x:c>
      <x:c r="G459" t="n">
        <x:v>23</x:v>
      </x:c>
      <x:c r="H459" t="str">
        <x:v>ORD-2025-00093</x:v>
      </x:c>
      <x:c r="I459" t="n">
        <x:v>13</x:v>
      </x:c>
      <x:c r="J459" t="n">
        <x:v>12</x:v>
      </x:c>
      <x:c r="K459" t="n">
        <x:v>2</x:v>
      </x:c>
      <x:c r="L459" t="n">
        <x:f>IF(I459&lt;=J459,1,0)</x:f>
        <x:v>0</x:v>
      </x:c>
      <x:c r="P459" t="n">
        <x:f>IF(M459="",IF(AND(L459=1,K459&gt;=1),1,0),M459)</x:f>
        <x:v>0</x:v>
      </x:c>
      <x:c r="Q459" t="n">
        <x:f>IF(N459="",IF(AND(L459=1,K459&gt;=2),1,0),N459)</x:f>
        <x:v>0</x:v>
      </x:c>
      <x:c r="R459" t="n">
        <x:f>IF(O459="",IF(AND(L459=1,K459&gt;=3),1,0),O459)</x:f>
        <x:v>0</x:v>
      </x:c>
      <x:c r="S459" t="n">
        <x:f>SUM(P459:R459)</x:f>
        <x:v>0</x:v>
      </x:c>
      <x:c r="T459" t="str">
        <x:f>IF(COUNTA(M459:O459)=0,"DerivedFromCount","ManualOverride")</x:f>
        <x:v>DerivedFromCount</x:v>
      </x:c>
      <x:c r="U459" t="str">
        <x:f>IF(COUNTIF(DailyProduction!$Q$5:$Q$100,B459)=1,"OK","CHECK")</x:f>
        <x:v>OK</x:v>
      </x:c>
      <x:c r="V459" t="str">
        <x:f>IF(AND(I459&gt;=1,I459&lt;=13,K459&gt;=1,K459&lt;=3),"OK","CHECK")</x:f>
        <x:v>OK</x:v>
      </x:c>
      <x:c r="W459" t="str">
        <x:f>IF(SUMIF($B$5:$B$914,B459,$S$5:$S$914)=SUMIF(DailyProduction!$Q$5:$Q$100,B459,DailyProduction!$R$5:$R$100),"OK","CHECK")</x:f>
        <x:v>OK</x:v>
      </x:c>
    </x:row>
    <x:row r="460">
      <x:c r="A460" t="str">
        <x:v>PC-PE-KG01-L23-20251023-PM-ORD-2025-00093-S01</x:v>
      </x:c>
      <x:c r="B460" t="str">
        <x:v>PE-KG01-L23-20251023-PM-ORD-2025-00093</x:v>
      </x:c>
      <x:c r="C460" t="str">
        <x:v>KG01</x:v>
      </x:c>
      <x:c r="D460" t="n">
        <x:v>45953</x:v>
      </x:c>
      <x:c r="E460" t="str">
        <x:v>PM</x:v>
      </x:c>
      <x:c r="F460" t="str">
        <x:v>A</x:v>
      </x:c>
      <x:c r="G460" t="n">
        <x:v>23</x:v>
      </x:c>
      <x:c r="H460" t="str">
        <x:v>ORD-2025-00093</x:v>
      </x:c>
      <x:c r="I460" t="n">
        <x:v>1</x:v>
      </x:c>
      <x:c r="J460" t="n">
        <x:v>12</x:v>
      </x:c>
      <x:c r="K460" t="n">
        <x:v>2</x:v>
      </x:c>
      <x:c r="L460" t="n">
        <x:f>IF(I460&lt;=J460,1,0)</x:f>
        <x:v>1</x:v>
      </x:c>
      <x:c r="P460" t="n">
        <x:f>IF(M460="",IF(AND(L460=1,K460&gt;=1),1,0),M460)</x:f>
        <x:v>1</x:v>
      </x:c>
      <x:c r="Q460" t="n">
        <x:f>IF(N460="",IF(AND(L460=1,K460&gt;=2),1,0),N460)</x:f>
        <x:v>1</x:v>
      </x:c>
      <x:c r="R460" t="n">
        <x:f>IF(O460="",IF(AND(L460=1,K460&gt;=3),1,0),O460)</x:f>
        <x:v>0</x:v>
      </x:c>
      <x:c r="S460" t="n">
        <x:f>SUM(P460:R460)</x:f>
        <x:v>2</x:v>
      </x:c>
      <x:c r="T460" t="str">
        <x:f>IF(COUNTA(M460:O460)=0,"DerivedFromCount","ManualOverride")</x:f>
        <x:v>DerivedFromCount</x:v>
      </x:c>
      <x:c r="U460" t="str">
        <x:f>IF(COUNTIF(DailyProduction!$Q$5:$Q$100,B460)=1,"OK","CHECK")</x:f>
        <x:v>OK</x:v>
      </x:c>
      <x:c r="V460" t="str">
        <x:f>IF(AND(I460&gt;=1,I460&lt;=13,K460&gt;=1,K460&lt;=3),"OK","CHECK")</x:f>
        <x:v>OK</x:v>
      </x:c>
      <x:c r="W460" t="str">
        <x:f>IF(SUMIF($B$5:$B$914,B460,$S$5:$S$914)=SUMIF(DailyProduction!$Q$5:$Q$100,B460,DailyProduction!$R$5:$R$100),"OK","CHECK")</x:f>
        <x:v>OK</x:v>
      </x:c>
    </x:row>
    <x:row r="461">
      <x:c r="A461" t="str">
        <x:v>PC-PE-KG01-L23-20251023-PM-ORD-2025-00093-S02</x:v>
      </x:c>
      <x:c r="B461" t="str">
        <x:v>PE-KG01-L23-20251023-PM-ORD-2025-00093</x:v>
      </x:c>
      <x:c r="C461" t="str">
        <x:v>KG01</x:v>
      </x:c>
      <x:c r="D461" t="n">
        <x:v>45953</x:v>
      </x:c>
      <x:c r="E461" t="str">
        <x:v>PM</x:v>
      </x:c>
      <x:c r="F461" t="str">
        <x:v>A</x:v>
      </x:c>
      <x:c r="G461" t="n">
        <x:v>23</x:v>
      </x:c>
      <x:c r="H461" t="str">
        <x:v>ORD-2025-00093</x:v>
      </x:c>
      <x:c r="I461" t="n">
        <x:v>2</x:v>
      </x:c>
      <x:c r="J461" t="n">
        <x:v>12</x:v>
      </x:c>
      <x:c r="K461" t="n">
        <x:v>2</x:v>
      </x:c>
      <x:c r="L461" t="n">
        <x:f>IF(I461&lt;=J461,1,0)</x:f>
        <x:v>1</x:v>
      </x:c>
      <x:c r="P461" t="n">
        <x:f>IF(M461="",IF(AND(L461=1,K461&gt;=1),1,0),M461)</x:f>
        <x:v>1</x:v>
      </x:c>
      <x:c r="Q461" t="n">
        <x:f>IF(N461="",IF(AND(L461=1,K461&gt;=2),1,0),N461)</x:f>
        <x:v>1</x:v>
      </x:c>
      <x:c r="R461" t="n">
        <x:f>IF(O461="",IF(AND(L461=1,K461&gt;=3),1,0),O461)</x:f>
        <x:v>0</x:v>
      </x:c>
      <x:c r="S461" t="n">
        <x:f>SUM(P461:R461)</x:f>
        <x:v>2</x:v>
      </x:c>
      <x:c r="T461" t="str">
        <x:f>IF(COUNTA(M461:O461)=0,"DerivedFromCount","ManualOverride")</x:f>
        <x:v>DerivedFromCount</x:v>
      </x:c>
      <x:c r="U461" t="str">
        <x:f>IF(COUNTIF(DailyProduction!$Q$5:$Q$100,B461)=1,"OK","CHECK")</x:f>
        <x:v>OK</x:v>
      </x:c>
      <x:c r="V461" t="str">
        <x:f>IF(AND(I461&gt;=1,I461&lt;=13,K461&gt;=1,K461&lt;=3),"OK","CHECK")</x:f>
        <x:v>OK</x:v>
      </x:c>
      <x:c r="W461" t="str">
        <x:f>IF(SUMIF($B$5:$B$914,B461,$S$5:$S$914)=SUMIF(DailyProduction!$Q$5:$Q$100,B461,DailyProduction!$R$5:$R$100),"OK","CHECK")</x:f>
        <x:v>OK</x:v>
      </x:c>
    </x:row>
    <x:row r="462">
      <x:c r="A462" t="str">
        <x:v>PC-PE-KG01-L23-20251023-PM-ORD-2025-00093-S03</x:v>
      </x:c>
      <x:c r="B462" t="str">
        <x:v>PE-KG01-L23-20251023-PM-ORD-2025-00093</x:v>
      </x:c>
      <x:c r="C462" t="str">
        <x:v>KG01</x:v>
      </x:c>
      <x:c r="D462" t="n">
        <x:v>45953</x:v>
      </x:c>
      <x:c r="E462" t="str">
        <x:v>PM</x:v>
      </x:c>
      <x:c r="F462" t="str">
        <x:v>A</x:v>
      </x:c>
      <x:c r="G462" t="n">
        <x:v>23</x:v>
      </x:c>
      <x:c r="H462" t="str">
        <x:v>ORD-2025-00093</x:v>
      </x:c>
      <x:c r="I462" t="n">
        <x:v>3</x:v>
      </x:c>
      <x:c r="J462" t="n">
        <x:v>12</x:v>
      </x:c>
      <x:c r="K462" t="n">
        <x:v>2</x:v>
      </x:c>
      <x:c r="L462" t="n">
        <x:f>IF(I462&lt;=J462,1,0)</x:f>
        <x:v>1</x:v>
      </x:c>
      <x:c r="P462" t="n">
        <x:f>IF(M462="",IF(AND(L462=1,K462&gt;=1),1,0),M462)</x:f>
        <x:v>1</x:v>
      </x:c>
      <x:c r="Q462" t="n">
        <x:f>IF(N462="",IF(AND(L462=1,K462&gt;=2),1,0),N462)</x:f>
        <x:v>1</x:v>
      </x:c>
      <x:c r="R462" t="n">
        <x:f>IF(O462="",IF(AND(L462=1,K462&gt;=3),1,0),O462)</x:f>
        <x:v>0</x:v>
      </x:c>
      <x:c r="S462" t="n">
        <x:f>SUM(P462:R462)</x:f>
        <x:v>2</x:v>
      </x:c>
      <x:c r="T462" t="str">
        <x:f>IF(COUNTA(M462:O462)=0,"DerivedFromCount","ManualOverride")</x:f>
        <x:v>DerivedFromCount</x:v>
      </x:c>
      <x:c r="U462" t="str">
        <x:f>IF(COUNTIF(DailyProduction!$Q$5:$Q$100,B462)=1,"OK","CHECK")</x:f>
        <x:v>OK</x:v>
      </x:c>
      <x:c r="V462" t="str">
        <x:f>IF(AND(I462&gt;=1,I462&lt;=13,K462&gt;=1,K462&lt;=3),"OK","CHECK")</x:f>
        <x:v>OK</x:v>
      </x:c>
      <x:c r="W462" t="str">
        <x:f>IF(SUMIF($B$5:$B$914,B462,$S$5:$S$914)=SUMIF(DailyProduction!$Q$5:$Q$100,B462,DailyProduction!$R$5:$R$100),"OK","CHECK")</x:f>
        <x:v>OK</x:v>
      </x:c>
    </x:row>
    <x:row r="463">
      <x:c r="A463" t="str">
        <x:v>PC-PE-KG01-L23-20251023-PM-ORD-2025-00093-S04</x:v>
      </x:c>
      <x:c r="B463" t="str">
        <x:v>PE-KG01-L23-20251023-PM-ORD-2025-00093</x:v>
      </x:c>
      <x:c r="C463" t="str">
        <x:v>KG01</x:v>
      </x:c>
      <x:c r="D463" t="n">
        <x:v>45953</x:v>
      </x:c>
      <x:c r="E463" t="str">
        <x:v>PM</x:v>
      </x:c>
      <x:c r="F463" t="str">
        <x:v>A</x:v>
      </x:c>
      <x:c r="G463" t="n">
        <x:v>23</x:v>
      </x:c>
      <x:c r="H463" t="str">
        <x:v>ORD-2025-00093</x:v>
      </x:c>
      <x:c r="I463" t="n">
        <x:v>4</x:v>
      </x:c>
      <x:c r="J463" t="n">
        <x:v>12</x:v>
      </x:c>
      <x:c r="K463" t="n">
        <x:v>2</x:v>
      </x:c>
      <x:c r="L463" t="n">
        <x:f>IF(I463&lt;=J463,1,0)</x:f>
        <x:v>1</x:v>
      </x:c>
      <x:c r="P463" t="n">
        <x:f>IF(M463="",IF(AND(L463=1,K463&gt;=1),1,0),M463)</x:f>
        <x:v>1</x:v>
      </x:c>
      <x:c r="Q463" t="n">
        <x:f>IF(N463="",IF(AND(L463=1,K463&gt;=2),1,0),N463)</x:f>
        <x:v>1</x:v>
      </x:c>
      <x:c r="R463" t="n">
        <x:f>IF(O463="",IF(AND(L463=1,K463&gt;=3),1,0),O463)</x:f>
        <x:v>0</x:v>
      </x:c>
      <x:c r="S463" t="n">
        <x:f>SUM(P463:R463)</x:f>
        <x:v>2</x:v>
      </x:c>
      <x:c r="T463" t="str">
        <x:f>IF(COUNTA(M463:O463)=0,"DerivedFromCount","ManualOverride")</x:f>
        <x:v>DerivedFromCount</x:v>
      </x:c>
      <x:c r="U463" t="str">
        <x:f>IF(COUNTIF(DailyProduction!$Q$5:$Q$100,B463)=1,"OK","CHECK")</x:f>
        <x:v>OK</x:v>
      </x:c>
      <x:c r="V463" t="str">
        <x:f>IF(AND(I463&gt;=1,I463&lt;=13,K463&gt;=1,K463&lt;=3),"OK","CHECK")</x:f>
        <x:v>OK</x:v>
      </x:c>
      <x:c r="W463" t="str">
        <x:f>IF(SUMIF($B$5:$B$914,B463,$S$5:$S$914)=SUMIF(DailyProduction!$Q$5:$Q$100,B463,DailyProduction!$R$5:$R$100),"OK","CHECK")</x:f>
        <x:v>OK</x:v>
      </x:c>
    </x:row>
    <x:row r="464">
      <x:c r="A464" t="str">
        <x:v>PC-PE-KG01-L23-20251023-PM-ORD-2025-00093-S05</x:v>
      </x:c>
      <x:c r="B464" t="str">
        <x:v>PE-KG01-L23-20251023-PM-ORD-2025-00093</x:v>
      </x:c>
      <x:c r="C464" t="str">
        <x:v>KG01</x:v>
      </x:c>
      <x:c r="D464" t="n">
        <x:v>45953</x:v>
      </x:c>
      <x:c r="E464" t="str">
        <x:v>PM</x:v>
      </x:c>
      <x:c r="F464" t="str">
        <x:v>A</x:v>
      </x:c>
      <x:c r="G464" t="n">
        <x:v>23</x:v>
      </x:c>
      <x:c r="H464" t="str">
        <x:v>ORD-2025-00093</x:v>
      </x:c>
      <x:c r="I464" t="n">
        <x:v>5</x:v>
      </x:c>
      <x:c r="J464" t="n">
        <x:v>12</x:v>
      </x:c>
      <x:c r="K464" t="n">
        <x:v>2</x:v>
      </x:c>
      <x:c r="L464" t="n">
        <x:f>IF(I464&lt;=J464,1,0)</x:f>
        <x:v>1</x:v>
      </x:c>
      <x:c r="P464" t="n">
        <x:f>IF(M464="",IF(AND(L464=1,K464&gt;=1),1,0),M464)</x:f>
        <x:v>1</x:v>
      </x:c>
      <x:c r="Q464" t="n">
        <x:f>IF(N464="",IF(AND(L464=1,K464&gt;=2),1,0),N464)</x:f>
        <x:v>1</x:v>
      </x:c>
      <x:c r="R464" t="n">
        <x:f>IF(O464="",IF(AND(L464=1,K464&gt;=3),1,0),O464)</x:f>
        <x:v>0</x:v>
      </x:c>
      <x:c r="S464" t="n">
        <x:f>SUM(P464:R464)</x:f>
        <x:v>2</x:v>
      </x:c>
      <x:c r="T464" t="str">
        <x:f>IF(COUNTA(M464:O464)=0,"DerivedFromCount","ManualOverride")</x:f>
        <x:v>DerivedFromCount</x:v>
      </x:c>
      <x:c r="U464" t="str">
        <x:f>IF(COUNTIF(DailyProduction!$Q$5:$Q$100,B464)=1,"OK","CHECK")</x:f>
        <x:v>OK</x:v>
      </x:c>
      <x:c r="V464" t="str">
        <x:f>IF(AND(I464&gt;=1,I464&lt;=13,K464&gt;=1,K464&lt;=3),"OK","CHECK")</x:f>
        <x:v>OK</x:v>
      </x:c>
      <x:c r="W464" t="str">
        <x:f>IF(SUMIF($B$5:$B$914,B464,$S$5:$S$914)=SUMIF(DailyProduction!$Q$5:$Q$100,B464,DailyProduction!$R$5:$R$100),"OK","CHECK")</x:f>
        <x:v>OK</x:v>
      </x:c>
    </x:row>
    <x:row r="465">
      <x:c r="A465" t="str">
        <x:v>PC-PE-KG01-L23-20251023-PM-ORD-2025-00093-S06</x:v>
      </x:c>
      <x:c r="B465" t="str">
        <x:v>PE-KG01-L23-20251023-PM-ORD-2025-00093</x:v>
      </x:c>
      <x:c r="C465" t="str">
        <x:v>KG01</x:v>
      </x:c>
      <x:c r="D465" t="n">
        <x:v>45953</x:v>
      </x:c>
      <x:c r="E465" t="str">
        <x:v>PM</x:v>
      </x:c>
      <x:c r="F465" t="str">
        <x:v>A</x:v>
      </x:c>
      <x:c r="G465" t="n">
        <x:v>23</x:v>
      </x:c>
      <x:c r="H465" t="str">
        <x:v>ORD-2025-00093</x:v>
      </x:c>
      <x:c r="I465" t="n">
        <x:v>6</x:v>
      </x:c>
      <x:c r="J465" t="n">
        <x:v>12</x:v>
      </x:c>
      <x:c r="K465" t="n">
        <x:v>2</x:v>
      </x:c>
      <x:c r="L465" t="n">
        <x:f>IF(I465&lt;=J465,1,0)</x:f>
        <x:v>1</x:v>
      </x:c>
      <x:c r="P465" t="n">
        <x:f>IF(M465="",IF(AND(L465=1,K465&gt;=1),1,0),M465)</x:f>
        <x:v>1</x:v>
      </x:c>
      <x:c r="Q465" t="n">
        <x:f>IF(N465="",IF(AND(L465=1,K465&gt;=2),1,0),N465)</x:f>
        <x:v>1</x:v>
      </x:c>
      <x:c r="R465" t="n">
        <x:f>IF(O465="",IF(AND(L465=1,K465&gt;=3),1,0),O465)</x:f>
        <x:v>0</x:v>
      </x:c>
      <x:c r="S465" t="n">
        <x:f>SUM(P465:R465)</x:f>
        <x:v>2</x:v>
      </x:c>
      <x:c r="T465" t="str">
        <x:f>IF(COUNTA(M465:O465)=0,"DerivedFromCount","ManualOverride")</x:f>
        <x:v>DerivedFromCount</x:v>
      </x:c>
      <x:c r="U465" t="str">
        <x:f>IF(COUNTIF(DailyProduction!$Q$5:$Q$100,B465)=1,"OK","CHECK")</x:f>
        <x:v>OK</x:v>
      </x:c>
      <x:c r="V465" t="str">
        <x:f>IF(AND(I465&gt;=1,I465&lt;=13,K465&gt;=1,K465&lt;=3),"OK","CHECK")</x:f>
        <x:v>OK</x:v>
      </x:c>
      <x:c r="W465" t="str">
        <x:f>IF(SUMIF($B$5:$B$914,B465,$S$5:$S$914)=SUMIF(DailyProduction!$Q$5:$Q$100,B465,DailyProduction!$R$5:$R$100),"OK","CHECK")</x:f>
        <x:v>OK</x:v>
      </x:c>
    </x:row>
    <x:row r="466">
      <x:c r="A466" t="str">
        <x:v>PC-PE-KG01-L23-20251023-PM-ORD-2025-00093-S07</x:v>
      </x:c>
      <x:c r="B466" t="str">
        <x:v>PE-KG01-L23-20251023-PM-ORD-2025-00093</x:v>
      </x:c>
      <x:c r="C466" t="str">
        <x:v>KG01</x:v>
      </x:c>
      <x:c r="D466" t="n">
        <x:v>45953</x:v>
      </x:c>
      <x:c r="E466" t="str">
        <x:v>PM</x:v>
      </x:c>
      <x:c r="F466" t="str">
        <x:v>A</x:v>
      </x:c>
      <x:c r="G466" t="n">
        <x:v>23</x:v>
      </x:c>
      <x:c r="H466" t="str">
        <x:v>ORD-2025-00093</x:v>
      </x:c>
      <x:c r="I466" t="n">
        <x:v>7</x:v>
      </x:c>
      <x:c r="J466" t="n">
        <x:v>12</x:v>
      </x:c>
      <x:c r="K466" t="n">
        <x:v>2</x:v>
      </x:c>
      <x:c r="L466" t="n">
        <x:f>IF(I466&lt;=J466,1,0)</x:f>
        <x:v>1</x:v>
      </x:c>
      <x:c r="P466" t="n">
        <x:f>IF(M466="",IF(AND(L466=1,K466&gt;=1),1,0),M466)</x:f>
        <x:v>1</x:v>
      </x:c>
      <x:c r="Q466" t="n">
        <x:f>IF(N466="",IF(AND(L466=1,K466&gt;=2),1,0),N466)</x:f>
        <x:v>1</x:v>
      </x:c>
      <x:c r="R466" t="n">
        <x:f>IF(O466="",IF(AND(L466=1,K466&gt;=3),1,0),O466)</x:f>
        <x:v>0</x:v>
      </x:c>
      <x:c r="S466" t="n">
        <x:f>SUM(P466:R466)</x:f>
        <x:v>2</x:v>
      </x:c>
      <x:c r="T466" t="str">
        <x:f>IF(COUNTA(M466:O466)=0,"DerivedFromCount","ManualOverride")</x:f>
        <x:v>DerivedFromCount</x:v>
      </x:c>
      <x:c r="U466" t="str">
        <x:f>IF(COUNTIF(DailyProduction!$Q$5:$Q$100,B466)=1,"OK","CHECK")</x:f>
        <x:v>OK</x:v>
      </x:c>
      <x:c r="V466" t="str">
        <x:f>IF(AND(I466&gt;=1,I466&lt;=13,K466&gt;=1,K466&lt;=3),"OK","CHECK")</x:f>
        <x:v>OK</x:v>
      </x:c>
      <x:c r="W466" t="str">
        <x:f>IF(SUMIF($B$5:$B$914,B466,$S$5:$S$914)=SUMIF(DailyProduction!$Q$5:$Q$100,B466,DailyProduction!$R$5:$R$100),"OK","CHECK")</x:f>
        <x:v>OK</x:v>
      </x:c>
    </x:row>
    <x:row r="467">
      <x:c r="A467" t="str">
        <x:v>PC-PE-KG01-L23-20251023-PM-ORD-2025-00093-S08</x:v>
      </x:c>
      <x:c r="B467" t="str">
        <x:v>PE-KG01-L23-20251023-PM-ORD-2025-00093</x:v>
      </x:c>
      <x:c r="C467" t="str">
        <x:v>KG01</x:v>
      </x:c>
      <x:c r="D467" t="n">
        <x:v>45953</x:v>
      </x:c>
      <x:c r="E467" t="str">
        <x:v>PM</x:v>
      </x:c>
      <x:c r="F467" t="str">
        <x:v>A</x:v>
      </x:c>
      <x:c r="G467" t="n">
        <x:v>23</x:v>
      </x:c>
      <x:c r="H467" t="str">
        <x:v>ORD-2025-00093</x:v>
      </x:c>
      <x:c r="I467" t="n">
        <x:v>8</x:v>
      </x:c>
      <x:c r="J467" t="n">
        <x:v>12</x:v>
      </x:c>
      <x:c r="K467" t="n">
        <x:v>2</x:v>
      </x:c>
      <x:c r="L467" t="n">
        <x:f>IF(I467&lt;=J467,1,0)</x:f>
        <x:v>1</x:v>
      </x:c>
      <x:c r="P467" t="n">
        <x:f>IF(M467="",IF(AND(L467=1,K467&gt;=1),1,0),M467)</x:f>
        <x:v>1</x:v>
      </x:c>
      <x:c r="Q467" t="n">
        <x:f>IF(N467="",IF(AND(L467=1,K467&gt;=2),1,0),N467)</x:f>
        <x:v>1</x:v>
      </x:c>
      <x:c r="R467" t="n">
        <x:f>IF(O467="",IF(AND(L467=1,K467&gt;=3),1,0),O467)</x:f>
        <x:v>0</x:v>
      </x:c>
      <x:c r="S467" t="n">
        <x:f>SUM(P467:R467)</x:f>
        <x:v>2</x:v>
      </x:c>
      <x:c r="T467" t="str">
        <x:f>IF(COUNTA(M467:O467)=0,"DerivedFromCount","ManualOverride")</x:f>
        <x:v>DerivedFromCount</x:v>
      </x:c>
      <x:c r="U467" t="str">
        <x:f>IF(COUNTIF(DailyProduction!$Q$5:$Q$100,B467)=1,"OK","CHECK")</x:f>
        <x:v>OK</x:v>
      </x:c>
      <x:c r="V467" t="str">
        <x:f>IF(AND(I467&gt;=1,I467&lt;=13,K467&gt;=1,K467&lt;=3),"OK","CHECK")</x:f>
        <x:v>OK</x:v>
      </x:c>
      <x:c r="W467" t="str">
        <x:f>IF(SUMIF($B$5:$B$914,B467,$S$5:$S$914)=SUMIF(DailyProduction!$Q$5:$Q$100,B467,DailyProduction!$R$5:$R$100),"OK","CHECK")</x:f>
        <x:v>OK</x:v>
      </x:c>
    </x:row>
    <x:row r="468">
      <x:c r="A468" t="str">
        <x:v>PC-PE-KG01-L23-20251023-PM-ORD-2025-00093-S09</x:v>
      </x:c>
      <x:c r="B468" t="str">
        <x:v>PE-KG01-L23-20251023-PM-ORD-2025-00093</x:v>
      </x:c>
      <x:c r="C468" t="str">
        <x:v>KG01</x:v>
      </x:c>
      <x:c r="D468" t="n">
        <x:v>45953</x:v>
      </x:c>
      <x:c r="E468" t="str">
        <x:v>PM</x:v>
      </x:c>
      <x:c r="F468" t="str">
        <x:v>A</x:v>
      </x:c>
      <x:c r="G468" t="n">
        <x:v>23</x:v>
      </x:c>
      <x:c r="H468" t="str">
        <x:v>ORD-2025-00093</x:v>
      </x:c>
      <x:c r="I468" t="n">
        <x:v>9</x:v>
      </x:c>
      <x:c r="J468" t="n">
        <x:v>12</x:v>
      </x:c>
      <x:c r="K468" t="n">
        <x:v>2</x:v>
      </x:c>
      <x:c r="L468" t="n">
        <x:f>IF(I468&lt;=J468,1,0)</x:f>
        <x:v>1</x:v>
      </x:c>
      <x:c r="P468" t="n">
        <x:f>IF(M468="",IF(AND(L468=1,K468&gt;=1),1,0),M468)</x:f>
        <x:v>1</x:v>
      </x:c>
      <x:c r="Q468" t="n">
        <x:f>IF(N468="",IF(AND(L468=1,K468&gt;=2),1,0),N468)</x:f>
        <x:v>1</x:v>
      </x:c>
      <x:c r="R468" t="n">
        <x:f>IF(O468="",IF(AND(L468=1,K468&gt;=3),1,0),O468)</x:f>
        <x:v>0</x:v>
      </x:c>
      <x:c r="S468" t="n">
        <x:f>SUM(P468:R468)</x:f>
        <x:v>2</x:v>
      </x:c>
      <x:c r="T468" t="str">
        <x:f>IF(COUNTA(M468:O468)=0,"DerivedFromCount","ManualOverride")</x:f>
        <x:v>DerivedFromCount</x:v>
      </x:c>
      <x:c r="U468" t="str">
        <x:f>IF(COUNTIF(DailyProduction!$Q$5:$Q$100,B468)=1,"OK","CHECK")</x:f>
        <x:v>OK</x:v>
      </x:c>
      <x:c r="V468" t="str">
        <x:f>IF(AND(I468&gt;=1,I468&lt;=13,K468&gt;=1,K468&lt;=3),"OK","CHECK")</x:f>
        <x:v>OK</x:v>
      </x:c>
      <x:c r="W468" t="str">
        <x:f>IF(SUMIF($B$5:$B$914,B468,$S$5:$S$914)=SUMIF(DailyProduction!$Q$5:$Q$100,B468,DailyProduction!$R$5:$R$100),"OK","CHECK")</x:f>
        <x:v>OK</x:v>
      </x:c>
    </x:row>
    <x:row r="469">
      <x:c r="A469" t="str">
        <x:v>PC-PE-KG01-L23-20251023-PM-ORD-2025-00093-S10</x:v>
      </x:c>
      <x:c r="B469" t="str">
        <x:v>PE-KG01-L23-20251023-PM-ORD-2025-00093</x:v>
      </x:c>
      <x:c r="C469" t="str">
        <x:v>KG01</x:v>
      </x:c>
      <x:c r="D469" t="n">
        <x:v>45953</x:v>
      </x:c>
      <x:c r="E469" t="str">
        <x:v>PM</x:v>
      </x:c>
      <x:c r="F469" t="str">
        <x:v>A</x:v>
      </x:c>
      <x:c r="G469" t="n">
        <x:v>23</x:v>
      </x:c>
      <x:c r="H469" t="str">
        <x:v>ORD-2025-00093</x:v>
      </x:c>
      <x:c r="I469" t="n">
        <x:v>10</x:v>
      </x:c>
      <x:c r="J469" t="n">
        <x:v>12</x:v>
      </x:c>
      <x:c r="K469" t="n">
        <x:v>2</x:v>
      </x:c>
      <x:c r="L469" t="n">
        <x:f>IF(I469&lt;=J469,1,0)</x:f>
        <x:v>1</x:v>
      </x:c>
      <x:c r="P469" t="n">
        <x:f>IF(M469="",IF(AND(L469=1,K469&gt;=1),1,0),M469)</x:f>
        <x:v>1</x:v>
      </x:c>
      <x:c r="Q469" t="n">
        <x:f>IF(N469="",IF(AND(L469=1,K469&gt;=2),1,0),N469)</x:f>
        <x:v>1</x:v>
      </x:c>
      <x:c r="R469" t="n">
        <x:f>IF(O469="",IF(AND(L469=1,K469&gt;=3),1,0),O469)</x:f>
        <x:v>0</x:v>
      </x:c>
      <x:c r="S469" t="n">
        <x:f>SUM(P469:R469)</x:f>
        <x:v>2</x:v>
      </x:c>
      <x:c r="T469" t="str">
        <x:f>IF(COUNTA(M469:O469)=0,"DerivedFromCount","ManualOverride")</x:f>
        <x:v>DerivedFromCount</x:v>
      </x:c>
      <x:c r="U469" t="str">
        <x:f>IF(COUNTIF(DailyProduction!$Q$5:$Q$100,B469)=1,"OK","CHECK")</x:f>
        <x:v>OK</x:v>
      </x:c>
      <x:c r="V469" t="str">
        <x:f>IF(AND(I469&gt;=1,I469&lt;=13,K469&gt;=1,K469&lt;=3),"OK","CHECK")</x:f>
        <x:v>OK</x:v>
      </x:c>
      <x:c r="W469" t="str">
        <x:f>IF(SUMIF($B$5:$B$914,B469,$S$5:$S$914)=SUMIF(DailyProduction!$Q$5:$Q$100,B469,DailyProduction!$R$5:$R$100),"OK","CHECK")</x:f>
        <x:v>OK</x:v>
      </x:c>
    </x:row>
    <x:row r="470">
      <x:c r="A470" t="str">
        <x:v>PC-PE-KG01-L23-20251023-PM-ORD-2025-00093-S11</x:v>
      </x:c>
      <x:c r="B470" t="str">
        <x:v>PE-KG01-L23-20251023-PM-ORD-2025-00093</x:v>
      </x:c>
      <x:c r="C470" t="str">
        <x:v>KG01</x:v>
      </x:c>
      <x:c r="D470" t="n">
        <x:v>45953</x:v>
      </x:c>
      <x:c r="E470" t="str">
        <x:v>PM</x:v>
      </x:c>
      <x:c r="F470" t="str">
        <x:v>A</x:v>
      </x:c>
      <x:c r="G470" t="n">
        <x:v>23</x:v>
      </x:c>
      <x:c r="H470" t="str">
        <x:v>ORD-2025-00093</x:v>
      </x:c>
      <x:c r="I470" t="n">
        <x:v>11</x:v>
      </x:c>
      <x:c r="J470" t="n">
        <x:v>12</x:v>
      </x:c>
      <x:c r="K470" t="n">
        <x:v>2</x:v>
      </x:c>
      <x:c r="L470" t="n">
        <x:f>IF(I470&lt;=J470,1,0)</x:f>
        <x:v>1</x:v>
      </x:c>
      <x:c r="P470" t="n">
        <x:f>IF(M470="",IF(AND(L470=1,K470&gt;=1),1,0),M470)</x:f>
        <x:v>1</x:v>
      </x:c>
      <x:c r="Q470" t="n">
        <x:f>IF(N470="",IF(AND(L470=1,K470&gt;=2),1,0),N470)</x:f>
        <x:v>1</x:v>
      </x:c>
      <x:c r="R470" t="n">
        <x:f>IF(O470="",IF(AND(L470=1,K470&gt;=3),1,0),O470)</x:f>
        <x:v>0</x:v>
      </x:c>
      <x:c r="S470" t="n">
        <x:f>SUM(P470:R470)</x:f>
        <x:v>2</x:v>
      </x:c>
      <x:c r="T470" t="str">
        <x:f>IF(COUNTA(M470:O470)=0,"DerivedFromCount","ManualOverride")</x:f>
        <x:v>DerivedFromCount</x:v>
      </x:c>
      <x:c r="U470" t="str">
        <x:f>IF(COUNTIF(DailyProduction!$Q$5:$Q$100,B470)=1,"OK","CHECK")</x:f>
        <x:v>OK</x:v>
      </x:c>
      <x:c r="V470" t="str">
        <x:f>IF(AND(I470&gt;=1,I470&lt;=13,K470&gt;=1,K470&lt;=3),"OK","CHECK")</x:f>
        <x:v>OK</x:v>
      </x:c>
      <x:c r="W470" t="str">
        <x:f>IF(SUMIF($B$5:$B$914,B470,$S$5:$S$914)=SUMIF(DailyProduction!$Q$5:$Q$100,B470,DailyProduction!$R$5:$R$100),"OK","CHECK")</x:f>
        <x:v>OK</x:v>
      </x:c>
    </x:row>
    <x:row r="471">
      <x:c r="A471" t="str">
        <x:v>PC-PE-KG01-L23-20251023-PM-ORD-2025-00093-S12</x:v>
      </x:c>
      <x:c r="B471" t="str">
        <x:v>PE-KG01-L23-20251023-PM-ORD-2025-00093</x:v>
      </x:c>
      <x:c r="C471" t="str">
        <x:v>KG01</x:v>
      </x:c>
      <x:c r="D471" t="n">
        <x:v>45953</x:v>
      </x:c>
      <x:c r="E471" t="str">
        <x:v>PM</x:v>
      </x:c>
      <x:c r="F471" t="str">
        <x:v>A</x:v>
      </x:c>
      <x:c r="G471" t="n">
        <x:v>23</x:v>
      </x:c>
      <x:c r="H471" t="str">
        <x:v>ORD-2025-00093</x:v>
      </x:c>
      <x:c r="I471" t="n">
        <x:v>12</x:v>
      </x:c>
      <x:c r="J471" t="n">
        <x:v>12</x:v>
      </x:c>
      <x:c r="K471" t="n">
        <x:v>2</x:v>
      </x:c>
      <x:c r="L471" t="n">
        <x:f>IF(I471&lt;=J471,1,0)</x:f>
        <x:v>1</x:v>
      </x:c>
      <x:c r="P471" t="n">
        <x:f>IF(M471="",IF(AND(L471=1,K471&gt;=1),1,0),M471)</x:f>
        <x:v>1</x:v>
      </x:c>
      <x:c r="Q471" t="n">
        <x:f>IF(N471="",IF(AND(L471=1,K471&gt;=2),1,0),N471)</x:f>
        <x:v>1</x:v>
      </x:c>
      <x:c r="R471" t="n">
        <x:f>IF(O471="",IF(AND(L471=1,K471&gt;=3),1,0),O471)</x:f>
        <x:v>0</x:v>
      </x:c>
      <x:c r="S471" t="n">
        <x:f>SUM(P471:R471)</x:f>
        <x:v>2</x:v>
      </x:c>
      <x:c r="T471" t="str">
        <x:f>IF(COUNTA(M471:O471)=0,"DerivedFromCount","ManualOverride")</x:f>
        <x:v>DerivedFromCount</x:v>
      </x:c>
      <x:c r="U471" t="str">
        <x:f>IF(COUNTIF(DailyProduction!$Q$5:$Q$100,B471)=1,"OK","CHECK")</x:f>
        <x:v>OK</x:v>
      </x:c>
      <x:c r="V471" t="str">
        <x:f>IF(AND(I471&gt;=1,I471&lt;=13,K471&gt;=1,K471&lt;=3),"OK","CHECK")</x:f>
        <x:v>OK</x:v>
      </x:c>
      <x:c r="W471" t="str">
        <x:f>IF(SUMIF($B$5:$B$914,B471,$S$5:$S$914)=SUMIF(DailyProduction!$Q$5:$Q$100,B471,DailyProduction!$R$5:$R$100),"OK","CHECK")</x:f>
        <x:v>OK</x:v>
      </x:c>
    </x:row>
    <x:row r="472">
      <x:c r="A472" t="str">
        <x:v>PC-PE-KG01-L23-20251023-PM-ORD-2025-00093-S13</x:v>
      </x:c>
      <x:c r="B472" t="str">
        <x:v>PE-KG01-L23-20251023-PM-ORD-2025-00093</x:v>
      </x:c>
      <x:c r="C472" t="str">
        <x:v>KG01</x:v>
      </x:c>
      <x:c r="D472" t="n">
        <x:v>45953</x:v>
      </x:c>
      <x:c r="E472" t="str">
        <x:v>PM</x:v>
      </x:c>
      <x:c r="F472" t="str">
        <x:v>A</x:v>
      </x:c>
      <x:c r="G472" t="n">
        <x:v>23</x:v>
      </x:c>
      <x:c r="H472" t="str">
        <x:v>ORD-2025-00093</x:v>
      </x:c>
      <x:c r="I472" t="n">
        <x:v>13</x:v>
      </x:c>
      <x:c r="J472" t="n">
        <x:v>12</x:v>
      </x:c>
      <x:c r="K472" t="n">
        <x:v>2</x:v>
      </x:c>
      <x:c r="L472" t="n">
        <x:f>IF(I472&lt;=J472,1,0)</x:f>
        <x:v>0</x:v>
      </x:c>
      <x:c r="P472" t="n">
        <x:f>IF(M472="",IF(AND(L472=1,K472&gt;=1),1,0),M472)</x:f>
        <x:v>0</x:v>
      </x:c>
      <x:c r="Q472" t="n">
        <x:f>IF(N472="",IF(AND(L472=1,K472&gt;=2),1,0),N472)</x:f>
        <x:v>0</x:v>
      </x:c>
      <x:c r="R472" t="n">
        <x:f>IF(O472="",IF(AND(L472=1,K472&gt;=3),1,0),O472)</x:f>
        <x:v>0</x:v>
      </x:c>
      <x:c r="S472" t="n">
        <x:f>SUM(P472:R472)</x:f>
        <x:v>0</x:v>
      </x:c>
      <x:c r="T472" t="str">
        <x:f>IF(COUNTA(M472:O472)=0,"DerivedFromCount","ManualOverride")</x:f>
        <x:v>DerivedFromCount</x:v>
      </x:c>
      <x:c r="U472" t="str">
        <x:f>IF(COUNTIF(DailyProduction!$Q$5:$Q$100,B472)=1,"OK","CHECK")</x:f>
        <x:v>OK</x:v>
      </x:c>
      <x:c r="V472" t="str">
        <x:f>IF(AND(I472&gt;=1,I472&lt;=13,K472&gt;=1,K472&lt;=3),"OK","CHECK")</x:f>
        <x:v>OK</x:v>
      </x:c>
      <x:c r="W472" t="str">
        <x:f>IF(SUMIF($B$5:$B$914,B472,$S$5:$S$914)=SUMIF(DailyProduction!$Q$5:$Q$100,B472,DailyProduction!$R$5:$R$100),"OK","CHECK")</x:f>
        <x:v>OK</x:v>
      </x:c>
    </x:row>
    <x:row r="473">
      <x:c r="A473" t="str">
        <x:v>PC-PE-KG01-L23-20251024-AM-ORD-2025-00093-S01</x:v>
      </x:c>
      <x:c r="B473" t="str">
        <x:v>PE-KG01-L23-20251024-AM-ORD-2025-00093</x:v>
      </x:c>
      <x:c r="C473" t="str">
        <x:v>KG01</x:v>
      </x:c>
      <x:c r="D473" t="n">
        <x:v>45954</x:v>
      </x:c>
      <x:c r="E473" t="str">
        <x:v>AM</x:v>
      </x:c>
      <x:c r="F473" t="str">
        <x:v>A</x:v>
      </x:c>
      <x:c r="G473" t="n">
        <x:v>23</x:v>
      </x:c>
      <x:c r="H473" t="str">
        <x:v>ORD-2025-00093</x:v>
      </x:c>
      <x:c r="I473" t="n">
        <x:v>1</x:v>
      </x:c>
      <x:c r="J473" t="n">
        <x:v>12</x:v>
      </x:c>
      <x:c r="K473" t="n">
        <x:v>2</x:v>
      </x:c>
      <x:c r="L473" t="n">
        <x:f>IF(I473&lt;=J473,1,0)</x:f>
        <x:v>1</x:v>
      </x:c>
      <x:c r="P473" t="n">
        <x:f>IF(M473="",IF(AND(L473=1,K473&gt;=1),1,0),M473)</x:f>
        <x:v>1</x:v>
      </x:c>
      <x:c r="Q473" t="n">
        <x:f>IF(N473="",IF(AND(L473=1,K473&gt;=2),1,0),N473)</x:f>
        <x:v>1</x:v>
      </x:c>
      <x:c r="R473" t="n">
        <x:f>IF(O473="",IF(AND(L473=1,K473&gt;=3),1,0),O473)</x:f>
        <x:v>0</x:v>
      </x:c>
      <x:c r="S473" t="n">
        <x:f>SUM(P473:R473)</x:f>
        <x:v>2</x:v>
      </x:c>
      <x:c r="T473" t="str">
        <x:f>IF(COUNTA(M473:O473)=0,"DerivedFromCount","ManualOverride")</x:f>
        <x:v>DerivedFromCount</x:v>
      </x:c>
      <x:c r="U473" t="str">
        <x:f>IF(COUNTIF(DailyProduction!$Q$5:$Q$100,B473)=1,"OK","CHECK")</x:f>
        <x:v>OK</x:v>
      </x:c>
      <x:c r="V473" t="str">
        <x:f>IF(AND(I473&gt;=1,I473&lt;=13,K473&gt;=1,K473&lt;=3),"OK","CHECK")</x:f>
        <x:v>OK</x:v>
      </x:c>
      <x:c r="W473" t="str">
        <x:f>IF(SUMIF($B$5:$B$914,B473,$S$5:$S$914)=SUMIF(DailyProduction!$Q$5:$Q$100,B473,DailyProduction!$R$5:$R$100),"OK","CHECK")</x:f>
        <x:v>OK</x:v>
      </x:c>
    </x:row>
    <x:row r="474">
      <x:c r="A474" t="str">
        <x:v>PC-PE-KG01-L23-20251024-AM-ORD-2025-00093-S02</x:v>
      </x:c>
      <x:c r="B474" t="str">
        <x:v>PE-KG01-L23-20251024-AM-ORD-2025-00093</x:v>
      </x:c>
      <x:c r="C474" t="str">
        <x:v>KG01</x:v>
      </x:c>
      <x:c r="D474" t="n">
        <x:v>45954</x:v>
      </x:c>
      <x:c r="E474" t="str">
        <x:v>AM</x:v>
      </x:c>
      <x:c r="F474" t="str">
        <x:v>A</x:v>
      </x:c>
      <x:c r="G474" t="n">
        <x:v>23</x:v>
      </x:c>
      <x:c r="H474" t="str">
        <x:v>ORD-2025-00093</x:v>
      </x:c>
      <x:c r="I474" t="n">
        <x:v>2</x:v>
      </x:c>
      <x:c r="J474" t="n">
        <x:v>12</x:v>
      </x:c>
      <x:c r="K474" t="n">
        <x:v>2</x:v>
      </x:c>
      <x:c r="L474" t="n">
        <x:f>IF(I474&lt;=J474,1,0)</x:f>
        <x:v>1</x:v>
      </x:c>
      <x:c r="P474" t="n">
        <x:f>IF(M474="",IF(AND(L474=1,K474&gt;=1),1,0),M474)</x:f>
        <x:v>1</x:v>
      </x:c>
      <x:c r="Q474" t="n">
        <x:f>IF(N474="",IF(AND(L474=1,K474&gt;=2),1,0),N474)</x:f>
        <x:v>1</x:v>
      </x:c>
      <x:c r="R474" t="n">
        <x:f>IF(O474="",IF(AND(L474=1,K474&gt;=3),1,0),O474)</x:f>
        <x:v>0</x:v>
      </x:c>
      <x:c r="S474" t="n">
        <x:f>SUM(P474:R474)</x:f>
        <x:v>2</x:v>
      </x:c>
      <x:c r="T474" t="str">
        <x:f>IF(COUNTA(M474:O474)=0,"DerivedFromCount","ManualOverride")</x:f>
        <x:v>DerivedFromCount</x:v>
      </x:c>
      <x:c r="U474" t="str">
        <x:f>IF(COUNTIF(DailyProduction!$Q$5:$Q$100,B474)=1,"OK","CHECK")</x:f>
        <x:v>OK</x:v>
      </x:c>
      <x:c r="V474" t="str">
        <x:f>IF(AND(I474&gt;=1,I474&lt;=13,K474&gt;=1,K474&lt;=3),"OK","CHECK")</x:f>
        <x:v>OK</x:v>
      </x:c>
      <x:c r="W474" t="str">
        <x:f>IF(SUMIF($B$5:$B$914,B474,$S$5:$S$914)=SUMIF(DailyProduction!$Q$5:$Q$100,B474,DailyProduction!$R$5:$R$100),"OK","CHECK")</x:f>
        <x:v>OK</x:v>
      </x:c>
    </x:row>
    <x:row r="475">
      <x:c r="A475" t="str">
        <x:v>PC-PE-KG01-L23-20251024-AM-ORD-2025-00093-S03</x:v>
      </x:c>
      <x:c r="B475" t="str">
        <x:v>PE-KG01-L23-20251024-AM-ORD-2025-00093</x:v>
      </x:c>
      <x:c r="C475" t="str">
        <x:v>KG01</x:v>
      </x:c>
      <x:c r="D475" t="n">
        <x:v>45954</x:v>
      </x:c>
      <x:c r="E475" t="str">
        <x:v>AM</x:v>
      </x:c>
      <x:c r="F475" t="str">
        <x:v>A</x:v>
      </x:c>
      <x:c r="G475" t="n">
        <x:v>23</x:v>
      </x:c>
      <x:c r="H475" t="str">
        <x:v>ORD-2025-00093</x:v>
      </x:c>
      <x:c r="I475" t="n">
        <x:v>3</x:v>
      </x:c>
      <x:c r="J475" t="n">
        <x:v>12</x:v>
      </x:c>
      <x:c r="K475" t="n">
        <x:v>2</x:v>
      </x:c>
      <x:c r="L475" t="n">
        <x:f>IF(I475&lt;=J475,1,0)</x:f>
        <x:v>1</x:v>
      </x:c>
      <x:c r="P475" t="n">
        <x:f>IF(M475="",IF(AND(L475=1,K475&gt;=1),1,0),M475)</x:f>
        <x:v>1</x:v>
      </x:c>
      <x:c r="Q475" t="n">
        <x:f>IF(N475="",IF(AND(L475=1,K475&gt;=2),1,0),N475)</x:f>
        <x:v>1</x:v>
      </x:c>
      <x:c r="R475" t="n">
        <x:f>IF(O475="",IF(AND(L475=1,K475&gt;=3),1,0),O475)</x:f>
        <x:v>0</x:v>
      </x:c>
      <x:c r="S475" t="n">
        <x:f>SUM(P475:R475)</x:f>
        <x:v>2</x:v>
      </x:c>
      <x:c r="T475" t="str">
        <x:f>IF(COUNTA(M475:O475)=0,"DerivedFromCount","ManualOverride")</x:f>
        <x:v>DerivedFromCount</x:v>
      </x:c>
      <x:c r="U475" t="str">
        <x:f>IF(COUNTIF(DailyProduction!$Q$5:$Q$100,B475)=1,"OK","CHECK")</x:f>
        <x:v>OK</x:v>
      </x:c>
      <x:c r="V475" t="str">
        <x:f>IF(AND(I475&gt;=1,I475&lt;=13,K475&gt;=1,K475&lt;=3),"OK","CHECK")</x:f>
        <x:v>OK</x:v>
      </x:c>
      <x:c r="W475" t="str">
        <x:f>IF(SUMIF($B$5:$B$914,B475,$S$5:$S$914)=SUMIF(DailyProduction!$Q$5:$Q$100,B475,DailyProduction!$R$5:$R$100),"OK","CHECK")</x:f>
        <x:v>OK</x:v>
      </x:c>
    </x:row>
    <x:row r="476">
      <x:c r="A476" t="str">
        <x:v>PC-PE-KG01-L23-20251024-AM-ORD-2025-00093-S04</x:v>
      </x:c>
      <x:c r="B476" t="str">
        <x:v>PE-KG01-L23-20251024-AM-ORD-2025-00093</x:v>
      </x:c>
      <x:c r="C476" t="str">
        <x:v>KG01</x:v>
      </x:c>
      <x:c r="D476" t="n">
        <x:v>45954</x:v>
      </x:c>
      <x:c r="E476" t="str">
        <x:v>AM</x:v>
      </x:c>
      <x:c r="F476" t="str">
        <x:v>A</x:v>
      </x:c>
      <x:c r="G476" t="n">
        <x:v>23</x:v>
      </x:c>
      <x:c r="H476" t="str">
        <x:v>ORD-2025-00093</x:v>
      </x:c>
      <x:c r="I476" t="n">
        <x:v>4</x:v>
      </x:c>
      <x:c r="J476" t="n">
        <x:v>12</x:v>
      </x:c>
      <x:c r="K476" t="n">
        <x:v>2</x:v>
      </x:c>
      <x:c r="L476" t="n">
        <x:f>IF(I476&lt;=J476,1,0)</x:f>
        <x:v>1</x:v>
      </x:c>
      <x:c r="P476" t="n">
        <x:f>IF(M476="",IF(AND(L476=1,K476&gt;=1),1,0),M476)</x:f>
        <x:v>1</x:v>
      </x:c>
      <x:c r="Q476" t="n">
        <x:f>IF(N476="",IF(AND(L476=1,K476&gt;=2),1,0),N476)</x:f>
        <x:v>1</x:v>
      </x:c>
      <x:c r="R476" t="n">
        <x:f>IF(O476="",IF(AND(L476=1,K476&gt;=3),1,0),O476)</x:f>
        <x:v>0</x:v>
      </x:c>
      <x:c r="S476" t="n">
        <x:f>SUM(P476:R476)</x:f>
        <x:v>2</x:v>
      </x:c>
      <x:c r="T476" t="str">
        <x:f>IF(COUNTA(M476:O476)=0,"DerivedFromCount","ManualOverride")</x:f>
        <x:v>DerivedFromCount</x:v>
      </x:c>
      <x:c r="U476" t="str">
        <x:f>IF(COUNTIF(DailyProduction!$Q$5:$Q$100,B476)=1,"OK","CHECK")</x:f>
        <x:v>OK</x:v>
      </x:c>
      <x:c r="V476" t="str">
        <x:f>IF(AND(I476&gt;=1,I476&lt;=13,K476&gt;=1,K476&lt;=3),"OK","CHECK")</x:f>
        <x:v>OK</x:v>
      </x:c>
      <x:c r="W476" t="str">
        <x:f>IF(SUMIF($B$5:$B$914,B476,$S$5:$S$914)=SUMIF(DailyProduction!$Q$5:$Q$100,B476,DailyProduction!$R$5:$R$100),"OK","CHECK")</x:f>
        <x:v>OK</x:v>
      </x:c>
    </x:row>
    <x:row r="477">
      <x:c r="A477" t="str">
        <x:v>PC-PE-KG01-L23-20251024-AM-ORD-2025-00093-S05</x:v>
      </x:c>
      <x:c r="B477" t="str">
        <x:v>PE-KG01-L23-20251024-AM-ORD-2025-00093</x:v>
      </x:c>
      <x:c r="C477" t="str">
        <x:v>KG01</x:v>
      </x:c>
      <x:c r="D477" t="n">
        <x:v>45954</x:v>
      </x:c>
      <x:c r="E477" t="str">
        <x:v>AM</x:v>
      </x:c>
      <x:c r="F477" t="str">
        <x:v>A</x:v>
      </x:c>
      <x:c r="G477" t="n">
        <x:v>23</x:v>
      </x:c>
      <x:c r="H477" t="str">
        <x:v>ORD-2025-00093</x:v>
      </x:c>
      <x:c r="I477" t="n">
        <x:v>5</x:v>
      </x:c>
      <x:c r="J477" t="n">
        <x:v>12</x:v>
      </x:c>
      <x:c r="K477" t="n">
        <x:v>2</x:v>
      </x:c>
      <x:c r="L477" t="n">
        <x:f>IF(I477&lt;=J477,1,0)</x:f>
        <x:v>1</x:v>
      </x:c>
      <x:c r="P477" t="n">
        <x:f>IF(M477="",IF(AND(L477=1,K477&gt;=1),1,0),M477)</x:f>
        <x:v>1</x:v>
      </x:c>
      <x:c r="Q477" t="n">
        <x:f>IF(N477="",IF(AND(L477=1,K477&gt;=2),1,0),N477)</x:f>
        <x:v>1</x:v>
      </x:c>
      <x:c r="R477" t="n">
        <x:f>IF(O477="",IF(AND(L477=1,K477&gt;=3),1,0),O477)</x:f>
        <x:v>0</x:v>
      </x:c>
      <x:c r="S477" t="n">
        <x:f>SUM(P477:R477)</x:f>
        <x:v>2</x:v>
      </x:c>
      <x:c r="T477" t="str">
        <x:f>IF(COUNTA(M477:O477)=0,"DerivedFromCount","ManualOverride")</x:f>
        <x:v>DerivedFromCount</x:v>
      </x:c>
      <x:c r="U477" t="str">
        <x:f>IF(COUNTIF(DailyProduction!$Q$5:$Q$100,B477)=1,"OK","CHECK")</x:f>
        <x:v>OK</x:v>
      </x:c>
      <x:c r="V477" t="str">
        <x:f>IF(AND(I477&gt;=1,I477&lt;=13,K477&gt;=1,K477&lt;=3),"OK","CHECK")</x:f>
        <x:v>OK</x:v>
      </x:c>
      <x:c r="W477" t="str">
        <x:f>IF(SUMIF($B$5:$B$914,B477,$S$5:$S$914)=SUMIF(DailyProduction!$Q$5:$Q$100,B477,DailyProduction!$R$5:$R$100),"OK","CHECK")</x:f>
        <x:v>OK</x:v>
      </x:c>
    </x:row>
    <x:row r="478">
      <x:c r="A478" t="str">
        <x:v>PC-PE-KG01-L23-20251024-AM-ORD-2025-00093-S06</x:v>
      </x:c>
      <x:c r="B478" t="str">
        <x:v>PE-KG01-L23-20251024-AM-ORD-2025-00093</x:v>
      </x:c>
      <x:c r="C478" t="str">
        <x:v>KG01</x:v>
      </x:c>
      <x:c r="D478" t="n">
        <x:v>45954</x:v>
      </x:c>
      <x:c r="E478" t="str">
        <x:v>AM</x:v>
      </x:c>
      <x:c r="F478" t="str">
        <x:v>A</x:v>
      </x:c>
      <x:c r="G478" t="n">
        <x:v>23</x:v>
      </x:c>
      <x:c r="H478" t="str">
        <x:v>ORD-2025-00093</x:v>
      </x:c>
      <x:c r="I478" t="n">
        <x:v>6</x:v>
      </x:c>
      <x:c r="J478" t="n">
        <x:v>12</x:v>
      </x:c>
      <x:c r="K478" t="n">
        <x:v>2</x:v>
      </x:c>
      <x:c r="L478" t="n">
        <x:f>IF(I478&lt;=J478,1,0)</x:f>
        <x:v>1</x:v>
      </x:c>
      <x:c r="P478" t="n">
        <x:f>IF(M478="",IF(AND(L478=1,K478&gt;=1),1,0),M478)</x:f>
        <x:v>1</x:v>
      </x:c>
      <x:c r="Q478" t="n">
        <x:f>IF(N478="",IF(AND(L478=1,K478&gt;=2),1,0),N478)</x:f>
        <x:v>1</x:v>
      </x:c>
      <x:c r="R478" t="n">
        <x:f>IF(O478="",IF(AND(L478=1,K478&gt;=3),1,0),O478)</x:f>
        <x:v>0</x:v>
      </x:c>
      <x:c r="S478" t="n">
        <x:f>SUM(P478:R478)</x:f>
        <x:v>2</x:v>
      </x:c>
      <x:c r="T478" t="str">
        <x:f>IF(COUNTA(M478:O478)=0,"DerivedFromCount","ManualOverride")</x:f>
        <x:v>DerivedFromCount</x:v>
      </x:c>
      <x:c r="U478" t="str">
        <x:f>IF(COUNTIF(DailyProduction!$Q$5:$Q$100,B478)=1,"OK","CHECK")</x:f>
        <x:v>OK</x:v>
      </x:c>
      <x:c r="V478" t="str">
        <x:f>IF(AND(I478&gt;=1,I478&lt;=13,K478&gt;=1,K478&lt;=3),"OK","CHECK")</x:f>
        <x:v>OK</x:v>
      </x:c>
      <x:c r="W478" t="str">
        <x:f>IF(SUMIF($B$5:$B$914,B478,$S$5:$S$914)=SUMIF(DailyProduction!$Q$5:$Q$100,B478,DailyProduction!$R$5:$R$100),"OK","CHECK")</x:f>
        <x:v>OK</x:v>
      </x:c>
    </x:row>
    <x:row r="479">
      <x:c r="A479" t="str">
        <x:v>PC-PE-KG01-L23-20251024-AM-ORD-2025-00093-S07</x:v>
      </x:c>
      <x:c r="B479" t="str">
        <x:v>PE-KG01-L23-20251024-AM-ORD-2025-00093</x:v>
      </x:c>
      <x:c r="C479" t="str">
        <x:v>KG01</x:v>
      </x:c>
      <x:c r="D479" t="n">
        <x:v>45954</x:v>
      </x:c>
      <x:c r="E479" t="str">
        <x:v>AM</x:v>
      </x:c>
      <x:c r="F479" t="str">
        <x:v>A</x:v>
      </x:c>
      <x:c r="G479" t="n">
        <x:v>23</x:v>
      </x:c>
      <x:c r="H479" t="str">
        <x:v>ORD-2025-00093</x:v>
      </x:c>
      <x:c r="I479" t="n">
        <x:v>7</x:v>
      </x:c>
      <x:c r="J479" t="n">
        <x:v>12</x:v>
      </x:c>
      <x:c r="K479" t="n">
        <x:v>2</x:v>
      </x:c>
      <x:c r="L479" t="n">
        <x:f>IF(I479&lt;=J479,1,0)</x:f>
        <x:v>1</x:v>
      </x:c>
      <x:c r="P479" t="n">
        <x:f>IF(M479="",IF(AND(L479=1,K479&gt;=1),1,0),M479)</x:f>
        <x:v>1</x:v>
      </x:c>
      <x:c r="Q479" t="n">
        <x:f>IF(N479="",IF(AND(L479=1,K479&gt;=2),1,0),N479)</x:f>
        <x:v>1</x:v>
      </x:c>
      <x:c r="R479" t="n">
        <x:f>IF(O479="",IF(AND(L479=1,K479&gt;=3),1,0),O479)</x:f>
        <x:v>0</x:v>
      </x:c>
      <x:c r="S479" t="n">
        <x:f>SUM(P479:R479)</x:f>
        <x:v>2</x:v>
      </x:c>
      <x:c r="T479" t="str">
        <x:f>IF(COUNTA(M479:O479)=0,"DerivedFromCount","ManualOverride")</x:f>
        <x:v>DerivedFromCount</x:v>
      </x:c>
      <x:c r="U479" t="str">
        <x:f>IF(COUNTIF(DailyProduction!$Q$5:$Q$100,B479)=1,"OK","CHECK")</x:f>
        <x:v>OK</x:v>
      </x:c>
      <x:c r="V479" t="str">
        <x:f>IF(AND(I479&gt;=1,I479&lt;=13,K479&gt;=1,K479&lt;=3),"OK","CHECK")</x:f>
        <x:v>OK</x:v>
      </x:c>
      <x:c r="W479" t="str">
        <x:f>IF(SUMIF($B$5:$B$914,B479,$S$5:$S$914)=SUMIF(DailyProduction!$Q$5:$Q$100,B479,DailyProduction!$R$5:$R$100),"OK","CHECK")</x:f>
        <x:v>OK</x:v>
      </x:c>
    </x:row>
    <x:row r="480">
      <x:c r="A480" t="str">
        <x:v>PC-PE-KG01-L23-20251024-AM-ORD-2025-00093-S08</x:v>
      </x:c>
      <x:c r="B480" t="str">
        <x:v>PE-KG01-L23-20251024-AM-ORD-2025-00093</x:v>
      </x:c>
      <x:c r="C480" t="str">
        <x:v>KG01</x:v>
      </x:c>
      <x:c r="D480" t="n">
        <x:v>45954</x:v>
      </x:c>
      <x:c r="E480" t="str">
        <x:v>AM</x:v>
      </x:c>
      <x:c r="F480" t="str">
        <x:v>A</x:v>
      </x:c>
      <x:c r="G480" t="n">
        <x:v>23</x:v>
      </x:c>
      <x:c r="H480" t="str">
        <x:v>ORD-2025-00093</x:v>
      </x:c>
      <x:c r="I480" t="n">
        <x:v>8</x:v>
      </x:c>
      <x:c r="J480" t="n">
        <x:v>12</x:v>
      </x:c>
      <x:c r="K480" t="n">
        <x:v>2</x:v>
      </x:c>
      <x:c r="L480" t="n">
        <x:f>IF(I480&lt;=J480,1,0)</x:f>
        <x:v>1</x:v>
      </x:c>
      <x:c r="P480" t="n">
        <x:f>IF(M480="",IF(AND(L480=1,K480&gt;=1),1,0),M480)</x:f>
        <x:v>1</x:v>
      </x:c>
      <x:c r="Q480" t="n">
        <x:f>IF(N480="",IF(AND(L480=1,K480&gt;=2),1,0),N480)</x:f>
        <x:v>1</x:v>
      </x:c>
      <x:c r="R480" t="n">
        <x:f>IF(O480="",IF(AND(L480=1,K480&gt;=3),1,0),O480)</x:f>
        <x:v>0</x:v>
      </x:c>
      <x:c r="S480" t="n">
        <x:f>SUM(P480:R480)</x:f>
        <x:v>2</x:v>
      </x:c>
      <x:c r="T480" t="str">
        <x:f>IF(COUNTA(M480:O480)=0,"DerivedFromCount","ManualOverride")</x:f>
        <x:v>DerivedFromCount</x:v>
      </x:c>
      <x:c r="U480" t="str">
        <x:f>IF(COUNTIF(DailyProduction!$Q$5:$Q$100,B480)=1,"OK","CHECK")</x:f>
        <x:v>OK</x:v>
      </x:c>
      <x:c r="V480" t="str">
        <x:f>IF(AND(I480&gt;=1,I480&lt;=13,K480&gt;=1,K480&lt;=3),"OK","CHECK")</x:f>
        <x:v>OK</x:v>
      </x:c>
      <x:c r="W480" t="str">
        <x:f>IF(SUMIF($B$5:$B$914,B480,$S$5:$S$914)=SUMIF(DailyProduction!$Q$5:$Q$100,B480,DailyProduction!$R$5:$R$100),"OK","CHECK")</x:f>
        <x:v>OK</x:v>
      </x:c>
    </x:row>
    <x:row r="481">
      <x:c r="A481" t="str">
        <x:v>PC-PE-KG01-L23-20251024-AM-ORD-2025-00093-S09</x:v>
      </x:c>
      <x:c r="B481" t="str">
        <x:v>PE-KG01-L23-20251024-AM-ORD-2025-00093</x:v>
      </x:c>
      <x:c r="C481" t="str">
        <x:v>KG01</x:v>
      </x:c>
      <x:c r="D481" t="n">
        <x:v>45954</x:v>
      </x:c>
      <x:c r="E481" t="str">
        <x:v>AM</x:v>
      </x:c>
      <x:c r="F481" t="str">
        <x:v>A</x:v>
      </x:c>
      <x:c r="G481" t="n">
        <x:v>23</x:v>
      </x:c>
      <x:c r="H481" t="str">
        <x:v>ORD-2025-00093</x:v>
      </x:c>
      <x:c r="I481" t="n">
        <x:v>9</x:v>
      </x:c>
      <x:c r="J481" t="n">
        <x:v>12</x:v>
      </x:c>
      <x:c r="K481" t="n">
        <x:v>2</x:v>
      </x:c>
      <x:c r="L481" t="n">
        <x:f>IF(I481&lt;=J481,1,0)</x:f>
        <x:v>1</x:v>
      </x:c>
      <x:c r="P481" t="n">
        <x:f>IF(M481="",IF(AND(L481=1,K481&gt;=1),1,0),M481)</x:f>
        <x:v>1</x:v>
      </x:c>
      <x:c r="Q481" t="n">
        <x:f>IF(N481="",IF(AND(L481=1,K481&gt;=2),1,0),N481)</x:f>
        <x:v>1</x:v>
      </x:c>
      <x:c r="R481" t="n">
        <x:f>IF(O481="",IF(AND(L481=1,K481&gt;=3),1,0),O481)</x:f>
        <x:v>0</x:v>
      </x:c>
      <x:c r="S481" t="n">
        <x:f>SUM(P481:R481)</x:f>
        <x:v>2</x:v>
      </x:c>
      <x:c r="T481" t="str">
        <x:f>IF(COUNTA(M481:O481)=0,"DerivedFromCount","ManualOverride")</x:f>
        <x:v>DerivedFromCount</x:v>
      </x:c>
      <x:c r="U481" t="str">
        <x:f>IF(COUNTIF(DailyProduction!$Q$5:$Q$100,B481)=1,"OK","CHECK")</x:f>
        <x:v>OK</x:v>
      </x:c>
      <x:c r="V481" t="str">
        <x:f>IF(AND(I481&gt;=1,I481&lt;=13,K481&gt;=1,K481&lt;=3),"OK","CHECK")</x:f>
        <x:v>OK</x:v>
      </x:c>
      <x:c r="W481" t="str">
        <x:f>IF(SUMIF($B$5:$B$914,B481,$S$5:$S$914)=SUMIF(DailyProduction!$Q$5:$Q$100,B481,DailyProduction!$R$5:$R$100),"OK","CHECK")</x:f>
        <x:v>OK</x:v>
      </x:c>
    </x:row>
    <x:row r="482">
      <x:c r="A482" t="str">
        <x:v>PC-PE-KG01-L23-20251024-AM-ORD-2025-00093-S10</x:v>
      </x:c>
      <x:c r="B482" t="str">
        <x:v>PE-KG01-L23-20251024-AM-ORD-2025-00093</x:v>
      </x:c>
      <x:c r="C482" t="str">
        <x:v>KG01</x:v>
      </x:c>
      <x:c r="D482" t="n">
        <x:v>45954</x:v>
      </x:c>
      <x:c r="E482" t="str">
        <x:v>AM</x:v>
      </x:c>
      <x:c r="F482" t="str">
        <x:v>A</x:v>
      </x:c>
      <x:c r="G482" t="n">
        <x:v>23</x:v>
      </x:c>
      <x:c r="H482" t="str">
        <x:v>ORD-2025-00093</x:v>
      </x:c>
      <x:c r="I482" t="n">
        <x:v>10</x:v>
      </x:c>
      <x:c r="J482" t="n">
        <x:v>12</x:v>
      </x:c>
      <x:c r="K482" t="n">
        <x:v>2</x:v>
      </x:c>
      <x:c r="L482" t="n">
        <x:f>IF(I482&lt;=J482,1,0)</x:f>
        <x:v>1</x:v>
      </x:c>
      <x:c r="P482" t="n">
        <x:f>IF(M482="",IF(AND(L482=1,K482&gt;=1),1,0),M482)</x:f>
        <x:v>1</x:v>
      </x:c>
      <x:c r="Q482" t="n">
        <x:f>IF(N482="",IF(AND(L482=1,K482&gt;=2),1,0),N482)</x:f>
        <x:v>1</x:v>
      </x:c>
      <x:c r="R482" t="n">
        <x:f>IF(O482="",IF(AND(L482=1,K482&gt;=3),1,0),O482)</x:f>
        <x:v>0</x:v>
      </x:c>
      <x:c r="S482" t="n">
        <x:f>SUM(P482:R482)</x:f>
        <x:v>2</x:v>
      </x:c>
      <x:c r="T482" t="str">
        <x:f>IF(COUNTA(M482:O482)=0,"DerivedFromCount","ManualOverride")</x:f>
        <x:v>DerivedFromCount</x:v>
      </x:c>
      <x:c r="U482" t="str">
        <x:f>IF(COUNTIF(DailyProduction!$Q$5:$Q$100,B482)=1,"OK","CHECK")</x:f>
        <x:v>OK</x:v>
      </x:c>
      <x:c r="V482" t="str">
        <x:f>IF(AND(I482&gt;=1,I482&lt;=13,K482&gt;=1,K482&lt;=3),"OK","CHECK")</x:f>
        <x:v>OK</x:v>
      </x:c>
      <x:c r="W482" t="str">
        <x:f>IF(SUMIF($B$5:$B$914,B482,$S$5:$S$914)=SUMIF(DailyProduction!$Q$5:$Q$100,B482,DailyProduction!$R$5:$R$100),"OK","CHECK")</x:f>
        <x:v>OK</x:v>
      </x:c>
    </x:row>
    <x:row r="483">
      <x:c r="A483" t="str">
        <x:v>PC-PE-KG01-L23-20251024-AM-ORD-2025-00093-S11</x:v>
      </x:c>
      <x:c r="B483" t="str">
        <x:v>PE-KG01-L23-20251024-AM-ORD-2025-00093</x:v>
      </x:c>
      <x:c r="C483" t="str">
        <x:v>KG01</x:v>
      </x:c>
      <x:c r="D483" t="n">
        <x:v>45954</x:v>
      </x:c>
      <x:c r="E483" t="str">
        <x:v>AM</x:v>
      </x:c>
      <x:c r="F483" t="str">
        <x:v>A</x:v>
      </x:c>
      <x:c r="G483" t="n">
        <x:v>23</x:v>
      </x:c>
      <x:c r="H483" t="str">
        <x:v>ORD-2025-00093</x:v>
      </x:c>
      <x:c r="I483" t="n">
        <x:v>11</x:v>
      </x:c>
      <x:c r="J483" t="n">
        <x:v>12</x:v>
      </x:c>
      <x:c r="K483" t="n">
        <x:v>2</x:v>
      </x:c>
      <x:c r="L483" t="n">
        <x:f>IF(I483&lt;=J483,1,0)</x:f>
        <x:v>1</x:v>
      </x:c>
      <x:c r="P483" t="n">
        <x:f>IF(M483="",IF(AND(L483=1,K483&gt;=1),1,0),M483)</x:f>
        <x:v>1</x:v>
      </x:c>
      <x:c r="Q483" t="n">
        <x:f>IF(N483="",IF(AND(L483=1,K483&gt;=2),1,0),N483)</x:f>
        <x:v>1</x:v>
      </x:c>
      <x:c r="R483" t="n">
        <x:f>IF(O483="",IF(AND(L483=1,K483&gt;=3),1,0),O483)</x:f>
        <x:v>0</x:v>
      </x:c>
      <x:c r="S483" t="n">
        <x:f>SUM(P483:R483)</x:f>
        <x:v>2</x:v>
      </x:c>
      <x:c r="T483" t="str">
        <x:f>IF(COUNTA(M483:O483)=0,"DerivedFromCount","ManualOverride")</x:f>
        <x:v>DerivedFromCount</x:v>
      </x:c>
      <x:c r="U483" t="str">
        <x:f>IF(COUNTIF(DailyProduction!$Q$5:$Q$100,B483)=1,"OK","CHECK")</x:f>
        <x:v>OK</x:v>
      </x:c>
      <x:c r="V483" t="str">
        <x:f>IF(AND(I483&gt;=1,I483&lt;=13,K483&gt;=1,K483&lt;=3),"OK","CHECK")</x:f>
        <x:v>OK</x:v>
      </x:c>
      <x:c r="W483" t="str">
        <x:f>IF(SUMIF($B$5:$B$914,B483,$S$5:$S$914)=SUMIF(DailyProduction!$Q$5:$Q$100,B483,DailyProduction!$R$5:$R$100),"OK","CHECK")</x:f>
        <x:v>OK</x:v>
      </x:c>
    </x:row>
    <x:row r="484">
      <x:c r="A484" t="str">
        <x:v>PC-PE-KG01-L23-20251024-AM-ORD-2025-00093-S12</x:v>
      </x:c>
      <x:c r="B484" t="str">
        <x:v>PE-KG01-L23-20251024-AM-ORD-2025-00093</x:v>
      </x:c>
      <x:c r="C484" t="str">
        <x:v>KG01</x:v>
      </x:c>
      <x:c r="D484" t="n">
        <x:v>45954</x:v>
      </x:c>
      <x:c r="E484" t="str">
        <x:v>AM</x:v>
      </x:c>
      <x:c r="F484" t="str">
        <x:v>A</x:v>
      </x:c>
      <x:c r="G484" t="n">
        <x:v>23</x:v>
      </x:c>
      <x:c r="H484" t="str">
        <x:v>ORD-2025-00093</x:v>
      </x:c>
      <x:c r="I484" t="n">
        <x:v>12</x:v>
      </x:c>
      <x:c r="J484" t="n">
        <x:v>12</x:v>
      </x:c>
      <x:c r="K484" t="n">
        <x:v>2</x:v>
      </x:c>
      <x:c r="L484" t="n">
        <x:f>IF(I484&lt;=J484,1,0)</x:f>
        <x:v>1</x:v>
      </x:c>
      <x:c r="P484" t="n">
        <x:f>IF(M484="",IF(AND(L484=1,K484&gt;=1),1,0),M484)</x:f>
        <x:v>1</x:v>
      </x:c>
      <x:c r="Q484" t="n">
        <x:f>IF(N484="",IF(AND(L484=1,K484&gt;=2),1,0),N484)</x:f>
        <x:v>1</x:v>
      </x:c>
      <x:c r="R484" t="n">
        <x:f>IF(O484="",IF(AND(L484=1,K484&gt;=3),1,0),O484)</x:f>
        <x:v>0</x:v>
      </x:c>
      <x:c r="S484" t="n">
        <x:f>SUM(P484:R484)</x:f>
        <x:v>2</x:v>
      </x:c>
      <x:c r="T484" t="str">
        <x:f>IF(COUNTA(M484:O484)=0,"DerivedFromCount","ManualOverride")</x:f>
        <x:v>DerivedFromCount</x:v>
      </x:c>
      <x:c r="U484" t="str">
        <x:f>IF(COUNTIF(DailyProduction!$Q$5:$Q$100,B484)=1,"OK","CHECK")</x:f>
        <x:v>OK</x:v>
      </x:c>
      <x:c r="V484" t="str">
        <x:f>IF(AND(I484&gt;=1,I484&lt;=13,K484&gt;=1,K484&lt;=3),"OK","CHECK")</x:f>
        <x:v>OK</x:v>
      </x:c>
      <x:c r="W484" t="str">
        <x:f>IF(SUMIF($B$5:$B$914,B484,$S$5:$S$914)=SUMIF(DailyProduction!$Q$5:$Q$100,B484,DailyProduction!$R$5:$R$100),"OK","CHECK")</x:f>
        <x:v>OK</x:v>
      </x:c>
    </x:row>
    <x:row r="485">
      <x:c r="A485" t="str">
        <x:v>PC-PE-KG01-L23-20251024-AM-ORD-2025-00093-S13</x:v>
      </x:c>
      <x:c r="B485" t="str">
        <x:v>PE-KG01-L23-20251024-AM-ORD-2025-00093</x:v>
      </x:c>
      <x:c r="C485" t="str">
        <x:v>KG01</x:v>
      </x:c>
      <x:c r="D485" t="n">
        <x:v>45954</x:v>
      </x:c>
      <x:c r="E485" t="str">
        <x:v>AM</x:v>
      </x:c>
      <x:c r="F485" t="str">
        <x:v>A</x:v>
      </x:c>
      <x:c r="G485" t="n">
        <x:v>23</x:v>
      </x:c>
      <x:c r="H485" t="str">
        <x:v>ORD-2025-00093</x:v>
      </x:c>
      <x:c r="I485" t="n">
        <x:v>13</x:v>
      </x:c>
      <x:c r="J485" t="n">
        <x:v>12</x:v>
      </x:c>
      <x:c r="K485" t="n">
        <x:v>2</x:v>
      </x:c>
      <x:c r="L485" t="n">
        <x:f>IF(I485&lt;=J485,1,0)</x:f>
        <x:v>0</x:v>
      </x:c>
      <x:c r="P485" t="n">
        <x:f>IF(M485="",IF(AND(L485=1,K485&gt;=1),1,0),M485)</x:f>
        <x:v>0</x:v>
      </x:c>
      <x:c r="Q485" t="n">
        <x:f>IF(N485="",IF(AND(L485=1,K485&gt;=2),1,0),N485)</x:f>
        <x:v>0</x:v>
      </x:c>
      <x:c r="R485" t="n">
        <x:f>IF(O485="",IF(AND(L485=1,K485&gt;=3),1,0),O485)</x:f>
        <x:v>0</x:v>
      </x:c>
      <x:c r="S485" t="n">
        <x:f>SUM(P485:R485)</x:f>
        <x:v>0</x:v>
      </x:c>
      <x:c r="T485" t="str">
        <x:f>IF(COUNTA(M485:O485)=0,"DerivedFromCount","ManualOverride")</x:f>
        <x:v>DerivedFromCount</x:v>
      </x:c>
      <x:c r="U485" t="str">
        <x:f>IF(COUNTIF(DailyProduction!$Q$5:$Q$100,B485)=1,"OK","CHECK")</x:f>
        <x:v>OK</x:v>
      </x:c>
      <x:c r="V485" t="str">
        <x:f>IF(AND(I485&gt;=1,I485&lt;=13,K485&gt;=1,K485&lt;=3),"OK","CHECK")</x:f>
        <x:v>OK</x:v>
      </x:c>
      <x:c r="W485" t="str">
        <x:f>IF(SUMIF($B$5:$B$914,B485,$S$5:$S$914)=SUMIF(DailyProduction!$Q$5:$Q$100,B485,DailyProduction!$R$5:$R$100),"OK","CHECK")</x:f>
        <x:v>OK</x:v>
      </x:c>
    </x:row>
    <x:row r="486">
      <x:c r="A486" t="str">
        <x:v>PC-PE-KG01-L23-20251024-PM-ORD-2025-00093-S01</x:v>
      </x:c>
      <x:c r="B486" t="str">
        <x:v>PE-KG01-L23-20251024-PM-ORD-2025-00093</x:v>
      </x:c>
      <x:c r="C486" t="str">
        <x:v>KG01</x:v>
      </x:c>
      <x:c r="D486" t="n">
        <x:v>45954</x:v>
      </x:c>
      <x:c r="E486" t="str">
        <x:v>PM</x:v>
      </x:c>
      <x:c r="F486" t="str">
        <x:v>B</x:v>
      </x:c>
      <x:c r="G486" t="n">
        <x:v>23</x:v>
      </x:c>
      <x:c r="H486" t="str">
        <x:v>ORD-2025-00093</x:v>
      </x:c>
      <x:c r="I486" t="n">
        <x:v>1</x:v>
      </x:c>
      <x:c r="J486" t="n">
        <x:v>12</x:v>
      </x:c>
      <x:c r="K486" t="n">
        <x:v>2</x:v>
      </x:c>
      <x:c r="L486" t="n">
        <x:f>IF(I486&lt;=J486,1,0)</x:f>
        <x:v>1</x:v>
      </x:c>
      <x:c r="P486" t="n">
        <x:f>IF(M486="",IF(AND(L486=1,K486&gt;=1),1,0),M486)</x:f>
        <x:v>1</x:v>
      </x:c>
      <x:c r="Q486" t="n">
        <x:f>IF(N486="",IF(AND(L486=1,K486&gt;=2),1,0),N486)</x:f>
        <x:v>1</x:v>
      </x:c>
      <x:c r="R486" t="n">
        <x:f>IF(O486="",IF(AND(L486=1,K486&gt;=3),1,0),O486)</x:f>
        <x:v>0</x:v>
      </x:c>
      <x:c r="S486" t="n">
        <x:f>SUM(P486:R486)</x:f>
        <x:v>2</x:v>
      </x:c>
      <x:c r="T486" t="str">
        <x:f>IF(COUNTA(M486:O486)=0,"DerivedFromCount","ManualOverride")</x:f>
        <x:v>DerivedFromCount</x:v>
      </x:c>
      <x:c r="U486" t="str">
        <x:f>IF(COUNTIF(DailyProduction!$Q$5:$Q$100,B486)=1,"OK","CHECK")</x:f>
        <x:v>OK</x:v>
      </x:c>
      <x:c r="V486" t="str">
        <x:f>IF(AND(I486&gt;=1,I486&lt;=13,K486&gt;=1,K486&lt;=3),"OK","CHECK")</x:f>
        <x:v>OK</x:v>
      </x:c>
      <x:c r="W486" t="str">
        <x:f>IF(SUMIF($B$5:$B$914,B486,$S$5:$S$914)=SUMIF(DailyProduction!$Q$5:$Q$100,B486,DailyProduction!$R$5:$R$100),"OK","CHECK")</x:f>
        <x:v>OK</x:v>
      </x:c>
    </x:row>
    <x:row r="487">
      <x:c r="A487" t="str">
        <x:v>PC-PE-KG01-L23-20251024-PM-ORD-2025-00093-S02</x:v>
      </x:c>
      <x:c r="B487" t="str">
        <x:v>PE-KG01-L23-20251024-PM-ORD-2025-00093</x:v>
      </x:c>
      <x:c r="C487" t="str">
        <x:v>KG01</x:v>
      </x:c>
      <x:c r="D487" t="n">
        <x:v>45954</x:v>
      </x:c>
      <x:c r="E487" t="str">
        <x:v>PM</x:v>
      </x:c>
      <x:c r="F487" t="str">
        <x:v>B</x:v>
      </x:c>
      <x:c r="G487" t="n">
        <x:v>23</x:v>
      </x:c>
      <x:c r="H487" t="str">
        <x:v>ORD-2025-00093</x:v>
      </x:c>
      <x:c r="I487" t="n">
        <x:v>2</x:v>
      </x:c>
      <x:c r="J487" t="n">
        <x:v>12</x:v>
      </x:c>
      <x:c r="K487" t="n">
        <x:v>2</x:v>
      </x:c>
      <x:c r="L487" t="n">
        <x:f>IF(I487&lt;=J487,1,0)</x:f>
        <x:v>1</x:v>
      </x:c>
      <x:c r="P487" t="n">
        <x:f>IF(M487="",IF(AND(L487=1,K487&gt;=1),1,0),M487)</x:f>
        <x:v>1</x:v>
      </x:c>
      <x:c r="Q487" t="n">
        <x:f>IF(N487="",IF(AND(L487=1,K487&gt;=2),1,0),N487)</x:f>
        <x:v>1</x:v>
      </x:c>
      <x:c r="R487" t="n">
        <x:f>IF(O487="",IF(AND(L487=1,K487&gt;=3),1,0),O487)</x:f>
        <x:v>0</x:v>
      </x:c>
      <x:c r="S487" t="n">
        <x:f>SUM(P487:R487)</x:f>
        <x:v>2</x:v>
      </x:c>
      <x:c r="T487" t="str">
        <x:f>IF(COUNTA(M487:O487)=0,"DerivedFromCount","ManualOverride")</x:f>
        <x:v>DerivedFromCount</x:v>
      </x:c>
      <x:c r="U487" t="str">
        <x:f>IF(COUNTIF(DailyProduction!$Q$5:$Q$100,B487)=1,"OK","CHECK")</x:f>
        <x:v>OK</x:v>
      </x:c>
      <x:c r="V487" t="str">
        <x:f>IF(AND(I487&gt;=1,I487&lt;=13,K487&gt;=1,K487&lt;=3),"OK","CHECK")</x:f>
        <x:v>OK</x:v>
      </x:c>
      <x:c r="W487" t="str">
        <x:f>IF(SUMIF($B$5:$B$914,B487,$S$5:$S$914)=SUMIF(DailyProduction!$Q$5:$Q$100,B487,DailyProduction!$R$5:$R$100),"OK","CHECK")</x:f>
        <x:v>OK</x:v>
      </x:c>
    </x:row>
    <x:row r="488">
      <x:c r="A488" t="str">
        <x:v>PC-PE-KG01-L23-20251024-PM-ORD-2025-00093-S03</x:v>
      </x:c>
      <x:c r="B488" t="str">
        <x:v>PE-KG01-L23-20251024-PM-ORD-2025-00093</x:v>
      </x:c>
      <x:c r="C488" t="str">
        <x:v>KG01</x:v>
      </x:c>
      <x:c r="D488" t="n">
        <x:v>45954</x:v>
      </x:c>
      <x:c r="E488" t="str">
        <x:v>PM</x:v>
      </x:c>
      <x:c r="F488" t="str">
        <x:v>B</x:v>
      </x:c>
      <x:c r="G488" t="n">
        <x:v>23</x:v>
      </x:c>
      <x:c r="H488" t="str">
        <x:v>ORD-2025-00093</x:v>
      </x:c>
      <x:c r="I488" t="n">
        <x:v>3</x:v>
      </x:c>
      <x:c r="J488" t="n">
        <x:v>12</x:v>
      </x:c>
      <x:c r="K488" t="n">
        <x:v>2</x:v>
      </x:c>
      <x:c r="L488" t="n">
        <x:f>IF(I488&lt;=J488,1,0)</x:f>
        <x:v>1</x:v>
      </x:c>
      <x:c r="P488" t="n">
        <x:f>IF(M488="",IF(AND(L488=1,K488&gt;=1),1,0),M488)</x:f>
        <x:v>1</x:v>
      </x:c>
      <x:c r="Q488" t="n">
        <x:f>IF(N488="",IF(AND(L488=1,K488&gt;=2),1,0),N488)</x:f>
        <x:v>1</x:v>
      </x:c>
      <x:c r="R488" t="n">
        <x:f>IF(O488="",IF(AND(L488=1,K488&gt;=3),1,0),O488)</x:f>
        <x:v>0</x:v>
      </x:c>
      <x:c r="S488" t="n">
        <x:f>SUM(P488:R488)</x:f>
        <x:v>2</x:v>
      </x:c>
      <x:c r="T488" t="str">
        <x:f>IF(COUNTA(M488:O488)=0,"DerivedFromCount","ManualOverride")</x:f>
        <x:v>DerivedFromCount</x:v>
      </x:c>
      <x:c r="U488" t="str">
        <x:f>IF(COUNTIF(DailyProduction!$Q$5:$Q$100,B488)=1,"OK","CHECK")</x:f>
        <x:v>OK</x:v>
      </x:c>
      <x:c r="V488" t="str">
        <x:f>IF(AND(I488&gt;=1,I488&lt;=13,K488&gt;=1,K488&lt;=3),"OK","CHECK")</x:f>
        <x:v>OK</x:v>
      </x:c>
      <x:c r="W488" t="str">
        <x:f>IF(SUMIF($B$5:$B$914,B488,$S$5:$S$914)=SUMIF(DailyProduction!$Q$5:$Q$100,B488,DailyProduction!$R$5:$R$100),"OK","CHECK")</x:f>
        <x:v>OK</x:v>
      </x:c>
    </x:row>
    <x:row r="489">
      <x:c r="A489" t="str">
        <x:v>PC-PE-KG01-L23-20251024-PM-ORD-2025-00093-S04</x:v>
      </x:c>
      <x:c r="B489" t="str">
        <x:v>PE-KG01-L23-20251024-PM-ORD-2025-00093</x:v>
      </x:c>
      <x:c r="C489" t="str">
        <x:v>KG01</x:v>
      </x:c>
      <x:c r="D489" t="n">
        <x:v>45954</x:v>
      </x:c>
      <x:c r="E489" t="str">
        <x:v>PM</x:v>
      </x:c>
      <x:c r="F489" t="str">
        <x:v>B</x:v>
      </x:c>
      <x:c r="G489" t="n">
        <x:v>23</x:v>
      </x:c>
      <x:c r="H489" t="str">
        <x:v>ORD-2025-00093</x:v>
      </x:c>
      <x:c r="I489" t="n">
        <x:v>4</x:v>
      </x:c>
      <x:c r="J489" t="n">
        <x:v>12</x:v>
      </x:c>
      <x:c r="K489" t="n">
        <x:v>2</x:v>
      </x:c>
      <x:c r="L489" t="n">
        <x:f>IF(I489&lt;=J489,1,0)</x:f>
        <x:v>1</x:v>
      </x:c>
      <x:c r="P489" t="n">
        <x:f>IF(M489="",IF(AND(L489=1,K489&gt;=1),1,0),M489)</x:f>
        <x:v>1</x:v>
      </x:c>
      <x:c r="Q489" t="n">
        <x:f>IF(N489="",IF(AND(L489=1,K489&gt;=2),1,0),N489)</x:f>
        <x:v>1</x:v>
      </x:c>
      <x:c r="R489" t="n">
        <x:f>IF(O489="",IF(AND(L489=1,K489&gt;=3),1,0),O489)</x:f>
        <x:v>0</x:v>
      </x:c>
      <x:c r="S489" t="n">
        <x:f>SUM(P489:R489)</x:f>
        <x:v>2</x:v>
      </x:c>
      <x:c r="T489" t="str">
        <x:f>IF(COUNTA(M489:O489)=0,"DerivedFromCount","ManualOverride")</x:f>
        <x:v>DerivedFromCount</x:v>
      </x:c>
      <x:c r="U489" t="str">
        <x:f>IF(COUNTIF(DailyProduction!$Q$5:$Q$100,B489)=1,"OK","CHECK")</x:f>
        <x:v>OK</x:v>
      </x:c>
      <x:c r="V489" t="str">
        <x:f>IF(AND(I489&gt;=1,I489&lt;=13,K489&gt;=1,K489&lt;=3),"OK","CHECK")</x:f>
        <x:v>OK</x:v>
      </x:c>
      <x:c r="W489" t="str">
        <x:f>IF(SUMIF($B$5:$B$914,B489,$S$5:$S$914)=SUMIF(DailyProduction!$Q$5:$Q$100,B489,DailyProduction!$R$5:$R$100),"OK","CHECK")</x:f>
        <x:v>OK</x:v>
      </x:c>
    </x:row>
    <x:row r="490">
      <x:c r="A490" t="str">
        <x:v>PC-PE-KG01-L23-20251024-PM-ORD-2025-00093-S05</x:v>
      </x:c>
      <x:c r="B490" t="str">
        <x:v>PE-KG01-L23-20251024-PM-ORD-2025-00093</x:v>
      </x:c>
      <x:c r="C490" t="str">
        <x:v>KG01</x:v>
      </x:c>
      <x:c r="D490" t="n">
        <x:v>45954</x:v>
      </x:c>
      <x:c r="E490" t="str">
        <x:v>PM</x:v>
      </x:c>
      <x:c r="F490" t="str">
        <x:v>B</x:v>
      </x:c>
      <x:c r="G490" t="n">
        <x:v>23</x:v>
      </x:c>
      <x:c r="H490" t="str">
        <x:v>ORD-2025-00093</x:v>
      </x:c>
      <x:c r="I490" t="n">
        <x:v>5</x:v>
      </x:c>
      <x:c r="J490" t="n">
        <x:v>12</x:v>
      </x:c>
      <x:c r="K490" t="n">
        <x:v>2</x:v>
      </x:c>
      <x:c r="L490" t="n">
        <x:f>IF(I490&lt;=J490,1,0)</x:f>
        <x:v>1</x:v>
      </x:c>
      <x:c r="P490" t="n">
        <x:f>IF(M490="",IF(AND(L490=1,K490&gt;=1),1,0),M490)</x:f>
        <x:v>1</x:v>
      </x:c>
      <x:c r="Q490" t="n">
        <x:f>IF(N490="",IF(AND(L490=1,K490&gt;=2),1,0),N490)</x:f>
        <x:v>1</x:v>
      </x:c>
      <x:c r="R490" t="n">
        <x:f>IF(O490="",IF(AND(L490=1,K490&gt;=3),1,0),O490)</x:f>
        <x:v>0</x:v>
      </x:c>
      <x:c r="S490" t="n">
        <x:f>SUM(P490:R490)</x:f>
        <x:v>2</x:v>
      </x:c>
      <x:c r="T490" t="str">
        <x:f>IF(COUNTA(M490:O490)=0,"DerivedFromCount","ManualOverride")</x:f>
        <x:v>DerivedFromCount</x:v>
      </x:c>
      <x:c r="U490" t="str">
        <x:f>IF(COUNTIF(DailyProduction!$Q$5:$Q$100,B490)=1,"OK","CHECK")</x:f>
        <x:v>OK</x:v>
      </x:c>
      <x:c r="V490" t="str">
        <x:f>IF(AND(I490&gt;=1,I490&lt;=13,K490&gt;=1,K490&lt;=3),"OK","CHECK")</x:f>
        <x:v>OK</x:v>
      </x:c>
      <x:c r="W490" t="str">
        <x:f>IF(SUMIF($B$5:$B$914,B490,$S$5:$S$914)=SUMIF(DailyProduction!$Q$5:$Q$100,B490,DailyProduction!$R$5:$R$100),"OK","CHECK")</x:f>
        <x:v>OK</x:v>
      </x:c>
    </x:row>
    <x:row r="491">
      <x:c r="A491" t="str">
        <x:v>PC-PE-KG01-L23-20251024-PM-ORD-2025-00093-S06</x:v>
      </x:c>
      <x:c r="B491" t="str">
        <x:v>PE-KG01-L23-20251024-PM-ORD-2025-00093</x:v>
      </x:c>
      <x:c r="C491" t="str">
        <x:v>KG01</x:v>
      </x:c>
      <x:c r="D491" t="n">
        <x:v>45954</x:v>
      </x:c>
      <x:c r="E491" t="str">
        <x:v>PM</x:v>
      </x:c>
      <x:c r="F491" t="str">
        <x:v>B</x:v>
      </x:c>
      <x:c r="G491" t="n">
        <x:v>23</x:v>
      </x:c>
      <x:c r="H491" t="str">
        <x:v>ORD-2025-00093</x:v>
      </x:c>
      <x:c r="I491" t="n">
        <x:v>6</x:v>
      </x:c>
      <x:c r="J491" t="n">
        <x:v>12</x:v>
      </x:c>
      <x:c r="K491" t="n">
        <x:v>2</x:v>
      </x:c>
      <x:c r="L491" t="n">
        <x:f>IF(I491&lt;=J491,1,0)</x:f>
        <x:v>1</x:v>
      </x:c>
      <x:c r="P491" t="n">
        <x:f>IF(M491="",IF(AND(L491=1,K491&gt;=1),1,0),M491)</x:f>
        <x:v>1</x:v>
      </x:c>
      <x:c r="Q491" t="n">
        <x:f>IF(N491="",IF(AND(L491=1,K491&gt;=2),1,0),N491)</x:f>
        <x:v>1</x:v>
      </x:c>
      <x:c r="R491" t="n">
        <x:f>IF(O491="",IF(AND(L491=1,K491&gt;=3),1,0),O491)</x:f>
        <x:v>0</x:v>
      </x:c>
      <x:c r="S491" t="n">
        <x:f>SUM(P491:R491)</x:f>
        <x:v>2</x:v>
      </x:c>
      <x:c r="T491" t="str">
        <x:f>IF(COUNTA(M491:O491)=0,"DerivedFromCount","ManualOverride")</x:f>
        <x:v>DerivedFromCount</x:v>
      </x:c>
      <x:c r="U491" t="str">
        <x:f>IF(COUNTIF(DailyProduction!$Q$5:$Q$100,B491)=1,"OK","CHECK")</x:f>
        <x:v>OK</x:v>
      </x:c>
      <x:c r="V491" t="str">
        <x:f>IF(AND(I491&gt;=1,I491&lt;=13,K491&gt;=1,K491&lt;=3),"OK","CHECK")</x:f>
        <x:v>OK</x:v>
      </x:c>
      <x:c r="W491" t="str">
        <x:f>IF(SUMIF($B$5:$B$914,B491,$S$5:$S$914)=SUMIF(DailyProduction!$Q$5:$Q$100,B491,DailyProduction!$R$5:$R$100),"OK","CHECK")</x:f>
        <x:v>OK</x:v>
      </x:c>
    </x:row>
    <x:row r="492">
      <x:c r="A492" t="str">
        <x:v>PC-PE-KG01-L23-20251024-PM-ORD-2025-00093-S07</x:v>
      </x:c>
      <x:c r="B492" t="str">
        <x:v>PE-KG01-L23-20251024-PM-ORD-2025-00093</x:v>
      </x:c>
      <x:c r="C492" t="str">
        <x:v>KG01</x:v>
      </x:c>
      <x:c r="D492" t="n">
        <x:v>45954</x:v>
      </x:c>
      <x:c r="E492" t="str">
        <x:v>PM</x:v>
      </x:c>
      <x:c r="F492" t="str">
        <x:v>B</x:v>
      </x:c>
      <x:c r="G492" t="n">
        <x:v>23</x:v>
      </x:c>
      <x:c r="H492" t="str">
        <x:v>ORD-2025-00093</x:v>
      </x:c>
      <x:c r="I492" t="n">
        <x:v>7</x:v>
      </x:c>
      <x:c r="J492" t="n">
        <x:v>12</x:v>
      </x:c>
      <x:c r="K492" t="n">
        <x:v>2</x:v>
      </x:c>
      <x:c r="L492" t="n">
        <x:f>IF(I492&lt;=J492,1,0)</x:f>
        <x:v>1</x:v>
      </x:c>
      <x:c r="P492" t="n">
        <x:f>IF(M492="",IF(AND(L492=1,K492&gt;=1),1,0),M492)</x:f>
        <x:v>1</x:v>
      </x:c>
      <x:c r="Q492" t="n">
        <x:f>IF(N492="",IF(AND(L492=1,K492&gt;=2),1,0),N492)</x:f>
        <x:v>1</x:v>
      </x:c>
      <x:c r="R492" t="n">
        <x:f>IF(O492="",IF(AND(L492=1,K492&gt;=3),1,0),O492)</x:f>
        <x:v>0</x:v>
      </x:c>
      <x:c r="S492" t="n">
        <x:f>SUM(P492:R492)</x:f>
        <x:v>2</x:v>
      </x:c>
      <x:c r="T492" t="str">
        <x:f>IF(COUNTA(M492:O492)=0,"DerivedFromCount","ManualOverride")</x:f>
        <x:v>DerivedFromCount</x:v>
      </x:c>
      <x:c r="U492" t="str">
        <x:f>IF(COUNTIF(DailyProduction!$Q$5:$Q$100,B492)=1,"OK","CHECK")</x:f>
        <x:v>OK</x:v>
      </x:c>
      <x:c r="V492" t="str">
        <x:f>IF(AND(I492&gt;=1,I492&lt;=13,K492&gt;=1,K492&lt;=3),"OK","CHECK")</x:f>
        <x:v>OK</x:v>
      </x:c>
      <x:c r="W492" t="str">
        <x:f>IF(SUMIF($B$5:$B$914,B492,$S$5:$S$914)=SUMIF(DailyProduction!$Q$5:$Q$100,B492,DailyProduction!$R$5:$R$100),"OK","CHECK")</x:f>
        <x:v>OK</x:v>
      </x:c>
    </x:row>
    <x:row r="493">
      <x:c r="A493" t="str">
        <x:v>PC-PE-KG01-L23-20251024-PM-ORD-2025-00093-S08</x:v>
      </x:c>
      <x:c r="B493" t="str">
        <x:v>PE-KG01-L23-20251024-PM-ORD-2025-00093</x:v>
      </x:c>
      <x:c r="C493" t="str">
        <x:v>KG01</x:v>
      </x:c>
      <x:c r="D493" t="n">
        <x:v>45954</x:v>
      </x:c>
      <x:c r="E493" t="str">
        <x:v>PM</x:v>
      </x:c>
      <x:c r="F493" t="str">
        <x:v>B</x:v>
      </x:c>
      <x:c r="G493" t="n">
        <x:v>23</x:v>
      </x:c>
      <x:c r="H493" t="str">
        <x:v>ORD-2025-00093</x:v>
      </x:c>
      <x:c r="I493" t="n">
        <x:v>8</x:v>
      </x:c>
      <x:c r="J493" t="n">
        <x:v>12</x:v>
      </x:c>
      <x:c r="K493" t="n">
        <x:v>2</x:v>
      </x:c>
      <x:c r="L493" t="n">
        <x:f>IF(I493&lt;=J493,1,0)</x:f>
        <x:v>1</x:v>
      </x:c>
      <x:c r="P493" t="n">
        <x:f>IF(M493="",IF(AND(L493=1,K493&gt;=1),1,0),M493)</x:f>
        <x:v>1</x:v>
      </x:c>
      <x:c r="Q493" t="n">
        <x:f>IF(N493="",IF(AND(L493=1,K493&gt;=2),1,0),N493)</x:f>
        <x:v>1</x:v>
      </x:c>
      <x:c r="R493" t="n">
        <x:f>IF(O493="",IF(AND(L493=1,K493&gt;=3),1,0),O493)</x:f>
        <x:v>0</x:v>
      </x:c>
      <x:c r="S493" t="n">
        <x:f>SUM(P493:R493)</x:f>
        <x:v>2</x:v>
      </x:c>
      <x:c r="T493" t="str">
        <x:f>IF(COUNTA(M493:O493)=0,"DerivedFromCount","ManualOverride")</x:f>
        <x:v>DerivedFromCount</x:v>
      </x:c>
      <x:c r="U493" t="str">
        <x:f>IF(COUNTIF(DailyProduction!$Q$5:$Q$100,B493)=1,"OK","CHECK")</x:f>
        <x:v>OK</x:v>
      </x:c>
      <x:c r="V493" t="str">
        <x:f>IF(AND(I493&gt;=1,I493&lt;=13,K493&gt;=1,K493&lt;=3),"OK","CHECK")</x:f>
        <x:v>OK</x:v>
      </x:c>
      <x:c r="W493" t="str">
        <x:f>IF(SUMIF($B$5:$B$914,B493,$S$5:$S$914)=SUMIF(DailyProduction!$Q$5:$Q$100,B493,DailyProduction!$R$5:$R$100),"OK","CHECK")</x:f>
        <x:v>OK</x:v>
      </x:c>
    </x:row>
    <x:row r="494">
      <x:c r="A494" t="str">
        <x:v>PC-PE-KG01-L23-20251024-PM-ORD-2025-00093-S09</x:v>
      </x:c>
      <x:c r="B494" t="str">
        <x:v>PE-KG01-L23-20251024-PM-ORD-2025-00093</x:v>
      </x:c>
      <x:c r="C494" t="str">
        <x:v>KG01</x:v>
      </x:c>
      <x:c r="D494" t="n">
        <x:v>45954</x:v>
      </x:c>
      <x:c r="E494" t="str">
        <x:v>PM</x:v>
      </x:c>
      <x:c r="F494" t="str">
        <x:v>B</x:v>
      </x:c>
      <x:c r="G494" t="n">
        <x:v>23</x:v>
      </x:c>
      <x:c r="H494" t="str">
        <x:v>ORD-2025-00093</x:v>
      </x:c>
      <x:c r="I494" t="n">
        <x:v>9</x:v>
      </x:c>
      <x:c r="J494" t="n">
        <x:v>12</x:v>
      </x:c>
      <x:c r="K494" t="n">
        <x:v>2</x:v>
      </x:c>
      <x:c r="L494" t="n">
        <x:f>IF(I494&lt;=J494,1,0)</x:f>
        <x:v>1</x:v>
      </x:c>
      <x:c r="P494" t="n">
        <x:f>IF(M494="",IF(AND(L494=1,K494&gt;=1),1,0),M494)</x:f>
        <x:v>1</x:v>
      </x:c>
      <x:c r="Q494" t="n">
        <x:f>IF(N494="",IF(AND(L494=1,K494&gt;=2),1,0),N494)</x:f>
        <x:v>1</x:v>
      </x:c>
      <x:c r="R494" t="n">
        <x:f>IF(O494="",IF(AND(L494=1,K494&gt;=3),1,0),O494)</x:f>
        <x:v>0</x:v>
      </x:c>
      <x:c r="S494" t="n">
        <x:f>SUM(P494:R494)</x:f>
        <x:v>2</x:v>
      </x:c>
      <x:c r="T494" t="str">
        <x:f>IF(COUNTA(M494:O494)=0,"DerivedFromCount","ManualOverride")</x:f>
        <x:v>DerivedFromCount</x:v>
      </x:c>
      <x:c r="U494" t="str">
        <x:f>IF(COUNTIF(DailyProduction!$Q$5:$Q$100,B494)=1,"OK","CHECK")</x:f>
        <x:v>OK</x:v>
      </x:c>
      <x:c r="V494" t="str">
        <x:f>IF(AND(I494&gt;=1,I494&lt;=13,K494&gt;=1,K494&lt;=3),"OK","CHECK")</x:f>
        <x:v>OK</x:v>
      </x:c>
      <x:c r="W494" t="str">
        <x:f>IF(SUMIF($B$5:$B$914,B494,$S$5:$S$914)=SUMIF(DailyProduction!$Q$5:$Q$100,B494,DailyProduction!$R$5:$R$100),"OK","CHECK")</x:f>
        <x:v>OK</x:v>
      </x:c>
    </x:row>
    <x:row r="495">
      <x:c r="A495" t="str">
        <x:v>PC-PE-KG01-L23-20251024-PM-ORD-2025-00093-S10</x:v>
      </x:c>
      <x:c r="B495" t="str">
        <x:v>PE-KG01-L23-20251024-PM-ORD-2025-00093</x:v>
      </x:c>
      <x:c r="C495" t="str">
        <x:v>KG01</x:v>
      </x:c>
      <x:c r="D495" t="n">
        <x:v>45954</x:v>
      </x:c>
      <x:c r="E495" t="str">
        <x:v>PM</x:v>
      </x:c>
      <x:c r="F495" t="str">
        <x:v>B</x:v>
      </x:c>
      <x:c r="G495" t="n">
        <x:v>23</x:v>
      </x:c>
      <x:c r="H495" t="str">
        <x:v>ORD-2025-00093</x:v>
      </x:c>
      <x:c r="I495" t="n">
        <x:v>10</x:v>
      </x:c>
      <x:c r="J495" t="n">
        <x:v>12</x:v>
      </x:c>
      <x:c r="K495" t="n">
        <x:v>2</x:v>
      </x:c>
      <x:c r="L495" t="n">
        <x:f>IF(I495&lt;=J495,1,0)</x:f>
        <x:v>1</x:v>
      </x:c>
      <x:c r="P495" t="n">
        <x:f>IF(M495="",IF(AND(L495=1,K495&gt;=1),1,0),M495)</x:f>
        <x:v>1</x:v>
      </x:c>
      <x:c r="Q495" t="n">
        <x:f>IF(N495="",IF(AND(L495=1,K495&gt;=2),1,0),N495)</x:f>
        <x:v>1</x:v>
      </x:c>
      <x:c r="R495" t="n">
        <x:f>IF(O495="",IF(AND(L495=1,K495&gt;=3),1,0),O495)</x:f>
        <x:v>0</x:v>
      </x:c>
      <x:c r="S495" t="n">
        <x:f>SUM(P495:R495)</x:f>
        <x:v>2</x:v>
      </x:c>
      <x:c r="T495" t="str">
        <x:f>IF(COUNTA(M495:O495)=0,"DerivedFromCount","ManualOverride")</x:f>
        <x:v>DerivedFromCount</x:v>
      </x:c>
      <x:c r="U495" t="str">
        <x:f>IF(COUNTIF(DailyProduction!$Q$5:$Q$100,B495)=1,"OK","CHECK")</x:f>
        <x:v>OK</x:v>
      </x:c>
      <x:c r="V495" t="str">
        <x:f>IF(AND(I495&gt;=1,I495&lt;=13,K495&gt;=1,K495&lt;=3),"OK","CHECK")</x:f>
        <x:v>OK</x:v>
      </x:c>
      <x:c r="W495" t="str">
        <x:f>IF(SUMIF($B$5:$B$914,B495,$S$5:$S$914)=SUMIF(DailyProduction!$Q$5:$Q$100,B495,DailyProduction!$R$5:$R$100),"OK","CHECK")</x:f>
        <x:v>OK</x:v>
      </x:c>
    </x:row>
    <x:row r="496">
      <x:c r="A496" t="str">
        <x:v>PC-PE-KG01-L23-20251024-PM-ORD-2025-00093-S11</x:v>
      </x:c>
      <x:c r="B496" t="str">
        <x:v>PE-KG01-L23-20251024-PM-ORD-2025-00093</x:v>
      </x:c>
      <x:c r="C496" t="str">
        <x:v>KG01</x:v>
      </x:c>
      <x:c r="D496" t="n">
        <x:v>45954</x:v>
      </x:c>
      <x:c r="E496" t="str">
        <x:v>PM</x:v>
      </x:c>
      <x:c r="F496" t="str">
        <x:v>B</x:v>
      </x:c>
      <x:c r="G496" t="n">
        <x:v>23</x:v>
      </x:c>
      <x:c r="H496" t="str">
        <x:v>ORD-2025-00093</x:v>
      </x:c>
      <x:c r="I496" t="n">
        <x:v>11</x:v>
      </x:c>
      <x:c r="J496" t="n">
        <x:v>12</x:v>
      </x:c>
      <x:c r="K496" t="n">
        <x:v>2</x:v>
      </x:c>
      <x:c r="L496" t="n">
        <x:f>IF(I496&lt;=J496,1,0)</x:f>
        <x:v>1</x:v>
      </x:c>
      <x:c r="P496" t="n">
        <x:f>IF(M496="",IF(AND(L496=1,K496&gt;=1),1,0),M496)</x:f>
        <x:v>1</x:v>
      </x:c>
      <x:c r="Q496" t="n">
        <x:f>IF(N496="",IF(AND(L496=1,K496&gt;=2),1,0),N496)</x:f>
        <x:v>1</x:v>
      </x:c>
      <x:c r="R496" t="n">
        <x:f>IF(O496="",IF(AND(L496=1,K496&gt;=3),1,0),O496)</x:f>
        <x:v>0</x:v>
      </x:c>
      <x:c r="S496" t="n">
        <x:f>SUM(P496:R496)</x:f>
        <x:v>2</x:v>
      </x:c>
      <x:c r="T496" t="str">
        <x:f>IF(COUNTA(M496:O496)=0,"DerivedFromCount","ManualOverride")</x:f>
        <x:v>DerivedFromCount</x:v>
      </x:c>
      <x:c r="U496" t="str">
        <x:f>IF(COUNTIF(DailyProduction!$Q$5:$Q$100,B496)=1,"OK","CHECK")</x:f>
        <x:v>OK</x:v>
      </x:c>
      <x:c r="V496" t="str">
        <x:f>IF(AND(I496&gt;=1,I496&lt;=13,K496&gt;=1,K496&lt;=3),"OK","CHECK")</x:f>
        <x:v>OK</x:v>
      </x:c>
      <x:c r="W496" t="str">
        <x:f>IF(SUMIF($B$5:$B$914,B496,$S$5:$S$914)=SUMIF(DailyProduction!$Q$5:$Q$100,B496,DailyProduction!$R$5:$R$100),"OK","CHECK")</x:f>
        <x:v>OK</x:v>
      </x:c>
    </x:row>
    <x:row r="497">
      <x:c r="A497" t="str">
        <x:v>PC-PE-KG01-L23-20251024-PM-ORD-2025-00093-S12</x:v>
      </x:c>
      <x:c r="B497" t="str">
        <x:v>PE-KG01-L23-20251024-PM-ORD-2025-00093</x:v>
      </x:c>
      <x:c r="C497" t="str">
        <x:v>KG01</x:v>
      </x:c>
      <x:c r="D497" t="n">
        <x:v>45954</x:v>
      </x:c>
      <x:c r="E497" t="str">
        <x:v>PM</x:v>
      </x:c>
      <x:c r="F497" t="str">
        <x:v>B</x:v>
      </x:c>
      <x:c r="G497" t="n">
        <x:v>23</x:v>
      </x:c>
      <x:c r="H497" t="str">
        <x:v>ORD-2025-00093</x:v>
      </x:c>
      <x:c r="I497" t="n">
        <x:v>12</x:v>
      </x:c>
      <x:c r="J497" t="n">
        <x:v>12</x:v>
      </x:c>
      <x:c r="K497" t="n">
        <x:v>2</x:v>
      </x:c>
      <x:c r="L497" t="n">
        <x:f>IF(I497&lt;=J497,1,0)</x:f>
        <x:v>1</x:v>
      </x:c>
      <x:c r="P497" t="n">
        <x:f>IF(M497="",IF(AND(L497=1,K497&gt;=1),1,0),M497)</x:f>
        <x:v>1</x:v>
      </x:c>
      <x:c r="Q497" t="n">
        <x:f>IF(N497="",IF(AND(L497=1,K497&gt;=2),1,0),N497)</x:f>
        <x:v>1</x:v>
      </x:c>
      <x:c r="R497" t="n">
        <x:f>IF(O497="",IF(AND(L497=1,K497&gt;=3),1,0),O497)</x:f>
        <x:v>0</x:v>
      </x:c>
      <x:c r="S497" t="n">
        <x:f>SUM(P497:R497)</x:f>
        <x:v>2</x:v>
      </x:c>
      <x:c r="T497" t="str">
        <x:f>IF(COUNTA(M497:O497)=0,"DerivedFromCount","ManualOverride")</x:f>
        <x:v>DerivedFromCount</x:v>
      </x:c>
      <x:c r="U497" t="str">
        <x:f>IF(COUNTIF(DailyProduction!$Q$5:$Q$100,B497)=1,"OK","CHECK")</x:f>
        <x:v>OK</x:v>
      </x:c>
      <x:c r="V497" t="str">
        <x:f>IF(AND(I497&gt;=1,I497&lt;=13,K497&gt;=1,K497&lt;=3),"OK","CHECK")</x:f>
        <x:v>OK</x:v>
      </x:c>
      <x:c r="W497" t="str">
        <x:f>IF(SUMIF($B$5:$B$914,B497,$S$5:$S$914)=SUMIF(DailyProduction!$Q$5:$Q$100,B497,DailyProduction!$R$5:$R$100),"OK","CHECK")</x:f>
        <x:v>OK</x:v>
      </x:c>
    </x:row>
    <x:row r="498">
      <x:c r="A498" t="str">
        <x:v>PC-PE-KG01-L23-20251024-PM-ORD-2025-00093-S13</x:v>
      </x:c>
      <x:c r="B498" t="str">
        <x:v>PE-KG01-L23-20251024-PM-ORD-2025-00093</x:v>
      </x:c>
      <x:c r="C498" t="str">
        <x:v>KG01</x:v>
      </x:c>
      <x:c r="D498" t="n">
        <x:v>45954</x:v>
      </x:c>
      <x:c r="E498" t="str">
        <x:v>PM</x:v>
      </x:c>
      <x:c r="F498" t="str">
        <x:v>B</x:v>
      </x:c>
      <x:c r="G498" t="n">
        <x:v>23</x:v>
      </x:c>
      <x:c r="H498" t="str">
        <x:v>ORD-2025-00093</x:v>
      </x:c>
      <x:c r="I498" t="n">
        <x:v>13</x:v>
      </x:c>
      <x:c r="J498" t="n">
        <x:v>12</x:v>
      </x:c>
      <x:c r="K498" t="n">
        <x:v>2</x:v>
      </x:c>
      <x:c r="L498" t="n">
        <x:f>IF(I498&lt;=J498,1,0)</x:f>
        <x:v>0</x:v>
      </x:c>
      <x:c r="P498" t="n">
        <x:f>IF(M498="",IF(AND(L498=1,K498&gt;=1),1,0),M498)</x:f>
        <x:v>0</x:v>
      </x:c>
      <x:c r="Q498" t="n">
        <x:f>IF(N498="",IF(AND(L498=1,K498&gt;=2),1,0),N498)</x:f>
        <x:v>0</x:v>
      </x:c>
      <x:c r="R498" t="n">
        <x:f>IF(O498="",IF(AND(L498=1,K498&gt;=3),1,0),O498)</x:f>
        <x:v>0</x:v>
      </x:c>
      <x:c r="S498" t="n">
        <x:f>SUM(P498:R498)</x:f>
        <x:v>0</x:v>
      </x:c>
      <x:c r="T498" t="str">
        <x:f>IF(COUNTA(M498:O498)=0,"DerivedFromCount","ManualOverride")</x:f>
        <x:v>DerivedFromCount</x:v>
      </x:c>
      <x:c r="U498" t="str">
        <x:f>IF(COUNTIF(DailyProduction!$Q$5:$Q$100,B498)=1,"OK","CHECK")</x:f>
        <x:v>OK</x:v>
      </x:c>
      <x:c r="V498" t="str">
        <x:f>IF(AND(I498&gt;=1,I498&lt;=13,K498&gt;=1,K498&lt;=3),"OK","CHECK")</x:f>
        <x:v>OK</x:v>
      </x:c>
      <x:c r="W498" t="str">
        <x:f>IF(SUMIF($B$5:$B$914,B498,$S$5:$S$914)=SUMIF(DailyProduction!$Q$5:$Q$100,B498,DailyProduction!$R$5:$R$100),"OK","CHECK")</x:f>
        <x:v>OK</x:v>
      </x:c>
    </x:row>
    <x:row r="499">
      <x:c r="A499" t="str">
        <x:v>PC-PE-KG01-L23-20251025-AM-ORD-2025-00093-S01</x:v>
      </x:c>
      <x:c r="B499" t="str">
        <x:v>PE-KG01-L23-20251025-AM-ORD-2025-00093</x:v>
      </x:c>
      <x:c r="C499" t="str">
        <x:v>KG01</x:v>
      </x:c>
      <x:c r="D499" t="n">
        <x:v>45955</x:v>
      </x:c>
      <x:c r="E499" t="str">
        <x:v>AM</x:v>
      </x:c>
      <x:c r="F499" t="str">
        <x:v>B</x:v>
      </x:c>
      <x:c r="G499" t="n">
        <x:v>23</x:v>
      </x:c>
      <x:c r="H499" t="str">
        <x:v>ORD-2025-00093</x:v>
      </x:c>
      <x:c r="I499" t="n">
        <x:v>1</x:v>
      </x:c>
      <x:c r="J499" t="n">
        <x:v>12</x:v>
      </x:c>
      <x:c r="K499" t="n">
        <x:v>2</x:v>
      </x:c>
      <x:c r="L499" t="n">
        <x:f>IF(I499&lt;=J499,1,0)</x:f>
        <x:v>1</x:v>
      </x:c>
      <x:c r="P499" t="n">
        <x:f>IF(M499="",IF(AND(L499=1,K499&gt;=1),1,0),M499)</x:f>
        <x:v>1</x:v>
      </x:c>
      <x:c r="Q499" t="n">
        <x:f>IF(N499="",IF(AND(L499=1,K499&gt;=2),1,0),N499)</x:f>
        <x:v>1</x:v>
      </x:c>
      <x:c r="R499" t="n">
        <x:f>IF(O499="",IF(AND(L499=1,K499&gt;=3),1,0),O499)</x:f>
        <x:v>0</x:v>
      </x:c>
      <x:c r="S499" t="n">
        <x:f>SUM(P499:R499)</x:f>
        <x:v>2</x:v>
      </x:c>
      <x:c r="T499" t="str">
        <x:f>IF(COUNTA(M499:O499)=0,"DerivedFromCount","ManualOverride")</x:f>
        <x:v>DerivedFromCount</x:v>
      </x:c>
      <x:c r="U499" t="str">
        <x:f>IF(COUNTIF(DailyProduction!$Q$5:$Q$100,B499)=1,"OK","CHECK")</x:f>
        <x:v>OK</x:v>
      </x:c>
      <x:c r="V499" t="str">
        <x:f>IF(AND(I499&gt;=1,I499&lt;=13,K499&gt;=1,K499&lt;=3),"OK","CHECK")</x:f>
        <x:v>OK</x:v>
      </x:c>
      <x:c r="W499" t="str">
        <x:f>IF(SUMIF($B$5:$B$914,B499,$S$5:$S$914)=SUMIF(DailyProduction!$Q$5:$Q$100,B499,DailyProduction!$R$5:$R$100),"OK","CHECK")</x:f>
        <x:v>OK</x:v>
      </x:c>
    </x:row>
    <x:row r="500">
      <x:c r="A500" t="str">
        <x:v>PC-PE-KG01-L23-20251025-AM-ORD-2025-00093-S02</x:v>
      </x:c>
      <x:c r="B500" t="str">
        <x:v>PE-KG01-L23-20251025-AM-ORD-2025-00093</x:v>
      </x:c>
      <x:c r="C500" t="str">
        <x:v>KG01</x:v>
      </x:c>
      <x:c r="D500" t="n">
        <x:v>45955</x:v>
      </x:c>
      <x:c r="E500" t="str">
        <x:v>AM</x:v>
      </x:c>
      <x:c r="F500" t="str">
        <x:v>B</x:v>
      </x:c>
      <x:c r="G500" t="n">
        <x:v>23</x:v>
      </x:c>
      <x:c r="H500" t="str">
        <x:v>ORD-2025-00093</x:v>
      </x:c>
      <x:c r="I500" t="n">
        <x:v>2</x:v>
      </x:c>
      <x:c r="J500" t="n">
        <x:v>12</x:v>
      </x:c>
      <x:c r="K500" t="n">
        <x:v>2</x:v>
      </x:c>
      <x:c r="L500" t="n">
        <x:f>IF(I500&lt;=J500,1,0)</x:f>
        <x:v>1</x:v>
      </x:c>
      <x:c r="P500" t="n">
        <x:f>IF(M500="",IF(AND(L500=1,K500&gt;=1),1,0),M500)</x:f>
        <x:v>1</x:v>
      </x:c>
      <x:c r="Q500" t="n">
        <x:f>IF(N500="",IF(AND(L500=1,K500&gt;=2),1,0),N500)</x:f>
        <x:v>1</x:v>
      </x:c>
      <x:c r="R500" t="n">
        <x:f>IF(O500="",IF(AND(L500=1,K500&gt;=3),1,0),O500)</x:f>
        <x:v>0</x:v>
      </x:c>
      <x:c r="S500" t="n">
        <x:f>SUM(P500:R500)</x:f>
        <x:v>2</x:v>
      </x:c>
      <x:c r="T500" t="str">
        <x:f>IF(COUNTA(M500:O500)=0,"DerivedFromCount","ManualOverride")</x:f>
        <x:v>DerivedFromCount</x:v>
      </x:c>
      <x:c r="U500" t="str">
        <x:f>IF(COUNTIF(DailyProduction!$Q$5:$Q$100,B500)=1,"OK","CHECK")</x:f>
        <x:v>OK</x:v>
      </x:c>
      <x:c r="V500" t="str">
        <x:f>IF(AND(I500&gt;=1,I500&lt;=13,K500&gt;=1,K500&lt;=3),"OK","CHECK")</x:f>
        <x:v>OK</x:v>
      </x:c>
      <x:c r="W500" t="str">
        <x:f>IF(SUMIF($B$5:$B$914,B500,$S$5:$S$914)=SUMIF(DailyProduction!$Q$5:$Q$100,B500,DailyProduction!$R$5:$R$100),"OK","CHECK")</x:f>
        <x:v>OK</x:v>
      </x:c>
    </x:row>
    <x:row r="501">
      <x:c r="A501" t="str">
        <x:v>PC-PE-KG01-L23-20251025-AM-ORD-2025-00093-S03</x:v>
      </x:c>
      <x:c r="B501" t="str">
        <x:v>PE-KG01-L23-20251025-AM-ORD-2025-00093</x:v>
      </x:c>
      <x:c r="C501" t="str">
        <x:v>KG01</x:v>
      </x:c>
      <x:c r="D501" t="n">
        <x:v>45955</x:v>
      </x:c>
      <x:c r="E501" t="str">
        <x:v>AM</x:v>
      </x:c>
      <x:c r="F501" t="str">
        <x:v>B</x:v>
      </x:c>
      <x:c r="G501" t="n">
        <x:v>23</x:v>
      </x:c>
      <x:c r="H501" t="str">
        <x:v>ORD-2025-00093</x:v>
      </x:c>
      <x:c r="I501" t="n">
        <x:v>3</x:v>
      </x:c>
      <x:c r="J501" t="n">
        <x:v>12</x:v>
      </x:c>
      <x:c r="K501" t="n">
        <x:v>2</x:v>
      </x:c>
      <x:c r="L501" t="n">
        <x:f>IF(I501&lt;=J501,1,0)</x:f>
        <x:v>1</x:v>
      </x:c>
      <x:c r="P501" t="n">
        <x:f>IF(M501="",IF(AND(L501=1,K501&gt;=1),1,0),M501)</x:f>
        <x:v>1</x:v>
      </x:c>
      <x:c r="Q501" t="n">
        <x:f>IF(N501="",IF(AND(L501=1,K501&gt;=2),1,0),N501)</x:f>
        <x:v>1</x:v>
      </x:c>
      <x:c r="R501" t="n">
        <x:f>IF(O501="",IF(AND(L501=1,K501&gt;=3),1,0),O501)</x:f>
        <x:v>0</x:v>
      </x:c>
      <x:c r="S501" t="n">
        <x:f>SUM(P501:R501)</x:f>
        <x:v>2</x:v>
      </x:c>
      <x:c r="T501" t="str">
        <x:f>IF(COUNTA(M501:O501)=0,"DerivedFromCount","ManualOverride")</x:f>
        <x:v>DerivedFromCount</x:v>
      </x:c>
      <x:c r="U501" t="str">
        <x:f>IF(COUNTIF(DailyProduction!$Q$5:$Q$100,B501)=1,"OK","CHECK")</x:f>
        <x:v>OK</x:v>
      </x:c>
      <x:c r="V501" t="str">
        <x:f>IF(AND(I501&gt;=1,I501&lt;=13,K501&gt;=1,K501&lt;=3),"OK","CHECK")</x:f>
        <x:v>OK</x:v>
      </x:c>
      <x:c r="W501" t="str">
        <x:f>IF(SUMIF($B$5:$B$914,B501,$S$5:$S$914)=SUMIF(DailyProduction!$Q$5:$Q$100,B501,DailyProduction!$R$5:$R$100),"OK","CHECK")</x:f>
        <x:v>OK</x:v>
      </x:c>
    </x:row>
    <x:row r="502">
      <x:c r="A502" t="str">
        <x:v>PC-PE-KG01-L23-20251025-AM-ORD-2025-00093-S04</x:v>
      </x:c>
      <x:c r="B502" t="str">
        <x:v>PE-KG01-L23-20251025-AM-ORD-2025-00093</x:v>
      </x:c>
      <x:c r="C502" t="str">
        <x:v>KG01</x:v>
      </x:c>
      <x:c r="D502" t="n">
        <x:v>45955</x:v>
      </x:c>
      <x:c r="E502" t="str">
        <x:v>AM</x:v>
      </x:c>
      <x:c r="F502" t="str">
        <x:v>B</x:v>
      </x:c>
      <x:c r="G502" t="n">
        <x:v>23</x:v>
      </x:c>
      <x:c r="H502" t="str">
        <x:v>ORD-2025-00093</x:v>
      </x:c>
      <x:c r="I502" t="n">
        <x:v>4</x:v>
      </x:c>
      <x:c r="J502" t="n">
        <x:v>12</x:v>
      </x:c>
      <x:c r="K502" t="n">
        <x:v>2</x:v>
      </x:c>
      <x:c r="L502" t="n">
        <x:f>IF(I502&lt;=J502,1,0)</x:f>
        <x:v>1</x:v>
      </x:c>
      <x:c r="P502" t="n">
        <x:f>IF(M502="",IF(AND(L502=1,K502&gt;=1),1,0),M502)</x:f>
        <x:v>1</x:v>
      </x:c>
      <x:c r="Q502" t="n">
        <x:f>IF(N502="",IF(AND(L502=1,K502&gt;=2),1,0),N502)</x:f>
        <x:v>1</x:v>
      </x:c>
      <x:c r="R502" t="n">
        <x:f>IF(O502="",IF(AND(L502=1,K502&gt;=3),1,0),O502)</x:f>
        <x:v>0</x:v>
      </x:c>
      <x:c r="S502" t="n">
        <x:f>SUM(P502:R502)</x:f>
        <x:v>2</x:v>
      </x:c>
      <x:c r="T502" t="str">
        <x:f>IF(COUNTA(M502:O502)=0,"DerivedFromCount","ManualOverride")</x:f>
        <x:v>DerivedFromCount</x:v>
      </x:c>
      <x:c r="U502" t="str">
        <x:f>IF(COUNTIF(DailyProduction!$Q$5:$Q$100,B502)=1,"OK","CHECK")</x:f>
        <x:v>OK</x:v>
      </x:c>
      <x:c r="V502" t="str">
        <x:f>IF(AND(I502&gt;=1,I502&lt;=13,K502&gt;=1,K502&lt;=3),"OK","CHECK")</x:f>
        <x:v>OK</x:v>
      </x:c>
      <x:c r="W502" t="str">
        <x:f>IF(SUMIF($B$5:$B$914,B502,$S$5:$S$914)=SUMIF(DailyProduction!$Q$5:$Q$100,B502,DailyProduction!$R$5:$R$100),"OK","CHECK")</x:f>
        <x:v>OK</x:v>
      </x:c>
    </x:row>
    <x:row r="503">
      <x:c r="A503" t="str">
        <x:v>PC-PE-KG01-L23-20251025-AM-ORD-2025-00093-S05</x:v>
      </x:c>
      <x:c r="B503" t="str">
        <x:v>PE-KG01-L23-20251025-AM-ORD-2025-00093</x:v>
      </x:c>
      <x:c r="C503" t="str">
        <x:v>KG01</x:v>
      </x:c>
      <x:c r="D503" t="n">
        <x:v>45955</x:v>
      </x:c>
      <x:c r="E503" t="str">
        <x:v>AM</x:v>
      </x:c>
      <x:c r="F503" t="str">
        <x:v>B</x:v>
      </x:c>
      <x:c r="G503" t="n">
        <x:v>23</x:v>
      </x:c>
      <x:c r="H503" t="str">
        <x:v>ORD-2025-00093</x:v>
      </x:c>
      <x:c r="I503" t="n">
        <x:v>5</x:v>
      </x:c>
      <x:c r="J503" t="n">
        <x:v>12</x:v>
      </x:c>
      <x:c r="K503" t="n">
        <x:v>2</x:v>
      </x:c>
      <x:c r="L503" t="n">
        <x:f>IF(I503&lt;=J503,1,0)</x:f>
        <x:v>1</x:v>
      </x:c>
      <x:c r="P503" t="n">
        <x:f>IF(M503="",IF(AND(L503=1,K503&gt;=1),1,0),M503)</x:f>
        <x:v>1</x:v>
      </x:c>
      <x:c r="Q503" t="n">
        <x:f>IF(N503="",IF(AND(L503=1,K503&gt;=2),1,0),N503)</x:f>
        <x:v>1</x:v>
      </x:c>
      <x:c r="R503" t="n">
        <x:f>IF(O503="",IF(AND(L503=1,K503&gt;=3),1,0),O503)</x:f>
        <x:v>0</x:v>
      </x:c>
      <x:c r="S503" t="n">
        <x:f>SUM(P503:R503)</x:f>
        <x:v>2</x:v>
      </x:c>
      <x:c r="T503" t="str">
        <x:f>IF(COUNTA(M503:O503)=0,"DerivedFromCount","ManualOverride")</x:f>
        <x:v>DerivedFromCount</x:v>
      </x:c>
      <x:c r="U503" t="str">
        <x:f>IF(COUNTIF(DailyProduction!$Q$5:$Q$100,B503)=1,"OK","CHECK")</x:f>
        <x:v>OK</x:v>
      </x:c>
      <x:c r="V503" t="str">
        <x:f>IF(AND(I503&gt;=1,I503&lt;=13,K503&gt;=1,K503&lt;=3),"OK","CHECK")</x:f>
        <x:v>OK</x:v>
      </x:c>
      <x:c r="W503" t="str">
        <x:f>IF(SUMIF($B$5:$B$914,B503,$S$5:$S$914)=SUMIF(DailyProduction!$Q$5:$Q$100,B503,DailyProduction!$R$5:$R$100),"OK","CHECK")</x:f>
        <x:v>OK</x:v>
      </x:c>
    </x:row>
    <x:row r="504">
      <x:c r="A504" t="str">
        <x:v>PC-PE-KG01-L23-20251025-AM-ORD-2025-00093-S06</x:v>
      </x:c>
      <x:c r="B504" t="str">
        <x:v>PE-KG01-L23-20251025-AM-ORD-2025-00093</x:v>
      </x:c>
      <x:c r="C504" t="str">
        <x:v>KG01</x:v>
      </x:c>
      <x:c r="D504" t="n">
        <x:v>45955</x:v>
      </x:c>
      <x:c r="E504" t="str">
        <x:v>AM</x:v>
      </x:c>
      <x:c r="F504" t="str">
        <x:v>B</x:v>
      </x:c>
      <x:c r="G504" t="n">
        <x:v>23</x:v>
      </x:c>
      <x:c r="H504" t="str">
        <x:v>ORD-2025-00093</x:v>
      </x:c>
      <x:c r="I504" t="n">
        <x:v>6</x:v>
      </x:c>
      <x:c r="J504" t="n">
        <x:v>12</x:v>
      </x:c>
      <x:c r="K504" t="n">
        <x:v>2</x:v>
      </x:c>
      <x:c r="L504" t="n">
        <x:f>IF(I504&lt;=J504,1,0)</x:f>
        <x:v>1</x:v>
      </x:c>
      <x:c r="P504" t="n">
        <x:f>IF(M504="",IF(AND(L504=1,K504&gt;=1),1,0),M504)</x:f>
        <x:v>1</x:v>
      </x:c>
      <x:c r="Q504" t="n">
        <x:f>IF(N504="",IF(AND(L504=1,K504&gt;=2),1,0),N504)</x:f>
        <x:v>1</x:v>
      </x:c>
      <x:c r="R504" t="n">
        <x:f>IF(O504="",IF(AND(L504=1,K504&gt;=3),1,0),O504)</x:f>
        <x:v>0</x:v>
      </x:c>
      <x:c r="S504" t="n">
        <x:f>SUM(P504:R504)</x:f>
        <x:v>2</x:v>
      </x:c>
      <x:c r="T504" t="str">
        <x:f>IF(COUNTA(M504:O504)=0,"DerivedFromCount","ManualOverride")</x:f>
        <x:v>DerivedFromCount</x:v>
      </x:c>
      <x:c r="U504" t="str">
        <x:f>IF(COUNTIF(DailyProduction!$Q$5:$Q$100,B504)=1,"OK","CHECK")</x:f>
        <x:v>OK</x:v>
      </x:c>
      <x:c r="V504" t="str">
        <x:f>IF(AND(I504&gt;=1,I504&lt;=13,K504&gt;=1,K504&lt;=3),"OK","CHECK")</x:f>
        <x:v>OK</x:v>
      </x:c>
      <x:c r="W504" t="str">
        <x:f>IF(SUMIF($B$5:$B$914,B504,$S$5:$S$914)=SUMIF(DailyProduction!$Q$5:$Q$100,B504,DailyProduction!$R$5:$R$100),"OK","CHECK")</x:f>
        <x:v>OK</x:v>
      </x:c>
    </x:row>
    <x:row r="505">
      <x:c r="A505" t="str">
        <x:v>PC-PE-KG01-L23-20251025-AM-ORD-2025-00093-S07</x:v>
      </x:c>
      <x:c r="B505" t="str">
        <x:v>PE-KG01-L23-20251025-AM-ORD-2025-00093</x:v>
      </x:c>
      <x:c r="C505" t="str">
        <x:v>KG01</x:v>
      </x:c>
      <x:c r="D505" t="n">
        <x:v>45955</x:v>
      </x:c>
      <x:c r="E505" t="str">
        <x:v>AM</x:v>
      </x:c>
      <x:c r="F505" t="str">
        <x:v>B</x:v>
      </x:c>
      <x:c r="G505" t="n">
        <x:v>23</x:v>
      </x:c>
      <x:c r="H505" t="str">
        <x:v>ORD-2025-00093</x:v>
      </x:c>
      <x:c r="I505" t="n">
        <x:v>7</x:v>
      </x:c>
      <x:c r="J505" t="n">
        <x:v>12</x:v>
      </x:c>
      <x:c r="K505" t="n">
        <x:v>2</x:v>
      </x:c>
      <x:c r="L505" t="n">
        <x:f>IF(I505&lt;=J505,1,0)</x:f>
        <x:v>1</x:v>
      </x:c>
      <x:c r="P505" t="n">
        <x:f>IF(M505="",IF(AND(L505=1,K505&gt;=1),1,0),M505)</x:f>
        <x:v>1</x:v>
      </x:c>
      <x:c r="Q505" t="n">
        <x:f>IF(N505="",IF(AND(L505=1,K505&gt;=2),1,0),N505)</x:f>
        <x:v>1</x:v>
      </x:c>
      <x:c r="R505" t="n">
        <x:f>IF(O505="",IF(AND(L505=1,K505&gt;=3),1,0),O505)</x:f>
        <x:v>0</x:v>
      </x:c>
      <x:c r="S505" t="n">
        <x:f>SUM(P505:R505)</x:f>
        <x:v>2</x:v>
      </x:c>
      <x:c r="T505" t="str">
        <x:f>IF(COUNTA(M505:O505)=0,"DerivedFromCount","ManualOverride")</x:f>
        <x:v>DerivedFromCount</x:v>
      </x:c>
      <x:c r="U505" t="str">
        <x:f>IF(COUNTIF(DailyProduction!$Q$5:$Q$100,B505)=1,"OK","CHECK")</x:f>
        <x:v>OK</x:v>
      </x:c>
      <x:c r="V505" t="str">
        <x:f>IF(AND(I505&gt;=1,I505&lt;=13,K505&gt;=1,K505&lt;=3),"OK","CHECK")</x:f>
        <x:v>OK</x:v>
      </x:c>
      <x:c r="W505" t="str">
        <x:f>IF(SUMIF($B$5:$B$914,B505,$S$5:$S$914)=SUMIF(DailyProduction!$Q$5:$Q$100,B505,DailyProduction!$R$5:$R$100),"OK","CHECK")</x:f>
        <x:v>OK</x:v>
      </x:c>
    </x:row>
    <x:row r="506">
      <x:c r="A506" t="str">
        <x:v>PC-PE-KG01-L23-20251025-AM-ORD-2025-00093-S08</x:v>
      </x:c>
      <x:c r="B506" t="str">
        <x:v>PE-KG01-L23-20251025-AM-ORD-2025-00093</x:v>
      </x:c>
      <x:c r="C506" t="str">
        <x:v>KG01</x:v>
      </x:c>
      <x:c r="D506" t="n">
        <x:v>45955</x:v>
      </x:c>
      <x:c r="E506" t="str">
        <x:v>AM</x:v>
      </x:c>
      <x:c r="F506" t="str">
        <x:v>B</x:v>
      </x:c>
      <x:c r="G506" t="n">
        <x:v>23</x:v>
      </x:c>
      <x:c r="H506" t="str">
        <x:v>ORD-2025-00093</x:v>
      </x:c>
      <x:c r="I506" t="n">
        <x:v>8</x:v>
      </x:c>
      <x:c r="J506" t="n">
        <x:v>12</x:v>
      </x:c>
      <x:c r="K506" t="n">
        <x:v>2</x:v>
      </x:c>
      <x:c r="L506" t="n">
        <x:f>IF(I506&lt;=J506,1,0)</x:f>
        <x:v>1</x:v>
      </x:c>
      <x:c r="P506" t="n">
        <x:f>IF(M506="",IF(AND(L506=1,K506&gt;=1),1,0),M506)</x:f>
        <x:v>1</x:v>
      </x:c>
      <x:c r="Q506" t="n">
        <x:f>IF(N506="",IF(AND(L506=1,K506&gt;=2),1,0),N506)</x:f>
        <x:v>1</x:v>
      </x:c>
      <x:c r="R506" t="n">
        <x:f>IF(O506="",IF(AND(L506=1,K506&gt;=3),1,0),O506)</x:f>
        <x:v>0</x:v>
      </x:c>
      <x:c r="S506" t="n">
        <x:f>SUM(P506:R506)</x:f>
        <x:v>2</x:v>
      </x:c>
      <x:c r="T506" t="str">
        <x:f>IF(COUNTA(M506:O506)=0,"DerivedFromCount","ManualOverride")</x:f>
        <x:v>DerivedFromCount</x:v>
      </x:c>
      <x:c r="U506" t="str">
        <x:f>IF(COUNTIF(DailyProduction!$Q$5:$Q$100,B506)=1,"OK","CHECK")</x:f>
        <x:v>OK</x:v>
      </x:c>
      <x:c r="V506" t="str">
        <x:f>IF(AND(I506&gt;=1,I506&lt;=13,K506&gt;=1,K506&lt;=3),"OK","CHECK")</x:f>
        <x:v>OK</x:v>
      </x:c>
      <x:c r="W506" t="str">
        <x:f>IF(SUMIF($B$5:$B$914,B506,$S$5:$S$914)=SUMIF(DailyProduction!$Q$5:$Q$100,B506,DailyProduction!$R$5:$R$100),"OK","CHECK")</x:f>
        <x:v>OK</x:v>
      </x:c>
    </x:row>
    <x:row r="507">
      <x:c r="A507" t="str">
        <x:v>PC-PE-KG01-L23-20251025-AM-ORD-2025-00093-S09</x:v>
      </x:c>
      <x:c r="B507" t="str">
        <x:v>PE-KG01-L23-20251025-AM-ORD-2025-00093</x:v>
      </x:c>
      <x:c r="C507" t="str">
        <x:v>KG01</x:v>
      </x:c>
      <x:c r="D507" t="n">
        <x:v>45955</x:v>
      </x:c>
      <x:c r="E507" t="str">
        <x:v>AM</x:v>
      </x:c>
      <x:c r="F507" t="str">
        <x:v>B</x:v>
      </x:c>
      <x:c r="G507" t="n">
        <x:v>23</x:v>
      </x:c>
      <x:c r="H507" t="str">
        <x:v>ORD-2025-00093</x:v>
      </x:c>
      <x:c r="I507" t="n">
        <x:v>9</x:v>
      </x:c>
      <x:c r="J507" t="n">
        <x:v>12</x:v>
      </x:c>
      <x:c r="K507" t="n">
        <x:v>2</x:v>
      </x:c>
      <x:c r="L507" t="n">
        <x:f>IF(I507&lt;=J507,1,0)</x:f>
        <x:v>1</x:v>
      </x:c>
      <x:c r="P507" t="n">
        <x:f>IF(M507="",IF(AND(L507=1,K507&gt;=1),1,0),M507)</x:f>
        <x:v>1</x:v>
      </x:c>
      <x:c r="Q507" t="n">
        <x:f>IF(N507="",IF(AND(L507=1,K507&gt;=2),1,0),N507)</x:f>
        <x:v>1</x:v>
      </x:c>
      <x:c r="R507" t="n">
        <x:f>IF(O507="",IF(AND(L507=1,K507&gt;=3),1,0),O507)</x:f>
        <x:v>0</x:v>
      </x:c>
      <x:c r="S507" t="n">
        <x:f>SUM(P507:R507)</x:f>
        <x:v>2</x:v>
      </x:c>
      <x:c r="T507" t="str">
        <x:f>IF(COUNTA(M507:O507)=0,"DerivedFromCount","ManualOverride")</x:f>
        <x:v>DerivedFromCount</x:v>
      </x:c>
      <x:c r="U507" t="str">
        <x:f>IF(COUNTIF(DailyProduction!$Q$5:$Q$100,B507)=1,"OK","CHECK")</x:f>
        <x:v>OK</x:v>
      </x:c>
      <x:c r="V507" t="str">
        <x:f>IF(AND(I507&gt;=1,I507&lt;=13,K507&gt;=1,K507&lt;=3),"OK","CHECK")</x:f>
        <x:v>OK</x:v>
      </x:c>
      <x:c r="W507" t="str">
        <x:f>IF(SUMIF($B$5:$B$914,B507,$S$5:$S$914)=SUMIF(DailyProduction!$Q$5:$Q$100,B507,DailyProduction!$R$5:$R$100),"OK","CHECK")</x:f>
        <x:v>OK</x:v>
      </x:c>
    </x:row>
    <x:row r="508">
      <x:c r="A508" t="str">
        <x:v>PC-PE-KG01-L23-20251025-AM-ORD-2025-00093-S10</x:v>
      </x:c>
      <x:c r="B508" t="str">
        <x:v>PE-KG01-L23-20251025-AM-ORD-2025-00093</x:v>
      </x:c>
      <x:c r="C508" t="str">
        <x:v>KG01</x:v>
      </x:c>
      <x:c r="D508" t="n">
        <x:v>45955</x:v>
      </x:c>
      <x:c r="E508" t="str">
        <x:v>AM</x:v>
      </x:c>
      <x:c r="F508" t="str">
        <x:v>B</x:v>
      </x:c>
      <x:c r="G508" t="n">
        <x:v>23</x:v>
      </x:c>
      <x:c r="H508" t="str">
        <x:v>ORD-2025-00093</x:v>
      </x:c>
      <x:c r="I508" t="n">
        <x:v>10</x:v>
      </x:c>
      <x:c r="J508" t="n">
        <x:v>12</x:v>
      </x:c>
      <x:c r="K508" t="n">
        <x:v>2</x:v>
      </x:c>
      <x:c r="L508" t="n">
        <x:f>IF(I508&lt;=J508,1,0)</x:f>
        <x:v>1</x:v>
      </x:c>
      <x:c r="P508" t="n">
        <x:f>IF(M508="",IF(AND(L508=1,K508&gt;=1),1,0),M508)</x:f>
        <x:v>1</x:v>
      </x:c>
      <x:c r="Q508" t="n">
        <x:f>IF(N508="",IF(AND(L508=1,K508&gt;=2),1,0),N508)</x:f>
        <x:v>1</x:v>
      </x:c>
      <x:c r="R508" t="n">
        <x:f>IF(O508="",IF(AND(L508=1,K508&gt;=3),1,0),O508)</x:f>
        <x:v>0</x:v>
      </x:c>
      <x:c r="S508" t="n">
        <x:f>SUM(P508:R508)</x:f>
        <x:v>2</x:v>
      </x:c>
      <x:c r="T508" t="str">
        <x:f>IF(COUNTA(M508:O508)=0,"DerivedFromCount","ManualOverride")</x:f>
        <x:v>DerivedFromCount</x:v>
      </x:c>
      <x:c r="U508" t="str">
        <x:f>IF(COUNTIF(DailyProduction!$Q$5:$Q$100,B508)=1,"OK","CHECK")</x:f>
        <x:v>OK</x:v>
      </x:c>
      <x:c r="V508" t="str">
        <x:f>IF(AND(I508&gt;=1,I508&lt;=13,K508&gt;=1,K508&lt;=3),"OK","CHECK")</x:f>
        <x:v>OK</x:v>
      </x:c>
      <x:c r="W508" t="str">
        <x:f>IF(SUMIF($B$5:$B$914,B508,$S$5:$S$914)=SUMIF(DailyProduction!$Q$5:$Q$100,B508,DailyProduction!$R$5:$R$100),"OK","CHECK")</x:f>
        <x:v>OK</x:v>
      </x:c>
    </x:row>
    <x:row r="509">
      <x:c r="A509" t="str">
        <x:v>PC-PE-KG01-L23-20251025-AM-ORD-2025-00093-S11</x:v>
      </x:c>
      <x:c r="B509" t="str">
        <x:v>PE-KG01-L23-20251025-AM-ORD-2025-00093</x:v>
      </x:c>
      <x:c r="C509" t="str">
        <x:v>KG01</x:v>
      </x:c>
      <x:c r="D509" t="n">
        <x:v>45955</x:v>
      </x:c>
      <x:c r="E509" t="str">
        <x:v>AM</x:v>
      </x:c>
      <x:c r="F509" t="str">
        <x:v>B</x:v>
      </x:c>
      <x:c r="G509" t="n">
        <x:v>23</x:v>
      </x:c>
      <x:c r="H509" t="str">
        <x:v>ORD-2025-00093</x:v>
      </x:c>
      <x:c r="I509" t="n">
        <x:v>11</x:v>
      </x:c>
      <x:c r="J509" t="n">
        <x:v>12</x:v>
      </x:c>
      <x:c r="K509" t="n">
        <x:v>2</x:v>
      </x:c>
      <x:c r="L509" t="n">
        <x:f>IF(I509&lt;=J509,1,0)</x:f>
        <x:v>1</x:v>
      </x:c>
      <x:c r="P509" t="n">
        <x:f>IF(M509="",IF(AND(L509=1,K509&gt;=1),1,0),M509)</x:f>
        <x:v>1</x:v>
      </x:c>
      <x:c r="Q509" t="n">
        <x:f>IF(N509="",IF(AND(L509=1,K509&gt;=2),1,0),N509)</x:f>
        <x:v>1</x:v>
      </x:c>
      <x:c r="R509" t="n">
        <x:f>IF(O509="",IF(AND(L509=1,K509&gt;=3),1,0),O509)</x:f>
        <x:v>0</x:v>
      </x:c>
      <x:c r="S509" t="n">
        <x:f>SUM(P509:R509)</x:f>
        <x:v>2</x:v>
      </x:c>
      <x:c r="T509" t="str">
        <x:f>IF(COUNTA(M509:O509)=0,"DerivedFromCount","ManualOverride")</x:f>
        <x:v>DerivedFromCount</x:v>
      </x:c>
      <x:c r="U509" t="str">
        <x:f>IF(COUNTIF(DailyProduction!$Q$5:$Q$100,B509)=1,"OK","CHECK")</x:f>
        <x:v>OK</x:v>
      </x:c>
      <x:c r="V509" t="str">
        <x:f>IF(AND(I509&gt;=1,I509&lt;=13,K509&gt;=1,K509&lt;=3),"OK","CHECK")</x:f>
        <x:v>OK</x:v>
      </x:c>
      <x:c r="W509" t="str">
        <x:f>IF(SUMIF($B$5:$B$914,B509,$S$5:$S$914)=SUMIF(DailyProduction!$Q$5:$Q$100,B509,DailyProduction!$R$5:$R$100),"OK","CHECK")</x:f>
        <x:v>OK</x:v>
      </x:c>
    </x:row>
    <x:row r="510">
      <x:c r="A510" t="str">
        <x:v>PC-PE-KG01-L23-20251025-AM-ORD-2025-00093-S12</x:v>
      </x:c>
      <x:c r="B510" t="str">
        <x:v>PE-KG01-L23-20251025-AM-ORD-2025-00093</x:v>
      </x:c>
      <x:c r="C510" t="str">
        <x:v>KG01</x:v>
      </x:c>
      <x:c r="D510" t="n">
        <x:v>45955</x:v>
      </x:c>
      <x:c r="E510" t="str">
        <x:v>AM</x:v>
      </x:c>
      <x:c r="F510" t="str">
        <x:v>B</x:v>
      </x:c>
      <x:c r="G510" t="n">
        <x:v>23</x:v>
      </x:c>
      <x:c r="H510" t="str">
        <x:v>ORD-2025-00093</x:v>
      </x:c>
      <x:c r="I510" t="n">
        <x:v>12</x:v>
      </x:c>
      <x:c r="J510" t="n">
        <x:v>12</x:v>
      </x:c>
      <x:c r="K510" t="n">
        <x:v>2</x:v>
      </x:c>
      <x:c r="L510" t="n">
        <x:f>IF(I510&lt;=J510,1,0)</x:f>
        <x:v>1</x:v>
      </x:c>
      <x:c r="P510" t="n">
        <x:f>IF(M510="",IF(AND(L510=1,K510&gt;=1),1,0),M510)</x:f>
        <x:v>1</x:v>
      </x:c>
      <x:c r="Q510" t="n">
        <x:f>IF(N510="",IF(AND(L510=1,K510&gt;=2),1,0),N510)</x:f>
        <x:v>1</x:v>
      </x:c>
      <x:c r="R510" t="n">
        <x:f>IF(O510="",IF(AND(L510=1,K510&gt;=3),1,0),O510)</x:f>
        <x:v>0</x:v>
      </x:c>
      <x:c r="S510" t="n">
        <x:f>SUM(P510:R510)</x:f>
        <x:v>2</x:v>
      </x:c>
      <x:c r="T510" t="str">
        <x:f>IF(COUNTA(M510:O510)=0,"DerivedFromCount","ManualOverride")</x:f>
        <x:v>DerivedFromCount</x:v>
      </x:c>
      <x:c r="U510" t="str">
        <x:f>IF(COUNTIF(DailyProduction!$Q$5:$Q$100,B510)=1,"OK","CHECK")</x:f>
        <x:v>OK</x:v>
      </x:c>
      <x:c r="V510" t="str">
        <x:f>IF(AND(I510&gt;=1,I510&lt;=13,K510&gt;=1,K510&lt;=3),"OK","CHECK")</x:f>
        <x:v>OK</x:v>
      </x:c>
      <x:c r="W510" t="str">
        <x:f>IF(SUMIF($B$5:$B$914,B510,$S$5:$S$914)=SUMIF(DailyProduction!$Q$5:$Q$100,B510,DailyProduction!$R$5:$R$100),"OK","CHECK")</x:f>
        <x:v>OK</x:v>
      </x:c>
    </x:row>
    <x:row r="511">
      <x:c r="A511" t="str">
        <x:v>PC-PE-KG01-L23-20251025-AM-ORD-2025-00093-S13</x:v>
      </x:c>
      <x:c r="B511" t="str">
        <x:v>PE-KG01-L23-20251025-AM-ORD-2025-00093</x:v>
      </x:c>
      <x:c r="C511" t="str">
        <x:v>KG01</x:v>
      </x:c>
      <x:c r="D511" t="n">
        <x:v>45955</x:v>
      </x:c>
      <x:c r="E511" t="str">
        <x:v>AM</x:v>
      </x:c>
      <x:c r="F511" t="str">
        <x:v>B</x:v>
      </x:c>
      <x:c r="G511" t="n">
        <x:v>23</x:v>
      </x:c>
      <x:c r="H511" t="str">
        <x:v>ORD-2025-00093</x:v>
      </x:c>
      <x:c r="I511" t="n">
        <x:v>13</x:v>
      </x:c>
      <x:c r="J511" t="n">
        <x:v>12</x:v>
      </x:c>
      <x:c r="K511" t="n">
        <x:v>2</x:v>
      </x:c>
      <x:c r="L511" t="n">
        <x:f>IF(I511&lt;=J511,1,0)</x:f>
        <x:v>0</x:v>
      </x:c>
      <x:c r="P511" t="n">
        <x:f>IF(M511="",IF(AND(L511=1,K511&gt;=1),1,0),M511)</x:f>
        <x:v>0</x:v>
      </x:c>
      <x:c r="Q511" t="n">
        <x:f>IF(N511="",IF(AND(L511=1,K511&gt;=2),1,0),N511)</x:f>
        <x:v>0</x:v>
      </x:c>
      <x:c r="R511" t="n">
        <x:f>IF(O511="",IF(AND(L511=1,K511&gt;=3),1,0),O511)</x:f>
        <x:v>0</x:v>
      </x:c>
      <x:c r="S511" t="n">
        <x:f>SUM(P511:R511)</x:f>
        <x:v>0</x:v>
      </x:c>
      <x:c r="T511" t="str">
        <x:f>IF(COUNTA(M511:O511)=0,"DerivedFromCount","ManualOverride")</x:f>
        <x:v>DerivedFromCount</x:v>
      </x:c>
      <x:c r="U511" t="str">
        <x:f>IF(COUNTIF(DailyProduction!$Q$5:$Q$100,B511)=1,"OK","CHECK")</x:f>
        <x:v>OK</x:v>
      </x:c>
      <x:c r="V511" t="str">
        <x:f>IF(AND(I511&gt;=1,I511&lt;=13,K511&gt;=1,K511&lt;=3),"OK","CHECK")</x:f>
        <x:v>OK</x:v>
      </x:c>
      <x:c r="W511" t="str">
        <x:f>IF(SUMIF($B$5:$B$914,B511,$S$5:$S$914)=SUMIF(DailyProduction!$Q$5:$Q$100,B511,DailyProduction!$R$5:$R$100),"OK","CHECK")</x:f>
        <x:v>OK</x:v>
      </x:c>
    </x:row>
    <x:row r="512">
      <x:c r="A512" t="str">
        <x:v>PC-PE-KG01-L23-20251025-PM-ORD-2025-00093-S01</x:v>
      </x:c>
      <x:c r="B512" t="str">
        <x:v>PE-KG01-L23-20251025-PM-ORD-2025-00093</x:v>
      </x:c>
      <x:c r="C512" t="str">
        <x:v>KG01</x:v>
      </x:c>
      <x:c r="D512" t="n">
        <x:v>45955</x:v>
      </x:c>
      <x:c r="E512" t="str">
        <x:v>PM</x:v>
      </x:c>
      <x:c r="F512" t="str">
        <x:v>C</x:v>
      </x:c>
      <x:c r="G512" t="n">
        <x:v>23</x:v>
      </x:c>
      <x:c r="H512" t="str">
        <x:v>ORD-2025-00093</x:v>
      </x:c>
      <x:c r="I512" t="n">
        <x:v>1</x:v>
      </x:c>
      <x:c r="J512" t="n">
        <x:v>12</x:v>
      </x:c>
      <x:c r="K512" t="n">
        <x:v>2</x:v>
      </x:c>
      <x:c r="L512" t="n">
        <x:f>IF(I512&lt;=J512,1,0)</x:f>
        <x:v>1</x:v>
      </x:c>
      <x:c r="P512" t="n">
        <x:f>IF(M512="",IF(AND(L512=1,K512&gt;=1),1,0),M512)</x:f>
        <x:v>1</x:v>
      </x:c>
      <x:c r="Q512" t="n">
        <x:f>IF(N512="",IF(AND(L512=1,K512&gt;=2),1,0),N512)</x:f>
        <x:v>1</x:v>
      </x:c>
      <x:c r="R512" t="n">
        <x:f>IF(O512="",IF(AND(L512=1,K512&gt;=3),1,0),O512)</x:f>
        <x:v>0</x:v>
      </x:c>
      <x:c r="S512" t="n">
        <x:f>SUM(P512:R512)</x:f>
        <x:v>2</x:v>
      </x:c>
      <x:c r="T512" t="str">
        <x:f>IF(COUNTA(M512:O512)=0,"DerivedFromCount","ManualOverride")</x:f>
        <x:v>DerivedFromCount</x:v>
      </x:c>
      <x:c r="U512" t="str">
        <x:f>IF(COUNTIF(DailyProduction!$Q$5:$Q$100,B512)=1,"OK","CHECK")</x:f>
        <x:v>OK</x:v>
      </x:c>
      <x:c r="V512" t="str">
        <x:f>IF(AND(I512&gt;=1,I512&lt;=13,K512&gt;=1,K512&lt;=3),"OK","CHECK")</x:f>
        <x:v>OK</x:v>
      </x:c>
      <x:c r="W512" t="str">
        <x:f>IF(SUMIF($B$5:$B$914,B512,$S$5:$S$914)=SUMIF(DailyProduction!$Q$5:$Q$100,B512,DailyProduction!$R$5:$R$100),"OK","CHECK")</x:f>
        <x:v>OK</x:v>
      </x:c>
    </x:row>
    <x:row r="513">
      <x:c r="A513" t="str">
        <x:v>PC-PE-KG01-L23-20251025-PM-ORD-2025-00093-S02</x:v>
      </x:c>
      <x:c r="B513" t="str">
        <x:v>PE-KG01-L23-20251025-PM-ORD-2025-00093</x:v>
      </x:c>
      <x:c r="C513" t="str">
        <x:v>KG01</x:v>
      </x:c>
      <x:c r="D513" t="n">
        <x:v>45955</x:v>
      </x:c>
      <x:c r="E513" t="str">
        <x:v>PM</x:v>
      </x:c>
      <x:c r="F513" t="str">
        <x:v>C</x:v>
      </x:c>
      <x:c r="G513" t="n">
        <x:v>23</x:v>
      </x:c>
      <x:c r="H513" t="str">
        <x:v>ORD-2025-00093</x:v>
      </x:c>
      <x:c r="I513" t="n">
        <x:v>2</x:v>
      </x:c>
      <x:c r="J513" t="n">
        <x:v>12</x:v>
      </x:c>
      <x:c r="K513" t="n">
        <x:v>2</x:v>
      </x:c>
      <x:c r="L513" t="n">
        <x:f>IF(I513&lt;=J513,1,0)</x:f>
        <x:v>1</x:v>
      </x:c>
      <x:c r="P513" t="n">
        <x:f>IF(M513="",IF(AND(L513=1,K513&gt;=1),1,0),M513)</x:f>
        <x:v>1</x:v>
      </x:c>
      <x:c r="Q513" t="n">
        <x:f>IF(N513="",IF(AND(L513=1,K513&gt;=2),1,0),N513)</x:f>
        <x:v>1</x:v>
      </x:c>
      <x:c r="R513" t="n">
        <x:f>IF(O513="",IF(AND(L513=1,K513&gt;=3),1,0),O513)</x:f>
        <x:v>0</x:v>
      </x:c>
      <x:c r="S513" t="n">
        <x:f>SUM(P513:R513)</x:f>
        <x:v>2</x:v>
      </x:c>
      <x:c r="T513" t="str">
        <x:f>IF(COUNTA(M513:O513)=0,"DerivedFromCount","ManualOverride")</x:f>
        <x:v>DerivedFromCount</x:v>
      </x:c>
      <x:c r="U513" t="str">
        <x:f>IF(COUNTIF(DailyProduction!$Q$5:$Q$100,B513)=1,"OK","CHECK")</x:f>
        <x:v>OK</x:v>
      </x:c>
      <x:c r="V513" t="str">
        <x:f>IF(AND(I513&gt;=1,I513&lt;=13,K513&gt;=1,K513&lt;=3),"OK","CHECK")</x:f>
        <x:v>OK</x:v>
      </x:c>
      <x:c r="W513" t="str">
        <x:f>IF(SUMIF($B$5:$B$914,B513,$S$5:$S$914)=SUMIF(DailyProduction!$Q$5:$Q$100,B513,DailyProduction!$R$5:$R$100),"OK","CHECK")</x:f>
        <x:v>OK</x:v>
      </x:c>
    </x:row>
    <x:row r="514">
      <x:c r="A514" t="str">
        <x:v>PC-PE-KG01-L23-20251025-PM-ORD-2025-00093-S03</x:v>
      </x:c>
      <x:c r="B514" t="str">
        <x:v>PE-KG01-L23-20251025-PM-ORD-2025-00093</x:v>
      </x:c>
      <x:c r="C514" t="str">
        <x:v>KG01</x:v>
      </x:c>
      <x:c r="D514" t="n">
        <x:v>45955</x:v>
      </x:c>
      <x:c r="E514" t="str">
        <x:v>PM</x:v>
      </x:c>
      <x:c r="F514" t="str">
        <x:v>C</x:v>
      </x:c>
      <x:c r="G514" t="n">
        <x:v>23</x:v>
      </x:c>
      <x:c r="H514" t="str">
        <x:v>ORD-2025-00093</x:v>
      </x:c>
      <x:c r="I514" t="n">
        <x:v>3</x:v>
      </x:c>
      <x:c r="J514" t="n">
        <x:v>12</x:v>
      </x:c>
      <x:c r="K514" t="n">
        <x:v>2</x:v>
      </x:c>
      <x:c r="L514" t="n">
        <x:f>IF(I514&lt;=J514,1,0)</x:f>
        <x:v>1</x:v>
      </x:c>
      <x:c r="P514" t="n">
        <x:f>IF(M514="",IF(AND(L514=1,K514&gt;=1),1,0),M514)</x:f>
        <x:v>1</x:v>
      </x:c>
      <x:c r="Q514" t="n">
        <x:f>IF(N514="",IF(AND(L514=1,K514&gt;=2),1,0),N514)</x:f>
        <x:v>1</x:v>
      </x:c>
      <x:c r="R514" t="n">
        <x:f>IF(O514="",IF(AND(L514=1,K514&gt;=3),1,0),O514)</x:f>
        <x:v>0</x:v>
      </x:c>
      <x:c r="S514" t="n">
        <x:f>SUM(P514:R514)</x:f>
        <x:v>2</x:v>
      </x:c>
      <x:c r="T514" t="str">
        <x:f>IF(COUNTA(M514:O514)=0,"DerivedFromCount","ManualOverride")</x:f>
        <x:v>DerivedFromCount</x:v>
      </x:c>
      <x:c r="U514" t="str">
        <x:f>IF(COUNTIF(DailyProduction!$Q$5:$Q$100,B514)=1,"OK","CHECK")</x:f>
        <x:v>OK</x:v>
      </x:c>
      <x:c r="V514" t="str">
        <x:f>IF(AND(I514&gt;=1,I514&lt;=13,K514&gt;=1,K514&lt;=3),"OK","CHECK")</x:f>
        <x:v>OK</x:v>
      </x:c>
      <x:c r="W514" t="str">
        <x:f>IF(SUMIF($B$5:$B$914,B514,$S$5:$S$914)=SUMIF(DailyProduction!$Q$5:$Q$100,B514,DailyProduction!$R$5:$R$100),"OK","CHECK")</x:f>
        <x:v>OK</x:v>
      </x:c>
    </x:row>
    <x:row r="515">
      <x:c r="A515" t="str">
        <x:v>PC-PE-KG01-L23-20251025-PM-ORD-2025-00093-S04</x:v>
      </x:c>
      <x:c r="B515" t="str">
        <x:v>PE-KG01-L23-20251025-PM-ORD-2025-00093</x:v>
      </x:c>
      <x:c r="C515" t="str">
        <x:v>KG01</x:v>
      </x:c>
      <x:c r="D515" t="n">
        <x:v>45955</x:v>
      </x:c>
      <x:c r="E515" t="str">
        <x:v>PM</x:v>
      </x:c>
      <x:c r="F515" t="str">
        <x:v>C</x:v>
      </x:c>
      <x:c r="G515" t="n">
        <x:v>23</x:v>
      </x:c>
      <x:c r="H515" t="str">
        <x:v>ORD-2025-00093</x:v>
      </x:c>
      <x:c r="I515" t="n">
        <x:v>4</x:v>
      </x:c>
      <x:c r="J515" t="n">
        <x:v>12</x:v>
      </x:c>
      <x:c r="K515" t="n">
        <x:v>2</x:v>
      </x:c>
      <x:c r="L515" t="n">
        <x:f>IF(I515&lt;=J515,1,0)</x:f>
        <x:v>1</x:v>
      </x:c>
      <x:c r="P515" t="n">
        <x:f>IF(M515="",IF(AND(L515=1,K515&gt;=1),1,0),M515)</x:f>
        <x:v>1</x:v>
      </x:c>
      <x:c r="Q515" t="n">
        <x:f>IF(N515="",IF(AND(L515=1,K515&gt;=2),1,0),N515)</x:f>
        <x:v>1</x:v>
      </x:c>
      <x:c r="R515" t="n">
        <x:f>IF(O515="",IF(AND(L515=1,K515&gt;=3),1,0),O515)</x:f>
        <x:v>0</x:v>
      </x:c>
      <x:c r="S515" t="n">
        <x:f>SUM(P515:R515)</x:f>
        <x:v>2</x:v>
      </x:c>
      <x:c r="T515" t="str">
        <x:f>IF(COUNTA(M515:O515)=0,"DerivedFromCount","ManualOverride")</x:f>
        <x:v>DerivedFromCount</x:v>
      </x:c>
      <x:c r="U515" t="str">
        <x:f>IF(COUNTIF(DailyProduction!$Q$5:$Q$100,B515)=1,"OK","CHECK")</x:f>
        <x:v>OK</x:v>
      </x:c>
      <x:c r="V515" t="str">
        <x:f>IF(AND(I515&gt;=1,I515&lt;=13,K515&gt;=1,K515&lt;=3),"OK","CHECK")</x:f>
        <x:v>OK</x:v>
      </x:c>
      <x:c r="W515" t="str">
        <x:f>IF(SUMIF($B$5:$B$914,B515,$S$5:$S$914)=SUMIF(DailyProduction!$Q$5:$Q$100,B515,DailyProduction!$R$5:$R$100),"OK","CHECK")</x:f>
        <x:v>OK</x:v>
      </x:c>
    </x:row>
    <x:row r="516">
      <x:c r="A516" t="str">
        <x:v>PC-PE-KG01-L23-20251025-PM-ORD-2025-00093-S05</x:v>
      </x:c>
      <x:c r="B516" t="str">
        <x:v>PE-KG01-L23-20251025-PM-ORD-2025-00093</x:v>
      </x:c>
      <x:c r="C516" t="str">
        <x:v>KG01</x:v>
      </x:c>
      <x:c r="D516" t="n">
        <x:v>45955</x:v>
      </x:c>
      <x:c r="E516" t="str">
        <x:v>PM</x:v>
      </x:c>
      <x:c r="F516" t="str">
        <x:v>C</x:v>
      </x:c>
      <x:c r="G516" t="n">
        <x:v>23</x:v>
      </x:c>
      <x:c r="H516" t="str">
        <x:v>ORD-2025-00093</x:v>
      </x:c>
      <x:c r="I516" t="n">
        <x:v>5</x:v>
      </x:c>
      <x:c r="J516" t="n">
        <x:v>12</x:v>
      </x:c>
      <x:c r="K516" t="n">
        <x:v>2</x:v>
      </x:c>
      <x:c r="L516" t="n">
        <x:f>IF(I516&lt;=J516,1,0)</x:f>
        <x:v>1</x:v>
      </x:c>
      <x:c r="P516" t="n">
        <x:f>IF(M516="",IF(AND(L516=1,K516&gt;=1),1,0),M516)</x:f>
        <x:v>1</x:v>
      </x:c>
      <x:c r="Q516" t="n">
        <x:f>IF(N516="",IF(AND(L516=1,K516&gt;=2),1,0),N516)</x:f>
        <x:v>1</x:v>
      </x:c>
      <x:c r="R516" t="n">
        <x:f>IF(O516="",IF(AND(L516=1,K516&gt;=3),1,0),O516)</x:f>
        <x:v>0</x:v>
      </x:c>
      <x:c r="S516" t="n">
        <x:f>SUM(P516:R516)</x:f>
        <x:v>2</x:v>
      </x:c>
      <x:c r="T516" t="str">
        <x:f>IF(COUNTA(M516:O516)=0,"DerivedFromCount","ManualOverride")</x:f>
        <x:v>DerivedFromCount</x:v>
      </x:c>
      <x:c r="U516" t="str">
        <x:f>IF(COUNTIF(DailyProduction!$Q$5:$Q$100,B516)=1,"OK","CHECK")</x:f>
        <x:v>OK</x:v>
      </x:c>
      <x:c r="V516" t="str">
        <x:f>IF(AND(I516&gt;=1,I516&lt;=13,K516&gt;=1,K516&lt;=3),"OK","CHECK")</x:f>
        <x:v>OK</x:v>
      </x:c>
      <x:c r="W516" t="str">
        <x:f>IF(SUMIF($B$5:$B$914,B516,$S$5:$S$914)=SUMIF(DailyProduction!$Q$5:$Q$100,B516,DailyProduction!$R$5:$R$100),"OK","CHECK")</x:f>
        <x:v>OK</x:v>
      </x:c>
    </x:row>
    <x:row r="517">
      <x:c r="A517" t="str">
        <x:v>PC-PE-KG01-L23-20251025-PM-ORD-2025-00093-S06</x:v>
      </x:c>
      <x:c r="B517" t="str">
        <x:v>PE-KG01-L23-20251025-PM-ORD-2025-00093</x:v>
      </x:c>
      <x:c r="C517" t="str">
        <x:v>KG01</x:v>
      </x:c>
      <x:c r="D517" t="n">
        <x:v>45955</x:v>
      </x:c>
      <x:c r="E517" t="str">
        <x:v>PM</x:v>
      </x:c>
      <x:c r="F517" t="str">
        <x:v>C</x:v>
      </x:c>
      <x:c r="G517" t="n">
        <x:v>23</x:v>
      </x:c>
      <x:c r="H517" t="str">
        <x:v>ORD-2025-00093</x:v>
      </x:c>
      <x:c r="I517" t="n">
        <x:v>6</x:v>
      </x:c>
      <x:c r="J517" t="n">
        <x:v>12</x:v>
      </x:c>
      <x:c r="K517" t="n">
        <x:v>2</x:v>
      </x:c>
      <x:c r="L517" t="n">
        <x:f>IF(I517&lt;=J517,1,0)</x:f>
        <x:v>1</x:v>
      </x:c>
      <x:c r="P517" t="n">
        <x:f>IF(M517="",IF(AND(L517=1,K517&gt;=1),1,0),M517)</x:f>
        <x:v>1</x:v>
      </x:c>
      <x:c r="Q517" t="n">
        <x:f>IF(N517="",IF(AND(L517=1,K517&gt;=2),1,0),N517)</x:f>
        <x:v>1</x:v>
      </x:c>
      <x:c r="R517" t="n">
        <x:f>IF(O517="",IF(AND(L517=1,K517&gt;=3),1,0),O517)</x:f>
        <x:v>0</x:v>
      </x:c>
      <x:c r="S517" t="n">
        <x:f>SUM(P517:R517)</x:f>
        <x:v>2</x:v>
      </x:c>
      <x:c r="T517" t="str">
        <x:f>IF(COUNTA(M517:O517)=0,"DerivedFromCount","ManualOverride")</x:f>
        <x:v>DerivedFromCount</x:v>
      </x:c>
      <x:c r="U517" t="str">
        <x:f>IF(COUNTIF(DailyProduction!$Q$5:$Q$100,B517)=1,"OK","CHECK")</x:f>
        <x:v>OK</x:v>
      </x:c>
      <x:c r="V517" t="str">
        <x:f>IF(AND(I517&gt;=1,I517&lt;=13,K517&gt;=1,K517&lt;=3),"OK","CHECK")</x:f>
        <x:v>OK</x:v>
      </x:c>
      <x:c r="W517" t="str">
        <x:f>IF(SUMIF($B$5:$B$914,B517,$S$5:$S$914)=SUMIF(DailyProduction!$Q$5:$Q$100,B517,DailyProduction!$R$5:$R$100),"OK","CHECK")</x:f>
        <x:v>OK</x:v>
      </x:c>
    </x:row>
    <x:row r="518">
      <x:c r="A518" t="str">
        <x:v>PC-PE-KG01-L23-20251025-PM-ORD-2025-00093-S07</x:v>
      </x:c>
      <x:c r="B518" t="str">
        <x:v>PE-KG01-L23-20251025-PM-ORD-2025-00093</x:v>
      </x:c>
      <x:c r="C518" t="str">
        <x:v>KG01</x:v>
      </x:c>
      <x:c r="D518" t="n">
        <x:v>45955</x:v>
      </x:c>
      <x:c r="E518" t="str">
        <x:v>PM</x:v>
      </x:c>
      <x:c r="F518" t="str">
        <x:v>C</x:v>
      </x:c>
      <x:c r="G518" t="n">
        <x:v>23</x:v>
      </x:c>
      <x:c r="H518" t="str">
        <x:v>ORD-2025-00093</x:v>
      </x:c>
      <x:c r="I518" t="n">
        <x:v>7</x:v>
      </x:c>
      <x:c r="J518" t="n">
        <x:v>12</x:v>
      </x:c>
      <x:c r="K518" t="n">
        <x:v>2</x:v>
      </x:c>
      <x:c r="L518" t="n">
        <x:f>IF(I518&lt;=J518,1,0)</x:f>
        <x:v>1</x:v>
      </x:c>
      <x:c r="P518" t="n">
        <x:f>IF(M518="",IF(AND(L518=1,K518&gt;=1),1,0),M518)</x:f>
        <x:v>1</x:v>
      </x:c>
      <x:c r="Q518" t="n">
        <x:f>IF(N518="",IF(AND(L518=1,K518&gt;=2),1,0),N518)</x:f>
        <x:v>1</x:v>
      </x:c>
      <x:c r="R518" t="n">
        <x:f>IF(O518="",IF(AND(L518=1,K518&gt;=3),1,0),O518)</x:f>
        <x:v>0</x:v>
      </x:c>
      <x:c r="S518" t="n">
        <x:f>SUM(P518:R518)</x:f>
        <x:v>2</x:v>
      </x:c>
      <x:c r="T518" t="str">
        <x:f>IF(COUNTA(M518:O518)=0,"DerivedFromCount","ManualOverride")</x:f>
        <x:v>DerivedFromCount</x:v>
      </x:c>
      <x:c r="U518" t="str">
        <x:f>IF(COUNTIF(DailyProduction!$Q$5:$Q$100,B518)=1,"OK","CHECK")</x:f>
        <x:v>OK</x:v>
      </x:c>
      <x:c r="V518" t="str">
        <x:f>IF(AND(I518&gt;=1,I518&lt;=13,K518&gt;=1,K518&lt;=3),"OK","CHECK")</x:f>
        <x:v>OK</x:v>
      </x:c>
      <x:c r="W518" t="str">
        <x:f>IF(SUMIF($B$5:$B$914,B518,$S$5:$S$914)=SUMIF(DailyProduction!$Q$5:$Q$100,B518,DailyProduction!$R$5:$R$100),"OK","CHECK")</x:f>
        <x:v>OK</x:v>
      </x:c>
    </x:row>
    <x:row r="519">
      <x:c r="A519" t="str">
        <x:v>PC-PE-KG01-L23-20251025-PM-ORD-2025-00093-S08</x:v>
      </x:c>
      <x:c r="B519" t="str">
        <x:v>PE-KG01-L23-20251025-PM-ORD-2025-00093</x:v>
      </x:c>
      <x:c r="C519" t="str">
        <x:v>KG01</x:v>
      </x:c>
      <x:c r="D519" t="n">
        <x:v>45955</x:v>
      </x:c>
      <x:c r="E519" t="str">
        <x:v>PM</x:v>
      </x:c>
      <x:c r="F519" t="str">
        <x:v>C</x:v>
      </x:c>
      <x:c r="G519" t="n">
        <x:v>23</x:v>
      </x:c>
      <x:c r="H519" t="str">
        <x:v>ORD-2025-00093</x:v>
      </x:c>
      <x:c r="I519" t="n">
        <x:v>8</x:v>
      </x:c>
      <x:c r="J519" t="n">
        <x:v>12</x:v>
      </x:c>
      <x:c r="K519" t="n">
        <x:v>2</x:v>
      </x:c>
      <x:c r="L519" t="n">
        <x:f>IF(I519&lt;=J519,1,0)</x:f>
        <x:v>1</x:v>
      </x:c>
      <x:c r="P519" t="n">
        <x:f>IF(M519="",IF(AND(L519=1,K519&gt;=1),1,0),M519)</x:f>
        <x:v>1</x:v>
      </x:c>
      <x:c r="Q519" t="n">
        <x:f>IF(N519="",IF(AND(L519=1,K519&gt;=2),1,0),N519)</x:f>
        <x:v>1</x:v>
      </x:c>
      <x:c r="R519" t="n">
        <x:f>IF(O519="",IF(AND(L519=1,K519&gt;=3),1,0),O519)</x:f>
        <x:v>0</x:v>
      </x:c>
      <x:c r="S519" t="n">
        <x:f>SUM(P519:R519)</x:f>
        <x:v>2</x:v>
      </x:c>
      <x:c r="T519" t="str">
        <x:f>IF(COUNTA(M519:O519)=0,"DerivedFromCount","ManualOverride")</x:f>
        <x:v>DerivedFromCount</x:v>
      </x:c>
      <x:c r="U519" t="str">
        <x:f>IF(COUNTIF(DailyProduction!$Q$5:$Q$100,B519)=1,"OK","CHECK")</x:f>
        <x:v>OK</x:v>
      </x:c>
      <x:c r="V519" t="str">
        <x:f>IF(AND(I519&gt;=1,I519&lt;=13,K519&gt;=1,K519&lt;=3),"OK","CHECK")</x:f>
        <x:v>OK</x:v>
      </x:c>
      <x:c r="W519" t="str">
        <x:f>IF(SUMIF($B$5:$B$914,B519,$S$5:$S$914)=SUMIF(DailyProduction!$Q$5:$Q$100,B519,DailyProduction!$R$5:$R$100),"OK","CHECK")</x:f>
        <x:v>OK</x:v>
      </x:c>
    </x:row>
    <x:row r="520">
      <x:c r="A520" t="str">
        <x:v>PC-PE-KG01-L23-20251025-PM-ORD-2025-00093-S09</x:v>
      </x:c>
      <x:c r="B520" t="str">
        <x:v>PE-KG01-L23-20251025-PM-ORD-2025-00093</x:v>
      </x:c>
      <x:c r="C520" t="str">
        <x:v>KG01</x:v>
      </x:c>
      <x:c r="D520" t="n">
        <x:v>45955</x:v>
      </x:c>
      <x:c r="E520" t="str">
        <x:v>PM</x:v>
      </x:c>
      <x:c r="F520" t="str">
        <x:v>C</x:v>
      </x:c>
      <x:c r="G520" t="n">
        <x:v>23</x:v>
      </x:c>
      <x:c r="H520" t="str">
        <x:v>ORD-2025-00093</x:v>
      </x:c>
      <x:c r="I520" t="n">
        <x:v>9</x:v>
      </x:c>
      <x:c r="J520" t="n">
        <x:v>12</x:v>
      </x:c>
      <x:c r="K520" t="n">
        <x:v>2</x:v>
      </x:c>
      <x:c r="L520" t="n">
        <x:f>IF(I520&lt;=J520,1,0)</x:f>
        <x:v>1</x:v>
      </x:c>
      <x:c r="P520" t="n">
        <x:f>IF(M520="",IF(AND(L520=1,K520&gt;=1),1,0),M520)</x:f>
        <x:v>1</x:v>
      </x:c>
      <x:c r="Q520" t="n">
        <x:f>IF(N520="",IF(AND(L520=1,K520&gt;=2),1,0),N520)</x:f>
        <x:v>1</x:v>
      </x:c>
      <x:c r="R520" t="n">
        <x:f>IF(O520="",IF(AND(L520=1,K520&gt;=3),1,0),O520)</x:f>
        <x:v>0</x:v>
      </x:c>
      <x:c r="S520" t="n">
        <x:f>SUM(P520:R520)</x:f>
        <x:v>2</x:v>
      </x:c>
      <x:c r="T520" t="str">
        <x:f>IF(COUNTA(M520:O520)=0,"DerivedFromCount","ManualOverride")</x:f>
        <x:v>DerivedFromCount</x:v>
      </x:c>
      <x:c r="U520" t="str">
        <x:f>IF(COUNTIF(DailyProduction!$Q$5:$Q$100,B520)=1,"OK","CHECK")</x:f>
        <x:v>OK</x:v>
      </x:c>
      <x:c r="V520" t="str">
        <x:f>IF(AND(I520&gt;=1,I520&lt;=13,K520&gt;=1,K520&lt;=3),"OK","CHECK")</x:f>
        <x:v>OK</x:v>
      </x:c>
      <x:c r="W520" t="str">
        <x:f>IF(SUMIF($B$5:$B$914,B520,$S$5:$S$914)=SUMIF(DailyProduction!$Q$5:$Q$100,B520,DailyProduction!$R$5:$R$100),"OK","CHECK")</x:f>
        <x:v>OK</x:v>
      </x:c>
    </x:row>
    <x:row r="521">
      <x:c r="A521" t="str">
        <x:v>PC-PE-KG01-L23-20251025-PM-ORD-2025-00093-S10</x:v>
      </x:c>
      <x:c r="B521" t="str">
        <x:v>PE-KG01-L23-20251025-PM-ORD-2025-00093</x:v>
      </x:c>
      <x:c r="C521" t="str">
        <x:v>KG01</x:v>
      </x:c>
      <x:c r="D521" t="n">
        <x:v>45955</x:v>
      </x:c>
      <x:c r="E521" t="str">
        <x:v>PM</x:v>
      </x:c>
      <x:c r="F521" t="str">
        <x:v>C</x:v>
      </x:c>
      <x:c r="G521" t="n">
        <x:v>23</x:v>
      </x:c>
      <x:c r="H521" t="str">
        <x:v>ORD-2025-00093</x:v>
      </x:c>
      <x:c r="I521" t="n">
        <x:v>10</x:v>
      </x:c>
      <x:c r="J521" t="n">
        <x:v>12</x:v>
      </x:c>
      <x:c r="K521" t="n">
        <x:v>2</x:v>
      </x:c>
      <x:c r="L521" t="n">
        <x:f>IF(I521&lt;=J521,1,0)</x:f>
        <x:v>1</x:v>
      </x:c>
      <x:c r="P521" t="n">
        <x:f>IF(M521="",IF(AND(L521=1,K521&gt;=1),1,0),M521)</x:f>
        <x:v>1</x:v>
      </x:c>
      <x:c r="Q521" t="n">
        <x:f>IF(N521="",IF(AND(L521=1,K521&gt;=2),1,0),N521)</x:f>
        <x:v>1</x:v>
      </x:c>
      <x:c r="R521" t="n">
        <x:f>IF(O521="",IF(AND(L521=1,K521&gt;=3),1,0),O521)</x:f>
        <x:v>0</x:v>
      </x:c>
      <x:c r="S521" t="n">
        <x:f>SUM(P521:R521)</x:f>
        <x:v>2</x:v>
      </x:c>
      <x:c r="T521" t="str">
        <x:f>IF(COUNTA(M521:O521)=0,"DerivedFromCount","ManualOverride")</x:f>
        <x:v>DerivedFromCount</x:v>
      </x:c>
      <x:c r="U521" t="str">
        <x:f>IF(COUNTIF(DailyProduction!$Q$5:$Q$100,B521)=1,"OK","CHECK")</x:f>
        <x:v>OK</x:v>
      </x:c>
      <x:c r="V521" t="str">
        <x:f>IF(AND(I521&gt;=1,I521&lt;=13,K521&gt;=1,K521&lt;=3),"OK","CHECK")</x:f>
        <x:v>OK</x:v>
      </x:c>
      <x:c r="W521" t="str">
        <x:f>IF(SUMIF($B$5:$B$914,B521,$S$5:$S$914)=SUMIF(DailyProduction!$Q$5:$Q$100,B521,DailyProduction!$R$5:$R$100),"OK","CHECK")</x:f>
        <x:v>OK</x:v>
      </x:c>
    </x:row>
    <x:row r="522">
      <x:c r="A522" t="str">
        <x:v>PC-PE-KG01-L23-20251025-PM-ORD-2025-00093-S11</x:v>
      </x:c>
      <x:c r="B522" t="str">
        <x:v>PE-KG01-L23-20251025-PM-ORD-2025-00093</x:v>
      </x:c>
      <x:c r="C522" t="str">
        <x:v>KG01</x:v>
      </x:c>
      <x:c r="D522" t="n">
        <x:v>45955</x:v>
      </x:c>
      <x:c r="E522" t="str">
        <x:v>PM</x:v>
      </x:c>
      <x:c r="F522" t="str">
        <x:v>C</x:v>
      </x:c>
      <x:c r="G522" t="n">
        <x:v>23</x:v>
      </x:c>
      <x:c r="H522" t="str">
        <x:v>ORD-2025-00093</x:v>
      </x:c>
      <x:c r="I522" t="n">
        <x:v>11</x:v>
      </x:c>
      <x:c r="J522" t="n">
        <x:v>12</x:v>
      </x:c>
      <x:c r="K522" t="n">
        <x:v>2</x:v>
      </x:c>
      <x:c r="L522" t="n">
        <x:f>IF(I522&lt;=J522,1,0)</x:f>
        <x:v>1</x:v>
      </x:c>
      <x:c r="P522" t="n">
        <x:f>IF(M522="",IF(AND(L522=1,K522&gt;=1),1,0),M522)</x:f>
        <x:v>1</x:v>
      </x:c>
      <x:c r="Q522" t="n">
        <x:f>IF(N522="",IF(AND(L522=1,K522&gt;=2),1,0),N522)</x:f>
        <x:v>1</x:v>
      </x:c>
      <x:c r="R522" t="n">
        <x:f>IF(O522="",IF(AND(L522=1,K522&gt;=3),1,0),O522)</x:f>
        <x:v>0</x:v>
      </x:c>
      <x:c r="S522" t="n">
        <x:f>SUM(P522:R522)</x:f>
        <x:v>2</x:v>
      </x:c>
      <x:c r="T522" t="str">
        <x:f>IF(COUNTA(M522:O522)=0,"DerivedFromCount","ManualOverride")</x:f>
        <x:v>DerivedFromCount</x:v>
      </x:c>
      <x:c r="U522" t="str">
        <x:f>IF(COUNTIF(DailyProduction!$Q$5:$Q$100,B522)=1,"OK","CHECK")</x:f>
        <x:v>OK</x:v>
      </x:c>
      <x:c r="V522" t="str">
        <x:f>IF(AND(I522&gt;=1,I522&lt;=13,K522&gt;=1,K522&lt;=3),"OK","CHECK")</x:f>
        <x:v>OK</x:v>
      </x:c>
      <x:c r="W522" t="str">
        <x:f>IF(SUMIF($B$5:$B$914,B522,$S$5:$S$914)=SUMIF(DailyProduction!$Q$5:$Q$100,B522,DailyProduction!$R$5:$R$100),"OK","CHECK")</x:f>
        <x:v>OK</x:v>
      </x:c>
    </x:row>
    <x:row r="523">
      <x:c r="A523" t="str">
        <x:v>PC-PE-KG01-L23-20251025-PM-ORD-2025-00093-S12</x:v>
      </x:c>
      <x:c r="B523" t="str">
        <x:v>PE-KG01-L23-20251025-PM-ORD-2025-00093</x:v>
      </x:c>
      <x:c r="C523" t="str">
        <x:v>KG01</x:v>
      </x:c>
      <x:c r="D523" t="n">
        <x:v>45955</x:v>
      </x:c>
      <x:c r="E523" t="str">
        <x:v>PM</x:v>
      </x:c>
      <x:c r="F523" t="str">
        <x:v>C</x:v>
      </x:c>
      <x:c r="G523" t="n">
        <x:v>23</x:v>
      </x:c>
      <x:c r="H523" t="str">
        <x:v>ORD-2025-00093</x:v>
      </x:c>
      <x:c r="I523" t="n">
        <x:v>12</x:v>
      </x:c>
      <x:c r="J523" t="n">
        <x:v>12</x:v>
      </x:c>
      <x:c r="K523" t="n">
        <x:v>2</x:v>
      </x:c>
      <x:c r="L523" t="n">
        <x:f>IF(I523&lt;=J523,1,0)</x:f>
        <x:v>1</x:v>
      </x:c>
      <x:c r="P523" t="n">
        <x:f>IF(M523="",IF(AND(L523=1,K523&gt;=1),1,0),M523)</x:f>
        <x:v>1</x:v>
      </x:c>
      <x:c r="Q523" t="n">
        <x:f>IF(N523="",IF(AND(L523=1,K523&gt;=2),1,0),N523)</x:f>
        <x:v>1</x:v>
      </x:c>
      <x:c r="R523" t="n">
        <x:f>IF(O523="",IF(AND(L523=1,K523&gt;=3),1,0),O523)</x:f>
        <x:v>0</x:v>
      </x:c>
      <x:c r="S523" t="n">
        <x:f>SUM(P523:R523)</x:f>
        <x:v>2</x:v>
      </x:c>
      <x:c r="T523" t="str">
        <x:f>IF(COUNTA(M523:O523)=0,"DerivedFromCount","ManualOverride")</x:f>
        <x:v>DerivedFromCount</x:v>
      </x:c>
      <x:c r="U523" t="str">
        <x:f>IF(COUNTIF(DailyProduction!$Q$5:$Q$100,B523)=1,"OK","CHECK")</x:f>
        <x:v>OK</x:v>
      </x:c>
      <x:c r="V523" t="str">
        <x:f>IF(AND(I523&gt;=1,I523&lt;=13,K523&gt;=1,K523&lt;=3),"OK","CHECK")</x:f>
        <x:v>OK</x:v>
      </x:c>
      <x:c r="W523" t="str">
        <x:f>IF(SUMIF($B$5:$B$914,B523,$S$5:$S$914)=SUMIF(DailyProduction!$Q$5:$Q$100,B523,DailyProduction!$R$5:$R$100),"OK","CHECK")</x:f>
        <x:v>OK</x:v>
      </x:c>
    </x:row>
    <x:row r="524">
      <x:c r="A524" t="str">
        <x:v>PC-PE-KG01-L23-20251025-PM-ORD-2025-00093-S13</x:v>
      </x:c>
      <x:c r="B524" t="str">
        <x:v>PE-KG01-L23-20251025-PM-ORD-2025-00093</x:v>
      </x:c>
      <x:c r="C524" t="str">
        <x:v>KG01</x:v>
      </x:c>
      <x:c r="D524" t="n">
        <x:v>45955</x:v>
      </x:c>
      <x:c r="E524" t="str">
        <x:v>PM</x:v>
      </x:c>
      <x:c r="F524" t="str">
        <x:v>C</x:v>
      </x:c>
      <x:c r="G524" t="n">
        <x:v>23</x:v>
      </x:c>
      <x:c r="H524" t="str">
        <x:v>ORD-2025-00093</x:v>
      </x:c>
      <x:c r="I524" t="n">
        <x:v>13</x:v>
      </x:c>
      <x:c r="J524" t="n">
        <x:v>12</x:v>
      </x:c>
      <x:c r="K524" t="n">
        <x:v>2</x:v>
      </x:c>
      <x:c r="L524" t="n">
        <x:f>IF(I524&lt;=J524,1,0)</x:f>
        <x:v>0</x:v>
      </x:c>
      <x:c r="P524" t="n">
        <x:f>IF(M524="",IF(AND(L524=1,K524&gt;=1),1,0),M524)</x:f>
        <x:v>0</x:v>
      </x:c>
      <x:c r="Q524" t="n">
        <x:f>IF(N524="",IF(AND(L524=1,K524&gt;=2),1,0),N524)</x:f>
        <x:v>0</x:v>
      </x:c>
      <x:c r="R524" t="n">
        <x:f>IF(O524="",IF(AND(L524=1,K524&gt;=3),1,0),O524)</x:f>
        <x:v>0</x:v>
      </x:c>
      <x:c r="S524" t="n">
        <x:f>SUM(P524:R524)</x:f>
        <x:v>0</x:v>
      </x:c>
      <x:c r="T524" t="str">
        <x:f>IF(COUNTA(M524:O524)=0,"DerivedFromCount","ManualOverride")</x:f>
        <x:v>DerivedFromCount</x:v>
      </x:c>
      <x:c r="U524" t="str">
        <x:f>IF(COUNTIF(DailyProduction!$Q$5:$Q$100,B524)=1,"OK","CHECK")</x:f>
        <x:v>OK</x:v>
      </x:c>
      <x:c r="V524" t="str">
        <x:f>IF(AND(I524&gt;=1,I524&lt;=13,K524&gt;=1,K524&lt;=3),"OK","CHECK")</x:f>
        <x:v>OK</x:v>
      </x:c>
      <x:c r="W524" t="str">
        <x:f>IF(SUMIF($B$5:$B$914,B524,$S$5:$S$914)=SUMIF(DailyProduction!$Q$5:$Q$100,B524,DailyProduction!$R$5:$R$100),"OK","CHECK")</x:f>
        <x:v>OK</x:v>
      </x:c>
    </x:row>
    <x:row r="525">
      <x:c r="A525" t="str">
        <x:v>PC-PE-KG01-L23-20251026-AM-ORD-2025-00094-S01</x:v>
      </x:c>
      <x:c r="B525" t="str">
        <x:v>PE-KG01-L23-20251026-AM-ORD-2025-00094</x:v>
      </x:c>
      <x:c r="C525" t="str">
        <x:v>KG01</x:v>
      </x:c>
      <x:c r="D525" t="n">
        <x:v>45956</x:v>
      </x:c>
      <x:c r="E525" t="str">
        <x:v>AM</x:v>
      </x:c>
      <x:c r="F525" t="str">
        <x:v>C</x:v>
      </x:c>
      <x:c r="G525" t="n">
        <x:v>23</x:v>
      </x:c>
      <x:c r="H525" t="str">
        <x:v>ORD-2025-00094</x:v>
      </x:c>
      <x:c r="I525" t="n">
        <x:v>1</x:v>
      </x:c>
      <x:c r="J525" t="n">
        <x:v>12</x:v>
      </x:c>
      <x:c r="K525" t="n">
        <x:v>2</x:v>
      </x:c>
      <x:c r="L525" t="n">
        <x:f>IF(I525&lt;=J525,1,0)</x:f>
        <x:v>1</x:v>
      </x:c>
      <x:c r="P525" t="n">
        <x:f>IF(M525="",IF(AND(L525=1,K525&gt;=1),1,0),M525)</x:f>
        <x:v>1</x:v>
      </x:c>
      <x:c r="Q525" t="n">
        <x:f>IF(N525="",IF(AND(L525=1,K525&gt;=2),1,0),N525)</x:f>
        <x:v>1</x:v>
      </x:c>
      <x:c r="R525" t="n">
        <x:f>IF(O525="",IF(AND(L525=1,K525&gt;=3),1,0),O525)</x:f>
        <x:v>0</x:v>
      </x:c>
      <x:c r="S525" t="n">
        <x:f>SUM(P525:R525)</x:f>
        <x:v>2</x:v>
      </x:c>
      <x:c r="T525" t="str">
        <x:f>IF(COUNTA(M525:O525)=0,"DerivedFromCount","ManualOverride")</x:f>
        <x:v>DerivedFromCount</x:v>
      </x:c>
      <x:c r="U525" t="str">
        <x:f>IF(COUNTIF(DailyProduction!$Q$5:$Q$100,B525)=1,"OK","CHECK")</x:f>
        <x:v>OK</x:v>
      </x:c>
      <x:c r="V525" t="str">
        <x:f>IF(AND(I525&gt;=1,I525&lt;=13,K525&gt;=1,K525&lt;=3),"OK","CHECK")</x:f>
        <x:v>OK</x:v>
      </x:c>
      <x:c r="W525" t="str">
        <x:f>IF(SUMIF($B$5:$B$914,B525,$S$5:$S$914)=SUMIF(DailyProduction!$Q$5:$Q$100,B525,DailyProduction!$R$5:$R$100),"OK","CHECK")</x:f>
        <x:v>OK</x:v>
      </x:c>
    </x:row>
    <x:row r="526">
      <x:c r="A526" t="str">
        <x:v>PC-PE-KG01-L23-20251026-AM-ORD-2025-00094-S02</x:v>
      </x:c>
      <x:c r="B526" t="str">
        <x:v>PE-KG01-L23-20251026-AM-ORD-2025-00094</x:v>
      </x:c>
      <x:c r="C526" t="str">
        <x:v>KG01</x:v>
      </x:c>
      <x:c r="D526" t="n">
        <x:v>45956</x:v>
      </x:c>
      <x:c r="E526" t="str">
        <x:v>AM</x:v>
      </x:c>
      <x:c r="F526" t="str">
        <x:v>C</x:v>
      </x:c>
      <x:c r="G526" t="n">
        <x:v>23</x:v>
      </x:c>
      <x:c r="H526" t="str">
        <x:v>ORD-2025-00094</x:v>
      </x:c>
      <x:c r="I526" t="n">
        <x:v>2</x:v>
      </x:c>
      <x:c r="J526" t="n">
        <x:v>12</x:v>
      </x:c>
      <x:c r="K526" t="n">
        <x:v>2</x:v>
      </x:c>
      <x:c r="L526" t="n">
        <x:f>IF(I526&lt;=J526,1,0)</x:f>
        <x:v>1</x:v>
      </x:c>
      <x:c r="P526" t="n">
        <x:f>IF(M526="",IF(AND(L526=1,K526&gt;=1),1,0),M526)</x:f>
        <x:v>1</x:v>
      </x:c>
      <x:c r="Q526" t="n">
        <x:f>IF(N526="",IF(AND(L526=1,K526&gt;=2),1,0),N526)</x:f>
        <x:v>1</x:v>
      </x:c>
      <x:c r="R526" t="n">
        <x:f>IF(O526="",IF(AND(L526=1,K526&gt;=3),1,0),O526)</x:f>
        <x:v>0</x:v>
      </x:c>
      <x:c r="S526" t="n">
        <x:f>SUM(P526:R526)</x:f>
        <x:v>2</x:v>
      </x:c>
      <x:c r="T526" t="str">
        <x:f>IF(COUNTA(M526:O526)=0,"DerivedFromCount","ManualOverride")</x:f>
        <x:v>DerivedFromCount</x:v>
      </x:c>
      <x:c r="U526" t="str">
        <x:f>IF(COUNTIF(DailyProduction!$Q$5:$Q$100,B526)=1,"OK","CHECK")</x:f>
        <x:v>OK</x:v>
      </x:c>
      <x:c r="V526" t="str">
        <x:f>IF(AND(I526&gt;=1,I526&lt;=13,K526&gt;=1,K526&lt;=3),"OK","CHECK")</x:f>
        <x:v>OK</x:v>
      </x:c>
      <x:c r="W526" t="str">
        <x:f>IF(SUMIF($B$5:$B$914,B526,$S$5:$S$914)=SUMIF(DailyProduction!$Q$5:$Q$100,B526,DailyProduction!$R$5:$R$100),"OK","CHECK")</x:f>
        <x:v>OK</x:v>
      </x:c>
    </x:row>
    <x:row r="527">
      <x:c r="A527" t="str">
        <x:v>PC-PE-KG01-L23-20251026-AM-ORD-2025-00094-S03</x:v>
      </x:c>
      <x:c r="B527" t="str">
        <x:v>PE-KG01-L23-20251026-AM-ORD-2025-00094</x:v>
      </x:c>
      <x:c r="C527" t="str">
        <x:v>KG01</x:v>
      </x:c>
      <x:c r="D527" t="n">
        <x:v>45956</x:v>
      </x:c>
      <x:c r="E527" t="str">
        <x:v>AM</x:v>
      </x:c>
      <x:c r="F527" t="str">
        <x:v>C</x:v>
      </x:c>
      <x:c r="G527" t="n">
        <x:v>23</x:v>
      </x:c>
      <x:c r="H527" t="str">
        <x:v>ORD-2025-00094</x:v>
      </x:c>
      <x:c r="I527" t="n">
        <x:v>3</x:v>
      </x:c>
      <x:c r="J527" t="n">
        <x:v>12</x:v>
      </x:c>
      <x:c r="K527" t="n">
        <x:v>2</x:v>
      </x:c>
      <x:c r="L527" t="n">
        <x:f>IF(I527&lt;=J527,1,0)</x:f>
        <x:v>1</x:v>
      </x:c>
      <x:c r="P527" t="n">
        <x:f>IF(M527="",IF(AND(L527=1,K527&gt;=1),1,0),M527)</x:f>
        <x:v>1</x:v>
      </x:c>
      <x:c r="Q527" t="n">
        <x:f>IF(N527="",IF(AND(L527=1,K527&gt;=2),1,0),N527)</x:f>
        <x:v>1</x:v>
      </x:c>
      <x:c r="R527" t="n">
        <x:f>IF(O527="",IF(AND(L527=1,K527&gt;=3),1,0),O527)</x:f>
        <x:v>0</x:v>
      </x:c>
      <x:c r="S527" t="n">
        <x:f>SUM(P527:R527)</x:f>
        <x:v>2</x:v>
      </x:c>
      <x:c r="T527" t="str">
        <x:f>IF(COUNTA(M527:O527)=0,"DerivedFromCount","ManualOverride")</x:f>
        <x:v>DerivedFromCount</x:v>
      </x:c>
      <x:c r="U527" t="str">
        <x:f>IF(COUNTIF(DailyProduction!$Q$5:$Q$100,B527)=1,"OK","CHECK")</x:f>
        <x:v>OK</x:v>
      </x:c>
      <x:c r="V527" t="str">
        <x:f>IF(AND(I527&gt;=1,I527&lt;=13,K527&gt;=1,K527&lt;=3),"OK","CHECK")</x:f>
        <x:v>OK</x:v>
      </x:c>
      <x:c r="W527" t="str">
        <x:f>IF(SUMIF($B$5:$B$914,B527,$S$5:$S$914)=SUMIF(DailyProduction!$Q$5:$Q$100,B527,DailyProduction!$R$5:$R$100),"OK","CHECK")</x:f>
        <x:v>OK</x:v>
      </x:c>
    </x:row>
    <x:row r="528">
      <x:c r="A528" t="str">
        <x:v>PC-PE-KG01-L23-20251026-AM-ORD-2025-00094-S04</x:v>
      </x:c>
      <x:c r="B528" t="str">
        <x:v>PE-KG01-L23-20251026-AM-ORD-2025-00094</x:v>
      </x:c>
      <x:c r="C528" t="str">
        <x:v>KG01</x:v>
      </x:c>
      <x:c r="D528" t="n">
        <x:v>45956</x:v>
      </x:c>
      <x:c r="E528" t="str">
        <x:v>AM</x:v>
      </x:c>
      <x:c r="F528" t="str">
        <x:v>C</x:v>
      </x:c>
      <x:c r="G528" t="n">
        <x:v>23</x:v>
      </x:c>
      <x:c r="H528" t="str">
        <x:v>ORD-2025-00094</x:v>
      </x:c>
      <x:c r="I528" t="n">
        <x:v>4</x:v>
      </x:c>
      <x:c r="J528" t="n">
        <x:v>12</x:v>
      </x:c>
      <x:c r="K528" t="n">
        <x:v>2</x:v>
      </x:c>
      <x:c r="L528" t="n">
        <x:f>IF(I528&lt;=J528,1,0)</x:f>
        <x:v>1</x:v>
      </x:c>
      <x:c r="P528" t="n">
        <x:f>IF(M528="",IF(AND(L528=1,K528&gt;=1),1,0),M528)</x:f>
        <x:v>1</x:v>
      </x:c>
      <x:c r="Q528" t="n">
        <x:f>IF(N528="",IF(AND(L528=1,K528&gt;=2),1,0),N528)</x:f>
        <x:v>1</x:v>
      </x:c>
      <x:c r="R528" t="n">
        <x:f>IF(O528="",IF(AND(L528=1,K528&gt;=3),1,0),O528)</x:f>
        <x:v>0</x:v>
      </x:c>
      <x:c r="S528" t="n">
        <x:f>SUM(P528:R528)</x:f>
        <x:v>2</x:v>
      </x:c>
      <x:c r="T528" t="str">
        <x:f>IF(COUNTA(M528:O528)=0,"DerivedFromCount","ManualOverride")</x:f>
        <x:v>DerivedFromCount</x:v>
      </x:c>
      <x:c r="U528" t="str">
        <x:f>IF(COUNTIF(DailyProduction!$Q$5:$Q$100,B528)=1,"OK","CHECK")</x:f>
        <x:v>OK</x:v>
      </x:c>
      <x:c r="V528" t="str">
        <x:f>IF(AND(I528&gt;=1,I528&lt;=13,K528&gt;=1,K528&lt;=3),"OK","CHECK")</x:f>
        <x:v>OK</x:v>
      </x:c>
      <x:c r="W528" t="str">
        <x:f>IF(SUMIF($B$5:$B$914,B528,$S$5:$S$914)=SUMIF(DailyProduction!$Q$5:$Q$100,B528,DailyProduction!$R$5:$R$100),"OK","CHECK")</x:f>
        <x:v>OK</x:v>
      </x:c>
    </x:row>
    <x:row r="529">
      <x:c r="A529" t="str">
        <x:v>PC-PE-KG01-L23-20251026-AM-ORD-2025-00094-S05</x:v>
      </x:c>
      <x:c r="B529" t="str">
        <x:v>PE-KG01-L23-20251026-AM-ORD-2025-00094</x:v>
      </x:c>
      <x:c r="C529" t="str">
        <x:v>KG01</x:v>
      </x:c>
      <x:c r="D529" t="n">
        <x:v>45956</x:v>
      </x:c>
      <x:c r="E529" t="str">
        <x:v>AM</x:v>
      </x:c>
      <x:c r="F529" t="str">
        <x:v>C</x:v>
      </x:c>
      <x:c r="G529" t="n">
        <x:v>23</x:v>
      </x:c>
      <x:c r="H529" t="str">
        <x:v>ORD-2025-00094</x:v>
      </x:c>
      <x:c r="I529" t="n">
        <x:v>5</x:v>
      </x:c>
      <x:c r="J529" t="n">
        <x:v>12</x:v>
      </x:c>
      <x:c r="K529" t="n">
        <x:v>2</x:v>
      </x:c>
      <x:c r="L529" t="n">
        <x:f>IF(I529&lt;=J529,1,0)</x:f>
        <x:v>1</x:v>
      </x:c>
      <x:c r="P529" t="n">
        <x:f>IF(M529="",IF(AND(L529=1,K529&gt;=1),1,0),M529)</x:f>
        <x:v>1</x:v>
      </x:c>
      <x:c r="Q529" t="n">
        <x:f>IF(N529="",IF(AND(L529=1,K529&gt;=2),1,0),N529)</x:f>
        <x:v>1</x:v>
      </x:c>
      <x:c r="R529" t="n">
        <x:f>IF(O529="",IF(AND(L529=1,K529&gt;=3),1,0),O529)</x:f>
        <x:v>0</x:v>
      </x:c>
      <x:c r="S529" t="n">
        <x:f>SUM(P529:R529)</x:f>
        <x:v>2</x:v>
      </x:c>
      <x:c r="T529" t="str">
        <x:f>IF(COUNTA(M529:O529)=0,"DerivedFromCount","ManualOverride")</x:f>
        <x:v>DerivedFromCount</x:v>
      </x:c>
      <x:c r="U529" t="str">
        <x:f>IF(COUNTIF(DailyProduction!$Q$5:$Q$100,B529)=1,"OK","CHECK")</x:f>
        <x:v>OK</x:v>
      </x:c>
      <x:c r="V529" t="str">
        <x:f>IF(AND(I529&gt;=1,I529&lt;=13,K529&gt;=1,K529&lt;=3),"OK","CHECK")</x:f>
        <x:v>OK</x:v>
      </x:c>
      <x:c r="W529" t="str">
        <x:f>IF(SUMIF($B$5:$B$914,B529,$S$5:$S$914)=SUMIF(DailyProduction!$Q$5:$Q$100,B529,DailyProduction!$R$5:$R$100),"OK","CHECK")</x:f>
        <x:v>OK</x:v>
      </x:c>
    </x:row>
    <x:row r="530">
      <x:c r="A530" t="str">
        <x:v>PC-PE-KG01-L23-20251026-AM-ORD-2025-00094-S06</x:v>
      </x:c>
      <x:c r="B530" t="str">
        <x:v>PE-KG01-L23-20251026-AM-ORD-2025-00094</x:v>
      </x:c>
      <x:c r="C530" t="str">
        <x:v>KG01</x:v>
      </x:c>
      <x:c r="D530" t="n">
        <x:v>45956</x:v>
      </x:c>
      <x:c r="E530" t="str">
        <x:v>AM</x:v>
      </x:c>
      <x:c r="F530" t="str">
        <x:v>C</x:v>
      </x:c>
      <x:c r="G530" t="n">
        <x:v>23</x:v>
      </x:c>
      <x:c r="H530" t="str">
        <x:v>ORD-2025-00094</x:v>
      </x:c>
      <x:c r="I530" t="n">
        <x:v>6</x:v>
      </x:c>
      <x:c r="J530" t="n">
        <x:v>12</x:v>
      </x:c>
      <x:c r="K530" t="n">
        <x:v>2</x:v>
      </x:c>
      <x:c r="L530" t="n">
        <x:f>IF(I530&lt;=J530,1,0)</x:f>
        <x:v>1</x:v>
      </x:c>
      <x:c r="P530" t="n">
        <x:f>IF(M530="",IF(AND(L530=1,K530&gt;=1),1,0),M530)</x:f>
        <x:v>1</x:v>
      </x:c>
      <x:c r="Q530" t="n">
        <x:f>IF(N530="",IF(AND(L530=1,K530&gt;=2),1,0),N530)</x:f>
        <x:v>1</x:v>
      </x:c>
      <x:c r="R530" t="n">
        <x:f>IF(O530="",IF(AND(L530=1,K530&gt;=3),1,0),O530)</x:f>
        <x:v>0</x:v>
      </x:c>
      <x:c r="S530" t="n">
        <x:f>SUM(P530:R530)</x:f>
        <x:v>2</x:v>
      </x:c>
      <x:c r="T530" t="str">
        <x:f>IF(COUNTA(M530:O530)=0,"DerivedFromCount","ManualOverride")</x:f>
        <x:v>DerivedFromCount</x:v>
      </x:c>
      <x:c r="U530" t="str">
        <x:f>IF(COUNTIF(DailyProduction!$Q$5:$Q$100,B530)=1,"OK","CHECK")</x:f>
        <x:v>OK</x:v>
      </x:c>
      <x:c r="V530" t="str">
        <x:f>IF(AND(I530&gt;=1,I530&lt;=13,K530&gt;=1,K530&lt;=3),"OK","CHECK")</x:f>
        <x:v>OK</x:v>
      </x:c>
      <x:c r="W530" t="str">
        <x:f>IF(SUMIF($B$5:$B$914,B530,$S$5:$S$914)=SUMIF(DailyProduction!$Q$5:$Q$100,B530,DailyProduction!$R$5:$R$100),"OK","CHECK")</x:f>
        <x:v>OK</x:v>
      </x:c>
    </x:row>
    <x:row r="531">
      <x:c r="A531" t="str">
        <x:v>PC-PE-KG01-L23-20251026-AM-ORD-2025-00094-S07</x:v>
      </x:c>
      <x:c r="B531" t="str">
        <x:v>PE-KG01-L23-20251026-AM-ORD-2025-00094</x:v>
      </x:c>
      <x:c r="C531" t="str">
        <x:v>KG01</x:v>
      </x:c>
      <x:c r="D531" t="n">
        <x:v>45956</x:v>
      </x:c>
      <x:c r="E531" t="str">
        <x:v>AM</x:v>
      </x:c>
      <x:c r="F531" t="str">
        <x:v>C</x:v>
      </x:c>
      <x:c r="G531" t="n">
        <x:v>23</x:v>
      </x:c>
      <x:c r="H531" t="str">
        <x:v>ORD-2025-00094</x:v>
      </x:c>
      <x:c r="I531" t="n">
        <x:v>7</x:v>
      </x:c>
      <x:c r="J531" t="n">
        <x:v>12</x:v>
      </x:c>
      <x:c r="K531" t="n">
        <x:v>2</x:v>
      </x:c>
      <x:c r="L531" t="n">
        <x:f>IF(I531&lt;=J531,1,0)</x:f>
        <x:v>1</x:v>
      </x:c>
      <x:c r="P531" t="n">
        <x:f>IF(M531="",IF(AND(L531=1,K531&gt;=1),1,0),M531)</x:f>
        <x:v>1</x:v>
      </x:c>
      <x:c r="Q531" t="n">
        <x:f>IF(N531="",IF(AND(L531=1,K531&gt;=2),1,0),N531)</x:f>
        <x:v>1</x:v>
      </x:c>
      <x:c r="R531" t="n">
        <x:f>IF(O531="",IF(AND(L531=1,K531&gt;=3),1,0),O531)</x:f>
        <x:v>0</x:v>
      </x:c>
      <x:c r="S531" t="n">
        <x:f>SUM(P531:R531)</x:f>
        <x:v>2</x:v>
      </x:c>
      <x:c r="T531" t="str">
        <x:f>IF(COUNTA(M531:O531)=0,"DerivedFromCount","ManualOverride")</x:f>
        <x:v>DerivedFromCount</x:v>
      </x:c>
      <x:c r="U531" t="str">
        <x:f>IF(COUNTIF(DailyProduction!$Q$5:$Q$100,B531)=1,"OK","CHECK")</x:f>
        <x:v>OK</x:v>
      </x:c>
      <x:c r="V531" t="str">
        <x:f>IF(AND(I531&gt;=1,I531&lt;=13,K531&gt;=1,K531&lt;=3),"OK","CHECK")</x:f>
        <x:v>OK</x:v>
      </x:c>
      <x:c r="W531" t="str">
        <x:f>IF(SUMIF($B$5:$B$914,B531,$S$5:$S$914)=SUMIF(DailyProduction!$Q$5:$Q$100,B531,DailyProduction!$R$5:$R$100),"OK","CHECK")</x:f>
        <x:v>OK</x:v>
      </x:c>
    </x:row>
    <x:row r="532">
      <x:c r="A532" t="str">
        <x:v>PC-PE-KG01-L23-20251026-AM-ORD-2025-00094-S08</x:v>
      </x:c>
      <x:c r="B532" t="str">
        <x:v>PE-KG01-L23-20251026-AM-ORD-2025-00094</x:v>
      </x:c>
      <x:c r="C532" t="str">
        <x:v>KG01</x:v>
      </x:c>
      <x:c r="D532" t="n">
        <x:v>45956</x:v>
      </x:c>
      <x:c r="E532" t="str">
        <x:v>AM</x:v>
      </x:c>
      <x:c r="F532" t="str">
        <x:v>C</x:v>
      </x:c>
      <x:c r="G532" t="n">
        <x:v>23</x:v>
      </x:c>
      <x:c r="H532" t="str">
        <x:v>ORD-2025-00094</x:v>
      </x:c>
      <x:c r="I532" t="n">
        <x:v>8</x:v>
      </x:c>
      <x:c r="J532" t="n">
        <x:v>12</x:v>
      </x:c>
      <x:c r="K532" t="n">
        <x:v>2</x:v>
      </x:c>
      <x:c r="L532" t="n">
        <x:f>IF(I532&lt;=J532,1,0)</x:f>
        <x:v>1</x:v>
      </x:c>
      <x:c r="P532" t="n">
        <x:f>IF(M532="",IF(AND(L532=1,K532&gt;=1),1,0),M532)</x:f>
        <x:v>1</x:v>
      </x:c>
      <x:c r="Q532" t="n">
        <x:f>IF(N532="",IF(AND(L532=1,K532&gt;=2),1,0),N532)</x:f>
        <x:v>1</x:v>
      </x:c>
      <x:c r="R532" t="n">
        <x:f>IF(O532="",IF(AND(L532=1,K532&gt;=3),1,0),O532)</x:f>
        <x:v>0</x:v>
      </x:c>
      <x:c r="S532" t="n">
        <x:f>SUM(P532:R532)</x:f>
        <x:v>2</x:v>
      </x:c>
      <x:c r="T532" t="str">
        <x:f>IF(COUNTA(M532:O532)=0,"DerivedFromCount","ManualOverride")</x:f>
        <x:v>DerivedFromCount</x:v>
      </x:c>
      <x:c r="U532" t="str">
        <x:f>IF(COUNTIF(DailyProduction!$Q$5:$Q$100,B532)=1,"OK","CHECK")</x:f>
        <x:v>OK</x:v>
      </x:c>
      <x:c r="V532" t="str">
        <x:f>IF(AND(I532&gt;=1,I532&lt;=13,K532&gt;=1,K532&lt;=3),"OK","CHECK")</x:f>
        <x:v>OK</x:v>
      </x:c>
      <x:c r="W532" t="str">
        <x:f>IF(SUMIF($B$5:$B$914,B532,$S$5:$S$914)=SUMIF(DailyProduction!$Q$5:$Q$100,B532,DailyProduction!$R$5:$R$100),"OK","CHECK")</x:f>
        <x:v>OK</x:v>
      </x:c>
    </x:row>
    <x:row r="533">
      <x:c r="A533" t="str">
        <x:v>PC-PE-KG01-L23-20251026-AM-ORD-2025-00094-S09</x:v>
      </x:c>
      <x:c r="B533" t="str">
        <x:v>PE-KG01-L23-20251026-AM-ORD-2025-00094</x:v>
      </x:c>
      <x:c r="C533" t="str">
        <x:v>KG01</x:v>
      </x:c>
      <x:c r="D533" t="n">
        <x:v>45956</x:v>
      </x:c>
      <x:c r="E533" t="str">
        <x:v>AM</x:v>
      </x:c>
      <x:c r="F533" t="str">
        <x:v>C</x:v>
      </x:c>
      <x:c r="G533" t="n">
        <x:v>23</x:v>
      </x:c>
      <x:c r="H533" t="str">
        <x:v>ORD-2025-00094</x:v>
      </x:c>
      <x:c r="I533" t="n">
        <x:v>9</x:v>
      </x:c>
      <x:c r="J533" t="n">
        <x:v>12</x:v>
      </x:c>
      <x:c r="K533" t="n">
        <x:v>2</x:v>
      </x:c>
      <x:c r="L533" t="n">
        <x:f>IF(I533&lt;=J533,1,0)</x:f>
        <x:v>1</x:v>
      </x:c>
      <x:c r="P533" t="n">
        <x:f>IF(M533="",IF(AND(L533=1,K533&gt;=1),1,0),M533)</x:f>
        <x:v>1</x:v>
      </x:c>
      <x:c r="Q533" t="n">
        <x:f>IF(N533="",IF(AND(L533=1,K533&gt;=2),1,0),N533)</x:f>
        <x:v>1</x:v>
      </x:c>
      <x:c r="R533" t="n">
        <x:f>IF(O533="",IF(AND(L533=1,K533&gt;=3),1,0),O533)</x:f>
        <x:v>0</x:v>
      </x:c>
      <x:c r="S533" t="n">
        <x:f>SUM(P533:R533)</x:f>
        <x:v>2</x:v>
      </x:c>
      <x:c r="T533" t="str">
        <x:f>IF(COUNTA(M533:O533)=0,"DerivedFromCount","ManualOverride")</x:f>
        <x:v>DerivedFromCount</x:v>
      </x:c>
      <x:c r="U533" t="str">
        <x:f>IF(COUNTIF(DailyProduction!$Q$5:$Q$100,B533)=1,"OK","CHECK")</x:f>
        <x:v>OK</x:v>
      </x:c>
      <x:c r="V533" t="str">
        <x:f>IF(AND(I533&gt;=1,I533&lt;=13,K533&gt;=1,K533&lt;=3),"OK","CHECK")</x:f>
        <x:v>OK</x:v>
      </x:c>
      <x:c r="W533" t="str">
        <x:f>IF(SUMIF($B$5:$B$914,B533,$S$5:$S$914)=SUMIF(DailyProduction!$Q$5:$Q$100,B533,DailyProduction!$R$5:$R$100),"OK","CHECK")</x:f>
        <x:v>OK</x:v>
      </x:c>
    </x:row>
    <x:row r="534">
      <x:c r="A534" t="str">
        <x:v>PC-PE-KG01-L23-20251026-AM-ORD-2025-00094-S10</x:v>
      </x:c>
      <x:c r="B534" t="str">
        <x:v>PE-KG01-L23-20251026-AM-ORD-2025-00094</x:v>
      </x:c>
      <x:c r="C534" t="str">
        <x:v>KG01</x:v>
      </x:c>
      <x:c r="D534" t="n">
        <x:v>45956</x:v>
      </x:c>
      <x:c r="E534" t="str">
        <x:v>AM</x:v>
      </x:c>
      <x:c r="F534" t="str">
        <x:v>C</x:v>
      </x:c>
      <x:c r="G534" t="n">
        <x:v>23</x:v>
      </x:c>
      <x:c r="H534" t="str">
        <x:v>ORD-2025-00094</x:v>
      </x:c>
      <x:c r="I534" t="n">
        <x:v>10</x:v>
      </x:c>
      <x:c r="J534" t="n">
        <x:v>12</x:v>
      </x:c>
      <x:c r="K534" t="n">
        <x:v>2</x:v>
      </x:c>
      <x:c r="L534" t="n">
        <x:f>IF(I534&lt;=J534,1,0)</x:f>
        <x:v>1</x:v>
      </x:c>
      <x:c r="P534" t="n">
        <x:f>IF(M534="",IF(AND(L534=1,K534&gt;=1),1,0),M534)</x:f>
        <x:v>1</x:v>
      </x:c>
      <x:c r="Q534" t="n">
        <x:f>IF(N534="",IF(AND(L534=1,K534&gt;=2),1,0),N534)</x:f>
        <x:v>1</x:v>
      </x:c>
      <x:c r="R534" t="n">
        <x:f>IF(O534="",IF(AND(L534=1,K534&gt;=3),1,0),O534)</x:f>
        <x:v>0</x:v>
      </x:c>
      <x:c r="S534" t="n">
        <x:f>SUM(P534:R534)</x:f>
        <x:v>2</x:v>
      </x:c>
      <x:c r="T534" t="str">
        <x:f>IF(COUNTA(M534:O534)=0,"DerivedFromCount","ManualOverride")</x:f>
        <x:v>DerivedFromCount</x:v>
      </x:c>
      <x:c r="U534" t="str">
        <x:f>IF(COUNTIF(DailyProduction!$Q$5:$Q$100,B534)=1,"OK","CHECK")</x:f>
        <x:v>OK</x:v>
      </x:c>
      <x:c r="V534" t="str">
        <x:f>IF(AND(I534&gt;=1,I534&lt;=13,K534&gt;=1,K534&lt;=3),"OK","CHECK")</x:f>
        <x:v>OK</x:v>
      </x:c>
      <x:c r="W534" t="str">
        <x:f>IF(SUMIF($B$5:$B$914,B534,$S$5:$S$914)=SUMIF(DailyProduction!$Q$5:$Q$100,B534,DailyProduction!$R$5:$R$100),"OK","CHECK")</x:f>
        <x:v>OK</x:v>
      </x:c>
    </x:row>
    <x:row r="535">
      <x:c r="A535" t="str">
        <x:v>PC-PE-KG01-L23-20251026-AM-ORD-2025-00094-S11</x:v>
      </x:c>
      <x:c r="B535" t="str">
        <x:v>PE-KG01-L23-20251026-AM-ORD-2025-00094</x:v>
      </x:c>
      <x:c r="C535" t="str">
        <x:v>KG01</x:v>
      </x:c>
      <x:c r="D535" t="n">
        <x:v>45956</x:v>
      </x:c>
      <x:c r="E535" t="str">
        <x:v>AM</x:v>
      </x:c>
      <x:c r="F535" t="str">
        <x:v>C</x:v>
      </x:c>
      <x:c r="G535" t="n">
        <x:v>23</x:v>
      </x:c>
      <x:c r="H535" t="str">
        <x:v>ORD-2025-00094</x:v>
      </x:c>
      <x:c r="I535" t="n">
        <x:v>11</x:v>
      </x:c>
      <x:c r="J535" t="n">
        <x:v>12</x:v>
      </x:c>
      <x:c r="K535" t="n">
        <x:v>2</x:v>
      </x:c>
      <x:c r="L535" t="n">
        <x:f>IF(I535&lt;=J535,1,0)</x:f>
        <x:v>1</x:v>
      </x:c>
      <x:c r="P535" t="n">
        <x:f>IF(M535="",IF(AND(L535=1,K535&gt;=1),1,0),M535)</x:f>
        <x:v>1</x:v>
      </x:c>
      <x:c r="Q535" t="n">
        <x:f>IF(N535="",IF(AND(L535=1,K535&gt;=2),1,0),N535)</x:f>
        <x:v>1</x:v>
      </x:c>
      <x:c r="R535" t="n">
        <x:f>IF(O535="",IF(AND(L535=1,K535&gt;=3),1,0),O535)</x:f>
        <x:v>0</x:v>
      </x:c>
      <x:c r="S535" t="n">
        <x:f>SUM(P535:R535)</x:f>
        <x:v>2</x:v>
      </x:c>
      <x:c r="T535" t="str">
        <x:f>IF(COUNTA(M535:O535)=0,"DerivedFromCount","ManualOverride")</x:f>
        <x:v>DerivedFromCount</x:v>
      </x:c>
      <x:c r="U535" t="str">
        <x:f>IF(COUNTIF(DailyProduction!$Q$5:$Q$100,B535)=1,"OK","CHECK")</x:f>
        <x:v>OK</x:v>
      </x:c>
      <x:c r="V535" t="str">
        <x:f>IF(AND(I535&gt;=1,I535&lt;=13,K535&gt;=1,K535&lt;=3),"OK","CHECK")</x:f>
        <x:v>OK</x:v>
      </x:c>
      <x:c r="W535" t="str">
        <x:f>IF(SUMIF($B$5:$B$914,B535,$S$5:$S$914)=SUMIF(DailyProduction!$Q$5:$Q$100,B535,DailyProduction!$R$5:$R$100),"OK","CHECK")</x:f>
        <x:v>OK</x:v>
      </x:c>
    </x:row>
    <x:row r="536">
      <x:c r="A536" t="str">
        <x:v>PC-PE-KG01-L23-20251026-AM-ORD-2025-00094-S12</x:v>
      </x:c>
      <x:c r="B536" t="str">
        <x:v>PE-KG01-L23-20251026-AM-ORD-2025-00094</x:v>
      </x:c>
      <x:c r="C536" t="str">
        <x:v>KG01</x:v>
      </x:c>
      <x:c r="D536" t="n">
        <x:v>45956</x:v>
      </x:c>
      <x:c r="E536" t="str">
        <x:v>AM</x:v>
      </x:c>
      <x:c r="F536" t="str">
        <x:v>C</x:v>
      </x:c>
      <x:c r="G536" t="n">
        <x:v>23</x:v>
      </x:c>
      <x:c r="H536" t="str">
        <x:v>ORD-2025-00094</x:v>
      </x:c>
      <x:c r="I536" t="n">
        <x:v>12</x:v>
      </x:c>
      <x:c r="J536" t="n">
        <x:v>12</x:v>
      </x:c>
      <x:c r="K536" t="n">
        <x:v>2</x:v>
      </x:c>
      <x:c r="L536" t="n">
        <x:f>IF(I536&lt;=J536,1,0)</x:f>
        <x:v>1</x:v>
      </x:c>
      <x:c r="P536" t="n">
        <x:f>IF(M536="",IF(AND(L536=1,K536&gt;=1),1,0),M536)</x:f>
        <x:v>1</x:v>
      </x:c>
      <x:c r="Q536" t="n">
        <x:f>IF(N536="",IF(AND(L536=1,K536&gt;=2),1,0),N536)</x:f>
        <x:v>1</x:v>
      </x:c>
      <x:c r="R536" t="n">
        <x:f>IF(O536="",IF(AND(L536=1,K536&gt;=3),1,0),O536)</x:f>
        <x:v>0</x:v>
      </x:c>
      <x:c r="S536" t="n">
        <x:f>SUM(P536:R536)</x:f>
        <x:v>2</x:v>
      </x:c>
      <x:c r="T536" t="str">
        <x:f>IF(COUNTA(M536:O536)=0,"DerivedFromCount","ManualOverride")</x:f>
        <x:v>DerivedFromCount</x:v>
      </x:c>
      <x:c r="U536" t="str">
        <x:f>IF(COUNTIF(DailyProduction!$Q$5:$Q$100,B536)=1,"OK","CHECK")</x:f>
        <x:v>OK</x:v>
      </x:c>
      <x:c r="V536" t="str">
        <x:f>IF(AND(I536&gt;=1,I536&lt;=13,K536&gt;=1,K536&lt;=3),"OK","CHECK")</x:f>
        <x:v>OK</x:v>
      </x:c>
      <x:c r="W536" t="str">
        <x:f>IF(SUMIF($B$5:$B$914,B536,$S$5:$S$914)=SUMIF(DailyProduction!$Q$5:$Q$100,B536,DailyProduction!$R$5:$R$100),"OK","CHECK")</x:f>
        <x:v>OK</x:v>
      </x:c>
    </x:row>
    <x:row r="537">
      <x:c r="A537" t="str">
        <x:v>PC-PE-KG01-L23-20251026-AM-ORD-2025-00094-S13</x:v>
      </x:c>
      <x:c r="B537" t="str">
        <x:v>PE-KG01-L23-20251026-AM-ORD-2025-00094</x:v>
      </x:c>
      <x:c r="C537" t="str">
        <x:v>KG01</x:v>
      </x:c>
      <x:c r="D537" t="n">
        <x:v>45956</x:v>
      </x:c>
      <x:c r="E537" t="str">
        <x:v>AM</x:v>
      </x:c>
      <x:c r="F537" t="str">
        <x:v>C</x:v>
      </x:c>
      <x:c r="G537" t="n">
        <x:v>23</x:v>
      </x:c>
      <x:c r="H537" t="str">
        <x:v>ORD-2025-00094</x:v>
      </x:c>
      <x:c r="I537" t="n">
        <x:v>13</x:v>
      </x:c>
      <x:c r="J537" t="n">
        <x:v>12</x:v>
      </x:c>
      <x:c r="K537" t="n">
        <x:v>2</x:v>
      </x:c>
      <x:c r="L537" t="n">
        <x:f>IF(I537&lt;=J537,1,0)</x:f>
        <x:v>0</x:v>
      </x:c>
      <x:c r="P537" t="n">
        <x:f>IF(M537="",IF(AND(L537=1,K537&gt;=1),1,0),M537)</x:f>
        <x:v>0</x:v>
      </x:c>
      <x:c r="Q537" t="n">
        <x:f>IF(N537="",IF(AND(L537=1,K537&gt;=2),1,0),N537)</x:f>
        <x:v>0</x:v>
      </x:c>
      <x:c r="R537" t="n">
        <x:f>IF(O537="",IF(AND(L537=1,K537&gt;=3),1,0),O537)</x:f>
        <x:v>0</x:v>
      </x:c>
      <x:c r="S537" t="n">
        <x:f>SUM(P537:R537)</x:f>
        <x:v>0</x:v>
      </x:c>
      <x:c r="T537" t="str">
        <x:f>IF(COUNTA(M537:O537)=0,"DerivedFromCount","ManualOverride")</x:f>
        <x:v>DerivedFromCount</x:v>
      </x:c>
      <x:c r="U537" t="str">
        <x:f>IF(COUNTIF(DailyProduction!$Q$5:$Q$100,B537)=1,"OK","CHECK")</x:f>
        <x:v>OK</x:v>
      </x:c>
      <x:c r="V537" t="str">
        <x:f>IF(AND(I537&gt;=1,I537&lt;=13,K537&gt;=1,K537&lt;=3),"OK","CHECK")</x:f>
        <x:v>OK</x:v>
      </x:c>
      <x:c r="W537" t="str">
        <x:f>IF(SUMIF($B$5:$B$914,B537,$S$5:$S$914)=SUMIF(DailyProduction!$Q$5:$Q$100,B537,DailyProduction!$R$5:$R$100),"OK","CHECK")</x:f>
        <x:v>OK</x:v>
      </x:c>
    </x:row>
    <x:row r="538">
      <x:c r="A538" t="str">
        <x:v>PC-PE-KG01-L23-20251026-PM-ORD-2025-00094-S01</x:v>
      </x:c>
      <x:c r="B538" t="str">
        <x:v>PE-KG01-L23-20251026-PM-ORD-2025-00094</x:v>
      </x:c>
      <x:c r="C538" t="str">
        <x:v>KG01</x:v>
      </x:c>
      <x:c r="D538" t="n">
        <x:v>45956</x:v>
      </x:c>
      <x:c r="E538" t="str">
        <x:v>PM</x:v>
      </x:c>
      <x:c r="F538" t="str">
        <x:v>A</x:v>
      </x:c>
      <x:c r="G538" t="n">
        <x:v>23</x:v>
      </x:c>
      <x:c r="H538" t="str">
        <x:v>ORD-2025-00094</x:v>
      </x:c>
      <x:c r="I538" t="n">
        <x:v>1</x:v>
      </x:c>
      <x:c r="J538" t="n">
        <x:v>12</x:v>
      </x:c>
      <x:c r="K538" t="n">
        <x:v>2</x:v>
      </x:c>
      <x:c r="L538" t="n">
        <x:f>IF(I538&lt;=J538,1,0)</x:f>
        <x:v>1</x:v>
      </x:c>
      <x:c r="P538" t="n">
        <x:f>IF(M538="",IF(AND(L538=1,K538&gt;=1),1,0),M538)</x:f>
        <x:v>1</x:v>
      </x:c>
      <x:c r="Q538" t="n">
        <x:f>IF(N538="",IF(AND(L538=1,K538&gt;=2),1,0),N538)</x:f>
        <x:v>1</x:v>
      </x:c>
      <x:c r="R538" t="n">
        <x:f>IF(O538="",IF(AND(L538=1,K538&gt;=3),1,0),O538)</x:f>
        <x:v>0</x:v>
      </x:c>
      <x:c r="S538" t="n">
        <x:f>SUM(P538:R538)</x:f>
        <x:v>2</x:v>
      </x:c>
      <x:c r="T538" t="str">
        <x:f>IF(COUNTA(M538:O538)=0,"DerivedFromCount","ManualOverride")</x:f>
        <x:v>DerivedFromCount</x:v>
      </x:c>
      <x:c r="U538" t="str">
        <x:f>IF(COUNTIF(DailyProduction!$Q$5:$Q$100,B538)=1,"OK","CHECK")</x:f>
        <x:v>OK</x:v>
      </x:c>
      <x:c r="V538" t="str">
        <x:f>IF(AND(I538&gt;=1,I538&lt;=13,K538&gt;=1,K538&lt;=3),"OK","CHECK")</x:f>
        <x:v>OK</x:v>
      </x:c>
      <x:c r="W538" t="str">
        <x:f>IF(SUMIF($B$5:$B$914,B538,$S$5:$S$914)=SUMIF(DailyProduction!$Q$5:$Q$100,B538,DailyProduction!$R$5:$R$100),"OK","CHECK")</x:f>
        <x:v>OK</x:v>
      </x:c>
    </x:row>
    <x:row r="539">
      <x:c r="A539" t="str">
        <x:v>PC-PE-KG01-L23-20251026-PM-ORD-2025-00094-S02</x:v>
      </x:c>
      <x:c r="B539" t="str">
        <x:v>PE-KG01-L23-20251026-PM-ORD-2025-00094</x:v>
      </x:c>
      <x:c r="C539" t="str">
        <x:v>KG01</x:v>
      </x:c>
      <x:c r="D539" t="n">
        <x:v>45956</x:v>
      </x:c>
      <x:c r="E539" t="str">
        <x:v>PM</x:v>
      </x:c>
      <x:c r="F539" t="str">
        <x:v>A</x:v>
      </x:c>
      <x:c r="G539" t="n">
        <x:v>23</x:v>
      </x:c>
      <x:c r="H539" t="str">
        <x:v>ORD-2025-00094</x:v>
      </x:c>
      <x:c r="I539" t="n">
        <x:v>2</x:v>
      </x:c>
      <x:c r="J539" t="n">
        <x:v>12</x:v>
      </x:c>
      <x:c r="K539" t="n">
        <x:v>2</x:v>
      </x:c>
      <x:c r="L539" t="n">
        <x:f>IF(I539&lt;=J539,1,0)</x:f>
        <x:v>1</x:v>
      </x:c>
      <x:c r="P539" t="n">
        <x:f>IF(M539="",IF(AND(L539=1,K539&gt;=1),1,0),M539)</x:f>
        <x:v>1</x:v>
      </x:c>
      <x:c r="Q539" t="n">
        <x:f>IF(N539="",IF(AND(L539=1,K539&gt;=2),1,0),N539)</x:f>
        <x:v>1</x:v>
      </x:c>
      <x:c r="R539" t="n">
        <x:f>IF(O539="",IF(AND(L539=1,K539&gt;=3),1,0),O539)</x:f>
        <x:v>0</x:v>
      </x:c>
      <x:c r="S539" t="n">
        <x:f>SUM(P539:R539)</x:f>
        <x:v>2</x:v>
      </x:c>
      <x:c r="T539" t="str">
        <x:f>IF(COUNTA(M539:O539)=0,"DerivedFromCount","ManualOverride")</x:f>
        <x:v>DerivedFromCount</x:v>
      </x:c>
      <x:c r="U539" t="str">
        <x:f>IF(COUNTIF(DailyProduction!$Q$5:$Q$100,B539)=1,"OK","CHECK")</x:f>
        <x:v>OK</x:v>
      </x:c>
      <x:c r="V539" t="str">
        <x:f>IF(AND(I539&gt;=1,I539&lt;=13,K539&gt;=1,K539&lt;=3),"OK","CHECK")</x:f>
        <x:v>OK</x:v>
      </x:c>
      <x:c r="W539" t="str">
        <x:f>IF(SUMIF($B$5:$B$914,B539,$S$5:$S$914)=SUMIF(DailyProduction!$Q$5:$Q$100,B539,DailyProduction!$R$5:$R$100),"OK","CHECK")</x:f>
        <x:v>OK</x:v>
      </x:c>
    </x:row>
    <x:row r="540">
      <x:c r="A540" t="str">
        <x:v>PC-PE-KG01-L23-20251026-PM-ORD-2025-00094-S03</x:v>
      </x:c>
      <x:c r="B540" t="str">
        <x:v>PE-KG01-L23-20251026-PM-ORD-2025-00094</x:v>
      </x:c>
      <x:c r="C540" t="str">
        <x:v>KG01</x:v>
      </x:c>
      <x:c r="D540" t="n">
        <x:v>45956</x:v>
      </x:c>
      <x:c r="E540" t="str">
        <x:v>PM</x:v>
      </x:c>
      <x:c r="F540" t="str">
        <x:v>A</x:v>
      </x:c>
      <x:c r="G540" t="n">
        <x:v>23</x:v>
      </x:c>
      <x:c r="H540" t="str">
        <x:v>ORD-2025-00094</x:v>
      </x:c>
      <x:c r="I540" t="n">
        <x:v>3</x:v>
      </x:c>
      <x:c r="J540" t="n">
        <x:v>12</x:v>
      </x:c>
      <x:c r="K540" t="n">
        <x:v>2</x:v>
      </x:c>
      <x:c r="L540" t="n">
        <x:f>IF(I540&lt;=J540,1,0)</x:f>
        <x:v>1</x:v>
      </x:c>
      <x:c r="P540" t="n">
        <x:f>IF(M540="",IF(AND(L540=1,K540&gt;=1),1,0),M540)</x:f>
        <x:v>1</x:v>
      </x:c>
      <x:c r="Q540" t="n">
        <x:f>IF(N540="",IF(AND(L540=1,K540&gt;=2),1,0),N540)</x:f>
        <x:v>1</x:v>
      </x:c>
      <x:c r="R540" t="n">
        <x:f>IF(O540="",IF(AND(L540=1,K540&gt;=3),1,0),O540)</x:f>
        <x:v>0</x:v>
      </x:c>
      <x:c r="S540" t="n">
        <x:f>SUM(P540:R540)</x:f>
        <x:v>2</x:v>
      </x:c>
      <x:c r="T540" t="str">
        <x:f>IF(COUNTA(M540:O540)=0,"DerivedFromCount","ManualOverride")</x:f>
        <x:v>DerivedFromCount</x:v>
      </x:c>
      <x:c r="U540" t="str">
        <x:f>IF(COUNTIF(DailyProduction!$Q$5:$Q$100,B540)=1,"OK","CHECK")</x:f>
        <x:v>OK</x:v>
      </x:c>
      <x:c r="V540" t="str">
        <x:f>IF(AND(I540&gt;=1,I540&lt;=13,K540&gt;=1,K540&lt;=3),"OK","CHECK")</x:f>
        <x:v>OK</x:v>
      </x:c>
      <x:c r="W540" t="str">
        <x:f>IF(SUMIF($B$5:$B$914,B540,$S$5:$S$914)=SUMIF(DailyProduction!$Q$5:$Q$100,B540,DailyProduction!$R$5:$R$100),"OK","CHECK")</x:f>
        <x:v>OK</x:v>
      </x:c>
    </x:row>
    <x:row r="541">
      <x:c r="A541" t="str">
        <x:v>PC-PE-KG01-L23-20251026-PM-ORD-2025-00094-S04</x:v>
      </x:c>
      <x:c r="B541" t="str">
        <x:v>PE-KG01-L23-20251026-PM-ORD-2025-00094</x:v>
      </x:c>
      <x:c r="C541" t="str">
        <x:v>KG01</x:v>
      </x:c>
      <x:c r="D541" t="n">
        <x:v>45956</x:v>
      </x:c>
      <x:c r="E541" t="str">
        <x:v>PM</x:v>
      </x:c>
      <x:c r="F541" t="str">
        <x:v>A</x:v>
      </x:c>
      <x:c r="G541" t="n">
        <x:v>23</x:v>
      </x:c>
      <x:c r="H541" t="str">
        <x:v>ORD-2025-00094</x:v>
      </x:c>
      <x:c r="I541" t="n">
        <x:v>4</x:v>
      </x:c>
      <x:c r="J541" t="n">
        <x:v>12</x:v>
      </x:c>
      <x:c r="K541" t="n">
        <x:v>2</x:v>
      </x:c>
      <x:c r="L541" t="n">
        <x:f>IF(I541&lt;=J541,1,0)</x:f>
        <x:v>1</x:v>
      </x:c>
      <x:c r="P541" t="n">
        <x:f>IF(M541="",IF(AND(L541=1,K541&gt;=1),1,0),M541)</x:f>
        <x:v>1</x:v>
      </x:c>
      <x:c r="Q541" t="n">
        <x:f>IF(N541="",IF(AND(L541=1,K541&gt;=2),1,0),N541)</x:f>
        <x:v>1</x:v>
      </x:c>
      <x:c r="R541" t="n">
        <x:f>IF(O541="",IF(AND(L541=1,K541&gt;=3),1,0),O541)</x:f>
        <x:v>0</x:v>
      </x:c>
      <x:c r="S541" t="n">
        <x:f>SUM(P541:R541)</x:f>
        <x:v>2</x:v>
      </x:c>
      <x:c r="T541" t="str">
        <x:f>IF(COUNTA(M541:O541)=0,"DerivedFromCount","ManualOverride")</x:f>
        <x:v>DerivedFromCount</x:v>
      </x:c>
      <x:c r="U541" t="str">
        <x:f>IF(COUNTIF(DailyProduction!$Q$5:$Q$100,B541)=1,"OK","CHECK")</x:f>
        <x:v>OK</x:v>
      </x:c>
      <x:c r="V541" t="str">
        <x:f>IF(AND(I541&gt;=1,I541&lt;=13,K541&gt;=1,K541&lt;=3),"OK","CHECK")</x:f>
        <x:v>OK</x:v>
      </x:c>
      <x:c r="W541" t="str">
        <x:f>IF(SUMIF($B$5:$B$914,B541,$S$5:$S$914)=SUMIF(DailyProduction!$Q$5:$Q$100,B541,DailyProduction!$R$5:$R$100),"OK","CHECK")</x:f>
        <x:v>OK</x:v>
      </x:c>
    </x:row>
    <x:row r="542">
      <x:c r="A542" t="str">
        <x:v>PC-PE-KG01-L23-20251026-PM-ORD-2025-00094-S05</x:v>
      </x:c>
      <x:c r="B542" t="str">
        <x:v>PE-KG01-L23-20251026-PM-ORD-2025-00094</x:v>
      </x:c>
      <x:c r="C542" t="str">
        <x:v>KG01</x:v>
      </x:c>
      <x:c r="D542" t="n">
        <x:v>45956</x:v>
      </x:c>
      <x:c r="E542" t="str">
        <x:v>PM</x:v>
      </x:c>
      <x:c r="F542" t="str">
        <x:v>A</x:v>
      </x:c>
      <x:c r="G542" t="n">
        <x:v>23</x:v>
      </x:c>
      <x:c r="H542" t="str">
        <x:v>ORD-2025-00094</x:v>
      </x:c>
      <x:c r="I542" t="n">
        <x:v>5</x:v>
      </x:c>
      <x:c r="J542" t="n">
        <x:v>12</x:v>
      </x:c>
      <x:c r="K542" t="n">
        <x:v>2</x:v>
      </x:c>
      <x:c r="L542" t="n">
        <x:f>IF(I542&lt;=J542,1,0)</x:f>
        <x:v>1</x:v>
      </x:c>
      <x:c r="P542" t="n">
        <x:f>IF(M542="",IF(AND(L542=1,K542&gt;=1),1,0),M542)</x:f>
        <x:v>1</x:v>
      </x:c>
      <x:c r="Q542" t="n">
        <x:f>IF(N542="",IF(AND(L542=1,K542&gt;=2),1,0),N542)</x:f>
        <x:v>1</x:v>
      </x:c>
      <x:c r="R542" t="n">
        <x:f>IF(O542="",IF(AND(L542=1,K542&gt;=3),1,0),O542)</x:f>
        <x:v>0</x:v>
      </x:c>
      <x:c r="S542" t="n">
        <x:f>SUM(P542:R542)</x:f>
        <x:v>2</x:v>
      </x:c>
      <x:c r="T542" t="str">
        <x:f>IF(COUNTA(M542:O542)=0,"DerivedFromCount","ManualOverride")</x:f>
        <x:v>DerivedFromCount</x:v>
      </x:c>
      <x:c r="U542" t="str">
        <x:f>IF(COUNTIF(DailyProduction!$Q$5:$Q$100,B542)=1,"OK","CHECK")</x:f>
        <x:v>OK</x:v>
      </x:c>
      <x:c r="V542" t="str">
        <x:f>IF(AND(I542&gt;=1,I542&lt;=13,K542&gt;=1,K542&lt;=3),"OK","CHECK")</x:f>
        <x:v>OK</x:v>
      </x:c>
      <x:c r="W542" t="str">
        <x:f>IF(SUMIF($B$5:$B$914,B542,$S$5:$S$914)=SUMIF(DailyProduction!$Q$5:$Q$100,B542,DailyProduction!$R$5:$R$100),"OK","CHECK")</x:f>
        <x:v>OK</x:v>
      </x:c>
    </x:row>
    <x:row r="543">
      <x:c r="A543" t="str">
        <x:v>PC-PE-KG01-L23-20251026-PM-ORD-2025-00094-S06</x:v>
      </x:c>
      <x:c r="B543" t="str">
        <x:v>PE-KG01-L23-20251026-PM-ORD-2025-00094</x:v>
      </x:c>
      <x:c r="C543" t="str">
        <x:v>KG01</x:v>
      </x:c>
      <x:c r="D543" t="n">
        <x:v>45956</x:v>
      </x:c>
      <x:c r="E543" t="str">
        <x:v>PM</x:v>
      </x:c>
      <x:c r="F543" t="str">
        <x:v>A</x:v>
      </x:c>
      <x:c r="G543" t="n">
        <x:v>23</x:v>
      </x:c>
      <x:c r="H543" t="str">
        <x:v>ORD-2025-00094</x:v>
      </x:c>
      <x:c r="I543" t="n">
        <x:v>6</x:v>
      </x:c>
      <x:c r="J543" t="n">
        <x:v>12</x:v>
      </x:c>
      <x:c r="K543" t="n">
        <x:v>2</x:v>
      </x:c>
      <x:c r="L543" t="n">
        <x:f>IF(I543&lt;=J543,1,0)</x:f>
        <x:v>1</x:v>
      </x:c>
      <x:c r="P543" t="n">
        <x:f>IF(M543="",IF(AND(L543=1,K543&gt;=1),1,0),M543)</x:f>
        <x:v>1</x:v>
      </x:c>
      <x:c r="Q543" t="n">
        <x:f>IF(N543="",IF(AND(L543=1,K543&gt;=2),1,0),N543)</x:f>
        <x:v>1</x:v>
      </x:c>
      <x:c r="R543" t="n">
        <x:f>IF(O543="",IF(AND(L543=1,K543&gt;=3),1,0),O543)</x:f>
        <x:v>0</x:v>
      </x:c>
      <x:c r="S543" t="n">
        <x:f>SUM(P543:R543)</x:f>
        <x:v>2</x:v>
      </x:c>
      <x:c r="T543" t="str">
        <x:f>IF(COUNTA(M543:O543)=0,"DerivedFromCount","ManualOverride")</x:f>
        <x:v>DerivedFromCount</x:v>
      </x:c>
      <x:c r="U543" t="str">
        <x:f>IF(COUNTIF(DailyProduction!$Q$5:$Q$100,B543)=1,"OK","CHECK")</x:f>
        <x:v>OK</x:v>
      </x:c>
      <x:c r="V543" t="str">
        <x:f>IF(AND(I543&gt;=1,I543&lt;=13,K543&gt;=1,K543&lt;=3),"OK","CHECK")</x:f>
        <x:v>OK</x:v>
      </x:c>
      <x:c r="W543" t="str">
        <x:f>IF(SUMIF($B$5:$B$914,B543,$S$5:$S$914)=SUMIF(DailyProduction!$Q$5:$Q$100,B543,DailyProduction!$R$5:$R$100),"OK","CHECK")</x:f>
        <x:v>OK</x:v>
      </x:c>
    </x:row>
    <x:row r="544">
      <x:c r="A544" t="str">
        <x:v>PC-PE-KG01-L23-20251026-PM-ORD-2025-00094-S07</x:v>
      </x:c>
      <x:c r="B544" t="str">
        <x:v>PE-KG01-L23-20251026-PM-ORD-2025-00094</x:v>
      </x:c>
      <x:c r="C544" t="str">
        <x:v>KG01</x:v>
      </x:c>
      <x:c r="D544" t="n">
        <x:v>45956</x:v>
      </x:c>
      <x:c r="E544" t="str">
        <x:v>PM</x:v>
      </x:c>
      <x:c r="F544" t="str">
        <x:v>A</x:v>
      </x:c>
      <x:c r="G544" t="n">
        <x:v>23</x:v>
      </x:c>
      <x:c r="H544" t="str">
        <x:v>ORD-2025-00094</x:v>
      </x:c>
      <x:c r="I544" t="n">
        <x:v>7</x:v>
      </x:c>
      <x:c r="J544" t="n">
        <x:v>12</x:v>
      </x:c>
      <x:c r="K544" t="n">
        <x:v>2</x:v>
      </x:c>
      <x:c r="L544" t="n">
        <x:f>IF(I544&lt;=J544,1,0)</x:f>
        <x:v>1</x:v>
      </x:c>
      <x:c r="P544" t="n">
        <x:f>IF(M544="",IF(AND(L544=1,K544&gt;=1),1,0),M544)</x:f>
        <x:v>1</x:v>
      </x:c>
      <x:c r="Q544" t="n">
        <x:f>IF(N544="",IF(AND(L544=1,K544&gt;=2),1,0),N544)</x:f>
        <x:v>1</x:v>
      </x:c>
      <x:c r="R544" t="n">
        <x:f>IF(O544="",IF(AND(L544=1,K544&gt;=3),1,0),O544)</x:f>
        <x:v>0</x:v>
      </x:c>
      <x:c r="S544" t="n">
        <x:f>SUM(P544:R544)</x:f>
        <x:v>2</x:v>
      </x:c>
      <x:c r="T544" t="str">
        <x:f>IF(COUNTA(M544:O544)=0,"DerivedFromCount","ManualOverride")</x:f>
        <x:v>DerivedFromCount</x:v>
      </x:c>
      <x:c r="U544" t="str">
        <x:f>IF(COUNTIF(DailyProduction!$Q$5:$Q$100,B544)=1,"OK","CHECK")</x:f>
        <x:v>OK</x:v>
      </x:c>
      <x:c r="V544" t="str">
        <x:f>IF(AND(I544&gt;=1,I544&lt;=13,K544&gt;=1,K544&lt;=3),"OK","CHECK")</x:f>
        <x:v>OK</x:v>
      </x:c>
      <x:c r="W544" t="str">
        <x:f>IF(SUMIF($B$5:$B$914,B544,$S$5:$S$914)=SUMIF(DailyProduction!$Q$5:$Q$100,B544,DailyProduction!$R$5:$R$100),"OK","CHECK")</x:f>
        <x:v>OK</x:v>
      </x:c>
    </x:row>
    <x:row r="545">
      <x:c r="A545" t="str">
        <x:v>PC-PE-KG01-L23-20251026-PM-ORD-2025-00094-S08</x:v>
      </x:c>
      <x:c r="B545" t="str">
        <x:v>PE-KG01-L23-20251026-PM-ORD-2025-00094</x:v>
      </x:c>
      <x:c r="C545" t="str">
        <x:v>KG01</x:v>
      </x:c>
      <x:c r="D545" t="n">
        <x:v>45956</x:v>
      </x:c>
      <x:c r="E545" t="str">
        <x:v>PM</x:v>
      </x:c>
      <x:c r="F545" t="str">
        <x:v>A</x:v>
      </x:c>
      <x:c r="G545" t="n">
        <x:v>23</x:v>
      </x:c>
      <x:c r="H545" t="str">
        <x:v>ORD-2025-00094</x:v>
      </x:c>
      <x:c r="I545" t="n">
        <x:v>8</x:v>
      </x:c>
      <x:c r="J545" t="n">
        <x:v>12</x:v>
      </x:c>
      <x:c r="K545" t="n">
        <x:v>2</x:v>
      </x:c>
      <x:c r="L545" t="n">
        <x:f>IF(I545&lt;=J545,1,0)</x:f>
        <x:v>1</x:v>
      </x:c>
      <x:c r="P545" t="n">
        <x:f>IF(M545="",IF(AND(L545=1,K545&gt;=1),1,0),M545)</x:f>
        <x:v>1</x:v>
      </x:c>
      <x:c r="Q545" t="n">
        <x:f>IF(N545="",IF(AND(L545=1,K545&gt;=2),1,0),N545)</x:f>
        <x:v>1</x:v>
      </x:c>
      <x:c r="R545" t="n">
        <x:f>IF(O545="",IF(AND(L545=1,K545&gt;=3),1,0),O545)</x:f>
        <x:v>0</x:v>
      </x:c>
      <x:c r="S545" t="n">
        <x:f>SUM(P545:R545)</x:f>
        <x:v>2</x:v>
      </x:c>
      <x:c r="T545" t="str">
        <x:f>IF(COUNTA(M545:O545)=0,"DerivedFromCount","ManualOverride")</x:f>
        <x:v>DerivedFromCount</x:v>
      </x:c>
      <x:c r="U545" t="str">
        <x:f>IF(COUNTIF(DailyProduction!$Q$5:$Q$100,B545)=1,"OK","CHECK")</x:f>
        <x:v>OK</x:v>
      </x:c>
      <x:c r="V545" t="str">
        <x:f>IF(AND(I545&gt;=1,I545&lt;=13,K545&gt;=1,K545&lt;=3),"OK","CHECK")</x:f>
        <x:v>OK</x:v>
      </x:c>
      <x:c r="W545" t="str">
        <x:f>IF(SUMIF($B$5:$B$914,B545,$S$5:$S$914)=SUMIF(DailyProduction!$Q$5:$Q$100,B545,DailyProduction!$R$5:$R$100),"OK","CHECK")</x:f>
        <x:v>OK</x:v>
      </x:c>
    </x:row>
    <x:row r="546">
      <x:c r="A546" t="str">
        <x:v>PC-PE-KG01-L23-20251026-PM-ORD-2025-00094-S09</x:v>
      </x:c>
      <x:c r="B546" t="str">
        <x:v>PE-KG01-L23-20251026-PM-ORD-2025-00094</x:v>
      </x:c>
      <x:c r="C546" t="str">
        <x:v>KG01</x:v>
      </x:c>
      <x:c r="D546" t="n">
        <x:v>45956</x:v>
      </x:c>
      <x:c r="E546" t="str">
        <x:v>PM</x:v>
      </x:c>
      <x:c r="F546" t="str">
        <x:v>A</x:v>
      </x:c>
      <x:c r="G546" t="n">
        <x:v>23</x:v>
      </x:c>
      <x:c r="H546" t="str">
        <x:v>ORD-2025-00094</x:v>
      </x:c>
      <x:c r="I546" t="n">
        <x:v>9</x:v>
      </x:c>
      <x:c r="J546" t="n">
        <x:v>12</x:v>
      </x:c>
      <x:c r="K546" t="n">
        <x:v>2</x:v>
      </x:c>
      <x:c r="L546" t="n">
        <x:f>IF(I546&lt;=J546,1,0)</x:f>
        <x:v>1</x:v>
      </x:c>
      <x:c r="P546" t="n">
        <x:f>IF(M546="",IF(AND(L546=1,K546&gt;=1),1,0),M546)</x:f>
        <x:v>1</x:v>
      </x:c>
      <x:c r="Q546" t="n">
        <x:f>IF(N546="",IF(AND(L546=1,K546&gt;=2),1,0),N546)</x:f>
        <x:v>1</x:v>
      </x:c>
      <x:c r="R546" t="n">
        <x:f>IF(O546="",IF(AND(L546=1,K546&gt;=3),1,0),O546)</x:f>
        <x:v>0</x:v>
      </x:c>
      <x:c r="S546" t="n">
        <x:f>SUM(P546:R546)</x:f>
        <x:v>2</x:v>
      </x:c>
      <x:c r="T546" t="str">
        <x:f>IF(COUNTA(M546:O546)=0,"DerivedFromCount","ManualOverride")</x:f>
        <x:v>DerivedFromCount</x:v>
      </x:c>
      <x:c r="U546" t="str">
        <x:f>IF(COUNTIF(DailyProduction!$Q$5:$Q$100,B546)=1,"OK","CHECK")</x:f>
        <x:v>OK</x:v>
      </x:c>
      <x:c r="V546" t="str">
        <x:f>IF(AND(I546&gt;=1,I546&lt;=13,K546&gt;=1,K546&lt;=3),"OK","CHECK")</x:f>
        <x:v>OK</x:v>
      </x:c>
      <x:c r="W546" t="str">
        <x:f>IF(SUMIF($B$5:$B$914,B546,$S$5:$S$914)=SUMIF(DailyProduction!$Q$5:$Q$100,B546,DailyProduction!$R$5:$R$100),"OK","CHECK")</x:f>
        <x:v>OK</x:v>
      </x:c>
    </x:row>
    <x:row r="547">
      <x:c r="A547" t="str">
        <x:v>PC-PE-KG01-L23-20251026-PM-ORD-2025-00094-S10</x:v>
      </x:c>
      <x:c r="B547" t="str">
        <x:v>PE-KG01-L23-20251026-PM-ORD-2025-00094</x:v>
      </x:c>
      <x:c r="C547" t="str">
        <x:v>KG01</x:v>
      </x:c>
      <x:c r="D547" t="n">
        <x:v>45956</x:v>
      </x:c>
      <x:c r="E547" t="str">
        <x:v>PM</x:v>
      </x:c>
      <x:c r="F547" t="str">
        <x:v>A</x:v>
      </x:c>
      <x:c r="G547" t="n">
        <x:v>23</x:v>
      </x:c>
      <x:c r="H547" t="str">
        <x:v>ORD-2025-00094</x:v>
      </x:c>
      <x:c r="I547" t="n">
        <x:v>10</x:v>
      </x:c>
      <x:c r="J547" t="n">
        <x:v>12</x:v>
      </x:c>
      <x:c r="K547" t="n">
        <x:v>2</x:v>
      </x:c>
      <x:c r="L547" t="n">
        <x:f>IF(I547&lt;=J547,1,0)</x:f>
        <x:v>1</x:v>
      </x:c>
      <x:c r="P547" t="n">
        <x:f>IF(M547="",IF(AND(L547=1,K547&gt;=1),1,0),M547)</x:f>
        <x:v>1</x:v>
      </x:c>
      <x:c r="Q547" t="n">
        <x:f>IF(N547="",IF(AND(L547=1,K547&gt;=2),1,0),N547)</x:f>
        <x:v>1</x:v>
      </x:c>
      <x:c r="R547" t="n">
        <x:f>IF(O547="",IF(AND(L547=1,K547&gt;=3),1,0),O547)</x:f>
        <x:v>0</x:v>
      </x:c>
      <x:c r="S547" t="n">
        <x:f>SUM(P547:R547)</x:f>
        <x:v>2</x:v>
      </x:c>
      <x:c r="T547" t="str">
        <x:f>IF(COUNTA(M547:O547)=0,"DerivedFromCount","ManualOverride")</x:f>
        <x:v>DerivedFromCount</x:v>
      </x:c>
      <x:c r="U547" t="str">
        <x:f>IF(COUNTIF(DailyProduction!$Q$5:$Q$100,B547)=1,"OK","CHECK")</x:f>
        <x:v>OK</x:v>
      </x:c>
      <x:c r="V547" t="str">
        <x:f>IF(AND(I547&gt;=1,I547&lt;=13,K547&gt;=1,K547&lt;=3),"OK","CHECK")</x:f>
        <x:v>OK</x:v>
      </x:c>
      <x:c r="W547" t="str">
        <x:f>IF(SUMIF($B$5:$B$914,B547,$S$5:$S$914)=SUMIF(DailyProduction!$Q$5:$Q$100,B547,DailyProduction!$R$5:$R$100),"OK","CHECK")</x:f>
        <x:v>OK</x:v>
      </x:c>
    </x:row>
    <x:row r="548">
      <x:c r="A548" t="str">
        <x:v>PC-PE-KG01-L23-20251026-PM-ORD-2025-00094-S11</x:v>
      </x:c>
      <x:c r="B548" t="str">
        <x:v>PE-KG01-L23-20251026-PM-ORD-2025-00094</x:v>
      </x:c>
      <x:c r="C548" t="str">
        <x:v>KG01</x:v>
      </x:c>
      <x:c r="D548" t="n">
        <x:v>45956</x:v>
      </x:c>
      <x:c r="E548" t="str">
        <x:v>PM</x:v>
      </x:c>
      <x:c r="F548" t="str">
        <x:v>A</x:v>
      </x:c>
      <x:c r="G548" t="n">
        <x:v>23</x:v>
      </x:c>
      <x:c r="H548" t="str">
        <x:v>ORD-2025-00094</x:v>
      </x:c>
      <x:c r="I548" t="n">
        <x:v>11</x:v>
      </x:c>
      <x:c r="J548" t="n">
        <x:v>12</x:v>
      </x:c>
      <x:c r="K548" t="n">
        <x:v>2</x:v>
      </x:c>
      <x:c r="L548" t="n">
        <x:f>IF(I548&lt;=J548,1,0)</x:f>
        <x:v>1</x:v>
      </x:c>
      <x:c r="P548" t="n">
        <x:f>IF(M548="",IF(AND(L548=1,K548&gt;=1),1,0),M548)</x:f>
        <x:v>1</x:v>
      </x:c>
      <x:c r="Q548" t="n">
        <x:f>IF(N548="",IF(AND(L548=1,K548&gt;=2),1,0),N548)</x:f>
        <x:v>1</x:v>
      </x:c>
      <x:c r="R548" t="n">
        <x:f>IF(O548="",IF(AND(L548=1,K548&gt;=3),1,0),O548)</x:f>
        <x:v>0</x:v>
      </x:c>
      <x:c r="S548" t="n">
        <x:f>SUM(P548:R548)</x:f>
        <x:v>2</x:v>
      </x:c>
      <x:c r="T548" t="str">
        <x:f>IF(COUNTA(M548:O548)=0,"DerivedFromCount","ManualOverride")</x:f>
        <x:v>DerivedFromCount</x:v>
      </x:c>
      <x:c r="U548" t="str">
        <x:f>IF(COUNTIF(DailyProduction!$Q$5:$Q$100,B548)=1,"OK","CHECK")</x:f>
        <x:v>OK</x:v>
      </x:c>
      <x:c r="V548" t="str">
        <x:f>IF(AND(I548&gt;=1,I548&lt;=13,K548&gt;=1,K548&lt;=3),"OK","CHECK")</x:f>
        <x:v>OK</x:v>
      </x:c>
      <x:c r="W548" t="str">
        <x:f>IF(SUMIF($B$5:$B$914,B548,$S$5:$S$914)=SUMIF(DailyProduction!$Q$5:$Q$100,B548,DailyProduction!$R$5:$R$100),"OK","CHECK")</x:f>
        <x:v>OK</x:v>
      </x:c>
    </x:row>
    <x:row r="549">
      <x:c r="A549" t="str">
        <x:v>PC-PE-KG01-L23-20251026-PM-ORD-2025-00094-S12</x:v>
      </x:c>
      <x:c r="B549" t="str">
        <x:v>PE-KG01-L23-20251026-PM-ORD-2025-00094</x:v>
      </x:c>
      <x:c r="C549" t="str">
        <x:v>KG01</x:v>
      </x:c>
      <x:c r="D549" t="n">
        <x:v>45956</x:v>
      </x:c>
      <x:c r="E549" t="str">
        <x:v>PM</x:v>
      </x:c>
      <x:c r="F549" t="str">
        <x:v>A</x:v>
      </x:c>
      <x:c r="G549" t="n">
        <x:v>23</x:v>
      </x:c>
      <x:c r="H549" t="str">
        <x:v>ORD-2025-00094</x:v>
      </x:c>
      <x:c r="I549" t="n">
        <x:v>12</x:v>
      </x:c>
      <x:c r="J549" t="n">
        <x:v>12</x:v>
      </x:c>
      <x:c r="K549" t="n">
        <x:v>2</x:v>
      </x:c>
      <x:c r="L549" t="n">
        <x:f>IF(I549&lt;=J549,1,0)</x:f>
        <x:v>1</x:v>
      </x:c>
      <x:c r="P549" t="n">
        <x:f>IF(M549="",IF(AND(L549=1,K549&gt;=1),1,0),M549)</x:f>
        <x:v>1</x:v>
      </x:c>
      <x:c r="Q549" t="n">
        <x:f>IF(N549="",IF(AND(L549=1,K549&gt;=2),1,0),N549)</x:f>
        <x:v>1</x:v>
      </x:c>
      <x:c r="R549" t="n">
        <x:f>IF(O549="",IF(AND(L549=1,K549&gt;=3),1,0),O549)</x:f>
        <x:v>0</x:v>
      </x:c>
      <x:c r="S549" t="n">
        <x:f>SUM(P549:R549)</x:f>
        <x:v>2</x:v>
      </x:c>
      <x:c r="T549" t="str">
        <x:f>IF(COUNTA(M549:O549)=0,"DerivedFromCount","ManualOverride")</x:f>
        <x:v>DerivedFromCount</x:v>
      </x:c>
      <x:c r="U549" t="str">
        <x:f>IF(COUNTIF(DailyProduction!$Q$5:$Q$100,B549)=1,"OK","CHECK")</x:f>
        <x:v>OK</x:v>
      </x:c>
      <x:c r="V549" t="str">
        <x:f>IF(AND(I549&gt;=1,I549&lt;=13,K549&gt;=1,K549&lt;=3),"OK","CHECK")</x:f>
        <x:v>OK</x:v>
      </x:c>
      <x:c r="W549" t="str">
        <x:f>IF(SUMIF($B$5:$B$914,B549,$S$5:$S$914)=SUMIF(DailyProduction!$Q$5:$Q$100,B549,DailyProduction!$R$5:$R$100),"OK","CHECK")</x:f>
        <x:v>OK</x:v>
      </x:c>
    </x:row>
    <x:row r="550">
      <x:c r="A550" t="str">
        <x:v>PC-PE-KG01-L23-20251026-PM-ORD-2025-00094-S13</x:v>
      </x:c>
      <x:c r="B550" t="str">
        <x:v>PE-KG01-L23-20251026-PM-ORD-2025-00094</x:v>
      </x:c>
      <x:c r="C550" t="str">
        <x:v>KG01</x:v>
      </x:c>
      <x:c r="D550" t="n">
        <x:v>45956</x:v>
      </x:c>
      <x:c r="E550" t="str">
        <x:v>PM</x:v>
      </x:c>
      <x:c r="F550" t="str">
        <x:v>A</x:v>
      </x:c>
      <x:c r="G550" t="n">
        <x:v>23</x:v>
      </x:c>
      <x:c r="H550" t="str">
        <x:v>ORD-2025-00094</x:v>
      </x:c>
      <x:c r="I550" t="n">
        <x:v>13</x:v>
      </x:c>
      <x:c r="J550" t="n">
        <x:v>12</x:v>
      </x:c>
      <x:c r="K550" t="n">
        <x:v>2</x:v>
      </x:c>
      <x:c r="L550" t="n">
        <x:f>IF(I550&lt;=J550,1,0)</x:f>
        <x:v>0</x:v>
      </x:c>
      <x:c r="P550" t="n">
        <x:f>IF(M550="",IF(AND(L550=1,K550&gt;=1),1,0),M550)</x:f>
        <x:v>0</x:v>
      </x:c>
      <x:c r="Q550" t="n">
        <x:f>IF(N550="",IF(AND(L550=1,K550&gt;=2),1,0),N550)</x:f>
        <x:v>0</x:v>
      </x:c>
      <x:c r="R550" t="n">
        <x:f>IF(O550="",IF(AND(L550=1,K550&gt;=3),1,0),O550)</x:f>
        <x:v>0</x:v>
      </x:c>
      <x:c r="S550" t="n">
        <x:f>SUM(P550:R550)</x:f>
        <x:v>0</x:v>
      </x:c>
      <x:c r="T550" t="str">
        <x:f>IF(COUNTA(M550:O550)=0,"DerivedFromCount","ManualOverride")</x:f>
        <x:v>DerivedFromCount</x:v>
      </x:c>
      <x:c r="U550" t="str">
        <x:f>IF(COUNTIF(DailyProduction!$Q$5:$Q$100,B550)=1,"OK","CHECK")</x:f>
        <x:v>OK</x:v>
      </x:c>
      <x:c r="V550" t="str">
        <x:f>IF(AND(I550&gt;=1,I550&lt;=13,K550&gt;=1,K550&lt;=3),"OK","CHECK")</x:f>
        <x:v>OK</x:v>
      </x:c>
      <x:c r="W550" t="str">
        <x:f>IF(SUMIF($B$5:$B$914,B550,$S$5:$S$914)=SUMIF(DailyProduction!$Q$5:$Q$100,B550,DailyProduction!$R$5:$R$100),"OK","CHECK")</x:f>
        <x:v>OK</x:v>
      </x:c>
    </x:row>
    <x:row r="551">
      <x:c r="A551" t="str">
        <x:v>PC-PE-KG01-L24-20251020-AM-ORD-2025-00124-S01</x:v>
      </x:c>
      <x:c r="B551" t="str">
        <x:v>PE-KG01-L24-20251020-AM-ORD-2025-00124</x:v>
      </x:c>
      <x:c r="C551" t="str">
        <x:v>KG01</x:v>
      </x:c>
      <x:c r="D551" t="n">
        <x:v>45950</x:v>
      </x:c>
      <x:c r="E551" t="str">
        <x:v>AM</x:v>
      </x:c>
      <x:c r="F551" t="str">
        <x:v>C</x:v>
      </x:c>
      <x:c r="G551" t="n">
        <x:v>24</x:v>
      </x:c>
      <x:c r="H551" t="str">
        <x:v>ORD-2025-00124</x:v>
      </x:c>
      <x:c r="I551" t="n">
        <x:v>1</x:v>
      </x:c>
      <x:c r="J551" t="n">
        <x:v>12</x:v>
      </x:c>
      <x:c r="K551" t="n">
        <x:v>4</x:v>
      </x:c>
      <x:c r="L551" t="n">
        <x:f>IF(I551&lt;=J551,1,0)</x:f>
        <x:v>1</x:v>
      </x:c>
      <x:c r="P551" t="n">
        <x:f>IF(M551="",IF(AND(L551=1,K551&gt;=1),1,0),M551)</x:f>
        <x:v>1</x:v>
      </x:c>
      <x:c r="Q551" t="n">
        <x:f>IF(N551="",IF(AND(L551=1,K551&gt;=2),1,0),N551)</x:f>
        <x:v>1</x:v>
      </x:c>
      <x:c r="R551" t="n">
        <x:f>IF(O551="",IF(AND(L551=1,K551&gt;=3),1,0),O551)</x:f>
        <x:v>1</x:v>
      </x:c>
      <x:c r="S551" t="n">
        <x:f>SUM(P551:R551)</x:f>
        <x:v>3</x:v>
      </x:c>
      <x:c r="T551" t="str">
        <x:f>IF(COUNTA(M551:O551)=0,"DerivedFromCount","ManualOverride")</x:f>
        <x:v>DerivedFromCount</x:v>
      </x:c>
      <x:c r="U551" t="str">
        <x:f>IF(COUNTIF(DailyProduction!$Q$5:$Q$100,B551)=1,"OK","CHECK")</x:f>
        <x:v>OK</x:v>
      </x:c>
      <x:c r="V551" t="str">
        <x:f>IF(AND(I551&gt;=1,I551&lt;=13,K551&gt;=1,K551&lt;=3),"OK","CHECK")</x:f>
        <x:v>CHECK</x:v>
      </x:c>
      <x:c r="W551" t="str">
        <x:f>IF(SUMIF($B$5:$B$914,B551,$S$5:$S$914)=SUMIF(DailyProduction!$Q$5:$Q$100,B551,DailyProduction!$R$5:$R$100),"OK","CHECK")</x:f>
        <x:v>CHECK</x:v>
      </x:c>
    </x:row>
    <x:row r="552">
      <x:c r="A552" t="str">
        <x:v>PC-PE-KG01-L24-20251020-AM-ORD-2025-00124-S02</x:v>
      </x:c>
      <x:c r="B552" t="str">
        <x:v>PE-KG01-L24-20251020-AM-ORD-2025-00124</x:v>
      </x:c>
      <x:c r="C552" t="str">
        <x:v>KG01</x:v>
      </x:c>
      <x:c r="D552" t="n">
        <x:v>45950</x:v>
      </x:c>
      <x:c r="E552" t="str">
        <x:v>AM</x:v>
      </x:c>
      <x:c r="F552" t="str">
        <x:v>C</x:v>
      </x:c>
      <x:c r="G552" t="n">
        <x:v>24</x:v>
      </x:c>
      <x:c r="H552" t="str">
        <x:v>ORD-2025-00124</x:v>
      </x:c>
      <x:c r="I552" t="n">
        <x:v>2</x:v>
      </x:c>
      <x:c r="J552" t="n">
        <x:v>12</x:v>
      </x:c>
      <x:c r="K552" t="n">
        <x:v>4</x:v>
      </x:c>
      <x:c r="L552" t="n">
        <x:f>IF(I552&lt;=J552,1,0)</x:f>
        <x:v>1</x:v>
      </x:c>
      <x:c r="P552" t="n">
        <x:f>IF(M552="",IF(AND(L552=1,K552&gt;=1),1,0),M552)</x:f>
        <x:v>1</x:v>
      </x:c>
      <x:c r="Q552" t="n">
        <x:f>IF(N552="",IF(AND(L552=1,K552&gt;=2),1,0),N552)</x:f>
        <x:v>1</x:v>
      </x:c>
      <x:c r="R552" t="n">
        <x:f>IF(O552="",IF(AND(L552=1,K552&gt;=3),1,0),O552)</x:f>
        <x:v>1</x:v>
      </x:c>
      <x:c r="S552" t="n">
        <x:f>SUM(P552:R552)</x:f>
        <x:v>3</x:v>
      </x:c>
      <x:c r="T552" t="str">
        <x:f>IF(COUNTA(M552:O552)=0,"DerivedFromCount","ManualOverride")</x:f>
        <x:v>DerivedFromCount</x:v>
      </x:c>
      <x:c r="U552" t="str">
        <x:f>IF(COUNTIF(DailyProduction!$Q$5:$Q$100,B552)=1,"OK","CHECK")</x:f>
        <x:v>OK</x:v>
      </x:c>
      <x:c r="V552" t="str">
        <x:f>IF(AND(I552&gt;=1,I552&lt;=13,K552&gt;=1,K552&lt;=3),"OK","CHECK")</x:f>
        <x:v>CHECK</x:v>
      </x:c>
      <x:c r="W552" t="str">
        <x:f>IF(SUMIF($B$5:$B$914,B552,$S$5:$S$914)=SUMIF(DailyProduction!$Q$5:$Q$100,B552,DailyProduction!$R$5:$R$100),"OK","CHECK")</x:f>
        <x:v>CHECK</x:v>
      </x:c>
    </x:row>
    <x:row r="553">
      <x:c r="A553" t="str">
        <x:v>PC-PE-KG01-L24-20251020-AM-ORD-2025-00124-S03</x:v>
      </x:c>
      <x:c r="B553" t="str">
        <x:v>PE-KG01-L24-20251020-AM-ORD-2025-00124</x:v>
      </x:c>
      <x:c r="C553" t="str">
        <x:v>KG01</x:v>
      </x:c>
      <x:c r="D553" t="n">
        <x:v>45950</x:v>
      </x:c>
      <x:c r="E553" t="str">
        <x:v>AM</x:v>
      </x:c>
      <x:c r="F553" t="str">
        <x:v>C</x:v>
      </x:c>
      <x:c r="G553" t="n">
        <x:v>24</x:v>
      </x:c>
      <x:c r="H553" t="str">
        <x:v>ORD-2025-00124</x:v>
      </x:c>
      <x:c r="I553" t="n">
        <x:v>3</x:v>
      </x:c>
      <x:c r="J553" t="n">
        <x:v>12</x:v>
      </x:c>
      <x:c r="K553" t="n">
        <x:v>4</x:v>
      </x:c>
      <x:c r="L553" t="n">
        <x:f>IF(I553&lt;=J553,1,0)</x:f>
        <x:v>1</x:v>
      </x:c>
      <x:c r="P553" t="n">
        <x:f>IF(M553="",IF(AND(L553=1,K553&gt;=1),1,0),M553)</x:f>
        <x:v>1</x:v>
      </x:c>
      <x:c r="Q553" t="n">
        <x:f>IF(N553="",IF(AND(L553=1,K553&gt;=2),1,0),N553)</x:f>
        <x:v>1</x:v>
      </x:c>
      <x:c r="R553" t="n">
        <x:f>IF(O553="",IF(AND(L553=1,K553&gt;=3),1,0),O553)</x:f>
        <x:v>1</x:v>
      </x:c>
      <x:c r="S553" t="n">
        <x:f>SUM(P553:R553)</x:f>
        <x:v>3</x:v>
      </x:c>
      <x:c r="T553" t="str">
        <x:f>IF(COUNTA(M553:O553)=0,"DerivedFromCount","ManualOverride")</x:f>
        <x:v>DerivedFromCount</x:v>
      </x:c>
      <x:c r="U553" t="str">
        <x:f>IF(COUNTIF(DailyProduction!$Q$5:$Q$100,B553)=1,"OK","CHECK")</x:f>
        <x:v>OK</x:v>
      </x:c>
      <x:c r="V553" t="str">
        <x:f>IF(AND(I553&gt;=1,I553&lt;=13,K553&gt;=1,K553&lt;=3),"OK","CHECK")</x:f>
        <x:v>CHECK</x:v>
      </x:c>
      <x:c r="W553" t="str">
        <x:f>IF(SUMIF($B$5:$B$914,B553,$S$5:$S$914)=SUMIF(DailyProduction!$Q$5:$Q$100,B553,DailyProduction!$R$5:$R$100),"OK","CHECK")</x:f>
        <x:v>CHECK</x:v>
      </x:c>
    </x:row>
    <x:row r="554">
      <x:c r="A554" t="str">
        <x:v>PC-PE-KG01-L24-20251020-AM-ORD-2025-00124-S04</x:v>
      </x:c>
      <x:c r="B554" t="str">
        <x:v>PE-KG01-L24-20251020-AM-ORD-2025-00124</x:v>
      </x:c>
      <x:c r="C554" t="str">
        <x:v>KG01</x:v>
      </x:c>
      <x:c r="D554" t="n">
        <x:v>45950</x:v>
      </x:c>
      <x:c r="E554" t="str">
        <x:v>AM</x:v>
      </x:c>
      <x:c r="F554" t="str">
        <x:v>C</x:v>
      </x:c>
      <x:c r="G554" t="n">
        <x:v>24</x:v>
      </x:c>
      <x:c r="H554" t="str">
        <x:v>ORD-2025-00124</x:v>
      </x:c>
      <x:c r="I554" t="n">
        <x:v>4</x:v>
      </x:c>
      <x:c r="J554" t="n">
        <x:v>12</x:v>
      </x:c>
      <x:c r="K554" t="n">
        <x:v>4</x:v>
      </x:c>
      <x:c r="L554" t="n">
        <x:f>IF(I554&lt;=J554,1,0)</x:f>
        <x:v>1</x:v>
      </x:c>
      <x:c r="P554" t="n">
        <x:f>IF(M554="",IF(AND(L554=1,K554&gt;=1),1,0),M554)</x:f>
        <x:v>1</x:v>
      </x:c>
      <x:c r="Q554" t="n">
        <x:f>IF(N554="",IF(AND(L554=1,K554&gt;=2),1,0),N554)</x:f>
        <x:v>1</x:v>
      </x:c>
      <x:c r="R554" t="n">
        <x:f>IF(O554="",IF(AND(L554=1,K554&gt;=3),1,0),O554)</x:f>
        <x:v>1</x:v>
      </x:c>
      <x:c r="S554" t="n">
        <x:f>SUM(P554:R554)</x:f>
        <x:v>3</x:v>
      </x:c>
      <x:c r="T554" t="str">
        <x:f>IF(COUNTA(M554:O554)=0,"DerivedFromCount","ManualOverride")</x:f>
        <x:v>DerivedFromCount</x:v>
      </x:c>
      <x:c r="U554" t="str">
        <x:f>IF(COUNTIF(DailyProduction!$Q$5:$Q$100,B554)=1,"OK","CHECK")</x:f>
        <x:v>OK</x:v>
      </x:c>
      <x:c r="V554" t="str">
        <x:f>IF(AND(I554&gt;=1,I554&lt;=13,K554&gt;=1,K554&lt;=3),"OK","CHECK")</x:f>
        <x:v>CHECK</x:v>
      </x:c>
      <x:c r="W554" t="str">
        <x:f>IF(SUMIF($B$5:$B$914,B554,$S$5:$S$914)=SUMIF(DailyProduction!$Q$5:$Q$100,B554,DailyProduction!$R$5:$R$100),"OK","CHECK")</x:f>
        <x:v>CHECK</x:v>
      </x:c>
    </x:row>
    <x:row r="555">
      <x:c r="A555" t="str">
        <x:v>PC-PE-KG01-L24-20251020-AM-ORD-2025-00124-S05</x:v>
      </x:c>
      <x:c r="B555" t="str">
        <x:v>PE-KG01-L24-20251020-AM-ORD-2025-00124</x:v>
      </x:c>
      <x:c r="C555" t="str">
        <x:v>KG01</x:v>
      </x:c>
      <x:c r="D555" t="n">
        <x:v>45950</x:v>
      </x:c>
      <x:c r="E555" t="str">
        <x:v>AM</x:v>
      </x:c>
      <x:c r="F555" t="str">
        <x:v>C</x:v>
      </x:c>
      <x:c r="G555" t="n">
        <x:v>24</x:v>
      </x:c>
      <x:c r="H555" t="str">
        <x:v>ORD-2025-00124</x:v>
      </x:c>
      <x:c r="I555" t="n">
        <x:v>5</x:v>
      </x:c>
      <x:c r="J555" t="n">
        <x:v>12</x:v>
      </x:c>
      <x:c r="K555" t="n">
        <x:v>4</x:v>
      </x:c>
      <x:c r="L555" t="n">
        <x:f>IF(I555&lt;=J555,1,0)</x:f>
        <x:v>1</x:v>
      </x:c>
      <x:c r="P555" t="n">
        <x:f>IF(M555="",IF(AND(L555=1,K555&gt;=1),1,0),M555)</x:f>
        <x:v>1</x:v>
      </x:c>
      <x:c r="Q555" t="n">
        <x:f>IF(N555="",IF(AND(L555=1,K555&gt;=2),1,0),N555)</x:f>
        <x:v>1</x:v>
      </x:c>
      <x:c r="R555" t="n">
        <x:f>IF(O555="",IF(AND(L555=1,K555&gt;=3),1,0),O555)</x:f>
        <x:v>1</x:v>
      </x:c>
      <x:c r="S555" t="n">
        <x:f>SUM(P555:R555)</x:f>
        <x:v>3</x:v>
      </x:c>
      <x:c r="T555" t="str">
        <x:f>IF(COUNTA(M555:O555)=0,"DerivedFromCount","ManualOverride")</x:f>
        <x:v>DerivedFromCount</x:v>
      </x:c>
      <x:c r="U555" t="str">
        <x:f>IF(COUNTIF(DailyProduction!$Q$5:$Q$100,B555)=1,"OK","CHECK")</x:f>
        <x:v>OK</x:v>
      </x:c>
      <x:c r="V555" t="str">
        <x:f>IF(AND(I555&gt;=1,I555&lt;=13,K555&gt;=1,K555&lt;=3),"OK","CHECK")</x:f>
        <x:v>CHECK</x:v>
      </x:c>
      <x:c r="W555" t="str">
        <x:f>IF(SUMIF($B$5:$B$914,B555,$S$5:$S$914)=SUMIF(DailyProduction!$Q$5:$Q$100,B555,DailyProduction!$R$5:$R$100),"OK","CHECK")</x:f>
        <x:v>CHECK</x:v>
      </x:c>
    </x:row>
    <x:row r="556">
      <x:c r="A556" t="str">
        <x:v>PC-PE-KG01-L24-20251020-AM-ORD-2025-00124-S06</x:v>
      </x:c>
      <x:c r="B556" t="str">
        <x:v>PE-KG01-L24-20251020-AM-ORD-2025-00124</x:v>
      </x:c>
      <x:c r="C556" t="str">
        <x:v>KG01</x:v>
      </x:c>
      <x:c r="D556" t="n">
        <x:v>45950</x:v>
      </x:c>
      <x:c r="E556" t="str">
        <x:v>AM</x:v>
      </x:c>
      <x:c r="F556" t="str">
        <x:v>C</x:v>
      </x:c>
      <x:c r="G556" t="n">
        <x:v>24</x:v>
      </x:c>
      <x:c r="H556" t="str">
        <x:v>ORD-2025-00124</x:v>
      </x:c>
      <x:c r="I556" t="n">
        <x:v>6</x:v>
      </x:c>
      <x:c r="J556" t="n">
        <x:v>12</x:v>
      </x:c>
      <x:c r="K556" t="n">
        <x:v>4</x:v>
      </x:c>
      <x:c r="L556" t="n">
        <x:f>IF(I556&lt;=J556,1,0)</x:f>
        <x:v>1</x:v>
      </x:c>
      <x:c r="P556" t="n">
        <x:f>IF(M556="",IF(AND(L556=1,K556&gt;=1),1,0),M556)</x:f>
        <x:v>1</x:v>
      </x:c>
      <x:c r="Q556" t="n">
        <x:f>IF(N556="",IF(AND(L556=1,K556&gt;=2),1,0),N556)</x:f>
        <x:v>1</x:v>
      </x:c>
      <x:c r="R556" t="n">
        <x:f>IF(O556="",IF(AND(L556=1,K556&gt;=3),1,0),O556)</x:f>
        <x:v>1</x:v>
      </x:c>
      <x:c r="S556" t="n">
        <x:f>SUM(P556:R556)</x:f>
        <x:v>3</x:v>
      </x:c>
      <x:c r="T556" t="str">
        <x:f>IF(COUNTA(M556:O556)=0,"DerivedFromCount","ManualOverride")</x:f>
        <x:v>DerivedFromCount</x:v>
      </x:c>
      <x:c r="U556" t="str">
        <x:f>IF(COUNTIF(DailyProduction!$Q$5:$Q$100,B556)=1,"OK","CHECK")</x:f>
        <x:v>OK</x:v>
      </x:c>
      <x:c r="V556" t="str">
        <x:f>IF(AND(I556&gt;=1,I556&lt;=13,K556&gt;=1,K556&lt;=3),"OK","CHECK")</x:f>
        <x:v>CHECK</x:v>
      </x:c>
      <x:c r="W556" t="str">
        <x:f>IF(SUMIF($B$5:$B$914,B556,$S$5:$S$914)=SUMIF(DailyProduction!$Q$5:$Q$100,B556,DailyProduction!$R$5:$R$100),"OK","CHECK")</x:f>
        <x:v>CHECK</x:v>
      </x:c>
    </x:row>
    <x:row r="557">
      <x:c r="A557" t="str">
        <x:v>PC-PE-KG01-L24-20251020-AM-ORD-2025-00124-S07</x:v>
      </x:c>
      <x:c r="B557" t="str">
        <x:v>PE-KG01-L24-20251020-AM-ORD-2025-00124</x:v>
      </x:c>
      <x:c r="C557" t="str">
        <x:v>KG01</x:v>
      </x:c>
      <x:c r="D557" t="n">
        <x:v>45950</x:v>
      </x:c>
      <x:c r="E557" t="str">
        <x:v>AM</x:v>
      </x:c>
      <x:c r="F557" t="str">
        <x:v>C</x:v>
      </x:c>
      <x:c r="G557" t="n">
        <x:v>24</x:v>
      </x:c>
      <x:c r="H557" t="str">
        <x:v>ORD-2025-00124</x:v>
      </x:c>
      <x:c r="I557" t="n">
        <x:v>7</x:v>
      </x:c>
      <x:c r="J557" t="n">
        <x:v>12</x:v>
      </x:c>
      <x:c r="K557" t="n">
        <x:v>4</x:v>
      </x:c>
      <x:c r="L557" t="n">
        <x:f>IF(I557&lt;=J557,1,0)</x:f>
        <x:v>1</x:v>
      </x:c>
      <x:c r="P557" t="n">
        <x:f>IF(M557="",IF(AND(L557=1,K557&gt;=1),1,0),M557)</x:f>
        <x:v>1</x:v>
      </x:c>
      <x:c r="Q557" t="n">
        <x:f>IF(N557="",IF(AND(L557=1,K557&gt;=2),1,0),N557)</x:f>
        <x:v>1</x:v>
      </x:c>
      <x:c r="R557" t="n">
        <x:f>IF(O557="",IF(AND(L557=1,K557&gt;=3),1,0),O557)</x:f>
        <x:v>1</x:v>
      </x:c>
      <x:c r="S557" t="n">
        <x:f>SUM(P557:R557)</x:f>
        <x:v>3</x:v>
      </x:c>
      <x:c r="T557" t="str">
        <x:f>IF(COUNTA(M557:O557)=0,"DerivedFromCount","ManualOverride")</x:f>
        <x:v>DerivedFromCount</x:v>
      </x:c>
      <x:c r="U557" t="str">
        <x:f>IF(COUNTIF(DailyProduction!$Q$5:$Q$100,B557)=1,"OK","CHECK")</x:f>
        <x:v>OK</x:v>
      </x:c>
      <x:c r="V557" t="str">
        <x:f>IF(AND(I557&gt;=1,I557&lt;=13,K557&gt;=1,K557&lt;=3),"OK","CHECK")</x:f>
        <x:v>CHECK</x:v>
      </x:c>
      <x:c r="W557" t="str">
        <x:f>IF(SUMIF($B$5:$B$914,B557,$S$5:$S$914)=SUMIF(DailyProduction!$Q$5:$Q$100,B557,DailyProduction!$R$5:$R$100),"OK","CHECK")</x:f>
        <x:v>CHECK</x:v>
      </x:c>
    </x:row>
    <x:row r="558">
      <x:c r="A558" t="str">
        <x:v>PC-PE-KG01-L24-20251020-AM-ORD-2025-00124-S08</x:v>
      </x:c>
      <x:c r="B558" t="str">
        <x:v>PE-KG01-L24-20251020-AM-ORD-2025-00124</x:v>
      </x:c>
      <x:c r="C558" t="str">
        <x:v>KG01</x:v>
      </x:c>
      <x:c r="D558" t="n">
        <x:v>45950</x:v>
      </x:c>
      <x:c r="E558" t="str">
        <x:v>AM</x:v>
      </x:c>
      <x:c r="F558" t="str">
        <x:v>C</x:v>
      </x:c>
      <x:c r="G558" t="n">
        <x:v>24</x:v>
      </x:c>
      <x:c r="H558" t="str">
        <x:v>ORD-2025-00124</x:v>
      </x:c>
      <x:c r="I558" t="n">
        <x:v>8</x:v>
      </x:c>
      <x:c r="J558" t="n">
        <x:v>12</x:v>
      </x:c>
      <x:c r="K558" t="n">
        <x:v>4</x:v>
      </x:c>
      <x:c r="L558" t="n">
        <x:f>IF(I558&lt;=J558,1,0)</x:f>
        <x:v>1</x:v>
      </x:c>
      <x:c r="P558" t="n">
        <x:f>IF(M558="",IF(AND(L558=1,K558&gt;=1),1,0),M558)</x:f>
        <x:v>1</x:v>
      </x:c>
      <x:c r="Q558" t="n">
        <x:f>IF(N558="",IF(AND(L558=1,K558&gt;=2),1,0),N558)</x:f>
        <x:v>1</x:v>
      </x:c>
      <x:c r="R558" t="n">
        <x:f>IF(O558="",IF(AND(L558=1,K558&gt;=3),1,0),O558)</x:f>
        <x:v>1</x:v>
      </x:c>
      <x:c r="S558" t="n">
        <x:f>SUM(P558:R558)</x:f>
        <x:v>3</x:v>
      </x:c>
      <x:c r="T558" t="str">
        <x:f>IF(COUNTA(M558:O558)=0,"DerivedFromCount","ManualOverride")</x:f>
        <x:v>DerivedFromCount</x:v>
      </x:c>
      <x:c r="U558" t="str">
        <x:f>IF(COUNTIF(DailyProduction!$Q$5:$Q$100,B558)=1,"OK","CHECK")</x:f>
        <x:v>OK</x:v>
      </x:c>
      <x:c r="V558" t="str">
        <x:f>IF(AND(I558&gt;=1,I558&lt;=13,K558&gt;=1,K558&lt;=3),"OK","CHECK")</x:f>
        <x:v>CHECK</x:v>
      </x:c>
      <x:c r="W558" t="str">
        <x:f>IF(SUMIF($B$5:$B$914,B558,$S$5:$S$914)=SUMIF(DailyProduction!$Q$5:$Q$100,B558,DailyProduction!$R$5:$R$100),"OK","CHECK")</x:f>
        <x:v>CHECK</x:v>
      </x:c>
    </x:row>
    <x:row r="559">
      <x:c r="A559" t="str">
        <x:v>PC-PE-KG01-L24-20251020-AM-ORD-2025-00124-S09</x:v>
      </x:c>
      <x:c r="B559" t="str">
        <x:v>PE-KG01-L24-20251020-AM-ORD-2025-00124</x:v>
      </x:c>
      <x:c r="C559" t="str">
        <x:v>KG01</x:v>
      </x:c>
      <x:c r="D559" t="n">
        <x:v>45950</x:v>
      </x:c>
      <x:c r="E559" t="str">
        <x:v>AM</x:v>
      </x:c>
      <x:c r="F559" t="str">
        <x:v>C</x:v>
      </x:c>
      <x:c r="G559" t="n">
        <x:v>24</x:v>
      </x:c>
      <x:c r="H559" t="str">
        <x:v>ORD-2025-00124</x:v>
      </x:c>
      <x:c r="I559" t="n">
        <x:v>9</x:v>
      </x:c>
      <x:c r="J559" t="n">
        <x:v>12</x:v>
      </x:c>
      <x:c r="K559" t="n">
        <x:v>4</x:v>
      </x:c>
      <x:c r="L559" t="n">
        <x:f>IF(I559&lt;=J559,1,0)</x:f>
        <x:v>1</x:v>
      </x:c>
      <x:c r="P559" t="n">
        <x:f>IF(M559="",IF(AND(L559=1,K559&gt;=1),1,0),M559)</x:f>
        <x:v>1</x:v>
      </x:c>
      <x:c r="Q559" t="n">
        <x:f>IF(N559="",IF(AND(L559=1,K559&gt;=2),1,0),N559)</x:f>
        <x:v>1</x:v>
      </x:c>
      <x:c r="R559" t="n">
        <x:f>IF(O559="",IF(AND(L559=1,K559&gt;=3),1,0),O559)</x:f>
        <x:v>1</x:v>
      </x:c>
      <x:c r="S559" t="n">
        <x:f>SUM(P559:R559)</x:f>
        <x:v>3</x:v>
      </x:c>
      <x:c r="T559" t="str">
        <x:f>IF(COUNTA(M559:O559)=0,"DerivedFromCount","ManualOverride")</x:f>
        <x:v>DerivedFromCount</x:v>
      </x:c>
      <x:c r="U559" t="str">
        <x:f>IF(COUNTIF(DailyProduction!$Q$5:$Q$100,B559)=1,"OK","CHECK")</x:f>
        <x:v>OK</x:v>
      </x:c>
      <x:c r="V559" t="str">
        <x:f>IF(AND(I559&gt;=1,I559&lt;=13,K559&gt;=1,K559&lt;=3),"OK","CHECK")</x:f>
        <x:v>CHECK</x:v>
      </x:c>
      <x:c r="W559" t="str">
        <x:f>IF(SUMIF($B$5:$B$914,B559,$S$5:$S$914)=SUMIF(DailyProduction!$Q$5:$Q$100,B559,DailyProduction!$R$5:$R$100),"OK","CHECK")</x:f>
        <x:v>CHECK</x:v>
      </x:c>
    </x:row>
    <x:row r="560">
      <x:c r="A560" t="str">
        <x:v>PC-PE-KG01-L24-20251020-AM-ORD-2025-00124-S10</x:v>
      </x:c>
      <x:c r="B560" t="str">
        <x:v>PE-KG01-L24-20251020-AM-ORD-2025-00124</x:v>
      </x:c>
      <x:c r="C560" t="str">
        <x:v>KG01</x:v>
      </x:c>
      <x:c r="D560" t="n">
        <x:v>45950</x:v>
      </x:c>
      <x:c r="E560" t="str">
        <x:v>AM</x:v>
      </x:c>
      <x:c r="F560" t="str">
        <x:v>C</x:v>
      </x:c>
      <x:c r="G560" t="n">
        <x:v>24</x:v>
      </x:c>
      <x:c r="H560" t="str">
        <x:v>ORD-2025-00124</x:v>
      </x:c>
      <x:c r="I560" t="n">
        <x:v>10</x:v>
      </x:c>
      <x:c r="J560" t="n">
        <x:v>12</x:v>
      </x:c>
      <x:c r="K560" t="n">
        <x:v>4</x:v>
      </x:c>
      <x:c r="L560" t="n">
        <x:f>IF(I560&lt;=J560,1,0)</x:f>
        <x:v>1</x:v>
      </x:c>
      <x:c r="P560" t="n">
        <x:f>IF(M560="",IF(AND(L560=1,K560&gt;=1),1,0),M560)</x:f>
        <x:v>1</x:v>
      </x:c>
      <x:c r="Q560" t="n">
        <x:f>IF(N560="",IF(AND(L560=1,K560&gt;=2),1,0),N560)</x:f>
        <x:v>1</x:v>
      </x:c>
      <x:c r="R560" t="n">
        <x:f>IF(O560="",IF(AND(L560=1,K560&gt;=3),1,0),O560)</x:f>
        <x:v>1</x:v>
      </x:c>
      <x:c r="S560" t="n">
        <x:f>SUM(P560:R560)</x:f>
        <x:v>3</x:v>
      </x:c>
      <x:c r="T560" t="str">
        <x:f>IF(COUNTA(M560:O560)=0,"DerivedFromCount","ManualOverride")</x:f>
        <x:v>DerivedFromCount</x:v>
      </x:c>
      <x:c r="U560" t="str">
        <x:f>IF(COUNTIF(DailyProduction!$Q$5:$Q$100,B560)=1,"OK","CHECK")</x:f>
        <x:v>OK</x:v>
      </x:c>
      <x:c r="V560" t="str">
        <x:f>IF(AND(I560&gt;=1,I560&lt;=13,K560&gt;=1,K560&lt;=3),"OK","CHECK")</x:f>
        <x:v>CHECK</x:v>
      </x:c>
      <x:c r="W560" t="str">
        <x:f>IF(SUMIF($B$5:$B$914,B560,$S$5:$S$914)=SUMIF(DailyProduction!$Q$5:$Q$100,B560,DailyProduction!$R$5:$R$100),"OK","CHECK")</x:f>
        <x:v>CHECK</x:v>
      </x:c>
    </x:row>
    <x:row r="561">
      <x:c r="A561" t="str">
        <x:v>PC-PE-KG01-L24-20251020-AM-ORD-2025-00124-S11</x:v>
      </x:c>
      <x:c r="B561" t="str">
        <x:v>PE-KG01-L24-20251020-AM-ORD-2025-00124</x:v>
      </x:c>
      <x:c r="C561" t="str">
        <x:v>KG01</x:v>
      </x:c>
      <x:c r="D561" t="n">
        <x:v>45950</x:v>
      </x:c>
      <x:c r="E561" t="str">
        <x:v>AM</x:v>
      </x:c>
      <x:c r="F561" t="str">
        <x:v>C</x:v>
      </x:c>
      <x:c r="G561" t="n">
        <x:v>24</x:v>
      </x:c>
      <x:c r="H561" t="str">
        <x:v>ORD-2025-00124</x:v>
      </x:c>
      <x:c r="I561" t="n">
        <x:v>11</x:v>
      </x:c>
      <x:c r="J561" t="n">
        <x:v>12</x:v>
      </x:c>
      <x:c r="K561" t="n">
        <x:v>4</x:v>
      </x:c>
      <x:c r="L561" t="n">
        <x:f>IF(I561&lt;=J561,1,0)</x:f>
        <x:v>1</x:v>
      </x:c>
      <x:c r="P561" t="n">
        <x:f>IF(M561="",IF(AND(L561=1,K561&gt;=1),1,0),M561)</x:f>
        <x:v>1</x:v>
      </x:c>
      <x:c r="Q561" t="n">
        <x:f>IF(N561="",IF(AND(L561=1,K561&gt;=2),1,0),N561)</x:f>
        <x:v>1</x:v>
      </x:c>
      <x:c r="R561" t="n">
        <x:f>IF(O561="",IF(AND(L561=1,K561&gt;=3),1,0),O561)</x:f>
        <x:v>1</x:v>
      </x:c>
      <x:c r="S561" t="n">
        <x:f>SUM(P561:R561)</x:f>
        <x:v>3</x:v>
      </x:c>
      <x:c r="T561" t="str">
        <x:f>IF(COUNTA(M561:O561)=0,"DerivedFromCount","ManualOverride")</x:f>
        <x:v>DerivedFromCount</x:v>
      </x:c>
      <x:c r="U561" t="str">
        <x:f>IF(COUNTIF(DailyProduction!$Q$5:$Q$100,B561)=1,"OK","CHECK")</x:f>
        <x:v>OK</x:v>
      </x:c>
      <x:c r="V561" t="str">
        <x:f>IF(AND(I561&gt;=1,I561&lt;=13,K561&gt;=1,K561&lt;=3),"OK","CHECK")</x:f>
        <x:v>CHECK</x:v>
      </x:c>
      <x:c r="W561" t="str">
        <x:f>IF(SUMIF($B$5:$B$914,B561,$S$5:$S$914)=SUMIF(DailyProduction!$Q$5:$Q$100,B561,DailyProduction!$R$5:$R$100),"OK","CHECK")</x:f>
        <x:v>CHECK</x:v>
      </x:c>
    </x:row>
    <x:row r="562">
      <x:c r="A562" t="str">
        <x:v>PC-PE-KG01-L24-20251020-AM-ORD-2025-00124-S12</x:v>
      </x:c>
      <x:c r="B562" t="str">
        <x:v>PE-KG01-L24-20251020-AM-ORD-2025-00124</x:v>
      </x:c>
      <x:c r="C562" t="str">
        <x:v>KG01</x:v>
      </x:c>
      <x:c r="D562" t="n">
        <x:v>45950</x:v>
      </x:c>
      <x:c r="E562" t="str">
        <x:v>AM</x:v>
      </x:c>
      <x:c r="F562" t="str">
        <x:v>C</x:v>
      </x:c>
      <x:c r="G562" t="n">
        <x:v>24</x:v>
      </x:c>
      <x:c r="H562" t="str">
        <x:v>ORD-2025-00124</x:v>
      </x:c>
      <x:c r="I562" t="n">
        <x:v>12</x:v>
      </x:c>
      <x:c r="J562" t="n">
        <x:v>12</x:v>
      </x:c>
      <x:c r="K562" t="n">
        <x:v>4</x:v>
      </x:c>
      <x:c r="L562" t="n">
        <x:f>IF(I562&lt;=J562,1,0)</x:f>
        <x:v>1</x:v>
      </x:c>
      <x:c r="P562" t="n">
        <x:f>IF(M562="",IF(AND(L562=1,K562&gt;=1),1,0),M562)</x:f>
        <x:v>1</x:v>
      </x:c>
      <x:c r="Q562" t="n">
        <x:f>IF(N562="",IF(AND(L562=1,K562&gt;=2),1,0),N562)</x:f>
        <x:v>1</x:v>
      </x:c>
      <x:c r="R562" t="n">
        <x:f>IF(O562="",IF(AND(L562=1,K562&gt;=3),1,0),O562)</x:f>
        <x:v>1</x:v>
      </x:c>
      <x:c r="S562" t="n">
        <x:f>SUM(P562:R562)</x:f>
        <x:v>3</x:v>
      </x:c>
      <x:c r="T562" t="str">
        <x:f>IF(COUNTA(M562:O562)=0,"DerivedFromCount","ManualOverride")</x:f>
        <x:v>DerivedFromCount</x:v>
      </x:c>
      <x:c r="U562" t="str">
        <x:f>IF(COUNTIF(DailyProduction!$Q$5:$Q$100,B562)=1,"OK","CHECK")</x:f>
        <x:v>OK</x:v>
      </x:c>
      <x:c r="V562" t="str">
        <x:f>IF(AND(I562&gt;=1,I562&lt;=13,K562&gt;=1,K562&lt;=3),"OK","CHECK")</x:f>
        <x:v>CHECK</x:v>
      </x:c>
      <x:c r="W562" t="str">
        <x:f>IF(SUMIF($B$5:$B$914,B562,$S$5:$S$914)=SUMIF(DailyProduction!$Q$5:$Q$100,B562,DailyProduction!$R$5:$R$100),"OK","CHECK")</x:f>
        <x:v>CHECK</x:v>
      </x:c>
    </x:row>
    <x:row r="563">
      <x:c r="A563" t="str">
        <x:v>PC-PE-KG01-L24-20251020-AM-ORD-2025-00124-S13</x:v>
      </x:c>
      <x:c r="B563" t="str">
        <x:v>PE-KG01-L24-20251020-AM-ORD-2025-00124</x:v>
      </x:c>
      <x:c r="C563" t="str">
        <x:v>KG01</x:v>
      </x:c>
      <x:c r="D563" t="n">
        <x:v>45950</x:v>
      </x:c>
      <x:c r="E563" t="str">
        <x:v>AM</x:v>
      </x:c>
      <x:c r="F563" t="str">
        <x:v>C</x:v>
      </x:c>
      <x:c r="G563" t="n">
        <x:v>24</x:v>
      </x:c>
      <x:c r="H563" t="str">
        <x:v>ORD-2025-00124</x:v>
      </x:c>
      <x:c r="I563" t="n">
        <x:v>13</x:v>
      </x:c>
      <x:c r="J563" t="n">
        <x:v>12</x:v>
      </x:c>
      <x:c r="K563" t="n">
        <x:v>4</x:v>
      </x:c>
      <x:c r="L563" t="n">
        <x:f>IF(I563&lt;=J563,1,0)</x:f>
        <x:v>0</x:v>
      </x:c>
      <x:c r="P563" t="n">
        <x:f>IF(M563="",IF(AND(L563=1,K563&gt;=1),1,0),M563)</x:f>
        <x:v>0</x:v>
      </x:c>
      <x:c r="Q563" t="n">
        <x:f>IF(N563="",IF(AND(L563=1,K563&gt;=2),1,0),N563)</x:f>
        <x:v>0</x:v>
      </x:c>
      <x:c r="R563" t="n">
        <x:f>IF(O563="",IF(AND(L563=1,K563&gt;=3),1,0),O563)</x:f>
        <x:v>0</x:v>
      </x:c>
      <x:c r="S563" t="n">
        <x:f>SUM(P563:R563)</x:f>
        <x:v>0</x:v>
      </x:c>
      <x:c r="T563" t="str">
        <x:f>IF(COUNTA(M563:O563)=0,"DerivedFromCount","ManualOverride")</x:f>
        <x:v>DerivedFromCount</x:v>
      </x:c>
      <x:c r="U563" t="str">
        <x:f>IF(COUNTIF(DailyProduction!$Q$5:$Q$100,B563)=1,"OK","CHECK")</x:f>
        <x:v>OK</x:v>
      </x:c>
      <x:c r="V563" t="str">
        <x:f>IF(AND(I563&gt;=1,I563&lt;=13,K563&gt;=1,K563&lt;=3),"OK","CHECK")</x:f>
        <x:v>CHECK</x:v>
      </x:c>
      <x:c r="W563" t="str">
        <x:f>IF(SUMIF($B$5:$B$914,B563,$S$5:$S$914)=SUMIF(DailyProduction!$Q$5:$Q$100,B563,DailyProduction!$R$5:$R$100),"OK","CHECK")</x:f>
        <x:v>CHECK</x:v>
      </x:c>
    </x:row>
    <x:row r="564">
      <x:c r="A564" t="str">
        <x:v>PC-PE-KG01-L24-20251020-PM-ORD-2025-00124-S01</x:v>
      </x:c>
      <x:c r="B564" t="str">
        <x:v>PE-KG01-L24-20251020-PM-ORD-2025-00124</x:v>
      </x:c>
      <x:c r="C564" t="str">
        <x:v>KG01</x:v>
      </x:c>
      <x:c r="D564" t="n">
        <x:v>45950</x:v>
      </x:c>
      <x:c r="E564" t="str">
        <x:v>PM</x:v>
      </x:c>
      <x:c r="F564" t="str">
        <x:v>A</x:v>
      </x:c>
      <x:c r="G564" t="n">
        <x:v>24</x:v>
      </x:c>
      <x:c r="H564" t="str">
        <x:v>ORD-2025-00124</x:v>
      </x:c>
      <x:c r="I564" t="n">
        <x:v>1</x:v>
      </x:c>
      <x:c r="J564" t="n">
        <x:v>12</x:v>
      </x:c>
      <x:c r="K564" t="n">
        <x:v>4</x:v>
      </x:c>
      <x:c r="L564" t="n">
        <x:f>IF(I564&lt;=J564,1,0)</x:f>
        <x:v>1</x:v>
      </x:c>
      <x:c r="P564" t="n">
        <x:f>IF(M564="",IF(AND(L564=1,K564&gt;=1),1,0),M564)</x:f>
        <x:v>1</x:v>
      </x:c>
      <x:c r="Q564" t="n">
        <x:f>IF(N564="",IF(AND(L564=1,K564&gt;=2),1,0),N564)</x:f>
        <x:v>1</x:v>
      </x:c>
      <x:c r="R564" t="n">
        <x:f>IF(O564="",IF(AND(L564=1,K564&gt;=3),1,0),O564)</x:f>
        <x:v>1</x:v>
      </x:c>
      <x:c r="S564" t="n">
        <x:f>SUM(P564:R564)</x:f>
        <x:v>3</x:v>
      </x:c>
      <x:c r="T564" t="str">
        <x:f>IF(COUNTA(M564:O564)=0,"DerivedFromCount","ManualOverride")</x:f>
        <x:v>DerivedFromCount</x:v>
      </x:c>
      <x:c r="U564" t="str">
        <x:f>IF(COUNTIF(DailyProduction!$Q$5:$Q$100,B564)=1,"OK","CHECK")</x:f>
        <x:v>OK</x:v>
      </x:c>
      <x:c r="V564" t="str">
        <x:f>IF(AND(I564&gt;=1,I564&lt;=13,K564&gt;=1,K564&lt;=3),"OK","CHECK")</x:f>
        <x:v>CHECK</x:v>
      </x:c>
      <x:c r="W564" t="str">
        <x:f>IF(SUMIF($B$5:$B$914,B564,$S$5:$S$914)=SUMIF(DailyProduction!$Q$5:$Q$100,B564,DailyProduction!$R$5:$R$100),"OK","CHECK")</x:f>
        <x:v>CHECK</x:v>
      </x:c>
    </x:row>
    <x:row r="565">
      <x:c r="A565" t="str">
        <x:v>PC-PE-KG01-L24-20251020-PM-ORD-2025-00124-S02</x:v>
      </x:c>
      <x:c r="B565" t="str">
        <x:v>PE-KG01-L24-20251020-PM-ORD-2025-00124</x:v>
      </x:c>
      <x:c r="C565" t="str">
        <x:v>KG01</x:v>
      </x:c>
      <x:c r="D565" t="n">
        <x:v>45950</x:v>
      </x:c>
      <x:c r="E565" t="str">
        <x:v>PM</x:v>
      </x:c>
      <x:c r="F565" t="str">
        <x:v>A</x:v>
      </x:c>
      <x:c r="G565" t="n">
        <x:v>24</x:v>
      </x:c>
      <x:c r="H565" t="str">
        <x:v>ORD-2025-00124</x:v>
      </x:c>
      <x:c r="I565" t="n">
        <x:v>2</x:v>
      </x:c>
      <x:c r="J565" t="n">
        <x:v>12</x:v>
      </x:c>
      <x:c r="K565" t="n">
        <x:v>4</x:v>
      </x:c>
      <x:c r="L565" t="n">
        <x:f>IF(I565&lt;=J565,1,0)</x:f>
        <x:v>1</x:v>
      </x:c>
      <x:c r="P565" t="n">
        <x:f>IF(M565="",IF(AND(L565=1,K565&gt;=1),1,0),M565)</x:f>
        <x:v>1</x:v>
      </x:c>
      <x:c r="Q565" t="n">
        <x:f>IF(N565="",IF(AND(L565=1,K565&gt;=2),1,0),N565)</x:f>
        <x:v>1</x:v>
      </x:c>
      <x:c r="R565" t="n">
        <x:f>IF(O565="",IF(AND(L565=1,K565&gt;=3),1,0),O565)</x:f>
        <x:v>1</x:v>
      </x:c>
      <x:c r="S565" t="n">
        <x:f>SUM(P565:R565)</x:f>
        <x:v>3</x:v>
      </x:c>
      <x:c r="T565" t="str">
        <x:f>IF(COUNTA(M565:O565)=0,"DerivedFromCount","ManualOverride")</x:f>
        <x:v>DerivedFromCount</x:v>
      </x:c>
      <x:c r="U565" t="str">
        <x:f>IF(COUNTIF(DailyProduction!$Q$5:$Q$100,B565)=1,"OK","CHECK")</x:f>
        <x:v>OK</x:v>
      </x:c>
      <x:c r="V565" t="str">
        <x:f>IF(AND(I565&gt;=1,I565&lt;=13,K565&gt;=1,K565&lt;=3),"OK","CHECK")</x:f>
        <x:v>CHECK</x:v>
      </x:c>
      <x:c r="W565" t="str">
        <x:f>IF(SUMIF($B$5:$B$914,B565,$S$5:$S$914)=SUMIF(DailyProduction!$Q$5:$Q$100,B565,DailyProduction!$R$5:$R$100),"OK","CHECK")</x:f>
        <x:v>CHECK</x:v>
      </x:c>
    </x:row>
    <x:row r="566">
      <x:c r="A566" t="str">
        <x:v>PC-PE-KG01-L24-20251020-PM-ORD-2025-00124-S03</x:v>
      </x:c>
      <x:c r="B566" t="str">
        <x:v>PE-KG01-L24-20251020-PM-ORD-2025-00124</x:v>
      </x:c>
      <x:c r="C566" t="str">
        <x:v>KG01</x:v>
      </x:c>
      <x:c r="D566" t="n">
        <x:v>45950</x:v>
      </x:c>
      <x:c r="E566" t="str">
        <x:v>PM</x:v>
      </x:c>
      <x:c r="F566" t="str">
        <x:v>A</x:v>
      </x:c>
      <x:c r="G566" t="n">
        <x:v>24</x:v>
      </x:c>
      <x:c r="H566" t="str">
        <x:v>ORD-2025-00124</x:v>
      </x:c>
      <x:c r="I566" t="n">
        <x:v>3</x:v>
      </x:c>
      <x:c r="J566" t="n">
        <x:v>12</x:v>
      </x:c>
      <x:c r="K566" t="n">
        <x:v>4</x:v>
      </x:c>
      <x:c r="L566" t="n">
        <x:f>IF(I566&lt;=J566,1,0)</x:f>
        <x:v>1</x:v>
      </x:c>
      <x:c r="P566" t="n">
        <x:f>IF(M566="",IF(AND(L566=1,K566&gt;=1),1,0),M566)</x:f>
        <x:v>1</x:v>
      </x:c>
      <x:c r="Q566" t="n">
        <x:f>IF(N566="",IF(AND(L566=1,K566&gt;=2),1,0),N566)</x:f>
        <x:v>1</x:v>
      </x:c>
      <x:c r="R566" t="n">
        <x:f>IF(O566="",IF(AND(L566=1,K566&gt;=3),1,0),O566)</x:f>
        <x:v>1</x:v>
      </x:c>
      <x:c r="S566" t="n">
        <x:f>SUM(P566:R566)</x:f>
        <x:v>3</x:v>
      </x:c>
      <x:c r="T566" t="str">
        <x:f>IF(COUNTA(M566:O566)=0,"DerivedFromCount","ManualOverride")</x:f>
        <x:v>DerivedFromCount</x:v>
      </x:c>
      <x:c r="U566" t="str">
        <x:f>IF(COUNTIF(DailyProduction!$Q$5:$Q$100,B566)=1,"OK","CHECK")</x:f>
        <x:v>OK</x:v>
      </x:c>
      <x:c r="V566" t="str">
        <x:f>IF(AND(I566&gt;=1,I566&lt;=13,K566&gt;=1,K566&lt;=3),"OK","CHECK")</x:f>
        <x:v>CHECK</x:v>
      </x:c>
      <x:c r="W566" t="str">
        <x:f>IF(SUMIF($B$5:$B$914,B566,$S$5:$S$914)=SUMIF(DailyProduction!$Q$5:$Q$100,B566,DailyProduction!$R$5:$R$100),"OK","CHECK")</x:f>
        <x:v>CHECK</x:v>
      </x:c>
    </x:row>
    <x:row r="567">
      <x:c r="A567" t="str">
        <x:v>PC-PE-KG01-L24-20251020-PM-ORD-2025-00124-S04</x:v>
      </x:c>
      <x:c r="B567" t="str">
        <x:v>PE-KG01-L24-20251020-PM-ORD-2025-00124</x:v>
      </x:c>
      <x:c r="C567" t="str">
        <x:v>KG01</x:v>
      </x:c>
      <x:c r="D567" t="n">
        <x:v>45950</x:v>
      </x:c>
      <x:c r="E567" t="str">
        <x:v>PM</x:v>
      </x:c>
      <x:c r="F567" t="str">
        <x:v>A</x:v>
      </x:c>
      <x:c r="G567" t="n">
        <x:v>24</x:v>
      </x:c>
      <x:c r="H567" t="str">
        <x:v>ORD-2025-00124</x:v>
      </x:c>
      <x:c r="I567" t="n">
        <x:v>4</x:v>
      </x:c>
      <x:c r="J567" t="n">
        <x:v>12</x:v>
      </x:c>
      <x:c r="K567" t="n">
        <x:v>4</x:v>
      </x:c>
      <x:c r="L567" t="n">
        <x:f>IF(I567&lt;=J567,1,0)</x:f>
        <x:v>1</x:v>
      </x:c>
      <x:c r="P567" t="n">
        <x:f>IF(M567="",IF(AND(L567=1,K567&gt;=1),1,0),M567)</x:f>
        <x:v>1</x:v>
      </x:c>
      <x:c r="Q567" t="n">
        <x:f>IF(N567="",IF(AND(L567=1,K567&gt;=2),1,0),N567)</x:f>
        <x:v>1</x:v>
      </x:c>
      <x:c r="R567" t="n">
        <x:f>IF(O567="",IF(AND(L567=1,K567&gt;=3),1,0),O567)</x:f>
        <x:v>1</x:v>
      </x:c>
      <x:c r="S567" t="n">
        <x:f>SUM(P567:R567)</x:f>
        <x:v>3</x:v>
      </x:c>
      <x:c r="T567" t="str">
        <x:f>IF(COUNTA(M567:O567)=0,"DerivedFromCount","ManualOverride")</x:f>
        <x:v>DerivedFromCount</x:v>
      </x:c>
      <x:c r="U567" t="str">
        <x:f>IF(COUNTIF(DailyProduction!$Q$5:$Q$100,B567)=1,"OK","CHECK")</x:f>
        <x:v>OK</x:v>
      </x:c>
      <x:c r="V567" t="str">
        <x:f>IF(AND(I567&gt;=1,I567&lt;=13,K567&gt;=1,K567&lt;=3),"OK","CHECK")</x:f>
        <x:v>CHECK</x:v>
      </x:c>
      <x:c r="W567" t="str">
        <x:f>IF(SUMIF($B$5:$B$914,B567,$S$5:$S$914)=SUMIF(DailyProduction!$Q$5:$Q$100,B567,DailyProduction!$R$5:$R$100),"OK","CHECK")</x:f>
        <x:v>CHECK</x:v>
      </x:c>
    </x:row>
    <x:row r="568">
      <x:c r="A568" t="str">
        <x:v>PC-PE-KG01-L24-20251020-PM-ORD-2025-00124-S05</x:v>
      </x:c>
      <x:c r="B568" t="str">
        <x:v>PE-KG01-L24-20251020-PM-ORD-2025-00124</x:v>
      </x:c>
      <x:c r="C568" t="str">
        <x:v>KG01</x:v>
      </x:c>
      <x:c r="D568" t="n">
        <x:v>45950</x:v>
      </x:c>
      <x:c r="E568" t="str">
        <x:v>PM</x:v>
      </x:c>
      <x:c r="F568" t="str">
        <x:v>A</x:v>
      </x:c>
      <x:c r="G568" t="n">
        <x:v>24</x:v>
      </x:c>
      <x:c r="H568" t="str">
        <x:v>ORD-2025-00124</x:v>
      </x:c>
      <x:c r="I568" t="n">
        <x:v>5</x:v>
      </x:c>
      <x:c r="J568" t="n">
        <x:v>12</x:v>
      </x:c>
      <x:c r="K568" t="n">
        <x:v>4</x:v>
      </x:c>
      <x:c r="L568" t="n">
        <x:f>IF(I568&lt;=J568,1,0)</x:f>
        <x:v>1</x:v>
      </x:c>
      <x:c r="P568" t="n">
        <x:f>IF(M568="",IF(AND(L568=1,K568&gt;=1),1,0),M568)</x:f>
        <x:v>1</x:v>
      </x:c>
      <x:c r="Q568" t="n">
        <x:f>IF(N568="",IF(AND(L568=1,K568&gt;=2),1,0),N568)</x:f>
        <x:v>1</x:v>
      </x:c>
      <x:c r="R568" t="n">
        <x:f>IF(O568="",IF(AND(L568=1,K568&gt;=3),1,0),O568)</x:f>
        <x:v>1</x:v>
      </x:c>
      <x:c r="S568" t="n">
        <x:f>SUM(P568:R568)</x:f>
        <x:v>3</x:v>
      </x:c>
      <x:c r="T568" t="str">
        <x:f>IF(COUNTA(M568:O568)=0,"DerivedFromCount","ManualOverride")</x:f>
        <x:v>DerivedFromCount</x:v>
      </x:c>
      <x:c r="U568" t="str">
        <x:f>IF(COUNTIF(DailyProduction!$Q$5:$Q$100,B568)=1,"OK","CHECK")</x:f>
        <x:v>OK</x:v>
      </x:c>
      <x:c r="V568" t="str">
        <x:f>IF(AND(I568&gt;=1,I568&lt;=13,K568&gt;=1,K568&lt;=3),"OK","CHECK")</x:f>
        <x:v>CHECK</x:v>
      </x:c>
      <x:c r="W568" t="str">
        <x:f>IF(SUMIF($B$5:$B$914,B568,$S$5:$S$914)=SUMIF(DailyProduction!$Q$5:$Q$100,B568,DailyProduction!$R$5:$R$100),"OK","CHECK")</x:f>
        <x:v>CHECK</x:v>
      </x:c>
    </x:row>
    <x:row r="569">
      <x:c r="A569" t="str">
        <x:v>PC-PE-KG01-L24-20251020-PM-ORD-2025-00124-S06</x:v>
      </x:c>
      <x:c r="B569" t="str">
        <x:v>PE-KG01-L24-20251020-PM-ORD-2025-00124</x:v>
      </x:c>
      <x:c r="C569" t="str">
        <x:v>KG01</x:v>
      </x:c>
      <x:c r="D569" t="n">
        <x:v>45950</x:v>
      </x:c>
      <x:c r="E569" t="str">
        <x:v>PM</x:v>
      </x:c>
      <x:c r="F569" t="str">
        <x:v>A</x:v>
      </x:c>
      <x:c r="G569" t="n">
        <x:v>24</x:v>
      </x:c>
      <x:c r="H569" t="str">
        <x:v>ORD-2025-00124</x:v>
      </x:c>
      <x:c r="I569" t="n">
        <x:v>6</x:v>
      </x:c>
      <x:c r="J569" t="n">
        <x:v>12</x:v>
      </x:c>
      <x:c r="K569" t="n">
        <x:v>4</x:v>
      </x:c>
      <x:c r="L569" t="n">
        <x:f>IF(I569&lt;=J569,1,0)</x:f>
        <x:v>1</x:v>
      </x:c>
      <x:c r="P569" t="n">
        <x:f>IF(M569="",IF(AND(L569=1,K569&gt;=1),1,0),M569)</x:f>
        <x:v>1</x:v>
      </x:c>
      <x:c r="Q569" t="n">
        <x:f>IF(N569="",IF(AND(L569=1,K569&gt;=2),1,0),N569)</x:f>
        <x:v>1</x:v>
      </x:c>
      <x:c r="R569" t="n">
        <x:f>IF(O569="",IF(AND(L569=1,K569&gt;=3),1,0),O569)</x:f>
        <x:v>1</x:v>
      </x:c>
      <x:c r="S569" t="n">
        <x:f>SUM(P569:R569)</x:f>
        <x:v>3</x:v>
      </x:c>
      <x:c r="T569" t="str">
        <x:f>IF(COUNTA(M569:O569)=0,"DerivedFromCount","ManualOverride")</x:f>
        <x:v>DerivedFromCount</x:v>
      </x:c>
      <x:c r="U569" t="str">
        <x:f>IF(COUNTIF(DailyProduction!$Q$5:$Q$100,B569)=1,"OK","CHECK")</x:f>
        <x:v>OK</x:v>
      </x:c>
      <x:c r="V569" t="str">
        <x:f>IF(AND(I569&gt;=1,I569&lt;=13,K569&gt;=1,K569&lt;=3),"OK","CHECK")</x:f>
        <x:v>CHECK</x:v>
      </x:c>
      <x:c r="W569" t="str">
        <x:f>IF(SUMIF($B$5:$B$914,B569,$S$5:$S$914)=SUMIF(DailyProduction!$Q$5:$Q$100,B569,DailyProduction!$R$5:$R$100),"OK","CHECK")</x:f>
        <x:v>CHECK</x:v>
      </x:c>
    </x:row>
    <x:row r="570">
      <x:c r="A570" t="str">
        <x:v>PC-PE-KG01-L24-20251020-PM-ORD-2025-00124-S07</x:v>
      </x:c>
      <x:c r="B570" t="str">
        <x:v>PE-KG01-L24-20251020-PM-ORD-2025-00124</x:v>
      </x:c>
      <x:c r="C570" t="str">
        <x:v>KG01</x:v>
      </x:c>
      <x:c r="D570" t="n">
        <x:v>45950</x:v>
      </x:c>
      <x:c r="E570" t="str">
        <x:v>PM</x:v>
      </x:c>
      <x:c r="F570" t="str">
        <x:v>A</x:v>
      </x:c>
      <x:c r="G570" t="n">
        <x:v>24</x:v>
      </x:c>
      <x:c r="H570" t="str">
        <x:v>ORD-2025-00124</x:v>
      </x:c>
      <x:c r="I570" t="n">
        <x:v>7</x:v>
      </x:c>
      <x:c r="J570" t="n">
        <x:v>12</x:v>
      </x:c>
      <x:c r="K570" t="n">
        <x:v>4</x:v>
      </x:c>
      <x:c r="L570" t="n">
        <x:f>IF(I570&lt;=J570,1,0)</x:f>
        <x:v>1</x:v>
      </x:c>
      <x:c r="P570" t="n">
        <x:f>IF(M570="",IF(AND(L570=1,K570&gt;=1),1,0),M570)</x:f>
        <x:v>1</x:v>
      </x:c>
      <x:c r="Q570" t="n">
        <x:f>IF(N570="",IF(AND(L570=1,K570&gt;=2),1,0),N570)</x:f>
        <x:v>1</x:v>
      </x:c>
      <x:c r="R570" t="n">
        <x:f>IF(O570="",IF(AND(L570=1,K570&gt;=3),1,0),O570)</x:f>
        <x:v>1</x:v>
      </x:c>
      <x:c r="S570" t="n">
        <x:f>SUM(P570:R570)</x:f>
        <x:v>3</x:v>
      </x:c>
      <x:c r="T570" t="str">
        <x:f>IF(COUNTA(M570:O570)=0,"DerivedFromCount","ManualOverride")</x:f>
        <x:v>DerivedFromCount</x:v>
      </x:c>
      <x:c r="U570" t="str">
        <x:f>IF(COUNTIF(DailyProduction!$Q$5:$Q$100,B570)=1,"OK","CHECK")</x:f>
        <x:v>OK</x:v>
      </x:c>
      <x:c r="V570" t="str">
        <x:f>IF(AND(I570&gt;=1,I570&lt;=13,K570&gt;=1,K570&lt;=3),"OK","CHECK")</x:f>
        <x:v>CHECK</x:v>
      </x:c>
      <x:c r="W570" t="str">
        <x:f>IF(SUMIF($B$5:$B$914,B570,$S$5:$S$914)=SUMIF(DailyProduction!$Q$5:$Q$100,B570,DailyProduction!$R$5:$R$100),"OK","CHECK")</x:f>
        <x:v>CHECK</x:v>
      </x:c>
    </x:row>
    <x:row r="571">
      <x:c r="A571" t="str">
        <x:v>PC-PE-KG01-L24-20251020-PM-ORD-2025-00124-S08</x:v>
      </x:c>
      <x:c r="B571" t="str">
        <x:v>PE-KG01-L24-20251020-PM-ORD-2025-00124</x:v>
      </x:c>
      <x:c r="C571" t="str">
        <x:v>KG01</x:v>
      </x:c>
      <x:c r="D571" t="n">
        <x:v>45950</x:v>
      </x:c>
      <x:c r="E571" t="str">
        <x:v>PM</x:v>
      </x:c>
      <x:c r="F571" t="str">
        <x:v>A</x:v>
      </x:c>
      <x:c r="G571" t="n">
        <x:v>24</x:v>
      </x:c>
      <x:c r="H571" t="str">
        <x:v>ORD-2025-00124</x:v>
      </x:c>
      <x:c r="I571" t="n">
        <x:v>8</x:v>
      </x:c>
      <x:c r="J571" t="n">
        <x:v>12</x:v>
      </x:c>
      <x:c r="K571" t="n">
        <x:v>4</x:v>
      </x:c>
      <x:c r="L571" t="n">
        <x:f>IF(I571&lt;=J571,1,0)</x:f>
        <x:v>1</x:v>
      </x:c>
      <x:c r="P571" t="n">
        <x:f>IF(M571="",IF(AND(L571=1,K571&gt;=1),1,0),M571)</x:f>
        <x:v>1</x:v>
      </x:c>
      <x:c r="Q571" t="n">
        <x:f>IF(N571="",IF(AND(L571=1,K571&gt;=2),1,0),N571)</x:f>
        <x:v>1</x:v>
      </x:c>
      <x:c r="R571" t="n">
        <x:f>IF(O571="",IF(AND(L571=1,K571&gt;=3),1,0),O571)</x:f>
        <x:v>1</x:v>
      </x:c>
      <x:c r="S571" t="n">
        <x:f>SUM(P571:R571)</x:f>
        <x:v>3</x:v>
      </x:c>
      <x:c r="T571" t="str">
        <x:f>IF(COUNTA(M571:O571)=0,"DerivedFromCount","ManualOverride")</x:f>
        <x:v>DerivedFromCount</x:v>
      </x:c>
      <x:c r="U571" t="str">
        <x:f>IF(COUNTIF(DailyProduction!$Q$5:$Q$100,B571)=1,"OK","CHECK")</x:f>
        <x:v>OK</x:v>
      </x:c>
      <x:c r="V571" t="str">
        <x:f>IF(AND(I571&gt;=1,I571&lt;=13,K571&gt;=1,K571&lt;=3),"OK","CHECK")</x:f>
        <x:v>CHECK</x:v>
      </x:c>
      <x:c r="W571" t="str">
        <x:f>IF(SUMIF($B$5:$B$914,B571,$S$5:$S$914)=SUMIF(DailyProduction!$Q$5:$Q$100,B571,DailyProduction!$R$5:$R$100),"OK","CHECK")</x:f>
        <x:v>CHECK</x:v>
      </x:c>
    </x:row>
    <x:row r="572">
      <x:c r="A572" t="str">
        <x:v>PC-PE-KG01-L24-20251020-PM-ORD-2025-00124-S09</x:v>
      </x:c>
      <x:c r="B572" t="str">
        <x:v>PE-KG01-L24-20251020-PM-ORD-2025-00124</x:v>
      </x:c>
      <x:c r="C572" t="str">
        <x:v>KG01</x:v>
      </x:c>
      <x:c r="D572" t="n">
        <x:v>45950</x:v>
      </x:c>
      <x:c r="E572" t="str">
        <x:v>PM</x:v>
      </x:c>
      <x:c r="F572" t="str">
        <x:v>A</x:v>
      </x:c>
      <x:c r="G572" t="n">
        <x:v>24</x:v>
      </x:c>
      <x:c r="H572" t="str">
        <x:v>ORD-2025-00124</x:v>
      </x:c>
      <x:c r="I572" t="n">
        <x:v>9</x:v>
      </x:c>
      <x:c r="J572" t="n">
        <x:v>12</x:v>
      </x:c>
      <x:c r="K572" t="n">
        <x:v>4</x:v>
      </x:c>
      <x:c r="L572" t="n">
        <x:f>IF(I572&lt;=J572,1,0)</x:f>
        <x:v>1</x:v>
      </x:c>
      <x:c r="P572" t="n">
        <x:f>IF(M572="",IF(AND(L572=1,K572&gt;=1),1,0),M572)</x:f>
        <x:v>1</x:v>
      </x:c>
      <x:c r="Q572" t="n">
        <x:f>IF(N572="",IF(AND(L572=1,K572&gt;=2),1,0),N572)</x:f>
        <x:v>1</x:v>
      </x:c>
      <x:c r="R572" t="n">
        <x:f>IF(O572="",IF(AND(L572=1,K572&gt;=3),1,0),O572)</x:f>
        <x:v>1</x:v>
      </x:c>
      <x:c r="S572" t="n">
        <x:f>SUM(P572:R572)</x:f>
        <x:v>3</x:v>
      </x:c>
      <x:c r="T572" t="str">
        <x:f>IF(COUNTA(M572:O572)=0,"DerivedFromCount","ManualOverride")</x:f>
        <x:v>DerivedFromCount</x:v>
      </x:c>
      <x:c r="U572" t="str">
        <x:f>IF(COUNTIF(DailyProduction!$Q$5:$Q$100,B572)=1,"OK","CHECK")</x:f>
        <x:v>OK</x:v>
      </x:c>
      <x:c r="V572" t="str">
        <x:f>IF(AND(I572&gt;=1,I572&lt;=13,K572&gt;=1,K572&lt;=3),"OK","CHECK")</x:f>
        <x:v>CHECK</x:v>
      </x:c>
      <x:c r="W572" t="str">
        <x:f>IF(SUMIF($B$5:$B$914,B572,$S$5:$S$914)=SUMIF(DailyProduction!$Q$5:$Q$100,B572,DailyProduction!$R$5:$R$100),"OK","CHECK")</x:f>
        <x:v>CHECK</x:v>
      </x:c>
    </x:row>
    <x:row r="573">
      <x:c r="A573" t="str">
        <x:v>PC-PE-KG01-L24-20251020-PM-ORD-2025-00124-S10</x:v>
      </x:c>
      <x:c r="B573" t="str">
        <x:v>PE-KG01-L24-20251020-PM-ORD-2025-00124</x:v>
      </x:c>
      <x:c r="C573" t="str">
        <x:v>KG01</x:v>
      </x:c>
      <x:c r="D573" t="n">
        <x:v>45950</x:v>
      </x:c>
      <x:c r="E573" t="str">
        <x:v>PM</x:v>
      </x:c>
      <x:c r="F573" t="str">
        <x:v>A</x:v>
      </x:c>
      <x:c r="G573" t="n">
        <x:v>24</x:v>
      </x:c>
      <x:c r="H573" t="str">
        <x:v>ORD-2025-00124</x:v>
      </x:c>
      <x:c r="I573" t="n">
        <x:v>10</x:v>
      </x:c>
      <x:c r="J573" t="n">
        <x:v>12</x:v>
      </x:c>
      <x:c r="K573" t="n">
        <x:v>4</x:v>
      </x:c>
      <x:c r="L573" t="n">
        <x:f>IF(I573&lt;=J573,1,0)</x:f>
        <x:v>1</x:v>
      </x:c>
      <x:c r="P573" t="n">
        <x:f>IF(M573="",IF(AND(L573=1,K573&gt;=1),1,0),M573)</x:f>
        <x:v>1</x:v>
      </x:c>
      <x:c r="Q573" t="n">
        <x:f>IF(N573="",IF(AND(L573=1,K573&gt;=2),1,0),N573)</x:f>
        <x:v>1</x:v>
      </x:c>
      <x:c r="R573" t="n">
        <x:f>IF(O573="",IF(AND(L573=1,K573&gt;=3),1,0),O573)</x:f>
        <x:v>1</x:v>
      </x:c>
      <x:c r="S573" t="n">
        <x:f>SUM(P573:R573)</x:f>
        <x:v>3</x:v>
      </x:c>
      <x:c r="T573" t="str">
        <x:f>IF(COUNTA(M573:O573)=0,"DerivedFromCount","ManualOverride")</x:f>
        <x:v>DerivedFromCount</x:v>
      </x:c>
      <x:c r="U573" t="str">
        <x:f>IF(COUNTIF(DailyProduction!$Q$5:$Q$100,B573)=1,"OK","CHECK")</x:f>
        <x:v>OK</x:v>
      </x:c>
      <x:c r="V573" t="str">
        <x:f>IF(AND(I573&gt;=1,I573&lt;=13,K573&gt;=1,K573&lt;=3),"OK","CHECK")</x:f>
        <x:v>CHECK</x:v>
      </x:c>
      <x:c r="W573" t="str">
        <x:f>IF(SUMIF($B$5:$B$914,B573,$S$5:$S$914)=SUMIF(DailyProduction!$Q$5:$Q$100,B573,DailyProduction!$R$5:$R$100),"OK","CHECK")</x:f>
        <x:v>CHECK</x:v>
      </x:c>
    </x:row>
    <x:row r="574">
      <x:c r="A574" t="str">
        <x:v>PC-PE-KG01-L24-20251020-PM-ORD-2025-00124-S11</x:v>
      </x:c>
      <x:c r="B574" t="str">
        <x:v>PE-KG01-L24-20251020-PM-ORD-2025-00124</x:v>
      </x:c>
      <x:c r="C574" t="str">
        <x:v>KG01</x:v>
      </x:c>
      <x:c r="D574" t="n">
        <x:v>45950</x:v>
      </x:c>
      <x:c r="E574" t="str">
        <x:v>PM</x:v>
      </x:c>
      <x:c r="F574" t="str">
        <x:v>A</x:v>
      </x:c>
      <x:c r="G574" t="n">
        <x:v>24</x:v>
      </x:c>
      <x:c r="H574" t="str">
        <x:v>ORD-2025-00124</x:v>
      </x:c>
      <x:c r="I574" t="n">
        <x:v>11</x:v>
      </x:c>
      <x:c r="J574" t="n">
        <x:v>12</x:v>
      </x:c>
      <x:c r="K574" t="n">
        <x:v>4</x:v>
      </x:c>
      <x:c r="L574" t="n">
        <x:f>IF(I574&lt;=J574,1,0)</x:f>
        <x:v>1</x:v>
      </x:c>
      <x:c r="P574" t="n">
        <x:f>IF(M574="",IF(AND(L574=1,K574&gt;=1),1,0),M574)</x:f>
        <x:v>1</x:v>
      </x:c>
      <x:c r="Q574" t="n">
        <x:f>IF(N574="",IF(AND(L574=1,K574&gt;=2),1,0),N574)</x:f>
        <x:v>1</x:v>
      </x:c>
      <x:c r="R574" t="n">
        <x:f>IF(O574="",IF(AND(L574=1,K574&gt;=3),1,0),O574)</x:f>
        <x:v>1</x:v>
      </x:c>
      <x:c r="S574" t="n">
        <x:f>SUM(P574:R574)</x:f>
        <x:v>3</x:v>
      </x:c>
      <x:c r="T574" t="str">
        <x:f>IF(COUNTA(M574:O574)=0,"DerivedFromCount","ManualOverride")</x:f>
        <x:v>DerivedFromCount</x:v>
      </x:c>
      <x:c r="U574" t="str">
        <x:f>IF(COUNTIF(DailyProduction!$Q$5:$Q$100,B574)=1,"OK","CHECK")</x:f>
        <x:v>OK</x:v>
      </x:c>
      <x:c r="V574" t="str">
        <x:f>IF(AND(I574&gt;=1,I574&lt;=13,K574&gt;=1,K574&lt;=3),"OK","CHECK")</x:f>
        <x:v>CHECK</x:v>
      </x:c>
      <x:c r="W574" t="str">
        <x:f>IF(SUMIF($B$5:$B$914,B574,$S$5:$S$914)=SUMIF(DailyProduction!$Q$5:$Q$100,B574,DailyProduction!$R$5:$R$100),"OK","CHECK")</x:f>
        <x:v>CHECK</x:v>
      </x:c>
    </x:row>
    <x:row r="575">
      <x:c r="A575" t="str">
        <x:v>PC-PE-KG01-L24-20251020-PM-ORD-2025-00124-S12</x:v>
      </x:c>
      <x:c r="B575" t="str">
        <x:v>PE-KG01-L24-20251020-PM-ORD-2025-00124</x:v>
      </x:c>
      <x:c r="C575" t="str">
        <x:v>KG01</x:v>
      </x:c>
      <x:c r="D575" t="n">
        <x:v>45950</x:v>
      </x:c>
      <x:c r="E575" t="str">
        <x:v>PM</x:v>
      </x:c>
      <x:c r="F575" t="str">
        <x:v>A</x:v>
      </x:c>
      <x:c r="G575" t="n">
        <x:v>24</x:v>
      </x:c>
      <x:c r="H575" t="str">
        <x:v>ORD-2025-00124</x:v>
      </x:c>
      <x:c r="I575" t="n">
        <x:v>12</x:v>
      </x:c>
      <x:c r="J575" t="n">
        <x:v>12</x:v>
      </x:c>
      <x:c r="K575" t="n">
        <x:v>4</x:v>
      </x:c>
      <x:c r="L575" t="n">
        <x:f>IF(I575&lt;=J575,1,0)</x:f>
        <x:v>1</x:v>
      </x:c>
      <x:c r="P575" t="n">
        <x:f>IF(M575="",IF(AND(L575=1,K575&gt;=1),1,0),M575)</x:f>
        <x:v>1</x:v>
      </x:c>
      <x:c r="Q575" t="n">
        <x:f>IF(N575="",IF(AND(L575=1,K575&gt;=2),1,0),N575)</x:f>
        <x:v>1</x:v>
      </x:c>
      <x:c r="R575" t="n">
        <x:f>IF(O575="",IF(AND(L575=1,K575&gt;=3),1,0),O575)</x:f>
        <x:v>1</x:v>
      </x:c>
      <x:c r="S575" t="n">
        <x:f>SUM(P575:R575)</x:f>
        <x:v>3</x:v>
      </x:c>
      <x:c r="T575" t="str">
        <x:f>IF(COUNTA(M575:O575)=0,"DerivedFromCount","ManualOverride")</x:f>
        <x:v>DerivedFromCount</x:v>
      </x:c>
      <x:c r="U575" t="str">
        <x:f>IF(COUNTIF(DailyProduction!$Q$5:$Q$100,B575)=1,"OK","CHECK")</x:f>
        <x:v>OK</x:v>
      </x:c>
      <x:c r="V575" t="str">
        <x:f>IF(AND(I575&gt;=1,I575&lt;=13,K575&gt;=1,K575&lt;=3),"OK","CHECK")</x:f>
        <x:v>CHECK</x:v>
      </x:c>
      <x:c r="W575" t="str">
        <x:f>IF(SUMIF($B$5:$B$914,B575,$S$5:$S$914)=SUMIF(DailyProduction!$Q$5:$Q$100,B575,DailyProduction!$R$5:$R$100),"OK","CHECK")</x:f>
        <x:v>CHECK</x:v>
      </x:c>
    </x:row>
    <x:row r="576">
      <x:c r="A576" t="str">
        <x:v>PC-PE-KG01-L24-20251020-PM-ORD-2025-00124-S13</x:v>
      </x:c>
      <x:c r="B576" t="str">
        <x:v>PE-KG01-L24-20251020-PM-ORD-2025-00124</x:v>
      </x:c>
      <x:c r="C576" t="str">
        <x:v>KG01</x:v>
      </x:c>
      <x:c r="D576" t="n">
        <x:v>45950</x:v>
      </x:c>
      <x:c r="E576" t="str">
        <x:v>PM</x:v>
      </x:c>
      <x:c r="F576" t="str">
        <x:v>A</x:v>
      </x:c>
      <x:c r="G576" t="n">
        <x:v>24</x:v>
      </x:c>
      <x:c r="H576" t="str">
        <x:v>ORD-2025-00124</x:v>
      </x:c>
      <x:c r="I576" t="n">
        <x:v>13</x:v>
      </x:c>
      <x:c r="J576" t="n">
        <x:v>12</x:v>
      </x:c>
      <x:c r="K576" t="n">
        <x:v>4</x:v>
      </x:c>
      <x:c r="L576" t="n">
        <x:f>IF(I576&lt;=J576,1,0)</x:f>
        <x:v>0</x:v>
      </x:c>
      <x:c r="P576" t="n">
        <x:f>IF(M576="",IF(AND(L576=1,K576&gt;=1),1,0),M576)</x:f>
        <x:v>0</x:v>
      </x:c>
      <x:c r="Q576" t="n">
        <x:f>IF(N576="",IF(AND(L576=1,K576&gt;=2),1,0),N576)</x:f>
        <x:v>0</x:v>
      </x:c>
      <x:c r="R576" t="n">
        <x:f>IF(O576="",IF(AND(L576=1,K576&gt;=3),1,0),O576)</x:f>
        <x:v>0</x:v>
      </x:c>
      <x:c r="S576" t="n">
        <x:f>SUM(P576:R576)</x:f>
        <x:v>0</x:v>
      </x:c>
      <x:c r="T576" t="str">
        <x:f>IF(COUNTA(M576:O576)=0,"DerivedFromCount","ManualOverride")</x:f>
        <x:v>DerivedFromCount</x:v>
      </x:c>
      <x:c r="U576" t="str">
        <x:f>IF(COUNTIF(DailyProduction!$Q$5:$Q$100,B576)=1,"OK","CHECK")</x:f>
        <x:v>OK</x:v>
      </x:c>
      <x:c r="V576" t="str">
        <x:f>IF(AND(I576&gt;=1,I576&lt;=13,K576&gt;=1,K576&lt;=3),"OK","CHECK")</x:f>
        <x:v>CHECK</x:v>
      </x:c>
      <x:c r="W576" t="str">
        <x:f>IF(SUMIF($B$5:$B$914,B576,$S$5:$S$914)=SUMIF(DailyProduction!$Q$5:$Q$100,B576,DailyProduction!$R$5:$R$100),"OK","CHECK")</x:f>
        <x:v>CHECK</x:v>
      </x:c>
    </x:row>
    <x:row r="577">
      <x:c r="A577" t="str">
        <x:v>PC-PE-KG01-L24-20251021-AM-ORD-2025-00125-S01</x:v>
      </x:c>
      <x:c r="B577" t="str">
        <x:v>PE-KG01-L24-20251021-AM-ORD-2025-00125</x:v>
      </x:c>
      <x:c r="C577" t="str">
        <x:v>KG01</x:v>
      </x:c>
      <x:c r="D577" t="n">
        <x:v>45951</x:v>
      </x:c>
      <x:c r="E577" t="str">
        <x:v>AM</x:v>
      </x:c>
      <x:c r="F577" t="str">
        <x:v>A</x:v>
      </x:c>
      <x:c r="G577" t="n">
        <x:v>24</x:v>
      </x:c>
      <x:c r="H577" t="str">
        <x:v>ORD-2025-00125</x:v>
      </x:c>
      <x:c r="I577" t="n">
        <x:v>1</x:v>
      </x:c>
      <x:c r="J577" t="n">
        <x:v>12</x:v>
      </x:c>
      <x:c r="K577" t="n">
        <x:v>3</x:v>
      </x:c>
      <x:c r="L577" t="n">
        <x:f>IF(I577&lt;=J577,1,0)</x:f>
        <x:v>1</x:v>
      </x:c>
      <x:c r="P577" t="n">
        <x:f>IF(M577="",IF(AND(L577=1,K577&gt;=1),1,0),M577)</x:f>
        <x:v>1</x:v>
      </x:c>
      <x:c r="Q577" t="n">
        <x:f>IF(N577="",IF(AND(L577=1,K577&gt;=2),1,0),N577)</x:f>
        <x:v>1</x:v>
      </x:c>
      <x:c r="R577" t="n">
        <x:f>IF(O577="",IF(AND(L577=1,K577&gt;=3),1,0),O577)</x:f>
        <x:v>1</x:v>
      </x:c>
      <x:c r="S577" t="n">
        <x:f>SUM(P577:R577)</x:f>
        <x:v>3</x:v>
      </x:c>
      <x:c r="T577" t="str">
        <x:f>IF(COUNTA(M577:O577)=0,"DerivedFromCount","ManualOverride")</x:f>
        <x:v>DerivedFromCount</x:v>
      </x:c>
      <x:c r="U577" t="str">
        <x:f>IF(COUNTIF(DailyProduction!$Q$5:$Q$100,B577)=1,"OK","CHECK")</x:f>
        <x:v>OK</x:v>
      </x:c>
      <x:c r="V577" t="str">
        <x:f>IF(AND(I577&gt;=1,I577&lt;=13,K577&gt;=1,K577&lt;=3),"OK","CHECK")</x:f>
        <x:v>OK</x:v>
      </x:c>
      <x:c r="W577" t="str">
        <x:f>IF(SUMIF($B$5:$B$914,B577,$S$5:$S$914)=SUMIF(DailyProduction!$Q$5:$Q$100,B577,DailyProduction!$R$5:$R$100),"OK","CHECK")</x:f>
        <x:v>OK</x:v>
      </x:c>
    </x:row>
    <x:row r="578">
      <x:c r="A578" t="str">
        <x:v>PC-PE-KG01-L24-20251021-AM-ORD-2025-00125-S02</x:v>
      </x:c>
      <x:c r="B578" t="str">
        <x:v>PE-KG01-L24-20251021-AM-ORD-2025-00125</x:v>
      </x:c>
      <x:c r="C578" t="str">
        <x:v>KG01</x:v>
      </x:c>
      <x:c r="D578" t="n">
        <x:v>45951</x:v>
      </x:c>
      <x:c r="E578" t="str">
        <x:v>AM</x:v>
      </x:c>
      <x:c r="F578" t="str">
        <x:v>A</x:v>
      </x:c>
      <x:c r="G578" t="n">
        <x:v>24</x:v>
      </x:c>
      <x:c r="H578" t="str">
        <x:v>ORD-2025-00125</x:v>
      </x:c>
      <x:c r="I578" t="n">
        <x:v>2</x:v>
      </x:c>
      <x:c r="J578" t="n">
        <x:v>12</x:v>
      </x:c>
      <x:c r="K578" t="n">
        <x:v>3</x:v>
      </x:c>
      <x:c r="L578" t="n">
        <x:f>IF(I578&lt;=J578,1,0)</x:f>
        <x:v>1</x:v>
      </x:c>
      <x:c r="P578" t="n">
        <x:f>IF(M578="",IF(AND(L578=1,K578&gt;=1),1,0),M578)</x:f>
        <x:v>1</x:v>
      </x:c>
      <x:c r="Q578" t="n">
        <x:f>IF(N578="",IF(AND(L578=1,K578&gt;=2),1,0),N578)</x:f>
        <x:v>1</x:v>
      </x:c>
      <x:c r="R578" t="n">
        <x:f>IF(O578="",IF(AND(L578=1,K578&gt;=3),1,0),O578)</x:f>
        <x:v>1</x:v>
      </x:c>
      <x:c r="S578" t="n">
        <x:f>SUM(P578:R578)</x:f>
        <x:v>3</x:v>
      </x:c>
      <x:c r="T578" t="str">
        <x:f>IF(COUNTA(M578:O578)=0,"DerivedFromCount","ManualOverride")</x:f>
        <x:v>DerivedFromCount</x:v>
      </x:c>
      <x:c r="U578" t="str">
        <x:f>IF(COUNTIF(DailyProduction!$Q$5:$Q$100,B578)=1,"OK","CHECK")</x:f>
        <x:v>OK</x:v>
      </x:c>
      <x:c r="V578" t="str">
        <x:f>IF(AND(I578&gt;=1,I578&lt;=13,K578&gt;=1,K578&lt;=3),"OK","CHECK")</x:f>
        <x:v>OK</x:v>
      </x:c>
      <x:c r="W578" t="str">
        <x:f>IF(SUMIF($B$5:$B$914,B578,$S$5:$S$914)=SUMIF(DailyProduction!$Q$5:$Q$100,B578,DailyProduction!$R$5:$R$100),"OK","CHECK")</x:f>
        <x:v>OK</x:v>
      </x:c>
    </x:row>
    <x:row r="579">
      <x:c r="A579" t="str">
        <x:v>PC-PE-KG01-L24-20251021-AM-ORD-2025-00125-S03</x:v>
      </x:c>
      <x:c r="B579" t="str">
        <x:v>PE-KG01-L24-20251021-AM-ORD-2025-00125</x:v>
      </x:c>
      <x:c r="C579" t="str">
        <x:v>KG01</x:v>
      </x:c>
      <x:c r="D579" t="n">
        <x:v>45951</x:v>
      </x:c>
      <x:c r="E579" t="str">
        <x:v>AM</x:v>
      </x:c>
      <x:c r="F579" t="str">
        <x:v>A</x:v>
      </x:c>
      <x:c r="G579" t="n">
        <x:v>24</x:v>
      </x:c>
      <x:c r="H579" t="str">
        <x:v>ORD-2025-00125</x:v>
      </x:c>
      <x:c r="I579" t="n">
        <x:v>3</x:v>
      </x:c>
      <x:c r="J579" t="n">
        <x:v>12</x:v>
      </x:c>
      <x:c r="K579" t="n">
        <x:v>3</x:v>
      </x:c>
      <x:c r="L579" t="n">
        <x:f>IF(I579&lt;=J579,1,0)</x:f>
        <x:v>1</x:v>
      </x:c>
      <x:c r="P579" t="n">
        <x:f>IF(M579="",IF(AND(L579=1,K579&gt;=1),1,0),M579)</x:f>
        <x:v>1</x:v>
      </x:c>
      <x:c r="Q579" t="n">
        <x:f>IF(N579="",IF(AND(L579=1,K579&gt;=2),1,0),N579)</x:f>
        <x:v>1</x:v>
      </x:c>
      <x:c r="R579" t="n">
        <x:f>IF(O579="",IF(AND(L579=1,K579&gt;=3),1,0),O579)</x:f>
        <x:v>1</x:v>
      </x:c>
      <x:c r="S579" t="n">
        <x:f>SUM(P579:R579)</x:f>
        <x:v>3</x:v>
      </x:c>
      <x:c r="T579" t="str">
        <x:f>IF(COUNTA(M579:O579)=0,"DerivedFromCount","ManualOverride")</x:f>
        <x:v>DerivedFromCount</x:v>
      </x:c>
      <x:c r="U579" t="str">
        <x:f>IF(COUNTIF(DailyProduction!$Q$5:$Q$100,B579)=1,"OK","CHECK")</x:f>
        <x:v>OK</x:v>
      </x:c>
      <x:c r="V579" t="str">
        <x:f>IF(AND(I579&gt;=1,I579&lt;=13,K579&gt;=1,K579&lt;=3),"OK","CHECK")</x:f>
        <x:v>OK</x:v>
      </x:c>
      <x:c r="W579" t="str">
        <x:f>IF(SUMIF($B$5:$B$914,B579,$S$5:$S$914)=SUMIF(DailyProduction!$Q$5:$Q$100,B579,DailyProduction!$R$5:$R$100),"OK","CHECK")</x:f>
        <x:v>OK</x:v>
      </x:c>
    </x:row>
    <x:row r="580">
      <x:c r="A580" t="str">
        <x:v>PC-PE-KG01-L24-20251021-AM-ORD-2025-00125-S04</x:v>
      </x:c>
      <x:c r="B580" t="str">
        <x:v>PE-KG01-L24-20251021-AM-ORD-2025-00125</x:v>
      </x:c>
      <x:c r="C580" t="str">
        <x:v>KG01</x:v>
      </x:c>
      <x:c r="D580" t="n">
        <x:v>45951</x:v>
      </x:c>
      <x:c r="E580" t="str">
        <x:v>AM</x:v>
      </x:c>
      <x:c r="F580" t="str">
        <x:v>A</x:v>
      </x:c>
      <x:c r="G580" t="n">
        <x:v>24</x:v>
      </x:c>
      <x:c r="H580" t="str">
        <x:v>ORD-2025-00125</x:v>
      </x:c>
      <x:c r="I580" t="n">
        <x:v>4</x:v>
      </x:c>
      <x:c r="J580" t="n">
        <x:v>12</x:v>
      </x:c>
      <x:c r="K580" t="n">
        <x:v>3</x:v>
      </x:c>
      <x:c r="L580" t="n">
        <x:f>IF(I580&lt;=J580,1,0)</x:f>
        <x:v>1</x:v>
      </x:c>
      <x:c r="P580" t="n">
        <x:f>IF(M580="",IF(AND(L580=1,K580&gt;=1),1,0),M580)</x:f>
        <x:v>1</x:v>
      </x:c>
      <x:c r="Q580" t="n">
        <x:f>IF(N580="",IF(AND(L580=1,K580&gt;=2),1,0),N580)</x:f>
        <x:v>1</x:v>
      </x:c>
      <x:c r="R580" t="n">
        <x:f>IF(O580="",IF(AND(L580=1,K580&gt;=3),1,0),O580)</x:f>
        <x:v>1</x:v>
      </x:c>
      <x:c r="S580" t="n">
        <x:f>SUM(P580:R580)</x:f>
        <x:v>3</x:v>
      </x:c>
      <x:c r="T580" t="str">
        <x:f>IF(COUNTA(M580:O580)=0,"DerivedFromCount","ManualOverride")</x:f>
        <x:v>DerivedFromCount</x:v>
      </x:c>
      <x:c r="U580" t="str">
        <x:f>IF(COUNTIF(DailyProduction!$Q$5:$Q$100,B580)=1,"OK","CHECK")</x:f>
        <x:v>OK</x:v>
      </x:c>
      <x:c r="V580" t="str">
        <x:f>IF(AND(I580&gt;=1,I580&lt;=13,K580&gt;=1,K580&lt;=3),"OK","CHECK")</x:f>
        <x:v>OK</x:v>
      </x:c>
      <x:c r="W580" t="str">
        <x:f>IF(SUMIF($B$5:$B$914,B580,$S$5:$S$914)=SUMIF(DailyProduction!$Q$5:$Q$100,B580,DailyProduction!$R$5:$R$100),"OK","CHECK")</x:f>
        <x:v>OK</x:v>
      </x:c>
    </x:row>
    <x:row r="581">
      <x:c r="A581" t="str">
        <x:v>PC-PE-KG01-L24-20251021-AM-ORD-2025-00125-S05</x:v>
      </x:c>
      <x:c r="B581" t="str">
        <x:v>PE-KG01-L24-20251021-AM-ORD-2025-00125</x:v>
      </x:c>
      <x:c r="C581" t="str">
        <x:v>KG01</x:v>
      </x:c>
      <x:c r="D581" t="n">
        <x:v>45951</x:v>
      </x:c>
      <x:c r="E581" t="str">
        <x:v>AM</x:v>
      </x:c>
      <x:c r="F581" t="str">
        <x:v>A</x:v>
      </x:c>
      <x:c r="G581" t="n">
        <x:v>24</x:v>
      </x:c>
      <x:c r="H581" t="str">
        <x:v>ORD-2025-00125</x:v>
      </x:c>
      <x:c r="I581" t="n">
        <x:v>5</x:v>
      </x:c>
      <x:c r="J581" t="n">
        <x:v>12</x:v>
      </x:c>
      <x:c r="K581" t="n">
        <x:v>3</x:v>
      </x:c>
      <x:c r="L581" t="n">
        <x:f>IF(I581&lt;=J581,1,0)</x:f>
        <x:v>1</x:v>
      </x:c>
      <x:c r="P581" t="n">
        <x:f>IF(M581="",IF(AND(L581=1,K581&gt;=1),1,0),M581)</x:f>
        <x:v>1</x:v>
      </x:c>
      <x:c r="Q581" t="n">
        <x:f>IF(N581="",IF(AND(L581=1,K581&gt;=2),1,0),N581)</x:f>
        <x:v>1</x:v>
      </x:c>
      <x:c r="R581" t="n">
        <x:f>IF(O581="",IF(AND(L581=1,K581&gt;=3),1,0),O581)</x:f>
        <x:v>1</x:v>
      </x:c>
      <x:c r="S581" t="n">
        <x:f>SUM(P581:R581)</x:f>
        <x:v>3</x:v>
      </x:c>
      <x:c r="T581" t="str">
        <x:f>IF(COUNTA(M581:O581)=0,"DerivedFromCount","ManualOverride")</x:f>
        <x:v>DerivedFromCount</x:v>
      </x:c>
      <x:c r="U581" t="str">
        <x:f>IF(COUNTIF(DailyProduction!$Q$5:$Q$100,B581)=1,"OK","CHECK")</x:f>
        <x:v>OK</x:v>
      </x:c>
      <x:c r="V581" t="str">
        <x:f>IF(AND(I581&gt;=1,I581&lt;=13,K581&gt;=1,K581&lt;=3),"OK","CHECK")</x:f>
        <x:v>OK</x:v>
      </x:c>
      <x:c r="W581" t="str">
        <x:f>IF(SUMIF($B$5:$B$914,B581,$S$5:$S$914)=SUMIF(DailyProduction!$Q$5:$Q$100,B581,DailyProduction!$R$5:$R$100),"OK","CHECK")</x:f>
        <x:v>OK</x:v>
      </x:c>
    </x:row>
    <x:row r="582">
      <x:c r="A582" t="str">
        <x:v>PC-PE-KG01-L24-20251021-AM-ORD-2025-00125-S06</x:v>
      </x:c>
      <x:c r="B582" t="str">
        <x:v>PE-KG01-L24-20251021-AM-ORD-2025-00125</x:v>
      </x:c>
      <x:c r="C582" t="str">
        <x:v>KG01</x:v>
      </x:c>
      <x:c r="D582" t="n">
        <x:v>45951</x:v>
      </x:c>
      <x:c r="E582" t="str">
        <x:v>AM</x:v>
      </x:c>
      <x:c r="F582" t="str">
        <x:v>A</x:v>
      </x:c>
      <x:c r="G582" t="n">
        <x:v>24</x:v>
      </x:c>
      <x:c r="H582" t="str">
        <x:v>ORD-2025-00125</x:v>
      </x:c>
      <x:c r="I582" t="n">
        <x:v>6</x:v>
      </x:c>
      <x:c r="J582" t="n">
        <x:v>12</x:v>
      </x:c>
      <x:c r="K582" t="n">
        <x:v>3</x:v>
      </x:c>
      <x:c r="L582" t="n">
        <x:f>IF(I582&lt;=J582,1,0)</x:f>
        <x:v>1</x:v>
      </x:c>
      <x:c r="P582" t="n">
        <x:f>IF(M582="",IF(AND(L582=1,K582&gt;=1),1,0),M582)</x:f>
        <x:v>1</x:v>
      </x:c>
      <x:c r="Q582" t="n">
        <x:f>IF(N582="",IF(AND(L582=1,K582&gt;=2),1,0),N582)</x:f>
        <x:v>1</x:v>
      </x:c>
      <x:c r="R582" t="n">
        <x:f>IF(O582="",IF(AND(L582=1,K582&gt;=3),1,0),O582)</x:f>
        <x:v>1</x:v>
      </x:c>
      <x:c r="S582" t="n">
        <x:f>SUM(P582:R582)</x:f>
        <x:v>3</x:v>
      </x:c>
      <x:c r="T582" t="str">
        <x:f>IF(COUNTA(M582:O582)=0,"DerivedFromCount","ManualOverride")</x:f>
        <x:v>DerivedFromCount</x:v>
      </x:c>
      <x:c r="U582" t="str">
        <x:f>IF(COUNTIF(DailyProduction!$Q$5:$Q$100,B582)=1,"OK","CHECK")</x:f>
        <x:v>OK</x:v>
      </x:c>
      <x:c r="V582" t="str">
        <x:f>IF(AND(I582&gt;=1,I582&lt;=13,K582&gt;=1,K582&lt;=3),"OK","CHECK")</x:f>
        <x:v>OK</x:v>
      </x:c>
      <x:c r="W582" t="str">
        <x:f>IF(SUMIF($B$5:$B$914,B582,$S$5:$S$914)=SUMIF(DailyProduction!$Q$5:$Q$100,B582,DailyProduction!$R$5:$R$100),"OK","CHECK")</x:f>
        <x:v>OK</x:v>
      </x:c>
    </x:row>
    <x:row r="583">
      <x:c r="A583" t="str">
        <x:v>PC-PE-KG01-L24-20251021-AM-ORD-2025-00125-S07</x:v>
      </x:c>
      <x:c r="B583" t="str">
        <x:v>PE-KG01-L24-20251021-AM-ORD-2025-00125</x:v>
      </x:c>
      <x:c r="C583" t="str">
        <x:v>KG01</x:v>
      </x:c>
      <x:c r="D583" t="n">
        <x:v>45951</x:v>
      </x:c>
      <x:c r="E583" t="str">
        <x:v>AM</x:v>
      </x:c>
      <x:c r="F583" t="str">
        <x:v>A</x:v>
      </x:c>
      <x:c r="G583" t="n">
        <x:v>24</x:v>
      </x:c>
      <x:c r="H583" t="str">
        <x:v>ORD-2025-00125</x:v>
      </x:c>
      <x:c r="I583" t="n">
        <x:v>7</x:v>
      </x:c>
      <x:c r="J583" t="n">
        <x:v>12</x:v>
      </x:c>
      <x:c r="K583" t="n">
        <x:v>3</x:v>
      </x:c>
      <x:c r="L583" t="n">
        <x:f>IF(I583&lt;=J583,1,0)</x:f>
        <x:v>1</x:v>
      </x:c>
      <x:c r="P583" t="n">
        <x:f>IF(M583="",IF(AND(L583=1,K583&gt;=1),1,0),M583)</x:f>
        <x:v>1</x:v>
      </x:c>
      <x:c r="Q583" t="n">
        <x:f>IF(N583="",IF(AND(L583=1,K583&gt;=2),1,0),N583)</x:f>
        <x:v>1</x:v>
      </x:c>
      <x:c r="R583" t="n">
        <x:f>IF(O583="",IF(AND(L583=1,K583&gt;=3),1,0),O583)</x:f>
        <x:v>1</x:v>
      </x:c>
      <x:c r="S583" t="n">
        <x:f>SUM(P583:R583)</x:f>
        <x:v>3</x:v>
      </x:c>
      <x:c r="T583" t="str">
        <x:f>IF(COUNTA(M583:O583)=0,"DerivedFromCount","ManualOverride")</x:f>
        <x:v>DerivedFromCount</x:v>
      </x:c>
      <x:c r="U583" t="str">
        <x:f>IF(COUNTIF(DailyProduction!$Q$5:$Q$100,B583)=1,"OK","CHECK")</x:f>
        <x:v>OK</x:v>
      </x:c>
      <x:c r="V583" t="str">
        <x:f>IF(AND(I583&gt;=1,I583&lt;=13,K583&gt;=1,K583&lt;=3),"OK","CHECK")</x:f>
        <x:v>OK</x:v>
      </x:c>
      <x:c r="W583" t="str">
        <x:f>IF(SUMIF($B$5:$B$914,B583,$S$5:$S$914)=SUMIF(DailyProduction!$Q$5:$Q$100,B583,DailyProduction!$R$5:$R$100),"OK","CHECK")</x:f>
        <x:v>OK</x:v>
      </x:c>
    </x:row>
    <x:row r="584">
      <x:c r="A584" t="str">
        <x:v>PC-PE-KG01-L24-20251021-AM-ORD-2025-00125-S08</x:v>
      </x:c>
      <x:c r="B584" t="str">
        <x:v>PE-KG01-L24-20251021-AM-ORD-2025-00125</x:v>
      </x:c>
      <x:c r="C584" t="str">
        <x:v>KG01</x:v>
      </x:c>
      <x:c r="D584" t="n">
        <x:v>45951</x:v>
      </x:c>
      <x:c r="E584" t="str">
        <x:v>AM</x:v>
      </x:c>
      <x:c r="F584" t="str">
        <x:v>A</x:v>
      </x:c>
      <x:c r="G584" t="n">
        <x:v>24</x:v>
      </x:c>
      <x:c r="H584" t="str">
        <x:v>ORD-2025-00125</x:v>
      </x:c>
      <x:c r="I584" t="n">
        <x:v>8</x:v>
      </x:c>
      <x:c r="J584" t="n">
        <x:v>12</x:v>
      </x:c>
      <x:c r="K584" t="n">
        <x:v>3</x:v>
      </x:c>
      <x:c r="L584" t="n">
        <x:f>IF(I584&lt;=J584,1,0)</x:f>
        <x:v>1</x:v>
      </x:c>
      <x:c r="P584" t="n">
        <x:f>IF(M584="",IF(AND(L584=1,K584&gt;=1),1,0),M584)</x:f>
        <x:v>1</x:v>
      </x:c>
      <x:c r="Q584" t="n">
        <x:f>IF(N584="",IF(AND(L584=1,K584&gt;=2),1,0),N584)</x:f>
        <x:v>1</x:v>
      </x:c>
      <x:c r="R584" t="n">
        <x:f>IF(O584="",IF(AND(L584=1,K584&gt;=3),1,0),O584)</x:f>
        <x:v>1</x:v>
      </x:c>
      <x:c r="S584" t="n">
        <x:f>SUM(P584:R584)</x:f>
        <x:v>3</x:v>
      </x:c>
      <x:c r="T584" t="str">
        <x:f>IF(COUNTA(M584:O584)=0,"DerivedFromCount","ManualOverride")</x:f>
        <x:v>DerivedFromCount</x:v>
      </x:c>
      <x:c r="U584" t="str">
        <x:f>IF(COUNTIF(DailyProduction!$Q$5:$Q$100,B584)=1,"OK","CHECK")</x:f>
        <x:v>OK</x:v>
      </x:c>
      <x:c r="V584" t="str">
        <x:f>IF(AND(I584&gt;=1,I584&lt;=13,K584&gt;=1,K584&lt;=3),"OK","CHECK")</x:f>
        <x:v>OK</x:v>
      </x:c>
      <x:c r="W584" t="str">
        <x:f>IF(SUMIF($B$5:$B$914,B584,$S$5:$S$914)=SUMIF(DailyProduction!$Q$5:$Q$100,B584,DailyProduction!$R$5:$R$100),"OK","CHECK")</x:f>
        <x:v>OK</x:v>
      </x:c>
    </x:row>
    <x:row r="585">
      <x:c r="A585" t="str">
        <x:v>PC-PE-KG01-L24-20251021-AM-ORD-2025-00125-S09</x:v>
      </x:c>
      <x:c r="B585" t="str">
        <x:v>PE-KG01-L24-20251021-AM-ORD-2025-00125</x:v>
      </x:c>
      <x:c r="C585" t="str">
        <x:v>KG01</x:v>
      </x:c>
      <x:c r="D585" t="n">
        <x:v>45951</x:v>
      </x:c>
      <x:c r="E585" t="str">
        <x:v>AM</x:v>
      </x:c>
      <x:c r="F585" t="str">
        <x:v>A</x:v>
      </x:c>
      <x:c r="G585" t="n">
        <x:v>24</x:v>
      </x:c>
      <x:c r="H585" t="str">
        <x:v>ORD-2025-00125</x:v>
      </x:c>
      <x:c r="I585" t="n">
        <x:v>9</x:v>
      </x:c>
      <x:c r="J585" t="n">
        <x:v>12</x:v>
      </x:c>
      <x:c r="K585" t="n">
        <x:v>3</x:v>
      </x:c>
      <x:c r="L585" t="n">
        <x:f>IF(I585&lt;=J585,1,0)</x:f>
        <x:v>1</x:v>
      </x:c>
      <x:c r="P585" t="n">
        <x:f>IF(M585="",IF(AND(L585=1,K585&gt;=1),1,0),M585)</x:f>
        <x:v>1</x:v>
      </x:c>
      <x:c r="Q585" t="n">
        <x:f>IF(N585="",IF(AND(L585=1,K585&gt;=2),1,0),N585)</x:f>
        <x:v>1</x:v>
      </x:c>
      <x:c r="R585" t="n">
        <x:f>IF(O585="",IF(AND(L585=1,K585&gt;=3),1,0),O585)</x:f>
        <x:v>1</x:v>
      </x:c>
      <x:c r="S585" t="n">
        <x:f>SUM(P585:R585)</x:f>
        <x:v>3</x:v>
      </x:c>
      <x:c r="T585" t="str">
        <x:f>IF(COUNTA(M585:O585)=0,"DerivedFromCount","ManualOverride")</x:f>
        <x:v>DerivedFromCount</x:v>
      </x:c>
      <x:c r="U585" t="str">
        <x:f>IF(COUNTIF(DailyProduction!$Q$5:$Q$100,B585)=1,"OK","CHECK")</x:f>
        <x:v>OK</x:v>
      </x:c>
      <x:c r="V585" t="str">
        <x:f>IF(AND(I585&gt;=1,I585&lt;=13,K585&gt;=1,K585&lt;=3),"OK","CHECK")</x:f>
        <x:v>OK</x:v>
      </x:c>
      <x:c r="W585" t="str">
        <x:f>IF(SUMIF($B$5:$B$914,B585,$S$5:$S$914)=SUMIF(DailyProduction!$Q$5:$Q$100,B585,DailyProduction!$R$5:$R$100),"OK","CHECK")</x:f>
        <x:v>OK</x:v>
      </x:c>
    </x:row>
    <x:row r="586">
      <x:c r="A586" t="str">
        <x:v>PC-PE-KG01-L24-20251021-AM-ORD-2025-00125-S10</x:v>
      </x:c>
      <x:c r="B586" t="str">
        <x:v>PE-KG01-L24-20251021-AM-ORD-2025-00125</x:v>
      </x:c>
      <x:c r="C586" t="str">
        <x:v>KG01</x:v>
      </x:c>
      <x:c r="D586" t="n">
        <x:v>45951</x:v>
      </x:c>
      <x:c r="E586" t="str">
        <x:v>AM</x:v>
      </x:c>
      <x:c r="F586" t="str">
        <x:v>A</x:v>
      </x:c>
      <x:c r="G586" t="n">
        <x:v>24</x:v>
      </x:c>
      <x:c r="H586" t="str">
        <x:v>ORD-2025-00125</x:v>
      </x:c>
      <x:c r="I586" t="n">
        <x:v>10</x:v>
      </x:c>
      <x:c r="J586" t="n">
        <x:v>12</x:v>
      </x:c>
      <x:c r="K586" t="n">
        <x:v>3</x:v>
      </x:c>
      <x:c r="L586" t="n">
        <x:f>IF(I586&lt;=J586,1,0)</x:f>
        <x:v>1</x:v>
      </x:c>
      <x:c r="P586" t="n">
        <x:f>IF(M586="",IF(AND(L586=1,K586&gt;=1),1,0),M586)</x:f>
        <x:v>1</x:v>
      </x:c>
      <x:c r="Q586" t="n">
        <x:f>IF(N586="",IF(AND(L586=1,K586&gt;=2),1,0),N586)</x:f>
        <x:v>1</x:v>
      </x:c>
      <x:c r="R586" t="n">
        <x:f>IF(O586="",IF(AND(L586=1,K586&gt;=3),1,0),O586)</x:f>
        <x:v>1</x:v>
      </x:c>
      <x:c r="S586" t="n">
        <x:f>SUM(P586:R586)</x:f>
        <x:v>3</x:v>
      </x:c>
      <x:c r="T586" t="str">
        <x:f>IF(COUNTA(M586:O586)=0,"DerivedFromCount","ManualOverride")</x:f>
        <x:v>DerivedFromCount</x:v>
      </x:c>
      <x:c r="U586" t="str">
        <x:f>IF(COUNTIF(DailyProduction!$Q$5:$Q$100,B586)=1,"OK","CHECK")</x:f>
        <x:v>OK</x:v>
      </x:c>
      <x:c r="V586" t="str">
        <x:f>IF(AND(I586&gt;=1,I586&lt;=13,K586&gt;=1,K586&lt;=3),"OK","CHECK")</x:f>
        <x:v>OK</x:v>
      </x:c>
      <x:c r="W586" t="str">
        <x:f>IF(SUMIF($B$5:$B$914,B586,$S$5:$S$914)=SUMIF(DailyProduction!$Q$5:$Q$100,B586,DailyProduction!$R$5:$R$100),"OK","CHECK")</x:f>
        <x:v>OK</x:v>
      </x:c>
    </x:row>
    <x:row r="587">
      <x:c r="A587" t="str">
        <x:v>PC-PE-KG01-L24-20251021-AM-ORD-2025-00125-S11</x:v>
      </x:c>
      <x:c r="B587" t="str">
        <x:v>PE-KG01-L24-20251021-AM-ORD-2025-00125</x:v>
      </x:c>
      <x:c r="C587" t="str">
        <x:v>KG01</x:v>
      </x:c>
      <x:c r="D587" t="n">
        <x:v>45951</x:v>
      </x:c>
      <x:c r="E587" t="str">
        <x:v>AM</x:v>
      </x:c>
      <x:c r="F587" t="str">
        <x:v>A</x:v>
      </x:c>
      <x:c r="G587" t="n">
        <x:v>24</x:v>
      </x:c>
      <x:c r="H587" t="str">
        <x:v>ORD-2025-00125</x:v>
      </x:c>
      <x:c r="I587" t="n">
        <x:v>11</x:v>
      </x:c>
      <x:c r="J587" t="n">
        <x:v>12</x:v>
      </x:c>
      <x:c r="K587" t="n">
        <x:v>3</x:v>
      </x:c>
      <x:c r="L587" t="n">
        <x:f>IF(I587&lt;=J587,1,0)</x:f>
        <x:v>1</x:v>
      </x:c>
      <x:c r="P587" t="n">
        <x:f>IF(M587="",IF(AND(L587=1,K587&gt;=1),1,0),M587)</x:f>
        <x:v>1</x:v>
      </x:c>
      <x:c r="Q587" t="n">
        <x:f>IF(N587="",IF(AND(L587=1,K587&gt;=2),1,0),N587)</x:f>
        <x:v>1</x:v>
      </x:c>
      <x:c r="R587" t="n">
        <x:f>IF(O587="",IF(AND(L587=1,K587&gt;=3),1,0),O587)</x:f>
        <x:v>1</x:v>
      </x:c>
      <x:c r="S587" t="n">
        <x:f>SUM(P587:R587)</x:f>
        <x:v>3</x:v>
      </x:c>
      <x:c r="T587" t="str">
        <x:f>IF(COUNTA(M587:O587)=0,"DerivedFromCount","ManualOverride")</x:f>
        <x:v>DerivedFromCount</x:v>
      </x:c>
      <x:c r="U587" t="str">
        <x:f>IF(COUNTIF(DailyProduction!$Q$5:$Q$100,B587)=1,"OK","CHECK")</x:f>
        <x:v>OK</x:v>
      </x:c>
      <x:c r="V587" t="str">
        <x:f>IF(AND(I587&gt;=1,I587&lt;=13,K587&gt;=1,K587&lt;=3),"OK","CHECK")</x:f>
        <x:v>OK</x:v>
      </x:c>
      <x:c r="W587" t="str">
        <x:f>IF(SUMIF($B$5:$B$914,B587,$S$5:$S$914)=SUMIF(DailyProduction!$Q$5:$Q$100,B587,DailyProduction!$R$5:$R$100),"OK","CHECK")</x:f>
        <x:v>OK</x:v>
      </x:c>
    </x:row>
    <x:row r="588">
      <x:c r="A588" t="str">
        <x:v>PC-PE-KG01-L24-20251021-AM-ORD-2025-00125-S12</x:v>
      </x:c>
      <x:c r="B588" t="str">
        <x:v>PE-KG01-L24-20251021-AM-ORD-2025-00125</x:v>
      </x:c>
      <x:c r="C588" t="str">
        <x:v>KG01</x:v>
      </x:c>
      <x:c r="D588" t="n">
        <x:v>45951</x:v>
      </x:c>
      <x:c r="E588" t="str">
        <x:v>AM</x:v>
      </x:c>
      <x:c r="F588" t="str">
        <x:v>A</x:v>
      </x:c>
      <x:c r="G588" t="n">
        <x:v>24</x:v>
      </x:c>
      <x:c r="H588" t="str">
        <x:v>ORD-2025-00125</x:v>
      </x:c>
      <x:c r="I588" t="n">
        <x:v>12</x:v>
      </x:c>
      <x:c r="J588" t="n">
        <x:v>12</x:v>
      </x:c>
      <x:c r="K588" t="n">
        <x:v>3</x:v>
      </x:c>
      <x:c r="L588" t="n">
        <x:f>IF(I588&lt;=J588,1,0)</x:f>
        <x:v>1</x:v>
      </x:c>
      <x:c r="P588" t="n">
        <x:f>IF(M588="",IF(AND(L588=1,K588&gt;=1),1,0),M588)</x:f>
        <x:v>1</x:v>
      </x:c>
      <x:c r="Q588" t="n">
        <x:f>IF(N588="",IF(AND(L588=1,K588&gt;=2),1,0),N588)</x:f>
        <x:v>1</x:v>
      </x:c>
      <x:c r="R588" t="n">
        <x:f>IF(O588="",IF(AND(L588=1,K588&gt;=3),1,0),O588)</x:f>
        <x:v>1</x:v>
      </x:c>
      <x:c r="S588" t="n">
        <x:f>SUM(P588:R588)</x:f>
        <x:v>3</x:v>
      </x:c>
      <x:c r="T588" t="str">
        <x:f>IF(COUNTA(M588:O588)=0,"DerivedFromCount","ManualOverride")</x:f>
        <x:v>DerivedFromCount</x:v>
      </x:c>
      <x:c r="U588" t="str">
        <x:f>IF(COUNTIF(DailyProduction!$Q$5:$Q$100,B588)=1,"OK","CHECK")</x:f>
        <x:v>OK</x:v>
      </x:c>
      <x:c r="V588" t="str">
        <x:f>IF(AND(I588&gt;=1,I588&lt;=13,K588&gt;=1,K588&lt;=3),"OK","CHECK")</x:f>
        <x:v>OK</x:v>
      </x:c>
      <x:c r="W588" t="str">
        <x:f>IF(SUMIF($B$5:$B$914,B588,$S$5:$S$914)=SUMIF(DailyProduction!$Q$5:$Q$100,B588,DailyProduction!$R$5:$R$100),"OK","CHECK")</x:f>
        <x:v>OK</x:v>
      </x:c>
    </x:row>
    <x:row r="589">
      <x:c r="A589" t="str">
        <x:v>PC-PE-KG01-L24-20251021-AM-ORD-2025-00125-S13</x:v>
      </x:c>
      <x:c r="B589" t="str">
        <x:v>PE-KG01-L24-20251021-AM-ORD-2025-00125</x:v>
      </x:c>
      <x:c r="C589" t="str">
        <x:v>KG01</x:v>
      </x:c>
      <x:c r="D589" t="n">
        <x:v>45951</x:v>
      </x:c>
      <x:c r="E589" t="str">
        <x:v>AM</x:v>
      </x:c>
      <x:c r="F589" t="str">
        <x:v>A</x:v>
      </x:c>
      <x:c r="G589" t="n">
        <x:v>24</x:v>
      </x:c>
      <x:c r="H589" t="str">
        <x:v>ORD-2025-00125</x:v>
      </x:c>
      <x:c r="I589" t="n">
        <x:v>13</x:v>
      </x:c>
      <x:c r="J589" t="n">
        <x:v>12</x:v>
      </x:c>
      <x:c r="K589" t="n">
        <x:v>3</x:v>
      </x:c>
      <x:c r="L589" t="n">
        <x:f>IF(I589&lt;=J589,1,0)</x:f>
        <x:v>0</x:v>
      </x:c>
      <x:c r="P589" t="n">
        <x:f>IF(M589="",IF(AND(L589=1,K589&gt;=1),1,0),M589)</x:f>
        <x:v>0</x:v>
      </x:c>
      <x:c r="Q589" t="n">
        <x:f>IF(N589="",IF(AND(L589=1,K589&gt;=2),1,0),N589)</x:f>
        <x:v>0</x:v>
      </x:c>
      <x:c r="R589" t="n">
        <x:f>IF(O589="",IF(AND(L589=1,K589&gt;=3),1,0),O589)</x:f>
        <x:v>0</x:v>
      </x:c>
      <x:c r="S589" t="n">
        <x:f>SUM(P589:R589)</x:f>
        <x:v>0</x:v>
      </x:c>
      <x:c r="T589" t="str">
        <x:f>IF(COUNTA(M589:O589)=0,"DerivedFromCount","ManualOverride")</x:f>
        <x:v>DerivedFromCount</x:v>
      </x:c>
      <x:c r="U589" t="str">
        <x:f>IF(COUNTIF(DailyProduction!$Q$5:$Q$100,B589)=1,"OK","CHECK")</x:f>
        <x:v>OK</x:v>
      </x:c>
      <x:c r="V589" t="str">
        <x:f>IF(AND(I589&gt;=1,I589&lt;=13,K589&gt;=1,K589&lt;=3),"OK","CHECK")</x:f>
        <x:v>OK</x:v>
      </x:c>
      <x:c r="W589" t="str">
        <x:f>IF(SUMIF($B$5:$B$914,B589,$S$5:$S$914)=SUMIF(DailyProduction!$Q$5:$Q$100,B589,DailyProduction!$R$5:$R$100),"OK","CHECK")</x:f>
        <x:v>OK</x:v>
      </x:c>
    </x:row>
    <x:row r="590">
      <x:c r="A590" t="str">
        <x:v>PC-PE-KG01-L24-20251021-PM-ORD-2025-00125-S01</x:v>
      </x:c>
      <x:c r="B590" t="str">
        <x:v>PE-KG01-L24-20251021-PM-ORD-2025-00125</x:v>
      </x:c>
      <x:c r="C590" t="str">
        <x:v>KG01</x:v>
      </x:c>
      <x:c r="D590" t="n">
        <x:v>45951</x:v>
      </x:c>
      <x:c r="E590" t="str">
        <x:v>PM</x:v>
      </x:c>
      <x:c r="F590" t="str">
        <x:v>B</x:v>
      </x:c>
      <x:c r="G590" t="n">
        <x:v>24</x:v>
      </x:c>
      <x:c r="H590" t="str">
        <x:v>ORD-2025-00125</x:v>
      </x:c>
      <x:c r="I590" t="n">
        <x:v>1</x:v>
      </x:c>
      <x:c r="J590" t="n">
        <x:v>12</x:v>
      </x:c>
      <x:c r="K590" t="n">
        <x:v>3</x:v>
      </x:c>
      <x:c r="L590" t="n">
        <x:f>IF(I590&lt;=J590,1,0)</x:f>
        <x:v>1</x:v>
      </x:c>
      <x:c r="P590" t="n">
        <x:f>IF(M590="",IF(AND(L590=1,K590&gt;=1),1,0),M590)</x:f>
        <x:v>1</x:v>
      </x:c>
      <x:c r="Q590" t="n">
        <x:f>IF(N590="",IF(AND(L590=1,K590&gt;=2),1,0),N590)</x:f>
        <x:v>1</x:v>
      </x:c>
      <x:c r="R590" t="n">
        <x:f>IF(O590="",IF(AND(L590=1,K590&gt;=3),1,0),O590)</x:f>
        <x:v>1</x:v>
      </x:c>
      <x:c r="S590" t="n">
        <x:f>SUM(P590:R590)</x:f>
        <x:v>3</x:v>
      </x:c>
      <x:c r="T590" t="str">
        <x:f>IF(COUNTA(M590:O590)=0,"DerivedFromCount","ManualOverride")</x:f>
        <x:v>DerivedFromCount</x:v>
      </x:c>
      <x:c r="U590" t="str">
        <x:f>IF(COUNTIF(DailyProduction!$Q$5:$Q$100,B590)=1,"OK","CHECK")</x:f>
        <x:v>OK</x:v>
      </x:c>
      <x:c r="V590" t="str">
        <x:f>IF(AND(I590&gt;=1,I590&lt;=13,K590&gt;=1,K590&lt;=3),"OK","CHECK")</x:f>
        <x:v>OK</x:v>
      </x:c>
      <x:c r="W590" t="str">
        <x:f>IF(SUMIF($B$5:$B$914,B590,$S$5:$S$914)=SUMIF(DailyProduction!$Q$5:$Q$100,B590,DailyProduction!$R$5:$R$100),"OK","CHECK")</x:f>
        <x:v>OK</x:v>
      </x:c>
    </x:row>
    <x:row r="591">
      <x:c r="A591" t="str">
        <x:v>PC-PE-KG01-L24-20251021-PM-ORD-2025-00125-S02</x:v>
      </x:c>
      <x:c r="B591" t="str">
        <x:v>PE-KG01-L24-20251021-PM-ORD-2025-00125</x:v>
      </x:c>
      <x:c r="C591" t="str">
        <x:v>KG01</x:v>
      </x:c>
      <x:c r="D591" t="n">
        <x:v>45951</x:v>
      </x:c>
      <x:c r="E591" t="str">
        <x:v>PM</x:v>
      </x:c>
      <x:c r="F591" t="str">
        <x:v>B</x:v>
      </x:c>
      <x:c r="G591" t="n">
        <x:v>24</x:v>
      </x:c>
      <x:c r="H591" t="str">
        <x:v>ORD-2025-00125</x:v>
      </x:c>
      <x:c r="I591" t="n">
        <x:v>2</x:v>
      </x:c>
      <x:c r="J591" t="n">
        <x:v>12</x:v>
      </x:c>
      <x:c r="K591" t="n">
        <x:v>3</x:v>
      </x:c>
      <x:c r="L591" t="n">
        <x:f>IF(I591&lt;=J591,1,0)</x:f>
        <x:v>1</x:v>
      </x:c>
      <x:c r="P591" t="n">
        <x:f>IF(M591="",IF(AND(L591=1,K591&gt;=1),1,0),M591)</x:f>
        <x:v>1</x:v>
      </x:c>
      <x:c r="Q591" t="n">
        <x:f>IF(N591="",IF(AND(L591=1,K591&gt;=2),1,0),N591)</x:f>
        <x:v>1</x:v>
      </x:c>
      <x:c r="R591" t="n">
        <x:f>IF(O591="",IF(AND(L591=1,K591&gt;=3),1,0),O591)</x:f>
        <x:v>1</x:v>
      </x:c>
      <x:c r="S591" t="n">
        <x:f>SUM(P591:R591)</x:f>
        <x:v>3</x:v>
      </x:c>
      <x:c r="T591" t="str">
        <x:f>IF(COUNTA(M591:O591)=0,"DerivedFromCount","ManualOverride")</x:f>
        <x:v>DerivedFromCount</x:v>
      </x:c>
      <x:c r="U591" t="str">
        <x:f>IF(COUNTIF(DailyProduction!$Q$5:$Q$100,B591)=1,"OK","CHECK")</x:f>
        <x:v>OK</x:v>
      </x:c>
      <x:c r="V591" t="str">
        <x:f>IF(AND(I591&gt;=1,I591&lt;=13,K591&gt;=1,K591&lt;=3),"OK","CHECK")</x:f>
        <x:v>OK</x:v>
      </x:c>
      <x:c r="W591" t="str">
        <x:f>IF(SUMIF($B$5:$B$914,B591,$S$5:$S$914)=SUMIF(DailyProduction!$Q$5:$Q$100,B591,DailyProduction!$R$5:$R$100),"OK","CHECK")</x:f>
        <x:v>OK</x:v>
      </x:c>
    </x:row>
    <x:row r="592">
      <x:c r="A592" t="str">
        <x:v>PC-PE-KG01-L24-20251021-PM-ORD-2025-00125-S03</x:v>
      </x:c>
      <x:c r="B592" t="str">
        <x:v>PE-KG01-L24-20251021-PM-ORD-2025-00125</x:v>
      </x:c>
      <x:c r="C592" t="str">
        <x:v>KG01</x:v>
      </x:c>
      <x:c r="D592" t="n">
        <x:v>45951</x:v>
      </x:c>
      <x:c r="E592" t="str">
        <x:v>PM</x:v>
      </x:c>
      <x:c r="F592" t="str">
        <x:v>B</x:v>
      </x:c>
      <x:c r="G592" t="n">
        <x:v>24</x:v>
      </x:c>
      <x:c r="H592" t="str">
        <x:v>ORD-2025-00125</x:v>
      </x:c>
      <x:c r="I592" t="n">
        <x:v>3</x:v>
      </x:c>
      <x:c r="J592" t="n">
        <x:v>12</x:v>
      </x:c>
      <x:c r="K592" t="n">
        <x:v>3</x:v>
      </x:c>
      <x:c r="L592" t="n">
        <x:f>IF(I592&lt;=J592,1,0)</x:f>
        <x:v>1</x:v>
      </x:c>
      <x:c r="P592" t="n">
        <x:f>IF(M592="",IF(AND(L592=1,K592&gt;=1),1,0),M592)</x:f>
        <x:v>1</x:v>
      </x:c>
      <x:c r="Q592" t="n">
        <x:f>IF(N592="",IF(AND(L592=1,K592&gt;=2),1,0),N592)</x:f>
        <x:v>1</x:v>
      </x:c>
      <x:c r="R592" t="n">
        <x:f>IF(O592="",IF(AND(L592=1,K592&gt;=3),1,0),O592)</x:f>
        <x:v>1</x:v>
      </x:c>
      <x:c r="S592" t="n">
        <x:f>SUM(P592:R592)</x:f>
        <x:v>3</x:v>
      </x:c>
      <x:c r="T592" t="str">
        <x:f>IF(COUNTA(M592:O592)=0,"DerivedFromCount","ManualOverride")</x:f>
        <x:v>DerivedFromCount</x:v>
      </x:c>
      <x:c r="U592" t="str">
        <x:f>IF(COUNTIF(DailyProduction!$Q$5:$Q$100,B592)=1,"OK","CHECK")</x:f>
        <x:v>OK</x:v>
      </x:c>
      <x:c r="V592" t="str">
        <x:f>IF(AND(I592&gt;=1,I592&lt;=13,K592&gt;=1,K592&lt;=3),"OK","CHECK")</x:f>
        <x:v>OK</x:v>
      </x:c>
      <x:c r="W592" t="str">
        <x:f>IF(SUMIF($B$5:$B$914,B592,$S$5:$S$914)=SUMIF(DailyProduction!$Q$5:$Q$100,B592,DailyProduction!$R$5:$R$100),"OK","CHECK")</x:f>
        <x:v>OK</x:v>
      </x:c>
    </x:row>
    <x:row r="593">
      <x:c r="A593" t="str">
        <x:v>PC-PE-KG01-L24-20251021-PM-ORD-2025-00125-S04</x:v>
      </x:c>
      <x:c r="B593" t="str">
        <x:v>PE-KG01-L24-20251021-PM-ORD-2025-00125</x:v>
      </x:c>
      <x:c r="C593" t="str">
        <x:v>KG01</x:v>
      </x:c>
      <x:c r="D593" t="n">
        <x:v>45951</x:v>
      </x:c>
      <x:c r="E593" t="str">
        <x:v>PM</x:v>
      </x:c>
      <x:c r="F593" t="str">
        <x:v>B</x:v>
      </x:c>
      <x:c r="G593" t="n">
        <x:v>24</x:v>
      </x:c>
      <x:c r="H593" t="str">
        <x:v>ORD-2025-00125</x:v>
      </x:c>
      <x:c r="I593" t="n">
        <x:v>4</x:v>
      </x:c>
      <x:c r="J593" t="n">
        <x:v>12</x:v>
      </x:c>
      <x:c r="K593" t="n">
        <x:v>3</x:v>
      </x:c>
      <x:c r="L593" t="n">
        <x:f>IF(I593&lt;=J593,1,0)</x:f>
        <x:v>1</x:v>
      </x:c>
      <x:c r="P593" t="n">
        <x:f>IF(M593="",IF(AND(L593=1,K593&gt;=1),1,0),M593)</x:f>
        <x:v>1</x:v>
      </x:c>
      <x:c r="Q593" t="n">
        <x:f>IF(N593="",IF(AND(L593=1,K593&gt;=2),1,0),N593)</x:f>
        <x:v>1</x:v>
      </x:c>
      <x:c r="R593" t="n">
        <x:f>IF(O593="",IF(AND(L593=1,K593&gt;=3),1,0),O593)</x:f>
        <x:v>1</x:v>
      </x:c>
      <x:c r="S593" t="n">
        <x:f>SUM(P593:R593)</x:f>
        <x:v>3</x:v>
      </x:c>
      <x:c r="T593" t="str">
        <x:f>IF(COUNTA(M593:O593)=0,"DerivedFromCount","ManualOverride")</x:f>
        <x:v>DerivedFromCount</x:v>
      </x:c>
      <x:c r="U593" t="str">
        <x:f>IF(COUNTIF(DailyProduction!$Q$5:$Q$100,B593)=1,"OK","CHECK")</x:f>
        <x:v>OK</x:v>
      </x:c>
      <x:c r="V593" t="str">
        <x:f>IF(AND(I593&gt;=1,I593&lt;=13,K593&gt;=1,K593&lt;=3),"OK","CHECK")</x:f>
        <x:v>OK</x:v>
      </x:c>
      <x:c r="W593" t="str">
        <x:f>IF(SUMIF($B$5:$B$914,B593,$S$5:$S$914)=SUMIF(DailyProduction!$Q$5:$Q$100,B593,DailyProduction!$R$5:$R$100),"OK","CHECK")</x:f>
        <x:v>OK</x:v>
      </x:c>
    </x:row>
    <x:row r="594">
      <x:c r="A594" t="str">
        <x:v>PC-PE-KG01-L24-20251021-PM-ORD-2025-00125-S05</x:v>
      </x:c>
      <x:c r="B594" t="str">
        <x:v>PE-KG01-L24-20251021-PM-ORD-2025-00125</x:v>
      </x:c>
      <x:c r="C594" t="str">
        <x:v>KG01</x:v>
      </x:c>
      <x:c r="D594" t="n">
        <x:v>45951</x:v>
      </x:c>
      <x:c r="E594" t="str">
        <x:v>PM</x:v>
      </x:c>
      <x:c r="F594" t="str">
        <x:v>B</x:v>
      </x:c>
      <x:c r="G594" t="n">
        <x:v>24</x:v>
      </x:c>
      <x:c r="H594" t="str">
        <x:v>ORD-2025-00125</x:v>
      </x:c>
      <x:c r="I594" t="n">
        <x:v>5</x:v>
      </x:c>
      <x:c r="J594" t="n">
        <x:v>12</x:v>
      </x:c>
      <x:c r="K594" t="n">
        <x:v>3</x:v>
      </x:c>
      <x:c r="L594" t="n">
        <x:f>IF(I594&lt;=J594,1,0)</x:f>
        <x:v>1</x:v>
      </x:c>
      <x:c r="P594" t="n">
        <x:f>IF(M594="",IF(AND(L594=1,K594&gt;=1),1,0),M594)</x:f>
        <x:v>1</x:v>
      </x:c>
      <x:c r="Q594" t="n">
        <x:f>IF(N594="",IF(AND(L594=1,K594&gt;=2),1,0),N594)</x:f>
        <x:v>1</x:v>
      </x:c>
      <x:c r="R594" t="n">
        <x:f>IF(O594="",IF(AND(L594=1,K594&gt;=3),1,0),O594)</x:f>
        <x:v>1</x:v>
      </x:c>
      <x:c r="S594" t="n">
        <x:f>SUM(P594:R594)</x:f>
        <x:v>3</x:v>
      </x:c>
      <x:c r="T594" t="str">
        <x:f>IF(COUNTA(M594:O594)=0,"DerivedFromCount","ManualOverride")</x:f>
        <x:v>DerivedFromCount</x:v>
      </x:c>
      <x:c r="U594" t="str">
        <x:f>IF(COUNTIF(DailyProduction!$Q$5:$Q$100,B594)=1,"OK","CHECK")</x:f>
        <x:v>OK</x:v>
      </x:c>
      <x:c r="V594" t="str">
        <x:f>IF(AND(I594&gt;=1,I594&lt;=13,K594&gt;=1,K594&lt;=3),"OK","CHECK")</x:f>
        <x:v>OK</x:v>
      </x:c>
      <x:c r="W594" t="str">
        <x:f>IF(SUMIF($B$5:$B$914,B594,$S$5:$S$914)=SUMIF(DailyProduction!$Q$5:$Q$100,B594,DailyProduction!$R$5:$R$100),"OK","CHECK")</x:f>
        <x:v>OK</x:v>
      </x:c>
    </x:row>
    <x:row r="595">
      <x:c r="A595" t="str">
        <x:v>PC-PE-KG01-L24-20251021-PM-ORD-2025-00125-S06</x:v>
      </x:c>
      <x:c r="B595" t="str">
        <x:v>PE-KG01-L24-20251021-PM-ORD-2025-00125</x:v>
      </x:c>
      <x:c r="C595" t="str">
        <x:v>KG01</x:v>
      </x:c>
      <x:c r="D595" t="n">
        <x:v>45951</x:v>
      </x:c>
      <x:c r="E595" t="str">
        <x:v>PM</x:v>
      </x:c>
      <x:c r="F595" t="str">
        <x:v>B</x:v>
      </x:c>
      <x:c r="G595" t="n">
        <x:v>24</x:v>
      </x:c>
      <x:c r="H595" t="str">
        <x:v>ORD-2025-00125</x:v>
      </x:c>
      <x:c r="I595" t="n">
        <x:v>6</x:v>
      </x:c>
      <x:c r="J595" t="n">
        <x:v>12</x:v>
      </x:c>
      <x:c r="K595" t="n">
        <x:v>3</x:v>
      </x:c>
      <x:c r="L595" t="n">
        <x:f>IF(I595&lt;=J595,1,0)</x:f>
        <x:v>1</x:v>
      </x:c>
      <x:c r="P595" t="n">
        <x:f>IF(M595="",IF(AND(L595=1,K595&gt;=1),1,0),M595)</x:f>
        <x:v>1</x:v>
      </x:c>
      <x:c r="Q595" t="n">
        <x:f>IF(N595="",IF(AND(L595=1,K595&gt;=2),1,0),N595)</x:f>
        <x:v>1</x:v>
      </x:c>
      <x:c r="R595" t="n">
        <x:f>IF(O595="",IF(AND(L595=1,K595&gt;=3),1,0),O595)</x:f>
        <x:v>1</x:v>
      </x:c>
      <x:c r="S595" t="n">
        <x:f>SUM(P595:R595)</x:f>
        <x:v>3</x:v>
      </x:c>
      <x:c r="T595" t="str">
        <x:f>IF(COUNTA(M595:O595)=0,"DerivedFromCount","ManualOverride")</x:f>
        <x:v>DerivedFromCount</x:v>
      </x:c>
      <x:c r="U595" t="str">
        <x:f>IF(COUNTIF(DailyProduction!$Q$5:$Q$100,B595)=1,"OK","CHECK")</x:f>
        <x:v>OK</x:v>
      </x:c>
      <x:c r="V595" t="str">
        <x:f>IF(AND(I595&gt;=1,I595&lt;=13,K595&gt;=1,K595&lt;=3),"OK","CHECK")</x:f>
        <x:v>OK</x:v>
      </x:c>
      <x:c r="W595" t="str">
        <x:f>IF(SUMIF($B$5:$B$914,B595,$S$5:$S$914)=SUMIF(DailyProduction!$Q$5:$Q$100,B595,DailyProduction!$R$5:$R$100),"OK","CHECK")</x:f>
        <x:v>OK</x:v>
      </x:c>
    </x:row>
    <x:row r="596">
      <x:c r="A596" t="str">
        <x:v>PC-PE-KG01-L24-20251021-PM-ORD-2025-00125-S07</x:v>
      </x:c>
      <x:c r="B596" t="str">
        <x:v>PE-KG01-L24-20251021-PM-ORD-2025-00125</x:v>
      </x:c>
      <x:c r="C596" t="str">
        <x:v>KG01</x:v>
      </x:c>
      <x:c r="D596" t="n">
        <x:v>45951</x:v>
      </x:c>
      <x:c r="E596" t="str">
        <x:v>PM</x:v>
      </x:c>
      <x:c r="F596" t="str">
        <x:v>B</x:v>
      </x:c>
      <x:c r="G596" t="n">
        <x:v>24</x:v>
      </x:c>
      <x:c r="H596" t="str">
        <x:v>ORD-2025-00125</x:v>
      </x:c>
      <x:c r="I596" t="n">
        <x:v>7</x:v>
      </x:c>
      <x:c r="J596" t="n">
        <x:v>12</x:v>
      </x:c>
      <x:c r="K596" t="n">
        <x:v>3</x:v>
      </x:c>
      <x:c r="L596" t="n">
        <x:f>IF(I596&lt;=J596,1,0)</x:f>
        <x:v>1</x:v>
      </x:c>
      <x:c r="P596" t="n">
        <x:f>IF(M596="",IF(AND(L596=1,K596&gt;=1),1,0),M596)</x:f>
        <x:v>1</x:v>
      </x:c>
      <x:c r="Q596" t="n">
        <x:f>IF(N596="",IF(AND(L596=1,K596&gt;=2),1,0),N596)</x:f>
        <x:v>1</x:v>
      </x:c>
      <x:c r="R596" t="n">
        <x:f>IF(O596="",IF(AND(L596=1,K596&gt;=3),1,0),O596)</x:f>
        <x:v>1</x:v>
      </x:c>
      <x:c r="S596" t="n">
        <x:f>SUM(P596:R596)</x:f>
        <x:v>3</x:v>
      </x:c>
      <x:c r="T596" t="str">
        <x:f>IF(COUNTA(M596:O596)=0,"DerivedFromCount","ManualOverride")</x:f>
        <x:v>DerivedFromCount</x:v>
      </x:c>
      <x:c r="U596" t="str">
        <x:f>IF(COUNTIF(DailyProduction!$Q$5:$Q$100,B596)=1,"OK","CHECK")</x:f>
        <x:v>OK</x:v>
      </x:c>
      <x:c r="V596" t="str">
        <x:f>IF(AND(I596&gt;=1,I596&lt;=13,K596&gt;=1,K596&lt;=3),"OK","CHECK")</x:f>
        <x:v>OK</x:v>
      </x:c>
      <x:c r="W596" t="str">
        <x:f>IF(SUMIF($B$5:$B$914,B596,$S$5:$S$914)=SUMIF(DailyProduction!$Q$5:$Q$100,B596,DailyProduction!$R$5:$R$100),"OK","CHECK")</x:f>
        <x:v>OK</x:v>
      </x:c>
    </x:row>
    <x:row r="597">
      <x:c r="A597" t="str">
        <x:v>PC-PE-KG01-L24-20251021-PM-ORD-2025-00125-S08</x:v>
      </x:c>
      <x:c r="B597" t="str">
        <x:v>PE-KG01-L24-20251021-PM-ORD-2025-00125</x:v>
      </x:c>
      <x:c r="C597" t="str">
        <x:v>KG01</x:v>
      </x:c>
      <x:c r="D597" t="n">
        <x:v>45951</x:v>
      </x:c>
      <x:c r="E597" t="str">
        <x:v>PM</x:v>
      </x:c>
      <x:c r="F597" t="str">
        <x:v>B</x:v>
      </x:c>
      <x:c r="G597" t="n">
        <x:v>24</x:v>
      </x:c>
      <x:c r="H597" t="str">
        <x:v>ORD-2025-00125</x:v>
      </x:c>
      <x:c r="I597" t="n">
        <x:v>8</x:v>
      </x:c>
      <x:c r="J597" t="n">
        <x:v>12</x:v>
      </x:c>
      <x:c r="K597" t="n">
        <x:v>3</x:v>
      </x:c>
      <x:c r="L597" t="n">
        <x:f>IF(I597&lt;=J597,1,0)</x:f>
        <x:v>1</x:v>
      </x:c>
      <x:c r="P597" t="n">
        <x:f>IF(M597="",IF(AND(L597=1,K597&gt;=1),1,0),M597)</x:f>
        <x:v>1</x:v>
      </x:c>
      <x:c r="Q597" t="n">
        <x:f>IF(N597="",IF(AND(L597=1,K597&gt;=2),1,0),N597)</x:f>
        <x:v>1</x:v>
      </x:c>
      <x:c r="R597" t="n">
        <x:f>IF(O597="",IF(AND(L597=1,K597&gt;=3),1,0),O597)</x:f>
        <x:v>1</x:v>
      </x:c>
      <x:c r="S597" t="n">
        <x:f>SUM(P597:R597)</x:f>
        <x:v>3</x:v>
      </x:c>
      <x:c r="T597" t="str">
        <x:f>IF(COUNTA(M597:O597)=0,"DerivedFromCount","ManualOverride")</x:f>
        <x:v>DerivedFromCount</x:v>
      </x:c>
      <x:c r="U597" t="str">
        <x:f>IF(COUNTIF(DailyProduction!$Q$5:$Q$100,B597)=1,"OK","CHECK")</x:f>
        <x:v>OK</x:v>
      </x:c>
      <x:c r="V597" t="str">
        <x:f>IF(AND(I597&gt;=1,I597&lt;=13,K597&gt;=1,K597&lt;=3),"OK","CHECK")</x:f>
        <x:v>OK</x:v>
      </x:c>
      <x:c r="W597" t="str">
        <x:f>IF(SUMIF($B$5:$B$914,B597,$S$5:$S$914)=SUMIF(DailyProduction!$Q$5:$Q$100,B597,DailyProduction!$R$5:$R$100),"OK","CHECK")</x:f>
        <x:v>OK</x:v>
      </x:c>
    </x:row>
    <x:row r="598">
      <x:c r="A598" t="str">
        <x:v>PC-PE-KG01-L24-20251021-PM-ORD-2025-00125-S09</x:v>
      </x:c>
      <x:c r="B598" t="str">
        <x:v>PE-KG01-L24-20251021-PM-ORD-2025-00125</x:v>
      </x:c>
      <x:c r="C598" t="str">
        <x:v>KG01</x:v>
      </x:c>
      <x:c r="D598" t="n">
        <x:v>45951</x:v>
      </x:c>
      <x:c r="E598" t="str">
        <x:v>PM</x:v>
      </x:c>
      <x:c r="F598" t="str">
        <x:v>B</x:v>
      </x:c>
      <x:c r="G598" t="n">
        <x:v>24</x:v>
      </x:c>
      <x:c r="H598" t="str">
        <x:v>ORD-2025-00125</x:v>
      </x:c>
      <x:c r="I598" t="n">
        <x:v>9</x:v>
      </x:c>
      <x:c r="J598" t="n">
        <x:v>12</x:v>
      </x:c>
      <x:c r="K598" t="n">
        <x:v>3</x:v>
      </x:c>
      <x:c r="L598" t="n">
        <x:f>IF(I598&lt;=J598,1,0)</x:f>
        <x:v>1</x:v>
      </x:c>
      <x:c r="P598" t="n">
        <x:f>IF(M598="",IF(AND(L598=1,K598&gt;=1),1,0),M598)</x:f>
        <x:v>1</x:v>
      </x:c>
      <x:c r="Q598" t="n">
        <x:f>IF(N598="",IF(AND(L598=1,K598&gt;=2),1,0),N598)</x:f>
        <x:v>1</x:v>
      </x:c>
      <x:c r="R598" t="n">
        <x:f>IF(O598="",IF(AND(L598=1,K598&gt;=3),1,0),O598)</x:f>
        <x:v>1</x:v>
      </x:c>
      <x:c r="S598" t="n">
        <x:f>SUM(P598:R598)</x:f>
        <x:v>3</x:v>
      </x:c>
      <x:c r="T598" t="str">
        <x:f>IF(COUNTA(M598:O598)=0,"DerivedFromCount","ManualOverride")</x:f>
        <x:v>DerivedFromCount</x:v>
      </x:c>
      <x:c r="U598" t="str">
        <x:f>IF(COUNTIF(DailyProduction!$Q$5:$Q$100,B598)=1,"OK","CHECK")</x:f>
        <x:v>OK</x:v>
      </x:c>
      <x:c r="V598" t="str">
        <x:f>IF(AND(I598&gt;=1,I598&lt;=13,K598&gt;=1,K598&lt;=3),"OK","CHECK")</x:f>
        <x:v>OK</x:v>
      </x:c>
      <x:c r="W598" t="str">
        <x:f>IF(SUMIF($B$5:$B$914,B598,$S$5:$S$914)=SUMIF(DailyProduction!$Q$5:$Q$100,B598,DailyProduction!$R$5:$R$100),"OK","CHECK")</x:f>
        <x:v>OK</x:v>
      </x:c>
    </x:row>
    <x:row r="599">
      <x:c r="A599" t="str">
        <x:v>PC-PE-KG01-L24-20251021-PM-ORD-2025-00125-S10</x:v>
      </x:c>
      <x:c r="B599" t="str">
        <x:v>PE-KG01-L24-20251021-PM-ORD-2025-00125</x:v>
      </x:c>
      <x:c r="C599" t="str">
        <x:v>KG01</x:v>
      </x:c>
      <x:c r="D599" t="n">
        <x:v>45951</x:v>
      </x:c>
      <x:c r="E599" t="str">
        <x:v>PM</x:v>
      </x:c>
      <x:c r="F599" t="str">
        <x:v>B</x:v>
      </x:c>
      <x:c r="G599" t="n">
        <x:v>24</x:v>
      </x:c>
      <x:c r="H599" t="str">
        <x:v>ORD-2025-00125</x:v>
      </x:c>
      <x:c r="I599" t="n">
        <x:v>10</x:v>
      </x:c>
      <x:c r="J599" t="n">
        <x:v>12</x:v>
      </x:c>
      <x:c r="K599" t="n">
        <x:v>3</x:v>
      </x:c>
      <x:c r="L599" t="n">
        <x:f>IF(I599&lt;=J599,1,0)</x:f>
        <x:v>1</x:v>
      </x:c>
      <x:c r="P599" t="n">
        <x:f>IF(M599="",IF(AND(L599=1,K599&gt;=1),1,0),M599)</x:f>
        <x:v>1</x:v>
      </x:c>
      <x:c r="Q599" t="n">
        <x:f>IF(N599="",IF(AND(L599=1,K599&gt;=2),1,0),N599)</x:f>
        <x:v>1</x:v>
      </x:c>
      <x:c r="R599" t="n">
        <x:f>IF(O599="",IF(AND(L599=1,K599&gt;=3),1,0),O599)</x:f>
        <x:v>1</x:v>
      </x:c>
      <x:c r="S599" t="n">
        <x:f>SUM(P599:R599)</x:f>
        <x:v>3</x:v>
      </x:c>
      <x:c r="T599" t="str">
        <x:f>IF(COUNTA(M599:O599)=0,"DerivedFromCount","ManualOverride")</x:f>
        <x:v>DerivedFromCount</x:v>
      </x:c>
      <x:c r="U599" t="str">
        <x:f>IF(COUNTIF(DailyProduction!$Q$5:$Q$100,B599)=1,"OK","CHECK")</x:f>
        <x:v>OK</x:v>
      </x:c>
      <x:c r="V599" t="str">
        <x:f>IF(AND(I599&gt;=1,I599&lt;=13,K599&gt;=1,K599&lt;=3),"OK","CHECK")</x:f>
        <x:v>OK</x:v>
      </x:c>
      <x:c r="W599" t="str">
        <x:f>IF(SUMIF($B$5:$B$914,B599,$S$5:$S$914)=SUMIF(DailyProduction!$Q$5:$Q$100,B599,DailyProduction!$R$5:$R$100),"OK","CHECK")</x:f>
        <x:v>OK</x:v>
      </x:c>
    </x:row>
    <x:row r="600">
      <x:c r="A600" t="str">
        <x:v>PC-PE-KG01-L24-20251021-PM-ORD-2025-00125-S11</x:v>
      </x:c>
      <x:c r="B600" t="str">
        <x:v>PE-KG01-L24-20251021-PM-ORD-2025-00125</x:v>
      </x:c>
      <x:c r="C600" t="str">
        <x:v>KG01</x:v>
      </x:c>
      <x:c r="D600" t="n">
        <x:v>45951</x:v>
      </x:c>
      <x:c r="E600" t="str">
        <x:v>PM</x:v>
      </x:c>
      <x:c r="F600" t="str">
        <x:v>B</x:v>
      </x:c>
      <x:c r="G600" t="n">
        <x:v>24</x:v>
      </x:c>
      <x:c r="H600" t="str">
        <x:v>ORD-2025-00125</x:v>
      </x:c>
      <x:c r="I600" t="n">
        <x:v>11</x:v>
      </x:c>
      <x:c r="J600" t="n">
        <x:v>12</x:v>
      </x:c>
      <x:c r="K600" t="n">
        <x:v>3</x:v>
      </x:c>
      <x:c r="L600" t="n">
        <x:f>IF(I600&lt;=J600,1,0)</x:f>
        <x:v>1</x:v>
      </x:c>
      <x:c r="P600" t="n">
        <x:f>IF(M600="",IF(AND(L600=1,K600&gt;=1),1,0),M600)</x:f>
        <x:v>1</x:v>
      </x:c>
      <x:c r="Q600" t="n">
        <x:f>IF(N600="",IF(AND(L600=1,K600&gt;=2),1,0),N600)</x:f>
        <x:v>1</x:v>
      </x:c>
      <x:c r="R600" t="n">
        <x:f>IF(O600="",IF(AND(L600=1,K600&gt;=3),1,0),O600)</x:f>
        <x:v>1</x:v>
      </x:c>
      <x:c r="S600" t="n">
        <x:f>SUM(P600:R600)</x:f>
        <x:v>3</x:v>
      </x:c>
      <x:c r="T600" t="str">
        <x:f>IF(COUNTA(M600:O600)=0,"DerivedFromCount","ManualOverride")</x:f>
        <x:v>DerivedFromCount</x:v>
      </x:c>
      <x:c r="U600" t="str">
        <x:f>IF(COUNTIF(DailyProduction!$Q$5:$Q$100,B600)=1,"OK","CHECK")</x:f>
        <x:v>OK</x:v>
      </x:c>
      <x:c r="V600" t="str">
        <x:f>IF(AND(I600&gt;=1,I600&lt;=13,K600&gt;=1,K600&lt;=3),"OK","CHECK")</x:f>
        <x:v>OK</x:v>
      </x:c>
      <x:c r="W600" t="str">
        <x:f>IF(SUMIF($B$5:$B$914,B600,$S$5:$S$914)=SUMIF(DailyProduction!$Q$5:$Q$100,B600,DailyProduction!$R$5:$R$100),"OK","CHECK")</x:f>
        <x:v>OK</x:v>
      </x:c>
    </x:row>
    <x:row r="601">
      <x:c r="A601" t="str">
        <x:v>PC-PE-KG01-L24-20251021-PM-ORD-2025-00125-S12</x:v>
      </x:c>
      <x:c r="B601" t="str">
        <x:v>PE-KG01-L24-20251021-PM-ORD-2025-00125</x:v>
      </x:c>
      <x:c r="C601" t="str">
        <x:v>KG01</x:v>
      </x:c>
      <x:c r="D601" t="n">
        <x:v>45951</x:v>
      </x:c>
      <x:c r="E601" t="str">
        <x:v>PM</x:v>
      </x:c>
      <x:c r="F601" t="str">
        <x:v>B</x:v>
      </x:c>
      <x:c r="G601" t="n">
        <x:v>24</x:v>
      </x:c>
      <x:c r="H601" t="str">
        <x:v>ORD-2025-00125</x:v>
      </x:c>
      <x:c r="I601" t="n">
        <x:v>12</x:v>
      </x:c>
      <x:c r="J601" t="n">
        <x:v>12</x:v>
      </x:c>
      <x:c r="K601" t="n">
        <x:v>3</x:v>
      </x:c>
      <x:c r="L601" t="n">
        <x:f>IF(I601&lt;=J601,1,0)</x:f>
        <x:v>1</x:v>
      </x:c>
      <x:c r="P601" t="n">
        <x:f>IF(M601="",IF(AND(L601=1,K601&gt;=1),1,0),M601)</x:f>
        <x:v>1</x:v>
      </x:c>
      <x:c r="Q601" t="n">
        <x:f>IF(N601="",IF(AND(L601=1,K601&gt;=2),1,0),N601)</x:f>
        <x:v>1</x:v>
      </x:c>
      <x:c r="R601" t="n">
        <x:f>IF(O601="",IF(AND(L601=1,K601&gt;=3),1,0),O601)</x:f>
        <x:v>1</x:v>
      </x:c>
      <x:c r="S601" t="n">
        <x:f>SUM(P601:R601)</x:f>
        <x:v>3</x:v>
      </x:c>
      <x:c r="T601" t="str">
        <x:f>IF(COUNTA(M601:O601)=0,"DerivedFromCount","ManualOverride")</x:f>
        <x:v>DerivedFromCount</x:v>
      </x:c>
      <x:c r="U601" t="str">
        <x:f>IF(COUNTIF(DailyProduction!$Q$5:$Q$100,B601)=1,"OK","CHECK")</x:f>
        <x:v>OK</x:v>
      </x:c>
      <x:c r="V601" t="str">
        <x:f>IF(AND(I601&gt;=1,I601&lt;=13,K601&gt;=1,K601&lt;=3),"OK","CHECK")</x:f>
        <x:v>OK</x:v>
      </x:c>
      <x:c r="W601" t="str">
        <x:f>IF(SUMIF($B$5:$B$914,B601,$S$5:$S$914)=SUMIF(DailyProduction!$Q$5:$Q$100,B601,DailyProduction!$R$5:$R$100),"OK","CHECK")</x:f>
        <x:v>OK</x:v>
      </x:c>
    </x:row>
    <x:row r="602">
      <x:c r="A602" t="str">
        <x:v>PC-PE-KG01-L24-20251021-PM-ORD-2025-00125-S13</x:v>
      </x:c>
      <x:c r="B602" t="str">
        <x:v>PE-KG01-L24-20251021-PM-ORD-2025-00125</x:v>
      </x:c>
      <x:c r="C602" t="str">
        <x:v>KG01</x:v>
      </x:c>
      <x:c r="D602" t="n">
        <x:v>45951</x:v>
      </x:c>
      <x:c r="E602" t="str">
        <x:v>PM</x:v>
      </x:c>
      <x:c r="F602" t="str">
        <x:v>B</x:v>
      </x:c>
      <x:c r="G602" t="n">
        <x:v>24</x:v>
      </x:c>
      <x:c r="H602" t="str">
        <x:v>ORD-2025-00125</x:v>
      </x:c>
      <x:c r="I602" t="n">
        <x:v>13</x:v>
      </x:c>
      <x:c r="J602" t="n">
        <x:v>12</x:v>
      </x:c>
      <x:c r="K602" t="n">
        <x:v>3</x:v>
      </x:c>
      <x:c r="L602" t="n">
        <x:f>IF(I602&lt;=J602,1,0)</x:f>
        <x:v>0</x:v>
      </x:c>
      <x:c r="P602" t="n">
        <x:f>IF(M602="",IF(AND(L602=1,K602&gt;=1),1,0),M602)</x:f>
        <x:v>0</x:v>
      </x:c>
      <x:c r="Q602" t="n">
        <x:f>IF(N602="",IF(AND(L602=1,K602&gt;=2),1,0),N602)</x:f>
        <x:v>0</x:v>
      </x:c>
      <x:c r="R602" t="n">
        <x:f>IF(O602="",IF(AND(L602=1,K602&gt;=3),1,0),O602)</x:f>
        <x:v>0</x:v>
      </x:c>
      <x:c r="S602" t="n">
        <x:f>SUM(P602:R602)</x:f>
        <x:v>0</x:v>
      </x:c>
      <x:c r="T602" t="str">
        <x:f>IF(COUNTA(M602:O602)=0,"DerivedFromCount","ManualOverride")</x:f>
        <x:v>DerivedFromCount</x:v>
      </x:c>
      <x:c r="U602" t="str">
        <x:f>IF(COUNTIF(DailyProduction!$Q$5:$Q$100,B602)=1,"OK","CHECK")</x:f>
        <x:v>OK</x:v>
      </x:c>
      <x:c r="V602" t="str">
        <x:f>IF(AND(I602&gt;=1,I602&lt;=13,K602&gt;=1,K602&lt;=3),"OK","CHECK")</x:f>
        <x:v>OK</x:v>
      </x:c>
      <x:c r="W602" t="str">
        <x:f>IF(SUMIF($B$5:$B$914,B602,$S$5:$S$914)=SUMIF(DailyProduction!$Q$5:$Q$100,B602,DailyProduction!$R$5:$R$100),"OK","CHECK")</x:f>
        <x:v>OK</x:v>
      </x:c>
    </x:row>
    <x:row r="603">
      <x:c r="A603" t="str">
        <x:v>PC-PE-KG01-L24-20251022-AM-ORD-2025-00125-S01</x:v>
      </x:c>
      <x:c r="B603" t="str">
        <x:v>PE-KG01-L24-20251022-AM-ORD-2025-00125</x:v>
      </x:c>
      <x:c r="C603" t="str">
        <x:v>KG01</x:v>
      </x:c>
      <x:c r="D603" t="n">
        <x:v>45952</x:v>
      </x:c>
      <x:c r="E603" t="str">
        <x:v>AM</x:v>
      </x:c>
      <x:c r="F603" t="str">
        <x:v>B</x:v>
      </x:c>
      <x:c r="G603" t="n">
        <x:v>24</x:v>
      </x:c>
      <x:c r="H603" t="str">
        <x:v>ORD-2025-00125</x:v>
      </x:c>
      <x:c r="I603" t="n">
        <x:v>1</x:v>
      </x:c>
      <x:c r="J603" t="n">
        <x:v>12</x:v>
      </x:c>
      <x:c r="K603" t="n">
        <x:v>3</x:v>
      </x:c>
      <x:c r="L603" t="n">
        <x:f>IF(I603&lt;=J603,1,0)</x:f>
        <x:v>1</x:v>
      </x:c>
      <x:c r="P603" t="n">
        <x:f>IF(M603="",IF(AND(L603=1,K603&gt;=1),1,0),M603)</x:f>
        <x:v>1</x:v>
      </x:c>
      <x:c r="Q603" t="n">
        <x:f>IF(N603="",IF(AND(L603=1,K603&gt;=2),1,0),N603)</x:f>
        <x:v>1</x:v>
      </x:c>
      <x:c r="R603" t="n">
        <x:f>IF(O603="",IF(AND(L603=1,K603&gt;=3),1,0),O603)</x:f>
        <x:v>1</x:v>
      </x:c>
      <x:c r="S603" t="n">
        <x:f>SUM(P603:R603)</x:f>
        <x:v>3</x:v>
      </x:c>
      <x:c r="T603" t="str">
        <x:f>IF(COUNTA(M603:O603)=0,"DerivedFromCount","ManualOverride")</x:f>
        <x:v>DerivedFromCount</x:v>
      </x:c>
      <x:c r="U603" t="str">
        <x:f>IF(COUNTIF(DailyProduction!$Q$5:$Q$100,B603)=1,"OK","CHECK")</x:f>
        <x:v>OK</x:v>
      </x:c>
      <x:c r="V603" t="str">
        <x:f>IF(AND(I603&gt;=1,I603&lt;=13,K603&gt;=1,K603&lt;=3),"OK","CHECK")</x:f>
        <x:v>OK</x:v>
      </x:c>
      <x:c r="W603" t="str">
        <x:f>IF(SUMIF($B$5:$B$914,B603,$S$5:$S$914)=SUMIF(DailyProduction!$Q$5:$Q$100,B603,DailyProduction!$R$5:$R$100),"OK","CHECK")</x:f>
        <x:v>OK</x:v>
      </x:c>
    </x:row>
    <x:row r="604">
      <x:c r="A604" t="str">
        <x:v>PC-PE-KG01-L24-20251022-AM-ORD-2025-00125-S02</x:v>
      </x:c>
      <x:c r="B604" t="str">
        <x:v>PE-KG01-L24-20251022-AM-ORD-2025-00125</x:v>
      </x:c>
      <x:c r="C604" t="str">
        <x:v>KG01</x:v>
      </x:c>
      <x:c r="D604" t="n">
        <x:v>45952</x:v>
      </x:c>
      <x:c r="E604" t="str">
        <x:v>AM</x:v>
      </x:c>
      <x:c r="F604" t="str">
        <x:v>B</x:v>
      </x:c>
      <x:c r="G604" t="n">
        <x:v>24</x:v>
      </x:c>
      <x:c r="H604" t="str">
        <x:v>ORD-2025-00125</x:v>
      </x:c>
      <x:c r="I604" t="n">
        <x:v>2</x:v>
      </x:c>
      <x:c r="J604" t="n">
        <x:v>12</x:v>
      </x:c>
      <x:c r="K604" t="n">
        <x:v>3</x:v>
      </x:c>
      <x:c r="L604" t="n">
        <x:f>IF(I604&lt;=J604,1,0)</x:f>
        <x:v>1</x:v>
      </x:c>
      <x:c r="P604" t="n">
        <x:f>IF(M604="",IF(AND(L604=1,K604&gt;=1),1,0),M604)</x:f>
        <x:v>1</x:v>
      </x:c>
      <x:c r="Q604" t="n">
        <x:f>IF(N604="",IF(AND(L604=1,K604&gt;=2),1,0),N604)</x:f>
        <x:v>1</x:v>
      </x:c>
      <x:c r="R604" t="n">
        <x:f>IF(O604="",IF(AND(L604=1,K604&gt;=3),1,0),O604)</x:f>
        <x:v>1</x:v>
      </x:c>
      <x:c r="S604" t="n">
        <x:f>SUM(P604:R604)</x:f>
        <x:v>3</x:v>
      </x:c>
      <x:c r="T604" t="str">
        <x:f>IF(COUNTA(M604:O604)=0,"DerivedFromCount","ManualOverride")</x:f>
        <x:v>DerivedFromCount</x:v>
      </x:c>
      <x:c r="U604" t="str">
        <x:f>IF(COUNTIF(DailyProduction!$Q$5:$Q$100,B604)=1,"OK","CHECK")</x:f>
        <x:v>OK</x:v>
      </x:c>
      <x:c r="V604" t="str">
        <x:f>IF(AND(I604&gt;=1,I604&lt;=13,K604&gt;=1,K604&lt;=3),"OK","CHECK")</x:f>
        <x:v>OK</x:v>
      </x:c>
      <x:c r="W604" t="str">
        <x:f>IF(SUMIF($B$5:$B$914,B604,$S$5:$S$914)=SUMIF(DailyProduction!$Q$5:$Q$100,B604,DailyProduction!$R$5:$R$100),"OK","CHECK")</x:f>
        <x:v>OK</x:v>
      </x:c>
    </x:row>
    <x:row r="605">
      <x:c r="A605" t="str">
        <x:v>PC-PE-KG01-L24-20251022-AM-ORD-2025-00125-S03</x:v>
      </x:c>
      <x:c r="B605" t="str">
        <x:v>PE-KG01-L24-20251022-AM-ORD-2025-00125</x:v>
      </x:c>
      <x:c r="C605" t="str">
        <x:v>KG01</x:v>
      </x:c>
      <x:c r="D605" t="n">
        <x:v>45952</x:v>
      </x:c>
      <x:c r="E605" t="str">
        <x:v>AM</x:v>
      </x:c>
      <x:c r="F605" t="str">
        <x:v>B</x:v>
      </x:c>
      <x:c r="G605" t="n">
        <x:v>24</x:v>
      </x:c>
      <x:c r="H605" t="str">
        <x:v>ORD-2025-00125</x:v>
      </x:c>
      <x:c r="I605" t="n">
        <x:v>3</x:v>
      </x:c>
      <x:c r="J605" t="n">
        <x:v>12</x:v>
      </x:c>
      <x:c r="K605" t="n">
        <x:v>3</x:v>
      </x:c>
      <x:c r="L605" t="n">
        <x:f>IF(I605&lt;=J605,1,0)</x:f>
        <x:v>1</x:v>
      </x:c>
      <x:c r="P605" t="n">
        <x:f>IF(M605="",IF(AND(L605=1,K605&gt;=1),1,0),M605)</x:f>
        <x:v>1</x:v>
      </x:c>
      <x:c r="Q605" t="n">
        <x:f>IF(N605="",IF(AND(L605=1,K605&gt;=2),1,0),N605)</x:f>
        <x:v>1</x:v>
      </x:c>
      <x:c r="R605" t="n">
        <x:f>IF(O605="",IF(AND(L605=1,K605&gt;=3),1,0),O605)</x:f>
        <x:v>1</x:v>
      </x:c>
      <x:c r="S605" t="n">
        <x:f>SUM(P605:R605)</x:f>
        <x:v>3</x:v>
      </x:c>
      <x:c r="T605" t="str">
        <x:f>IF(COUNTA(M605:O605)=0,"DerivedFromCount","ManualOverride")</x:f>
        <x:v>DerivedFromCount</x:v>
      </x:c>
      <x:c r="U605" t="str">
        <x:f>IF(COUNTIF(DailyProduction!$Q$5:$Q$100,B605)=1,"OK","CHECK")</x:f>
        <x:v>OK</x:v>
      </x:c>
      <x:c r="V605" t="str">
        <x:f>IF(AND(I605&gt;=1,I605&lt;=13,K605&gt;=1,K605&lt;=3),"OK","CHECK")</x:f>
        <x:v>OK</x:v>
      </x:c>
      <x:c r="W605" t="str">
        <x:f>IF(SUMIF($B$5:$B$914,B605,$S$5:$S$914)=SUMIF(DailyProduction!$Q$5:$Q$100,B605,DailyProduction!$R$5:$R$100),"OK","CHECK")</x:f>
        <x:v>OK</x:v>
      </x:c>
    </x:row>
    <x:row r="606">
      <x:c r="A606" t="str">
        <x:v>PC-PE-KG01-L24-20251022-AM-ORD-2025-00125-S04</x:v>
      </x:c>
      <x:c r="B606" t="str">
        <x:v>PE-KG01-L24-20251022-AM-ORD-2025-00125</x:v>
      </x:c>
      <x:c r="C606" t="str">
        <x:v>KG01</x:v>
      </x:c>
      <x:c r="D606" t="n">
        <x:v>45952</x:v>
      </x:c>
      <x:c r="E606" t="str">
        <x:v>AM</x:v>
      </x:c>
      <x:c r="F606" t="str">
        <x:v>B</x:v>
      </x:c>
      <x:c r="G606" t="n">
        <x:v>24</x:v>
      </x:c>
      <x:c r="H606" t="str">
        <x:v>ORD-2025-00125</x:v>
      </x:c>
      <x:c r="I606" t="n">
        <x:v>4</x:v>
      </x:c>
      <x:c r="J606" t="n">
        <x:v>12</x:v>
      </x:c>
      <x:c r="K606" t="n">
        <x:v>3</x:v>
      </x:c>
      <x:c r="L606" t="n">
        <x:f>IF(I606&lt;=J606,1,0)</x:f>
        <x:v>1</x:v>
      </x:c>
      <x:c r="P606" t="n">
        <x:f>IF(M606="",IF(AND(L606=1,K606&gt;=1),1,0),M606)</x:f>
        <x:v>1</x:v>
      </x:c>
      <x:c r="Q606" t="n">
        <x:f>IF(N606="",IF(AND(L606=1,K606&gt;=2),1,0),N606)</x:f>
        <x:v>1</x:v>
      </x:c>
      <x:c r="R606" t="n">
        <x:f>IF(O606="",IF(AND(L606=1,K606&gt;=3),1,0),O606)</x:f>
        <x:v>1</x:v>
      </x:c>
      <x:c r="S606" t="n">
        <x:f>SUM(P606:R606)</x:f>
        <x:v>3</x:v>
      </x:c>
      <x:c r="T606" t="str">
        <x:f>IF(COUNTA(M606:O606)=0,"DerivedFromCount","ManualOverride")</x:f>
        <x:v>DerivedFromCount</x:v>
      </x:c>
      <x:c r="U606" t="str">
        <x:f>IF(COUNTIF(DailyProduction!$Q$5:$Q$100,B606)=1,"OK","CHECK")</x:f>
        <x:v>OK</x:v>
      </x:c>
      <x:c r="V606" t="str">
        <x:f>IF(AND(I606&gt;=1,I606&lt;=13,K606&gt;=1,K606&lt;=3),"OK","CHECK")</x:f>
        <x:v>OK</x:v>
      </x:c>
      <x:c r="W606" t="str">
        <x:f>IF(SUMIF($B$5:$B$914,B606,$S$5:$S$914)=SUMIF(DailyProduction!$Q$5:$Q$100,B606,DailyProduction!$R$5:$R$100),"OK","CHECK")</x:f>
        <x:v>OK</x:v>
      </x:c>
    </x:row>
    <x:row r="607">
      <x:c r="A607" t="str">
        <x:v>PC-PE-KG01-L24-20251022-AM-ORD-2025-00125-S05</x:v>
      </x:c>
      <x:c r="B607" t="str">
        <x:v>PE-KG01-L24-20251022-AM-ORD-2025-00125</x:v>
      </x:c>
      <x:c r="C607" t="str">
        <x:v>KG01</x:v>
      </x:c>
      <x:c r="D607" t="n">
        <x:v>45952</x:v>
      </x:c>
      <x:c r="E607" t="str">
        <x:v>AM</x:v>
      </x:c>
      <x:c r="F607" t="str">
        <x:v>B</x:v>
      </x:c>
      <x:c r="G607" t="n">
        <x:v>24</x:v>
      </x:c>
      <x:c r="H607" t="str">
        <x:v>ORD-2025-00125</x:v>
      </x:c>
      <x:c r="I607" t="n">
        <x:v>5</x:v>
      </x:c>
      <x:c r="J607" t="n">
        <x:v>12</x:v>
      </x:c>
      <x:c r="K607" t="n">
        <x:v>3</x:v>
      </x:c>
      <x:c r="L607" t="n">
        <x:f>IF(I607&lt;=J607,1,0)</x:f>
        <x:v>1</x:v>
      </x:c>
      <x:c r="P607" t="n">
        <x:f>IF(M607="",IF(AND(L607=1,K607&gt;=1),1,0),M607)</x:f>
        <x:v>1</x:v>
      </x:c>
      <x:c r="Q607" t="n">
        <x:f>IF(N607="",IF(AND(L607=1,K607&gt;=2),1,0),N607)</x:f>
        <x:v>1</x:v>
      </x:c>
      <x:c r="R607" t="n">
        <x:f>IF(O607="",IF(AND(L607=1,K607&gt;=3),1,0),O607)</x:f>
        <x:v>1</x:v>
      </x:c>
      <x:c r="S607" t="n">
        <x:f>SUM(P607:R607)</x:f>
        <x:v>3</x:v>
      </x:c>
      <x:c r="T607" t="str">
        <x:f>IF(COUNTA(M607:O607)=0,"DerivedFromCount","ManualOverride")</x:f>
        <x:v>DerivedFromCount</x:v>
      </x:c>
      <x:c r="U607" t="str">
        <x:f>IF(COUNTIF(DailyProduction!$Q$5:$Q$100,B607)=1,"OK","CHECK")</x:f>
        <x:v>OK</x:v>
      </x:c>
      <x:c r="V607" t="str">
        <x:f>IF(AND(I607&gt;=1,I607&lt;=13,K607&gt;=1,K607&lt;=3),"OK","CHECK")</x:f>
        <x:v>OK</x:v>
      </x:c>
      <x:c r="W607" t="str">
        <x:f>IF(SUMIF($B$5:$B$914,B607,$S$5:$S$914)=SUMIF(DailyProduction!$Q$5:$Q$100,B607,DailyProduction!$R$5:$R$100),"OK","CHECK")</x:f>
        <x:v>OK</x:v>
      </x:c>
    </x:row>
    <x:row r="608">
      <x:c r="A608" t="str">
        <x:v>PC-PE-KG01-L24-20251022-AM-ORD-2025-00125-S06</x:v>
      </x:c>
      <x:c r="B608" t="str">
        <x:v>PE-KG01-L24-20251022-AM-ORD-2025-00125</x:v>
      </x:c>
      <x:c r="C608" t="str">
        <x:v>KG01</x:v>
      </x:c>
      <x:c r="D608" t="n">
        <x:v>45952</x:v>
      </x:c>
      <x:c r="E608" t="str">
        <x:v>AM</x:v>
      </x:c>
      <x:c r="F608" t="str">
        <x:v>B</x:v>
      </x:c>
      <x:c r="G608" t="n">
        <x:v>24</x:v>
      </x:c>
      <x:c r="H608" t="str">
        <x:v>ORD-2025-00125</x:v>
      </x:c>
      <x:c r="I608" t="n">
        <x:v>6</x:v>
      </x:c>
      <x:c r="J608" t="n">
        <x:v>12</x:v>
      </x:c>
      <x:c r="K608" t="n">
        <x:v>3</x:v>
      </x:c>
      <x:c r="L608" t="n">
        <x:f>IF(I608&lt;=J608,1,0)</x:f>
        <x:v>1</x:v>
      </x:c>
      <x:c r="P608" t="n">
        <x:f>IF(M608="",IF(AND(L608=1,K608&gt;=1),1,0),M608)</x:f>
        <x:v>1</x:v>
      </x:c>
      <x:c r="Q608" t="n">
        <x:f>IF(N608="",IF(AND(L608=1,K608&gt;=2),1,0),N608)</x:f>
        <x:v>1</x:v>
      </x:c>
      <x:c r="R608" t="n">
        <x:f>IF(O608="",IF(AND(L608=1,K608&gt;=3),1,0),O608)</x:f>
        <x:v>1</x:v>
      </x:c>
      <x:c r="S608" t="n">
        <x:f>SUM(P608:R608)</x:f>
        <x:v>3</x:v>
      </x:c>
      <x:c r="T608" t="str">
        <x:f>IF(COUNTA(M608:O608)=0,"DerivedFromCount","ManualOverride")</x:f>
        <x:v>DerivedFromCount</x:v>
      </x:c>
      <x:c r="U608" t="str">
        <x:f>IF(COUNTIF(DailyProduction!$Q$5:$Q$100,B608)=1,"OK","CHECK")</x:f>
        <x:v>OK</x:v>
      </x:c>
      <x:c r="V608" t="str">
        <x:f>IF(AND(I608&gt;=1,I608&lt;=13,K608&gt;=1,K608&lt;=3),"OK","CHECK")</x:f>
        <x:v>OK</x:v>
      </x:c>
      <x:c r="W608" t="str">
        <x:f>IF(SUMIF($B$5:$B$914,B608,$S$5:$S$914)=SUMIF(DailyProduction!$Q$5:$Q$100,B608,DailyProduction!$R$5:$R$100),"OK","CHECK")</x:f>
        <x:v>OK</x:v>
      </x:c>
    </x:row>
    <x:row r="609">
      <x:c r="A609" t="str">
        <x:v>PC-PE-KG01-L24-20251022-AM-ORD-2025-00125-S07</x:v>
      </x:c>
      <x:c r="B609" t="str">
        <x:v>PE-KG01-L24-20251022-AM-ORD-2025-00125</x:v>
      </x:c>
      <x:c r="C609" t="str">
        <x:v>KG01</x:v>
      </x:c>
      <x:c r="D609" t="n">
        <x:v>45952</x:v>
      </x:c>
      <x:c r="E609" t="str">
        <x:v>AM</x:v>
      </x:c>
      <x:c r="F609" t="str">
        <x:v>B</x:v>
      </x:c>
      <x:c r="G609" t="n">
        <x:v>24</x:v>
      </x:c>
      <x:c r="H609" t="str">
        <x:v>ORD-2025-00125</x:v>
      </x:c>
      <x:c r="I609" t="n">
        <x:v>7</x:v>
      </x:c>
      <x:c r="J609" t="n">
        <x:v>12</x:v>
      </x:c>
      <x:c r="K609" t="n">
        <x:v>3</x:v>
      </x:c>
      <x:c r="L609" t="n">
        <x:f>IF(I609&lt;=J609,1,0)</x:f>
        <x:v>1</x:v>
      </x:c>
      <x:c r="P609" t="n">
        <x:f>IF(M609="",IF(AND(L609=1,K609&gt;=1),1,0),M609)</x:f>
        <x:v>1</x:v>
      </x:c>
      <x:c r="Q609" t="n">
        <x:f>IF(N609="",IF(AND(L609=1,K609&gt;=2),1,0),N609)</x:f>
        <x:v>1</x:v>
      </x:c>
      <x:c r="R609" t="n">
        <x:f>IF(O609="",IF(AND(L609=1,K609&gt;=3),1,0),O609)</x:f>
        <x:v>1</x:v>
      </x:c>
      <x:c r="S609" t="n">
        <x:f>SUM(P609:R609)</x:f>
        <x:v>3</x:v>
      </x:c>
      <x:c r="T609" t="str">
        <x:f>IF(COUNTA(M609:O609)=0,"DerivedFromCount","ManualOverride")</x:f>
        <x:v>DerivedFromCount</x:v>
      </x:c>
      <x:c r="U609" t="str">
        <x:f>IF(COUNTIF(DailyProduction!$Q$5:$Q$100,B609)=1,"OK","CHECK")</x:f>
        <x:v>OK</x:v>
      </x:c>
      <x:c r="V609" t="str">
        <x:f>IF(AND(I609&gt;=1,I609&lt;=13,K609&gt;=1,K609&lt;=3),"OK","CHECK")</x:f>
        <x:v>OK</x:v>
      </x:c>
      <x:c r="W609" t="str">
        <x:f>IF(SUMIF($B$5:$B$914,B609,$S$5:$S$914)=SUMIF(DailyProduction!$Q$5:$Q$100,B609,DailyProduction!$R$5:$R$100),"OK","CHECK")</x:f>
        <x:v>OK</x:v>
      </x:c>
    </x:row>
    <x:row r="610">
      <x:c r="A610" t="str">
        <x:v>PC-PE-KG01-L24-20251022-AM-ORD-2025-00125-S08</x:v>
      </x:c>
      <x:c r="B610" t="str">
        <x:v>PE-KG01-L24-20251022-AM-ORD-2025-00125</x:v>
      </x:c>
      <x:c r="C610" t="str">
        <x:v>KG01</x:v>
      </x:c>
      <x:c r="D610" t="n">
        <x:v>45952</x:v>
      </x:c>
      <x:c r="E610" t="str">
        <x:v>AM</x:v>
      </x:c>
      <x:c r="F610" t="str">
        <x:v>B</x:v>
      </x:c>
      <x:c r="G610" t="n">
        <x:v>24</x:v>
      </x:c>
      <x:c r="H610" t="str">
        <x:v>ORD-2025-00125</x:v>
      </x:c>
      <x:c r="I610" t="n">
        <x:v>8</x:v>
      </x:c>
      <x:c r="J610" t="n">
        <x:v>12</x:v>
      </x:c>
      <x:c r="K610" t="n">
        <x:v>3</x:v>
      </x:c>
      <x:c r="L610" t="n">
        <x:f>IF(I610&lt;=J610,1,0)</x:f>
        <x:v>1</x:v>
      </x:c>
      <x:c r="P610" t="n">
        <x:f>IF(M610="",IF(AND(L610=1,K610&gt;=1),1,0),M610)</x:f>
        <x:v>1</x:v>
      </x:c>
      <x:c r="Q610" t="n">
        <x:f>IF(N610="",IF(AND(L610=1,K610&gt;=2),1,0),N610)</x:f>
        <x:v>1</x:v>
      </x:c>
      <x:c r="R610" t="n">
        <x:f>IF(O610="",IF(AND(L610=1,K610&gt;=3),1,0),O610)</x:f>
        <x:v>1</x:v>
      </x:c>
      <x:c r="S610" t="n">
        <x:f>SUM(P610:R610)</x:f>
        <x:v>3</x:v>
      </x:c>
      <x:c r="T610" t="str">
        <x:f>IF(COUNTA(M610:O610)=0,"DerivedFromCount","ManualOverride")</x:f>
        <x:v>DerivedFromCount</x:v>
      </x:c>
      <x:c r="U610" t="str">
        <x:f>IF(COUNTIF(DailyProduction!$Q$5:$Q$100,B610)=1,"OK","CHECK")</x:f>
        <x:v>OK</x:v>
      </x:c>
      <x:c r="V610" t="str">
        <x:f>IF(AND(I610&gt;=1,I610&lt;=13,K610&gt;=1,K610&lt;=3),"OK","CHECK")</x:f>
        <x:v>OK</x:v>
      </x:c>
      <x:c r="W610" t="str">
        <x:f>IF(SUMIF($B$5:$B$914,B610,$S$5:$S$914)=SUMIF(DailyProduction!$Q$5:$Q$100,B610,DailyProduction!$R$5:$R$100),"OK","CHECK")</x:f>
        <x:v>OK</x:v>
      </x:c>
    </x:row>
    <x:row r="611">
      <x:c r="A611" t="str">
        <x:v>PC-PE-KG01-L24-20251022-AM-ORD-2025-00125-S09</x:v>
      </x:c>
      <x:c r="B611" t="str">
        <x:v>PE-KG01-L24-20251022-AM-ORD-2025-00125</x:v>
      </x:c>
      <x:c r="C611" t="str">
        <x:v>KG01</x:v>
      </x:c>
      <x:c r="D611" t="n">
        <x:v>45952</x:v>
      </x:c>
      <x:c r="E611" t="str">
        <x:v>AM</x:v>
      </x:c>
      <x:c r="F611" t="str">
        <x:v>B</x:v>
      </x:c>
      <x:c r="G611" t="n">
        <x:v>24</x:v>
      </x:c>
      <x:c r="H611" t="str">
        <x:v>ORD-2025-00125</x:v>
      </x:c>
      <x:c r="I611" t="n">
        <x:v>9</x:v>
      </x:c>
      <x:c r="J611" t="n">
        <x:v>12</x:v>
      </x:c>
      <x:c r="K611" t="n">
        <x:v>3</x:v>
      </x:c>
      <x:c r="L611" t="n">
        <x:f>IF(I611&lt;=J611,1,0)</x:f>
        <x:v>1</x:v>
      </x:c>
      <x:c r="P611" t="n">
        <x:f>IF(M611="",IF(AND(L611=1,K611&gt;=1),1,0),M611)</x:f>
        <x:v>1</x:v>
      </x:c>
      <x:c r="Q611" t="n">
        <x:f>IF(N611="",IF(AND(L611=1,K611&gt;=2),1,0),N611)</x:f>
        <x:v>1</x:v>
      </x:c>
      <x:c r="R611" t="n">
        <x:f>IF(O611="",IF(AND(L611=1,K611&gt;=3),1,0),O611)</x:f>
        <x:v>1</x:v>
      </x:c>
      <x:c r="S611" t="n">
        <x:f>SUM(P611:R611)</x:f>
        <x:v>3</x:v>
      </x:c>
      <x:c r="T611" t="str">
        <x:f>IF(COUNTA(M611:O611)=0,"DerivedFromCount","ManualOverride")</x:f>
        <x:v>DerivedFromCount</x:v>
      </x:c>
      <x:c r="U611" t="str">
        <x:f>IF(COUNTIF(DailyProduction!$Q$5:$Q$100,B611)=1,"OK","CHECK")</x:f>
        <x:v>OK</x:v>
      </x:c>
      <x:c r="V611" t="str">
        <x:f>IF(AND(I611&gt;=1,I611&lt;=13,K611&gt;=1,K611&lt;=3),"OK","CHECK")</x:f>
        <x:v>OK</x:v>
      </x:c>
      <x:c r="W611" t="str">
        <x:f>IF(SUMIF($B$5:$B$914,B611,$S$5:$S$914)=SUMIF(DailyProduction!$Q$5:$Q$100,B611,DailyProduction!$R$5:$R$100),"OK","CHECK")</x:f>
        <x:v>OK</x:v>
      </x:c>
    </x:row>
    <x:row r="612">
      <x:c r="A612" t="str">
        <x:v>PC-PE-KG01-L24-20251022-AM-ORD-2025-00125-S10</x:v>
      </x:c>
      <x:c r="B612" t="str">
        <x:v>PE-KG01-L24-20251022-AM-ORD-2025-00125</x:v>
      </x:c>
      <x:c r="C612" t="str">
        <x:v>KG01</x:v>
      </x:c>
      <x:c r="D612" t="n">
        <x:v>45952</x:v>
      </x:c>
      <x:c r="E612" t="str">
        <x:v>AM</x:v>
      </x:c>
      <x:c r="F612" t="str">
        <x:v>B</x:v>
      </x:c>
      <x:c r="G612" t="n">
        <x:v>24</x:v>
      </x:c>
      <x:c r="H612" t="str">
        <x:v>ORD-2025-00125</x:v>
      </x:c>
      <x:c r="I612" t="n">
        <x:v>10</x:v>
      </x:c>
      <x:c r="J612" t="n">
        <x:v>12</x:v>
      </x:c>
      <x:c r="K612" t="n">
        <x:v>3</x:v>
      </x:c>
      <x:c r="L612" t="n">
        <x:f>IF(I612&lt;=J612,1,0)</x:f>
        <x:v>1</x:v>
      </x:c>
      <x:c r="P612" t="n">
        <x:f>IF(M612="",IF(AND(L612=1,K612&gt;=1),1,0),M612)</x:f>
        <x:v>1</x:v>
      </x:c>
      <x:c r="Q612" t="n">
        <x:f>IF(N612="",IF(AND(L612=1,K612&gt;=2),1,0),N612)</x:f>
        <x:v>1</x:v>
      </x:c>
      <x:c r="R612" t="n">
        <x:f>IF(O612="",IF(AND(L612=1,K612&gt;=3),1,0),O612)</x:f>
        <x:v>1</x:v>
      </x:c>
      <x:c r="S612" t="n">
        <x:f>SUM(P612:R612)</x:f>
        <x:v>3</x:v>
      </x:c>
      <x:c r="T612" t="str">
        <x:f>IF(COUNTA(M612:O612)=0,"DerivedFromCount","ManualOverride")</x:f>
        <x:v>DerivedFromCount</x:v>
      </x:c>
      <x:c r="U612" t="str">
        <x:f>IF(COUNTIF(DailyProduction!$Q$5:$Q$100,B612)=1,"OK","CHECK")</x:f>
        <x:v>OK</x:v>
      </x:c>
      <x:c r="V612" t="str">
        <x:f>IF(AND(I612&gt;=1,I612&lt;=13,K612&gt;=1,K612&lt;=3),"OK","CHECK")</x:f>
        <x:v>OK</x:v>
      </x:c>
      <x:c r="W612" t="str">
        <x:f>IF(SUMIF($B$5:$B$914,B612,$S$5:$S$914)=SUMIF(DailyProduction!$Q$5:$Q$100,B612,DailyProduction!$R$5:$R$100),"OK","CHECK")</x:f>
        <x:v>OK</x:v>
      </x:c>
    </x:row>
    <x:row r="613">
      <x:c r="A613" t="str">
        <x:v>PC-PE-KG01-L24-20251022-AM-ORD-2025-00125-S11</x:v>
      </x:c>
      <x:c r="B613" t="str">
        <x:v>PE-KG01-L24-20251022-AM-ORD-2025-00125</x:v>
      </x:c>
      <x:c r="C613" t="str">
        <x:v>KG01</x:v>
      </x:c>
      <x:c r="D613" t="n">
        <x:v>45952</x:v>
      </x:c>
      <x:c r="E613" t="str">
        <x:v>AM</x:v>
      </x:c>
      <x:c r="F613" t="str">
        <x:v>B</x:v>
      </x:c>
      <x:c r="G613" t="n">
        <x:v>24</x:v>
      </x:c>
      <x:c r="H613" t="str">
        <x:v>ORD-2025-00125</x:v>
      </x:c>
      <x:c r="I613" t="n">
        <x:v>11</x:v>
      </x:c>
      <x:c r="J613" t="n">
        <x:v>12</x:v>
      </x:c>
      <x:c r="K613" t="n">
        <x:v>3</x:v>
      </x:c>
      <x:c r="L613" t="n">
        <x:f>IF(I613&lt;=J613,1,0)</x:f>
        <x:v>1</x:v>
      </x:c>
      <x:c r="P613" t="n">
        <x:f>IF(M613="",IF(AND(L613=1,K613&gt;=1),1,0),M613)</x:f>
        <x:v>1</x:v>
      </x:c>
      <x:c r="Q613" t="n">
        <x:f>IF(N613="",IF(AND(L613=1,K613&gt;=2),1,0),N613)</x:f>
        <x:v>1</x:v>
      </x:c>
      <x:c r="R613" t="n">
        <x:f>IF(O613="",IF(AND(L613=1,K613&gt;=3),1,0),O613)</x:f>
        <x:v>1</x:v>
      </x:c>
      <x:c r="S613" t="n">
        <x:f>SUM(P613:R613)</x:f>
        <x:v>3</x:v>
      </x:c>
      <x:c r="T613" t="str">
        <x:f>IF(COUNTA(M613:O613)=0,"DerivedFromCount","ManualOverride")</x:f>
        <x:v>DerivedFromCount</x:v>
      </x:c>
      <x:c r="U613" t="str">
        <x:f>IF(COUNTIF(DailyProduction!$Q$5:$Q$100,B613)=1,"OK","CHECK")</x:f>
        <x:v>OK</x:v>
      </x:c>
      <x:c r="V613" t="str">
        <x:f>IF(AND(I613&gt;=1,I613&lt;=13,K613&gt;=1,K613&lt;=3),"OK","CHECK")</x:f>
        <x:v>OK</x:v>
      </x:c>
      <x:c r="W613" t="str">
        <x:f>IF(SUMIF($B$5:$B$914,B613,$S$5:$S$914)=SUMIF(DailyProduction!$Q$5:$Q$100,B613,DailyProduction!$R$5:$R$100),"OK","CHECK")</x:f>
        <x:v>OK</x:v>
      </x:c>
    </x:row>
    <x:row r="614">
      <x:c r="A614" t="str">
        <x:v>PC-PE-KG01-L24-20251022-AM-ORD-2025-00125-S12</x:v>
      </x:c>
      <x:c r="B614" t="str">
        <x:v>PE-KG01-L24-20251022-AM-ORD-2025-00125</x:v>
      </x:c>
      <x:c r="C614" t="str">
        <x:v>KG01</x:v>
      </x:c>
      <x:c r="D614" t="n">
        <x:v>45952</x:v>
      </x:c>
      <x:c r="E614" t="str">
        <x:v>AM</x:v>
      </x:c>
      <x:c r="F614" t="str">
        <x:v>B</x:v>
      </x:c>
      <x:c r="G614" t="n">
        <x:v>24</x:v>
      </x:c>
      <x:c r="H614" t="str">
        <x:v>ORD-2025-00125</x:v>
      </x:c>
      <x:c r="I614" t="n">
        <x:v>12</x:v>
      </x:c>
      <x:c r="J614" t="n">
        <x:v>12</x:v>
      </x:c>
      <x:c r="K614" t="n">
        <x:v>3</x:v>
      </x:c>
      <x:c r="L614" t="n">
        <x:f>IF(I614&lt;=J614,1,0)</x:f>
        <x:v>1</x:v>
      </x:c>
      <x:c r="P614" t="n">
        <x:f>IF(M614="",IF(AND(L614=1,K614&gt;=1),1,0),M614)</x:f>
        <x:v>1</x:v>
      </x:c>
      <x:c r="Q614" t="n">
        <x:f>IF(N614="",IF(AND(L614=1,K614&gt;=2),1,0),N614)</x:f>
        <x:v>1</x:v>
      </x:c>
      <x:c r="R614" t="n">
        <x:f>IF(O614="",IF(AND(L614=1,K614&gt;=3),1,0),O614)</x:f>
        <x:v>1</x:v>
      </x:c>
      <x:c r="S614" t="n">
        <x:f>SUM(P614:R614)</x:f>
        <x:v>3</x:v>
      </x:c>
      <x:c r="T614" t="str">
        <x:f>IF(COUNTA(M614:O614)=0,"DerivedFromCount","ManualOverride")</x:f>
        <x:v>DerivedFromCount</x:v>
      </x:c>
      <x:c r="U614" t="str">
        <x:f>IF(COUNTIF(DailyProduction!$Q$5:$Q$100,B614)=1,"OK","CHECK")</x:f>
        <x:v>OK</x:v>
      </x:c>
      <x:c r="V614" t="str">
        <x:f>IF(AND(I614&gt;=1,I614&lt;=13,K614&gt;=1,K614&lt;=3),"OK","CHECK")</x:f>
        <x:v>OK</x:v>
      </x:c>
      <x:c r="W614" t="str">
        <x:f>IF(SUMIF($B$5:$B$914,B614,$S$5:$S$914)=SUMIF(DailyProduction!$Q$5:$Q$100,B614,DailyProduction!$R$5:$R$100),"OK","CHECK")</x:f>
        <x:v>OK</x:v>
      </x:c>
    </x:row>
    <x:row r="615">
      <x:c r="A615" t="str">
        <x:v>PC-PE-KG01-L24-20251022-AM-ORD-2025-00125-S13</x:v>
      </x:c>
      <x:c r="B615" t="str">
        <x:v>PE-KG01-L24-20251022-AM-ORD-2025-00125</x:v>
      </x:c>
      <x:c r="C615" t="str">
        <x:v>KG01</x:v>
      </x:c>
      <x:c r="D615" t="n">
        <x:v>45952</x:v>
      </x:c>
      <x:c r="E615" t="str">
        <x:v>AM</x:v>
      </x:c>
      <x:c r="F615" t="str">
        <x:v>B</x:v>
      </x:c>
      <x:c r="G615" t="n">
        <x:v>24</x:v>
      </x:c>
      <x:c r="H615" t="str">
        <x:v>ORD-2025-00125</x:v>
      </x:c>
      <x:c r="I615" t="n">
        <x:v>13</x:v>
      </x:c>
      <x:c r="J615" t="n">
        <x:v>12</x:v>
      </x:c>
      <x:c r="K615" t="n">
        <x:v>3</x:v>
      </x:c>
      <x:c r="L615" t="n">
        <x:f>IF(I615&lt;=J615,1,0)</x:f>
        <x:v>0</x:v>
      </x:c>
      <x:c r="P615" t="n">
        <x:f>IF(M615="",IF(AND(L615=1,K615&gt;=1),1,0),M615)</x:f>
        <x:v>0</x:v>
      </x:c>
      <x:c r="Q615" t="n">
        <x:f>IF(N615="",IF(AND(L615=1,K615&gt;=2),1,0),N615)</x:f>
        <x:v>0</x:v>
      </x:c>
      <x:c r="R615" t="n">
        <x:f>IF(O615="",IF(AND(L615=1,K615&gt;=3),1,0),O615)</x:f>
        <x:v>0</x:v>
      </x:c>
      <x:c r="S615" t="n">
        <x:f>SUM(P615:R615)</x:f>
        <x:v>0</x:v>
      </x:c>
      <x:c r="T615" t="str">
        <x:f>IF(COUNTA(M615:O615)=0,"DerivedFromCount","ManualOverride")</x:f>
        <x:v>DerivedFromCount</x:v>
      </x:c>
      <x:c r="U615" t="str">
        <x:f>IF(COUNTIF(DailyProduction!$Q$5:$Q$100,B615)=1,"OK","CHECK")</x:f>
        <x:v>OK</x:v>
      </x:c>
      <x:c r="V615" t="str">
        <x:f>IF(AND(I615&gt;=1,I615&lt;=13,K615&gt;=1,K615&lt;=3),"OK","CHECK")</x:f>
        <x:v>OK</x:v>
      </x:c>
      <x:c r="W615" t="str">
        <x:f>IF(SUMIF($B$5:$B$914,B615,$S$5:$S$914)=SUMIF(DailyProduction!$Q$5:$Q$100,B615,DailyProduction!$R$5:$R$100),"OK","CHECK")</x:f>
        <x:v>OK</x:v>
      </x:c>
    </x:row>
    <x:row r="616">
      <x:c r="A616" t="str">
        <x:v>PC-PE-KG01-L24-20251022-PM-ORD-2025-00125-S01</x:v>
      </x:c>
      <x:c r="B616" t="str">
        <x:v>PE-KG01-L24-20251022-PM-ORD-2025-00125</x:v>
      </x:c>
      <x:c r="C616" t="str">
        <x:v>KG01</x:v>
      </x:c>
      <x:c r="D616" t="n">
        <x:v>45952</x:v>
      </x:c>
      <x:c r="E616" t="str">
        <x:v>PM</x:v>
      </x:c>
      <x:c r="F616" t="str">
        <x:v>C</x:v>
      </x:c>
      <x:c r="G616" t="n">
        <x:v>24</x:v>
      </x:c>
      <x:c r="H616" t="str">
        <x:v>ORD-2025-00125</x:v>
      </x:c>
      <x:c r="I616" t="n">
        <x:v>1</x:v>
      </x:c>
      <x:c r="J616" t="n">
        <x:v>12</x:v>
      </x:c>
      <x:c r="K616" t="n">
        <x:v>3</x:v>
      </x:c>
      <x:c r="L616" t="n">
        <x:f>IF(I616&lt;=J616,1,0)</x:f>
        <x:v>1</x:v>
      </x:c>
      <x:c r="P616" t="n">
        <x:f>IF(M616="",IF(AND(L616=1,K616&gt;=1),1,0),M616)</x:f>
        <x:v>1</x:v>
      </x:c>
      <x:c r="Q616" t="n">
        <x:f>IF(N616="",IF(AND(L616=1,K616&gt;=2),1,0),N616)</x:f>
        <x:v>1</x:v>
      </x:c>
      <x:c r="R616" t="n">
        <x:f>IF(O616="",IF(AND(L616=1,K616&gt;=3),1,0),O616)</x:f>
        <x:v>1</x:v>
      </x:c>
      <x:c r="S616" t="n">
        <x:f>SUM(P616:R616)</x:f>
        <x:v>3</x:v>
      </x:c>
      <x:c r="T616" t="str">
        <x:f>IF(COUNTA(M616:O616)=0,"DerivedFromCount","ManualOverride")</x:f>
        <x:v>DerivedFromCount</x:v>
      </x:c>
      <x:c r="U616" t="str">
        <x:f>IF(COUNTIF(DailyProduction!$Q$5:$Q$100,B616)=1,"OK","CHECK")</x:f>
        <x:v>OK</x:v>
      </x:c>
      <x:c r="V616" t="str">
        <x:f>IF(AND(I616&gt;=1,I616&lt;=13,K616&gt;=1,K616&lt;=3),"OK","CHECK")</x:f>
        <x:v>OK</x:v>
      </x:c>
      <x:c r="W616" t="str">
        <x:f>IF(SUMIF($B$5:$B$914,B616,$S$5:$S$914)=SUMIF(DailyProduction!$Q$5:$Q$100,B616,DailyProduction!$R$5:$R$100),"OK","CHECK")</x:f>
        <x:v>OK</x:v>
      </x:c>
    </x:row>
    <x:row r="617">
      <x:c r="A617" t="str">
        <x:v>PC-PE-KG01-L24-20251022-PM-ORD-2025-00125-S02</x:v>
      </x:c>
      <x:c r="B617" t="str">
        <x:v>PE-KG01-L24-20251022-PM-ORD-2025-00125</x:v>
      </x:c>
      <x:c r="C617" t="str">
        <x:v>KG01</x:v>
      </x:c>
      <x:c r="D617" t="n">
        <x:v>45952</x:v>
      </x:c>
      <x:c r="E617" t="str">
        <x:v>PM</x:v>
      </x:c>
      <x:c r="F617" t="str">
        <x:v>C</x:v>
      </x:c>
      <x:c r="G617" t="n">
        <x:v>24</x:v>
      </x:c>
      <x:c r="H617" t="str">
        <x:v>ORD-2025-00125</x:v>
      </x:c>
      <x:c r="I617" t="n">
        <x:v>2</x:v>
      </x:c>
      <x:c r="J617" t="n">
        <x:v>12</x:v>
      </x:c>
      <x:c r="K617" t="n">
        <x:v>3</x:v>
      </x:c>
      <x:c r="L617" t="n">
        <x:f>IF(I617&lt;=J617,1,0)</x:f>
        <x:v>1</x:v>
      </x:c>
      <x:c r="P617" t="n">
        <x:f>IF(M617="",IF(AND(L617=1,K617&gt;=1),1,0),M617)</x:f>
        <x:v>1</x:v>
      </x:c>
      <x:c r="Q617" t="n">
        <x:f>IF(N617="",IF(AND(L617=1,K617&gt;=2),1,0),N617)</x:f>
        <x:v>1</x:v>
      </x:c>
      <x:c r="R617" t="n">
        <x:f>IF(O617="",IF(AND(L617=1,K617&gt;=3),1,0),O617)</x:f>
        <x:v>1</x:v>
      </x:c>
      <x:c r="S617" t="n">
        <x:f>SUM(P617:R617)</x:f>
        <x:v>3</x:v>
      </x:c>
      <x:c r="T617" t="str">
        <x:f>IF(COUNTA(M617:O617)=0,"DerivedFromCount","ManualOverride")</x:f>
        <x:v>DerivedFromCount</x:v>
      </x:c>
      <x:c r="U617" t="str">
        <x:f>IF(COUNTIF(DailyProduction!$Q$5:$Q$100,B617)=1,"OK","CHECK")</x:f>
        <x:v>OK</x:v>
      </x:c>
      <x:c r="V617" t="str">
        <x:f>IF(AND(I617&gt;=1,I617&lt;=13,K617&gt;=1,K617&lt;=3),"OK","CHECK")</x:f>
        <x:v>OK</x:v>
      </x:c>
      <x:c r="W617" t="str">
        <x:f>IF(SUMIF($B$5:$B$914,B617,$S$5:$S$914)=SUMIF(DailyProduction!$Q$5:$Q$100,B617,DailyProduction!$R$5:$R$100),"OK","CHECK")</x:f>
        <x:v>OK</x:v>
      </x:c>
    </x:row>
    <x:row r="618">
      <x:c r="A618" t="str">
        <x:v>PC-PE-KG01-L24-20251022-PM-ORD-2025-00125-S03</x:v>
      </x:c>
      <x:c r="B618" t="str">
        <x:v>PE-KG01-L24-20251022-PM-ORD-2025-00125</x:v>
      </x:c>
      <x:c r="C618" t="str">
        <x:v>KG01</x:v>
      </x:c>
      <x:c r="D618" t="n">
        <x:v>45952</x:v>
      </x:c>
      <x:c r="E618" t="str">
        <x:v>PM</x:v>
      </x:c>
      <x:c r="F618" t="str">
        <x:v>C</x:v>
      </x:c>
      <x:c r="G618" t="n">
        <x:v>24</x:v>
      </x:c>
      <x:c r="H618" t="str">
        <x:v>ORD-2025-00125</x:v>
      </x:c>
      <x:c r="I618" t="n">
        <x:v>3</x:v>
      </x:c>
      <x:c r="J618" t="n">
        <x:v>12</x:v>
      </x:c>
      <x:c r="K618" t="n">
        <x:v>3</x:v>
      </x:c>
      <x:c r="L618" t="n">
        <x:f>IF(I618&lt;=J618,1,0)</x:f>
        <x:v>1</x:v>
      </x:c>
      <x:c r="P618" t="n">
        <x:f>IF(M618="",IF(AND(L618=1,K618&gt;=1),1,0),M618)</x:f>
        <x:v>1</x:v>
      </x:c>
      <x:c r="Q618" t="n">
        <x:f>IF(N618="",IF(AND(L618=1,K618&gt;=2),1,0),N618)</x:f>
        <x:v>1</x:v>
      </x:c>
      <x:c r="R618" t="n">
        <x:f>IF(O618="",IF(AND(L618=1,K618&gt;=3),1,0),O618)</x:f>
        <x:v>1</x:v>
      </x:c>
      <x:c r="S618" t="n">
        <x:f>SUM(P618:R618)</x:f>
        <x:v>3</x:v>
      </x:c>
      <x:c r="T618" t="str">
        <x:f>IF(COUNTA(M618:O618)=0,"DerivedFromCount","ManualOverride")</x:f>
        <x:v>DerivedFromCount</x:v>
      </x:c>
      <x:c r="U618" t="str">
        <x:f>IF(COUNTIF(DailyProduction!$Q$5:$Q$100,B618)=1,"OK","CHECK")</x:f>
        <x:v>OK</x:v>
      </x:c>
      <x:c r="V618" t="str">
        <x:f>IF(AND(I618&gt;=1,I618&lt;=13,K618&gt;=1,K618&lt;=3),"OK","CHECK")</x:f>
        <x:v>OK</x:v>
      </x:c>
      <x:c r="W618" t="str">
        <x:f>IF(SUMIF($B$5:$B$914,B618,$S$5:$S$914)=SUMIF(DailyProduction!$Q$5:$Q$100,B618,DailyProduction!$R$5:$R$100),"OK","CHECK")</x:f>
        <x:v>OK</x:v>
      </x:c>
    </x:row>
    <x:row r="619">
      <x:c r="A619" t="str">
        <x:v>PC-PE-KG01-L24-20251022-PM-ORD-2025-00125-S04</x:v>
      </x:c>
      <x:c r="B619" t="str">
        <x:v>PE-KG01-L24-20251022-PM-ORD-2025-00125</x:v>
      </x:c>
      <x:c r="C619" t="str">
        <x:v>KG01</x:v>
      </x:c>
      <x:c r="D619" t="n">
        <x:v>45952</x:v>
      </x:c>
      <x:c r="E619" t="str">
        <x:v>PM</x:v>
      </x:c>
      <x:c r="F619" t="str">
        <x:v>C</x:v>
      </x:c>
      <x:c r="G619" t="n">
        <x:v>24</x:v>
      </x:c>
      <x:c r="H619" t="str">
        <x:v>ORD-2025-00125</x:v>
      </x:c>
      <x:c r="I619" t="n">
        <x:v>4</x:v>
      </x:c>
      <x:c r="J619" t="n">
        <x:v>12</x:v>
      </x:c>
      <x:c r="K619" t="n">
        <x:v>3</x:v>
      </x:c>
      <x:c r="L619" t="n">
        <x:f>IF(I619&lt;=J619,1,0)</x:f>
        <x:v>1</x:v>
      </x:c>
      <x:c r="P619" t="n">
        <x:f>IF(M619="",IF(AND(L619=1,K619&gt;=1),1,0),M619)</x:f>
        <x:v>1</x:v>
      </x:c>
      <x:c r="Q619" t="n">
        <x:f>IF(N619="",IF(AND(L619=1,K619&gt;=2),1,0),N619)</x:f>
        <x:v>1</x:v>
      </x:c>
      <x:c r="R619" t="n">
        <x:f>IF(O619="",IF(AND(L619=1,K619&gt;=3),1,0),O619)</x:f>
        <x:v>1</x:v>
      </x:c>
      <x:c r="S619" t="n">
        <x:f>SUM(P619:R619)</x:f>
        <x:v>3</x:v>
      </x:c>
      <x:c r="T619" t="str">
        <x:f>IF(COUNTA(M619:O619)=0,"DerivedFromCount","ManualOverride")</x:f>
        <x:v>DerivedFromCount</x:v>
      </x:c>
      <x:c r="U619" t="str">
        <x:f>IF(COUNTIF(DailyProduction!$Q$5:$Q$100,B619)=1,"OK","CHECK")</x:f>
        <x:v>OK</x:v>
      </x:c>
      <x:c r="V619" t="str">
        <x:f>IF(AND(I619&gt;=1,I619&lt;=13,K619&gt;=1,K619&lt;=3),"OK","CHECK")</x:f>
        <x:v>OK</x:v>
      </x:c>
      <x:c r="W619" t="str">
        <x:f>IF(SUMIF($B$5:$B$914,B619,$S$5:$S$914)=SUMIF(DailyProduction!$Q$5:$Q$100,B619,DailyProduction!$R$5:$R$100),"OK","CHECK")</x:f>
        <x:v>OK</x:v>
      </x:c>
    </x:row>
    <x:row r="620">
      <x:c r="A620" t="str">
        <x:v>PC-PE-KG01-L24-20251022-PM-ORD-2025-00125-S05</x:v>
      </x:c>
      <x:c r="B620" t="str">
        <x:v>PE-KG01-L24-20251022-PM-ORD-2025-00125</x:v>
      </x:c>
      <x:c r="C620" t="str">
        <x:v>KG01</x:v>
      </x:c>
      <x:c r="D620" t="n">
        <x:v>45952</x:v>
      </x:c>
      <x:c r="E620" t="str">
        <x:v>PM</x:v>
      </x:c>
      <x:c r="F620" t="str">
        <x:v>C</x:v>
      </x:c>
      <x:c r="G620" t="n">
        <x:v>24</x:v>
      </x:c>
      <x:c r="H620" t="str">
        <x:v>ORD-2025-00125</x:v>
      </x:c>
      <x:c r="I620" t="n">
        <x:v>5</x:v>
      </x:c>
      <x:c r="J620" t="n">
        <x:v>12</x:v>
      </x:c>
      <x:c r="K620" t="n">
        <x:v>3</x:v>
      </x:c>
      <x:c r="L620" t="n">
        <x:f>IF(I620&lt;=J620,1,0)</x:f>
        <x:v>1</x:v>
      </x:c>
      <x:c r="P620" t="n">
        <x:f>IF(M620="",IF(AND(L620=1,K620&gt;=1),1,0),M620)</x:f>
        <x:v>1</x:v>
      </x:c>
      <x:c r="Q620" t="n">
        <x:f>IF(N620="",IF(AND(L620=1,K620&gt;=2),1,0),N620)</x:f>
        <x:v>1</x:v>
      </x:c>
      <x:c r="R620" t="n">
        <x:f>IF(O620="",IF(AND(L620=1,K620&gt;=3),1,0),O620)</x:f>
        <x:v>1</x:v>
      </x:c>
      <x:c r="S620" t="n">
        <x:f>SUM(P620:R620)</x:f>
        <x:v>3</x:v>
      </x:c>
      <x:c r="T620" t="str">
        <x:f>IF(COUNTA(M620:O620)=0,"DerivedFromCount","ManualOverride")</x:f>
        <x:v>DerivedFromCount</x:v>
      </x:c>
      <x:c r="U620" t="str">
        <x:f>IF(COUNTIF(DailyProduction!$Q$5:$Q$100,B620)=1,"OK","CHECK")</x:f>
        <x:v>OK</x:v>
      </x:c>
      <x:c r="V620" t="str">
        <x:f>IF(AND(I620&gt;=1,I620&lt;=13,K620&gt;=1,K620&lt;=3),"OK","CHECK")</x:f>
        <x:v>OK</x:v>
      </x:c>
      <x:c r="W620" t="str">
        <x:f>IF(SUMIF($B$5:$B$914,B620,$S$5:$S$914)=SUMIF(DailyProduction!$Q$5:$Q$100,B620,DailyProduction!$R$5:$R$100),"OK","CHECK")</x:f>
        <x:v>OK</x:v>
      </x:c>
    </x:row>
    <x:row r="621">
      <x:c r="A621" t="str">
        <x:v>PC-PE-KG01-L24-20251022-PM-ORD-2025-00125-S06</x:v>
      </x:c>
      <x:c r="B621" t="str">
        <x:v>PE-KG01-L24-20251022-PM-ORD-2025-00125</x:v>
      </x:c>
      <x:c r="C621" t="str">
        <x:v>KG01</x:v>
      </x:c>
      <x:c r="D621" t="n">
        <x:v>45952</x:v>
      </x:c>
      <x:c r="E621" t="str">
        <x:v>PM</x:v>
      </x:c>
      <x:c r="F621" t="str">
        <x:v>C</x:v>
      </x:c>
      <x:c r="G621" t="n">
        <x:v>24</x:v>
      </x:c>
      <x:c r="H621" t="str">
        <x:v>ORD-2025-00125</x:v>
      </x:c>
      <x:c r="I621" t="n">
        <x:v>6</x:v>
      </x:c>
      <x:c r="J621" t="n">
        <x:v>12</x:v>
      </x:c>
      <x:c r="K621" t="n">
        <x:v>3</x:v>
      </x:c>
      <x:c r="L621" t="n">
        <x:f>IF(I621&lt;=J621,1,0)</x:f>
        <x:v>1</x:v>
      </x:c>
      <x:c r="P621" t="n">
        <x:f>IF(M621="",IF(AND(L621=1,K621&gt;=1),1,0),M621)</x:f>
        <x:v>1</x:v>
      </x:c>
      <x:c r="Q621" t="n">
        <x:f>IF(N621="",IF(AND(L621=1,K621&gt;=2),1,0),N621)</x:f>
        <x:v>1</x:v>
      </x:c>
      <x:c r="R621" t="n">
        <x:f>IF(O621="",IF(AND(L621=1,K621&gt;=3),1,0),O621)</x:f>
        <x:v>1</x:v>
      </x:c>
      <x:c r="S621" t="n">
        <x:f>SUM(P621:R621)</x:f>
        <x:v>3</x:v>
      </x:c>
      <x:c r="T621" t="str">
        <x:f>IF(COUNTA(M621:O621)=0,"DerivedFromCount","ManualOverride")</x:f>
        <x:v>DerivedFromCount</x:v>
      </x:c>
      <x:c r="U621" t="str">
        <x:f>IF(COUNTIF(DailyProduction!$Q$5:$Q$100,B621)=1,"OK","CHECK")</x:f>
        <x:v>OK</x:v>
      </x:c>
      <x:c r="V621" t="str">
        <x:f>IF(AND(I621&gt;=1,I621&lt;=13,K621&gt;=1,K621&lt;=3),"OK","CHECK")</x:f>
        <x:v>OK</x:v>
      </x:c>
      <x:c r="W621" t="str">
        <x:f>IF(SUMIF($B$5:$B$914,B621,$S$5:$S$914)=SUMIF(DailyProduction!$Q$5:$Q$100,B621,DailyProduction!$R$5:$R$100),"OK","CHECK")</x:f>
        <x:v>OK</x:v>
      </x:c>
    </x:row>
    <x:row r="622">
      <x:c r="A622" t="str">
        <x:v>PC-PE-KG01-L24-20251022-PM-ORD-2025-00125-S07</x:v>
      </x:c>
      <x:c r="B622" t="str">
        <x:v>PE-KG01-L24-20251022-PM-ORD-2025-00125</x:v>
      </x:c>
      <x:c r="C622" t="str">
        <x:v>KG01</x:v>
      </x:c>
      <x:c r="D622" t="n">
        <x:v>45952</x:v>
      </x:c>
      <x:c r="E622" t="str">
        <x:v>PM</x:v>
      </x:c>
      <x:c r="F622" t="str">
        <x:v>C</x:v>
      </x:c>
      <x:c r="G622" t="n">
        <x:v>24</x:v>
      </x:c>
      <x:c r="H622" t="str">
        <x:v>ORD-2025-00125</x:v>
      </x:c>
      <x:c r="I622" t="n">
        <x:v>7</x:v>
      </x:c>
      <x:c r="J622" t="n">
        <x:v>12</x:v>
      </x:c>
      <x:c r="K622" t="n">
        <x:v>3</x:v>
      </x:c>
      <x:c r="L622" t="n">
        <x:f>IF(I622&lt;=J622,1,0)</x:f>
        <x:v>1</x:v>
      </x:c>
      <x:c r="P622" t="n">
        <x:f>IF(M622="",IF(AND(L622=1,K622&gt;=1),1,0),M622)</x:f>
        <x:v>1</x:v>
      </x:c>
      <x:c r="Q622" t="n">
        <x:f>IF(N622="",IF(AND(L622=1,K622&gt;=2),1,0),N622)</x:f>
        <x:v>1</x:v>
      </x:c>
      <x:c r="R622" t="n">
        <x:f>IF(O622="",IF(AND(L622=1,K622&gt;=3),1,0),O622)</x:f>
        <x:v>1</x:v>
      </x:c>
      <x:c r="S622" t="n">
        <x:f>SUM(P622:R622)</x:f>
        <x:v>3</x:v>
      </x:c>
      <x:c r="T622" t="str">
        <x:f>IF(COUNTA(M622:O622)=0,"DerivedFromCount","ManualOverride")</x:f>
        <x:v>DerivedFromCount</x:v>
      </x:c>
      <x:c r="U622" t="str">
        <x:f>IF(COUNTIF(DailyProduction!$Q$5:$Q$100,B622)=1,"OK","CHECK")</x:f>
        <x:v>OK</x:v>
      </x:c>
      <x:c r="V622" t="str">
        <x:f>IF(AND(I622&gt;=1,I622&lt;=13,K622&gt;=1,K622&lt;=3),"OK","CHECK")</x:f>
        <x:v>OK</x:v>
      </x:c>
      <x:c r="W622" t="str">
        <x:f>IF(SUMIF($B$5:$B$914,B622,$S$5:$S$914)=SUMIF(DailyProduction!$Q$5:$Q$100,B622,DailyProduction!$R$5:$R$100),"OK","CHECK")</x:f>
        <x:v>OK</x:v>
      </x:c>
    </x:row>
    <x:row r="623">
      <x:c r="A623" t="str">
        <x:v>PC-PE-KG01-L24-20251022-PM-ORD-2025-00125-S08</x:v>
      </x:c>
      <x:c r="B623" t="str">
        <x:v>PE-KG01-L24-20251022-PM-ORD-2025-00125</x:v>
      </x:c>
      <x:c r="C623" t="str">
        <x:v>KG01</x:v>
      </x:c>
      <x:c r="D623" t="n">
        <x:v>45952</x:v>
      </x:c>
      <x:c r="E623" t="str">
        <x:v>PM</x:v>
      </x:c>
      <x:c r="F623" t="str">
        <x:v>C</x:v>
      </x:c>
      <x:c r="G623" t="n">
        <x:v>24</x:v>
      </x:c>
      <x:c r="H623" t="str">
        <x:v>ORD-2025-00125</x:v>
      </x:c>
      <x:c r="I623" t="n">
        <x:v>8</x:v>
      </x:c>
      <x:c r="J623" t="n">
        <x:v>12</x:v>
      </x:c>
      <x:c r="K623" t="n">
        <x:v>3</x:v>
      </x:c>
      <x:c r="L623" t="n">
        <x:f>IF(I623&lt;=J623,1,0)</x:f>
        <x:v>1</x:v>
      </x:c>
      <x:c r="P623" t="n">
        <x:f>IF(M623="",IF(AND(L623=1,K623&gt;=1),1,0),M623)</x:f>
        <x:v>1</x:v>
      </x:c>
      <x:c r="Q623" t="n">
        <x:f>IF(N623="",IF(AND(L623=1,K623&gt;=2),1,0),N623)</x:f>
        <x:v>1</x:v>
      </x:c>
      <x:c r="R623" t="n">
        <x:f>IF(O623="",IF(AND(L623=1,K623&gt;=3),1,0),O623)</x:f>
        <x:v>1</x:v>
      </x:c>
      <x:c r="S623" t="n">
        <x:f>SUM(P623:R623)</x:f>
        <x:v>3</x:v>
      </x:c>
      <x:c r="T623" t="str">
        <x:f>IF(COUNTA(M623:O623)=0,"DerivedFromCount","ManualOverride")</x:f>
        <x:v>DerivedFromCount</x:v>
      </x:c>
      <x:c r="U623" t="str">
        <x:f>IF(COUNTIF(DailyProduction!$Q$5:$Q$100,B623)=1,"OK","CHECK")</x:f>
        <x:v>OK</x:v>
      </x:c>
      <x:c r="V623" t="str">
        <x:f>IF(AND(I623&gt;=1,I623&lt;=13,K623&gt;=1,K623&lt;=3),"OK","CHECK")</x:f>
        <x:v>OK</x:v>
      </x:c>
      <x:c r="W623" t="str">
        <x:f>IF(SUMIF($B$5:$B$914,B623,$S$5:$S$914)=SUMIF(DailyProduction!$Q$5:$Q$100,B623,DailyProduction!$R$5:$R$100),"OK","CHECK")</x:f>
        <x:v>OK</x:v>
      </x:c>
    </x:row>
    <x:row r="624">
      <x:c r="A624" t="str">
        <x:v>PC-PE-KG01-L24-20251022-PM-ORD-2025-00125-S09</x:v>
      </x:c>
      <x:c r="B624" t="str">
        <x:v>PE-KG01-L24-20251022-PM-ORD-2025-00125</x:v>
      </x:c>
      <x:c r="C624" t="str">
        <x:v>KG01</x:v>
      </x:c>
      <x:c r="D624" t="n">
        <x:v>45952</x:v>
      </x:c>
      <x:c r="E624" t="str">
        <x:v>PM</x:v>
      </x:c>
      <x:c r="F624" t="str">
        <x:v>C</x:v>
      </x:c>
      <x:c r="G624" t="n">
        <x:v>24</x:v>
      </x:c>
      <x:c r="H624" t="str">
        <x:v>ORD-2025-00125</x:v>
      </x:c>
      <x:c r="I624" t="n">
        <x:v>9</x:v>
      </x:c>
      <x:c r="J624" t="n">
        <x:v>12</x:v>
      </x:c>
      <x:c r="K624" t="n">
        <x:v>3</x:v>
      </x:c>
      <x:c r="L624" t="n">
        <x:f>IF(I624&lt;=J624,1,0)</x:f>
        <x:v>1</x:v>
      </x:c>
      <x:c r="P624" t="n">
        <x:f>IF(M624="",IF(AND(L624=1,K624&gt;=1),1,0),M624)</x:f>
        <x:v>1</x:v>
      </x:c>
      <x:c r="Q624" t="n">
        <x:f>IF(N624="",IF(AND(L624=1,K624&gt;=2),1,0),N624)</x:f>
        <x:v>1</x:v>
      </x:c>
      <x:c r="R624" t="n">
        <x:f>IF(O624="",IF(AND(L624=1,K624&gt;=3),1,0),O624)</x:f>
        <x:v>1</x:v>
      </x:c>
      <x:c r="S624" t="n">
        <x:f>SUM(P624:R624)</x:f>
        <x:v>3</x:v>
      </x:c>
      <x:c r="T624" t="str">
        <x:f>IF(COUNTA(M624:O624)=0,"DerivedFromCount","ManualOverride")</x:f>
        <x:v>DerivedFromCount</x:v>
      </x:c>
      <x:c r="U624" t="str">
        <x:f>IF(COUNTIF(DailyProduction!$Q$5:$Q$100,B624)=1,"OK","CHECK")</x:f>
        <x:v>OK</x:v>
      </x:c>
      <x:c r="V624" t="str">
        <x:f>IF(AND(I624&gt;=1,I624&lt;=13,K624&gt;=1,K624&lt;=3),"OK","CHECK")</x:f>
        <x:v>OK</x:v>
      </x:c>
      <x:c r="W624" t="str">
        <x:f>IF(SUMIF($B$5:$B$914,B624,$S$5:$S$914)=SUMIF(DailyProduction!$Q$5:$Q$100,B624,DailyProduction!$R$5:$R$100),"OK","CHECK")</x:f>
        <x:v>OK</x:v>
      </x:c>
    </x:row>
    <x:row r="625">
      <x:c r="A625" t="str">
        <x:v>PC-PE-KG01-L24-20251022-PM-ORD-2025-00125-S10</x:v>
      </x:c>
      <x:c r="B625" t="str">
        <x:v>PE-KG01-L24-20251022-PM-ORD-2025-00125</x:v>
      </x:c>
      <x:c r="C625" t="str">
        <x:v>KG01</x:v>
      </x:c>
      <x:c r="D625" t="n">
        <x:v>45952</x:v>
      </x:c>
      <x:c r="E625" t="str">
        <x:v>PM</x:v>
      </x:c>
      <x:c r="F625" t="str">
        <x:v>C</x:v>
      </x:c>
      <x:c r="G625" t="n">
        <x:v>24</x:v>
      </x:c>
      <x:c r="H625" t="str">
        <x:v>ORD-2025-00125</x:v>
      </x:c>
      <x:c r="I625" t="n">
        <x:v>10</x:v>
      </x:c>
      <x:c r="J625" t="n">
        <x:v>12</x:v>
      </x:c>
      <x:c r="K625" t="n">
        <x:v>3</x:v>
      </x:c>
      <x:c r="L625" t="n">
        <x:f>IF(I625&lt;=J625,1,0)</x:f>
        <x:v>1</x:v>
      </x:c>
      <x:c r="P625" t="n">
        <x:f>IF(M625="",IF(AND(L625=1,K625&gt;=1),1,0),M625)</x:f>
        <x:v>1</x:v>
      </x:c>
      <x:c r="Q625" t="n">
        <x:f>IF(N625="",IF(AND(L625=1,K625&gt;=2),1,0),N625)</x:f>
        <x:v>1</x:v>
      </x:c>
      <x:c r="R625" t="n">
        <x:f>IF(O625="",IF(AND(L625=1,K625&gt;=3),1,0),O625)</x:f>
        <x:v>1</x:v>
      </x:c>
      <x:c r="S625" t="n">
        <x:f>SUM(P625:R625)</x:f>
        <x:v>3</x:v>
      </x:c>
      <x:c r="T625" t="str">
        <x:f>IF(COUNTA(M625:O625)=0,"DerivedFromCount","ManualOverride")</x:f>
        <x:v>DerivedFromCount</x:v>
      </x:c>
      <x:c r="U625" t="str">
        <x:f>IF(COUNTIF(DailyProduction!$Q$5:$Q$100,B625)=1,"OK","CHECK")</x:f>
        <x:v>OK</x:v>
      </x:c>
      <x:c r="V625" t="str">
        <x:f>IF(AND(I625&gt;=1,I625&lt;=13,K625&gt;=1,K625&lt;=3),"OK","CHECK")</x:f>
        <x:v>OK</x:v>
      </x:c>
      <x:c r="W625" t="str">
        <x:f>IF(SUMIF($B$5:$B$914,B625,$S$5:$S$914)=SUMIF(DailyProduction!$Q$5:$Q$100,B625,DailyProduction!$R$5:$R$100),"OK","CHECK")</x:f>
        <x:v>OK</x:v>
      </x:c>
    </x:row>
    <x:row r="626">
      <x:c r="A626" t="str">
        <x:v>PC-PE-KG01-L24-20251022-PM-ORD-2025-00125-S11</x:v>
      </x:c>
      <x:c r="B626" t="str">
        <x:v>PE-KG01-L24-20251022-PM-ORD-2025-00125</x:v>
      </x:c>
      <x:c r="C626" t="str">
        <x:v>KG01</x:v>
      </x:c>
      <x:c r="D626" t="n">
        <x:v>45952</x:v>
      </x:c>
      <x:c r="E626" t="str">
        <x:v>PM</x:v>
      </x:c>
      <x:c r="F626" t="str">
        <x:v>C</x:v>
      </x:c>
      <x:c r="G626" t="n">
        <x:v>24</x:v>
      </x:c>
      <x:c r="H626" t="str">
        <x:v>ORD-2025-00125</x:v>
      </x:c>
      <x:c r="I626" t="n">
        <x:v>11</x:v>
      </x:c>
      <x:c r="J626" t="n">
        <x:v>12</x:v>
      </x:c>
      <x:c r="K626" t="n">
        <x:v>3</x:v>
      </x:c>
      <x:c r="L626" t="n">
        <x:f>IF(I626&lt;=J626,1,0)</x:f>
        <x:v>1</x:v>
      </x:c>
      <x:c r="P626" t="n">
        <x:f>IF(M626="",IF(AND(L626=1,K626&gt;=1),1,0),M626)</x:f>
        <x:v>1</x:v>
      </x:c>
      <x:c r="Q626" t="n">
        <x:f>IF(N626="",IF(AND(L626=1,K626&gt;=2),1,0),N626)</x:f>
        <x:v>1</x:v>
      </x:c>
      <x:c r="R626" t="n">
        <x:f>IF(O626="",IF(AND(L626=1,K626&gt;=3),1,0),O626)</x:f>
        <x:v>1</x:v>
      </x:c>
      <x:c r="S626" t="n">
        <x:f>SUM(P626:R626)</x:f>
        <x:v>3</x:v>
      </x:c>
      <x:c r="T626" t="str">
        <x:f>IF(COUNTA(M626:O626)=0,"DerivedFromCount","ManualOverride")</x:f>
        <x:v>DerivedFromCount</x:v>
      </x:c>
      <x:c r="U626" t="str">
        <x:f>IF(COUNTIF(DailyProduction!$Q$5:$Q$100,B626)=1,"OK","CHECK")</x:f>
        <x:v>OK</x:v>
      </x:c>
      <x:c r="V626" t="str">
        <x:f>IF(AND(I626&gt;=1,I626&lt;=13,K626&gt;=1,K626&lt;=3),"OK","CHECK")</x:f>
        <x:v>OK</x:v>
      </x:c>
      <x:c r="W626" t="str">
        <x:f>IF(SUMIF($B$5:$B$914,B626,$S$5:$S$914)=SUMIF(DailyProduction!$Q$5:$Q$100,B626,DailyProduction!$R$5:$R$100),"OK","CHECK")</x:f>
        <x:v>OK</x:v>
      </x:c>
    </x:row>
    <x:row r="627">
      <x:c r="A627" t="str">
        <x:v>PC-PE-KG01-L24-20251022-PM-ORD-2025-00125-S12</x:v>
      </x:c>
      <x:c r="B627" t="str">
        <x:v>PE-KG01-L24-20251022-PM-ORD-2025-00125</x:v>
      </x:c>
      <x:c r="C627" t="str">
        <x:v>KG01</x:v>
      </x:c>
      <x:c r="D627" t="n">
        <x:v>45952</x:v>
      </x:c>
      <x:c r="E627" t="str">
        <x:v>PM</x:v>
      </x:c>
      <x:c r="F627" t="str">
        <x:v>C</x:v>
      </x:c>
      <x:c r="G627" t="n">
        <x:v>24</x:v>
      </x:c>
      <x:c r="H627" t="str">
        <x:v>ORD-2025-00125</x:v>
      </x:c>
      <x:c r="I627" t="n">
        <x:v>12</x:v>
      </x:c>
      <x:c r="J627" t="n">
        <x:v>12</x:v>
      </x:c>
      <x:c r="K627" t="n">
        <x:v>3</x:v>
      </x:c>
      <x:c r="L627" t="n">
        <x:f>IF(I627&lt;=J627,1,0)</x:f>
        <x:v>1</x:v>
      </x:c>
      <x:c r="P627" t="n">
        <x:f>IF(M627="",IF(AND(L627=1,K627&gt;=1),1,0),M627)</x:f>
        <x:v>1</x:v>
      </x:c>
      <x:c r="Q627" t="n">
        <x:f>IF(N627="",IF(AND(L627=1,K627&gt;=2),1,0),N627)</x:f>
        <x:v>1</x:v>
      </x:c>
      <x:c r="R627" t="n">
        <x:f>IF(O627="",IF(AND(L627=1,K627&gt;=3),1,0),O627)</x:f>
        <x:v>1</x:v>
      </x:c>
      <x:c r="S627" t="n">
        <x:f>SUM(P627:R627)</x:f>
        <x:v>3</x:v>
      </x:c>
      <x:c r="T627" t="str">
        <x:f>IF(COUNTA(M627:O627)=0,"DerivedFromCount","ManualOverride")</x:f>
        <x:v>DerivedFromCount</x:v>
      </x:c>
      <x:c r="U627" t="str">
        <x:f>IF(COUNTIF(DailyProduction!$Q$5:$Q$100,B627)=1,"OK","CHECK")</x:f>
        <x:v>OK</x:v>
      </x:c>
      <x:c r="V627" t="str">
        <x:f>IF(AND(I627&gt;=1,I627&lt;=13,K627&gt;=1,K627&lt;=3),"OK","CHECK")</x:f>
        <x:v>OK</x:v>
      </x:c>
      <x:c r="W627" t="str">
        <x:f>IF(SUMIF($B$5:$B$914,B627,$S$5:$S$914)=SUMIF(DailyProduction!$Q$5:$Q$100,B627,DailyProduction!$R$5:$R$100),"OK","CHECK")</x:f>
        <x:v>OK</x:v>
      </x:c>
    </x:row>
    <x:row r="628">
      <x:c r="A628" t="str">
        <x:v>PC-PE-KG01-L24-20251022-PM-ORD-2025-00125-S13</x:v>
      </x:c>
      <x:c r="B628" t="str">
        <x:v>PE-KG01-L24-20251022-PM-ORD-2025-00125</x:v>
      </x:c>
      <x:c r="C628" t="str">
        <x:v>KG01</x:v>
      </x:c>
      <x:c r="D628" t="n">
        <x:v>45952</x:v>
      </x:c>
      <x:c r="E628" t="str">
        <x:v>PM</x:v>
      </x:c>
      <x:c r="F628" t="str">
        <x:v>C</x:v>
      </x:c>
      <x:c r="G628" t="n">
        <x:v>24</x:v>
      </x:c>
      <x:c r="H628" t="str">
        <x:v>ORD-2025-00125</x:v>
      </x:c>
      <x:c r="I628" t="n">
        <x:v>13</x:v>
      </x:c>
      <x:c r="J628" t="n">
        <x:v>12</x:v>
      </x:c>
      <x:c r="K628" t="n">
        <x:v>3</x:v>
      </x:c>
      <x:c r="L628" t="n">
        <x:f>IF(I628&lt;=J628,1,0)</x:f>
        <x:v>0</x:v>
      </x:c>
      <x:c r="P628" t="n">
        <x:f>IF(M628="",IF(AND(L628=1,K628&gt;=1),1,0),M628)</x:f>
        <x:v>0</x:v>
      </x:c>
      <x:c r="Q628" t="n">
        <x:f>IF(N628="",IF(AND(L628=1,K628&gt;=2),1,0),N628)</x:f>
        <x:v>0</x:v>
      </x:c>
      <x:c r="R628" t="n">
        <x:f>IF(O628="",IF(AND(L628=1,K628&gt;=3),1,0),O628)</x:f>
        <x:v>0</x:v>
      </x:c>
      <x:c r="S628" t="n">
        <x:f>SUM(P628:R628)</x:f>
        <x:v>0</x:v>
      </x:c>
      <x:c r="T628" t="str">
        <x:f>IF(COUNTA(M628:O628)=0,"DerivedFromCount","ManualOverride")</x:f>
        <x:v>DerivedFromCount</x:v>
      </x:c>
      <x:c r="U628" t="str">
        <x:f>IF(COUNTIF(DailyProduction!$Q$5:$Q$100,B628)=1,"OK","CHECK")</x:f>
        <x:v>OK</x:v>
      </x:c>
      <x:c r="V628" t="str">
        <x:f>IF(AND(I628&gt;=1,I628&lt;=13,K628&gt;=1,K628&lt;=3),"OK","CHECK")</x:f>
        <x:v>OK</x:v>
      </x:c>
      <x:c r="W628" t="str">
        <x:f>IF(SUMIF($B$5:$B$914,B628,$S$5:$S$914)=SUMIF(DailyProduction!$Q$5:$Q$100,B628,DailyProduction!$R$5:$R$100),"OK","CHECK")</x:f>
        <x:v>OK</x:v>
      </x:c>
    </x:row>
    <x:row r="629">
      <x:c r="A629" t="str">
        <x:v>PC-PE-KG01-L24-20251023-AM-ORD-2025-00125-S01</x:v>
      </x:c>
      <x:c r="B629" t="str">
        <x:v>PE-KG01-L24-20251023-AM-ORD-2025-00125</x:v>
      </x:c>
      <x:c r="C629" t="str">
        <x:v>KG01</x:v>
      </x:c>
      <x:c r="D629" t="n">
        <x:v>45953</x:v>
      </x:c>
      <x:c r="E629" t="str">
        <x:v>AM</x:v>
      </x:c>
      <x:c r="F629" t="str">
        <x:v>C</x:v>
      </x:c>
      <x:c r="G629" t="n">
        <x:v>24</x:v>
      </x:c>
      <x:c r="H629" t="str">
        <x:v>ORD-2025-00125</x:v>
      </x:c>
      <x:c r="I629" t="n">
        <x:v>1</x:v>
      </x:c>
      <x:c r="J629" t="n">
        <x:v>12</x:v>
      </x:c>
      <x:c r="K629" t="n">
        <x:v>3</x:v>
      </x:c>
      <x:c r="L629" t="n">
        <x:f>IF(I629&lt;=J629,1,0)</x:f>
        <x:v>1</x:v>
      </x:c>
      <x:c r="P629" t="n">
        <x:f>IF(M629="",IF(AND(L629=1,K629&gt;=1),1,0),M629)</x:f>
        <x:v>1</x:v>
      </x:c>
      <x:c r="Q629" t="n">
        <x:f>IF(N629="",IF(AND(L629=1,K629&gt;=2),1,0),N629)</x:f>
        <x:v>1</x:v>
      </x:c>
      <x:c r="R629" t="n">
        <x:f>IF(O629="",IF(AND(L629=1,K629&gt;=3),1,0),O629)</x:f>
        <x:v>1</x:v>
      </x:c>
      <x:c r="S629" t="n">
        <x:f>SUM(P629:R629)</x:f>
        <x:v>3</x:v>
      </x:c>
      <x:c r="T629" t="str">
        <x:f>IF(COUNTA(M629:O629)=0,"DerivedFromCount","ManualOverride")</x:f>
        <x:v>DerivedFromCount</x:v>
      </x:c>
      <x:c r="U629" t="str">
        <x:f>IF(COUNTIF(DailyProduction!$Q$5:$Q$100,B629)=1,"OK","CHECK")</x:f>
        <x:v>OK</x:v>
      </x:c>
      <x:c r="V629" t="str">
        <x:f>IF(AND(I629&gt;=1,I629&lt;=13,K629&gt;=1,K629&lt;=3),"OK","CHECK")</x:f>
        <x:v>OK</x:v>
      </x:c>
      <x:c r="W629" t="str">
        <x:f>IF(SUMIF($B$5:$B$914,B629,$S$5:$S$914)=SUMIF(DailyProduction!$Q$5:$Q$100,B629,DailyProduction!$R$5:$R$100),"OK","CHECK")</x:f>
        <x:v>OK</x:v>
      </x:c>
    </x:row>
    <x:row r="630">
      <x:c r="A630" t="str">
        <x:v>PC-PE-KG01-L24-20251023-AM-ORD-2025-00125-S02</x:v>
      </x:c>
      <x:c r="B630" t="str">
        <x:v>PE-KG01-L24-20251023-AM-ORD-2025-00125</x:v>
      </x:c>
      <x:c r="C630" t="str">
        <x:v>KG01</x:v>
      </x:c>
      <x:c r="D630" t="n">
        <x:v>45953</x:v>
      </x:c>
      <x:c r="E630" t="str">
        <x:v>AM</x:v>
      </x:c>
      <x:c r="F630" t="str">
        <x:v>C</x:v>
      </x:c>
      <x:c r="G630" t="n">
        <x:v>24</x:v>
      </x:c>
      <x:c r="H630" t="str">
        <x:v>ORD-2025-00125</x:v>
      </x:c>
      <x:c r="I630" t="n">
        <x:v>2</x:v>
      </x:c>
      <x:c r="J630" t="n">
        <x:v>12</x:v>
      </x:c>
      <x:c r="K630" t="n">
        <x:v>3</x:v>
      </x:c>
      <x:c r="L630" t="n">
        <x:f>IF(I630&lt;=J630,1,0)</x:f>
        <x:v>1</x:v>
      </x:c>
      <x:c r="P630" t="n">
        <x:f>IF(M630="",IF(AND(L630=1,K630&gt;=1),1,0),M630)</x:f>
        <x:v>1</x:v>
      </x:c>
      <x:c r="Q630" t="n">
        <x:f>IF(N630="",IF(AND(L630=1,K630&gt;=2),1,0),N630)</x:f>
        <x:v>1</x:v>
      </x:c>
      <x:c r="R630" t="n">
        <x:f>IF(O630="",IF(AND(L630=1,K630&gt;=3),1,0),O630)</x:f>
        <x:v>1</x:v>
      </x:c>
      <x:c r="S630" t="n">
        <x:f>SUM(P630:R630)</x:f>
        <x:v>3</x:v>
      </x:c>
      <x:c r="T630" t="str">
        <x:f>IF(COUNTA(M630:O630)=0,"DerivedFromCount","ManualOverride")</x:f>
        <x:v>DerivedFromCount</x:v>
      </x:c>
      <x:c r="U630" t="str">
        <x:f>IF(COUNTIF(DailyProduction!$Q$5:$Q$100,B630)=1,"OK","CHECK")</x:f>
        <x:v>OK</x:v>
      </x:c>
      <x:c r="V630" t="str">
        <x:f>IF(AND(I630&gt;=1,I630&lt;=13,K630&gt;=1,K630&lt;=3),"OK","CHECK")</x:f>
        <x:v>OK</x:v>
      </x:c>
      <x:c r="W630" t="str">
        <x:f>IF(SUMIF($B$5:$B$914,B630,$S$5:$S$914)=SUMIF(DailyProduction!$Q$5:$Q$100,B630,DailyProduction!$R$5:$R$100),"OK","CHECK")</x:f>
        <x:v>OK</x:v>
      </x:c>
    </x:row>
    <x:row r="631">
      <x:c r="A631" t="str">
        <x:v>PC-PE-KG01-L24-20251023-AM-ORD-2025-00125-S03</x:v>
      </x:c>
      <x:c r="B631" t="str">
        <x:v>PE-KG01-L24-20251023-AM-ORD-2025-00125</x:v>
      </x:c>
      <x:c r="C631" t="str">
        <x:v>KG01</x:v>
      </x:c>
      <x:c r="D631" t="n">
        <x:v>45953</x:v>
      </x:c>
      <x:c r="E631" t="str">
        <x:v>AM</x:v>
      </x:c>
      <x:c r="F631" t="str">
        <x:v>C</x:v>
      </x:c>
      <x:c r="G631" t="n">
        <x:v>24</x:v>
      </x:c>
      <x:c r="H631" t="str">
        <x:v>ORD-2025-00125</x:v>
      </x:c>
      <x:c r="I631" t="n">
        <x:v>3</x:v>
      </x:c>
      <x:c r="J631" t="n">
        <x:v>12</x:v>
      </x:c>
      <x:c r="K631" t="n">
        <x:v>3</x:v>
      </x:c>
      <x:c r="L631" t="n">
        <x:f>IF(I631&lt;=J631,1,0)</x:f>
        <x:v>1</x:v>
      </x:c>
      <x:c r="P631" t="n">
        <x:f>IF(M631="",IF(AND(L631=1,K631&gt;=1),1,0),M631)</x:f>
        <x:v>1</x:v>
      </x:c>
      <x:c r="Q631" t="n">
        <x:f>IF(N631="",IF(AND(L631=1,K631&gt;=2),1,0),N631)</x:f>
        <x:v>1</x:v>
      </x:c>
      <x:c r="R631" t="n">
        <x:f>IF(O631="",IF(AND(L631=1,K631&gt;=3),1,0),O631)</x:f>
        <x:v>1</x:v>
      </x:c>
      <x:c r="S631" t="n">
        <x:f>SUM(P631:R631)</x:f>
        <x:v>3</x:v>
      </x:c>
      <x:c r="T631" t="str">
        <x:f>IF(COUNTA(M631:O631)=0,"DerivedFromCount","ManualOverride")</x:f>
        <x:v>DerivedFromCount</x:v>
      </x:c>
      <x:c r="U631" t="str">
        <x:f>IF(COUNTIF(DailyProduction!$Q$5:$Q$100,B631)=1,"OK","CHECK")</x:f>
        <x:v>OK</x:v>
      </x:c>
      <x:c r="V631" t="str">
        <x:f>IF(AND(I631&gt;=1,I631&lt;=13,K631&gt;=1,K631&lt;=3),"OK","CHECK")</x:f>
        <x:v>OK</x:v>
      </x:c>
      <x:c r="W631" t="str">
        <x:f>IF(SUMIF($B$5:$B$914,B631,$S$5:$S$914)=SUMIF(DailyProduction!$Q$5:$Q$100,B631,DailyProduction!$R$5:$R$100),"OK","CHECK")</x:f>
        <x:v>OK</x:v>
      </x:c>
    </x:row>
    <x:row r="632">
      <x:c r="A632" t="str">
        <x:v>PC-PE-KG01-L24-20251023-AM-ORD-2025-00125-S04</x:v>
      </x:c>
      <x:c r="B632" t="str">
        <x:v>PE-KG01-L24-20251023-AM-ORD-2025-00125</x:v>
      </x:c>
      <x:c r="C632" t="str">
        <x:v>KG01</x:v>
      </x:c>
      <x:c r="D632" t="n">
        <x:v>45953</x:v>
      </x:c>
      <x:c r="E632" t="str">
        <x:v>AM</x:v>
      </x:c>
      <x:c r="F632" t="str">
        <x:v>C</x:v>
      </x:c>
      <x:c r="G632" t="n">
        <x:v>24</x:v>
      </x:c>
      <x:c r="H632" t="str">
        <x:v>ORD-2025-00125</x:v>
      </x:c>
      <x:c r="I632" t="n">
        <x:v>4</x:v>
      </x:c>
      <x:c r="J632" t="n">
        <x:v>12</x:v>
      </x:c>
      <x:c r="K632" t="n">
        <x:v>3</x:v>
      </x:c>
      <x:c r="L632" t="n">
        <x:f>IF(I632&lt;=J632,1,0)</x:f>
        <x:v>1</x:v>
      </x:c>
      <x:c r="P632" t="n">
        <x:f>IF(M632="",IF(AND(L632=1,K632&gt;=1),1,0),M632)</x:f>
        <x:v>1</x:v>
      </x:c>
      <x:c r="Q632" t="n">
        <x:f>IF(N632="",IF(AND(L632=1,K632&gt;=2),1,0),N632)</x:f>
        <x:v>1</x:v>
      </x:c>
      <x:c r="R632" t="n">
        <x:f>IF(O632="",IF(AND(L632=1,K632&gt;=3),1,0),O632)</x:f>
        <x:v>1</x:v>
      </x:c>
      <x:c r="S632" t="n">
        <x:f>SUM(P632:R632)</x:f>
        <x:v>3</x:v>
      </x:c>
      <x:c r="T632" t="str">
        <x:f>IF(COUNTA(M632:O632)=0,"DerivedFromCount","ManualOverride")</x:f>
        <x:v>DerivedFromCount</x:v>
      </x:c>
      <x:c r="U632" t="str">
        <x:f>IF(COUNTIF(DailyProduction!$Q$5:$Q$100,B632)=1,"OK","CHECK")</x:f>
        <x:v>OK</x:v>
      </x:c>
      <x:c r="V632" t="str">
        <x:f>IF(AND(I632&gt;=1,I632&lt;=13,K632&gt;=1,K632&lt;=3),"OK","CHECK")</x:f>
        <x:v>OK</x:v>
      </x:c>
      <x:c r="W632" t="str">
        <x:f>IF(SUMIF($B$5:$B$914,B632,$S$5:$S$914)=SUMIF(DailyProduction!$Q$5:$Q$100,B632,DailyProduction!$R$5:$R$100),"OK","CHECK")</x:f>
        <x:v>OK</x:v>
      </x:c>
    </x:row>
    <x:row r="633">
      <x:c r="A633" t="str">
        <x:v>PC-PE-KG01-L24-20251023-AM-ORD-2025-00125-S05</x:v>
      </x:c>
      <x:c r="B633" t="str">
        <x:v>PE-KG01-L24-20251023-AM-ORD-2025-00125</x:v>
      </x:c>
      <x:c r="C633" t="str">
        <x:v>KG01</x:v>
      </x:c>
      <x:c r="D633" t="n">
        <x:v>45953</x:v>
      </x:c>
      <x:c r="E633" t="str">
        <x:v>AM</x:v>
      </x:c>
      <x:c r="F633" t="str">
        <x:v>C</x:v>
      </x:c>
      <x:c r="G633" t="n">
        <x:v>24</x:v>
      </x:c>
      <x:c r="H633" t="str">
        <x:v>ORD-2025-00125</x:v>
      </x:c>
      <x:c r="I633" t="n">
        <x:v>5</x:v>
      </x:c>
      <x:c r="J633" t="n">
        <x:v>12</x:v>
      </x:c>
      <x:c r="K633" t="n">
        <x:v>3</x:v>
      </x:c>
      <x:c r="L633" t="n">
        <x:f>IF(I633&lt;=J633,1,0)</x:f>
        <x:v>1</x:v>
      </x:c>
      <x:c r="P633" t="n">
        <x:f>IF(M633="",IF(AND(L633=1,K633&gt;=1),1,0),M633)</x:f>
        <x:v>1</x:v>
      </x:c>
      <x:c r="Q633" t="n">
        <x:f>IF(N633="",IF(AND(L633=1,K633&gt;=2),1,0),N633)</x:f>
        <x:v>1</x:v>
      </x:c>
      <x:c r="R633" t="n">
        <x:f>IF(O633="",IF(AND(L633=1,K633&gt;=3),1,0),O633)</x:f>
        <x:v>1</x:v>
      </x:c>
      <x:c r="S633" t="n">
        <x:f>SUM(P633:R633)</x:f>
        <x:v>3</x:v>
      </x:c>
      <x:c r="T633" t="str">
        <x:f>IF(COUNTA(M633:O633)=0,"DerivedFromCount","ManualOverride")</x:f>
        <x:v>DerivedFromCount</x:v>
      </x:c>
      <x:c r="U633" t="str">
        <x:f>IF(COUNTIF(DailyProduction!$Q$5:$Q$100,B633)=1,"OK","CHECK")</x:f>
        <x:v>OK</x:v>
      </x:c>
      <x:c r="V633" t="str">
        <x:f>IF(AND(I633&gt;=1,I633&lt;=13,K633&gt;=1,K633&lt;=3),"OK","CHECK")</x:f>
        <x:v>OK</x:v>
      </x:c>
      <x:c r="W633" t="str">
        <x:f>IF(SUMIF($B$5:$B$914,B633,$S$5:$S$914)=SUMIF(DailyProduction!$Q$5:$Q$100,B633,DailyProduction!$R$5:$R$100),"OK","CHECK")</x:f>
        <x:v>OK</x:v>
      </x:c>
    </x:row>
    <x:row r="634">
      <x:c r="A634" t="str">
        <x:v>PC-PE-KG01-L24-20251023-AM-ORD-2025-00125-S06</x:v>
      </x:c>
      <x:c r="B634" t="str">
        <x:v>PE-KG01-L24-20251023-AM-ORD-2025-00125</x:v>
      </x:c>
      <x:c r="C634" t="str">
        <x:v>KG01</x:v>
      </x:c>
      <x:c r="D634" t="n">
        <x:v>45953</x:v>
      </x:c>
      <x:c r="E634" t="str">
        <x:v>AM</x:v>
      </x:c>
      <x:c r="F634" t="str">
        <x:v>C</x:v>
      </x:c>
      <x:c r="G634" t="n">
        <x:v>24</x:v>
      </x:c>
      <x:c r="H634" t="str">
        <x:v>ORD-2025-00125</x:v>
      </x:c>
      <x:c r="I634" t="n">
        <x:v>6</x:v>
      </x:c>
      <x:c r="J634" t="n">
        <x:v>12</x:v>
      </x:c>
      <x:c r="K634" t="n">
        <x:v>3</x:v>
      </x:c>
      <x:c r="L634" t="n">
        <x:f>IF(I634&lt;=J634,1,0)</x:f>
        <x:v>1</x:v>
      </x:c>
      <x:c r="P634" t="n">
        <x:f>IF(M634="",IF(AND(L634=1,K634&gt;=1),1,0),M634)</x:f>
        <x:v>1</x:v>
      </x:c>
      <x:c r="Q634" t="n">
        <x:f>IF(N634="",IF(AND(L634=1,K634&gt;=2),1,0),N634)</x:f>
        <x:v>1</x:v>
      </x:c>
      <x:c r="R634" t="n">
        <x:f>IF(O634="",IF(AND(L634=1,K634&gt;=3),1,0),O634)</x:f>
        <x:v>1</x:v>
      </x:c>
      <x:c r="S634" t="n">
        <x:f>SUM(P634:R634)</x:f>
        <x:v>3</x:v>
      </x:c>
      <x:c r="T634" t="str">
        <x:f>IF(COUNTA(M634:O634)=0,"DerivedFromCount","ManualOverride")</x:f>
        <x:v>DerivedFromCount</x:v>
      </x:c>
      <x:c r="U634" t="str">
        <x:f>IF(COUNTIF(DailyProduction!$Q$5:$Q$100,B634)=1,"OK","CHECK")</x:f>
        <x:v>OK</x:v>
      </x:c>
      <x:c r="V634" t="str">
        <x:f>IF(AND(I634&gt;=1,I634&lt;=13,K634&gt;=1,K634&lt;=3),"OK","CHECK")</x:f>
        <x:v>OK</x:v>
      </x:c>
      <x:c r="W634" t="str">
        <x:f>IF(SUMIF($B$5:$B$914,B634,$S$5:$S$914)=SUMIF(DailyProduction!$Q$5:$Q$100,B634,DailyProduction!$R$5:$R$100),"OK","CHECK")</x:f>
        <x:v>OK</x:v>
      </x:c>
    </x:row>
    <x:row r="635">
      <x:c r="A635" t="str">
        <x:v>PC-PE-KG01-L24-20251023-AM-ORD-2025-00125-S07</x:v>
      </x:c>
      <x:c r="B635" t="str">
        <x:v>PE-KG01-L24-20251023-AM-ORD-2025-00125</x:v>
      </x:c>
      <x:c r="C635" t="str">
        <x:v>KG01</x:v>
      </x:c>
      <x:c r="D635" t="n">
        <x:v>45953</x:v>
      </x:c>
      <x:c r="E635" t="str">
        <x:v>AM</x:v>
      </x:c>
      <x:c r="F635" t="str">
        <x:v>C</x:v>
      </x:c>
      <x:c r="G635" t="n">
        <x:v>24</x:v>
      </x:c>
      <x:c r="H635" t="str">
        <x:v>ORD-2025-00125</x:v>
      </x:c>
      <x:c r="I635" t="n">
        <x:v>7</x:v>
      </x:c>
      <x:c r="J635" t="n">
        <x:v>12</x:v>
      </x:c>
      <x:c r="K635" t="n">
        <x:v>3</x:v>
      </x:c>
      <x:c r="L635" t="n">
        <x:f>IF(I635&lt;=J635,1,0)</x:f>
        <x:v>1</x:v>
      </x:c>
      <x:c r="P635" t="n">
        <x:f>IF(M635="",IF(AND(L635=1,K635&gt;=1),1,0),M635)</x:f>
        <x:v>1</x:v>
      </x:c>
      <x:c r="Q635" t="n">
        <x:f>IF(N635="",IF(AND(L635=1,K635&gt;=2),1,0),N635)</x:f>
        <x:v>1</x:v>
      </x:c>
      <x:c r="R635" t="n">
        <x:f>IF(O635="",IF(AND(L635=1,K635&gt;=3),1,0),O635)</x:f>
        <x:v>1</x:v>
      </x:c>
      <x:c r="S635" t="n">
        <x:f>SUM(P635:R635)</x:f>
        <x:v>3</x:v>
      </x:c>
      <x:c r="T635" t="str">
        <x:f>IF(COUNTA(M635:O635)=0,"DerivedFromCount","ManualOverride")</x:f>
        <x:v>DerivedFromCount</x:v>
      </x:c>
      <x:c r="U635" t="str">
        <x:f>IF(COUNTIF(DailyProduction!$Q$5:$Q$100,B635)=1,"OK","CHECK")</x:f>
        <x:v>OK</x:v>
      </x:c>
      <x:c r="V635" t="str">
        <x:f>IF(AND(I635&gt;=1,I635&lt;=13,K635&gt;=1,K635&lt;=3),"OK","CHECK")</x:f>
        <x:v>OK</x:v>
      </x:c>
      <x:c r="W635" t="str">
        <x:f>IF(SUMIF($B$5:$B$914,B635,$S$5:$S$914)=SUMIF(DailyProduction!$Q$5:$Q$100,B635,DailyProduction!$R$5:$R$100),"OK","CHECK")</x:f>
        <x:v>OK</x:v>
      </x:c>
    </x:row>
    <x:row r="636">
      <x:c r="A636" t="str">
        <x:v>PC-PE-KG01-L24-20251023-AM-ORD-2025-00125-S08</x:v>
      </x:c>
      <x:c r="B636" t="str">
        <x:v>PE-KG01-L24-20251023-AM-ORD-2025-00125</x:v>
      </x:c>
      <x:c r="C636" t="str">
        <x:v>KG01</x:v>
      </x:c>
      <x:c r="D636" t="n">
        <x:v>45953</x:v>
      </x:c>
      <x:c r="E636" t="str">
        <x:v>AM</x:v>
      </x:c>
      <x:c r="F636" t="str">
        <x:v>C</x:v>
      </x:c>
      <x:c r="G636" t="n">
        <x:v>24</x:v>
      </x:c>
      <x:c r="H636" t="str">
        <x:v>ORD-2025-00125</x:v>
      </x:c>
      <x:c r="I636" t="n">
        <x:v>8</x:v>
      </x:c>
      <x:c r="J636" t="n">
        <x:v>12</x:v>
      </x:c>
      <x:c r="K636" t="n">
        <x:v>3</x:v>
      </x:c>
      <x:c r="L636" t="n">
        <x:f>IF(I636&lt;=J636,1,0)</x:f>
        <x:v>1</x:v>
      </x:c>
      <x:c r="P636" t="n">
        <x:f>IF(M636="",IF(AND(L636=1,K636&gt;=1),1,0),M636)</x:f>
        <x:v>1</x:v>
      </x:c>
      <x:c r="Q636" t="n">
        <x:f>IF(N636="",IF(AND(L636=1,K636&gt;=2),1,0),N636)</x:f>
        <x:v>1</x:v>
      </x:c>
      <x:c r="R636" t="n">
        <x:f>IF(O636="",IF(AND(L636=1,K636&gt;=3),1,0),O636)</x:f>
        <x:v>1</x:v>
      </x:c>
      <x:c r="S636" t="n">
        <x:f>SUM(P636:R636)</x:f>
        <x:v>3</x:v>
      </x:c>
      <x:c r="T636" t="str">
        <x:f>IF(COUNTA(M636:O636)=0,"DerivedFromCount","ManualOverride")</x:f>
        <x:v>DerivedFromCount</x:v>
      </x:c>
      <x:c r="U636" t="str">
        <x:f>IF(COUNTIF(DailyProduction!$Q$5:$Q$100,B636)=1,"OK","CHECK")</x:f>
        <x:v>OK</x:v>
      </x:c>
      <x:c r="V636" t="str">
        <x:f>IF(AND(I636&gt;=1,I636&lt;=13,K636&gt;=1,K636&lt;=3),"OK","CHECK")</x:f>
        <x:v>OK</x:v>
      </x:c>
      <x:c r="W636" t="str">
        <x:f>IF(SUMIF($B$5:$B$914,B636,$S$5:$S$914)=SUMIF(DailyProduction!$Q$5:$Q$100,B636,DailyProduction!$R$5:$R$100),"OK","CHECK")</x:f>
        <x:v>OK</x:v>
      </x:c>
    </x:row>
    <x:row r="637">
      <x:c r="A637" t="str">
        <x:v>PC-PE-KG01-L24-20251023-AM-ORD-2025-00125-S09</x:v>
      </x:c>
      <x:c r="B637" t="str">
        <x:v>PE-KG01-L24-20251023-AM-ORD-2025-00125</x:v>
      </x:c>
      <x:c r="C637" t="str">
        <x:v>KG01</x:v>
      </x:c>
      <x:c r="D637" t="n">
        <x:v>45953</x:v>
      </x:c>
      <x:c r="E637" t="str">
        <x:v>AM</x:v>
      </x:c>
      <x:c r="F637" t="str">
        <x:v>C</x:v>
      </x:c>
      <x:c r="G637" t="n">
        <x:v>24</x:v>
      </x:c>
      <x:c r="H637" t="str">
        <x:v>ORD-2025-00125</x:v>
      </x:c>
      <x:c r="I637" t="n">
        <x:v>9</x:v>
      </x:c>
      <x:c r="J637" t="n">
        <x:v>12</x:v>
      </x:c>
      <x:c r="K637" t="n">
        <x:v>3</x:v>
      </x:c>
      <x:c r="L637" t="n">
        <x:f>IF(I637&lt;=J637,1,0)</x:f>
        <x:v>1</x:v>
      </x:c>
      <x:c r="P637" t="n">
        <x:f>IF(M637="",IF(AND(L637=1,K637&gt;=1),1,0),M637)</x:f>
        <x:v>1</x:v>
      </x:c>
      <x:c r="Q637" t="n">
        <x:f>IF(N637="",IF(AND(L637=1,K637&gt;=2),1,0),N637)</x:f>
        <x:v>1</x:v>
      </x:c>
      <x:c r="R637" t="n">
        <x:f>IF(O637="",IF(AND(L637=1,K637&gt;=3),1,0),O637)</x:f>
        <x:v>1</x:v>
      </x:c>
      <x:c r="S637" t="n">
        <x:f>SUM(P637:R637)</x:f>
        <x:v>3</x:v>
      </x:c>
      <x:c r="T637" t="str">
        <x:f>IF(COUNTA(M637:O637)=0,"DerivedFromCount","ManualOverride")</x:f>
        <x:v>DerivedFromCount</x:v>
      </x:c>
      <x:c r="U637" t="str">
        <x:f>IF(COUNTIF(DailyProduction!$Q$5:$Q$100,B637)=1,"OK","CHECK")</x:f>
        <x:v>OK</x:v>
      </x:c>
      <x:c r="V637" t="str">
        <x:f>IF(AND(I637&gt;=1,I637&lt;=13,K637&gt;=1,K637&lt;=3),"OK","CHECK")</x:f>
        <x:v>OK</x:v>
      </x:c>
      <x:c r="W637" t="str">
        <x:f>IF(SUMIF($B$5:$B$914,B637,$S$5:$S$914)=SUMIF(DailyProduction!$Q$5:$Q$100,B637,DailyProduction!$R$5:$R$100),"OK","CHECK")</x:f>
        <x:v>OK</x:v>
      </x:c>
    </x:row>
    <x:row r="638">
      <x:c r="A638" t="str">
        <x:v>PC-PE-KG01-L24-20251023-AM-ORD-2025-00125-S10</x:v>
      </x:c>
      <x:c r="B638" t="str">
        <x:v>PE-KG01-L24-20251023-AM-ORD-2025-00125</x:v>
      </x:c>
      <x:c r="C638" t="str">
        <x:v>KG01</x:v>
      </x:c>
      <x:c r="D638" t="n">
        <x:v>45953</x:v>
      </x:c>
      <x:c r="E638" t="str">
        <x:v>AM</x:v>
      </x:c>
      <x:c r="F638" t="str">
        <x:v>C</x:v>
      </x:c>
      <x:c r="G638" t="n">
        <x:v>24</x:v>
      </x:c>
      <x:c r="H638" t="str">
        <x:v>ORD-2025-00125</x:v>
      </x:c>
      <x:c r="I638" t="n">
        <x:v>10</x:v>
      </x:c>
      <x:c r="J638" t="n">
        <x:v>12</x:v>
      </x:c>
      <x:c r="K638" t="n">
        <x:v>3</x:v>
      </x:c>
      <x:c r="L638" t="n">
        <x:f>IF(I638&lt;=J638,1,0)</x:f>
        <x:v>1</x:v>
      </x:c>
      <x:c r="P638" t="n">
        <x:f>IF(M638="",IF(AND(L638=1,K638&gt;=1),1,0),M638)</x:f>
        <x:v>1</x:v>
      </x:c>
      <x:c r="Q638" t="n">
        <x:f>IF(N638="",IF(AND(L638=1,K638&gt;=2),1,0),N638)</x:f>
        <x:v>1</x:v>
      </x:c>
      <x:c r="R638" t="n">
        <x:f>IF(O638="",IF(AND(L638=1,K638&gt;=3),1,0),O638)</x:f>
        <x:v>1</x:v>
      </x:c>
      <x:c r="S638" t="n">
        <x:f>SUM(P638:R638)</x:f>
        <x:v>3</x:v>
      </x:c>
      <x:c r="T638" t="str">
        <x:f>IF(COUNTA(M638:O638)=0,"DerivedFromCount","ManualOverride")</x:f>
        <x:v>DerivedFromCount</x:v>
      </x:c>
      <x:c r="U638" t="str">
        <x:f>IF(COUNTIF(DailyProduction!$Q$5:$Q$100,B638)=1,"OK","CHECK")</x:f>
        <x:v>OK</x:v>
      </x:c>
      <x:c r="V638" t="str">
        <x:f>IF(AND(I638&gt;=1,I638&lt;=13,K638&gt;=1,K638&lt;=3),"OK","CHECK")</x:f>
        <x:v>OK</x:v>
      </x:c>
      <x:c r="W638" t="str">
        <x:f>IF(SUMIF($B$5:$B$914,B638,$S$5:$S$914)=SUMIF(DailyProduction!$Q$5:$Q$100,B638,DailyProduction!$R$5:$R$100),"OK","CHECK")</x:f>
        <x:v>OK</x:v>
      </x:c>
    </x:row>
    <x:row r="639">
      <x:c r="A639" t="str">
        <x:v>PC-PE-KG01-L24-20251023-AM-ORD-2025-00125-S11</x:v>
      </x:c>
      <x:c r="B639" t="str">
        <x:v>PE-KG01-L24-20251023-AM-ORD-2025-00125</x:v>
      </x:c>
      <x:c r="C639" t="str">
        <x:v>KG01</x:v>
      </x:c>
      <x:c r="D639" t="n">
        <x:v>45953</x:v>
      </x:c>
      <x:c r="E639" t="str">
        <x:v>AM</x:v>
      </x:c>
      <x:c r="F639" t="str">
        <x:v>C</x:v>
      </x:c>
      <x:c r="G639" t="n">
        <x:v>24</x:v>
      </x:c>
      <x:c r="H639" t="str">
        <x:v>ORD-2025-00125</x:v>
      </x:c>
      <x:c r="I639" t="n">
        <x:v>11</x:v>
      </x:c>
      <x:c r="J639" t="n">
        <x:v>12</x:v>
      </x:c>
      <x:c r="K639" t="n">
        <x:v>3</x:v>
      </x:c>
      <x:c r="L639" t="n">
        <x:f>IF(I639&lt;=J639,1,0)</x:f>
        <x:v>1</x:v>
      </x:c>
      <x:c r="P639" t="n">
        <x:f>IF(M639="",IF(AND(L639=1,K639&gt;=1),1,0),M639)</x:f>
        <x:v>1</x:v>
      </x:c>
      <x:c r="Q639" t="n">
        <x:f>IF(N639="",IF(AND(L639=1,K639&gt;=2),1,0),N639)</x:f>
        <x:v>1</x:v>
      </x:c>
      <x:c r="R639" t="n">
        <x:f>IF(O639="",IF(AND(L639=1,K639&gt;=3),1,0),O639)</x:f>
        <x:v>1</x:v>
      </x:c>
      <x:c r="S639" t="n">
        <x:f>SUM(P639:R639)</x:f>
        <x:v>3</x:v>
      </x:c>
      <x:c r="T639" t="str">
        <x:f>IF(COUNTA(M639:O639)=0,"DerivedFromCount","ManualOverride")</x:f>
        <x:v>DerivedFromCount</x:v>
      </x:c>
      <x:c r="U639" t="str">
        <x:f>IF(COUNTIF(DailyProduction!$Q$5:$Q$100,B639)=1,"OK","CHECK")</x:f>
        <x:v>OK</x:v>
      </x:c>
      <x:c r="V639" t="str">
        <x:f>IF(AND(I639&gt;=1,I639&lt;=13,K639&gt;=1,K639&lt;=3),"OK","CHECK")</x:f>
        <x:v>OK</x:v>
      </x:c>
      <x:c r="W639" t="str">
        <x:f>IF(SUMIF($B$5:$B$914,B639,$S$5:$S$914)=SUMIF(DailyProduction!$Q$5:$Q$100,B639,DailyProduction!$R$5:$R$100),"OK","CHECK")</x:f>
        <x:v>OK</x:v>
      </x:c>
    </x:row>
    <x:row r="640">
      <x:c r="A640" t="str">
        <x:v>PC-PE-KG01-L24-20251023-AM-ORD-2025-00125-S12</x:v>
      </x:c>
      <x:c r="B640" t="str">
        <x:v>PE-KG01-L24-20251023-AM-ORD-2025-00125</x:v>
      </x:c>
      <x:c r="C640" t="str">
        <x:v>KG01</x:v>
      </x:c>
      <x:c r="D640" t="n">
        <x:v>45953</x:v>
      </x:c>
      <x:c r="E640" t="str">
        <x:v>AM</x:v>
      </x:c>
      <x:c r="F640" t="str">
        <x:v>C</x:v>
      </x:c>
      <x:c r="G640" t="n">
        <x:v>24</x:v>
      </x:c>
      <x:c r="H640" t="str">
        <x:v>ORD-2025-00125</x:v>
      </x:c>
      <x:c r="I640" t="n">
        <x:v>12</x:v>
      </x:c>
      <x:c r="J640" t="n">
        <x:v>12</x:v>
      </x:c>
      <x:c r="K640" t="n">
        <x:v>3</x:v>
      </x:c>
      <x:c r="L640" t="n">
        <x:f>IF(I640&lt;=J640,1,0)</x:f>
        <x:v>1</x:v>
      </x:c>
      <x:c r="P640" t="n">
        <x:f>IF(M640="",IF(AND(L640=1,K640&gt;=1),1,0),M640)</x:f>
        <x:v>1</x:v>
      </x:c>
      <x:c r="Q640" t="n">
        <x:f>IF(N640="",IF(AND(L640=1,K640&gt;=2),1,0),N640)</x:f>
        <x:v>1</x:v>
      </x:c>
      <x:c r="R640" t="n">
        <x:f>IF(O640="",IF(AND(L640=1,K640&gt;=3),1,0),O640)</x:f>
        <x:v>1</x:v>
      </x:c>
      <x:c r="S640" t="n">
        <x:f>SUM(P640:R640)</x:f>
        <x:v>3</x:v>
      </x:c>
      <x:c r="T640" t="str">
        <x:f>IF(COUNTA(M640:O640)=0,"DerivedFromCount","ManualOverride")</x:f>
        <x:v>DerivedFromCount</x:v>
      </x:c>
      <x:c r="U640" t="str">
        <x:f>IF(COUNTIF(DailyProduction!$Q$5:$Q$100,B640)=1,"OK","CHECK")</x:f>
        <x:v>OK</x:v>
      </x:c>
      <x:c r="V640" t="str">
        <x:f>IF(AND(I640&gt;=1,I640&lt;=13,K640&gt;=1,K640&lt;=3),"OK","CHECK")</x:f>
        <x:v>OK</x:v>
      </x:c>
      <x:c r="W640" t="str">
        <x:f>IF(SUMIF($B$5:$B$914,B640,$S$5:$S$914)=SUMIF(DailyProduction!$Q$5:$Q$100,B640,DailyProduction!$R$5:$R$100),"OK","CHECK")</x:f>
        <x:v>OK</x:v>
      </x:c>
    </x:row>
    <x:row r="641">
      <x:c r="A641" t="str">
        <x:v>PC-PE-KG01-L24-20251023-AM-ORD-2025-00125-S13</x:v>
      </x:c>
      <x:c r="B641" t="str">
        <x:v>PE-KG01-L24-20251023-AM-ORD-2025-00125</x:v>
      </x:c>
      <x:c r="C641" t="str">
        <x:v>KG01</x:v>
      </x:c>
      <x:c r="D641" t="n">
        <x:v>45953</x:v>
      </x:c>
      <x:c r="E641" t="str">
        <x:v>AM</x:v>
      </x:c>
      <x:c r="F641" t="str">
        <x:v>C</x:v>
      </x:c>
      <x:c r="G641" t="n">
        <x:v>24</x:v>
      </x:c>
      <x:c r="H641" t="str">
        <x:v>ORD-2025-00125</x:v>
      </x:c>
      <x:c r="I641" t="n">
        <x:v>13</x:v>
      </x:c>
      <x:c r="J641" t="n">
        <x:v>12</x:v>
      </x:c>
      <x:c r="K641" t="n">
        <x:v>3</x:v>
      </x:c>
      <x:c r="L641" t="n">
        <x:f>IF(I641&lt;=J641,1,0)</x:f>
        <x:v>0</x:v>
      </x:c>
      <x:c r="P641" t="n">
        <x:f>IF(M641="",IF(AND(L641=1,K641&gt;=1),1,0),M641)</x:f>
        <x:v>0</x:v>
      </x:c>
      <x:c r="Q641" t="n">
        <x:f>IF(N641="",IF(AND(L641=1,K641&gt;=2),1,0),N641)</x:f>
        <x:v>0</x:v>
      </x:c>
      <x:c r="R641" t="n">
        <x:f>IF(O641="",IF(AND(L641=1,K641&gt;=3),1,0),O641)</x:f>
        <x:v>0</x:v>
      </x:c>
      <x:c r="S641" t="n">
        <x:f>SUM(P641:R641)</x:f>
        <x:v>0</x:v>
      </x:c>
      <x:c r="T641" t="str">
        <x:f>IF(COUNTA(M641:O641)=0,"DerivedFromCount","ManualOverride")</x:f>
        <x:v>DerivedFromCount</x:v>
      </x:c>
      <x:c r="U641" t="str">
        <x:f>IF(COUNTIF(DailyProduction!$Q$5:$Q$100,B641)=1,"OK","CHECK")</x:f>
        <x:v>OK</x:v>
      </x:c>
      <x:c r="V641" t="str">
        <x:f>IF(AND(I641&gt;=1,I641&lt;=13,K641&gt;=1,K641&lt;=3),"OK","CHECK")</x:f>
        <x:v>OK</x:v>
      </x:c>
      <x:c r="W641" t="str">
        <x:f>IF(SUMIF($B$5:$B$914,B641,$S$5:$S$914)=SUMIF(DailyProduction!$Q$5:$Q$100,B641,DailyProduction!$R$5:$R$100),"OK","CHECK")</x:f>
        <x:v>OK</x:v>
      </x:c>
    </x:row>
    <x:row r="642">
      <x:c r="A642" t="str">
        <x:v>PC-PE-KG01-L24-20251023-PM-ORD-2025-00125-S01</x:v>
      </x:c>
      <x:c r="B642" t="str">
        <x:v>PE-KG01-L24-20251023-PM-ORD-2025-00125</x:v>
      </x:c>
      <x:c r="C642" t="str">
        <x:v>KG01</x:v>
      </x:c>
      <x:c r="D642" t="n">
        <x:v>45953</x:v>
      </x:c>
      <x:c r="E642" t="str">
        <x:v>PM</x:v>
      </x:c>
      <x:c r="F642" t="str">
        <x:v>A</x:v>
      </x:c>
      <x:c r="G642" t="n">
        <x:v>24</x:v>
      </x:c>
      <x:c r="H642" t="str">
        <x:v>ORD-2025-00125</x:v>
      </x:c>
      <x:c r="I642" t="n">
        <x:v>1</x:v>
      </x:c>
      <x:c r="J642" t="n">
        <x:v>12</x:v>
      </x:c>
      <x:c r="K642" t="n">
        <x:v>3</x:v>
      </x:c>
      <x:c r="L642" t="n">
        <x:f>IF(I642&lt;=J642,1,0)</x:f>
        <x:v>1</x:v>
      </x:c>
      <x:c r="P642" t="n">
        <x:f>IF(M642="",IF(AND(L642=1,K642&gt;=1),1,0),M642)</x:f>
        <x:v>1</x:v>
      </x:c>
      <x:c r="Q642" t="n">
        <x:f>IF(N642="",IF(AND(L642=1,K642&gt;=2),1,0),N642)</x:f>
        <x:v>1</x:v>
      </x:c>
      <x:c r="R642" t="n">
        <x:f>IF(O642="",IF(AND(L642=1,K642&gt;=3),1,0),O642)</x:f>
        <x:v>1</x:v>
      </x:c>
      <x:c r="S642" t="n">
        <x:f>SUM(P642:R642)</x:f>
        <x:v>3</x:v>
      </x:c>
      <x:c r="T642" t="str">
        <x:f>IF(COUNTA(M642:O642)=0,"DerivedFromCount","ManualOverride")</x:f>
        <x:v>DerivedFromCount</x:v>
      </x:c>
      <x:c r="U642" t="str">
        <x:f>IF(COUNTIF(DailyProduction!$Q$5:$Q$100,B642)=1,"OK","CHECK")</x:f>
        <x:v>OK</x:v>
      </x:c>
      <x:c r="V642" t="str">
        <x:f>IF(AND(I642&gt;=1,I642&lt;=13,K642&gt;=1,K642&lt;=3),"OK","CHECK")</x:f>
        <x:v>OK</x:v>
      </x:c>
      <x:c r="W642" t="str">
        <x:f>IF(SUMIF($B$5:$B$914,B642,$S$5:$S$914)=SUMIF(DailyProduction!$Q$5:$Q$100,B642,DailyProduction!$R$5:$R$100),"OK","CHECK")</x:f>
        <x:v>OK</x:v>
      </x:c>
    </x:row>
    <x:row r="643">
      <x:c r="A643" t="str">
        <x:v>PC-PE-KG01-L24-20251023-PM-ORD-2025-00125-S02</x:v>
      </x:c>
      <x:c r="B643" t="str">
        <x:v>PE-KG01-L24-20251023-PM-ORD-2025-00125</x:v>
      </x:c>
      <x:c r="C643" t="str">
        <x:v>KG01</x:v>
      </x:c>
      <x:c r="D643" t="n">
        <x:v>45953</x:v>
      </x:c>
      <x:c r="E643" t="str">
        <x:v>PM</x:v>
      </x:c>
      <x:c r="F643" t="str">
        <x:v>A</x:v>
      </x:c>
      <x:c r="G643" t="n">
        <x:v>24</x:v>
      </x:c>
      <x:c r="H643" t="str">
        <x:v>ORD-2025-00125</x:v>
      </x:c>
      <x:c r="I643" t="n">
        <x:v>2</x:v>
      </x:c>
      <x:c r="J643" t="n">
        <x:v>12</x:v>
      </x:c>
      <x:c r="K643" t="n">
        <x:v>3</x:v>
      </x:c>
      <x:c r="L643" t="n">
        <x:f>IF(I643&lt;=J643,1,0)</x:f>
        <x:v>1</x:v>
      </x:c>
      <x:c r="P643" t="n">
        <x:f>IF(M643="",IF(AND(L643=1,K643&gt;=1),1,0),M643)</x:f>
        <x:v>1</x:v>
      </x:c>
      <x:c r="Q643" t="n">
        <x:f>IF(N643="",IF(AND(L643=1,K643&gt;=2),1,0),N643)</x:f>
        <x:v>1</x:v>
      </x:c>
      <x:c r="R643" t="n">
        <x:f>IF(O643="",IF(AND(L643=1,K643&gt;=3),1,0),O643)</x:f>
        <x:v>1</x:v>
      </x:c>
      <x:c r="S643" t="n">
        <x:f>SUM(P643:R643)</x:f>
        <x:v>3</x:v>
      </x:c>
      <x:c r="T643" t="str">
        <x:f>IF(COUNTA(M643:O643)=0,"DerivedFromCount","ManualOverride")</x:f>
        <x:v>DerivedFromCount</x:v>
      </x:c>
      <x:c r="U643" t="str">
        <x:f>IF(COUNTIF(DailyProduction!$Q$5:$Q$100,B643)=1,"OK","CHECK")</x:f>
        <x:v>OK</x:v>
      </x:c>
      <x:c r="V643" t="str">
        <x:f>IF(AND(I643&gt;=1,I643&lt;=13,K643&gt;=1,K643&lt;=3),"OK","CHECK")</x:f>
        <x:v>OK</x:v>
      </x:c>
      <x:c r="W643" t="str">
        <x:f>IF(SUMIF($B$5:$B$914,B643,$S$5:$S$914)=SUMIF(DailyProduction!$Q$5:$Q$100,B643,DailyProduction!$R$5:$R$100),"OK","CHECK")</x:f>
        <x:v>OK</x:v>
      </x:c>
    </x:row>
    <x:row r="644">
      <x:c r="A644" t="str">
        <x:v>PC-PE-KG01-L24-20251023-PM-ORD-2025-00125-S03</x:v>
      </x:c>
      <x:c r="B644" t="str">
        <x:v>PE-KG01-L24-20251023-PM-ORD-2025-00125</x:v>
      </x:c>
      <x:c r="C644" t="str">
        <x:v>KG01</x:v>
      </x:c>
      <x:c r="D644" t="n">
        <x:v>45953</x:v>
      </x:c>
      <x:c r="E644" t="str">
        <x:v>PM</x:v>
      </x:c>
      <x:c r="F644" t="str">
        <x:v>A</x:v>
      </x:c>
      <x:c r="G644" t="n">
        <x:v>24</x:v>
      </x:c>
      <x:c r="H644" t="str">
        <x:v>ORD-2025-00125</x:v>
      </x:c>
      <x:c r="I644" t="n">
        <x:v>3</x:v>
      </x:c>
      <x:c r="J644" t="n">
        <x:v>12</x:v>
      </x:c>
      <x:c r="K644" t="n">
        <x:v>3</x:v>
      </x:c>
      <x:c r="L644" t="n">
        <x:f>IF(I644&lt;=J644,1,0)</x:f>
        <x:v>1</x:v>
      </x:c>
      <x:c r="P644" t="n">
        <x:f>IF(M644="",IF(AND(L644=1,K644&gt;=1),1,0),M644)</x:f>
        <x:v>1</x:v>
      </x:c>
      <x:c r="Q644" t="n">
        <x:f>IF(N644="",IF(AND(L644=1,K644&gt;=2),1,0),N644)</x:f>
        <x:v>1</x:v>
      </x:c>
      <x:c r="R644" t="n">
        <x:f>IF(O644="",IF(AND(L644=1,K644&gt;=3),1,0),O644)</x:f>
        <x:v>1</x:v>
      </x:c>
      <x:c r="S644" t="n">
        <x:f>SUM(P644:R644)</x:f>
        <x:v>3</x:v>
      </x:c>
      <x:c r="T644" t="str">
        <x:f>IF(COUNTA(M644:O644)=0,"DerivedFromCount","ManualOverride")</x:f>
        <x:v>DerivedFromCount</x:v>
      </x:c>
      <x:c r="U644" t="str">
        <x:f>IF(COUNTIF(DailyProduction!$Q$5:$Q$100,B644)=1,"OK","CHECK")</x:f>
        <x:v>OK</x:v>
      </x:c>
      <x:c r="V644" t="str">
        <x:f>IF(AND(I644&gt;=1,I644&lt;=13,K644&gt;=1,K644&lt;=3),"OK","CHECK")</x:f>
        <x:v>OK</x:v>
      </x:c>
      <x:c r="W644" t="str">
        <x:f>IF(SUMIF($B$5:$B$914,B644,$S$5:$S$914)=SUMIF(DailyProduction!$Q$5:$Q$100,B644,DailyProduction!$R$5:$R$100),"OK","CHECK")</x:f>
        <x:v>OK</x:v>
      </x:c>
    </x:row>
    <x:row r="645">
      <x:c r="A645" t="str">
        <x:v>PC-PE-KG01-L24-20251023-PM-ORD-2025-00125-S04</x:v>
      </x:c>
      <x:c r="B645" t="str">
        <x:v>PE-KG01-L24-20251023-PM-ORD-2025-00125</x:v>
      </x:c>
      <x:c r="C645" t="str">
        <x:v>KG01</x:v>
      </x:c>
      <x:c r="D645" t="n">
        <x:v>45953</x:v>
      </x:c>
      <x:c r="E645" t="str">
        <x:v>PM</x:v>
      </x:c>
      <x:c r="F645" t="str">
        <x:v>A</x:v>
      </x:c>
      <x:c r="G645" t="n">
        <x:v>24</x:v>
      </x:c>
      <x:c r="H645" t="str">
        <x:v>ORD-2025-00125</x:v>
      </x:c>
      <x:c r="I645" t="n">
        <x:v>4</x:v>
      </x:c>
      <x:c r="J645" t="n">
        <x:v>12</x:v>
      </x:c>
      <x:c r="K645" t="n">
        <x:v>3</x:v>
      </x:c>
      <x:c r="L645" t="n">
        <x:f>IF(I645&lt;=J645,1,0)</x:f>
        <x:v>1</x:v>
      </x:c>
      <x:c r="P645" t="n">
        <x:f>IF(M645="",IF(AND(L645=1,K645&gt;=1),1,0),M645)</x:f>
        <x:v>1</x:v>
      </x:c>
      <x:c r="Q645" t="n">
        <x:f>IF(N645="",IF(AND(L645=1,K645&gt;=2),1,0),N645)</x:f>
        <x:v>1</x:v>
      </x:c>
      <x:c r="R645" t="n">
        <x:f>IF(O645="",IF(AND(L645=1,K645&gt;=3),1,0),O645)</x:f>
        <x:v>1</x:v>
      </x:c>
      <x:c r="S645" t="n">
        <x:f>SUM(P645:R645)</x:f>
        <x:v>3</x:v>
      </x:c>
      <x:c r="T645" t="str">
        <x:f>IF(COUNTA(M645:O645)=0,"DerivedFromCount","ManualOverride")</x:f>
        <x:v>DerivedFromCount</x:v>
      </x:c>
      <x:c r="U645" t="str">
        <x:f>IF(COUNTIF(DailyProduction!$Q$5:$Q$100,B645)=1,"OK","CHECK")</x:f>
        <x:v>OK</x:v>
      </x:c>
      <x:c r="V645" t="str">
        <x:f>IF(AND(I645&gt;=1,I645&lt;=13,K645&gt;=1,K645&lt;=3),"OK","CHECK")</x:f>
        <x:v>OK</x:v>
      </x:c>
      <x:c r="W645" t="str">
        <x:f>IF(SUMIF($B$5:$B$914,B645,$S$5:$S$914)=SUMIF(DailyProduction!$Q$5:$Q$100,B645,DailyProduction!$R$5:$R$100),"OK","CHECK")</x:f>
        <x:v>OK</x:v>
      </x:c>
    </x:row>
    <x:row r="646">
      <x:c r="A646" t="str">
        <x:v>PC-PE-KG01-L24-20251023-PM-ORD-2025-00125-S05</x:v>
      </x:c>
      <x:c r="B646" t="str">
        <x:v>PE-KG01-L24-20251023-PM-ORD-2025-00125</x:v>
      </x:c>
      <x:c r="C646" t="str">
        <x:v>KG01</x:v>
      </x:c>
      <x:c r="D646" t="n">
        <x:v>45953</x:v>
      </x:c>
      <x:c r="E646" t="str">
        <x:v>PM</x:v>
      </x:c>
      <x:c r="F646" t="str">
        <x:v>A</x:v>
      </x:c>
      <x:c r="G646" t="n">
        <x:v>24</x:v>
      </x:c>
      <x:c r="H646" t="str">
        <x:v>ORD-2025-00125</x:v>
      </x:c>
      <x:c r="I646" t="n">
        <x:v>5</x:v>
      </x:c>
      <x:c r="J646" t="n">
        <x:v>12</x:v>
      </x:c>
      <x:c r="K646" t="n">
        <x:v>3</x:v>
      </x:c>
      <x:c r="L646" t="n">
        <x:f>IF(I646&lt;=J646,1,0)</x:f>
        <x:v>1</x:v>
      </x:c>
      <x:c r="P646" t="n">
        <x:f>IF(M646="",IF(AND(L646=1,K646&gt;=1),1,0),M646)</x:f>
        <x:v>1</x:v>
      </x:c>
      <x:c r="Q646" t="n">
        <x:f>IF(N646="",IF(AND(L646=1,K646&gt;=2),1,0),N646)</x:f>
        <x:v>1</x:v>
      </x:c>
      <x:c r="R646" t="n">
        <x:f>IF(O646="",IF(AND(L646=1,K646&gt;=3),1,0),O646)</x:f>
        <x:v>1</x:v>
      </x:c>
      <x:c r="S646" t="n">
        <x:f>SUM(P646:R646)</x:f>
        <x:v>3</x:v>
      </x:c>
      <x:c r="T646" t="str">
        <x:f>IF(COUNTA(M646:O646)=0,"DerivedFromCount","ManualOverride")</x:f>
        <x:v>DerivedFromCount</x:v>
      </x:c>
      <x:c r="U646" t="str">
        <x:f>IF(COUNTIF(DailyProduction!$Q$5:$Q$100,B646)=1,"OK","CHECK")</x:f>
        <x:v>OK</x:v>
      </x:c>
      <x:c r="V646" t="str">
        <x:f>IF(AND(I646&gt;=1,I646&lt;=13,K646&gt;=1,K646&lt;=3),"OK","CHECK")</x:f>
        <x:v>OK</x:v>
      </x:c>
      <x:c r="W646" t="str">
        <x:f>IF(SUMIF($B$5:$B$914,B646,$S$5:$S$914)=SUMIF(DailyProduction!$Q$5:$Q$100,B646,DailyProduction!$R$5:$R$100),"OK","CHECK")</x:f>
        <x:v>OK</x:v>
      </x:c>
    </x:row>
    <x:row r="647">
      <x:c r="A647" t="str">
        <x:v>PC-PE-KG01-L24-20251023-PM-ORD-2025-00125-S06</x:v>
      </x:c>
      <x:c r="B647" t="str">
        <x:v>PE-KG01-L24-20251023-PM-ORD-2025-00125</x:v>
      </x:c>
      <x:c r="C647" t="str">
        <x:v>KG01</x:v>
      </x:c>
      <x:c r="D647" t="n">
        <x:v>45953</x:v>
      </x:c>
      <x:c r="E647" t="str">
        <x:v>PM</x:v>
      </x:c>
      <x:c r="F647" t="str">
        <x:v>A</x:v>
      </x:c>
      <x:c r="G647" t="n">
        <x:v>24</x:v>
      </x:c>
      <x:c r="H647" t="str">
        <x:v>ORD-2025-00125</x:v>
      </x:c>
      <x:c r="I647" t="n">
        <x:v>6</x:v>
      </x:c>
      <x:c r="J647" t="n">
        <x:v>12</x:v>
      </x:c>
      <x:c r="K647" t="n">
        <x:v>3</x:v>
      </x:c>
      <x:c r="L647" t="n">
        <x:f>IF(I647&lt;=J647,1,0)</x:f>
        <x:v>1</x:v>
      </x:c>
      <x:c r="P647" t="n">
        <x:f>IF(M647="",IF(AND(L647=1,K647&gt;=1),1,0),M647)</x:f>
        <x:v>1</x:v>
      </x:c>
      <x:c r="Q647" t="n">
        <x:f>IF(N647="",IF(AND(L647=1,K647&gt;=2),1,0),N647)</x:f>
        <x:v>1</x:v>
      </x:c>
      <x:c r="R647" t="n">
        <x:f>IF(O647="",IF(AND(L647=1,K647&gt;=3),1,0),O647)</x:f>
        <x:v>1</x:v>
      </x:c>
      <x:c r="S647" t="n">
        <x:f>SUM(P647:R647)</x:f>
        <x:v>3</x:v>
      </x:c>
      <x:c r="T647" t="str">
        <x:f>IF(COUNTA(M647:O647)=0,"DerivedFromCount","ManualOverride")</x:f>
        <x:v>DerivedFromCount</x:v>
      </x:c>
      <x:c r="U647" t="str">
        <x:f>IF(COUNTIF(DailyProduction!$Q$5:$Q$100,B647)=1,"OK","CHECK")</x:f>
        <x:v>OK</x:v>
      </x:c>
      <x:c r="V647" t="str">
        <x:f>IF(AND(I647&gt;=1,I647&lt;=13,K647&gt;=1,K647&lt;=3),"OK","CHECK")</x:f>
        <x:v>OK</x:v>
      </x:c>
      <x:c r="W647" t="str">
        <x:f>IF(SUMIF($B$5:$B$914,B647,$S$5:$S$914)=SUMIF(DailyProduction!$Q$5:$Q$100,B647,DailyProduction!$R$5:$R$100),"OK","CHECK")</x:f>
        <x:v>OK</x:v>
      </x:c>
    </x:row>
    <x:row r="648">
      <x:c r="A648" t="str">
        <x:v>PC-PE-KG01-L24-20251023-PM-ORD-2025-00125-S07</x:v>
      </x:c>
      <x:c r="B648" t="str">
        <x:v>PE-KG01-L24-20251023-PM-ORD-2025-00125</x:v>
      </x:c>
      <x:c r="C648" t="str">
        <x:v>KG01</x:v>
      </x:c>
      <x:c r="D648" t="n">
        <x:v>45953</x:v>
      </x:c>
      <x:c r="E648" t="str">
        <x:v>PM</x:v>
      </x:c>
      <x:c r="F648" t="str">
        <x:v>A</x:v>
      </x:c>
      <x:c r="G648" t="n">
        <x:v>24</x:v>
      </x:c>
      <x:c r="H648" t="str">
        <x:v>ORD-2025-00125</x:v>
      </x:c>
      <x:c r="I648" t="n">
        <x:v>7</x:v>
      </x:c>
      <x:c r="J648" t="n">
        <x:v>12</x:v>
      </x:c>
      <x:c r="K648" t="n">
        <x:v>3</x:v>
      </x:c>
      <x:c r="L648" t="n">
        <x:f>IF(I648&lt;=J648,1,0)</x:f>
        <x:v>1</x:v>
      </x:c>
      <x:c r="P648" t="n">
        <x:f>IF(M648="",IF(AND(L648=1,K648&gt;=1),1,0),M648)</x:f>
        <x:v>1</x:v>
      </x:c>
      <x:c r="Q648" t="n">
        <x:f>IF(N648="",IF(AND(L648=1,K648&gt;=2),1,0),N648)</x:f>
        <x:v>1</x:v>
      </x:c>
      <x:c r="R648" t="n">
        <x:f>IF(O648="",IF(AND(L648=1,K648&gt;=3),1,0),O648)</x:f>
        <x:v>1</x:v>
      </x:c>
      <x:c r="S648" t="n">
        <x:f>SUM(P648:R648)</x:f>
        <x:v>3</x:v>
      </x:c>
      <x:c r="T648" t="str">
        <x:f>IF(COUNTA(M648:O648)=0,"DerivedFromCount","ManualOverride")</x:f>
        <x:v>DerivedFromCount</x:v>
      </x:c>
      <x:c r="U648" t="str">
        <x:f>IF(COUNTIF(DailyProduction!$Q$5:$Q$100,B648)=1,"OK","CHECK")</x:f>
        <x:v>OK</x:v>
      </x:c>
      <x:c r="V648" t="str">
        <x:f>IF(AND(I648&gt;=1,I648&lt;=13,K648&gt;=1,K648&lt;=3),"OK","CHECK")</x:f>
        <x:v>OK</x:v>
      </x:c>
      <x:c r="W648" t="str">
        <x:f>IF(SUMIF($B$5:$B$914,B648,$S$5:$S$914)=SUMIF(DailyProduction!$Q$5:$Q$100,B648,DailyProduction!$R$5:$R$100),"OK","CHECK")</x:f>
        <x:v>OK</x:v>
      </x:c>
    </x:row>
    <x:row r="649">
      <x:c r="A649" t="str">
        <x:v>PC-PE-KG01-L24-20251023-PM-ORD-2025-00125-S08</x:v>
      </x:c>
      <x:c r="B649" t="str">
        <x:v>PE-KG01-L24-20251023-PM-ORD-2025-00125</x:v>
      </x:c>
      <x:c r="C649" t="str">
        <x:v>KG01</x:v>
      </x:c>
      <x:c r="D649" t="n">
        <x:v>45953</x:v>
      </x:c>
      <x:c r="E649" t="str">
        <x:v>PM</x:v>
      </x:c>
      <x:c r="F649" t="str">
        <x:v>A</x:v>
      </x:c>
      <x:c r="G649" t="n">
        <x:v>24</x:v>
      </x:c>
      <x:c r="H649" t="str">
        <x:v>ORD-2025-00125</x:v>
      </x:c>
      <x:c r="I649" t="n">
        <x:v>8</x:v>
      </x:c>
      <x:c r="J649" t="n">
        <x:v>12</x:v>
      </x:c>
      <x:c r="K649" t="n">
        <x:v>3</x:v>
      </x:c>
      <x:c r="L649" t="n">
        <x:f>IF(I649&lt;=J649,1,0)</x:f>
        <x:v>1</x:v>
      </x:c>
      <x:c r="P649" t="n">
        <x:f>IF(M649="",IF(AND(L649=1,K649&gt;=1),1,0),M649)</x:f>
        <x:v>1</x:v>
      </x:c>
      <x:c r="Q649" t="n">
        <x:f>IF(N649="",IF(AND(L649=1,K649&gt;=2),1,0),N649)</x:f>
        <x:v>1</x:v>
      </x:c>
      <x:c r="R649" t="n">
        <x:f>IF(O649="",IF(AND(L649=1,K649&gt;=3),1,0),O649)</x:f>
        <x:v>1</x:v>
      </x:c>
      <x:c r="S649" t="n">
        <x:f>SUM(P649:R649)</x:f>
        <x:v>3</x:v>
      </x:c>
      <x:c r="T649" t="str">
        <x:f>IF(COUNTA(M649:O649)=0,"DerivedFromCount","ManualOverride")</x:f>
        <x:v>DerivedFromCount</x:v>
      </x:c>
      <x:c r="U649" t="str">
        <x:f>IF(COUNTIF(DailyProduction!$Q$5:$Q$100,B649)=1,"OK","CHECK")</x:f>
        <x:v>OK</x:v>
      </x:c>
      <x:c r="V649" t="str">
        <x:f>IF(AND(I649&gt;=1,I649&lt;=13,K649&gt;=1,K649&lt;=3),"OK","CHECK")</x:f>
        <x:v>OK</x:v>
      </x:c>
      <x:c r="W649" t="str">
        <x:f>IF(SUMIF($B$5:$B$914,B649,$S$5:$S$914)=SUMIF(DailyProduction!$Q$5:$Q$100,B649,DailyProduction!$R$5:$R$100),"OK","CHECK")</x:f>
        <x:v>OK</x:v>
      </x:c>
    </x:row>
    <x:row r="650">
      <x:c r="A650" t="str">
        <x:v>PC-PE-KG01-L24-20251023-PM-ORD-2025-00125-S09</x:v>
      </x:c>
      <x:c r="B650" t="str">
        <x:v>PE-KG01-L24-20251023-PM-ORD-2025-00125</x:v>
      </x:c>
      <x:c r="C650" t="str">
        <x:v>KG01</x:v>
      </x:c>
      <x:c r="D650" t="n">
        <x:v>45953</x:v>
      </x:c>
      <x:c r="E650" t="str">
        <x:v>PM</x:v>
      </x:c>
      <x:c r="F650" t="str">
        <x:v>A</x:v>
      </x:c>
      <x:c r="G650" t="n">
        <x:v>24</x:v>
      </x:c>
      <x:c r="H650" t="str">
        <x:v>ORD-2025-00125</x:v>
      </x:c>
      <x:c r="I650" t="n">
        <x:v>9</x:v>
      </x:c>
      <x:c r="J650" t="n">
        <x:v>12</x:v>
      </x:c>
      <x:c r="K650" t="n">
        <x:v>3</x:v>
      </x:c>
      <x:c r="L650" t="n">
        <x:f>IF(I650&lt;=J650,1,0)</x:f>
        <x:v>1</x:v>
      </x:c>
      <x:c r="P650" t="n">
        <x:f>IF(M650="",IF(AND(L650=1,K650&gt;=1),1,0),M650)</x:f>
        <x:v>1</x:v>
      </x:c>
      <x:c r="Q650" t="n">
        <x:f>IF(N650="",IF(AND(L650=1,K650&gt;=2),1,0),N650)</x:f>
        <x:v>1</x:v>
      </x:c>
      <x:c r="R650" t="n">
        <x:f>IF(O650="",IF(AND(L650=1,K650&gt;=3),1,0),O650)</x:f>
        <x:v>1</x:v>
      </x:c>
      <x:c r="S650" t="n">
        <x:f>SUM(P650:R650)</x:f>
        <x:v>3</x:v>
      </x:c>
      <x:c r="T650" t="str">
        <x:f>IF(COUNTA(M650:O650)=0,"DerivedFromCount","ManualOverride")</x:f>
        <x:v>DerivedFromCount</x:v>
      </x:c>
      <x:c r="U650" t="str">
        <x:f>IF(COUNTIF(DailyProduction!$Q$5:$Q$100,B650)=1,"OK","CHECK")</x:f>
        <x:v>OK</x:v>
      </x:c>
      <x:c r="V650" t="str">
        <x:f>IF(AND(I650&gt;=1,I650&lt;=13,K650&gt;=1,K650&lt;=3),"OK","CHECK")</x:f>
        <x:v>OK</x:v>
      </x:c>
      <x:c r="W650" t="str">
        <x:f>IF(SUMIF($B$5:$B$914,B650,$S$5:$S$914)=SUMIF(DailyProduction!$Q$5:$Q$100,B650,DailyProduction!$R$5:$R$100),"OK","CHECK")</x:f>
        <x:v>OK</x:v>
      </x:c>
    </x:row>
    <x:row r="651">
      <x:c r="A651" t="str">
        <x:v>PC-PE-KG01-L24-20251023-PM-ORD-2025-00125-S10</x:v>
      </x:c>
      <x:c r="B651" t="str">
        <x:v>PE-KG01-L24-20251023-PM-ORD-2025-00125</x:v>
      </x:c>
      <x:c r="C651" t="str">
        <x:v>KG01</x:v>
      </x:c>
      <x:c r="D651" t="n">
        <x:v>45953</x:v>
      </x:c>
      <x:c r="E651" t="str">
        <x:v>PM</x:v>
      </x:c>
      <x:c r="F651" t="str">
        <x:v>A</x:v>
      </x:c>
      <x:c r="G651" t="n">
        <x:v>24</x:v>
      </x:c>
      <x:c r="H651" t="str">
        <x:v>ORD-2025-00125</x:v>
      </x:c>
      <x:c r="I651" t="n">
        <x:v>10</x:v>
      </x:c>
      <x:c r="J651" t="n">
        <x:v>12</x:v>
      </x:c>
      <x:c r="K651" t="n">
        <x:v>3</x:v>
      </x:c>
      <x:c r="L651" t="n">
        <x:f>IF(I651&lt;=J651,1,0)</x:f>
        <x:v>1</x:v>
      </x:c>
      <x:c r="P651" t="n">
        <x:f>IF(M651="",IF(AND(L651=1,K651&gt;=1),1,0),M651)</x:f>
        <x:v>1</x:v>
      </x:c>
      <x:c r="Q651" t="n">
        <x:f>IF(N651="",IF(AND(L651=1,K651&gt;=2),1,0),N651)</x:f>
        <x:v>1</x:v>
      </x:c>
      <x:c r="R651" t="n">
        <x:f>IF(O651="",IF(AND(L651=1,K651&gt;=3),1,0),O651)</x:f>
        <x:v>1</x:v>
      </x:c>
      <x:c r="S651" t="n">
        <x:f>SUM(P651:R651)</x:f>
        <x:v>3</x:v>
      </x:c>
      <x:c r="T651" t="str">
        <x:f>IF(COUNTA(M651:O651)=0,"DerivedFromCount","ManualOverride")</x:f>
        <x:v>DerivedFromCount</x:v>
      </x:c>
      <x:c r="U651" t="str">
        <x:f>IF(COUNTIF(DailyProduction!$Q$5:$Q$100,B651)=1,"OK","CHECK")</x:f>
        <x:v>OK</x:v>
      </x:c>
      <x:c r="V651" t="str">
        <x:f>IF(AND(I651&gt;=1,I651&lt;=13,K651&gt;=1,K651&lt;=3),"OK","CHECK")</x:f>
        <x:v>OK</x:v>
      </x:c>
      <x:c r="W651" t="str">
        <x:f>IF(SUMIF($B$5:$B$914,B651,$S$5:$S$914)=SUMIF(DailyProduction!$Q$5:$Q$100,B651,DailyProduction!$R$5:$R$100),"OK","CHECK")</x:f>
        <x:v>OK</x:v>
      </x:c>
    </x:row>
    <x:row r="652">
      <x:c r="A652" t="str">
        <x:v>PC-PE-KG01-L24-20251023-PM-ORD-2025-00125-S11</x:v>
      </x:c>
      <x:c r="B652" t="str">
        <x:v>PE-KG01-L24-20251023-PM-ORD-2025-00125</x:v>
      </x:c>
      <x:c r="C652" t="str">
        <x:v>KG01</x:v>
      </x:c>
      <x:c r="D652" t="n">
        <x:v>45953</x:v>
      </x:c>
      <x:c r="E652" t="str">
        <x:v>PM</x:v>
      </x:c>
      <x:c r="F652" t="str">
        <x:v>A</x:v>
      </x:c>
      <x:c r="G652" t="n">
        <x:v>24</x:v>
      </x:c>
      <x:c r="H652" t="str">
        <x:v>ORD-2025-00125</x:v>
      </x:c>
      <x:c r="I652" t="n">
        <x:v>11</x:v>
      </x:c>
      <x:c r="J652" t="n">
        <x:v>12</x:v>
      </x:c>
      <x:c r="K652" t="n">
        <x:v>3</x:v>
      </x:c>
      <x:c r="L652" t="n">
        <x:f>IF(I652&lt;=J652,1,0)</x:f>
        <x:v>1</x:v>
      </x:c>
      <x:c r="P652" t="n">
        <x:f>IF(M652="",IF(AND(L652=1,K652&gt;=1),1,0),M652)</x:f>
        <x:v>1</x:v>
      </x:c>
      <x:c r="Q652" t="n">
        <x:f>IF(N652="",IF(AND(L652=1,K652&gt;=2),1,0),N652)</x:f>
        <x:v>1</x:v>
      </x:c>
      <x:c r="R652" t="n">
        <x:f>IF(O652="",IF(AND(L652=1,K652&gt;=3),1,0),O652)</x:f>
        <x:v>1</x:v>
      </x:c>
      <x:c r="S652" t="n">
        <x:f>SUM(P652:R652)</x:f>
        <x:v>3</x:v>
      </x:c>
      <x:c r="T652" t="str">
        <x:f>IF(COUNTA(M652:O652)=0,"DerivedFromCount","ManualOverride")</x:f>
        <x:v>DerivedFromCount</x:v>
      </x:c>
      <x:c r="U652" t="str">
        <x:f>IF(COUNTIF(DailyProduction!$Q$5:$Q$100,B652)=1,"OK","CHECK")</x:f>
        <x:v>OK</x:v>
      </x:c>
      <x:c r="V652" t="str">
        <x:f>IF(AND(I652&gt;=1,I652&lt;=13,K652&gt;=1,K652&lt;=3),"OK","CHECK")</x:f>
        <x:v>OK</x:v>
      </x:c>
      <x:c r="W652" t="str">
        <x:f>IF(SUMIF($B$5:$B$914,B652,$S$5:$S$914)=SUMIF(DailyProduction!$Q$5:$Q$100,B652,DailyProduction!$R$5:$R$100),"OK","CHECK")</x:f>
        <x:v>OK</x:v>
      </x:c>
    </x:row>
    <x:row r="653">
      <x:c r="A653" t="str">
        <x:v>PC-PE-KG01-L24-20251023-PM-ORD-2025-00125-S12</x:v>
      </x:c>
      <x:c r="B653" t="str">
        <x:v>PE-KG01-L24-20251023-PM-ORD-2025-00125</x:v>
      </x:c>
      <x:c r="C653" t="str">
        <x:v>KG01</x:v>
      </x:c>
      <x:c r="D653" t="n">
        <x:v>45953</x:v>
      </x:c>
      <x:c r="E653" t="str">
        <x:v>PM</x:v>
      </x:c>
      <x:c r="F653" t="str">
        <x:v>A</x:v>
      </x:c>
      <x:c r="G653" t="n">
        <x:v>24</x:v>
      </x:c>
      <x:c r="H653" t="str">
        <x:v>ORD-2025-00125</x:v>
      </x:c>
      <x:c r="I653" t="n">
        <x:v>12</x:v>
      </x:c>
      <x:c r="J653" t="n">
        <x:v>12</x:v>
      </x:c>
      <x:c r="K653" t="n">
        <x:v>3</x:v>
      </x:c>
      <x:c r="L653" t="n">
        <x:f>IF(I653&lt;=J653,1,0)</x:f>
        <x:v>1</x:v>
      </x:c>
      <x:c r="P653" t="n">
        <x:f>IF(M653="",IF(AND(L653=1,K653&gt;=1),1,0),M653)</x:f>
        <x:v>1</x:v>
      </x:c>
      <x:c r="Q653" t="n">
        <x:f>IF(N653="",IF(AND(L653=1,K653&gt;=2),1,0),N653)</x:f>
        <x:v>1</x:v>
      </x:c>
      <x:c r="R653" t="n">
        <x:f>IF(O653="",IF(AND(L653=1,K653&gt;=3),1,0),O653)</x:f>
        <x:v>1</x:v>
      </x:c>
      <x:c r="S653" t="n">
        <x:f>SUM(P653:R653)</x:f>
        <x:v>3</x:v>
      </x:c>
      <x:c r="T653" t="str">
        <x:f>IF(COUNTA(M653:O653)=0,"DerivedFromCount","ManualOverride")</x:f>
        <x:v>DerivedFromCount</x:v>
      </x:c>
      <x:c r="U653" t="str">
        <x:f>IF(COUNTIF(DailyProduction!$Q$5:$Q$100,B653)=1,"OK","CHECK")</x:f>
        <x:v>OK</x:v>
      </x:c>
      <x:c r="V653" t="str">
        <x:f>IF(AND(I653&gt;=1,I653&lt;=13,K653&gt;=1,K653&lt;=3),"OK","CHECK")</x:f>
        <x:v>OK</x:v>
      </x:c>
      <x:c r="W653" t="str">
        <x:f>IF(SUMIF($B$5:$B$914,B653,$S$5:$S$914)=SUMIF(DailyProduction!$Q$5:$Q$100,B653,DailyProduction!$R$5:$R$100),"OK","CHECK")</x:f>
        <x:v>OK</x:v>
      </x:c>
    </x:row>
    <x:row r="654">
      <x:c r="A654" t="str">
        <x:v>PC-PE-KG01-L24-20251023-PM-ORD-2025-00125-S13</x:v>
      </x:c>
      <x:c r="B654" t="str">
        <x:v>PE-KG01-L24-20251023-PM-ORD-2025-00125</x:v>
      </x:c>
      <x:c r="C654" t="str">
        <x:v>KG01</x:v>
      </x:c>
      <x:c r="D654" t="n">
        <x:v>45953</x:v>
      </x:c>
      <x:c r="E654" t="str">
        <x:v>PM</x:v>
      </x:c>
      <x:c r="F654" t="str">
        <x:v>A</x:v>
      </x:c>
      <x:c r="G654" t="n">
        <x:v>24</x:v>
      </x:c>
      <x:c r="H654" t="str">
        <x:v>ORD-2025-00125</x:v>
      </x:c>
      <x:c r="I654" t="n">
        <x:v>13</x:v>
      </x:c>
      <x:c r="J654" t="n">
        <x:v>12</x:v>
      </x:c>
      <x:c r="K654" t="n">
        <x:v>3</x:v>
      </x:c>
      <x:c r="L654" t="n">
        <x:f>IF(I654&lt;=J654,1,0)</x:f>
        <x:v>0</x:v>
      </x:c>
      <x:c r="P654" t="n">
        <x:f>IF(M654="",IF(AND(L654=1,K654&gt;=1),1,0),M654)</x:f>
        <x:v>0</x:v>
      </x:c>
      <x:c r="Q654" t="n">
        <x:f>IF(N654="",IF(AND(L654=1,K654&gt;=2),1,0),N654)</x:f>
        <x:v>0</x:v>
      </x:c>
      <x:c r="R654" t="n">
        <x:f>IF(O654="",IF(AND(L654=1,K654&gt;=3),1,0),O654)</x:f>
        <x:v>0</x:v>
      </x:c>
      <x:c r="S654" t="n">
        <x:f>SUM(P654:R654)</x:f>
        <x:v>0</x:v>
      </x:c>
      <x:c r="T654" t="str">
        <x:f>IF(COUNTA(M654:O654)=0,"DerivedFromCount","ManualOverride")</x:f>
        <x:v>DerivedFromCount</x:v>
      </x:c>
      <x:c r="U654" t="str">
        <x:f>IF(COUNTIF(DailyProduction!$Q$5:$Q$100,B654)=1,"OK","CHECK")</x:f>
        <x:v>OK</x:v>
      </x:c>
      <x:c r="V654" t="str">
        <x:f>IF(AND(I654&gt;=1,I654&lt;=13,K654&gt;=1,K654&lt;=3),"OK","CHECK")</x:f>
        <x:v>OK</x:v>
      </x:c>
      <x:c r="W654" t="str">
        <x:f>IF(SUMIF($B$5:$B$914,B654,$S$5:$S$914)=SUMIF(DailyProduction!$Q$5:$Q$100,B654,DailyProduction!$R$5:$R$100),"OK","CHECK")</x:f>
        <x:v>OK</x:v>
      </x:c>
    </x:row>
    <x:row r="655">
      <x:c r="A655" t="str">
        <x:v>PC-PE-KG01-L24-20251024-AM-ORD-2025-00125-S01</x:v>
      </x:c>
      <x:c r="B655" t="str">
        <x:v>PE-KG01-L24-20251024-AM-ORD-2025-00125</x:v>
      </x:c>
      <x:c r="C655" t="str">
        <x:v>KG01</x:v>
      </x:c>
      <x:c r="D655" t="n">
        <x:v>45954</x:v>
      </x:c>
      <x:c r="E655" t="str">
        <x:v>AM</x:v>
      </x:c>
      <x:c r="F655" t="str">
        <x:v>A</x:v>
      </x:c>
      <x:c r="G655" t="n">
        <x:v>24</x:v>
      </x:c>
      <x:c r="H655" t="str">
        <x:v>ORD-2025-00125</x:v>
      </x:c>
      <x:c r="I655" t="n">
        <x:v>1</x:v>
      </x:c>
      <x:c r="J655" t="n">
        <x:v>12</x:v>
      </x:c>
      <x:c r="K655" t="n">
        <x:v>3</x:v>
      </x:c>
      <x:c r="L655" t="n">
        <x:f>IF(I655&lt;=J655,1,0)</x:f>
        <x:v>1</x:v>
      </x:c>
      <x:c r="P655" t="n">
        <x:f>IF(M655="",IF(AND(L655=1,K655&gt;=1),1,0),M655)</x:f>
        <x:v>1</x:v>
      </x:c>
      <x:c r="Q655" t="n">
        <x:f>IF(N655="",IF(AND(L655=1,K655&gt;=2),1,0),N655)</x:f>
        <x:v>1</x:v>
      </x:c>
      <x:c r="R655" t="n">
        <x:f>IF(O655="",IF(AND(L655=1,K655&gt;=3),1,0),O655)</x:f>
        <x:v>1</x:v>
      </x:c>
      <x:c r="S655" t="n">
        <x:f>SUM(P655:R655)</x:f>
        <x:v>3</x:v>
      </x:c>
      <x:c r="T655" t="str">
        <x:f>IF(COUNTA(M655:O655)=0,"DerivedFromCount","ManualOverride")</x:f>
        <x:v>DerivedFromCount</x:v>
      </x:c>
      <x:c r="U655" t="str">
        <x:f>IF(COUNTIF(DailyProduction!$Q$5:$Q$100,B655)=1,"OK","CHECK")</x:f>
        <x:v>OK</x:v>
      </x:c>
      <x:c r="V655" t="str">
        <x:f>IF(AND(I655&gt;=1,I655&lt;=13,K655&gt;=1,K655&lt;=3),"OK","CHECK")</x:f>
        <x:v>OK</x:v>
      </x:c>
      <x:c r="W655" t="str">
        <x:f>IF(SUMIF($B$5:$B$914,B655,$S$5:$S$914)=SUMIF(DailyProduction!$Q$5:$Q$100,B655,DailyProduction!$R$5:$R$100),"OK","CHECK")</x:f>
        <x:v>OK</x:v>
      </x:c>
    </x:row>
    <x:row r="656">
      <x:c r="A656" t="str">
        <x:v>PC-PE-KG01-L24-20251024-AM-ORD-2025-00125-S02</x:v>
      </x:c>
      <x:c r="B656" t="str">
        <x:v>PE-KG01-L24-20251024-AM-ORD-2025-00125</x:v>
      </x:c>
      <x:c r="C656" t="str">
        <x:v>KG01</x:v>
      </x:c>
      <x:c r="D656" t="n">
        <x:v>45954</x:v>
      </x:c>
      <x:c r="E656" t="str">
        <x:v>AM</x:v>
      </x:c>
      <x:c r="F656" t="str">
        <x:v>A</x:v>
      </x:c>
      <x:c r="G656" t="n">
        <x:v>24</x:v>
      </x:c>
      <x:c r="H656" t="str">
        <x:v>ORD-2025-00125</x:v>
      </x:c>
      <x:c r="I656" t="n">
        <x:v>2</x:v>
      </x:c>
      <x:c r="J656" t="n">
        <x:v>12</x:v>
      </x:c>
      <x:c r="K656" t="n">
        <x:v>3</x:v>
      </x:c>
      <x:c r="L656" t="n">
        <x:f>IF(I656&lt;=J656,1,0)</x:f>
        <x:v>1</x:v>
      </x:c>
      <x:c r="P656" t="n">
        <x:f>IF(M656="",IF(AND(L656=1,K656&gt;=1),1,0),M656)</x:f>
        <x:v>1</x:v>
      </x:c>
      <x:c r="Q656" t="n">
        <x:f>IF(N656="",IF(AND(L656=1,K656&gt;=2),1,0),N656)</x:f>
        <x:v>1</x:v>
      </x:c>
      <x:c r="R656" t="n">
        <x:f>IF(O656="",IF(AND(L656=1,K656&gt;=3),1,0),O656)</x:f>
        <x:v>1</x:v>
      </x:c>
      <x:c r="S656" t="n">
        <x:f>SUM(P656:R656)</x:f>
        <x:v>3</x:v>
      </x:c>
      <x:c r="T656" t="str">
        <x:f>IF(COUNTA(M656:O656)=0,"DerivedFromCount","ManualOverride")</x:f>
        <x:v>DerivedFromCount</x:v>
      </x:c>
      <x:c r="U656" t="str">
        <x:f>IF(COUNTIF(DailyProduction!$Q$5:$Q$100,B656)=1,"OK","CHECK")</x:f>
        <x:v>OK</x:v>
      </x:c>
      <x:c r="V656" t="str">
        <x:f>IF(AND(I656&gt;=1,I656&lt;=13,K656&gt;=1,K656&lt;=3),"OK","CHECK")</x:f>
        <x:v>OK</x:v>
      </x:c>
      <x:c r="W656" t="str">
        <x:f>IF(SUMIF($B$5:$B$914,B656,$S$5:$S$914)=SUMIF(DailyProduction!$Q$5:$Q$100,B656,DailyProduction!$R$5:$R$100),"OK","CHECK")</x:f>
        <x:v>OK</x:v>
      </x:c>
    </x:row>
    <x:row r="657">
      <x:c r="A657" t="str">
        <x:v>PC-PE-KG01-L24-20251024-AM-ORD-2025-00125-S03</x:v>
      </x:c>
      <x:c r="B657" t="str">
        <x:v>PE-KG01-L24-20251024-AM-ORD-2025-00125</x:v>
      </x:c>
      <x:c r="C657" t="str">
        <x:v>KG01</x:v>
      </x:c>
      <x:c r="D657" t="n">
        <x:v>45954</x:v>
      </x:c>
      <x:c r="E657" t="str">
        <x:v>AM</x:v>
      </x:c>
      <x:c r="F657" t="str">
        <x:v>A</x:v>
      </x:c>
      <x:c r="G657" t="n">
        <x:v>24</x:v>
      </x:c>
      <x:c r="H657" t="str">
        <x:v>ORD-2025-00125</x:v>
      </x:c>
      <x:c r="I657" t="n">
        <x:v>3</x:v>
      </x:c>
      <x:c r="J657" t="n">
        <x:v>12</x:v>
      </x:c>
      <x:c r="K657" t="n">
        <x:v>3</x:v>
      </x:c>
      <x:c r="L657" t="n">
        <x:f>IF(I657&lt;=J657,1,0)</x:f>
        <x:v>1</x:v>
      </x:c>
      <x:c r="P657" t="n">
        <x:f>IF(M657="",IF(AND(L657=1,K657&gt;=1),1,0),M657)</x:f>
        <x:v>1</x:v>
      </x:c>
      <x:c r="Q657" t="n">
        <x:f>IF(N657="",IF(AND(L657=1,K657&gt;=2),1,0),N657)</x:f>
        <x:v>1</x:v>
      </x:c>
      <x:c r="R657" t="n">
        <x:f>IF(O657="",IF(AND(L657=1,K657&gt;=3),1,0),O657)</x:f>
        <x:v>1</x:v>
      </x:c>
      <x:c r="S657" t="n">
        <x:f>SUM(P657:R657)</x:f>
        <x:v>3</x:v>
      </x:c>
      <x:c r="T657" t="str">
        <x:f>IF(COUNTA(M657:O657)=0,"DerivedFromCount","ManualOverride")</x:f>
        <x:v>DerivedFromCount</x:v>
      </x:c>
      <x:c r="U657" t="str">
        <x:f>IF(COUNTIF(DailyProduction!$Q$5:$Q$100,B657)=1,"OK","CHECK")</x:f>
        <x:v>OK</x:v>
      </x:c>
      <x:c r="V657" t="str">
        <x:f>IF(AND(I657&gt;=1,I657&lt;=13,K657&gt;=1,K657&lt;=3),"OK","CHECK")</x:f>
        <x:v>OK</x:v>
      </x:c>
      <x:c r="W657" t="str">
        <x:f>IF(SUMIF($B$5:$B$914,B657,$S$5:$S$914)=SUMIF(DailyProduction!$Q$5:$Q$100,B657,DailyProduction!$R$5:$R$100),"OK","CHECK")</x:f>
        <x:v>OK</x:v>
      </x:c>
    </x:row>
    <x:row r="658">
      <x:c r="A658" t="str">
        <x:v>PC-PE-KG01-L24-20251024-AM-ORD-2025-00125-S04</x:v>
      </x:c>
      <x:c r="B658" t="str">
        <x:v>PE-KG01-L24-20251024-AM-ORD-2025-00125</x:v>
      </x:c>
      <x:c r="C658" t="str">
        <x:v>KG01</x:v>
      </x:c>
      <x:c r="D658" t="n">
        <x:v>45954</x:v>
      </x:c>
      <x:c r="E658" t="str">
        <x:v>AM</x:v>
      </x:c>
      <x:c r="F658" t="str">
        <x:v>A</x:v>
      </x:c>
      <x:c r="G658" t="n">
        <x:v>24</x:v>
      </x:c>
      <x:c r="H658" t="str">
        <x:v>ORD-2025-00125</x:v>
      </x:c>
      <x:c r="I658" t="n">
        <x:v>4</x:v>
      </x:c>
      <x:c r="J658" t="n">
        <x:v>12</x:v>
      </x:c>
      <x:c r="K658" t="n">
        <x:v>3</x:v>
      </x:c>
      <x:c r="L658" t="n">
        <x:f>IF(I658&lt;=J658,1,0)</x:f>
        <x:v>1</x:v>
      </x:c>
      <x:c r="P658" t="n">
        <x:f>IF(M658="",IF(AND(L658=1,K658&gt;=1),1,0),M658)</x:f>
        <x:v>1</x:v>
      </x:c>
      <x:c r="Q658" t="n">
        <x:f>IF(N658="",IF(AND(L658=1,K658&gt;=2),1,0),N658)</x:f>
        <x:v>1</x:v>
      </x:c>
      <x:c r="R658" t="n">
        <x:f>IF(O658="",IF(AND(L658=1,K658&gt;=3),1,0),O658)</x:f>
        <x:v>1</x:v>
      </x:c>
      <x:c r="S658" t="n">
        <x:f>SUM(P658:R658)</x:f>
        <x:v>3</x:v>
      </x:c>
      <x:c r="T658" t="str">
        <x:f>IF(COUNTA(M658:O658)=0,"DerivedFromCount","ManualOverride")</x:f>
        <x:v>DerivedFromCount</x:v>
      </x:c>
      <x:c r="U658" t="str">
        <x:f>IF(COUNTIF(DailyProduction!$Q$5:$Q$100,B658)=1,"OK","CHECK")</x:f>
        <x:v>OK</x:v>
      </x:c>
      <x:c r="V658" t="str">
        <x:f>IF(AND(I658&gt;=1,I658&lt;=13,K658&gt;=1,K658&lt;=3),"OK","CHECK")</x:f>
        <x:v>OK</x:v>
      </x:c>
      <x:c r="W658" t="str">
        <x:f>IF(SUMIF($B$5:$B$914,B658,$S$5:$S$914)=SUMIF(DailyProduction!$Q$5:$Q$100,B658,DailyProduction!$R$5:$R$100),"OK","CHECK")</x:f>
        <x:v>OK</x:v>
      </x:c>
    </x:row>
    <x:row r="659">
      <x:c r="A659" t="str">
        <x:v>PC-PE-KG01-L24-20251024-AM-ORD-2025-00125-S05</x:v>
      </x:c>
      <x:c r="B659" t="str">
        <x:v>PE-KG01-L24-20251024-AM-ORD-2025-00125</x:v>
      </x:c>
      <x:c r="C659" t="str">
        <x:v>KG01</x:v>
      </x:c>
      <x:c r="D659" t="n">
        <x:v>45954</x:v>
      </x:c>
      <x:c r="E659" t="str">
        <x:v>AM</x:v>
      </x:c>
      <x:c r="F659" t="str">
        <x:v>A</x:v>
      </x:c>
      <x:c r="G659" t="n">
        <x:v>24</x:v>
      </x:c>
      <x:c r="H659" t="str">
        <x:v>ORD-2025-00125</x:v>
      </x:c>
      <x:c r="I659" t="n">
        <x:v>5</x:v>
      </x:c>
      <x:c r="J659" t="n">
        <x:v>12</x:v>
      </x:c>
      <x:c r="K659" t="n">
        <x:v>3</x:v>
      </x:c>
      <x:c r="L659" t="n">
        <x:f>IF(I659&lt;=J659,1,0)</x:f>
        <x:v>1</x:v>
      </x:c>
      <x:c r="P659" t="n">
        <x:f>IF(M659="",IF(AND(L659=1,K659&gt;=1),1,0),M659)</x:f>
        <x:v>1</x:v>
      </x:c>
      <x:c r="Q659" t="n">
        <x:f>IF(N659="",IF(AND(L659=1,K659&gt;=2),1,0),N659)</x:f>
        <x:v>1</x:v>
      </x:c>
      <x:c r="R659" t="n">
        <x:f>IF(O659="",IF(AND(L659=1,K659&gt;=3),1,0),O659)</x:f>
        <x:v>1</x:v>
      </x:c>
      <x:c r="S659" t="n">
        <x:f>SUM(P659:R659)</x:f>
        <x:v>3</x:v>
      </x:c>
      <x:c r="T659" t="str">
        <x:f>IF(COUNTA(M659:O659)=0,"DerivedFromCount","ManualOverride")</x:f>
        <x:v>DerivedFromCount</x:v>
      </x:c>
      <x:c r="U659" t="str">
        <x:f>IF(COUNTIF(DailyProduction!$Q$5:$Q$100,B659)=1,"OK","CHECK")</x:f>
        <x:v>OK</x:v>
      </x:c>
      <x:c r="V659" t="str">
        <x:f>IF(AND(I659&gt;=1,I659&lt;=13,K659&gt;=1,K659&lt;=3),"OK","CHECK")</x:f>
        <x:v>OK</x:v>
      </x:c>
      <x:c r="W659" t="str">
        <x:f>IF(SUMIF($B$5:$B$914,B659,$S$5:$S$914)=SUMIF(DailyProduction!$Q$5:$Q$100,B659,DailyProduction!$R$5:$R$100),"OK","CHECK")</x:f>
        <x:v>OK</x:v>
      </x:c>
    </x:row>
    <x:row r="660">
      <x:c r="A660" t="str">
        <x:v>PC-PE-KG01-L24-20251024-AM-ORD-2025-00125-S06</x:v>
      </x:c>
      <x:c r="B660" t="str">
        <x:v>PE-KG01-L24-20251024-AM-ORD-2025-00125</x:v>
      </x:c>
      <x:c r="C660" t="str">
        <x:v>KG01</x:v>
      </x:c>
      <x:c r="D660" t="n">
        <x:v>45954</x:v>
      </x:c>
      <x:c r="E660" t="str">
        <x:v>AM</x:v>
      </x:c>
      <x:c r="F660" t="str">
        <x:v>A</x:v>
      </x:c>
      <x:c r="G660" t="n">
        <x:v>24</x:v>
      </x:c>
      <x:c r="H660" t="str">
        <x:v>ORD-2025-00125</x:v>
      </x:c>
      <x:c r="I660" t="n">
        <x:v>6</x:v>
      </x:c>
      <x:c r="J660" t="n">
        <x:v>12</x:v>
      </x:c>
      <x:c r="K660" t="n">
        <x:v>3</x:v>
      </x:c>
      <x:c r="L660" t="n">
        <x:f>IF(I660&lt;=J660,1,0)</x:f>
        <x:v>1</x:v>
      </x:c>
      <x:c r="P660" t="n">
        <x:f>IF(M660="",IF(AND(L660=1,K660&gt;=1),1,0),M660)</x:f>
        <x:v>1</x:v>
      </x:c>
      <x:c r="Q660" t="n">
        <x:f>IF(N660="",IF(AND(L660=1,K660&gt;=2),1,0),N660)</x:f>
        <x:v>1</x:v>
      </x:c>
      <x:c r="R660" t="n">
        <x:f>IF(O660="",IF(AND(L660=1,K660&gt;=3),1,0),O660)</x:f>
        <x:v>1</x:v>
      </x:c>
      <x:c r="S660" t="n">
        <x:f>SUM(P660:R660)</x:f>
        <x:v>3</x:v>
      </x:c>
      <x:c r="T660" t="str">
        <x:f>IF(COUNTA(M660:O660)=0,"DerivedFromCount","ManualOverride")</x:f>
        <x:v>DerivedFromCount</x:v>
      </x:c>
      <x:c r="U660" t="str">
        <x:f>IF(COUNTIF(DailyProduction!$Q$5:$Q$100,B660)=1,"OK","CHECK")</x:f>
        <x:v>OK</x:v>
      </x:c>
      <x:c r="V660" t="str">
        <x:f>IF(AND(I660&gt;=1,I660&lt;=13,K660&gt;=1,K660&lt;=3),"OK","CHECK")</x:f>
        <x:v>OK</x:v>
      </x:c>
      <x:c r="W660" t="str">
        <x:f>IF(SUMIF($B$5:$B$914,B660,$S$5:$S$914)=SUMIF(DailyProduction!$Q$5:$Q$100,B660,DailyProduction!$R$5:$R$100),"OK","CHECK")</x:f>
        <x:v>OK</x:v>
      </x:c>
    </x:row>
    <x:row r="661">
      <x:c r="A661" t="str">
        <x:v>PC-PE-KG01-L24-20251024-AM-ORD-2025-00125-S07</x:v>
      </x:c>
      <x:c r="B661" t="str">
        <x:v>PE-KG01-L24-20251024-AM-ORD-2025-00125</x:v>
      </x:c>
      <x:c r="C661" t="str">
        <x:v>KG01</x:v>
      </x:c>
      <x:c r="D661" t="n">
        <x:v>45954</x:v>
      </x:c>
      <x:c r="E661" t="str">
        <x:v>AM</x:v>
      </x:c>
      <x:c r="F661" t="str">
        <x:v>A</x:v>
      </x:c>
      <x:c r="G661" t="n">
        <x:v>24</x:v>
      </x:c>
      <x:c r="H661" t="str">
        <x:v>ORD-2025-00125</x:v>
      </x:c>
      <x:c r="I661" t="n">
        <x:v>7</x:v>
      </x:c>
      <x:c r="J661" t="n">
        <x:v>12</x:v>
      </x:c>
      <x:c r="K661" t="n">
        <x:v>3</x:v>
      </x:c>
      <x:c r="L661" t="n">
        <x:f>IF(I661&lt;=J661,1,0)</x:f>
        <x:v>1</x:v>
      </x:c>
      <x:c r="P661" t="n">
        <x:f>IF(M661="",IF(AND(L661=1,K661&gt;=1),1,0),M661)</x:f>
        <x:v>1</x:v>
      </x:c>
      <x:c r="Q661" t="n">
        <x:f>IF(N661="",IF(AND(L661=1,K661&gt;=2),1,0),N661)</x:f>
        <x:v>1</x:v>
      </x:c>
      <x:c r="R661" t="n">
        <x:f>IF(O661="",IF(AND(L661=1,K661&gt;=3),1,0),O661)</x:f>
        <x:v>1</x:v>
      </x:c>
      <x:c r="S661" t="n">
        <x:f>SUM(P661:R661)</x:f>
        <x:v>3</x:v>
      </x:c>
      <x:c r="T661" t="str">
        <x:f>IF(COUNTA(M661:O661)=0,"DerivedFromCount","ManualOverride")</x:f>
        <x:v>DerivedFromCount</x:v>
      </x:c>
      <x:c r="U661" t="str">
        <x:f>IF(COUNTIF(DailyProduction!$Q$5:$Q$100,B661)=1,"OK","CHECK")</x:f>
        <x:v>OK</x:v>
      </x:c>
      <x:c r="V661" t="str">
        <x:f>IF(AND(I661&gt;=1,I661&lt;=13,K661&gt;=1,K661&lt;=3),"OK","CHECK")</x:f>
        <x:v>OK</x:v>
      </x:c>
      <x:c r="W661" t="str">
        <x:f>IF(SUMIF($B$5:$B$914,B661,$S$5:$S$914)=SUMIF(DailyProduction!$Q$5:$Q$100,B661,DailyProduction!$R$5:$R$100),"OK","CHECK")</x:f>
        <x:v>OK</x:v>
      </x:c>
    </x:row>
    <x:row r="662">
      <x:c r="A662" t="str">
        <x:v>PC-PE-KG01-L24-20251024-AM-ORD-2025-00125-S08</x:v>
      </x:c>
      <x:c r="B662" t="str">
        <x:v>PE-KG01-L24-20251024-AM-ORD-2025-00125</x:v>
      </x:c>
      <x:c r="C662" t="str">
        <x:v>KG01</x:v>
      </x:c>
      <x:c r="D662" t="n">
        <x:v>45954</x:v>
      </x:c>
      <x:c r="E662" t="str">
        <x:v>AM</x:v>
      </x:c>
      <x:c r="F662" t="str">
        <x:v>A</x:v>
      </x:c>
      <x:c r="G662" t="n">
        <x:v>24</x:v>
      </x:c>
      <x:c r="H662" t="str">
        <x:v>ORD-2025-00125</x:v>
      </x:c>
      <x:c r="I662" t="n">
        <x:v>8</x:v>
      </x:c>
      <x:c r="J662" t="n">
        <x:v>12</x:v>
      </x:c>
      <x:c r="K662" t="n">
        <x:v>3</x:v>
      </x:c>
      <x:c r="L662" t="n">
        <x:f>IF(I662&lt;=J662,1,0)</x:f>
        <x:v>1</x:v>
      </x:c>
      <x:c r="P662" t="n">
        <x:f>IF(M662="",IF(AND(L662=1,K662&gt;=1),1,0),M662)</x:f>
        <x:v>1</x:v>
      </x:c>
      <x:c r="Q662" t="n">
        <x:f>IF(N662="",IF(AND(L662=1,K662&gt;=2),1,0),N662)</x:f>
        <x:v>1</x:v>
      </x:c>
      <x:c r="R662" t="n">
        <x:f>IF(O662="",IF(AND(L662=1,K662&gt;=3),1,0),O662)</x:f>
        <x:v>1</x:v>
      </x:c>
      <x:c r="S662" t="n">
        <x:f>SUM(P662:R662)</x:f>
        <x:v>3</x:v>
      </x:c>
      <x:c r="T662" t="str">
        <x:f>IF(COUNTA(M662:O662)=0,"DerivedFromCount","ManualOverride")</x:f>
        <x:v>DerivedFromCount</x:v>
      </x:c>
      <x:c r="U662" t="str">
        <x:f>IF(COUNTIF(DailyProduction!$Q$5:$Q$100,B662)=1,"OK","CHECK")</x:f>
        <x:v>OK</x:v>
      </x:c>
      <x:c r="V662" t="str">
        <x:f>IF(AND(I662&gt;=1,I662&lt;=13,K662&gt;=1,K662&lt;=3),"OK","CHECK")</x:f>
        <x:v>OK</x:v>
      </x:c>
      <x:c r="W662" t="str">
        <x:f>IF(SUMIF($B$5:$B$914,B662,$S$5:$S$914)=SUMIF(DailyProduction!$Q$5:$Q$100,B662,DailyProduction!$R$5:$R$100),"OK","CHECK")</x:f>
        <x:v>OK</x:v>
      </x:c>
    </x:row>
    <x:row r="663">
      <x:c r="A663" t="str">
        <x:v>PC-PE-KG01-L24-20251024-AM-ORD-2025-00125-S09</x:v>
      </x:c>
      <x:c r="B663" t="str">
        <x:v>PE-KG01-L24-20251024-AM-ORD-2025-00125</x:v>
      </x:c>
      <x:c r="C663" t="str">
        <x:v>KG01</x:v>
      </x:c>
      <x:c r="D663" t="n">
        <x:v>45954</x:v>
      </x:c>
      <x:c r="E663" t="str">
        <x:v>AM</x:v>
      </x:c>
      <x:c r="F663" t="str">
        <x:v>A</x:v>
      </x:c>
      <x:c r="G663" t="n">
        <x:v>24</x:v>
      </x:c>
      <x:c r="H663" t="str">
        <x:v>ORD-2025-00125</x:v>
      </x:c>
      <x:c r="I663" t="n">
        <x:v>9</x:v>
      </x:c>
      <x:c r="J663" t="n">
        <x:v>12</x:v>
      </x:c>
      <x:c r="K663" t="n">
        <x:v>3</x:v>
      </x:c>
      <x:c r="L663" t="n">
        <x:f>IF(I663&lt;=J663,1,0)</x:f>
        <x:v>1</x:v>
      </x:c>
      <x:c r="P663" t="n">
        <x:f>IF(M663="",IF(AND(L663=1,K663&gt;=1),1,0),M663)</x:f>
        <x:v>1</x:v>
      </x:c>
      <x:c r="Q663" t="n">
        <x:f>IF(N663="",IF(AND(L663=1,K663&gt;=2),1,0),N663)</x:f>
        <x:v>1</x:v>
      </x:c>
      <x:c r="R663" t="n">
        <x:f>IF(O663="",IF(AND(L663=1,K663&gt;=3),1,0),O663)</x:f>
        <x:v>1</x:v>
      </x:c>
      <x:c r="S663" t="n">
        <x:f>SUM(P663:R663)</x:f>
        <x:v>3</x:v>
      </x:c>
      <x:c r="T663" t="str">
        <x:f>IF(COUNTA(M663:O663)=0,"DerivedFromCount","ManualOverride")</x:f>
        <x:v>DerivedFromCount</x:v>
      </x:c>
      <x:c r="U663" t="str">
        <x:f>IF(COUNTIF(DailyProduction!$Q$5:$Q$100,B663)=1,"OK","CHECK")</x:f>
        <x:v>OK</x:v>
      </x:c>
      <x:c r="V663" t="str">
        <x:f>IF(AND(I663&gt;=1,I663&lt;=13,K663&gt;=1,K663&lt;=3),"OK","CHECK")</x:f>
        <x:v>OK</x:v>
      </x:c>
      <x:c r="W663" t="str">
        <x:f>IF(SUMIF($B$5:$B$914,B663,$S$5:$S$914)=SUMIF(DailyProduction!$Q$5:$Q$100,B663,DailyProduction!$R$5:$R$100),"OK","CHECK")</x:f>
        <x:v>OK</x:v>
      </x:c>
    </x:row>
    <x:row r="664">
      <x:c r="A664" t="str">
        <x:v>PC-PE-KG01-L24-20251024-AM-ORD-2025-00125-S10</x:v>
      </x:c>
      <x:c r="B664" t="str">
        <x:v>PE-KG01-L24-20251024-AM-ORD-2025-00125</x:v>
      </x:c>
      <x:c r="C664" t="str">
        <x:v>KG01</x:v>
      </x:c>
      <x:c r="D664" t="n">
        <x:v>45954</x:v>
      </x:c>
      <x:c r="E664" t="str">
        <x:v>AM</x:v>
      </x:c>
      <x:c r="F664" t="str">
        <x:v>A</x:v>
      </x:c>
      <x:c r="G664" t="n">
        <x:v>24</x:v>
      </x:c>
      <x:c r="H664" t="str">
        <x:v>ORD-2025-00125</x:v>
      </x:c>
      <x:c r="I664" t="n">
        <x:v>10</x:v>
      </x:c>
      <x:c r="J664" t="n">
        <x:v>12</x:v>
      </x:c>
      <x:c r="K664" t="n">
        <x:v>3</x:v>
      </x:c>
      <x:c r="L664" t="n">
        <x:f>IF(I664&lt;=J664,1,0)</x:f>
        <x:v>1</x:v>
      </x:c>
      <x:c r="P664" t="n">
        <x:f>IF(M664="",IF(AND(L664=1,K664&gt;=1),1,0),M664)</x:f>
        <x:v>1</x:v>
      </x:c>
      <x:c r="Q664" t="n">
        <x:f>IF(N664="",IF(AND(L664=1,K664&gt;=2),1,0),N664)</x:f>
        <x:v>1</x:v>
      </x:c>
      <x:c r="R664" t="n">
        <x:f>IF(O664="",IF(AND(L664=1,K664&gt;=3),1,0),O664)</x:f>
        <x:v>1</x:v>
      </x:c>
      <x:c r="S664" t="n">
        <x:f>SUM(P664:R664)</x:f>
        <x:v>3</x:v>
      </x:c>
      <x:c r="T664" t="str">
        <x:f>IF(COUNTA(M664:O664)=0,"DerivedFromCount","ManualOverride")</x:f>
        <x:v>DerivedFromCount</x:v>
      </x:c>
      <x:c r="U664" t="str">
        <x:f>IF(COUNTIF(DailyProduction!$Q$5:$Q$100,B664)=1,"OK","CHECK")</x:f>
        <x:v>OK</x:v>
      </x:c>
      <x:c r="V664" t="str">
        <x:f>IF(AND(I664&gt;=1,I664&lt;=13,K664&gt;=1,K664&lt;=3),"OK","CHECK")</x:f>
        <x:v>OK</x:v>
      </x:c>
      <x:c r="W664" t="str">
        <x:f>IF(SUMIF($B$5:$B$914,B664,$S$5:$S$914)=SUMIF(DailyProduction!$Q$5:$Q$100,B664,DailyProduction!$R$5:$R$100),"OK","CHECK")</x:f>
        <x:v>OK</x:v>
      </x:c>
    </x:row>
    <x:row r="665">
      <x:c r="A665" t="str">
        <x:v>PC-PE-KG01-L24-20251024-AM-ORD-2025-00125-S11</x:v>
      </x:c>
      <x:c r="B665" t="str">
        <x:v>PE-KG01-L24-20251024-AM-ORD-2025-00125</x:v>
      </x:c>
      <x:c r="C665" t="str">
        <x:v>KG01</x:v>
      </x:c>
      <x:c r="D665" t="n">
        <x:v>45954</x:v>
      </x:c>
      <x:c r="E665" t="str">
        <x:v>AM</x:v>
      </x:c>
      <x:c r="F665" t="str">
        <x:v>A</x:v>
      </x:c>
      <x:c r="G665" t="n">
        <x:v>24</x:v>
      </x:c>
      <x:c r="H665" t="str">
        <x:v>ORD-2025-00125</x:v>
      </x:c>
      <x:c r="I665" t="n">
        <x:v>11</x:v>
      </x:c>
      <x:c r="J665" t="n">
        <x:v>12</x:v>
      </x:c>
      <x:c r="K665" t="n">
        <x:v>3</x:v>
      </x:c>
      <x:c r="L665" t="n">
        <x:f>IF(I665&lt;=J665,1,0)</x:f>
        <x:v>1</x:v>
      </x:c>
      <x:c r="P665" t="n">
        <x:f>IF(M665="",IF(AND(L665=1,K665&gt;=1),1,0),M665)</x:f>
        <x:v>1</x:v>
      </x:c>
      <x:c r="Q665" t="n">
        <x:f>IF(N665="",IF(AND(L665=1,K665&gt;=2),1,0),N665)</x:f>
        <x:v>1</x:v>
      </x:c>
      <x:c r="R665" t="n">
        <x:f>IF(O665="",IF(AND(L665=1,K665&gt;=3),1,0),O665)</x:f>
        <x:v>1</x:v>
      </x:c>
      <x:c r="S665" t="n">
        <x:f>SUM(P665:R665)</x:f>
        <x:v>3</x:v>
      </x:c>
      <x:c r="T665" t="str">
        <x:f>IF(COUNTA(M665:O665)=0,"DerivedFromCount","ManualOverride")</x:f>
        <x:v>DerivedFromCount</x:v>
      </x:c>
      <x:c r="U665" t="str">
        <x:f>IF(COUNTIF(DailyProduction!$Q$5:$Q$100,B665)=1,"OK","CHECK")</x:f>
        <x:v>OK</x:v>
      </x:c>
      <x:c r="V665" t="str">
        <x:f>IF(AND(I665&gt;=1,I665&lt;=13,K665&gt;=1,K665&lt;=3),"OK","CHECK")</x:f>
        <x:v>OK</x:v>
      </x:c>
      <x:c r="W665" t="str">
        <x:f>IF(SUMIF($B$5:$B$914,B665,$S$5:$S$914)=SUMIF(DailyProduction!$Q$5:$Q$100,B665,DailyProduction!$R$5:$R$100),"OK","CHECK")</x:f>
        <x:v>OK</x:v>
      </x:c>
    </x:row>
    <x:row r="666">
      <x:c r="A666" t="str">
        <x:v>PC-PE-KG01-L24-20251024-AM-ORD-2025-00125-S12</x:v>
      </x:c>
      <x:c r="B666" t="str">
        <x:v>PE-KG01-L24-20251024-AM-ORD-2025-00125</x:v>
      </x:c>
      <x:c r="C666" t="str">
        <x:v>KG01</x:v>
      </x:c>
      <x:c r="D666" t="n">
        <x:v>45954</x:v>
      </x:c>
      <x:c r="E666" t="str">
        <x:v>AM</x:v>
      </x:c>
      <x:c r="F666" t="str">
        <x:v>A</x:v>
      </x:c>
      <x:c r="G666" t="n">
        <x:v>24</x:v>
      </x:c>
      <x:c r="H666" t="str">
        <x:v>ORD-2025-00125</x:v>
      </x:c>
      <x:c r="I666" t="n">
        <x:v>12</x:v>
      </x:c>
      <x:c r="J666" t="n">
        <x:v>12</x:v>
      </x:c>
      <x:c r="K666" t="n">
        <x:v>3</x:v>
      </x:c>
      <x:c r="L666" t="n">
        <x:f>IF(I666&lt;=J666,1,0)</x:f>
        <x:v>1</x:v>
      </x:c>
      <x:c r="P666" t="n">
        <x:f>IF(M666="",IF(AND(L666=1,K666&gt;=1),1,0),M666)</x:f>
        <x:v>1</x:v>
      </x:c>
      <x:c r="Q666" t="n">
        <x:f>IF(N666="",IF(AND(L666=1,K666&gt;=2),1,0),N666)</x:f>
        <x:v>1</x:v>
      </x:c>
      <x:c r="R666" t="n">
        <x:f>IF(O666="",IF(AND(L666=1,K666&gt;=3),1,0),O666)</x:f>
        <x:v>1</x:v>
      </x:c>
      <x:c r="S666" t="n">
        <x:f>SUM(P666:R666)</x:f>
        <x:v>3</x:v>
      </x:c>
      <x:c r="T666" t="str">
        <x:f>IF(COUNTA(M666:O666)=0,"DerivedFromCount","ManualOverride")</x:f>
        <x:v>DerivedFromCount</x:v>
      </x:c>
      <x:c r="U666" t="str">
        <x:f>IF(COUNTIF(DailyProduction!$Q$5:$Q$100,B666)=1,"OK","CHECK")</x:f>
        <x:v>OK</x:v>
      </x:c>
      <x:c r="V666" t="str">
        <x:f>IF(AND(I666&gt;=1,I666&lt;=13,K666&gt;=1,K666&lt;=3),"OK","CHECK")</x:f>
        <x:v>OK</x:v>
      </x:c>
      <x:c r="W666" t="str">
        <x:f>IF(SUMIF($B$5:$B$914,B666,$S$5:$S$914)=SUMIF(DailyProduction!$Q$5:$Q$100,B666,DailyProduction!$R$5:$R$100),"OK","CHECK")</x:f>
        <x:v>OK</x:v>
      </x:c>
    </x:row>
    <x:row r="667">
      <x:c r="A667" t="str">
        <x:v>PC-PE-KG01-L24-20251024-AM-ORD-2025-00125-S13</x:v>
      </x:c>
      <x:c r="B667" t="str">
        <x:v>PE-KG01-L24-20251024-AM-ORD-2025-00125</x:v>
      </x:c>
      <x:c r="C667" t="str">
        <x:v>KG01</x:v>
      </x:c>
      <x:c r="D667" t="n">
        <x:v>45954</x:v>
      </x:c>
      <x:c r="E667" t="str">
        <x:v>AM</x:v>
      </x:c>
      <x:c r="F667" t="str">
        <x:v>A</x:v>
      </x:c>
      <x:c r="G667" t="n">
        <x:v>24</x:v>
      </x:c>
      <x:c r="H667" t="str">
        <x:v>ORD-2025-00125</x:v>
      </x:c>
      <x:c r="I667" t="n">
        <x:v>13</x:v>
      </x:c>
      <x:c r="J667" t="n">
        <x:v>12</x:v>
      </x:c>
      <x:c r="K667" t="n">
        <x:v>3</x:v>
      </x:c>
      <x:c r="L667" t="n">
        <x:f>IF(I667&lt;=J667,1,0)</x:f>
        <x:v>0</x:v>
      </x:c>
      <x:c r="P667" t="n">
        <x:f>IF(M667="",IF(AND(L667=1,K667&gt;=1),1,0),M667)</x:f>
        <x:v>0</x:v>
      </x:c>
      <x:c r="Q667" t="n">
        <x:f>IF(N667="",IF(AND(L667=1,K667&gt;=2),1,0),N667)</x:f>
        <x:v>0</x:v>
      </x:c>
      <x:c r="R667" t="n">
        <x:f>IF(O667="",IF(AND(L667=1,K667&gt;=3),1,0),O667)</x:f>
        <x:v>0</x:v>
      </x:c>
      <x:c r="S667" t="n">
        <x:f>SUM(P667:R667)</x:f>
        <x:v>0</x:v>
      </x:c>
      <x:c r="T667" t="str">
        <x:f>IF(COUNTA(M667:O667)=0,"DerivedFromCount","ManualOverride")</x:f>
        <x:v>DerivedFromCount</x:v>
      </x:c>
      <x:c r="U667" t="str">
        <x:f>IF(COUNTIF(DailyProduction!$Q$5:$Q$100,B667)=1,"OK","CHECK")</x:f>
        <x:v>OK</x:v>
      </x:c>
      <x:c r="V667" t="str">
        <x:f>IF(AND(I667&gt;=1,I667&lt;=13,K667&gt;=1,K667&lt;=3),"OK","CHECK")</x:f>
        <x:v>OK</x:v>
      </x:c>
      <x:c r="W667" t="str">
        <x:f>IF(SUMIF($B$5:$B$914,B667,$S$5:$S$914)=SUMIF(DailyProduction!$Q$5:$Q$100,B667,DailyProduction!$R$5:$R$100),"OK","CHECK")</x:f>
        <x:v>OK</x:v>
      </x:c>
    </x:row>
    <x:row r="668">
      <x:c r="A668" t="str">
        <x:v>PC-PE-KG01-L24-20251024-PM-ORD-2025-00125-S01</x:v>
      </x:c>
      <x:c r="B668" t="str">
        <x:v>PE-KG01-L24-20251024-PM-ORD-2025-00125</x:v>
      </x:c>
      <x:c r="C668" t="str">
        <x:v>KG01</x:v>
      </x:c>
      <x:c r="D668" t="n">
        <x:v>45954</x:v>
      </x:c>
      <x:c r="E668" t="str">
        <x:v>PM</x:v>
      </x:c>
      <x:c r="F668" t="str">
        <x:v>B</x:v>
      </x:c>
      <x:c r="G668" t="n">
        <x:v>24</x:v>
      </x:c>
      <x:c r="H668" t="str">
        <x:v>ORD-2025-00125</x:v>
      </x:c>
      <x:c r="I668" t="n">
        <x:v>1</x:v>
      </x:c>
      <x:c r="J668" t="n">
        <x:v>12</x:v>
      </x:c>
      <x:c r="K668" t="n">
        <x:v>3</x:v>
      </x:c>
      <x:c r="L668" t="n">
        <x:f>IF(I668&lt;=J668,1,0)</x:f>
        <x:v>1</x:v>
      </x:c>
      <x:c r="P668" t="n">
        <x:f>IF(M668="",IF(AND(L668=1,K668&gt;=1),1,0),M668)</x:f>
        <x:v>1</x:v>
      </x:c>
      <x:c r="Q668" t="n">
        <x:f>IF(N668="",IF(AND(L668=1,K668&gt;=2),1,0),N668)</x:f>
        <x:v>1</x:v>
      </x:c>
      <x:c r="R668" t="n">
        <x:f>IF(O668="",IF(AND(L668=1,K668&gt;=3),1,0),O668)</x:f>
        <x:v>1</x:v>
      </x:c>
      <x:c r="S668" t="n">
        <x:f>SUM(P668:R668)</x:f>
        <x:v>3</x:v>
      </x:c>
      <x:c r="T668" t="str">
        <x:f>IF(COUNTA(M668:O668)=0,"DerivedFromCount","ManualOverride")</x:f>
        <x:v>DerivedFromCount</x:v>
      </x:c>
      <x:c r="U668" t="str">
        <x:f>IF(COUNTIF(DailyProduction!$Q$5:$Q$100,B668)=1,"OK","CHECK")</x:f>
        <x:v>OK</x:v>
      </x:c>
      <x:c r="V668" t="str">
        <x:f>IF(AND(I668&gt;=1,I668&lt;=13,K668&gt;=1,K668&lt;=3),"OK","CHECK")</x:f>
        <x:v>OK</x:v>
      </x:c>
      <x:c r="W668" t="str">
        <x:f>IF(SUMIF($B$5:$B$914,B668,$S$5:$S$914)=SUMIF(DailyProduction!$Q$5:$Q$100,B668,DailyProduction!$R$5:$R$100),"OK","CHECK")</x:f>
        <x:v>OK</x:v>
      </x:c>
    </x:row>
    <x:row r="669">
      <x:c r="A669" t="str">
        <x:v>PC-PE-KG01-L24-20251024-PM-ORD-2025-00125-S02</x:v>
      </x:c>
      <x:c r="B669" t="str">
        <x:v>PE-KG01-L24-20251024-PM-ORD-2025-00125</x:v>
      </x:c>
      <x:c r="C669" t="str">
        <x:v>KG01</x:v>
      </x:c>
      <x:c r="D669" t="n">
        <x:v>45954</x:v>
      </x:c>
      <x:c r="E669" t="str">
        <x:v>PM</x:v>
      </x:c>
      <x:c r="F669" t="str">
        <x:v>B</x:v>
      </x:c>
      <x:c r="G669" t="n">
        <x:v>24</x:v>
      </x:c>
      <x:c r="H669" t="str">
        <x:v>ORD-2025-00125</x:v>
      </x:c>
      <x:c r="I669" t="n">
        <x:v>2</x:v>
      </x:c>
      <x:c r="J669" t="n">
        <x:v>12</x:v>
      </x:c>
      <x:c r="K669" t="n">
        <x:v>3</x:v>
      </x:c>
      <x:c r="L669" t="n">
        <x:f>IF(I669&lt;=J669,1,0)</x:f>
        <x:v>1</x:v>
      </x:c>
      <x:c r="P669" t="n">
        <x:f>IF(M669="",IF(AND(L669=1,K669&gt;=1),1,0),M669)</x:f>
        <x:v>1</x:v>
      </x:c>
      <x:c r="Q669" t="n">
        <x:f>IF(N669="",IF(AND(L669=1,K669&gt;=2),1,0),N669)</x:f>
        <x:v>1</x:v>
      </x:c>
      <x:c r="R669" t="n">
        <x:f>IF(O669="",IF(AND(L669=1,K669&gt;=3),1,0),O669)</x:f>
        <x:v>1</x:v>
      </x:c>
      <x:c r="S669" t="n">
        <x:f>SUM(P669:R669)</x:f>
        <x:v>3</x:v>
      </x:c>
      <x:c r="T669" t="str">
        <x:f>IF(COUNTA(M669:O669)=0,"DerivedFromCount","ManualOverride")</x:f>
        <x:v>DerivedFromCount</x:v>
      </x:c>
      <x:c r="U669" t="str">
        <x:f>IF(COUNTIF(DailyProduction!$Q$5:$Q$100,B669)=1,"OK","CHECK")</x:f>
        <x:v>OK</x:v>
      </x:c>
      <x:c r="V669" t="str">
        <x:f>IF(AND(I669&gt;=1,I669&lt;=13,K669&gt;=1,K669&lt;=3),"OK","CHECK")</x:f>
        <x:v>OK</x:v>
      </x:c>
      <x:c r="W669" t="str">
        <x:f>IF(SUMIF($B$5:$B$914,B669,$S$5:$S$914)=SUMIF(DailyProduction!$Q$5:$Q$100,B669,DailyProduction!$R$5:$R$100),"OK","CHECK")</x:f>
        <x:v>OK</x:v>
      </x:c>
    </x:row>
    <x:row r="670">
      <x:c r="A670" t="str">
        <x:v>PC-PE-KG01-L24-20251024-PM-ORD-2025-00125-S03</x:v>
      </x:c>
      <x:c r="B670" t="str">
        <x:v>PE-KG01-L24-20251024-PM-ORD-2025-00125</x:v>
      </x:c>
      <x:c r="C670" t="str">
        <x:v>KG01</x:v>
      </x:c>
      <x:c r="D670" t="n">
        <x:v>45954</x:v>
      </x:c>
      <x:c r="E670" t="str">
        <x:v>PM</x:v>
      </x:c>
      <x:c r="F670" t="str">
        <x:v>B</x:v>
      </x:c>
      <x:c r="G670" t="n">
        <x:v>24</x:v>
      </x:c>
      <x:c r="H670" t="str">
        <x:v>ORD-2025-00125</x:v>
      </x:c>
      <x:c r="I670" t="n">
        <x:v>3</x:v>
      </x:c>
      <x:c r="J670" t="n">
        <x:v>12</x:v>
      </x:c>
      <x:c r="K670" t="n">
        <x:v>3</x:v>
      </x:c>
      <x:c r="L670" t="n">
        <x:f>IF(I670&lt;=J670,1,0)</x:f>
        <x:v>1</x:v>
      </x:c>
      <x:c r="P670" t="n">
        <x:f>IF(M670="",IF(AND(L670=1,K670&gt;=1),1,0),M670)</x:f>
        <x:v>1</x:v>
      </x:c>
      <x:c r="Q670" t="n">
        <x:f>IF(N670="",IF(AND(L670=1,K670&gt;=2),1,0),N670)</x:f>
        <x:v>1</x:v>
      </x:c>
      <x:c r="R670" t="n">
        <x:f>IF(O670="",IF(AND(L670=1,K670&gt;=3),1,0),O670)</x:f>
        <x:v>1</x:v>
      </x:c>
      <x:c r="S670" t="n">
        <x:f>SUM(P670:R670)</x:f>
        <x:v>3</x:v>
      </x:c>
      <x:c r="T670" t="str">
        <x:f>IF(COUNTA(M670:O670)=0,"DerivedFromCount","ManualOverride")</x:f>
        <x:v>DerivedFromCount</x:v>
      </x:c>
      <x:c r="U670" t="str">
        <x:f>IF(COUNTIF(DailyProduction!$Q$5:$Q$100,B670)=1,"OK","CHECK")</x:f>
        <x:v>OK</x:v>
      </x:c>
      <x:c r="V670" t="str">
        <x:f>IF(AND(I670&gt;=1,I670&lt;=13,K670&gt;=1,K670&lt;=3),"OK","CHECK")</x:f>
        <x:v>OK</x:v>
      </x:c>
      <x:c r="W670" t="str">
        <x:f>IF(SUMIF($B$5:$B$914,B670,$S$5:$S$914)=SUMIF(DailyProduction!$Q$5:$Q$100,B670,DailyProduction!$R$5:$R$100),"OK","CHECK")</x:f>
        <x:v>OK</x:v>
      </x:c>
    </x:row>
    <x:row r="671">
      <x:c r="A671" t="str">
        <x:v>PC-PE-KG01-L24-20251024-PM-ORD-2025-00125-S04</x:v>
      </x:c>
      <x:c r="B671" t="str">
        <x:v>PE-KG01-L24-20251024-PM-ORD-2025-00125</x:v>
      </x:c>
      <x:c r="C671" t="str">
        <x:v>KG01</x:v>
      </x:c>
      <x:c r="D671" t="n">
        <x:v>45954</x:v>
      </x:c>
      <x:c r="E671" t="str">
        <x:v>PM</x:v>
      </x:c>
      <x:c r="F671" t="str">
        <x:v>B</x:v>
      </x:c>
      <x:c r="G671" t="n">
        <x:v>24</x:v>
      </x:c>
      <x:c r="H671" t="str">
        <x:v>ORD-2025-00125</x:v>
      </x:c>
      <x:c r="I671" t="n">
        <x:v>4</x:v>
      </x:c>
      <x:c r="J671" t="n">
        <x:v>12</x:v>
      </x:c>
      <x:c r="K671" t="n">
        <x:v>3</x:v>
      </x:c>
      <x:c r="L671" t="n">
        <x:f>IF(I671&lt;=J671,1,0)</x:f>
        <x:v>1</x:v>
      </x:c>
      <x:c r="P671" t="n">
        <x:f>IF(M671="",IF(AND(L671=1,K671&gt;=1),1,0),M671)</x:f>
        <x:v>1</x:v>
      </x:c>
      <x:c r="Q671" t="n">
        <x:f>IF(N671="",IF(AND(L671=1,K671&gt;=2),1,0),N671)</x:f>
        <x:v>1</x:v>
      </x:c>
      <x:c r="R671" t="n">
        <x:f>IF(O671="",IF(AND(L671=1,K671&gt;=3),1,0),O671)</x:f>
        <x:v>1</x:v>
      </x:c>
      <x:c r="S671" t="n">
        <x:f>SUM(P671:R671)</x:f>
        <x:v>3</x:v>
      </x:c>
      <x:c r="T671" t="str">
        <x:f>IF(COUNTA(M671:O671)=0,"DerivedFromCount","ManualOverride")</x:f>
        <x:v>DerivedFromCount</x:v>
      </x:c>
      <x:c r="U671" t="str">
        <x:f>IF(COUNTIF(DailyProduction!$Q$5:$Q$100,B671)=1,"OK","CHECK")</x:f>
        <x:v>OK</x:v>
      </x:c>
      <x:c r="V671" t="str">
        <x:f>IF(AND(I671&gt;=1,I671&lt;=13,K671&gt;=1,K671&lt;=3),"OK","CHECK")</x:f>
        <x:v>OK</x:v>
      </x:c>
      <x:c r="W671" t="str">
        <x:f>IF(SUMIF($B$5:$B$914,B671,$S$5:$S$914)=SUMIF(DailyProduction!$Q$5:$Q$100,B671,DailyProduction!$R$5:$R$100),"OK","CHECK")</x:f>
        <x:v>OK</x:v>
      </x:c>
    </x:row>
    <x:row r="672">
      <x:c r="A672" t="str">
        <x:v>PC-PE-KG01-L24-20251024-PM-ORD-2025-00125-S05</x:v>
      </x:c>
      <x:c r="B672" t="str">
        <x:v>PE-KG01-L24-20251024-PM-ORD-2025-00125</x:v>
      </x:c>
      <x:c r="C672" t="str">
        <x:v>KG01</x:v>
      </x:c>
      <x:c r="D672" t="n">
        <x:v>45954</x:v>
      </x:c>
      <x:c r="E672" t="str">
        <x:v>PM</x:v>
      </x:c>
      <x:c r="F672" t="str">
        <x:v>B</x:v>
      </x:c>
      <x:c r="G672" t="n">
        <x:v>24</x:v>
      </x:c>
      <x:c r="H672" t="str">
        <x:v>ORD-2025-00125</x:v>
      </x:c>
      <x:c r="I672" t="n">
        <x:v>5</x:v>
      </x:c>
      <x:c r="J672" t="n">
        <x:v>12</x:v>
      </x:c>
      <x:c r="K672" t="n">
        <x:v>3</x:v>
      </x:c>
      <x:c r="L672" t="n">
        <x:f>IF(I672&lt;=J672,1,0)</x:f>
        <x:v>1</x:v>
      </x:c>
      <x:c r="P672" t="n">
        <x:f>IF(M672="",IF(AND(L672=1,K672&gt;=1),1,0),M672)</x:f>
        <x:v>1</x:v>
      </x:c>
      <x:c r="Q672" t="n">
        <x:f>IF(N672="",IF(AND(L672=1,K672&gt;=2),1,0),N672)</x:f>
        <x:v>1</x:v>
      </x:c>
      <x:c r="R672" t="n">
        <x:f>IF(O672="",IF(AND(L672=1,K672&gt;=3),1,0),O672)</x:f>
        <x:v>1</x:v>
      </x:c>
      <x:c r="S672" t="n">
        <x:f>SUM(P672:R672)</x:f>
        <x:v>3</x:v>
      </x:c>
      <x:c r="T672" t="str">
        <x:f>IF(COUNTA(M672:O672)=0,"DerivedFromCount","ManualOverride")</x:f>
        <x:v>DerivedFromCount</x:v>
      </x:c>
      <x:c r="U672" t="str">
        <x:f>IF(COUNTIF(DailyProduction!$Q$5:$Q$100,B672)=1,"OK","CHECK")</x:f>
        <x:v>OK</x:v>
      </x:c>
      <x:c r="V672" t="str">
        <x:f>IF(AND(I672&gt;=1,I672&lt;=13,K672&gt;=1,K672&lt;=3),"OK","CHECK")</x:f>
        <x:v>OK</x:v>
      </x:c>
      <x:c r="W672" t="str">
        <x:f>IF(SUMIF($B$5:$B$914,B672,$S$5:$S$914)=SUMIF(DailyProduction!$Q$5:$Q$100,B672,DailyProduction!$R$5:$R$100),"OK","CHECK")</x:f>
        <x:v>OK</x:v>
      </x:c>
    </x:row>
    <x:row r="673">
      <x:c r="A673" t="str">
        <x:v>PC-PE-KG01-L24-20251024-PM-ORD-2025-00125-S06</x:v>
      </x:c>
      <x:c r="B673" t="str">
        <x:v>PE-KG01-L24-20251024-PM-ORD-2025-00125</x:v>
      </x:c>
      <x:c r="C673" t="str">
        <x:v>KG01</x:v>
      </x:c>
      <x:c r="D673" t="n">
        <x:v>45954</x:v>
      </x:c>
      <x:c r="E673" t="str">
        <x:v>PM</x:v>
      </x:c>
      <x:c r="F673" t="str">
        <x:v>B</x:v>
      </x:c>
      <x:c r="G673" t="n">
        <x:v>24</x:v>
      </x:c>
      <x:c r="H673" t="str">
        <x:v>ORD-2025-00125</x:v>
      </x:c>
      <x:c r="I673" t="n">
        <x:v>6</x:v>
      </x:c>
      <x:c r="J673" t="n">
        <x:v>12</x:v>
      </x:c>
      <x:c r="K673" t="n">
        <x:v>3</x:v>
      </x:c>
      <x:c r="L673" t="n">
        <x:f>IF(I673&lt;=J673,1,0)</x:f>
        <x:v>1</x:v>
      </x:c>
      <x:c r="P673" t="n">
        <x:f>IF(M673="",IF(AND(L673=1,K673&gt;=1),1,0),M673)</x:f>
        <x:v>1</x:v>
      </x:c>
      <x:c r="Q673" t="n">
        <x:f>IF(N673="",IF(AND(L673=1,K673&gt;=2),1,0),N673)</x:f>
        <x:v>1</x:v>
      </x:c>
      <x:c r="R673" t="n">
        <x:f>IF(O673="",IF(AND(L673=1,K673&gt;=3),1,0),O673)</x:f>
        <x:v>1</x:v>
      </x:c>
      <x:c r="S673" t="n">
        <x:f>SUM(P673:R673)</x:f>
        <x:v>3</x:v>
      </x:c>
      <x:c r="T673" t="str">
        <x:f>IF(COUNTA(M673:O673)=0,"DerivedFromCount","ManualOverride")</x:f>
        <x:v>DerivedFromCount</x:v>
      </x:c>
      <x:c r="U673" t="str">
        <x:f>IF(COUNTIF(DailyProduction!$Q$5:$Q$100,B673)=1,"OK","CHECK")</x:f>
        <x:v>OK</x:v>
      </x:c>
      <x:c r="V673" t="str">
        <x:f>IF(AND(I673&gt;=1,I673&lt;=13,K673&gt;=1,K673&lt;=3),"OK","CHECK")</x:f>
        <x:v>OK</x:v>
      </x:c>
      <x:c r="W673" t="str">
        <x:f>IF(SUMIF($B$5:$B$914,B673,$S$5:$S$914)=SUMIF(DailyProduction!$Q$5:$Q$100,B673,DailyProduction!$R$5:$R$100),"OK","CHECK")</x:f>
        <x:v>OK</x:v>
      </x:c>
    </x:row>
    <x:row r="674">
      <x:c r="A674" t="str">
        <x:v>PC-PE-KG01-L24-20251024-PM-ORD-2025-00125-S07</x:v>
      </x:c>
      <x:c r="B674" t="str">
        <x:v>PE-KG01-L24-20251024-PM-ORD-2025-00125</x:v>
      </x:c>
      <x:c r="C674" t="str">
        <x:v>KG01</x:v>
      </x:c>
      <x:c r="D674" t="n">
        <x:v>45954</x:v>
      </x:c>
      <x:c r="E674" t="str">
        <x:v>PM</x:v>
      </x:c>
      <x:c r="F674" t="str">
        <x:v>B</x:v>
      </x:c>
      <x:c r="G674" t="n">
        <x:v>24</x:v>
      </x:c>
      <x:c r="H674" t="str">
        <x:v>ORD-2025-00125</x:v>
      </x:c>
      <x:c r="I674" t="n">
        <x:v>7</x:v>
      </x:c>
      <x:c r="J674" t="n">
        <x:v>12</x:v>
      </x:c>
      <x:c r="K674" t="n">
        <x:v>3</x:v>
      </x:c>
      <x:c r="L674" t="n">
        <x:f>IF(I674&lt;=J674,1,0)</x:f>
        <x:v>1</x:v>
      </x:c>
      <x:c r="P674" t="n">
        <x:f>IF(M674="",IF(AND(L674=1,K674&gt;=1),1,0),M674)</x:f>
        <x:v>1</x:v>
      </x:c>
      <x:c r="Q674" t="n">
        <x:f>IF(N674="",IF(AND(L674=1,K674&gt;=2),1,0),N674)</x:f>
        <x:v>1</x:v>
      </x:c>
      <x:c r="R674" t="n">
        <x:f>IF(O674="",IF(AND(L674=1,K674&gt;=3),1,0),O674)</x:f>
        <x:v>1</x:v>
      </x:c>
      <x:c r="S674" t="n">
        <x:f>SUM(P674:R674)</x:f>
        <x:v>3</x:v>
      </x:c>
      <x:c r="T674" t="str">
        <x:f>IF(COUNTA(M674:O674)=0,"DerivedFromCount","ManualOverride")</x:f>
        <x:v>DerivedFromCount</x:v>
      </x:c>
      <x:c r="U674" t="str">
        <x:f>IF(COUNTIF(DailyProduction!$Q$5:$Q$100,B674)=1,"OK","CHECK")</x:f>
        <x:v>OK</x:v>
      </x:c>
      <x:c r="V674" t="str">
        <x:f>IF(AND(I674&gt;=1,I674&lt;=13,K674&gt;=1,K674&lt;=3),"OK","CHECK")</x:f>
        <x:v>OK</x:v>
      </x:c>
      <x:c r="W674" t="str">
        <x:f>IF(SUMIF($B$5:$B$914,B674,$S$5:$S$914)=SUMIF(DailyProduction!$Q$5:$Q$100,B674,DailyProduction!$R$5:$R$100),"OK","CHECK")</x:f>
        <x:v>OK</x:v>
      </x:c>
    </x:row>
    <x:row r="675">
      <x:c r="A675" t="str">
        <x:v>PC-PE-KG01-L24-20251024-PM-ORD-2025-00125-S08</x:v>
      </x:c>
      <x:c r="B675" t="str">
        <x:v>PE-KG01-L24-20251024-PM-ORD-2025-00125</x:v>
      </x:c>
      <x:c r="C675" t="str">
        <x:v>KG01</x:v>
      </x:c>
      <x:c r="D675" t="n">
        <x:v>45954</x:v>
      </x:c>
      <x:c r="E675" t="str">
        <x:v>PM</x:v>
      </x:c>
      <x:c r="F675" t="str">
        <x:v>B</x:v>
      </x:c>
      <x:c r="G675" t="n">
        <x:v>24</x:v>
      </x:c>
      <x:c r="H675" t="str">
        <x:v>ORD-2025-00125</x:v>
      </x:c>
      <x:c r="I675" t="n">
        <x:v>8</x:v>
      </x:c>
      <x:c r="J675" t="n">
        <x:v>12</x:v>
      </x:c>
      <x:c r="K675" t="n">
        <x:v>3</x:v>
      </x:c>
      <x:c r="L675" t="n">
        <x:f>IF(I675&lt;=J675,1,0)</x:f>
        <x:v>1</x:v>
      </x:c>
      <x:c r="P675" t="n">
        <x:f>IF(M675="",IF(AND(L675=1,K675&gt;=1),1,0),M675)</x:f>
        <x:v>1</x:v>
      </x:c>
      <x:c r="Q675" t="n">
        <x:f>IF(N675="",IF(AND(L675=1,K675&gt;=2),1,0),N675)</x:f>
        <x:v>1</x:v>
      </x:c>
      <x:c r="R675" t="n">
        <x:f>IF(O675="",IF(AND(L675=1,K675&gt;=3),1,0),O675)</x:f>
        <x:v>1</x:v>
      </x:c>
      <x:c r="S675" t="n">
        <x:f>SUM(P675:R675)</x:f>
        <x:v>3</x:v>
      </x:c>
      <x:c r="T675" t="str">
        <x:f>IF(COUNTA(M675:O675)=0,"DerivedFromCount","ManualOverride")</x:f>
        <x:v>DerivedFromCount</x:v>
      </x:c>
      <x:c r="U675" t="str">
        <x:f>IF(COUNTIF(DailyProduction!$Q$5:$Q$100,B675)=1,"OK","CHECK")</x:f>
        <x:v>OK</x:v>
      </x:c>
      <x:c r="V675" t="str">
        <x:f>IF(AND(I675&gt;=1,I675&lt;=13,K675&gt;=1,K675&lt;=3),"OK","CHECK")</x:f>
        <x:v>OK</x:v>
      </x:c>
      <x:c r="W675" t="str">
        <x:f>IF(SUMIF($B$5:$B$914,B675,$S$5:$S$914)=SUMIF(DailyProduction!$Q$5:$Q$100,B675,DailyProduction!$R$5:$R$100),"OK","CHECK")</x:f>
        <x:v>OK</x:v>
      </x:c>
    </x:row>
    <x:row r="676">
      <x:c r="A676" t="str">
        <x:v>PC-PE-KG01-L24-20251024-PM-ORD-2025-00125-S09</x:v>
      </x:c>
      <x:c r="B676" t="str">
        <x:v>PE-KG01-L24-20251024-PM-ORD-2025-00125</x:v>
      </x:c>
      <x:c r="C676" t="str">
        <x:v>KG01</x:v>
      </x:c>
      <x:c r="D676" t="n">
        <x:v>45954</x:v>
      </x:c>
      <x:c r="E676" t="str">
        <x:v>PM</x:v>
      </x:c>
      <x:c r="F676" t="str">
        <x:v>B</x:v>
      </x:c>
      <x:c r="G676" t="n">
        <x:v>24</x:v>
      </x:c>
      <x:c r="H676" t="str">
        <x:v>ORD-2025-00125</x:v>
      </x:c>
      <x:c r="I676" t="n">
        <x:v>9</x:v>
      </x:c>
      <x:c r="J676" t="n">
        <x:v>12</x:v>
      </x:c>
      <x:c r="K676" t="n">
        <x:v>3</x:v>
      </x:c>
      <x:c r="L676" t="n">
        <x:f>IF(I676&lt;=J676,1,0)</x:f>
        <x:v>1</x:v>
      </x:c>
      <x:c r="P676" t="n">
        <x:f>IF(M676="",IF(AND(L676=1,K676&gt;=1),1,0),M676)</x:f>
        <x:v>1</x:v>
      </x:c>
      <x:c r="Q676" t="n">
        <x:f>IF(N676="",IF(AND(L676=1,K676&gt;=2),1,0),N676)</x:f>
        <x:v>1</x:v>
      </x:c>
      <x:c r="R676" t="n">
        <x:f>IF(O676="",IF(AND(L676=1,K676&gt;=3),1,0),O676)</x:f>
        <x:v>1</x:v>
      </x:c>
      <x:c r="S676" t="n">
        <x:f>SUM(P676:R676)</x:f>
        <x:v>3</x:v>
      </x:c>
      <x:c r="T676" t="str">
        <x:f>IF(COUNTA(M676:O676)=0,"DerivedFromCount","ManualOverride")</x:f>
        <x:v>DerivedFromCount</x:v>
      </x:c>
      <x:c r="U676" t="str">
        <x:f>IF(COUNTIF(DailyProduction!$Q$5:$Q$100,B676)=1,"OK","CHECK")</x:f>
        <x:v>OK</x:v>
      </x:c>
      <x:c r="V676" t="str">
        <x:f>IF(AND(I676&gt;=1,I676&lt;=13,K676&gt;=1,K676&lt;=3),"OK","CHECK")</x:f>
        <x:v>OK</x:v>
      </x:c>
      <x:c r="W676" t="str">
        <x:f>IF(SUMIF($B$5:$B$914,B676,$S$5:$S$914)=SUMIF(DailyProduction!$Q$5:$Q$100,B676,DailyProduction!$R$5:$R$100),"OK","CHECK")</x:f>
        <x:v>OK</x:v>
      </x:c>
    </x:row>
    <x:row r="677">
      <x:c r="A677" t="str">
        <x:v>PC-PE-KG01-L24-20251024-PM-ORD-2025-00125-S10</x:v>
      </x:c>
      <x:c r="B677" t="str">
        <x:v>PE-KG01-L24-20251024-PM-ORD-2025-00125</x:v>
      </x:c>
      <x:c r="C677" t="str">
        <x:v>KG01</x:v>
      </x:c>
      <x:c r="D677" t="n">
        <x:v>45954</x:v>
      </x:c>
      <x:c r="E677" t="str">
        <x:v>PM</x:v>
      </x:c>
      <x:c r="F677" t="str">
        <x:v>B</x:v>
      </x:c>
      <x:c r="G677" t="n">
        <x:v>24</x:v>
      </x:c>
      <x:c r="H677" t="str">
        <x:v>ORD-2025-00125</x:v>
      </x:c>
      <x:c r="I677" t="n">
        <x:v>10</x:v>
      </x:c>
      <x:c r="J677" t="n">
        <x:v>12</x:v>
      </x:c>
      <x:c r="K677" t="n">
        <x:v>3</x:v>
      </x:c>
      <x:c r="L677" t="n">
        <x:f>IF(I677&lt;=J677,1,0)</x:f>
        <x:v>1</x:v>
      </x:c>
      <x:c r="P677" t="n">
        <x:f>IF(M677="",IF(AND(L677=1,K677&gt;=1),1,0),M677)</x:f>
        <x:v>1</x:v>
      </x:c>
      <x:c r="Q677" t="n">
        <x:f>IF(N677="",IF(AND(L677=1,K677&gt;=2),1,0),N677)</x:f>
        <x:v>1</x:v>
      </x:c>
      <x:c r="R677" t="n">
        <x:f>IF(O677="",IF(AND(L677=1,K677&gt;=3),1,0),O677)</x:f>
        <x:v>1</x:v>
      </x:c>
      <x:c r="S677" t="n">
        <x:f>SUM(P677:R677)</x:f>
        <x:v>3</x:v>
      </x:c>
      <x:c r="T677" t="str">
        <x:f>IF(COUNTA(M677:O677)=0,"DerivedFromCount","ManualOverride")</x:f>
        <x:v>DerivedFromCount</x:v>
      </x:c>
      <x:c r="U677" t="str">
        <x:f>IF(COUNTIF(DailyProduction!$Q$5:$Q$100,B677)=1,"OK","CHECK")</x:f>
        <x:v>OK</x:v>
      </x:c>
      <x:c r="V677" t="str">
        <x:f>IF(AND(I677&gt;=1,I677&lt;=13,K677&gt;=1,K677&lt;=3),"OK","CHECK")</x:f>
        <x:v>OK</x:v>
      </x:c>
      <x:c r="W677" t="str">
        <x:f>IF(SUMIF($B$5:$B$914,B677,$S$5:$S$914)=SUMIF(DailyProduction!$Q$5:$Q$100,B677,DailyProduction!$R$5:$R$100),"OK","CHECK")</x:f>
        <x:v>OK</x:v>
      </x:c>
    </x:row>
    <x:row r="678">
      <x:c r="A678" t="str">
        <x:v>PC-PE-KG01-L24-20251024-PM-ORD-2025-00125-S11</x:v>
      </x:c>
      <x:c r="B678" t="str">
        <x:v>PE-KG01-L24-20251024-PM-ORD-2025-00125</x:v>
      </x:c>
      <x:c r="C678" t="str">
        <x:v>KG01</x:v>
      </x:c>
      <x:c r="D678" t="n">
        <x:v>45954</x:v>
      </x:c>
      <x:c r="E678" t="str">
        <x:v>PM</x:v>
      </x:c>
      <x:c r="F678" t="str">
        <x:v>B</x:v>
      </x:c>
      <x:c r="G678" t="n">
        <x:v>24</x:v>
      </x:c>
      <x:c r="H678" t="str">
        <x:v>ORD-2025-00125</x:v>
      </x:c>
      <x:c r="I678" t="n">
        <x:v>11</x:v>
      </x:c>
      <x:c r="J678" t="n">
        <x:v>12</x:v>
      </x:c>
      <x:c r="K678" t="n">
        <x:v>3</x:v>
      </x:c>
      <x:c r="L678" t="n">
        <x:f>IF(I678&lt;=J678,1,0)</x:f>
        <x:v>1</x:v>
      </x:c>
      <x:c r="P678" t="n">
        <x:f>IF(M678="",IF(AND(L678=1,K678&gt;=1),1,0),M678)</x:f>
        <x:v>1</x:v>
      </x:c>
      <x:c r="Q678" t="n">
        <x:f>IF(N678="",IF(AND(L678=1,K678&gt;=2),1,0),N678)</x:f>
        <x:v>1</x:v>
      </x:c>
      <x:c r="R678" t="n">
        <x:f>IF(O678="",IF(AND(L678=1,K678&gt;=3),1,0),O678)</x:f>
        <x:v>1</x:v>
      </x:c>
      <x:c r="S678" t="n">
        <x:f>SUM(P678:R678)</x:f>
        <x:v>3</x:v>
      </x:c>
      <x:c r="T678" t="str">
        <x:f>IF(COUNTA(M678:O678)=0,"DerivedFromCount","ManualOverride")</x:f>
        <x:v>DerivedFromCount</x:v>
      </x:c>
      <x:c r="U678" t="str">
        <x:f>IF(COUNTIF(DailyProduction!$Q$5:$Q$100,B678)=1,"OK","CHECK")</x:f>
        <x:v>OK</x:v>
      </x:c>
      <x:c r="V678" t="str">
        <x:f>IF(AND(I678&gt;=1,I678&lt;=13,K678&gt;=1,K678&lt;=3),"OK","CHECK")</x:f>
        <x:v>OK</x:v>
      </x:c>
      <x:c r="W678" t="str">
        <x:f>IF(SUMIF($B$5:$B$914,B678,$S$5:$S$914)=SUMIF(DailyProduction!$Q$5:$Q$100,B678,DailyProduction!$R$5:$R$100),"OK","CHECK")</x:f>
        <x:v>OK</x:v>
      </x:c>
    </x:row>
    <x:row r="679">
      <x:c r="A679" t="str">
        <x:v>PC-PE-KG01-L24-20251024-PM-ORD-2025-00125-S12</x:v>
      </x:c>
      <x:c r="B679" t="str">
        <x:v>PE-KG01-L24-20251024-PM-ORD-2025-00125</x:v>
      </x:c>
      <x:c r="C679" t="str">
        <x:v>KG01</x:v>
      </x:c>
      <x:c r="D679" t="n">
        <x:v>45954</x:v>
      </x:c>
      <x:c r="E679" t="str">
        <x:v>PM</x:v>
      </x:c>
      <x:c r="F679" t="str">
        <x:v>B</x:v>
      </x:c>
      <x:c r="G679" t="n">
        <x:v>24</x:v>
      </x:c>
      <x:c r="H679" t="str">
        <x:v>ORD-2025-00125</x:v>
      </x:c>
      <x:c r="I679" t="n">
        <x:v>12</x:v>
      </x:c>
      <x:c r="J679" t="n">
        <x:v>12</x:v>
      </x:c>
      <x:c r="K679" t="n">
        <x:v>3</x:v>
      </x:c>
      <x:c r="L679" t="n">
        <x:f>IF(I679&lt;=J679,1,0)</x:f>
        <x:v>1</x:v>
      </x:c>
      <x:c r="P679" t="n">
        <x:f>IF(M679="",IF(AND(L679=1,K679&gt;=1),1,0),M679)</x:f>
        <x:v>1</x:v>
      </x:c>
      <x:c r="Q679" t="n">
        <x:f>IF(N679="",IF(AND(L679=1,K679&gt;=2),1,0),N679)</x:f>
        <x:v>1</x:v>
      </x:c>
      <x:c r="R679" t="n">
        <x:f>IF(O679="",IF(AND(L679=1,K679&gt;=3),1,0),O679)</x:f>
        <x:v>1</x:v>
      </x:c>
      <x:c r="S679" t="n">
        <x:f>SUM(P679:R679)</x:f>
        <x:v>3</x:v>
      </x:c>
      <x:c r="T679" t="str">
        <x:f>IF(COUNTA(M679:O679)=0,"DerivedFromCount","ManualOverride")</x:f>
        <x:v>DerivedFromCount</x:v>
      </x:c>
      <x:c r="U679" t="str">
        <x:f>IF(COUNTIF(DailyProduction!$Q$5:$Q$100,B679)=1,"OK","CHECK")</x:f>
        <x:v>OK</x:v>
      </x:c>
      <x:c r="V679" t="str">
        <x:f>IF(AND(I679&gt;=1,I679&lt;=13,K679&gt;=1,K679&lt;=3),"OK","CHECK")</x:f>
        <x:v>OK</x:v>
      </x:c>
      <x:c r="W679" t="str">
        <x:f>IF(SUMIF($B$5:$B$914,B679,$S$5:$S$914)=SUMIF(DailyProduction!$Q$5:$Q$100,B679,DailyProduction!$R$5:$R$100),"OK","CHECK")</x:f>
        <x:v>OK</x:v>
      </x:c>
    </x:row>
    <x:row r="680">
      <x:c r="A680" t="str">
        <x:v>PC-PE-KG01-L24-20251024-PM-ORD-2025-00125-S13</x:v>
      </x:c>
      <x:c r="B680" t="str">
        <x:v>PE-KG01-L24-20251024-PM-ORD-2025-00125</x:v>
      </x:c>
      <x:c r="C680" t="str">
        <x:v>KG01</x:v>
      </x:c>
      <x:c r="D680" t="n">
        <x:v>45954</x:v>
      </x:c>
      <x:c r="E680" t="str">
        <x:v>PM</x:v>
      </x:c>
      <x:c r="F680" t="str">
        <x:v>B</x:v>
      </x:c>
      <x:c r="G680" t="n">
        <x:v>24</x:v>
      </x:c>
      <x:c r="H680" t="str">
        <x:v>ORD-2025-00125</x:v>
      </x:c>
      <x:c r="I680" t="n">
        <x:v>13</x:v>
      </x:c>
      <x:c r="J680" t="n">
        <x:v>12</x:v>
      </x:c>
      <x:c r="K680" t="n">
        <x:v>3</x:v>
      </x:c>
      <x:c r="L680" t="n">
        <x:f>IF(I680&lt;=J680,1,0)</x:f>
        <x:v>0</x:v>
      </x:c>
      <x:c r="P680" t="n">
        <x:f>IF(M680="",IF(AND(L680=1,K680&gt;=1),1,0),M680)</x:f>
        <x:v>0</x:v>
      </x:c>
      <x:c r="Q680" t="n">
        <x:f>IF(N680="",IF(AND(L680=1,K680&gt;=2),1,0),N680)</x:f>
        <x:v>0</x:v>
      </x:c>
      <x:c r="R680" t="n">
        <x:f>IF(O680="",IF(AND(L680=1,K680&gt;=3),1,0),O680)</x:f>
        <x:v>0</x:v>
      </x:c>
      <x:c r="S680" t="n">
        <x:f>SUM(P680:R680)</x:f>
        <x:v>0</x:v>
      </x:c>
      <x:c r="T680" t="str">
        <x:f>IF(COUNTA(M680:O680)=0,"DerivedFromCount","ManualOverride")</x:f>
        <x:v>DerivedFromCount</x:v>
      </x:c>
      <x:c r="U680" t="str">
        <x:f>IF(COUNTIF(DailyProduction!$Q$5:$Q$100,B680)=1,"OK","CHECK")</x:f>
        <x:v>OK</x:v>
      </x:c>
      <x:c r="V680" t="str">
        <x:f>IF(AND(I680&gt;=1,I680&lt;=13,K680&gt;=1,K680&lt;=3),"OK","CHECK")</x:f>
        <x:v>OK</x:v>
      </x:c>
      <x:c r="W680" t="str">
        <x:f>IF(SUMIF($B$5:$B$914,B680,$S$5:$S$914)=SUMIF(DailyProduction!$Q$5:$Q$100,B680,DailyProduction!$R$5:$R$100),"OK","CHECK")</x:f>
        <x:v>OK</x:v>
      </x:c>
    </x:row>
    <x:row r="681">
      <x:c r="A681" t="str">
        <x:v>PC-PE-KG01-L24-20251025-AM-ORD-2025-00126-S01</x:v>
      </x:c>
      <x:c r="B681" t="str">
        <x:v>PE-KG01-L24-20251025-AM-ORD-2025-00126</x:v>
      </x:c>
      <x:c r="C681" t="str">
        <x:v>KG01</x:v>
      </x:c>
      <x:c r="D681" t="n">
        <x:v>45955</x:v>
      </x:c>
      <x:c r="E681" t="str">
        <x:v>AM</x:v>
      </x:c>
      <x:c r="F681" t="str">
        <x:v>B</x:v>
      </x:c>
      <x:c r="G681" t="n">
        <x:v>24</x:v>
      </x:c>
      <x:c r="H681" t="str">
        <x:v>ORD-2025-00126</x:v>
      </x:c>
      <x:c r="I681" t="n">
        <x:v>1</x:v>
      </x:c>
      <x:c r="J681" t="n">
        <x:v>12</x:v>
      </x:c>
      <x:c r="K681" t="n">
        <x:v>2</x:v>
      </x:c>
      <x:c r="L681" t="n">
        <x:f>IF(I681&lt;=J681,1,0)</x:f>
        <x:v>1</x:v>
      </x:c>
      <x:c r="P681" t="n">
        <x:f>IF(M681="",IF(AND(L681=1,K681&gt;=1),1,0),M681)</x:f>
        <x:v>1</x:v>
      </x:c>
      <x:c r="Q681" t="n">
        <x:f>IF(N681="",IF(AND(L681=1,K681&gt;=2),1,0),N681)</x:f>
        <x:v>1</x:v>
      </x:c>
      <x:c r="R681" t="n">
        <x:f>IF(O681="",IF(AND(L681=1,K681&gt;=3),1,0),O681)</x:f>
        <x:v>0</x:v>
      </x:c>
      <x:c r="S681" t="n">
        <x:f>SUM(P681:R681)</x:f>
        <x:v>2</x:v>
      </x:c>
      <x:c r="T681" t="str">
        <x:f>IF(COUNTA(M681:O681)=0,"DerivedFromCount","ManualOverride")</x:f>
        <x:v>DerivedFromCount</x:v>
      </x:c>
      <x:c r="U681" t="str">
        <x:f>IF(COUNTIF(DailyProduction!$Q$5:$Q$100,B681)=1,"OK","CHECK")</x:f>
        <x:v>OK</x:v>
      </x:c>
      <x:c r="V681" t="str">
        <x:f>IF(AND(I681&gt;=1,I681&lt;=13,K681&gt;=1,K681&lt;=3),"OK","CHECK")</x:f>
        <x:v>OK</x:v>
      </x:c>
      <x:c r="W681" t="str">
        <x:f>IF(SUMIF($B$5:$B$914,B681,$S$5:$S$914)=SUMIF(DailyProduction!$Q$5:$Q$100,B681,DailyProduction!$R$5:$R$100),"OK","CHECK")</x:f>
        <x:v>OK</x:v>
      </x:c>
    </x:row>
    <x:row r="682">
      <x:c r="A682" t="str">
        <x:v>PC-PE-KG01-L24-20251025-AM-ORD-2025-00126-S02</x:v>
      </x:c>
      <x:c r="B682" t="str">
        <x:v>PE-KG01-L24-20251025-AM-ORD-2025-00126</x:v>
      </x:c>
      <x:c r="C682" t="str">
        <x:v>KG01</x:v>
      </x:c>
      <x:c r="D682" t="n">
        <x:v>45955</x:v>
      </x:c>
      <x:c r="E682" t="str">
        <x:v>AM</x:v>
      </x:c>
      <x:c r="F682" t="str">
        <x:v>B</x:v>
      </x:c>
      <x:c r="G682" t="n">
        <x:v>24</x:v>
      </x:c>
      <x:c r="H682" t="str">
        <x:v>ORD-2025-00126</x:v>
      </x:c>
      <x:c r="I682" t="n">
        <x:v>2</x:v>
      </x:c>
      <x:c r="J682" t="n">
        <x:v>12</x:v>
      </x:c>
      <x:c r="K682" t="n">
        <x:v>2</x:v>
      </x:c>
      <x:c r="L682" t="n">
        <x:f>IF(I682&lt;=J682,1,0)</x:f>
        <x:v>1</x:v>
      </x:c>
      <x:c r="P682" t="n">
        <x:f>IF(M682="",IF(AND(L682=1,K682&gt;=1),1,0),M682)</x:f>
        <x:v>1</x:v>
      </x:c>
      <x:c r="Q682" t="n">
        <x:f>IF(N682="",IF(AND(L682=1,K682&gt;=2),1,0),N682)</x:f>
        <x:v>1</x:v>
      </x:c>
      <x:c r="R682" t="n">
        <x:f>IF(O682="",IF(AND(L682=1,K682&gt;=3),1,0),O682)</x:f>
        <x:v>0</x:v>
      </x:c>
      <x:c r="S682" t="n">
        <x:f>SUM(P682:R682)</x:f>
        <x:v>2</x:v>
      </x:c>
      <x:c r="T682" t="str">
        <x:f>IF(COUNTA(M682:O682)=0,"DerivedFromCount","ManualOverride")</x:f>
        <x:v>DerivedFromCount</x:v>
      </x:c>
      <x:c r="U682" t="str">
        <x:f>IF(COUNTIF(DailyProduction!$Q$5:$Q$100,B682)=1,"OK","CHECK")</x:f>
        <x:v>OK</x:v>
      </x:c>
      <x:c r="V682" t="str">
        <x:f>IF(AND(I682&gt;=1,I682&lt;=13,K682&gt;=1,K682&lt;=3),"OK","CHECK")</x:f>
        <x:v>OK</x:v>
      </x:c>
      <x:c r="W682" t="str">
        <x:f>IF(SUMIF($B$5:$B$914,B682,$S$5:$S$914)=SUMIF(DailyProduction!$Q$5:$Q$100,B682,DailyProduction!$R$5:$R$100),"OK","CHECK")</x:f>
        <x:v>OK</x:v>
      </x:c>
    </x:row>
    <x:row r="683">
      <x:c r="A683" t="str">
        <x:v>PC-PE-KG01-L24-20251025-AM-ORD-2025-00126-S03</x:v>
      </x:c>
      <x:c r="B683" t="str">
        <x:v>PE-KG01-L24-20251025-AM-ORD-2025-00126</x:v>
      </x:c>
      <x:c r="C683" t="str">
        <x:v>KG01</x:v>
      </x:c>
      <x:c r="D683" t="n">
        <x:v>45955</x:v>
      </x:c>
      <x:c r="E683" t="str">
        <x:v>AM</x:v>
      </x:c>
      <x:c r="F683" t="str">
        <x:v>B</x:v>
      </x:c>
      <x:c r="G683" t="n">
        <x:v>24</x:v>
      </x:c>
      <x:c r="H683" t="str">
        <x:v>ORD-2025-00126</x:v>
      </x:c>
      <x:c r="I683" t="n">
        <x:v>3</x:v>
      </x:c>
      <x:c r="J683" t="n">
        <x:v>12</x:v>
      </x:c>
      <x:c r="K683" t="n">
        <x:v>2</x:v>
      </x:c>
      <x:c r="L683" t="n">
        <x:f>IF(I683&lt;=J683,1,0)</x:f>
        <x:v>1</x:v>
      </x:c>
      <x:c r="P683" t="n">
        <x:f>IF(M683="",IF(AND(L683=1,K683&gt;=1),1,0),M683)</x:f>
        <x:v>1</x:v>
      </x:c>
      <x:c r="Q683" t="n">
        <x:f>IF(N683="",IF(AND(L683=1,K683&gt;=2),1,0),N683)</x:f>
        <x:v>1</x:v>
      </x:c>
      <x:c r="R683" t="n">
        <x:f>IF(O683="",IF(AND(L683=1,K683&gt;=3),1,0),O683)</x:f>
        <x:v>0</x:v>
      </x:c>
      <x:c r="S683" t="n">
        <x:f>SUM(P683:R683)</x:f>
        <x:v>2</x:v>
      </x:c>
      <x:c r="T683" t="str">
        <x:f>IF(COUNTA(M683:O683)=0,"DerivedFromCount","ManualOverride")</x:f>
        <x:v>DerivedFromCount</x:v>
      </x:c>
      <x:c r="U683" t="str">
        <x:f>IF(COUNTIF(DailyProduction!$Q$5:$Q$100,B683)=1,"OK","CHECK")</x:f>
        <x:v>OK</x:v>
      </x:c>
      <x:c r="V683" t="str">
        <x:f>IF(AND(I683&gt;=1,I683&lt;=13,K683&gt;=1,K683&lt;=3),"OK","CHECK")</x:f>
        <x:v>OK</x:v>
      </x:c>
      <x:c r="W683" t="str">
        <x:f>IF(SUMIF($B$5:$B$914,B683,$S$5:$S$914)=SUMIF(DailyProduction!$Q$5:$Q$100,B683,DailyProduction!$R$5:$R$100),"OK","CHECK")</x:f>
        <x:v>OK</x:v>
      </x:c>
    </x:row>
    <x:row r="684">
      <x:c r="A684" t="str">
        <x:v>PC-PE-KG01-L24-20251025-AM-ORD-2025-00126-S04</x:v>
      </x:c>
      <x:c r="B684" t="str">
        <x:v>PE-KG01-L24-20251025-AM-ORD-2025-00126</x:v>
      </x:c>
      <x:c r="C684" t="str">
        <x:v>KG01</x:v>
      </x:c>
      <x:c r="D684" t="n">
        <x:v>45955</x:v>
      </x:c>
      <x:c r="E684" t="str">
        <x:v>AM</x:v>
      </x:c>
      <x:c r="F684" t="str">
        <x:v>B</x:v>
      </x:c>
      <x:c r="G684" t="n">
        <x:v>24</x:v>
      </x:c>
      <x:c r="H684" t="str">
        <x:v>ORD-2025-00126</x:v>
      </x:c>
      <x:c r="I684" t="n">
        <x:v>4</x:v>
      </x:c>
      <x:c r="J684" t="n">
        <x:v>12</x:v>
      </x:c>
      <x:c r="K684" t="n">
        <x:v>2</x:v>
      </x:c>
      <x:c r="L684" t="n">
        <x:f>IF(I684&lt;=J684,1,0)</x:f>
        <x:v>1</x:v>
      </x:c>
      <x:c r="P684" t="n">
        <x:f>IF(M684="",IF(AND(L684=1,K684&gt;=1),1,0),M684)</x:f>
        <x:v>1</x:v>
      </x:c>
      <x:c r="Q684" t="n">
        <x:f>IF(N684="",IF(AND(L684=1,K684&gt;=2),1,0),N684)</x:f>
        <x:v>1</x:v>
      </x:c>
      <x:c r="R684" t="n">
        <x:f>IF(O684="",IF(AND(L684=1,K684&gt;=3),1,0),O684)</x:f>
        <x:v>0</x:v>
      </x:c>
      <x:c r="S684" t="n">
        <x:f>SUM(P684:R684)</x:f>
        <x:v>2</x:v>
      </x:c>
      <x:c r="T684" t="str">
        <x:f>IF(COUNTA(M684:O684)=0,"DerivedFromCount","ManualOverride")</x:f>
        <x:v>DerivedFromCount</x:v>
      </x:c>
      <x:c r="U684" t="str">
        <x:f>IF(COUNTIF(DailyProduction!$Q$5:$Q$100,B684)=1,"OK","CHECK")</x:f>
        <x:v>OK</x:v>
      </x:c>
      <x:c r="V684" t="str">
        <x:f>IF(AND(I684&gt;=1,I684&lt;=13,K684&gt;=1,K684&lt;=3),"OK","CHECK")</x:f>
        <x:v>OK</x:v>
      </x:c>
      <x:c r="W684" t="str">
        <x:f>IF(SUMIF($B$5:$B$914,B684,$S$5:$S$914)=SUMIF(DailyProduction!$Q$5:$Q$100,B684,DailyProduction!$R$5:$R$100),"OK","CHECK")</x:f>
        <x:v>OK</x:v>
      </x:c>
    </x:row>
    <x:row r="685">
      <x:c r="A685" t="str">
        <x:v>PC-PE-KG01-L24-20251025-AM-ORD-2025-00126-S05</x:v>
      </x:c>
      <x:c r="B685" t="str">
        <x:v>PE-KG01-L24-20251025-AM-ORD-2025-00126</x:v>
      </x:c>
      <x:c r="C685" t="str">
        <x:v>KG01</x:v>
      </x:c>
      <x:c r="D685" t="n">
        <x:v>45955</x:v>
      </x:c>
      <x:c r="E685" t="str">
        <x:v>AM</x:v>
      </x:c>
      <x:c r="F685" t="str">
        <x:v>B</x:v>
      </x:c>
      <x:c r="G685" t="n">
        <x:v>24</x:v>
      </x:c>
      <x:c r="H685" t="str">
        <x:v>ORD-2025-00126</x:v>
      </x:c>
      <x:c r="I685" t="n">
        <x:v>5</x:v>
      </x:c>
      <x:c r="J685" t="n">
        <x:v>12</x:v>
      </x:c>
      <x:c r="K685" t="n">
        <x:v>2</x:v>
      </x:c>
      <x:c r="L685" t="n">
        <x:f>IF(I685&lt;=J685,1,0)</x:f>
        <x:v>1</x:v>
      </x:c>
      <x:c r="P685" t="n">
        <x:f>IF(M685="",IF(AND(L685=1,K685&gt;=1),1,0),M685)</x:f>
        <x:v>1</x:v>
      </x:c>
      <x:c r="Q685" t="n">
        <x:f>IF(N685="",IF(AND(L685=1,K685&gt;=2),1,0),N685)</x:f>
        <x:v>1</x:v>
      </x:c>
      <x:c r="R685" t="n">
        <x:f>IF(O685="",IF(AND(L685=1,K685&gt;=3),1,0),O685)</x:f>
        <x:v>0</x:v>
      </x:c>
      <x:c r="S685" t="n">
        <x:f>SUM(P685:R685)</x:f>
        <x:v>2</x:v>
      </x:c>
      <x:c r="T685" t="str">
        <x:f>IF(COUNTA(M685:O685)=0,"DerivedFromCount","ManualOverride")</x:f>
        <x:v>DerivedFromCount</x:v>
      </x:c>
      <x:c r="U685" t="str">
        <x:f>IF(COUNTIF(DailyProduction!$Q$5:$Q$100,B685)=1,"OK","CHECK")</x:f>
        <x:v>OK</x:v>
      </x:c>
      <x:c r="V685" t="str">
        <x:f>IF(AND(I685&gt;=1,I685&lt;=13,K685&gt;=1,K685&lt;=3),"OK","CHECK")</x:f>
        <x:v>OK</x:v>
      </x:c>
      <x:c r="W685" t="str">
        <x:f>IF(SUMIF($B$5:$B$914,B685,$S$5:$S$914)=SUMIF(DailyProduction!$Q$5:$Q$100,B685,DailyProduction!$R$5:$R$100),"OK","CHECK")</x:f>
        <x:v>OK</x:v>
      </x:c>
    </x:row>
    <x:row r="686">
      <x:c r="A686" t="str">
        <x:v>PC-PE-KG01-L24-20251025-AM-ORD-2025-00126-S06</x:v>
      </x:c>
      <x:c r="B686" t="str">
        <x:v>PE-KG01-L24-20251025-AM-ORD-2025-00126</x:v>
      </x:c>
      <x:c r="C686" t="str">
        <x:v>KG01</x:v>
      </x:c>
      <x:c r="D686" t="n">
        <x:v>45955</x:v>
      </x:c>
      <x:c r="E686" t="str">
        <x:v>AM</x:v>
      </x:c>
      <x:c r="F686" t="str">
        <x:v>B</x:v>
      </x:c>
      <x:c r="G686" t="n">
        <x:v>24</x:v>
      </x:c>
      <x:c r="H686" t="str">
        <x:v>ORD-2025-00126</x:v>
      </x:c>
      <x:c r="I686" t="n">
        <x:v>6</x:v>
      </x:c>
      <x:c r="J686" t="n">
        <x:v>12</x:v>
      </x:c>
      <x:c r="K686" t="n">
        <x:v>2</x:v>
      </x:c>
      <x:c r="L686" t="n">
        <x:f>IF(I686&lt;=J686,1,0)</x:f>
        <x:v>1</x:v>
      </x:c>
      <x:c r="P686" t="n">
        <x:f>IF(M686="",IF(AND(L686=1,K686&gt;=1),1,0),M686)</x:f>
        <x:v>1</x:v>
      </x:c>
      <x:c r="Q686" t="n">
        <x:f>IF(N686="",IF(AND(L686=1,K686&gt;=2),1,0),N686)</x:f>
        <x:v>1</x:v>
      </x:c>
      <x:c r="R686" t="n">
        <x:f>IF(O686="",IF(AND(L686=1,K686&gt;=3),1,0),O686)</x:f>
        <x:v>0</x:v>
      </x:c>
      <x:c r="S686" t="n">
        <x:f>SUM(P686:R686)</x:f>
        <x:v>2</x:v>
      </x:c>
      <x:c r="T686" t="str">
        <x:f>IF(COUNTA(M686:O686)=0,"DerivedFromCount","ManualOverride")</x:f>
        <x:v>DerivedFromCount</x:v>
      </x:c>
      <x:c r="U686" t="str">
        <x:f>IF(COUNTIF(DailyProduction!$Q$5:$Q$100,B686)=1,"OK","CHECK")</x:f>
        <x:v>OK</x:v>
      </x:c>
      <x:c r="V686" t="str">
        <x:f>IF(AND(I686&gt;=1,I686&lt;=13,K686&gt;=1,K686&lt;=3),"OK","CHECK")</x:f>
        <x:v>OK</x:v>
      </x:c>
      <x:c r="W686" t="str">
        <x:f>IF(SUMIF($B$5:$B$914,B686,$S$5:$S$914)=SUMIF(DailyProduction!$Q$5:$Q$100,B686,DailyProduction!$R$5:$R$100),"OK","CHECK")</x:f>
        <x:v>OK</x:v>
      </x:c>
    </x:row>
    <x:row r="687">
      <x:c r="A687" t="str">
        <x:v>PC-PE-KG01-L24-20251025-AM-ORD-2025-00126-S07</x:v>
      </x:c>
      <x:c r="B687" t="str">
        <x:v>PE-KG01-L24-20251025-AM-ORD-2025-00126</x:v>
      </x:c>
      <x:c r="C687" t="str">
        <x:v>KG01</x:v>
      </x:c>
      <x:c r="D687" t="n">
        <x:v>45955</x:v>
      </x:c>
      <x:c r="E687" t="str">
        <x:v>AM</x:v>
      </x:c>
      <x:c r="F687" t="str">
        <x:v>B</x:v>
      </x:c>
      <x:c r="G687" t="n">
        <x:v>24</x:v>
      </x:c>
      <x:c r="H687" t="str">
        <x:v>ORD-2025-00126</x:v>
      </x:c>
      <x:c r="I687" t="n">
        <x:v>7</x:v>
      </x:c>
      <x:c r="J687" t="n">
        <x:v>12</x:v>
      </x:c>
      <x:c r="K687" t="n">
        <x:v>2</x:v>
      </x:c>
      <x:c r="L687" t="n">
        <x:f>IF(I687&lt;=J687,1,0)</x:f>
        <x:v>1</x:v>
      </x:c>
      <x:c r="P687" t="n">
        <x:f>IF(M687="",IF(AND(L687=1,K687&gt;=1),1,0),M687)</x:f>
        <x:v>1</x:v>
      </x:c>
      <x:c r="Q687" t="n">
        <x:f>IF(N687="",IF(AND(L687=1,K687&gt;=2),1,0),N687)</x:f>
        <x:v>1</x:v>
      </x:c>
      <x:c r="R687" t="n">
        <x:f>IF(O687="",IF(AND(L687=1,K687&gt;=3),1,0),O687)</x:f>
        <x:v>0</x:v>
      </x:c>
      <x:c r="S687" t="n">
        <x:f>SUM(P687:R687)</x:f>
        <x:v>2</x:v>
      </x:c>
      <x:c r="T687" t="str">
        <x:f>IF(COUNTA(M687:O687)=0,"DerivedFromCount","ManualOverride")</x:f>
        <x:v>DerivedFromCount</x:v>
      </x:c>
      <x:c r="U687" t="str">
        <x:f>IF(COUNTIF(DailyProduction!$Q$5:$Q$100,B687)=1,"OK","CHECK")</x:f>
        <x:v>OK</x:v>
      </x:c>
      <x:c r="V687" t="str">
        <x:f>IF(AND(I687&gt;=1,I687&lt;=13,K687&gt;=1,K687&lt;=3),"OK","CHECK")</x:f>
        <x:v>OK</x:v>
      </x:c>
      <x:c r="W687" t="str">
        <x:f>IF(SUMIF($B$5:$B$914,B687,$S$5:$S$914)=SUMIF(DailyProduction!$Q$5:$Q$100,B687,DailyProduction!$R$5:$R$100),"OK","CHECK")</x:f>
        <x:v>OK</x:v>
      </x:c>
    </x:row>
    <x:row r="688">
      <x:c r="A688" t="str">
        <x:v>PC-PE-KG01-L24-20251025-AM-ORD-2025-00126-S08</x:v>
      </x:c>
      <x:c r="B688" t="str">
        <x:v>PE-KG01-L24-20251025-AM-ORD-2025-00126</x:v>
      </x:c>
      <x:c r="C688" t="str">
        <x:v>KG01</x:v>
      </x:c>
      <x:c r="D688" t="n">
        <x:v>45955</x:v>
      </x:c>
      <x:c r="E688" t="str">
        <x:v>AM</x:v>
      </x:c>
      <x:c r="F688" t="str">
        <x:v>B</x:v>
      </x:c>
      <x:c r="G688" t="n">
        <x:v>24</x:v>
      </x:c>
      <x:c r="H688" t="str">
        <x:v>ORD-2025-00126</x:v>
      </x:c>
      <x:c r="I688" t="n">
        <x:v>8</x:v>
      </x:c>
      <x:c r="J688" t="n">
        <x:v>12</x:v>
      </x:c>
      <x:c r="K688" t="n">
        <x:v>2</x:v>
      </x:c>
      <x:c r="L688" t="n">
        <x:f>IF(I688&lt;=J688,1,0)</x:f>
        <x:v>1</x:v>
      </x:c>
      <x:c r="P688" t="n">
        <x:f>IF(M688="",IF(AND(L688=1,K688&gt;=1),1,0),M688)</x:f>
        <x:v>1</x:v>
      </x:c>
      <x:c r="Q688" t="n">
        <x:f>IF(N688="",IF(AND(L688=1,K688&gt;=2),1,0),N688)</x:f>
        <x:v>1</x:v>
      </x:c>
      <x:c r="R688" t="n">
        <x:f>IF(O688="",IF(AND(L688=1,K688&gt;=3),1,0),O688)</x:f>
        <x:v>0</x:v>
      </x:c>
      <x:c r="S688" t="n">
        <x:f>SUM(P688:R688)</x:f>
        <x:v>2</x:v>
      </x:c>
      <x:c r="T688" t="str">
        <x:f>IF(COUNTA(M688:O688)=0,"DerivedFromCount","ManualOverride")</x:f>
        <x:v>DerivedFromCount</x:v>
      </x:c>
      <x:c r="U688" t="str">
        <x:f>IF(COUNTIF(DailyProduction!$Q$5:$Q$100,B688)=1,"OK","CHECK")</x:f>
        <x:v>OK</x:v>
      </x:c>
      <x:c r="V688" t="str">
        <x:f>IF(AND(I688&gt;=1,I688&lt;=13,K688&gt;=1,K688&lt;=3),"OK","CHECK")</x:f>
        <x:v>OK</x:v>
      </x:c>
      <x:c r="W688" t="str">
        <x:f>IF(SUMIF($B$5:$B$914,B688,$S$5:$S$914)=SUMIF(DailyProduction!$Q$5:$Q$100,B688,DailyProduction!$R$5:$R$100),"OK","CHECK")</x:f>
        <x:v>OK</x:v>
      </x:c>
    </x:row>
    <x:row r="689">
      <x:c r="A689" t="str">
        <x:v>PC-PE-KG01-L24-20251025-AM-ORD-2025-00126-S09</x:v>
      </x:c>
      <x:c r="B689" t="str">
        <x:v>PE-KG01-L24-20251025-AM-ORD-2025-00126</x:v>
      </x:c>
      <x:c r="C689" t="str">
        <x:v>KG01</x:v>
      </x:c>
      <x:c r="D689" t="n">
        <x:v>45955</x:v>
      </x:c>
      <x:c r="E689" t="str">
        <x:v>AM</x:v>
      </x:c>
      <x:c r="F689" t="str">
        <x:v>B</x:v>
      </x:c>
      <x:c r="G689" t="n">
        <x:v>24</x:v>
      </x:c>
      <x:c r="H689" t="str">
        <x:v>ORD-2025-00126</x:v>
      </x:c>
      <x:c r="I689" t="n">
        <x:v>9</x:v>
      </x:c>
      <x:c r="J689" t="n">
        <x:v>12</x:v>
      </x:c>
      <x:c r="K689" t="n">
        <x:v>2</x:v>
      </x:c>
      <x:c r="L689" t="n">
        <x:f>IF(I689&lt;=J689,1,0)</x:f>
        <x:v>1</x:v>
      </x:c>
      <x:c r="P689" t="n">
        <x:f>IF(M689="",IF(AND(L689=1,K689&gt;=1),1,0),M689)</x:f>
        <x:v>1</x:v>
      </x:c>
      <x:c r="Q689" t="n">
        <x:f>IF(N689="",IF(AND(L689=1,K689&gt;=2),1,0),N689)</x:f>
        <x:v>1</x:v>
      </x:c>
      <x:c r="R689" t="n">
        <x:f>IF(O689="",IF(AND(L689=1,K689&gt;=3),1,0),O689)</x:f>
        <x:v>0</x:v>
      </x:c>
      <x:c r="S689" t="n">
        <x:f>SUM(P689:R689)</x:f>
        <x:v>2</x:v>
      </x:c>
      <x:c r="T689" t="str">
        <x:f>IF(COUNTA(M689:O689)=0,"DerivedFromCount","ManualOverride")</x:f>
        <x:v>DerivedFromCount</x:v>
      </x:c>
      <x:c r="U689" t="str">
        <x:f>IF(COUNTIF(DailyProduction!$Q$5:$Q$100,B689)=1,"OK","CHECK")</x:f>
        <x:v>OK</x:v>
      </x:c>
      <x:c r="V689" t="str">
        <x:f>IF(AND(I689&gt;=1,I689&lt;=13,K689&gt;=1,K689&lt;=3),"OK","CHECK")</x:f>
        <x:v>OK</x:v>
      </x:c>
      <x:c r="W689" t="str">
        <x:f>IF(SUMIF($B$5:$B$914,B689,$S$5:$S$914)=SUMIF(DailyProduction!$Q$5:$Q$100,B689,DailyProduction!$R$5:$R$100),"OK","CHECK")</x:f>
        <x:v>OK</x:v>
      </x:c>
    </x:row>
    <x:row r="690">
      <x:c r="A690" t="str">
        <x:v>PC-PE-KG01-L24-20251025-AM-ORD-2025-00126-S10</x:v>
      </x:c>
      <x:c r="B690" t="str">
        <x:v>PE-KG01-L24-20251025-AM-ORD-2025-00126</x:v>
      </x:c>
      <x:c r="C690" t="str">
        <x:v>KG01</x:v>
      </x:c>
      <x:c r="D690" t="n">
        <x:v>45955</x:v>
      </x:c>
      <x:c r="E690" t="str">
        <x:v>AM</x:v>
      </x:c>
      <x:c r="F690" t="str">
        <x:v>B</x:v>
      </x:c>
      <x:c r="G690" t="n">
        <x:v>24</x:v>
      </x:c>
      <x:c r="H690" t="str">
        <x:v>ORD-2025-00126</x:v>
      </x:c>
      <x:c r="I690" t="n">
        <x:v>10</x:v>
      </x:c>
      <x:c r="J690" t="n">
        <x:v>12</x:v>
      </x:c>
      <x:c r="K690" t="n">
        <x:v>2</x:v>
      </x:c>
      <x:c r="L690" t="n">
        <x:f>IF(I690&lt;=J690,1,0)</x:f>
        <x:v>1</x:v>
      </x:c>
      <x:c r="P690" t="n">
        <x:f>IF(M690="",IF(AND(L690=1,K690&gt;=1),1,0),M690)</x:f>
        <x:v>1</x:v>
      </x:c>
      <x:c r="Q690" t="n">
        <x:f>IF(N690="",IF(AND(L690=1,K690&gt;=2),1,0),N690)</x:f>
        <x:v>1</x:v>
      </x:c>
      <x:c r="R690" t="n">
        <x:f>IF(O690="",IF(AND(L690=1,K690&gt;=3),1,0),O690)</x:f>
        <x:v>0</x:v>
      </x:c>
      <x:c r="S690" t="n">
        <x:f>SUM(P690:R690)</x:f>
        <x:v>2</x:v>
      </x:c>
      <x:c r="T690" t="str">
        <x:f>IF(COUNTA(M690:O690)=0,"DerivedFromCount","ManualOverride")</x:f>
        <x:v>DerivedFromCount</x:v>
      </x:c>
      <x:c r="U690" t="str">
        <x:f>IF(COUNTIF(DailyProduction!$Q$5:$Q$100,B690)=1,"OK","CHECK")</x:f>
        <x:v>OK</x:v>
      </x:c>
      <x:c r="V690" t="str">
        <x:f>IF(AND(I690&gt;=1,I690&lt;=13,K690&gt;=1,K690&lt;=3),"OK","CHECK")</x:f>
        <x:v>OK</x:v>
      </x:c>
      <x:c r="W690" t="str">
        <x:f>IF(SUMIF($B$5:$B$914,B690,$S$5:$S$914)=SUMIF(DailyProduction!$Q$5:$Q$100,B690,DailyProduction!$R$5:$R$100),"OK","CHECK")</x:f>
        <x:v>OK</x:v>
      </x:c>
    </x:row>
    <x:row r="691">
      <x:c r="A691" t="str">
        <x:v>PC-PE-KG01-L24-20251025-AM-ORD-2025-00126-S11</x:v>
      </x:c>
      <x:c r="B691" t="str">
        <x:v>PE-KG01-L24-20251025-AM-ORD-2025-00126</x:v>
      </x:c>
      <x:c r="C691" t="str">
        <x:v>KG01</x:v>
      </x:c>
      <x:c r="D691" t="n">
        <x:v>45955</x:v>
      </x:c>
      <x:c r="E691" t="str">
        <x:v>AM</x:v>
      </x:c>
      <x:c r="F691" t="str">
        <x:v>B</x:v>
      </x:c>
      <x:c r="G691" t="n">
        <x:v>24</x:v>
      </x:c>
      <x:c r="H691" t="str">
        <x:v>ORD-2025-00126</x:v>
      </x:c>
      <x:c r="I691" t="n">
        <x:v>11</x:v>
      </x:c>
      <x:c r="J691" t="n">
        <x:v>12</x:v>
      </x:c>
      <x:c r="K691" t="n">
        <x:v>2</x:v>
      </x:c>
      <x:c r="L691" t="n">
        <x:f>IF(I691&lt;=J691,1,0)</x:f>
        <x:v>1</x:v>
      </x:c>
      <x:c r="P691" t="n">
        <x:f>IF(M691="",IF(AND(L691=1,K691&gt;=1),1,0),M691)</x:f>
        <x:v>1</x:v>
      </x:c>
      <x:c r="Q691" t="n">
        <x:f>IF(N691="",IF(AND(L691=1,K691&gt;=2),1,0),N691)</x:f>
        <x:v>1</x:v>
      </x:c>
      <x:c r="R691" t="n">
        <x:f>IF(O691="",IF(AND(L691=1,K691&gt;=3),1,0),O691)</x:f>
        <x:v>0</x:v>
      </x:c>
      <x:c r="S691" t="n">
        <x:f>SUM(P691:R691)</x:f>
        <x:v>2</x:v>
      </x:c>
      <x:c r="T691" t="str">
        <x:f>IF(COUNTA(M691:O691)=0,"DerivedFromCount","ManualOverride")</x:f>
        <x:v>DerivedFromCount</x:v>
      </x:c>
      <x:c r="U691" t="str">
        <x:f>IF(COUNTIF(DailyProduction!$Q$5:$Q$100,B691)=1,"OK","CHECK")</x:f>
        <x:v>OK</x:v>
      </x:c>
      <x:c r="V691" t="str">
        <x:f>IF(AND(I691&gt;=1,I691&lt;=13,K691&gt;=1,K691&lt;=3),"OK","CHECK")</x:f>
        <x:v>OK</x:v>
      </x:c>
      <x:c r="W691" t="str">
        <x:f>IF(SUMIF($B$5:$B$914,B691,$S$5:$S$914)=SUMIF(DailyProduction!$Q$5:$Q$100,B691,DailyProduction!$R$5:$R$100),"OK","CHECK")</x:f>
        <x:v>OK</x:v>
      </x:c>
    </x:row>
    <x:row r="692">
      <x:c r="A692" t="str">
        <x:v>PC-PE-KG01-L24-20251025-AM-ORD-2025-00126-S12</x:v>
      </x:c>
      <x:c r="B692" t="str">
        <x:v>PE-KG01-L24-20251025-AM-ORD-2025-00126</x:v>
      </x:c>
      <x:c r="C692" t="str">
        <x:v>KG01</x:v>
      </x:c>
      <x:c r="D692" t="n">
        <x:v>45955</x:v>
      </x:c>
      <x:c r="E692" t="str">
        <x:v>AM</x:v>
      </x:c>
      <x:c r="F692" t="str">
        <x:v>B</x:v>
      </x:c>
      <x:c r="G692" t="n">
        <x:v>24</x:v>
      </x:c>
      <x:c r="H692" t="str">
        <x:v>ORD-2025-00126</x:v>
      </x:c>
      <x:c r="I692" t="n">
        <x:v>12</x:v>
      </x:c>
      <x:c r="J692" t="n">
        <x:v>12</x:v>
      </x:c>
      <x:c r="K692" t="n">
        <x:v>2</x:v>
      </x:c>
      <x:c r="L692" t="n">
        <x:f>IF(I692&lt;=J692,1,0)</x:f>
        <x:v>1</x:v>
      </x:c>
      <x:c r="P692" t="n">
        <x:f>IF(M692="",IF(AND(L692=1,K692&gt;=1),1,0),M692)</x:f>
        <x:v>1</x:v>
      </x:c>
      <x:c r="Q692" t="n">
        <x:f>IF(N692="",IF(AND(L692=1,K692&gt;=2),1,0),N692)</x:f>
        <x:v>1</x:v>
      </x:c>
      <x:c r="R692" t="n">
        <x:f>IF(O692="",IF(AND(L692=1,K692&gt;=3),1,0),O692)</x:f>
        <x:v>0</x:v>
      </x:c>
      <x:c r="S692" t="n">
        <x:f>SUM(P692:R692)</x:f>
        <x:v>2</x:v>
      </x:c>
      <x:c r="T692" t="str">
        <x:f>IF(COUNTA(M692:O692)=0,"DerivedFromCount","ManualOverride")</x:f>
        <x:v>DerivedFromCount</x:v>
      </x:c>
      <x:c r="U692" t="str">
        <x:f>IF(COUNTIF(DailyProduction!$Q$5:$Q$100,B692)=1,"OK","CHECK")</x:f>
        <x:v>OK</x:v>
      </x:c>
      <x:c r="V692" t="str">
        <x:f>IF(AND(I692&gt;=1,I692&lt;=13,K692&gt;=1,K692&lt;=3),"OK","CHECK")</x:f>
        <x:v>OK</x:v>
      </x:c>
      <x:c r="W692" t="str">
        <x:f>IF(SUMIF($B$5:$B$914,B692,$S$5:$S$914)=SUMIF(DailyProduction!$Q$5:$Q$100,B692,DailyProduction!$R$5:$R$100),"OK","CHECK")</x:f>
        <x:v>OK</x:v>
      </x:c>
    </x:row>
    <x:row r="693">
      <x:c r="A693" t="str">
        <x:v>PC-PE-KG01-L24-20251025-AM-ORD-2025-00126-S13</x:v>
      </x:c>
      <x:c r="B693" t="str">
        <x:v>PE-KG01-L24-20251025-AM-ORD-2025-00126</x:v>
      </x:c>
      <x:c r="C693" t="str">
        <x:v>KG01</x:v>
      </x:c>
      <x:c r="D693" t="n">
        <x:v>45955</x:v>
      </x:c>
      <x:c r="E693" t="str">
        <x:v>AM</x:v>
      </x:c>
      <x:c r="F693" t="str">
        <x:v>B</x:v>
      </x:c>
      <x:c r="G693" t="n">
        <x:v>24</x:v>
      </x:c>
      <x:c r="H693" t="str">
        <x:v>ORD-2025-00126</x:v>
      </x:c>
      <x:c r="I693" t="n">
        <x:v>13</x:v>
      </x:c>
      <x:c r="J693" t="n">
        <x:v>12</x:v>
      </x:c>
      <x:c r="K693" t="n">
        <x:v>2</x:v>
      </x:c>
      <x:c r="L693" t="n">
        <x:f>IF(I693&lt;=J693,1,0)</x:f>
        <x:v>0</x:v>
      </x:c>
      <x:c r="P693" t="n">
        <x:f>IF(M693="",IF(AND(L693=1,K693&gt;=1),1,0),M693)</x:f>
        <x:v>0</x:v>
      </x:c>
      <x:c r="Q693" t="n">
        <x:f>IF(N693="",IF(AND(L693=1,K693&gt;=2),1,0),N693)</x:f>
        <x:v>0</x:v>
      </x:c>
      <x:c r="R693" t="n">
        <x:f>IF(O693="",IF(AND(L693=1,K693&gt;=3),1,0),O693)</x:f>
        <x:v>0</x:v>
      </x:c>
      <x:c r="S693" t="n">
        <x:f>SUM(P693:R693)</x:f>
        <x:v>0</x:v>
      </x:c>
      <x:c r="T693" t="str">
        <x:f>IF(COUNTA(M693:O693)=0,"DerivedFromCount","ManualOverride")</x:f>
        <x:v>DerivedFromCount</x:v>
      </x:c>
      <x:c r="U693" t="str">
        <x:f>IF(COUNTIF(DailyProduction!$Q$5:$Q$100,B693)=1,"OK","CHECK")</x:f>
        <x:v>OK</x:v>
      </x:c>
      <x:c r="V693" t="str">
        <x:f>IF(AND(I693&gt;=1,I693&lt;=13,K693&gt;=1,K693&lt;=3),"OK","CHECK")</x:f>
        <x:v>OK</x:v>
      </x:c>
      <x:c r="W693" t="str">
        <x:f>IF(SUMIF($B$5:$B$914,B693,$S$5:$S$914)=SUMIF(DailyProduction!$Q$5:$Q$100,B693,DailyProduction!$R$5:$R$100),"OK","CHECK")</x:f>
        <x:v>OK</x:v>
      </x:c>
    </x:row>
    <x:row r="694">
      <x:c r="A694" t="str">
        <x:v>PC-PE-KG01-L24-20251025-PM-ORD-2025-00126-S01</x:v>
      </x:c>
      <x:c r="B694" t="str">
        <x:v>PE-KG01-L24-20251025-PM-ORD-2025-00126</x:v>
      </x:c>
      <x:c r="C694" t="str">
        <x:v>KG01</x:v>
      </x:c>
      <x:c r="D694" t="n">
        <x:v>45955</x:v>
      </x:c>
      <x:c r="E694" t="str">
        <x:v>PM</x:v>
      </x:c>
      <x:c r="F694" t="str">
        <x:v>C</x:v>
      </x:c>
      <x:c r="G694" t="n">
        <x:v>24</x:v>
      </x:c>
      <x:c r="H694" t="str">
        <x:v>ORD-2025-00126</x:v>
      </x:c>
      <x:c r="I694" t="n">
        <x:v>1</x:v>
      </x:c>
      <x:c r="J694" t="n">
        <x:v>12</x:v>
      </x:c>
      <x:c r="K694" t="n">
        <x:v>2</x:v>
      </x:c>
      <x:c r="L694" t="n">
        <x:f>IF(I694&lt;=J694,1,0)</x:f>
        <x:v>1</x:v>
      </x:c>
      <x:c r="P694" t="n">
        <x:f>IF(M694="",IF(AND(L694=1,K694&gt;=1),1,0),M694)</x:f>
        <x:v>1</x:v>
      </x:c>
      <x:c r="Q694" t="n">
        <x:f>IF(N694="",IF(AND(L694=1,K694&gt;=2),1,0),N694)</x:f>
        <x:v>1</x:v>
      </x:c>
      <x:c r="R694" t="n">
        <x:f>IF(O694="",IF(AND(L694=1,K694&gt;=3),1,0),O694)</x:f>
        <x:v>0</x:v>
      </x:c>
      <x:c r="S694" t="n">
        <x:f>SUM(P694:R694)</x:f>
        <x:v>2</x:v>
      </x:c>
      <x:c r="T694" t="str">
        <x:f>IF(COUNTA(M694:O694)=0,"DerivedFromCount","ManualOverride")</x:f>
        <x:v>DerivedFromCount</x:v>
      </x:c>
      <x:c r="U694" t="str">
        <x:f>IF(COUNTIF(DailyProduction!$Q$5:$Q$100,B694)=1,"OK","CHECK")</x:f>
        <x:v>OK</x:v>
      </x:c>
      <x:c r="V694" t="str">
        <x:f>IF(AND(I694&gt;=1,I694&lt;=13,K694&gt;=1,K694&lt;=3),"OK","CHECK")</x:f>
        <x:v>OK</x:v>
      </x:c>
      <x:c r="W694" t="str">
        <x:f>IF(SUMIF($B$5:$B$914,B694,$S$5:$S$914)=SUMIF(DailyProduction!$Q$5:$Q$100,B694,DailyProduction!$R$5:$R$100),"OK","CHECK")</x:f>
        <x:v>OK</x:v>
      </x:c>
    </x:row>
    <x:row r="695">
      <x:c r="A695" t="str">
        <x:v>PC-PE-KG01-L24-20251025-PM-ORD-2025-00126-S02</x:v>
      </x:c>
      <x:c r="B695" t="str">
        <x:v>PE-KG01-L24-20251025-PM-ORD-2025-00126</x:v>
      </x:c>
      <x:c r="C695" t="str">
        <x:v>KG01</x:v>
      </x:c>
      <x:c r="D695" t="n">
        <x:v>45955</x:v>
      </x:c>
      <x:c r="E695" t="str">
        <x:v>PM</x:v>
      </x:c>
      <x:c r="F695" t="str">
        <x:v>C</x:v>
      </x:c>
      <x:c r="G695" t="n">
        <x:v>24</x:v>
      </x:c>
      <x:c r="H695" t="str">
        <x:v>ORD-2025-00126</x:v>
      </x:c>
      <x:c r="I695" t="n">
        <x:v>2</x:v>
      </x:c>
      <x:c r="J695" t="n">
        <x:v>12</x:v>
      </x:c>
      <x:c r="K695" t="n">
        <x:v>2</x:v>
      </x:c>
      <x:c r="L695" t="n">
        <x:f>IF(I695&lt;=J695,1,0)</x:f>
        <x:v>1</x:v>
      </x:c>
      <x:c r="P695" t="n">
        <x:f>IF(M695="",IF(AND(L695=1,K695&gt;=1),1,0),M695)</x:f>
        <x:v>1</x:v>
      </x:c>
      <x:c r="Q695" t="n">
        <x:f>IF(N695="",IF(AND(L695=1,K695&gt;=2),1,0),N695)</x:f>
        <x:v>1</x:v>
      </x:c>
      <x:c r="R695" t="n">
        <x:f>IF(O695="",IF(AND(L695=1,K695&gt;=3),1,0),O695)</x:f>
        <x:v>0</x:v>
      </x:c>
      <x:c r="S695" t="n">
        <x:f>SUM(P695:R695)</x:f>
        <x:v>2</x:v>
      </x:c>
      <x:c r="T695" t="str">
        <x:f>IF(COUNTA(M695:O695)=0,"DerivedFromCount","ManualOverride")</x:f>
        <x:v>DerivedFromCount</x:v>
      </x:c>
      <x:c r="U695" t="str">
        <x:f>IF(COUNTIF(DailyProduction!$Q$5:$Q$100,B695)=1,"OK","CHECK")</x:f>
        <x:v>OK</x:v>
      </x:c>
      <x:c r="V695" t="str">
        <x:f>IF(AND(I695&gt;=1,I695&lt;=13,K695&gt;=1,K695&lt;=3),"OK","CHECK")</x:f>
        <x:v>OK</x:v>
      </x:c>
      <x:c r="W695" t="str">
        <x:f>IF(SUMIF($B$5:$B$914,B695,$S$5:$S$914)=SUMIF(DailyProduction!$Q$5:$Q$100,B695,DailyProduction!$R$5:$R$100),"OK","CHECK")</x:f>
        <x:v>OK</x:v>
      </x:c>
    </x:row>
    <x:row r="696">
      <x:c r="A696" t="str">
        <x:v>PC-PE-KG01-L24-20251025-PM-ORD-2025-00126-S03</x:v>
      </x:c>
      <x:c r="B696" t="str">
        <x:v>PE-KG01-L24-20251025-PM-ORD-2025-00126</x:v>
      </x:c>
      <x:c r="C696" t="str">
        <x:v>KG01</x:v>
      </x:c>
      <x:c r="D696" t="n">
        <x:v>45955</x:v>
      </x:c>
      <x:c r="E696" t="str">
        <x:v>PM</x:v>
      </x:c>
      <x:c r="F696" t="str">
        <x:v>C</x:v>
      </x:c>
      <x:c r="G696" t="n">
        <x:v>24</x:v>
      </x:c>
      <x:c r="H696" t="str">
        <x:v>ORD-2025-00126</x:v>
      </x:c>
      <x:c r="I696" t="n">
        <x:v>3</x:v>
      </x:c>
      <x:c r="J696" t="n">
        <x:v>12</x:v>
      </x:c>
      <x:c r="K696" t="n">
        <x:v>2</x:v>
      </x:c>
      <x:c r="L696" t="n">
        <x:f>IF(I696&lt;=J696,1,0)</x:f>
        <x:v>1</x:v>
      </x:c>
      <x:c r="P696" t="n">
        <x:f>IF(M696="",IF(AND(L696=1,K696&gt;=1),1,0),M696)</x:f>
        <x:v>1</x:v>
      </x:c>
      <x:c r="Q696" t="n">
        <x:f>IF(N696="",IF(AND(L696=1,K696&gt;=2),1,0),N696)</x:f>
        <x:v>1</x:v>
      </x:c>
      <x:c r="R696" t="n">
        <x:f>IF(O696="",IF(AND(L696=1,K696&gt;=3),1,0),O696)</x:f>
        <x:v>0</x:v>
      </x:c>
      <x:c r="S696" t="n">
        <x:f>SUM(P696:R696)</x:f>
        <x:v>2</x:v>
      </x:c>
      <x:c r="T696" t="str">
        <x:f>IF(COUNTA(M696:O696)=0,"DerivedFromCount","ManualOverride")</x:f>
        <x:v>DerivedFromCount</x:v>
      </x:c>
      <x:c r="U696" t="str">
        <x:f>IF(COUNTIF(DailyProduction!$Q$5:$Q$100,B696)=1,"OK","CHECK")</x:f>
        <x:v>OK</x:v>
      </x:c>
      <x:c r="V696" t="str">
        <x:f>IF(AND(I696&gt;=1,I696&lt;=13,K696&gt;=1,K696&lt;=3),"OK","CHECK")</x:f>
        <x:v>OK</x:v>
      </x:c>
      <x:c r="W696" t="str">
        <x:f>IF(SUMIF($B$5:$B$914,B696,$S$5:$S$914)=SUMIF(DailyProduction!$Q$5:$Q$100,B696,DailyProduction!$R$5:$R$100),"OK","CHECK")</x:f>
        <x:v>OK</x:v>
      </x:c>
    </x:row>
    <x:row r="697">
      <x:c r="A697" t="str">
        <x:v>PC-PE-KG01-L24-20251025-PM-ORD-2025-00126-S04</x:v>
      </x:c>
      <x:c r="B697" t="str">
        <x:v>PE-KG01-L24-20251025-PM-ORD-2025-00126</x:v>
      </x:c>
      <x:c r="C697" t="str">
        <x:v>KG01</x:v>
      </x:c>
      <x:c r="D697" t="n">
        <x:v>45955</x:v>
      </x:c>
      <x:c r="E697" t="str">
        <x:v>PM</x:v>
      </x:c>
      <x:c r="F697" t="str">
        <x:v>C</x:v>
      </x:c>
      <x:c r="G697" t="n">
        <x:v>24</x:v>
      </x:c>
      <x:c r="H697" t="str">
        <x:v>ORD-2025-00126</x:v>
      </x:c>
      <x:c r="I697" t="n">
        <x:v>4</x:v>
      </x:c>
      <x:c r="J697" t="n">
        <x:v>12</x:v>
      </x:c>
      <x:c r="K697" t="n">
        <x:v>2</x:v>
      </x:c>
      <x:c r="L697" t="n">
        <x:f>IF(I697&lt;=J697,1,0)</x:f>
        <x:v>1</x:v>
      </x:c>
      <x:c r="P697" t="n">
        <x:f>IF(M697="",IF(AND(L697=1,K697&gt;=1),1,0),M697)</x:f>
        <x:v>1</x:v>
      </x:c>
      <x:c r="Q697" t="n">
        <x:f>IF(N697="",IF(AND(L697=1,K697&gt;=2),1,0),N697)</x:f>
        <x:v>1</x:v>
      </x:c>
      <x:c r="R697" t="n">
        <x:f>IF(O697="",IF(AND(L697=1,K697&gt;=3),1,0),O697)</x:f>
        <x:v>0</x:v>
      </x:c>
      <x:c r="S697" t="n">
        <x:f>SUM(P697:R697)</x:f>
        <x:v>2</x:v>
      </x:c>
      <x:c r="T697" t="str">
        <x:f>IF(COUNTA(M697:O697)=0,"DerivedFromCount","ManualOverride")</x:f>
        <x:v>DerivedFromCount</x:v>
      </x:c>
      <x:c r="U697" t="str">
        <x:f>IF(COUNTIF(DailyProduction!$Q$5:$Q$100,B697)=1,"OK","CHECK")</x:f>
        <x:v>OK</x:v>
      </x:c>
      <x:c r="V697" t="str">
        <x:f>IF(AND(I697&gt;=1,I697&lt;=13,K697&gt;=1,K697&lt;=3),"OK","CHECK")</x:f>
        <x:v>OK</x:v>
      </x:c>
      <x:c r="W697" t="str">
        <x:f>IF(SUMIF($B$5:$B$914,B697,$S$5:$S$914)=SUMIF(DailyProduction!$Q$5:$Q$100,B697,DailyProduction!$R$5:$R$100),"OK","CHECK")</x:f>
        <x:v>OK</x:v>
      </x:c>
    </x:row>
    <x:row r="698">
      <x:c r="A698" t="str">
        <x:v>PC-PE-KG01-L24-20251025-PM-ORD-2025-00126-S05</x:v>
      </x:c>
      <x:c r="B698" t="str">
        <x:v>PE-KG01-L24-20251025-PM-ORD-2025-00126</x:v>
      </x:c>
      <x:c r="C698" t="str">
        <x:v>KG01</x:v>
      </x:c>
      <x:c r="D698" t="n">
        <x:v>45955</x:v>
      </x:c>
      <x:c r="E698" t="str">
        <x:v>PM</x:v>
      </x:c>
      <x:c r="F698" t="str">
        <x:v>C</x:v>
      </x:c>
      <x:c r="G698" t="n">
        <x:v>24</x:v>
      </x:c>
      <x:c r="H698" t="str">
        <x:v>ORD-2025-00126</x:v>
      </x:c>
      <x:c r="I698" t="n">
        <x:v>5</x:v>
      </x:c>
      <x:c r="J698" t="n">
        <x:v>12</x:v>
      </x:c>
      <x:c r="K698" t="n">
        <x:v>2</x:v>
      </x:c>
      <x:c r="L698" t="n">
        <x:f>IF(I698&lt;=J698,1,0)</x:f>
        <x:v>1</x:v>
      </x:c>
      <x:c r="P698" t="n">
        <x:f>IF(M698="",IF(AND(L698=1,K698&gt;=1),1,0),M698)</x:f>
        <x:v>1</x:v>
      </x:c>
      <x:c r="Q698" t="n">
        <x:f>IF(N698="",IF(AND(L698=1,K698&gt;=2),1,0),N698)</x:f>
        <x:v>1</x:v>
      </x:c>
      <x:c r="R698" t="n">
        <x:f>IF(O698="",IF(AND(L698=1,K698&gt;=3),1,0),O698)</x:f>
        <x:v>0</x:v>
      </x:c>
      <x:c r="S698" t="n">
        <x:f>SUM(P698:R698)</x:f>
        <x:v>2</x:v>
      </x:c>
      <x:c r="T698" t="str">
        <x:f>IF(COUNTA(M698:O698)=0,"DerivedFromCount","ManualOverride")</x:f>
        <x:v>DerivedFromCount</x:v>
      </x:c>
      <x:c r="U698" t="str">
        <x:f>IF(COUNTIF(DailyProduction!$Q$5:$Q$100,B698)=1,"OK","CHECK")</x:f>
        <x:v>OK</x:v>
      </x:c>
      <x:c r="V698" t="str">
        <x:f>IF(AND(I698&gt;=1,I698&lt;=13,K698&gt;=1,K698&lt;=3),"OK","CHECK")</x:f>
        <x:v>OK</x:v>
      </x:c>
      <x:c r="W698" t="str">
        <x:f>IF(SUMIF($B$5:$B$914,B698,$S$5:$S$914)=SUMIF(DailyProduction!$Q$5:$Q$100,B698,DailyProduction!$R$5:$R$100),"OK","CHECK")</x:f>
        <x:v>OK</x:v>
      </x:c>
    </x:row>
    <x:row r="699">
      <x:c r="A699" t="str">
        <x:v>PC-PE-KG01-L24-20251025-PM-ORD-2025-00126-S06</x:v>
      </x:c>
      <x:c r="B699" t="str">
        <x:v>PE-KG01-L24-20251025-PM-ORD-2025-00126</x:v>
      </x:c>
      <x:c r="C699" t="str">
        <x:v>KG01</x:v>
      </x:c>
      <x:c r="D699" t="n">
        <x:v>45955</x:v>
      </x:c>
      <x:c r="E699" t="str">
        <x:v>PM</x:v>
      </x:c>
      <x:c r="F699" t="str">
        <x:v>C</x:v>
      </x:c>
      <x:c r="G699" t="n">
        <x:v>24</x:v>
      </x:c>
      <x:c r="H699" t="str">
        <x:v>ORD-2025-00126</x:v>
      </x:c>
      <x:c r="I699" t="n">
        <x:v>6</x:v>
      </x:c>
      <x:c r="J699" t="n">
        <x:v>12</x:v>
      </x:c>
      <x:c r="K699" t="n">
        <x:v>2</x:v>
      </x:c>
      <x:c r="L699" t="n">
        <x:f>IF(I699&lt;=J699,1,0)</x:f>
        <x:v>1</x:v>
      </x:c>
      <x:c r="P699" t="n">
        <x:f>IF(M699="",IF(AND(L699=1,K699&gt;=1),1,0),M699)</x:f>
        <x:v>1</x:v>
      </x:c>
      <x:c r="Q699" t="n">
        <x:f>IF(N699="",IF(AND(L699=1,K699&gt;=2),1,0),N699)</x:f>
        <x:v>1</x:v>
      </x:c>
      <x:c r="R699" t="n">
        <x:f>IF(O699="",IF(AND(L699=1,K699&gt;=3),1,0),O699)</x:f>
        <x:v>0</x:v>
      </x:c>
      <x:c r="S699" t="n">
        <x:f>SUM(P699:R699)</x:f>
        <x:v>2</x:v>
      </x:c>
      <x:c r="T699" t="str">
        <x:f>IF(COUNTA(M699:O699)=0,"DerivedFromCount","ManualOverride")</x:f>
        <x:v>DerivedFromCount</x:v>
      </x:c>
      <x:c r="U699" t="str">
        <x:f>IF(COUNTIF(DailyProduction!$Q$5:$Q$100,B699)=1,"OK","CHECK")</x:f>
        <x:v>OK</x:v>
      </x:c>
      <x:c r="V699" t="str">
        <x:f>IF(AND(I699&gt;=1,I699&lt;=13,K699&gt;=1,K699&lt;=3),"OK","CHECK")</x:f>
        <x:v>OK</x:v>
      </x:c>
      <x:c r="W699" t="str">
        <x:f>IF(SUMIF($B$5:$B$914,B699,$S$5:$S$914)=SUMIF(DailyProduction!$Q$5:$Q$100,B699,DailyProduction!$R$5:$R$100),"OK","CHECK")</x:f>
        <x:v>OK</x:v>
      </x:c>
    </x:row>
    <x:row r="700">
      <x:c r="A700" t="str">
        <x:v>PC-PE-KG01-L24-20251025-PM-ORD-2025-00126-S07</x:v>
      </x:c>
      <x:c r="B700" t="str">
        <x:v>PE-KG01-L24-20251025-PM-ORD-2025-00126</x:v>
      </x:c>
      <x:c r="C700" t="str">
        <x:v>KG01</x:v>
      </x:c>
      <x:c r="D700" t="n">
        <x:v>45955</x:v>
      </x:c>
      <x:c r="E700" t="str">
        <x:v>PM</x:v>
      </x:c>
      <x:c r="F700" t="str">
        <x:v>C</x:v>
      </x:c>
      <x:c r="G700" t="n">
        <x:v>24</x:v>
      </x:c>
      <x:c r="H700" t="str">
        <x:v>ORD-2025-00126</x:v>
      </x:c>
      <x:c r="I700" t="n">
        <x:v>7</x:v>
      </x:c>
      <x:c r="J700" t="n">
        <x:v>12</x:v>
      </x:c>
      <x:c r="K700" t="n">
        <x:v>2</x:v>
      </x:c>
      <x:c r="L700" t="n">
        <x:f>IF(I700&lt;=J700,1,0)</x:f>
        <x:v>1</x:v>
      </x:c>
      <x:c r="P700" t="n">
        <x:f>IF(M700="",IF(AND(L700=1,K700&gt;=1),1,0),M700)</x:f>
        <x:v>1</x:v>
      </x:c>
      <x:c r="Q700" t="n">
        <x:f>IF(N700="",IF(AND(L700=1,K700&gt;=2),1,0),N700)</x:f>
        <x:v>1</x:v>
      </x:c>
      <x:c r="R700" t="n">
        <x:f>IF(O700="",IF(AND(L700=1,K700&gt;=3),1,0),O700)</x:f>
        <x:v>0</x:v>
      </x:c>
      <x:c r="S700" t="n">
        <x:f>SUM(P700:R700)</x:f>
        <x:v>2</x:v>
      </x:c>
      <x:c r="T700" t="str">
        <x:f>IF(COUNTA(M700:O700)=0,"DerivedFromCount","ManualOverride")</x:f>
        <x:v>DerivedFromCount</x:v>
      </x:c>
      <x:c r="U700" t="str">
        <x:f>IF(COUNTIF(DailyProduction!$Q$5:$Q$100,B700)=1,"OK","CHECK")</x:f>
        <x:v>OK</x:v>
      </x:c>
      <x:c r="V700" t="str">
        <x:f>IF(AND(I700&gt;=1,I700&lt;=13,K700&gt;=1,K700&lt;=3),"OK","CHECK")</x:f>
        <x:v>OK</x:v>
      </x:c>
      <x:c r="W700" t="str">
        <x:f>IF(SUMIF($B$5:$B$914,B700,$S$5:$S$914)=SUMIF(DailyProduction!$Q$5:$Q$100,B700,DailyProduction!$R$5:$R$100),"OK","CHECK")</x:f>
        <x:v>OK</x:v>
      </x:c>
    </x:row>
    <x:row r="701">
      <x:c r="A701" t="str">
        <x:v>PC-PE-KG01-L24-20251025-PM-ORD-2025-00126-S08</x:v>
      </x:c>
      <x:c r="B701" t="str">
        <x:v>PE-KG01-L24-20251025-PM-ORD-2025-00126</x:v>
      </x:c>
      <x:c r="C701" t="str">
        <x:v>KG01</x:v>
      </x:c>
      <x:c r="D701" t="n">
        <x:v>45955</x:v>
      </x:c>
      <x:c r="E701" t="str">
        <x:v>PM</x:v>
      </x:c>
      <x:c r="F701" t="str">
        <x:v>C</x:v>
      </x:c>
      <x:c r="G701" t="n">
        <x:v>24</x:v>
      </x:c>
      <x:c r="H701" t="str">
        <x:v>ORD-2025-00126</x:v>
      </x:c>
      <x:c r="I701" t="n">
        <x:v>8</x:v>
      </x:c>
      <x:c r="J701" t="n">
        <x:v>12</x:v>
      </x:c>
      <x:c r="K701" t="n">
        <x:v>2</x:v>
      </x:c>
      <x:c r="L701" t="n">
        <x:f>IF(I701&lt;=J701,1,0)</x:f>
        <x:v>1</x:v>
      </x:c>
      <x:c r="P701" t="n">
        <x:f>IF(M701="",IF(AND(L701=1,K701&gt;=1),1,0),M701)</x:f>
        <x:v>1</x:v>
      </x:c>
      <x:c r="Q701" t="n">
        <x:f>IF(N701="",IF(AND(L701=1,K701&gt;=2),1,0),N701)</x:f>
        <x:v>1</x:v>
      </x:c>
      <x:c r="R701" t="n">
        <x:f>IF(O701="",IF(AND(L701=1,K701&gt;=3),1,0),O701)</x:f>
        <x:v>0</x:v>
      </x:c>
      <x:c r="S701" t="n">
        <x:f>SUM(P701:R701)</x:f>
        <x:v>2</x:v>
      </x:c>
      <x:c r="T701" t="str">
        <x:f>IF(COUNTA(M701:O701)=0,"DerivedFromCount","ManualOverride")</x:f>
        <x:v>DerivedFromCount</x:v>
      </x:c>
      <x:c r="U701" t="str">
        <x:f>IF(COUNTIF(DailyProduction!$Q$5:$Q$100,B701)=1,"OK","CHECK")</x:f>
        <x:v>OK</x:v>
      </x:c>
      <x:c r="V701" t="str">
        <x:f>IF(AND(I701&gt;=1,I701&lt;=13,K701&gt;=1,K701&lt;=3),"OK","CHECK")</x:f>
        <x:v>OK</x:v>
      </x:c>
      <x:c r="W701" t="str">
        <x:f>IF(SUMIF($B$5:$B$914,B701,$S$5:$S$914)=SUMIF(DailyProduction!$Q$5:$Q$100,B701,DailyProduction!$R$5:$R$100),"OK","CHECK")</x:f>
        <x:v>OK</x:v>
      </x:c>
    </x:row>
    <x:row r="702">
      <x:c r="A702" t="str">
        <x:v>PC-PE-KG01-L24-20251025-PM-ORD-2025-00126-S09</x:v>
      </x:c>
      <x:c r="B702" t="str">
        <x:v>PE-KG01-L24-20251025-PM-ORD-2025-00126</x:v>
      </x:c>
      <x:c r="C702" t="str">
        <x:v>KG01</x:v>
      </x:c>
      <x:c r="D702" t="n">
        <x:v>45955</x:v>
      </x:c>
      <x:c r="E702" t="str">
        <x:v>PM</x:v>
      </x:c>
      <x:c r="F702" t="str">
        <x:v>C</x:v>
      </x:c>
      <x:c r="G702" t="n">
        <x:v>24</x:v>
      </x:c>
      <x:c r="H702" t="str">
        <x:v>ORD-2025-00126</x:v>
      </x:c>
      <x:c r="I702" t="n">
        <x:v>9</x:v>
      </x:c>
      <x:c r="J702" t="n">
        <x:v>12</x:v>
      </x:c>
      <x:c r="K702" t="n">
        <x:v>2</x:v>
      </x:c>
      <x:c r="L702" t="n">
        <x:f>IF(I702&lt;=J702,1,0)</x:f>
        <x:v>1</x:v>
      </x:c>
      <x:c r="P702" t="n">
        <x:f>IF(M702="",IF(AND(L702=1,K702&gt;=1),1,0),M702)</x:f>
        <x:v>1</x:v>
      </x:c>
      <x:c r="Q702" t="n">
        <x:f>IF(N702="",IF(AND(L702=1,K702&gt;=2),1,0),N702)</x:f>
        <x:v>1</x:v>
      </x:c>
      <x:c r="R702" t="n">
        <x:f>IF(O702="",IF(AND(L702=1,K702&gt;=3),1,0),O702)</x:f>
        <x:v>0</x:v>
      </x:c>
      <x:c r="S702" t="n">
        <x:f>SUM(P702:R702)</x:f>
        <x:v>2</x:v>
      </x:c>
      <x:c r="T702" t="str">
        <x:f>IF(COUNTA(M702:O702)=0,"DerivedFromCount","ManualOverride")</x:f>
        <x:v>DerivedFromCount</x:v>
      </x:c>
      <x:c r="U702" t="str">
        <x:f>IF(COUNTIF(DailyProduction!$Q$5:$Q$100,B702)=1,"OK","CHECK")</x:f>
        <x:v>OK</x:v>
      </x:c>
      <x:c r="V702" t="str">
        <x:f>IF(AND(I702&gt;=1,I702&lt;=13,K702&gt;=1,K702&lt;=3),"OK","CHECK")</x:f>
        <x:v>OK</x:v>
      </x:c>
      <x:c r="W702" t="str">
        <x:f>IF(SUMIF($B$5:$B$914,B702,$S$5:$S$914)=SUMIF(DailyProduction!$Q$5:$Q$100,B702,DailyProduction!$R$5:$R$100),"OK","CHECK")</x:f>
        <x:v>OK</x:v>
      </x:c>
    </x:row>
    <x:row r="703">
      <x:c r="A703" t="str">
        <x:v>PC-PE-KG01-L24-20251025-PM-ORD-2025-00126-S10</x:v>
      </x:c>
      <x:c r="B703" t="str">
        <x:v>PE-KG01-L24-20251025-PM-ORD-2025-00126</x:v>
      </x:c>
      <x:c r="C703" t="str">
        <x:v>KG01</x:v>
      </x:c>
      <x:c r="D703" t="n">
        <x:v>45955</x:v>
      </x:c>
      <x:c r="E703" t="str">
        <x:v>PM</x:v>
      </x:c>
      <x:c r="F703" t="str">
        <x:v>C</x:v>
      </x:c>
      <x:c r="G703" t="n">
        <x:v>24</x:v>
      </x:c>
      <x:c r="H703" t="str">
        <x:v>ORD-2025-00126</x:v>
      </x:c>
      <x:c r="I703" t="n">
        <x:v>10</x:v>
      </x:c>
      <x:c r="J703" t="n">
        <x:v>12</x:v>
      </x:c>
      <x:c r="K703" t="n">
        <x:v>2</x:v>
      </x:c>
      <x:c r="L703" t="n">
        <x:f>IF(I703&lt;=J703,1,0)</x:f>
        <x:v>1</x:v>
      </x:c>
      <x:c r="P703" t="n">
        <x:f>IF(M703="",IF(AND(L703=1,K703&gt;=1),1,0),M703)</x:f>
        <x:v>1</x:v>
      </x:c>
      <x:c r="Q703" t="n">
        <x:f>IF(N703="",IF(AND(L703=1,K703&gt;=2),1,0),N703)</x:f>
        <x:v>1</x:v>
      </x:c>
      <x:c r="R703" t="n">
        <x:f>IF(O703="",IF(AND(L703=1,K703&gt;=3),1,0),O703)</x:f>
        <x:v>0</x:v>
      </x:c>
      <x:c r="S703" t="n">
        <x:f>SUM(P703:R703)</x:f>
        <x:v>2</x:v>
      </x:c>
      <x:c r="T703" t="str">
        <x:f>IF(COUNTA(M703:O703)=0,"DerivedFromCount","ManualOverride")</x:f>
        <x:v>DerivedFromCount</x:v>
      </x:c>
      <x:c r="U703" t="str">
        <x:f>IF(COUNTIF(DailyProduction!$Q$5:$Q$100,B703)=1,"OK","CHECK")</x:f>
        <x:v>OK</x:v>
      </x:c>
      <x:c r="V703" t="str">
        <x:f>IF(AND(I703&gt;=1,I703&lt;=13,K703&gt;=1,K703&lt;=3),"OK","CHECK")</x:f>
        <x:v>OK</x:v>
      </x:c>
      <x:c r="W703" t="str">
        <x:f>IF(SUMIF($B$5:$B$914,B703,$S$5:$S$914)=SUMIF(DailyProduction!$Q$5:$Q$100,B703,DailyProduction!$R$5:$R$100),"OK","CHECK")</x:f>
        <x:v>OK</x:v>
      </x:c>
    </x:row>
    <x:row r="704">
      <x:c r="A704" t="str">
        <x:v>PC-PE-KG01-L24-20251025-PM-ORD-2025-00126-S11</x:v>
      </x:c>
      <x:c r="B704" t="str">
        <x:v>PE-KG01-L24-20251025-PM-ORD-2025-00126</x:v>
      </x:c>
      <x:c r="C704" t="str">
        <x:v>KG01</x:v>
      </x:c>
      <x:c r="D704" t="n">
        <x:v>45955</x:v>
      </x:c>
      <x:c r="E704" t="str">
        <x:v>PM</x:v>
      </x:c>
      <x:c r="F704" t="str">
        <x:v>C</x:v>
      </x:c>
      <x:c r="G704" t="n">
        <x:v>24</x:v>
      </x:c>
      <x:c r="H704" t="str">
        <x:v>ORD-2025-00126</x:v>
      </x:c>
      <x:c r="I704" t="n">
        <x:v>11</x:v>
      </x:c>
      <x:c r="J704" t="n">
        <x:v>12</x:v>
      </x:c>
      <x:c r="K704" t="n">
        <x:v>2</x:v>
      </x:c>
      <x:c r="L704" t="n">
        <x:f>IF(I704&lt;=J704,1,0)</x:f>
        <x:v>1</x:v>
      </x:c>
      <x:c r="P704" t="n">
        <x:f>IF(M704="",IF(AND(L704=1,K704&gt;=1),1,0),M704)</x:f>
        <x:v>1</x:v>
      </x:c>
      <x:c r="Q704" t="n">
        <x:f>IF(N704="",IF(AND(L704=1,K704&gt;=2),1,0),N704)</x:f>
        <x:v>1</x:v>
      </x:c>
      <x:c r="R704" t="n">
        <x:f>IF(O704="",IF(AND(L704=1,K704&gt;=3),1,0),O704)</x:f>
        <x:v>0</x:v>
      </x:c>
      <x:c r="S704" t="n">
        <x:f>SUM(P704:R704)</x:f>
        <x:v>2</x:v>
      </x:c>
      <x:c r="T704" t="str">
        <x:f>IF(COUNTA(M704:O704)=0,"DerivedFromCount","ManualOverride")</x:f>
        <x:v>DerivedFromCount</x:v>
      </x:c>
      <x:c r="U704" t="str">
        <x:f>IF(COUNTIF(DailyProduction!$Q$5:$Q$100,B704)=1,"OK","CHECK")</x:f>
        <x:v>OK</x:v>
      </x:c>
      <x:c r="V704" t="str">
        <x:f>IF(AND(I704&gt;=1,I704&lt;=13,K704&gt;=1,K704&lt;=3),"OK","CHECK")</x:f>
        <x:v>OK</x:v>
      </x:c>
      <x:c r="W704" t="str">
        <x:f>IF(SUMIF($B$5:$B$914,B704,$S$5:$S$914)=SUMIF(DailyProduction!$Q$5:$Q$100,B704,DailyProduction!$R$5:$R$100),"OK","CHECK")</x:f>
        <x:v>OK</x:v>
      </x:c>
    </x:row>
    <x:row r="705">
      <x:c r="A705" t="str">
        <x:v>PC-PE-KG01-L24-20251025-PM-ORD-2025-00126-S12</x:v>
      </x:c>
      <x:c r="B705" t="str">
        <x:v>PE-KG01-L24-20251025-PM-ORD-2025-00126</x:v>
      </x:c>
      <x:c r="C705" t="str">
        <x:v>KG01</x:v>
      </x:c>
      <x:c r="D705" t="n">
        <x:v>45955</x:v>
      </x:c>
      <x:c r="E705" t="str">
        <x:v>PM</x:v>
      </x:c>
      <x:c r="F705" t="str">
        <x:v>C</x:v>
      </x:c>
      <x:c r="G705" t="n">
        <x:v>24</x:v>
      </x:c>
      <x:c r="H705" t="str">
        <x:v>ORD-2025-00126</x:v>
      </x:c>
      <x:c r="I705" t="n">
        <x:v>12</x:v>
      </x:c>
      <x:c r="J705" t="n">
        <x:v>12</x:v>
      </x:c>
      <x:c r="K705" t="n">
        <x:v>2</x:v>
      </x:c>
      <x:c r="L705" t="n">
        <x:f>IF(I705&lt;=J705,1,0)</x:f>
        <x:v>1</x:v>
      </x:c>
      <x:c r="P705" t="n">
        <x:f>IF(M705="",IF(AND(L705=1,K705&gt;=1),1,0),M705)</x:f>
        <x:v>1</x:v>
      </x:c>
      <x:c r="Q705" t="n">
        <x:f>IF(N705="",IF(AND(L705=1,K705&gt;=2),1,0),N705)</x:f>
        <x:v>1</x:v>
      </x:c>
      <x:c r="R705" t="n">
        <x:f>IF(O705="",IF(AND(L705=1,K705&gt;=3),1,0),O705)</x:f>
        <x:v>0</x:v>
      </x:c>
      <x:c r="S705" t="n">
        <x:f>SUM(P705:R705)</x:f>
        <x:v>2</x:v>
      </x:c>
      <x:c r="T705" t="str">
        <x:f>IF(COUNTA(M705:O705)=0,"DerivedFromCount","ManualOverride")</x:f>
        <x:v>DerivedFromCount</x:v>
      </x:c>
      <x:c r="U705" t="str">
        <x:f>IF(COUNTIF(DailyProduction!$Q$5:$Q$100,B705)=1,"OK","CHECK")</x:f>
        <x:v>OK</x:v>
      </x:c>
      <x:c r="V705" t="str">
        <x:f>IF(AND(I705&gt;=1,I705&lt;=13,K705&gt;=1,K705&lt;=3),"OK","CHECK")</x:f>
        <x:v>OK</x:v>
      </x:c>
      <x:c r="W705" t="str">
        <x:f>IF(SUMIF($B$5:$B$914,B705,$S$5:$S$914)=SUMIF(DailyProduction!$Q$5:$Q$100,B705,DailyProduction!$R$5:$R$100),"OK","CHECK")</x:f>
        <x:v>OK</x:v>
      </x:c>
    </x:row>
    <x:row r="706">
      <x:c r="A706" t="str">
        <x:v>PC-PE-KG01-L24-20251025-PM-ORD-2025-00126-S13</x:v>
      </x:c>
      <x:c r="B706" t="str">
        <x:v>PE-KG01-L24-20251025-PM-ORD-2025-00126</x:v>
      </x:c>
      <x:c r="C706" t="str">
        <x:v>KG01</x:v>
      </x:c>
      <x:c r="D706" t="n">
        <x:v>45955</x:v>
      </x:c>
      <x:c r="E706" t="str">
        <x:v>PM</x:v>
      </x:c>
      <x:c r="F706" t="str">
        <x:v>C</x:v>
      </x:c>
      <x:c r="G706" t="n">
        <x:v>24</x:v>
      </x:c>
      <x:c r="H706" t="str">
        <x:v>ORD-2025-00126</x:v>
      </x:c>
      <x:c r="I706" t="n">
        <x:v>13</x:v>
      </x:c>
      <x:c r="J706" t="n">
        <x:v>12</x:v>
      </x:c>
      <x:c r="K706" t="n">
        <x:v>2</x:v>
      </x:c>
      <x:c r="L706" t="n">
        <x:f>IF(I706&lt;=J706,1,0)</x:f>
        <x:v>0</x:v>
      </x:c>
      <x:c r="P706" t="n">
        <x:f>IF(M706="",IF(AND(L706=1,K706&gt;=1),1,0),M706)</x:f>
        <x:v>0</x:v>
      </x:c>
      <x:c r="Q706" t="n">
        <x:f>IF(N706="",IF(AND(L706=1,K706&gt;=2),1,0),N706)</x:f>
        <x:v>0</x:v>
      </x:c>
      <x:c r="R706" t="n">
        <x:f>IF(O706="",IF(AND(L706=1,K706&gt;=3),1,0),O706)</x:f>
        <x:v>0</x:v>
      </x:c>
      <x:c r="S706" t="n">
        <x:f>SUM(P706:R706)</x:f>
        <x:v>0</x:v>
      </x:c>
      <x:c r="T706" t="str">
        <x:f>IF(COUNTA(M706:O706)=0,"DerivedFromCount","ManualOverride")</x:f>
        <x:v>DerivedFromCount</x:v>
      </x:c>
      <x:c r="U706" t="str">
        <x:f>IF(COUNTIF(DailyProduction!$Q$5:$Q$100,B706)=1,"OK","CHECK")</x:f>
        <x:v>OK</x:v>
      </x:c>
      <x:c r="V706" t="str">
        <x:f>IF(AND(I706&gt;=1,I706&lt;=13,K706&gt;=1,K706&lt;=3),"OK","CHECK")</x:f>
        <x:v>OK</x:v>
      </x:c>
      <x:c r="W706" t="str">
        <x:f>IF(SUMIF($B$5:$B$914,B706,$S$5:$S$914)=SUMIF(DailyProduction!$Q$5:$Q$100,B706,DailyProduction!$R$5:$R$100),"OK","CHECK")</x:f>
        <x:v>OK</x:v>
      </x:c>
    </x:row>
    <x:row r="707">
      <x:c r="A707" t="str">
        <x:v>PC-PE-KG01-L24-20251026-AM-ORD-2025-00126-S01</x:v>
      </x:c>
      <x:c r="B707" t="str">
        <x:v>PE-KG01-L24-20251026-AM-ORD-2025-00126</x:v>
      </x:c>
      <x:c r="C707" t="str">
        <x:v>KG01</x:v>
      </x:c>
      <x:c r="D707" t="n">
        <x:v>45956</x:v>
      </x:c>
      <x:c r="E707" t="str">
        <x:v>AM</x:v>
      </x:c>
      <x:c r="F707" t="str">
        <x:v>C</x:v>
      </x:c>
      <x:c r="G707" t="n">
        <x:v>24</x:v>
      </x:c>
      <x:c r="H707" t="str">
        <x:v>ORD-2025-00126</x:v>
      </x:c>
      <x:c r="I707" t="n">
        <x:v>1</x:v>
      </x:c>
      <x:c r="J707" t="n">
        <x:v>12</x:v>
      </x:c>
      <x:c r="K707" t="n">
        <x:v>2</x:v>
      </x:c>
      <x:c r="L707" t="n">
        <x:f>IF(I707&lt;=J707,1,0)</x:f>
        <x:v>1</x:v>
      </x:c>
      <x:c r="P707" t="n">
        <x:f>IF(M707="",IF(AND(L707=1,K707&gt;=1),1,0),M707)</x:f>
        <x:v>1</x:v>
      </x:c>
      <x:c r="Q707" t="n">
        <x:f>IF(N707="",IF(AND(L707=1,K707&gt;=2),1,0),N707)</x:f>
        <x:v>1</x:v>
      </x:c>
      <x:c r="R707" t="n">
        <x:f>IF(O707="",IF(AND(L707=1,K707&gt;=3),1,0),O707)</x:f>
        <x:v>0</x:v>
      </x:c>
      <x:c r="S707" t="n">
        <x:f>SUM(P707:R707)</x:f>
        <x:v>2</x:v>
      </x:c>
      <x:c r="T707" t="str">
        <x:f>IF(COUNTA(M707:O707)=0,"DerivedFromCount","ManualOverride")</x:f>
        <x:v>DerivedFromCount</x:v>
      </x:c>
      <x:c r="U707" t="str">
        <x:f>IF(COUNTIF(DailyProduction!$Q$5:$Q$100,B707)=1,"OK","CHECK")</x:f>
        <x:v>OK</x:v>
      </x:c>
      <x:c r="V707" t="str">
        <x:f>IF(AND(I707&gt;=1,I707&lt;=13,K707&gt;=1,K707&lt;=3),"OK","CHECK")</x:f>
        <x:v>OK</x:v>
      </x:c>
      <x:c r="W707" t="str">
        <x:f>IF(SUMIF($B$5:$B$914,B707,$S$5:$S$914)=SUMIF(DailyProduction!$Q$5:$Q$100,B707,DailyProduction!$R$5:$R$100),"OK","CHECK")</x:f>
        <x:v>OK</x:v>
      </x:c>
    </x:row>
    <x:row r="708">
      <x:c r="A708" t="str">
        <x:v>PC-PE-KG01-L24-20251026-AM-ORD-2025-00126-S02</x:v>
      </x:c>
      <x:c r="B708" t="str">
        <x:v>PE-KG01-L24-20251026-AM-ORD-2025-00126</x:v>
      </x:c>
      <x:c r="C708" t="str">
        <x:v>KG01</x:v>
      </x:c>
      <x:c r="D708" t="n">
        <x:v>45956</x:v>
      </x:c>
      <x:c r="E708" t="str">
        <x:v>AM</x:v>
      </x:c>
      <x:c r="F708" t="str">
        <x:v>C</x:v>
      </x:c>
      <x:c r="G708" t="n">
        <x:v>24</x:v>
      </x:c>
      <x:c r="H708" t="str">
        <x:v>ORD-2025-00126</x:v>
      </x:c>
      <x:c r="I708" t="n">
        <x:v>2</x:v>
      </x:c>
      <x:c r="J708" t="n">
        <x:v>12</x:v>
      </x:c>
      <x:c r="K708" t="n">
        <x:v>2</x:v>
      </x:c>
      <x:c r="L708" t="n">
        <x:f>IF(I708&lt;=J708,1,0)</x:f>
        <x:v>1</x:v>
      </x:c>
      <x:c r="P708" t="n">
        <x:f>IF(M708="",IF(AND(L708=1,K708&gt;=1),1,0),M708)</x:f>
        <x:v>1</x:v>
      </x:c>
      <x:c r="Q708" t="n">
        <x:f>IF(N708="",IF(AND(L708=1,K708&gt;=2),1,0),N708)</x:f>
        <x:v>1</x:v>
      </x:c>
      <x:c r="R708" t="n">
        <x:f>IF(O708="",IF(AND(L708=1,K708&gt;=3),1,0),O708)</x:f>
        <x:v>0</x:v>
      </x:c>
      <x:c r="S708" t="n">
        <x:f>SUM(P708:R708)</x:f>
        <x:v>2</x:v>
      </x:c>
      <x:c r="T708" t="str">
        <x:f>IF(COUNTA(M708:O708)=0,"DerivedFromCount","ManualOverride")</x:f>
        <x:v>DerivedFromCount</x:v>
      </x:c>
      <x:c r="U708" t="str">
        <x:f>IF(COUNTIF(DailyProduction!$Q$5:$Q$100,B708)=1,"OK","CHECK")</x:f>
        <x:v>OK</x:v>
      </x:c>
      <x:c r="V708" t="str">
        <x:f>IF(AND(I708&gt;=1,I708&lt;=13,K708&gt;=1,K708&lt;=3),"OK","CHECK")</x:f>
        <x:v>OK</x:v>
      </x:c>
      <x:c r="W708" t="str">
        <x:f>IF(SUMIF($B$5:$B$914,B708,$S$5:$S$914)=SUMIF(DailyProduction!$Q$5:$Q$100,B708,DailyProduction!$R$5:$R$100),"OK","CHECK")</x:f>
        <x:v>OK</x:v>
      </x:c>
    </x:row>
    <x:row r="709">
      <x:c r="A709" t="str">
        <x:v>PC-PE-KG01-L24-20251026-AM-ORD-2025-00126-S03</x:v>
      </x:c>
      <x:c r="B709" t="str">
        <x:v>PE-KG01-L24-20251026-AM-ORD-2025-00126</x:v>
      </x:c>
      <x:c r="C709" t="str">
        <x:v>KG01</x:v>
      </x:c>
      <x:c r="D709" t="n">
        <x:v>45956</x:v>
      </x:c>
      <x:c r="E709" t="str">
        <x:v>AM</x:v>
      </x:c>
      <x:c r="F709" t="str">
        <x:v>C</x:v>
      </x:c>
      <x:c r="G709" t="n">
        <x:v>24</x:v>
      </x:c>
      <x:c r="H709" t="str">
        <x:v>ORD-2025-00126</x:v>
      </x:c>
      <x:c r="I709" t="n">
        <x:v>3</x:v>
      </x:c>
      <x:c r="J709" t="n">
        <x:v>12</x:v>
      </x:c>
      <x:c r="K709" t="n">
        <x:v>2</x:v>
      </x:c>
      <x:c r="L709" t="n">
        <x:f>IF(I709&lt;=J709,1,0)</x:f>
        <x:v>1</x:v>
      </x:c>
      <x:c r="P709" t="n">
        <x:f>IF(M709="",IF(AND(L709=1,K709&gt;=1),1,0),M709)</x:f>
        <x:v>1</x:v>
      </x:c>
      <x:c r="Q709" t="n">
        <x:f>IF(N709="",IF(AND(L709=1,K709&gt;=2),1,0),N709)</x:f>
        <x:v>1</x:v>
      </x:c>
      <x:c r="R709" t="n">
        <x:f>IF(O709="",IF(AND(L709=1,K709&gt;=3),1,0),O709)</x:f>
        <x:v>0</x:v>
      </x:c>
      <x:c r="S709" t="n">
        <x:f>SUM(P709:R709)</x:f>
        <x:v>2</x:v>
      </x:c>
      <x:c r="T709" t="str">
        <x:f>IF(COUNTA(M709:O709)=0,"DerivedFromCount","ManualOverride")</x:f>
        <x:v>DerivedFromCount</x:v>
      </x:c>
      <x:c r="U709" t="str">
        <x:f>IF(COUNTIF(DailyProduction!$Q$5:$Q$100,B709)=1,"OK","CHECK")</x:f>
        <x:v>OK</x:v>
      </x:c>
      <x:c r="V709" t="str">
        <x:f>IF(AND(I709&gt;=1,I709&lt;=13,K709&gt;=1,K709&lt;=3),"OK","CHECK")</x:f>
        <x:v>OK</x:v>
      </x:c>
      <x:c r="W709" t="str">
        <x:f>IF(SUMIF($B$5:$B$914,B709,$S$5:$S$914)=SUMIF(DailyProduction!$Q$5:$Q$100,B709,DailyProduction!$R$5:$R$100),"OK","CHECK")</x:f>
        <x:v>OK</x:v>
      </x:c>
    </x:row>
    <x:row r="710">
      <x:c r="A710" t="str">
        <x:v>PC-PE-KG01-L24-20251026-AM-ORD-2025-00126-S04</x:v>
      </x:c>
      <x:c r="B710" t="str">
        <x:v>PE-KG01-L24-20251026-AM-ORD-2025-00126</x:v>
      </x:c>
      <x:c r="C710" t="str">
        <x:v>KG01</x:v>
      </x:c>
      <x:c r="D710" t="n">
        <x:v>45956</x:v>
      </x:c>
      <x:c r="E710" t="str">
        <x:v>AM</x:v>
      </x:c>
      <x:c r="F710" t="str">
        <x:v>C</x:v>
      </x:c>
      <x:c r="G710" t="n">
        <x:v>24</x:v>
      </x:c>
      <x:c r="H710" t="str">
        <x:v>ORD-2025-00126</x:v>
      </x:c>
      <x:c r="I710" t="n">
        <x:v>4</x:v>
      </x:c>
      <x:c r="J710" t="n">
        <x:v>12</x:v>
      </x:c>
      <x:c r="K710" t="n">
        <x:v>2</x:v>
      </x:c>
      <x:c r="L710" t="n">
        <x:f>IF(I710&lt;=J710,1,0)</x:f>
        <x:v>1</x:v>
      </x:c>
      <x:c r="P710" t="n">
        <x:f>IF(M710="",IF(AND(L710=1,K710&gt;=1),1,0),M710)</x:f>
        <x:v>1</x:v>
      </x:c>
      <x:c r="Q710" t="n">
        <x:f>IF(N710="",IF(AND(L710=1,K710&gt;=2),1,0),N710)</x:f>
        <x:v>1</x:v>
      </x:c>
      <x:c r="R710" t="n">
        <x:f>IF(O710="",IF(AND(L710=1,K710&gt;=3),1,0),O710)</x:f>
        <x:v>0</x:v>
      </x:c>
      <x:c r="S710" t="n">
        <x:f>SUM(P710:R710)</x:f>
        <x:v>2</x:v>
      </x:c>
      <x:c r="T710" t="str">
        <x:f>IF(COUNTA(M710:O710)=0,"DerivedFromCount","ManualOverride")</x:f>
        <x:v>DerivedFromCount</x:v>
      </x:c>
      <x:c r="U710" t="str">
        <x:f>IF(COUNTIF(DailyProduction!$Q$5:$Q$100,B710)=1,"OK","CHECK")</x:f>
        <x:v>OK</x:v>
      </x:c>
      <x:c r="V710" t="str">
        <x:f>IF(AND(I710&gt;=1,I710&lt;=13,K710&gt;=1,K710&lt;=3),"OK","CHECK")</x:f>
        <x:v>OK</x:v>
      </x:c>
      <x:c r="W710" t="str">
        <x:f>IF(SUMIF($B$5:$B$914,B710,$S$5:$S$914)=SUMIF(DailyProduction!$Q$5:$Q$100,B710,DailyProduction!$R$5:$R$100),"OK","CHECK")</x:f>
        <x:v>OK</x:v>
      </x:c>
    </x:row>
    <x:row r="711">
      <x:c r="A711" t="str">
        <x:v>PC-PE-KG01-L24-20251026-AM-ORD-2025-00126-S05</x:v>
      </x:c>
      <x:c r="B711" t="str">
        <x:v>PE-KG01-L24-20251026-AM-ORD-2025-00126</x:v>
      </x:c>
      <x:c r="C711" t="str">
        <x:v>KG01</x:v>
      </x:c>
      <x:c r="D711" t="n">
        <x:v>45956</x:v>
      </x:c>
      <x:c r="E711" t="str">
        <x:v>AM</x:v>
      </x:c>
      <x:c r="F711" t="str">
        <x:v>C</x:v>
      </x:c>
      <x:c r="G711" t="n">
        <x:v>24</x:v>
      </x:c>
      <x:c r="H711" t="str">
        <x:v>ORD-2025-00126</x:v>
      </x:c>
      <x:c r="I711" t="n">
        <x:v>5</x:v>
      </x:c>
      <x:c r="J711" t="n">
        <x:v>12</x:v>
      </x:c>
      <x:c r="K711" t="n">
        <x:v>2</x:v>
      </x:c>
      <x:c r="L711" t="n">
        <x:f>IF(I711&lt;=J711,1,0)</x:f>
        <x:v>1</x:v>
      </x:c>
      <x:c r="P711" t="n">
        <x:f>IF(M711="",IF(AND(L711=1,K711&gt;=1),1,0),M711)</x:f>
        <x:v>1</x:v>
      </x:c>
      <x:c r="Q711" t="n">
        <x:f>IF(N711="",IF(AND(L711=1,K711&gt;=2),1,0),N711)</x:f>
        <x:v>1</x:v>
      </x:c>
      <x:c r="R711" t="n">
        <x:f>IF(O711="",IF(AND(L711=1,K711&gt;=3),1,0),O711)</x:f>
        <x:v>0</x:v>
      </x:c>
      <x:c r="S711" t="n">
        <x:f>SUM(P711:R711)</x:f>
        <x:v>2</x:v>
      </x:c>
      <x:c r="T711" t="str">
        <x:f>IF(COUNTA(M711:O711)=0,"DerivedFromCount","ManualOverride")</x:f>
        <x:v>DerivedFromCount</x:v>
      </x:c>
      <x:c r="U711" t="str">
        <x:f>IF(COUNTIF(DailyProduction!$Q$5:$Q$100,B711)=1,"OK","CHECK")</x:f>
        <x:v>OK</x:v>
      </x:c>
      <x:c r="V711" t="str">
        <x:f>IF(AND(I711&gt;=1,I711&lt;=13,K711&gt;=1,K711&lt;=3),"OK","CHECK")</x:f>
        <x:v>OK</x:v>
      </x:c>
      <x:c r="W711" t="str">
        <x:f>IF(SUMIF($B$5:$B$914,B711,$S$5:$S$914)=SUMIF(DailyProduction!$Q$5:$Q$100,B711,DailyProduction!$R$5:$R$100),"OK","CHECK")</x:f>
        <x:v>OK</x:v>
      </x:c>
    </x:row>
    <x:row r="712">
      <x:c r="A712" t="str">
        <x:v>PC-PE-KG01-L24-20251026-AM-ORD-2025-00126-S06</x:v>
      </x:c>
      <x:c r="B712" t="str">
        <x:v>PE-KG01-L24-20251026-AM-ORD-2025-00126</x:v>
      </x:c>
      <x:c r="C712" t="str">
        <x:v>KG01</x:v>
      </x:c>
      <x:c r="D712" t="n">
        <x:v>45956</x:v>
      </x:c>
      <x:c r="E712" t="str">
        <x:v>AM</x:v>
      </x:c>
      <x:c r="F712" t="str">
        <x:v>C</x:v>
      </x:c>
      <x:c r="G712" t="n">
        <x:v>24</x:v>
      </x:c>
      <x:c r="H712" t="str">
        <x:v>ORD-2025-00126</x:v>
      </x:c>
      <x:c r="I712" t="n">
        <x:v>6</x:v>
      </x:c>
      <x:c r="J712" t="n">
        <x:v>12</x:v>
      </x:c>
      <x:c r="K712" t="n">
        <x:v>2</x:v>
      </x:c>
      <x:c r="L712" t="n">
        <x:f>IF(I712&lt;=J712,1,0)</x:f>
        <x:v>1</x:v>
      </x:c>
      <x:c r="P712" t="n">
        <x:f>IF(M712="",IF(AND(L712=1,K712&gt;=1),1,0),M712)</x:f>
        <x:v>1</x:v>
      </x:c>
      <x:c r="Q712" t="n">
        <x:f>IF(N712="",IF(AND(L712=1,K712&gt;=2),1,0),N712)</x:f>
        <x:v>1</x:v>
      </x:c>
      <x:c r="R712" t="n">
        <x:f>IF(O712="",IF(AND(L712=1,K712&gt;=3),1,0),O712)</x:f>
        <x:v>0</x:v>
      </x:c>
      <x:c r="S712" t="n">
        <x:f>SUM(P712:R712)</x:f>
        <x:v>2</x:v>
      </x:c>
      <x:c r="T712" t="str">
        <x:f>IF(COUNTA(M712:O712)=0,"DerivedFromCount","ManualOverride")</x:f>
        <x:v>DerivedFromCount</x:v>
      </x:c>
      <x:c r="U712" t="str">
        <x:f>IF(COUNTIF(DailyProduction!$Q$5:$Q$100,B712)=1,"OK","CHECK")</x:f>
        <x:v>OK</x:v>
      </x:c>
      <x:c r="V712" t="str">
        <x:f>IF(AND(I712&gt;=1,I712&lt;=13,K712&gt;=1,K712&lt;=3),"OK","CHECK")</x:f>
        <x:v>OK</x:v>
      </x:c>
      <x:c r="W712" t="str">
        <x:f>IF(SUMIF($B$5:$B$914,B712,$S$5:$S$914)=SUMIF(DailyProduction!$Q$5:$Q$100,B712,DailyProduction!$R$5:$R$100),"OK","CHECK")</x:f>
        <x:v>OK</x:v>
      </x:c>
    </x:row>
    <x:row r="713">
      <x:c r="A713" t="str">
        <x:v>PC-PE-KG01-L24-20251026-AM-ORD-2025-00126-S07</x:v>
      </x:c>
      <x:c r="B713" t="str">
        <x:v>PE-KG01-L24-20251026-AM-ORD-2025-00126</x:v>
      </x:c>
      <x:c r="C713" t="str">
        <x:v>KG01</x:v>
      </x:c>
      <x:c r="D713" t="n">
        <x:v>45956</x:v>
      </x:c>
      <x:c r="E713" t="str">
        <x:v>AM</x:v>
      </x:c>
      <x:c r="F713" t="str">
        <x:v>C</x:v>
      </x:c>
      <x:c r="G713" t="n">
        <x:v>24</x:v>
      </x:c>
      <x:c r="H713" t="str">
        <x:v>ORD-2025-00126</x:v>
      </x:c>
      <x:c r="I713" t="n">
        <x:v>7</x:v>
      </x:c>
      <x:c r="J713" t="n">
        <x:v>12</x:v>
      </x:c>
      <x:c r="K713" t="n">
        <x:v>2</x:v>
      </x:c>
      <x:c r="L713" t="n">
        <x:f>IF(I713&lt;=J713,1,0)</x:f>
        <x:v>1</x:v>
      </x:c>
      <x:c r="P713" t="n">
        <x:f>IF(M713="",IF(AND(L713=1,K713&gt;=1),1,0),M713)</x:f>
        <x:v>1</x:v>
      </x:c>
      <x:c r="Q713" t="n">
        <x:f>IF(N713="",IF(AND(L713=1,K713&gt;=2),1,0),N713)</x:f>
        <x:v>1</x:v>
      </x:c>
      <x:c r="R713" t="n">
        <x:f>IF(O713="",IF(AND(L713=1,K713&gt;=3),1,0),O713)</x:f>
        <x:v>0</x:v>
      </x:c>
      <x:c r="S713" t="n">
        <x:f>SUM(P713:R713)</x:f>
        <x:v>2</x:v>
      </x:c>
      <x:c r="T713" t="str">
        <x:f>IF(COUNTA(M713:O713)=0,"DerivedFromCount","ManualOverride")</x:f>
        <x:v>DerivedFromCount</x:v>
      </x:c>
      <x:c r="U713" t="str">
        <x:f>IF(COUNTIF(DailyProduction!$Q$5:$Q$100,B713)=1,"OK","CHECK")</x:f>
        <x:v>OK</x:v>
      </x:c>
      <x:c r="V713" t="str">
        <x:f>IF(AND(I713&gt;=1,I713&lt;=13,K713&gt;=1,K713&lt;=3),"OK","CHECK")</x:f>
        <x:v>OK</x:v>
      </x:c>
      <x:c r="W713" t="str">
        <x:f>IF(SUMIF($B$5:$B$914,B713,$S$5:$S$914)=SUMIF(DailyProduction!$Q$5:$Q$100,B713,DailyProduction!$R$5:$R$100),"OK","CHECK")</x:f>
        <x:v>OK</x:v>
      </x:c>
    </x:row>
    <x:row r="714">
      <x:c r="A714" t="str">
        <x:v>PC-PE-KG01-L24-20251026-AM-ORD-2025-00126-S08</x:v>
      </x:c>
      <x:c r="B714" t="str">
        <x:v>PE-KG01-L24-20251026-AM-ORD-2025-00126</x:v>
      </x:c>
      <x:c r="C714" t="str">
        <x:v>KG01</x:v>
      </x:c>
      <x:c r="D714" t="n">
        <x:v>45956</x:v>
      </x:c>
      <x:c r="E714" t="str">
        <x:v>AM</x:v>
      </x:c>
      <x:c r="F714" t="str">
        <x:v>C</x:v>
      </x:c>
      <x:c r="G714" t="n">
        <x:v>24</x:v>
      </x:c>
      <x:c r="H714" t="str">
        <x:v>ORD-2025-00126</x:v>
      </x:c>
      <x:c r="I714" t="n">
        <x:v>8</x:v>
      </x:c>
      <x:c r="J714" t="n">
        <x:v>12</x:v>
      </x:c>
      <x:c r="K714" t="n">
        <x:v>2</x:v>
      </x:c>
      <x:c r="L714" t="n">
        <x:f>IF(I714&lt;=J714,1,0)</x:f>
        <x:v>1</x:v>
      </x:c>
      <x:c r="P714" t="n">
        <x:f>IF(M714="",IF(AND(L714=1,K714&gt;=1),1,0),M714)</x:f>
        <x:v>1</x:v>
      </x:c>
      <x:c r="Q714" t="n">
        <x:f>IF(N714="",IF(AND(L714=1,K714&gt;=2),1,0),N714)</x:f>
        <x:v>1</x:v>
      </x:c>
      <x:c r="R714" t="n">
        <x:f>IF(O714="",IF(AND(L714=1,K714&gt;=3),1,0),O714)</x:f>
        <x:v>0</x:v>
      </x:c>
      <x:c r="S714" t="n">
        <x:f>SUM(P714:R714)</x:f>
        <x:v>2</x:v>
      </x:c>
      <x:c r="T714" t="str">
        <x:f>IF(COUNTA(M714:O714)=0,"DerivedFromCount","ManualOverride")</x:f>
        <x:v>DerivedFromCount</x:v>
      </x:c>
      <x:c r="U714" t="str">
        <x:f>IF(COUNTIF(DailyProduction!$Q$5:$Q$100,B714)=1,"OK","CHECK")</x:f>
        <x:v>OK</x:v>
      </x:c>
      <x:c r="V714" t="str">
        <x:f>IF(AND(I714&gt;=1,I714&lt;=13,K714&gt;=1,K714&lt;=3),"OK","CHECK")</x:f>
        <x:v>OK</x:v>
      </x:c>
      <x:c r="W714" t="str">
        <x:f>IF(SUMIF($B$5:$B$914,B714,$S$5:$S$914)=SUMIF(DailyProduction!$Q$5:$Q$100,B714,DailyProduction!$R$5:$R$100),"OK","CHECK")</x:f>
        <x:v>OK</x:v>
      </x:c>
    </x:row>
    <x:row r="715">
      <x:c r="A715" t="str">
        <x:v>PC-PE-KG01-L24-20251026-AM-ORD-2025-00126-S09</x:v>
      </x:c>
      <x:c r="B715" t="str">
        <x:v>PE-KG01-L24-20251026-AM-ORD-2025-00126</x:v>
      </x:c>
      <x:c r="C715" t="str">
        <x:v>KG01</x:v>
      </x:c>
      <x:c r="D715" t="n">
        <x:v>45956</x:v>
      </x:c>
      <x:c r="E715" t="str">
        <x:v>AM</x:v>
      </x:c>
      <x:c r="F715" t="str">
        <x:v>C</x:v>
      </x:c>
      <x:c r="G715" t="n">
        <x:v>24</x:v>
      </x:c>
      <x:c r="H715" t="str">
        <x:v>ORD-2025-00126</x:v>
      </x:c>
      <x:c r="I715" t="n">
        <x:v>9</x:v>
      </x:c>
      <x:c r="J715" t="n">
        <x:v>12</x:v>
      </x:c>
      <x:c r="K715" t="n">
        <x:v>2</x:v>
      </x:c>
      <x:c r="L715" t="n">
        <x:f>IF(I715&lt;=J715,1,0)</x:f>
        <x:v>1</x:v>
      </x:c>
      <x:c r="P715" t="n">
        <x:f>IF(M715="",IF(AND(L715=1,K715&gt;=1),1,0),M715)</x:f>
        <x:v>1</x:v>
      </x:c>
      <x:c r="Q715" t="n">
        <x:f>IF(N715="",IF(AND(L715=1,K715&gt;=2),1,0),N715)</x:f>
        <x:v>1</x:v>
      </x:c>
      <x:c r="R715" t="n">
        <x:f>IF(O715="",IF(AND(L715=1,K715&gt;=3),1,0),O715)</x:f>
        <x:v>0</x:v>
      </x:c>
      <x:c r="S715" t="n">
        <x:f>SUM(P715:R715)</x:f>
        <x:v>2</x:v>
      </x:c>
      <x:c r="T715" t="str">
        <x:f>IF(COUNTA(M715:O715)=0,"DerivedFromCount","ManualOverride")</x:f>
        <x:v>DerivedFromCount</x:v>
      </x:c>
      <x:c r="U715" t="str">
        <x:f>IF(COUNTIF(DailyProduction!$Q$5:$Q$100,B715)=1,"OK","CHECK")</x:f>
        <x:v>OK</x:v>
      </x:c>
      <x:c r="V715" t="str">
        <x:f>IF(AND(I715&gt;=1,I715&lt;=13,K715&gt;=1,K715&lt;=3),"OK","CHECK")</x:f>
        <x:v>OK</x:v>
      </x:c>
      <x:c r="W715" t="str">
        <x:f>IF(SUMIF($B$5:$B$914,B715,$S$5:$S$914)=SUMIF(DailyProduction!$Q$5:$Q$100,B715,DailyProduction!$R$5:$R$100),"OK","CHECK")</x:f>
        <x:v>OK</x:v>
      </x:c>
    </x:row>
    <x:row r="716">
      <x:c r="A716" t="str">
        <x:v>PC-PE-KG01-L24-20251026-AM-ORD-2025-00126-S10</x:v>
      </x:c>
      <x:c r="B716" t="str">
        <x:v>PE-KG01-L24-20251026-AM-ORD-2025-00126</x:v>
      </x:c>
      <x:c r="C716" t="str">
        <x:v>KG01</x:v>
      </x:c>
      <x:c r="D716" t="n">
        <x:v>45956</x:v>
      </x:c>
      <x:c r="E716" t="str">
        <x:v>AM</x:v>
      </x:c>
      <x:c r="F716" t="str">
        <x:v>C</x:v>
      </x:c>
      <x:c r="G716" t="n">
        <x:v>24</x:v>
      </x:c>
      <x:c r="H716" t="str">
        <x:v>ORD-2025-00126</x:v>
      </x:c>
      <x:c r="I716" t="n">
        <x:v>10</x:v>
      </x:c>
      <x:c r="J716" t="n">
        <x:v>12</x:v>
      </x:c>
      <x:c r="K716" t="n">
        <x:v>2</x:v>
      </x:c>
      <x:c r="L716" t="n">
        <x:f>IF(I716&lt;=J716,1,0)</x:f>
        <x:v>1</x:v>
      </x:c>
      <x:c r="P716" t="n">
        <x:f>IF(M716="",IF(AND(L716=1,K716&gt;=1),1,0),M716)</x:f>
        <x:v>1</x:v>
      </x:c>
      <x:c r="Q716" t="n">
        <x:f>IF(N716="",IF(AND(L716=1,K716&gt;=2),1,0),N716)</x:f>
        <x:v>1</x:v>
      </x:c>
      <x:c r="R716" t="n">
        <x:f>IF(O716="",IF(AND(L716=1,K716&gt;=3),1,0),O716)</x:f>
        <x:v>0</x:v>
      </x:c>
      <x:c r="S716" t="n">
        <x:f>SUM(P716:R716)</x:f>
        <x:v>2</x:v>
      </x:c>
      <x:c r="T716" t="str">
        <x:f>IF(COUNTA(M716:O716)=0,"DerivedFromCount","ManualOverride")</x:f>
        <x:v>DerivedFromCount</x:v>
      </x:c>
      <x:c r="U716" t="str">
        <x:f>IF(COUNTIF(DailyProduction!$Q$5:$Q$100,B716)=1,"OK","CHECK")</x:f>
        <x:v>OK</x:v>
      </x:c>
      <x:c r="V716" t="str">
        <x:f>IF(AND(I716&gt;=1,I716&lt;=13,K716&gt;=1,K716&lt;=3),"OK","CHECK")</x:f>
        <x:v>OK</x:v>
      </x:c>
      <x:c r="W716" t="str">
        <x:f>IF(SUMIF($B$5:$B$914,B716,$S$5:$S$914)=SUMIF(DailyProduction!$Q$5:$Q$100,B716,DailyProduction!$R$5:$R$100),"OK","CHECK")</x:f>
        <x:v>OK</x:v>
      </x:c>
    </x:row>
    <x:row r="717">
      <x:c r="A717" t="str">
        <x:v>PC-PE-KG01-L24-20251026-AM-ORD-2025-00126-S11</x:v>
      </x:c>
      <x:c r="B717" t="str">
        <x:v>PE-KG01-L24-20251026-AM-ORD-2025-00126</x:v>
      </x:c>
      <x:c r="C717" t="str">
        <x:v>KG01</x:v>
      </x:c>
      <x:c r="D717" t="n">
        <x:v>45956</x:v>
      </x:c>
      <x:c r="E717" t="str">
        <x:v>AM</x:v>
      </x:c>
      <x:c r="F717" t="str">
        <x:v>C</x:v>
      </x:c>
      <x:c r="G717" t="n">
        <x:v>24</x:v>
      </x:c>
      <x:c r="H717" t="str">
        <x:v>ORD-2025-00126</x:v>
      </x:c>
      <x:c r="I717" t="n">
        <x:v>11</x:v>
      </x:c>
      <x:c r="J717" t="n">
        <x:v>12</x:v>
      </x:c>
      <x:c r="K717" t="n">
        <x:v>2</x:v>
      </x:c>
      <x:c r="L717" t="n">
        <x:f>IF(I717&lt;=J717,1,0)</x:f>
        <x:v>1</x:v>
      </x:c>
      <x:c r="P717" t="n">
        <x:f>IF(M717="",IF(AND(L717=1,K717&gt;=1),1,0),M717)</x:f>
        <x:v>1</x:v>
      </x:c>
      <x:c r="Q717" t="n">
        <x:f>IF(N717="",IF(AND(L717=1,K717&gt;=2),1,0),N717)</x:f>
        <x:v>1</x:v>
      </x:c>
      <x:c r="R717" t="n">
        <x:f>IF(O717="",IF(AND(L717=1,K717&gt;=3),1,0),O717)</x:f>
        <x:v>0</x:v>
      </x:c>
      <x:c r="S717" t="n">
        <x:f>SUM(P717:R717)</x:f>
        <x:v>2</x:v>
      </x:c>
      <x:c r="T717" t="str">
        <x:f>IF(COUNTA(M717:O717)=0,"DerivedFromCount","ManualOverride")</x:f>
        <x:v>DerivedFromCount</x:v>
      </x:c>
      <x:c r="U717" t="str">
        <x:f>IF(COUNTIF(DailyProduction!$Q$5:$Q$100,B717)=1,"OK","CHECK")</x:f>
        <x:v>OK</x:v>
      </x:c>
      <x:c r="V717" t="str">
        <x:f>IF(AND(I717&gt;=1,I717&lt;=13,K717&gt;=1,K717&lt;=3),"OK","CHECK")</x:f>
        <x:v>OK</x:v>
      </x:c>
      <x:c r="W717" t="str">
        <x:f>IF(SUMIF($B$5:$B$914,B717,$S$5:$S$914)=SUMIF(DailyProduction!$Q$5:$Q$100,B717,DailyProduction!$R$5:$R$100),"OK","CHECK")</x:f>
        <x:v>OK</x:v>
      </x:c>
    </x:row>
    <x:row r="718">
      <x:c r="A718" t="str">
        <x:v>PC-PE-KG01-L24-20251026-AM-ORD-2025-00126-S12</x:v>
      </x:c>
      <x:c r="B718" t="str">
        <x:v>PE-KG01-L24-20251026-AM-ORD-2025-00126</x:v>
      </x:c>
      <x:c r="C718" t="str">
        <x:v>KG01</x:v>
      </x:c>
      <x:c r="D718" t="n">
        <x:v>45956</x:v>
      </x:c>
      <x:c r="E718" t="str">
        <x:v>AM</x:v>
      </x:c>
      <x:c r="F718" t="str">
        <x:v>C</x:v>
      </x:c>
      <x:c r="G718" t="n">
        <x:v>24</x:v>
      </x:c>
      <x:c r="H718" t="str">
        <x:v>ORD-2025-00126</x:v>
      </x:c>
      <x:c r="I718" t="n">
        <x:v>12</x:v>
      </x:c>
      <x:c r="J718" t="n">
        <x:v>12</x:v>
      </x:c>
      <x:c r="K718" t="n">
        <x:v>2</x:v>
      </x:c>
      <x:c r="L718" t="n">
        <x:f>IF(I718&lt;=J718,1,0)</x:f>
        <x:v>1</x:v>
      </x:c>
      <x:c r="P718" t="n">
        <x:f>IF(M718="",IF(AND(L718=1,K718&gt;=1),1,0),M718)</x:f>
        <x:v>1</x:v>
      </x:c>
      <x:c r="Q718" t="n">
        <x:f>IF(N718="",IF(AND(L718=1,K718&gt;=2),1,0),N718)</x:f>
        <x:v>1</x:v>
      </x:c>
      <x:c r="R718" t="n">
        <x:f>IF(O718="",IF(AND(L718=1,K718&gt;=3),1,0),O718)</x:f>
        <x:v>0</x:v>
      </x:c>
      <x:c r="S718" t="n">
        <x:f>SUM(P718:R718)</x:f>
        <x:v>2</x:v>
      </x:c>
      <x:c r="T718" t="str">
        <x:f>IF(COUNTA(M718:O718)=0,"DerivedFromCount","ManualOverride")</x:f>
        <x:v>DerivedFromCount</x:v>
      </x:c>
      <x:c r="U718" t="str">
        <x:f>IF(COUNTIF(DailyProduction!$Q$5:$Q$100,B718)=1,"OK","CHECK")</x:f>
        <x:v>OK</x:v>
      </x:c>
      <x:c r="V718" t="str">
        <x:f>IF(AND(I718&gt;=1,I718&lt;=13,K718&gt;=1,K718&lt;=3),"OK","CHECK")</x:f>
        <x:v>OK</x:v>
      </x:c>
      <x:c r="W718" t="str">
        <x:f>IF(SUMIF($B$5:$B$914,B718,$S$5:$S$914)=SUMIF(DailyProduction!$Q$5:$Q$100,B718,DailyProduction!$R$5:$R$100),"OK","CHECK")</x:f>
        <x:v>OK</x:v>
      </x:c>
    </x:row>
    <x:row r="719">
      <x:c r="A719" t="str">
        <x:v>PC-PE-KG01-L24-20251026-AM-ORD-2025-00126-S13</x:v>
      </x:c>
      <x:c r="B719" t="str">
        <x:v>PE-KG01-L24-20251026-AM-ORD-2025-00126</x:v>
      </x:c>
      <x:c r="C719" t="str">
        <x:v>KG01</x:v>
      </x:c>
      <x:c r="D719" t="n">
        <x:v>45956</x:v>
      </x:c>
      <x:c r="E719" t="str">
        <x:v>AM</x:v>
      </x:c>
      <x:c r="F719" t="str">
        <x:v>C</x:v>
      </x:c>
      <x:c r="G719" t="n">
        <x:v>24</x:v>
      </x:c>
      <x:c r="H719" t="str">
        <x:v>ORD-2025-00126</x:v>
      </x:c>
      <x:c r="I719" t="n">
        <x:v>13</x:v>
      </x:c>
      <x:c r="J719" t="n">
        <x:v>12</x:v>
      </x:c>
      <x:c r="K719" t="n">
        <x:v>2</x:v>
      </x:c>
      <x:c r="L719" t="n">
        <x:f>IF(I719&lt;=J719,1,0)</x:f>
        <x:v>0</x:v>
      </x:c>
      <x:c r="P719" t="n">
        <x:f>IF(M719="",IF(AND(L719=1,K719&gt;=1),1,0),M719)</x:f>
        <x:v>0</x:v>
      </x:c>
      <x:c r="Q719" t="n">
        <x:f>IF(N719="",IF(AND(L719=1,K719&gt;=2),1,0),N719)</x:f>
        <x:v>0</x:v>
      </x:c>
      <x:c r="R719" t="n">
        <x:f>IF(O719="",IF(AND(L719=1,K719&gt;=3),1,0),O719)</x:f>
        <x:v>0</x:v>
      </x:c>
      <x:c r="S719" t="n">
        <x:f>SUM(P719:R719)</x:f>
        <x:v>0</x:v>
      </x:c>
      <x:c r="T719" t="str">
        <x:f>IF(COUNTA(M719:O719)=0,"DerivedFromCount","ManualOverride")</x:f>
        <x:v>DerivedFromCount</x:v>
      </x:c>
      <x:c r="U719" t="str">
        <x:f>IF(COUNTIF(DailyProduction!$Q$5:$Q$100,B719)=1,"OK","CHECK")</x:f>
        <x:v>OK</x:v>
      </x:c>
      <x:c r="V719" t="str">
        <x:f>IF(AND(I719&gt;=1,I719&lt;=13,K719&gt;=1,K719&lt;=3),"OK","CHECK")</x:f>
        <x:v>OK</x:v>
      </x:c>
      <x:c r="W719" t="str">
        <x:f>IF(SUMIF($B$5:$B$914,B719,$S$5:$S$914)=SUMIF(DailyProduction!$Q$5:$Q$100,B719,DailyProduction!$R$5:$R$100),"OK","CHECK")</x:f>
        <x:v>OK</x:v>
      </x:c>
    </x:row>
    <x:row r="720">
      <x:c r="A720" t="str">
        <x:v>PC-PE-KG01-L24-20251026-PM-ORD-2025-00126-S01</x:v>
      </x:c>
      <x:c r="B720" t="str">
        <x:v>PE-KG01-L24-20251026-PM-ORD-2025-00126</x:v>
      </x:c>
      <x:c r="C720" t="str">
        <x:v>KG01</x:v>
      </x:c>
      <x:c r="D720" t="n">
        <x:v>45956</x:v>
      </x:c>
      <x:c r="E720" t="str">
        <x:v>PM</x:v>
      </x:c>
      <x:c r="F720" t="str">
        <x:v>A</x:v>
      </x:c>
      <x:c r="G720" t="n">
        <x:v>24</x:v>
      </x:c>
      <x:c r="H720" t="str">
        <x:v>ORD-2025-00126</x:v>
      </x:c>
      <x:c r="I720" t="n">
        <x:v>1</x:v>
      </x:c>
      <x:c r="J720" t="n">
        <x:v>12</x:v>
      </x:c>
      <x:c r="K720" t="n">
        <x:v>2</x:v>
      </x:c>
      <x:c r="L720" t="n">
        <x:f>IF(I720&lt;=J720,1,0)</x:f>
        <x:v>1</x:v>
      </x:c>
      <x:c r="P720" t="n">
        <x:f>IF(M720="",IF(AND(L720=1,K720&gt;=1),1,0),M720)</x:f>
        <x:v>1</x:v>
      </x:c>
      <x:c r="Q720" t="n">
        <x:f>IF(N720="",IF(AND(L720=1,K720&gt;=2),1,0),N720)</x:f>
        <x:v>1</x:v>
      </x:c>
      <x:c r="R720" t="n">
        <x:f>IF(O720="",IF(AND(L720=1,K720&gt;=3),1,0),O720)</x:f>
        <x:v>0</x:v>
      </x:c>
      <x:c r="S720" t="n">
        <x:f>SUM(P720:R720)</x:f>
        <x:v>2</x:v>
      </x:c>
      <x:c r="T720" t="str">
        <x:f>IF(COUNTA(M720:O720)=0,"DerivedFromCount","ManualOverride")</x:f>
        <x:v>DerivedFromCount</x:v>
      </x:c>
      <x:c r="U720" t="str">
        <x:f>IF(COUNTIF(DailyProduction!$Q$5:$Q$100,B720)=1,"OK","CHECK")</x:f>
        <x:v>OK</x:v>
      </x:c>
      <x:c r="V720" t="str">
        <x:f>IF(AND(I720&gt;=1,I720&lt;=13,K720&gt;=1,K720&lt;=3),"OK","CHECK")</x:f>
        <x:v>OK</x:v>
      </x:c>
      <x:c r="W720" t="str">
        <x:f>IF(SUMIF($B$5:$B$914,B720,$S$5:$S$914)=SUMIF(DailyProduction!$Q$5:$Q$100,B720,DailyProduction!$R$5:$R$100),"OK","CHECK")</x:f>
        <x:v>OK</x:v>
      </x:c>
    </x:row>
    <x:row r="721">
      <x:c r="A721" t="str">
        <x:v>PC-PE-KG01-L24-20251026-PM-ORD-2025-00126-S02</x:v>
      </x:c>
      <x:c r="B721" t="str">
        <x:v>PE-KG01-L24-20251026-PM-ORD-2025-00126</x:v>
      </x:c>
      <x:c r="C721" t="str">
        <x:v>KG01</x:v>
      </x:c>
      <x:c r="D721" t="n">
        <x:v>45956</x:v>
      </x:c>
      <x:c r="E721" t="str">
        <x:v>PM</x:v>
      </x:c>
      <x:c r="F721" t="str">
        <x:v>A</x:v>
      </x:c>
      <x:c r="G721" t="n">
        <x:v>24</x:v>
      </x:c>
      <x:c r="H721" t="str">
        <x:v>ORD-2025-00126</x:v>
      </x:c>
      <x:c r="I721" t="n">
        <x:v>2</x:v>
      </x:c>
      <x:c r="J721" t="n">
        <x:v>12</x:v>
      </x:c>
      <x:c r="K721" t="n">
        <x:v>2</x:v>
      </x:c>
      <x:c r="L721" t="n">
        <x:f>IF(I721&lt;=J721,1,0)</x:f>
        <x:v>1</x:v>
      </x:c>
      <x:c r="P721" t="n">
        <x:f>IF(M721="",IF(AND(L721=1,K721&gt;=1),1,0),M721)</x:f>
        <x:v>1</x:v>
      </x:c>
      <x:c r="Q721" t="n">
        <x:f>IF(N721="",IF(AND(L721=1,K721&gt;=2),1,0),N721)</x:f>
        <x:v>1</x:v>
      </x:c>
      <x:c r="R721" t="n">
        <x:f>IF(O721="",IF(AND(L721=1,K721&gt;=3),1,0),O721)</x:f>
        <x:v>0</x:v>
      </x:c>
      <x:c r="S721" t="n">
        <x:f>SUM(P721:R721)</x:f>
        <x:v>2</x:v>
      </x:c>
      <x:c r="T721" t="str">
        <x:f>IF(COUNTA(M721:O721)=0,"DerivedFromCount","ManualOverride")</x:f>
        <x:v>DerivedFromCount</x:v>
      </x:c>
      <x:c r="U721" t="str">
        <x:f>IF(COUNTIF(DailyProduction!$Q$5:$Q$100,B721)=1,"OK","CHECK")</x:f>
        <x:v>OK</x:v>
      </x:c>
      <x:c r="V721" t="str">
        <x:f>IF(AND(I721&gt;=1,I721&lt;=13,K721&gt;=1,K721&lt;=3),"OK","CHECK")</x:f>
        <x:v>OK</x:v>
      </x:c>
      <x:c r="W721" t="str">
        <x:f>IF(SUMIF($B$5:$B$914,B721,$S$5:$S$914)=SUMIF(DailyProduction!$Q$5:$Q$100,B721,DailyProduction!$R$5:$R$100),"OK","CHECK")</x:f>
        <x:v>OK</x:v>
      </x:c>
    </x:row>
    <x:row r="722">
      <x:c r="A722" t="str">
        <x:v>PC-PE-KG01-L24-20251026-PM-ORD-2025-00126-S03</x:v>
      </x:c>
      <x:c r="B722" t="str">
        <x:v>PE-KG01-L24-20251026-PM-ORD-2025-00126</x:v>
      </x:c>
      <x:c r="C722" t="str">
        <x:v>KG01</x:v>
      </x:c>
      <x:c r="D722" t="n">
        <x:v>45956</x:v>
      </x:c>
      <x:c r="E722" t="str">
        <x:v>PM</x:v>
      </x:c>
      <x:c r="F722" t="str">
        <x:v>A</x:v>
      </x:c>
      <x:c r="G722" t="n">
        <x:v>24</x:v>
      </x:c>
      <x:c r="H722" t="str">
        <x:v>ORD-2025-00126</x:v>
      </x:c>
      <x:c r="I722" t="n">
        <x:v>3</x:v>
      </x:c>
      <x:c r="J722" t="n">
        <x:v>12</x:v>
      </x:c>
      <x:c r="K722" t="n">
        <x:v>2</x:v>
      </x:c>
      <x:c r="L722" t="n">
        <x:f>IF(I722&lt;=J722,1,0)</x:f>
        <x:v>1</x:v>
      </x:c>
      <x:c r="P722" t="n">
        <x:f>IF(M722="",IF(AND(L722=1,K722&gt;=1),1,0),M722)</x:f>
        <x:v>1</x:v>
      </x:c>
      <x:c r="Q722" t="n">
        <x:f>IF(N722="",IF(AND(L722=1,K722&gt;=2),1,0),N722)</x:f>
        <x:v>1</x:v>
      </x:c>
      <x:c r="R722" t="n">
        <x:f>IF(O722="",IF(AND(L722=1,K722&gt;=3),1,0),O722)</x:f>
        <x:v>0</x:v>
      </x:c>
      <x:c r="S722" t="n">
        <x:f>SUM(P722:R722)</x:f>
        <x:v>2</x:v>
      </x:c>
      <x:c r="T722" t="str">
        <x:f>IF(COUNTA(M722:O722)=0,"DerivedFromCount","ManualOverride")</x:f>
        <x:v>DerivedFromCount</x:v>
      </x:c>
      <x:c r="U722" t="str">
        <x:f>IF(COUNTIF(DailyProduction!$Q$5:$Q$100,B722)=1,"OK","CHECK")</x:f>
        <x:v>OK</x:v>
      </x:c>
      <x:c r="V722" t="str">
        <x:f>IF(AND(I722&gt;=1,I722&lt;=13,K722&gt;=1,K722&lt;=3),"OK","CHECK")</x:f>
        <x:v>OK</x:v>
      </x:c>
      <x:c r="W722" t="str">
        <x:f>IF(SUMIF($B$5:$B$914,B722,$S$5:$S$914)=SUMIF(DailyProduction!$Q$5:$Q$100,B722,DailyProduction!$R$5:$R$100),"OK","CHECK")</x:f>
        <x:v>OK</x:v>
      </x:c>
    </x:row>
    <x:row r="723">
      <x:c r="A723" t="str">
        <x:v>PC-PE-KG01-L24-20251026-PM-ORD-2025-00126-S04</x:v>
      </x:c>
      <x:c r="B723" t="str">
        <x:v>PE-KG01-L24-20251026-PM-ORD-2025-00126</x:v>
      </x:c>
      <x:c r="C723" t="str">
        <x:v>KG01</x:v>
      </x:c>
      <x:c r="D723" t="n">
        <x:v>45956</x:v>
      </x:c>
      <x:c r="E723" t="str">
        <x:v>PM</x:v>
      </x:c>
      <x:c r="F723" t="str">
        <x:v>A</x:v>
      </x:c>
      <x:c r="G723" t="n">
        <x:v>24</x:v>
      </x:c>
      <x:c r="H723" t="str">
        <x:v>ORD-2025-00126</x:v>
      </x:c>
      <x:c r="I723" t="n">
        <x:v>4</x:v>
      </x:c>
      <x:c r="J723" t="n">
        <x:v>12</x:v>
      </x:c>
      <x:c r="K723" t="n">
        <x:v>2</x:v>
      </x:c>
      <x:c r="L723" t="n">
        <x:f>IF(I723&lt;=J723,1,0)</x:f>
        <x:v>1</x:v>
      </x:c>
      <x:c r="P723" t="n">
        <x:f>IF(M723="",IF(AND(L723=1,K723&gt;=1),1,0),M723)</x:f>
        <x:v>1</x:v>
      </x:c>
      <x:c r="Q723" t="n">
        <x:f>IF(N723="",IF(AND(L723=1,K723&gt;=2),1,0),N723)</x:f>
        <x:v>1</x:v>
      </x:c>
      <x:c r="R723" t="n">
        <x:f>IF(O723="",IF(AND(L723=1,K723&gt;=3),1,0),O723)</x:f>
        <x:v>0</x:v>
      </x:c>
      <x:c r="S723" t="n">
        <x:f>SUM(P723:R723)</x:f>
        <x:v>2</x:v>
      </x:c>
      <x:c r="T723" t="str">
        <x:f>IF(COUNTA(M723:O723)=0,"DerivedFromCount","ManualOverride")</x:f>
        <x:v>DerivedFromCount</x:v>
      </x:c>
      <x:c r="U723" t="str">
        <x:f>IF(COUNTIF(DailyProduction!$Q$5:$Q$100,B723)=1,"OK","CHECK")</x:f>
        <x:v>OK</x:v>
      </x:c>
      <x:c r="V723" t="str">
        <x:f>IF(AND(I723&gt;=1,I723&lt;=13,K723&gt;=1,K723&lt;=3),"OK","CHECK")</x:f>
        <x:v>OK</x:v>
      </x:c>
      <x:c r="W723" t="str">
        <x:f>IF(SUMIF($B$5:$B$914,B723,$S$5:$S$914)=SUMIF(DailyProduction!$Q$5:$Q$100,B723,DailyProduction!$R$5:$R$100),"OK","CHECK")</x:f>
        <x:v>OK</x:v>
      </x:c>
    </x:row>
    <x:row r="724">
      <x:c r="A724" t="str">
        <x:v>PC-PE-KG01-L24-20251026-PM-ORD-2025-00126-S05</x:v>
      </x:c>
      <x:c r="B724" t="str">
        <x:v>PE-KG01-L24-20251026-PM-ORD-2025-00126</x:v>
      </x:c>
      <x:c r="C724" t="str">
        <x:v>KG01</x:v>
      </x:c>
      <x:c r="D724" t="n">
        <x:v>45956</x:v>
      </x:c>
      <x:c r="E724" t="str">
        <x:v>PM</x:v>
      </x:c>
      <x:c r="F724" t="str">
        <x:v>A</x:v>
      </x:c>
      <x:c r="G724" t="n">
        <x:v>24</x:v>
      </x:c>
      <x:c r="H724" t="str">
        <x:v>ORD-2025-00126</x:v>
      </x:c>
      <x:c r="I724" t="n">
        <x:v>5</x:v>
      </x:c>
      <x:c r="J724" t="n">
        <x:v>12</x:v>
      </x:c>
      <x:c r="K724" t="n">
        <x:v>2</x:v>
      </x:c>
      <x:c r="L724" t="n">
        <x:f>IF(I724&lt;=J724,1,0)</x:f>
        <x:v>1</x:v>
      </x:c>
      <x:c r="P724" t="n">
        <x:f>IF(M724="",IF(AND(L724=1,K724&gt;=1),1,0),M724)</x:f>
        <x:v>1</x:v>
      </x:c>
      <x:c r="Q724" t="n">
        <x:f>IF(N724="",IF(AND(L724=1,K724&gt;=2),1,0),N724)</x:f>
        <x:v>1</x:v>
      </x:c>
      <x:c r="R724" t="n">
        <x:f>IF(O724="",IF(AND(L724=1,K724&gt;=3),1,0),O724)</x:f>
        <x:v>0</x:v>
      </x:c>
      <x:c r="S724" t="n">
        <x:f>SUM(P724:R724)</x:f>
        <x:v>2</x:v>
      </x:c>
      <x:c r="T724" t="str">
        <x:f>IF(COUNTA(M724:O724)=0,"DerivedFromCount","ManualOverride")</x:f>
        <x:v>DerivedFromCount</x:v>
      </x:c>
      <x:c r="U724" t="str">
        <x:f>IF(COUNTIF(DailyProduction!$Q$5:$Q$100,B724)=1,"OK","CHECK")</x:f>
        <x:v>OK</x:v>
      </x:c>
      <x:c r="V724" t="str">
        <x:f>IF(AND(I724&gt;=1,I724&lt;=13,K724&gt;=1,K724&lt;=3),"OK","CHECK")</x:f>
        <x:v>OK</x:v>
      </x:c>
      <x:c r="W724" t="str">
        <x:f>IF(SUMIF($B$5:$B$914,B724,$S$5:$S$914)=SUMIF(DailyProduction!$Q$5:$Q$100,B724,DailyProduction!$R$5:$R$100),"OK","CHECK")</x:f>
        <x:v>OK</x:v>
      </x:c>
    </x:row>
    <x:row r="725">
      <x:c r="A725" t="str">
        <x:v>PC-PE-KG01-L24-20251026-PM-ORD-2025-00126-S06</x:v>
      </x:c>
      <x:c r="B725" t="str">
        <x:v>PE-KG01-L24-20251026-PM-ORD-2025-00126</x:v>
      </x:c>
      <x:c r="C725" t="str">
        <x:v>KG01</x:v>
      </x:c>
      <x:c r="D725" t="n">
        <x:v>45956</x:v>
      </x:c>
      <x:c r="E725" t="str">
        <x:v>PM</x:v>
      </x:c>
      <x:c r="F725" t="str">
        <x:v>A</x:v>
      </x:c>
      <x:c r="G725" t="n">
        <x:v>24</x:v>
      </x:c>
      <x:c r="H725" t="str">
        <x:v>ORD-2025-00126</x:v>
      </x:c>
      <x:c r="I725" t="n">
        <x:v>6</x:v>
      </x:c>
      <x:c r="J725" t="n">
        <x:v>12</x:v>
      </x:c>
      <x:c r="K725" t="n">
        <x:v>2</x:v>
      </x:c>
      <x:c r="L725" t="n">
        <x:f>IF(I725&lt;=J725,1,0)</x:f>
        <x:v>1</x:v>
      </x:c>
      <x:c r="P725" t="n">
        <x:f>IF(M725="",IF(AND(L725=1,K725&gt;=1),1,0),M725)</x:f>
        <x:v>1</x:v>
      </x:c>
      <x:c r="Q725" t="n">
        <x:f>IF(N725="",IF(AND(L725=1,K725&gt;=2),1,0),N725)</x:f>
        <x:v>1</x:v>
      </x:c>
      <x:c r="R725" t="n">
        <x:f>IF(O725="",IF(AND(L725=1,K725&gt;=3),1,0),O725)</x:f>
        <x:v>0</x:v>
      </x:c>
      <x:c r="S725" t="n">
        <x:f>SUM(P725:R725)</x:f>
        <x:v>2</x:v>
      </x:c>
      <x:c r="T725" t="str">
        <x:f>IF(COUNTA(M725:O725)=0,"DerivedFromCount","ManualOverride")</x:f>
        <x:v>DerivedFromCount</x:v>
      </x:c>
      <x:c r="U725" t="str">
        <x:f>IF(COUNTIF(DailyProduction!$Q$5:$Q$100,B725)=1,"OK","CHECK")</x:f>
        <x:v>OK</x:v>
      </x:c>
      <x:c r="V725" t="str">
        <x:f>IF(AND(I725&gt;=1,I725&lt;=13,K725&gt;=1,K725&lt;=3),"OK","CHECK")</x:f>
        <x:v>OK</x:v>
      </x:c>
      <x:c r="W725" t="str">
        <x:f>IF(SUMIF($B$5:$B$914,B725,$S$5:$S$914)=SUMIF(DailyProduction!$Q$5:$Q$100,B725,DailyProduction!$R$5:$R$100),"OK","CHECK")</x:f>
        <x:v>OK</x:v>
      </x:c>
    </x:row>
    <x:row r="726">
      <x:c r="A726" t="str">
        <x:v>PC-PE-KG01-L24-20251026-PM-ORD-2025-00126-S07</x:v>
      </x:c>
      <x:c r="B726" t="str">
        <x:v>PE-KG01-L24-20251026-PM-ORD-2025-00126</x:v>
      </x:c>
      <x:c r="C726" t="str">
        <x:v>KG01</x:v>
      </x:c>
      <x:c r="D726" t="n">
        <x:v>45956</x:v>
      </x:c>
      <x:c r="E726" t="str">
        <x:v>PM</x:v>
      </x:c>
      <x:c r="F726" t="str">
        <x:v>A</x:v>
      </x:c>
      <x:c r="G726" t="n">
        <x:v>24</x:v>
      </x:c>
      <x:c r="H726" t="str">
        <x:v>ORD-2025-00126</x:v>
      </x:c>
      <x:c r="I726" t="n">
        <x:v>7</x:v>
      </x:c>
      <x:c r="J726" t="n">
        <x:v>12</x:v>
      </x:c>
      <x:c r="K726" t="n">
        <x:v>2</x:v>
      </x:c>
      <x:c r="L726" t="n">
        <x:f>IF(I726&lt;=J726,1,0)</x:f>
        <x:v>1</x:v>
      </x:c>
      <x:c r="P726" t="n">
        <x:f>IF(M726="",IF(AND(L726=1,K726&gt;=1),1,0),M726)</x:f>
        <x:v>1</x:v>
      </x:c>
      <x:c r="Q726" t="n">
        <x:f>IF(N726="",IF(AND(L726=1,K726&gt;=2),1,0),N726)</x:f>
        <x:v>1</x:v>
      </x:c>
      <x:c r="R726" t="n">
        <x:f>IF(O726="",IF(AND(L726=1,K726&gt;=3),1,0),O726)</x:f>
        <x:v>0</x:v>
      </x:c>
      <x:c r="S726" t="n">
        <x:f>SUM(P726:R726)</x:f>
        <x:v>2</x:v>
      </x:c>
      <x:c r="T726" t="str">
        <x:f>IF(COUNTA(M726:O726)=0,"DerivedFromCount","ManualOverride")</x:f>
        <x:v>DerivedFromCount</x:v>
      </x:c>
      <x:c r="U726" t="str">
        <x:f>IF(COUNTIF(DailyProduction!$Q$5:$Q$100,B726)=1,"OK","CHECK")</x:f>
        <x:v>OK</x:v>
      </x:c>
      <x:c r="V726" t="str">
        <x:f>IF(AND(I726&gt;=1,I726&lt;=13,K726&gt;=1,K726&lt;=3),"OK","CHECK")</x:f>
        <x:v>OK</x:v>
      </x:c>
      <x:c r="W726" t="str">
        <x:f>IF(SUMIF($B$5:$B$914,B726,$S$5:$S$914)=SUMIF(DailyProduction!$Q$5:$Q$100,B726,DailyProduction!$R$5:$R$100),"OK","CHECK")</x:f>
        <x:v>OK</x:v>
      </x:c>
    </x:row>
    <x:row r="727">
      <x:c r="A727" t="str">
        <x:v>PC-PE-KG01-L24-20251026-PM-ORD-2025-00126-S08</x:v>
      </x:c>
      <x:c r="B727" t="str">
        <x:v>PE-KG01-L24-20251026-PM-ORD-2025-00126</x:v>
      </x:c>
      <x:c r="C727" t="str">
        <x:v>KG01</x:v>
      </x:c>
      <x:c r="D727" t="n">
        <x:v>45956</x:v>
      </x:c>
      <x:c r="E727" t="str">
        <x:v>PM</x:v>
      </x:c>
      <x:c r="F727" t="str">
        <x:v>A</x:v>
      </x:c>
      <x:c r="G727" t="n">
        <x:v>24</x:v>
      </x:c>
      <x:c r="H727" t="str">
        <x:v>ORD-2025-00126</x:v>
      </x:c>
      <x:c r="I727" t="n">
        <x:v>8</x:v>
      </x:c>
      <x:c r="J727" t="n">
        <x:v>12</x:v>
      </x:c>
      <x:c r="K727" t="n">
        <x:v>2</x:v>
      </x:c>
      <x:c r="L727" t="n">
        <x:f>IF(I727&lt;=J727,1,0)</x:f>
        <x:v>1</x:v>
      </x:c>
      <x:c r="P727" t="n">
        <x:f>IF(M727="",IF(AND(L727=1,K727&gt;=1),1,0),M727)</x:f>
        <x:v>1</x:v>
      </x:c>
      <x:c r="Q727" t="n">
        <x:f>IF(N727="",IF(AND(L727=1,K727&gt;=2),1,0),N727)</x:f>
        <x:v>1</x:v>
      </x:c>
      <x:c r="R727" t="n">
        <x:f>IF(O727="",IF(AND(L727=1,K727&gt;=3),1,0),O727)</x:f>
        <x:v>0</x:v>
      </x:c>
      <x:c r="S727" t="n">
        <x:f>SUM(P727:R727)</x:f>
        <x:v>2</x:v>
      </x:c>
      <x:c r="T727" t="str">
        <x:f>IF(COUNTA(M727:O727)=0,"DerivedFromCount","ManualOverride")</x:f>
        <x:v>DerivedFromCount</x:v>
      </x:c>
      <x:c r="U727" t="str">
        <x:f>IF(COUNTIF(DailyProduction!$Q$5:$Q$100,B727)=1,"OK","CHECK")</x:f>
        <x:v>OK</x:v>
      </x:c>
      <x:c r="V727" t="str">
        <x:f>IF(AND(I727&gt;=1,I727&lt;=13,K727&gt;=1,K727&lt;=3),"OK","CHECK")</x:f>
        <x:v>OK</x:v>
      </x:c>
      <x:c r="W727" t="str">
        <x:f>IF(SUMIF($B$5:$B$914,B727,$S$5:$S$914)=SUMIF(DailyProduction!$Q$5:$Q$100,B727,DailyProduction!$R$5:$R$100),"OK","CHECK")</x:f>
        <x:v>OK</x:v>
      </x:c>
    </x:row>
    <x:row r="728">
      <x:c r="A728" t="str">
        <x:v>PC-PE-KG01-L24-20251026-PM-ORD-2025-00126-S09</x:v>
      </x:c>
      <x:c r="B728" t="str">
        <x:v>PE-KG01-L24-20251026-PM-ORD-2025-00126</x:v>
      </x:c>
      <x:c r="C728" t="str">
        <x:v>KG01</x:v>
      </x:c>
      <x:c r="D728" t="n">
        <x:v>45956</x:v>
      </x:c>
      <x:c r="E728" t="str">
        <x:v>PM</x:v>
      </x:c>
      <x:c r="F728" t="str">
        <x:v>A</x:v>
      </x:c>
      <x:c r="G728" t="n">
        <x:v>24</x:v>
      </x:c>
      <x:c r="H728" t="str">
        <x:v>ORD-2025-00126</x:v>
      </x:c>
      <x:c r="I728" t="n">
        <x:v>9</x:v>
      </x:c>
      <x:c r="J728" t="n">
        <x:v>12</x:v>
      </x:c>
      <x:c r="K728" t="n">
        <x:v>2</x:v>
      </x:c>
      <x:c r="L728" t="n">
        <x:f>IF(I728&lt;=J728,1,0)</x:f>
        <x:v>1</x:v>
      </x:c>
      <x:c r="P728" t="n">
        <x:f>IF(M728="",IF(AND(L728=1,K728&gt;=1),1,0),M728)</x:f>
        <x:v>1</x:v>
      </x:c>
      <x:c r="Q728" t="n">
        <x:f>IF(N728="",IF(AND(L728=1,K728&gt;=2),1,0),N728)</x:f>
        <x:v>1</x:v>
      </x:c>
      <x:c r="R728" t="n">
        <x:f>IF(O728="",IF(AND(L728=1,K728&gt;=3),1,0),O728)</x:f>
        <x:v>0</x:v>
      </x:c>
      <x:c r="S728" t="n">
        <x:f>SUM(P728:R728)</x:f>
        <x:v>2</x:v>
      </x:c>
      <x:c r="T728" t="str">
        <x:f>IF(COUNTA(M728:O728)=0,"DerivedFromCount","ManualOverride")</x:f>
        <x:v>DerivedFromCount</x:v>
      </x:c>
      <x:c r="U728" t="str">
        <x:f>IF(COUNTIF(DailyProduction!$Q$5:$Q$100,B728)=1,"OK","CHECK")</x:f>
        <x:v>OK</x:v>
      </x:c>
      <x:c r="V728" t="str">
        <x:f>IF(AND(I728&gt;=1,I728&lt;=13,K728&gt;=1,K728&lt;=3),"OK","CHECK")</x:f>
        <x:v>OK</x:v>
      </x:c>
      <x:c r="W728" t="str">
        <x:f>IF(SUMIF($B$5:$B$914,B728,$S$5:$S$914)=SUMIF(DailyProduction!$Q$5:$Q$100,B728,DailyProduction!$R$5:$R$100),"OK","CHECK")</x:f>
        <x:v>OK</x:v>
      </x:c>
    </x:row>
    <x:row r="729">
      <x:c r="A729" t="str">
        <x:v>PC-PE-KG01-L24-20251026-PM-ORD-2025-00126-S10</x:v>
      </x:c>
      <x:c r="B729" t="str">
        <x:v>PE-KG01-L24-20251026-PM-ORD-2025-00126</x:v>
      </x:c>
      <x:c r="C729" t="str">
        <x:v>KG01</x:v>
      </x:c>
      <x:c r="D729" t="n">
        <x:v>45956</x:v>
      </x:c>
      <x:c r="E729" t="str">
        <x:v>PM</x:v>
      </x:c>
      <x:c r="F729" t="str">
        <x:v>A</x:v>
      </x:c>
      <x:c r="G729" t="n">
        <x:v>24</x:v>
      </x:c>
      <x:c r="H729" t="str">
        <x:v>ORD-2025-00126</x:v>
      </x:c>
      <x:c r="I729" t="n">
        <x:v>10</x:v>
      </x:c>
      <x:c r="J729" t="n">
        <x:v>12</x:v>
      </x:c>
      <x:c r="K729" t="n">
        <x:v>2</x:v>
      </x:c>
      <x:c r="L729" t="n">
        <x:f>IF(I729&lt;=J729,1,0)</x:f>
        <x:v>1</x:v>
      </x:c>
      <x:c r="P729" t="n">
        <x:f>IF(M729="",IF(AND(L729=1,K729&gt;=1),1,0),M729)</x:f>
        <x:v>1</x:v>
      </x:c>
      <x:c r="Q729" t="n">
        <x:f>IF(N729="",IF(AND(L729=1,K729&gt;=2),1,0),N729)</x:f>
        <x:v>1</x:v>
      </x:c>
      <x:c r="R729" t="n">
        <x:f>IF(O729="",IF(AND(L729=1,K729&gt;=3),1,0),O729)</x:f>
        <x:v>0</x:v>
      </x:c>
      <x:c r="S729" t="n">
        <x:f>SUM(P729:R729)</x:f>
        <x:v>2</x:v>
      </x:c>
      <x:c r="T729" t="str">
        <x:f>IF(COUNTA(M729:O729)=0,"DerivedFromCount","ManualOverride")</x:f>
        <x:v>DerivedFromCount</x:v>
      </x:c>
      <x:c r="U729" t="str">
        <x:f>IF(COUNTIF(DailyProduction!$Q$5:$Q$100,B729)=1,"OK","CHECK")</x:f>
        <x:v>OK</x:v>
      </x:c>
      <x:c r="V729" t="str">
        <x:f>IF(AND(I729&gt;=1,I729&lt;=13,K729&gt;=1,K729&lt;=3),"OK","CHECK")</x:f>
        <x:v>OK</x:v>
      </x:c>
      <x:c r="W729" t="str">
        <x:f>IF(SUMIF($B$5:$B$914,B729,$S$5:$S$914)=SUMIF(DailyProduction!$Q$5:$Q$100,B729,DailyProduction!$R$5:$R$100),"OK","CHECK")</x:f>
        <x:v>OK</x:v>
      </x:c>
    </x:row>
    <x:row r="730">
      <x:c r="A730" t="str">
        <x:v>PC-PE-KG01-L24-20251026-PM-ORD-2025-00126-S11</x:v>
      </x:c>
      <x:c r="B730" t="str">
        <x:v>PE-KG01-L24-20251026-PM-ORD-2025-00126</x:v>
      </x:c>
      <x:c r="C730" t="str">
        <x:v>KG01</x:v>
      </x:c>
      <x:c r="D730" t="n">
        <x:v>45956</x:v>
      </x:c>
      <x:c r="E730" t="str">
        <x:v>PM</x:v>
      </x:c>
      <x:c r="F730" t="str">
        <x:v>A</x:v>
      </x:c>
      <x:c r="G730" t="n">
        <x:v>24</x:v>
      </x:c>
      <x:c r="H730" t="str">
        <x:v>ORD-2025-00126</x:v>
      </x:c>
      <x:c r="I730" t="n">
        <x:v>11</x:v>
      </x:c>
      <x:c r="J730" t="n">
        <x:v>12</x:v>
      </x:c>
      <x:c r="K730" t="n">
        <x:v>2</x:v>
      </x:c>
      <x:c r="L730" t="n">
        <x:f>IF(I730&lt;=J730,1,0)</x:f>
        <x:v>1</x:v>
      </x:c>
      <x:c r="P730" t="n">
        <x:f>IF(M730="",IF(AND(L730=1,K730&gt;=1),1,0),M730)</x:f>
        <x:v>1</x:v>
      </x:c>
      <x:c r="Q730" t="n">
        <x:f>IF(N730="",IF(AND(L730=1,K730&gt;=2),1,0),N730)</x:f>
        <x:v>1</x:v>
      </x:c>
      <x:c r="R730" t="n">
        <x:f>IF(O730="",IF(AND(L730=1,K730&gt;=3),1,0),O730)</x:f>
        <x:v>0</x:v>
      </x:c>
      <x:c r="S730" t="n">
        <x:f>SUM(P730:R730)</x:f>
        <x:v>2</x:v>
      </x:c>
      <x:c r="T730" t="str">
        <x:f>IF(COUNTA(M730:O730)=0,"DerivedFromCount","ManualOverride")</x:f>
        <x:v>DerivedFromCount</x:v>
      </x:c>
      <x:c r="U730" t="str">
        <x:f>IF(COUNTIF(DailyProduction!$Q$5:$Q$100,B730)=1,"OK","CHECK")</x:f>
        <x:v>OK</x:v>
      </x:c>
      <x:c r="V730" t="str">
        <x:f>IF(AND(I730&gt;=1,I730&lt;=13,K730&gt;=1,K730&lt;=3),"OK","CHECK")</x:f>
        <x:v>OK</x:v>
      </x:c>
      <x:c r="W730" t="str">
        <x:f>IF(SUMIF($B$5:$B$914,B730,$S$5:$S$914)=SUMIF(DailyProduction!$Q$5:$Q$100,B730,DailyProduction!$R$5:$R$100),"OK","CHECK")</x:f>
        <x:v>OK</x:v>
      </x:c>
    </x:row>
    <x:row r="731">
      <x:c r="A731" t="str">
        <x:v>PC-PE-KG01-L24-20251026-PM-ORD-2025-00126-S12</x:v>
      </x:c>
      <x:c r="B731" t="str">
        <x:v>PE-KG01-L24-20251026-PM-ORD-2025-00126</x:v>
      </x:c>
      <x:c r="C731" t="str">
        <x:v>KG01</x:v>
      </x:c>
      <x:c r="D731" t="n">
        <x:v>45956</x:v>
      </x:c>
      <x:c r="E731" t="str">
        <x:v>PM</x:v>
      </x:c>
      <x:c r="F731" t="str">
        <x:v>A</x:v>
      </x:c>
      <x:c r="G731" t="n">
        <x:v>24</x:v>
      </x:c>
      <x:c r="H731" t="str">
        <x:v>ORD-2025-00126</x:v>
      </x:c>
      <x:c r="I731" t="n">
        <x:v>12</x:v>
      </x:c>
      <x:c r="J731" t="n">
        <x:v>12</x:v>
      </x:c>
      <x:c r="K731" t="n">
        <x:v>2</x:v>
      </x:c>
      <x:c r="L731" t="n">
        <x:f>IF(I731&lt;=J731,1,0)</x:f>
        <x:v>1</x:v>
      </x:c>
      <x:c r="P731" t="n">
        <x:f>IF(M731="",IF(AND(L731=1,K731&gt;=1),1,0),M731)</x:f>
        <x:v>1</x:v>
      </x:c>
      <x:c r="Q731" t="n">
        <x:f>IF(N731="",IF(AND(L731=1,K731&gt;=2),1,0),N731)</x:f>
        <x:v>1</x:v>
      </x:c>
      <x:c r="R731" t="n">
        <x:f>IF(O731="",IF(AND(L731=1,K731&gt;=3),1,0),O731)</x:f>
        <x:v>0</x:v>
      </x:c>
      <x:c r="S731" t="n">
        <x:f>SUM(P731:R731)</x:f>
        <x:v>2</x:v>
      </x:c>
      <x:c r="T731" t="str">
        <x:f>IF(COUNTA(M731:O731)=0,"DerivedFromCount","ManualOverride")</x:f>
        <x:v>DerivedFromCount</x:v>
      </x:c>
      <x:c r="U731" t="str">
        <x:f>IF(COUNTIF(DailyProduction!$Q$5:$Q$100,B731)=1,"OK","CHECK")</x:f>
        <x:v>OK</x:v>
      </x:c>
      <x:c r="V731" t="str">
        <x:f>IF(AND(I731&gt;=1,I731&lt;=13,K731&gt;=1,K731&lt;=3),"OK","CHECK")</x:f>
        <x:v>OK</x:v>
      </x:c>
      <x:c r="W731" t="str">
        <x:f>IF(SUMIF($B$5:$B$914,B731,$S$5:$S$914)=SUMIF(DailyProduction!$Q$5:$Q$100,B731,DailyProduction!$R$5:$R$100),"OK","CHECK")</x:f>
        <x:v>OK</x:v>
      </x:c>
    </x:row>
    <x:row r="732">
      <x:c r="A732" t="str">
        <x:v>PC-PE-KG01-L24-20251026-PM-ORD-2025-00126-S13</x:v>
      </x:c>
      <x:c r="B732" t="str">
        <x:v>PE-KG01-L24-20251026-PM-ORD-2025-00126</x:v>
      </x:c>
      <x:c r="C732" t="str">
        <x:v>KG01</x:v>
      </x:c>
      <x:c r="D732" t="n">
        <x:v>45956</x:v>
      </x:c>
      <x:c r="E732" t="str">
        <x:v>PM</x:v>
      </x:c>
      <x:c r="F732" t="str">
        <x:v>A</x:v>
      </x:c>
      <x:c r="G732" t="n">
        <x:v>24</x:v>
      </x:c>
      <x:c r="H732" t="str">
        <x:v>ORD-2025-00126</x:v>
      </x:c>
      <x:c r="I732" t="n">
        <x:v>13</x:v>
      </x:c>
      <x:c r="J732" t="n">
        <x:v>12</x:v>
      </x:c>
      <x:c r="K732" t="n">
        <x:v>2</x:v>
      </x:c>
      <x:c r="L732" t="n">
        <x:f>IF(I732&lt;=J732,1,0)</x:f>
        <x:v>0</x:v>
      </x:c>
      <x:c r="P732" t="n">
        <x:f>IF(M732="",IF(AND(L732=1,K732&gt;=1),1,0),M732)</x:f>
        <x:v>0</x:v>
      </x:c>
      <x:c r="Q732" t="n">
        <x:f>IF(N732="",IF(AND(L732=1,K732&gt;=2),1,0),N732)</x:f>
        <x:v>0</x:v>
      </x:c>
      <x:c r="R732" t="n">
        <x:f>IF(O732="",IF(AND(L732=1,K732&gt;=3),1,0),O732)</x:f>
        <x:v>0</x:v>
      </x:c>
      <x:c r="S732" t="n">
        <x:f>SUM(P732:R732)</x:f>
        <x:v>0</x:v>
      </x:c>
      <x:c r="T732" t="str">
        <x:f>IF(COUNTA(M732:O732)=0,"DerivedFromCount","ManualOverride")</x:f>
        <x:v>DerivedFromCount</x:v>
      </x:c>
      <x:c r="U732" t="str">
        <x:f>IF(COUNTIF(DailyProduction!$Q$5:$Q$100,B732)=1,"OK","CHECK")</x:f>
        <x:v>OK</x:v>
      </x:c>
      <x:c r="V732" t="str">
        <x:f>IF(AND(I732&gt;=1,I732&lt;=13,K732&gt;=1,K732&lt;=3),"OK","CHECK")</x:f>
        <x:v>OK</x:v>
      </x:c>
      <x:c r="W732" t="str">
        <x:f>IF(SUMIF($B$5:$B$914,B732,$S$5:$S$914)=SUMIF(DailyProduction!$Q$5:$Q$100,B732,DailyProduction!$R$5:$R$100),"OK","CHECK")</x:f>
        <x:v>OK</x:v>
      </x:c>
    </x:row>
    <x:row r="733">
      <x:c r="A733" t="str">
        <x:v>PC-PE-KG01-L25-20251020-AM-ORD-2025-00161-S01</x:v>
      </x:c>
      <x:c r="B733" t="str">
        <x:v>PE-KG01-L25-20251020-AM-ORD-2025-00161</x:v>
      </x:c>
      <x:c r="C733" t="str">
        <x:v>KG01</x:v>
      </x:c>
      <x:c r="D733" t="n">
        <x:v>45950</x:v>
      </x:c>
      <x:c r="E733" t="str">
        <x:v>AM</x:v>
      </x:c>
      <x:c r="F733" t="str">
        <x:v>C</x:v>
      </x:c>
      <x:c r="G733" t="n">
        <x:v>25</x:v>
      </x:c>
      <x:c r="H733" t="str">
        <x:v>ORD-2025-00161</x:v>
      </x:c>
      <x:c r="I733" t="n">
        <x:v>1</x:v>
      </x:c>
      <x:c r="J733" t="n">
        <x:v>8</x:v>
      </x:c>
      <x:c r="K733" t="n">
        <x:v>2</x:v>
      </x:c>
      <x:c r="L733" t="n">
        <x:f>IF(I733&lt;=J733,1,0)</x:f>
        <x:v>1</x:v>
      </x:c>
      <x:c r="P733" t="n">
        <x:f>IF(M733="",IF(AND(L733=1,K733&gt;=1),1,0),M733)</x:f>
        <x:v>1</x:v>
      </x:c>
      <x:c r="Q733" t="n">
        <x:f>IF(N733="",IF(AND(L733=1,K733&gt;=2),1,0),N733)</x:f>
        <x:v>1</x:v>
      </x:c>
      <x:c r="R733" t="n">
        <x:f>IF(O733="",IF(AND(L733=1,K733&gt;=3),1,0),O733)</x:f>
        <x:v>0</x:v>
      </x:c>
      <x:c r="S733" t="n">
        <x:f>SUM(P733:R733)</x:f>
        <x:v>2</x:v>
      </x:c>
      <x:c r="T733" t="str">
        <x:f>IF(COUNTA(M733:O733)=0,"DerivedFromCount","ManualOverride")</x:f>
        <x:v>DerivedFromCount</x:v>
      </x:c>
      <x:c r="U733" t="str">
        <x:f>IF(COUNTIF(DailyProduction!$Q$5:$Q$100,B733)=1,"OK","CHECK")</x:f>
        <x:v>OK</x:v>
      </x:c>
      <x:c r="V733" t="str">
        <x:f>IF(AND(I733&gt;=1,I733&lt;=13,K733&gt;=1,K733&lt;=3),"OK","CHECK")</x:f>
        <x:v>OK</x:v>
      </x:c>
      <x:c r="W733" t="str">
        <x:f>IF(SUMIF($B$5:$B$914,B733,$S$5:$S$914)=SUMIF(DailyProduction!$Q$5:$Q$100,B733,DailyProduction!$R$5:$R$100),"OK","CHECK")</x:f>
        <x:v>OK</x:v>
      </x:c>
    </x:row>
    <x:row r="734">
      <x:c r="A734" t="str">
        <x:v>PC-PE-KG01-L25-20251020-AM-ORD-2025-00161-S02</x:v>
      </x:c>
      <x:c r="B734" t="str">
        <x:v>PE-KG01-L25-20251020-AM-ORD-2025-00161</x:v>
      </x:c>
      <x:c r="C734" t="str">
        <x:v>KG01</x:v>
      </x:c>
      <x:c r="D734" t="n">
        <x:v>45950</x:v>
      </x:c>
      <x:c r="E734" t="str">
        <x:v>AM</x:v>
      </x:c>
      <x:c r="F734" t="str">
        <x:v>C</x:v>
      </x:c>
      <x:c r="G734" t="n">
        <x:v>25</x:v>
      </x:c>
      <x:c r="H734" t="str">
        <x:v>ORD-2025-00161</x:v>
      </x:c>
      <x:c r="I734" t="n">
        <x:v>2</x:v>
      </x:c>
      <x:c r="J734" t="n">
        <x:v>8</x:v>
      </x:c>
      <x:c r="K734" t="n">
        <x:v>2</x:v>
      </x:c>
      <x:c r="L734" t="n">
        <x:f>IF(I734&lt;=J734,1,0)</x:f>
        <x:v>1</x:v>
      </x:c>
      <x:c r="P734" t="n">
        <x:f>IF(M734="",IF(AND(L734=1,K734&gt;=1),1,0),M734)</x:f>
        <x:v>1</x:v>
      </x:c>
      <x:c r="Q734" t="n">
        <x:f>IF(N734="",IF(AND(L734=1,K734&gt;=2),1,0),N734)</x:f>
        <x:v>1</x:v>
      </x:c>
      <x:c r="R734" t="n">
        <x:f>IF(O734="",IF(AND(L734=1,K734&gt;=3),1,0),O734)</x:f>
        <x:v>0</x:v>
      </x:c>
      <x:c r="S734" t="n">
        <x:f>SUM(P734:R734)</x:f>
        <x:v>2</x:v>
      </x:c>
      <x:c r="T734" t="str">
        <x:f>IF(COUNTA(M734:O734)=0,"DerivedFromCount","ManualOverride")</x:f>
        <x:v>DerivedFromCount</x:v>
      </x:c>
      <x:c r="U734" t="str">
        <x:f>IF(COUNTIF(DailyProduction!$Q$5:$Q$100,B734)=1,"OK","CHECK")</x:f>
        <x:v>OK</x:v>
      </x:c>
      <x:c r="V734" t="str">
        <x:f>IF(AND(I734&gt;=1,I734&lt;=13,K734&gt;=1,K734&lt;=3),"OK","CHECK")</x:f>
        <x:v>OK</x:v>
      </x:c>
      <x:c r="W734" t="str">
        <x:f>IF(SUMIF($B$5:$B$914,B734,$S$5:$S$914)=SUMIF(DailyProduction!$Q$5:$Q$100,B734,DailyProduction!$R$5:$R$100),"OK","CHECK")</x:f>
        <x:v>OK</x:v>
      </x:c>
    </x:row>
    <x:row r="735">
      <x:c r="A735" t="str">
        <x:v>PC-PE-KG01-L25-20251020-AM-ORD-2025-00161-S03</x:v>
      </x:c>
      <x:c r="B735" t="str">
        <x:v>PE-KG01-L25-20251020-AM-ORD-2025-00161</x:v>
      </x:c>
      <x:c r="C735" t="str">
        <x:v>KG01</x:v>
      </x:c>
      <x:c r="D735" t="n">
        <x:v>45950</x:v>
      </x:c>
      <x:c r="E735" t="str">
        <x:v>AM</x:v>
      </x:c>
      <x:c r="F735" t="str">
        <x:v>C</x:v>
      </x:c>
      <x:c r="G735" t="n">
        <x:v>25</x:v>
      </x:c>
      <x:c r="H735" t="str">
        <x:v>ORD-2025-00161</x:v>
      </x:c>
      <x:c r="I735" t="n">
        <x:v>3</x:v>
      </x:c>
      <x:c r="J735" t="n">
        <x:v>8</x:v>
      </x:c>
      <x:c r="K735" t="n">
        <x:v>2</x:v>
      </x:c>
      <x:c r="L735" t="n">
        <x:f>IF(I735&lt;=J735,1,0)</x:f>
        <x:v>1</x:v>
      </x:c>
      <x:c r="P735" t="n">
        <x:f>IF(M735="",IF(AND(L735=1,K735&gt;=1),1,0),M735)</x:f>
        <x:v>1</x:v>
      </x:c>
      <x:c r="Q735" t="n">
        <x:f>IF(N735="",IF(AND(L735=1,K735&gt;=2),1,0),N735)</x:f>
        <x:v>1</x:v>
      </x:c>
      <x:c r="R735" t="n">
        <x:f>IF(O735="",IF(AND(L735=1,K735&gt;=3),1,0),O735)</x:f>
        <x:v>0</x:v>
      </x:c>
      <x:c r="S735" t="n">
        <x:f>SUM(P735:R735)</x:f>
        <x:v>2</x:v>
      </x:c>
      <x:c r="T735" t="str">
        <x:f>IF(COUNTA(M735:O735)=0,"DerivedFromCount","ManualOverride")</x:f>
        <x:v>DerivedFromCount</x:v>
      </x:c>
      <x:c r="U735" t="str">
        <x:f>IF(COUNTIF(DailyProduction!$Q$5:$Q$100,B735)=1,"OK","CHECK")</x:f>
        <x:v>OK</x:v>
      </x:c>
      <x:c r="V735" t="str">
        <x:f>IF(AND(I735&gt;=1,I735&lt;=13,K735&gt;=1,K735&lt;=3),"OK","CHECK")</x:f>
        <x:v>OK</x:v>
      </x:c>
      <x:c r="W735" t="str">
        <x:f>IF(SUMIF($B$5:$B$914,B735,$S$5:$S$914)=SUMIF(DailyProduction!$Q$5:$Q$100,B735,DailyProduction!$R$5:$R$100),"OK","CHECK")</x:f>
        <x:v>OK</x:v>
      </x:c>
    </x:row>
    <x:row r="736">
      <x:c r="A736" t="str">
        <x:v>PC-PE-KG01-L25-20251020-AM-ORD-2025-00161-S04</x:v>
      </x:c>
      <x:c r="B736" t="str">
        <x:v>PE-KG01-L25-20251020-AM-ORD-2025-00161</x:v>
      </x:c>
      <x:c r="C736" t="str">
        <x:v>KG01</x:v>
      </x:c>
      <x:c r="D736" t="n">
        <x:v>45950</x:v>
      </x:c>
      <x:c r="E736" t="str">
        <x:v>AM</x:v>
      </x:c>
      <x:c r="F736" t="str">
        <x:v>C</x:v>
      </x:c>
      <x:c r="G736" t="n">
        <x:v>25</x:v>
      </x:c>
      <x:c r="H736" t="str">
        <x:v>ORD-2025-00161</x:v>
      </x:c>
      <x:c r="I736" t="n">
        <x:v>4</x:v>
      </x:c>
      <x:c r="J736" t="n">
        <x:v>8</x:v>
      </x:c>
      <x:c r="K736" t="n">
        <x:v>2</x:v>
      </x:c>
      <x:c r="L736" t="n">
        <x:f>IF(I736&lt;=J736,1,0)</x:f>
        <x:v>1</x:v>
      </x:c>
      <x:c r="P736" t="n">
        <x:f>IF(M736="",IF(AND(L736=1,K736&gt;=1),1,0),M736)</x:f>
        <x:v>1</x:v>
      </x:c>
      <x:c r="Q736" t="n">
        <x:f>IF(N736="",IF(AND(L736=1,K736&gt;=2),1,0),N736)</x:f>
        <x:v>1</x:v>
      </x:c>
      <x:c r="R736" t="n">
        <x:f>IF(O736="",IF(AND(L736=1,K736&gt;=3),1,0),O736)</x:f>
        <x:v>0</x:v>
      </x:c>
      <x:c r="S736" t="n">
        <x:f>SUM(P736:R736)</x:f>
        <x:v>2</x:v>
      </x:c>
      <x:c r="T736" t="str">
        <x:f>IF(COUNTA(M736:O736)=0,"DerivedFromCount","ManualOverride")</x:f>
        <x:v>DerivedFromCount</x:v>
      </x:c>
      <x:c r="U736" t="str">
        <x:f>IF(COUNTIF(DailyProduction!$Q$5:$Q$100,B736)=1,"OK","CHECK")</x:f>
        <x:v>OK</x:v>
      </x:c>
      <x:c r="V736" t="str">
        <x:f>IF(AND(I736&gt;=1,I736&lt;=13,K736&gt;=1,K736&lt;=3),"OK","CHECK")</x:f>
        <x:v>OK</x:v>
      </x:c>
      <x:c r="W736" t="str">
        <x:f>IF(SUMIF($B$5:$B$914,B736,$S$5:$S$914)=SUMIF(DailyProduction!$Q$5:$Q$100,B736,DailyProduction!$R$5:$R$100),"OK","CHECK")</x:f>
        <x:v>OK</x:v>
      </x:c>
    </x:row>
    <x:row r="737">
      <x:c r="A737" t="str">
        <x:v>PC-PE-KG01-L25-20251020-AM-ORD-2025-00161-S05</x:v>
      </x:c>
      <x:c r="B737" t="str">
        <x:v>PE-KG01-L25-20251020-AM-ORD-2025-00161</x:v>
      </x:c>
      <x:c r="C737" t="str">
        <x:v>KG01</x:v>
      </x:c>
      <x:c r="D737" t="n">
        <x:v>45950</x:v>
      </x:c>
      <x:c r="E737" t="str">
        <x:v>AM</x:v>
      </x:c>
      <x:c r="F737" t="str">
        <x:v>C</x:v>
      </x:c>
      <x:c r="G737" t="n">
        <x:v>25</x:v>
      </x:c>
      <x:c r="H737" t="str">
        <x:v>ORD-2025-00161</x:v>
      </x:c>
      <x:c r="I737" t="n">
        <x:v>5</x:v>
      </x:c>
      <x:c r="J737" t="n">
        <x:v>8</x:v>
      </x:c>
      <x:c r="K737" t="n">
        <x:v>2</x:v>
      </x:c>
      <x:c r="L737" t="n">
        <x:f>IF(I737&lt;=J737,1,0)</x:f>
        <x:v>1</x:v>
      </x:c>
      <x:c r="P737" t="n">
        <x:f>IF(M737="",IF(AND(L737=1,K737&gt;=1),1,0),M737)</x:f>
        <x:v>1</x:v>
      </x:c>
      <x:c r="Q737" t="n">
        <x:f>IF(N737="",IF(AND(L737=1,K737&gt;=2),1,0),N737)</x:f>
        <x:v>1</x:v>
      </x:c>
      <x:c r="R737" t="n">
        <x:f>IF(O737="",IF(AND(L737=1,K737&gt;=3),1,0),O737)</x:f>
        <x:v>0</x:v>
      </x:c>
      <x:c r="S737" t="n">
        <x:f>SUM(P737:R737)</x:f>
        <x:v>2</x:v>
      </x:c>
      <x:c r="T737" t="str">
        <x:f>IF(COUNTA(M737:O737)=0,"DerivedFromCount","ManualOverride")</x:f>
        <x:v>DerivedFromCount</x:v>
      </x:c>
      <x:c r="U737" t="str">
        <x:f>IF(COUNTIF(DailyProduction!$Q$5:$Q$100,B737)=1,"OK","CHECK")</x:f>
        <x:v>OK</x:v>
      </x:c>
      <x:c r="V737" t="str">
        <x:f>IF(AND(I737&gt;=1,I737&lt;=13,K737&gt;=1,K737&lt;=3),"OK","CHECK")</x:f>
        <x:v>OK</x:v>
      </x:c>
      <x:c r="W737" t="str">
        <x:f>IF(SUMIF($B$5:$B$914,B737,$S$5:$S$914)=SUMIF(DailyProduction!$Q$5:$Q$100,B737,DailyProduction!$R$5:$R$100),"OK","CHECK")</x:f>
        <x:v>OK</x:v>
      </x:c>
    </x:row>
    <x:row r="738">
      <x:c r="A738" t="str">
        <x:v>PC-PE-KG01-L25-20251020-AM-ORD-2025-00161-S06</x:v>
      </x:c>
      <x:c r="B738" t="str">
        <x:v>PE-KG01-L25-20251020-AM-ORD-2025-00161</x:v>
      </x:c>
      <x:c r="C738" t="str">
        <x:v>KG01</x:v>
      </x:c>
      <x:c r="D738" t="n">
        <x:v>45950</x:v>
      </x:c>
      <x:c r="E738" t="str">
        <x:v>AM</x:v>
      </x:c>
      <x:c r="F738" t="str">
        <x:v>C</x:v>
      </x:c>
      <x:c r="G738" t="n">
        <x:v>25</x:v>
      </x:c>
      <x:c r="H738" t="str">
        <x:v>ORD-2025-00161</x:v>
      </x:c>
      <x:c r="I738" t="n">
        <x:v>6</x:v>
      </x:c>
      <x:c r="J738" t="n">
        <x:v>8</x:v>
      </x:c>
      <x:c r="K738" t="n">
        <x:v>2</x:v>
      </x:c>
      <x:c r="L738" t="n">
        <x:f>IF(I738&lt;=J738,1,0)</x:f>
        <x:v>1</x:v>
      </x:c>
      <x:c r="P738" t="n">
        <x:f>IF(M738="",IF(AND(L738=1,K738&gt;=1),1,0),M738)</x:f>
        <x:v>1</x:v>
      </x:c>
      <x:c r="Q738" t="n">
        <x:f>IF(N738="",IF(AND(L738=1,K738&gt;=2),1,0),N738)</x:f>
        <x:v>1</x:v>
      </x:c>
      <x:c r="R738" t="n">
        <x:f>IF(O738="",IF(AND(L738=1,K738&gt;=3),1,0),O738)</x:f>
        <x:v>0</x:v>
      </x:c>
      <x:c r="S738" t="n">
        <x:f>SUM(P738:R738)</x:f>
        <x:v>2</x:v>
      </x:c>
      <x:c r="T738" t="str">
        <x:f>IF(COUNTA(M738:O738)=0,"DerivedFromCount","ManualOverride")</x:f>
        <x:v>DerivedFromCount</x:v>
      </x:c>
      <x:c r="U738" t="str">
        <x:f>IF(COUNTIF(DailyProduction!$Q$5:$Q$100,B738)=1,"OK","CHECK")</x:f>
        <x:v>OK</x:v>
      </x:c>
      <x:c r="V738" t="str">
        <x:f>IF(AND(I738&gt;=1,I738&lt;=13,K738&gt;=1,K738&lt;=3),"OK","CHECK")</x:f>
        <x:v>OK</x:v>
      </x:c>
      <x:c r="W738" t="str">
        <x:f>IF(SUMIF($B$5:$B$914,B738,$S$5:$S$914)=SUMIF(DailyProduction!$Q$5:$Q$100,B738,DailyProduction!$R$5:$R$100),"OK","CHECK")</x:f>
        <x:v>OK</x:v>
      </x:c>
    </x:row>
    <x:row r="739">
      <x:c r="A739" t="str">
        <x:v>PC-PE-KG01-L25-20251020-AM-ORD-2025-00161-S07</x:v>
      </x:c>
      <x:c r="B739" t="str">
        <x:v>PE-KG01-L25-20251020-AM-ORD-2025-00161</x:v>
      </x:c>
      <x:c r="C739" t="str">
        <x:v>KG01</x:v>
      </x:c>
      <x:c r="D739" t="n">
        <x:v>45950</x:v>
      </x:c>
      <x:c r="E739" t="str">
        <x:v>AM</x:v>
      </x:c>
      <x:c r="F739" t="str">
        <x:v>C</x:v>
      </x:c>
      <x:c r="G739" t="n">
        <x:v>25</x:v>
      </x:c>
      <x:c r="H739" t="str">
        <x:v>ORD-2025-00161</x:v>
      </x:c>
      <x:c r="I739" t="n">
        <x:v>7</x:v>
      </x:c>
      <x:c r="J739" t="n">
        <x:v>8</x:v>
      </x:c>
      <x:c r="K739" t="n">
        <x:v>2</x:v>
      </x:c>
      <x:c r="L739" t="n">
        <x:f>IF(I739&lt;=J739,1,0)</x:f>
        <x:v>1</x:v>
      </x:c>
      <x:c r="P739" t="n">
        <x:f>IF(M739="",IF(AND(L739=1,K739&gt;=1),1,0),M739)</x:f>
        <x:v>1</x:v>
      </x:c>
      <x:c r="Q739" t="n">
        <x:f>IF(N739="",IF(AND(L739=1,K739&gt;=2),1,0),N739)</x:f>
        <x:v>1</x:v>
      </x:c>
      <x:c r="R739" t="n">
        <x:f>IF(O739="",IF(AND(L739=1,K739&gt;=3),1,0),O739)</x:f>
        <x:v>0</x:v>
      </x:c>
      <x:c r="S739" t="n">
        <x:f>SUM(P739:R739)</x:f>
        <x:v>2</x:v>
      </x:c>
      <x:c r="T739" t="str">
        <x:f>IF(COUNTA(M739:O739)=0,"DerivedFromCount","ManualOverride")</x:f>
        <x:v>DerivedFromCount</x:v>
      </x:c>
      <x:c r="U739" t="str">
        <x:f>IF(COUNTIF(DailyProduction!$Q$5:$Q$100,B739)=1,"OK","CHECK")</x:f>
        <x:v>OK</x:v>
      </x:c>
      <x:c r="V739" t="str">
        <x:f>IF(AND(I739&gt;=1,I739&lt;=13,K739&gt;=1,K739&lt;=3),"OK","CHECK")</x:f>
        <x:v>OK</x:v>
      </x:c>
      <x:c r="W739" t="str">
        <x:f>IF(SUMIF($B$5:$B$914,B739,$S$5:$S$914)=SUMIF(DailyProduction!$Q$5:$Q$100,B739,DailyProduction!$R$5:$R$100),"OK","CHECK")</x:f>
        <x:v>OK</x:v>
      </x:c>
    </x:row>
    <x:row r="740">
      <x:c r="A740" t="str">
        <x:v>PC-PE-KG01-L25-20251020-AM-ORD-2025-00161-S08</x:v>
      </x:c>
      <x:c r="B740" t="str">
        <x:v>PE-KG01-L25-20251020-AM-ORD-2025-00161</x:v>
      </x:c>
      <x:c r="C740" t="str">
        <x:v>KG01</x:v>
      </x:c>
      <x:c r="D740" t="n">
        <x:v>45950</x:v>
      </x:c>
      <x:c r="E740" t="str">
        <x:v>AM</x:v>
      </x:c>
      <x:c r="F740" t="str">
        <x:v>C</x:v>
      </x:c>
      <x:c r="G740" t="n">
        <x:v>25</x:v>
      </x:c>
      <x:c r="H740" t="str">
        <x:v>ORD-2025-00161</x:v>
      </x:c>
      <x:c r="I740" t="n">
        <x:v>8</x:v>
      </x:c>
      <x:c r="J740" t="n">
        <x:v>8</x:v>
      </x:c>
      <x:c r="K740" t="n">
        <x:v>2</x:v>
      </x:c>
      <x:c r="L740" t="n">
        <x:f>IF(I740&lt;=J740,1,0)</x:f>
        <x:v>1</x:v>
      </x:c>
      <x:c r="P740" t="n">
        <x:f>IF(M740="",IF(AND(L740=1,K740&gt;=1),1,0),M740)</x:f>
        <x:v>1</x:v>
      </x:c>
      <x:c r="Q740" t="n">
        <x:f>IF(N740="",IF(AND(L740=1,K740&gt;=2),1,0),N740)</x:f>
        <x:v>1</x:v>
      </x:c>
      <x:c r="R740" t="n">
        <x:f>IF(O740="",IF(AND(L740=1,K740&gt;=3),1,0),O740)</x:f>
        <x:v>0</x:v>
      </x:c>
      <x:c r="S740" t="n">
        <x:f>SUM(P740:R740)</x:f>
        <x:v>2</x:v>
      </x:c>
      <x:c r="T740" t="str">
        <x:f>IF(COUNTA(M740:O740)=0,"DerivedFromCount","ManualOverride")</x:f>
        <x:v>DerivedFromCount</x:v>
      </x:c>
      <x:c r="U740" t="str">
        <x:f>IF(COUNTIF(DailyProduction!$Q$5:$Q$100,B740)=1,"OK","CHECK")</x:f>
        <x:v>OK</x:v>
      </x:c>
      <x:c r="V740" t="str">
        <x:f>IF(AND(I740&gt;=1,I740&lt;=13,K740&gt;=1,K740&lt;=3),"OK","CHECK")</x:f>
        <x:v>OK</x:v>
      </x:c>
      <x:c r="W740" t="str">
        <x:f>IF(SUMIF($B$5:$B$914,B740,$S$5:$S$914)=SUMIF(DailyProduction!$Q$5:$Q$100,B740,DailyProduction!$R$5:$R$100),"OK","CHECK")</x:f>
        <x:v>OK</x:v>
      </x:c>
    </x:row>
    <x:row r="741">
      <x:c r="A741" t="str">
        <x:v>PC-PE-KG01-L25-20251020-AM-ORD-2025-00161-S09</x:v>
      </x:c>
      <x:c r="B741" t="str">
        <x:v>PE-KG01-L25-20251020-AM-ORD-2025-00161</x:v>
      </x:c>
      <x:c r="C741" t="str">
        <x:v>KG01</x:v>
      </x:c>
      <x:c r="D741" t="n">
        <x:v>45950</x:v>
      </x:c>
      <x:c r="E741" t="str">
        <x:v>AM</x:v>
      </x:c>
      <x:c r="F741" t="str">
        <x:v>C</x:v>
      </x:c>
      <x:c r="G741" t="n">
        <x:v>25</x:v>
      </x:c>
      <x:c r="H741" t="str">
        <x:v>ORD-2025-00161</x:v>
      </x:c>
      <x:c r="I741" t="n">
        <x:v>9</x:v>
      </x:c>
      <x:c r="J741" t="n">
        <x:v>8</x:v>
      </x:c>
      <x:c r="K741" t="n">
        <x:v>2</x:v>
      </x:c>
      <x:c r="L741" t="n">
        <x:f>IF(I741&lt;=J741,1,0)</x:f>
        <x:v>0</x:v>
      </x:c>
      <x:c r="P741" t="n">
        <x:f>IF(M741="",IF(AND(L741=1,K741&gt;=1),1,0),M741)</x:f>
        <x:v>0</x:v>
      </x:c>
      <x:c r="Q741" t="n">
        <x:f>IF(N741="",IF(AND(L741=1,K741&gt;=2),1,0),N741)</x:f>
        <x:v>0</x:v>
      </x:c>
      <x:c r="R741" t="n">
        <x:f>IF(O741="",IF(AND(L741=1,K741&gt;=3),1,0),O741)</x:f>
        <x:v>0</x:v>
      </x:c>
      <x:c r="S741" t="n">
        <x:f>SUM(P741:R741)</x:f>
        <x:v>0</x:v>
      </x:c>
      <x:c r="T741" t="str">
        <x:f>IF(COUNTA(M741:O741)=0,"DerivedFromCount","ManualOverride")</x:f>
        <x:v>DerivedFromCount</x:v>
      </x:c>
      <x:c r="U741" t="str">
        <x:f>IF(COUNTIF(DailyProduction!$Q$5:$Q$100,B741)=1,"OK","CHECK")</x:f>
        <x:v>OK</x:v>
      </x:c>
      <x:c r="V741" t="str">
        <x:f>IF(AND(I741&gt;=1,I741&lt;=13,K741&gt;=1,K741&lt;=3),"OK","CHECK")</x:f>
        <x:v>OK</x:v>
      </x:c>
      <x:c r="W741" t="str">
        <x:f>IF(SUMIF($B$5:$B$914,B741,$S$5:$S$914)=SUMIF(DailyProduction!$Q$5:$Q$100,B741,DailyProduction!$R$5:$R$100),"OK","CHECK")</x:f>
        <x:v>OK</x:v>
      </x:c>
    </x:row>
    <x:row r="742">
      <x:c r="A742" t="str">
        <x:v>PC-PE-KG01-L25-20251020-AM-ORD-2025-00161-S10</x:v>
      </x:c>
      <x:c r="B742" t="str">
        <x:v>PE-KG01-L25-20251020-AM-ORD-2025-00161</x:v>
      </x:c>
      <x:c r="C742" t="str">
        <x:v>KG01</x:v>
      </x:c>
      <x:c r="D742" t="n">
        <x:v>45950</x:v>
      </x:c>
      <x:c r="E742" t="str">
        <x:v>AM</x:v>
      </x:c>
      <x:c r="F742" t="str">
        <x:v>C</x:v>
      </x:c>
      <x:c r="G742" t="n">
        <x:v>25</x:v>
      </x:c>
      <x:c r="H742" t="str">
        <x:v>ORD-2025-00161</x:v>
      </x:c>
      <x:c r="I742" t="n">
        <x:v>10</x:v>
      </x:c>
      <x:c r="J742" t="n">
        <x:v>8</x:v>
      </x:c>
      <x:c r="K742" t="n">
        <x:v>2</x:v>
      </x:c>
      <x:c r="L742" t="n">
        <x:f>IF(I742&lt;=J742,1,0)</x:f>
        <x:v>0</x:v>
      </x:c>
      <x:c r="P742" t="n">
        <x:f>IF(M742="",IF(AND(L742=1,K742&gt;=1),1,0),M742)</x:f>
        <x:v>0</x:v>
      </x:c>
      <x:c r="Q742" t="n">
        <x:f>IF(N742="",IF(AND(L742=1,K742&gt;=2),1,0),N742)</x:f>
        <x:v>0</x:v>
      </x:c>
      <x:c r="R742" t="n">
        <x:f>IF(O742="",IF(AND(L742=1,K742&gt;=3),1,0),O742)</x:f>
        <x:v>0</x:v>
      </x:c>
      <x:c r="S742" t="n">
        <x:f>SUM(P742:R742)</x:f>
        <x:v>0</x:v>
      </x:c>
      <x:c r="T742" t="str">
        <x:f>IF(COUNTA(M742:O742)=0,"DerivedFromCount","ManualOverride")</x:f>
        <x:v>DerivedFromCount</x:v>
      </x:c>
      <x:c r="U742" t="str">
        <x:f>IF(COUNTIF(DailyProduction!$Q$5:$Q$100,B742)=1,"OK","CHECK")</x:f>
        <x:v>OK</x:v>
      </x:c>
      <x:c r="V742" t="str">
        <x:f>IF(AND(I742&gt;=1,I742&lt;=13,K742&gt;=1,K742&lt;=3),"OK","CHECK")</x:f>
        <x:v>OK</x:v>
      </x:c>
      <x:c r="W742" t="str">
        <x:f>IF(SUMIF($B$5:$B$914,B742,$S$5:$S$914)=SUMIF(DailyProduction!$Q$5:$Q$100,B742,DailyProduction!$R$5:$R$100),"OK","CHECK")</x:f>
        <x:v>OK</x:v>
      </x:c>
    </x:row>
    <x:row r="743">
      <x:c r="A743" t="str">
        <x:v>PC-PE-KG01-L25-20251020-AM-ORD-2025-00161-S11</x:v>
      </x:c>
      <x:c r="B743" t="str">
        <x:v>PE-KG01-L25-20251020-AM-ORD-2025-00161</x:v>
      </x:c>
      <x:c r="C743" t="str">
        <x:v>KG01</x:v>
      </x:c>
      <x:c r="D743" t="n">
        <x:v>45950</x:v>
      </x:c>
      <x:c r="E743" t="str">
        <x:v>AM</x:v>
      </x:c>
      <x:c r="F743" t="str">
        <x:v>C</x:v>
      </x:c>
      <x:c r="G743" t="n">
        <x:v>25</x:v>
      </x:c>
      <x:c r="H743" t="str">
        <x:v>ORD-2025-00161</x:v>
      </x:c>
      <x:c r="I743" t="n">
        <x:v>11</x:v>
      </x:c>
      <x:c r="J743" t="n">
        <x:v>8</x:v>
      </x:c>
      <x:c r="K743" t="n">
        <x:v>2</x:v>
      </x:c>
      <x:c r="L743" t="n">
        <x:f>IF(I743&lt;=J743,1,0)</x:f>
        <x:v>0</x:v>
      </x:c>
      <x:c r="P743" t="n">
        <x:f>IF(M743="",IF(AND(L743=1,K743&gt;=1),1,0),M743)</x:f>
        <x:v>0</x:v>
      </x:c>
      <x:c r="Q743" t="n">
        <x:f>IF(N743="",IF(AND(L743=1,K743&gt;=2),1,0),N743)</x:f>
        <x:v>0</x:v>
      </x:c>
      <x:c r="R743" t="n">
        <x:f>IF(O743="",IF(AND(L743=1,K743&gt;=3),1,0),O743)</x:f>
        <x:v>0</x:v>
      </x:c>
      <x:c r="S743" t="n">
        <x:f>SUM(P743:R743)</x:f>
        <x:v>0</x:v>
      </x:c>
      <x:c r="T743" t="str">
        <x:f>IF(COUNTA(M743:O743)=0,"DerivedFromCount","ManualOverride")</x:f>
        <x:v>DerivedFromCount</x:v>
      </x:c>
      <x:c r="U743" t="str">
        <x:f>IF(COUNTIF(DailyProduction!$Q$5:$Q$100,B743)=1,"OK","CHECK")</x:f>
        <x:v>OK</x:v>
      </x:c>
      <x:c r="V743" t="str">
        <x:f>IF(AND(I743&gt;=1,I743&lt;=13,K743&gt;=1,K743&lt;=3),"OK","CHECK")</x:f>
        <x:v>OK</x:v>
      </x:c>
      <x:c r="W743" t="str">
        <x:f>IF(SUMIF($B$5:$B$914,B743,$S$5:$S$914)=SUMIF(DailyProduction!$Q$5:$Q$100,B743,DailyProduction!$R$5:$R$100),"OK","CHECK")</x:f>
        <x:v>OK</x:v>
      </x:c>
    </x:row>
    <x:row r="744">
      <x:c r="A744" t="str">
        <x:v>PC-PE-KG01-L25-20251020-AM-ORD-2025-00161-S12</x:v>
      </x:c>
      <x:c r="B744" t="str">
        <x:v>PE-KG01-L25-20251020-AM-ORD-2025-00161</x:v>
      </x:c>
      <x:c r="C744" t="str">
        <x:v>KG01</x:v>
      </x:c>
      <x:c r="D744" t="n">
        <x:v>45950</x:v>
      </x:c>
      <x:c r="E744" t="str">
        <x:v>AM</x:v>
      </x:c>
      <x:c r="F744" t="str">
        <x:v>C</x:v>
      </x:c>
      <x:c r="G744" t="n">
        <x:v>25</x:v>
      </x:c>
      <x:c r="H744" t="str">
        <x:v>ORD-2025-00161</x:v>
      </x:c>
      <x:c r="I744" t="n">
        <x:v>12</x:v>
      </x:c>
      <x:c r="J744" t="n">
        <x:v>8</x:v>
      </x:c>
      <x:c r="K744" t="n">
        <x:v>2</x:v>
      </x:c>
      <x:c r="L744" t="n">
        <x:f>IF(I744&lt;=J744,1,0)</x:f>
        <x:v>0</x:v>
      </x:c>
      <x:c r="P744" t="n">
        <x:f>IF(M744="",IF(AND(L744=1,K744&gt;=1),1,0),M744)</x:f>
        <x:v>0</x:v>
      </x:c>
      <x:c r="Q744" t="n">
        <x:f>IF(N744="",IF(AND(L744=1,K744&gt;=2),1,0),N744)</x:f>
        <x:v>0</x:v>
      </x:c>
      <x:c r="R744" t="n">
        <x:f>IF(O744="",IF(AND(L744=1,K744&gt;=3),1,0),O744)</x:f>
        <x:v>0</x:v>
      </x:c>
      <x:c r="S744" t="n">
        <x:f>SUM(P744:R744)</x:f>
        <x:v>0</x:v>
      </x:c>
      <x:c r="T744" t="str">
        <x:f>IF(COUNTA(M744:O744)=0,"DerivedFromCount","ManualOverride")</x:f>
        <x:v>DerivedFromCount</x:v>
      </x:c>
      <x:c r="U744" t="str">
        <x:f>IF(COUNTIF(DailyProduction!$Q$5:$Q$100,B744)=1,"OK","CHECK")</x:f>
        <x:v>OK</x:v>
      </x:c>
      <x:c r="V744" t="str">
        <x:f>IF(AND(I744&gt;=1,I744&lt;=13,K744&gt;=1,K744&lt;=3),"OK","CHECK")</x:f>
        <x:v>OK</x:v>
      </x:c>
      <x:c r="W744" t="str">
        <x:f>IF(SUMIF($B$5:$B$914,B744,$S$5:$S$914)=SUMIF(DailyProduction!$Q$5:$Q$100,B744,DailyProduction!$R$5:$R$100),"OK","CHECK")</x:f>
        <x:v>OK</x:v>
      </x:c>
    </x:row>
    <x:row r="745">
      <x:c r="A745" t="str">
        <x:v>PC-PE-KG01-L25-20251020-AM-ORD-2025-00161-S13</x:v>
      </x:c>
      <x:c r="B745" t="str">
        <x:v>PE-KG01-L25-20251020-AM-ORD-2025-00161</x:v>
      </x:c>
      <x:c r="C745" t="str">
        <x:v>KG01</x:v>
      </x:c>
      <x:c r="D745" t="n">
        <x:v>45950</x:v>
      </x:c>
      <x:c r="E745" t="str">
        <x:v>AM</x:v>
      </x:c>
      <x:c r="F745" t="str">
        <x:v>C</x:v>
      </x:c>
      <x:c r="G745" t="n">
        <x:v>25</x:v>
      </x:c>
      <x:c r="H745" t="str">
        <x:v>ORD-2025-00161</x:v>
      </x:c>
      <x:c r="I745" t="n">
        <x:v>13</x:v>
      </x:c>
      <x:c r="J745" t="n">
        <x:v>8</x:v>
      </x:c>
      <x:c r="K745" t="n">
        <x:v>2</x:v>
      </x:c>
      <x:c r="L745" t="n">
        <x:f>IF(I745&lt;=J745,1,0)</x:f>
        <x:v>0</x:v>
      </x:c>
      <x:c r="P745" t="n">
        <x:f>IF(M745="",IF(AND(L745=1,K745&gt;=1),1,0),M745)</x:f>
        <x:v>0</x:v>
      </x:c>
      <x:c r="Q745" t="n">
        <x:f>IF(N745="",IF(AND(L745=1,K745&gt;=2),1,0),N745)</x:f>
        <x:v>0</x:v>
      </x:c>
      <x:c r="R745" t="n">
        <x:f>IF(O745="",IF(AND(L745=1,K745&gt;=3),1,0),O745)</x:f>
        <x:v>0</x:v>
      </x:c>
      <x:c r="S745" t="n">
        <x:f>SUM(P745:R745)</x:f>
        <x:v>0</x:v>
      </x:c>
      <x:c r="T745" t="str">
        <x:f>IF(COUNTA(M745:O745)=0,"DerivedFromCount","ManualOverride")</x:f>
        <x:v>DerivedFromCount</x:v>
      </x:c>
      <x:c r="U745" t="str">
        <x:f>IF(COUNTIF(DailyProduction!$Q$5:$Q$100,B745)=1,"OK","CHECK")</x:f>
        <x:v>OK</x:v>
      </x:c>
      <x:c r="V745" t="str">
        <x:f>IF(AND(I745&gt;=1,I745&lt;=13,K745&gt;=1,K745&lt;=3),"OK","CHECK")</x:f>
        <x:v>OK</x:v>
      </x:c>
      <x:c r="W745" t="str">
        <x:f>IF(SUMIF($B$5:$B$914,B745,$S$5:$S$914)=SUMIF(DailyProduction!$Q$5:$Q$100,B745,DailyProduction!$R$5:$R$100),"OK","CHECK")</x:f>
        <x:v>OK</x:v>
      </x:c>
    </x:row>
    <x:row r="746">
      <x:c r="A746" t="str">
        <x:v>PC-PE-KG01-L25-20251020-PM-ORD-2025-00161-S01</x:v>
      </x:c>
      <x:c r="B746" t="str">
        <x:v>PE-KG01-L25-20251020-PM-ORD-2025-00161</x:v>
      </x:c>
      <x:c r="C746" t="str">
        <x:v>KG01</x:v>
      </x:c>
      <x:c r="D746" t="n">
        <x:v>45950</x:v>
      </x:c>
      <x:c r="E746" t="str">
        <x:v>PM</x:v>
      </x:c>
      <x:c r="F746" t="str">
        <x:v>A</x:v>
      </x:c>
      <x:c r="G746" t="n">
        <x:v>25</x:v>
      </x:c>
      <x:c r="H746" t="str">
        <x:v>ORD-2025-00161</x:v>
      </x:c>
      <x:c r="I746" t="n">
        <x:v>1</x:v>
      </x:c>
      <x:c r="J746" t="n">
        <x:v>8</x:v>
      </x:c>
      <x:c r="K746" t="n">
        <x:v>2</x:v>
      </x:c>
      <x:c r="L746" t="n">
        <x:f>IF(I746&lt;=J746,1,0)</x:f>
        <x:v>1</x:v>
      </x:c>
      <x:c r="P746" t="n">
        <x:f>IF(M746="",IF(AND(L746=1,K746&gt;=1),1,0),M746)</x:f>
        <x:v>1</x:v>
      </x:c>
      <x:c r="Q746" t="n">
        <x:f>IF(N746="",IF(AND(L746=1,K746&gt;=2),1,0),N746)</x:f>
        <x:v>1</x:v>
      </x:c>
      <x:c r="R746" t="n">
        <x:f>IF(O746="",IF(AND(L746=1,K746&gt;=3),1,0),O746)</x:f>
        <x:v>0</x:v>
      </x:c>
      <x:c r="S746" t="n">
        <x:f>SUM(P746:R746)</x:f>
        <x:v>2</x:v>
      </x:c>
      <x:c r="T746" t="str">
        <x:f>IF(COUNTA(M746:O746)=0,"DerivedFromCount","ManualOverride")</x:f>
        <x:v>DerivedFromCount</x:v>
      </x:c>
      <x:c r="U746" t="str">
        <x:f>IF(COUNTIF(DailyProduction!$Q$5:$Q$100,B746)=1,"OK","CHECK")</x:f>
        <x:v>OK</x:v>
      </x:c>
      <x:c r="V746" t="str">
        <x:f>IF(AND(I746&gt;=1,I746&lt;=13,K746&gt;=1,K746&lt;=3),"OK","CHECK")</x:f>
        <x:v>OK</x:v>
      </x:c>
      <x:c r="W746" t="str">
        <x:f>IF(SUMIF($B$5:$B$914,B746,$S$5:$S$914)=SUMIF(DailyProduction!$Q$5:$Q$100,B746,DailyProduction!$R$5:$R$100),"OK","CHECK")</x:f>
        <x:v>OK</x:v>
      </x:c>
    </x:row>
    <x:row r="747">
      <x:c r="A747" t="str">
        <x:v>PC-PE-KG01-L25-20251020-PM-ORD-2025-00161-S02</x:v>
      </x:c>
      <x:c r="B747" t="str">
        <x:v>PE-KG01-L25-20251020-PM-ORD-2025-00161</x:v>
      </x:c>
      <x:c r="C747" t="str">
        <x:v>KG01</x:v>
      </x:c>
      <x:c r="D747" t="n">
        <x:v>45950</x:v>
      </x:c>
      <x:c r="E747" t="str">
        <x:v>PM</x:v>
      </x:c>
      <x:c r="F747" t="str">
        <x:v>A</x:v>
      </x:c>
      <x:c r="G747" t="n">
        <x:v>25</x:v>
      </x:c>
      <x:c r="H747" t="str">
        <x:v>ORD-2025-00161</x:v>
      </x:c>
      <x:c r="I747" t="n">
        <x:v>2</x:v>
      </x:c>
      <x:c r="J747" t="n">
        <x:v>8</x:v>
      </x:c>
      <x:c r="K747" t="n">
        <x:v>2</x:v>
      </x:c>
      <x:c r="L747" t="n">
        <x:f>IF(I747&lt;=J747,1,0)</x:f>
        <x:v>1</x:v>
      </x:c>
      <x:c r="P747" t="n">
        <x:f>IF(M747="",IF(AND(L747=1,K747&gt;=1),1,0),M747)</x:f>
        <x:v>1</x:v>
      </x:c>
      <x:c r="Q747" t="n">
        <x:f>IF(N747="",IF(AND(L747=1,K747&gt;=2),1,0),N747)</x:f>
        <x:v>1</x:v>
      </x:c>
      <x:c r="R747" t="n">
        <x:f>IF(O747="",IF(AND(L747=1,K747&gt;=3),1,0),O747)</x:f>
        <x:v>0</x:v>
      </x:c>
      <x:c r="S747" t="n">
        <x:f>SUM(P747:R747)</x:f>
        <x:v>2</x:v>
      </x:c>
      <x:c r="T747" t="str">
        <x:f>IF(COUNTA(M747:O747)=0,"DerivedFromCount","ManualOverride")</x:f>
        <x:v>DerivedFromCount</x:v>
      </x:c>
      <x:c r="U747" t="str">
        <x:f>IF(COUNTIF(DailyProduction!$Q$5:$Q$100,B747)=1,"OK","CHECK")</x:f>
        <x:v>OK</x:v>
      </x:c>
      <x:c r="V747" t="str">
        <x:f>IF(AND(I747&gt;=1,I747&lt;=13,K747&gt;=1,K747&lt;=3),"OK","CHECK")</x:f>
        <x:v>OK</x:v>
      </x:c>
      <x:c r="W747" t="str">
        <x:f>IF(SUMIF($B$5:$B$914,B747,$S$5:$S$914)=SUMIF(DailyProduction!$Q$5:$Q$100,B747,DailyProduction!$R$5:$R$100),"OK","CHECK")</x:f>
        <x:v>OK</x:v>
      </x:c>
    </x:row>
    <x:row r="748">
      <x:c r="A748" t="str">
        <x:v>PC-PE-KG01-L25-20251020-PM-ORD-2025-00161-S03</x:v>
      </x:c>
      <x:c r="B748" t="str">
        <x:v>PE-KG01-L25-20251020-PM-ORD-2025-00161</x:v>
      </x:c>
      <x:c r="C748" t="str">
        <x:v>KG01</x:v>
      </x:c>
      <x:c r="D748" t="n">
        <x:v>45950</x:v>
      </x:c>
      <x:c r="E748" t="str">
        <x:v>PM</x:v>
      </x:c>
      <x:c r="F748" t="str">
        <x:v>A</x:v>
      </x:c>
      <x:c r="G748" t="n">
        <x:v>25</x:v>
      </x:c>
      <x:c r="H748" t="str">
        <x:v>ORD-2025-00161</x:v>
      </x:c>
      <x:c r="I748" t="n">
        <x:v>3</x:v>
      </x:c>
      <x:c r="J748" t="n">
        <x:v>8</x:v>
      </x:c>
      <x:c r="K748" t="n">
        <x:v>2</x:v>
      </x:c>
      <x:c r="L748" t="n">
        <x:f>IF(I748&lt;=J748,1,0)</x:f>
        <x:v>1</x:v>
      </x:c>
      <x:c r="P748" t="n">
        <x:f>IF(M748="",IF(AND(L748=1,K748&gt;=1),1,0),M748)</x:f>
        <x:v>1</x:v>
      </x:c>
      <x:c r="Q748" t="n">
        <x:f>IF(N748="",IF(AND(L748=1,K748&gt;=2),1,0),N748)</x:f>
        <x:v>1</x:v>
      </x:c>
      <x:c r="R748" t="n">
        <x:f>IF(O748="",IF(AND(L748=1,K748&gt;=3),1,0),O748)</x:f>
        <x:v>0</x:v>
      </x:c>
      <x:c r="S748" t="n">
        <x:f>SUM(P748:R748)</x:f>
        <x:v>2</x:v>
      </x:c>
      <x:c r="T748" t="str">
        <x:f>IF(COUNTA(M748:O748)=0,"DerivedFromCount","ManualOverride")</x:f>
        <x:v>DerivedFromCount</x:v>
      </x:c>
      <x:c r="U748" t="str">
        <x:f>IF(COUNTIF(DailyProduction!$Q$5:$Q$100,B748)=1,"OK","CHECK")</x:f>
        <x:v>OK</x:v>
      </x:c>
      <x:c r="V748" t="str">
        <x:f>IF(AND(I748&gt;=1,I748&lt;=13,K748&gt;=1,K748&lt;=3),"OK","CHECK")</x:f>
        <x:v>OK</x:v>
      </x:c>
      <x:c r="W748" t="str">
        <x:f>IF(SUMIF($B$5:$B$914,B748,$S$5:$S$914)=SUMIF(DailyProduction!$Q$5:$Q$100,B748,DailyProduction!$R$5:$R$100),"OK","CHECK")</x:f>
        <x:v>OK</x:v>
      </x:c>
    </x:row>
    <x:row r="749">
      <x:c r="A749" t="str">
        <x:v>PC-PE-KG01-L25-20251020-PM-ORD-2025-00161-S04</x:v>
      </x:c>
      <x:c r="B749" t="str">
        <x:v>PE-KG01-L25-20251020-PM-ORD-2025-00161</x:v>
      </x:c>
      <x:c r="C749" t="str">
        <x:v>KG01</x:v>
      </x:c>
      <x:c r="D749" t="n">
        <x:v>45950</x:v>
      </x:c>
      <x:c r="E749" t="str">
        <x:v>PM</x:v>
      </x:c>
      <x:c r="F749" t="str">
        <x:v>A</x:v>
      </x:c>
      <x:c r="G749" t="n">
        <x:v>25</x:v>
      </x:c>
      <x:c r="H749" t="str">
        <x:v>ORD-2025-00161</x:v>
      </x:c>
      <x:c r="I749" t="n">
        <x:v>4</x:v>
      </x:c>
      <x:c r="J749" t="n">
        <x:v>8</x:v>
      </x:c>
      <x:c r="K749" t="n">
        <x:v>2</x:v>
      </x:c>
      <x:c r="L749" t="n">
        <x:f>IF(I749&lt;=J749,1,0)</x:f>
        <x:v>1</x:v>
      </x:c>
      <x:c r="P749" t="n">
        <x:f>IF(M749="",IF(AND(L749=1,K749&gt;=1),1,0),M749)</x:f>
        <x:v>1</x:v>
      </x:c>
      <x:c r="Q749" t="n">
        <x:f>IF(N749="",IF(AND(L749=1,K749&gt;=2),1,0),N749)</x:f>
        <x:v>1</x:v>
      </x:c>
      <x:c r="R749" t="n">
        <x:f>IF(O749="",IF(AND(L749=1,K749&gt;=3),1,0),O749)</x:f>
        <x:v>0</x:v>
      </x:c>
      <x:c r="S749" t="n">
        <x:f>SUM(P749:R749)</x:f>
        <x:v>2</x:v>
      </x:c>
      <x:c r="T749" t="str">
        <x:f>IF(COUNTA(M749:O749)=0,"DerivedFromCount","ManualOverride")</x:f>
        <x:v>DerivedFromCount</x:v>
      </x:c>
      <x:c r="U749" t="str">
        <x:f>IF(COUNTIF(DailyProduction!$Q$5:$Q$100,B749)=1,"OK","CHECK")</x:f>
        <x:v>OK</x:v>
      </x:c>
      <x:c r="V749" t="str">
        <x:f>IF(AND(I749&gt;=1,I749&lt;=13,K749&gt;=1,K749&lt;=3),"OK","CHECK")</x:f>
        <x:v>OK</x:v>
      </x:c>
      <x:c r="W749" t="str">
        <x:f>IF(SUMIF($B$5:$B$914,B749,$S$5:$S$914)=SUMIF(DailyProduction!$Q$5:$Q$100,B749,DailyProduction!$R$5:$R$100),"OK","CHECK")</x:f>
        <x:v>OK</x:v>
      </x:c>
    </x:row>
    <x:row r="750">
      <x:c r="A750" t="str">
        <x:v>PC-PE-KG01-L25-20251020-PM-ORD-2025-00161-S05</x:v>
      </x:c>
      <x:c r="B750" t="str">
        <x:v>PE-KG01-L25-20251020-PM-ORD-2025-00161</x:v>
      </x:c>
      <x:c r="C750" t="str">
        <x:v>KG01</x:v>
      </x:c>
      <x:c r="D750" t="n">
        <x:v>45950</x:v>
      </x:c>
      <x:c r="E750" t="str">
        <x:v>PM</x:v>
      </x:c>
      <x:c r="F750" t="str">
        <x:v>A</x:v>
      </x:c>
      <x:c r="G750" t="n">
        <x:v>25</x:v>
      </x:c>
      <x:c r="H750" t="str">
        <x:v>ORD-2025-00161</x:v>
      </x:c>
      <x:c r="I750" t="n">
        <x:v>5</x:v>
      </x:c>
      <x:c r="J750" t="n">
        <x:v>8</x:v>
      </x:c>
      <x:c r="K750" t="n">
        <x:v>2</x:v>
      </x:c>
      <x:c r="L750" t="n">
        <x:f>IF(I750&lt;=J750,1,0)</x:f>
        <x:v>1</x:v>
      </x:c>
      <x:c r="P750" t="n">
        <x:f>IF(M750="",IF(AND(L750=1,K750&gt;=1),1,0),M750)</x:f>
        <x:v>1</x:v>
      </x:c>
      <x:c r="Q750" t="n">
        <x:f>IF(N750="",IF(AND(L750=1,K750&gt;=2),1,0),N750)</x:f>
        <x:v>1</x:v>
      </x:c>
      <x:c r="R750" t="n">
        <x:f>IF(O750="",IF(AND(L750=1,K750&gt;=3),1,0),O750)</x:f>
        <x:v>0</x:v>
      </x:c>
      <x:c r="S750" t="n">
        <x:f>SUM(P750:R750)</x:f>
        <x:v>2</x:v>
      </x:c>
      <x:c r="T750" t="str">
        <x:f>IF(COUNTA(M750:O750)=0,"DerivedFromCount","ManualOverride")</x:f>
        <x:v>DerivedFromCount</x:v>
      </x:c>
      <x:c r="U750" t="str">
        <x:f>IF(COUNTIF(DailyProduction!$Q$5:$Q$100,B750)=1,"OK","CHECK")</x:f>
        <x:v>OK</x:v>
      </x:c>
      <x:c r="V750" t="str">
        <x:f>IF(AND(I750&gt;=1,I750&lt;=13,K750&gt;=1,K750&lt;=3),"OK","CHECK")</x:f>
        <x:v>OK</x:v>
      </x:c>
      <x:c r="W750" t="str">
        <x:f>IF(SUMIF($B$5:$B$914,B750,$S$5:$S$914)=SUMIF(DailyProduction!$Q$5:$Q$100,B750,DailyProduction!$R$5:$R$100),"OK","CHECK")</x:f>
        <x:v>OK</x:v>
      </x:c>
    </x:row>
    <x:row r="751">
      <x:c r="A751" t="str">
        <x:v>PC-PE-KG01-L25-20251020-PM-ORD-2025-00161-S06</x:v>
      </x:c>
      <x:c r="B751" t="str">
        <x:v>PE-KG01-L25-20251020-PM-ORD-2025-00161</x:v>
      </x:c>
      <x:c r="C751" t="str">
        <x:v>KG01</x:v>
      </x:c>
      <x:c r="D751" t="n">
        <x:v>45950</x:v>
      </x:c>
      <x:c r="E751" t="str">
        <x:v>PM</x:v>
      </x:c>
      <x:c r="F751" t="str">
        <x:v>A</x:v>
      </x:c>
      <x:c r="G751" t="n">
        <x:v>25</x:v>
      </x:c>
      <x:c r="H751" t="str">
        <x:v>ORD-2025-00161</x:v>
      </x:c>
      <x:c r="I751" t="n">
        <x:v>6</x:v>
      </x:c>
      <x:c r="J751" t="n">
        <x:v>8</x:v>
      </x:c>
      <x:c r="K751" t="n">
        <x:v>2</x:v>
      </x:c>
      <x:c r="L751" t="n">
        <x:f>IF(I751&lt;=J751,1,0)</x:f>
        <x:v>1</x:v>
      </x:c>
      <x:c r="P751" t="n">
        <x:f>IF(M751="",IF(AND(L751=1,K751&gt;=1),1,0),M751)</x:f>
        <x:v>1</x:v>
      </x:c>
      <x:c r="Q751" t="n">
        <x:f>IF(N751="",IF(AND(L751=1,K751&gt;=2),1,0),N751)</x:f>
        <x:v>1</x:v>
      </x:c>
      <x:c r="R751" t="n">
        <x:f>IF(O751="",IF(AND(L751=1,K751&gt;=3),1,0),O751)</x:f>
        <x:v>0</x:v>
      </x:c>
      <x:c r="S751" t="n">
        <x:f>SUM(P751:R751)</x:f>
        <x:v>2</x:v>
      </x:c>
      <x:c r="T751" t="str">
        <x:f>IF(COUNTA(M751:O751)=0,"DerivedFromCount","ManualOverride")</x:f>
        <x:v>DerivedFromCount</x:v>
      </x:c>
      <x:c r="U751" t="str">
        <x:f>IF(COUNTIF(DailyProduction!$Q$5:$Q$100,B751)=1,"OK","CHECK")</x:f>
        <x:v>OK</x:v>
      </x:c>
      <x:c r="V751" t="str">
        <x:f>IF(AND(I751&gt;=1,I751&lt;=13,K751&gt;=1,K751&lt;=3),"OK","CHECK")</x:f>
        <x:v>OK</x:v>
      </x:c>
      <x:c r="W751" t="str">
        <x:f>IF(SUMIF($B$5:$B$914,B751,$S$5:$S$914)=SUMIF(DailyProduction!$Q$5:$Q$100,B751,DailyProduction!$R$5:$R$100),"OK","CHECK")</x:f>
        <x:v>OK</x:v>
      </x:c>
    </x:row>
    <x:row r="752">
      <x:c r="A752" t="str">
        <x:v>PC-PE-KG01-L25-20251020-PM-ORD-2025-00161-S07</x:v>
      </x:c>
      <x:c r="B752" t="str">
        <x:v>PE-KG01-L25-20251020-PM-ORD-2025-00161</x:v>
      </x:c>
      <x:c r="C752" t="str">
        <x:v>KG01</x:v>
      </x:c>
      <x:c r="D752" t="n">
        <x:v>45950</x:v>
      </x:c>
      <x:c r="E752" t="str">
        <x:v>PM</x:v>
      </x:c>
      <x:c r="F752" t="str">
        <x:v>A</x:v>
      </x:c>
      <x:c r="G752" t="n">
        <x:v>25</x:v>
      </x:c>
      <x:c r="H752" t="str">
        <x:v>ORD-2025-00161</x:v>
      </x:c>
      <x:c r="I752" t="n">
        <x:v>7</x:v>
      </x:c>
      <x:c r="J752" t="n">
        <x:v>8</x:v>
      </x:c>
      <x:c r="K752" t="n">
        <x:v>2</x:v>
      </x:c>
      <x:c r="L752" t="n">
        <x:f>IF(I752&lt;=J752,1,0)</x:f>
        <x:v>1</x:v>
      </x:c>
      <x:c r="P752" t="n">
        <x:f>IF(M752="",IF(AND(L752=1,K752&gt;=1),1,0),M752)</x:f>
        <x:v>1</x:v>
      </x:c>
      <x:c r="Q752" t="n">
        <x:f>IF(N752="",IF(AND(L752=1,K752&gt;=2),1,0),N752)</x:f>
        <x:v>1</x:v>
      </x:c>
      <x:c r="R752" t="n">
        <x:f>IF(O752="",IF(AND(L752=1,K752&gt;=3),1,0),O752)</x:f>
        <x:v>0</x:v>
      </x:c>
      <x:c r="S752" t="n">
        <x:f>SUM(P752:R752)</x:f>
        <x:v>2</x:v>
      </x:c>
      <x:c r="T752" t="str">
        <x:f>IF(COUNTA(M752:O752)=0,"DerivedFromCount","ManualOverride")</x:f>
        <x:v>DerivedFromCount</x:v>
      </x:c>
      <x:c r="U752" t="str">
        <x:f>IF(COUNTIF(DailyProduction!$Q$5:$Q$100,B752)=1,"OK","CHECK")</x:f>
        <x:v>OK</x:v>
      </x:c>
      <x:c r="V752" t="str">
        <x:f>IF(AND(I752&gt;=1,I752&lt;=13,K752&gt;=1,K752&lt;=3),"OK","CHECK")</x:f>
        <x:v>OK</x:v>
      </x:c>
      <x:c r="W752" t="str">
        <x:f>IF(SUMIF($B$5:$B$914,B752,$S$5:$S$914)=SUMIF(DailyProduction!$Q$5:$Q$100,B752,DailyProduction!$R$5:$R$100),"OK","CHECK")</x:f>
        <x:v>OK</x:v>
      </x:c>
    </x:row>
    <x:row r="753">
      <x:c r="A753" t="str">
        <x:v>PC-PE-KG01-L25-20251020-PM-ORD-2025-00161-S08</x:v>
      </x:c>
      <x:c r="B753" t="str">
        <x:v>PE-KG01-L25-20251020-PM-ORD-2025-00161</x:v>
      </x:c>
      <x:c r="C753" t="str">
        <x:v>KG01</x:v>
      </x:c>
      <x:c r="D753" t="n">
        <x:v>45950</x:v>
      </x:c>
      <x:c r="E753" t="str">
        <x:v>PM</x:v>
      </x:c>
      <x:c r="F753" t="str">
        <x:v>A</x:v>
      </x:c>
      <x:c r="G753" t="n">
        <x:v>25</x:v>
      </x:c>
      <x:c r="H753" t="str">
        <x:v>ORD-2025-00161</x:v>
      </x:c>
      <x:c r="I753" t="n">
        <x:v>8</x:v>
      </x:c>
      <x:c r="J753" t="n">
        <x:v>8</x:v>
      </x:c>
      <x:c r="K753" t="n">
        <x:v>2</x:v>
      </x:c>
      <x:c r="L753" t="n">
        <x:f>IF(I753&lt;=J753,1,0)</x:f>
        <x:v>1</x:v>
      </x:c>
      <x:c r="P753" t="n">
        <x:f>IF(M753="",IF(AND(L753=1,K753&gt;=1),1,0),M753)</x:f>
        <x:v>1</x:v>
      </x:c>
      <x:c r="Q753" t="n">
        <x:f>IF(N753="",IF(AND(L753=1,K753&gt;=2),1,0),N753)</x:f>
        <x:v>1</x:v>
      </x:c>
      <x:c r="R753" t="n">
        <x:f>IF(O753="",IF(AND(L753=1,K753&gt;=3),1,0),O753)</x:f>
        <x:v>0</x:v>
      </x:c>
      <x:c r="S753" t="n">
        <x:f>SUM(P753:R753)</x:f>
        <x:v>2</x:v>
      </x:c>
      <x:c r="T753" t="str">
        <x:f>IF(COUNTA(M753:O753)=0,"DerivedFromCount","ManualOverride")</x:f>
        <x:v>DerivedFromCount</x:v>
      </x:c>
      <x:c r="U753" t="str">
        <x:f>IF(COUNTIF(DailyProduction!$Q$5:$Q$100,B753)=1,"OK","CHECK")</x:f>
        <x:v>OK</x:v>
      </x:c>
      <x:c r="V753" t="str">
        <x:f>IF(AND(I753&gt;=1,I753&lt;=13,K753&gt;=1,K753&lt;=3),"OK","CHECK")</x:f>
        <x:v>OK</x:v>
      </x:c>
      <x:c r="W753" t="str">
        <x:f>IF(SUMIF($B$5:$B$914,B753,$S$5:$S$914)=SUMIF(DailyProduction!$Q$5:$Q$100,B753,DailyProduction!$R$5:$R$100),"OK","CHECK")</x:f>
        <x:v>OK</x:v>
      </x:c>
    </x:row>
    <x:row r="754">
      <x:c r="A754" t="str">
        <x:v>PC-PE-KG01-L25-20251020-PM-ORD-2025-00161-S09</x:v>
      </x:c>
      <x:c r="B754" t="str">
        <x:v>PE-KG01-L25-20251020-PM-ORD-2025-00161</x:v>
      </x:c>
      <x:c r="C754" t="str">
        <x:v>KG01</x:v>
      </x:c>
      <x:c r="D754" t="n">
        <x:v>45950</x:v>
      </x:c>
      <x:c r="E754" t="str">
        <x:v>PM</x:v>
      </x:c>
      <x:c r="F754" t="str">
        <x:v>A</x:v>
      </x:c>
      <x:c r="G754" t="n">
        <x:v>25</x:v>
      </x:c>
      <x:c r="H754" t="str">
        <x:v>ORD-2025-00161</x:v>
      </x:c>
      <x:c r="I754" t="n">
        <x:v>9</x:v>
      </x:c>
      <x:c r="J754" t="n">
        <x:v>8</x:v>
      </x:c>
      <x:c r="K754" t="n">
        <x:v>2</x:v>
      </x:c>
      <x:c r="L754" t="n">
        <x:f>IF(I754&lt;=J754,1,0)</x:f>
        <x:v>0</x:v>
      </x:c>
      <x:c r="P754" t="n">
        <x:f>IF(M754="",IF(AND(L754=1,K754&gt;=1),1,0),M754)</x:f>
        <x:v>0</x:v>
      </x:c>
      <x:c r="Q754" t="n">
        <x:f>IF(N754="",IF(AND(L754=1,K754&gt;=2),1,0),N754)</x:f>
        <x:v>0</x:v>
      </x:c>
      <x:c r="R754" t="n">
        <x:f>IF(O754="",IF(AND(L754=1,K754&gt;=3),1,0),O754)</x:f>
        <x:v>0</x:v>
      </x:c>
      <x:c r="S754" t="n">
        <x:f>SUM(P754:R754)</x:f>
        <x:v>0</x:v>
      </x:c>
      <x:c r="T754" t="str">
        <x:f>IF(COUNTA(M754:O754)=0,"DerivedFromCount","ManualOverride")</x:f>
        <x:v>DerivedFromCount</x:v>
      </x:c>
      <x:c r="U754" t="str">
        <x:f>IF(COUNTIF(DailyProduction!$Q$5:$Q$100,B754)=1,"OK","CHECK")</x:f>
        <x:v>OK</x:v>
      </x:c>
      <x:c r="V754" t="str">
        <x:f>IF(AND(I754&gt;=1,I754&lt;=13,K754&gt;=1,K754&lt;=3),"OK","CHECK")</x:f>
        <x:v>OK</x:v>
      </x:c>
      <x:c r="W754" t="str">
        <x:f>IF(SUMIF($B$5:$B$914,B754,$S$5:$S$914)=SUMIF(DailyProduction!$Q$5:$Q$100,B754,DailyProduction!$R$5:$R$100),"OK","CHECK")</x:f>
        <x:v>OK</x:v>
      </x:c>
    </x:row>
    <x:row r="755">
      <x:c r="A755" t="str">
        <x:v>PC-PE-KG01-L25-20251020-PM-ORD-2025-00161-S10</x:v>
      </x:c>
      <x:c r="B755" t="str">
        <x:v>PE-KG01-L25-20251020-PM-ORD-2025-00161</x:v>
      </x:c>
      <x:c r="C755" t="str">
        <x:v>KG01</x:v>
      </x:c>
      <x:c r="D755" t="n">
        <x:v>45950</x:v>
      </x:c>
      <x:c r="E755" t="str">
        <x:v>PM</x:v>
      </x:c>
      <x:c r="F755" t="str">
        <x:v>A</x:v>
      </x:c>
      <x:c r="G755" t="n">
        <x:v>25</x:v>
      </x:c>
      <x:c r="H755" t="str">
        <x:v>ORD-2025-00161</x:v>
      </x:c>
      <x:c r="I755" t="n">
        <x:v>10</x:v>
      </x:c>
      <x:c r="J755" t="n">
        <x:v>8</x:v>
      </x:c>
      <x:c r="K755" t="n">
        <x:v>2</x:v>
      </x:c>
      <x:c r="L755" t="n">
        <x:f>IF(I755&lt;=J755,1,0)</x:f>
        <x:v>0</x:v>
      </x:c>
      <x:c r="P755" t="n">
        <x:f>IF(M755="",IF(AND(L755=1,K755&gt;=1),1,0),M755)</x:f>
        <x:v>0</x:v>
      </x:c>
      <x:c r="Q755" t="n">
        <x:f>IF(N755="",IF(AND(L755=1,K755&gt;=2),1,0),N755)</x:f>
        <x:v>0</x:v>
      </x:c>
      <x:c r="R755" t="n">
        <x:f>IF(O755="",IF(AND(L755=1,K755&gt;=3),1,0),O755)</x:f>
        <x:v>0</x:v>
      </x:c>
      <x:c r="S755" t="n">
        <x:f>SUM(P755:R755)</x:f>
        <x:v>0</x:v>
      </x:c>
      <x:c r="T755" t="str">
        <x:f>IF(COUNTA(M755:O755)=0,"DerivedFromCount","ManualOverride")</x:f>
        <x:v>DerivedFromCount</x:v>
      </x:c>
      <x:c r="U755" t="str">
        <x:f>IF(COUNTIF(DailyProduction!$Q$5:$Q$100,B755)=1,"OK","CHECK")</x:f>
        <x:v>OK</x:v>
      </x:c>
      <x:c r="V755" t="str">
        <x:f>IF(AND(I755&gt;=1,I755&lt;=13,K755&gt;=1,K755&lt;=3),"OK","CHECK")</x:f>
        <x:v>OK</x:v>
      </x:c>
      <x:c r="W755" t="str">
        <x:f>IF(SUMIF($B$5:$B$914,B755,$S$5:$S$914)=SUMIF(DailyProduction!$Q$5:$Q$100,B755,DailyProduction!$R$5:$R$100),"OK","CHECK")</x:f>
        <x:v>OK</x:v>
      </x:c>
    </x:row>
    <x:row r="756">
      <x:c r="A756" t="str">
        <x:v>PC-PE-KG01-L25-20251020-PM-ORD-2025-00161-S11</x:v>
      </x:c>
      <x:c r="B756" t="str">
        <x:v>PE-KG01-L25-20251020-PM-ORD-2025-00161</x:v>
      </x:c>
      <x:c r="C756" t="str">
        <x:v>KG01</x:v>
      </x:c>
      <x:c r="D756" t="n">
        <x:v>45950</x:v>
      </x:c>
      <x:c r="E756" t="str">
        <x:v>PM</x:v>
      </x:c>
      <x:c r="F756" t="str">
        <x:v>A</x:v>
      </x:c>
      <x:c r="G756" t="n">
        <x:v>25</x:v>
      </x:c>
      <x:c r="H756" t="str">
        <x:v>ORD-2025-00161</x:v>
      </x:c>
      <x:c r="I756" t="n">
        <x:v>11</x:v>
      </x:c>
      <x:c r="J756" t="n">
        <x:v>8</x:v>
      </x:c>
      <x:c r="K756" t="n">
        <x:v>2</x:v>
      </x:c>
      <x:c r="L756" t="n">
        <x:f>IF(I756&lt;=J756,1,0)</x:f>
        <x:v>0</x:v>
      </x:c>
      <x:c r="P756" t="n">
        <x:f>IF(M756="",IF(AND(L756=1,K756&gt;=1),1,0),M756)</x:f>
        <x:v>0</x:v>
      </x:c>
      <x:c r="Q756" t="n">
        <x:f>IF(N756="",IF(AND(L756=1,K756&gt;=2),1,0),N756)</x:f>
        <x:v>0</x:v>
      </x:c>
      <x:c r="R756" t="n">
        <x:f>IF(O756="",IF(AND(L756=1,K756&gt;=3),1,0),O756)</x:f>
        <x:v>0</x:v>
      </x:c>
      <x:c r="S756" t="n">
        <x:f>SUM(P756:R756)</x:f>
        <x:v>0</x:v>
      </x:c>
      <x:c r="T756" t="str">
        <x:f>IF(COUNTA(M756:O756)=0,"DerivedFromCount","ManualOverride")</x:f>
        <x:v>DerivedFromCount</x:v>
      </x:c>
      <x:c r="U756" t="str">
        <x:f>IF(COUNTIF(DailyProduction!$Q$5:$Q$100,B756)=1,"OK","CHECK")</x:f>
        <x:v>OK</x:v>
      </x:c>
      <x:c r="V756" t="str">
        <x:f>IF(AND(I756&gt;=1,I756&lt;=13,K756&gt;=1,K756&lt;=3),"OK","CHECK")</x:f>
        <x:v>OK</x:v>
      </x:c>
      <x:c r="W756" t="str">
        <x:f>IF(SUMIF($B$5:$B$914,B756,$S$5:$S$914)=SUMIF(DailyProduction!$Q$5:$Q$100,B756,DailyProduction!$R$5:$R$100),"OK","CHECK")</x:f>
        <x:v>OK</x:v>
      </x:c>
    </x:row>
    <x:row r="757">
      <x:c r="A757" t="str">
        <x:v>PC-PE-KG01-L25-20251020-PM-ORD-2025-00161-S12</x:v>
      </x:c>
      <x:c r="B757" t="str">
        <x:v>PE-KG01-L25-20251020-PM-ORD-2025-00161</x:v>
      </x:c>
      <x:c r="C757" t="str">
        <x:v>KG01</x:v>
      </x:c>
      <x:c r="D757" t="n">
        <x:v>45950</x:v>
      </x:c>
      <x:c r="E757" t="str">
        <x:v>PM</x:v>
      </x:c>
      <x:c r="F757" t="str">
        <x:v>A</x:v>
      </x:c>
      <x:c r="G757" t="n">
        <x:v>25</x:v>
      </x:c>
      <x:c r="H757" t="str">
        <x:v>ORD-2025-00161</x:v>
      </x:c>
      <x:c r="I757" t="n">
        <x:v>12</x:v>
      </x:c>
      <x:c r="J757" t="n">
        <x:v>8</x:v>
      </x:c>
      <x:c r="K757" t="n">
        <x:v>2</x:v>
      </x:c>
      <x:c r="L757" t="n">
        <x:f>IF(I757&lt;=J757,1,0)</x:f>
        <x:v>0</x:v>
      </x:c>
      <x:c r="P757" t="n">
        <x:f>IF(M757="",IF(AND(L757=1,K757&gt;=1),1,0),M757)</x:f>
        <x:v>0</x:v>
      </x:c>
      <x:c r="Q757" t="n">
        <x:f>IF(N757="",IF(AND(L757=1,K757&gt;=2),1,0),N757)</x:f>
        <x:v>0</x:v>
      </x:c>
      <x:c r="R757" t="n">
        <x:f>IF(O757="",IF(AND(L757=1,K757&gt;=3),1,0),O757)</x:f>
        <x:v>0</x:v>
      </x:c>
      <x:c r="S757" t="n">
        <x:f>SUM(P757:R757)</x:f>
        <x:v>0</x:v>
      </x:c>
      <x:c r="T757" t="str">
        <x:f>IF(COUNTA(M757:O757)=0,"DerivedFromCount","ManualOverride")</x:f>
        <x:v>DerivedFromCount</x:v>
      </x:c>
      <x:c r="U757" t="str">
        <x:f>IF(COUNTIF(DailyProduction!$Q$5:$Q$100,B757)=1,"OK","CHECK")</x:f>
        <x:v>OK</x:v>
      </x:c>
      <x:c r="V757" t="str">
        <x:f>IF(AND(I757&gt;=1,I757&lt;=13,K757&gt;=1,K757&lt;=3),"OK","CHECK")</x:f>
        <x:v>OK</x:v>
      </x:c>
      <x:c r="W757" t="str">
        <x:f>IF(SUMIF($B$5:$B$914,B757,$S$5:$S$914)=SUMIF(DailyProduction!$Q$5:$Q$100,B757,DailyProduction!$R$5:$R$100),"OK","CHECK")</x:f>
        <x:v>OK</x:v>
      </x:c>
    </x:row>
    <x:row r="758">
      <x:c r="A758" t="str">
        <x:v>PC-PE-KG01-L25-20251020-PM-ORD-2025-00161-S13</x:v>
      </x:c>
      <x:c r="B758" t="str">
        <x:v>PE-KG01-L25-20251020-PM-ORD-2025-00161</x:v>
      </x:c>
      <x:c r="C758" t="str">
        <x:v>KG01</x:v>
      </x:c>
      <x:c r="D758" t="n">
        <x:v>45950</x:v>
      </x:c>
      <x:c r="E758" t="str">
        <x:v>PM</x:v>
      </x:c>
      <x:c r="F758" t="str">
        <x:v>A</x:v>
      </x:c>
      <x:c r="G758" t="n">
        <x:v>25</x:v>
      </x:c>
      <x:c r="H758" t="str">
        <x:v>ORD-2025-00161</x:v>
      </x:c>
      <x:c r="I758" t="n">
        <x:v>13</x:v>
      </x:c>
      <x:c r="J758" t="n">
        <x:v>8</x:v>
      </x:c>
      <x:c r="K758" t="n">
        <x:v>2</x:v>
      </x:c>
      <x:c r="L758" t="n">
        <x:f>IF(I758&lt;=J758,1,0)</x:f>
        <x:v>0</x:v>
      </x:c>
      <x:c r="P758" t="n">
        <x:f>IF(M758="",IF(AND(L758=1,K758&gt;=1),1,0),M758)</x:f>
        <x:v>0</x:v>
      </x:c>
      <x:c r="Q758" t="n">
        <x:f>IF(N758="",IF(AND(L758=1,K758&gt;=2),1,0),N758)</x:f>
        <x:v>0</x:v>
      </x:c>
      <x:c r="R758" t="n">
        <x:f>IF(O758="",IF(AND(L758=1,K758&gt;=3),1,0),O758)</x:f>
        <x:v>0</x:v>
      </x:c>
      <x:c r="S758" t="n">
        <x:f>SUM(P758:R758)</x:f>
        <x:v>0</x:v>
      </x:c>
      <x:c r="T758" t="str">
        <x:f>IF(COUNTA(M758:O758)=0,"DerivedFromCount","ManualOverride")</x:f>
        <x:v>DerivedFromCount</x:v>
      </x:c>
      <x:c r="U758" t="str">
        <x:f>IF(COUNTIF(DailyProduction!$Q$5:$Q$100,B758)=1,"OK","CHECK")</x:f>
        <x:v>OK</x:v>
      </x:c>
      <x:c r="V758" t="str">
        <x:f>IF(AND(I758&gt;=1,I758&lt;=13,K758&gt;=1,K758&lt;=3),"OK","CHECK")</x:f>
        <x:v>OK</x:v>
      </x:c>
      <x:c r="W758" t="str">
        <x:f>IF(SUMIF($B$5:$B$914,B758,$S$5:$S$914)=SUMIF(DailyProduction!$Q$5:$Q$100,B758,DailyProduction!$R$5:$R$100),"OK","CHECK")</x:f>
        <x:v>OK</x:v>
      </x:c>
    </x:row>
    <x:row r="759">
      <x:c r="A759" t="str">
        <x:v>PC-PE-KG01-L25-20251021-AM-ORD-2025-00161-S01</x:v>
      </x:c>
      <x:c r="B759" t="str">
        <x:v>PE-KG01-L25-20251021-AM-ORD-2025-00161</x:v>
      </x:c>
      <x:c r="C759" t="str">
        <x:v>KG01</x:v>
      </x:c>
      <x:c r="D759" t="n">
        <x:v>45951</x:v>
      </x:c>
      <x:c r="E759" t="str">
        <x:v>AM</x:v>
      </x:c>
      <x:c r="F759" t="str">
        <x:v>A</x:v>
      </x:c>
      <x:c r="G759" t="n">
        <x:v>25</x:v>
      </x:c>
      <x:c r="H759" t="str">
        <x:v>ORD-2025-00161</x:v>
      </x:c>
      <x:c r="I759" t="n">
        <x:v>1</x:v>
      </x:c>
      <x:c r="J759" t="n">
        <x:v>8</x:v>
      </x:c>
      <x:c r="K759" t="n">
        <x:v>2</x:v>
      </x:c>
      <x:c r="L759" t="n">
        <x:f>IF(I759&lt;=J759,1,0)</x:f>
        <x:v>1</x:v>
      </x:c>
      <x:c r="P759" t="n">
        <x:f>IF(M759="",IF(AND(L759=1,K759&gt;=1),1,0),M759)</x:f>
        <x:v>1</x:v>
      </x:c>
      <x:c r="Q759" t="n">
        <x:f>IF(N759="",IF(AND(L759=1,K759&gt;=2),1,0),N759)</x:f>
        <x:v>1</x:v>
      </x:c>
      <x:c r="R759" t="n">
        <x:f>IF(O759="",IF(AND(L759=1,K759&gt;=3),1,0),O759)</x:f>
        <x:v>0</x:v>
      </x:c>
      <x:c r="S759" t="n">
        <x:f>SUM(P759:R759)</x:f>
        <x:v>2</x:v>
      </x:c>
      <x:c r="T759" t="str">
        <x:f>IF(COUNTA(M759:O759)=0,"DerivedFromCount","ManualOverride")</x:f>
        <x:v>DerivedFromCount</x:v>
      </x:c>
      <x:c r="U759" t="str">
        <x:f>IF(COUNTIF(DailyProduction!$Q$5:$Q$100,B759)=1,"OK","CHECK")</x:f>
        <x:v>OK</x:v>
      </x:c>
      <x:c r="V759" t="str">
        <x:f>IF(AND(I759&gt;=1,I759&lt;=13,K759&gt;=1,K759&lt;=3),"OK","CHECK")</x:f>
        <x:v>OK</x:v>
      </x:c>
      <x:c r="W759" t="str">
        <x:f>IF(SUMIF($B$5:$B$914,B759,$S$5:$S$914)=SUMIF(DailyProduction!$Q$5:$Q$100,B759,DailyProduction!$R$5:$R$100),"OK","CHECK")</x:f>
        <x:v>OK</x:v>
      </x:c>
    </x:row>
    <x:row r="760">
      <x:c r="A760" t="str">
        <x:v>PC-PE-KG01-L25-20251021-AM-ORD-2025-00161-S02</x:v>
      </x:c>
      <x:c r="B760" t="str">
        <x:v>PE-KG01-L25-20251021-AM-ORD-2025-00161</x:v>
      </x:c>
      <x:c r="C760" t="str">
        <x:v>KG01</x:v>
      </x:c>
      <x:c r="D760" t="n">
        <x:v>45951</x:v>
      </x:c>
      <x:c r="E760" t="str">
        <x:v>AM</x:v>
      </x:c>
      <x:c r="F760" t="str">
        <x:v>A</x:v>
      </x:c>
      <x:c r="G760" t="n">
        <x:v>25</x:v>
      </x:c>
      <x:c r="H760" t="str">
        <x:v>ORD-2025-00161</x:v>
      </x:c>
      <x:c r="I760" t="n">
        <x:v>2</x:v>
      </x:c>
      <x:c r="J760" t="n">
        <x:v>8</x:v>
      </x:c>
      <x:c r="K760" t="n">
        <x:v>2</x:v>
      </x:c>
      <x:c r="L760" t="n">
        <x:f>IF(I760&lt;=J760,1,0)</x:f>
        <x:v>1</x:v>
      </x:c>
      <x:c r="P760" t="n">
        <x:f>IF(M760="",IF(AND(L760=1,K760&gt;=1),1,0),M760)</x:f>
        <x:v>1</x:v>
      </x:c>
      <x:c r="Q760" t="n">
        <x:f>IF(N760="",IF(AND(L760=1,K760&gt;=2),1,0),N760)</x:f>
        <x:v>1</x:v>
      </x:c>
      <x:c r="R760" t="n">
        <x:f>IF(O760="",IF(AND(L760=1,K760&gt;=3),1,0),O760)</x:f>
        <x:v>0</x:v>
      </x:c>
      <x:c r="S760" t="n">
        <x:f>SUM(P760:R760)</x:f>
        <x:v>2</x:v>
      </x:c>
      <x:c r="T760" t="str">
        <x:f>IF(COUNTA(M760:O760)=0,"DerivedFromCount","ManualOverride")</x:f>
        <x:v>DerivedFromCount</x:v>
      </x:c>
      <x:c r="U760" t="str">
        <x:f>IF(COUNTIF(DailyProduction!$Q$5:$Q$100,B760)=1,"OK","CHECK")</x:f>
        <x:v>OK</x:v>
      </x:c>
      <x:c r="V760" t="str">
        <x:f>IF(AND(I760&gt;=1,I760&lt;=13,K760&gt;=1,K760&lt;=3),"OK","CHECK")</x:f>
        <x:v>OK</x:v>
      </x:c>
      <x:c r="W760" t="str">
        <x:f>IF(SUMIF($B$5:$B$914,B760,$S$5:$S$914)=SUMIF(DailyProduction!$Q$5:$Q$100,B760,DailyProduction!$R$5:$R$100),"OK","CHECK")</x:f>
        <x:v>OK</x:v>
      </x:c>
    </x:row>
    <x:row r="761">
      <x:c r="A761" t="str">
        <x:v>PC-PE-KG01-L25-20251021-AM-ORD-2025-00161-S03</x:v>
      </x:c>
      <x:c r="B761" t="str">
        <x:v>PE-KG01-L25-20251021-AM-ORD-2025-00161</x:v>
      </x:c>
      <x:c r="C761" t="str">
        <x:v>KG01</x:v>
      </x:c>
      <x:c r="D761" t="n">
        <x:v>45951</x:v>
      </x:c>
      <x:c r="E761" t="str">
        <x:v>AM</x:v>
      </x:c>
      <x:c r="F761" t="str">
        <x:v>A</x:v>
      </x:c>
      <x:c r="G761" t="n">
        <x:v>25</x:v>
      </x:c>
      <x:c r="H761" t="str">
        <x:v>ORD-2025-00161</x:v>
      </x:c>
      <x:c r="I761" t="n">
        <x:v>3</x:v>
      </x:c>
      <x:c r="J761" t="n">
        <x:v>8</x:v>
      </x:c>
      <x:c r="K761" t="n">
        <x:v>2</x:v>
      </x:c>
      <x:c r="L761" t="n">
        <x:f>IF(I761&lt;=J761,1,0)</x:f>
        <x:v>1</x:v>
      </x:c>
      <x:c r="P761" t="n">
        <x:f>IF(M761="",IF(AND(L761=1,K761&gt;=1),1,0),M761)</x:f>
        <x:v>1</x:v>
      </x:c>
      <x:c r="Q761" t="n">
        <x:f>IF(N761="",IF(AND(L761=1,K761&gt;=2),1,0),N761)</x:f>
        <x:v>1</x:v>
      </x:c>
      <x:c r="R761" t="n">
        <x:f>IF(O761="",IF(AND(L761=1,K761&gt;=3),1,0),O761)</x:f>
        <x:v>0</x:v>
      </x:c>
      <x:c r="S761" t="n">
        <x:f>SUM(P761:R761)</x:f>
        <x:v>2</x:v>
      </x:c>
      <x:c r="T761" t="str">
        <x:f>IF(COUNTA(M761:O761)=0,"DerivedFromCount","ManualOverride")</x:f>
        <x:v>DerivedFromCount</x:v>
      </x:c>
      <x:c r="U761" t="str">
        <x:f>IF(COUNTIF(DailyProduction!$Q$5:$Q$100,B761)=1,"OK","CHECK")</x:f>
        <x:v>OK</x:v>
      </x:c>
      <x:c r="V761" t="str">
        <x:f>IF(AND(I761&gt;=1,I761&lt;=13,K761&gt;=1,K761&lt;=3),"OK","CHECK")</x:f>
        <x:v>OK</x:v>
      </x:c>
      <x:c r="W761" t="str">
        <x:f>IF(SUMIF($B$5:$B$914,B761,$S$5:$S$914)=SUMIF(DailyProduction!$Q$5:$Q$100,B761,DailyProduction!$R$5:$R$100),"OK","CHECK")</x:f>
        <x:v>OK</x:v>
      </x:c>
    </x:row>
    <x:row r="762">
      <x:c r="A762" t="str">
        <x:v>PC-PE-KG01-L25-20251021-AM-ORD-2025-00161-S04</x:v>
      </x:c>
      <x:c r="B762" t="str">
        <x:v>PE-KG01-L25-20251021-AM-ORD-2025-00161</x:v>
      </x:c>
      <x:c r="C762" t="str">
        <x:v>KG01</x:v>
      </x:c>
      <x:c r="D762" t="n">
        <x:v>45951</x:v>
      </x:c>
      <x:c r="E762" t="str">
        <x:v>AM</x:v>
      </x:c>
      <x:c r="F762" t="str">
        <x:v>A</x:v>
      </x:c>
      <x:c r="G762" t="n">
        <x:v>25</x:v>
      </x:c>
      <x:c r="H762" t="str">
        <x:v>ORD-2025-00161</x:v>
      </x:c>
      <x:c r="I762" t="n">
        <x:v>4</x:v>
      </x:c>
      <x:c r="J762" t="n">
        <x:v>8</x:v>
      </x:c>
      <x:c r="K762" t="n">
        <x:v>2</x:v>
      </x:c>
      <x:c r="L762" t="n">
        <x:f>IF(I762&lt;=J762,1,0)</x:f>
        <x:v>1</x:v>
      </x:c>
      <x:c r="P762" t="n">
        <x:f>IF(M762="",IF(AND(L762=1,K762&gt;=1),1,0),M762)</x:f>
        <x:v>1</x:v>
      </x:c>
      <x:c r="Q762" t="n">
        <x:f>IF(N762="",IF(AND(L762=1,K762&gt;=2),1,0),N762)</x:f>
        <x:v>1</x:v>
      </x:c>
      <x:c r="R762" t="n">
        <x:f>IF(O762="",IF(AND(L762=1,K762&gt;=3),1,0),O762)</x:f>
        <x:v>0</x:v>
      </x:c>
      <x:c r="S762" t="n">
        <x:f>SUM(P762:R762)</x:f>
        <x:v>2</x:v>
      </x:c>
      <x:c r="T762" t="str">
        <x:f>IF(COUNTA(M762:O762)=0,"DerivedFromCount","ManualOverride")</x:f>
        <x:v>DerivedFromCount</x:v>
      </x:c>
      <x:c r="U762" t="str">
        <x:f>IF(COUNTIF(DailyProduction!$Q$5:$Q$100,B762)=1,"OK","CHECK")</x:f>
        <x:v>OK</x:v>
      </x:c>
      <x:c r="V762" t="str">
        <x:f>IF(AND(I762&gt;=1,I762&lt;=13,K762&gt;=1,K762&lt;=3),"OK","CHECK")</x:f>
        <x:v>OK</x:v>
      </x:c>
      <x:c r="W762" t="str">
        <x:f>IF(SUMIF($B$5:$B$914,B762,$S$5:$S$914)=SUMIF(DailyProduction!$Q$5:$Q$100,B762,DailyProduction!$R$5:$R$100),"OK","CHECK")</x:f>
        <x:v>OK</x:v>
      </x:c>
    </x:row>
    <x:row r="763">
      <x:c r="A763" t="str">
        <x:v>PC-PE-KG01-L25-20251021-AM-ORD-2025-00161-S05</x:v>
      </x:c>
      <x:c r="B763" t="str">
        <x:v>PE-KG01-L25-20251021-AM-ORD-2025-00161</x:v>
      </x:c>
      <x:c r="C763" t="str">
        <x:v>KG01</x:v>
      </x:c>
      <x:c r="D763" t="n">
        <x:v>45951</x:v>
      </x:c>
      <x:c r="E763" t="str">
        <x:v>AM</x:v>
      </x:c>
      <x:c r="F763" t="str">
        <x:v>A</x:v>
      </x:c>
      <x:c r="G763" t="n">
        <x:v>25</x:v>
      </x:c>
      <x:c r="H763" t="str">
        <x:v>ORD-2025-00161</x:v>
      </x:c>
      <x:c r="I763" t="n">
        <x:v>5</x:v>
      </x:c>
      <x:c r="J763" t="n">
        <x:v>8</x:v>
      </x:c>
      <x:c r="K763" t="n">
        <x:v>2</x:v>
      </x:c>
      <x:c r="L763" t="n">
        <x:f>IF(I763&lt;=J763,1,0)</x:f>
        <x:v>1</x:v>
      </x:c>
      <x:c r="P763" t="n">
        <x:f>IF(M763="",IF(AND(L763=1,K763&gt;=1),1,0),M763)</x:f>
        <x:v>1</x:v>
      </x:c>
      <x:c r="Q763" t="n">
        <x:f>IF(N763="",IF(AND(L763=1,K763&gt;=2),1,0),N763)</x:f>
        <x:v>1</x:v>
      </x:c>
      <x:c r="R763" t="n">
        <x:f>IF(O763="",IF(AND(L763=1,K763&gt;=3),1,0),O763)</x:f>
        <x:v>0</x:v>
      </x:c>
      <x:c r="S763" t="n">
        <x:f>SUM(P763:R763)</x:f>
        <x:v>2</x:v>
      </x:c>
      <x:c r="T763" t="str">
        <x:f>IF(COUNTA(M763:O763)=0,"DerivedFromCount","ManualOverride")</x:f>
        <x:v>DerivedFromCount</x:v>
      </x:c>
      <x:c r="U763" t="str">
        <x:f>IF(COUNTIF(DailyProduction!$Q$5:$Q$100,B763)=1,"OK","CHECK")</x:f>
        <x:v>OK</x:v>
      </x:c>
      <x:c r="V763" t="str">
        <x:f>IF(AND(I763&gt;=1,I763&lt;=13,K763&gt;=1,K763&lt;=3),"OK","CHECK")</x:f>
        <x:v>OK</x:v>
      </x:c>
      <x:c r="W763" t="str">
        <x:f>IF(SUMIF($B$5:$B$914,B763,$S$5:$S$914)=SUMIF(DailyProduction!$Q$5:$Q$100,B763,DailyProduction!$R$5:$R$100),"OK","CHECK")</x:f>
        <x:v>OK</x:v>
      </x:c>
    </x:row>
    <x:row r="764">
      <x:c r="A764" t="str">
        <x:v>PC-PE-KG01-L25-20251021-AM-ORD-2025-00161-S06</x:v>
      </x:c>
      <x:c r="B764" t="str">
        <x:v>PE-KG01-L25-20251021-AM-ORD-2025-00161</x:v>
      </x:c>
      <x:c r="C764" t="str">
        <x:v>KG01</x:v>
      </x:c>
      <x:c r="D764" t="n">
        <x:v>45951</x:v>
      </x:c>
      <x:c r="E764" t="str">
        <x:v>AM</x:v>
      </x:c>
      <x:c r="F764" t="str">
        <x:v>A</x:v>
      </x:c>
      <x:c r="G764" t="n">
        <x:v>25</x:v>
      </x:c>
      <x:c r="H764" t="str">
        <x:v>ORD-2025-00161</x:v>
      </x:c>
      <x:c r="I764" t="n">
        <x:v>6</x:v>
      </x:c>
      <x:c r="J764" t="n">
        <x:v>8</x:v>
      </x:c>
      <x:c r="K764" t="n">
        <x:v>2</x:v>
      </x:c>
      <x:c r="L764" t="n">
        <x:f>IF(I764&lt;=J764,1,0)</x:f>
        <x:v>1</x:v>
      </x:c>
      <x:c r="P764" t="n">
        <x:f>IF(M764="",IF(AND(L764=1,K764&gt;=1),1,0),M764)</x:f>
        <x:v>1</x:v>
      </x:c>
      <x:c r="Q764" t="n">
        <x:f>IF(N764="",IF(AND(L764=1,K764&gt;=2),1,0),N764)</x:f>
        <x:v>1</x:v>
      </x:c>
      <x:c r="R764" t="n">
        <x:f>IF(O764="",IF(AND(L764=1,K764&gt;=3),1,0),O764)</x:f>
        <x:v>0</x:v>
      </x:c>
      <x:c r="S764" t="n">
        <x:f>SUM(P764:R764)</x:f>
        <x:v>2</x:v>
      </x:c>
      <x:c r="T764" t="str">
        <x:f>IF(COUNTA(M764:O764)=0,"DerivedFromCount","ManualOverride")</x:f>
        <x:v>DerivedFromCount</x:v>
      </x:c>
      <x:c r="U764" t="str">
        <x:f>IF(COUNTIF(DailyProduction!$Q$5:$Q$100,B764)=1,"OK","CHECK")</x:f>
        <x:v>OK</x:v>
      </x:c>
      <x:c r="V764" t="str">
        <x:f>IF(AND(I764&gt;=1,I764&lt;=13,K764&gt;=1,K764&lt;=3),"OK","CHECK")</x:f>
        <x:v>OK</x:v>
      </x:c>
      <x:c r="W764" t="str">
        <x:f>IF(SUMIF($B$5:$B$914,B764,$S$5:$S$914)=SUMIF(DailyProduction!$Q$5:$Q$100,B764,DailyProduction!$R$5:$R$100),"OK","CHECK")</x:f>
        <x:v>OK</x:v>
      </x:c>
    </x:row>
    <x:row r="765">
      <x:c r="A765" t="str">
        <x:v>PC-PE-KG01-L25-20251021-AM-ORD-2025-00161-S07</x:v>
      </x:c>
      <x:c r="B765" t="str">
        <x:v>PE-KG01-L25-20251021-AM-ORD-2025-00161</x:v>
      </x:c>
      <x:c r="C765" t="str">
        <x:v>KG01</x:v>
      </x:c>
      <x:c r="D765" t="n">
        <x:v>45951</x:v>
      </x:c>
      <x:c r="E765" t="str">
        <x:v>AM</x:v>
      </x:c>
      <x:c r="F765" t="str">
        <x:v>A</x:v>
      </x:c>
      <x:c r="G765" t="n">
        <x:v>25</x:v>
      </x:c>
      <x:c r="H765" t="str">
        <x:v>ORD-2025-00161</x:v>
      </x:c>
      <x:c r="I765" t="n">
        <x:v>7</x:v>
      </x:c>
      <x:c r="J765" t="n">
        <x:v>8</x:v>
      </x:c>
      <x:c r="K765" t="n">
        <x:v>2</x:v>
      </x:c>
      <x:c r="L765" t="n">
        <x:f>IF(I765&lt;=J765,1,0)</x:f>
        <x:v>1</x:v>
      </x:c>
      <x:c r="P765" t="n">
        <x:f>IF(M765="",IF(AND(L765=1,K765&gt;=1),1,0),M765)</x:f>
        <x:v>1</x:v>
      </x:c>
      <x:c r="Q765" t="n">
        <x:f>IF(N765="",IF(AND(L765=1,K765&gt;=2),1,0),N765)</x:f>
        <x:v>1</x:v>
      </x:c>
      <x:c r="R765" t="n">
        <x:f>IF(O765="",IF(AND(L765=1,K765&gt;=3),1,0),O765)</x:f>
        <x:v>0</x:v>
      </x:c>
      <x:c r="S765" t="n">
        <x:f>SUM(P765:R765)</x:f>
        <x:v>2</x:v>
      </x:c>
      <x:c r="T765" t="str">
        <x:f>IF(COUNTA(M765:O765)=0,"DerivedFromCount","ManualOverride")</x:f>
        <x:v>DerivedFromCount</x:v>
      </x:c>
      <x:c r="U765" t="str">
        <x:f>IF(COUNTIF(DailyProduction!$Q$5:$Q$100,B765)=1,"OK","CHECK")</x:f>
        <x:v>OK</x:v>
      </x:c>
      <x:c r="V765" t="str">
        <x:f>IF(AND(I765&gt;=1,I765&lt;=13,K765&gt;=1,K765&lt;=3),"OK","CHECK")</x:f>
        <x:v>OK</x:v>
      </x:c>
      <x:c r="W765" t="str">
        <x:f>IF(SUMIF($B$5:$B$914,B765,$S$5:$S$914)=SUMIF(DailyProduction!$Q$5:$Q$100,B765,DailyProduction!$R$5:$R$100),"OK","CHECK")</x:f>
        <x:v>OK</x:v>
      </x:c>
    </x:row>
    <x:row r="766">
      <x:c r="A766" t="str">
        <x:v>PC-PE-KG01-L25-20251021-AM-ORD-2025-00161-S08</x:v>
      </x:c>
      <x:c r="B766" t="str">
        <x:v>PE-KG01-L25-20251021-AM-ORD-2025-00161</x:v>
      </x:c>
      <x:c r="C766" t="str">
        <x:v>KG01</x:v>
      </x:c>
      <x:c r="D766" t="n">
        <x:v>45951</x:v>
      </x:c>
      <x:c r="E766" t="str">
        <x:v>AM</x:v>
      </x:c>
      <x:c r="F766" t="str">
        <x:v>A</x:v>
      </x:c>
      <x:c r="G766" t="n">
        <x:v>25</x:v>
      </x:c>
      <x:c r="H766" t="str">
        <x:v>ORD-2025-00161</x:v>
      </x:c>
      <x:c r="I766" t="n">
        <x:v>8</x:v>
      </x:c>
      <x:c r="J766" t="n">
        <x:v>8</x:v>
      </x:c>
      <x:c r="K766" t="n">
        <x:v>2</x:v>
      </x:c>
      <x:c r="L766" t="n">
        <x:f>IF(I766&lt;=J766,1,0)</x:f>
        <x:v>1</x:v>
      </x:c>
      <x:c r="P766" t="n">
        <x:f>IF(M766="",IF(AND(L766=1,K766&gt;=1),1,0),M766)</x:f>
        <x:v>1</x:v>
      </x:c>
      <x:c r="Q766" t="n">
        <x:f>IF(N766="",IF(AND(L766=1,K766&gt;=2),1,0),N766)</x:f>
        <x:v>1</x:v>
      </x:c>
      <x:c r="R766" t="n">
        <x:f>IF(O766="",IF(AND(L766=1,K766&gt;=3),1,0),O766)</x:f>
        <x:v>0</x:v>
      </x:c>
      <x:c r="S766" t="n">
        <x:f>SUM(P766:R766)</x:f>
        <x:v>2</x:v>
      </x:c>
      <x:c r="T766" t="str">
        <x:f>IF(COUNTA(M766:O766)=0,"DerivedFromCount","ManualOverride")</x:f>
        <x:v>DerivedFromCount</x:v>
      </x:c>
      <x:c r="U766" t="str">
        <x:f>IF(COUNTIF(DailyProduction!$Q$5:$Q$100,B766)=1,"OK","CHECK")</x:f>
        <x:v>OK</x:v>
      </x:c>
      <x:c r="V766" t="str">
        <x:f>IF(AND(I766&gt;=1,I766&lt;=13,K766&gt;=1,K766&lt;=3),"OK","CHECK")</x:f>
        <x:v>OK</x:v>
      </x:c>
      <x:c r="W766" t="str">
        <x:f>IF(SUMIF($B$5:$B$914,B766,$S$5:$S$914)=SUMIF(DailyProduction!$Q$5:$Q$100,B766,DailyProduction!$R$5:$R$100),"OK","CHECK")</x:f>
        <x:v>OK</x:v>
      </x:c>
    </x:row>
    <x:row r="767">
      <x:c r="A767" t="str">
        <x:v>PC-PE-KG01-L25-20251021-AM-ORD-2025-00161-S09</x:v>
      </x:c>
      <x:c r="B767" t="str">
        <x:v>PE-KG01-L25-20251021-AM-ORD-2025-00161</x:v>
      </x:c>
      <x:c r="C767" t="str">
        <x:v>KG01</x:v>
      </x:c>
      <x:c r="D767" t="n">
        <x:v>45951</x:v>
      </x:c>
      <x:c r="E767" t="str">
        <x:v>AM</x:v>
      </x:c>
      <x:c r="F767" t="str">
        <x:v>A</x:v>
      </x:c>
      <x:c r="G767" t="n">
        <x:v>25</x:v>
      </x:c>
      <x:c r="H767" t="str">
        <x:v>ORD-2025-00161</x:v>
      </x:c>
      <x:c r="I767" t="n">
        <x:v>9</x:v>
      </x:c>
      <x:c r="J767" t="n">
        <x:v>8</x:v>
      </x:c>
      <x:c r="K767" t="n">
        <x:v>2</x:v>
      </x:c>
      <x:c r="L767" t="n">
        <x:f>IF(I767&lt;=J767,1,0)</x:f>
        <x:v>0</x:v>
      </x:c>
      <x:c r="P767" t="n">
        <x:f>IF(M767="",IF(AND(L767=1,K767&gt;=1),1,0),M767)</x:f>
        <x:v>0</x:v>
      </x:c>
      <x:c r="Q767" t="n">
        <x:f>IF(N767="",IF(AND(L767=1,K767&gt;=2),1,0),N767)</x:f>
        <x:v>0</x:v>
      </x:c>
      <x:c r="R767" t="n">
        <x:f>IF(O767="",IF(AND(L767=1,K767&gt;=3),1,0),O767)</x:f>
        <x:v>0</x:v>
      </x:c>
      <x:c r="S767" t="n">
        <x:f>SUM(P767:R767)</x:f>
        <x:v>0</x:v>
      </x:c>
      <x:c r="T767" t="str">
        <x:f>IF(COUNTA(M767:O767)=0,"DerivedFromCount","ManualOverride")</x:f>
        <x:v>DerivedFromCount</x:v>
      </x:c>
      <x:c r="U767" t="str">
        <x:f>IF(COUNTIF(DailyProduction!$Q$5:$Q$100,B767)=1,"OK","CHECK")</x:f>
        <x:v>OK</x:v>
      </x:c>
      <x:c r="V767" t="str">
        <x:f>IF(AND(I767&gt;=1,I767&lt;=13,K767&gt;=1,K767&lt;=3),"OK","CHECK")</x:f>
        <x:v>OK</x:v>
      </x:c>
      <x:c r="W767" t="str">
        <x:f>IF(SUMIF($B$5:$B$914,B767,$S$5:$S$914)=SUMIF(DailyProduction!$Q$5:$Q$100,B767,DailyProduction!$R$5:$R$100),"OK","CHECK")</x:f>
        <x:v>OK</x:v>
      </x:c>
    </x:row>
    <x:row r="768">
      <x:c r="A768" t="str">
        <x:v>PC-PE-KG01-L25-20251021-AM-ORD-2025-00161-S10</x:v>
      </x:c>
      <x:c r="B768" t="str">
        <x:v>PE-KG01-L25-20251021-AM-ORD-2025-00161</x:v>
      </x:c>
      <x:c r="C768" t="str">
        <x:v>KG01</x:v>
      </x:c>
      <x:c r="D768" t="n">
        <x:v>45951</x:v>
      </x:c>
      <x:c r="E768" t="str">
        <x:v>AM</x:v>
      </x:c>
      <x:c r="F768" t="str">
        <x:v>A</x:v>
      </x:c>
      <x:c r="G768" t="n">
        <x:v>25</x:v>
      </x:c>
      <x:c r="H768" t="str">
        <x:v>ORD-2025-00161</x:v>
      </x:c>
      <x:c r="I768" t="n">
        <x:v>10</x:v>
      </x:c>
      <x:c r="J768" t="n">
        <x:v>8</x:v>
      </x:c>
      <x:c r="K768" t="n">
        <x:v>2</x:v>
      </x:c>
      <x:c r="L768" t="n">
        <x:f>IF(I768&lt;=J768,1,0)</x:f>
        <x:v>0</x:v>
      </x:c>
      <x:c r="P768" t="n">
        <x:f>IF(M768="",IF(AND(L768=1,K768&gt;=1),1,0),M768)</x:f>
        <x:v>0</x:v>
      </x:c>
      <x:c r="Q768" t="n">
        <x:f>IF(N768="",IF(AND(L768=1,K768&gt;=2),1,0),N768)</x:f>
        <x:v>0</x:v>
      </x:c>
      <x:c r="R768" t="n">
        <x:f>IF(O768="",IF(AND(L768=1,K768&gt;=3),1,0),O768)</x:f>
        <x:v>0</x:v>
      </x:c>
      <x:c r="S768" t="n">
        <x:f>SUM(P768:R768)</x:f>
        <x:v>0</x:v>
      </x:c>
      <x:c r="T768" t="str">
        <x:f>IF(COUNTA(M768:O768)=0,"DerivedFromCount","ManualOverride")</x:f>
        <x:v>DerivedFromCount</x:v>
      </x:c>
      <x:c r="U768" t="str">
        <x:f>IF(COUNTIF(DailyProduction!$Q$5:$Q$100,B768)=1,"OK","CHECK")</x:f>
        <x:v>OK</x:v>
      </x:c>
      <x:c r="V768" t="str">
        <x:f>IF(AND(I768&gt;=1,I768&lt;=13,K768&gt;=1,K768&lt;=3),"OK","CHECK")</x:f>
        <x:v>OK</x:v>
      </x:c>
      <x:c r="W768" t="str">
        <x:f>IF(SUMIF($B$5:$B$914,B768,$S$5:$S$914)=SUMIF(DailyProduction!$Q$5:$Q$100,B768,DailyProduction!$R$5:$R$100),"OK","CHECK")</x:f>
        <x:v>OK</x:v>
      </x:c>
    </x:row>
    <x:row r="769">
      <x:c r="A769" t="str">
        <x:v>PC-PE-KG01-L25-20251021-AM-ORD-2025-00161-S11</x:v>
      </x:c>
      <x:c r="B769" t="str">
        <x:v>PE-KG01-L25-20251021-AM-ORD-2025-00161</x:v>
      </x:c>
      <x:c r="C769" t="str">
        <x:v>KG01</x:v>
      </x:c>
      <x:c r="D769" t="n">
        <x:v>45951</x:v>
      </x:c>
      <x:c r="E769" t="str">
        <x:v>AM</x:v>
      </x:c>
      <x:c r="F769" t="str">
        <x:v>A</x:v>
      </x:c>
      <x:c r="G769" t="n">
        <x:v>25</x:v>
      </x:c>
      <x:c r="H769" t="str">
        <x:v>ORD-2025-00161</x:v>
      </x:c>
      <x:c r="I769" t="n">
        <x:v>11</x:v>
      </x:c>
      <x:c r="J769" t="n">
        <x:v>8</x:v>
      </x:c>
      <x:c r="K769" t="n">
        <x:v>2</x:v>
      </x:c>
      <x:c r="L769" t="n">
        <x:f>IF(I769&lt;=J769,1,0)</x:f>
        <x:v>0</x:v>
      </x:c>
      <x:c r="P769" t="n">
        <x:f>IF(M769="",IF(AND(L769=1,K769&gt;=1),1,0),M769)</x:f>
        <x:v>0</x:v>
      </x:c>
      <x:c r="Q769" t="n">
        <x:f>IF(N769="",IF(AND(L769=1,K769&gt;=2),1,0),N769)</x:f>
        <x:v>0</x:v>
      </x:c>
      <x:c r="R769" t="n">
        <x:f>IF(O769="",IF(AND(L769=1,K769&gt;=3),1,0),O769)</x:f>
        <x:v>0</x:v>
      </x:c>
      <x:c r="S769" t="n">
        <x:f>SUM(P769:R769)</x:f>
        <x:v>0</x:v>
      </x:c>
      <x:c r="T769" t="str">
        <x:f>IF(COUNTA(M769:O769)=0,"DerivedFromCount","ManualOverride")</x:f>
        <x:v>DerivedFromCount</x:v>
      </x:c>
      <x:c r="U769" t="str">
        <x:f>IF(COUNTIF(DailyProduction!$Q$5:$Q$100,B769)=1,"OK","CHECK")</x:f>
        <x:v>OK</x:v>
      </x:c>
      <x:c r="V769" t="str">
        <x:f>IF(AND(I769&gt;=1,I769&lt;=13,K769&gt;=1,K769&lt;=3),"OK","CHECK")</x:f>
        <x:v>OK</x:v>
      </x:c>
      <x:c r="W769" t="str">
        <x:f>IF(SUMIF($B$5:$B$914,B769,$S$5:$S$914)=SUMIF(DailyProduction!$Q$5:$Q$100,B769,DailyProduction!$R$5:$R$100),"OK","CHECK")</x:f>
        <x:v>OK</x:v>
      </x:c>
    </x:row>
    <x:row r="770">
      <x:c r="A770" t="str">
        <x:v>PC-PE-KG01-L25-20251021-AM-ORD-2025-00161-S12</x:v>
      </x:c>
      <x:c r="B770" t="str">
        <x:v>PE-KG01-L25-20251021-AM-ORD-2025-00161</x:v>
      </x:c>
      <x:c r="C770" t="str">
        <x:v>KG01</x:v>
      </x:c>
      <x:c r="D770" t="n">
        <x:v>45951</x:v>
      </x:c>
      <x:c r="E770" t="str">
        <x:v>AM</x:v>
      </x:c>
      <x:c r="F770" t="str">
        <x:v>A</x:v>
      </x:c>
      <x:c r="G770" t="n">
        <x:v>25</x:v>
      </x:c>
      <x:c r="H770" t="str">
        <x:v>ORD-2025-00161</x:v>
      </x:c>
      <x:c r="I770" t="n">
        <x:v>12</x:v>
      </x:c>
      <x:c r="J770" t="n">
        <x:v>8</x:v>
      </x:c>
      <x:c r="K770" t="n">
        <x:v>2</x:v>
      </x:c>
      <x:c r="L770" t="n">
        <x:f>IF(I770&lt;=J770,1,0)</x:f>
        <x:v>0</x:v>
      </x:c>
      <x:c r="P770" t="n">
        <x:f>IF(M770="",IF(AND(L770=1,K770&gt;=1),1,0),M770)</x:f>
        <x:v>0</x:v>
      </x:c>
      <x:c r="Q770" t="n">
        <x:f>IF(N770="",IF(AND(L770=1,K770&gt;=2),1,0),N770)</x:f>
        <x:v>0</x:v>
      </x:c>
      <x:c r="R770" t="n">
        <x:f>IF(O770="",IF(AND(L770=1,K770&gt;=3),1,0),O770)</x:f>
        <x:v>0</x:v>
      </x:c>
      <x:c r="S770" t="n">
        <x:f>SUM(P770:R770)</x:f>
        <x:v>0</x:v>
      </x:c>
      <x:c r="T770" t="str">
        <x:f>IF(COUNTA(M770:O770)=0,"DerivedFromCount","ManualOverride")</x:f>
        <x:v>DerivedFromCount</x:v>
      </x:c>
      <x:c r="U770" t="str">
        <x:f>IF(COUNTIF(DailyProduction!$Q$5:$Q$100,B770)=1,"OK","CHECK")</x:f>
        <x:v>OK</x:v>
      </x:c>
      <x:c r="V770" t="str">
        <x:f>IF(AND(I770&gt;=1,I770&lt;=13,K770&gt;=1,K770&lt;=3),"OK","CHECK")</x:f>
        <x:v>OK</x:v>
      </x:c>
      <x:c r="W770" t="str">
        <x:f>IF(SUMIF($B$5:$B$914,B770,$S$5:$S$914)=SUMIF(DailyProduction!$Q$5:$Q$100,B770,DailyProduction!$R$5:$R$100),"OK","CHECK")</x:f>
        <x:v>OK</x:v>
      </x:c>
    </x:row>
    <x:row r="771">
      <x:c r="A771" t="str">
        <x:v>PC-PE-KG01-L25-20251021-AM-ORD-2025-00161-S13</x:v>
      </x:c>
      <x:c r="B771" t="str">
        <x:v>PE-KG01-L25-20251021-AM-ORD-2025-00161</x:v>
      </x:c>
      <x:c r="C771" t="str">
        <x:v>KG01</x:v>
      </x:c>
      <x:c r="D771" t="n">
        <x:v>45951</x:v>
      </x:c>
      <x:c r="E771" t="str">
        <x:v>AM</x:v>
      </x:c>
      <x:c r="F771" t="str">
        <x:v>A</x:v>
      </x:c>
      <x:c r="G771" t="n">
        <x:v>25</x:v>
      </x:c>
      <x:c r="H771" t="str">
        <x:v>ORD-2025-00161</x:v>
      </x:c>
      <x:c r="I771" t="n">
        <x:v>13</x:v>
      </x:c>
      <x:c r="J771" t="n">
        <x:v>8</x:v>
      </x:c>
      <x:c r="K771" t="n">
        <x:v>2</x:v>
      </x:c>
      <x:c r="L771" t="n">
        <x:f>IF(I771&lt;=J771,1,0)</x:f>
        <x:v>0</x:v>
      </x:c>
      <x:c r="P771" t="n">
        <x:f>IF(M771="",IF(AND(L771=1,K771&gt;=1),1,0),M771)</x:f>
        <x:v>0</x:v>
      </x:c>
      <x:c r="Q771" t="n">
        <x:f>IF(N771="",IF(AND(L771=1,K771&gt;=2),1,0),N771)</x:f>
        <x:v>0</x:v>
      </x:c>
      <x:c r="R771" t="n">
        <x:f>IF(O771="",IF(AND(L771=1,K771&gt;=3),1,0),O771)</x:f>
        <x:v>0</x:v>
      </x:c>
      <x:c r="S771" t="n">
        <x:f>SUM(P771:R771)</x:f>
        <x:v>0</x:v>
      </x:c>
      <x:c r="T771" t="str">
        <x:f>IF(COUNTA(M771:O771)=0,"DerivedFromCount","ManualOverride")</x:f>
        <x:v>DerivedFromCount</x:v>
      </x:c>
      <x:c r="U771" t="str">
        <x:f>IF(COUNTIF(DailyProduction!$Q$5:$Q$100,B771)=1,"OK","CHECK")</x:f>
        <x:v>OK</x:v>
      </x:c>
      <x:c r="V771" t="str">
        <x:f>IF(AND(I771&gt;=1,I771&lt;=13,K771&gt;=1,K771&lt;=3),"OK","CHECK")</x:f>
        <x:v>OK</x:v>
      </x:c>
      <x:c r="W771" t="str">
        <x:f>IF(SUMIF($B$5:$B$914,B771,$S$5:$S$914)=SUMIF(DailyProduction!$Q$5:$Q$100,B771,DailyProduction!$R$5:$R$100),"OK","CHECK")</x:f>
        <x:v>OK</x:v>
      </x:c>
    </x:row>
    <x:row r="772">
      <x:c r="A772" t="str">
        <x:v>PC-PE-KG01-L25-20251021-PM-ORD-2025-00161-S01</x:v>
      </x:c>
      <x:c r="B772" t="str">
        <x:v>PE-KG01-L25-20251021-PM-ORD-2025-00161</x:v>
      </x:c>
      <x:c r="C772" t="str">
        <x:v>KG01</x:v>
      </x:c>
      <x:c r="D772" t="n">
        <x:v>45951</x:v>
      </x:c>
      <x:c r="E772" t="str">
        <x:v>PM</x:v>
      </x:c>
      <x:c r="F772" t="str">
        <x:v>B</x:v>
      </x:c>
      <x:c r="G772" t="n">
        <x:v>25</x:v>
      </x:c>
      <x:c r="H772" t="str">
        <x:v>ORD-2025-00161</x:v>
      </x:c>
      <x:c r="I772" t="n">
        <x:v>1</x:v>
      </x:c>
      <x:c r="J772" t="n">
        <x:v>8</x:v>
      </x:c>
      <x:c r="K772" t="n">
        <x:v>2</x:v>
      </x:c>
      <x:c r="L772" t="n">
        <x:f>IF(I772&lt;=J772,1,0)</x:f>
        <x:v>1</x:v>
      </x:c>
      <x:c r="P772" t="n">
        <x:f>IF(M772="",IF(AND(L772=1,K772&gt;=1),1,0),M772)</x:f>
        <x:v>1</x:v>
      </x:c>
      <x:c r="Q772" t="n">
        <x:f>IF(N772="",IF(AND(L772=1,K772&gt;=2),1,0),N772)</x:f>
        <x:v>1</x:v>
      </x:c>
      <x:c r="R772" t="n">
        <x:f>IF(O772="",IF(AND(L772=1,K772&gt;=3),1,0),O772)</x:f>
        <x:v>0</x:v>
      </x:c>
      <x:c r="S772" t="n">
        <x:f>SUM(P772:R772)</x:f>
        <x:v>2</x:v>
      </x:c>
      <x:c r="T772" t="str">
        <x:f>IF(COUNTA(M772:O772)=0,"DerivedFromCount","ManualOverride")</x:f>
        <x:v>DerivedFromCount</x:v>
      </x:c>
      <x:c r="U772" t="str">
        <x:f>IF(COUNTIF(DailyProduction!$Q$5:$Q$100,B772)=1,"OK","CHECK")</x:f>
        <x:v>OK</x:v>
      </x:c>
      <x:c r="V772" t="str">
        <x:f>IF(AND(I772&gt;=1,I772&lt;=13,K772&gt;=1,K772&lt;=3),"OK","CHECK")</x:f>
        <x:v>OK</x:v>
      </x:c>
      <x:c r="W772" t="str">
        <x:f>IF(SUMIF($B$5:$B$914,B772,$S$5:$S$914)=SUMIF(DailyProduction!$Q$5:$Q$100,B772,DailyProduction!$R$5:$R$100),"OK","CHECK")</x:f>
        <x:v>OK</x:v>
      </x:c>
    </x:row>
    <x:row r="773">
      <x:c r="A773" t="str">
        <x:v>PC-PE-KG01-L25-20251021-PM-ORD-2025-00161-S02</x:v>
      </x:c>
      <x:c r="B773" t="str">
        <x:v>PE-KG01-L25-20251021-PM-ORD-2025-00161</x:v>
      </x:c>
      <x:c r="C773" t="str">
        <x:v>KG01</x:v>
      </x:c>
      <x:c r="D773" t="n">
        <x:v>45951</x:v>
      </x:c>
      <x:c r="E773" t="str">
        <x:v>PM</x:v>
      </x:c>
      <x:c r="F773" t="str">
        <x:v>B</x:v>
      </x:c>
      <x:c r="G773" t="n">
        <x:v>25</x:v>
      </x:c>
      <x:c r="H773" t="str">
        <x:v>ORD-2025-00161</x:v>
      </x:c>
      <x:c r="I773" t="n">
        <x:v>2</x:v>
      </x:c>
      <x:c r="J773" t="n">
        <x:v>8</x:v>
      </x:c>
      <x:c r="K773" t="n">
        <x:v>2</x:v>
      </x:c>
      <x:c r="L773" t="n">
        <x:f>IF(I773&lt;=J773,1,0)</x:f>
        <x:v>1</x:v>
      </x:c>
      <x:c r="P773" t="n">
        <x:f>IF(M773="",IF(AND(L773=1,K773&gt;=1),1,0),M773)</x:f>
        <x:v>1</x:v>
      </x:c>
      <x:c r="Q773" t="n">
        <x:f>IF(N773="",IF(AND(L773=1,K773&gt;=2),1,0),N773)</x:f>
        <x:v>1</x:v>
      </x:c>
      <x:c r="R773" t="n">
        <x:f>IF(O773="",IF(AND(L773=1,K773&gt;=3),1,0),O773)</x:f>
        <x:v>0</x:v>
      </x:c>
      <x:c r="S773" t="n">
        <x:f>SUM(P773:R773)</x:f>
        <x:v>2</x:v>
      </x:c>
      <x:c r="T773" t="str">
        <x:f>IF(COUNTA(M773:O773)=0,"DerivedFromCount","ManualOverride")</x:f>
        <x:v>DerivedFromCount</x:v>
      </x:c>
      <x:c r="U773" t="str">
        <x:f>IF(COUNTIF(DailyProduction!$Q$5:$Q$100,B773)=1,"OK","CHECK")</x:f>
        <x:v>OK</x:v>
      </x:c>
      <x:c r="V773" t="str">
        <x:f>IF(AND(I773&gt;=1,I773&lt;=13,K773&gt;=1,K773&lt;=3),"OK","CHECK")</x:f>
        <x:v>OK</x:v>
      </x:c>
      <x:c r="W773" t="str">
        <x:f>IF(SUMIF($B$5:$B$914,B773,$S$5:$S$914)=SUMIF(DailyProduction!$Q$5:$Q$100,B773,DailyProduction!$R$5:$R$100),"OK","CHECK")</x:f>
        <x:v>OK</x:v>
      </x:c>
    </x:row>
    <x:row r="774">
      <x:c r="A774" t="str">
        <x:v>PC-PE-KG01-L25-20251021-PM-ORD-2025-00161-S03</x:v>
      </x:c>
      <x:c r="B774" t="str">
        <x:v>PE-KG01-L25-20251021-PM-ORD-2025-00161</x:v>
      </x:c>
      <x:c r="C774" t="str">
        <x:v>KG01</x:v>
      </x:c>
      <x:c r="D774" t="n">
        <x:v>45951</x:v>
      </x:c>
      <x:c r="E774" t="str">
        <x:v>PM</x:v>
      </x:c>
      <x:c r="F774" t="str">
        <x:v>B</x:v>
      </x:c>
      <x:c r="G774" t="n">
        <x:v>25</x:v>
      </x:c>
      <x:c r="H774" t="str">
        <x:v>ORD-2025-00161</x:v>
      </x:c>
      <x:c r="I774" t="n">
        <x:v>3</x:v>
      </x:c>
      <x:c r="J774" t="n">
        <x:v>8</x:v>
      </x:c>
      <x:c r="K774" t="n">
        <x:v>2</x:v>
      </x:c>
      <x:c r="L774" t="n">
        <x:f>IF(I774&lt;=J774,1,0)</x:f>
        <x:v>1</x:v>
      </x:c>
      <x:c r="P774" t="n">
        <x:f>IF(M774="",IF(AND(L774=1,K774&gt;=1),1,0),M774)</x:f>
        <x:v>1</x:v>
      </x:c>
      <x:c r="Q774" t="n">
        <x:f>IF(N774="",IF(AND(L774=1,K774&gt;=2),1,0),N774)</x:f>
        <x:v>1</x:v>
      </x:c>
      <x:c r="R774" t="n">
        <x:f>IF(O774="",IF(AND(L774=1,K774&gt;=3),1,0),O774)</x:f>
        <x:v>0</x:v>
      </x:c>
      <x:c r="S774" t="n">
        <x:f>SUM(P774:R774)</x:f>
        <x:v>2</x:v>
      </x:c>
      <x:c r="T774" t="str">
        <x:f>IF(COUNTA(M774:O774)=0,"DerivedFromCount","ManualOverride")</x:f>
        <x:v>DerivedFromCount</x:v>
      </x:c>
      <x:c r="U774" t="str">
        <x:f>IF(COUNTIF(DailyProduction!$Q$5:$Q$100,B774)=1,"OK","CHECK")</x:f>
        <x:v>OK</x:v>
      </x:c>
      <x:c r="V774" t="str">
        <x:f>IF(AND(I774&gt;=1,I774&lt;=13,K774&gt;=1,K774&lt;=3),"OK","CHECK")</x:f>
        <x:v>OK</x:v>
      </x:c>
      <x:c r="W774" t="str">
        <x:f>IF(SUMIF($B$5:$B$914,B774,$S$5:$S$914)=SUMIF(DailyProduction!$Q$5:$Q$100,B774,DailyProduction!$R$5:$R$100),"OK","CHECK")</x:f>
        <x:v>OK</x:v>
      </x:c>
    </x:row>
    <x:row r="775">
      <x:c r="A775" t="str">
        <x:v>PC-PE-KG01-L25-20251021-PM-ORD-2025-00161-S04</x:v>
      </x:c>
      <x:c r="B775" t="str">
        <x:v>PE-KG01-L25-20251021-PM-ORD-2025-00161</x:v>
      </x:c>
      <x:c r="C775" t="str">
        <x:v>KG01</x:v>
      </x:c>
      <x:c r="D775" t="n">
        <x:v>45951</x:v>
      </x:c>
      <x:c r="E775" t="str">
        <x:v>PM</x:v>
      </x:c>
      <x:c r="F775" t="str">
        <x:v>B</x:v>
      </x:c>
      <x:c r="G775" t="n">
        <x:v>25</x:v>
      </x:c>
      <x:c r="H775" t="str">
        <x:v>ORD-2025-00161</x:v>
      </x:c>
      <x:c r="I775" t="n">
        <x:v>4</x:v>
      </x:c>
      <x:c r="J775" t="n">
        <x:v>8</x:v>
      </x:c>
      <x:c r="K775" t="n">
        <x:v>2</x:v>
      </x:c>
      <x:c r="L775" t="n">
        <x:f>IF(I775&lt;=J775,1,0)</x:f>
        <x:v>1</x:v>
      </x:c>
      <x:c r="P775" t="n">
        <x:f>IF(M775="",IF(AND(L775=1,K775&gt;=1),1,0),M775)</x:f>
        <x:v>1</x:v>
      </x:c>
      <x:c r="Q775" t="n">
        <x:f>IF(N775="",IF(AND(L775=1,K775&gt;=2),1,0),N775)</x:f>
        <x:v>1</x:v>
      </x:c>
      <x:c r="R775" t="n">
        <x:f>IF(O775="",IF(AND(L775=1,K775&gt;=3),1,0),O775)</x:f>
        <x:v>0</x:v>
      </x:c>
      <x:c r="S775" t="n">
        <x:f>SUM(P775:R775)</x:f>
        <x:v>2</x:v>
      </x:c>
      <x:c r="T775" t="str">
        <x:f>IF(COUNTA(M775:O775)=0,"DerivedFromCount","ManualOverride")</x:f>
        <x:v>DerivedFromCount</x:v>
      </x:c>
      <x:c r="U775" t="str">
        <x:f>IF(COUNTIF(DailyProduction!$Q$5:$Q$100,B775)=1,"OK","CHECK")</x:f>
        <x:v>OK</x:v>
      </x:c>
      <x:c r="V775" t="str">
        <x:f>IF(AND(I775&gt;=1,I775&lt;=13,K775&gt;=1,K775&lt;=3),"OK","CHECK")</x:f>
        <x:v>OK</x:v>
      </x:c>
      <x:c r="W775" t="str">
        <x:f>IF(SUMIF($B$5:$B$914,B775,$S$5:$S$914)=SUMIF(DailyProduction!$Q$5:$Q$100,B775,DailyProduction!$R$5:$R$100),"OK","CHECK")</x:f>
        <x:v>OK</x:v>
      </x:c>
    </x:row>
    <x:row r="776">
      <x:c r="A776" t="str">
        <x:v>PC-PE-KG01-L25-20251021-PM-ORD-2025-00161-S05</x:v>
      </x:c>
      <x:c r="B776" t="str">
        <x:v>PE-KG01-L25-20251021-PM-ORD-2025-00161</x:v>
      </x:c>
      <x:c r="C776" t="str">
        <x:v>KG01</x:v>
      </x:c>
      <x:c r="D776" t="n">
        <x:v>45951</x:v>
      </x:c>
      <x:c r="E776" t="str">
        <x:v>PM</x:v>
      </x:c>
      <x:c r="F776" t="str">
        <x:v>B</x:v>
      </x:c>
      <x:c r="G776" t="n">
        <x:v>25</x:v>
      </x:c>
      <x:c r="H776" t="str">
        <x:v>ORD-2025-00161</x:v>
      </x:c>
      <x:c r="I776" t="n">
        <x:v>5</x:v>
      </x:c>
      <x:c r="J776" t="n">
        <x:v>8</x:v>
      </x:c>
      <x:c r="K776" t="n">
        <x:v>2</x:v>
      </x:c>
      <x:c r="L776" t="n">
        <x:f>IF(I776&lt;=J776,1,0)</x:f>
        <x:v>1</x:v>
      </x:c>
      <x:c r="P776" t="n">
        <x:f>IF(M776="",IF(AND(L776=1,K776&gt;=1),1,0),M776)</x:f>
        <x:v>1</x:v>
      </x:c>
      <x:c r="Q776" t="n">
        <x:f>IF(N776="",IF(AND(L776=1,K776&gt;=2),1,0),N776)</x:f>
        <x:v>1</x:v>
      </x:c>
      <x:c r="R776" t="n">
        <x:f>IF(O776="",IF(AND(L776=1,K776&gt;=3),1,0),O776)</x:f>
        <x:v>0</x:v>
      </x:c>
      <x:c r="S776" t="n">
        <x:f>SUM(P776:R776)</x:f>
        <x:v>2</x:v>
      </x:c>
      <x:c r="T776" t="str">
        <x:f>IF(COUNTA(M776:O776)=0,"DerivedFromCount","ManualOverride")</x:f>
        <x:v>DerivedFromCount</x:v>
      </x:c>
      <x:c r="U776" t="str">
        <x:f>IF(COUNTIF(DailyProduction!$Q$5:$Q$100,B776)=1,"OK","CHECK")</x:f>
        <x:v>OK</x:v>
      </x:c>
      <x:c r="V776" t="str">
        <x:f>IF(AND(I776&gt;=1,I776&lt;=13,K776&gt;=1,K776&lt;=3),"OK","CHECK")</x:f>
        <x:v>OK</x:v>
      </x:c>
      <x:c r="W776" t="str">
        <x:f>IF(SUMIF($B$5:$B$914,B776,$S$5:$S$914)=SUMIF(DailyProduction!$Q$5:$Q$100,B776,DailyProduction!$R$5:$R$100),"OK","CHECK")</x:f>
        <x:v>OK</x:v>
      </x:c>
    </x:row>
    <x:row r="777">
      <x:c r="A777" t="str">
        <x:v>PC-PE-KG01-L25-20251021-PM-ORD-2025-00161-S06</x:v>
      </x:c>
      <x:c r="B777" t="str">
        <x:v>PE-KG01-L25-20251021-PM-ORD-2025-00161</x:v>
      </x:c>
      <x:c r="C777" t="str">
        <x:v>KG01</x:v>
      </x:c>
      <x:c r="D777" t="n">
        <x:v>45951</x:v>
      </x:c>
      <x:c r="E777" t="str">
        <x:v>PM</x:v>
      </x:c>
      <x:c r="F777" t="str">
        <x:v>B</x:v>
      </x:c>
      <x:c r="G777" t="n">
        <x:v>25</x:v>
      </x:c>
      <x:c r="H777" t="str">
        <x:v>ORD-2025-00161</x:v>
      </x:c>
      <x:c r="I777" t="n">
        <x:v>6</x:v>
      </x:c>
      <x:c r="J777" t="n">
        <x:v>8</x:v>
      </x:c>
      <x:c r="K777" t="n">
        <x:v>2</x:v>
      </x:c>
      <x:c r="L777" t="n">
        <x:f>IF(I777&lt;=J777,1,0)</x:f>
        <x:v>1</x:v>
      </x:c>
      <x:c r="P777" t="n">
        <x:f>IF(M777="",IF(AND(L777=1,K777&gt;=1),1,0),M777)</x:f>
        <x:v>1</x:v>
      </x:c>
      <x:c r="Q777" t="n">
        <x:f>IF(N777="",IF(AND(L777=1,K777&gt;=2),1,0),N777)</x:f>
        <x:v>1</x:v>
      </x:c>
      <x:c r="R777" t="n">
        <x:f>IF(O777="",IF(AND(L777=1,K777&gt;=3),1,0),O777)</x:f>
        <x:v>0</x:v>
      </x:c>
      <x:c r="S777" t="n">
        <x:f>SUM(P777:R777)</x:f>
        <x:v>2</x:v>
      </x:c>
      <x:c r="T777" t="str">
        <x:f>IF(COUNTA(M777:O777)=0,"DerivedFromCount","ManualOverride")</x:f>
        <x:v>DerivedFromCount</x:v>
      </x:c>
      <x:c r="U777" t="str">
        <x:f>IF(COUNTIF(DailyProduction!$Q$5:$Q$100,B777)=1,"OK","CHECK")</x:f>
        <x:v>OK</x:v>
      </x:c>
      <x:c r="V777" t="str">
        <x:f>IF(AND(I777&gt;=1,I777&lt;=13,K777&gt;=1,K777&lt;=3),"OK","CHECK")</x:f>
        <x:v>OK</x:v>
      </x:c>
      <x:c r="W777" t="str">
        <x:f>IF(SUMIF($B$5:$B$914,B777,$S$5:$S$914)=SUMIF(DailyProduction!$Q$5:$Q$100,B777,DailyProduction!$R$5:$R$100),"OK","CHECK")</x:f>
        <x:v>OK</x:v>
      </x:c>
    </x:row>
    <x:row r="778">
      <x:c r="A778" t="str">
        <x:v>PC-PE-KG01-L25-20251021-PM-ORD-2025-00161-S07</x:v>
      </x:c>
      <x:c r="B778" t="str">
        <x:v>PE-KG01-L25-20251021-PM-ORD-2025-00161</x:v>
      </x:c>
      <x:c r="C778" t="str">
        <x:v>KG01</x:v>
      </x:c>
      <x:c r="D778" t="n">
        <x:v>45951</x:v>
      </x:c>
      <x:c r="E778" t="str">
        <x:v>PM</x:v>
      </x:c>
      <x:c r="F778" t="str">
        <x:v>B</x:v>
      </x:c>
      <x:c r="G778" t="n">
        <x:v>25</x:v>
      </x:c>
      <x:c r="H778" t="str">
        <x:v>ORD-2025-00161</x:v>
      </x:c>
      <x:c r="I778" t="n">
        <x:v>7</x:v>
      </x:c>
      <x:c r="J778" t="n">
        <x:v>8</x:v>
      </x:c>
      <x:c r="K778" t="n">
        <x:v>2</x:v>
      </x:c>
      <x:c r="L778" t="n">
        <x:f>IF(I778&lt;=J778,1,0)</x:f>
        <x:v>1</x:v>
      </x:c>
      <x:c r="P778" t="n">
        <x:f>IF(M778="",IF(AND(L778=1,K778&gt;=1),1,0),M778)</x:f>
        <x:v>1</x:v>
      </x:c>
      <x:c r="Q778" t="n">
        <x:f>IF(N778="",IF(AND(L778=1,K778&gt;=2),1,0),N778)</x:f>
        <x:v>1</x:v>
      </x:c>
      <x:c r="R778" t="n">
        <x:f>IF(O778="",IF(AND(L778=1,K778&gt;=3),1,0),O778)</x:f>
        <x:v>0</x:v>
      </x:c>
      <x:c r="S778" t="n">
        <x:f>SUM(P778:R778)</x:f>
        <x:v>2</x:v>
      </x:c>
      <x:c r="T778" t="str">
        <x:f>IF(COUNTA(M778:O778)=0,"DerivedFromCount","ManualOverride")</x:f>
        <x:v>DerivedFromCount</x:v>
      </x:c>
      <x:c r="U778" t="str">
        <x:f>IF(COUNTIF(DailyProduction!$Q$5:$Q$100,B778)=1,"OK","CHECK")</x:f>
        <x:v>OK</x:v>
      </x:c>
      <x:c r="V778" t="str">
        <x:f>IF(AND(I778&gt;=1,I778&lt;=13,K778&gt;=1,K778&lt;=3),"OK","CHECK")</x:f>
        <x:v>OK</x:v>
      </x:c>
      <x:c r="W778" t="str">
        <x:f>IF(SUMIF($B$5:$B$914,B778,$S$5:$S$914)=SUMIF(DailyProduction!$Q$5:$Q$100,B778,DailyProduction!$R$5:$R$100),"OK","CHECK")</x:f>
        <x:v>OK</x:v>
      </x:c>
    </x:row>
    <x:row r="779">
      <x:c r="A779" t="str">
        <x:v>PC-PE-KG01-L25-20251021-PM-ORD-2025-00161-S08</x:v>
      </x:c>
      <x:c r="B779" t="str">
        <x:v>PE-KG01-L25-20251021-PM-ORD-2025-00161</x:v>
      </x:c>
      <x:c r="C779" t="str">
        <x:v>KG01</x:v>
      </x:c>
      <x:c r="D779" t="n">
        <x:v>45951</x:v>
      </x:c>
      <x:c r="E779" t="str">
        <x:v>PM</x:v>
      </x:c>
      <x:c r="F779" t="str">
        <x:v>B</x:v>
      </x:c>
      <x:c r="G779" t="n">
        <x:v>25</x:v>
      </x:c>
      <x:c r="H779" t="str">
        <x:v>ORD-2025-00161</x:v>
      </x:c>
      <x:c r="I779" t="n">
        <x:v>8</x:v>
      </x:c>
      <x:c r="J779" t="n">
        <x:v>8</x:v>
      </x:c>
      <x:c r="K779" t="n">
        <x:v>2</x:v>
      </x:c>
      <x:c r="L779" t="n">
        <x:f>IF(I779&lt;=J779,1,0)</x:f>
        <x:v>1</x:v>
      </x:c>
      <x:c r="P779" t="n">
        <x:f>IF(M779="",IF(AND(L779=1,K779&gt;=1),1,0),M779)</x:f>
        <x:v>1</x:v>
      </x:c>
      <x:c r="Q779" t="n">
        <x:f>IF(N779="",IF(AND(L779=1,K779&gt;=2),1,0),N779)</x:f>
        <x:v>1</x:v>
      </x:c>
      <x:c r="R779" t="n">
        <x:f>IF(O779="",IF(AND(L779=1,K779&gt;=3),1,0),O779)</x:f>
        <x:v>0</x:v>
      </x:c>
      <x:c r="S779" t="n">
        <x:f>SUM(P779:R779)</x:f>
        <x:v>2</x:v>
      </x:c>
      <x:c r="T779" t="str">
        <x:f>IF(COUNTA(M779:O779)=0,"DerivedFromCount","ManualOverride")</x:f>
        <x:v>DerivedFromCount</x:v>
      </x:c>
      <x:c r="U779" t="str">
        <x:f>IF(COUNTIF(DailyProduction!$Q$5:$Q$100,B779)=1,"OK","CHECK")</x:f>
        <x:v>OK</x:v>
      </x:c>
      <x:c r="V779" t="str">
        <x:f>IF(AND(I779&gt;=1,I779&lt;=13,K779&gt;=1,K779&lt;=3),"OK","CHECK")</x:f>
        <x:v>OK</x:v>
      </x:c>
      <x:c r="W779" t="str">
        <x:f>IF(SUMIF($B$5:$B$914,B779,$S$5:$S$914)=SUMIF(DailyProduction!$Q$5:$Q$100,B779,DailyProduction!$R$5:$R$100),"OK","CHECK")</x:f>
        <x:v>OK</x:v>
      </x:c>
    </x:row>
    <x:row r="780">
      <x:c r="A780" t="str">
        <x:v>PC-PE-KG01-L25-20251021-PM-ORD-2025-00161-S09</x:v>
      </x:c>
      <x:c r="B780" t="str">
        <x:v>PE-KG01-L25-20251021-PM-ORD-2025-00161</x:v>
      </x:c>
      <x:c r="C780" t="str">
        <x:v>KG01</x:v>
      </x:c>
      <x:c r="D780" t="n">
        <x:v>45951</x:v>
      </x:c>
      <x:c r="E780" t="str">
        <x:v>PM</x:v>
      </x:c>
      <x:c r="F780" t="str">
        <x:v>B</x:v>
      </x:c>
      <x:c r="G780" t="n">
        <x:v>25</x:v>
      </x:c>
      <x:c r="H780" t="str">
        <x:v>ORD-2025-00161</x:v>
      </x:c>
      <x:c r="I780" t="n">
        <x:v>9</x:v>
      </x:c>
      <x:c r="J780" t="n">
        <x:v>8</x:v>
      </x:c>
      <x:c r="K780" t="n">
        <x:v>2</x:v>
      </x:c>
      <x:c r="L780" t="n">
        <x:f>IF(I780&lt;=J780,1,0)</x:f>
        <x:v>0</x:v>
      </x:c>
      <x:c r="P780" t="n">
        <x:f>IF(M780="",IF(AND(L780=1,K780&gt;=1),1,0),M780)</x:f>
        <x:v>0</x:v>
      </x:c>
      <x:c r="Q780" t="n">
        <x:f>IF(N780="",IF(AND(L780=1,K780&gt;=2),1,0),N780)</x:f>
        <x:v>0</x:v>
      </x:c>
      <x:c r="R780" t="n">
        <x:f>IF(O780="",IF(AND(L780=1,K780&gt;=3),1,0),O780)</x:f>
        <x:v>0</x:v>
      </x:c>
      <x:c r="S780" t="n">
        <x:f>SUM(P780:R780)</x:f>
        <x:v>0</x:v>
      </x:c>
      <x:c r="T780" t="str">
        <x:f>IF(COUNTA(M780:O780)=0,"DerivedFromCount","ManualOverride")</x:f>
        <x:v>DerivedFromCount</x:v>
      </x:c>
      <x:c r="U780" t="str">
        <x:f>IF(COUNTIF(DailyProduction!$Q$5:$Q$100,B780)=1,"OK","CHECK")</x:f>
        <x:v>OK</x:v>
      </x:c>
      <x:c r="V780" t="str">
        <x:f>IF(AND(I780&gt;=1,I780&lt;=13,K780&gt;=1,K780&lt;=3),"OK","CHECK")</x:f>
        <x:v>OK</x:v>
      </x:c>
      <x:c r="W780" t="str">
        <x:f>IF(SUMIF($B$5:$B$914,B780,$S$5:$S$914)=SUMIF(DailyProduction!$Q$5:$Q$100,B780,DailyProduction!$R$5:$R$100),"OK","CHECK")</x:f>
        <x:v>OK</x:v>
      </x:c>
    </x:row>
    <x:row r="781">
      <x:c r="A781" t="str">
        <x:v>PC-PE-KG01-L25-20251021-PM-ORD-2025-00161-S10</x:v>
      </x:c>
      <x:c r="B781" t="str">
        <x:v>PE-KG01-L25-20251021-PM-ORD-2025-00161</x:v>
      </x:c>
      <x:c r="C781" t="str">
        <x:v>KG01</x:v>
      </x:c>
      <x:c r="D781" t="n">
        <x:v>45951</x:v>
      </x:c>
      <x:c r="E781" t="str">
        <x:v>PM</x:v>
      </x:c>
      <x:c r="F781" t="str">
        <x:v>B</x:v>
      </x:c>
      <x:c r="G781" t="n">
        <x:v>25</x:v>
      </x:c>
      <x:c r="H781" t="str">
        <x:v>ORD-2025-00161</x:v>
      </x:c>
      <x:c r="I781" t="n">
        <x:v>10</x:v>
      </x:c>
      <x:c r="J781" t="n">
        <x:v>8</x:v>
      </x:c>
      <x:c r="K781" t="n">
        <x:v>2</x:v>
      </x:c>
      <x:c r="L781" t="n">
        <x:f>IF(I781&lt;=J781,1,0)</x:f>
        <x:v>0</x:v>
      </x:c>
      <x:c r="P781" t="n">
        <x:f>IF(M781="",IF(AND(L781=1,K781&gt;=1),1,0),M781)</x:f>
        <x:v>0</x:v>
      </x:c>
      <x:c r="Q781" t="n">
        <x:f>IF(N781="",IF(AND(L781=1,K781&gt;=2),1,0),N781)</x:f>
        <x:v>0</x:v>
      </x:c>
      <x:c r="R781" t="n">
        <x:f>IF(O781="",IF(AND(L781=1,K781&gt;=3),1,0),O781)</x:f>
        <x:v>0</x:v>
      </x:c>
      <x:c r="S781" t="n">
        <x:f>SUM(P781:R781)</x:f>
        <x:v>0</x:v>
      </x:c>
      <x:c r="T781" t="str">
        <x:f>IF(COUNTA(M781:O781)=0,"DerivedFromCount","ManualOverride")</x:f>
        <x:v>DerivedFromCount</x:v>
      </x:c>
      <x:c r="U781" t="str">
        <x:f>IF(COUNTIF(DailyProduction!$Q$5:$Q$100,B781)=1,"OK","CHECK")</x:f>
        <x:v>OK</x:v>
      </x:c>
      <x:c r="V781" t="str">
        <x:f>IF(AND(I781&gt;=1,I781&lt;=13,K781&gt;=1,K781&lt;=3),"OK","CHECK")</x:f>
        <x:v>OK</x:v>
      </x:c>
      <x:c r="W781" t="str">
        <x:f>IF(SUMIF($B$5:$B$914,B781,$S$5:$S$914)=SUMIF(DailyProduction!$Q$5:$Q$100,B781,DailyProduction!$R$5:$R$100),"OK","CHECK")</x:f>
        <x:v>OK</x:v>
      </x:c>
    </x:row>
    <x:row r="782">
      <x:c r="A782" t="str">
        <x:v>PC-PE-KG01-L25-20251021-PM-ORD-2025-00161-S11</x:v>
      </x:c>
      <x:c r="B782" t="str">
        <x:v>PE-KG01-L25-20251021-PM-ORD-2025-00161</x:v>
      </x:c>
      <x:c r="C782" t="str">
        <x:v>KG01</x:v>
      </x:c>
      <x:c r="D782" t="n">
        <x:v>45951</x:v>
      </x:c>
      <x:c r="E782" t="str">
        <x:v>PM</x:v>
      </x:c>
      <x:c r="F782" t="str">
        <x:v>B</x:v>
      </x:c>
      <x:c r="G782" t="n">
        <x:v>25</x:v>
      </x:c>
      <x:c r="H782" t="str">
        <x:v>ORD-2025-00161</x:v>
      </x:c>
      <x:c r="I782" t="n">
        <x:v>11</x:v>
      </x:c>
      <x:c r="J782" t="n">
        <x:v>8</x:v>
      </x:c>
      <x:c r="K782" t="n">
        <x:v>2</x:v>
      </x:c>
      <x:c r="L782" t="n">
        <x:f>IF(I782&lt;=J782,1,0)</x:f>
        <x:v>0</x:v>
      </x:c>
      <x:c r="P782" t="n">
        <x:f>IF(M782="",IF(AND(L782=1,K782&gt;=1),1,0),M782)</x:f>
        <x:v>0</x:v>
      </x:c>
      <x:c r="Q782" t="n">
        <x:f>IF(N782="",IF(AND(L782=1,K782&gt;=2),1,0),N782)</x:f>
        <x:v>0</x:v>
      </x:c>
      <x:c r="R782" t="n">
        <x:f>IF(O782="",IF(AND(L782=1,K782&gt;=3),1,0),O782)</x:f>
        <x:v>0</x:v>
      </x:c>
      <x:c r="S782" t="n">
        <x:f>SUM(P782:R782)</x:f>
        <x:v>0</x:v>
      </x:c>
      <x:c r="T782" t="str">
        <x:f>IF(COUNTA(M782:O782)=0,"DerivedFromCount","ManualOverride")</x:f>
        <x:v>DerivedFromCount</x:v>
      </x:c>
      <x:c r="U782" t="str">
        <x:f>IF(COUNTIF(DailyProduction!$Q$5:$Q$100,B782)=1,"OK","CHECK")</x:f>
        <x:v>OK</x:v>
      </x:c>
      <x:c r="V782" t="str">
        <x:f>IF(AND(I782&gt;=1,I782&lt;=13,K782&gt;=1,K782&lt;=3),"OK","CHECK")</x:f>
        <x:v>OK</x:v>
      </x:c>
      <x:c r="W782" t="str">
        <x:f>IF(SUMIF($B$5:$B$914,B782,$S$5:$S$914)=SUMIF(DailyProduction!$Q$5:$Q$100,B782,DailyProduction!$R$5:$R$100),"OK","CHECK")</x:f>
        <x:v>OK</x:v>
      </x:c>
    </x:row>
    <x:row r="783">
      <x:c r="A783" t="str">
        <x:v>PC-PE-KG01-L25-20251021-PM-ORD-2025-00161-S12</x:v>
      </x:c>
      <x:c r="B783" t="str">
        <x:v>PE-KG01-L25-20251021-PM-ORD-2025-00161</x:v>
      </x:c>
      <x:c r="C783" t="str">
        <x:v>KG01</x:v>
      </x:c>
      <x:c r="D783" t="n">
        <x:v>45951</x:v>
      </x:c>
      <x:c r="E783" t="str">
        <x:v>PM</x:v>
      </x:c>
      <x:c r="F783" t="str">
        <x:v>B</x:v>
      </x:c>
      <x:c r="G783" t="n">
        <x:v>25</x:v>
      </x:c>
      <x:c r="H783" t="str">
        <x:v>ORD-2025-00161</x:v>
      </x:c>
      <x:c r="I783" t="n">
        <x:v>12</x:v>
      </x:c>
      <x:c r="J783" t="n">
        <x:v>8</x:v>
      </x:c>
      <x:c r="K783" t="n">
        <x:v>2</x:v>
      </x:c>
      <x:c r="L783" t="n">
        <x:f>IF(I783&lt;=J783,1,0)</x:f>
        <x:v>0</x:v>
      </x:c>
      <x:c r="P783" t="n">
        <x:f>IF(M783="",IF(AND(L783=1,K783&gt;=1),1,0),M783)</x:f>
        <x:v>0</x:v>
      </x:c>
      <x:c r="Q783" t="n">
        <x:f>IF(N783="",IF(AND(L783=1,K783&gt;=2),1,0),N783)</x:f>
        <x:v>0</x:v>
      </x:c>
      <x:c r="R783" t="n">
        <x:f>IF(O783="",IF(AND(L783=1,K783&gt;=3),1,0),O783)</x:f>
        <x:v>0</x:v>
      </x:c>
      <x:c r="S783" t="n">
        <x:f>SUM(P783:R783)</x:f>
        <x:v>0</x:v>
      </x:c>
      <x:c r="T783" t="str">
        <x:f>IF(COUNTA(M783:O783)=0,"DerivedFromCount","ManualOverride")</x:f>
        <x:v>DerivedFromCount</x:v>
      </x:c>
      <x:c r="U783" t="str">
        <x:f>IF(COUNTIF(DailyProduction!$Q$5:$Q$100,B783)=1,"OK","CHECK")</x:f>
        <x:v>OK</x:v>
      </x:c>
      <x:c r="V783" t="str">
        <x:f>IF(AND(I783&gt;=1,I783&lt;=13,K783&gt;=1,K783&lt;=3),"OK","CHECK")</x:f>
        <x:v>OK</x:v>
      </x:c>
      <x:c r="W783" t="str">
        <x:f>IF(SUMIF($B$5:$B$914,B783,$S$5:$S$914)=SUMIF(DailyProduction!$Q$5:$Q$100,B783,DailyProduction!$R$5:$R$100),"OK","CHECK")</x:f>
        <x:v>OK</x:v>
      </x:c>
    </x:row>
    <x:row r="784">
      <x:c r="A784" t="str">
        <x:v>PC-PE-KG01-L25-20251021-PM-ORD-2025-00161-S13</x:v>
      </x:c>
      <x:c r="B784" t="str">
        <x:v>PE-KG01-L25-20251021-PM-ORD-2025-00161</x:v>
      </x:c>
      <x:c r="C784" t="str">
        <x:v>KG01</x:v>
      </x:c>
      <x:c r="D784" t="n">
        <x:v>45951</x:v>
      </x:c>
      <x:c r="E784" t="str">
        <x:v>PM</x:v>
      </x:c>
      <x:c r="F784" t="str">
        <x:v>B</x:v>
      </x:c>
      <x:c r="G784" t="n">
        <x:v>25</x:v>
      </x:c>
      <x:c r="H784" t="str">
        <x:v>ORD-2025-00161</x:v>
      </x:c>
      <x:c r="I784" t="n">
        <x:v>13</x:v>
      </x:c>
      <x:c r="J784" t="n">
        <x:v>8</x:v>
      </x:c>
      <x:c r="K784" t="n">
        <x:v>2</x:v>
      </x:c>
      <x:c r="L784" t="n">
        <x:f>IF(I784&lt;=J784,1,0)</x:f>
        <x:v>0</x:v>
      </x:c>
      <x:c r="P784" t="n">
        <x:f>IF(M784="",IF(AND(L784=1,K784&gt;=1),1,0),M784)</x:f>
        <x:v>0</x:v>
      </x:c>
      <x:c r="Q784" t="n">
        <x:f>IF(N784="",IF(AND(L784=1,K784&gt;=2),1,0),N784)</x:f>
        <x:v>0</x:v>
      </x:c>
      <x:c r="R784" t="n">
        <x:f>IF(O784="",IF(AND(L784=1,K784&gt;=3),1,0),O784)</x:f>
        <x:v>0</x:v>
      </x:c>
      <x:c r="S784" t="n">
        <x:f>SUM(P784:R784)</x:f>
        <x:v>0</x:v>
      </x:c>
      <x:c r="T784" t="str">
        <x:f>IF(COUNTA(M784:O784)=0,"DerivedFromCount","ManualOverride")</x:f>
        <x:v>DerivedFromCount</x:v>
      </x:c>
      <x:c r="U784" t="str">
        <x:f>IF(COUNTIF(DailyProduction!$Q$5:$Q$100,B784)=1,"OK","CHECK")</x:f>
        <x:v>OK</x:v>
      </x:c>
      <x:c r="V784" t="str">
        <x:f>IF(AND(I784&gt;=1,I784&lt;=13,K784&gt;=1,K784&lt;=3),"OK","CHECK")</x:f>
        <x:v>OK</x:v>
      </x:c>
      <x:c r="W784" t="str">
        <x:f>IF(SUMIF($B$5:$B$914,B784,$S$5:$S$914)=SUMIF(DailyProduction!$Q$5:$Q$100,B784,DailyProduction!$R$5:$R$100),"OK","CHECK")</x:f>
        <x:v>OK</x:v>
      </x:c>
    </x:row>
    <x:row r="785">
      <x:c r="A785" t="str">
        <x:v>PC-PE-KG01-L25-20251022-AM-ORD-2025-00161-S01</x:v>
      </x:c>
      <x:c r="B785" t="str">
        <x:v>PE-KG01-L25-20251022-AM-ORD-2025-00161</x:v>
      </x:c>
      <x:c r="C785" t="str">
        <x:v>KG01</x:v>
      </x:c>
      <x:c r="D785" t="n">
        <x:v>45952</x:v>
      </x:c>
      <x:c r="E785" t="str">
        <x:v>AM</x:v>
      </x:c>
      <x:c r="F785" t="str">
        <x:v>B</x:v>
      </x:c>
      <x:c r="G785" t="n">
        <x:v>25</x:v>
      </x:c>
      <x:c r="H785" t="str">
        <x:v>ORD-2025-00161</x:v>
      </x:c>
      <x:c r="I785" t="n">
        <x:v>1</x:v>
      </x:c>
      <x:c r="J785" t="n">
        <x:v>8</x:v>
      </x:c>
      <x:c r="K785" t="n">
        <x:v>2</x:v>
      </x:c>
      <x:c r="L785" t="n">
        <x:f>IF(I785&lt;=J785,1,0)</x:f>
        <x:v>1</x:v>
      </x:c>
      <x:c r="P785" t="n">
        <x:f>IF(M785="",IF(AND(L785=1,K785&gt;=1),1,0),M785)</x:f>
        <x:v>1</x:v>
      </x:c>
      <x:c r="Q785" t="n">
        <x:f>IF(N785="",IF(AND(L785=1,K785&gt;=2),1,0),N785)</x:f>
        <x:v>1</x:v>
      </x:c>
      <x:c r="R785" t="n">
        <x:f>IF(O785="",IF(AND(L785=1,K785&gt;=3),1,0),O785)</x:f>
        <x:v>0</x:v>
      </x:c>
      <x:c r="S785" t="n">
        <x:f>SUM(P785:R785)</x:f>
        <x:v>2</x:v>
      </x:c>
      <x:c r="T785" t="str">
        <x:f>IF(COUNTA(M785:O785)=0,"DerivedFromCount","ManualOverride")</x:f>
        <x:v>DerivedFromCount</x:v>
      </x:c>
      <x:c r="U785" t="str">
        <x:f>IF(COUNTIF(DailyProduction!$Q$5:$Q$100,B785)=1,"OK","CHECK")</x:f>
        <x:v>OK</x:v>
      </x:c>
      <x:c r="V785" t="str">
        <x:f>IF(AND(I785&gt;=1,I785&lt;=13,K785&gt;=1,K785&lt;=3),"OK","CHECK")</x:f>
        <x:v>OK</x:v>
      </x:c>
      <x:c r="W785" t="str">
        <x:f>IF(SUMIF($B$5:$B$914,B785,$S$5:$S$914)=SUMIF(DailyProduction!$Q$5:$Q$100,B785,DailyProduction!$R$5:$R$100),"OK","CHECK")</x:f>
        <x:v>OK</x:v>
      </x:c>
    </x:row>
    <x:row r="786">
      <x:c r="A786" t="str">
        <x:v>PC-PE-KG01-L25-20251022-AM-ORD-2025-00161-S02</x:v>
      </x:c>
      <x:c r="B786" t="str">
        <x:v>PE-KG01-L25-20251022-AM-ORD-2025-00161</x:v>
      </x:c>
      <x:c r="C786" t="str">
        <x:v>KG01</x:v>
      </x:c>
      <x:c r="D786" t="n">
        <x:v>45952</x:v>
      </x:c>
      <x:c r="E786" t="str">
        <x:v>AM</x:v>
      </x:c>
      <x:c r="F786" t="str">
        <x:v>B</x:v>
      </x:c>
      <x:c r="G786" t="n">
        <x:v>25</x:v>
      </x:c>
      <x:c r="H786" t="str">
        <x:v>ORD-2025-00161</x:v>
      </x:c>
      <x:c r="I786" t="n">
        <x:v>2</x:v>
      </x:c>
      <x:c r="J786" t="n">
        <x:v>8</x:v>
      </x:c>
      <x:c r="K786" t="n">
        <x:v>2</x:v>
      </x:c>
      <x:c r="L786" t="n">
        <x:f>IF(I786&lt;=J786,1,0)</x:f>
        <x:v>1</x:v>
      </x:c>
      <x:c r="P786" t="n">
        <x:f>IF(M786="",IF(AND(L786=1,K786&gt;=1),1,0),M786)</x:f>
        <x:v>1</x:v>
      </x:c>
      <x:c r="Q786" t="n">
        <x:f>IF(N786="",IF(AND(L786=1,K786&gt;=2),1,0),N786)</x:f>
        <x:v>1</x:v>
      </x:c>
      <x:c r="R786" t="n">
        <x:f>IF(O786="",IF(AND(L786=1,K786&gt;=3),1,0),O786)</x:f>
        <x:v>0</x:v>
      </x:c>
      <x:c r="S786" t="n">
        <x:f>SUM(P786:R786)</x:f>
        <x:v>2</x:v>
      </x:c>
      <x:c r="T786" t="str">
        <x:f>IF(COUNTA(M786:O786)=0,"DerivedFromCount","ManualOverride")</x:f>
        <x:v>DerivedFromCount</x:v>
      </x:c>
      <x:c r="U786" t="str">
        <x:f>IF(COUNTIF(DailyProduction!$Q$5:$Q$100,B786)=1,"OK","CHECK")</x:f>
        <x:v>OK</x:v>
      </x:c>
      <x:c r="V786" t="str">
        <x:f>IF(AND(I786&gt;=1,I786&lt;=13,K786&gt;=1,K786&lt;=3),"OK","CHECK")</x:f>
        <x:v>OK</x:v>
      </x:c>
      <x:c r="W786" t="str">
        <x:f>IF(SUMIF($B$5:$B$914,B786,$S$5:$S$914)=SUMIF(DailyProduction!$Q$5:$Q$100,B786,DailyProduction!$R$5:$R$100),"OK","CHECK")</x:f>
        <x:v>OK</x:v>
      </x:c>
    </x:row>
    <x:row r="787">
      <x:c r="A787" t="str">
        <x:v>PC-PE-KG01-L25-20251022-AM-ORD-2025-00161-S03</x:v>
      </x:c>
      <x:c r="B787" t="str">
        <x:v>PE-KG01-L25-20251022-AM-ORD-2025-00161</x:v>
      </x:c>
      <x:c r="C787" t="str">
        <x:v>KG01</x:v>
      </x:c>
      <x:c r="D787" t="n">
        <x:v>45952</x:v>
      </x:c>
      <x:c r="E787" t="str">
        <x:v>AM</x:v>
      </x:c>
      <x:c r="F787" t="str">
        <x:v>B</x:v>
      </x:c>
      <x:c r="G787" t="n">
        <x:v>25</x:v>
      </x:c>
      <x:c r="H787" t="str">
        <x:v>ORD-2025-00161</x:v>
      </x:c>
      <x:c r="I787" t="n">
        <x:v>3</x:v>
      </x:c>
      <x:c r="J787" t="n">
        <x:v>8</x:v>
      </x:c>
      <x:c r="K787" t="n">
        <x:v>2</x:v>
      </x:c>
      <x:c r="L787" t="n">
        <x:f>IF(I787&lt;=J787,1,0)</x:f>
        <x:v>1</x:v>
      </x:c>
      <x:c r="P787" t="n">
        <x:f>IF(M787="",IF(AND(L787=1,K787&gt;=1),1,0),M787)</x:f>
        <x:v>1</x:v>
      </x:c>
      <x:c r="Q787" t="n">
        <x:f>IF(N787="",IF(AND(L787=1,K787&gt;=2),1,0),N787)</x:f>
        <x:v>1</x:v>
      </x:c>
      <x:c r="R787" t="n">
        <x:f>IF(O787="",IF(AND(L787=1,K787&gt;=3),1,0),O787)</x:f>
        <x:v>0</x:v>
      </x:c>
      <x:c r="S787" t="n">
        <x:f>SUM(P787:R787)</x:f>
        <x:v>2</x:v>
      </x:c>
      <x:c r="T787" t="str">
        <x:f>IF(COUNTA(M787:O787)=0,"DerivedFromCount","ManualOverride")</x:f>
        <x:v>DerivedFromCount</x:v>
      </x:c>
      <x:c r="U787" t="str">
        <x:f>IF(COUNTIF(DailyProduction!$Q$5:$Q$100,B787)=1,"OK","CHECK")</x:f>
        <x:v>OK</x:v>
      </x:c>
      <x:c r="V787" t="str">
        <x:f>IF(AND(I787&gt;=1,I787&lt;=13,K787&gt;=1,K787&lt;=3),"OK","CHECK")</x:f>
        <x:v>OK</x:v>
      </x:c>
      <x:c r="W787" t="str">
        <x:f>IF(SUMIF($B$5:$B$914,B787,$S$5:$S$914)=SUMIF(DailyProduction!$Q$5:$Q$100,B787,DailyProduction!$R$5:$R$100),"OK","CHECK")</x:f>
        <x:v>OK</x:v>
      </x:c>
    </x:row>
    <x:row r="788">
      <x:c r="A788" t="str">
        <x:v>PC-PE-KG01-L25-20251022-AM-ORD-2025-00161-S04</x:v>
      </x:c>
      <x:c r="B788" t="str">
        <x:v>PE-KG01-L25-20251022-AM-ORD-2025-00161</x:v>
      </x:c>
      <x:c r="C788" t="str">
        <x:v>KG01</x:v>
      </x:c>
      <x:c r="D788" t="n">
        <x:v>45952</x:v>
      </x:c>
      <x:c r="E788" t="str">
        <x:v>AM</x:v>
      </x:c>
      <x:c r="F788" t="str">
        <x:v>B</x:v>
      </x:c>
      <x:c r="G788" t="n">
        <x:v>25</x:v>
      </x:c>
      <x:c r="H788" t="str">
        <x:v>ORD-2025-00161</x:v>
      </x:c>
      <x:c r="I788" t="n">
        <x:v>4</x:v>
      </x:c>
      <x:c r="J788" t="n">
        <x:v>8</x:v>
      </x:c>
      <x:c r="K788" t="n">
        <x:v>2</x:v>
      </x:c>
      <x:c r="L788" t="n">
        <x:f>IF(I788&lt;=J788,1,0)</x:f>
        <x:v>1</x:v>
      </x:c>
      <x:c r="P788" t="n">
        <x:f>IF(M788="",IF(AND(L788=1,K788&gt;=1),1,0),M788)</x:f>
        <x:v>1</x:v>
      </x:c>
      <x:c r="Q788" t="n">
        <x:f>IF(N788="",IF(AND(L788=1,K788&gt;=2),1,0),N788)</x:f>
        <x:v>1</x:v>
      </x:c>
      <x:c r="R788" t="n">
        <x:f>IF(O788="",IF(AND(L788=1,K788&gt;=3),1,0),O788)</x:f>
        <x:v>0</x:v>
      </x:c>
      <x:c r="S788" t="n">
        <x:f>SUM(P788:R788)</x:f>
        <x:v>2</x:v>
      </x:c>
      <x:c r="T788" t="str">
        <x:f>IF(COUNTA(M788:O788)=0,"DerivedFromCount","ManualOverride")</x:f>
        <x:v>DerivedFromCount</x:v>
      </x:c>
      <x:c r="U788" t="str">
        <x:f>IF(COUNTIF(DailyProduction!$Q$5:$Q$100,B788)=1,"OK","CHECK")</x:f>
        <x:v>OK</x:v>
      </x:c>
      <x:c r="V788" t="str">
        <x:f>IF(AND(I788&gt;=1,I788&lt;=13,K788&gt;=1,K788&lt;=3),"OK","CHECK")</x:f>
        <x:v>OK</x:v>
      </x:c>
      <x:c r="W788" t="str">
        <x:f>IF(SUMIF($B$5:$B$914,B788,$S$5:$S$914)=SUMIF(DailyProduction!$Q$5:$Q$100,B788,DailyProduction!$R$5:$R$100),"OK","CHECK")</x:f>
        <x:v>OK</x:v>
      </x:c>
    </x:row>
    <x:row r="789">
      <x:c r="A789" t="str">
        <x:v>PC-PE-KG01-L25-20251022-AM-ORD-2025-00161-S05</x:v>
      </x:c>
      <x:c r="B789" t="str">
        <x:v>PE-KG01-L25-20251022-AM-ORD-2025-00161</x:v>
      </x:c>
      <x:c r="C789" t="str">
        <x:v>KG01</x:v>
      </x:c>
      <x:c r="D789" t="n">
        <x:v>45952</x:v>
      </x:c>
      <x:c r="E789" t="str">
        <x:v>AM</x:v>
      </x:c>
      <x:c r="F789" t="str">
        <x:v>B</x:v>
      </x:c>
      <x:c r="G789" t="n">
        <x:v>25</x:v>
      </x:c>
      <x:c r="H789" t="str">
        <x:v>ORD-2025-00161</x:v>
      </x:c>
      <x:c r="I789" t="n">
        <x:v>5</x:v>
      </x:c>
      <x:c r="J789" t="n">
        <x:v>8</x:v>
      </x:c>
      <x:c r="K789" t="n">
        <x:v>2</x:v>
      </x:c>
      <x:c r="L789" t="n">
        <x:f>IF(I789&lt;=J789,1,0)</x:f>
        <x:v>1</x:v>
      </x:c>
      <x:c r="P789" t="n">
        <x:f>IF(M789="",IF(AND(L789=1,K789&gt;=1),1,0),M789)</x:f>
        <x:v>1</x:v>
      </x:c>
      <x:c r="Q789" t="n">
        <x:f>IF(N789="",IF(AND(L789=1,K789&gt;=2),1,0),N789)</x:f>
        <x:v>1</x:v>
      </x:c>
      <x:c r="R789" t="n">
        <x:f>IF(O789="",IF(AND(L789=1,K789&gt;=3),1,0),O789)</x:f>
        <x:v>0</x:v>
      </x:c>
      <x:c r="S789" t="n">
        <x:f>SUM(P789:R789)</x:f>
        <x:v>2</x:v>
      </x:c>
      <x:c r="T789" t="str">
        <x:f>IF(COUNTA(M789:O789)=0,"DerivedFromCount","ManualOverride")</x:f>
        <x:v>DerivedFromCount</x:v>
      </x:c>
      <x:c r="U789" t="str">
        <x:f>IF(COUNTIF(DailyProduction!$Q$5:$Q$100,B789)=1,"OK","CHECK")</x:f>
        <x:v>OK</x:v>
      </x:c>
      <x:c r="V789" t="str">
        <x:f>IF(AND(I789&gt;=1,I789&lt;=13,K789&gt;=1,K789&lt;=3),"OK","CHECK")</x:f>
        <x:v>OK</x:v>
      </x:c>
      <x:c r="W789" t="str">
        <x:f>IF(SUMIF($B$5:$B$914,B789,$S$5:$S$914)=SUMIF(DailyProduction!$Q$5:$Q$100,B789,DailyProduction!$R$5:$R$100),"OK","CHECK")</x:f>
        <x:v>OK</x:v>
      </x:c>
    </x:row>
    <x:row r="790">
      <x:c r="A790" t="str">
        <x:v>PC-PE-KG01-L25-20251022-AM-ORD-2025-00161-S06</x:v>
      </x:c>
      <x:c r="B790" t="str">
        <x:v>PE-KG01-L25-20251022-AM-ORD-2025-00161</x:v>
      </x:c>
      <x:c r="C790" t="str">
        <x:v>KG01</x:v>
      </x:c>
      <x:c r="D790" t="n">
        <x:v>45952</x:v>
      </x:c>
      <x:c r="E790" t="str">
        <x:v>AM</x:v>
      </x:c>
      <x:c r="F790" t="str">
        <x:v>B</x:v>
      </x:c>
      <x:c r="G790" t="n">
        <x:v>25</x:v>
      </x:c>
      <x:c r="H790" t="str">
        <x:v>ORD-2025-00161</x:v>
      </x:c>
      <x:c r="I790" t="n">
        <x:v>6</x:v>
      </x:c>
      <x:c r="J790" t="n">
        <x:v>8</x:v>
      </x:c>
      <x:c r="K790" t="n">
        <x:v>2</x:v>
      </x:c>
      <x:c r="L790" t="n">
        <x:f>IF(I790&lt;=J790,1,0)</x:f>
        <x:v>1</x:v>
      </x:c>
      <x:c r="P790" t="n">
        <x:f>IF(M790="",IF(AND(L790=1,K790&gt;=1),1,0),M790)</x:f>
        <x:v>1</x:v>
      </x:c>
      <x:c r="Q790" t="n">
        <x:f>IF(N790="",IF(AND(L790=1,K790&gt;=2),1,0),N790)</x:f>
        <x:v>1</x:v>
      </x:c>
      <x:c r="R790" t="n">
        <x:f>IF(O790="",IF(AND(L790=1,K790&gt;=3),1,0),O790)</x:f>
        <x:v>0</x:v>
      </x:c>
      <x:c r="S790" t="n">
        <x:f>SUM(P790:R790)</x:f>
        <x:v>2</x:v>
      </x:c>
      <x:c r="T790" t="str">
        <x:f>IF(COUNTA(M790:O790)=0,"DerivedFromCount","ManualOverride")</x:f>
        <x:v>DerivedFromCount</x:v>
      </x:c>
      <x:c r="U790" t="str">
        <x:f>IF(COUNTIF(DailyProduction!$Q$5:$Q$100,B790)=1,"OK","CHECK")</x:f>
        <x:v>OK</x:v>
      </x:c>
      <x:c r="V790" t="str">
        <x:f>IF(AND(I790&gt;=1,I790&lt;=13,K790&gt;=1,K790&lt;=3),"OK","CHECK")</x:f>
        <x:v>OK</x:v>
      </x:c>
      <x:c r="W790" t="str">
        <x:f>IF(SUMIF($B$5:$B$914,B790,$S$5:$S$914)=SUMIF(DailyProduction!$Q$5:$Q$100,B790,DailyProduction!$R$5:$R$100),"OK","CHECK")</x:f>
        <x:v>OK</x:v>
      </x:c>
    </x:row>
    <x:row r="791">
      <x:c r="A791" t="str">
        <x:v>PC-PE-KG01-L25-20251022-AM-ORD-2025-00161-S07</x:v>
      </x:c>
      <x:c r="B791" t="str">
        <x:v>PE-KG01-L25-20251022-AM-ORD-2025-00161</x:v>
      </x:c>
      <x:c r="C791" t="str">
        <x:v>KG01</x:v>
      </x:c>
      <x:c r="D791" t="n">
        <x:v>45952</x:v>
      </x:c>
      <x:c r="E791" t="str">
        <x:v>AM</x:v>
      </x:c>
      <x:c r="F791" t="str">
        <x:v>B</x:v>
      </x:c>
      <x:c r="G791" t="n">
        <x:v>25</x:v>
      </x:c>
      <x:c r="H791" t="str">
        <x:v>ORD-2025-00161</x:v>
      </x:c>
      <x:c r="I791" t="n">
        <x:v>7</x:v>
      </x:c>
      <x:c r="J791" t="n">
        <x:v>8</x:v>
      </x:c>
      <x:c r="K791" t="n">
        <x:v>2</x:v>
      </x:c>
      <x:c r="L791" t="n">
        <x:f>IF(I791&lt;=J791,1,0)</x:f>
        <x:v>1</x:v>
      </x:c>
      <x:c r="P791" t="n">
        <x:f>IF(M791="",IF(AND(L791=1,K791&gt;=1),1,0),M791)</x:f>
        <x:v>1</x:v>
      </x:c>
      <x:c r="Q791" t="n">
        <x:f>IF(N791="",IF(AND(L791=1,K791&gt;=2),1,0),N791)</x:f>
        <x:v>1</x:v>
      </x:c>
      <x:c r="R791" t="n">
        <x:f>IF(O791="",IF(AND(L791=1,K791&gt;=3),1,0),O791)</x:f>
        <x:v>0</x:v>
      </x:c>
      <x:c r="S791" t="n">
        <x:f>SUM(P791:R791)</x:f>
        <x:v>2</x:v>
      </x:c>
      <x:c r="T791" t="str">
        <x:f>IF(COUNTA(M791:O791)=0,"DerivedFromCount","ManualOverride")</x:f>
        <x:v>DerivedFromCount</x:v>
      </x:c>
      <x:c r="U791" t="str">
        <x:f>IF(COUNTIF(DailyProduction!$Q$5:$Q$100,B791)=1,"OK","CHECK")</x:f>
        <x:v>OK</x:v>
      </x:c>
      <x:c r="V791" t="str">
        <x:f>IF(AND(I791&gt;=1,I791&lt;=13,K791&gt;=1,K791&lt;=3),"OK","CHECK")</x:f>
        <x:v>OK</x:v>
      </x:c>
      <x:c r="W791" t="str">
        <x:f>IF(SUMIF($B$5:$B$914,B791,$S$5:$S$914)=SUMIF(DailyProduction!$Q$5:$Q$100,B791,DailyProduction!$R$5:$R$100),"OK","CHECK")</x:f>
        <x:v>OK</x:v>
      </x:c>
    </x:row>
    <x:row r="792">
      <x:c r="A792" t="str">
        <x:v>PC-PE-KG01-L25-20251022-AM-ORD-2025-00161-S08</x:v>
      </x:c>
      <x:c r="B792" t="str">
        <x:v>PE-KG01-L25-20251022-AM-ORD-2025-00161</x:v>
      </x:c>
      <x:c r="C792" t="str">
        <x:v>KG01</x:v>
      </x:c>
      <x:c r="D792" t="n">
        <x:v>45952</x:v>
      </x:c>
      <x:c r="E792" t="str">
        <x:v>AM</x:v>
      </x:c>
      <x:c r="F792" t="str">
        <x:v>B</x:v>
      </x:c>
      <x:c r="G792" t="n">
        <x:v>25</x:v>
      </x:c>
      <x:c r="H792" t="str">
        <x:v>ORD-2025-00161</x:v>
      </x:c>
      <x:c r="I792" t="n">
        <x:v>8</x:v>
      </x:c>
      <x:c r="J792" t="n">
        <x:v>8</x:v>
      </x:c>
      <x:c r="K792" t="n">
        <x:v>2</x:v>
      </x:c>
      <x:c r="L792" t="n">
        <x:f>IF(I792&lt;=J792,1,0)</x:f>
        <x:v>1</x:v>
      </x:c>
      <x:c r="P792" t="n">
        <x:f>IF(M792="",IF(AND(L792=1,K792&gt;=1),1,0),M792)</x:f>
        <x:v>1</x:v>
      </x:c>
      <x:c r="Q792" t="n">
        <x:f>IF(N792="",IF(AND(L792=1,K792&gt;=2),1,0),N792)</x:f>
        <x:v>1</x:v>
      </x:c>
      <x:c r="R792" t="n">
        <x:f>IF(O792="",IF(AND(L792=1,K792&gt;=3),1,0),O792)</x:f>
        <x:v>0</x:v>
      </x:c>
      <x:c r="S792" t="n">
        <x:f>SUM(P792:R792)</x:f>
        <x:v>2</x:v>
      </x:c>
      <x:c r="T792" t="str">
        <x:f>IF(COUNTA(M792:O792)=0,"DerivedFromCount","ManualOverride")</x:f>
        <x:v>DerivedFromCount</x:v>
      </x:c>
      <x:c r="U792" t="str">
        <x:f>IF(COUNTIF(DailyProduction!$Q$5:$Q$100,B792)=1,"OK","CHECK")</x:f>
        <x:v>OK</x:v>
      </x:c>
      <x:c r="V792" t="str">
        <x:f>IF(AND(I792&gt;=1,I792&lt;=13,K792&gt;=1,K792&lt;=3),"OK","CHECK")</x:f>
        <x:v>OK</x:v>
      </x:c>
      <x:c r="W792" t="str">
        <x:f>IF(SUMIF($B$5:$B$914,B792,$S$5:$S$914)=SUMIF(DailyProduction!$Q$5:$Q$100,B792,DailyProduction!$R$5:$R$100),"OK","CHECK")</x:f>
        <x:v>OK</x:v>
      </x:c>
    </x:row>
    <x:row r="793">
      <x:c r="A793" t="str">
        <x:v>PC-PE-KG01-L25-20251022-AM-ORD-2025-00161-S09</x:v>
      </x:c>
      <x:c r="B793" t="str">
        <x:v>PE-KG01-L25-20251022-AM-ORD-2025-00161</x:v>
      </x:c>
      <x:c r="C793" t="str">
        <x:v>KG01</x:v>
      </x:c>
      <x:c r="D793" t="n">
        <x:v>45952</x:v>
      </x:c>
      <x:c r="E793" t="str">
        <x:v>AM</x:v>
      </x:c>
      <x:c r="F793" t="str">
        <x:v>B</x:v>
      </x:c>
      <x:c r="G793" t="n">
        <x:v>25</x:v>
      </x:c>
      <x:c r="H793" t="str">
        <x:v>ORD-2025-00161</x:v>
      </x:c>
      <x:c r="I793" t="n">
        <x:v>9</x:v>
      </x:c>
      <x:c r="J793" t="n">
        <x:v>8</x:v>
      </x:c>
      <x:c r="K793" t="n">
        <x:v>2</x:v>
      </x:c>
      <x:c r="L793" t="n">
        <x:f>IF(I793&lt;=J793,1,0)</x:f>
        <x:v>0</x:v>
      </x:c>
      <x:c r="P793" t="n">
        <x:f>IF(M793="",IF(AND(L793=1,K793&gt;=1),1,0),M793)</x:f>
        <x:v>0</x:v>
      </x:c>
      <x:c r="Q793" t="n">
        <x:f>IF(N793="",IF(AND(L793=1,K793&gt;=2),1,0),N793)</x:f>
        <x:v>0</x:v>
      </x:c>
      <x:c r="R793" t="n">
        <x:f>IF(O793="",IF(AND(L793=1,K793&gt;=3),1,0),O793)</x:f>
        <x:v>0</x:v>
      </x:c>
      <x:c r="S793" t="n">
        <x:f>SUM(P793:R793)</x:f>
        <x:v>0</x:v>
      </x:c>
      <x:c r="T793" t="str">
        <x:f>IF(COUNTA(M793:O793)=0,"DerivedFromCount","ManualOverride")</x:f>
        <x:v>DerivedFromCount</x:v>
      </x:c>
      <x:c r="U793" t="str">
        <x:f>IF(COUNTIF(DailyProduction!$Q$5:$Q$100,B793)=1,"OK","CHECK")</x:f>
        <x:v>OK</x:v>
      </x:c>
      <x:c r="V793" t="str">
        <x:f>IF(AND(I793&gt;=1,I793&lt;=13,K793&gt;=1,K793&lt;=3),"OK","CHECK")</x:f>
        <x:v>OK</x:v>
      </x:c>
      <x:c r="W793" t="str">
        <x:f>IF(SUMIF($B$5:$B$914,B793,$S$5:$S$914)=SUMIF(DailyProduction!$Q$5:$Q$100,B793,DailyProduction!$R$5:$R$100),"OK","CHECK")</x:f>
        <x:v>OK</x:v>
      </x:c>
    </x:row>
    <x:row r="794">
      <x:c r="A794" t="str">
        <x:v>PC-PE-KG01-L25-20251022-AM-ORD-2025-00161-S10</x:v>
      </x:c>
      <x:c r="B794" t="str">
        <x:v>PE-KG01-L25-20251022-AM-ORD-2025-00161</x:v>
      </x:c>
      <x:c r="C794" t="str">
        <x:v>KG01</x:v>
      </x:c>
      <x:c r="D794" t="n">
        <x:v>45952</x:v>
      </x:c>
      <x:c r="E794" t="str">
        <x:v>AM</x:v>
      </x:c>
      <x:c r="F794" t="str">
        <x:v>B</x:v>
      </x:c>
      <x:c r="G794" t="n">
        <x:v>25</x:v>
      </x:c>
      <x:c r="H794" t="str">
        <x:v>ORD-2025-00161</x:v>
      </x:c>
      <x:c r="I794" t="n">
        <x:v>10</x:v>
      </x:c>
      <x:c r="J794" t="n">
        <x:v>8</x:v>
      </x:c>
      <x:c r="K794" t="n">
        <x:v>2</x:v>
      </x:c>
      <x:c r="L794" t="n">
        <x:f>IF(I794&lt;=J794,1,0)</x:f>
        <x:v>0</x:v>
      </x:c>
      <x:c r="P794" t="n">
        <x:f>IF(M794="",IF(AND(L794=1,K794&gt;=1),1,0),M794)</x:f>
        <x:v>0</x:v>
      </x:c>
      <x:c r="Q794" t="n">
        <x:f>IF(N794="",IF(AND(L794=1,K794&gt;=2),1,0),N794)</x:f>
        <x:v>0</x:v>
      </x:c>
      <x:c r="R794" t="n">
        <x:f>IF(O794="",IF(AND(L794=1,K794&gt;=3),1,0),O794)</x:f>
        <x:v>0</x:v>
      </x:c>
      <x:c r="S794" t="n">
        <x:f>SUM(P794:R794)</x:f>
        <x:v>0</x:v>
      </x:c>
      <x:c r="T794" t="str">
        <x:f>IF(COUNTA(M794:O794)=0,"DerivedFromCount","ManualOverride")</x:f>
        <x:v>DerivedFromCount</x:v>
      </x:c>
      <x:c r="U794" t="str">
        <x:f>IF(COUNTIF(DailyProduction!$Q$5:$Q$100,B794)=1,"OK","CHECK")</x:f>
        <x:v>OK</x:v>
      </x:c>
      <x:c r="V794" t="str">
        <x:f>IF(AND(I794&gt;=1,I794&lt;=13,K794&gt;=1,K794&lt;=3),"OK","CHECK")</x:f>
        <x:v>OK</x:v>
      </x:c>
      <x:c r="W794" t="str">
        <x:f>IF(SUMIF($B$5:$B$914,B794,$S$5:$S$914)=SUMIF(DailyProduction!$Q$5:$Q$100,B794,DailyProduction!$R$5:$R$100),"OK","CHECK")</x:f>
        <x:v>OK</x:v>
      </x:c>
    </x:row>
    <x:row r="795">
      <x:c r="A795" t="str">
        <x:v>PC-PE-KG01-L25-20251022-AM-ORD-2025-00161-S11</x:v>
      </x:c>
      <x:c r="B795" t="str">
        <x:v>PE-KG01-L25-20251022-AM-ORD-2025-00161</x:v>
      </x:c>
      <x:c r="C795" t="str">
        <x:v>KG01</x:v>
      </x:c>
      <x:c r="D795" t="n">
        <x:v>45952</x:v>
      </x:c>
      <x:c r="E795" t="str">
        <x:v>AM</x:v>
      </x:c>
      <x:c r="F795" t="str">
        <x:v>B</x:v>
      </x:c>
      <x:c r="G795" t="n">
        <x:v>25</x:v>
      </x:c>
      <x:c r="H795" t="str">
        <x:v>ORD-2025-00161</x:v>
      </x:c>
      <x:c r="I795" t="n">
        <x:v>11</x:v>
      </x:c>
      <x:c r="J795" t="n">
        <x:v>8</x:v>
      </x:c>
      <x:c r="K795" t="n">
        <x:v>2</x:v>
      </x:c>
      <x:c r="L795" t="n">
        <x:f>IF(I795&lt;=J795,1,0)</x:f>
        <x:v>0</x:v>
      </x:c>
      <x:c r="P795" t="n">
        <x:f>IF(M795="",IF(AND(L795=1,K795&gt;=1),1,0),M795)</x:f>
        <x:v>0</x:v>
      </x:c>
      <x:c r="Q795" t="n">
        <x:f>IF(N795="",IF(AND(L795=1,K795&gt;=2),1,0),N795)</x:f>
        <x:v>0</x:v>
      </x:c>
      <x:c r="R795" t="n">
        <x:f>IF(O795="",IF(AND(L795=1,K795&gt;=3),1,0),O795)</x:f>
        <x:v>0</x:v>
      </x:c>
      <x:c r="S795" t="n">
        <x:f>SUM(P795:R795)</x:f>
        <x:v>0</x:v>
      </x:c>
      <x:c r="T795" t="str">
        <x:f>IF(COUNTA(M795:O795)=0,"DerivedFromCount","ManualOverride")</x:f>
        <x:v>DerivedFromCount</x:v>
      </x:c>
      <x:c r="U795" t="str">
        <x:f>IF(COUNTIF(DailyProduction!$Q$5:$Q$100,B795)=1,"OK","CHECK")</x:f>
        <x:v>OK</x:v>
      </x:c>
      <x:c r="V795" t="str">
        <x:f>IF(AND(I795&gt;=1,I795&lt;=13,K795&gt;=1,K795&lt;=3),"OK","CHECK")</x:f>
        <x:v>OK</x:v>
      </x:c>
      <x:c r="W795" t="str">
        <x:f>IF(SUMIF($B$5:$B$914,B795,$S$5:$S$914)=SUMIF(DailyProduction!$Q$5:$Q$100,B795,DailyProduction!$R$5:$R$100),"OK","CHECK")</x:f>
        <x:v>OK</x:v>
      </x:c>
    </x:row>
    <x:row r="796">
      <x:c r="A796" t="str">
        <x:v>PC-PE-KG01-L25-20251022-AM-ORD-2025-00161-S12</x:v>
      </x:c>
      <x:c r="B796" t="str">
        <x:v>PE-KG01-L25-20251022-AM-ORD-2025-00161</x:v>
      </x:c>
      <x:c r="C796" t="str">
        <x:v>KG01</x:v>
      </x:c>
      <x:c r="D796" t="n">
        <x:v>45952</x:v>
      </x:c>
      <x:c r="E796" t="str">
        <x:v>AM</x:v>
      </x:c>
      <x:c r="F796" t="str">
        <x:v>B</x:v>
      </x:c>
      <x:c r="G796" t="n">
        <x:v>25</x:v>
      </x:c>
      <x:c r="H796" t="str">
        <x:v>ORD-2025-00161</x:v>
      </x:c>
      <x:c r="I796" t="n">
        <x:v>12</x:v>
      </x:c>
      <x:c r="J796" t="n">
        <x:v>8</x:v>
      </x:c>
      <x:c r="K796" t="n">
        <x:v>2</x:v>
      </x:c>
      <x:c r="L796" t="n">
        <x:f>IF(I796&lt;=J796,1,0)</x:f>
        <x:v>0</x:v>
      </x:c>
      <x:c r="P796" t="n">
        <x:f>IF(M796="",IF(AND(L796=1,K796&gt;=1),1,0),M796)</x:f>
        <x:v>0</x:v>
      </x:c>
      <x:c r="Q796" t="n">
        <x:f>IF(N796="",IF(AND(L796=1,K796&gt;=2),1,0),N796)</x:f>
        <x:v>0</x:v>
      </x:c>
      <x:c r="R796" t="n">
        <x:f>IF(O796="",IF(AND(L796=1,K796&gt;=3),1,0),O796)</x:f>
        <x:v>0</x:v>
      </x:c>
      <x:c r="S796" t="n">
        <x:f>SUM(P796:R796)</x:f>
        <x:v>0</x:v>
      </x:c>
      <x:c r="T796" t="str">
        <x:f>IF(COUNTA(M796:O796)=0,"DerivedFromCount","ManualOverride")</x:f>
        <x:v>DerivedFromCount</x:v>
      </x:c>
      <x:c r="U796" t="str">
        <x:f>IF(COUNTIF(DailyProduction!$Q$5:$Q$100,B796)=1,"OK","CHECK")</x:f>
        <x:v>OK</x:v>
      </x:c>
      <x:c r="V796" t="str">
        <x:f>IF(AND(I796&gt;=1,I796&lt;=13,K796&gt;=1,K796&lt;=3),"OK","CHECK")</x:f>
        <x:v>OK</x:v>
      </x:c>
      <x:c r="W796" t="str">
        <x:f>IF(SUMIF($B$5:$B$914,B796,$S$5:$S$914)=SUMIF(DailyProduction!$Q$5:$Q$100,B796,DailyProduction!$R$5:$R$100),"OK","CHECK")</x:f>
        <x:v>OK</x:v>
      </x:c>
    </x:row>
    <x:row r="797">
      <x:c r="A797" t="str">
        <x:v>PC-PE-KG01-L25-20251022-AM-ORD-2025-00161-S13</x:v>
      </x:c>
      <x:c r="B797" t="str">
        <x:v>PE-KG01-L25-20251022-AM-ORD-2025-00161</x:v>
      </x:c>
      <x:c r="C797" t="str">
        <x:v>KG01</x:v>
      </x:c>
      <x:c r="D797" t="n">
        <x:v>45952</x:v>
      </x:c>
      <x:c r="E797" t="str">
        <x:v>AM</x:v>
      </x:c>
      <x:c r="F797" t="str">
        <x:v>B</x:v>
      </x:c>
      <x:c r="G797" t="n">
        <x:v>25</x:v>
      </x:c>
      <x:c r="H797" t="str">
        <x:v>ORD-2025-00161</x:v>
      </x:c>
      <x:c r="I797" t="n">
        <x:v>13</x:v>
      </x:c>
      <x:c r="J797" t="n">
        <x:v>8</x:v>
      </x:c>
      <x:c r="K797" t="n">
        <x:v>2</x:v>
      </x:c>
      <x:c r="L797" t="n">
        <x:f>IF(I797&lt;=J797,1,0)</x:f>
        <x:v>0</x:v>
      </x:c>
      <x:c r="P797" t="n">
        <x:f>IF(M797="",IF(AND(L797=1,K797&gt;=1),1,0),M797)</x:f>
        <x:v>0</x:v>
      </x:c>
      <x:c r="Q797" t="n">
        <x:f>IF(N797="",IF(AND(L797=1,K797&gt;=2),1,0),N797)</x:f>
        <x:v>0</x:v>
      </x:c>
      <x:c r="R797" t="n">
        <x:f>IF(O797="",IF(AND(L797=1,K797&gt;=3),1,0),O797)</x:f>
        <x:v>0</x:v>
      </x:c>
      <x:c r="S797" t="n">
        <x:f>SUM(P797:R797)</x:f>
        <x:v>0</x:v>
      </x:c>
      <x:c r="T797" t="str">
        <x:f>IF(COUNTA(M797:O797)=0,"DerivedFromCount","ManualOverride")</x:f>
        <x:v>DerivedFromCount</x:v>
      </x:c>
      <x:c r="U797" t="str">
        <x:f>IF(COUNTIF(DailyProduction!$Q$5:$Q$100,B797)=1,"OK","CHECK")</x:f>
        <x:v>OK</x:v>
      </x:c>
      <x:c r="V797" t="str">
        <x:f>IF(AND(I797&gt;=1,I797&lt;=13,K797&gt;=1,K797&lt;=3),"OK","CHECK")</x:f>
        <x:v>OK</x:v>
      </x:c>
      <x:c r="W797" t="str">
        <x:f>IF(SUMIF($B$5:$B$914,B797,$S$5:$S$914)=SUMIF(DailyProduction!$Q$5:$Q$100,B797,DailyProduction!$R$5:$R$100),"OK","CHECK")</x:f>
        <x:v>OK</x:v>
      </x:c>
    </x:row>
    <x:row r="798">
      <x:c r="A798" t="str">
        <x:v>PC-PE-KG01-L25-20251022-PM-ORD-2025-00161-S01</x:v>
      </x:c>
      <x:c r="B798" t="str">
        <x:v>PE-KG01-L25-20251022-PM-ORD-2025-00161</x:v>
      </x:c>
      <x:c r="C798" t="str">
        <x:v>KG01</x:v>
      </x:c>
      <x:c r="D798" t="n">
        <x:v>45952</x:v>
      </x:c>
      <x:c r="E798" t="str">
        <x:v>PM</x:v>
      </x:c>
      <x:c r="F798" t="str">
        <x:v>C</x:v>
      </x:c>
      <x:c r="G798" t="n">
        <x:v>25</x:v>
      </x:c>
      <x:c r="H798" t="str">
        <x:v>ORD-2025-00161</x:v>
      </x:c>
      <x:c r="I798" t="n">
        <x:v>1</x:v>
      </x:c>
      <x:c r="J798" t="n">
        <x:v>8</x:v>
      </x:c>
      <x:c r="K798" t="n">
        <x:v>2</x:v>
      </x:c>
      <x:c r="L798" t="n">
        <x:f>IF(I798&lt;=J798,1,0)</x:f>
        <x:v>1</x:v>
      </x:c>
      <x:c r="P798" t="n">
        <x:f>IF(M798="",IF(AND(L798=1,K798&gt;=1),1,0),M798)</x:f>
        <x:v>1</x:v>
      </x:c>
      <x:c r="Q798" t="n">
        <x:f>IF(N798="",IF(AND(L798=1,K798&gt;=2),1,0),N798)</x:f>
        <x:v>1</x:v>
      </x:c>
      <x:c r="R798" t="n">
        <x:f>IF(O798="",IF(AND(L798=1,K798&gt;=3),1,0),O798)</x:f>
        <x:v>0</x:v>
      </x:c>
      <x:c r="S798" t="n">
        <x:f>SUM(P798:R798)</x:f>
        <x:v>2</x:v>
      </x:c>
      <x:c r="T798" t="str">
        <x:f>IF(COUNTA(M798:O798)=0,"DerivedFromCount","ManualOverride")</x:f>
        <x:v>DerivedFromCount</x:v>
      </x:c>
      <x:c r="U798" t="str">
        <x:f>IF(COUNTIF(DailyProduction!$Q$5:$Q$100,B798)=1,"OK","CHECK")</x:f>
        <x:v>OK</x:v>
      </x:c>
      <x:c r="V798" t="str">
        <x:f>IF(AND(I798&gt;=1,I798&lt;=13,K798&gt;=1,K798&lt;=3),"OK","CHECK")</x:f>
        <x:v>OK</x:v>
      </x:c>
      <x:c r="W798" t="str">
        <x:f>IF(SUMIF($B$5:$B$914,B798,$S$5:$S$914)=SUMIF(DailyProduction!$Q$5:$Q$100,B798,DailyProduction!$R$5:$R$100),"OK","CHECK")</x:f>
        <x:v>OK</x:v>
      </x:c>
    </x:row>
    <x:row r="799">
      <x:c r="A799" t="str">
        <x:v>PC-PE-KG01-L25-20251022-PM-ORD-2025-00161-S02</x:v>
      </x:c>
      <x:c r="B799" t="str">
        <x:v>PE-KG01-L25-20251022-PM-ORD-2025-00161</x:v>
      </x:c>
      <x:c r="C799" t="str">
        <x:v>KG01</x:v>
      </x:c>
      <x:c r="D799" t="n">
        <x:v>45952</x:v>
      </x:c>
      <x:c r="E799" t="str">
        <x:v>PM</x:v>
      </x:c>
      <x:c r="F799" t="str">
        <x:v>C</x:v>
      </x:c>
      <x:c r="G799" t="n">
        <x:v>25</x:v>
      </x:c>
      <x:c r="H799" t="str">
        <x:v>ORD-2025-00161</x:v>
      </x:c>
      <x:c r="I799" t="n">
        <x:v>2</x:v>
      </x:c>
      <x:c r="J799" t="n">
        <x:v>8</x:v>
      </x:c>
      <x:c r="K799" t="n">
        <x:v>2</x:v>
      </x:c>
      <x:c r="L799" t="n">
        <x:f>IF(I799&lt;=J799,1,0)</x:f>
        <x:v>1</x:v>
      </x:c>
      <x:c r="P799" t="n">
        <x:f>IF(M799="",IF(AND(L799=1,K799&gt;=1),1,0),M799)</x:f>
        <x:v>1</x:v>
      </x:c>
      <x:c r="Q799" t="n">
        <x:f>IF(N799="",IF(AND(L799=1,K799&gt;=2),1,0),N799)</x:f>
        <x:v>1</x:v>
      </x:c>
      <x:c r="R799" t="n">
        <x:f>IF(O799="",IF(AND(L799=1,K799&gt;=3),1,0),O799)</x:f>
        <x:v>0</x:v>
      </x:c>
      <x:c r="S799" t="n">
        <x:f>SUM(P799:R799)</x:f>
        <x:v>2</x:v>
      </x:c>
      <x:c r="T799" t="str">
        <x:f>IF(COUNTA(M799:O799)=0,"DerivedFromCount","ManualOverride")</x:f>
        <x:v>DerivedFromCount</x:v>
      </x:c>
      <x:c r="U799" t="str">
        <x:f>IF(COUNTIF(DailyProduction!$Q$5:$Q$100,B799)=1,"OK","CHECK")</x:f>
        <x:v>OK</x:v>
      </x:c>
      <x:c r="V799" t="str">
        <x:f>IF(AND(I799&gt;=1,I799&lt;=13,K799&gt;=1,K799&lt;=3),"OK","CHECK")</x:f>
        <x:v>OK</x:v>
      </x:c>
      <x:c r="W799" t="str">
        <x:f>IF(SUMIF($B$5:$B$914,B799,$S$5:$S$914)=SUMIF(DailyProduction!$Q$5:$Q$100,B799,DailyProduction!$R$5:$R$100),"OK","CHECK")</x:f>
        <x:v>OK</x:v>
      </x:c>
    </x:row>
    <x:row r="800">
      <x:c r="A800" t="str">
        <x:v>PC-PE-KG01-L25-20251022-PM-ORD-2025-00161-S03</x:v>
      </x:c>
      <x:c r="B800" t="str">
        <x:v>PE-KG01-L25-20251022-PM-ORD-2025-00161</x:v>
      </x:c>
      <x:c r="C800" t="str">
        <x:v>KG01</x:v>
      </x:c>
      <x:c r="D800" t="n">
        <x:v>45952</x:v>
      </x:c>
      <x:c r="E800" t="str">
        <x:v>PM</x:v>
      </x:c>
      <x:c r="F800" t="str">
        <x:v>C</x:v>
      </x:c>
      <x:c r="G800" t="n">
        <x:v>25</x:v>
      </x:c>
      <x:c r="H800" t="str">
        <x:v>ORD-2025-00161</x:v>
      </x:c>
      <x:c r="I800" t="n">
        <x:v>3</x:v>
      </x:c>
      <x:c r="J800" t="n">
        <x:v>8</x:v>
      </x:c>
      <x:c r="K800" t="n">
        <x:v>2</x:v>
      </x:c>
      <x:c r="L800" t="n">
        <x:f>IF(I800&lt;=J800,1,0)</x:f>
        <x:v>1</x:v>
      </x:c>
      <x:c r="P800" t="n">
        <x:f>IF(M800="",IF(AND(L800=1,K800&gt;=1),1,0),M800)</x:f>
        <x:v>1</x:v>
      </x:c>
      <x:c r="Q800" t="n">
        <x:f>IF(N800="",IF(AND(L800=1,K800&gt;=2),1,0),N800)</x:f>
        <x:v>1</x:v>
      </x:c>
      <x:c r="R800" t="n">
        <x:f>IF(O800="",IF(AND(L800=1,K800&gt;=3),1,0),O800)</x:f>
        <x:v>0</x:v>
      </x:c>
      <x:c r="S800" t="n">
        <x:f>SUM(P800:R800)</x:f>
        <x:v>2</x:v>
      </x:c>
      <x:c r="T800" t="str">
        <x:f>IF(COUNTA(M800:O800)=0,"DerivedFromCount","ManualOverride")</x:f>
        <x:v>DerivedFromCount</x:v>
      </x:c>
      <x:c r="U800" t="str">
        <x:f>IF(COUNTIF(DailyProduction!$Q$5:$Q$100,B800)=1,"OK","CHECK")</x:f>
        <x:v>OK</x:v>
      </x:c>
      <x:c r="V800" t="str">
        <x:f>IF(AND(I800&gt;=1,I800&lt;=13,K800&gt;=1,K800&lt;=3),"OK","CHECK")</x:f>
        <x:v>OK</x:v>
      </x:c>
      <x:c r="W800" t="str">
        <x:f>IF(SUMIF($B$5:$B$914,B800,$S$5:$S$914)=SUMIF(DailyProduction!$Q$5:$Q$100,B800,DailyProduction!$R$5:$R$100),"OK","CHECK")</x:f>
        <x:v>OK</x:v>
      </x:c>
    </x:row>
    <x:row r="801">
      <x:c r="A801" t="str">
        <x:v>PC-PE-KG01-L25-20251022-PM-ORD-2025-00161-S04</x:v>
      </x:c>
      <x:c r="B801" t="str">
        <x:v>PE-KG01-L25-20251022-PM-ORD-2025-00161</x:v>
      </x:c>
      <x:c r="C801" t="str">
        <x:v>KG01</x:v>
      </x:c>
      <x:c r="D801" t="n">
        <x:v>45952</x:v>
      </x:c>
      <x:c r="E801" t="str">
        <x:v>PM</x:v>
      </x:c>
      <x:c r="F801" t="str">
        <x:v>C</x:v>
      </x:c>
      <x:c r="G801" t="n">
        <x:v>25</x:v>
      </x:c>
      <x:c r="H801" t="str">
        <x:v>ORD-2025-00161</x:v>
      </x:c>
      <x:c r="I801" t="n">
        <x:v>4</x:v>
      </x:c>
      <x:c r="J801" t="n">
        <x:v>8</x:v>
      </x:c>
      <x:c r="K801" t="n">
        <x:v>2</x:v>
      </x:c>
      <x:c r="L801" t="n">
        <x:f>IF(I801&lt;=J801,1,0)</x:f>
        <x:v>1</x:v>
      </x:c>
      <x:c r="P801" t="n">
        <x:f>IF(M801="",IF(AND(L801=1,K801&gt;=1),1,0),M801)</x:f>
        <x:v>1</x:v>
      </x:c>
      <x:c r="Q801" t="n">
        <x:f>IF(N801="",IF(AND(L801=1,K801&gt;=2),1,0),N801)</x:f>
        <x:v>1</x:v>
      </x:c>
      <x:c r="R801" t="n">
        <x:f>IF(O801="",IF(AND(L801=1,K801&gt;=3),1,0),O801)</x:f>
        <x:v>0</x:v>
      </x:c>
      <x:c r="S801" t="n">
        <x:f>SUM(P801:R801)</x:f>
        <x:v>2</x:v>
      </x:c>
      <x:c r="T801" t="str">
        <x:f>IF(COUNTA(M801:O801)=0,"DerivedFromCount","ManualOverride")</x:f>
        <x:v>DerivedFromCount</x:v>
      </x:c>
      <x:c r="U801" t="str">
        <x:f>IF(COUNTIF(DailyProduction!$Q$5:$Q$100,B801)=1,"OK","CHECK")</x:f>
        <x:v>OK</x:v>
      </x:c>
      <x:c r="V801" t="str">
        <x:f>IF(AND(I801&gt;=1,I801&lt;=13,K801&gt;=1,K801&lt;=3),"OK","CHECK")</x:f>
        <x:v>OK</x:v>
      </x:c>
      <x:c r="W801" t="str">
        <x:f>IF(SUMIF($B$5:$B$914,B801,$S$5:$S$914)=SUMIF(DailyProduction!$Q$5:$Q$100,B801,DailyProduction!$R$5:$R$100),"OK","CHECK")</x:f>
        <x:v>OK</x:v>
      </x:c>
    </x:row>
    <x:row r="802">
      <x:c r="A802" t="str">
        <x:v>PC-PE-KG01-L25-20251022-PM-ORD-2025-00161-S05</x:v>
      </x:c>
      <x:c r="B802" t="str">
        <x:v>PE-KG01-L25-20251022-PM-ORD-2025-00161</x:v>
      </x:c>
      <x:c r="C802" t="str">
        <x:v>KG01</x:v>
      </x:c>
      <x:c r="D802" t="n">
        <x:v>45952</x:v>
      </x:c>
      <x:c r="E802" t="str">
        <x:v>PM</x:v>
      </x:c>
      <x:c r="F802" t="str">
        <x:v>C</x:v>
      </x:c>
      <x:c r="G802" t="n">
        <x:v>25</x:v>
      </x:c>
      <x:c r="H802" t="str">
        <x:v>ORD-2025-00161</x:v>
      </x:c>
      <x:c r="I802" t="n">
        <x:v>5</x:v>
      </x:c>
      <x:c r="J802" t="n">
        <x:v>8</x:v>
      </x:c>
      <x:c r="K802" t="n">
        <x:v>2</x:v>
      </x:c>
      <x:c r="L802" t="n">
        <x:f>IF(I802&lt;=J802,1,0)</x:f>
        <x:v>1</x:v>
      </x:c>
      <x:c r="P802" t="n">
        <x:f>IF(M802="",IF(AND(L802=1,K802&gt;=1),1,0),M802)</x:f>
        <x:v>1</x:v>
      </x:c>
      <x:c r="Q802" t="n">
        <x:f>IF(N802="",IF(AND(L802=1,K802&gt;=2),1,0),N802)</x:f>
        <x:v>1</x:v>
      </x:c>
      <x:c r="R802" t="n">
        <x:f>IF(O802="",IF(AND(L802=1,K802&gt;=3),1,0),O802)</x:f>
        <x:v>0</x:v>
      </x:c>
      <x:c r="S802" t="n">
        <x:f>SUM(P802:R802)</x:f>
        <x:v>2</x:v>
      </x:c>
      <x:c r="T802" t="str">
        <x:f>IF(COUNTA(M802:O802)=0,"DerivedFromCount","ManualOverride")</x:f>
        <x:v>DerivedFromCount</x:v>
      </x:c>
      <x:c r="U802" t="str">
        <x:f>IF(COUNTIF(DailyProduction!$Q$5:$Q$100,B802)=1,"OK","CHECK")</x:f>
        <x:v>OK</x:v>
      </x:c>
      <x:c r="V802" t="str">
        <x:f>IF(AND(I802&gt;=1,I802&lt;=13,K802&gt;=1,K802&lt;=3),"OK","CHECK")</x:f>
        <x:v>OK</x:v>
      </x:c>
      <x:c r="W802" t="str">
        <x:f>IF(SUMIF($B$5:$B$914,B802,$S$5:$S$914)=SUMIF(DailyProduction!$Q$5:$Q$100,B802,DailyProduction!$R$5:$R$100),"OK","CHECK")</x:f>
        <x:v>OK</x:v>
      </x:c>
    </x:row>
    <x:row r="803">
      <x:c r="A803" t="str">
        <x:v>PC-PE-KG01-L25-20251022-PM-ORD-2025-00161-S06</x:v>
      </x:c>
      <x:c r="B803" t="str">
        <x:v>PE-KG01-L25-20251022-PM-ORD-2025-00161</x:v>
      </x:c>
      <x:c r="C803" t="str">
        <x:v>KG01</x:v>
      </x:c>
      <x:c r="D803" t="n">
        <x:v>45952</x:v>
      </x:c>
      <x:c r="E803" t="str">
        <x:v>PM</x:v>
      </x:c>
      <x:c r="F803" t="str">
        <x:v>C</x:v>
      </x:c>
      <x:c r="G803" t="n">
        <x:v>25</x:v>
      </x:c>
      <x:c r="H803" t="str">
        <x:v>ORD-2025-00161</x:v>
      </x:c>
      <x:c r="I803" t="n">
        <x:v>6</x:v>
      </x:c>
      <x:c r="J803" t="n">
        <x:v>8</x:v>
      </x:c>
      <x:c r="K803" t="n">
        <x:v>2</x:v>
      </x:c>
      <x:c r="L803" t="n">
        <x:f>IF(I803&lt;=J803,1,0)</x:f>
        <x:v>1</x:v>
      </x:c>
      <x:c r="P803" t="n">
        <x:f>IF(M803="",IF(AND(L803=1,K803&gt;=1),1,0),M803)</x:f>
        <x:v>1</x:v>
      </x:c>
      <x:c r="Q803" t="n">
        <x:f>IF(N803="",IF(AND(L803=1,K803&gt;=2),1,0),N803)</x:f>
        <x:v>1</x:v>
      </x:c>
      <x:c r="R803" t="n">
        <x:f>IF(O803="",IF(AND(L803=1,K803&gt;=3),1,0),O803)</x:f>
        <x:v>0</x:v>
      </x:c>
      <x:c r="S803" t="n">
        <x:f>SUM(P803:R803)</x:f>
        <x:v>2</x:v>
      </x:c>
      <x:c r="T803" t="str">
        <x:f>IF(COUNTA(M803:O803)=0,"DerivedFromCount","ManualOverride")</x:f>
        <x:v>DerivedFromCount</x:v>
      </x:c>
      <x:c r="U803" t="str">
        <x:f>IF(COUNTIF(DailyProduction!$Q$5:$Q$100,B803)=1,"OK","CHECK")</x:f>
        <x:v>OK</x:v>
      </x:c>
      <x:c r="V803" t="str">
        <x:f>IF(AND(I803&gt;=1,I803&lt;=13,K803&gt;=1,K803&lt;=3),"OK","CHECK")</x:f>
        <x:v>OK</x:v>
      </x:c>
      <x:c r="W803" t="str">
        <x:f>IF(SUMIF($B$5:$B$914,B803,$S$5:$S$914)=SUMIF(DailyProduction!$Q$5:$Q$100,B803,DailyProduction!$R$5:$R$100),"OK","CHECK")</x:f>
        <x:v>OK</x:v>
      </x:c>
    </x:row>
    <x:row r="804">
      <x:c r="A804" t="str">
        <x:v>PC-PE-KG01-L25-20251022-PM-ORD-2025-00161-S07</x:v>
      </x:c>
      <x:c r="B804" t="str">
        <x:v>PE-KG01-L25-20251022-PM-ORD-2025-00161</x:v>
      </x:c>
      <x:c r="C804" t="str">
        <x:v>KG01</x:v>
      </x:c>
      <x:c r="D804" t="n">
        <x:v>45952</x:v>
      </x:c>
      <x:c r="E804" t="str">
        <x:v>PM</x:v>
      </x:c>
      <x:c r="F804" t="str">
        <x:v>C</x:v>
      </x:c>
      <x:c r="G804" t="n">
        <x:v>25</x:v>
      </x:c>
      <x:c r="H804" t="str">
        <x:v>ORD-2025-00161</x:v>
      </x:c>
      <x:c r="I804" t="n">
        <x:v>7</x:v>
      </x:c>
      <x:c r="J804" t="n">
        <x:v>8</x:v>
      </x:c>
      <x:c r="K804" t="n">
        <x:v>2</x:v>
      </x:c>
      <x:c r="L804" t="n">
        <x:f>IF(I804&lt;=J804,1,0)</x:f>
        <x:v>1</x:v>
      </x:c>
      <x:c r="P804" t="n">
        <x:f>IF(M804="",IF(AND(L804=1,K804&gt;=1),1,0),M804)</x:f>
        <x:v>1</x:v>
      </x:c>
      <x:c r="Q804" t="n">
        <x:f>IF(N804="",IF(AND(L804=1,K804&gt;=2),1,0),N804)</x:f>
        <x:v>1</x:v>
      </x:c>
      <x:c r="R804" t="n">
        <x:f>IF(O804="",IF(AND(L804=1,K804&gt;=3),1,0),O804)</x:f>
        <x:v>0</x:v>
      </x:c>
      <x:c r="S804" t="n">
        <x:f>SUM(P804:R804)</x:f>
        <x:v>2</x:v>
      </x:c>
      <x:c r="T804" t="str">
        <x:f>IF(COUNTA(M804:O804)=0,"DerivedFromCount","ManualOverride")</x:f>
        <x:v>DerivedFromCount</x:v>
      </x:c>
      <x:c r="U804" t="str">
        <x:f>IF(COUNTIF(DailyProduction!$Q$5:$Q$100,B804)=1,"OK","CHECK")</x:f>
        <x:v>OK</x:v>
      </x:c>
      <x:c r="V804" t="str">
        <x:f>IF(AND(I804&gt;=1,I804&lt;=13,K804&gt;=1,K804&lt;=3),"OK","CHECK")</x:f>
        <x:v>OK</x:v>
      </x:c>
      <x:c r="W804" t="str">
        <x:f>IF(SUMIF($B$5:$B$914,B804,$S$5:$S$914)=SUMIF(DailyProduction!$Q$5:$Q$100,B804,DailyProduction!$R$5:$R$100),"OK","CHECK")</x:f>
        <x:v>OK</x:v>
      </x:c>
    </x:row>
    <x:row r="805">
      <x:c r="A805" t="str">
        <x:v>PC-PE-KG01-L25-20251022-PM-ORD-2025-00161-S08</x:v>
      </x:c>
      <x:c r="B805" t="str">
        <x:v>PE-KG01-L25-20251022-PM-ORD-2025-00161</x:v>
      </x:c>
      <x:c r="C805" t="str">
        <x:v>KG01</x:v>
      </x:c>
      <x:c r="D805" t="n">
        <x:v>45952</x:v>
      </x:c>
      <x:c r="E805" t="str">
        <x:v>PM</x:v>
      </x:c>
      <x:c r="F805" t="str">
        <x:v>C</x:v>
      </x:c>
      <x:c r="G805" t="n">
        <x:v>25</x:v>
      </x:c>
      <x:c r="H805" t="str">
        <x:v>ORD-2025-00161</x:v>
      </x:c>
      <x:c r="I805" t="n">
        <x:v>8</x:v>
      </x:c>
      <x:c r="J805" t="n">
        <x:v>8</x:v>
      </x:c>
      <x:c r="K805" t="n">
        <x:v>2</x:v>
      </x:c>
      <x:c r="L805" t="n">
        <x:f>IF(I805&lt;=J805,1,0)</x:f>
        <x:v>1</x:v>
      </x:c>
      <x:c r="P805" t="n">
        <x:f>IF(M805="",IF(AND(L805=1,K805&gt;=1),1,0),M805)</x:f>
        <x:v>1</x:v>
      </x:c>
      <x:c r="Q805" t="n">
        <x:f>IF(N805="",IF(AND(L805=1,K805&gt;=2),1,0),N805)</x:f>
        <x:v>1</x:v>
      </x:c>
      <x:c r="R805" t="n">
        <x:f>IF(O805="",IF(AND(L805=1,K805&gt;=3),1,0),O805)</x:f>
        <x:v>0</x:v>
      </x:c>
      <x:c r="S805" t="n">
        <x:f>SUM(P805:R805)</x:f>
        <x:v>2</x:v>
      </x:c>
      <x:c r="T805" t="str">
        <x:f>IF(COUNTA(M805:O805)=0,"DerivedFromCount","ManualOverride")</x:f>
        <x:v>DerivedFromCount</x:v>
      </x:c>
      <x:c r="U805" t="str">
        <x:f>IF(COUNTIF(DailyProduction!$Q$5:$Q$100,B805)=1,"OK","CHECK")</x:f>
        <x:v>OK</x:v>
      </x:c>
      <x:c r="V805" t="str">
        <x:f>IF(AND(I805&gt;=1,I805&lt;=13,K805&gt;=1,K805&lt;=3),"OK","CHECK")</x:f>
        <x:v>OK</x:v>
      </x:c>
      <x:c r="W805" t="str">
        <x:f>IF(SUMIF($B$5:$B$914,B805,$S$5:$S$914)=SUMIF(DailyProduction!$Q$5:$Q$100,B805,DailyProduction!$R$5:$R$100),"OK","CHECK")</x:f>
        <x:v>OK</x:v>
      </x:c>
    </x:row>
    <x:row r="806">
      <x:c r="A806" t="str">
        <x:v>PC-PE-KG01-L25-20251022-PM-ORD-2025-00161-S09</x:v>
      </x:c>
      <x:c r="B806" t="str">
        <x:v>PE-KG01-L25-20251022-PM-ORD-2025-00161</x:v>
      </x:c>
      <x:c r="C806" t="str">
        <x:v>KG01</x:v>
      </x:c>
      <x:c r="D806" t="n">
        <x:v>45952</x:v>
      </x:c>
      <x:c r="E806" t="str">
        <x:v>PM</x:v>
      </x:c>
      <x:c r="F806" t="str">
        <x:v>C</x:v>
      </x:c>
      <x:c r="G806" t="n">
        <x:v>25</x:v>
      </x:c>
      <x:c r="H806" t="str">
        <x:v>ORD-2025-00161</x:v>
      </x:c>
      <x:c r="I806" t="n">
        <x:v>9</x:v>
      </x:c>
      <x:c r="J806" t="n">
        <x:v>8</x:v>
      </x:c>
      <x:c r="K806" t="n">
        <x:v>2</x:v>
      </x:c>
      <x:c r="L806" t="n">
        <x:f>IF(I806&lt;=J806,1,0)</x:f>
        <x:v>0</x:v>
      </x:c>
      <x:c r="P806" t="n">
        <x:f>IF(M806="",IF(AND(L806=1,K806&gt;=1),1,0),M806)</x:f>
        <x:v>0</x:v>
      </x:c>
      <x:c r="Q806" t="n">
        <x:f>IF(N806="",IF(AND(L806=1,K806&gt;=2),1,0),N806)</x:f>
        <x:v>0</x:v>
      </x:c>
      <x:c r="R806" t="n">
        <x:f>IF(O806="",IF(AND(L806=1,K806&gt;=3),1,0),O806)</x:f>
        <x:v>0</x:v>
      </x:c>
      <x:c r="S806" t="n">
        <x:f>SUM(P806:R806)</x:f>
        <x:v>0</x:v>
      </x:c>
      <x:c r="T806" t="str">
        <x:f>IF(COUNTA(M806:O806)=0,"DerivedFromCount","ManualOverride")</x:f>
        <x:v>DerivedFromCount</x:v>
      </x:c>
      <x:c r="U806" t="str">
        <x:f>IF(COUNTIF(DailyProduction!$Q$5:$Q$100,B806)=1,"OK","CHECK")</x:f>
        <x:v>OK</x:v>
      </x:c>
      <x:c r="V806" t="str">
        <x:f>IF(AND(I806&gt;=1,I806&lt;=13,K806&gt;=1,K806&lt;=3),"OK","CHECK")</x:f>
        <x:v>OK</x:v>
      </x:c>
      <x:c r="W806" t="str">
        <x:f>IF(SUMIF($B$5:$B$914,B806,$S$5:$S$914)=SUMIF(DailyProduction!$Q$5:$Q$100,B806,DailyProduction!$R$5:$R$100),"OK","CHECK")</x:f>
        <x:v>OK</x:v>
      </x:c>
    </x:row>
    <x:row r="807">
      <x:c r="A807" t="str">
        <x:v>PC-PE-KG01-L25-20251022-PM-ORD-2025-00161-S10</x:v>
      </x:c>
      <x:c r="B807" t="str">
        <x:v>PE-KG01-L25-20251022-PM-ORD-2025-00161</x:v>
      </x:c>
      <x:c r="C807" t="str">
        <x:v>KG01</x:v>
      </x:c>
      <x:c r="D807" t="n">
        <x:v>45952</x:v>
      </x:c>
      <x:c r="E807" t="str">
        <x:v>PM</x:v>
      </x:c>
      <x:c r="F807" t="str">
        <x:v>C</x:v>
      </x:c>
      <x:c r="G807" t="n">
        <x:v>25</x:v>
      </x:c>
      <x:c r="H807" t="str">
        <x:v>ORD-2025-00161</x:v>
      </x:c>
      <x:c r="I807" t="n">
        <x:v>10</x:v>
      </x:c>
      <x:c r="J807" t="n">
        <x:v>8</x:v>
      </x:c>
      <x:c r="K807" t="n">
        <x:v>2</x:v>
      </x:c>
      <x:c r="L807" t="n">
        <x:f>IF(I807&lt;=J807,1,0)</x:f>
        <x:v>0</x:v>
      </x:c>
      <x:c r="P807" t="n">
        <x:f>IF(M807="",IF(AND(L807=1,K807&gt;=1),1,0),M807)</x:f>
        <x:v>0</x:v>
      </x:c>
      <x:c r="Q807" t="n">
        <x:f>IF(N807="",IF(AND(L807=1,K807&gt;=2),1,0),N807)</x:f>
        <x:v>0</x:v>
      </x:c>
      <x:c r="R807" t="n">
        <x:f>IF(O807="",IF(AND(L807=1,K807&gt;=3),1,0),O807)</x:f>
        <x:v>0</x:v>
      </x:c>
      <x:c r="S807" t="n">
        <x:f>SUM(P807:R807)</x:f>
        <x:v>0</x:v>
      </x:c>
      <x:c r="T807" t="str">
        <x:f>IF(COUNTA(M807:O807)=0,"DerivedFromCount","ManualOverride")</x:f>
        <x:v>DerivedFromCount</x:v>
      </x:c>
      <x:c r="U807" t="str">
        <x:f>IF(COUNTIF(DailyProduction!$Q$5:$Q$100,B807)=1,"OK","CHECK")</x:f>
        <x:v>OK</x:v>
      </x:c>
      <x:c r="V807" t="str">
        <x:f>IF(AND(I807&gt;=1,I807&lt;=13,K807&gt;=1,K807&lt;=3),"OK","CHECK")</x:f>
        <x:v>OK</x:v>
      </x:c>
      <x:c r="W807" t="str">
        <x:f>IF(SUMIF($B$5:$B$914,B807,$S$5:$S$914)=SUMIF(DailyProduction!$Q$5:$Q$100,B807,DailyProduction!$R$5:$R$100),"OK","CHECK")</x:f>
        <x:v>OK</x:v>
      </x:c>
    </x:row>
    <x:row r="808">
      <x:c r="A808" t="str">
        <x:v>PC-PE-KG01-L25-20251022-PM-ORD-2025-00161-S11</x:v>
      </x:c>
      <x:c r="B808" t="str">
        <x:v>PE-KG01-L25-20251022-PM-ORD-2025-00161</x:v>
      </x:c>
      <x:c r="C808" t="str">
        <x:v>KG01</x:v>
      </x:c>
      <x:c r="D808" t="n">
        <x:v>45952</x:v>
      </x:c>
      <x:c r="E808" t="str">
        <x:v>PM</x:v>
      </x:c>
      <x:c r="F808" t="str">
        <x:v>C</x:v>
      </x:c>
      <x:c r="G808" t="n">
        <x:v>25</x:v>
      </x:c>
      <x:c r="H808" t="str">
        <x:v>ORD-2025-00161</x:v>
      </x:c>
      <x:c r="I808" t="n">
        <x:v>11</x:v>
      </x:c>
      <x:c r="J808" t="n">
        <x:v>8</x:v>
      </x:c>
      <x:c r="K808" t="n">
        <x:v>2</x:v>
      </x:c>
      <x:c r="L808" t="n">
        <x:f>IF(I808&lt;=J808,1,0)</x:f>
        <x:v>0</x:v>
      </x:c>
      <x:c r="P808" t="n">
        <x:f>IF(M808="",IF(AND(L808=1,K808&gt;=1),1,0),M808)</x:f>
        <x:v>0</x:v>
      </x:c>
      <x:c r="Q808" t="n">
        <x:f>IF(N808="",IF(AND(L808=1,K808&gt;=2),1,0),N808)</x:f>
        <x:v>0</x:v>
      </x:c>
      <x:c r="R808" t="n">
        <x:f>IF(O808="",IF(AND(L808=1,K808&gt;=3),1,0),O808)</x:f>
        <x:v>0</x:v>
      </x:c>
      <x:c r="S808" t="n">
        <x:f>SUM(P808:R808)</x:f>
        <x:v>0</x:v>
      </x:c>
      <x:c r="T808" t="str">
        <x:f>IF(COUNTA(M808:O808)=0,"DerivedFromCount","ManualOverride")</x:f>
        <x:v>DerivedFromCount</x:v>
      </x:c>
      <x:c r="U808" t="str">
        <x:f>IF(COUNTIF(DailyProduction!$Q$5:$Q$100,B808)=1,"OK","CHECK")</x:f>
        <x:v>OK</x:v>
      </x:c>
      <x:c r="V808" t="str">
        <x:f>IF(AND(I808&gt;=1,I808&lt;=13,K808&gt;=1,K808&lt;=3),"OK","CHECK")</x:f>
        <x:v>OK</x:v>
      </x:c>
      <x:c r="W808" t="str">
        <x:f>IF(SUMIF($B$5:$B$914,B808,$S$5:$S$914)=SUMIF(DailyProduction!$Q$5:$Q$100,B808,DailyProduction!$R$5:$R$100),"OK","CHECK")</x:f>
        <x:v>OK</x:v>
      </x:c>
    </x:row>
    <x:row r="809">
      <x:c r="A809" t="str">
        <x:v>PC-PE-KG01-L25-20251022-PM-ORD-2025-00161-S12</x:v>
      </x:c>
      <x:c r="B809" t="str">
        <x:v>PE-KG01-L25-20251022-PM-ORD-2025-00161</x:v>
      </x:c>
      <x:c r="C809" t="str">
        <x:v>KG01</x:v>
      </x:c>
      <x:c r="D809" t="n">
        <x:v>45952</x:v>
      </x:c>
      <x:c r="E809" t="str">
        <x:v>PM</x:v>
      </x:c>
      <x:c r="F809" t="str">
        <x:v>C</x:v>
      </x:c>
      <x:c r="G809" t="n">
        <x:v>25</x:v>
      </x:c>
      <x:c r="H809" t="str">
        <x:v>ORD-2025-00161</x:v>
      </x:c>
      <x:c r="I809" t="n">
        <x:v>12</x:v>
      </x:c>
      <x:c r="J809" t="n">
        <x:v>8</x:v>
      </x:c>
      <x:c r="K809" t="n">
        <x:v>2</x:v>
      </x:c>
      <x:c r="L809" t="n">
        <x:f>IF(I809&lt;=J809,1,0)</x:f>
        <x:v>0</x:v>
      </x:c>
      <x:c r="P809" t="n">
        <x:f>IF(M809="",IF(AND(L809=1,K809&gt;=1),1,0),M809)</x:f>
        <x:v>0</x:v>
      </x:c>
      <x:c r="Q809" t="n">
        <x:f>IF(N809="",IF(AND(L809=1,K809&gt;=2),1,0),N809)</x:f>
        <x:v>0</x:v>
      </x:c>
      <x:c r="R809" t="n">
        <x:f>IF(O809="",IF(AND(L809=1,K809&gt;=3),1,0),O809)</x:f>
        <x:v>0</x:v>
      </x:c>
      <x:c r="S809" t="n">
        <x:f>SUM(P809:R809)</x:f>
        <x:v>0</x:v>
      </x:c>
      <x:c r="T809" t="str">
        <x:f>IF(COUNTA(M809:O809)=0,"DerivedFromCount","ManualOverride")</x:f>
        <x:v>DerivedFromCount</x:v>
      </x:c>
      <x:c r="U809" t="str">
        <x:f>IF(COUNTIF(DailyProduction!$Q$5:$Q$100,B809)=1,"OK","CHECK")</x:f>
        <x:v>OK</x:v>
      </x:c>
      <x:c r="V809" t="str">
        <x:f>IF(AND(I809&gt;=1,I809&lt;=13,K809&gt;=1,K809&lt;=3),"OK","CHECK")</x:f>
        <x:v>OK</x:v>
      </x:c>
      <x:c r="W809" t="str">
        <x:f>IF(SUMIF($B$5:$B$914,B809,$S$5:$S$914)=SUMIF(DailyProduction!$Q$5:$Q$100,B809,DailyProduction!$R$5:$R$100),"OK","CHECK")</x:f>
        <x:v>OK</x:v>
      </x:c>
    </x:row>
    <x:row r="810">
      <x:c r="A810" t="str">
        <x:v>PC-PE-KG01-L25-20251022-PM-ORD-2025-00161-S13</x:v>
      </x:c>
      <x:c r="B810" t="str">
        <x:v>PE-KG01-L25-20251022-PM-ORD-2025-00161</x:v>
      </x:c>
      <x:c r="C810" t="str">
        <x:v>KG01</x:v>
      </x:c>
      <x:c r="D810" t="n">
        <x:v>45952</x:v>
      </x:c>
      <x:c r="E810" t="str">
        <x:v>PM</x:v>
      </x:c>
      <x:c r="F810" t="str">
        <x:v>C</x:v>
      </x:c>
      <x:c r="G810" t="n">
        <x:v>25</x:v>
      </x:c>
      <x:c r="H810" t="str">
        <x:v>ORD-2025-00161</x:v>
      </x:c>
      <x:c r="I810" t="n">
        <x:v>13</x:v>
      </x:c>
      <x:c r="J810" t="n">
        <x:v>8</x:v>
      </x:c>
      <x:c r="K810" t="n">
        <x:v>2</x:v>
      </x:c>
      <x:c r="L810" t="n">
        <x:f>IF(I810&lt;=J810,1,0)</x:f>
        <x:v>0</x:v>
      </x:c>
      <x:c r="P810" t="n">
        <x:f>IF(M810="",IF(AND(L810=1,K810&gt;=1),1,0),M810)</x:f>
        <x:v>0</x:v>
      </x:c>
      <x:c r="Q810" t="n">
        <x:f>IF(N810="",IF(AND(L810=1,K810&gt;=2),1,0),N810)</x:f>
        <x:v>0</x:v>
      </x:c>
      <x:c r="R810" t="n">
        <x:f>IF(O810="",IF(AND(L810=1,K810&gt;=3),1,0),O810)</x:f>
        <x:v>0</x:v>
      </x:c>
      <x:c r="S810" t="n">
        <x:f>SUM(P810:R810)</x:f>
        <x:v>0</x:v>
      </x:c>
      <x:c r="T810" t="str">
        <x:f>IF(COUNTA(M810:O810)=0,"DerivedFromCount","ManualOverride")</x:f>
        <x:v>DerivedFromCount</x:v>
      </x:c>
      <x:c r="U810" t="str">
        <x:f>IF(COUNTIF(DailyProduction!$Q$5:$Q$100,B810)=1,"OK","CHECK")</x:f>
        <x:v>OK</x:v>
      </x:c>
      <x:c r="V810" t="str">
        <x:f>IF(AND(I810&gt;=1,I810&lt;=13,K810&gt;=1,K810&lt;=3),"OK","CHECK")</x:f>
        <x:v>OK</x:v>
      </x:c>
      <x:c r="W810" t="str">
        <x:f>IF(SUMIF($B$5:$B$914,B810,$S$5:$S$914)=SUMIF(DailyProduction!$Q$5:$Q$100,B810,DailyProduction!$R$5:$R$100),"OK","CHECK")</x:f>
        <x:v>OK</x:v>
      </x:c>
    </x:row>
    <x:row r="811">
      <x:c r="A811" t="str">
        <x:v>PC-PE-KG01-L25-20251023-AM-ORD-2025-00162-S01</x:v>
      </x:c>
      <x:c r="B811" t="str">
        <x:v>PE-KG01-L25-20251023-AM-ORD-2025-00162</x:v>
      </x:c>
      <x:c r="C811" t="str">
        <x:v>KG01</x:v>
      </x:c>
      <x:c r="D811" t="n">
        <x:v>45953</x:v>
      </x:c>
      <x:c r="E811" t="str">
        <x:v>AM</x:v>
      </x:c>
      <x:c r="F811" t="str">
        <x:v>C</x:v>
      </x:c>
      <x:c r="G811" t="n">
        <x:v>25</x:v>
      </x:c>
      <x:c r="H811" t="str">
        <x:v>ORD-2025-00162</x:v>
      </x:c>
      <x:c r="I811" t="n">
        <x:v>1</x:v>
      </x:c>
      <x:c r="J811" t="n">
        <x:v>8</x:v>
      </x:c>
      <x:c r="K811" t="n">
        <x:v>3</x:v>
      </x:c>
      <x:c r="L811" t="n">
        <x:f>IF(I811&lt;=J811,1,0)</x:f>
        <x:v>1</x:v>
      </x:c>
      <x:c r="P811" t="n">
        <x:f>IF(M811="",IF(AND(L811=1,K811&gt;=1),1,0),M811)</x:f>
        <x:v>1</x:v>
      </x:c>
      <x:c r="Q811" t="n">
        <x:f>IF(N811="",IF(AND(L811=1,K811&gt;=2),1,0),N811)</x:f>
        <x:v>1</x:v>
      </x:c>
      <x:c r="R811" t="n">
        <x:f>IF(O811="",IF(AND(L811=1,K811&gt;=3),1,0),O811)</x:f>
        <x:v>1</x:v>
      </x:c>
      <x:c r="S811" t="n">
        <x:f>SUM(P811:R811)</x:f>
        <x:v>3</x:v>
      </x:c>
      <x:c r="T811" t="str">
        <x:f>IF(COUNTA(M811:O811)=0,"DerivedFromCount","ManualOverride")</x:f>
        <x:v>DerivedFromCount</x:v>
      </x:c>
      <x:c r="U811" t="str">
        <x:f>IF(COUNTIF(DailyProduction!$Q$5:$Q$100,B811)=1,"OK","CHECK")</x:f>
        <x:v>OK</x:v>
      </x:c>
      <x:c r="V811" t="str">
        <x:f>IF(AND(I811&gt;=1,I811&lt;=13,K811&gt;=1,K811&lt;=3),"OK","CHECK")</x:f>
        <x:v>OK</x:v>
      </x:c>
      <x:c r="W811" t="str">
        <x:f>IF(SUMIF($B$5:$B$914,B811,$S$5:$S$914)=SUMIF(DailyProduction!$Q$5:$Q$100,B811,DailyProduction!$R$5:$R$100),"OK","CHECK")</x:f>
        <x:v>OK</x:v>
      </x:c>
    </x:row>
    <x:row r="812">
      <x:c r="A812" t="str">
        <x:v>PC-PE-KG01-L25-20251023-AM-ORD-2025-00162-S02</x:v>
      </x:c>
      <x:c r="B812" t="str">
        <x:v>PE-KG01-L25-20251023-AM-ORD-2025-00162</x:v>
      </x:c>
      <x:c r="C812" t="str">
        <x:v>KG01</x:v>
      </x:c>
      <x:c r="D812" t="n">
        <x:v>45953</x:v>
      </x:c>
      <x:c r="E812" t="str">
        <x:v>AM</x:v>
      </x:c>
      <x:c r="F812" t="str">
        <x:v>C</x:v>
      </x:c>
      <x:c r="G812" t="n">
        <x:v>25</x:v>
      </x:c>
      <x:c r="H812" t="str">
        <x:v>ORD-2025-00162</x:v>
      </x:c>
      <x:c r="I812" t="n">
        <x:v>2</x:v>
      </x:c>
      <x:c r="J812" t="n">
        <x:v>8</x:v>
      </x:c>
      <x:c r="K812" t="n">
        <x:v>3</x:v>
      </x:c>
      <x:c r="L812" t="n">
        <x:f>IF(I812&lt;=J812,1,0)</x:f>
        <x:v>1</x:v>
      </x:c>
      <x:c r="P812" t="n">
        <x:f>IF(M812="",IF(AND(L812=1,K812&gt;=1),1,0),M812)</x:f>
        <x:v>1</x:v>
      </x:c>
      <x:c r="Q812" t="n">
        <x:f>IF(N812="",IF(AND(L812=1,K812&gt;=2),1,0),N812)</x:f>
        <x:v>1</x:v>
      </x:c>
      <x:c r="R812" t="n">
        <x:f>IF(O812="",IF(AND(L812=1,K812&gt;=3),1,0),O812)</x:f>
        <x:v>1</x:v>
      </x:c>
      <x:c r="S812" t="n">
        <x:f>SUM(P812:R812)</x:f>
        <x:v>3</x:v>
      </x:c>
      <x:c r="T812" t="str">
        <x:f>IF(COUNTA(M812:O812)=0,"DerivedFromCount","ManualOverride")</x:f>
        <x:v>DerivedFromCount</x:v>
      </x:c>
      <x:c r="U812" t="str">
        <x:f>IF(COUNTIF(DailyProduction!$Q$5:$Q$100,B812)=1,"OK","CHECK")</x:f>
        <x:v>OK</x:v>
      </x:c>
      <x:c r="V812" t="str">
        <x:f>IF(AND(I812&gt;=1,I812&lt;=13,K812&gt;=1,K812&lt;=3),"OK","CHECK")</x:f>
        <x:v>OK</x:v>
      </x:c>
      <x:c r="W812" t="str">
        <x:f>IF(SUMIF($B$5:$B$914,B812,$S$5:$S$914)=SUMIF(DailyProduction!$Q$5:$Q$100,B812,DailyProduction!$R$5:$R$100),"OK","CHECK")</x:f>
        <x:v>OK</x:v>
      </x:c>
    </x:row>
    <x:row r="813">
      <x:c r="A813" t="str">
        <x:v>PC-PE-KG01-L25-20251023-AM-ORD-2025-00162-S03</x:v>
      </x:c>
      <x:c r="B813" t="str">
        <x:v>PE-KG01-L25-20251023-AM-ORD-2025-00162</x:v>
      </x:c>
      <x:c r="C813" t="str">
        <x:v>KG01</x:v>
      </x:c>
      <x:c r="D813" t="n">
        <x:v>45953</x:v>
      </x:c>
      <x:c r="E813" t="str">
        <x:v>AM</x:v>
      </x:c>
      <x:c r="F813" t="str">
        <x:v>C</x:v>
      </x:c>
      <x:c r="G813" t="n">
        <x:v>25</x:v>
      </x:c>
      <x:c r="H813" t="str">
        <x:v>ORD-2025-00162</x:v>
      </x:c>
      <x:c r="I813" t="n">
        <x:v>3</x:v>
      </x:c>
      <x:c r="J813" t="n">
        <x:v>8</x:v>
      </x:c>
      <x:c r="K813" t="n">
        <x:v>3</x:v>
      </x:c>
      <x:c r="L813" t="n">
        <x:f>IF(I813&lt;=J813,1,0)</x:f>
        <x:v>1</x:v>
      </x:c>
      <x:c r="P813" t="n">
        <x:f>IF(M813="",IF(AND(L813=1,K813&gt;=1),1,0),M813)</x:f>
        <x:v>1</x:v>
      </x:c>
      <x:c r="Q813" t="n">
        <x:f>IF(N813="",IF(AND(L813=1,K813&gt;=2),1,0),N813)</x:f>
        <x:v>1</x:v>
      </x:c>
      <x:c r="R813" t="n">
        <x:f>IF(O813="",IF(AND(L813=1,K813&gt;=3),1,0),O813)</x:f>
        <x:v>1</x:v>
      </x:c>
      <x:c r="S813" t="n">
        <x:f>SUM(P813:R813)</x:f>
        <x:v>3</x:v>
      </x:c>
      <x:c r="T813" t="str">
        <x:f>IF(COUNTA(M813:O813)=0,"DerivedFromCount","ManualOverride")</x:f>
        <x:v>DerivedFromCount</x:v>
      </x:c>
      <x:c r="U813" t="str">
        <x:f>IF(COUNTIF(DailyProduction!$Q$5:$Q$100,B813)=1,"OK","CHECK")</x:f>
        <x:v>OK</x:v>
      </x:c>
      <x:c r="V813" t="str">
        <x:f>IF(AND(I813&gt;=1,I813&lt;=13,K813&gt;=1,K813&lt;=3),"OK","CHECK")</x:f>
        <x:v>OK</x:v>
      </x:c>
      <x:c r="W813" t="str">
        <x:f>IF(SUMIF($B$5:$B$914,B813,$S$5:$S$914)=SUMIF(DailyProduction!$Q$5:$Q$100,B813,DailyProduction!$R$5:$R$100),"OK","CHECK")</x:f>
        <x:v>OK</x:v>
      </x:c>
    </x:row>
    <x:row r="814">
      <x:c r="A814" t="str">
        <x:v>PC-PE-KG01-L25-20251023-AM-ORD-2025-00162-S04</x:v>
      </x:c>
      <x:c r="B814" t="str">
        <x:v>PE-KG01-L25-20251023-AM-ORD-2025-00162</x:v>
      </x:c>
      <x:c r="C814" t="str">
        <x:v>KG01</x:v>
      </x:c>
      <x:c r="D814" t="n">
        <x:v>45953</x:v>
      </x:c>
      <x:c r="E814" t="str">
        <x:v>AM</x:v>
      </x:c>
      <x:c r="F814" t="str">
        <x:v>C</x:v>
      </x:c>
      <x:c r="G814" t="n">
        <x:v>25</x:v>
      </x:c>
      <x:c r="H814" t="str">
        <x:v>ORD-2025-00162</x:v>
      </x:c>
      <x:c r="I814" t="n">
        <x:v>4</x:v>
      </x:c>
      <x:c r="J814" t="n">
        <x:v>8</x:v>
      </x:c>
      <x:c r="K814" t="n">
        <x:v>3</x:v>
      </x:c>
      <x:c r="L814" t="n">
        <x:f>IF(I814&lt;=J814,1,0)</x:f>
        <x:v>1</x:v>
      </x:c>
      <x:c r="P814" t="n">
        <x:f>IF(M814="",IF(AND(L814=1,K814&gt;=1),1,0),M814)</x:f>
        <x:v>1</x:v>
      </x:c>
      <x:c r="Q814" t="n">
        <x:f>IF(N814="",IF(AND(L814=1,K814&gt;=2),1,0),N814)</x:f>
        <x:v>1</x:v>
      </x:c>
      <x:c r="R814" t="n">
        <x:f>IF(O814="",IF(AND(L814=1,K814&gt;=3),1,0),O814)</x:f>
        <x:v>1</x:v>
      </x:c>
      <x:c r="S814" t="n">
        <x:f>SUM(P814:R814)</x:f>
        <x:v>3</x:v>
      </x:c>
      <x:c r="T814" t="str">
        <x:f>IF(COUNTA(M814:O814)=0,"DerivedFromCount","ManualOverride")</x:f>
        <x:v>DerivedFromCount</x:v>
      </x:c>
      <x:c r="U814" t="str">
        <x:f>IF(COUNTIF(DailyProduction!$Q$5:$Q$100,B814)=1,"OK","CHECK")</x:f>
        <x:v>OK</x:v>
      </x:c>
      <x:c r="V814" t="str">
        <x:f>IF(AND(I814&gt;=1,I814&lt;=13,K814&gt;=1,K814&lt;=3),"OK","CHECK")</x:f>
        <x:v>OK</x:v>
      </x:c>
      <x:c r="W814" t="str">
        <x:f>IF(SUMIF($B$5:$B$914,B814,$S$5:$S$914)=SUMIF(DailyProduction!$Q$5:$Q$100,B814,DailyProduction!$R$5:$R$100),"OK","CHECK")</x:f>
        <x:v>OK</x:v>
      </x:c>
    </x:row>
    <x:row r="815">
      <x:c r="A815" t="str">
        <x:v>PC-PE-KG01-L25-20251023-AM-ORD-2025-00162-S05</x:v>
      </x:c>
      <x:c r="B815" t="str">
        <x:v>PE-KG01-L25-20251023-AM-ORD-2025-00162</x:v>
      </x:c>
      <x:c r="C815" t="str">
        <x:v>KG01</x:v>
      </x:c>
      <x:c r="D815" t="n">
        <x:v>45953</x:v>
      </x:c>
      <x:c r="E815" t="str">
        <x:v>AM</x:v>
      </x:c>
      <x:c r="F815" t="str">
        <x:v>C</x:v>
      </x:c>
      <x:c r="G815" t="n">
        <x:v>25</x:v>
      </x:c>
      <x:c r="H815" t="str">
        <x:v>ORD-2025-00162</x:v>
      </x:c>
      <x:c r="I815" t="n">
        <x:v>5</x:v>
      </x:c>
      <x:c r="J815" t="n">
        <x:v>8</x:v>
      </x:c>
      <x:c r="K815" t="n">
        <x:v>3</x:v>
      </x:c>
      <x:c r="L815" t="n">
        <x:f>IF(I815&lt;=J815,1,0)</x:f>
        <x:v>1</x:v>
      </x:c>
      <x:c r="P815" t="n">
        <x:f>IF(M815="",IF(AND(L815=1,K815&gt;=1),1,0),M815)</x:f>
        <x:v>1</x:v>
      </x:c>
      <x:c r="Q815" t="n">
        <x:f>IF(N815="",IF(AND(L815=1,K815&gt;=2),1,0),N815)</x:f>
        <x:v>1</x:v>
      </x:c>
      <x:c r="R815" t="n">
        <x:f>IF(O815="",IF(AND(L815=1,K815&gt;=3),1,0),O815)</x:f>
        <x:v>1</x:v>
      </x:c>
      <x:c r="S815" t="n">
        <x:f>SUM(P815:R815)</x:f>
        <x:v>3</x:v>
      </x:c>
      <x:c r="T815" t="str">
        <x:f>IF(COUNTA(M815:O815)=0,"DerivedFromCount","ManualOverride")</x:f>
        <x:v>DerivedFromCount</x:v>
      </x:c>
      <x:c r="U815" t="str">
        <x:f>IF(COUNTIF(DailyProduction!$Q$5:$Q$100,B815)=1,"OK","CHECK")</x:f>
        <x:v>OK</x:v>
      </x:c>
      <x:c r="V815" t="str">
        <x:f>IF(AND(I815&gt;=1,I815&lt;=13,K815&gt;=1,K815&lt;=3),"OK","CHECK")</x:f>
        <x:v>OK</x:v>
      </x:c>
      <x:c r="W815" t="str">
        <x:f>IF(SUMIF($B$5:$B$914,B815,$S$5:$S$914)=SUMIF(DailyProduction!$Q$5:$Q$100,B815,DailyProduction!$R$5:$R$100),"OK","CHECK")</x:f>
        <x:v>OK</x:v>
      </x:c>
    </x:row>
    <x:row r="816">
      <x:c r="A816" t="str">
        <x:v>PC-PE-KG01-L25-20251023-AM-ORD-2025-00162-S06</x:v>
      </x:c>
      <x:c r="B816" t="str">
        <x:v>PE-KG01-L25-20251023-AM-ORD-2025-00162</x:v>
      </x:c>
      <x:c r="C816" t="str">
        <x:v>KG01</x:v>
      </x:c>
      <x:c r="D816" t="n">
        <x:v>45953</x:v>
      </x:c>
      <x:c r="E816" t="str">
        <x:v>AM</x:v>
      </x:c>
      <x:c r="F816" t="str">
        <x:v>C</x:v>
      </x:c>
      <x:c r="G816" t="n">
        <x:v>25</x:v>
      </x:c>
      <x:c r="H816" t="str">
        <x:v>ORD-2025-00162</x:v>
      </x:c>
      <x:c r="I816" t="n">
        <x:v>6</x:v>
      </x:c>
      <x:c r="J816" t="n">
        <x:v>8</x:v>
      </x:c>
      <x:c r="K816" t="n">
        <x:v>3</x:v>
      </x:c>
      <x:c r="L816" t="n">
        <x:f>IF(I816&lt;=J816,1,0)</x:f>
        <x:v>1</x:v>
      </x:c>
      <x:c r="P816" t="n">
        <x:f>IF(M816="",IF(AND(L816=1,K816&gt;=1),1,0),M816)</x:f>
        <x:v>1</x:v>
      </x:c>
      <x:c r="Q816" t="n">
        <x:f>IF(N816="",IF(AND(L816=1,K816&gt;=2),1,0),N816)</x:f>
        <x:v>1</x:v>
      </x:c>
      <x:c r="R816" t="n">
        <x:f>IF(O816="",IF(AND(L816=1,K816&gt;=3),1,0),O816)</x:f>
        <x:v>1</x:v>
      </x:c>
      <x:c r="S816" t="n">
        <x:f>SUM(P816:R816)</x:f>
        <x:v>3</x:v>
      </x:c>
      <x:c r="T816" t="str">
        <x:f>IF(COUNTA(M816:O816)=0,"DerivedFromCount","ManualOverride")</x:f>
        <x:v>DerivedFromCount</x:v>
      </x:c>
      <x:c r="U816" t="str">
        <x:f>IF(COUNTIF(DailyProduction!$Q$5:$Q$100,B816)=1,"OK","CHECK")</x:f>
        <x:v>OK</x:v>
      </x:c>
      <x:c r="V816" t="str">
        <x:f>IF(AND(I816&gt;=1,I816&lt;=13,K816&gt;=1,K816&lt;=3),"OK","CHECK")</x:f>
        <x:v>OK</x:v>
      </x:c>
      <x:c r="W816" t="str">
        <x:f>IF(SUMIF($B$5:$B$914,B816,$S$5:$S$914)=SUMIF(DailyProduction!$Q$5:$Q$100,B816,DailyProduction!$R$5:$R$100),"OK","CHECK")</x:f>
        <x:v>OK</x:v>
      </x:c>
    </x:row>
    <x:row r="817">
      <x:c r="A817" t="str">
        <x:v>PC-PE-KG01-L25-20251023-AM-ORD-2025-00162-S07</x:v>
      </x:c>
      <x:c r="B817" t="str">
        <x:v>PE-KG01-L25-20251023-AM-ORD-2025-00162</x:v>
      </x:c>
      <x:c r="C817" t="str">
        <x:v>KG01</x:v>
      </x:c>
      <x:c r="D817" t="n">
        <x:v>45953</x:v>
      </x:c>
      <x:c r="E817" t="str">
        <x:v>AM</x:v>
      </x:c>
      <x:c r="F817" t="str">
        <x:v>C</x:v>
      </x:c>
      <x:c r="G817" t="n">
        <x:v>25</x:v>
      </x:c>
      <x:c r="H817" t="str">
        <x:v>ORD-2025-00162</x:v>
      </x:c>
      <x:c r="I817" t="n">
        <x:v>7</x:v>
      </x:c>
      <x:c r="J817" t="n">
        <x:v>8</x:v>
      </x:c>
      <x:c r="K817" t="n">
        <x:v>3</x:v>
      </x:c>
      <x:c r="L817" t="n">
        <x:f>IF(I817&lt;=J817,1,0)</x:f>
        <x:v>1</x:v>
      </x:c>
      <x:c r="P817" t="n">
        <x:f>IF(M817="",IF(AND(L817=1,K817&gt;=1),1,0),M817)</x:f>
        <x:v>1</x:v>
      </x:c>
      <x:c r="Q817" t="n">
        <x:f>IF(N817="",IF(AND(L817=1,K817&gt;=2),1,0),N817)</x:f>
        <x:v>1</x:v>
      </x:c>
      <x:c r="R817" t="n">
        <x:f>IF(O817="",IF(AND(L817=1,K817&gt;=3),1,0),O817)</x:f>
        <x:v>1</x:v>
      </x:c>
      <x:c r="S817" t="n">
        <x:f>SUM(P817:R817)</x:f>
        <x:v>3</x:v>
      </x:c>
      <x:c r="T817" t="str">
        <x:f>IF(COUNTA(M817:O817)=0,"DerivedFromCount","ManualOverride")</x:f>
        <x:v>DerivedFromCount</x:v>
      </x:c>
      <x:c r="U817" t="str">
        <x:f>IF(COUNTIF(DailyProduction!$Q$5:$Q$100,B817)=1,"OK","CHECK")</x:f>
        <x:v>OK</x:v>
      </x:c>
      <x:c r="V817" t="str">
        <x:f>IF(AND(I817&gt;=1,I817&lt;=13,K817&gt;=1,K817&lt;=3),"OK","CHECK")</x:f>
        <x:v>OK</x:v>
      </x:c>
      <x:c r="W817" t="str">
        <x:f>IF(SUMIF($B$5:$B$914,B817,$S$5:$S$914)=SUMIF(DailyProduction!$Q$5:$Q$100,B817,DailyProduction!$R$5:$R$100),"OK","CHECK")</x:f>
        <x:v>OK</x:v>
      </x:c>
    </x:row>
    <x:row r="818">
      <x:c r="A818" t="str">
        <x:v>PC-PE-KG01-L25-20251023-AM-ORD-2025-00162-S08</x:v>
      </x:c>
      <x:c r="B818" t="str">
        <x:v>PE-KG01-L25-20251023-AM-ORD-2025-00162</x:v>
      </x:c>
      <x:c r="C818" t="str">
        <x:v>KG01</x:v>
      </x:c>
      <x:c r="D818" t="n">
        <x:v>45953</x:v>
      </x:c>
      <x:c r="E818" t="str">
        <x:v>AM</x:v>
      </x:c>
      <x:c r="F818" t="str">
        <x:v>C</x:v>
      </x:c>
      <x:c r="G818" t="n">
        <x:v>25</x:v>
      </x:c>
      <x:c r="H818" t="str">
        <x:v>ORD-2025-00162</x:v>
      </x:c>
      <x:c r="I818" t="n">
        <x:v>8</x:v>
      </x:c>
      <x:c r="J818" t="n">
        <x:v>8</x:v>
      </x:c>
      <x:c r="K818" t="n">
        <x:v>3</x:v>
      </x:c>
      <x:c r="L818" t="n">
        <x:f>IF(I818&lt;=J818,1,0)</x:f>
        <x:v>1</x:v>
      </x:c>
      <x:c r="P818" t="n">
        <x:f>IF(M818="",IF(AND(L818=1,K818&gt;=1),1,0),M818)</x:f>
        <x:v>1</x:v>
      </x:c>
      <x:c r="Q818" t="n">
        <x:f>IF(N818="",IF(AND(L818=1,K818&gt;=2),1,0),N818)</x:f>
        <x:v>1</x:v>
      </x:c>
      <x:c r="R818" t="n">
        <x:f>IF(O818="",IF(AND(L818=1,K818&gt;=3),1,0),O818)</x:f>
        <x:v>1</x:v>
      </x:c>
      <x:c r="S818" t="n">
        <x:f>SUM(P818:R818)</x:f>
        <x:v>3</x:v>
      </x:c>
      <x:c r="T818" t="str">
        <x:f>IF(COUNTA(M818:O818)=0,"DerivedFromCount","ManualOverride")</x:f>
        <x:v>DerivedFromCount</x:v>
      </x:c>
      <x:c r="U818" t="str">
        <x:f>IF(COUNTIF(DailyProduction!$Q$5:$Q$100,B818)=1,"OK","CHECK")</x:f>
        <x:v>OK</x:v>
      </x:c>
      <x:c r="V818" t="str">
        <x:f>IF(AND(I818&gt;=1,I818&lt;=13,K818&gt;=1,K818&lt;=3),"OK","CHECK")</x:f>
        <x:v>OK</x:v>
      </x:c>
      <x:c r="W818" t="str">
        <x:f>IF(SUMIF($B$5:$B$914,B818,$S$5:$S$914)=SUMIF(DailyProduction!$Q$5:$Q$100,B818,DailyProduction!$R$5:$R$100),"OK","CHECK")</x:f>
        <x:v>OK</x:v>
      </x:c>
    </x:row>
    <x:row r="819">
      <x:c r="A819" t="str">
        <x:v>PC-PE-KG01-L25-20251023-AM-ORD-2025-00162-S09</x:v>
      </x:c>
      <x:c r="B819" t="str">
        <x:v>PE-KG01-L25-20251023-AM-ORD-2025-00162</x:v>
      </x:c>
      <x:c r="C819" t="str">
        <x:v>KG01</x:v>
      </x:c>
      <x:c r="D819" t="n">
        <x:v>45953</x:v>
      </x:c>
      <x:c r="E819" t="str">
        <x:v>AM</x:v>
      </x:c>
      <x:c r="F819" t="str">
        <x:v>C</x:v>
      </x:c>
      <x:c r="G819" t="n">
        <x:v>25</x:v>
      </x:c>
      <x:c r="H819" t="str">
        <x:v>ORD-2025-00162</x:v>
      </x:c>
      <x:c r="I819" t="n">
        <x:v>9</x:v>
      </x:c>
      <x:c r="J819" t="n">
        <x:v>8</x:v>
      </x:c>
      <x:c r="K819" t="n">
        <x:v>3</x:v>
      </x:c>
      <x:c r="L819" t="n">
        <x:f>IF(I819&lt;=J819,1,0)</x:f>
        <x:v>0</x:v>
      </x:c>
      <x:c r="P819" t="n">
        <x:f>IF(M819="",IF(AND(L819=1,K819&gt;=1),1,0),M819)</x:f>
        <x:v>0</x:v>
      </x:c>
      <x:c r="Q819" t="n">
        <x:f>IF(N819="",IF(AND(L819=1,K819&gt;=2),1,0),N819)</x:f>
        <x:v>0</x:v>
      </x:c>
      <x:c r="R819" t="n">
        <x:f>IF(O819="",IF(AND(L819=1,K819&gt;=3),1,0),O819)</x:f>
        <x:v>0</x:v>
      </x:c>
      <x:c r="S819" t="n">
        <x:f>SUM(P819:R819)</x:f>
        <x:v>0</x:v>
      </x:c>
      <x:c r="T819" t="str">
        <x:f>IF(COUNTA(M819:O819)=0,"DerivedFromCount","ManualOverride")</x:f>
        <x:v>DerivedFromCount</x:v>
      </x:c>
      <x:c r="U819" t="str">
        <x:f>IF(COUNTIF(DailyProduction!$Q$5:$Q$100,B819)=1,"OK","CHECK")</x:f>
        <x:v>OK</x:v>
      </x:c>
      <x:c r="V819" t="str">
        <x:f>IF(AND(I819&gt;=1,I819&lt;=13,K819&gt;=1,K819&lt;=3),"OK","CHECK")</x:f>
        <x:v>OK</x:v>
      </x:c>
      <x:c r="W819" t="str">
        <x:f>IF(SUMIF($B$5:$B$914,B819,$S$5:$S$914)=SUMIF(DailyProduction!$Q$5:$Q$100,B819,DailyProduction!$R$5:$R$100),"OK","CHECK")</x:f>
        <x:v>OK</x:v>
      </x:c>
    </x:row>
    <x:row r="820">
      <x:c r="A820" t="str">
        <x:v>PC-PE-KG01-L25-20251023-AM-ORD-2025-00162-S10</x:v>
      </x:c>
      <x:c r="B820" t="str">
        <x:v>PE-KG01-L25-20251023-AM-ORD-2025-00162</x:v>
      </x:c>
      <x:c r="C820" t="str">
        <x:v>KG01</x:v>
      </x:c>
      <x:c r="D820" t="n">
        <x:v>45953</x:v>
      </x:c>
      <x:c r="E820" t="str">
        <x:v>AM</x:v>
      </x:c>
      <x:c r="F820" t="str">
        <x:v>C</x:v>
      </x:c>
      <x:c r="G820" t="n">
        <x:v>25</x:v>
      </x:c>
      <x:c r="H820" t="str">
        <x:v>ORD-2025-00162</x:v>
      </x:c>
      <x:c r="I820" t="n">
        <x:v>10</x:v>
      </x:c>
      <x:c r="J820" t="n">
        <x:v>8</x:v>
      </x:c>
      <x:c r="K820" t="n">
        <x:v>3</x:v>
      </x:c>
      <x:c r="L820" t="n">
        <x:f>IF(I820&lt;=J820,1,0)</x:f>
        <x:v>0</x:v>
      </x:c>
      <x:c r="P820" t="n">
        <x:f>IF(M820="",IF(AND(L820=1,K820&gt;=1),1,0),M820)</x:f>
        <x:v>0</x:v>
      </x:c>
      <x:c r="Q820" t="n">
        <x:f>IF(N820="",IF(AND(L820=1,K820&gt;=2),1,0),N820)</x:f>
        <x:v>0</x:v>
      </x:c>
      <x:c r="R820" t="n">
        <x:f>IF(O820="",IF(AND(L820=1,K820&gt;=3),1,0),O820)</x:f>
        <x:v>0</x:v>
      </x:c>
      <x:c r="S820" t="n">
        <x:f>SUM(P820:R820)</x:f>
        <x:v>0</x:v>
      </x:c>
      <x:c r="T820" t="str">
        <x:f>IF(COUNTA(M820:O820)=0,"DerivedFromCount","ManualOverride")</x:f>
        <x:v>DerivedFromCount</x:v>
      </x:c>
      <x:c r="U820" t="str">
        <x:f>IF(COUNTIF(DailyProduction!$Q$5:$Q$100,B820)=1,"OK","CHECK")</x:f>
        <x:v>OK</x:v>
      </x:c>
      <x:c r="V820" t="str">
        <x:f>IF(AND(I820&gt;=1,I820&lt;=13,K820&gt;=1,K820&lt;=3),"OK","CHECK")</x:f>
        <x:v>OK</x:v>
      </x:c>
      <x:c r="W820" t="str">
        <x:f>IF(SUMIF($B$5:$B$914,B820,$S$5:$S$914)=SUMIF(DailyProduction!$Q$5:$Q$100,B820,DailyProduction!$R$5:$R$100),"OK","CHECK")</x:f>
        <x:v>OK</x:v>
      </x:c>
    </x:row>
    <x:row r="821">
      <x:c r="A821" t="str">
        <x:v>PC-PE-KG01-L25-20251023-AM-ORD-2025-00162-S11</x:v>
      </x:c>
      <x:c r="B821" t="str">
        <x:v>PE-KG01-L25-20251023-AM-ORD-2025-00162</x:v>
      </x:c>
      <x:c r="C821" t="str">
        <x:v>KG01</x:v>
      </x:c>
      <x:c r="D821" t="n">
        <x:v>45953</x:v>
      </x:c>
      <x:c r="E821" t="str">
        <x:v>AM</x:v>
      </x:c>
      <x:c r="F821" t="str">
        <x:v>C</x:v>
      </x:c>
      <x:c r="G821" t="n">
        <x:v>25</x:v>
      </x:c>
      <x:c r="H821" t="str">
        <x:v>ORD-2025-00162</x:v>
      </x:c>
      <x:c r="I821" t="n">
        <x:v>11</x:v>
      </x:c>
      <x:c r="J821" t="n">
        <x:v>8</x:v>
      </x:c>
      <x:c r="K821" t="n">
        <x:v>3</x:v>
      </x:c>
      <x:c r="L821" t="n">
        <x:f>IF(I821&lt;=J821,1,0)</x:f>
        <x:v>0</x:v>
      </x:c>
      <x:c r="P821" t="n">
        <x:f>IF(M821="",IF(AND(L821=1,K821&gt;=1),1,0),M821)</x:f>
        <x:v>0</x:v>
      </x:c>
      <x:c r="Q821" t="n">
        <x:f>IF(N821="",IF(AND(L821=1,K821&gt;=2),1,0),N821)</x:f>
        <x:v>0</x:v>
      </x:c>
      <x:c r="R821" t="n">
        <x:f>IF(O821="",IF(AND(L821=1,K821&gt;=3),1,0),O821)</x:f>
        <x:v>0</x:v>
      </x:c>
      <x:c r="S821" t="n">
        <x:f>SUM(P821:R821)</x:f>
        <x:v>0</x:v>
      </x:c>
      <x:c r="T821" t="str">
        <x:f>IF(COUNTA(M821:O821)=0,"DerivedFromCount","ManualOverride")</x:f>
        <x:v>DerivedFromCount</x:v>
      </x:c>
      <x:c r="U821" t="str">
        <x:f>IF(COUNTIF(DailyProduction!$Q$5:$Q$100,B821)=1,"OK","CHECK")</x:f>
        <x:v>OK</x:v>
      </x:c>
      <x:c r="V821" t="str">
        <x:f>IF(AND(I821&gt;=1,I821&lt;=13,K821&gt;=1,K821&lt;=3),"OK","CHECK")</x:f>
        <x:v>OK</x:v>
      </x:c>
      <x:c r="W821" t="str">
        <x:f>IF(SUMIF($B$5:$B$914,B821,$S$5:$S$914)=SUMIF(DailyProduction!$Q$5:$Q$100,B821,DailyProduction!$R$5:$R$100),"OK","CHECK")</x:f>
        <x:v>OK</x:v>
      </x:c>
    </x:row>
    <x:row r="822">
      <x:c r="A822" t="str">
        <x:v>PC-PE-KG01-L25-20251023-AM-ORD-2025-00162-S12</x:v>
      </x:c>
      <x:c r="B822" t="str">
        <x:v>PE-KG01-L25-20251023-AM-ORD-2025-00162</x:v>
      </x:c>
      <x:c r="C822" t="str">
        <x:v>KG01</x:v>
      </x:c>
      <x:c r="D822" t="n">
        <x:v>45953</x:v>
      </x:c>
      <x:c r="E822" t="str">
        <x:v>AM</x:v>
      </x:c>
      <x:c r="F822" t="str">
        <x:v>C</x:v>
      </x:c>
      <x:c r="G822" t="n">
        <x:v>25</x:v>
      </x:c>
      <x:c r="H822" t="str">
        <x:v>ORD-2025-00162</x:v>
      </x:c>
      <x:c r="I822" t="n">
        <x:v>12</x:v>
      </x:c>
      <x:c r="J822" t="n">
        <x:v>8</x:v>
      </x:c>
      <x:c r="K822" t="n">
        <x:v>3</x:v>
      </x:c>
      <x:c r="L822" t="n">
        <x:f>IF(I822&lt;=J822,1,0)</x:f>
        <x:v>0</x:v>
      </x:c>
      <x:c r="P822" t="n">
        <x:f>IF(M822="",IF(AND(L822=1,K822&gt;=1),1,0),M822)</x:f>
        <x:v>0</x:v>
      </x:c>
      <x:c r="Q822" t="n">
        <x:f>IF(N822="",IF(AND(L822=1,K822&gt;=2),1,0),N822)</x:f>
        <x:v>0</x:v>
      </x:c>
      <x:c r="R822" t="n">
        <x:f>IF(O822="",IF(AND(L822=1,K822&gt;=3),1,0),O822)</x:f>
        <x:v>0</x:v>
      </x:c>
      <x:c r="S822" t="n">
        <x:f>SUM(P822:R822)</x:f>
        <x:v>0</x:v>
      </x:c>
      <x:c r="T822" t="str">
        <x:f>IF(COUNTA(M822:O822)=0,"DerivedFromCount","ManualOverride")</x:f>
        <x:v>DerivedFromCount</x:v>
      </x:c>
      <x:c r="U822" t="str">
        <x:f>IF(COUNTIF(DailyProduction!$Q$5:$Q$100,B822)=1,"OK","CHECK")</x:f>
        <x:v>OK</x:v>
      </x:c>
      <x:c r="V822" t="str">
        <x:f>IF(AND(I822&gt;=1,I822&lt;=13,K822&gt;=1,K822&lt;=3),"OK","CHECK")</x:f>
        <x:v>OK</x:v>
      </x:c>
      <x:c r="W822" t="str">
        <x:f>IF(SUMIF($B$5:$B$914,B822,$S$5:$S$914)=SUMIF(DailyProduction!$Q$5:$Q$100,B822,DailyProduction!$R$5:$R$100),"OK","CHECK")</x:f>
        <x:v>OK</x:v>
      </x:c>
    </x:row>
    <x:row r="823">
      <x:c r="A823" t="str">
        <x:v>PC-PE-KG01-L25-20251023-AM-ORD-2025-00162-S13</x:v>
      </x:c>
      <x:c r="B823" t="str">
        <x:v>PE-KG01-L25-20251023-AM-ORD-2025-00162</x:v>
      </x:c>
      <x:c r="C823" t="str">
        <x:v>KG01</x:v>
      </x:c>
      <x:c r="D823" t="n">
        <x:v>45953</x:v>
      </x:c>
      <x:c r="E823" t="str">
        <x:v>AM</x:v>
      </x:c>
      <x:c r="F823" t="str">
        <x:v>C</x:v>
      </x:c>
      <x:c r="G823" t="n">
        <x:v>25</x:v>
      </x:c>
      <x:c r="H823" t="str">
        <x:v>ORD-2025-00162</x:v>
      </x:c>
      <x:c r="I823" t="n">
        <x:v>13</x:v>
      </x:c>
      <x:c r="J823" t="n">
        <x:v>8</x:v>
      </x:c>
      <x:c r="K823" t="n">
        <x:v>3</x:v>
      </x:c>
      <x:c r="L823" t="n">
        <x:f>IF(I823&lt;=J823,1,0)</x:f>
        <x:v>0</x:v>
      </x:c>
      <x:c r="P823" t="n">
        <x:f>IF(M823="",IF(AND(L823=1,K823&gt;=1),1,0),M823)</x:f>
        <x:v>0</x:v>
      </x:c>
      <x:c r="Q823" t="n">
        <x:f>IF(N823="",IF(AND(L823=1,K823&gt;=2),1,0),N823)</x:f>
        <x:v>0</x:v>
      </x:c>
      <x:c r="R823" t="n">
        <x:f>IF(O823="",IF(AND(L823=1,K823&gt;=3),1,0),O823)</x:f>
        <x:v>0</x:v>
      </x:c>
      <x:c r="S823" t="n">
        <x:f>SUM(P823:R823)</x:f>
        <x:v>0</x:v>
      </x:c>
      <x:c r="T823" t="str">
        <x:f>IF(COUNTA(M823:O823)=0,"DerivedFromCount","ManualOverride")</x:f>
        <x:v>DerivedFromCount</x:v>
      </x:c>
      <x:c r="U823" t="str">
        <x:f>IF(COUNTIF(DailyProduction!$Q$5:$Q$100,B823)=1,"OK","CHECK")</x:f>
        <x:v>OK</x:v>
      </x:c>
      <x:c r="V823" t="str">
        <x:f>IF(AND(I823&gt;=1,I823&lt;=13,K823&gt;=1,K823&lt;=3),"OK","CHECK")</x:f>
        <x:v>OK</x:v>
      </x:c>
      <x:c r="W823" t="str">
        <x:f>IF(SUMIF($B$5:$B$914,B823,$S$5:$S$914)=SUMIF(DailyProduction!$Q$5:$Q$100,B823,DailyProduction!$R$5:$R$100),"OK","CHECK")</x:f>
        <x:v>OK</x:v>
      </x:c>
    </x:row>
    <x:row r="824">
      <x:c r="A824" t="str">
        <x:v>PC-PE-KG01-L25-20251023-PM-ORD-2025-00162-S01</x:v>
      </x:c>
      <x:c r="B824" t="str">
        <x:v>PE-KG01-L25-20251023-PM-ORD-2025-00162</x:v>
      </x:c>
      <x:c r="C824" t="str">
        <x:v>KG01</x:v>
      </x:c>
      <x:c r="D824" t="n">
        <x:v>45953</x:v>
      </x:c>
      <x:c r="E824" t="str">
        <x:v>PM</x:v>
      </x:c>
      <x:c r="F824" t="str">
        <x:v>A</x:v>
      </x:c>
      <x:c r="G824" t="n">
        <x:v>25</x:v>
      </x:c>
      <x:c r="H824" t="str">
        <x:v>ORD-2025-00162</x:v>
      </x:c>
      <x:c r="I824" t="n">
        <x:v>1</x:v>
      </x:c>
      <x:c r="J824" t="n">
        <x:v>8</x:v>
      </x:c>
      <x:c r="K824" t="n">
        <x:v>3</x:v>
      </x:c>
      <x:c r="L824" t="n">
        <x:f>IF(I824&lt;=J824,1,0)</x:f>
        <x:v>1</x:v>
      </x:c>
      <x:c r="P824" t="n">
        <x:f>IF(M824="",IF(AND(L824=1,K824&gt;=1),1,0),M824)</x:f>
        <x:v>1</x:v>
      </x:c>
      <x:c r="Q824" t="n">
        <x:f>IF(N824="",IF(AND(L824=1,K824&gt;=2),1,0),N824)</x:f>
        <x:v>1</x:v>
      </x:c>
      <x:c r="R824" t="n">
        <x:f>IF(O824="",IF(AND(L824=1,K824&gt;=3),1,0),O824)</x:f>
        <x:v>1</x:v>
      </x:c>
      <x:c r="S824" t="n">
        <x:f>SUM(P824:R824)</x:f>
        <x:v>3</x:v>
      </x:c>
      <x:c r="T824" t="str">
        <x:f>IF(COUNTA(M824:O824)=0,"DerivedFromCount","ManualOverride")</x:f>
        <x:v>DerivedFromCount</x:v>
      </x:c>
      <x:c r="U824" t="str">
        <x:f>IF(COUNTIF(DailyProduction!$Q$5:$Q$100,B824)=1,"OK","CHECK")</x:f>
        <x:v>OK</x:v>
      </x:c>
      <x:c r="V824" t="str">
        <x:f>IF(AND(I824&gt;=1,I824&lt;=13,K824&gt;=1,K824&lt;=3),"OK","CHECK")</x:f>
        <x:v>OK</x:v>
      </x:c>
      <x:c r="W824" t="str">
        <x:f>IF(SUMIF($B$5:$B$914,B824,$S$5:$S$914)=SUMIF(DailyProduction!$Q$5:$Q$100,B824,DailyProduction!$R$5:$R$100),"OK","CHECK")</x:f>
        <x:v>OK</x:v>
      </x:c>
    </x:row>
    <x:row r="825">
      <x:c r="A825" t="str">
        <x:v>PC-PE-KG01-L25-20251023-PM-ORD-2025-00162-S02</x:v>
      </x:c>
      <x:c r="B825" t="str">
        <x:v>PE-KG01-L25-20251023-PM-ORD-2025-00162</x:v>
      </x:c>
      <x:c r="C825" t="str">
        <x:v>KG01</x:v>
      </x:c>
      <x:c r="D825" t="n">
        <x:v>45953</x:v>
      </x:c>
      <x:c r="E825" t="str">
        <x:v>PM</x:v>
      </x:c>
      <x:c r="F825" t="str">
        <x:v>A</x:v>
      </x:c>
      <x:c r="G825" t="n">
        <x:v>25</x:v>
      </x:c>
      <x:c r="H825" t="str">
        <x:v>ORD-2025-00162</x:v>
      </x:c>
      <x:c r="I825" t="n">
        <x:v>2</x:v>
      </x:c>
      <x:c r="J825" t="n">
        <x:v>8</x:v>
      </x:c>
      <x:c r="K825" t="n">
        <x:v>3</x:v>
      </x:c>
      <x:c r="L825" t="n">
        <x:f>IF(I825&lt;=J825,1,0)</x:f>
        <x:v>1</x:v>
      </x:c>
      <x:c r="P825" t="n">
        <x:f>IF(M825="",IF(AND(L825=1,K825&gt;=1),1,0),M825)</x:f>
        <x:v>1</x:v>
      </x:c>
      <x:c r="Q825" t="n">
        <x:f>IF(N825="",IF(AND(L825=1,K825&gt;=2),1,0),N825)</x:f>
        <x:v>1</x:v>
      </x:c>
      <x:c r="R825" t="n">
        <x:f>IF(O825="",IF(AND(L825=1,K825&gt;=3),1,0),O825)</x:f>
        <x:v>1</x:v>
      </x:c>
      <x:c r="S825" t="n">
        <x:f>SUM(P825:R825)</x:f>
        <x:v>3</x:v>
      </x:c>
      <x:c r="T825" t="str">
        <x:f>IF(COUNTA(M825:O825)=0,"DerivedFromCount","ManualOverride")</x:f>
        <x:v>DerivedFromCount</x:v>
      </x:c>
      <x:c r="U825" t="str">
        <x:f>IF(COUNTIF(DailyProduction!$Q$5:$Q$100,B825)=1,"OK","CHECK")</x:f>
        <x:v>OK</x:v>
      </x:c>
      <x:c r="V825" t="str">
        <x:f>IF(AND(I825&gt;=1,I825&lt;=13,K825&gt;=1,K825&lt;=3),"OK","CHECK")</x:f>
        <x:v>OK</x:v>
      </x:c>
      <x:c r="W825" t="str">
        <x:f>IF(SUMIF($B$5:$B$914,B825,$S$5:$S$914)=SUMIF(DailyProduction!$Q$5:$Q$100,B825,DailyProduction!$R$5:$R$100),"OK","CHECK")</x:f>
        <x:v>OK</x:v>
      </x:c>
    </x:row>
    <x:row r="826">
      <x:c r="A826" t="str">
        <x:v>PC-PE-KG01-L25-20251023-PM-ORD-2025-00162-S03</x:v>
      </x:c>
      <x:c r="B826" t="str">
        <x:v>PE-KG01-L25-20251023-PM-ORD-2025-00162</x:v>
      </x:c>
      <x:c r="C826" t="str">
        <x:v>KG01</x:v>
      </x:c>
      <x:c r="D826" t="n">
        <x:v>45953</x:v>
      </x:c>
      <x:c r="E826" t="str">
        <x:v>PM</x:v>
      </x:c>
      <x:c r="F826" t="str">
        <x:v>A</x:v>
      </x:c>
      <x:c r="G826" t="n">
        <x:v>25</x:v>
      </x:c>
      <x:c r="H826" t="str">
        <x:v>ORD-2025-00162</x:v>
      </x:c>
      <x:c r="I826" t="n">
        <x:v>3</x:v>
      </x:c>
      <x:c r="J826" t="n">
        <x:v>8</x:v>
      </x:c>
      <x:c r="K826" t="n">
        <x:v>3</x:v>
      </x:c>
      <x:c r="L826" t="n">
        <x:f>IF(I826&lt;=J826,1,0)</x:f>
        <x:v>1</x:v>
      </x:c>
      <x:c r="P826" t="n">
        <x:f>IF(M826="",IF(AND(L826=1,K826&gt;=1),1,0),M826)</x:f>
        <x:v>1</x:v>
      </x:c>
      <x:c r="Q826" t="n">
        <x:f>IF(N826="",IF(AND(L826=1,K826&gt;=2),1,0),N826)</x:f>
        <x:v>1</x:v>
      </x:c>
      <x:c r="R826" t="n">
        <x:f>IF(O826="",IF(AND(L826=1,K826&gt;=3),1,0),O826)</x:f>
        <x:v>1</x:v>
      </x:c>
      <x:c r="S826" t="n">
        <x:f>SUM(P826:R826)</x:f>
        <x:v>3</x:v>
      </x:c>
      <x:c r="T826" t="str">
        <x:f>IF(COUNTA(M826:O826)=0,"DerivedFromCount","ManualOverride")</x:f>
        <x:v>DerivedFromCount</x:v>
      </x:c>
      <x:c r="U826" t="str">
        <x:f>IF(COUNTIF(DailyProduction!$Q$5:$Q$100,B826)=1,"OK","CHECK")</x:f>
        <x:v>OK</x:v>
      </x:c>
      <x:c r="V826" t="str">
        <x:f>IF(AND(I826&gt;=1,I826&lt;=13,K826&gt;=1,K826&lt;=3),"OK","CHECK")</x:f>
        <x:v>OK</x:v>
      </x:c>
      <x:c r="W826" t="str">
        <x:f>IF(SUMIF($B$5:$B$914,B826,$S$5:$S$914)=SUMIF(DailyProduction!$Q$5:$Q$100,B826,DailyProduction!$R$5:$R$100),"OK","CHECK")</x:f>
        <x:v>OK</x:v>
      </x:c>
    </x:row>
    <x:row r="827">
      <x:c r="A827" t="str">
        <x:v>PC-PE-KG01-L25-20251023-PM-ORD-2025-00162-S04</x:v>
      </x:c>
      <x:c r="B827" t="str">
        <x:v>PE-KG01-L25-20251023-PM-ORD-2025-00162</x:v>
      </x:c>
      <x:c r="C827" t="str">
        <x:v>KG01</x:v>
      </x:c>
      <x:c r="D827" t="n">
        <x:v>45953</x:v>
      </x:c>
      <x:c r="E827" t="str">
        <x:v>PM</x:v>
      </x:c>
      <x:c r="F827" t="str">
        <x:v>A</x:v>
      </x:c>
      <x:c r="G827" t="n">
        <x:v>25</x:v>
      </x:c>
      <x:c r="H827" t="str">
        <x:v>ORD-2025-00162</x:v>
      </x:c>
      <x:c r="I827" t="n">
        <x:v>4</x:v>
      </x:c>
      <x:c r="J827" t="n">
        <x:v>8</x:v>
      </x:c>
      <x:c r="K827" t="n">
        <x:v>3</x:v>
      </x:c>
      <x:c r="L827" t="n">
        <x:f>IF(I827&lt;=J827,1,0)</x:f>
        <x:v>1</x:v>
      </x:c>
      <x:c r="P827" t="n">
        <x:f>IF(M827="",IF(AND(L827=1,K827&gt;=1),1,0),M827)</x:f>
        <x:v>1</x:v>
      </x:c>
      <x:c r="Q827" t="n">
        <x:f>IF(N827="",IF(AND(L827=1,K827&gt;=2),1,0),N827)</x:f>
        <x:v>1</x:v>
      </x:c>
      <x:c r="R827" t="n">
        <x:f>IF(O827="",IF(AND(L827=1,K827&gt;=3),1,0),O827)</x:f>
        <x:v>1</x:v>
      </x:c>
      <x:c r="S827" t="n">
        <x:f>SUM(P827:R827)</x:f>
        <x:v>3</x:v>
      </x:c>
      <x:c r="T827" t="str">
        <x:f>IF(COUNTA(M827:O827)=0,"DerivedFromCount","ManualOverride")</x:f>
        <x:v>DerivedFromCount</x:v>
      </x:c>
      <x:c r="U827" t="str">
        <x:f>IF(COUNTIF(DailyProduction!$Q$5:$Q$100,B827)=1,"OK","CHECK")</x:f>
        <x:v>OK</x:v>
      </x:c>
      <x:c r="V827" t="str">
        <x:f>IF(AND(I827&gt;=1,I827&lt;=13,K827&gt;=1,K827&lt;=3),"OK","CHECK")</x:f>
        <x:v>OK</x:v>
      </x:c>
      <x:c r="W827" t="str">
        <x:f>IF(SUMIF($B$5:$B$914,B827,$S$5:$S$914)=SUMIF(DailyProduction!$Q$5:$Q$100,B827,DailyProduction!$R$5:$R$100),"OK","CHECK")</x:f>
        <x:v>OK</x:v>
      </x:c>
    </x:row>
    <x:row r="828">
      <x:c r="A828" t="str">
        <x:v>PC-PE-KG01-L25-20251023-PM-ORD-2025-00162-S05</x:v>
      </x:c>
      <x:c r="B828" t="str">
        <x:v>PE-KG01-L25-20251023-PM-ORD-2025-00162</x:v>
      </x:c>
      <x:c r="C828" t="str">
        <x:v>KG01</x:v>
      </x:c>
      <x:c r="D828" t="n">
        <x:v>45953</x:v>
      </x:c>
      <x:c r="E828" t="str">
        <x:v>PM</x:v>
      </x:c>
      <x:c r="F828" t="str">
        <x:v>A</x:v>
      </x:c>
      <x:c r="G828" t="n">
        <x:v>25</x:v>
      </x:c>
      <x:c r="H828" t="str">
        <x:v>ORD-2025-00162</x:v>
      </x:c>
      <x:c r="I828" t="n">
        <x:v>5</x:v>
      </x:c>
      <x:c r="J828" t="n">
        <x:v>8</x:v>
      </x:c>
      <x:c r="K828" t="n">
        <x:v>3</x:v>
      </x:c>
      <x:c r="L828" t="n">
        <x:f>IF(I828&lt;=J828,1,0)</x:f>
        <x:v>1</x:v>
      </x:c>
      <x:c r="P828" t="n">
        <x:f>IF(M828="",IF(AND(L828=1,K828&gt;=1),1,0),M828)</x:f>
        <x:v>1</x:v>
      </x:c>
      <x:c r="Q828" t="n">
        <x:f>IF(N828="",IF(AND(L828=1,K828&gt;=2),1,0),N828)</x:f>
        <x:v>1</x:v>
      </x:c>
      <x:c r="R828" t="n">
        <x:f>IF(O828="",IF(AND(L828=1,K828&gt;=3),1,0),O828)</x:f>
        <x:v>1</x:v>
      </x:c>
      <x:c r="S828" t="n">
        <x:f>SUM(P828:R828)</x:f>
        <x:v>3</x:v>
      </x:c>
      <x:c r="T828" t="str">
        <x:f>IF(COUNTA(M828:O828)=0,"DerivedFromCount","ManualOverride")</x:f>
        <x:v>DerivedFromCount</x:v>
      </x:c>
      <x:c r="U828" t="str">
        <x:f>IF(COUNTIF(DailyProduction!$Q$5:$Q$100,B828)=1,"OK","CHECK")</x:f>
        <x:v>OK</x:v>
      </x:c>
      <x:c r="V828" t="str">
        <x:f>IF(AND(I828&gt;=1,I828&lt;=13,K828&gt;=1,K828&lt;=3),"OK","CHECK")</x:f>
        <x:v>OK</x:v>
      </x:c>
      <x:c r="W828" t="str">
        <x:f>IF(SUMIF($B$5:$B$914,B828,$S$5:$S$914)=SUMIF(DailyProduction!$Q$5:$Q$100,B828,DailyProduction!$R$5:$R$100),"OK","CHECK")</x:f>
        <x:v>OK</x:v>
      </x:c>
    </x:row>
    <x:row r="829">
      <x:c r="A829" t="str">
        <x:v>PC-PE-KG01-L25-20251023-PM-ORD-2025-00162-S06</x:v>
      </x:c>
      <x:c r="B829" t="str">
        <x:v>PE-KG01-L25-20251023-PM-ORD-2025-00162</x:v>
      </x:c>
      <x:c r="C829" t="str">
        <x:v>KG01</x:v>
      </x:c>
      <x:c r="D829" t="n">
        <x:v>45953</x:v>
      </x:c>
      <x:c r="E829" t="str">
        <x:v>PM</x:v>
      </x:c>
      <x:c r="F829" t="str">
        <x:v>A</x:v>
      </x:c>
      <x:c r="G829" t="n">
        <x:v>25</x:v>
      </x:c>
      <x:c r="H829" t="str">
        <x:v>ORD-2025-00162</x:v>
      </x:c>
      <x:c r="I829" t="n">
        <x:v>6</x:v>
      </x:c>
      <x:c r="J829" t="n">
        <x:v>8</x:v>
      </x:c>
      <x:c r="K829" t="n">
        <x:v>3</x:v>
      </x:c>
      <x:c r="L829" t="n">
        <x:f>IF(I829&lt;=J829,1,0)</x:f>
        <x:v>1</x:v>
      </x:c>
      <x:c r="P829" t="n">
        <x:f>IF(M829="",IF(AND(L829=1,K829&gt;=1),1,0),M829)</x:f>
        <x:v>1</x:v>
      </x:c>
      <x:c r="Q829" t="n">
        <x:f>IF(N829="",IF(AND(L829=1,K829&gt;=2),1,0),N829)</x:f>
        <x:v>1</x:v>
      </x:c>
      <x:c r="R829" t="n">
        <x:f>IF(O829="",IF(AND(L829=1,K829&gt;=3),1,0),O829)</x:f>
        <x:v>1</x:v>
      </x:c>
      <x:c r="S829" t="n">
        <x:f>SUM(P829:R829)</x:f>
        <x:v>3</x:v>
      </x:c>
      <x:c r="T829" t="str">
        <x:f>IF(COUNTA(M829:O829)=0,"DerivedFromCount","ManualOverride")</x:f>
        <x:v>DerivedFromCount</x:v>
      </x:c>
      <x:c r="U829" t="str">
        <x:f>IF(COUNTIF(DailyProduction!$Q$5:$Q$100,B829)=1,"OK","CHECK")</x:f>
        <x:v>OK</x:v>
      </x:c>
      <x:c r="V829" t="str">
        <x:f>IF(AND(I829&gt;=1,I829&lt;=13,K829&gt;=1,K829&lt;=3),"OK","CHECK")</x:f>
        <x:v>OK</x:v>
      </x:c>
      <x:c r="W829" t="str">
        <x:f>IF(SUMIF($B$5:$B$914,B829,$S$5:$S$914)=SUMIF(DailyProduction!$Q$5:$Q$100,B829,DailyProduction!$R$5:$R$100),"OK","CHECK")</x:f>
        <x:v>OK</x:v>
      </x:c>
    </x:row>
    <x:row r="830">
      <x:c r="A830" t="str">
        <x:v>PC-PE-KG01-L25-20251023-PM-ORD-2025-00162-S07</x:v>
      </x:c>
      <x:c r="B830" t="str">
        <x:v>PE-KG01-L25-20251023-PM-ORD-2025-00162</x:v>
      </x:c>
      <x:c r="C830" t="str">
        <x:v>KG01</x:v>
      </x:c>
      <x:c r="D830" t="n">
        <x:v>45953</x:v>
      </x:c>
      <x:c r="E830" t="str">
        <x:v>PM</x:v>
      </x:c>
      <x:c r="F830" t="str">
        <x:v>A</x:v>
      </x:c>
      <x:c r="G830" t="n">
        <x:v>25</x:v>
      </x:c>
      <x:c r="H830" t="str">
        <x:v>ORD-2025-00162</x:v>
      </x:c>
      <x:c r="I830" t="n">
        <x:v>7</x:v>
      </x:c>
      <x:c r="J830" t="n">
        <x:v>8</x:v>
      </x:c>
      <x:c r="K830" t="n">
        <x:v>3</x:v>
      </x:c>
      <x:c r="L830" t="n">
        <x:f>IF(I830&lt;=J830,1,0)</x:f>
        <x:v>1</x:v>
      </x:c>
      <x:c r="P830" t="n">
        <x:f>IF(M830="",IF(AND(L830=1,K830&gt;=1),1,0),M830)</x:f>
        <x:v>1</x:v>
      </x:c>
      <x:c r="Q830" t="n">
        <x:f>IF(N830="",IF(AND(L830=1,K830&gt;=2),1,0),N830)</x:f>
        <x:v>1</x:v>
      </x:c>
      <x:c r="R830" t="n">
        <x:f>IF(O830="",IF(AND(L830=1,K830&gt;=3),1,0),O830)</x:f>
        <x:v>1</x:v>
      </x:c>
      <x:c r="S830" t="n">
        <x:f>SUM(P830:R830)</x:f>
        <x:v>3</x:v>
      </x:c>
      <x:c r="T830" t="str">
        <x:f>IF(COUNTA(M830:O830)=0,"DerivedFromCount","ManualOverride")</x:f>
        <x:v>DerivedFromCount</x:v>
      </x:c>
      <x:c r="U830" t="str">
        <x:f>IF(COUNTIF(DailyProduction!$Q$5:$Q$100,B830)=1,"OK","CHECK")</x:f>
        <x:v>OK</x:v>
      </x:c>
      <x:c r="V830" t="str">
        <x:f>IF(AND(I830&gt;=1,I830&lt;=13,K830&gt;=1,K830&lt;=3),"OK","CHECK")</x:f>
        <x:v>OK</x:v>
      </x:c>
      <x:c r="W830" t="str">
        <x:f>IF(SUMIF($B$5:$B$914,B830,$S$5:$S$914)=SUMIF(DailyProduction!$Q$5:$Q$100,B830,DailyProduction!$R$5:$R$100),"OK","CHECK")</x:f>
        <x:v>OK</x:v>
      </x:c>
    </x:row>
    <x:row r="831">
      <x:c r="A831" t="str">
        <x:v>PC-PE-KG01-L25-20251023-PM-ORD-2025-00162-S08</x:v>
      </x:c>
      <x:c r="B831" t="str">
        <x:v>PE-KG01-L25-20251023-PM-ORD-2025-00162</x:v>
      </x:c>
      <x:c r="C831" t="str">
        <x:v>KG01</x:v>
      </x:c>
      <x:c r="D831" t="n">
        <x:v>45953</x:v>
      </x:c>
      <x:c r="E831" t="str">
        <x:v>PM</x:v>
      </x:c>
      <x:c r="F831" t="str">
        <x:v>A</x:v>
      </x:c>
      <x:c r="G831" t="n">
        <x:v>25</x:v>
      </x:c>
      <x:c r="H831" t="str">
        <x:v>ORD-2025-00162</x:v>
      </x:c>
      <x:c r="I831" t="n">
        <x:v>8</x:v>
      </x:c>
      <x:c r="J831" t="n">
        <x:v>8</x:v>
      </x:c>
      <x:c r="K831" t="n">
        <x:v>3</x:v>
      </x:c>
      <x:c r="L831" t="n">
        <x:f>IF(I831&lt;=J831,1,0)</x:f>
        <x:v>1</x:v>
      </x:c>
      <x:c r="P831" t="n">
        <x:f>IF(M831="",IF(AND(L831=1,K831&gt;=1),1,0),M831)</x:f>
        <x:v>1</x:v>
      </x:c>
      <x:c r="Q831" t="n">
        <x:f>IF(N831="",IF(AND(L831=1,K831&gt;=2),1,0),N831)</x:f>
        <x:v>1</x:v>
      </x:c>
      <x:c r="R831" t="n">
        <x:f>IF(O831="",IF(AND(L831=1,K831&gt;=3),1,0),O831)</x:f>
        <x:v>1</x:v>
      </x:c>
      <x:c r="S831" t="n">
        <x:f>SUM(P831:R831)</x:f>
        <x:v>3</x:v>
      </x:c>
      <x:c r="T831" t="str">
        <x:f>IF(COUNTA(M831:O831)=0,"DerivedFromCount","ManualOverride")</x:f>
        <x:v>DerivedFromCount</x:v>
      </x:c>
      <x:c r="U831" t="str">
        <x:f>IF(COUNTIF(DailyProduction!$Q$5:$Q$100,B831)=1,"OK","CHECK")</x:f>
        <x:v>OK</x:v>
      </x:c>
      <x:c r="V831" t="str">
        <x:f>IF(AND(I831&gt;=1,I831&lt;=13,K831&gt;=1,K831&lt;=3),"OK","CHECK")</x:f>
        <x:v>OK</x:v>
      </x:c>
      <x:c r="W831" t="str">
        <x:f>IF(SUMIF($B$5:$B$914,B831,$S$5:$S$914)=SUMIF(DailyProduction!$Q$5:$Q$100,B831,DailyProduction!$R$5:$R$100),"OK","CHECK")</x:f>
        <x:v>OK</x:v>
      </x:c>
    </x:row>
    <x:row r="832">
      <x:c r="A832" t="str">
        <x:v>PC-PE-KG01-L25-20251023-PM-ORD-2025-00162-S09</x:v>
      </x:c>
      <x:c r="B832" t="str">
        <x:v>PE-KG01-L25-20251023-PM-ORD-2025-00162</x:v>
      </x:c>
      <x:c r="C832" t="str">
        <x:v>KG01</x:v>
      </x:c>
      <x:c r="D832" t="n">
        <x:v>45953</x:v>
      </x:c>
      <x:c r="E832" t="str">
        <x:v>PM</x:v>
      </x:c>
      <x:c r="F832" t="str">
        <x:v>A</x:v>
      </x:c>
      <x:c r="G832" t="n">
        <x:v>25</x:v>
      </x:c>
      <x:c r="H832" t="str">
        <x:v>ORD-2025-00162</x:v>
      </x:c>
      <x:c r="I832" t="n">
        <x:v>9</x:v>
      </x:c>
      <x:c r="J832" t="n">
        <x:v>8</x:v>
      </x:c>
      <x:c r="K832" t="n">
        <x:v>3</x:v>
      </x:c>
      <x:c r="L832" t="n">
        <x:f>IF(I832&lt;=J832,1,0)</x:f>
        <x:v>0</x:v>
      </x:c>
      <x:c r="P832" t="n">
        <x:f>IF(M832="",IF(AND(L832=1,K832&gt;=1),1,0),M832)</x:f>
        <x:v>0</x:v>
      </x:c>
      <x:c r="Q832" t="n">
        <x:f>IF(N832="",IF(AND(L832=1,K832&gt;=2),1,0),N832)</x:f>
        <x:v>0</x:v>
      </x:c>
      <x:c r="R832" t="n">
        <x:f>IF(O832="",IF(AND(L832=1,K832&gt;=3),1,0),O832)</x:f>
        <x:v>0</x:v>
      </x:c>
      <x:c r="S832" t="n">
        <x:f>SUM(P832:R832)</x:f>
        <x:v>0</x:v>
      </x:c>
      <x:c r="T832" t="str">
        <x:f>IF(COUNTA(M832:O832)=0,"DerivedFromCount","ManualOverride")</x:f>
        <x:v>DerivedFromCount</x:v>
      </x:c>
      <x:c r="U832" t="str">
        <x:f>IF(COUNTIF(DailyProduction!$Q$5:$Q$100,B832)=1,"OK","CHECK")</x:f>
        <x:v>OK</x:v>
      </x:c>
      <x:c r="V832" t="str">
        <x:f>IF(AND(I832&gt;=1,I832&lt;=13,K832&gt;=1,K832&lt;=3),"OK","CHECK")</x:f>
        <x:v>OK</x:v>
      </x:c>
      <x:c r="W832" t="str">
        <x:f>IF(SUMIF($B$5:$B$914,B832,$S$5:$S$914)=SUMIF(DailyProduction!$Q$5:$Q$100,B832,DailyProduction!$R$5:$R$100),"OK","CHECK")</x:f>
        <x:v>OK</x:v>
      </x:c>
    </x:row>
    <x:row r="833">
      <x:c r="A833" t="str">
        <x:v>PC-PE-KG01-L25-20251023-PM-ORD-2025-00162-S10</x:v>
      </x:c>
      <x:c r="B833" t="str">
        <x:v>PE-KG01-L25-20251023-PM-ORD-2025-00162</x:v>
      </x:c>
      <x:c r="C833" t="str">
        <x:v>KG01</x:v>
      </x:c>
      <x:c r="D833" t="n">
        <x:v>45953</x:v>
      </x:c>
      <x:c r="E833" t="str">
        <x:v>PM</x:v>
      </x:c>
      <x:c r="F833" t="str">
        <x:v>A</x:v>
      </x:c>
      <x:c r="G833" t="n">
        <x:v>25</x:v>
      </x:c>
      <x:c r="H833" t="str">
        <x:v>ORD-2025-00162</x:v>
      </x:c>
      <x:c r="I833" t="n">
        <x:v>10</x:v>
      </x:c>
      <x:c r="J833" t="n">
        <x:v>8</x:v>
      </x:c>
      <x:c r="K833" t="n">
        <x:v>3</x:v>
      </x:c>
      <x:c r="L833" t="n">
        <x:f>IF(I833&lt;=J833,1,0)</x:f>
        <x:v>0</x:v>
      </x:c>
      <x:c r="P833" t="n">
        <x:f>IF(M833="",IF(AND(L833=1,K833&gt;=1),1,0),M833)</x:f>
        <x:v>0</x:v>
      </x:c>
      <x:c r="Q833" t="n">
        <x:f>IF(N833="",IF(AND(L833=1,K833&gt;=2),1,0),N833)</x:f>
        <x:v>0</x:v>
      </x:c>
      <x:c r="R833" t="n">
        <x:f>IF(O833="",IF(AND(L833=1,K833&gt;=3),1,0),O833)</x:f>
        <x:v>0</x:v>
      </x:c>
      <x:c r="S833" t="n">
        <x:f>SUM(P833:R833)</x:f>
        <x:v>0</x:v>
      </x:c>
      <x:c r="T833" t="str">
        <x:f>IF(COUNTA(M833:O833)=0,"DerivedFromCount","ManualOverride")</x:f>
        <x:v>DerivedFromCount</x:v>
      </x:c>
      <x:c r="U833" t="str">
        <x:f>IF(COUNTIF(DailyProduction!$Q$5:$Q$100,B833)=1,"OK","CHECK")</x:f>
        <x:v>OK</x:v>
      </x:c>
      <x:c r="V833" t="str">
        <x:f>IF(AND(I833&gt;=1,I833&lt;=13,K833&gt;=1,K833&lt;=3),"OK","CHECK")</x:f>
        <x:v>OK</x:v>
      </x:c>
      <x:c r="W833" t="str">
        <x:f>IF(SUMIF($B$5:$B$914,B833,$S$5:$S$914)=SUMIF(DailyProduction!$Q$5:$Q$100,B833,DailyProduction!$R$5:$R$100),"OK","CHECK")</x:f>
        <x:v>OK</x:v>
      </x:c>
    </x:row>
    <x:row r="834">
      <x:c r="A834" t="str">
        <x:v>PC-PE-KG01-L25-20251023-PM-ORD-2025-00162-S11</x:v>
      </x:c>
      <x:c r="B834" t="str">
        <x:v>PE-KG01-L25-20251023-PM-ORD-2025-00162</x:v>
      </x:c>
      <x:c r="C834" t="str">
        <x:v>KG01</x:v>
      </x:c>
      <x:c r="D834" t="n">
        <x:v>45953</x:v>
      </x:c>
      <x:c r="E834" t="str">
        <x:v>PM</x:v>
      </x:c>
      <x:c r="F834" t="str">
        <x:v>A</x:v>
      </x:c>
      <x:c r="G834" t="n">
        <x:v>25</x:v>
      </x:c>
      <x:c r="H834" t="str">
        <x:v>ORD-2025-00162</x:v>
      </x:c>
      <x:c r="I834" t="n">
        <x:v>11</x:v>
      </x:c>
      <x:c r="J834" t="n">
        <x:v>8</x:v>
      </x:c>
      <x:c r="K834" t="n">
        <x:v>3</x:v>
      </x:c>
      <x:c r="L834" t="n">
        <x:f>IF(I834&lt;=J834,1,0)</x:f>
        <x:v>0</x:v>
      </x:c>
      <x:c r="P834" t="n">
        <x:f>IF(M834="",IF(AND(L834=1,K834&gt;=1),1,0),M834)</x:f>
        <x:v>0</x:v>
      </x:c>
      <x:c r="Q834" t="n">
        <x:f>IF(N834="",IF(AND(L834=1,K834&gt;=2),1,0),N834)</x:f>
        <x:v>0</x:v>
      </x:c>
      <x:c r="R834" t="n">
        <x:f>IF(O834="",IF(AND(L834=1,K834&gt;=3),1,0),O834)</x:f>
        <x:v>0</x:v>
      </x:c>
      <x:c r="S834" t="n">
        <x:f>SUM(P834:R834)</x:f>
        <x:v>0</x:v>
      </x:c>
      <x:c r="T834" t="str">
        <x:f>IF(COUNTA(M834:O834)=0,"DerivedFromCount","ManualOverride")</x:f>
        <x:v>DerivedFromCount</x:v>
      </x:c>
      <x:c r="U834" t="str">
        <x:f>IF(COUNTIF(DailyProduction!$Q$5:$Q$100,B834)=1,"OK","CHECK")</x:f>
        <x:v>OK</x:v>
      </x:c>
      <x:c r="V834" t="str">
        <x:f>IF(AND(I834&gt;=1,I834&lt;=13,K834&gt;=1,K834&lt;=3),"OK","CHECK")</x:f>
        <x:v>OK</x:v>
      </x:c>
      <x:c r="W834" t="str">
        <x:f>IF(SUMIF($B$5:$B$914,B834,$S$5:$S$914)=SUMIF(DailyProduction!$Q$5:$Q$100,B834,DailyProduction!$R$5:$R$100),"OK","CHECK")</x:f>
        <x:v>OK</x:v>
      </x:c>
    </x:row>
    <x:row r="835">
      <x:c r="A835" t="str">
        <x:v>PC-PE-KG01-L25-20251023-PM-ORD-2025-00162-S12</x:v>
      </x:c>
      <x:c r="B835" t="str">
        <x:v>PE-KG01-L25-20251023-PM-ORD-2025-00162</x:v>
      </x:c>
      <x:c r="C835" t="str">
        <x:v>KG01</x:v>
      </x:c>
      <x:c r="D835" t="n">
        <x:v>45953</x:v>
      </x:c>
      <x:c r="E835" t="str">
        <x:v>PM</x:v>
      </x:c>
      <x:c r="F835" t="str">
        <x:v>A</x:v>
      </x:c>
      <x:c r="G835" t="n">
        <x:v>25</x:v>
      </x:c>
      <x:c r="H835" t="str">
        <x:v>ORD-2025-00162</x:v>
      </x:c>
      <x:c r="I835" t="n">
        <x:v>12</x:v>
      </x:c>
      <x:c r="J835" t="n">
        <x:v>8</x:v>
      </x:c>
      <x:c r="K835" t="n">
        <x:v>3</x:v>
      </x:c>
      <x:c r="L835" t="n">
        <x:f>IF(I835&lt;=J835,1,0)</x:f>
        <x:v>0</x:v>
      </x:c>
      <x:c r="P835" t="n">
        <x:f>IF(M835="",IF(AND(L835=1,K835&gt;=1),1,0),M835)</x:f>
        <x:v>0</x:v>
      </x:c>
      <x:c r="Q835" t="n">
        <x:f>IF(N835="",IF(AND(L835=1,K835&gt;=2),1,0),N835)</x:f>
        <x:v>0</x:v>
      </x:c>
      <x:c r="R835" t="n">
        <x:f>IF(O835="",IF(AND(L835=1,K835&gt;=3),1,0),O835)</x:f>
        <x:v>0</x:v>
      </x:c>
      <x:c r="S835" t="n">
        <x:f>SUM(P835:R835)</x:f>
        <x:v>0</x:v>
      </x:c>
      <x:c r="T835" t="str">
        <x:f>IF(COUNTA(M835:O835)=0,"DerivedFromCount","ManualOverride")</x:f>
        <x:v>DerivedFromCount</x:v>
      </x:c>
      <x:c r="U835" t="str">
        <x:f>IF(COUNTIF(DailyProduction!$Q$5:$Q$100,B835)=1,"OK","CHECK")</x:f>
        <x:v>OK</x:v>
      </x:c>
      <x:c r="V835" t="str">
        <x:f>IF(AND(I835&gt;=1,I835&lt;=13,K835&gt;=1,K835&lt;=3),"OK","CHECK")</x:f>
        <x:v>OK</x:v>
      </x:c>
      <x:c r="W835" t="str">
        <x:f>IF(SUMIF($B$5:$B$914,B835,$S$5:$S$914)=SUMIF(DailyProduction!$Q$5:$Q$100,B835,DailyProduction!$R$5:$R$100),"OK","CHECK")</x:f>
        <x:v>OK</x:v>
      </x:c>
    </x:row>
    <x:row r="836">
      <x:c r="A836" t="str">
        <x:v>PC-PE-KG01-L25-20251023-PM-ORD-2025-00162-S13</x:v>
      </x:c>
      <x:c r="B836" t="str">
        <x:v>PE-KG01-L25-20251023-PM-ORD-2025-00162</x:v>
      </x:c>
      <x:c r="C836" t="str">
        <x:v>KG01</x:v>
      </x:c>
      <x:c r="D836" t="n">
        <x:v>45953</x:v>
      </x:c>
      <x:c r="E836" t="str">
        <x:v>PM</x:v>
      </x:c>
      <x:c r="F836" t="str">
        <x:v>A</x:v>
      </x:c>
      <x:c r="G836" t="n">
        <x:v>25</x:v>
      </x:c>
      <x:c r="H836" t="str">
        <x:v>ORD-2025-00162</x:v>
      </x:c>
      <x:c r="I836" t="n">
        <x:v>13</x:v>
      </x:c>
      <x:c r="J836" t="n">
        <x:v>8</x:v>
      </x:c>
      <x:c r="K836" t="n">
        <x:v>3</x:v>
      </x:c>
      <x:c r="L836" t="n">
        <x:f>IF(I836&lt;=J836,1,0)</x:f>
        <x:v>0</x:v>
      </x:c>
      <x:c r="P836" t="n">
        <x:f>IF(M836="",IF(AND(L836=1,K836&gt;=1),1,0),M836)</x:f>
        <x:v>0</x:v>
      </x:c>
      <x:c r="Q836" t="n">
        <x:f>IF(N836="",IF(AND(L836=1,K836&gt;=2),1,0),N836)</x:f>
        <x:v>0</x:v>
      </x:c>
      <x:c r="R836" t="n">
        <x:f>IF(O836="",IF(AND(L836=1,K836&gt;=3),1,0),O836)</x:f>
        <x:v>0</x:v>
      </x:c>
      <x:c r="S836" t="n">
        <x:f>SUM(P836:R836)</x:f>
        <x:v>0</x:v>
      </x:c>
      <x:c r="T836" t="str">
        <x:f>IF(COUNTA(M836:O836)=0,"DerivedFromCount","ManualOverride")</x:f>
        <x:v>DerivedFromCount</x:v>
      </x:c>
      <x:c r="U836" t="str">
        <x:f>IF(COUNTIF(DailyProduction!$Q$5:$Q$100,B836)=1,"OK","CHECK")</x:f>
        <x:v>OK</x:v>
      </x:c>
      <x:c r="V836" t="str">
        <x:f>IF(AND(I836&gt;=1,I836&lt;=13,K836&gt;=1,K836&lt;=3),"OK","CHECK")</x:f>
        <x:v>OK</x:v>
      </x:c>
      <x:c r="W836" t="str">
        <x:f>IF(SUMIF($B$5:$B$914,B836,$S$5:$S$914)=SUMIF(DailyProduction!$Q$5:$Q$100,B836,DailyProduction!$R$5:$R$100),"OK","CHECK")</x:f>
        <x:v>OK</x:v>
      </x:c>
    </x:row>
    <x:row r="837">
      <x:c r="A837" t="str">
        <x:v>PC-PE-KG01-L25-20251024-AM-ORD-2025-00162-S01</x:v>
      </x:c>
      <x:c r="B837" t="str">
        <x:v>PE-KG01-L25-20251024-AM-ORD-2025-00162</x:v>
      </x:c>
      <x:c r="C837" t="str">
        <x:v>KG01</x:v>
      </x:c>
      <x:c r="D837" t="n">
        <x:v>45954</x:v>
      </x:c>
      <x:c r="E837" t="str">
        <x:v>AM</x:v>
      </x:c>
      <x:c r="F837" t="str">
        <x:v>A</x:v>
      </x:c>
      <x:c r="G837" t="n">
        <x:v>25</x:v>
      </x:c>
      <x:c r="H837" t="str">
        <x:v>ORD-2025-00162</x:v>
      </x:c>
      <x:c r="I837" t="n">
        <x:v>1</x:v>
      </x:c>
      <x:c r="J837" t="n">
        <x:v>8</x:v>
      </x:c>
      <x:c r="K837" t="n">
        <x:v>3</x:v>
      </x:c>
      <x:c r="L837" t="n">
        <x:f>IF(I837&lt;=J837,1,0)</x:f>
        <x:v>1</x:v>
      </x:c>
      <x:c r="P837" t="n">
        <x:f>IF(M837="",IF(AND(L837=1,K837&gt;=1),1,0),M837)</x:f>
        <x:v>1</x:v>
      </x:c>
      <x:c r="Q837" t="n">
        <x:f>IF(N837="",IF(AND(L837=1,K837&gt;=2),1,0),N837)</x:f>
        <x:v>1</x:v>
      </x:c>
      <x:c r="R837" t="n">
        <x:f>IF(O837="",IF(AND(L837=1,K837&gt;=3),1,0),O837)</x:f>
        <x:v>1</x:v>
      </x:c>
      <x:c r="S837" t="n">
        <x:f>SUM(P837:R837)</x:f>
        <x:v>3</x:v>
      </x:c>
      <x:c r="T837" t="str">
        <x:f>IF(COUNTA(M837:O837)=0,"DerivedFromCount","ManualOverride")</x:f>
        <x:v>DerivedFromCount</x:v>
      </x:c>
      <x:c r="U837" t="str">
        <x:f>IF(COUNTIF(DailyProduction!$Q$5:$Q$100,B837)=1,"OK","CHECK")</x:f>
        <x:v>OK</x:v>
      </x:c>
      <x:c r="V837" t="str">
        <x:f>IF(AND(I837&gt;=1,I837&lt;=13,K837&gt;=1,K837&lt;=3),"OK","CHECK")</x:f>
        <x:v>OK</x:v>
      </x:c>
      <x:c r="W837" t="str">
        <x:f>IF(SUMIF($B$5:$B$914,B837,$S$5:$S$914)=SUMIF(DailyProduction!$Q$5:$Q$100,B837,DailyProduction!$R$5:$R$100),"OK","CHECK")</x:f>
        <x:v>OK</x:v>
      </x:c>
    </x:row>
    <x:row r="838">
      <x:c r="A838" t="str">
        <x:v>PC-PE-KG01-L25-20251024-AM-ORD-2025-00162-S02</x:v>
      </x:c>
      <x:c r="B838" t="str">
        <x:v>PE-KG01-L25-20251024-AM-ORD-2025-00162</x:v>
      </x:c>
      <x:c r="C838" t="str">
        <x:v>KG01</x:v>
      </x:c>
      <x:c r="D838" t="n">
        <x:v>45954</x:v>
      </x:c>
      <x:c r="E838" t="str">
        <x:v>AM</x:v>
      </x:c>
      <x:c r="F838" t="str">
        <x:v>A</x:v>
      </x:c>
      <x:c r="G838" t="n">
        <x:v>25</x:v>
      </x:c>
      <x:c r="H838" t="str">
        <x:v>ORD-2025-00162</x:v>
      </x:c>
      <x:c r="I838" t="n">
        <x:v>2</x:v>
      </x:c>
      <x:c r="J838" t="n">
        <x:v>8</x:v>
      </x:c>
      <x:c r="K838" t="n">
        <x:v>3</x:v>
      </x:c>
      <x:c r="L838" t="n">
        <x:f>IF(I838&lt;=J838,1,0)</x:f>
        <x:v>1</x:v>
      </x:c>
      <x:c r="P838" t="n">
        <x:f>IF(M838="",IF(AND(L838=1,K838&gt;=1),1,0),M838)</x:f>
        <x:v>1</x:v>
      </x:c>
      <x:c r="Q838" t="n">
        <x:f>IF(N838="",IF(AND(L838=1,K838&gt;=2),1,0),N838)</x:f>
        <x:v>1</x:v>
      </x:c>
      <x:c r="R838" t="n">
        <x:f>IF(O838="",IF(AND(L838=1,K838&gt;=3),1,0),O838)</x:f>
        <x:v>1</x:v>
      </x:c>
      <x:c r="S838" t="n">
        <x:f>SUM(P838:R838)</x:f>
        <x:v>3</x:v>
      </x:c>
      <x:c r="T838" t="str">
        <x:f>IF(COUNTA(M838:O838)=0,"DerivedFromCount","ManualOverride")</x:f>
        <x:v>DerivedFromCount</x:v>
      </x:c>
      <x:c r="U838" t="str">
        <x:f>IF(COUNTIF(DailyProduction!$Q$5:$Q$100,B838)=1,"OK","CHECK")</x:f>
        <x:v>OK</x:v>
      </x:c>
      <x:c r="V838" t="str">
        <x:f>IF(AND(I838&gt;=1,I838&lt;=13,K838&gt;=1,K838&lt;=3),"OK","CHECK")</x:f>
        <x:v>OK</x:v>
      </x:c>
      <x:c r="W838" t="str">
        <x:f>IF(SUMIF($B$5:$B$914,B838,$S$5:$S$914)=SUMIF(DailyProduction!$Q$5:$Q$100,B838,DailyProduction!$R$5:$R$100),"OK","CHECK")</x:f>
        <x:v>OK</x:v>
      </x:c>
    </x:row>
    <x:row r="839">
      <x:c r="A839" t="str">
        <x:v>PC-PE-KG01-L25-20251024-AM-ORD-2025-00162-S03</x:v>
      </x:c>
      <x:c r="B839" t="str">
        <x:v>PE-KG01-L25-20251024-AM-ORD-2025-00162</x:v>
      </x:c>
      <x:c r="C839" t="str">
        <x:v>KG01</x:v>
      </x:c>
      <x:c r="D839" t="n">
        <x:v>45954</x:v>
      </x:c>
      <x:c r="E839" t="str">
        <x:v>AM</x:v>
      </x:c>
      <x:c r="F839" t="str">
        <x:v>A</x:v>
      </x:c>
      <x:c r="G839" t="n">
        <x:v>25</x:v>
      </x:c>
      <x:c r="H839" t="str">
        <x:v>ORD-2025-00162</x:v>
      </x:c>
      <x:c r="I839" t="n">
        <x:v>3</x:v>
      </x:c>
      <x:c r="J839" t="n">
        <x:v>8</x:v>
      </x:c>
      <x:c r="K839" t="n">
        <x:v>3</x:v>
      </x:c>
      <x:c r="L839" t="n">
        <x:f>IF(I839&lt;=J839,1,0)</x:f>
        <x:v>1</x:v>
      </x:c>
      <x:c r="P839" t="n">
        <x:f>IF(M839="",IF(AND(L839=1,K839&gt;=1),1,0),M839)</x:f>
        <x:v>1</x:v>
      </x:c>
      <x:c r="Q839" t="n">
        <x:f>IF(N839="",IF(AND(L839=1,K839&gt;=2),1,0),N839)</x:f>
        <x:v>1</x:v>
      </x:c>
      <x:c r="R839" t="n">
        <x:f>IF(O839="",IF(AND(L839=1,K839&gt;=3),1,0),O839)</x:f>
        <x:v>1</x:v>
      </x:c>
      <x:c r="S839" t="n">
        <x:f>SUM(P839:R839)</x:f>
        <x:v>3</x:v>
      </x:c>
      <x:c r="T839" t="str">
        <x:f>IF(COUNTA(M839:O839)=0,"DerivedFromCount","ManualOverride")</x:f>
        <x:v>DerivedFromCount</x:v>
      </x:c>
      <x:c r="U839" t="str">
        <x:f>IF(COUNTIF(DailyProduction!$Q$5:$Q$100,B839)=1,"OK","CHECK")</x:f>
        <x:v>OK</x:v>
      </x:c>
      <x:c r="V839" t="str">
        <x:f>IF(AND(I839&gt;=1,I839&lt;=13,K839&gt;=1,K839&lt;=3),"OK","CHECK")</x:f>
        <x:v>OK</x:v>
      </x:c>
      <x:c r="W839" t="str">
        <x:f>IF(SUMIF($B$5:$B$914,B839,$S$5:$S$914)=SUMIF(DailyProduction!$Q$5:$Q$100,B839,DailyProduction!$R$5:$R$100),"OK","CHECK")</x:f>
        <x:v>OK</x:v>
      </x:c>
    </x:row>
    <x:row r="840">
      <x:c r="A840" t="str">
        <x:v>PC-PE-KG01-L25-20251024-AM-ORD-2025-00162-S04</x:v>
      </x:c>
      <x:c r="B840" t="str">
        <x:v>PE-KG01-L25-20251024-AM-ORD-2025-00162</x:v>
      </x:c>
      <x:c r="C840" t="str">
        <x:v>KG01</x:v>
      </x:c>
      <x:c r="D840" t="n">
        <x:v>45954</x:v>
      </x:c>
      <x:c r="E840" t="str">
        <x:v>AM</x:v>
      </x:c>
      <x:c r="F840" t="str">
        <x:v>A</x:v>
      </x:c>
      <x:c r="G840" t="n">
        <x:v>25</x:v>
      </x:c>
      <x:c r="H840" t="str">
        <x:v>ORD-2025-00162</x:v>
      </x:c>
      <x:c r="I840" t="n">
        <x:v>4</x:v>
      </x:c>
      <x:c r="J840" t="n">
        <x:v>8</x:v>
      </x:c>
      <x:c r="K840" t="n">
        <x:v>3</x:v>
      </x:c>
      <x:c r="L840" t="n">
        <x:f>IF(I840&lt;=J840,1,0)</x:f>
        <x:v>1</x:v>
      </x:c>
      <x:c r="P840" t="n">
        <x:f>IF(M840="",IF(AND(L840=1,K840&gt;=1),1,0),M840)</x:f>
        <x:v>1</x:v>
      </x:c>
      <x:c r="Q840" t="n">
        <x:f>IF(N840="",IF(AND(L840=1,K840&gt;=2),1,0),N840)</x:f>
        <x:v>1</x:v>
      </x:c>
      <x:c r="R840" t="n">
        <x:f>IF(O840="",IF(AND(L840=1,K840&gt;=3),1,0),O840)</x:f>
        <x:v>1</x:v>
      </x:c>
      <x:c r="S840" t="n">
        <x:f>SUM(P840:R840)</x:f>
        <x:v>3</x:v>
      </x:c>
      <x:c r="T840" t="str">
        <x:f>IF(COUNTA(M840:O840)=0,"DerivedFromCount","ManualOverride")</x:f>
        <x:v>DerivedFromCount</x:v>
      </x:c>
      <x:c r="U840" t="str">
        <x:f>IF(COUNTIF(DailyProduction!$Q$5:$Q$100,B840)=1,"OK","CHECK")</x:f>
        <x:v>OK</x:v>
      </x:c>
      <x:c r="V840" t="str">
        <x:f>IF(AND(I840&gt;=1,I840&lt;=13,K840&gt;=1,K840&lt;=3),"OK","CHECK")</x:f>
        <x:v>OK</x:v>
      </x:c>
      <x:c r="W840" t="str">
        <x:f>IF(SUMIF($B$5:$B$914,B840,$S$5:$S$914)=SUMIF(DailyProduction!$Q$5:$Q$100,B840,DailyProduction!$R$5:$R$100),"OK","CHECK")</x:f>
        <x:v>OK</x:v>
      </x:c>
    </x:row>
    <x:row r="841">
      <x:c r="A841" t="str">
        <x:v>PC-PE-KG01-L25-20251024-AM-ORD-2025-00162-S05</x:v>
      </x:c>
      <x:c r="B841" t="str">
        <x:v>PE-KG01-L25-20251024-AM-ORD-2025-00162</x:v>
      </x:c>
      <x:c r="C841" t="str">
        <x:v>KG01</x:v>
      </x:c>
      <x:c r="D841" t="n">
        <x:v>45954</x:v>
      </x:c>
      <x:c r="E841" t="str">
        <x:v>AM</x:v>
      </x:c>
      <x:c r="F841" t="str">
        <x:v>A</x:v>
      </x:c>
      <x:c r="G841" t="n">
        <x:v>25</x:v>
      </x:c>
      <x:c r="H841" t="str">
        <x:v>ORD-2025-00162</x:v>
      </x:c>
      <x:c r="I841" t="n">
        <x:v>5</x:v>
      </x:c>
      <x:c r="J841" t="n">
        <x:v>8</x:v>
      </x:c>
      <x:c r="K841" t="n">
        <x:v>3</x:v>
      </x:c>
      <x:c r="L841" t="n">
        <x:f>IF(I841&lt;=J841,1,0)</x:f>
        <x:v>1</x:v>
      </x:c>
      <x:c r="P841" t="n">
        <x:f>IF(M841="",IF(AND(L841=1,K841&gt;=1),1,0),M841)</x:f>
        <x:v>1</x:v>
      </x:c>
      <x:c r="Q841" t="n">
        <x:f>IF(N841="",IF(AND(L841=1,K841&gt;=2),1,0),N841)</x:f>
        <x:v>1</x:v>
      </x:c>
      <x:c r="R841" t="n">
        <x:f>IF(O841="",IF(AND(L841=1,K841&gt;=3),1,0),O841)</x:f>
        <x:v>1</x:v>
      </x:c>
      <x:c r="S841" t="n">
        <x:f>SUM(P841:R841)</x:f>
        <x:v>3</x:v>
      </x:c>
      <x:c r="T841" t="str">
        <x:f>IF(COUNTA(M841:O841)=0,"DerivedFromCount","ManualOverride")</x:f>
        <x:v>DerivedFromCount</x:v>
      </x:c>
      <x:c r="U841" t="str">
        <x:f>IF(COUNTIF(DailyProduction!$Q$5:$Q$100,B841)=1,"OK","CHECK")</x:f>
        <x:v>OK</x:v>
      </x:c>
      <x:c r="V841" t="str">
        <x:f>IF(AND(I841&gt;=1,I841&lt;=13,K841&gt;=1,K841&lt;=3),"OK","CHECK")</x:f>
        <x:v>OK</x:v>
      </x:c>
      <x:c r="W841" t="str">
        <x:f>IF(SUMIF($B$5:$B$914,B841,$S$5:$S$914)=SUMIF(DailyProduction!$Q$5:$Q$100,B841,DailyProduction!$R$5:$R$100),"OK","CHECK")</x:f>
        <x:v>OK</x:v>
      </x:c>
    </x:row>
    <x:row r="842">
      <x:c r="A842" t="str">
        <x:v>PC-PE-KG01-L25-20251024-AM-ORD-2025-00162-S06</x:v>
      </x:c>
      <x:c r="B842" t="str">
        <x:v>PE-KG01-L25-20251024-AM-ORD-2025-00162</x:v>
      </x:c>
      <x:c r="C842" t="str">
        <x:v>KG01</x:v>
      </x:c>
      <x:c r="D842" t="n">
        <x:v>45954</x:v>
      </x:c>
      <x:c r="E842" t="str">
        <x:v>AM</x:v>
      </x:c>
      <x:c r="F842" t="str">
        <x:v>A</x:v>
      </x:c>
      <x:c r="G842" t="n">
        <x:v>25</x:v>
      </x:c>
      <x:c r="H842" t="str">
        <x:v>ORD-2025-00162</x:v>
      </x:c>
      <x:c r="I842" t="n">
        <x:v>6</x:v>
      </x:c>
      <x:c r="J842" t="n">
        <x:v>8</x:v>
      </x:c>
      <x:c r="K842" t="n">
        <x:v>3</x:v>
      </x:c>
      <x:c r="L842" t="n">
        <x:f>IF(I842&lt;=J842,1,0)</x:f>
        <x:v>1</x:v>
      </x:c>
      <x:c r="P842" t="n">
        <x:f>IF(M842="",IF(AND(L842=1,K842&gt;=1),1,0),M842)</x:f>
        <x:v>1</x:v>
      </x:c>
      <x:c r="Q842" t="n">
        <x:f>IF(N842="",IF(AND(L842=1,K842&gt;=2),1,0),N842)</x:f>
        <x:v>1</x:v>
      </x:c>
      <x:c r="R842" t="n">
        <x:f>IF(O842="",IF(AND(L842=1,K842&gt;=3),1,0),O842)</x:f>
        <x:v>1</x:v>
      </x:c>
      <x:c r="S842" t="n">
        <x:f>SUM(P842:R842)</x:f>
        <x:v>3</x:v>
      </x:c>
      <x:c r="T842" t="str">
        <x:f>IF(COUNTA(M842:O842)=0,"DerivedFromCount","ManualOverride")</x:f>
        <x:v>DerivedFromCount</x:v>
      </x:c>
      <x:c r="U842" t="str">
        <x:f>IF(COUNTIF(DailyProduction!$Q$5:$Q$100,B842)=1,"OK","CHECK")</x:f>
        <x:v>OK</x:v>
      </x:c>
      <x:c r="V842" t="str">
        <x:f>IF(AND(I842&gt;=1,I842&lt;=13,K842&gt;=1,K842&lt;=3),"OK","CHECK")</x:f>
        <x:v>OK</x:v>
      </x:c>
      <x:c r="W842" t="str">
        <x:f>IF(SUMIF($B$5:$B$914,B842,$S$5:$S$914)=SUMIF(DailyProduction!$Q$5:$Q$100,B842,DailyProduction!$R$5:$R$100),"OK","CHECK")</x:f>
        <x:v>OK</x:v>
      </x:c>
    </x:row>
    <x:row r="843">
      <x:c r="A843" t="str">
        <x:v>PC-PE-KG01-L25-20251024-AM-ORD-2025-00162-S07</x:v>
      </x:c>
      <x:c r="B843" t="str">
        <x:v>PE-KG01-L25-20251024-AM-ORD-2025-00162</x:v>
      </x:c>
      <x:c r="C843" t="str">
        <x:v>KG01</x:v>
      </x:c>
      <x:c r="D843" t="n">
        <x:v>45954</x:v>
      </x:c>
      <x:c r="E843" t="str">
        <x:v>AM</x:v>
      </x:c>
      <x:c r="F843" t="str">
        <x:v>A</x:v>
      </x:c>
      <x:c r="G843" t="n">
        <x:v>25</x:v>
      </x:c>
      <x:c r="H843" t="str">
        <x:v>ORD-2025-00162</x:v>
      </x:c>
      <x:c r="I843" t="n">
        <x:v>7</x:v>
      </x:c>
      <x:c r="J843" t="n">
        <x:v>8</x:v>
      </x:c>
      <x:c r="K843" t="n">
        <x:v>3</x:v>
      </x:c>
      <x:c r="L843" t="n">
        <x:f>IF(I843&lt;=J843,1,0)</x:f>
        <x:v>1</x:v>
      </x:c>
      <x:c r="P843" t="n">
        <x:f>IF(M843="",IF(AND(L843=1,K843&gt;=1),1,0),M843)</x:f>
        <x:v>1</x:v>
      </x:c>
      <x:c r="Q843" t="n">
        <x:f>IF(N843="",IF(AND(L843=1,K843&gt;=2),1,0),N843)</x:f>
        <x:v>1</x:v>
      </x:c>
      <x:c r="R843" t="n">
        <x:f>IF(O843="",IF(AND(L843=1,K843&gt;=3),1,0),O843)</x:f>
        <x:v>1</x:v>
      </x:c>
      <x:c r="S843" t="n">
        <x:f>SUM(P843:R843)</x:f>
        <x:v>3</x:v>
      </x:c>
      <x:c r="T843" t="str">
        <x:f>IF(COUNTA(M843:O843)=0,"DerivedFromCount","ManualOverride")</x:f>
        <x:v>DerivedFromCount</x:v>
      </x:c>
      <x:c r="U843" t="str">
        <x:f>IF(COUNTIF(DailyProduction!$Q$5:$Q$100,B843)=1,"OK","CHECK")</x:f>
        <x:v>OK</x:v>
      </x:c>
      <x:c r="V843" t="str">
        <x:f>IF(AND(I843&gt;=1,I843&lt;=13,K843&gt;=1,K843&lt;=3),"OK","CHECK")</x:f>
        <x:v>OK</x:v>
      </x:c>
      <x:c r="W843" t="str">
        <x:f>IF(SUMIF($B$5:$B$914,B843,$S$5:$S$914)=SUMIF(DailyProduction!$Q$5:$Q$100,B843,DailyProduction!$R$5:$R$100),"OK","CHECK")</x:f>
        <x:v>OK</x:v>
      </x:c>
    </x:row>
    <x:row r="844">
      <x:c r="A844" t="str">
        <x:v>PC-PE-KG01-L25-20251024-AM-ORD-2025-00162-S08</x:v>
      </x:c>
      <x:c r="B844" t="str">
        <x:v>PE-KG01-L25-20251024-AM-ORD-2025-00162</x:v>
      </x:c>
      <x:c r="C844" t="str">
        <x:v>KG01</x:v>
      </x:c>
      <x:c r="D844" t="n">
        <x:v>45954</x:v>
      </x:c>
      <x:c r="E844" t="str">
        <x:v>AM</x:v>
      </x:c>
      <x:c r="F844" t="str">
        <x:v>A</x:v>
      </x:c>
      <x:c r="G844" t="n">
        <x:v>25</x:v>
      </x:c>
      <x:c r="H844" t="str">
        <x:v>ORD-2025-00162</x:v>
      </x:c>
      <x:c r="I844" t="n">
        <x:v>8</x:v>
      </x:c>
      <x:c r="J844" t="n">
        <x:v>8</x:v>
      </x:c>
      <x:c r="K844" t="n">
        <x:v>3</x:v>
      </x:c>
      <x:c r="L844" t="n">
        <x:f>IF(I844&lt;=J844,1,0)</x:f>
        <x:v>1</x:v>
      </x:c>
      <x:c r="P844" t="n">
        <x:f>IF(M844="",IF(AND(L844=1,K844&gt;=1),1,0),M844)</x:f>
        <x:v>1</x:v>
      </x:c>
      <x:c r="Q844" t="n">
        <x:f>IF(N844="",IF(AND(L844=1,K844&gt;=2),1,0),N844)</x:f>
        <x:v>1</x:v>
      </x:c>
      <x:c r="R844" t="n">
        <x:f>IF(O844="",IF(AND(L844=1,K844&gt;=3),1,0),O844)</x:f>
        <x:v>1</x:v>
      </x:c>
      <x:c r="S844" t="n">
        <x:f>SUM(P844:R844)</x:f>
        <x:v>3</x:v>
      </x:c>
      <x:c r="T844" t="str">
        <x:f>IF(COUNTA(M844:O844)=0,"DerivedFromCount","ManualOverride")</x:f>
        <x:v>DerivedFromCount</x:v>
      </x:c>
      <x:c r="U844" t="str">
        <x:f>IF(COUNTIF(DailyProduction!$Q$5:$Q$100,B844)=1,"OK","CHECK")</x:f>
        <x:v>OK</x:v>
      </x:c>
      <x:c r="V844" t="str">
        <x:f>IF(AND(I844&gt;=1,I844&lt;=13,K844&gt;=1,K844&lt;=3),"OK","CHECK")</x:f>
        <x:v>OK</x:v>
      </x:c>
      <x:c r="W844" t="str">
        <x:f>IF(SUMIF($B$5:$B$914,B844,$S$5:$S$914)=SUMIF(DailyProduction!$Q$5:$Q$100,B844,DailyProduction!$R$5:$R$100),"OK","CHECK")</x:f>
        <x:v>OK</x:v>
      </x:c>
    </x:row>
    <x:row r="845">
      <x:c r="A845" t="str">
        <x:v>PC-PE-KG01-L25-20251024-AM-ORD-2025-00162-S09</x:v>
      </x:c>
      <x:c r="B845" t="str">
        <x:v>PE-KG01-L25-20251024-AM-ORD-2025-00162</x:v>
      </x:c>
      <x:c r="C845" t="str">
        <x:v>KG01</x:v>
      </x:c>
      <x:c r="D845" t="n">
        <x:v>45954</x:v>
      </x:c>
      <x:c r="E845" t="str">
        <x:v>AM</x:v>
      </x:c>
      <x:c r="F845" t="str">
        <x:v>A</x:v>
      </x:c>
      <x:c r="G845" t="n">
        <x:v>25</x:v>
      </x:c>
      <x:c r="H845" t="str">
        <x:v>ORD-2025-00162</x:v>
      </x:c>
      <x:c r="I845" t="n">
        <x:v>9</x:v>
      </x:c>
      <x:c r="J845" t="n">
        <x:v>8</x:v>
      </x:c>
      <x:c r="K845" t="n">
        <x:v>3</x:v>
      </x:c>
      <x:c r="L845" t="n">
        <x:f>IF(I845&lt;=J845,1,0)</x:f>
        <x:v>0</x:v>
      </x:c>
      <x:c r="P845" t="n">
        <x:f>IF(M845="",IF(AND(L845=1,K845&gt;=1),1,0),M845)</x:f>
        <x:v>0</x:v>
      </x:c>
      <x:c r="Q845" t="n">
        <x:f>IF(N845="",IF(AND(L845=1,K845&gt;=2),1,0),N845)</x:f>
        <x:v>0</x:v>
      </x:c>
      <x:c r="R845" t="n">
        <x:f>IF(O845="",IF(AND(L845=1,K845&gt;=3),1,0),O845)</x:f>
        <x:v>0</x:v>
      </x:c>
      <x:c r="S845" t="n">
        <x:f>SUM(P845:R845)</x:f>
        <x:v>0</x:v>
      </x:c>
      <x:c r="T845" t="str">
        <x:f>IF(COUNTA(M845:O845)=0,"DerivedFromCount","ManualOverride")</x:f>
        <x:v>DerivedFromCount</x:v>
      </x:c>
      <x:c r="U845" t="str">
        <x:f>IF(COUNTIF(DailyProduction!$Q$5:$Q$100,B845)=1,"OK","CHECK")</x:f>
        <x:v>OK</x:v>
      </x:c>
      <x:c r="V845" t="str">
        <x:f>IF(AND(I845&gt;=1,I845&lt;=13,K845&gt;=1,K845&lt;=3),"OK","CHECK")</x:f>
        <x:v>OK</x:v>
      </x:c>
      <x:c r="W845" t="str">
        <x:f>IF(SUMIF($B$5:$B$914,B845,$S$5:$S$914)=SUMIF(DailyProduction!$Q$5:$Q$100,B845,DailyProduction!$R$5:$R$100),"OK","CHECK")</x:f>
        <x:v>OK</x:v>
      </x:c>
    </x:row>
    <x:row r="846">
      <x:c r="A846" t="str">
        <x:v>PC-PE-KG01-L25-20251024-AM-ORD-2025-00162-S10</x:v>
      </x:c>
      <x:c r="B846" t="str">
        <x:v>PE-KG01-L25-20251024-AM-ORD-2025-00162</x:v>
      </x:c>
      <x:c r="C846" t="str">
        <x:v>KG01</x:v>
      </x:c>
      <x:c r="D846" t="n">
        <x:v>45954</x:v>
      </x:c>
      <x:c r="E846" t="str">
        <x:v>AM</x:v>
      </x:c>
      <x:c r="F846" t="str">
        <x:v>A</x:v>
      </x:c>
      <x:c r="G846" t="n">
        <x:v>25</x:v>
      </x:c>
      <x:c r="H846" t="str">
        <x:v>ORD-2025-00162</x:v>
      </x:c>
      <x:c r="I846" t="n">
        <x:v>10</x:v>
      </x:c>
      <x:c r="J846" t="n">
        <x:v>8</x:v>
      </x:c>
      <x:c r="K846" t="n">
        <x:v>3</x:v>
      </x:c>
      <x:c r="L846" t="n">
        <x:f>IF(I846&lt;=J846,1,0)</x:f>
        <x:v>0</x:v>
      </x:c>
      <x:c r="P846" t="n">
        <x:f>IF(M846="",IF(AND(L846=1,K846&gt;=1),1,0),M846)</x:f>
        <x:v>0</x:v>
      </x:c>
      <x:c r="Q846" t="n">
        <x:f>IF(N846="",IF(AND(L846=1,K846&gt;=2),1,0),N846)</x:f>
        <x:v>0</x:v>
      </x:c>
      <x:c r="R846" t="n">
        <x:f>IF(O846="",IF(AND(L846=1,K846&gt;=3),1,0),O846)</x:f>
        <x:v>0</x:v>
      </x:c>
      <x:c r="S846" t="n">
        <x:f>SUM(P846:R846)</x:f>
        <x:v>0</x:v>
      </x:c>
      <x:c r="T846" t="str">
        <x:f>IF(COUNTA(M846:O846)=0,"DerivedFromCount","ManualOverride")</x:f>
        <x:v>DerivedFromCount</x:v>
      </x:c>
      <x:c r="U846" t="str">
        <x:f>IF(COUNTIF(DailyProduction!$Q$5:$Q$100,B846)=1,"OK","CHECK")</x:f>
        <x:v>OK</x:v>
      </x:c>
      <x:c r="V846" t="str">
        <x:f>IF(AND(I846&gt;=1,I846&lt;=13,K846&gt;=1,K846&lt;=3),"OK","CHECK")</x:f>
        <x:v>OK</x:v>
      </x:c>
      <x:c r="W846" t="str">
        <x:f>IF(SUMIF($B$5:$B$914,B846,$S$5:$S$914)=SUMIF(DailyProduction!$Q$5:$Q$100,B846,DailyProduction!$R$5:$R$100),"OK","CHECK")</x:f>
        <x:v>OK</x:v>
      </x:c>
    </x:row>
    <x:row r="847">
      <x:c r="A847" t="str">
        <x:v>PC-PE-KG01-L25-20251024-AM-ORD-2025-00162-S11</x:v>
      </x:c>
      <x:c r="B847" t="str">
        <x:v>PE-KG01-L25-20251024-AM-ORD-2025-00162</x:v>
      </x:c>
      <x:c r="C847" t="str">
        <x:v>KG01</x:v>
      </x:c>
      <x:c r="D847" t="n">
        <x:v>45954</x:v>
      </x:c>
      <x:c r="E847" t="str">
        <x:v>AM</x:v>
      </x:c>
      <x:c r="F847" t="str">
        <x:v>A</x:v>
      </x:c>
      <x:c r="G847" t="n">
        <x:v>25</x:v>
      </x:c>
      <x:c r="H847" t="str">
        <x:v>ORD-2025-00162</x:v>
      </x:c>
      <x:c r="I847" t="n">
        <x:v>11</x:v>
      </x:c>
      <x:c r="J847" t="n">
        <x:v>8</x:v>
      </x:c>
      <x:c r="K847" t="n">
        <x:v>3</x:v>
      </x:c>
      <x:c r="L847" t="n">
        <x:f>IF(I847&lt;=J847,1,0)</x:f>
        <x:v>0</x:v>
      </x:c>
      <x:c r="P847" t="n">
        <x:f>IF(M847="",IF(AND(L847=1,K847&gt;=1),1,0),M847)</x:f>
        <x:v>0</x:v>
      </x:c>
      <x:c r="Q847" t="n">
        <x:f>IF(N847="",IF(AND(L847=1,K847&gt;=2),1,0),N847)</x:f>
        <x:v>0</x:v>
      </x:c>
      <x:c r="R847" t="n">
        <x:f>IF(O847="",IF(AND(L847=1,K847&gt;=3),1,0),O847)</x:f>
        <x:v>0</x:v>
      </x:c>
      <x:c r="S847" t="n">
        <x:f>SUM(P847:R847)</x:f>
        <x:v>0</x:v>
      </x:c>
      <x:c r="T847" t="str">
        <x:f>IF(COUNTA(M847:O847)=0,"DerivedFromCount","ManualOverride")</x:f>
        <x:v>DerivedFromCount</x:v>
      </x:c>
      <x:c r="U847" t="str">
        <x:f>IF(COUNTIF(DailyProduction!$Q$5:$Q$100,B847)=1,"OK","CHECK")</x:f>
        <x:v>OK</x:v>
      </x:c>
      <x:c r="V847" t="str">
        <x:f>IF(AND(I847&gt;=1,I847&lt;=13,K847&gt;=1,K847&lt;=3),"OK","CHECK")</x:f>
        <x:v>OK</x:v>
      </x:c>
      <x:c r="W847" t="str">
        <x:f>IF(SUMIF($B$5:$B$914,B847,$S$5:$S$914)=SUMIF(DailyProduction!$Q$5:$Q$100,B847,DailyProduction!$R$5:$R$100),"OK","CHECK")</x:f>
        <x:v>OK</x:v>
      </x:c>
    </x:row>
    <x:row r="848">
      <x:c r="A848" t="str">
        <x:v>PC-PE-KG01-L25-20251024-AM-ORD-2025-00162-S12</x:v>
      </x:c>
      <x:c r="B848" t="str">
        <x:v>PE-KG01-L25-20251024-AM-ORD-2025-00162</x:v>
      </x:c>
      <x:c r="C848" t="str">
        <x:v>KG01</x:v>
      </x:c>
      <x:c r="D848" t="n">
        <x:v>45954</x:v>
      </x:c>
      <x:c r="E848" t="str">
        <x:v>AM</x:v>
      </x:c>
      <x:c r="F848" t="str">
        <x:v>A</x:v>
      </x:c>
      <x:c r="G848" t="n">
        <x:v>25</x:v>
      </x:c>
      <x:c r="H848" t="str">
        <x:v>ORD-2025-00162</x:v>
      </x:c>
      <x:c r="I848" t="n">
        <x:v>12</x:v>
      </x:c>
      <x:c r="J848" t="n">
        <x:v>8</x:v>
      </x:c>
      <x:c r="K848" t="n">
        <x:v>3</x:v>
      </x:c>
      <x:c r="L848" t="n">
        <x:f>IF(I848&lt;=J848,1,0)</x:f>
        <x:v>0</x:v>
      </x:c>
      <x:c r="P848" t="n">
        <x:f>IF(M848="",IF(AND(L848=1,K848&gt;=1),1,0),M848)</x:f>
        <x:v>0</x:v>
      </x:c>
      <x:c r="Q848" t="n">
        <x:f>IF(N848="",IF(AND(L848=1,K848&gt;=2),1,0),N848)</x:f>
        <x:v>0</x:v>
      </x:c>
      <x:c r="R848" t="n">
        <x:f>IF(O848="",IF(AND(L848=1,K848&gt;=3),1,0),O848)</x:f>
        <x:v>0</x:v>
      </x:c>
      <x:c r="S848" t="n">
        <x:f>SUM(P848:R848)</x:f>
        <x:v>0</x:v>
      </x:c>
      <x:c r="T848" t="str">
        <x:f>IF(COUNTA(M848:O848)=0,"DerivedFromCount","ManualOverride")</x:f>
        <x:v>DerivedFromCount</x:v>
      </x:c>
      <x:c r="U848" t="str">
        <x:f>IF(COUNTIF(DailyProduction!$Q$5:$Q$100,B848)=1,"OK","CHECK")</x:f>
        <x:v>OK</x:v>
      </x:c>
      <x:c r="V848" t="str">
        <x:f>IF(AND(I848&gt;=1,I848&lt;=13,K848&gt;=1,K848&lt;=3),"OK","CHECK")</x:f>
        <x:v>OK</x:v>
      </x:c>
      <x:c r="W848" t="str">
        <x:f>IF(SUMIF($B$5:$B$914,B848,$S$5:$S$914)=SUMIF(DailyProduction!$Q$5:$Q$100,B848,DailyProduction!$R$5:$R$100),"OK","CHECK")</x:f>
        <x:v>OK</x:v>
      </x:c>
    </x:row>
    <x:row r="849">
      <x:c r="A849" t="str">
        <x:v>PC-PE-KG01-L25-20251024-AM-ORD-2025-00162-S13</x:v>
      </x:c>
      <x:c r="B849" t="str">
        <x:v>PE-KG01-L25-20251024-AM-ORD-2025-00162</x:v>
      </x:c>
      <x:c r="C849" t="str">
        <x:v>KG01</x:v>
      </x:c>
      <x:c r="D849" t="n">
        <x:v>45954</x:v>
      </x:c>
      <x:c r="E849" t="str">
        <x:v>AM</x:v>
      </x:c>
      <x:c r="F849" t="str">
        <x:v>A</x:v>
      </x:c>
      <x:c r="G849" t="n">
        <x:v>25</x:v>
      </x:c>
      <x:c r="H849" t="str">
        <x:v>ORD-2025-00162</x:v>
      </x:c>
      <x:c r="I849" t="n">
        <x:v>13</x:v>
      </x:c>
      <x:c r="J849" t="n">
        <x:v>8</x:v>
      </x:c>
      <x:c r="K849" t="n">
        <x:v>3</x:v>
      </x:c>
      <x:c r="L849" t="n">
        <x:f>IF(I849&lt;=J849,1,0)</x:f>
        <x:v>0</x:v>
      </x:c>
      <x:c r="P849" t="n">
        <x:f>IF(M849="",IF(AND(L849=1,K849&gt;=1),1,0),M849)</x:f>
        <x:v>0</x:v>
      </x:c>
      <x:c r="Q849" t="n">
        <x:f>IF(N849="",IF(AND(L849=1,K849&gt;=2),1,0),N849)</x:f>
        <x:v>0</x:v>
      </x:c>
      <x:c r="R849" t="n">
        <x:f>IF(O849="",IF(AND(L849=1,K849&gt;=3),1,0),O849)</x:f>
        <x:v>0</x:v>
      </x:c>
      <x:c r="S849" t="n">
        <x:f>SUM(P849:R849)</x:f>
        <x:v>0</x:v>
      </x:c>
      <x:c r="T849" t="str">
        <x:f>IF(COUNTA(M849:O849)=0,"DerivedFromCount","ManualOverride")</x:f>
        <x:v>DerivedFromCount</x:v>
      </x:c>
      <x:c r="U849" t="str">
        <x:f>IF(COUNTIF(DailyProduction!$Q$5:$Q$100,B849)=1,"OK","CHECK")</x:f>
        <x:v>OK</x:v>
      </x:c>
      <x:c r="V849" t="str">
        <x:f>IF(AND(I849&gt;=1,I849&lt;=13,K849&gt;=1,K849&lt;=3),"OK","CHECK")</x:f>
        <x:v>OK</x:v>
      </x:c>
      <x:c r="W849" t="str">
        <x:f>IF(SUMIF($B$5:$B$914,B849,$S$5:$S$914)=SUMIF(DailyProduction!$Q$5:$Q$100,B849,DailyProduction!$R$5:$R$100),"OK","CHECK")</x:f>
        <x:v>OK</x:v>
      </x:c>
    </x:row>
    <x:row r="850">
      <x:c r="A850" t="str">
        <x:v>PC-PE-KG01-L25-20251024-PM-ORD-2025-00162-S01</x:v>
      </x:c>
      <x:c r="B850" t="str">
        <x:v>PE-KG01-L25-20251024-PM-ORD-2025-00162</x:v>
      </x:c>
      <x:c r="C850" t="str">
        <x:v>KG01</x:v>
      </x:c>
      <x:c r="D850" t="n">
        <x:v>45954</x:v>
      </x:c>
      <x:c r="E850" t="str">
        <x:v>PM</x:v>
      </x:c>
      <x:c r="F850" t="str">
        <x:v>B</x:v>
      </x:c>
      <x:c r="G850" t="n">
        <x:v>25</x:v>
      </x:c>
      <x:c r="H850" t="str">
        <x:v>ORD-2025-00162</x:v>
      </x:c>
      <x:c r="I850" t="n">
        <x:v>1</x:v>
      </x:c>
      <x:c r="J850" t="n">
        <x:v>8</x:v>
      </x:c>
      <x:c r="K850" t="n">
        <x:v>3</x:v>
      </x:c>
      <x:c r="L850" t="n">
        <x:f>IF(I850&lt;=J850,1,0)</x:f>
        <x:v>1</x:v>
      </x:c>
      <x:c r="P850" t="n">
        <x:f>IF(M850="",IF(AND(L850=1,K850&gt;=1),1,0),M850)</x:f>
        <x:v>1</x:v>
      </x:c>
      <x:c r="Q850" t="n">
        <x:f>IF(N850="",IF(AND(L850=1,K850&gt;=2),1,0),N850)</x:f>
        <x:v>1</x:v>
      </x:c>
      <x:c r="R850" t="n">
        <x:f>IF(O850="",IF(AND(L850=1,K850&gt;=3),1,0),O850)</x:f>
        <x:v>1</x:v>
      </x:c>
      <x:c r="S850" t="n">
        <x:f>SUM(P850:R850)</x:f>
        <x:v>3</x:v>
      </x:c>
      <x:c r="T850" t="str">
        <x:f>IF(COUNTA(M850:O850)=0,"DerivedFromCount","ManualOverride")</x:f>
        <x:v>DerivedFromCount</x:v>
      </x:c>
      <x:c r="U850" t="str">
        <x:f>IF(COUNTIF(DailyProduction!$Q$5:$Q$100,B850)=1,"OK","CHECK")</x:f>
        <x:v>OK</x:v>
      </x:c>
      <x:c r="V850" t="str">
        <x:f>IF(AND(I850&gt;=1,I850&lt;=13,K850&gt;=1,K850&lt;=3),"OK","CHECK")</x:f>
        <x:v>OK</x:v>
      </x:c>
      <x:c r="W850" t="str">
        <x:f>IF(SUMIF($B$5:$B$914,B850,$S$5:$S$914)=SUMIF(DailyProduction!$Q$5:$Q$100,B850,DailyProduction!$R$5:$R$100),"OK","CHECK")</x:f>
        <x:v>OK</x:v>
      </x:c>
    </x:row>
    <x:row r="851">
      <x:c r="A851" t="str">
        <x:v>PC-PE-KG01-L25-20251024-PM-ORD-2025-00162-S02</x:v>
      </x:c>
      <x:c r="B851" t="str">
        <x:v>PE-KG01-L25-20251024-PM-ORD-2025-00162</x:v>
      </x:c>
      <x:c r="C851" t="str">
        <x:v>KG01</x:v>
      </x:c>
      <x:c r="D851" t="n">
        <x:v>45954</x:v>
      </x:c>
      <x:c r="E851" t="str">
        <x:v>PM</x:v>
      </x:c>
      <x:c r="F851" t="str">
        <x:v>B</x:v>
      </x:c>
      <x:c r="G851" t="n">
        <x:v>25</x:v>
      </x:c>
      <x:c r="H851" t="str">
        <x:v>ORD-2025-00162</x:v>
      </x:c>
      <x:c r="I851" t="n">
        <x:v>2</x:v>
      </x:c>
      <x:c r="J851" t="n">
        <x:v>8</x:v>
      </x:c>
      <x:c r="K851" t="n">
        <x:v>3</x:v>
      </x:c>
      <x:c r="L851" t="n">
        <x:f>IF(I851&lt;=J851,1,0)</x:f>
        <x:v>1</x:v>
      </x:c>
      <x:c r="P851" t="n">
        <x:f>IF(M851="",IF(AND(L851=1,K851&gt;=1),1,0),M851)</x:f>
        <x:v>1</x:v>
      </x:c>
      <x:c r="Q851" t="n">
        <x:f>IF(N851="",IF(AND(L851=1,K851&gt;=2),1,0),N851)</x:f>
        <x:v>1</x:v>
      </x:c>
      <x:c r="R851" t="n">
        <x:f>IF(O851="",IF(AND(L851=1,K851&gt;=3),1,0),O851)</x:f>
        <x:v>1</x:v>
      </x:c>
      <x:c r="S851" t="n">
        <x:f>SUM(P851:R851)</x:f>
        <x:v>3</x:v>
      </x:c>
      <x:c r="T851" t="str">
        <x:f>IF(COUNTA(M851:O851)=0,"DerivedFromCount","ManualOverride")</x:f>
        <x:v>DerivedFromCount</x:v>
      </x:c>
      <x:c r="U851" t="str">
        <x:f>IF(COUNTIF(DailyProduction!$Q$5:$Q$100,B851)=1,"OK","CHECK")</x:f>
        <x:v>OK</x:v>
      </x:c>
      <x:c r="V851" t="str">
        <x:f>IF(AND(I851&gt;=1,I851&lt;=13,K851&gt;=1,K851&lt;=3),"OK","CHECK")</x:f>
        <x:v>OK</x:v>
      </x:c>
      <x:c r="W851" t="str">
        <x:f>IF(SUMIF($B$5:$B$914,B851,$S$5:$S$914)=SUMIF(DailyProduction!$Q$5:$Q$100,B851,DailyProduction!$R$5:$R$100),"OK","CHECK")</x:f>
        <x:v>OK</x:v>
      </x:c>
    </x:row>
    <x:row r="852">
      <x:c r="A852" t="str">
        <x:v>PC-PE-KG01-L25-20251024-PM-ORD-2025-00162-S03</x:v>
      </x:c>
      <x:c r="B852" t="str">
        <x:v>PE-KG01-L25-20251024-PM-ORD-2025-00162</x:v>
      </x:c>
      <x:c r="C852" t="str">
        <x:v>KG01</x:v>
      </x:c>
      <x:c r="D852" t="n">
        <x:v>45954</x:v>
      </x:c>
      <x:c r="E852" t="str">
        <x:v>PM</x:v>
      </x:c>
      <x:c r="F852" t="str">
        <x:v>B</x:v>
      </x:c>
      <x:c r="G852" t="n">
        <x:v>25</x:v>
      </x:c>
      <x:c r="H852" t="str">
        <x:v>ORD-2025-00162</x:v>
      </x:c>
      <x:c r="I852" t="n">
        <x:v>3</x:v>
      </x:c>
      <x:c r="J852" t="n">
        <x:v>8</x:v>
      </x:c>
      <x:c r="K852" t="n">
        <x:v>3</x:v>
      </x:c>
      <x:c r="L852" t="n">
        <x:f>IF(I852&lt;=J852,1,0)</x:f>
        <x:v>1</x:v>
      </x:c>
      <x:c r="P852" t="n">
        <x:f>IF(M852="",IF(AND(L852=1,K852&gt;=1),1,0),M852)</x:f>
        <x:v>1</x:v>
      </x:c>
      <x:c r="Q852" t="n">
        <x:f>IF(N852="",IF(AND(L852=1,K852&gt;=2),1,0),N852)</x:f>
        <x:v>1</x:v>
      </x:c>
      <x:c r="R852" t="n">
        <x:f>IF(O852="",IF(AND(L852=1,K852&gt;=3),1,0),O852)</x:f>
        <x:v>1</x:v>
      </x:c>
      <x:c r="S852" t="n">
        <x:f>SUM(P852:R852)</x:f>
        <x:v>3</x:v>
      </x:c>
      <x:c r="T852" t="str">
        <x:f>IF(COUNTA(M852:O852)=0,"DerivedFromCount","ManualOverride")</x:f>
        <x:v>DerivedFromCount</x:v>
      </x:c>
      <x:c r="U852" t="str">
        <x:f>IF(COUNTIF(DailyProduction!$Q$5:$Q$100,B852)=1,"OK","CHECK")</x:f>
        <x:v>OK</x:v>
      </x:c>
      <x:c r="V852" t="str">
        <x:f>IF(AND(I852&gt;=1,I852&lt;=13,K852&gt;=1,K852&lt;=3),"OK","CHECK")</x:f>
        <x:v>OK</x:v>
      </x:c>
      <x:c r="W852" t="str">
        <x:f>IF(SUMIF($B$5:$B$914,B852,$S$5:$S$914)=SUMIF(DailyProduction!$Q$5:$Q$100,B852,DailyProduction!$R$5:$R$100),"OK","CHECK")</x:f>
        <x:v>OK</x:v>
      </x:c>
    </x:row>
    <x:row r="853">
      <x:c r="A853" t="str">
        <x:v>PC-PE-KG01-L25-20251024-PM-ORD-2025-00162-S04</x:v>
      </x:c>
      <x:c r="B853" t="str">
        <x:v>PE-KG01-L25-20251024-PM-ORD-2025-00162</x:v>
      </x:c>
      <x:c r="C853" t="str">
        <x:v>KG01</x:v>
      </x:c>
      <x:c r="D853" t="n">
        <x:v>45954</x:v>
      </x:c>
      <x:c r="E853" t="str">
        <x:v>PM</x:v>
      </x:c>
      <x:c r="F853" t="str">
        <x:v>B</x:v>
      </x:c>
      <x:c r="G853" t="n">
        <x:v>25</x:v>
      </x:c>
      <x:c r="H853" t="str">
        <x:v>ORD-2025-00162</x:v>
      </x:c>
      <x:c r="I853" t="n">
        <x:v>4</x:v>
      </x:c>
      <x:c r="J853" t="n">
        <x:v>8</x:v>
      </x:c>
      <x:c r="K853" t="n">
        <x:v>3</x:v>
      </x:c>
      <x:c r="L853" t="n">
        <x:f>IF(I853&lt;=J853,1,0)</x:f>
        <x:v>1</x:v>
      </x:c>
      <x:c r="P853" t="n">
        <x:f>IF(M853="",IF(AND(L853=1,K853&gt;=1),1,0),M853)</x:f>
        <x:v>1</x:v>
      </x:c>
      <x:c r="Q853" t="n">
        <x:f>IF(N853="",IF(AND(L853=1,K853&gt;=2),1,0),N853)</x:f>
        <x:v>1</x:v>
      </x:c>
      <x:c r="R853" t="n">
        <x:f>IF(O853="",IF(AND(L853=1,K853&gt;=3),1,0),O853)</x:f>
        <x:v>1</x:v>
      </x:c>
      <x:c r="S853" t="n">
        <x:f>SUM(P853:R853)</x:f>
        <x:v>3</x:v>
      </x:c>
      <x:c r="T853" t="str">
        <x:f>IF(COUNTA(M853:O853)=0,"DerivedFromCount","ManualOverride")</x:f>
        <x:v>DerivedFromCount</x:v>
      </x:c>
      <x:c r="U853" t="str">
        <x:f>IF(COUNTIF(DailyProduction!$Q$5:$Q$100,B853)=1,"OK","CHECK")</x:f>
        <x:v>OK</x:v>
      </x:c>
      <x:c r="V853" t="str">
        <x:f>IF(AND(I853&gt;=1,I853&lt;=13,K853&gt;=1,K853&lt;=3),"OK","CHECK")</x:f>
        <x:v>OK</x:v>
      </x:c>
      <x:c r="W853" t="str">
        <x:f>IF(SUMIF($B$5:$B$914,B853,$S$5:$S$914)=SUMIF(DailyProduction!$Q$5:$Q$100,B853,DailyProduction!$R$5:$R$100),"OK","CHECK")</x:f>
        <x:v>OK</x:v>
      </x:c>
    </x:row>
    <x:row r="854">
      <x:c r="A854" t="str">
        <x:v>PC-PE-KG01-L25-20251024-PM-ORD-2025-00162-S05</x:v>
      </x:c>
      <x:c r="B854" t="str">
        <x:v>PE-KG01-L25-20251024-PM-ORD-2025-00162</x:v>
      </x:c>
      <x:c r="C854" t="str">
        <x:v>KG01</x:v>
      </x:c>
      <x:c r="D854" t="n">
        <x:v>45954</x:v>
      </x:c>
      <x:c r="E854" t="str">
        <x:v>PM</x:v>
      </x:c>
      <x:c r="F854" t="str">
        <x:v>B</x:v>
      </x:c>
      <x:c r="G854" t="n">
        <x:v>25</x:v>
      </x:c>
      <x:c r="H854" t="str">
        <x:v>ORD-2025-00162</x:v>
      </x:c>
      <x:c r="I854" t="n">
        <x:v>5</x:v>
      </x:c>
      <x:c r="J854" t="n">
        <x:v>8</x:v>
      </x:c>
      <x:c r="K854" t="n">
        <x:v>3</x:v>
      </x:c>
      <x:c r="L854" t="n">
        <x:f>IF(I854&lt;=J854,1,0)</x:f>
        <x:v>1</x:v>
      </x:c>
      <x:c r="P854" t="n">
        <x:f>IF(M854="",IF(AND(L854=1,K854&gt;=1),1,0),M854)</x:f>
        <x:v>1</x:v>
      </x:c>
      <x:c r="Q854" t="n">
        <x:f>IF(N854="",IF(AND(L854=1,K854&gt;=2),1,0),N854)</x:f>
        <x:v>1</x:v>
      </x:c>
      <x:c r="R854" t="n">
        <x:f>IF(O854="",IF(AND(L854=1,K854&gt;=3),1,0),O854)</x:f>
        <x:v>1</x:v>
      </x:c>
      <x:c r="S854" t="n">
        <x:f>SUM(P854:R854)</x:f>
        <x:v>3</x:v>
      </x:c>
      <x:c r="T854" t="str">
        <x:f>IF(COUNTA(M854:O854)=0,"DerivedFromCount","ManualOverride")</x:f>
        <x:v>DerivedFromCount</x:v>
      </x:c>
      <x:c r="U854" t="str">
        <x:f>IF(COUNTIF(DailyProduction!$Q$5:$Q$100,B854)=1,"OK","CHECK")</x:f>
        <x:v>OK</x:v>
      </x:c>
      <x:c r="V854" t="str">
        <x:f>IF(AND(I854&gt;=1,I854&lt;=13,K854&gt;=1,K854&lt;=3),"OK","CHECK")</x:f>
        <x:v>OK</x:v>
      </x:c>
      <x:c r="W854" t="str">
        <x:f>IF(SUMIF($B$5:$B$914,B854,$S$5:$S$914)=SUMIF(DailyProduction!$Q$5:$Q$100,B854,DailyProduction!$R$5:$R$100),"OK","CHECK")</x:f>
        <x:v>OK</x:v>
      </x:c>
    </x:row>
    <x:row r="855">
      <x:c r="A855" t="str">
        <x:v>PC-PE-KG01-L25-20251024-PM-ORD-2025-00162-S06</x:v>
      </x:c>
      <x:c r="B855" t="str">
        <x:v>PE-KG01-L25-20251024-PM-ORD-2025-00162</x:v>
      </x:c>
      <x:c r="C855" t="str">
        <x:v>KG01</x:v>
      </x:c>
      <x:c r="D855" t="n">
        <x:v>45954</x:v>
      </x:c>
      <x:c r="E855" t="str">
        <x:v>PM</x:v>
      </x:c>
      <x:c r="F855" t="str">
        <x:v>B</x:v>
      </x:c>
      <x:c r="G855" t="n">
        <x:v>25</x:v>
      </x:c>
      <x:c r="H855" t="str">
        <x:v>ORD-2025-00162</x:v>
      </x:c>
      <x:c r="I855" t="n">
        <x:v>6</x:v>
      </x:c>
      <x:c r="J855" t="n">
        <x:v>8</x:v>
      </x:c>
      <x:c r="K855" t="n">
        <x:v>3</x:v>
      </x:c>
      <x:c r="L855" t="n">
        <x:f>IF(I855&lt;=J855,1,0)</x:f>
        <x:v>1</x:v>
      </x:c>
      <x:c r="P855" t="n">
        <x:f>IF(M855="",IF(AND(L855=1,K855&gt;=1),1,0),M855)</x:f>
        <x:v>1</x:v>
      </x:c>
      <x:c r="Q855" t="n">
        <x:f>IF(N855="",IF(AND(L855=1,K855&gt;=2),1,0),N855)</x:f>
        <x:v>1</x:v>
      </x:c>
      <x:c r="R855" t="n">
        <x:f>IF(O855="",IF(AND(L855=1,K855&gt;=3),1,0),O855)</x:f>
        <x:v>1</x:v>
      </x:c>
      <x:c r="S855" t="n">
        <x:f>SUM(P855:R855)</x:f>
        <x:v>3</x:v>
      </x:c>
      <x:c r="T855" t="str">
        <x:f>IF(COUNTA(M855:O855)=0,"DerivedFromCount","ManualOverride")</x:f>
        <x:v>DerivedFromCount</x:v>
      </x:c>
      <x:c r="U855" t="str">
        <x:f>IF(COUNTIF(DailyProduction!$Q$5:$Q$100,B855)=1,"OK","CHECK")</x:f>
        <x:v>OK</x:v>
      </x:c>
      <x:c r="V855" t="str">
        <x:f>IF(AND(I855&gt;=1,I855&lt;=13,K855&gt;=1,K855&lt;=3),"OK","CHECK")</x:f>
        <x:v>OK</x:v>
      </x:c>
      <x:c r="W855" t="str">
        <x:f>IF(SUMIF($B$5:$B$914,B855,$S$5:$S$914)=SUMIF(DailyProduction!$Q$5:$Q$100,B855,DailyProduction!$R$5:$R$100),"OK","CHECK")</x:f>
        <x:v>OK</x:v>
      </x:c>
    </x:row>
    <x:row r="856">
      <x:c r="A856" t="str">
        <x:v>PC-PE-KG01-L25-20251024-PM-ORD-2025-00162-S07</x:v>
      </x:c>
      <x:c r="B856" t="str">
        <x:v>PE-KG01-L25-20251024-PM-ORD-2025-00162</x:v>
      </x:c>
      <x:c r="C856" t="str">
        <x:v>KG01</x:v>
      </x:c>
      <x:c r="D856" t="n">
        <x:v>45954</x:v>
      </x:c>
      <x:c r="E856" t="str">
        <x:v>PM</x:v>
      </x:c>
      <x:c r="F856" t="str">
        <x:v>B</x:v>
      </x:c>
      <x:c r="G856" t="n">
        <x:v>25</x:v>
      </x:c>
      <x:c r="H856" t="str">
        <x:v>ORD-2025-00162</x:v>
      </x:c>
      <x:c r="I856" t="n">
        <x:v>7</x:v>
      </x:c>
      <x:c r="J856" t="n">
        <x:v>8</x:v>
      </x:c>
      <x:c r="K856" t="n">
        <x:v>3</x:v>
      </x:c>
      <x:c r="L856" t="n">
        <x:f>IF(I856&lt;=J856,1,0)</x:f>
        <x:v>1</x:v>
      </x:c>
      <x:c r="P856" t="n">
        <x:f>IF(M856="",IF(AND(L856=1,K856&gt;=1),1,0),M856)</x:f>
        <x:v>1</x:v>
      </x:c>
      <x:c r="Q856" t="n">
        <x:f>IF(N856="",IF(AND(L856=1,K856&gt;=2),1,0),N856)</x:f>
        <x:v>1</x:v>
      </x:c>
      <x:c r="R856" t="n">
        <x:f>IF(O856="",IF(AND(L856=1,K856&gt;=3),1,0),O856)</x:f>
        <x:v>1</x:v>
      </x:c>
      <x:c r="S856" t="n">
        <x:f>SUM(P856:R856)</x:f>
        <x:v>3</x:v>
      </x:c>
      <x:c r="T856" t="str">
        <x:f>IF(COUNTA(M856:O856)=0,"DerivedFromCount","ManualOverride")</x:f>
        <x:v>DerivedFromCount</x:v>
      </x:c>
      <x:c r="U856" t="str">
        <x:f>IF(COUNTIF(DailyProduction!$Q$5:$Q$100,B856)=1,"OK","CHECK")</x:f>
        <x:v>OK</x:v>
      </x:c>
      <x:c r="V856" t="str">
        <x:f>IF(AND(I856&gt;=1,I856&lt;=13,K856&gt;=1,K856&lt;=3),"OK","CHECK")</x:f>
        <x:v>OK</x:v>
      </x:c>
      <x:c r="W856" t="str">
        <x:f>IF(SUMIF($B$5:$B$914,B856,$S$5:$S$914)=SUMIF(DailyProduction!$Q$5:$Q$100,B856,DailyProduction!$R$5:$R$100),"OK","CHECK")</x:f>
        <x:v>OK</x:v>
      </x:c>
    </x:row>
    <x:row r="857">
      <x:c r="A857" t="str">
        <x:v>PC-PE-KG01-L25-20251024-PM-ORD-2025-00162-S08</x:v>
      </x:c>
      <x:c r="B857" t="str">
        <x:v>PE-KG01-L25-20251024-PM-ORD-2025-00162</x:v>
      </x:c>
      <x:c r="C857" t="str">
        <x:v>KG01</x:v>
      </x:c>
      <x:c r="D857" t="n">
        <x:v>45954</x:v>
      </x:c>
      <x:c r="E857" t="str">
        <x:v>PM</x:v>
      </x:c>
      <x:c r="F857" t="str">
        <x:v>B</x:v>
      </x:c>
      <x:c r="G857" t="n">
        <x:v>25</x:v>
      </x:c>
      <x:c r="H857" t="str">
        <x:v>ORD-2025-00162</x:v>
      </x:c>
      <x:c r="I857" t="n">
        <x:v>8</x:v>
      </x:c>
      <x:c r="J857" t="n">
        <x:v>8</x:v>
      </x:c>
      <x:c r="K857" t="n">
        <x:v>3</x:v>
      </x:c>
      <x:c r="L857" t="n">
        <x:f>IF(I857&lt;=J857,1,0)</x:f>
        <x:v>1</x:v>
      </x:c>
      <x:c r="P857" t="n">
        <x:f>IF(M857="",IF(AND(L857=1,K857&gt;=1),1,0),M857)</x:f>
        <x:v>1</x:v>
      </x:c>
      <x:c r="Q857" t="n">
        <x:f>IF(N857="",IF(AND(L857=1,K857&gt;=2),1,0),N857)</x:f>
        <x:v>1</x:v>
      </x:c>
      <x:c r="R857" t="n">
        <x:f>IF(O857="",IF(AND(L857=1,K857&gt;=3),1,0),O857)</x:f>
        <x:v>1</x:v>
      </x:c>
      <x:c r="S857" t="n">
        <x:f>SUM(P857:R857)</x:f>
        <x:v>3</x:v>
      </x:c>
      <x:c r="T857" t="str">
        <x:f>IF(COUNTA(M857:O857)=0,"DerivedFromCount","ManualOverride")</x:f>
        <x:v>DerivedFromCount</x:v>
      </x:c>
      <x:c r="U857" t="str">
        <x:f>IF(COUNTIF(DailyProduction!$Q$5:$Q$100,B857)=1,"OK","CHECK")</x:f>
        <x:v>OK</x:v>
      </x:c>
      <x:c r="V857" t="str">
        <x:f>IF(AND(I857&gt;=1,I857&lt;=13,K857&gt;=1,K857&lt;=3),"OK","CHECK")</x:f>
        <x:v>OK</x:v>
      </x:c>
      <x:c r="W857" t="str">
        <x:f>IF(SUMIF($B$5:$B$914,B857,$S$5:$S$914)=SUMIF(DailyProduction!$Q$5:$Q$100,B857,DailyProduction!$R$5:$R$100),"OK","CHECK")</x:f>
        <x:v>OK</x:v>
      </x:c>
    </x:row>
    <x:row r="858">
      <x:c r="A858" t="str">
        <x:v>PC-PE-KG01-L25-20251024-PM-ORD-2025-00162-S09</x:v>
      </x:c>
      <x:c r="B858" t="str">
        <x:v>PE-KG01-L25-20251024-PM-ORD-2025-00162</x:v>
      </x:c>
      <x:c r="C858" t="str">
        <x:v>KG01</x:v>
      </x:c>
      <x:c r="D858" t="n">
        <x:v>45954</x:v>
      </x:c>
      <x:c r="E858" t="str">
        <x:v>PM</x:v>
      </x:c>
      <x:c r="F858" t="str">
        <x:v>B</x:v>
      </x:c>
      <x:c r="G858" t="n">
        <x:v>25</x:v>
      </x:c>
      <x:c r="H858" t="str">
        <x:v>ORD-2025-00162</x:v>
      </x:c>
      <x:c r="I858" t="n">
        <x:v>9</x:v>
      </x:c>
      <x:c r="J858" t="n">
        <x:v>8</x:v>
      </x:c>
      <x:c r="K858" t="n">
        <x:v>3</x:v>
      </x:c>
      <x:c r="L858" t="n">
        <x:f>IF(I858&lt;=J858,1,0)</x:f>
        <x:v>0</x:v>
      </x:c>
      <x:c r="P858" t="n">
        <x:f>IF(M858="",IF(AND(L858=1,K858&gt;=1),1,0),M858)</x:f>
        <x:v>0</x:v>
      </x:c>
      <x:c r="Q858" t="n">
        <x:f>IF(N858="",IF(AND(L858=1,K858&gt;=2),1,0),N858)</x:f>
        <x:v>0</x:v>
      </x:c>
      <x:c r="R858" t="n">
        <x:f>IF(O858="",IF(AND(L858=1,K858&gt;=3),1,0),O858)</x:f>
        <x:v>0</x:v>
      </x:c>
      <x:c r="S858" t="n">
        <x:f>SUM(P858:R858)</x:f>
        <x:v>0</x:v>
      </x:c>
      <x:c r="T858" t="str">
        <x:f>IF(COUNTA(M858:O858)=0,"DerivedFromCount","ManualOverride")</x:f>
        <x:v>DerivedFromCount</x:v>
      </x:c>
      <x:c r="U858" t="str">
        <x:f>IF(COUNTIF(DailyProduction!$Q$5:$Q$100,B858)=1,"OK","CHECK")</x:f>
        <x:v>OK</x:v>
      </x:c>
      <x:c r="V858" t="str">
        <x:f>IF(AND(I858&gt;=1,I858&lt;=13,K858&gt;=1,K858&lt;=3),"OK","CHECK")</x:f>
        <x:v>OK</x:v>
      </x:c>
      <x:c r="W858" t="str">
        <x:f>IF(SUMIF($B$5:$B$914,B858,$S$5:$S$914)=SUMIF(DailyProduction!$Q$5:$Q$100,B858,DailyProduction!$R$5:$R$100),"OK","CHECK")</x:f>
        <x:v>OK</x:v>
      </x:c>
    </x:row>
    <x:row r="859">
      <x:c r="A859" t="str">
        <x:v>PC-PE-KG01-L25-20251024-PM-ORD-2025-00162-S10</x:v>
      </x:c>
      <x:c r="B859" t="str">
        <x:v>PE-KG01-L25-20251024-PM-ORD-2025-00162</x:v>
      </x:c>
      <x:c r="C859" t="str">
        <x:v>KG01</x:v>
      </x:c>
      <x:c r="D859" t="n">
        <x:v>45954</x:v>
      </x:c>
      <x:c r="E859" t="str">
        <x:v>PM</x:v>
      </x:c>
      <x:c r="F859" t="str">
        <x:v>B</x:v>
      </x:c>
      <x:c r="G859" t="n">
        <x:v>25</x:v>
      </x:c>
      <x:c r="H859" t="str">
        <x:v>ORD-2025-00162</x:v>
      </x:c>
      <x:c r="I859" t="n">
        <x:v>10</x:v>
      </x:c>
      <x:c r="J859" t="n">
        <x:v>8</x:v>
      </x:c>
      <x:c r="K859" t="n">
        <x:v>3</x:v>
      </x:c>
      <x:c r="L859" t="n">
        <x:f>IF(I859&lt;=J859,1,0)</x:f>
        <x:v>0</x:v>
      </x:c>
      <x:c r="P859" t="n">
        <x:f>IF(M859="",IF(AND(L859=1,K859&gt;=1),1,0),M859)</x:f>
        <x:v>0</x:v>
      </x:c>
      <x:c r="Q859" t="n">
        <x:f>IF(N859="",IF(AND(L859=1,K859&gt;=2),1,0),N859)</x:f>
        <x:v>0</x:v>
      </x:c>
      <x:c r="R859" t="n">
        <x:f>IF(O859="",IF(AND(L859=1,K859&gt;=3),1,0),O859)</x:f>
        <x:v>0</x:v>
      </x:c>
      <x:c r="S859" t="n">
        <x:f>SUM(P859:R859)</x:f>
        <x:v>0</x:v>
      </x:c>
      <x:c r="T859" t="str">
        <x:f>IF(COUNTA(M859:O859)=0,"DerivedFromCount","ManualOverride")</x:f>
        <x:v>DerivedFromCount</x:v>
      </x:c>
      <x:c r="U859" t="str">
        <x:f>IF(COUNTIF(DailyProduction!$Q$5:$Q$100,B859)=1,"OK","CHECK")</x:f>
        <x:v>OK</x:v>
      </x:c>
      <x:c r="V859" t="str">
        <x:f>IF(AND(I859&gt;=1,I859&lt;=13,K859&gt;=1,K859&lt;=3),"OK","CHECK")</x:f>
        <x:v>OK</x:v>
      </x:c>
      <x:c r="W859" t="str">
        <x:f>IF(SUMIF($B$5:$B$914,B859,$S$5:$S$914)=SUMIF(DailyProduction!$Q$5:$Q$100,B859,DailyProduction!$R$5:$R$100),"OK","CHECK")</x:f>
        <x:v>OK</x:v>
      </x:c>
    </x:row>
    <x:row r="860">
      <x:c r="A860" t="str">
        <x:v>PC-PE-KG01-L25-20251024-PM-ORD-2025-00162-S11</x:v>
      </x:c>
      <x:c r="B860" t="str">
        <x:v>PE-KG01-L25-20251024-PM-ORD-2025-00162</x:v>
      </x:c>
      <x:c r="C860" t="str">
        <x:v>KG01</x:v>
      </x:c>
      <x:c r="D860" t="n">
        <x:v>45954</x:v>
      </x:c>
      <x:c r="E860" t="str">
        <x:v>PM</x:v>
      </x:c>
      <x:c r="F860" t="str">
        <x:v>B</x:v>
      </x:c>
      <x:c r="G860" t="n">
        <x:v>25</x:v>
      </x:c>
      <x:c r="H860" t="str">
        <x:v>ORD-2025-00162</x:v>
      </x:c>
      <x:c r="I860" t="n">
        <x:v>11</x:v>
      </x:c>
      <x:c r="J860" t="n">
        <x:v>8</x:v>
      </x:c>
      <x:c r="K860" t="n">
        <x:v>3</x:v>
      </x:c>
      <x:c r="L860" t="n">
        <x:f>IF(I860&lt;=J860,1,0)</x:f>
        <x:v>0</x:v>
      </x:c>
      <x:c r="P860" t="n">
        <x:f>IF(M860="",IF(AND(L860=1,K860&gt;=1),1,0),M860)</x:f>
        <x:v>0</x:v>
      </x:c>
      <x:c r="Q860" t="n">
        <x:f>IF(N860="",IF(AND(L860=1,K860&gt;=2),1,0),N860)</x:f>
        <x:v>0</x:v>
      </x:c>
      <x:c r="R860" t="n">
        <x:f>IF(O860="",IF(AND(L860=1,K860&gt;=3),1,0),O860)</x:f>
        <x:v>0</x:v>
      </x:c>
      <x:c r="S860" t="n">
        <x:f>SUM(P860:R860)</x:f>
        <x:v>0</x:v>
      </x:c>
      <x:c r="T860" t="str">
        <x:f>IF(COUNTA(M860:O860)=0,"DerivedFromCount","ManualOverride")</x:f>
        <x:v>DerivedFromCount</x:v>
      </x:c>
      <x:c r="U860" t="str">
        <x:f>IF(COUNTIF(DailyProduction!$Q$5:$Q$100,B860)=1,"OK","CHECK")</x:f>
        <x:v>OK</x:v>
      </x:c>
      <x:c r="V860" t="str">
        <x:f>IF(AND(I860&gt;=1,I860&lt;=13,K860&gt;=1,K860&lt;=3),"OK","CHECK")</x:f>
        <x:v>OK</x:v>
      </x:c>
      <x:c r="W860" t="str">
        <x:f>IF(SUMIF($B$5:$B$914,B860,$S$5:$S$914)=SUMIF(DailyProduction!$Q$5:$Q$100,B860,DailyProduction!$R$5:$R$100),"OK","CHECK")</x:f>
        <x:v>OK</x:v>
      </x:c>
    </x:row>
    <x:row r="861">
      <x:c r="A861" t="str">
        <x:v>PC-PE-KG01-L25-20251024-PM-ORD-2025-00162-S12</x:v>
      </x:c>
      <x:c r="B861" t="str">
        <x:v>PE-KG01-L25-20251024-PM-ORD-2025-00162</x:v>
      </x:c>
      <x:c r="C861" t="str">
        <x:v>KG01</x:v>
      </x:c>
      <x:c r="D861" t="n">
        <x:v>45954</x:v>
      </x:c>
      <x:c r="E861" t="str">
        <x:v>PM</x:v>
      </x:c>
      <x:c r="F861" t="str">
        <x:v>B</x:v>
      </x:c>
      <x:c r="G861" t="n">
        <x:v>25</x:v>
      </x:c>
      <x:c r="H861" t="str">
        <x:v>ORD-2025-00162</x:v>
      </x:c>
      <x:c r="I861" t="n">
        <x:v>12</x:v>
      </x:c>
      <x:c r="J861" t="n">
        <x:v>8</x:v>
      </x:c>
      <x:c r="K861" t="n">
        <x:v>3</x:v>
      </x:c>
      <x:c r="L861" t="n">
        <x:f>IF(I861&lt;=J861,1,0)</x:f>
        <x:v>0</x:v>
      </x:c>
      <x:c r="P861" t="n">
        <x:f>IF(M861="",IF(AND(L861=1,K861&gt;=1),1,0),M861)</x:f>
        <x:v>0</x:v>
      </x:c>
      <x:c r="Q861" t="n">
        <x:f>IF(N861="",IF(AND(L861=1,K861&gt;=2),1,0),N861)</x:f>
        <x:v>0</x:v>
      </x:c>
      <x:c r="R861" t="n">
        <x:f>IF(O861="",IF(AND(L861=1,K861&gt;=3),1,0),O861)</x:f>
        <x:v>0</x:v>
      </x:c>
      <x:c r="S861" t="n">
        <x:f>SUM(P861:R861)</x:f>
        <x:v>0</x:v>
      </x:c>
      <x:c r="T861" t="str">
        <x:f>IF(COUNTA(M861:O861)=0,"DerivedFromCount","ManualOverride")</x:f>
        <x:v>DerivedFromCount</x:v>
      </x:c>
      <x:c r="U861" t="str">
        <x:f>IF(COUNTIF(DailyProduction!$Q$5:$Q$100,B861)=1,"OK","CHECK")</x:f>
        <x:v>OK</x:v>
      </x:c>
      <x:c r="V861" t="str">
        <x:f>IF(AND(I861&gt;=1,I861&lt;=13,K861&gt;=1,K861&lt;=3),"OK","CHECK")</x:f>
        <x:v>OK</x:v>
      </x:c>
      <x:c r="W861" t="str">
        <x:f>IF(SUMIF($B$5:$B$914,B861,$S$5:$S$914)=SUMIF(DailyProduction!$Q$5:$Q$100,B861,DailyProduction!$R$5:$R$100),"OK","CHECK")</x:f>
        <x:v>OK</x:v>
      </x:c>
    </x:row>
    <x:row r="862">
      <x:c r="A862" t="str">
        <x:v>PC-PE-KG01-L25-20251024-PM-ORD-2025-00162-S13</x:v>
      </x:c>
      <x:c r="B862" t="str">
        <x:v>PE-KG01-L25-20251024-PM-ORD-2025-00162</x:v>
      </x:c>
      <x:c r="C862" t="str">
        <x:v>KG01</x:v>
      </x:c>
      <x:c r="D862" t="n">
        <x:v>45954</x:v>
      </x:c>
      <x:c r="E862" t="str">
        <x:v>PM</x:v>
      </x:c>
      <x:c r="F862" t="str">
        <x:v>B</x:v>
      </x:c>
      <x:c r="G862" t="n">
        <x:v>25</x:v>
      </x:c>
      <x:c r="H862" t="str">
        <x:v>ORD-2025-00162</x:v>
      </x:c>
      <x:c r="I862" t="n">
        <x:v>13</x:v>
      </x:c>
      <x:c r="J862" t="n">
        <x:v>8</x:v>
      </x:c>
      <x:c r="K862" t="n">
        <x:v>3</x:v>
      </x:c>
      <x:c r="L862" t="n">
        <x:f>IF(I862&lt;=J862,1,0)</x:f>
        <x:v>0</x:v>
      </x:c>
      <x:c r="P862" t="n">
        <x:f>IF(M862="",IF(AND(L862=1,K862&gt;=1),1,0),M862)</x:f>
        <x:v>0</x:v>
      </x:c>
      <x:c r="Q862" t="n">
        <x:f>IF(N862="",IF(AND(L862=1,K862&gt;=2),1,0),N862)</x:f>
        <x:v>0</x:v>
      </x:c>
      <x:c r="R862" t="n">
        <x:f>IF(O862="",IF(AND(L862=1,K862&gt;=3),1,0),O862)</x:f>
        <x:v>0</x:v>
      </x:c>
      <x:c r="S862" t="n">
        <x:f>SUM(P862:R862)</x:f>
        <x:v>0</x:v>
      </x:c>
      <x:c r="T862" t="str">
        <x:f>IF(COUNTA(M862:O862)=0,"DerivedFromCount","ManualOverride")</x:f>
        <x:v>DerivedFromCount</x:v>
      </x:c>
      <x:c r="U862" t="str">
        <x:f>IF(COUNTIF(DailyProduction!$Q$5:$Q$100,B862)=1,"OK","CHECK")</x:f>
        <x:v>OK</x:v>
      </x:c>
      <x:c r="V862" t="str">
        <x:f>IF(AND(I862&gt;=1,I862&lt;=13,K862&gt;=1,K862&lt;=3),"OK","CHECK")</x:f>
        <x:v>OK</x:v>
      </x:c>
      <x:c r="W862" t="str">
        <x:f>IF(SUMIF($B$5:$B$914,B862,$S$5:$S$914)=SUMIF(DailyProduction!$Q$5:$Q$100,B862,DailyProduction!$R$5:$R$100),"OK","CHECK")</x:f>
        <x:v>OK</x:v>
      </x:c>
    </x:row>
    <x:row r="863">
      <x:c r="A863" t="str">
        <x:v>PC-PE-KG01-L25-20251025-AM-ORD-2025-00162-S01</x:v>
      </x:c>
      <x:c r="B863" t="str">
        <x:v>PE-KG01-L25-20251025-AM-ORD-2025-00162</x:v>
      </x:c>
      <x:c r="C863" t="str">
        <x:v>KG01</x:v>
      </x:c>
      <x:c r="D863" t="n">
        <x:v>45955</x:v>
      </x:c>
      <x:c r="E863" t="str">
        <x:v>AM</x:v>
      </x:c>
      <x:c r="F863" t="str">
        <x:v>B</x:v>
      </x:c>
      <x:c r="G863" t="n">
        <x:v>25</x:v>
      </x:c>
      <x:c r="H863" t="str">
        <x:v>ORD-2025-00162</x:v>
      </x:c>
      <x:c r="I863" t="n">
        <x:v>1</x:v>
      </x:c>
      <x:c r="J863" t="n">
        <x:v>8</x:v>
      </x:c>
      <x:c r="K863" t="n">
        <x:v>3</x:v>
      </x:c>
      <x:c r="L863" t="n">
        <x:f>IF(I863&lt;=J863,1,0)</x:f>
        <x:v>1</x:v>
      </x:c>
      <x:c r="P863" t="n">
        <x:f>IF(M863="",IF(AND(L863=1,K863&gt;=1),1,0),M863)</x:f>
        <x:v>1</x:v>
      </x:c>
      <x:c r="Q863" t="n">
        <x:f>IF(N863="",IF(AND(L863=1,K863&gt;=2),1,0),N863)</x:f>
        <x:v>1</x:v>
      </x:c>
      <x:c r="R863" t="n">
        <x:f>IF(O863="",IF(AND(L863=1,K863&gt;=3),1,0),O863)</x:f>
        <x:v>1</x:v>
      </x:c>
      <x:c r="S863" t="n">
        <x:f>SUM(P863:R863)</x:f>
        <x:v>3</x:v>
      </x:c>
      <x:c r="T863" t="str">
        <x:f>IF(COUNTA(M863:O863)=0,"DerivedFromCount","ManualOverride")</x:f>
        <x:v>DerivedFromCount</x:v>
      </x:c>
      <x:c r="U863" t="str">
        <x:f>IF(COUNTIF(DailyProduction!$Q$5:$Q$100,B863)=1,"OK","CHECK")</x:f>
        <x:v>OK</x:v>
      </x:c>
      <x:c r="V863" t="str">
        <x:f>IF(AND(I863&gt;=1,I863&lt;=13,K863&gt;=1,K863&lt;=3),"OK","CHECK")</x:f>
        <x:v>OK</x:v>
      </x:c>
      <x:c r="W863" t="str">
        <x:f>IF(SUMIF($B$5:$B$914,B863,$S$5:$S$914)=SUMIF(DailyProduction!$Q$5:$Q$100,B863,DailyProduction!$R$5:$R$100),"OK","CHECK")</x:f>
        <x:v>OK</x:v>
      </x:c>
    </x:row>
    <x:row r="864">
      <x:c r="A864" t="str">
        <x:v>PC-PE-KG01-L25-20251025-AM-ORD-2025-00162-S02</x:v>
      </x:c>
      <x:c r="B864" t="str">
        <x:v>PE-KG01-L25-20251025-AM-ORD-2025-00162</x:v>
      </x:c>
      <x:c r="C864" t="str">
        <x:v>KG01</x:v>
      </x:c>
      <x:c r="D864" t="n">
        <x:v>45955</x:v>
      </x:c>
      <x:c r="E864" t="str">
        <x:v>AM</x:v>
      </x:c>
      <x:c r="F864" t="str">
        <x:v>B</x:v>
      </x:c>
      <x:c r="G864" t="n">
        <x:v>25</x:v>
      </x:c>
      <x:c r="H864" t="str">
        <x:v>ORD-2025-00162</x:v>
      </x:c>
      <x:c r="I864" t="n">
        <x:v>2</x:v>
      </x:c>
      <x:c r="J864" t="n">
        <x:v>8</x:v>
      </x:c>
      <x:c r="K864" t="n">
        <x:v>3</x:v>
      </x:c>
      <x:c r="L864" t="n">
        <x:f>IF(I864&lt;=J864,1,0)</x:f>
        <x:v>1</x:v>
      </x:c>
      <x:c r="P864" t="n">
        <x:f>IF(M864="",IF(AND(L864=1,K864&gt;=1),1,0),M864)</x:f>
        <x:v>1</x:v>
      </x:c>
      <x:c r="Q864" t="n">
        <x:f>IF(N864="",IF(AND(L864=1,K864&gt;=2),1,0),N864)</x:f>
        <x:v>1</x:v>
      </x:c>
      <x:c r="R864" t="n">
        <x:f>IF(O864="",IF(AND(L864=1,K864&gt;=3),1,0),O864)</x:f>
        <x:v>1</x:v>
      </x:c>
      <x:c r="S864" t="n">
        <x:f>SUM(P864:R864)</x:f>
        <x:v>3</x:v>
      </x:c>
      <x:c r="T864" t="str">
        <x:f>IF(COUNTA(M864:O864)=0,"DerivedFromCount","ManualOverride")</x:f>
        <x:v>DerivedFromCount</x:v>
      </x:c>
      <x:c r="U864" t="str">
        <x:f>IF(COUNTIF(DailyProduction!$Q$5:$Q$100,B864)=1,"OK","CHECK")</x:f>
        <x:v>OK</x:v>
      </x:c>
      <x:c r="V864" t="str">
        <x:f>IF(AND(I864&gt;=1,I864&lt;=13,K864&gt;=1,K864&lt;=3),"OK","CHECK")</x:f>
        <x:v>OK</x:v>
      </x:c>
      <x:c r="W864" t="str">
        <x:f>IF(SUMIF($B$5:$B$914,B864,$S$5:$S$914)=SUMIF(DailyProduction!$Q$5:$Q$100,B864,DailyProduction!$R$5:$R$100),"OK","CHECK")</x:f>
        <x:v>OK</x:v>
      </x:c>
    </x:row>
    <x:row r="865">
      <x:c r="A865" t="str">
        <x:v>PC-PE-KG01-L25-20251025-AM-ORD-2025-00162-S03</x:v>
      </x:c>
      <x:c r="B865" t="str">
        <x:v>PE-KG01-L25-20251025-AM-ORD-2025-00162</x:v>
      </x:c>
      <x:c r="C865" t="str">
        <x:v>KG01</x:v>
      </x:c>
      <x:c r="D865" t="n">
        <x:v>45955</x:v>
      </x:c>
      <x:c r="E865" t="str">
        <x:v>AM</x:v>
      </x:c>
      <x:c r="F865" t="str">
        <x:v>B</x:v>
      </x:c>
      <x:c r="G865" t="n">
        <x:v>25</x:v>
      </x:c>
      <x:c r="H865" t="str">
        <x:v>ORD-2025-00162</x:v>
      </x:c>
      <x:c r="I865" t="n">
        <x:v>3</x:v>
      </x:c>
      <x:c r="J865" t="n">
        <x:v>8</x:v>
      </x:c>
      <x:c r="K865" t="n">
        <x:v>3</x:v>
      </x:c>
      <x:c r="L865" t="n">
        <x:f>IF(I865&lt;=J865,1,0)</x:f>
        <x:v>1</x:v>
      </x:c>
      <x:c r="P865" t="n">
        <x:f>IF(M865="",IF(AND(L865=1,K865&gt;=1),1,0),M865)</x:f>
        <x:v>1</x:v>
      </x:c>
      <x:c r="Q865" t="n">
        <x:f>IF(N865="",IF(AND(L865=1,K865&gt;=2),1,0),N865)</x:f>
        <x:v>1</x:v>
      </x:c>
      <x:c r="R865" t="n">
        <x:f>IF(O865="",IF(AND(L865=1,K865&gt;=3),1,0),O865)</x:f>
        <x:v>1</x:v>
      </x:c>
      <x:c r="S865" t="n">
        <x:f>SUM(P865:R865)</x:f>
        <x:v>3</x:v>
      </x:c>
      <x:c r="T865" t="str">
        <x:f>IF(COUNTA(M865:O865)=0,"DerivedFromCount","ManualOverride")</x:f>
        <x:v>DerivedFromCount</x:v>
      </x:c>
      <x:c r="U865" t="str">
        <x:f>IF(COUNTIF(DailyProduction!$Q$5:$Q$100,B865)=1,"OK","CHECK")</x:f>
        <x:v>OK</x:v>
      </x:c>
      <x:c r="V865" t="str">
        <x:f>IF(AND(I865&gt;=1,I865&lt;=13,K865&gt;=1,K865&lt;=3),"OK","CHECK")</x:f>
        <x:v>OK</x:v>
      </x:c>
      <x:c r="W865" t="str">
        <x:f>IF(SUMIF($B$5:$B$914,B865,$S$5:$S$914)=SUMIF(DailyProduction!$Q$5:$Q$100,B865,DailyProduction!$R$5:$R$100),"OK","CHECK")</x:f>
        <x:v>OK</x:v>
      </x:c>
    </x:row>
    <x:row r="866">
      <x:c r="A866" t="str">
        <x:v>PC-PE-KG01-L25-20251025-AM-ORD-2025-00162-S04</x:v>
      </x:c>
      <x:c r="B866" t="str">
        <x:v>PE-KG01-L25-20251025-AM-ORD-2025-00162</x:v>
      </x:c>
      <x:c r="C866" t="str">
        <x:v>KG01</x:v>
      </x:c>
      <x:c r="D866" t="n">
        <x:v>45955</x:v>
      </x:c>
      <x:c r="E866" t="str">
        <x:v>AM</x:v>
      </x:c>
      <x:c r="F866" t="str">
        <x:v>B</x:v>
      </x:c>
      <x:c r="G866" t="n">
        <x:v>25</x:v>
      </x:c>
      <x:c r="H866" t="str">
        <x:v>ORD-2025-00162</x:v>
      </x:c>
      <x:c r="I866" t="n">
        <x:v>4</x:v>
      </x:c>
      <x:c r="J866" t="n">
        <x:v>8</x:v>
      </x:c>
      <x:c r="K866" t="n">
        <x:v>3</x:v>
      </x:c>
      <x:c r="L866" t="n">
        <x:f>IF(I866&lt;=J866,1,0)</x:f>
        <x:v>1</x:v>
      </x:c>
      <x:c r="P866" t="n">
        <x:f>IF(M866="",IF(AND(L866=1,K866&gt;=1),1,0),M866)</x:f>
        <x:v>1</x:v>
      </x:c>
      <x:c r="Q866" t="n">
        <x:f>IF(N866="",IF(AND(L866=1,K866&gt;=2),1,0),N866)</x:f>
        <x:v>1</x:v>
      </x:c>
      <x:c r="R866" t="n">
        <x:f>IF(O866="",IF(AND(L866=1,K866&gt;=3),1,0),O866)</x:f>
        <x:v>1</x:v>
      </x:c>
      <x:c r="S866" t="n">
        <x:f>SUM(P866:R866)</x:f>
        <x:v>3</x:v>
      </x:c>
      <x:c r="T866" t="str">
        <x:f>IF(COUNTA(M866:O866)=0,"DerivedFromCount","ManualOverride")</x:f>
        <x:v>DerivedFromCount</x:v>
      </x:c>
      <x:c r="U866" t="str">
        <x:f>IF(COUNTIF(DailyProduction!$Q$5:$Q$100,B866)=1,"OK","CHECK")</x:f>
        <x:v>OK</x:v>
      </x:c>
      <x:c r="V866" t="str">
        <x:f>IF(AND(I866&gt;=1,I866&lt;=13,K866&gt;=1,K866&lt;=3),"OK","CHECK")</x:f>
        <x:v>OK</x:v>
      </x:c>
      <x:c r="W866" t="str">
        <x:f>IF(SUMIF($B$5:$B$914,B866,$S$5:$S$914)=SUMIF(DailyProduction!$Q$5:$Q$100,B866,DailyProduction!$R$5:$R$100),"OK","CHECK")</x:f>
        <x:v>OK</x:v>
      </x:c>
    </x:row>
    <x:row r="867">
      <x:c r="A867" t="str">
        <x:v>PC-PE-KG01-L25-20251025-AM-ORD-2025-00162-S05</x:v>
      </x:c>
      <x:c r="B867" t="str">
        <x:v>PE-KG01-L25-20251025-AM-ORD-2025-00162</x:v>
      </x:c>
      <x:c r="C867" t="str">
        <x:v>KG01</x:v>
      </x:c>
      <x:c r="D867" t="n">
        <x:v>45955</x:v>
      </x:c>
      <x:c r="E867" t="str">
        <x:v>AM</x:v>
      </x:c>
      <x:c r="F867" t="str">
        <x:v>B</x:v>
      </x:c>
      <x:c r="G867" t="n">
        <x:v>25</x:v>
      </x:c>
      <x:c r="H867" t="str">
        <x:v>ORD-2025-00162</x:v>
      </x:c>
      <x:c r="I867" t="n">
        <x:v>5</x:v>
      </x:c>
      <x:c r="J867" t="n">
        <x:v>8</x:v>
      </x:c>
      <x:c r="K867" t="n">
        <x:v>3</x:v>
      </x:c>
      <x:c r="L867" t="n">
        <x:f>IF(I867&lt;=J867,1,0)</x:f>
        <x:v>1</x:v>
      </x:c>
      <x:c r="P867" t="n">
        <x:f>IF(M867="",IF(AND(L867=1,K867&gt;=1),1,0),M867)</x:f>
        <x:v>1</x:v>
      </x:c>
      <x:c r="Q867" t="n">
        <x:f>IF(N867="",IF(AND(L867=1,K867&gt;=2),1,0),N867)</x:f>
        <x:v>1</x:v>
      </x:c>
      <x:c r="R867" t="n">
        <x:f>IF(O867="",IF(AND(L867=1,K867&gt;=3),1,0),O867)</x:f>
        <x:v>1</x:v>
      </x:c>
      <x:c r="S867" t="n">
        <x:f>SUM(P867:R867)</x:f>
        <x:v>3</x:v>
      </x:c>
      <x:c r="T867" t="str">
        <x:f>IF(COUNTA(M867:O867)=0,"DerivedFromCount","ManualOverride")</x:f>
        <x:v>DerivedFromCount</x:v>
      </x:c>
      <x:c r="U867" t="str">
        <x:f>IF(COUNTIF(DailyProduction!$Q$5:$Q$100,B867)=1,"OK","CHECK")</x:f>
        <x:v>OK</x:v>
      </x:c>
      <x:c r="V867" t="str">
        <x:f>IF(AND(I867&gt;=1,I867&lt;=13,K867&gt;=1,K867&lt;=3),"OK","CHECK")</x:f>
        <x:v>OK</x:v>
      </x:c>
      <x:c r="W867" t="str">
        <x:f>IF(SUMIF($B$5:$B$914,B867,$S$5:$S$914)=SUMIF(DailyProduction!$Q$5:$Q$100,B867,DailyProduction!$R$5:$R$100),"OK","CHECK")</x:f>
        <x:v>OK</x:v>
      </x:c>
    </x:row>
    <x:row r="868">
      <x:c r="A868" t="str">
        <x:v>PC-PE-KG01-L25-20251025-AM-ORD-2025-00162-S06</x:v>
      </x:c>
      <x:c r="B868" t="str">
        <x:v>PE-KG01-L25-20251025-AM-ORD-2025-00162</x:v>
      </x:c>
      <x:c r="C868" t="str">
        <x:v>KG01</x:v>
      </x:c>
      <x:c r="D868" t="n">
        <x:v>45955</x:v>
      </x:c>
      <x:c r="E868" t="str">
        <x:v>AM</x:v>
      </x:c>
      <x:c r="F868" t="str">
        <x:v>B</x:v>
      </x:c>
      <x:c r="G868" t="n">
        <x:v>25</x:v>
      </x:c>
      <x:c r="H868" t="str">
        <x:v>ORD-2025-00162</x:v>
      </x:c>
      <x:c r="I868" t="n">
        <x:v>6</x:v>
      </x:c>
      <x:c r="J868" t="n">
        <x:v>8</x:v>
      </x:c>
      <x:c r="K868" t="n">
        <x:v>3</x:v>
      </x:c>
      <x:c r="L868" t="n">
        <x:f>IF(I868&lt;=J868,1,0)</x:f>
        <x:v>1</x:v>
      </x:c>
      <x:c r="P868" t="n">
        <x:f>IF(M868="",IF(AND(L868=1,K868&gt;=1),1,0),M868)</x:f>
        <x:v>1</x:v>
      </x:c>
      <x:c r="Q868" t="n">
        <x:f>IF(N868="",IF(AND(L868=1,K868&gt;=2),1,0),N868)</x:f>
        <x:v>1</x:v>
      </x:c>
      <x:c r="R868" t="n">
        <x:f>IF(O868="",IF(AND(L868=1,K868&gt;=3),1,0),O868)</x:f>
        <x:v>1</x:v>
      </x:c>
      <x:c r="S868" t="n">
        <x:f>SUM(P868:R868)</x:f>
        <x:v>3</x:v>
      </x:c>
      <x:c r="T868" t="str">
        <x:f>IF(COUNTA(M868:O868)=0,"DerivedFromCount","ManualOverride")</x:f>
        <x:v>DerivedFromCount</x:v>
      </x:c>
      <x:c r="U868" t="str">
        <x:f>IF(COUNTIF(DailyProduction!$Q$5:$Q$100,B868)=1,"OK","CHECK")</x:f>
        <x:v>OK</x:v>
      </x:c>
      <x:c r="V868" t="str">
        <x:f>IF(AND(I868&gt;=1,I868&lt;=13,K868&gt;=1,K868&lt;=3),"OK","CHECK")</x:f>
        <x:v>OK</x:v>
      </x:c>
      <x:c r="W868" t="str">
        <x:f>IF(SUMIF($B$5:$B$914,B868,$S$5:$S$914)=SUMIF(DailyProduction!$Q$5:$Q$100,B868,DailyProduction!$R$5:$R$100),"OK","CHECK")</x:f>
        <x:v>OK</x:v>
      </x:c>
    </x:row>
    <x:row r="869">
      <x:c r="A869" t="str">
        <x:v>PC-PE-KG01-L25-20251025-AM-ORD-2025-00162-S07</x:v>
      </x:c>
      <x:c r="B869" t="str">
        <x:v>PE-KG01-L25-20251025-AM-ORD-2025-00162</x:v>
      </x:c>
      <x:c r="C869" t="str">
        <x:v>KG01</x:v>
      </x:c>
      <x:c r="D869" t="n">
        <x:v>45955</x:v>
      </x:c>
      <x:c r="E869" t="str">
        <x:v>AM</x:v>
      </x:c>
      <x:c r="F869" t="str">
        <x:v>B</x:v>
      </x:c>
      <x:c r="G869" t="n">
        <x:v>25</x:v>
      </x:c>
      <x:c r="H869" t="str">
        <x:v>ORD-2025-00162</x:v>
      </x:c>
      <x:c r="I869" t="n">
        <x:v>7</x:v>
      </x:c>
      <x:c r="J869" t="n">
        <x:v>8</x:v>
      </x:c>
      <x:c r="K869" t="n">
        <x:v>3</x:v>
      </x:c>
      <x:c r="L869" t="n">
        <x:f>IF(I869&lt;=J869,1,0)</x:f>
        <x:v>1</x:v>
      </x:c>
      <x:c r="P869" t="n">
        <x:f>IF(M869="",IF(AND(L869=1,K869&gt;=1),1,0),M869)</x:f>
        <x:v>1</x:v>
      </x:c>
      <x:c r="Q869" t="n">
        <x:f>IF(N869="",IF(AND(L869=1,K869&gt;=2),1,0),N869)</x:f>
        <x:v>1</x:v>
      </x:c>
      <x:c r="R869" t="n">
        <x:f>IF(O869="",IF(AND(L869=1,K869&gt;=3),1,0),O869)</x:f>
        <x:v>1</x:v>
      </x:c>
      <x:c r="S869" t="n">
        <x:f>SUM(P869:R869)</x:f>
        <x:v>3</x:v>
      </x:c>
      <x:c r="T869" t="str">
        <x:f>IF(COUNTA(M869:O869)=0,"DerivedFromCount","ManualOverride")</x:f>
        <x:v>DerivedFromCount</x:v>
      </x:c>
      <x:c r="U869" t="str">
        <x:f>IF(COUNTIF(DailyProduction!$Q$5:$Q$100,B869)=1,"OK","CHECK")</x:f>
        <x:v>OK</x:v>
      </x:c>
      <x:c r="V869" t="str">
        <x:f>IF(AND(I869&gt;=1,I869&lt;=13,K869&gt;=1,K869&lt;=3),"OK","CHECK")</x:f>
        <x:v>OK</x:v>
      </x:c>
      <x:c r="W869" t="str">
        <x:f>IF(SUMIF($B$5:$B$914,B869,$S$5:$S$914)=SUMIF(DailyProduction!$Q$5:$Q$100,B869,DailyProduction!$R$5:$R$100),"OK","CHECK")</x:f>
        <x:v>OK</x:v>
      </x:c>
    </x:row>
    <x:row r="870">
      <x:c r="A870" t="str">
        <x:v>PC-PE-KG01-L25-20251025-AM-ORD-2025-00162-S08</x:v>
      </x:c>
      <x:c r="B870" t="str">
        <x:v>PE-KG01-L25-20251025-AM-ORD-2025-00162</x:v>
      </x:c>
      <x:c r="C870" t="str">
        <x:v>KG01</x:v>
      </x:c>
      <x:c r="D870" t="n">
        <x:v>45955</x:v>
      </x:c>
      <x:c r="E870" t="str">
        <x:v>AM</x:v>
      </x:c>
      <x:c r="F870" t="str">
        <x:v>B</x:v>
      </x:c>
      <x:c r="G870" t="n">
        <x:v>25</x:v>
      </x:c>
      <x:c r="H870" t="str">
        <x:v>ORD-2025-00162</x:v>
      </x:c>
      <x:c r="I870" t="n">
        <x:v>8</x:v>
      </x:c>
      <x:c r="J870" t="n">
        <x:v>8</x:v>
      </x:c>
      <x:c r="K870" t="n">
        <x:v>3</x:v>
      </x:c>
      <x:c r="L870" t="n">
        <x:f>IF(I870&lt;=J870,1,0)</x:f>
        <x:v>1</x:v>
      </x:c>
      <x:c r="P870" t="n">
        <x:f>IF(M870="",IF(AND(L870=1,K870&gt;=1),1,0),M870)</x:f>
        <x:v>1</x:v>
      </x:c>
      <x:c r="Q870" t="n">
        <x:f>IF(N870="",IF(AND(L870=1,K870&gt;=2),1,0),N870)</x:f>
        <x:v>1</x:v>
      </x:c>
      <x:c r="R870" t="n">
        <x:f>IF(O870="",IF(AND(L870=1,K870&gt;=3),1,0),O870)</x:f>
        <x:v>1</x:v>
      </x:c>
      <x:c r="S870" t="n">
        <x:f>SUM(P870:R870)</x:f>
        <x:v>3</x:v>
      </x:c>
      <x:c r="T870" t="str">
        <x:f>IF(COUNTA(M870:O870)=0,"DerivedFromCount","ManualOverride")</x:f>
        <x:v>DerivedFromCount</x:v>
      </x:c>
      <x:c r="U870" t="str">
        <x:f>IF(COUNTIF(DailyProduction!$Q$5:$Q$100,B870)=1,"OK","CHECK")</x:f>
        <x:v>OK</x:v>
      </x:c>
      <x:c r="V870" t="str">
        <x:f>IF(AND(I870&gt;=1,I870&lt;=13,K870&gt;=1,K870&lt;=3),"OK","CHECK")</x:f>
        <x:v>OK</x:v>
      </x:c>
      <x:c r="W870" t="str">
        <x:f>IF(SUMIF($B$5:$B$914,B870,$S$5:$S$914)=SUMIF(DailyProduction!$Q$5:$Q$100,B870,DailyProduction!$R$5:$R$100),"OK","CHECK")</x:f>
        <x:v>OK</x:v>
      </x:c>
    </x:row>
    <x:row r="871">
      <x:c r="A871" t="str">
        <x:v>PC-PE-KG01-L25-20251025-AM-ORD-2025-00162-S09</x:v>
      </x:c>
      <x:c r="B871" t="str">
        <x:v>PE-KG01-L25-20251025-AM-ORD-2025-00162</x:v>
      </x:c>
      <x:c r="C871" t="str">
        <x:v>KG01</x:v>
      </x:c>
      <x:c r="D871" t="n">
        <x:v>45955</x:v>
      </x:c>
      <x:c r="E871" t="str">
        <x:v>AM</x:v>
      </x:c>
      <x:c r="F871" t="str">
        <x:v>B</x:v>
      </x:c>
      <x:c r="G871" t="n">
        <x:v>25</x:v>
      </x:c>
      <x:c r="H871" t="str">
        <x:v>ORD-2025-00162</x:v>
      </x:c>
      <x:c r="I871" t="n">
        <x:v>9</x:v>
      </x:c>
      <x:c r="J871" t="n">
        <x:v>8</x:v>
      </x:c>
      <x:c r="K871" t="n">
        <x:v>3</x:v>
      </x:c>
      <x:c r="L871" t="n">
        <x:f>IF(I871&lt;=J871,1,0)</x:f>
        <x:v>0</x:v>
      </x:c>
      <x:c r="P871" t="n">
        <x:f>IF(M871="",IF(AND(L871=1,K871&gt;=1),1,0),M871)</x:f>
        <x:v>0</x:v>
      </x:c>
      <x:c r="Q871" t="n">
        <x:f>IF(N871="",IF(AND(L871=1,K871&gt;=2),1,0),N871)</x:f>
        <x:v>0</x:v>
      </x:c>
      <x:c r="R871" t="n">
        <x:f>IF(O871="",IF(AND(L871=1,K871&gt;=3),1,0),O871)</x:f>
        <x:v>0</x:v>
      </x:c>
      <x:c r="S871" t="n">
        <x:f>SUM(P871:R871)</x:f>
        <x:v>0</x:v>
      </x:c>
      <x:c r="T871" t="str">
        <x:f>IF(COUNTA(M871:O871)=0,"DerivedFromCount","ManualOverride")</x:f>
        <x:v>DerivedFromCount</x:v>
      </x:c>
      <x:c r="U871" t="str">
        <x:f>IF(COUNTIF(DailyProduction!$Q$5:$Q$100,B871)=1,"OK","CHECK")</x:f>
        <x:v>OK</x:v>
      </x:c>
      <x:c r="V871" t="str">
        <x:f>IF(AND(I871&gt;=1,I871&lt;=13,K871&gt;=1,K871&lt;=3),"OK","CHECK")</x:f>
        <x:v>OK</x:v>
      </x:c>
      <x:c r="W871" t="str">
        <x:f>IF(SUMIF($B$5:$B$914,B871,$S$5:$S$914)=SUMIF(DailyProduction!$Q$5:$Q$100,B871,DailyProduction!$R$5:$R$100),"OK","CHECK")</x:f>
        <x:v>OK</x:v>
      </x:c>
    </x:row>
    <x:row r="872">
      <x:c r="A872" t="str">
        <x:v>PC-PE-KG01-L25-20251025-AM-ORD-2025-00162-S10</x:v>
      </x:c>
      <x:c r="B872" t="str">
        <x:v>PE-KG01-L25-20251025-AM-ORD-2025-00162</x:v>
      </x:c>
      <x:c r="C872" t="str">
        <x:v>KG01</x:v>
      </x:c>
      <x:c r="D872" t="n">
        <x:v>45955</x:v>
      </x:c>
      <x:c r="E872" t="str">
        <x:v>AM</x:v>
      </x:c>
      <x:c r="F872" t="str">
        <x:v>B</x:v>
      </x:c>
      <x:c r="G872" t="n">
        <x:v>25</x:v>
      </x:c>
      <x:c r="H872" t="str">
        <x:v>ORD-2025-00162</x:v>
      </x:c>
      <x:c r="I872" t="n">
        <x:v>10</x:v>
      </x:c>
      <x:c r="J872" t="n">
        <x:v>8</x:v>
      </x:c>
      <x:c r="K872" t="n">
        <x:v>3</x:v>
      </x:c>
      <x:c r="L872" t="n">
        <x:f>IF(I872&lt;=J872,1,0)</x:f>
        <x:v>0</x:v>
      </x:c>
      <x:c r="P872" t="n">
        <x:f>IF(M872="",IF(AND(L872=1,K872&gt;=1),1,0),M872)</x:f>
        <x:v>0</x:v>
      </x:c>
      <x:c r="Q872" t="n">
        <x:f>IF(N872="",IF(AND(L872=1,K872&gt;=2),1,0),N872)</x:f>
        <x:v>0</x:v>
      </x:c>
      <x:c r="R872" t="n">
        <x:f>IF(O872="",IF(AND(L872=1,K872&gt;=3),1,0),O872)</x:f>
        <x:v>0</x:v>
      </x:c>
      <x:c r="S872" t="n">
        <x:f>SUM(P872:R872)</x:f>
        <x:v>0</x:v>
      </x:c>
      <x:c r="T872" t="str">
        <x:f>IF(COUNTA(M872:O872)=0,"DerivedFromCount","ManualOverride")</x:f>
        <x:v>DerivedFromCount</x:v>
      </x:c>
      <x:c r="U872" t="str">
        <x:f>IF(COUNTIF(DailyProduction!$Q$5:$Q$100,B872)=1,"OK","CHECK")</x:f>
        <x:v>OK</x:v>
      </x:c>
      <x:c r="V872" t="str">
        <x:f>IF(AND(I872&gt;=1,I872&lt;=13,K872&gt;=1,K872&lt;=3),"OK","CHECK")</x:f>
        <x:v>OK</x:v>
      </x:c>
      <x:c r="W872" t="str">
        <x:f>IF(SUMIF($B$5:$B$914,B872,$S$5:$S$914)=SUMIF(DailyProduction!$Q$5:$Q$100,B872,DailyProduction!$R$5:$R$100),"OK","CHECK")</x:f>
        <x:v>OK</x:v>
      </x:c>
    </x:row>
    <x:row r="873">
      <x:c r="A873" t="str">
        <x:v>PC-PE-KG01-L25-20251025-AM-ORD-2025-00162-S11</x:v>
      </x:c>
      <x:c r="B873" t="str">
        <x:v>PE-KG01-L25-20251025-AM-ORD-2025-00162</x:v>
      </x:c>
      <x:c r="C873" t="str">
        <x:v>KG01</x:v>
      </x:c>
      <x:c r="D873" t="n">
        <x:v>45955</x:v>
      </x:c>
      <x:c r="E873" t="str">
        <x:v>AM</x:v>
      </x:c>
      <x:c r="F873" t="str">
        <x:v>B</x:v>
      </x:c>
      <x:c r="G873" t="n">
        <x:v>25</x:v>
      </x:c>
      <x:c r="H873" t="str">
        <x:v>ORD-2025-00162</x:v>
      </x:c>
      <x:c r="I873" t="n">
        <x:v>11</x:v>
      </x:c>
      <x:c r="J873" t="n">
        <x:v>8</x:v>
      </x:c>
      <x:c r="K873" t="n">
        <x:v>3</x:v>
      </x:c>
      <x:c r="L873" t="n">
        <x:f>IF(I873&lt;=J873,1,0)</x:f>
        <x:v>0</x:v>
      </x:c>
      <x:c r="P873" t="n">
        <x:f>IF(M873="",IF(AND(L873=1,K873&gt;=1),1,0),M873)</x:f>
        <x:v>0</x:v>
      </x:c>
      <x:c r="Q873" t="n">
        <x:f>IF(N873="",IF(AND(L873=1,K873&gt;=2),1,0),N873)</x:f>
        <x:v>0</x:v>
      </x:c>
      <x:c r="R873" t="n">
        <x:f>IF(O873="",IF(AND(L873=1,K873&gt;=3),1,0),O873)</x:f>
        <x:v>0</x:v>
      </x:c>
      <x:c r="S873" t="n">
        <x:f>SUM(P873:R873)</x:f>
        <x:v>0</x:v>
      </x:c>
      <x:c r="T873" t="str">
        <x:f>IF(COUNTA(M873:O873)=0,"DerivedFromCount","ManualOverride")</x:f>
        <x:v>DerivedFromCount</x:v>
      </x:c>
      <x:c r="U873" t="str">
        <x:f>IF(COUNTIF(DailyProduction!$Q$5:$Q$100,B873)=1,"OK","CHECK")</x:f>
        <x:v>OK</x:v>
      </x:c>
      <x:c r="V873" t="str">
        <x:f>IF(AND(I873&gt;=1,I873&lt;=13,K873&gt;=1,K873&lt;=3),"OK","CHECK")</x:f>
        <x:v>OK</x:v>
      </x:c>
      <x:c r="W873" t="str">
        <x:f>IF(SUMIF($B$5:$B$914,B873,$S$5:$S$914)=SUMIF(DailyProduction!$Q$5:$Q$100,B873,DailyProduction!$R$5:$R$100),"OK","CHECK")</x:f>
        <x:v>OK</x:v>
      </x:c>
    </x:row>
    <x:row r="874">
      <x:c r="A874" t="str">
        <x:v>PC-PE-KG01-L25-20251025-AM-ORD-2025-00162-S12</x:v>
      </x:c>
      <x:c r="B874" t="str">
        <x:v>PE-KG01-L25-20251025-AM-ORD-2025-00162</x:v>
      </x:c>
      <x:c r="C874" t="str">
        <x:v>KG01</x:v>
      </x:c>
      <x:c r="D874" t="n">
        <x:v>45955</x:v>
      </x:c>
      <x:c r="E874" t="str">
        <x:v>AM</x:v>
      </x:c>
      <x:c r="F874" t="str">
        <x:v>B</x:v>
      </x:c>
      <x:c r="G874" t="n">
        <x:v>25</x:v>
      </x:c>
      <x:c r="H874" t="str">
        <x:v>ORD-2025-00162</x:v>
      </x:c>
      <x:c r="I874" t="n">
        <x:v>12</x:v>
      </x:c>
      <x:c r="J874" t="n">
        <x:v>8</x:v>
      </x:c>
      <x:c r="K874" t="n">
        <x:v>3</x:v>
      </x:c>
      <x:c r="L874" t="n">
        <x:f>IF(I874&lt;=J874,1,0)</x:f>
        <x:v>0</x:v>
      </x:c>
      <x:c r="P874" t="n">
        <x:f>IF(M874="",IF(AND(L874=1,K874&gt;=1),1,0),M874)</x:f>
        <x:v>0</x:v>
      </x:c>
      <x:c r="Q874" t="n">
        <x:f>IF(N874="",IF(AND(L874=1,K874&gt;=2),1,0),N874)</x:f>
        <x:v>0</x:v>
      </x:c>
      <x:c r="R874" t="n">
        <x:f>IF(O874="",IF(AND(L874=1,K874&gt;=3),1,0),O874)</x:f>
        <x:v>0</x:v>
      </x:c>
      <x:c r="S874" t="n">
        <x:f>SUM(P874:R874)</x:f>
        <x:v>0</x:v>
      </x:c>
      <x:c r="T874" t="str">
        <x:f>IF(COUNTA(M874:O874)=0,"DerivedFromCount","ManualOverride")</x:f>
        <x:v>DerivedFromCount</x:v>
      </x:c>
      <x:c r="U874" t="str">
        <x:f>IF(COUNTIF(DailyProduction!$Q$5:$Q$100,B874)=1,"OK","CHECK")</x:f>
        <x:v>OK</x:v>
      </x:c>
      <x:c r="V874" t="str">
        <x:f>IF(AND(I874&gt;=1,I874&lt;=13,K874&gt;=1,K874&lt;=3),"OK","CHECK")</x:f>
        <x:v>OK</x:v>
      </x:c>
      <x:c r="W874" t="str">
        <x:f>IF(SUMIF($B$5:$B$914,B874,$S$5:$S$914)=SUMIF(DailyProduction!$Q$5:$Q$100,B874,DailyProduction!$R$5:$R$100),"OK","CHECK")</x:f>
        <x:v>OK</x:v>
      </x:c>
    </x:row>
    <x:row r="875">
      <x:c r="A875" t="str">
        <x:v>PC-PE-KG01-L25-20251025-AM-ORD-2025-00162-S13</x:v>
      </x:c>
      <x:c r="B875" t="str">
        <x:v>PE-KG01-L25-20251025-AM-ORD-2025-00162</x:v>
      </x:c>
      <x:c r="C875" t="str">
        <x:v>KG01</x:v>
      </x:c>
      <x:c r="D875" t="n">
        <x:v>45955</x:v>
      </x:c>
      <x:c r="E875" t="str">
        <x:v>AM</x:v>
      </x:c>
      <x:c r="F875" t="str">
        <x:v>B</x:v>
      </x:c>
      <x:c r="G875" t="n">
        <x:v>25</x:v>
      </x:c>
      <x:c r="H875" t="str">
        <x:v>ORD-2025-00162</x:v>
      </x:c>
      <x:c r="I875" t="n">
        <x:v>13</x:v>
      </x:c>
      <x:c r="J875" t="n">
        <x:v>8</x:v>
      </x:c>
      <x:c r="K875" t="n">
        <x:v>3</x:v>
      </x:c>
      <x:c r="L875" t="n">
        <x:f>IF(I875&lt;=J875,1,0)</x:f>
        <x:v>0</x:v>
      </x:c>
      <x:c r="P875" t="n">
        <x:f>IF(M875="",IF(AND(L875=1,K875&gt;=1),1,0),M875)</x:f>
        <x:v>0</x:v>
      </x:c>
      <x:c r="Q875" t="n">
        <x:f>IF(N875="",IF(AND(L875=1,K875&gt;=2),1,0),N875)</x:f>
        <x:v>0</x:v>
      </x:c>
      <x:c r="R875" t="n">
        <x:f>IF(O875="",IF(AND(L875=1,K875&gt;=3),1,0),O875)</x:f>
        <x:v>0</x:v>
      </x:c>
      <x:c r="S875" t="n">
        <x:f>SUM(P875:R875)</x:f>
        <x:v>0</x:v>
      </x:c>
      <x:c r="T875" t="str">
        <x:f>IF(COUNTA(M875:O875)=0,"DerivedFromCount","ManualOverride")</x:f>
        <x:v>DerivedFromCount</x:v>
      </x:c>
      <x:c r="U875" t="str">
        <x:f>IF(COUNTIF(DailyProduction!$Q$5:$Q$100,B875)=1,"OK","CHECK")</x:f>
        <x:v>OK</x:v>
      </x:c>
      <x:c r="V875" t="str">
        <x:f>IF(AND(I875&gt;=1,I875&lt;=13,K875&gt;=1,K875&lt;=3),"OK","CHECK")</x:f>
        <x:v>OK</x:v>
      </x:c>
      <x:c r="W875" t="str">
        <x:f>IF(SUMIF($B$5:$B$914,B875,$S$5:$S$914)=SUMIF(DailyProduction!$Q$5:$Q$100,B875,DailyProduction!$R$5:$R$100),"OK","CHECK")</x:f>
        <x:v>OK</x:v>
      </x:c>
    </x:row>
    <x:row r="876">
      <x:c r="A876" t="str">
        <x:v>PC-PE-KG01-L25-20251025-PM-ORD-2025-00162-S01</x:v>
      </x:c>
      <x:c r="B876" t="str">
        <x:v>PE-KG01-L25-20251025-PM-ORD-2025-00162</x:v>
      </x:c>
      <x:c r="C876" t="str">
        <x:v>KG01</x:v>
      </x:c>
      <x:c r="D876" t="n">
        <x:v>45955</x:v>
      </x:c>
      <x:c r="E876" t="str">
        <x:v>PM</x:v>
      </x:c>
      <x:c r="F876" t="str">
        <x:v>C</x:v>
      </x:c>
      <x:c r="G876" t="n">
        <x:v>25</x:v>
      </x:c>
      <x:c r="H876" t="str">
        <x:v>ORD-2025-00162</x:v>
      </x:c>
      <x:c r="I876" t="n">
        <x:v>1</x:v>
      </x:c>
      <x:c r="J876" t="n">
        <x:v>8</x:v>
      </x:c>
      <x:c r="K876" t="n">
        <x:v>3</x:v>
      </x:c>
      <x:c r="L876" t="n">
        <x:f>IF(I876&lt;=J876,1,0)</x:f>
        <x:v>1</x:v>
      </x:c>
      <x:c r="P876" t="n">
        <x:f>IF(M876="",IF(AND(L876=1,K876&gt;=1),1,0),M876)</x:f>
        <x:v>1</x:v>
      </x:c>
      <x:c r="Q876" t="n">
        <x:f>IF(N876="",IF(AND(L876=1,K876&gt;=2),1,0),N876)</x:f>
        <x:v>1</x:v>
      </x:c>
      <x:c r="R876" t="n">
        <x:f>IF(O876="",IF(AND(L876=1,K876&gt;=3),1,0),O876)</x:f>
        <x:v>1</x:v>
      </x:c>
      <x:c r="S876" t="n">
        <x:f>SUM(P876:R876)</x:f>
        <x:v>3</x:v>
      </x:c>
      <x:c r="T876" t="str">
        <x:f>IF(COUNTA(M876:O876)=0,"DerivedFromCount","ManualOverride")</x:f>
        <x:v>DerivedFromCount</x:v>
      </x:c>
      <x:c r="U876" t="str">
        <x:f>IF(COUNTIF(DailyProduction!$Q$5:$Q$100,B876)=1,"OK","CHECK")</x:f>
        <x:v>OK</x:v>
      </x:c>
      <x:c r="V876" t="str">
        <x:f>IF(AND(I876&gt;=1,I876&lt;=13,K876&gt;=1,K876&lt;=3),"OK","CHECK")</x:f>
        <x:v>OK</x:v>
      </x:c>
      <x:c r="W876" t="str">
        <x:f>IF(SUMIF($B$5:$B$914,B876,$S$5:$S$914)=SUMIF(DailyProduction!$Q$5:$Q$100,B876,DailyProduction!$R$5:$R$100),"OK","CHECK")</x:f>
        <x:v>OK</x:v>
      </x:c>
    </x:row>
    <x:row r="877">
      <x:c r="A877" t="str">
        <x:v>PC-PE-KG01-L25-20251025-PM-ORD-2025-00162-S02</x:v>
      </x:c>
      <x:c r="B877" t="str">
        <x:v>PE-KG01-L25-20251025-PM-ORD-2025-00162</x:v>
      </x:c>
      <x:c r="C877" t="str">
        <x:v>KG01</x:v>
      </x:c>
      <x:c r="D877" t="n">
        <x:v>45955</x:v>
      </x:c>
      <x:c r="E877" t="str">
        <x:v>PM</x:v>
      </x:c>
      <x:c r="F877" t="str">
        <x:v>C</x:v>
      </x:c>
      <x:c r="G877" t="n">
        <x:v>25</x:v>
      </x:c>
      <x:c r="H877" t="str">
        <x:v>ORD-2025-00162</x:v>
      </x:c>
      <x:c r="I877" t="n">
        <x:v>2</x:v>
      </x:c>
      <x:c r="J877" t="n">
        <x:v>8</x:v>
      </x:c>
      <x:c r="K877" t="n">
        <x:v>3</x:v>
      </x:c>
      <x:c r="L877" t="n">
        <x:f>IF(I877&lt;=J877,1,0)</x:f>
        <x:v>1</x:v>
      </x:c>
      <x:c r="P877" t="n">
        <x:f>IF(M877="",IF(AND(L877=1,K877&gt;=1),1,0),M877)</x:f>
        <x:v>1</x:v>
      </x:c>
      <x:c r="Q877" t="n">
        <x:f>IF(N877="",IF(AND(L877=1,K877&gt;=2),1,0),N877)</x:f>
        <x:v>1</x:v>
      </x:c>
      <x:c r="R877" t="n">
        <x:f>IF(O877="",IF(AND(L877=1,K877&gt;=3),1,0),O877)</x:f>
        <x:v>1</x:v>
      </x:c>
      <x:c r="S877" t="n">
        <x:f>SUM(P877:R877)</x:f>
        <x:v>3</x:v>
      </x:c>
      <x:c r="T877" t="str">
        <x:f>IF(COUNTA(M877:O877)=0,"DerivedFromCount","ManualOverride")</x:f>
        <x:v>DerivedFromCount</x:v>
      </x:c>
      <x:c r="U877" t="str">
        <x:f>IF(COUNTIF(DailyProduction!$Q$5:$Q$100,B877)=1,"OK","CHECK")</x:f>
        <x:v>OK</x:v>
      </x:c>
      <x:c r="V877" t="str">
        <x:f>IF(AND(I877&gt;=1,I877&lt;=13,K877&gt;=1,K877&lt;=3),"OK","CHECK")</x:f>
        <x:v>OK</x:v>
      </x:c>
      <x:c r="W877" t="str">
        <x:f>IF(SUMIF($B$5:$B$914,B877,$S$5:$S$914)=SUMIF(DailyProduction!$Q$5:$Q$100,B877,DailyProduction!$R$5:$R$100),"OK","CHECK")</x:f>
        <x:v>OK</x:v>
      </x:c>
    </x:row>
    <x:row r="878">
      <x:c r="A878" t="str">
        <x:v>PC-PE-KG01-L25-20251025-PM-ORD-2025-00162-S03</x:v>
      </x:c>
      <x:c r="B878" t="str">
        <x:v>PE-KG01-L25-20251025-PM-ORD-2025-00162</x:v>
      </x:c>
      <x:c r="C878" t="str">
        <x:v>KG01</x:v>
      </x:c>
      <x:c r="D878" t="n">
        <x:v>45955</x:v>
      </x:c>
      <x:c r="E878" t="str">
        <x:v>PM</x:v>
      </x:c>
      <x:c r="F878" t="str">
        <x:v>C</x:v>
      </x:c>
      <x:c r="G878" t="n">
        <x:v>25</x:v>
      </x:c>
      <x:c r="H878" t="str">
        <x:v>ORD-2025-00162</x:v>
      </x:c>
      <x:c r="I878" t="n">
        <x:v>3</x:v>
      </x:c>
      <x:c r="J878" t="n">
        <x:v>8</x:v>
      </x:c>
      <x:c r="K878" t="n">
        <x:v>3</x:v>
      </x:c>
      <x:c r="L878" t="n">
        <x:f>IF(I878&lt;=J878,1,0)</x:f>
        <x:v>1</x:v>
      </x:c>
      <x:c r="P878" t="n">
        <x:f>IF(M878="",IF(AND(L878=1,K878&gt;=1),1,0),M878)</x:f>
        <x:v>1</x:v>
      </x:c>
      <x:c r="Q878" t="n">
        <x:f>IF(N878="",IF(AND(L878=1,K878&gt;=2),1,0),N878)</x:f>
        <x:v>1</x:v>
      </x:c>
      <x:c r="R878" t="n">
        <x:f>IF(O878="",IF(AND(L878=1,K878&gt;=3),1,0),O878)</x:f>
        <x:v>1</x:v>
      </x:c>
      <x:c r="S878" t="n">
        <x:f>SUM(P878:R878)</x:f>
        <x:v>3</x:v>
      </x:c>
      <x:c r="T878" t="str">
        <x:f>IF(COUNTA(M878:O878)=0,"DerivedFromCount","ManualOverride")</x:f>
        <x:v>DerivedFromCount</x:v>
      </x:c>
      <x:c r="U878" t="str">
        <x:f>IF(COUNTIF(DailyProduction!$Q$5:$Q$100,B878)=1,"OK","CHECK")</x:f>
        <x:v>OK</x:v>
      </x:c>
      <x:c r="V878" t="str">
        <x:f>IF(AND(I878&gt;=1,I878&lt;=13,K878&gt;=1,K878&lt;=3),"OK","CHECK")</x:f>
        <x:v>OK</x:v>
      </x:c>
      <x:c r="W878" t="str">
        <x:f>IF(SUMIF($B$5:$B$914,B878,$S$5:$S$914)=SUMIF(DailyProduction!$Q$5:$Q$100,B878,DailyProduction!$R$5:$R$100),"OK","CHECK")</x:f>
        <x:v>OK</x:v>
      </x:c>
    </x:row>
    <x:row r="879">
      <x:c r="A879" t="str">
        <x:v>PC-PE-KG01-L25-20251025-PM-ORD-2025-00162-S04</x:v>
      </x:c>
      <x:c r="B879" t="str">
        <x:v>PE-KG01-L25-20251025-PM-ORD-2025-00162</x:v>
      </x:c>
      <x:c r="C879" t="str">
        <x:v>KG01</x:v>
      </x:c>
      <x:c r="D879" t="n">
        <x:v>45955</x:v>
      </x:c>
      <x:c r="E879" t="str">
        <x:v>PM</x:v>
      </x:c>
      <x:c r="F879" t="str">
        <x:v>C</x:v>
      </x:c>
      <x:c r="G879" t="n">
        <x:v>25</x:v>
      </x:c>
      <x:c r="H879" t="str">
        <x:v>ORD-2025-00162</x:v>
      </x:c>
      <x:c r="I879" t="n">
        <x:v>4</x:v>
      </x:c>
      <x:c r="J879" t="n">
        <x:v>8</x:v>
      </x:c>
      <x:c r="K879" t="n">
        <x:v>3</x:v>
      </x:c>
      <x:c r="L879" t="n">
        <x:f>IF(I879&lt;=J879,1,0)</x:f>
        <x:v>1</x:v>
      </x:c>
      <x:c r="P879" t="n">
        <x:f>IF(M879="",IF(AND(L879=1,K879&gt;=1),1,0),M879)</x:f>
        <x:v>1</x:v>
      </x:c>
      <x:c r="Q879" t="n">
        <x:f>IF(N879="",IF(AND(L879=1,K879&gt;=2),1,0),N879)</x:f>
        <x:v>1</x:v>
      </x:c>
      <x:c r="R879" t="n">
        <x:f>IF(O879="",IF(AND(L879=1,K879&gt;=3),1,0),O879)</x:f>
        <x:v>1</x:v>
      </x:c>
      <x:c r="S879" t="n">
        <x:f>SUM(P879:R879)</x:f>
        <x:v>3</x:v>
      </x:c>
      <x:c r="T879" t="str">
        <x:f>IF(COUNTA(M879:O879)=0,"DerivedFromCount","ManualOverride")</x:f>
        <x:v>DerivedFromCount</x:v>
      </x:c>
      <x:c r="U879" t="str">
        <x:f>IF(COUNTIF(DailyProduction!$Q$5:$Q$100,B879)=1,"OK","CHECK")</x:f>
        <x:v>OK</x:v>
      </x:c>
      <x:c r="V879" t="str">
        <x:f>IF(AND(I879&gt;=1,I879&lt;=13,K879&gt;=1,K879&lt;=3),"OK","CHECK")</x:f>
        <x:v>OK</x:v>
      </x:c>
      <x:c r="W879" t="str">
        <x:f>IF(SUMIF($B$5:$B$914,B879,$S$5:$S$914)=SUMIF(DailyProduction!$Q$5:$Q$100,B879,DailyProduction!$R$5:$R$100),"OK","CHECK")</x:f>
        <x:v>OK</x:v>
      </x:c>
    </x:row>
    <x:row r="880">
      <x:c r="A880" t="str">
        <x:v>PC-PE-KG01-L25-20251025-PM-ORD-2025-00162-S05</x:v>
      </x:c>
      <x:c r="B880" t="str">
        <x:v>PE-KG01-L25-20251025-PM-ORD-2025-00162</x:v>
      </x:c>
      <x:c r="C880" t="str">
        <x:v>KG01</x:v>
      </x:c>
      <x:c r="D880" t="n">
        <x:v>45955</x:v>
      </x:c>
      <x:c r="E880" t="str">
        <x:v>PM</x:v>
      </x:c>
      <x:c r="F880" t="str">
        <x:v>C</x:v>
      </x:c>
      <x:c r="G880" t="n">
        <x:v>25</x:v>
      </x:c>
      <x:c r="H880" t="str">
        <x:v>ORD-2025-00162</x:v>
      </x:c>
      <x:c r="I880" t="n">
        <x:v>5</x:v>
      </x:c>
      <x:c r="J880" t="n">
        <x:v>8</x:v>
      </x:c>
      <x:c r="K880" t="n">
        <x:v>3</x:v>
      </x:c>
      <x:c r="L880" t="n">
        <x:f>IF(I880&lt;=J880,1,0)</x:f>
        <x:v>1</x:v>
      </x:c>
      <x:c r="P880" t="n">
        <x:f>IF(M880="",IF(AND(L880=1,K880&gt;=1),1,0),M880)</x:f>
        <x:v>1</x:v>
      </x:c>
      <x:c r="Q880" t="n">
        <x:f>IF(N880="",IF(AND(L880=1,K880&gt;=2),1,0),N880)</x:f>
        <x:v>1</x:v>
      </x:c>
      <x:c r="R880" t="n">
        <x:f>IF(O880="",IF(AND(L880=1,K880&gt;=3),1,0),O880)</x:f>
        <x:v>1</x:v>
      </x:c>
      <x:c r="S880" t="n">
        <x:f>SUM(P880:R880)</x:f>
        <x:v>3</x:v>
      </x:c>
      <x:c r="T880" t="str">
        <x:f>IF(COUNTA(M880:O880)=0,"DerivedFromCount","ManualOverride")</x:f>
        <x:v>DerivedFromCount</x:v>
      </x:c>
      <x:c r="U880" t="str">
        <x:f>IF(COUNTIF(DailyProduction!$Q$5:$Q$100,B880)=1,"OK","CHECK")</x:f>
        <x:v>OK</x:v>
      </x:c>
      <x:c r="V880" t="str">
        <x:f>IF(AND(I880&gt;=1,I880&lt;=13,K880&gt;=1,K880&lt;=3),"OK","CHECK")</x:f>
        <x:v>OK</x:v>
      </x:c>
      <x:c r="W880" t="str">
        <x:f>IF(SUMIF($B$5:$B$914,B880,$S$5:$S$914)=SUMIF(DailyProduction!$Q$5:$Q$100,B880,DailyProduction!$R$5:$R$100),"OK","CHECK")</x:f>
        <x:v>OK</x:v>
      </x:c>
    </x:row>
    <x:row r="881">
      <x:c r="A881" t="str">
        <x:v>PC-PE-KG01-L25-20251025-PM-ORD-2025-00162-S06</x:v>
      </x:c>
      <x:c r="B881" t="str">
        <x:v>PE-KG01-L25-20251025-PM-ORD-2025-00162</x:v>
      </x:c>
      <x:c r="C881" t="str">
        <x:v>KG01</x:v>
      </x:c>
      <x:c r="D881" t="n">
        <x:v>45955</x:v>
      </x:c>
      <x:c r="E881" t="str">
        <x:v>PM</x:v>
      </x:c>
      <x:c r="F881" t="str">
        <x:v>C</x:v>
      </x:c>
      <x:c r="G881" t="n">
        <x:v>25</x:v>
      </x:c>
      <x:c r="H881" t="str">
        <x:v>ORD-2025-00162</x:v>
      </x:c>
      <x:c r="I881" t="n">
        <x:v>6</x:v>
      </x:c>
      <x:c r="J881" t="n">
        <x:v>8</x:v>
      </x:c>
      <x:c r="K881" t="n">
        <x:v>3</x:v>
      </x:c>
      <x:c r="L881" t="n">
        <x:f>IF(I881&lt;=J881,1,0)</x:f>
        <x:v>1</x:v>
      </x:c>
      <x:c r="P881" t="n">
        <x:f>IF(M881="",IF(AND(L881=1,K881&gt;=1),1,0),M881)</x:f>
        <x:v>1</x:v>
      </x:c>
      <x:c r="Q881" t="n">
        <x:f>IF(N881="",IF(AND(L881=1,K881&gt;=2),1,0),N881)</x:f>
        <x:v>1</x:v>
      </x:c>
      <x:c r="R881" t="n">
        <x:f>IF(O881="",IF(AND(L881=1,K881&gt;=3),1,0),O881)</x:f>
        <x:v>1</x:v>
      </x:c>
      <x:c r="S881" t="n">
        <x:f>SUM(P881:R881)</x:f>
        <x:v>3</x:v>
      </x:c>
      <x:c r="T881" t="str">
        <x:f>IF(COUNTA(M881:O881)=0,"DerivedFromCount","ManualOverride")</x:f>
        <x:v>DerivedFromCount</x:v>
      </x:c>
      <x:c r="U881" t="str">
        <x:f>IF(COUNTIF(DailyProduction!$Q$5:$Q$100,B881)=1,"OK","CHECK")</x:f>
        <x:v>OK</x:v>
      </x:c>
      <x:c r="V881" t="str">
        <x:f>IF(AND(I881&gt;=1,I881&lt;=13,K881&gt;=1,K881&lt;=3),"OK","CHECK")</x:f>
        <x:v>OK</x:v>
      </x:c>
      <x:c r="W881" t="str">
        <x:f>IF(SUMIF($B$5:$B$914,B881,$S$5:$S$914)=SUMIF(DailyProduction!$Q$5:$Q$100,B881,DailyProduction!$R$5:$R$100),"OK","CHECK")</x:f>
        <x:v>OK</x:v>
      </x:c>
    </x:row>
    <x:row r="882">
      <x:c r="A882" t="str">
        <x:v>PC-PE-KG01-L25-20251025-PM-ORD-2025-00162-S07</x:v>
      </x:c>
      <x:c r="B882" t="str">
        <x:v>PE-KG01-L25-20251025-PM-ORD-2025-00162</x:v>
      </x:c>
      <x:c r="C882" t="str">
        <x:v>KG01</x:v>
      </x:c>
      <x:c r="D882" t="n">
        <x:v>45955</x:v>
      </x:c>
      <x:c r="E882" t="str">
        <x:v>PM</x:v>
      </x:c>
      <x:c r="F882" t="str">
        <x:v>C</x:v>
      </x:c>
      <x:c r="G882" t="n">
        <x:v>25</x:v>
      </x:c>
      <x:c r="H882" t="str">
        <x:v>ORD-2025-00162</x:v>
      </x:c>
      <x:c r="I882" t="n">
        <x:v>7</x:v>
      </x:c>
      <x:c r="J882" t="n">
        <x:v>8</x:v>
      </x:c>
      <x:c r="K882" t="n">
        <x:v>3</x:v>
      </x:c>
      <x:c r="L882" t="n">
        <x:f>IF(I882&lt;=J882,1,0)</x:f>
        <x:v>1</x:v>
      </x:c>
      <x:c r="P882" t="n">
        <x:f>IF(M882="",IF(AND(L882=1,K882&gt;=1),1,0),M882)</x:f>
        <x:v>1</x:v>
      </x:c>
      <x:c r="Q882" t="n">
        <x:f>IF(N882="",IF(AND(L882=1,K882&gt;=2),1,0),N882)</x:f>
        <x:v>1</x:v>
      </x:c>
      <x:c r="R882" t="n">
        <x:f>IF(O882="",IF(AND(L882=1,K882&gt;=3),1,0),O882)</x:f>
        <x:v>1</x:v>
      </x:c>
      <x:c r="S882" t="n">
        <x:f>SUM(P882:R882)</x:f>
        <x:v>3</x:v>
      </x:c>
      <x:c r="T882" t="str">
        <x:f>IF(COUNTA(M882:O882)=0,"DerivedFromCount","ManualOverride")</x:f>
        <x:v>DerivedFromCount</x:v>
      </x:c>
      <x:c r="U882" t="str">
        <x:f>IF(COUNTIF(DailyProduction!$Q$5:$Q$100,B882)=1,"OK","CHECK")</x:f>
        <x:v>OK</x:v>
      </x:c>
      <x:c r="V882" t="str">
        <x:f>IF(AND(I882&gt;=1,I882&lt;=13,K882&gt;=1,K882&lt;=3),"OK","CHECK")</x:f>
        <x:v>OK</x:v>
      </x:c>
      <x:c r="W882" t="str">
        <x:f>IF(SUMIF($B$5:$B$914,B882,$S$5:$S$914)=SUMIF(DailyProduction!$Q$5:$Q$100,B882,DailyProduction!$R$5:$R$100),"OK","CHECK")</x:f>
        <x:v>OK</x:v>
      </x:c>
    </x:row>
    <x:row r="883">
      <x:c r="A883" t="str">
        <x:v>PC-PE-KG01-L25-20251025-PM-ORD-2025-00162-S08</x:v>
      </x:c>
      <x:c r="B883" t="str">
        <x:v>PE-KG01-L25-20251025-PM-ORD-2025-00162</x:v>
      </x:c>
      <x:c r="C883" t="str">
        <x:v>KG01</x:v>
      </x:c>
      <x:c r="D883" t="n">
        <x:v>45955</x:v>
      </x:c>
      <x:c r="E883" t="str">
        <x:v>PM</x:v>
      </x:c>
      <x:c r="F883" t="str">
        <x:v>C</x:v>
      </x:c>
      <x:c r="G883" t="n">
        <x:v>25</x:v>
      </x:c>
      <x:c r="H883" t="str">
        <x:v>ORD-2025-00162</x:v>
      </x:c>
      <x:c r="I883" t="n">
        <x:v>8</x:v>
      </x:c>
      <x:c r="J883" t="n">
        <x:v>8</x:v>
      </x:c>
      <x:c r="K883" t="n">
        <x:v>3</x:v>
      </x:c>
      <x:c r="L883" t="n">
        <x:f>IF(I883&lt;=J883,1,0)</x:f>
        <x:v>1</x:v>
      </x:c>
      <x:c r="P883" t="n">
        <x:f>IF(M883="",IF(AND(L883=1,K883&gt;=1),1,0),M883)</x:f>
        <x:v>1</x:v>
      </x:c>
      <x:c r="Q883" t="n">
        <x:f>IF(N883="",IF(AND(L883=1,K883&gt;=2),1,0),N883)</x:f>
        <x:v>1</x:v>
      </x:c>
      <x:c r="R883" t="n">
        <x:f>IF(O883="",IF(AND(L883=1,K883&gt;=3),1,0),O883)</x:f>
        <x:v>1</x:v>
      </x:c>
      <x:c r="S883" t="n">
        <x:f>SUM(P883:R883)</x:f>
        <x:v>3</x:v>
      </x:c>
      <x:c r="T883" t="str">
        <x:f>IF(COUNTA(M883:O883)=0,"DerivedFromCount","ManualOverride")</x:f>
        <x:v>DerivedFromCount</x:v>
      </x:c>
      <x:c r="U883" t="str">
        <x:f>IF(COUNTIF(DailyProduction!$Q$5:$Q$100,B883)=1,"OK","CHECK")</x:f>
        <x:v>OK</x:v>
      </x:c>
      <x:c r="V883" t="str">
        <x:f>IF(AND(I883&gt;=1,I883&lt;=13,K883&gt;=1,K883&lt;=3),"OK","CHECK")</x:f>
        <x:v>OK</x:v>
      </x:c>
      <x:c r="W883" t="str">
        <x:f>IF(SUMIF($B$5:$B$914,B883,$S$5:$S$914)=SUMIF(DailyProduction!$Q$5:$Q$100,B883,DailyProduction!$R$5:$R$100),"OK","CHECK")</x:f>
        <x:v>OK</x:v>
      </x:c>
    </x:row>
    <x:row r="884">
      <x:c r="A884" t="str">
        <x:v>PC-PE-KG01-L25-20251025-PM-ORD-2025-00162-S09</x:v>
      </x:c>
      <x:c r="B884" t="str">
        <x:v>PE-KG01-L25-20251025-PM-ORD-2025-00162</x:v>
      </x:c>
      <x:c r="C884" t="str">
        <x:v>KG01</x:v>
      </x:c>
      <x:c r="D884" t="n">
        <x:v>45955</x:v>
      </x:c>
      <x:c r="E884" t="str">
        <x:v>PM</x:v>
      </x:c>
      <x:c r="F884" t="str">
        <x:v>C</x:v>
      </x:c>
      <x:c r="G884" t="n">
        <x:v>25</x:v>
      </x:c>
      <x:c r="H884" t="str">
        <x:v>ORD-2025-00162</x:v>
      </x:c>
      <x:c r="I884" t="n">
        <x:v>9</x:v>
      </x:c>
      <x:c r="J884" t="n">
        <x:v>8</x:v>
      </x:c>
      <x:c r="K884" t="n">
        <x:v>3</x:v>
      </x:c>
      <x:c r="L884" t="n">
        <x:f>IF(I884&lt;=J884,1,0)</x:f>
        <x:v>0</x:v>
      </x:c>
      <x:c r="P884" t="n">
        <x:f>IF(M884="",IF(AND(L884=1,K884&gt;=1),1,0),M884)</x:f>
        <x:v>0</x:v>
      </x:c>
      <x:c r="Q884" t="n">
        <x:f>IF(N884="",IF(AND(L884=1,K884&gt;=2),1,0),N884)</x:f>
        <x:v>0</x:v>
      </x:c>
      <x:c r="R884" t="n">
        <x:f>IF(O884="",IF(AND(L884=1,K884&gt;=3),1,0),O884)</x:f>
        <x:v>0</x:v>
      </x:c>
      <x:c r="S884" t="n">
        <x:f>SUM(P884:R884)</x:f>
        <x:v>0</x:v>
      </x:c>
      <x:c r="T884" t="str">
        <x:f>IF(COUNTA(M884:O884)=0,"DerivedFromCount","ManualOverride")</x:f>
        <x:v>DerivedFromCount</x:v>
      </x:c>
      <x:c r="U884" t="str">
        <x:f>IF(COUNTIF(DailyProduction!$Q$5:$Q$100,B884)=1,"OK","CHECK")</x:f>
        <x:v>OK</x:v>
      </x:c>
      <x:c r="V884" t="str">
        <x:f>IF(AND(I884&gt;=1,I884&lt;=13,K884&gt;=1,K884&lt;=3),"OK","CHECK")</x:f>
        <x:v>OK</x:v>
      </x:c>
      <x:c r="W884" t="str">
        <x:f>IF(SUMIF($B$5:$B$914,B884,$S$5:$S$914)=SUMIF(DailyProduction!$Q$5:$Q$100,B884,DailyProduction!$R$5:$R$100),"OK","CHECK")</x:f>
        <x:v>OK</x:v>
      </x:c>
    </x:row>
    <x:row r="885">
      <x:c r="A885" t="str">
        <x:v>PC-PE-KG01-L25-20251025-PM-ORD-2025-00162-S10</x:v>
      </x:c>
      <x:c r="B885" t="str">
        <x:v>PE-KG01-L25-20251025-PM-ORD-2025-00162</x:v>
      </x:c>
      <x:c r="C885" t="str">
        <x:v>KG01</x:v>
      </x:c>
      <x:c r="D885" t="n">
        <x:v>45955</x:v>
      </x:c>
      <x:c r="E885" t="str">
        <x:v>PM</x:v>
      </x:c>
      <x:c r="F885" t="str">
        <x:v>C</x:v>
      </x:c>
      <x:c r="G885" t="n">
        <x:v>25</x:v>
      </x:c>
      <x:c r="H885" t="str">
        <x:v>ORD-2025-00162</x:v>
      </x:c>
      <x:c r="I885" t="n">
        <x:v>10</x:v>
      </x:c>
      <x:c r="J885" t="n">
        <x:v>8</x:v>
      </x:c>
      <x:c r="K885" t="n">
        <x:v>3</x:v>
      </x:c>
      <x:c r="L885" t="n">
        <x:f>IF(I885&lt;=J885,1,0)</x:f>
        <x:v>0</x:v>
      </x:c>
      <x:c r="P885" t="n">
        <x:f>IF(M885="",IF(AND(L885=1,K885&gt;=1),1,0),M885)</x:f>
        <x:v>0</x:v>
      </x:c>
      <x:c r="Q885" t="n">
        <x:f>IF(N885="",IF(AND(L885=1,K885&gt;=2),1,0),N885)</x:f>
        <x:v>0</x:v>
      </x:c>
      <x:c r="R885" t="n">
        <x:f>IF(O885="",IF(AND(L885=1,K885&gt;=3),1,0),O885)</x:f>
        <x:v>0</x:v>
      </x:c>
      <x:c r="S885" t="n">
        <x:f>SUM(P885:R885)</x:f>
        <x:v>0</x:v>
      </x:c>
      <x:c r="T885" t="str">
        <x:f>IF(COUNTA(M885:O885)=0,"DerivedFromCount","ManualOverride")</x:f>
        <x:v>DerivedFromCount</x:v>
      </x:c>
      <x:c r="U885" t="str">
        <x:f>IF(COUNTIF(DailyProduction!$Q$5:$Q$100,B885)=1,"OK","CHECK")</x:f>
        <x:v>OK</x:v>
      </x:c>
      <x:c r="V885" t="str">
        <x:f>IF(AND(I885&gt;=1,I885&lt;=13,K885&gt;=1,K885&lt;=3),"OK","CHECK")</x:f>
        <x:v>OK</x:v>
      </x:c>
      <x:c r="W885" t="str">
        <x:f>IF(SUMIF($B$5:$B$914,B885,$S$5:$S$914)=SUMIF(DailyProduction!$Q$5:$Q$100,B885,DailyProduction!$R$5:$R$100),"OK","CHECK")</x:f>
        <x:v>OK</x:v>
      </x:c>
    </x:row>
    <x:row r="886">
      <x:c r="A886" t="str">
        <x:v>PC-PE-KG01-L25-20251025-PM-ORD-2025-00162-S11</x:v>
      </x:c>
      <x:c r="B886" t="str">
        <x:v>PE-KG01-L25-20251025-PM-ORD-2025-00162</x:v>
      </x:c>
      <x:c r="C886" t="str">
        <x:v>KG01</x:v>
      </x:c>
      <x:c r="D886" t="n">
        <x:v>45955</x:v>
      </x:c>
      <x:c r="E886" t="str">
        <x:v>PM</x:v>
      </x:c>
      <x:c r="F886" t="str">
        <x:v>C</x:v>
      </x:c>
      <x:c r="G886" t="n">
        <x:v>25</x:v>
      </x:c>
      <x:c r="H886" t="str">
        <x:v>ORD-2025-00162</x:v>
      </x:c>
      <x:c r="I886" t="n">
        <x:v>11</x:v>
      </x:c>
      <x:c r="J886" t="n">
        <x:v>8</x:v>
      </x:c>
      <x:c r="K886" t="n">
        <x:v>3</x:v>
      </x:c>
      <x:c r="L886" t="n">
        <x:f>IF(I886&lt;=J886,1,0)</x:f>
        <x:v>0</x:v>
      </x:c>
      <x:c r="P886" t="n">
        <x:f>IF(M886="",IF(AND(L886=1,K886&gt;=1),1,0),M886)</x:f>
        <x:v>0</x:v>
      </x:c>
      <x:c r="Q886" t="n">
        <x:f>IF(N886="",IF(AND(L886=1,K886&gt;=2),1,0),N886)</x:f>
        <x:v>0</x:v>
      </x:c>
      <x:c r="R886" t="n">
        <x:f>IF(O886="",IF(AND(L886=1,K886&gt;=3),1,0),O886)</x:f>
        <x:v>0</x:v>
      </x:c>
      <x:c r="S886" t="n">
        <x:f>SUM(P886:R886)</x:f>
        <x:v>0</x:v>
      </x:c>
      <x:c r="T886" t="str">
        <x:f>IF(COUNTA(M886:O886)=0,"DerivedFromCount","ManualOverride")</x:f>
        <x:v>DerivedFromCount</x:v>
      </x:c>
      <x:c r="U886" t="str">
        <x:f>IF(COUNTIF(DailyProduction!$Q$5:$Q$100,B886)=1,"OK","CHECK")</x:f>
        <x:v>OK</x:v>
      </x:c>
      <x:c r="V886" t="str">
        <x:f>IF(AND(I886&gt;=1,I886&lt;=13,K886&gt;=1,K886&lt;=3),"OK","CHECK")</x:f>
        <x:v>OK</x:v>
      </x:c>
      <x:c r="W886" t="str">
        <x:f>IF(SUMIF($B$5:$B$914,B886,$S$5:$S$914)=SUMIF(DailyProduction!$Q$5:$Q$100,B886,DailyProduction!$R$5:$R$100),"OK","CHECK")</x:f>
        <x:v>OK</x:v>
      </x:c>
    </x:row>
    <x:row r="887">
      <x:c r="A887" t="str">
        <x:v>PC-PE-KG01-L25-20251025-PM-ORD-2025-00162-S12</x:v>
      </x:c>
      <x:c r="B887" t="str">
        <x:v>PE-KG01-L25-20251025-PM-ORD-2025-00162</x:v>
      </x:c>
      <x:c r="C887" t="str">
        <x:v>KG01</x:v>
      </x:c>
      <x:c r="D887" t="n">
        <x:v>45955</x:v>
      </x:c>
      <x:c r="E887" t="str">
        <x:v>PM</x:v>
      </x:c>
      <x:c r="F887" t="str">
        <x:v>C</x:v>
      </x:c>
      <x:c r="G887" t="n">
        <x:v>25</x:v>
      </x:c>
      <x:c r="H887" t="str">
        <x:v>ORD-2025-00162</x:v>
      </x:c>
      <x:c r="I887" t="n">
        <x:v>12</x:v>
      </x:c>
      <x:c r="J887" t="n">
        <x:v>8</x:v>
      </x:c>
      <x:c r="K887" t="n">
        <x:v>3</x:v>
      </x:c>
      <x:c r="L887" t="n">
        <x:f>IF(I887&lt;=J887,1,0)</x:f>
        <x:v>0</x:v>
      </x:c>
      <x:c r="P887" t="n">
        <x:f>IF(M887="",IF(AND(L887=1,K887&gt;=1),1,0),M887)</x:f>
        <x:v>0</x:v>
      </x:c>
      <x:c r="Q887" t="n">
        <x:f>IF(N887="",IF(AND(L887=1,K887&gt;=2),1,0),N887)</x:f>
        <x:v>0</x:v>
      </x:c>
      <x:c r="R887" t="n">
        <x:f>IF(O887="",IF(AND(L887=1,K887&gt;=3),1,0),O887)</x:f>
        <x:v>0</x:v>
      </x:c>
      <x:c r="S887" t="n">
        <x:f>SUM(P887:R887)</x:f>
        <x:v>0</x:v>
      </x:c>
      <x:c r="T887" t="str">
        <x:f>IF(COUNTA(M887:O887)=0,"DerivedFromCount","ManualOverride")</x:f>
        <x:v>DerivedFromCount</x:v>
      </x:c>
      <x:c r="U887" t="str">
        <x:f>IF(COUNTIF(DailyProduction!$Q$5:$Q$100,B887)=1,"OK","CHECK")</x:f>
        <x:v>OK</x:v>
      </x:c>
      <x:c r="V887" t="str">
        <x:f>IF(AND(I887&gt;=1,I887&lt;=13,K887&gt;=1,K887&lt;=3),"OK","CHECK")</x:f>
        <x:v>OK</x:v>
      </x:c>
      <x:c r="W887" t="str">
        <x:f>IF(SUMIF($B$5:$B$914,B887,$S$5:$S$914)=SUMIF(DailyProduction!$Q$5:$Q$100,B887,DailyProduction!$R$5:$R$100),"OK","CHECK")</x:f>
        <x:v>OK</x:v>
      </x:c>
    </x:row>
    <x:row r="888">
      <x:c r="A888" t="str">
        <x:v>PC-PE-KG01-L25-20251025-PM-ORD-2025-00162-S13</x:v>
      </x:c>
      <x:c r="B888" t="str">
        <x:v>PE-KG01-L25-20251025-PM-ORD-2025-00162</x:v>
      </x:c>
      <x:c r="C888" t="str">
        <x:v>KG01</x:v>
      </x:c>
      <x:c r="D888" t="n">
        <x:v>45955</x:v>
      </x:c>
      <x:c r="E888" t="str">
        <x:v>PM</x:v>
      </x:c>
      <x:c r="F888" t="str">
        <x:v>C</x:v>
      </x:c>
      <x:c r="G888" t="n">
        <x:v>25</x:v>
      </x:c>
      <x:c r="H888" t="str">
        <x:v>ORD-2025-00162</x:v>
      </x:c>
      <x:c r="I888" t="n">
        <x:v>13</x:v>
      </x:c>
      <x:c r="J888" t="n">
        <x:v>8</x:v>
      </x:c>
      <x:c r="K888" t="n">
        <x:v>3</x:v>
      </x:c>
      <x:c r="L888" t="n">
        <x:f>IF(I888&lt;=J888,1,0)</x:f>
        <x:v>0</x:v>
      </x:c>
      <x:c r="P888" t="n">
        <x:f>IF(M888="",IF(AND(L888=1,K888&gt;=1),1,0),M888)</x:f>
        <x:v>0</x:v>
      </x:c>
      <x:c r="Q888" t="n">
        <x:f>IF(N888="",IF(AND(L888=1,K888&gt;=2),1,0),N888)</x:f>
        <x:v>0</x:v>
      </x:c>
      <x:c r="R888" t="n">
        <x:f>IF(O888="",IF(AND(L888=1,K888&gt;=3),1,0),O888)</x:f>
        <x:v>0</x:v>
      </x:c>
      <x:c r="S888" t="n">
        <x:f>SUM(P888:R888)</x:f>
        <x:v>0</x:v>
      </x:c>
      <x:c r="T888" t="str">
        <x:f>IF(COUNTA(M888:O888)=0,"DerivedFromCount","ManualOverride")</x:f>
        <x:v>DerivedFromCount</x:v>
      </x:c>
      <x:c r="U888" t="str">
        <x:f>IF(COUNTIF(DailyProduction!$Q$5:$Q$100,B888)=1,"OK","CHECK")</x:f>
        <x:v>OK</x:v>
      </x:c>
      <x:c r="V888" t="str">
        <x:f>IF(AND(I888&gt;=1,I888&lt;=13,K888&gt;=1,K888&lt;=3),"OK","CHECK")</x:f>
        <x:v>OK</x:v>
      </x:c>
      <x:c r="W888" t="str">
        <x:f>IF(SUMIF($B$5:$B$914,B888,$S$5:$S$914)=SUMIF(DailyProduction!$Q$5:$Q$100,B888,DailyProduction!$R$5:$R$100),"OK","CHECK")</x:f>
        <x:v>OK</x:v>
      </x:c>
    </x:row>
    <x:row r="889">
      <x:c r="A889" t="str">
        <x:v>PC-PE-KG01-L25-20251026-AM-ORD-2025-00162-S01</x:v>
      </x:c>
      <x:c r="B889" t="str">
        <x:v>PE-KG01-L25-20251026-AM-ORD-2025-00162</x:v>
      </x:c>
      <x:c r="C889" t="str">
        <x:v>KG01</x:v>
      </x:c>
      <x:c r="D889" t="n">
        <x:v>45956</x:v>
      </x:c>
      <x:c r="E889" t="str">
        <x:v>AM</x:v>
      </x:c>
      <x:c r="F889" t="str">
        <x:v>C</x:v>
      </x:c>
      <x:c r="G889" t="n">
        <x:v>25</x:v>
      </x:c>
      <x:c r="H889" t="str">
        <x:v>ORD-2025-00162</x:v>
      </x:c>
      <x:c r="I889" t="n">
        <x:v>1</x:v>
      </x:c>
      <x:c r="J889" t="n">
        <x:v>8</x:v>
      </x:c>
      <x:c r="K889" t="n">
        <x:v>3</x:v>
      </x:c>
      <x:c r="L889" t="n">
        <x:f>IF(I889&lt;=J889,1,0)</x:f>
        <x:v>1</x:v>
      </x:c>
      <x:c r="P889" t="n">
        <x:f>IF(M889="",IF(AND(L889=1,K889&gt;=1),1,0),M889)</x:f>
        <x:v>1</x:v>
      </x:c>
      <x:c r="Q889" t="n">
        <x:f>IF(N889="",IF(AND(L889=1,K889&gt;=2),1,0),N889)</x:f>
        <x:v>1</x:v>
      </x:c>
      <x:c r="R889" t="n">
        <x:f>IF(O889="",IF(AND(L889=1,K889&gt;=3),1,0),O889)</x:f>
        <x:v>1</x:v>
      </x:c>
      <x:c r="S889" t="n">
        <x:f>SUM(P889:R889)</x:f>
        <x:v>3</x:v>
      </x:c>
      <x:c r="T889" t="str">
        <x:f>IF(COUNTA(M889:O889)=0,"DerivedFromCount","ManualOverride")</x:f>
        <x:v>DerivedFromCount</x:v>
      </x:c>
      <x:c r="U889" t="str">
        <x:f>IF(COUNTIF(DailyProduction!$Q$5:$Q$100,B889)=1,"OK","CHECK")</x:f>
        <x:v>OK</x:v>
      </x:c>
      <x:c r="V889" t="str">
        <x:f>IF(AND(I889&gt;=1,I889&lt;=13,K889&gt;=1,K889&lt;=3),"OK","CHECK")</x:f>
        <x:v>OK</x:v>
      </x:c>
      <x:c r="W889" t="str">
        <x:f>IF(SUMIF($B$5:$B$914,B889,$S$5:$S$914)=SUMIF(DailyProduction!$Q$5:$Q$100,B889,DailyProduction!$R$5:$R$100),"OK","CHECK")</x:f>
        <x:v>OK</x:v>
      </x:c>
    </x:row>
    <x:row r="890">
      <x:c r="A890" t="str">
        <x:v>PC-PE-KG01-L25-20251026-AM-ORD-2025-00162-S02</x:v>
      </x:c>
      <x:c r="B890" t="str">
        <x:v>PE-KG01-L25-20251026-AM-ORD-2025-00162</x:v>
      </x:c>
      <x:c r="C890" t="str">
        <x:v>KG01</x:v>
      </x:c>
      <x:c r="D890" t="n">
        <x:v>45956</x:v>
      </x:c>
      <x:c r="E890" t="str">
        <x:v>AM</x:v>
      </x:c>
      <x:c r="F890" t="str">
        <x:v>C</x:v>
      </x:c>
      <x:c r="G890" t="n">
        <x:v>25</x:v>
      </x:c>
      <x:c r="H890" t="str">
        <x:v>ORD-2025-00162</x:v>
      </x:c>
      <x:c r="I890" t="n">
        <x:v>2</x:v>
      </x:c>
      <x:c r="J890" t="n">
        <x:v>8</x:v>
      </x:c>
      <x:c r="K890" t="n">
        <x:v>3</x:v>
      </x:c>
      <x:c r="L890" t="n">
        <x:f>IF(I890&lt;=J890,1,0)</x:f>
        <x:v>1</x:v>
      </x:c>
      <x:c r="P890" t="n">
        <x:f>IF(M890="",IF(AND(L890=1,K890&gt;=1),1,0),M890)</x:f>
        <x:v>1</x:v>
      </x:c>
      <x:c r="Q890" t="n">
        <x:f>IF(N890="",IF(AND(L890=1,K890&gt;=2),1,0),N890)</x:f>
        <x:v>1</x:v>
      </x:c>
      <x:c r="R890" t="n">
        <x:f>IF(O890="",IF(AND(L890=1,K890&gt;=3),1,0),O890)</x:f>
        <x:v>1</x:v>
      </x:c>
      <x:c r="S890" t="n">
        <x:f>SUM(P890:R890)</x:f>
        <x:v>3</x:v>
      </x:c>
      <x:c r="T890" t="str">
        <x:f>IF(COUNTA(M890:O890)=0,"DerivedFromCount","ManualOverride")</x:f>
        <x:v>DerivedFromCount</x:v>
      </x:c>
      <x:c r="U890" t="str">
        <x:f>IF(COUNTIF(DailyProduction!$Q$5:$Q$100,B890)=1,"OK","CHECK")</x:f>
        <x:v>OK</x:v>
      </x:c>
      <x:c r="V890" t="str">
        <x:f>IF(AND(I890&gt;=1,I890&lt;=13,K890&gt;=1,K890&lt;=3),"OK","CHECK")</x:f>
        <x:v>OK</x:v>
      </x:c>
      <x:c r="W890" t="str">
        <x:f>IF(SUMIF($B$5:$B$914,B890,$S$5:$S$914)=SUMIF(DailyProduction!$Q$5:$Q$100,B890,DailyProduction!$R$5:$R$100),"OK","CHECK")</x:f>
        <x:v>OK</x:v>
      </x:c>
    </x:row>
    <x:row r="891">
      <x:c r="A891" t="str">
        <x:v>PC-PE-KG01-L25-20251026-AM-ORD-2025-00162-S03</x:v>
      </x:c>
      <x:c r="B891" t="str">
        <x:v>PE-KG01-L25-20251026-AM-ORD-2025-00162</x:v>
      </x:c>
      <x:c r="C891" t="str">
        <x:v>KG01</x:v>
      </x:c>
      <x:c r="D891" t="n">
        <x:v>45956</x:v>
      </x:c>
      <x:c r="E891" t="str">
        <x:v>AM</x:v>
      </x:c>
      <x:c r="F891" t="str">
        <x:v>C</x:v>
      </x:c>
      <x:c r="G891" t="n">
        <x:v>25</x:v>
      </x:c>
      <x:c r="H891" t="str">
        <x:v>ORD-2025-00162</x:v>
      </x:c>
      <x:c r="I891" t="n">
        <x:v>3</x:v>
      </x:c>
      <x:c r="J891" t="n">
        <x:v>8</x:v>
      </x:c>
      <x:c r="K891" t="n">
        <x:v>3</x:v>
      </x:c>
      <x:c r="L891" t="n">
        <x:f>IF(I891&lt;=J891,1,0)</x:f>
        <x:v>1</x:v>
      </x:c>
      <x:c r="P891" t="n">
        <x:f>IF(M891="",IF(AND(L891=1,K891&gt;=1),1,0),M891)</x:f>
        <x:v>1</x:v>
      </x:c>
      <x:c r="Q891" t="n">
        <x:f>IF(N891="",IF(AND(L891=1,K891&gt;=2),1,0),N891)</x:f>
        <x:v>1</x:v>
      </x:c>
      <x:c r="R891" t="n">
        <x:f>IF(O891="",IF(AND(L891=1,K891&gt;=3),1,0),O891)</x:f>
        <x:v>1</x:v>
      </x:c>
      <x:c r="S891" t="n">
        <x:f>SUM(P891:R891)</x:f>
        <x:v>3</x:v>
      </x:c>
      <x:c r="T891" t="str">
        <x:f>IF(COUNTA(M891:O891)=0,"DerivedFromCount","ManualOverride")</x:f>
        <x:v>DerivedFromCount</x:v>
      </x:c>
      <x:c r="U891" t="str">
        <x:f>IF(COUNTIF(DailyProduction!$Q$5:$Q$100,B891)=1,"OK","CHECK")</x:f>
        <x:v>OK</x:v>
      </x:c>
      <x:c r="V891" t="str">
        <x:f>IF(AND(I891&gt;=1,I891&lt;=13,K891&gt;=1,K891&lt;=3),"OK","CHECK")</x:f>
        <x:v>OK</x:v>
      </x:c>
      <x:c r="W891" t="str">
        <x:f>IF(SUMIF($B$5:$B$914,B891,$S$5:$S$914)=SUMIF(DailyProduction!$Q$5:$Q$100,B891,DailyProduction!$R$5:$R$100),"OK","CHECK")</x:f>
        <x:v>OK</x:v>
      </x:c>
    </x:row>
    <x:row r="892">
      <x:c r="A892" t="str">
        <x:v>PC-PE-KG01-L25-20251026-AM-ORD-2025-00162-S04</x:v>
      </x:c>
      <x:c r="B892" t="str">
        <x:v>PE-KG01-L25-20251026-AM-ORD-2025-00162</x:v>
      </x:c>
      <x:c r="C892" t="str">
        <x:v>KG01</x:v>
      </x:c>
      <x:c r="D892" t="n">
        <x:v>45956</x:v>
      </x:c>
      <x:c r="E892" t="str">
        <x:v>AM</x:v>
      </x:c>
      <x:c r="F892" t="str">
        <x:v>C</x:v>
      </x:c>
      <x:c r="G892" t="n">
        <x:v>25</x:v>
      </x:c>
      <x:c r="H892" t="str">
        <x:v>ORD-2025-00162</x:v>
      </x:c>
      <x:c r="I892" t="n">
        <x:v>4</x:v>
      </x:c>
      <x:c r="J892" t="n">
        <x:v>8</x:v>
      </x:c>
      <x:c r="K892" t="n">
        <x:v>3</x:v>
      </x:c>
      <x:c r="L892" t="n">
        <x:f>IF(I892&lt;=J892,1,0)</x:f>
        <x:v>1</x:v>
      </x:c>
      <x:c r="P892" t="n">
        <x:f>IF(M892="",IF(AND(L892=1,K892&gt;=1),1,0),M892)</x:f>
        <x:v>1</x:v>
      </x:c>
      <x:c r="Q892" t="n">
        <x:f>IF(N892="",IF(AND(L892=1,K892&gt;=2),1,0),N892)</x:f>
        <x:v>1</x:v>
      </x:c>
      <x:c r="R892" t="n">
        <x:f>IF(O892="",IF(AND(L892=1,K892&gt;=3),1,0),O892)</x:f>
        <x:v>1</x:v>
      </x:c>
      <x:c r="S892" t="n">
        <x:f>SUM(P892:R892)</x:f>
        <x:v>3</x:v>
      </x:c>
      <x:c r="T892" t="str">
        <x:f>IF(COUNTA(M892:O892)=0,"DerivedFromCount","ManualOverride")</x:f>
        <x:v>DerivedFromCount</x:v>
      </x:c>
      <x:c r="U892" t="str">
        <x:f>IF(COUNTIF(DailyProduction!$Q$5:$Q$100,B892)=1,"OK","CHECK")</x:f>
        <x:v>OK</x:v>
      </x:c>
      <x:c r="V892" t="str">
        <x:f>IF(AND(I892&gt;=1,I892&lt;=13,K892&gt;=1,K892&lt;=3),"OK","CHECK")</x:f>
        <x:v>OK</x:v>
      </x:c>
      <x:c r="W892" t="str">
        <x:f>IF(SUMIF($B$5:$B$914,B892,$S$5:$S$914)=SUMIF(DailyProduction!$Q$5:$Q$100,B892,DailyProduction!$R$5:$R$100),"OK","CHECK")</x:f>
        <x:v>OK</x:v>
      </x:c>
    </x:row>
    <x:row r="893">
      <x:c r="A893" t="str">
        <x:v>PC-PE-KG01-L25-20251026-AM-ORD-2025-00162-S05</x:v>
      </x:c>
      <x:c r="B893" t="str">
        <x:v>PE-KG01-L25-20251026-AM-ORD-2025-00162</x:v>
      </x:c>
      <x:c r="C893" t="str">
        <x:v>KG01</x:v>
      </x:c>
      <x:c r="D893" t="n">
        <x:v>45956</x:v>
      </x:c>
      <x:c r="E893" t="str">
        <x:v>AM</x:v>
      </x:c>
      <x:c r="F893" t="str">
        <x:v>C</x:v>
      </x:c>
      <x:c r="G893" t="n">
        <x:v>25</x:v>
      </x:c>
      <x:c r="H893" t="str">
        <x:v>ORD-2025-00162</x:v>
      </x:c>
      <x:c r="I893" t="n">
        <x:v>5</x:v>
      </x:c>
      <x:c r="J893" t="n">
        <x:v>8</x:v>
      </x:c>
      <x:c r="K893" t="n">
        <x:v>3</x:v>
      </x:c>
      <x:c r="L893" t="n">
        <x:f>IF(I893&lt;=J893,1,0)</x:f>
        <x:v>1</x:v>
      </x:c>
      <x:c r="P893" t="n">
        <x:f>IF(M893="",IF(AND(L893=1,K893&gt;=1),1,0),M893)</x:f>
        <x:v>1</x:v>
      </x:c>
      <x:c r="Q893" t="n">
        <x:f>IF(N893="",IF(AND(L893=1,K893&gt;=2),1,0),N893)</x:f>
        <x:v>1</x:v>
      </x:c>
      <x:c r="R893" t="n">
        <x:f>IF(O893="",IF(AND(L893=1,K893&gt;=3),1,0),O893)</x:f>
        <x:v>1</x:v>
      </x:c>
      <x:c r="S893" t="n">
        <x:f>SUM(P893:R893)</x:f>
        <x:v>3</x:v>
      </x:c>
      <x:c r="T893" t="str">
        <x:f>IF(COUNTA(M893:O893)=0,"DerivedFromCount","ManualOverride")</x:f>
        <x:v>DerivedFromCount</x:v>
      </x:c>
      <x:c r="U893" t="str">
        <x:f>IF(COUNTIF(DailyProduction!$Q$5:$Q$100,B893)=1,"OK","CHECK")</x:f>
        <x:v>OK</x:v>
      </x:c>
      <x:c r="V893" t="str">
        <x:f>IF(AND(I893&gt;=1,I893&lt;=13,K893&gt;=1,K893&lt;=3),"OK","CHECK")</x:f>
        <x:v>OK</x:v>
      </x:c>
      <x:c r="W893" t="str">
        <x:f>IF(SUMIF($B$5:$B$914,B893,$S$5:$S$914)=SUMIF(DailyProduction!$Q$5:$Q$100,B893,DailyProduction!$R$5:$R$100),"OK","CHECK")</x:f>
        <x:v>OK</x:v>
      </x:c>
    </x:row>
    <x:row r="894">
      <x:c r="A894" t="str">
        <x:v>PC-PE-KG01-L25-20251026-AM-ORD-2025-00162-S06</x:v>
      </x:c>
      <x:c r="B894" t="str">
        <x:v>PE-KG01-L25-20251026-AM-ORD-2025-00162</x:v>
      </x:c>
      <x:c r="C894" t="str">
        <x:v>KG01</x:v>
      </x:c>
      <x:c r="D894" t="n">
        <x:v>45956</x:v>
      </x:c>
      <x:c r="E894" t="str">
        <x:v>AM</x:v>
      </x:c>
      <x:c r="F894" t="str">
        <x:v>C</x:v>
      </x:c>
      <x:c r="G894" t="n">
        <x:v>25</x:v>
      </x:c>
      <x:c r="H894" t="str">
        <x:v>ORD-2025-00162</x:v>
      </x:c>
      <x:c r="I894" t="n">
        <x:v>6</x:v>
      </x:c>
      <x:c r="J894" t="n">
        <x:v>8</x:v>
      </x:c>
      <x:c r="K894" t="n">
        <x:v>3</x:v>
      </x:c>
      <x:c r="L894" t="n">
        <x:f>IF(I894&lt;=J894,1,0)</x:f>
        <x:v>1</x:v>
      </x:c>
      <x:c r="P894" t="n">
        <x:f>IF(M894="",IF(AND(L894=1,K894&gt;=1),1,0),M894)</x:f>
        <x:v>1</x:v>
      </x:c>
      <x:c r="Q894" t="n">
        <x:f>IF(N894="",IF(AND(L894=1,K894&gt;=2),1,0),N894)</x:f>
        <x:v>1</x:v>
      </x:c>
      <x:c r="R894" t="n">
        <x:f>IF(O894="",IF(AND(L894=1,K894&gt;=3),1,0),O894)</x:f>
        <x:v>1</x:v>
      </x:c>
      <x:c r="S894" t="n">
        <x:f>SUM(P894:R894)</x:f>
        <x:v>3</x:v>
      </x:c>
      <x:c r="T894" t="str">
        <x:f>IF(COUNTA(M894:O894)=0,"DerivedFromCount","ManualOverride")</x:f>
        <x:v>DerivedFromCount</x:v>
      </x:c>
      <x:c r="U894" t="str">
        <x:f>IF(COUNTIF(DailyProduction!$Q$5:$Q$100,B894)=1,"OK","CHECK")</x:f>
        <x:v>OK</x:v>
      </x:c>
      <x:c r="V894" t="str">
        <x:f>IF(AND(I894&gt;=1,I894&lt;=13,K894&gt;=1,K894&lt;=3),"OK","CHECK")</x:f>
        <x:v>OK</x:v>
      </x:c>
      <x:c r="W894" t="str">
        <x:f>IF(SUMIF($B$5:$B$914,B894,$S$5:$S$914)=SUMIF(DailyProduction!$Q$5:$Q$100,B894,DailyProduction!$R$5:$R$100),"OK","CHECK")</x:f>
        <x:v>OK</x:v>
      </x:c>
    </x:row>
    <x:row r="895">
      <x:c r="A895" t="str">
        <x:v>PC-PE-KG01-L25-20251026-AM-ORD-2025-00162-S07</x:v>
      </x:c>
      <x:c r="B895" t="str">
        <x:v>PE-KG01-L25-20251026-AM-ORD-2025-00162</x:v>
      </x:c>
      <x:c r="C895" t="str">
        <x:v>KG01</x:v>
      </x:c>
      <x:c r="D895" t="n">
        <x:v>45956</x:v>
      </x:c>
      <x:c r="E895" t="str">
        <x:v>AM</x:v>
      </x:c>
      <x:c r="F895" t="str">
        <x:v>C</x:v>
      </x:c>
      <x:c r="G895" t="n">
        <x:v>25</x:v>
      </x:c>
      <x:c r="H895" t="str">
        <x:v>ORD-2025-00162</x:v>
      </x:c>
      <x:c r="I895" t="n">
        <x:v>7</x:v>
      </x:c>
      <x:c r="J895" t="n">
        <x:v>8</x:v>
      </x:c>
      <x:c r="K895" t="n">
        <x:v>3</x:v>
      </x:c>
      <x:c r="L895" t="n">
        <x:f>IF(I895&lt;=J895,1,0)</x:f>
        <x:v>1</x:v>
      </x:c>
      <x:c r="P895" t="n">
        <x:f>IF(M895="",IF(AND(L895=1,K895&gt;=1),1,0),M895)</x:f>
        <x:v>1</x:v>
      </x:c>
      <x:c r="Q895" t="n">
        <x:f>IF(N895="",IF(AND(L895=1,K895&gt;=2),1,0),N895)</x:f>
        <x:v>1</x:v>
      </x:c>
      <x:c r="R895" t="n">
        <x:f>IF(O895="",IF(AND(L895=1,K895&gt;=3),1,0),O895)</x:f>
        <x:v>1</x:v>
      </x:c>
      <x:c r="S895" t="n">
        <x:f>SUM(P895:R895)</x:f>
        <x:v>3</x:v>
      </x:c>
      <x:c r="T895" t="str">
        <x:f>IF(COUNTA(M895:O895)=0,"DerivedFromCount","ManualOverride")</x:f>
        <x:v>DerivedFromCount</x:v>
      </x:c>
      <x:c r="U895" t="str">
        <x:f>IF(COUNTIF(DailyProduction!$Q$5:$Q$100,B895)=1,"OK","CHECK")</x:f>
        <x:v>OK</x:v>
      </x:c>
      <x:c r="V895" t="str">
        <x:f>IF(AND(I895&gt;=1,I895&lt;=13,K895&gt;=1,K895&lt;=3),"OK","CHECK")</x:f>
        <x:v>OK</x:v>
      </x:c>
      <x:c r="W895" t="str">
        <x:f>IF(SUMIF($B$5:$B$914,B895,$S$5:$S$914)=SUMIF(DailyProduction!$Q$5:$Q$100,B895,DailyProduction!$R$5:$R$100),"OK","CHECK")</x:f>
        <x:v>OK</x:v>
      </x:c>
    </x:row>
    <x:row r="896">
      <x:c r="A896" t="str">
        <x:v>PC-PE-KG01-L25-20251026-AM-ORD-2025-00162-S08</x:v>
      </x:c>
      <x:c r="B896" t="str">
        <x:v>PE-KG01-L25-20251026-AM-ORD-2025-00162</x:v>
      </x:c>
      <x:c r="C896" t="str">
        <x:v>KG01</x:v>
      </x:c>
      <x:c r="D896" t="n">
        <x:v>45956</x:v>
      </x:c>
      <x:c r="E896" t="str">
        <x:v>AM</x:v>
      </x:c>
      <x:c r="F896" t="str">
        <x:v>C</x:v>
      </x:c>
      <x:c r="G896" t="n">
        <x:v>25</x:v>
      </x:c>
      <x:c r="H896" t="str">
        <x:v>ORD-2025-00162</x:v>
      </x:c>
      <x:c r="I896" t="n">
        <x:v>8</x:v>
      </x:c>
      <x:c r="J896" t="n">
        <x:v>8</x:v>
      </x:c>
      <x:c r="K896" t="n">
        <x:v>3</x:v>
      </x:c>
      <x:c r="L896" t="n">
        <x:f>IF(I896&lt;=J896,1,0)</x:f>
        <x:v>1</x:v>
      </x:c>
      <x:c r="P896" t="n">
        <x:f>IF(M896="",IF(AND(L896=1,K896&gt;=1),1,0),M896)</x:f>
        <x:v>1</x:v>
      </x:c>
      <x:c r="Q896" t="n">
        <x:f>IF(N896="",IF(AND(L896=1,K896&gt;=2),1,0),N896)</x:f>
        <x:v>1</x:v>
      </x:c>
      <x:c r="R896" t="n">
        <x:f>IF(O896="",IF(AND(L896=1,K896&gt;=3),1,0),O896)</x:f>
        <x:v>1</x:v>
      </x:c>
      <x:c r="S896" t="n">
        <x:f>SUM(P896:R896)</x:f>
        <x:v>3</x:v>
      </x:c>
      <x:c r="T896" t="str">
        <x:f>IF(COUNTA(M896:O896)=0,"DerivedFromCount","ManualOverride")</x:f>
        <x:v>DerivedFromCount</x:v>
      </x:c>
      <x:c r="U896" t="str">
        <x:f>IF(COUNTIF(DailyProduction!$Q$5:$Q$100,B896)=1,"OK","CHECK")</x:f>
        <x:v>OK</x:v>
      </x:c>
      <x:c r="V896" t="str">
        <x:f>IF(AND(I896&gt;=1,I896&lt;=13,K896&gt;=1,K896&lt;=3),"OK","CHECK")</x:f>
        <x:v>OK</x:v>
      </x:c>
      <x:c r="W896" t="str">
        <x:f>IF(SUMIF($B$5:$B$914,B896,$S$5:$S$914)=SUMIF(DailyProduction!$Q$5:$Q$100,B896,DailyProduction!$R$5:$R$100),"OK","CHECK")</x:f>
        <x:v>OK</x:v>
      </x:c>
    </x:row>
    <x:row r="897">
      <x:c r="A897" t="str">
        <x:v>PC-PE-KG01-L25-20251026-AM-ORD-2025-00162-S09</x:v>
      </x:c>
      <x:c r="B897" t="str">
        <x:v>PE-KG01-L25-20251026-AM-ORD-2025-00162</x:v>
      </x:c>
      <x:c r="C897" t="str">
        <x:v>KG01</x:v>
      </x:c>
      <x:c r="D897" t="n">
        <x:v>45956</x:v>
      </x:c>
      <x:c r="E897" t="str">
        <x:v>AM</x:v>
      </x:c>
      <x:c r="F897" t="str">
        <x:v>C</x:v>
      </x:c>
      <x:c r="G897" t="n">
        <x:v>25</x:v>
      </x:c>
      <x:c r="H897" t="str">
        <x:v>ORD-2025-00162</x:v>
      </x:c>
      <x:c r="I897" t="n">
        <x:v>9</x:v>
      </x:c>
      <x:c r="J897" t="n">
        <x:v>8</x:v>
      </x:c>
      <x:c r="K897" t="n">
        <x:v>3</x:v>
      </x:c>
      <x:c r="L897" t="n">
        <x:f>IF(I897&lt;=J897,1,0)</x:f>
        <x:v>0</x:v>
      </x:c>
      <x:c r="P897" t="n">
        <x:f>IF(M897="",IF(AND(L897=1,K897&gt;=1),1,0),M897)</x:f>
        <x:v>0</x:v>
      </x:c>
      <x:c r="Q897" t="n">
        <x:f>IF(N897="",IF(AND(L897=1,K897&gt;=2),1,0),N897)</x:f>
        <x:v>0</x:v>
      </x:c>
      <x:c r="R897" t="n">
        <x:f>IF(O897="",IF(AND(L897=1,K897&gt;=3),1,0),O897)</x:f>
        <x:v>0</x:v>
      </x:c>
      <x:c r="S897" t="n">
        <x:f>SUM(P897:R897)</x:f>
        <x:v>0</x:v>
      </x:c>
      <x:c r="T897" t="str">
        <x:f>IF(COUNTA(M897:O897)=0,"DerivedFromCount","ManualOverride")</x:f>
        <x:v>DerivedFromCount</x:v>
      </x:c>
      <x:c r="U897" t="str">
        <x:f>IF(COUNTIF(DailyProduction!$Q$5:$Q$100,B897)=1,"OK","CHECK")</x:f>
        <x:v>OK</x:v>
      </x:c>
      <x:c r="V897" t="str">
        <x:f>IF(AND(I897&gt;=1,I897&lt;=13,K897&gt;=1,K897&lt;=3),"OK","CHECK")</x:f>
        <x:v>OK</x:v>
      </x:c>
      <x:c r="W897" t="str">
        <x:f>IF(SUMIF($B$5:$B$914,B897,$S$5:$S$914)=SUMIF(DailyProduction!$Q$5:$Q$100,B897,DailyProduction!$R$5:$R$100),"OK","CHECK")</x:f>
        <x:v>OK</x:v>
      </x:c>
    </x:row>
    <x:row r="898">
      <x:c r="A898" t="str">
        <x:v>PC-PE-KG01-L25-20251026-AM-ORD-2025-00162-S10</x:v>
      </x:c>
      <x:c r="B898" t="str">
        <x:v>PE-KG01-L25-20251026-AM-ORD-2025-00162</x:v>
      </x:c>
      <x:c r="C898" t="str">
        <x:v>KG01</x:v>
      </x:c>
      <x:c r="D898" t="n">
        <x:v>45956</x:v>
      </x:c>
      <x:c r="E898" t="str">
        <x:v>AM</x:v>
      </x:c>
      <x:c r="F898" t="str">
        <x:v>C</x:v>
      </x:c>
      <x:c r="G898" t="n">
        <x:v>25</x:v>
      </x:c>
      <x:c r="H898" t="str">
        <x:v>ORD-2025-00162</x:v>
      </x:c>
      <x:c r="I898" t="n">
        <x:v>10</x:v>
      </x:c>
      <x:c r="J898" t="n">
        <x:v>8</x:v>
      </x:c>
      <x:c r="K898" t="n">
        <x:v>3</x:v>
      </x:c>
      <x:c r="L898" t="n">
        <x:f>IF(I898&lt;=J898,1,0)</x:f>
        <x:v>0</x:v>
      </x:c>
      <x:c r="P898" t="n">
        <x:f>IF(M898="",IF(AND(L898=1,K898&gt;=1),1,0),M898)</x:f>
        <x:v>0</x:v>
      </x:c>
      <x:c r="Q898" t="n">
        <x:f>IF(N898="",IF(AND(L898=1,K898&gt;=2),1,0),N898)</x:f>
        <x:v>0</x:v>
      </x:c>
      <x:c r="R898" t="n">
        <x:f>IF(O898="",IF(AND(L898=1,K898&gt;=3),1,0),O898)</x:f>
        <x:v>0</x:v>
      </x:c>
      <x:c r="S898" t="n">
        <x:f>SUM(P898:R898)</x:f>
        <x:v>0</x:v>
      </x:c>
      <x:c r="T898" t="str">
        <x:f>IF(COUNTA(M898:O898)=0,"DerivedFromCount","ManualOverride")</x:f>
        <x:v>DerivedFromCount</x:v>
      </x:c>
      <x:c r="U898" t="str">
        <x:f>IF(COUNTIF(DailyProduction!$Q$5:$Q$100,B898)=1,"OK","CHECK")</x:f>
        <x:v>OK</x:v>
      </x:c>
      <x:c r="V898" t="str">
        <x:f>IF(AND(I898&gt;=1,I898&lt;=13,K898&gt;=1,K898&lt;=3),"OK","CHECK")</x:f>
        <x:v>OK</x:v>
      </x:c>
      <x:c r="W898" t="str">
        <x:f>IF(SUMIF($B$5:$B$914,B898,$S$5:$S$914)=SUMIF(DailyProduction!$Q$5:$Q$100,B898,DailyProduction!$R$5:$R$100),"OK","CHECK")</x:f>
        <x:v>OK</x:v>
      </x:c>
    </x:row>
    <x:row r="899">
      <x:c r="A899" t="str">
        <x:v>PC-PE-KG01-L25-20251026-AM-ORD-2025-00162-S11</x:v>
      </x:c>
      <x:c r="B899" t="str">
        <x:v>PE-KG01-L25-20251026-AM-ORD-2025-00162</x:v>
      </x:c>
      <x:c r="C899" t="str">
        <x:v>KG01</x:v>
      </x:c>
      <x:c r="D899" t="n">
        <x:v>45956</x:v>
      </x:c>
      <x:c r="E899" t="str">
        <x:v>AM</x:v>
      </x:c>
      <x:c r="F899" t="str">
        <x:v>C</x:v>
      </x:c>
      <x:c r="G899" t="n">
        <x:v>25</x:v>
      </x:c>
      <x:c r="H899" t="str">
        <x:v>ORD-2025-00162</x:v>
      </x:c>
      <x:c r="I899" t="n">
        <x:v>11</x:v>
      </x:c>
      <x:c r="J899" t="n">
        <x:v>8</x:v>
      </x:c>
      <x:c r="K899" t="n">
        <x:v>3</x:v>
      </x:c>
      <x:c r="L899" t="n">
        <x:f>IF(I899&lt;=J899,1,0)</x:f>
        <x:v>0</x:v>
      </x:c>
      <x:c r="P899" t="n">
        <x:f>IF(M899="",IF(AND(L899=1,K899&gt;=1),1,0),M899)</x:f>
        <x:v>0</x:v>
      </x:c>
      <x:c r="Q899" t="n">
        <x:f>IF(N899="",IF(AND(L899=1,K899&gt;=2),1,0),N899)</x:f>
        <x:v>0</x:v>
      </x:c>
      <x:c r="R899" t="n">
        <x:f>IF(O899="",IF(AND(L899=1,K899&gt;=3),1,0),O899)</x:f>
        <x:v>0</x:v>
      </x:c>
      <x:c r="S899" t="n">
        <x:f>SUM(P899:R899)</x:f>
        <x:v>0</x:v>
      </x:c>
      <x:c r="T899" t="str">
        <x:f>IF(COUNTA(M899:O899)=0,"DerivedFromCount","ManualOverride")</x:f>
        <x:v>DerivedFromCount</x:v>
      </x:c>
      <x:c r="U899" t="str">
        <x:f>IF(COUNTIF(DailyProduction!$Q$5:$Q$100,B899)=1,"OK","CHECK")</x:f>
        <x:v>OK</x:v>
      </x:c>
      <x:c r="V899" t="str">
        <x:f>IF(AND(I899&gt;=1,I899&lt;=13,K899&gt;=1,K899&lt;=3),"OK","CHECK")</x:f>
        <x:v>OK</x:v>
      </x:c>
      <x:c r="W899" t="str">
        <x:f>IF(SUMIF($B$5:$B$914,B899,$S$5:$S$914)=SUMIF(DailyProduction!$Q$5:$Q$100,B899,DailyProduction!$R$5:$R$100),"OK","CHECK")</x:f>
        <x:v>OK</x:v>
      </x:c>
    </x:row>
    <x:row r="900">
      <x:c r="A900" t="str">
        <x:v>PC-PE-KG01-L25-20251026-AM-ORD-2025-00162-S12</x:v>
      </x:c>
      <x:c r="B900" t="str">
        <x:v>PE-KG01-L25-20251026-AM-ORD-2025-00162</x:v>
      </x:c>
      <x:c r="C900" t="str">
        <x:v>KG01</x:v>
      </x:c>
      <x:c r="D900" t="n">
        <x:v>45956</x:v>
      </x:c>
      <x:c r="E900" t="str">
        <x:v>AM</x:v>
      </x:c>
      <x:c r="F900" t="str">
        <x:v>C</x:v>
      </x:c>
      <x:c r="G900" t="n">
        <x:v>25</x:v>
      </x:c>
      <x:c r="H900" t="str">
        <x:v>ORD-2025-00162</x:v>
      </x:c>
      <x:c r="I900" t="n">
        <x:v>12</x:v>
      </x:c>
      <x:c r="J900" t="n">
        <x:v>8</x:v>
      </x:c>
      <x:c r="K900" t="n">
        <x:v>3</x:v>
      </x:c>
      <x:c r="L900" t="n">
        <x:f>IF(I900&lt;=J900,1,0)</x:f>
        <x:v>0</x:v>
      </x:c>
      <x:c r="P900" t="n">
        <x:f>IF(M900="",IF(AND(L900=1,K900&gt;=1),1,0),M900)</x:f>
        <x:v>0</x:v>
      </x:c>
      <x:c r="Q900" t="n">
        <x:f>IF(N900="",IF(AND(L900=1,K900&gt;=2),1,0),N900)</x:f>
        <x:v>0</x:v>
      </x:c>
      <x:c r="R900" t="n">
        <x:f>IF(O900="",IF(AND(L900=1,K900&gt;=3),1,0),O900)</x:f>
        <x:v>0</x:v>
      </x:c>
      <x:c r="S900" t="n">
        <x:f>SUM(P900:R900)</x:f>
        <x:v>0</x:v>
      </x:c>
      <x:c r="T900" t="str">
        <x:f>IF(COUNTA(M900:O900)=0,"DerivedFromCount","ManualOverride")</x:f>
        <x:v>DerivedFromCount</x:v>
      </x:c>
      <x:c r="U900" t="str">
        <x:f>IF(COUNTIF(DailyProduction!$Q$5:$Q$100,B900)=1,"OK","CHECK")</x:f>
        <x:v>OK</x:v>
      </x:c>
      <x:c r="V900" t="str">
        <x:f>IF(AND(I900&gt;=1,I900&lt;=13,K900&gt;=1,K900&lt;=3),"OK","CHECK")</x:f>
        <x:v>OK</x:v>
      </x:c>
      <x:c r="W900" t="str">
        <x:f>IF(SUMIF($B$5:$B$914,B900,$S$5:$S$914)=SUMIF(DailyProduction!$Q$5:$Q$100,B900,DailyProduction!$R$5:$R$100),"OK","CHECK")</x:f>
        <x:v>OK</x:v>
      </x:c>
    </x:row>
    <x:row r="901">
      <x:c r="A901" t="str">
        <x:v>PC-PE-KG01-L25-20251026-AM-ORD-2025-00162-S13</x:v>
      </x:c>
      <x:c r="B901" t="str">
        <x:v>PE-KG01-L25-20251026-AM-ORD-2025-00162</x:v>
      </x:c>
      <x:c r="C901" t="str">
        <x:v>KG01</x:v>
      </x:c>
      <x:c r="D901" t="n">
        <x:v>45956</x:v>
      </x:c>
      <x:c r="E901" t="str">
        <x:v>AM</x:v>
      </x:c>
      <x:c r="F901" t="str">
        <x:v>C</x:v>
      </x:c>
      <x:c r="G901" t="n">
        <x:v>25</x:v>
      </x:c>
      <x:c r="H901" t="str">
        <x:v>ORD-2025-00162</x:v>
      </x:c>
      <x:c r="I901" t="n">
        <x:v>13</x:v>
      </x:c>
      <x:c r="J901" t="n">
        <x:v>8</x:v>
      </x:c>
      <x:c r="K901" t="n">
        <x:v>3</x:v>
      </x:c>
      <x:c r="L901" t="n">
        <x:f>IF(I901&lt;=J901,1,0)</x:f>
        <x:v>0</x:v>
      </x:c>
      <x:c r="P901" t="n">
        <x:f>IF(M901="",IF(AND(L901=1,K901&gt;=1),1,0),M901)</x:f>
        <x:v>0</x:v>
      </x:c>
      <x:c r="Q901" t="n">
        <x:f>IF(N901="",IF(AND(L901=1,K901&gt;=2),1,0),N901)</x:f>
        <x:v>0</x:v>
      </x:c>
      <x:c r="R901" t="n">
        <x:f>IF(O901="",IF(AND(L901=1,K901&gt;=3),1,0),O901)</x:f>
        <x:v>0</x:v>
      </x:c>
      <x:c r="S901" t="n">
        <x:f>SUM(P901:R901)</x:f>
        <x:v>0</x:v>
      </x:c>
      <x:c r="T901" t="str">
        <x:f>IF(COUNTA(M901:O901)=0,"DerivedFromCount","ManualOverride")</x:f>
        <x:v>DerivedFromCount</x:v>
      </x:c>
      <x:c r="U901" t="str">
        <x:f>IF(COUNTIF(DailyProduction!$Q$5:$Q$100,B901)=1,"OK","CHECK")</x:f>
        <x:v>OK</x:v>
      </x:c>
      <x:c r="V901" t="str">
        <x:f>IF(AND(I901&gt;=1,I901&lt;=13,K901&gt;=1,K901&lt;=3),"OK","CHECK")</x:f>
        <x:v>OK</x:v>
      </x:c>
      <x:c r="W901" t="str">
        <x:f>IF(SUMIF($B$5:$B$914,B901,$S$5:$S$914)=SUMIF(DailyProduction!$Q$5:$Q$100,B901,DailyProduction!$R$5:$R$100),"OK","CHECK")</x:f>
        <x:v>OK</x:v>
      </x:c>
    </x:row>
    <x:row r="902">
      <x:c r="A902" t="str">
        <x:v>PC-PE-KG01-L25-20251026-PM-ORD-2025-00162-S01</x:v>
      </x:c>
      <x:c r="B902" t="str">
        <x:v>PE-KG01-L25-20251026-PM-ORD-2025-00162</x:v>
      </x:c>
      <x:c r="C902" t="str">
        <x:v>KG01</x:v>
      </x:c>
      <x:c r="D902" t="n">
        <x:v>45956</x:v>
      </x:c>
      <x:c r="E902" t="str">
        <x:v>PM</x:v>
      </x:c>
      <x:c r="F902" t="str">
        <x:v>A</x:v>
      </x:c>
      <x:c r="G902" t="n">
        <x:v>25</x:v>
      </x:c>
      <x:c r="H902" t="str">
        <x:v>ORD-2025-00162</x:v>
      </x:c>
      <x:c r="I902" t="n">
        <x:v>1</x:v>
      </x:c>
      <x:c r="J902" t="n">
        <x:v>8</x:v>
      </x:c>
      <x:c r="K902" t="n">
        <x:v>3</x:v>
      </x:c>
      <x:c r="L902" t="n">
        <x:f>IF(I902&lt;=J902,1,0)</x:f>
        <x:v>1</x:v>
      </x:c>
      <x:c r="P902" t="n">
        <x:f>IF(M902="",IF(AND(L902=1,K902&gt;=1),1,0),M902)</x:f>
        <x:v>1</x:v>
      </x:c>
      <x:c r="Q902" t="n">
        <x:f>IF(N902="",IF(AND(L902=1,K902&gt;=2),1,0),N902)</x:f>
        <x:v>1</x:v>
      </x:c>
      <x:c r="R902" t="n">
        <x:f>IF(O902="",IF(AND(L902=1,K902&gt;=3),1,0),O902)</x:f>
        <x:v>1</x:v>
      </x:c>
      <x:c r="S902" t="n">
        <x:f>SUM(P902:R902)</x:f>
        <x:v>3</x:v>
      </x:c>
      <x:c r="T902" t="str">
        <x:f>IF(COUNTA(M902:O902)=0,"DerivedFromCount","ManualOverride")</x:f>
        <x:v>DerivedFromCount</x:v>
      </x:c>
      <x:c r="U902" t="str">
        <x:f>IF(COUNTIF(DailyProduction!$Q$5:$Q$100,B902)=1,"OK","CHECK")</x:f>
        <x:v>OK</x:v>
      </x:c>
      <x:c r="V902" t="str">
        <x:f>IF(AND(I902&gt;=1,I902&lt;=13,K902&gt;=1,K902&lt;=3),"OK","CHECK")</x:f>
        <x:v>OK</x:v>
      </x:c>
      <x:c r="W902" t="str">
        <x:f>IF(SUMIF($B$5:$B$914,B902,$S$5:$S$914)=SUMIF(DailyProduction!$Q$5:$Q$100,B902,DailyProduction!$R$5:$R$100),"OK","CHECK")</x:f>
        <x:v>OK</x:v>
      </x:c>
    </x:row>
    <x:row r="903">
      <x:c r="A903" t="str">
        <x:v>PC-PE-KG01-L25-20251026-PM-ORD-2025-00162-S02</x:v>
      </x:c>
      <x:c r="B903" t="str">
        <x:v>PE-KG01-L25-20251026-PM-ORD-2025-00162</x:v>
      </x:c>
      <x:c r="C903" t="str">
        <x:v>KG01</x:v>
      </x:c>
      <x:c r="D903" t="n">
        <x:v>45956</x:v>
      </x:c>
      <x:c r="E903" t="str">
        <x:v>PM</x:v>
      </x:c>
      <x:c r="F903" t="str">
        <x:v>A</x:v>
      </x:c>
      <x:c r="G903" t="n">
        <x:v>25</x:v>
      </x:c>
      <x:c r="H903" t="str">
        <x:v>ORD-2025-00162</x:v>
      </x:c>
      <x:c r="I903" t="n">
        <x:v>2</x:v>
      </x:c>
      <x:c r="J903" t="n">
        <x:v>8</x:v>
      </x:c>
      <x:c r="K903" t="n">
        <x:v>3</x:v>
      </x:c>
      <x:c r="L903" t="n">
        <x:f>IF(I903&lt;=J903,1,0)</x:f>
        <x:v>1</x:v>
      </x:c>
      <x:c r="P903" t="n">
        <x:f>IF(M903="",IF(AND(L903=1,K903&gt;=1),1,0),M903)</x:f>
        <x:v>1</x:v>
      </x:c>
      <x:c r="Q903" t="n">
        <x:f>IF(N903="",IF(AND(L903=1,K903&gt;=2),1,0),N903)</x:f>
        <x:v>1</x:v>
      </x:c>
      <x:c r="R903" t="n">
        <x:f>IF(O903="",IF(AND(L903=1,K903&gt;=3),1,0),O903)</x:f>
        <x:v>1</x:v>
      </x:c>
      <x:c r="S903" t="n">
        <x:f>SUM(P903:R903)</x:f>
        <x:v>3</x:v>
      </x:c>
      <x:c r="T903" t="str">
        <x:f>IF(COUNTA(M903:O903)=0,"DerivedFromCount","ManualOverride")</x:f>
        <x:v>DerivedFromCount</x:v>
      </x:c>
      <x:c r="U903" t="str">
        <x:f>IF(COUNTIF(DailyProduction!$Q$5:$Q$100,B903)=1,"OK","CHECK")</x:f>
        <x:v>OK</x:v>
      </x:c>
      <x:c r="V903" t="str">
        <x:f>IF(AND(I903&gt;=1,I903&lt;=13,K903&gt;=1,K903&lt;=3),"OK","CHECK")</x:f>
        <x:v>OK</x:v>
      </x:c>
      <x:c r="W903" t="str">
        <x:f>IF(SUMIF($B$5:$B$914,B903,$S$5:$S$914)=SUMIF(DailyProduction!$Q$5:$Q$100,B903,DailyProduction!$R$5:$R$100),"OK","CHECK")</x:f>
        <x:v>OK</x:v>
      </x:c>
    </x:row>
    <x:row r="904">
      <x:c r="A904" t="str">
        <x:v>PC-PE-KG01-L25-20251026-PM-ORD-2025-00162-S03</x:v>
      </x:c>
      <x:c r="B904" t="str">
        <x:v>PE-KG01-L25-20251026-PM-ORD-2025-00162</x:v>
      </x:c>
      <x:c r="C904" t="str">
        <x:v>KG01</x:v>
      </x:c>
      <x:c r="D904" t="n">
        <x:v>45956</x:v>
      </x:c>
      <x:c r="E904" t="str">
        <x:v>PM</x:v>
      </x:c>
      <x:c r="F904" t="str">
        <x:v>A</x:v>
      </x:c>
      <x:c r="G904" t="n">
        <x:v>25</x:v>
      </x:c>
      <x:c r="H904" t="str">
        <x:v>ORD-2025-00162</x:v>
      </x:c>
      <x:c r="I904" t="n">
        <x:v>3</x:v>
      </x:c>
      <x:c r="J904" t="n">
        <x:v>8</x:v>
      </x:c>
      <x:c r="K904" t="n">
        <x:v>3</x:v>
      </x:c>
      <x:c r="L904" t="n">
        <x:f>IF(I904&lt;=J904,1,0)</x:f>
        <x:v>1</x:v>
      </x:c>
      <x:c r="P904" t="n">
        <x:f>IF(M904="",IF(AND(L904=1,K904&gt;=1),1,0),M904)</x:f>
        <x:v>1</x:v>
      </x:c>
      <x:c r="Q904" t="n">
        <x:f>IF(N904="",IF(AND(L904=1,K904&gt;=2),1,0),N904)</x:f>
        <x:v>1</x:v>
      </x:c>
      <x:c r="R904" t="n">
        <x:f>IF(O904="",IF(AND(L904=1,K904&gt;=3),1,0),O904)</x:f>
        <x:v>1</x:v>
      </x:c>
      <x:c r="S904" t="n">
        <x:f>SUM(P904:R904)</x:f>
        <x:v>3</x:v>
      </x:c>
      <x:c r="T904" t="str">
        <x:f>IF(COUNTA(M904:O904)=0,"DerivedFromCount","ManualOverride")</x:f>
        <x:v>DerivedFromCount</x:v>
      </x:c>
      <x:c r="U904" t="str">
        <x:f>IF(COUNTIF(DailyProduction!$Q$5:$Q$100,B904)=1,"OK","CHECK")</x:f>
        <x:v>OK</x:v>
      </x:c>
      <x:c r="V904" t="str">
        <x:f>IF(AND(I904&gt;=1,I904&lt;=13,K904&gt;=1,K904&lt;=3),"OK","CHECK")</x:f>
        <x:v>OK</x:v>
      </x:c>
      <x:c r="W904" t="str">
        <x:f>IF(SUMIF($B$5:$B$914,B904,$S$5:$S$914)=SUMIF(DailyProduction!$Q$5:$Q$100,B904,DailyProduction!$R$5:$R$100),"OK","CHECK")</x:f>
        <x:v>OK</x:v>
      </x:c>
    </x:row>
    <x:row r="905">
      <x:c r="A905" t="str">
        <x:v>PC-PE-KG01-L25-20251026-PM-ORD-2025-00162-S04</x:v>
      </x:c>
      <x:c r="B905" t="str">
        <x:v>PE-KG01-L25-20251026-PM-ORD-2025-00162</x:v>
      </x:c>
      <x:c r="C905" t="str">
        <x:v>KG01</x:v>
      </x:c>
      <x:c r="D905" t="n">
        <x:v>45956</x:v>
      </x:c>
      <x:c r="E905" t="str">
        <x:v>PM</x:v>
      </x:c>
      <x:c r="F905" t="str">
        <x:v>A</x:v>
      </x:c>
      <x:c r="G905" t="n">
        <x:v>25</x:v>
      </x:c>
      <x:c r="H905" t="str">
        <x:v>ORD-2025-00162</x:v>
      </x:c>
      <x:c r="I905" t="n">
        <x:v>4</x:v>
      </x:c>
      <x:c r="J905" t="n">
        <x:v>8</x:v>
      </x:c>
      <x:c r="K905" t="n">
        <x:v>3</x:v>
      </x:c>
      <x:c r="L905" t="n">
        <x:f>IF(I905&lt;=J905,1,0)</x:f>
        <x:v>1</x:v>
      </x:c>
      <x:c r="P905" t="n">
        <x:f>IF(M905="",IF(AND(L905=1,K905&gt;=1),1,0),M905)</x:f>
        <x:v>1</x:v>
      </x:c>
      <x:c r="Q905" t="n">
        <x:f>IF(N905="",IF(AND(L905=1,K905&gt;=2),1,0),N905)</x:f>
        <x:v>1</x:v>
      </x:c>
      <x:c r="R905" t="n">
        <x:f>IF(O905="",IF(AND(L905=1,K905&gt;=3),1,0),O905)</x:f>
        <x:v>1</x:v>
      </x:c>
      <x:c r="S905" t="n">
        <x:f>SUM(P905:R905)</x:f>
        <x:v>3</x:v>
      </x:c>
      <x:c r="T905" t="str">
        <x:f>IF(COUNTA(M905:O905)=0,"DerivedFromCount","ManualOverride")</x:f>
        <x:v>DerivedFromCount</x:v>
      </x:c>
      <x:c r="U905" t="str">
        <x:f>IF(COUNTIF(DailyProduction!$Q$5:$Q$100,B905)=1,"OK","CHECK")</x:f>
        <x:v>OK</x:v>
      </x:c>
      <x:c r="V905" t="str">
        <x:f>IF(AND(I905&gt;=1,I905&lt;=13,K905&gt;=1,K905&lt;=3),"OK","CHECK")</x:f>
        <x:v>OK</x:v>
      </x:c>
      <x:c r="W905" t="str">
        <x:f>IF(SUMIF($B$5:$B$914,B905,$S$5:$S$914)=SUMIF(DailyProduction!$Q$5:$Q$100,B905,DailyProduction!$R$5:$R$100),"OK","CHECK")</x:f>
        <x:v>OK</x:v>
      </x:c>
    </x:row>
    <x:row r="906">
      <x:c r="A906" t="str">
        <x:v>PC-PE-KG01-L25-20251026-PM-ORD-2025-00162-S05</x:v>
      </x:c>
      <x:c r="B906" t="str">
        <x:v>PE-KG01-L25-20251026-PM-ORD-2025-00162</x:v>
      </x:c>
      <x:c r="C906" t="str">
        <x:v>KG01</x:v>
      </x:c>
      <x:c r="D906" t="n">
        <x:v>45956</x:v>
      </x:c>
      <x:c r="E906" t="str">
        <x:v>PM</x:v>
      </x:c>
      <x:c r="F906" t="str">
        <x:v>A</x:v>
      </x:c>
      <x:c r="G906" t="n">
        <x:v>25</x:v>
      </x:c>
      <x:c r="H906" t="str">
        <x:v>ORD-2025-00162</x:v>
      </x:c>
      <x:c r="I906" t="n">
        <x:v>5</x:v>
      </x:c>
      <x:c r="J906" t="n">
        <x:v>8</x:v>
      </x:c>
      <x:c r="K906" t="n">
        <x:v>3</x:v>
      </x:c>
      <x:c r="L906" t="n">
        <x:f>IF(I906&lt;=J906,1,0)</x:f>
        <x:v>1</x:v>
      </x:c>
      <x:c r="P906" t="n">
        <x:f>IF(M906="",IF(AND(L906=1,K906&gt;=1),1,0),M906)</x:f>
        <x:v>1</x:v>
      </x:c>
      <x:c r="Q906" t="n">
        <x:f>IF(N906="",IF(AND(L906=1,K906&gt;=2),1,0),N906)</x:f>
        <x:v>1</x:v>
      </x:c>
      <x:c r="R906" t="n">
        <x:f>IF(O906="",IF(AND(L906=1,K906&gt;=3),1,0),O906)</x:f>
        <x:v>1</x:v>
      </x:c>
      <x:c r="S906" t="n">
        <x:f>SUM(P906:R906)</x:f>
        <x:v>3</x:v>
      </x:c>
      <x:c r="T906" t="str">
        <x:f>IF(COUNTA(M906:O906)=0,"DerivedFromCount","ManualOverride")</x:f>
        <x:v>DerivedFromCount</x:v>
      </x:c>
      <x:c r="U906" t="str">
        <x:f>IF(COUNTIF(DailyProduction!$Q$5:$Q$100,B906)=1,"OK","CHECK")</x:f>
        <x:v>OK</x:v>
      </x:c>
      <x:c r="V906" t="str">
        <x:f>IF(AND(I906&gt;=1,I906&lt;=13,K906&gt;=1,K906&lt;=3),"OK","CHECK")</x:f>
        <x:v>OK</x:v>
      </x:c>
      <x:c r="W906" t="str">
        <x:f>IF(SUMIF($B$5:$B$914,B906,$S$5:$S$914)=SUMIF(DailyProduction!$Q$5:$Q$100,B906,DailyProduction!$R$5:$R$100),"OK","CHECK")</x:f>
        <x:v>OK</x:v>
      </x:c>
    </x:row>
    <x:row r="907">
      <x:c r="A907" t="str">
        <x:v>PC-PE-KG01-L25-20251026-PM-ORD-2025-00162-S06</x:v>
      </x:c>
      <x:c r="B907" t="str">
        <x:v>PE-KG01-L25-20251026-PM-ORD-2025-00162</x:v>
      </x:c>
      <x:c r="C907" t="str">
        <x:v>KG01</x:v>
      </x:c>
      <x:c r="D907" t="n">
        <x:v>45956</x:v>
      </x:c>
      <x:c r="E907" t="str">
        <x:v>PM</x:v>
      </x:c>
      <x:c r="F907" t="str">
        <x:v>A</x:v>
      </x:c>
      <x:c r="G907" t="n">
        <x:v>25</x:v>
      </x:c>
      <x:c r="H907" t="str">
        <x:v>ORD-2025-00162</x:v>
      </x:c>
      <x:c r="I907" t="n">
        <x:v>6</x:v>
      </x:c>
      <x:c r="J907" t="n">
        <x:v>8</x:v>
      </x:c>
      <x:c r="K907" t="n">
        <x:v>3</x:v>
      </x:c>
      <x:c r="L907" t="n">
        <x:f>IF(I907&lt;=J907,1,0)</x:f>
        <x:v>1</x:v>
      </x:c>
      <x:c r="P907" t="n">
        <x:f>IF(M907="",IF(AND(L907=1,K907&gt;=1),1,0),M907)</x:f>
        <x:v>1</x:v>
      </x:c>
      <x:c r="Q907" t="n">
        <x:f>IF(N907="",IF(AND(L907=1,K907&gt;=2),1,0),N907)</x:f>
        <x:v>1</x:v>
      </x:c>
      <x:c r="R907" t="n">
        <x:f>IF(O907="",IF(AND(L907=1,K907&gt;=3),1,0),O907)</x:f>
        <x:v>1</x:v>
      </x:c>
      <x:c r="S907" t="n">
        <x:f>SUM(P907:R907)</x:f>
        <x:v>3</x:v>
      </x:c>
      <x:c r="T907" t="str">
        <x:f>IF(COUNTA(M907:O907)=0,"DerivedFromCount","ManualOverride")</x:f>
        <x:v>DerivedFromCount</x:v>
      </x:c>
      <x:c r="U907" t="str">
        <x:f>IF(COUNTIF(DailyProduction!$Q$5:$Q$100,B907)=1,"OK","CHECK")</x:f>
        <x:v>OK</x:v>
      </x:c>
      <x:c r="V907" t="str">
        <x:f>IF(AND(I907&gt;=1,I907&lt;=13,K907&gt;=1,K907&lt;=3),"OK","CHECK")</x:f>
        <x:v>OK</x:v>
      </x:c>
      <x:c r="W907" t="str">
        <x:f>IF(SUMIF($B$5:$B$914,B907,$S$5:$S$914)=SUMIF(DailyProduction!$Q$5:$Q$100,B907,DailyProduction!$R$5:$R$100),"OK","CHECK")</x:f>
        <x:v>OK</x:v>
      </x:c>
    </x:row>
    <x:row r="908">
      <x:c r="A908" t="str">
        <x:v>PC-PE-KG01-L25-20251026-PM-ORD-2025-00162-S07</x:v>
      </x:c>
      <x:c r="B908" t="str">
        <x:v>PE-KG01-L25-20251026-PM-ORD-2025-00162</x:v>
      </x:c>
      <x:c r="C908" t="str">
        <x:v>KG01</x:v>
      </x:c>
      <x:c r="D908" t="n">
        <x:v>45956</x:v>
      </x:c>
      <x:c r="E908" t="str">
        <x:v>PM</x:v>
      </x:c>
      <x:c r="F908" t="str">
        <x:v>A</x:v>
      </x:c>
      <x:c r="G908" t="n">
        <x:v>25</x:v>
      </x:c>
      <x:c r="H908" t="str">
        <x:v>ORD-2025-00162</x:v>
      </x:c>
      <x:c r="I908" t="n">
        <x:v>7</x:v>
      </x:c>
      <x:c r="J908" t="n">
        <x:v>8</x:v>
      </x:c>
      <x:c r="K908" t="n">
        <x:v>3</x:v>
      </x:c>
      <x:c r="L908" t="n">
        <x:f>IF(I908&lt;=J908,1,0)</x:f>
        <x:v>1</x:v>
      </x:c>
      <x:c r="P908" t="n">
        <x:f>IF(M908="",IF(AND(L908=1,K908&gt;=1),1,0),M908)</x:f>
        <x:v>1</x:v>
      </x:c>
      <x:c r="Q908" t="n">
        <x:f>IF(N908="",IF(AND(L908=1,K908&gt;=2),1,0),N908)</x:f>
        <x:v>1</x:v>
      </x:c>
      <x:c r="R908" t="n">
        <x:f>IF(O908="",IF(AND(L908=1,K908&gt;=3),1,0),O908)</x:f>
        <x:v>1</x:v>
      </x:c>
      <x:c r="S908" t="n">
        <x:f>SUM(P908:R908)</x:f>
        <x:v>3</x:v>
      </x:c>
      <x:c r="T908" t="str">
        <x:f>IF(COUNTA(M908:O908)=0,"DerivedFromCount","ManualOverride")</x:f>
        <x:v>DerivedFromCount</x:v>
      </x:c>
      <x:c r="U908" t="str">
        <x:f>IF(COUNTIF(DailyProduction!$Q$5:$Q$100,B908)=1,"OK","CHECK")</x:f>
        <x:v>OK</x:v>
      </x:c>
      <x:c r="V908" t="str">
        <x:f>IF(AND(I908&gt;=1,I908&lt;=13,K908&gt;=1,K908&lt;=3),"OK","CHECK")</x:f>
        <x:v>OK</x:v>
      </x:c>
      <x:c r="W908" t="str">
        <x:f>IF(SUMIF($B$5:$B$914,B908,$S$5:$S$914)=SUMIF(DailyProduction!$Q$5:$Q$100,B908,DailyProduction!$R$5:$R$100),"OK","CHECK")</x:f>
        <x:v>OK</x:v>
      </x:c>
    </x:row>
    <x:row r="909">
      <x:c r="A909" t="str">
        <x:v>PC-PE-KG01-L25-20251026-PM-ORD-2025-00162-S08</x:v>
      </x:c>
      <x:c r="B909" t="str">
        <x:v>PE-KG01-L25-20251026-PM-ORD-2025-00162</x:v>
      </x:c>
      <x:c r="C909" t="str">
        <x:v>KG01</x:v>
      </x:c>
      <x:c r="D909" t="n">
        <x:v>45956</x:v>
      </x:c>
      <x:c r="E909" t="str">
        <x:v>PM</x:v>
      </x:c>
      <x:c r="F909" t="str">
        <x:v>A</x:v>
      </x:c>
      <x:c r="G909" t="n">
        <x:v>25</x:v>
      </x:c>
      <x:c r="H909" t="str">
        <x:v>ORD-2025-00162</x:v>
      </x:c>
      <x:c r="I909" t="n">
        <x:v>8</x:v>
      </x:c>
      <x:c r="J909" t="n">
        <x:v>8</x:v>
      </x:c>
      <x:c r="K909" t="n">
        <x:v>3</x:v>
      </x:c>
      <x:c r="L909" t="n">
        <x:f>IF(I909&lt;=J909,1,0)</x:f>
        <x:v>1</x:v>
      </x:c>
      <x:c r="P909" t="n">
        <x:f>IF(M909="",IF(AND(L909=1,K909&gt;=1),1,0),M909)</x:f>
        <x:v>1</x:v>
      </x:c>
      <x:c r="Q909" t="n">
        <x:f>IF(N909="",IF(AND(L909=1,K909&gt;=2),1,0),N909)</x:f>
        <x:v>1</x:v>
      </x:c>
      <x:c r="R909" t="n">
        <x:f>IF(O909="",IF(AND(L909=1,K909&gt;=3),1,0),O909)</x:f>
        <x:v>1</x:v>
      </x:c>
      <x:c r="S909" t="n">
        <x:f>SUM(P909:R909)</x:f>
        <x:v>3</x:v>
      </x:c>
      <x:c r="T909" t="str">
        <x:f>IF(COUNTA(M909:O909)=0,"DerivedFromCount","ManualOverride")</x:f>
        <x:v>DerivedFromCount</x:v>
      </x:c>
      <x:c r="U909" t="str">
        <x:f>IF(COUNTIF(DailyProduction!$Q$5:$Q$100,B909)=1,"OK","CHECK")</x:f>
        <x:v>OK</x:v>
      </x:c>
      <x:c r="V909" t="str">
        <x:f>IF(AND(I909&gt;=1,I909&lt;=13,K909&gt;=1,K909&lt;=3),"OK","CHECK")</x:f>
        <x:v>OK</x:v>
      </x:c>
      <x:c r="W909" t="str">
        <x:f>IF(SUMIF($B$5:$B$914,B909,$S$5:$S$914)=SUMIF(DailyProduction!$Q$5:$Q$100,B909,DailyProduction!$R$5:$R$100),"OK","CHECK")</x:f>
        <x:v>OK</x:v>
      </x:c>
    </x:row>
    <x:row r="910">
      <x:c r="A910" t="str">
        <x:v>PC-PE-KG01-L25-20251026-PM-ORD-2025-00162-S09</x:v>
      </x:c>
      <x:c r="B910" t="str">
        <x:v>PE-KG01-L25-20251026-PM-ORD-2025-00162</x:v>
      </x:c>
      <x:c r="C910" t="str">
        <x:v>KG01</x:v>
      </x:c>
      <x:c r="D910" t="n">
        <x:v>45956</x:v>
      </x:c>
      <x:c r="E910" t="str">
        <x:v>PM</x:v>
      </x:c>
      <x:c r="F910" t="str">
        <x:v>A</x:v>
      </x:c>
      <x:c r="G910" t="n">
        <x:v>25</x:v>
      </x:c>
      <x:c r="H910" t="str">
        <x:v>ORD-2025-00162</x:v>
      </x:c>
      <x:c r="I910" t="n">
        <x:v>9</x:v>
      </x:c>
      <x:c r="J910" t="n">
        <x:v>8</x:v>
      </x:c>
      <x:c r="K910" t="n">
        <x:v>3</x:v>
      </x:c>
      <x:c r="L910" t="n">
        <x:f>IF(I910&lt;=J910,1,0)</x:f>
        <x:v>0</x:v>
      </x:c>
      <x:c r="P910" t="n">
        <x:f>IF(M910="",IF(AND(L910=1,K910&gt;=1),1,0),M910)</x:f>
        <x:v>0</x:v>
      </x:c>
      <x:c r="Q910" t="n">
        <x:f>IF(N910="",IF(AND(L910=1,K910&gt;=2),1,0),N910)</x:f>
        <x:v>0</x:v>
      </x:c>
      <x:c r="R910" t="n">
        <x:f>IF(O910="",IF(AND(L910=1,K910&gt;=3),1,0),O910)</x:f>
        <x:v>0</x:v>
      </x:c>
      <x:c r="S910" t="n">
        <x:f>SUM(P910:R910)</x:f>
        <x:v>0</x:v>
      </x:c>
      <x:c r="T910" t="str">
        <x:f>IF(COUNTA(M910:O910)=0,"DerivedFromCount","ManualOverride")</x:f>
        <x:v>DerivedFromCount</x:v>
      </x:c>
      <x:c r="U910" t="str">
        <x:f>IF(COUNTIF(DailyProduction!$Q$5:$Q$100,B910)=1,"OK","CHECK")</x:f>
        <x:v>OK</x:v>
      </x:c>
      <x:c r="V910" t="str">
        <x:f>IF(AND(I910&gt;=1,I910&lt;=13,K910&gt;=1,K910&lt;=3),"OK","CHECK")</x:f>
        <x:v>OK</x:v>
      </x:c>
      <x:c r="W910" t="str">
        <x:f>IF(SUMIF($B$5:$B$914,B910,$S$5:$S$914)=SUMIF(DailyProduction!$Q$5:$Q$100,B910,DailyProduction!$R$5:$R$100),"OK","CHECK")</x:f>
        <x:v>OK</x:v>
      </x:c>
    </x:row>
    <x:row r="911">
      <x:c r="A911" t="str">
        <x:v>PC-PE-KG01-L25-20251026-PM-ORD-2025-00162-S10</x:v>
      </x:c>
      <x:c r="B911" t="str">
        <x:v>PE-KG01-L25-20251026-PM-ORD-2025-00162</x:v>
      </x:c>
      <x:c r="C911" t="str">
        <x:v>KG01</x:v>
      </x:c>
      <x:c r="D911" t="n">
        <x:v>45956</x:v>
      </x:c>
      <x:c r="E911" t="str">
        <x:v>PM</x:v>
      </x:c>
      <x:c r="F911" t="str">
        <x:v>A</x:v>
      </x:c>
      <x:c r="G911" t="n">
        <x:v>25</x:v>
      </x:c>
      <x:c r="H911" t="str">
        <x:v>ORD-2025-00162</x:v>
      </x:c>
      <x:c r="I911" t="n">
        <x:v>10</x:v>
      </x:c>
      <x:c r="J911" t="n">
        <x:v>8</x:v>
      </x:c>
      <x:c r="K911" t="n">
        <x:v>3</x:v>
      </x:c>
      <x:c r="L911" t="n">
        <x:f>IF(I911&lt;=J911,1,0)</x:f>
        <x:v>0</x:v>
      </x:c>
      <x:c r="P911" t="n">
        <x:f>IF(M911="",IF(AND(L911=1,K911&gt;=1),1,0),M911)</x:f>
        <x:v>0</x:v>
      </x:c>
      <x:c r="Q911" t="n">
        <x:f>IF(N911="",IF(AND(L911=1,K911&gt;=2),1,0),N911)</x:f>
        <x:v>0</x:v>
      </x:c>
      <x:c r="R911" t="n">
        <x:f>IF(O911="",IF(AND(L911=1,K911&gt;=3),1,0),O911)</x:f>
        <x:v>0</x:v>
      </x:c>
      <x:c r="S911" t="n">
        <x:f>SUM(P911:R911)</x:f>
        <x:v>0</x:v>
      </x:c>
      <x:c r="T911" t="str">
        <x:f>IF(COUNTA(M911:O911)=0,"DerivedFromCount","ManualOverride")</x:f>
        <x:v>DerivedFromCount</x:v>
      </x:c>
      <x:c r="U911" t="str">
        <x:f>IF(COUNTIF(DailyProduction!$Q$5:$Q$100,B911)=1,"OK","CHECK")</x:f>
        <x:v>OK</x:v>
      </x:c>
      <x:c r="V911" t="str">
        <x:f>IF(AND(I911&gt;=1,I911&lt;=13,K911&gt;=1,K911&lt;=3),"OK","CHECK")</x:f>
        <x:v>OK</x:v>
      </x:c>
      <x:c r="W911" t="str">
        <x:f>IF(SUMIF($B$5:$B$914,B911,$S$5:$S$914)=SUMIF(DailyProduction!$Q$5:$Q$100,B911,DailyProduction!$R$5:$R$100),"OK","CHECK")</x:f>
        <x:v>OK</x:v>
      </x:c>
    </x:row>
    <x:row r="912">
      <x:c r="A912" t="str">
        <x:v>PC-PE-KG01-L25-20251026-PM-ORD-2025-00162-S11</x:v>
      </x:c>
      <x:c r="B912" t="str">
        <x:v>PE-KG01-L25-20251026-PM-ORD-2025-00162</x:v>
      </x:c>
      <x:c r="C912" t="str">
        <x:v>KG01</x:v>
      </x:c>
      <x:c r="D912" t="n">
        <x:v>45956</x:v>
      </x:c>
      <x:c r="E912" t="str">
        <x:v>PM</x:v>
      </x:c>
      <x:c r="F912" t="str">
        <x:v>A</x:v>
      </x:c>
      <x:c r="G912" t="n">
        <x:v>25</x:v>
      </x:c>
      <x:c r="H912" t="str">
        <x:v>ORD-2025-00162</x:v>
      </x:c>
      <x:c r="I912" t="n">
        <x:v>11</x:v>
      </x:c>
      <x:c r="J912" t="n">
        <x:v>8</x:v>
      </x:c>
      <x:c r="K912" t="n">
        <x:v>3</x:v>
      </x:c>
      <x:c r="L912" t="n">
        <x:f>IF(I912&lt;=J912,1,0)</x:f>
        <x:v>0</x:v>
      </x:c>
      <x:c r="P912" t="n">
        <x:f>IF(M912="",IF(AND(L912=1,K912&gt;=1),1,0),M912)</x:f>
        <x:v>0</x:v>
      </x:c>
      <x:c r="Q912" t="n">
        <x:f>IF(N912="",IF(AND(L912=1,K912&gt;=2),1,0),N912)</x:f>
        <x:v>0</x:v>
      </x:c>
      <x:c r="R912" t="n">
        <x:f>IF(O912="",IF(AND(L912=1,K912&gt;=3),1,0),O912)</x:f>
        <x:v>0</x:v>
      </x:c>
      <x:c r="S912" t="n">
        <x:f>SUM(P912:R912)</x:f>
        <x:v>0</x:v>
      </x:c>
      <x:c r="T912" t="str">
        <x:f>IF(COUNTA(M912:O912)=0,"DerivedFromCount","ManualOverride")</x:f>
        <x:v>DerivedFromCount</x:v>
      </x:c>
      <x:c r="U912" t="str">
        <x:f>IF(COUNTIF(DailyProduction!$Q$5:$Q$100,B912)=1,"OK","CHECK")</x:f>
        <x:v>OK</x:v>
      </x:c>
      <x:c r="V912" t="str">
        <x:f>IF(AND(I912&gt;=1,I912&lt;=13,K912&gt;=1,K912&lt;=3),"OK","CHECK")</x:f>
        <x:v>OK</x:v>
      </x:c>
      <x:c r="W912" t="str">
        <x:f>IF(SUMIF($B$5:$B$914,B912,$S$5:$S$914)=SUMIF(DailyProduction!$Q$5:$Q$100,B912,DailyProduction!$R$5:$R$100),"OK","CHECK")</x:f>
        <x:v>OK</x:v>
      </x:c>
    </x:row>
    <x:row r="913">
      <x:c r="A913" t="str">
        <x:v>PC-PE-KG01-L25-20251026-PM-ORD-2025-00162-S12</x:v>
      </x:c>
      <x:c r="B913" t="str">
        <x:v>PE-KG01-L25-20251026-PM-ORD-2025-00162</x:v>
      </x:c>
      <x:c r="C913" t="str">
        <x:v>KG01</x:v>
      </x:c>
      <x:c r="D913" t="n">
        <x:v>45956</x:v>
      </x:c>
      <x:c r="E913" t="str">
        <x:v>PM</x:v>
      </x:c>
      <x:c r="F913" t="str">
        <x:v>A</x:v>
      </x:c>
      <x:c r="G913" t="n">
        <x:v>25</x:v>
      </x:c>
      <x:c r="H913" t="str">
        <x:v>ORD-2025-00162</x:v>
      </x:c>
      <x:c r="I913" t="n">
        <x:v>12</x:v>
      </x:c>
      <x:c r="J913" t="n">
        <x:v>8</x:v>
      </x:c>
      <x:c r="K913" t="n">
        <x:v>3</x:v>
      </x:c>
      <x:c r="L913" t="n">
        <x:f>IF(I913&lt;=J913,1,0)</x:f>
        <x:v>0</x:v>
      </x:c>
      <x:c r="P913" t="n">
        <x:f>IF(M913="",IF(AND(L913=1,K913&gt;=1),1,0),M913)</x:f>
        <x:v>0</x:v>
      </x:c>
      <x:c r="Q913" t="n">
        <x:f>IF(N913="",IF(AND(L913=1,K913&gt;=2),1,0),N913)</x:f>
        <x:v>0</x:v>
      </x:c>
      <x:c r="R913" t="n">
        <x:f>IF(O913="",IF(AND(L913=1,K913&gt;=3),1,0),O913)</x:f>
        <x:v>0</x:v>
      </x:c>
      <x:c r="S913" t="n">
        <x:f>SUM(P913:R913)</x:f>
        <x:v>0</x:v>
      </x:c>
      <x:c r="T913" t="str">
        <x:f>IF(COUNTA(M913:O913)=0,"DerivedFromCount","ManualOverride")</x:f>
        <x:v>DerivedFromCount</x:v>
      </x:c>
      <x:c r="U913" t="str">
        <x:f>IF(COUNTIF(DailyProduction!$Q$5:$Q$100,B913)=1,"OK","CHECK")</x:f>
        <x:v>OK</x:v>
      </x:c>
      <x:c r="V913" t="str">
        <x:f>IF(AND(I913&gt;=1,I913&lt;=13,K913&gt;=1,K913&lt;=3),"OK","CHECK")</x:f>
        <x:v>OK</x:v>
      </x:c>
      <x:c r="W913" t="str">
        <x:f>IF(SUMIF($B$5:$B$914,B913,$S$5:$S$914)=SUMIF(DailyProduction!$Q$5:$Q$100,B913,DailyProduction!$R$5:$R$100),"OK","CHECK")</x:f>
        <x:v>OK</x:v>
      </x:c>
    </x:row>
    <x:row r="914">
      <x:c r="A914" t="str">
        <x:v>PC-PE-KG01-L25-20251026-PM-ORD-2025-00162-S13</x:v>
      </x:c>
      <x:c r="B914" t="str">
        <x:v>PE-KG01-L25-20251026-PM-ORD-2025-00162</x:v>
      </x:c>
      <x:c r="C914" t="str">
        <x:v>KG01</x:v>
      </x:c>
      <x:c r="D914" t="n">
        <x:v>45956</x:v>
      </x:c>
      <x:c r="E914" t="str">
        <x:v>PM</x:v>
      </x:c>
      <x:c r="F914" t="str">
        <x:v>A</x:v>
      </x:c>
      <x:c r="G914" t="n">
        <x:v>25</x:v>
      </x:c>
      <x:c r="H914" t="str">
        <x:v>ORD-2025-00162</x:v>
      </x:c>
      <x:c r="I914" t="n">
        <x:v>13</x:v>
      </x:c>
      <x:c r="J914" t="n">
        <x:v>8</x:v>
      </x:c>
      <x:c r="K914" t="n">
        <x:v>3</x:v>
      </x:c>
      <x:c r="L914" t="n">
        <x:f>IF(I914&lt;=J914,1,0)</x:f>
        <x:v>0</x:v>
      </x:c>
      <x:c r="P914" t="n">
        <x:f>IF(M914="",IF(AND(L914=1,K914&gt;=1),1,0),M914)</x:f>
        <x:v>0</x:v>
      </x:c>
      <x:c r="Q914" t="n">
        <x:f>IF(N914="",IF(AND(L914=1,K914&gt;=2),1,0),N914)</x:f>
        <x:v>0</x:v>
      </x:c>
      <x:c r="R914" t="n">
        <x:f>IF(O914="",IF(AND(L914=1,K914&gt;=3),1,0),O914)</x:f>
        <x:v>0</x:v>
      </x:c>
      <x:c r="S914" t="n">
        <x:f>SUM(P914:R914)</x:f>
        <x:v>0</x:v>
      </x:c>
      <x:c r="T914" t="str">
        <x:f>IF(COUNTA(M914:O914)=0,"DerivedFromCount","ManualOverride")</x:f>
        <x:v>DerivedFromCount</x:v>
      </x:c>
      <x:c r="U914" t="str">
        <x:f>IF(COUNTIF(DailyProduction!$Q$5:$Q$100,B914)=1,"OK","CHECK")</x:f>
        <x:v>OK</x:v>
      </x:c>
      <x:c r="V914" t="str">
        <x:f>IF(AND(I914&gt;=1,I914&lt;=13,K914&gt;=1,K914&lt;=3),"OK","CHECK")</x:f>
        <x:v>OK</x:v>
      </x:c>
      <x:c r="W914" t="str">
        <x:f>IF(SUMIF($B$5:$B$914,B914,$S$5:$S$914)=SUMIF(DailyProduction!$Q$5:$Q$100,B914,DailyProduction!$R$5:$R$100),"OK","CHECK")</x:f>
        <x:v>OK</x:v>
      </x:c>
    </x:row>
  </x:sheetData>
  <x:dataValidations count="1">
    <x:dataValidation type="list" sqref="M5:O914">
      <x:formula1>_ValidationLists!$G$2:$G$3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14" max="14" width="30" hidden="0" customWidth="1"/>
  </x:cols>
  <x:sheetData>
    <x:row r="1">
      <x:c r="A1" s="38" t="str">
        <x:v>JOB CHANGE IMPACT — DETAILED ASSET LOSS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46"/>
      <x:c r="U1" s="48"/>
      <x:c r="V1" s="38"/>
      <x:c r="W1" s="50"/>
      <x:c r="X1" s="38"/>
      <x:c r="Y1" s="38"/>
      <x:c r="Z1" s="38"/>
      <x:c r="AA1" s="38"/>
      <x:c r="AB1" s="38"/>
    </x:row>
    <x:row r="2">
      <x:c r="A2" t="str">
        <x:v>Historical summary components are seeded at Line scope; enter new detail at Line, Section, or Cavity scope.</x:v>
      </x:c>
    </x:row>
    <x:row r="4">
      <x:c r="A4" s="44" t="str">
        <x:v>JobChangeImpactID</x:v>
      </x:c>
      <x:c r="B4" s="44" t="str">
        <x:v>JobChangeEventID</x:v>
      </x:c>
      <x:c r="C4" s="44" t="str">
        <x:v>ProductionEventID</x:v>
      </x:c>
      <x:c r="D4" s="44" t="str">
        <x:v>FactoryCode</x:v>
      </x:c>
      <x:c r="E4" s="44" t="str">
        <x:v>LineNumber</x:v>
      </x:c>
      <x:c r="F4" s="44" t="str">
        <x:v>EventDate</x:v>
      </x:c>
      <x:c r="G4" s="44" t="str">
        <x:v>ShiftCode</x:v>
      </x:c>
      <x:c r="H4" s="44" t="str">
        <x:v>ToOrderNumber</x:v>
      </x:c>
      <x:c r="I4" s="44" t="str">
        <x:v>LossArea</x:v>
      </x:c>
      <x:c r="J4" s="44" t="str">
        <x:v>AssetScopeKey</x:v>
      </x:c>
      <x:c r="K4" s="44" t="str">
        <x:v>AssetLevel</x:v>
      </x:c>
      <x:c r="L4" s="44" t="str">
        <x:v>SectionNumber</x:v>
      </x:c>
      <x:c r="M4" s="44" t="str">
        <x:v>CavityNumber</x:v>
      </x:c>
      <x:c r="N4" s="44" t="str">
        <x:v>Reason</x:v>
      </x:c>
      <x:c r="O4" s="44" t="str">
        <x:v>StartDateTime</x:v>
      </x:c>
      <x:c r="P4" s="44" t="str">
        <x:v>EndDateTime</x:v>
      </x:c>
      <x:c r="Q4" s="44" t="str">
        <x:v>DurationHrs</x:v>
      </x:c>
      <x:c r="R4" s="44" t="str">
        <x:v>TotalActiveCavities</x:v>
      </x:c>
      <x:c r="S4" s="44" t="str">
        <x:v>AffectedActiveCavities</x:v>
      </x:c>
      <x:c r="T4" s="44" t="str">
        <x:v>CapacityImpactPct</x:v>
      </x:c>
      <x:c r="U4" s="44" t="str">
        <x:v>LineEquivalentLossHrs</x:v>
      </x:c>
      <x:c r="V4" s="44" t="str">
        <x:v>DesignedCyclesPerMin</x:v>
      </x:c>
      <x:c r="W4" s="44" t="str">
        <x:v>EstimatedLostUnits</x:v>
      </x:c>
      <x:c r="X4" s="44" t="str">
        <x:v>ImpactSource</x:v>
      </x:c>
      <x:c r="Y4" s="44" t="str">
        <x:v>ParentEventCheck</x:v>
      </x:c>
      <x:c r="Z4" s="44" t="str">
        <x:v>ScopeCheck</x:v>
      </x:c>
      <x:c r="AA4" s="44" t="str">
        <x:v>DurationCheck</x:v>
      </x:c>
      <x:c r="AB4" s="44" t="str">
        <x:v>DataQualityCheck</x:v>
      </x:c>
    </x:row>
    <x:row r="5">
      <x:c r="A5" t="str">
        <x:v>JCI-000001</x:v>
      </x:c>
      <x:c r="B5" t="str">
        <x:v>JC-KG01-L21-20251021-AM-ORD-2025-00019-ORD-2025-00020</x:v>
      </x:c>
      <x:c r="C5" t="str">
        <x:v>PE-KG01-L21-20251021-AM-ORD-2025-00020</x:v>
      </x:c>
      <x:c r="D5" t="str">
        <x:v>KG01</x:v>
      </x:c>
      <x:c r="E5" t="n">
        <x:v>21</x:v>
      </x:c>
      <x:c r="F5" t="n">
        <x:v>45951</x:v>
      </x:c>
      <x:c r="G5" t="str">
        <x:v>AM</x:v>
      </x:c>
      <x:c r="H5" t="str">
        <x:v>ORD-2025-00020</x:v>
      </x:c>
      <x:c r="I5" t="str">
        <x:v>T1</x:v>
      </x:c>
      <x:c r="J5" t="str">
        <x:v>L21</x:v>
      </x:c>
      <x:c r="K5" t="str">
        <x:v>Line</x:v>
      </x:c>
      <x:c r="L5"/>
      <x:c r="M5"/>
      <x:c r="N5" t="str">
        <x:v>Historical summary</x:v>
      </x:c>
      <x:c r="O5"/>
      <x:c r="P5"/>
      <x:c r="Q5" t="n">
        <x:v>3.08</x:v>
      </x:c>
      <x:c r="R5" t="n">
        <x:f>IF(B5="","",SUMIF(ProductionConfiguration!$B$5:$B$914,C5,ProductionConfiguration!$S$5:$S$914))</x:f>
        <x:v>20</x:v>
      </x:c>
      <x:c r="S5" t="n">
        <x:f>IF(B5="","",IF(K5="Line",R5,IF(K5="Section",SUMIFS(ProductionConfiguration!$S$5:$S$914,ProductionConfiguration!$B$5:$B$914,C5,ProductionConfiguration!$I$5:$I$914,L5),IF(K5="Cavity",IF(M5=1,SUMIFS(ProductionConfiguration!$P$5:$P$914,ProductionConfiguration!$B$5:$B$914,C5,ProductionConfiguration!$I$5:$I$914,L5),IF(M5=2,SUMIFS(ProductionConfiguration!$Q$5:$Q$914,ProductionConfiguration!$B$5:$B$914,C5,ProductionConfiguration!$I$5:$I$914,L5),SUMIFS(ProductionConfiguration!$R$5:$R$914,ProductionConfiguration!$B$5:$B$914,C5,ProductionConfiguration!$I$5:$I$914,L5))),0))))</x:f>
        <x:v>20</x:v>
      </x:c>
      <x:c r="T5" t="n">
        <x:f>IF(B5="","",IFERROR(S5/R5,0))</x:f>
        <x:v>1</x:v>
      </x:c>
      <x:c r="U5" t="n">
        <x:f>IF(B5="","",Q5*T5)</x:f>
        <x:v>3.08</x:v>
      </x:c>
      <x:c r="V5" t="n">
        <x:f>IF(C5="","",SUMIF(DailyProduction!$Q$5:$Q$100,C5,DailyProduction!$J$5:$J$100))</x:f>
        <x:v>10</x:v>
      </x:c>
      <x:c r="W5" t="n">
        <x:f>IF(B5="","",Q5*60*V5*S5)</x:f>
        <x:v>36960</x:v>
      </x:c>
      <x:c r="X5" t="str">
        <x:v>HistoricalSummary</x:v>
      </x:c>
      <x:c r="Y5" t="str">
        <x:f>IF(B5="","",IF(COUNTIF(JobChange!$S$5:$S$100,B5)=1,"OK","CHECK"))</x:f>
        <x:v>OK</x:v>
      </x:c>
      <x:c r="Z5" t="str">
        <x:f>IF(B5="","",IF(OR(AND(K5="Line",J5="L"&amp;E5),AND(K5="Section",J5="L"&amp;E5&amp;"-S"&amp;TEXT(L5,"00")),AND(K5="Cavity",J5="L"&amp;E5&amp;"-S"&amp;TEXT(L5,"00")&amp;"-C"&amp;M5)),"OK","CHECK"))</x:f>
        <x:v>OK</x:v>
      </x:c>
      <x:c r="AA5" t="str">
        <x:f>IF(B5="","",IF(AND(Q5&gt;0,OR(AND(O5="",P5=""),AND(O5&lt;&gt;"",P5&lt;&gt;"",P5&gt;=O5,ABS(Q5-((P5-O5)*24))&lt;=0.01))),"OK","CHECK"))</x:f>
        <x:v>OK</x:v>
      </x:c>
      <x:c r="AB5" t="str">
        <x:f>IF(B5="","",IF(AND(Y5="OK",Z5="OK",AA5="OK",R5&gt;0,S5&gt;0),"OK","CHECK"))</x:f>
        <x:v>OK</x:v>
      </x:c>
    </x:row>
    <x:row r="6">
      <x:c r="A6" t="str">
        <x:v>JCI-000002</x:v>
      </x:c>
      <x:c r="B6" t="str">
        <x:v>JC-KG01-L21-20251021-AM-ORD-2025-00019-ORD-2025-00020</x:v>
      </x:c>
      <x:c r="C6" t="str">
        <x:v>PE-KG01-L21-20251021-AM-ORD-2025-00020</x:v>
      </x:c>
      <x:c r="D6" t="str">
        <x:v>KG01</x:v>
      </x:c>
      <x:c r="E6" t="n">
        <x:v>21</x:v>
      </x:c>
      <x:c r="F6" t="n">
        <x:v>45951</x:v>
      </x:c>
      <x:c r="G6" t="str">
        <x:v>AM</x:v>
      </x:c>
      <x:c r="H6" t="str">
        <x:v>ORD-2025-00020</x:v>
      </x:c>
      <x:c r="I6" t="str">
        <x:v>T2</x:v>
      </x:c>
      <x:c r="J6" t="str">
        <x:v>L21</x:v>
      </x:c>
      <x:c r="K6" t="str">
        <x:v>Line</x:v>
      </x:c>
      <x:c r="L6"/>
      <x:c r="M6"/>
      <x:c r="N6" t="str">
        <x:v>Historical summary</x:v>
      </x:c>
      <x:c r="O6"/>
      <x:c r="P6"/>
      <x:c r="Q6" t="n">
        <x:v>1</x:v>
      </x:c>
      <x:c r="R6" t="n">
        <x:f>IF(B6="","",SUMIF(ProductionConfiguration!$B$5:$B$914,C6,ProductionConfiguration!$S$5:$S$914))</x:f>
        <x:v>20</x:v>
      </x:c>
      <x:c r="S6" t="n">
        <x:f>IF(B6="","",IF(K6="Line",R6,IF(K6="Section",SUMIFS(ProductionConfiguration!$S$5:$S$914,ProductionConfiguration!$B$5:$B$914,C6,ProductionConfiguration!$I$5:$I$914,L6),IF(K6="Cavity",IF(M6=1,SUMIFS(ProductionConfiguration!$P$5:$P$914,ProductionConfiguration!$B$5:$B$914,C6,ProductionConfiguration!$I$5:$I$914,L6),IF(M6=2,SUMIFS(ProductionConfiguration!$Q$5:$Q$914,ProductionConfiguration!$B$5:$B$914,C6,ProductionConfiguration!$I$5:$I$914,L6),SUMIFS(ProductionConfiguration!$R$5:$R$914,ProductionConfiguration!$B$5:$B$914,C6,ProductionConfiguration!$I$5:$I$914,L6))),0))))</x:f>
        <x:v>20</x:v>
      </x:c>
      <x:c r="T6" t="n">
        <x:f>IF(B6="","",IFERROR(S6/R6,0))</x:f>
        <x:v>1</x:v>
      </x:c>
      <x:c r="U6" t="n">
        <x:f>IF(B6="","",Q6*T6)</x:f>
        <x:v>1</x:v>
      </x:c>
      <x:c r="V6" t="n">
        <x:f>IF(C6="","",SUMIF(DailyProduction!$Q$5:$Q$100,C6,DailyProduction!$J$5:$J$100))</x:f>
        <x:v>10</x:v>
      </x:c>
      <x:c r="W6" t="n">
        <x:f>IF(B6="","",Q6*60*V6*S6)</x:f>
        <x:v>12000</x:v>
      </x:c>
      <x:c r="X6" t="str">
        <x:v>HistoricalSummary</x:v>
      </x:c>
      <x:c r="Y6" t="str">
        <x:f>IF(B6="","",IF(COUNTIF(JobChange!$S$5:$S$100,B6)=1,"OK","CHECK"))</x:f>
        <x:v>OK</x:v>
      </x:c>
      <x:c r="Z6" t="str">
        <x:f>IF(B6="","",IF(OR(AND(K6="Line",J6="L"&amp;E6),AND(K6="Section",J6="L"&amp;E6&amp;"-S"&amp;TEXT(L6,"00")),AND(K6="Cavity",J6="L"&amp;E6&amp;"-S"&amp;TEXT(L6,"00")&amp;"-C"&amp;M6)),"OK","CHECK"))</x:f>
        <x:v>OK</x:v>
      </x:c>
      <x:c r="AA6" t="str">
        <x:f>IF(B6="","",IF(AND(Q6&gt;0,OR(AND(O6="",P6=""),AND(O6&lt;&gt;"",P6&lt;&gt;"",P6&gt;=O6,ABS(Q6-((P6-O6)*24))&lt;=0.01))),"OK","CHECK"))</x:f>
        <x:v>OK</x:v>
      </x:c>
      <x:c r="AB6" t="str">
        <x:f>IF(B6="","",IF(AND(Y6="OK",Z6="OK",AA6="OK",R6&gt;0,S6&gt;0),"OK","CHECK"))</x:f>
        <x:v>OK</x:v>
      </x:c>
    </x:row>
    <x:row r="7">
      <x:c r="A7" t="str">
        <x:v>JCI-000003</x:v>
      </x:c>
      <x:c r="B7" t="str">
        <x:v>JC-KG01-L21-20251021-AM-ORD-2025-00019-ORD-2025-00020</x:v>
      </x:c>
      <x:c r="C7" t="str">
        <x:v>PE-KG01-L21-20251021-AM-ORD-2025-00020</x:v>
      </x:c>
      <x:c r="D7" t="str">
        <x:v>KG01</x:v>
      </x:c>
      <x:c r="E7" t="n">
        <x:v>21</x:v>
      </x:c>
      <x:c r="F7" t="n">
        <x:v>45951</x:v>
      </x:c>
      <x:c r="G7" t="str">
        <x:v>AM</x:v>
      </x:c>
      <x:c r="H7" t="str">
        <x:v>ORD-2025-00020</x:v>
      </x:c>
      <x:c r="I7" t="str">
        <x:v>Trial</x:v>
      </x:c>
      <x:c r="J7" t="str">
        <x:v>L21</x:v>
      </x:c>
      <x:c r="K7" t="str">
        <x:v>Line</x:v>
      </x:c>
      <x:c r="L7"/>
      <x:c r="M7"/>
      <x:c r="N7" t="str">
        <x:v>Historical summary</x:v>
      </x:c>
      <x:c r="O7"/>
      <x:c r="P7"/>
      <x:c r="Q7" t="n">
        <x:v>0.19</x:v>
      </x:c>
      <x:c r="R7" t="n">
        <x:f>IF(B7="","",SUMIF(ProductionConfiguration!$B$5:$B$914,C7,ProductionConfiguration!$S$5:$S$914))</x:f>
        <x:v>20</x:v>
      </x:c>
      <x:c r="S7" t="n">
        <x:f>IF(B7="","",IF(K7="Line",R7,IF(K7="Section",SUMIFS(ProductionConfiguration!$S$5:$S$914,ProductionConfiguration!$B$5:$B$914,C7,ProductionConfiguration!$I$5:$I$914,L7),IF(K7="Cavity",IF(M7=1,SUMIFS(ProductionConfiguration!$P$5:$P$914,ProductionConfiguration!$B$5:$B$914,C7,ProductionConfiguration!$I$5:$I$914,L7),IF(M7=2,SUMIFS(ProductionConfiguration!$Q$5:$Q$914,ProductionConfiguration!$B$5:$B$914,C7,ProductionConfiguration!$I$5:$I$914,L7),SUMIFS(ProductionConfiguration!$R$5:$R$914,ProductionConfiguration!$B$5:$B$914,C7,ProductionConfiguration!$I$5:$I$914,L7))),0))))</x:f>
        <x:v>20</x:v>
      </x:c>
      <x:c r="T7" t="n">
        <x:f>IF(B7="","",IFERROR(S7/R7,0))</x:f>
        <x:v>1</x:v>
      </x:c>
      <x:c r="U7" t="n">
        <x:f>IF(B7="","",Q7*T7)</x:f>
        <x:v>0.19</x:v>
      </x:c>
      <x:c r="V7" t="n">
        <x:f>IF(C7="","",SUMIF(DailyProduction!$Q$5:$Q$100,C7,DailyProduction!$J$5:$J$100))</x:f>
        <x:v>10</x:v>
      </x:c>
      <x:c r="W7" t="n">
        <x:f>IF(B7="","",Q7*60*V7*S7)</x:f>
        <x:v>2280</x:v>
      </x:c>
      <x:c r="X7" t="str">
        <x:v>HistoricalSummary</x:v>
      </x:c>
      <x:c r="Y7" t="str">
        <x:f>IF(B7="","",IF(COUNTIF(JobChange!$S$5:$S$100,B7)=1,"OK","CHECK"))</x:f>
        <x:v>OK</x:v>
      </x:c>
      <x:c r="Z7" t="str">
        <x:f>IF(B7="","",IF(OR(AND(K7="Line",J7="L"&amp;E7),AND(K7="Section",J7="L"&amp;E7&amp;"-S"&amp;TEXT(L7,"00")),AND(K7="Cavity",J7="L"&amp;E7&amp;"-S"&amp;TEXT(L7,"00")&amp;"-C"&amp;M7)),"OK","CHECK"))</x:f>
        <x:v>OK</x:v>
      </x:c>
      <x:c r="AA7" t="str">
        <x:f>IF(B7="","",IF(AND(Q7&gt;0,OR(AND(O7="",P7=""),AND(O7&lt;&gt;"",P7&lt;&gt;"",P7&gt;=O7,ABS(Q7-((P7-O7)*24))&lt;=0.01))),"OK","CHECK"))</x:f>
        <x:v>OK</x:v>
      </x:c>
      <x:c r="AB7" t="str">
        <x:f>IF(B7="","",IF(AND(Y7="OK",Z7="OK",AA7="OK",R7&gt;0,S7&gt;0),"OK","CHECK"))</x:f>
        <x:v>OK</x:v>
      </x:c>
    </x:row>
    <x:row r="8">
      <x:c r="A8" t="str">
        <x:v>JCI-000004</x:v>
      </x:c>
      <x:c r="B8" t="str">
        <x:v>JC-KG01-L21-20251025-AM-ORD-2025-00020-ORD-2025-00021</x:v>
      </x:c>
      <x:c r="C8" t="str">
        <x:v>PE-KG01-L21-20251025-AM-ORD-2025-00021</x:v>
      </x:c>
      <x:c r="D8" t="str">
        <x:v>KG01</x:v>
      </x:c>
      <x:c r="E8" t="n">
        <x:v>21</x:v>
      </x:c>
      <x:c r="F8" t="n">
        <x:v>45955</x:v>
      </x:c>
      <x:c r="G8" t="str">
        <x:v>AM</x:v>
      </x:c>
      <x:c r="H8" t="str">
        <x:v>ORD-2025-00021</x:v>
      </x:c>
      <x:c r="I8" t="str">
        <x:v>T1</x:v>
      </x:c>
      <x:c r="J8" t="str">
        <x:v>L21</x:v>
      </x:c>
      <x:c r="K8" t="str">
        <x:v>Line</x:v>
      </x:c>
      <x:c r="L8"/>
      <x:c r="M8"/>
      <x:c r="N8" t="str">
        <x:v>Historical summary</x:v>
      </x:c>
      <x:c r="O8"/>
      <x:c r="P8"/>
      <x:c r="Q8" t="n">
        <x:v>3.15</x:v>
      </x:c>
      <x:c r="R8" t="n">
        <x:f>IF(B8="","",SUMIF(ProductionConfiguration!$B$5:$B$914,C8,ProductionConfiguration!$S$5:$S$914))</x:f>
        <x:v>30</x:v>
      </x:c>
      <x:c r="S8" t="n">
        <x:f>IF(B8="","",IF(K8="Line",R8,IF(K8="Section",SUMIFS(ProductionConfiguration!$S$5:$S$914,ProductionConfiguration!$B$5:$B$914,C8,ProductionConfiguration!$I$5:$I$914,L8),IF(K8="Cavity",IF(M8=1,SUMIFS(ProductionConfiguration!$P$5:$P$914,ProductionConfiguration!$B$5:$B$914,C8,ProductionConfiguration!$I$5:$I$914,L8),IF(M8=2,SUMIFS(ProductionConfiguration!$Q$5:$Q$914,ProductionConfiguration!$B$5:$B$914,C8,ProductionConfiguration!$I$5:$I$914,L8),SUMIFS(ProductionConfiguration!$R$5:$R$914,ProductionConfiguration!$B$5:$B$914,C8,ProductionConfiguration!$I$5:$I$914,L8))),0))))</x:f>
        <x:v>30</x:v>
      </x:c>
      <x:c r="T8" t="n">
        <x:f>IF(B8="","",IFERROR(S8/R8,0))</x:f>
        <x:v>1</x:v>
      </x:c>
      <x:c r="U8" t="n">
        <x:f>IF(B8="","",Q8*T8)</x:f>
        <x:v>3.15</x:v>
      </x:c>
      <x:c r="V8" t="n">
        <x:f>IF(C8="","",SUMIF(DailyProduction!$Q$5:$Q$100,C8,DailyProduction!$J$5:$J$100))</x:f>
        <x:v>11</x:v>
      </x:c>
      <x:c r="W8" t="n">
        <x:f>IF(B8="","",Q8*60*V8*S8)</x:f>
        <x:v>62370</x:v>
      </x:c>
      <x:c r="X8" t="str">
        <x:v>HistoricalSummary</x:v>
      </x:c>
      <x:c r="Y8" t="str">
        <x:f>IF(B8="","",IF(COUNTIF(JobChange!$S$5:$S$100,B8)=1,"OK","CHECK"))</x:f>
        <x:v>OK</x:v>
      </x:c>
      <x:c r="Z8" t="str">
        <x:f>IF(B8="","",IF(OR(AND(K8="Line",J8="L"&amp;E8),AND(K8="Section",J8="L"&amp;E8&amp;"-S"&amp;TEXT(L8,"00")),AND(K8="Cavity",J8="L"&amp;E8&amp;"-S"&amp;TEXT(L8,"00")&amp;"-C"&amp;M8)),"OK","CHECK"))</x:f>
        <x:v>OK</x:v>
      </x:c>
      <x:c r="AA8" t="str">
        <x:f>IF(B8="","",IF(AND(Q8&gt;0,OR(AND(O8="",P8=""),AND(O8&lt;&gt;"",P8&lt;&gt;"",P8&gt;=O8,ABS(Q8-((P8-O8)*24))&lt;=0.01))),"OK","CHECK"))</x:f>
        <x:v>OK</x:v>
      </x:c>
      <x:c r="AB8" t="str">
        <x:f>IF(B8="","",IF(AND(Y8="OK",Z8="OK",AA8="OK",R8&gt;0,S8&gt;0),"OK","CHECK"))</x:f>
        <x:v>OK</x:v>
      </x:c>
    </x:row>
    <x:row r="9">
      <x:c r="A9" t="str">
        <x:v>JCI-000005</x:v>
      </x:c>
      <x:c r="B9" t="str">
        <x:v>JC-KG01-L21-20251025-AM-ORD-2025-00020-ORD-2025-00021</x:v>
      </x:c>
      <x:c r="C9" t="str">
        <x:v>PE-KG01-L21-20251025-AM-ORD-2025-00021</x:v>
      </x:c>
      <x:c r="D9" t="str">
        <x:v>KG01</x:v>
      </x:c>
      <x:c r="E9" t="n">
        <x:v>21</x:v>
      </x:c>
      <x:c r="F9" t="n">
        <x:v>45955</x:v>
      </x:c>
      <x:c r="G9" t="str">
        <x:v>AM</x:v>
      </x:c>
      <x:c r="H9" t="str">
        <x:v>ORD-2025-00021</x:v>
      </x:c>
      <x:c r="I9" t="str">
        <x:v>T2</x:v>
      </x:c>
      <x:c r="J9" t="str">
        <x:v>L21</x:v>
      </x:c>
      <x:c r="K9" t="str">
        <x:v>Line</x:v>
      </x:c>
      <x:c r="L9"/>
      <x:c r="M9"/>
      <x:c r="N9" t="str">
        <x:v>Historical summary</x:v>
      </x:c>
      <x:c r="O9"/>
      <x:c r="P9"/>
      <x:c r="Q9" t="n">
        <x:v>1.2</x:v>
      </x:c>
      <x:c r="R9" t="n">
        <x:f>IF(B9="","",SUMIF(ProductionConfiguration!$B$5:$B$914,C9,ProductionConfiguration!$S$5:$S$914))</x:f>
        <x:v>30</x:v>
      </x:c>
      <x:c r="S9" t="n">
        <x:f>IF(B9="","",IF(K9="Line",R9,IF(K9="Section",SUMIFS(ProductionConfiguration!$S$5:$S$914,ProductionConfiguration!$B$5:$B$914,C9,ProductionConfiguration!$I$5:$I$914,L9),IF(K9="Cavity",IF(M9=1,SUMIFS(ProductionConfiguration!$P$5:$P$914,ProductionConfiguration!$B$5:$B$914,C9,ProductionConfiguration!$I$5:$I$914,L9),IF(M9=2,SUMIFS(ProductionConfiguration!$Q$5:$Q$914,ProductionConfiguration!$B$5:$B$914,C9,ProductionConfiguration!$I$5:$I$914,L9),SUMIFS(ProductionConfiguration!$R$5:$R$914,ProductionConfiguration!$B$5:$B$914,C9,ProductionConfiguration!$I$5:$I$914,L9))),0))))</x:f>
        <x:v>30</x:v>
      </x:c>
      <x:c r="T9" t="n">
        <x:f>IF(B9="","",IFERROR(S9/R9,0))</x:f>
        <x:v>1</x:v>
      </x:c>
      <x:c r="U9" t="n">
        <x:f>IF(B9="","",Q9*T9)</x:f>
        <x:v>1.2</x:v>
      </x:c>
      <x:c r="V9" t="n">
        <x:f>IF(C9="","",SUMIF(DailyProduction!$Q$5:$Q$100,C9,DailyProduction!$J$5:$J$100))</x:f>
        <x:v>11</x:v>
      </x:c>
      <x:c r="W9" t="n">
        <x:f>IF(B9="","",Q9*60*V9*S9)</x:f>
        <x:v>23760</x:v>
      </x:c>
      <x:c r="X9" t="str">
        <x:v>HistoricalSummary</x:v>
      </x:c>
      <x:c r="Y9" t="str">
        <x:f>IF(B9="","",IF(COUNTIF(JobChange!$S$5:$S$100,B9)=1,"OK","CHECK"))</x:f>
        <x:v>OK</x:v>
      </x:c>
      <x:c r="Z9" t="str">
        <x:f>IF(B9="","",IF(OR(AND(K9="Line",J9="L"&amp;E9),AND(K9="Section",J9="L"&amp;E9&amp;"-S"&amp;TEXT(L9,"00")),AND(K9="Cavity",J9="L"&amp;E9&amp;"-S"&amp;TEXT(L9,"00")&amp;"-C"&amp;M9)),"OK","CHECK"))</x:f>
        <x:v>OK</x:v>
      </x:c>
      <x:c r="AA9" t="str">
        <x:f>IF(B9="","",IF(AND(Q9&gt;0,OR(AND(O9="",P9=""),AND(O9&lt;&gt;"",P9&lt;&gt;"",P9&gt;=O9,ABS(Q9-((P9-O9)*24))&lt;=0.01))),"OK","CHECK"))</x:f>
        <x:v>OK</x:v>
      </x:c>
      <x:c r="AB9" t="str">
        <x:f>IF(B9="","",IF(AND(Y9="OK",Z9="OK",AA9="OK",R9&gt;0,S9&gt;0),"OK","CHECK"))</x:f>
        <x:v>OK</x:v>
      </x:c>
    </x:row>
    <x:row r="10">
      <x:c r="A10" t="str">
        <x:v>JCI-000006</x:v>
      </x:c>
      <x:c r="B10" t="str">
        <x:v>JC-KG01-L21-20251025-AM-ORD-2025-00020-ORD-2025-00021</x:v>
      </x:c>
      <x:c r="C10" t="str">
        <x:v>PE-KG01-L21-20251025-AM-ORD-2025-00021</x:v>
      </x:c>
      <x:c r="D10" t="str">
        <x:v>KG01</x:v>
      </x:c>
      <x:c r="E10" t="n">
        <x:v>21</x:v>
      </x:c>
      <x:c r="F10" t="n">
        <x:v>45955</x:v>
      </x:c>
      <x:c r="G10" t="str">
        <x:v>AM</x:v>
      </x:c>
      <x:c r="H10" t="str">
        <x:v>ORD-2025-00021</x:v>
      </x:c>
      <x:c r="I10" t="str">
        <x:v>Trial</x:v>
      </x:c>
      <x:c r="J10" t="str">
        <x:v>L21</x:v>
      </x:c>
      <x:c r="K10" t="str">
        <x:v>Line</x:v>
      </x:c>
      <x:c r="L10"/>
      <x:c r="M10"/>
      <x:c r="N10" t="str">
        <x:v>Historical summary</x:v>
      </x:c>
      <x:c r="O10"/>
      <x:c r="P10"/>
      <x:c r="Q10" t="n">
        <x:v>0.1</x:v>
      </x:c>
      <x:c r="R10" t="n">
        <x:f>IF(B10="","",SUMIF(ProductionConfiguration!$B$5:$B$914,C10,ProductionConfiguration!$S$5:$S$914))</x:f>
        <x:v>30</x:v>
      </x:c>
      <x:c r="S10" t="n">
        <x:f>IF(B10="","",IF(K10="Line",R10,IF(K10="Section",SUMIFS(ProductionConfiguration!$S$5:$S$914,ProductionConfiguration!$B$5:$B$914,C10,ProductionConfiguration!$I$5:$I$914,L10),IF(K10="Cavity",IF(M10=1,SUMIFS(ProductionConfiguration!$P$5:$P$914,ProductionConfiguration!$B$5:$B$914,C10,ProductionConfiguration!$I$5:$I$914,L10),IF(M10=2,SUMIFS(ProductionConfiguration!$Q$5:$Q$914,ProductionConfiguration!$B$5:$B$914,C10,ProductionConfiguration!$I$5:$I$914,L10),SUMIFS(ProductionConfiguration!$R$5:$R$914,ProductionConfiguration!$B$5:$B$914,C10,ProductionConfiguration!$I$5:$I$914,L10))),0))))</x:f>
        <x:v>30</x:v>
      </x:c>
      <x:c r="T10" t="n">
        <x:f>IF(B10="","",IFERROR(S10/R10,0))</x:f>
        <x:v>1</x:v>
      </x:c>
      <x:c r="U10" t="n">
        <x:f>IF(B10="","",Q10*T10)</x:f>
        <x:v>0.1</x:v>
      </x:c>
      <x:c r="V10" t="n">
        <x:f>IF(C10="","",SUMIF(DailyProduction!$Q$5:$Q$100,C10,DailyProduction!$J$5:$J$100))</x:f>
        <x:v>11</x:v>
      </x:c>
      <x:c r="W10" t="n">
        <x:f>IF(B10="","",Q10*60*V10*S10)</x:f>
        <x:v>1980</x:v>
      </x:c>
      <x:c r="X10" t="str">
        <x:v>HistoricalSummary</x:v>
      </x:c>
      <x:c r="Y10" t="str">
        <x:f>IF(B10="","",IF(COUNTIF(JobChange!$S$5:$S$100,B10)=1,"OK","CHECK"))</x:f>
        <x:v>OK</x:v>
      </x:c>
      <x:c r="Z10" t="str">
        <x:f>IF(B10="","",IF(OR(AND(K10="Line",J10="L"&amp;E10),AND(K10="Section",J10="L"&amp;E10&amp;"-S"&amp;TEXT(L10,"00")),AND(K10="Cavity",J10="L"&amp;E10&amp;"-S"&amp;TEXT(L10,"00")&amp;"-C"&amp;M10)),"OK","CHECK"))</x:f>
        <x:v>OK</x:v>
      </x:c>
      <x:c r="AA10" t="str">
        <x:f>IF(B10="","",IF(AND(Q10&gt;0,OR(AND(O10="",P10=""),AND(O10&lt;&gt;"",P10&lt;&gt;"",P10&gt;=O10,ABS(Q10-((P10-O10)*24))&lt;=0.01))),"OK","CHECK"))</x:f>
        <x:v>OK</x:v>
      </x:c>
      <x:c r="AB10" t="str">
        <x:f>IF(B10="","",IF(AND(Y10="OK",Z10="OK",AA10="OK",R10&gt;0,S10&gt;0),"OK","CHECK"))</x:f>
        <x:v>OK</x:v>
      </x:c>
    </x:row>
    <x:row r="11">
      <x:c r="A11" t="str">
        <x:v>JCI-000007</x:v>
      </x:c>
      <x:c r="B11" t="str">
        <x:v>JC-KG01-L21-20251025-AM-ORD-2025-00020-ORD-2025-00021</x:v>
      </x:c>
      <x:c r="C11" t="str">
        <x:v>PE-KG01-L21-20251025-AM-ORD-2025-00021</x:v>
      </x:c>
      <x:c r="D11" t="str">
        <x:v>KG01</x:v>
      </x:c>
      <x:c r="E11" t="n">
        <x:v>21</x:v>
      </x:c>
      <x:c r="F11" t="n">
        <x:v>45955</x:v>
      </x:c>
      <x:c r="G11" t="str">
        <x:v>AM</x:v>
      </x:c>
      <x:c r="H11" t="str">
        <x:v>ORD-2025-00021</x:v>
      </x:c>
      <x:c r="I11" t="str">
        <x:v>HE</x:v>
      </x:c>
      <x:c r="J11" t="str">
        <x:v>L21</x:v>
      </x:c>
      <x:c r="K11" t="str">
        <x:v>Line</x:v>
      </x:c>
      <x:c r="L11"/>
      <x:c r="M11"/>
      <x:c r="N11" t="str">
        <x:v>Gob Weight Adjustment</x:v>
      </x:c>
      <x:c r="O11"/>
      <x:c r="P11"/>
      <x:c r="Q11" t="n">
        <x:v>0.51</x:v>
      </x:c>
      <x:c r="R11" t="n">
        <x:f>IF(B11="","",SUMIF(ProductionConfiguration!$B$5:$B$914,C11,ProductionConfiguration!$S$5:$S$914))</x:f>
        <x:v>30</x:v>
      </x:c>
      <x:c r="S11" t="n">
        <x:f>IF(B11="","",IF(K11="Line",R11,IF(K11="Section",SUMIFS(ProductionConfiguration!$S$5:$S$914,ProductionConfiguration!$B$5:$B$914,C11,ProductionConfiguration!$I$5:$I$914,L11),IF(K11="Cavity",IF(M11=1,SUMIFS(ProductionConfiguration!$P$5:$P$914,ProductionConfiguration!$B$5:$B$914,C11,ProductionConfiguration!$I$5:$I$914,L11),IF(M11=2,SUMIFS(ProductionConfiguration!$Q$5:$Q$914,ProductionConfiguration!$B$5:$B$914,C11,ProductionConfiguration!$I$5:$I$914,L11),SUMIFS(ProductionConfiguration!$R$5:$R$914,ProductionConfiguration!$B$5:$B$914,C11,ProductionConfiguration!$I$5:$I$914,L11))),0))))</x:f>
        <x:v>30</x:v>
      </x:c>
      <x:c r="T11" t="n">
        <x:f>IF(B11="","",IFERROR(S11/R11,0))</x:f>
        <x:v>1</x:v>
      </x:c>
      <x:c r="U11" t="n">
        <x:f>IF(B11="","",Q11*T11)</x:f>
        <x:v>0.51</x:v>
      </x:c>
      <x:c r="V11" t="n">
        <x:f>IF(C11="","",SUMIF(DailyProduction!$Q$5:$Q$100,C11,DailyProduction!$J$5:$J$100))</x:f>
        <x:v>11</x:v>
      </x:c>
      <x:c r="W11" t="n">
        <x:f>IF(B11="","",Q11*60*V11*S11)</x:f>
        <x:v>10098</x:v>
      </x:c>
      <x:c r="X11" t="str">
        <x:v>HistoricalSummary</x:v>
      </x:c>
      <x:c r="Y11" t="str">
        <x:f>IF(B11="","",IF(COUNTIF(JobChange!$S$5:$S$100,B11)=1,"OK","CHECK"))</x:f>
        <x:v>OK</x:v>
      </x:c>
      <x:c r="Z11" t="str">
        <x:f>IF(B11="","",IF(OR(AND(K11="Line",J11="L"&amp;E11),AND(K11="Section",J11="L"&amp;E11&amp;"-S"&amp;TEXT(L11,"00")),AND(K11="Cavity",J11="L"&amp;E11&amp;"-S"&amp;TEXT(L11,"00")&amp;"-C"&amp;M11)),"OK","CHECK"))</x:f>
        <x:v>OK</x:v>
      </x:c>
      <x:c r="AA11" t="str">
        <x:f>IF(B11="","",IF(AND(Q11&gt;0,OR(AND(O11="",P11=""),AND(O11&lt;&gt;"",P11&lt;&gt;"",P11&gt;=O11,ABS(Q11-((P11-O11)*24))&lt;=0.01))),"OK","CHECK"))</x:f>
        <x:v>OK</x:v>
      </x:c>
      <x:c r="AB11" t="str">
        <x:f>IF(B11="","",IF(AND(Y11="OK",Z11="OK",AA11="OK",R11&gt;0,S11&gt;0),"OK","CHECK"))</x:f>
        <x:v>OK</x:v>
      </x:c>
    </x:row>
    <x:row r="12">
      <x:c r="A12" t="str">
        <x:v>JCI-000008</x:v>
      </x:c>
      <x:c r="B12" t="str">
        <x:v>JC-KG01-L22-20251020-AM-ORD-2025-00055-ORD-2025-00056</x:v>
      </x:c>
      <x:c r="C12" t="str">
        <x:v>PE-KG01-L22-20251020-AM-ORD-2025-00056</x:v>
      </x:c>
      <x:c r="D12" t="str">
        <x:v>KG01</x:v>
      </x:c>
      <x:c r="E12" t="n">
        <x:v>22</x:v>
      </x:c>
      <x:c r="F12" t="n">
        <x:v>45950</x:v>
      </x:c>
      <x:c r="G12" t="str">
        <x:v>AM</x:v>
      </x:c>
      <x:c r="H12" t="str">
        <x:v>ORD-2025-00056</x:v>
      </x:c>
      <x:c r="I12" t="str">
        <x:v>T1</x:v>
      </x:c>
      <x:c r="J12" t="str">
        <x:v>L22</x:v>
      </x:c>
      <x:c r="K12" t="str">
        <x:v>Line</x:v>
      </x:c>
      <x:c r="L12"/>
      <x:c r="M12"/>
      <x:c r="N12" t="str">
        <x:v>Historical summary</x:v>
      </x:c>
      <x:c r="O12"/>
      <x:c r="P12"/>
      <x:c r="Q12" t="n">
        <x:v>6.84</x:v>
      </x:c>
      <x:c r="R12" t="n">
        <x:f>IF(B12="","",SUMIF(ProductionConfiguration!$B$5:$B$914,C12,ProductionConfiguration!$S$5:$S$914))</x:f>
        <x:v>20</x:v>
      </x:c>
      <x:c r="S12" t="n">
        <x:f>IF(B12="","",IF(K12="Line",R12,IF(K12="Section",SUMIFS(ProductionConfiguration!$S$5:$S$914,ProductionConfiguration!$B$5:$B$914,C12,ProductionConfiguration!$I$5:$I$914,L12),IF(K12="Cavity",IF(M12=1,SUMIFS(ProductionConfiguration!$P$5:$P$914,ProductionConfiguration!$B$5:$B$914,C12,ProductionConfiguration!$I$5:$I$914,L12),IF(M12=2,SUMIFS(ProductionConfiguration!$Q$5:$Q$914,ProductionConfiguration!$B$5:$B$914,C12,ProductionConfiguration!$I$5:$I$914,L12),SUMIFS(ProductionConfiguration!$R$5:$R$914,ProductionConfiguration!$B$5:$B$914,C12,ProductionConfiguration!$I$5:$I$914,L12))),0))))</x:f>
        <x:v>20</x:v>
      </x:c>
      <x:c r="T12" t="n">
        <x:f>IF(B12="","",IFERROR(S12/R12,0))</x:f>
        <x:v>1</x:v>
      </x:c>
      <x:c r="U12" t="n">
        <x:f>IF(B12="","",Q12*T12)</x:f>
        <x:v>6.84</x:v>
      </x:c>
      <x:c r="V12" t="n">
        <x:f>IF(C12="","",SUMIF(DailyProduction!$Q$5:$Q$100,C12,DailyProduction!$J$5:$J$100))</x:f>
        <x:v>10</x:v>
      </x:c>
      <x:c r="W12" t="n">
        <x:f>IF(B12="","",Q12*60*V12*S12)</x:f>
        <x:v>82080</x:v>
      </x:c>
      <x:c r="X12" t="str">
        <x:v>HistoricalSummary</x:v>
      </x:c>
      <x:c r="Y12" t="str">
        <x:f>IF(B12="","",IF(COUNTIF(JobChange!$S$5:$S$100,B12)=1,"OK","CHECK"))</x:f>
        <x:v>OK</x:v>
      </x:c>
      <x:c r="Z12" t="str">
        <x:f>IF(B12="","",IF(OR(AND(K12="Line",J12="L"&amp;E12),AND(K12="Section",J12="L"&amp;E12&amp;"-S"&amp;TEXT(L12,"00")),AND(K12="Cavity",J12="L"&amp;E12&amp;"-S"&amp;TEXT(L12,"00")&amp;"-C"&amp;M12)),"OK","CHECK"))</x:f>
        <x:v>OK</x:v>
      </x:c>
      <x:c r="AA12" t="str">
        <x:f>IF(B12="","",IF(AND(Q12&gt;0,OR(AND(O12="",P12=""),AND(O12&lt;&gt;"",P12&lt;&gt;"",P12&gt;=O12,ABS(Q12-((P12-O12)*24))&lt;=0.01))),"OK","CHECK"))</x:f>
        <x:v>OK</x:v>
      </x:c>
      <x:c r="AB12" t="str">
        <x:f>IF(B12="","",IF(AND(Y12="OK",Z12="OK",AA12="OK",R12&gt;0,S12&gt;0),"OK","CHECK"))</x:f>
        <x:v>OK</x:v>
      </x:c>
    </x:row>
    <x:row r="13">
      <x:c r="A13" t="str">
        <x:v>JCI-000009</x:v>
      </x:c>
      <x:c r="B13" t="str">
        <x:v>JC-KG01-L22-20251020-AM-ORD-2025-00055-ORD-2025-00056</x:v>
      </x:c>
      <x:c r="C13" t="str">
        <x:v>PE-KG01-L22-20251020-AM-ORD-2025-00056</x:v>
      </x:c>
      <x:c r="D13" t="str">
        <x:v>KG01</x:v>
      </x:c>
      <x:c r="E13" t="n">
        <x:v>22</x:v>
      </x:c>
      <x:c r="F13" t="n">
        <x:v>45950</x:v>
      </x:c>
      <x:c r="G13" t="str">
        <x:v>AM</x:v>
      </x:c>
      <x:c r="H13" t="str">
        <x:v>ORD-2025-00056</x:v>
      </x:c>
      <x:c r="I13" t="str">
        <x:v>T2</x:v>
      </x:c>
      <x:c r="J13" t="str">
        <x:v>L22</x:v>
      </x:c>
      <x:c r="K13" t="str">
        <x:v>Line</x:v>
      </x:c>
      <x:c r="L13"/>
      <x:c r="M13"/>
      <x:c r="N13" t="str">
        <x:v>Historical summary</x:v>
      </x:c>
      <x:c r="O13"/>
      <x:c r="P13"/>
      <x:c r="Q13" t="n">
        <x:v>1.63</x:v>
      </x:c>
      <x:c r="R13" t="n">
        <x:f>IF(B13="","",SUMIF(ProductionConfiguration!$B$5:$B$914,C13,ProductionConfiguration!$S$5:$S$914))</x:f>
        <x:v>20</x:v>
      </x:c>
      <x:c r="S13" t="n">
        <x:f>IF(B13="","",IF(K13="Line",R13,IF(K13="Section",SUMIFS(ProductionConfiguration!$S$5:$S$914,ProductionConfiguration!$B$5:$B$914,C13,ProductionConfiguration!$I$5:$I$914,L13),IF(K13="Cavity",IF(M13=1,SUMIFS(ProductionConfiguration!$P$5:$P$914,ProductionConfiguration!$B$5:$B$914,C13,ProductionConfiguration!$I$5:$I$914,L13),IF(M13=2,SUMIFS(ProductionConfiguration!$Q$5:$Q$914,ProductionConfiguration!$B$5:$B$914,C13,ProductionConfiguration!$I$5:$I$914,L13),SUMIFS(ProductionConfiguration!$R$5:$R$914,ProductionConfiguration!$B$5:$B$914,C13,ProductionConfiguration!$I$5:$I$914,L13))),0))))</x:f>
        <x:v>20</x:v>
      </x:c>
      <x:c r="T13" t="n">
        <x:f>IF(B13="","",IFERROR(S13/R13,0))</x:f>
        <x:v>1</x:v>
      </x:c>
      <x:c r="U13" t="n">
        <x:f>IF(B13="","",Q13*T13)</x:f>
        <x:v>1.63</x:v>
      </x:c>
      <x:c r="V13" t="n">
        <x:f>IF(C13="","",SUMIF(DailyProduction!$Q$5:$Q$100,C13,DailyProduction!$J$5:$J$100))</x:f>
        <x:v>10</x:v>
      </x:c>
      <x:c r="W13" t="n">
        <x:f>IF(B13="","",Q13*60*V13*S13)</x:f>
        <x:v>19560</x:v>
      </x:c>
      <x:c r="X13" t="str">
        <x:v>HistoricalSummary</x:v>
      </x:c>
      <x:c r="Y13" t="str">
        <x:f>IF(B13="","",IF(COUNTIF(JobChange!$S$5:$S$100,B13)=1,"OK","CHECK"))</x:f>
        <x:v>OK</x:v>
      </x:c>
      <x:c r="Z13" t="str">
        <x:f>IF(B13="","",IF(OR(AND(K13="Line",J13="L"&amp;E13),AND(K13="Section",J13="L"&amp;E13&amp;"-S"&amp;TEXT(L13,"00")),AND(K13="Cavity",J13="L"&amp;E13&amp;"-S"&amp;TEXT(L13,"00")&amp;"-C"&amp;M13)),"OK","CHECK"))</x:f>
        <x:v>OK</x:v>
      </x:c>
      <x:c r="AA13" t="str">
        <x:f>IF(B13="","",IF(AND(Q13&gt;0,OR(AND(O13="",P13=""),AND(O13&lt;&gt;"",P13&lt;&gt;"",P13&gt;=O13,ABS(Q13-((P13-O13)*24))&lt;=0.01))),"OK","CHECK"))</x:f>
        <x:v>OK</x:v>
      </x:c>
      <x:c r="AB13" t="str">
        <x:f>IF(B13="","",IF(AND(Y13="OK",Z13="OK",AA13="OK",R13&gt;0,S13&gt;0),"OK","CHECK"))</x:f>
        <x:v>OK</x:v>
      </x:c>
    </x:row>
    <x:row r="14">
      <x:c r="A14" t="str">
        <x:v>JCI-000010</x:v>
      </x:c>
      <x:c r="B14" t="str">
        <x:v>JC-KG01-L22-20251020-AM-ORD-2025-00055-ORD-2025-00056</x:v>
      </x:c>
      <x:c r="C14" t="str">
        <x:v>PE-KG01-L22-20251020-AM-ORD-2025-00056</x:v>
      </x:c>
      <x:c r="D14" t="str">
        <x:v>KG01</x:v>
      </x:c>
      <x:c r="E14" t="n">
        <x:v>22</x:v>
      </x:c>
      <x:c r="F14" t="n">
        <x:v>45950</x:v>
      </x:c>
      <x:c r="G14" t="str">
        <x:v>AM</x:v>
      </x:c>
      <x:c r="H14" t="str">
        <x:v>ORD-2025-00056</x:v>
      </x:c>
      <x:c r="I14" t="str">
        <x:v>Trial</x:v>
      </x:c>
      <x:c r="J14" t="str">
        <x:v>L22</x:v>
      </x:c>
      <x:c r="K14" t="str">
        <x:v>Line</x:v>
      </x:c>
      <x:c r="L14"/>
      <x:c r="M14"/>
      <x:c r="N14" t="str">
        <x:v>Historical summary</x:v>
      </x:c>
      <x:c r="O14"/>
      <x:c r="P14"/>
      <x:c r="Q14" t="n">
        <x:v>0.78</x:v>
      </x:c>
      <x:c r="R14" t="n">
        <x:f>IF(B14="","",SUMIF(ProductionConfiguration!$B$5:$B$914,C14,ProductionConfiguration!$S$5:$S$914))</x:f>
        <x:v>20</x:v>
      </x:c>
      <x:c r="S14" t="n">
        <x:f>IF(B14="","",IF(K14="Line",R14,IF(K14="Section",SUMIFS(ProductionConfiguration!$S$5:$S$914,ProductionConfiguration!$B$5:$B$914,C14,ProductionConfiguration!$I$5:$I$914,L14),IF(K14="Cavity",IF(M14=1,SUMIFS(ProductionConfiguration!$P$5:$P$914,ProductionConfiguration!$B$5:$B$914,C14,ProductionConfiguration!$I$5:$I$914,L14),IF(M14=2,SUMIFS(ProductionConfiguration!$Q$5:$Q$914,ProductionConfiguration!$B$5:$B$914,C14,ProductionConfiguration!$I$5:$I$914,L14),SUMIFS(ProductionConfiguration!$R$5:$R$914,ProductionConfiguration!$B$5:$B$914,C14,ProductionConfiguration!$I$5:$I$914,L14))),0))))</x:f>
        <x:v>20</x:v>
      </x:c>
      <x:c r="T14" t="n">
        <x:f>IF(B14="","",IFERROR(S14/R14,0))</x:f>
        <x:v>1</x:v>
      </x:c>
      <x:c r="U14" t="n">
        <x:f>IF(B14="","",Q14*T14)</x:f>
        <x:v>0.78</x:v>
      </x:c>
      <x:c r="V14" t="n">
        <x:f>IF(C14="","",SUMIF(DailyProduction!$Q$5:$Q$100,C14,DailyProduction!$J$5:$J$100))</x:f>
        <x:v>10</x:v>
      </x:c>
      <x:c r="W14" t="n">
        <x:f>IF(B14="","",Q14*60*V14*S14)</x:f>
        <x:v>9360.000000000002</x:v>
      </x:c>
      <x:c r="X14" t="str">
        <x:v>HistoricalSummary</x:v>
      </x:c>
      <x:c r="Y14" t="str">
        <x:f>IF(B14="","",IF(COUNTIF(JobChange!$S$5:$S$100,B14)=1,"OK","CHECK"))</x:f>
        <x:v>OK</x:v>
      </x:c>
      <x:c r="Z14" t="str">
        <x:f>IF(B14="","",IF(OR(AND(K14="Line",J14="L"&amp;E14),AND(K14="Section",J14="L"&amp;E14&amp;"-S"&amp;TEXT(L14,"00")),AND(K14="Cavity",J14="L"&amp;E14&amp;"-S"&amp;TEXT(L14,"00")&amp;"-C"&amp;M14)),"OK","CHECK"))</x:f>
        <x:v>OK</x:v>
      </x:c>
      <x:c r="AA14" t="str">
        <x:f>IF(B14="","",IF(AND(Q14&gt;0,OR(AND(O14="",P14=""),AND(O14&lt;&gt;"",P14&lt;&gt;"",P14&gt;=O14,ABS(Q14-((P14-O14)*24))&lt;=0.01))),"OK","CHECK"))</x:f>
        <x:v>OK</x:v>
      </x:c>
      <x:c r="AB14" t="str">
        <x:f>IF(B14="","",IF(AND(Y14="OK",Z14="OK",AA14="OK",R14&gt;0,S14&gt;0),"OK","CHECK"))</x:f>
        <x:v>OK</x:v>
      </x:c>
    </x:row>
    <x:row r="15">
      <x:c r="A15" t="str">
        <x:v>JCI-000011</x:v>
      </x:c>
      <x:c r="B15" t="str">
        <x:v>JC-KG01-L22-20251020-AM-ORD-2025-00055-ORD-2025-00056</x:v>
      </x:c>
      <x:c r="C15" t="str">
        <x:v>PE-KG01-L22-20251020-AM-ORD-2025-00056</x:v>
      </x:c>
      <x:c r="D15" t="str">
        <x:v>KG01</x:v>
      </x:c>
      <x:c r="E15" t="n">
        <x:v>22</x:v>
      </x:c>
      <x:c r="F15" t="n">
        <x:v>45950</x:v>
      </x:c>
      <x:c r="G15" t="str">
        <x:v>AM</x:v>
      </x:c>
      <x:c r="H15" t="str">
        <x:v>ORD-2025-00056</x:v>
      </x:c>
      <x:c r="I15" t="str">
        <x:v>Palletizer</x:v>
      </x:c>
      <x:c r="J15" t="str">
        <x:v>L22</x:v>
      </x:c>
      <x:c r="K15" t="str">
        <x:v>Line</x:v>
      </x:c>
      <x:c r="L15"/>
      <x:c r="M15"/>
      <x:c r="N15" t="str">
        <x:v>Pallet Conveyor Jam</x:v>
      </x:c>
      <x:c r="O15"/>
      <x:c r="P15"/>
      <x:c r="Q15" t="n">
        <x:v>0.24</x:v>
      </x:c>
      <x:c r="R15" t="n">
        <x:f>IF(B15="","",SUMIF(ProductionConfiguration!$B$5:$B$914,C15,ProductionConfiguration!$S$5:$S$914))</x:f>
        <x:v>20</x:v>
      </x:c>
      <x:c r="S15" t="n">
        <x:f>IF(B15="","",IF(K15="Line",R15,IF(K15="Section",SUMIFS(ProductionConfiguration!$S$5:$S$914,ProductionConfiguration!$B$5:$B$914,C15,ProductionConfiguration!$I$5:$I$914,L15),IF(K15="Cavity",IF(M15=1,SUMIFS(ProductionConfiguration!$P$5:$P$914,ProductionConfiguration!$B$5:$B$914,C15,ProductionConfiguration!$I$5:$I$914,L15),IF(M15=2,SUMIFS(ProductionConfiguration!$Q$5:$Q$914,ProductionConfiguration!$B$5:$B$914,C15,ProductionConfiguration!$I$5:$I$914,L15),SUMIFS(ProductionConfiguration!$R$5:$R$914,ProductionConfiguration!$B$5:$B$914,C15,ProductionConfiguration!$I$5:$I$914,L15))),0))))</x:f>
        <x:v>20</x:v>
      </x:c>
      <x:c r="T15" t="n">
        <x:f>IF(B15="","",IFERROR(S15/R15,0))</x:f>
        <x:v>1</x:v>
      </x:c>
      <x:c r="U15" t="n">
        <x:f>IF(B15="","",Q15*T15)</x:f>
        <x:v>0.24</x:v>
      </x:c>
      <x:c r="V15" t="n">
        <x:f>IF(C15="","",SUMIF(DailyProduction!$Q$5:$Q$100,C15,DailyProduction!$J$5:$J$100))</x:f>
        <x:v>10</x:v>
      </x:c>
      <x:c r="W15" t="n">
        <x:f>IF(B15="","",Q15*60*V15*S15)</x:f>
        <x:v>2880</x:v>
      </x:c>
      <x:c r="X15" t="str">
        <x:v>HistoricalSummary</x:v>
      </x:c>
      <x:c r="Y15" t="str">
        <x:f>IF(B15="","",IF(COUNTIF(JobChange!$S$5:$S$100,B15)=1,"OK","CHECK"))</x:f>
        <x:v>OK</x:v>
      </x:c>
      <x:c r="Z15" t="str">
        <x:f>IF(B15="","",IF(OR(AND(K15="Line",J15="L"&amp;E15),AND(K15="Section",J15="L"&amp;E15&amp;"-S"&amp;TEXT(L15,"00")),AND(K15="Cavity",J15="L"&amp;E15&amp;"-S"&amp;TEXT(L15,"00")&amp;"-C"&amp;M15)),"OK","CHECK"))</x:f>
        <x:v>OK</x:v>
      </x:c>
      <x:c r="AA15" t="str">
        <x:f>IF(B15="","",IF(AND(Q15&gt;0,OR(AND(O15="",P15=""),AND(O15&lt;&gt;"",P15&lt;&gt;"",P15&gt;=O15,ABS(Q15-((P15-O15)*24))&lt;=0.01))),"OK","CHECK"))</x:f>
        <x:v>OK</x:v>
      </x:c>
      <x:c r="AB15" t="str">
        <x:f>IF(B15="","",IF(AND(Y15="OK",Z15="OK",AA15="OK",R15&gt;0,S15&gt;0),"OK","CHECK"))</x:f>
        <x:v>OK</x:v>
      </x:c>
    </x:row>
    <x:row r="16">
      <x:c r="A16" t="str">
        <x:v>JCI-000012</x:v>
      </x:c>
      <x:c r="B16" t="str">
        <x:v>JC-KG01-L22-20251026-AM-ORD-2025-00057-ORD-2025-00058</x:v>
      </x:c>
      <x:c r="C16" t="str">
        <x:v>PE-KG01-L22-20251026-AM-ORD-2025-00058</x:v>
      </x:c>
      <x:c r="D16" t="str">
        <x:v>KG01</x:v>
      </x:c>
      <x:c r="E16" t="n">
        <x:v>22</x:v>
      </x:c>
      <x:c r="F16" t="n">
        <x:v>45956</x:v>
      </x:c>
      <x:c r="G16" t="str">
        <x:v>AM</x:v>
      </x:c>
      <x:c r="H16" t="str">
        <x:v>ORD-2025-00058</x:v>
      </x:c>
      <x:c r="I16" t="str">
        <x:v>T1</x:v>
      </x:c>
      <x:c r="J16" t="str">
        <x:v>L22</x:v>
      </x:c>
      <x:c r="K16" t="str">
        <x:v>Line</x:v>
      </x:c>
      <x:c r="L16"/>
      <x:c r="M16"/>
      <x:c r="N16" t="str">
        <x:v>Historical summary</x:v>
      </x:c>
      <x:c r="O16"/>
      <x:c r="P16"/>
      <x:c r="Q16" t="n">
        <x:v>5.65</x:v>
      </x:c>
      <x:c r="R16" t="n">
        <x:f>IF(B16="","",SUMIF(ProductionConfiguration!$B$5:$B$914,C16,ProductionConfiguration!$S$5:$S$914))</x:f>
        <x:v>30</x:v>
      </x:c>
      <x:c r="S16" t="n">
        <x:f>IF(B16="","",IF(K16="Line",R16,IF(K16="Section",SUMIFS(ProductionConfiguration!$S$5:$S$914,ProductionConfiguration!$B$5:$B$914,C16,ProductionConfiguration!$I$5:$I$914,L16),IF(K16="Cavity",IF(M16=1,SUMIFS(ProductionConfiguration!$P$5:$P$914,ProductionConfiguration!$B$5:$B$914,C16,ProductionConfiguration!$I$5:$I$914,L16),IF(M16=2,SUMIFS(ProductionConfiguration!$Q$5:$Q$914,ProductionConfiguration!$B$5:$B$914,C16,ProductionConfiguration!$I$5:$I$914,L16),SUMIFS(ProductionConfiguration!$R$5:$R$914,ProductionConfiguration!$B$5:$B$914,C16,ProductionConfiguration!$I$5:$I$914,L16))),0))))</x:f>
        <x:v>30</x:v>
      </x:c>
      <x:c r="T16" t="n">
        <x:f>IF(B16="","",IFERROR(S16/R16,0))</x:f>
        <x:v>1</x:v>
      </x:c>
      <x:c r="U16" t="n">
        <x:f>IF(B16="","",Q16*T16)</x:f>
        <x:v>5.65</x:v>
      </x:c>
      <x:c r="V16" t="n">
        <x:f>IF(C16="","",SUMIF(DailyProduction!$Q$5:$Q$100,C16,DailyProduction!$J$5:$J$100))</x:f>
        <x:v>14</x:v>
      </x:c>
      <x:c r="W16" t="n">
        <x:f>IF(B16="","",Q16*60*V16*S16)</x:f>
        <x:v>142380</x:v>
      </x:c>
      <x:c r="X16" t="str">
        <x:v>HistoricalSummary</x:v>
      </x:c>
      <x:c r="Y16" t="str">
        <x:f>IF(B16="","",IF(COUNTIF(JobChange!$S$5:$S$100,B16)=1,"OK","CHECK"))</x:f>
        <x:v>OK</x:v>
      </x:c>
      <x:c r="Z16" t="str">
        <x:f>IF(B16="","",IF(OR(AND(K16="Line",J16="L"&amp;E16),AND(K16="Section",J16="L"&amp;E16&amp;"-S"&amp;TEXT(L16,"00")),AND(K16="Cavity",J16="L"&amp;E16&amp;"-S"&amp;TEXT(L16,"00")&amp;"-C"&amp;M16)),"OK","CHECK"))</x:f>
        <x:v>OK</x:v>
      </x:c>
      <x:c r="AA16" t="str">
        <x:f>IF(B16="","",IF(AND(Q16&gt;0,OR(AND(O16="",P16=""),AND(O16&lt;&gt;"",P16&lt;&gt;"",P16&gt;=O16,ABS(Q16-((P16-O16)*24))&lt;=0.01))),"OK","CHECK"))</x:f>
        <x:v>OK</x:v>
      </x:c>
      <x:c r="AB16" t="str">
        <x:f>IF(B16="","",IF(AND(Y16="OK",Z16="OK",AA16="OK",R16&gt;0,S16&gt;0),"OK","CHECK"))</x:f>
        <x:v>OK</x:v>
      </x:c>
    </x:row>
    <x:row r="17">
      <x:c r="A17" t="str">
        <x:v>JCI-000013</x:v>
      </x:c>
      <x:c r="B17" t="str">
        <x:v>JC-KG01-L22-20251026-AM-ORD-2025-00057-ORD-2025-00058</x:v>
      </x:c>
      <x:c r="C17" t="str">
        <x:v>PE-KG01-L22-20251026-AM-ORD-2025-00058</x:v>
      </x:c>
      <x:c r="D17" t="str">
        <x:v>KG01</x:v>
      </x:c>
      <x:c r="E17" t="n">
        <x:v>22</x:v>
      </x:c>
      <x:c r="F17" t="n">
        <x:v>45956</x:v>
      </x:c>
      <x:c r="G17" t="str">
        <x:v>AM</x:v>
      </x:c>
      <x:c r="H17" t="str">
        <x:v>ORD-2025-00058</x:v>
      </x:c>
      <x:c r="I17" t="str">
        <x:v>T2</x:v>
      </x:c>
      <x:c r="J17" t="str">
        <x:v>L22</x:v>
      </x:c>
      <x:c r="K17" t="str">
        <x:v>Line</x:v>
      </x:c>
      <x:c r="L17"/>
      <x:c r="M17"/>
      <x:c r="N17" t="str">
        <x:v>Historical summary</x:v>
      </x:c>
      <x:c r="O17"/>
      <x:c r="P17"/>
      <x:c r="Q17" t="n">
        <x:v>1.35</x:v>
      </x:c>
      <x:c r="R17" t="n">
        <x:f>IF(B17="","",SUMIF(ProductionConfiguration!$B$5:$B$914,C17,ProductionConfiguration!$S$5:$S$914))</x:f>
        <x:v>30</x:v>
      </x:c>
      <x:c r="S17" t="n">
        <x:f>IF(B17="","",IF(K17="Line",R17,IF(K17="Section",SUMIFS(ProductionConfiguration!$S$5:$S$914,ProductionConfiguration!$B$5:$B$914,C17,ProductionConfiguration!$I$5:$I$914,L17),IF(K17="Cavity",IF(M17=1,SUMIFS(ProductionConfiguration!$P$5:$P$914,ProductionConfiguration!$B$5:$B$914,C17,ProductionConfiguration!$I$5:$I$914,L17),IF(M17=2,SUMIFS(ProductionConfiguration!$Q$5:$Q$914,ProductionConfiguration!$B$5:$B$914,C17,ProductionConfiguration!$I$5:$I$914,L17),SUMIFS(ProductionConfiguration!$R$5:$R$914,ProductionConfiguration!$B$5:$B$914,C17,ProductionConfiguration!$I$5:$I$914,L17))),0))))</x:f>
        <x:v>30</x:v>
      </x:c>
      <x:c r="T17" t="n">
        <x:f>IF(B17="","",IFERROR(S17/R17,0))</x:f>
        <x:v>1</x:v>
      </x:c>
      <x:c r="U17" t="n">
        <x:f>IF(B17="","",Q17*T17)</x:f>
        <x:v>1.35</x:v>
      </x:c>
      <x:c r="V17" t="n">
        <x:f>IF(C17="","",SUMIF(DailyProduction!$Q$5:$Q$100,C17,DailyProduction!$J$5:$J$100))</x:f>
        <x:v>14</x:v>
      </x:c>
      <x:c r="W17" t="n">
        <x:f>IF(B17="","",Q17*60*V17*S17)</x:f>
        <x:v>34020</x:v>
      </x:c>
      <x:c r="X17" t="str">
        <x:v>HistoricalSummary</x:v>
      </x:c>
      <x:c r="Y17" t="str">
        <x:f>IF(B17="","",IF(COUNTIF(JobChange!$S$5:$S$100,B17)=1,"OK","CHECK"))</x:f>
        <x:v>OK</x:v>
      </x:c>
      <x:c r="Z17" t="str">
        <x:f>IF(B17="","",IF(OR(AND(K17="Line",J17="L"&amp;E17),AND(K17="Section",J17="L"&amp;E17&amp;"-S"&amp;TEXT(L17,"00")),AND(K17="Cavity",J17="L"&amp;E17&amp;"-S"&amp;TEXT(L17,"00")&amp;"-C"&amp;M17)),"OK","CHECK"))</x:f>
        <x:v>OK</x:v>
      </x:c>
      <x:c r="AA17" t="str">
        <x:f>IF(B17="","",IF(AND(Q17&gt;0,OR(AND(O17="",P17=""),AND(O17&lt;&gt;"",P17&lt;&gt;"",P17&gt;=O17,ABS(Q17-((P17-O17)*24))&lt;=0.01))),"OK","CHECK"))</x:f>
        <x:v>OK</x:v>
      </x:c>
      <x:c r="AB17" t="str">
        <x:f>IF(B17="","",IF(AND(Y17="OK",Z17="OK",AA17="OK",R17&gt;0,S17&gt;0),"OK","CHECK"))</x:f>
        <x:v>OK</x:v>
      </x:c>
    </x:row>
    <x:row r="18">
      <x:c r="A18" t="str">
        <x:v>JCI-000014</x:v>
      </x:c>
      <x:c r="B18" t="str">
        <x:v>JC-KG01-L22-20251026-AM-ORD-2025-00057-ORD-2025-00058</x:v>
      </x:c>
      <x:c r="C18" t="str">
        <x:v>PE-KG01-L22-20251026-AM-ORD-2025-00058</x:v>
      </x:c>
      <x:c r="D18" t="str">
        <x:v>KG01</x:v>
      </x:c>
      <x:c r="E18" t="n">
        <x:v>22</x:v>
      </x:c>
      <x:c r="F18" t="n">
        <x:v>45956</x:v>
      </x:c>
      <x:c r="G18" t="str">
        <x:v>AM</x:v>
      </x:c>
      <x:c r="H18" t="str">
        <x:v>ORD-2025-00058</x:v>
      </x:c>
      <x:c r="I18" t="str">
        <x:v>Trial</x:v>
      </x:c>
      <x:c r="J18" t="str">
        <x:v>L22</x:v>
      </x:c>
      <x:c r="K18" t="str">
        <x:v>Line</x:v>
      </x:c>
      <x:c r="L18"/>
      <x:c r="M18"/>
      <x:c r="N18" t="str">
        <x:v>Historical summary</x:v>
      </x:c>
      <x:c r="O18"/>
      <x:c r="P18"/>
      <x:c r="Q18" t="n">
        <x:v>0.78</x:v>
      </x:c>
      <x:c r="R18" t="n">
        <x:f>IF(B18="","",SUMIF(ProductionConfiguration!$B$5:$B$914,C18,ProductionConfiguration!$S$5:$S$914))</x:f>
        <x:v>30</x:v>
      </x:c>
      <x:c r="S18" t="n">
        <x:f>IF(B18="","",IF(K18="Line",R18,IF(K18="Section",SUMIFS(ProductionConfiguration!$S$5:$S$914,ProductionConfiguration!$B$5:$B$914,C18,ProductionConfiguration!$I$5:$I$914,L18),IF(K18="Cavity",IF(M18=1,SUMIFS(ProductionConfiguration!$P$5:$P$914,ProductionConfiguration!$B$5:$B$914,C18,ProductionConfiguration!$I$5:$I$914,L18),IF(M18=2,SUMIFS(ProductionConfiguration!$Q$5:$Q$914,ProductionConfiguration!$B$5:$B$914,C18,ProductionConfiguration!$I$5:$I$914,L18),SUMIFS(ProductionConfiguration!$R$5:$R$914,ProductionConfiguration!$B$5:$B$914,C18,ProductionConfiguration!$I$5:$I$914,L18))),0))))</x:f>
        <x:v>30</x:v>
      </x:c>
      <x:c r="T18" t="n">
        <x:f>IF(B18="","",IFERROR(S18/R18,0))</x:f>
        <x:v>1</x:v>
      </x:c>
      <x:c r="U18" t="n">
        <x:f>IF(B18="","",Q18*T18)</x:f>
        <x:v>0.78</x:v>
      </x:c>
      <x:c r="V18" t="n">
        <x:f>IF(C18="","",SUMIF(DailyProduction!$Q$5:$Q$100,C18,DailyProduction!$J$5:$J$100))</x:f>
        <x:v>14</x:v>
      </x:c>
      <x:c r="W18" t="n">
        <x:f>IF(B18="","",Q18*60*V18*S18)</x:f>
        <x:v>19656</x:v>
      </x:c>
      <x:c r="X18" t="str">
        <x:v>HistoricalSummary</x:v>
      </x:c>
      <x:c r="Y18" t="str">
        <x:f>IF(B18="","",IF(COUNTIF(JobChange!$S$5:$S$100,B18)=1,"OK","CHECK"))</x:f>
        <x:v>OK</x:v>
      </x:c>
      <x:c r="Z18" t="str">
        <x:f>IF(B18="","",IF(OR(AND(K18="Line",J18="L"&amp;E18),AND(K18="Section",J18="L"&amp;E18&amp;"-S"&amp;TEXT(L18,"00")),AND(K18="Cavity",J18="L"&amp;E18&amp;"-S"&amp;TEXT(L18,"00")&amp;"-C"&amp;M18)),"OK","CHECK"))</x:f>
        <x:v>OK</x:v>
      </x:c>
      <x:c r="AA18" t="str">
        <x:f>IF(B18="","",IF(AND(Q18&gt;0,OR(AND(O18="",P18=""),AND(O18&lt;&gt;"",P18&lt;&gt;"",P18&gt;=O18,ABS(Q18-((P18-O18)*24))&lt;=0.01))),"OK","CHECK"))</x:f>
        <x:v>OK</x:v>
      </x:c>
      <x:c r="AB18" t="str">
        <x:f>IF(B18="","",IF(AND(Y18="OK",Z18="OK",AA18="OK",R18&gt;0,S18&gt;0),"OK","CHECK"))</x:f>
        <x:v>OK</x:v>
      </x:c>
    </x:row>
    <x:row r="19">
      <x:c r="A19" t="str">
        <x:v>JCI-000015</x:v>
      </x:c>
      <x:c r="B19" t="str">
        <x:v>JC-KG01-L22-20251026-AM-ORD-2025-00057-ORD-2025-00058</x:v>
      </x:c>
      <x:c r="C19" t="str">
        <x:v>PE-KG01-L22-20251026-AM-ORD-2025-00058</x:v>
      </x:c>
      <x:c r="D19" t="str">
        <x:v>KG01</x:v>
      </x:c>
      <x:c r="E19" t="n">
        <x:v>22</x:v>
      </x:c>
      <x:c r="F19" t="n">
        <x:v>45956</x:v>
      </x:c>
      <x:c r="G19" t="str">
        <x:v>AM</x:v>
      </x:c>
      <x:c r="H19" t="str">
        <x:v>ORD-2025-00058</x:v>
      </x:c>
      <x:c r="I19" t="str">
        <x:v>HE</x:v>
      </x:c>
      <x:c r="J19" t="str">
        <x:v>L22</x:v>
      </x:c>
      <x:c r="K19" t="str">
        <x:v>Line</x:v>
      </x:c>
      <x:c r="L19"/>
      <x:c r="M19"/>
      <x:c r="N19" t="str">
        <x:v>Neck Ring Issue</x:v>
      </x:c>
      <x:c r="O19"/>
      <x:c r="P19"/>
      <x:c r="Q19" t="n">
        <x:v>0.69</x:v>
      </x:c>
      <x:c r="R19" t="n">
        <x:f>IF(B19="","",SUMIF(ProductionConfiguration!$B$5:$B$914,C19,ProductionConfiguration!$S$5:$S$914))</x:f>
        <x:v>30</x:v>
      </x:c>
      <x:c r="S19" t="n">
        <x:f>IF(B19="","",IF(K19="Line",R19,IF(K19="Section",SUMIFS(ProductionConfiguration!$S$5:$S$914,ProductionConfiguration!$B$5:$B$914,C19,ProductionConfiguration!$I$5:$I$914,L19),IF(K19="Cavity",IF(M19=1,SUMIFS(ProductionConfiguration!$P$5:$P$914,ProductionConfiguration!$B$5:$B$914,C19,ProductionConfiguration!$I$5:$I$914,L19),IF(M19=2,SUMIFS(ProductionConfiguration!$Q$5:$Q$914,ProductionConfiguration!$B$5:$B$914,C19,ProductionConfiguration!$I$5:$I$914,L19),SUMIFS(ProductionConfiguration!$R$5:$R$914,ProductionConfiguration!$B$5:$B$914,C19,ProductionConfiguration!$I$5:$I$914,L19))),0))))</x:f>
        <x:v>30</x:v>
      </x:c>
      <x:c r="T19" t="n">
        <x:f>IF(B19="","",IFERROR(S19/R19,0))</x:f>
        <x:v>1</x:v>
      </x:c>
      <x:c r="U19" t="n">
        <x:f>IF(B19="","",Q19*T19)</x:f>
        <x:v>0.69</x:v>
      </x:c>
      <x:c r="V19" t="n">
        <x:f>IF(C19="","",SUMIF(DailyProduction!$Q$5:$Q$100,C19,DailyProduction!$J$5:$J$100))</x:f>
        <x:v>14</x:v>
      </x:c>
      <x:c r="W19" t="n">
        <x:f>IF(B19="","",Q19*60*V19*S19)</x:f>
        <x:v>17388</x:v>
      </x:c>
      <x:c r="X19" t="str">
        <x:v>HistoricalSummary</x:v>
      </x:c>
      <x:c r="Y19" t="str">
        <x:f>IF(B19="","",IF(COUNTIF(JobChange!$S$5:$S$100,B19)=1,"OK","CHECK"))</x:f>
        <x:v>OK</x:v>
      </x:c>
      <x:c r="Z19" t="str">
        <x:f>IF(B19="","",IF(OR(AND(K19="Line",J19="L"&amp;E19),AND(K19="Section",J19="L"&amp;E19&amp;"-S"&amp;TEXT(L19,"00")),AND(K19="Cavity",J19="L"&amp;E19&amp;"-S"&amp;TEXT(L19,"00")&amp;"-C"&amp;M19)),"OK","CHECK"))</x:f>
        <x:v>OK</x:v>
      </x:c>
      <x:c r="AA19" t="str">
        <x:f>IF(B19="","",IF(AND(Q19&gt;0,OR(AND(O19="",P19=""),AND(O19&lt;&gt;"",P19&lt;&gt;"",P19&gt;=O19,ABS(Q19-((P19-O19)*24))&lt;=0.01))),"OK","CHECK"))</x:f>
        <x:v>OK</x:v>
      </x:c>
      <x:c r="AB19" t="str">
        <x:f>IF(B19="","",IF(AND(Y19="OK",Z19="OK",AA19="OK",R19&gt;0,S19&gt;0),"OK","CHECK"))</x:f>
        <x:v>OK</x:v>
      </x:c>
    </x:row>
    <x:row r="20">
      <x:c r="A20" t="str">
        <x:v>JCI-000016</x:v>
      </x:c>
      <x:c r="B20" t="str">
        <x:v>JC-KG01-L23-20251022-AM-ORD-2025-00092-ORD-2025-00093</x:v>
      </x:c>
      <x:c r="C20" t="str">
        <x:v>PE-KG01-L23-20251022-AM-ORD-2025-00093</x:v>
      </x:c>
      <x:c r="D20" t="str">
        <x:v>KG01</x:v>
      </x:c>
      <x:c r="E20" t="n">
        <x:v>23</x:v>
      </x:c>
      <x:c r="F20" t="n">
        <x:v>45952</x:v>
      </x:c>
      <x:c r="G20" t="str">
        <x:v>AM</x:v>
      </x:c>
      <x:c r="H20" t="str">
        <x:v>ORD-2025-00093</x:v>
      </x:c>
      <x:c r="I20" t="str">
        <x:v>T1</x:v>
      </x:c>
      <x:c r="J20" t="str">
        <x:v>L23</x:v>
      </x:c>
      <x:c r="K20" t="str">
        <x:v>Line</x:v>
      </x:c>
      <x:c r="L20"/>
      <x:c r="M20"/>
      <x:c r="N20" t="str">
        <x:v>Historical summary</x:v>
      </x:c>
      <x:c r="O20"/>
      <x:c r="P20"/>
      <x:c r="Q20" t="n">
        <x:v>2.73</x:v>
      </x:c>
      <x:c r="R20" t="n">
        <x:f>IF(B20="","",SUMIF(ProductionConfiguration!$B$5:$B$914,C20,ProductionConfiguration!$S$5:$S$914))</x:f>
        <x:v>24</x:v>
      </x:c>
      <x:c r="S20" t="n">
        <x:f>IF(B20="","",IF(K20="Line",R20,IF(K20="Section",SUMIFS(ProductionConfiguration!$S$5:$S$914,ProductionConfiguration!$B$5:$B$914,C20,ProductionConfiguration!$I$5:$I$914,L20),IF(K20="Cavity",IF(M20=1,SUMIFS(ProductionConfiguration!$P$5:$P$914,ProductionConfiguration!$B$5:$B$914,C20,ProductionConfiguration!$I$5:$I$914,L20),IF(M20=2,SUMIFS(ProductionConfiguration!$Q$5:$Q$914,ProductionConfiguration!$B$5:$B$914,C20,ProductionConfiguration!$I$5:$I$914,L20),SUMIFS(ProductionConfiguration!$R$5:$R$914,ProductionConfiguration!$B$5:$B$914,C20,ProductionConfiguration!$I$5:$I$914,L20))),0))))</x:f>
        <x:v>24</x:v>
      </x:c>
      <x:c r="T20" t="n">
        <x:f>IF(B20="","",IFERROR(S20/R20,0))</x:f>
        <x:v>1</x:v>
      </x:c>
      <x:c r="U20" t="n">
        <x:f>IF(B20="","",Q20*T20)</x:f>
        <x:v>2.73</x:v>
      </x:c>
      <x:c r="V20" t="n">
        <x:f>IF(C20="","",SUMIF(DailyProduction!$Q$5:$Q$100,C20,DailyProduction!$J$5:$J$100))</x:f>
        <x:v>9</x:v>
      </x:c>
      <x:c r="W20" t="n">
        <x:f>IF(B20="","",Q20*60*V20*S20)</x:f>
        <x:v>35380.8</x:v>
      </x:c>
      <x:c r="X20" t="str">
        <x:v>HistoricalSummary</x:v>
      </x:c>
      <x:c r="Y20" t="str">
        <x:f>IF(B20="","",IF(COUNTIF(JobChange!$S$5:$S$100,B20)=1,"OK","CHECK"))</x:f>
        <x:v>OK</x:v>
      </x:c>
      <x:c r="Z20" t="str">
        <x:f>IF(B20="","",IF(OR(AND(K20="Line",J20="L"&amp;E20),AND(K20="Section",J20="L"&amp;E20&amp;"-S"&amp;TEXT(L20,"00")),AND(K20="Cavity",J20="L"&amp;E20&amp;"-S"&amp;TEXT(L20,"00")&amp;"-C"&amp;M20)),"OK","CHECK"))</x:f>
        <x:v>OK</x:v>
      </x:c>
      <x:c r="AA20" t="str">
        <x:f>IF(B20="","",IF(AND(Q20&gt;0,OR(AND(O20="",P20=""),AND(O20&lt;&gt;"",P20&lt;&gt;"",P20&gt;=O20,ABS(Q20-((P20-O20)*24))&lt;=0.01))),"OK","CHECK"))</x:f>
        <x:v>OK</x:v>
      </x:c>
      <x:c r="AB20" t="str">
        <x:f>IF(B20="","",IF(AND(Y20="OK",Z20="OK",AA20="OK",R20&gt;0,S20&gt;0),"OK","CHECK"))</x:f>
        <x:v>OK</x:v>
      </x:c>
    </x:row>
    <x:row r="21">
      <x:c r="A21" t="str">
        <x:v>JCI-000017</x:v>
      </x:c>
      <x:c r="B21" t="str">
        <x:v>JC-KG01-L23-20251022-AM-ORD-2025-00092-ORD-2025-00093</x:v>
      </x:c>
      <x:c r="C21" t="str">
        <x:v>PE-KG01-L23-20251022-AM-ORD-2025-00093</x:v>
      </x:c>
      <x:c r="D21" t="str">
        <x:v>KG01</x:v>
      </x:c>
      <x:c r="E21" t="n">
        <x:v>23</x:v>
      </x:c>
      <x:c r="F21" t="n">
        <x:v>45952</x:v>
      </x:c>
      <x:c r="G21" t="str">
        <x:v>AM</x:v>
      </x:c>
      <x:c r="H21" t="str">
        <x:v>ORD-2025-00093</x:v>
      </x:c>
      <x:c r="I21" t="str">
        <x:v>T2</x:v>
      </x:c>
      <x:c r="J21" t="str">
        <x:v>L23</x:v>
      </x:c>
      <x:c r="K21" t="str">
        <x:v>Line</x:v>
      </x:c>
      <x:c r="L21"/>
      <x:c r="M21"/>
      <x:c r="N21" t="str">
        <x:v>Historical summary</x:v>
      </x:c>
      <x:c r="O21"/>
      <x:c r="P21"/>
      <x:c r="Q21" t="n">
        <x:v>1.06</x:v>
      </x:c>
      <x:c r="R21" t="n">
        <x:f>IF(B21="","",SUMIF(ProductionConfiguration!$B$5:$B$914,C21,ProductionConfiguration!$S$5:$S$914))</x:f>
        <x:v>24</x:v>
      </x:c>
      <x:c r="S21" t="n">
        <x:f>IF(B21="","",IF(K21="Line",R21,IF(K21="Section",SUMIFS(ProductionConfiguration!$S$5:$S$914,ProductionConfiguration!$B$5:$B$914,C21,ProductionConfiguration!$I$5:$I$914,L21),IF(K21="Cavity",IF(M21=1,SUMIFS(ProductionConfiguration!$P$5:$P$914,ProductionConfiguration!$B$5:$B$914,C21,ProductionConfiguration!$I$5:$I$914,L21),IF(M21=2,SUMIFS(ProductionConfiguration!$Q$5:$Q$914,ProductionConfiguration!$B$5:$B$914,C21,ProductionConfiguration!$I$5:$I$914,L21),SUMIFS(ProductionConfiguration!$R$5:$R$914,ProductionConfiguration!$B$5:$B$914,C21,ProductionConfiguration!$I$5:$I$914,L21))),0))))</x:f>
        <x:v>24</x:v>
      </x:c>
      <x:c r="T21" t="n">
        <x:f>IF(B21="","",IFERROR(S21/R21,0))</x:f>
        <x:v>1</x:v>
      </x:c>
      <x:c r="U21" t="n">
        <x:f>IF(B21="","",Q21*T21)</x:f>
        <x:v>1.06</x:v>
      </x:c>
      <x:c r="V21" t="n">
        <x:f>IF(C21="","",SUMIF(DailyProduction!$Q$5:$Q$100,C21,DailyProduction!$J$5:$J$100))</x:f>
        <x:v>9</x:v>
      </x:c>
      <x:c r="W21" t="n">
        <x:f>IF(B21="","",Q21*60*V21*S21)</x:f>
        <x:v>13737.599999999999</x:v>
      </x:c>
      <x:c r="X21" t="str">
        <x:v>HistoricalSummary</x:v>
      </x:c>
      <x:c r="Y21" t="str">
        <x:f>IF(B21="","",IF(COUNTIF(JobChange!$S$5:$S$100,B21)=1,"OK","CHECK"))</x:f>
        <x:v>OK</x:v>
      </x:c>
      <x:c r="Z21" t="str">
        <x:f>IF(B21="","",IF(OR(AND(K21="Line",J21="L"&amp;E21),AND(K21="Section",J21="L"&amp;E21&amp;"-S"&amp;TEXT(L21,"00")),AND(K21="Cavity",J21="L"&amp;E21&amp;"-S"&amp;TEXT(L21,"00")&amp;"-C"&amp;M21)),"OK","CHECK"))</x:f>
        <x:v>OK</x:v>
      </x:c>
      <x:c r="AA21" t="str">
        <x:f>IF(B21="","",IF(AND(Q21&gt;0,OR(AND(O21="",P21=""),AND(O21&lt;&gt;"",P21&lt;&gt;"",P21&gt;=O21,ABS(Q21-((P21-O21)*24))&lt;=0.01))),"OK","CHECK"))</x:f>
        <x:v>OK</x:v>
      </x:c>
      <x:c r="AB21" t="str">
        <x:f>IF(B21="","",IF(AND(Y21="OK",Z21="OK",AA21="OK",R21&gt;0,S21&gt;0),"OK","CHECK"))</x:f>
        <x:v>OK</x:v>
      </x:c>
    </x:row>
    <x:row r="22">
      <x:c r="A22" t="str">
        <x:v>JCI-000018</x:v>
      </x:c>
      <x:c r="B22" t="str">
        <x:v>JC-KG01-L23-20251022-AM-ORD-2025-00092-ORD-2025-00093</x:v>
      </x:c>
      <x:c r="C22" t="str">
        <x:v>PE-KG01-L23-20251022-AM-ORD-2025-00093</x:v>
      </x:c>
      <x:c r="D22" t="str">
        <x:v>KG01</x:v>
      </x:c>
      <x:c r="E22" t="n">
        <x:v>23</x:v>
      </x:c>
      <x:c r="F22" t="n">
        <x:v>45952</x:v>
      </x:c>
      <x:c r="G22" t="str">
        <x:v>AM</x:v>
      </x:c>
      <x:c r="H22" t="str">
        <x:v>ORD-2025-00093</x:v>
      </x:c>
      <x:c r="I22" t="str">
        <x:v>Trial</x:v>
      </x:c>
      <x:c r="J22" t="str">
        <x:v>L23</x:v>
      </x:c>
      <x:c r="K22" t="str">
        <x:v>Line</x:v>
      </x:c>
      <x:c r="L22"/>
      <x:c r="M22"/>
      <x:c r="N22" t="str">
        <x:v>Historical summary</x:v>
      </x:c>
      <x:c r="O22"/>
      <x:c r="P22"/>
      <x:c r="Q22" t="n">
        <x:v>0.49</x:v>
      </x:c>
      <x:c r="R22" t="n">
        <x:f>IF(B22="","",SUMIF(ProductionConfiguration!$B$5:$B$914,C22,ProductionConfiguration!$S$5:$S$914))</x:f>
        <x:v>24</x:v>
      </x:c>
      <x:c r="S22" t="n">
        <x:f>IF(B22="","",IF(K22="Line",R22,IF(K22="Section",SUMIFS(ProductionConfiguration!$S$5:$S$914,ProductionConfiguration!$B$5:$B$914,C22,ProductionConfiguration!$I$5:$I$914,L22),IF(K22="Cavity",IF(M22=1,SUMIFS(ProductionConfiguration!$P$5:$P$914,ProductionConfiguration!$B$5:$B$914,C22,ProductionConfiguration!$I$5:$I$914,L22),IF(M22=2,SUMIFS(ProductionConfiguration!$Q$5:$Q$914,ProductionConfiguration!$B$5:$B$914,C22,ProductionConfiguration!$I$5:$I$914,L22),SUMIFS(ProductionConfiguration!$R$5:$R$914,ProductionConfiguration!$B$5:$B$914,C22,ProductionConfiguration!$I$5:$I$914,L22))),0))))</x:f>
        <x:v>24</x:v>
      </x:c>
      <x:c r="T22" t="n">
        <x:f>IF(B22="","",IFERROR(S22/R22,0))</x:f>
        <x:v>1</x:v>
      </x:c>
      <x:c r="U22" t="n">
        <x:f>IF(B22="","",Q22*T22)</x:f>
        <x:v>0.49</x:v>
      </x:c>
      <x:c r="V22" t="n">
        <x:f>IF(C22="","",SUMIF(DailyProduction!$Q$5:$Q$100,C22,DailyProduction!$J$5:$J$100))</x:f>
        <x:v>9</x:v>
      </x:c>
      <x:c r="W22" t="n">
        <x:f>IF(B22="","",Q22*60*V22*S22)</x:f>
        <x:v>6350.4</x:v>
      </x:c>
      <x:c r="X22" t="str">
        <x:v>HistoricalSummary</x:v>
      </x:c>
      <x:c r="Y22" t="str">
        <x:f>IF(B22="","",IF(COUNTIF(JobChange!$S$5:$S$100,B22)=1,"OK","CHECK"))</x:f>
        <x:v>OK</x:v>
      </x:c>
      <x:c r="Z22" t="str">
        <x:f>IF(B22="","",IF(OR(AND(K22="Line",J22="L"&amp;E22),AND(K22="Section",J22="L"&amp;E22&amp;"-S"&amp;TEXT(L22,"00")),AND(K22="Cavity",J22="L"&amp;E22&amp;"-S"&amp;TEXT(L22,"00")&amp;"-C"&amp;M22)),"OK","CHECK"))</x:f>
        <x:v>OK</x:v>
      </x:c>
      <x:c r="AA22" t="str">
        <x:f>IF(B22="","",IF(AND(Q22&gt;0,OR(AND(O22="",P22=""),AND(O22&lt;&gt;"",P22&lt;&gt;"",P22&gt;=O22,ABS(Q22-((P22-O22)*24))&lt;=0.01))),"OK","CHECK"))</x:f>
        <x:v>OK</x:v>
      </x:c>
      <x:c r="AB22" t="str">
        <x:f>IF(B22="","",IF(AND(Y22="OK",Z22="OK",AA22="OK",R22&gt;0,S22&gt;0),"OK","CHECK"))</x:f>
        <x:v>OK</x:v>
      </x:c>
    </x:row>
    <x:row r="23">
      <x:c r="A23" t="str">
        <x:v>JCI-000019</x:v>
      </x:c>
      <x:c r="B23" t="str">
        <x:v>JC-KG01-L23-20251022-AM-ORD-2025-00092-ORD-2025-00093</x:v>
      </x:c>
      <x:c r="C23" t="str">
        <x:v>PE-KG01-L23-20251022-AM-ORD-2025-00093</x:v>
      </x:c>
      <x:c r="D23" t="str">
        <x:v>KG01</x:v>
      </x:c>
      <x:c r="E23" t="n">
        <x:v>23</x:v>
      </x:c>
      <x:c r="F23" t="n">
        <x:v>45952</x:v>
      </x:c>
      <x:c r="G23" t="str">
        <x:v>AM</x:v>
      </x:c>
      <x:c r="H23" t="str">
        <x:v>ORD-2025-00093</x:v>
      </x:c>
      <x:c r="I23" t="str">
        <x:v>Palletizer</x:v>
      </x:c>
      <x:c r="J23" t="str">
        <x:v>L23</x:v>
      </x:c>
      <x:c r="K23" t="str">
        <x:v>Line</x:v>
      </x:c>
      <x:c r="L23"/>
      <x:c r="M23"/>
      <x:c r="N23" t="str">
        <x:v>Palletizer Robot Fault</x:v>
      </x:c>
      <x:c r="O23"/>
      <x:c r="P23"/>
      <x:c r="Q23" t="n">
        <x:v>0.4</x:v>
      </x:c>
      <x:c r="R23" t="n">
        <x:f>IF(B23="","",SUMIF(ProductionConfiguration!$B$5:$B$914,C23,ProductionConfiguration!$S$5:$S$914))</x:f>
        <x:v>24</x:v>
      </x:c>
      <x:c r="S23" t="n">
        <x:f>IF(B23="","",IF(K23="Line",R23,IF(K23="Section",SUMIFS(ProductionConfiguration!$S$5:$S$914,ProductionConfiguration!$B$5:$B$914,C23,ProductionConfiguration!$I$5:$I$914,L23),IF(K23="Cavity",IF(M23=1,SUMIFS(ProductionConfiguration!$P$5:$P$914,ProductionConfiguration!$B$5:$B$914,C23,ProductionConfiguration!$I$5:$I$914,L23),IF(M23=2,SUMIFS(ProductionConfiguration!$Q$5:$Q$914,ProductionConfiguration!$B$5:$B$914,C23,ProductionConfiguration!$I$5:$I$914,L23),SUMIFS(ProductionConfiguration!$R$5:$R$914,ProductionConfiguration!$B$5:$B$914,C23,ProductionConfiguration!$I$5:$I$914,L23))),0))))</x:f>
        <x:v>24</x:v>
      </x:c>
      <x:c r="T23" t="n">
        <x:f>IF(B23="","",IFERROR(S23/R23,0))</x:f>
        <x:v>1</x:v>
      </x:c>
      <x:c r="U23" t="n">
        <x:f>IF(B23="","",Q23*T23)</x:f>
        <x:v>0.4</x:v>
      </x:c>
      <x:c r="V23" t="n">
        <x:f>IF(C23="","",SUMIF(DailyProduction!$Q$5:$Q$100,C23,DailyProduction!$J$5:$J$100))</x:f>
        <x:v>9</x:v>
      </x:c>
      <x:c r="W23" t="n">
        <x:f>IF(B23="","",Q23*60*V23*S23)</x:f>
        <x:v>5184</x:v>
      </x:c>
      <x:c r="X23" t="str">
        <x:v>HistoricalSummary</x:v>
      </x:c>
      <x:c r="Y23" t="str">
        <x:f>IF(B23="","",IF(COUNTIF(JobChange!$S$5:$S$100,B23)=1,"OK","CHECK"))</x:f>
        <x:v>OK</x:v>
      </x:c>
      <x:c r="Z23" t="str">
        <x:f>IF(B23="","",IF(OR(AND(K23="Line",J23="L"&amp;E23),AND(K23="Section",J23="L"&amp;E23&amp;"-S"&amp;TEXT(L23,"00")),AND(K23="Cavity",J23="L"&amp;E23&amp;"-S"&amp;TEXT(L23,"00")&amp;"-C"&amp;M23)),"OK","CHECK"))</x:f>
        <x:v>OK</x:v>
      </x:c>
      <x:c r="AA23" t="str">
        <x:f>IF(B23="","",IF(AND(Q23&gt;0,OR(AND(O23="",P23=""),AND(O23&lt;&gt;"",P23&lt;&gt;"",P23&gt;=O23,ABS(Q23-((P23-O23)*24))&lt;=0.01))),"OK","CHECK"))</x:f>
        <x:v>OK</x:v>
      </x:c>
      <x:c r="AB23" t="str">
        <x:f>IF(B23="","",IF(AND(Y23="OK",Z23="OK",AA23="OK",R23&gt;0,S23&gt;0),"OK","CHECK"))</x:f>
        <x:v>OK</x:v>
      </x:c>
    </x:row>
    <x:row r="24">
      <x:c r="A24" t="str">
        <x:v>JCI-000020</x:v>
      </x:c>
      <x:c r="B24" t="str">
        <x:v>JC-KG01-L23-20251026-AM-ORD-2025-00093-ORD-2025-00094</x:v>
      </x:c>
      <x:c r="C24" t="str">
        <x:v>PE-KG01-L23-20251026-AM-ORD-2025-00094</x:v>
      </x:c>
      <x:c r="D24" t="str">
        <x:v>KG01</x:v>
      </x:c>
      <x:c r="E24" t="n">
        <x:v>23</x:v>
      </x:c>
      <x:c r="F24" t="n">
        <x:v>45956</x:v>
      </x:c>
      <x:c r="G24" t="str">
        <x:v>AM</x:v>
      </x:c>
      <x:c r="H24" t="str">
        <x:v>ORD-2025-00094</x:v>
      </x:c>
      <x:c r="I24" t="str">
        <x:v>T1</x:v>
      </x:c>
      <x:c r="J24" t="str">
        <x:v>L23</x:v>
      </x:c>
      <x:c r="K24" t="str">
        <x:v>Line</x:v>
      </x:c>
      <x:c r="L24"/>
      <x:c r="M24"/>
      <x:c r="N24" t="str">
        <x:v>Historical summary</x:v>
      </x:c>
      <x:c r="O24"/>
      <x:c r="P24"/>
      <x:c r="Q24" t="n">
        <x:v>6.68</x:v>
      </x:c>
      <x:c r="R24" t="n">
        <x:f>IF(B24="","",SUMIF(ProductionConfiguration!$B$5:$B$914,C24,ProductionConfiguration!$S$5:$S$914))</x:f>
        <x:v>24</x:v>
      </x:c>
      <x:c r="S24" t="n">
        <x:f>IF(B24="","",IF(K24="Line",R24,IF(K24="Section",SUMIFS(ProductionConfiguration!$S$5:$S$914,ProductionConfiguration!$B$5:$B$914,C24,ProductionConfiguration!$I$5:$I$914,L24),IF(K24="Cavity",IF(M24=1,SUMIFS(ProductionConfiguration!$P$5:$P$914,ProductionConfiguration!$B$5:$B$914,C24,ProductionConfiguration!$I$5:$I$914,L24),IF(M24=2,SUMIFS(ProductionConfiguration!$Q$5:$Q$914,ProductionConfiguration!$B$5:$B$914,C24,ProductionConfiguration!$I$5:$I$914,L24),SUMIFS(ProductionConfiguration!$R$5:$R$914,ProductionConfiguration!$B$5:$B$914,C24,ProductionConfiguration!$I$5:$I$914,L24))),0))))</x:f>
        <x:v>24</x:v>
      </x:c>
      <x:c r="T24" t="n">
        <x:f>IF(B24="","",IFERROR(S24/R24,0))</x:f>
        <x:v>1</x:v>
      </x:c>
      <x:c r="U24" t="n">
        <x:f>IF(B24="","",Q24*T24)</x:f>
        <x:v>6.68</x:v>
      </x:c>
      <x:c r="V24" t="n">
        <x:f>IF(C24="","",SUMIF(DailyProduction!$Q$5:$Q$100,C24,DailyProduction!$J$5:$J$100))</x:f>
        <x:v>10</x:v>
      </x:c>
      <x:c r="W24" t="n">
        <x:f>IF(B24="","",Q24*60*V24*S24)</x:f>
        <x:v>96191.99999999999</x:v>
      </x:c>
      <x:c r="X24" t="str">
        <x:v>HistoricalSummary</x:v>
      </x:c>
      <x:c r="Y24" t="str">
        <x:f>IF(B24="","",IF(COUNTIF(JobChange!$S$5:$S$100,B24)=1,"OK","CHECK"))</x:f>
        <x:v>OK</x:v>
      </x:c>
      <x:c r="Z24" t="str">
        <x:f>IF(B24="","",IF(OR(AND(K24="Line",J24="L"&amp;E24),AND(K24="Section",J24="L"&amp;E24&amp;"-S"&amp;TEXT(L24,"00")),AND(K24="Cavity",J24="L"&amp;E24&amp;"-S"&amp;TEXT(L24,"00")&amp;"-C"&amp;M24)),"OK","CHECK"))</x:f>
        <x:v>OK</x:v>
      </x:c>
      <x:c r="AA24" t="str">
        <x:f>IF(B24="","",IF(AND(Q24&gt;0,OR(AND(O24="",P24=""),AND(O24&lt;&gt;"",P24&lt;&gt;"",P24&gt;=O24,ABS(Q24-((P24-O24)*24))&lt;=0.01))),"OK","CHECK"))</x:f>
        <x:v>OK</x:v>
      </x:c>
      <x:c r="AB24" t="str">
        <x:f>IF(B24="","",IF(AND(Y24="OK",Z24="OK",AA24="OK",R24&gt;0,S24&gt;0),"OK","CHECK"))</x:f>
        <x:v>OK</x:v>
      </x:c>
    </x:row>
    <x:row r="25">
      <x:c r="A25" t="str">
        <x:v>JCI-000021</x:v>
      </x:c>
      <x:c r="B25" t="str">
        <x:v>JC-KG01-L23-20251026-AM-ORD-2025-00093-ORD-2025-00094</x:v>
      </x:c>
      <x:c r="C25" t="str">
        <x:v>PE-KG01-L23-20251026-AM-ORD-2025-00094</x:v>
      </x:c>
      <x:c r="D25" t="str">
        <x:v>KG01</x:v>
      </x:c>
      <x:c r="E25" t="n">
        <x:v>23</x:v>
      </x:c>
      <x:c r="F25" t="n">
        <x:v>45956</x:v>
      </x:c>
      <x:c r="G25" t="str">
        <x:v>AM</x:v>
      </x:c>
      <x:c r="H25" t="str">
        <x:v>ORD-2025-00094</x:v>
      </x:c>
      <x:c r="I25" t="str">
        <x:v>T2</x:v>
      </x:c>
      <x:c r="J25" t="str">
        <x:v>L23</x:v>
      </x:c>
      <x:c r="K25" t="str">
        <x:v>Line</x:v>
      </x:c>
      <x:c r="L25"/>
      <x:c r="M25"/>
      <x:c r="N25" t="str">
        <x:v>Historical summary</x:v>
      </x:c>
      <x:c r="O25"/>
      <x:c r="P25"/>
      <x:c r="Q25" t="n">
        <x:v>2.81</x:v>
      </x:c>
      <x:c r="R25" t="n">
        <x:f>IF(B25="","",SUMIF(ProductionConfiguration!$B$5:$B$914,C25,ProductionConfiguration!$S$5:$S$914))</x:f>
        <x:v>24</x:v>
      </x:c>
      <x:c r="S25" t="n">
        <x:f>IF(B25="","",IF(K25="Line",R25,IF(K25="Section",SUMIFS(ProductionConfiguration!$S$5:$S$914,ProductionConfiguration!$B$5:$B$914,C25,ProductionConfiguration!$I$5:$I$914,L25),IF(K25="Cavity",IF(M25=1,SUMIFS(ProductionConfiguration!$P$5:$P$914,ProductionConfiguration!$B$5:$B$914,C25,ProductionConfiguration!$I$5:$I$914,L25),IF(M25=2,SUMIFS(ProductionConfiguration!$Q$5:$Q$914,ProductionConfiguration!$B$5:$B$914,C25,ProductionConfiguration!$I$5:$I$914,L25),SUMIFS(ProductionConfiguration!$R$5:$R$914,ProductionConfiguration!$B$5:$B$914,C25,ProductionConfiguration!$I$5:$I$914,L25))),0))))</x:f>
        <x:v>24</x:v>
      </x:c>
      <x:c r="T25" t="n">
        <x:f>IF(B25="","",IFERROR(S25/R25,0))</x:f>
        <x:v>1</x:v>
      </x:c>
      <x:c r="U25" t="n">
        <x:f>IF(B25="","",Q25*T25)</x:f>
        <x:v>2.81</x:v>
      </x:c>
      <x:c r="V25" t="n">
        <x:f>IF(C25="","",SUMIF(DailyProduction!$Q$5:$Q$100,C25,DailyProduction!$J$5:$J$100))</x:f>
        <x:v>10</x:v>
      </x:c>
      <x:c r="W25" t="n">
        <x:f>IF(B25="","",Q25*60*V25*S25)</x:f>
        <x:v>40464</x:v>
      </x:c>
      <x:c r="X25" t="str">
        <x:v>HistoricalSummary</x:v>
      </x:c>
      <x:c r="Y25" t="str">
        <x:f>IF(B25="","",IF(COUNTIF(JobChange!$S$5:$S$100,B25)=1,"OK","CHECK"))</x:f>
        <x:v>OK</x:v>
      </x:c>
      <x:c r="Z25" t="str">
        <x:f>IF(B25="","",IF(OR(AND(K25="Line",J25="L"&amp;E25),AND(K25="Section",J25="L"&amp;E25&amp;"-S"&amp;TEXT(L25,"00")),AND(K25="Cavity",J25="L"&amp;E25&amp;"-S"&amp;TEXT(L25,"00")&amp;"-C"&amp;M25)),"OK","CHECK"))</x:f>
        <x:v>OK</x:v>
      </x:c>
      <x:c r="AA25" t="str">
        <x:f>IF(B25="","",IF(AND(Q25&gt;0,OR(AND(O25="",P25=""),AND(O25&lt;&gt;"",P25&lt;&gt;"",P25&gt;=O25,ABS(Q25-((P25-O25)*24))&lt;=0.01))),"OK","CHECK"))</x:f>
        <x:v>OK</x:v>
      </x:c>
      <x:c r="AB25" t="str">
        <x:f>IF(B25="","",IF(AND(Y25="OK",Z25="OK",AA25="OK",R25&gt;0,S25&gt;0),"OK","CHECK"))</x:f>
        <x:v>OK</x:v>
      </x:c>
    </x:row>
    <x:row r="26">
      <x:c r="A26" t="str">
        <x:v>JCI-000022</x:v>
      </x:c>
      <x:c r="B26" t="str">
        <x:v>JC-KG01-L23-20251026-AM-ORD-2025-00093-ORD-2025-00094</x:v>
      </x:c>
      <x:c r="C26" t="str">
        <x:v>PE-KG01-L23-20251026-AM-ORD-2025-00094</x:v>
      </x:c>
      <x:c r="D26" t="str">
        <x:v>KG01</x:v>
      </x:c>
      <x:c r="E26" t="n">
        <x:v>23</x:v>
      </x:c>
      <x:c r="F26" t="n">
        <x:v>45956</x:v>
      </x:c>
      <x:c r="G26" t="str">
        <x:v>AM</x:v>
      </x:c>
      <x:c r="H26" t="str">
        <x:v>ORD-2025-00094</x:v>
      </x:c>
      <x:c r="I26" t="str">
        <x:v>Trial</x:v>
      </x:c>
      <x:c r="J26" t="str">
        <x:v>L23</x:v>
      </x:c>
      <x:c r="K26" t="str">
        <x:v>Line</x:v>
      </x:c>
      <x:c r="L26"/>
      <x:c r="M26"/>
      <x:c r="N26" t="str">
        <x:v>Historical summary</x:v>
      </x:c>
      <x:c r="O26"/>
      <x:c r="P26"/>
      <x:c r="Q26" t="n">
        <x:v>0.35</x:v>
      </x:c>
      <x:c r="R26" t="n">
        <x:f>IF(B26="","",SUMIF(ProductionConfiguration!$B$5:$B$914,C26,ProductionConfiguration!$S$5:$S$914))</x:f>
        <x:v>24</x:v>
      </x:c>
      <x:c r="S26" t="n">
        <x:f>IF(B26="","",IF(K26="Line",R26,IF(K26="Section",SUMIFS(ProductionConfiguration!$S$5:$S$914,ProductionConfiguration!$B$5:$B$914,C26,ProductionConfiguration!$I$5:$I$914,L26),IF(K26="Cavity",IF(M26=1,SUMIFS(ProductionConfiguration!$P$5:$P$914,ProductionConfiguration!$B$5:$B$914,C26,ProductionConfiguration!$I$5:$I$914,L26),IF(M26=2,SUMIFS(ProductionConfiguration!$Q$5:$Q$914,ProductionConfiguration!$B$5:$B$914,C26,ProductionConfiguration!$I$5:$I$914,L26),SUMIFS(ProductionConfiguration!$R$5:$R$914,ProductionConfiguration!$B$5:$B$914,C26,ProductionConfiguration!$I$5:$I$914,L26))),0))))</x:f>
        <x:v>24</x:v>
      </x:c>
      <x:c r="T26" t="n">
        <x:f>IF(B26="","",IFERROR(S26/R26,0))</x:f>
        <x:v>1</x:v>
      </x:c>
      <x:c r="U26" t="n">
        <x:f>IF(B26="","",Q26*T26)</x:f>
        <x:v>0.35</x:v>
      </x:c>
      <x:c r="V26" t="n">
        <x:f>IF(C26="","",SUMIF(DailyProduction!$Q$5:$Q$100,C26,DailyProduction!$J$5:$J$100))</x:f>
        <x:v>10</x:v>
      </x:c>
      <x:c r="W26" t="n">
        <x:f>IF(B26="","",Q26*60*V26*S26)</x:f>
        <x:v>5040</x:v>
      </x:c>
      <x:c r="X26" t="str">
        <x:v>HistoricalSummary</x:v>
      </x:c>
      <x:c r="Y26" t="str">
        <x:f>IF(B26="","",IF(COUNTIF(JobChange!$S$5:$S$100,B26)=1,"OK","CHECK"))</x:f>
        <x:v>OK</x:v>
      </x:c>
      <x:c r="Z26" t="str">
        <x:f>IF(B26="","",IF(OR(AND(K26="Line",J26="L"&amp;E26),AND(K26="Section",J26="L"&amp;E26&amp;"-S"&amp;TEXT(L26,"00")),AND(K26="Cavity",J26="L"&amp;E26&amp;"-S"&amp;TEXT(L26,"00")&amp;"-C"&amp;M26)),"OK","CHECK"))</x:f>
        <x:v>OK</x:v>
      </x:c>
      <x:c r="AA26" t="str">
        <x:f>IF(B26="","",IF(AND(Q26&gt;0,OR(AND(O26="",P26=""),AND(O26&lt;&gt;"",P26&lt;&gt;"",P26&gt;=O26,ABS(Q26-((P26-O26)*24))&lt;=0.01))),"OK","CHECK"))</x:f>
        <x:v>OK</x:v>
      </x:c>
      <x:c r="AB26" t="str">
        <x:f>IF(B26="","",IF(AND(Y26="OK",Z26="OK",AA26="OK",R26&gt;0,S26&gt;0),"OK","CHECK"))</x:f>
        <x:v>OK</x:v>
      </x:c>
    </x:row>
    <x:row r="27">
      <x:c r="A27" t="str">
        <x:v>JCI-000023</x:v>
      </x:c>
      <x:c r="B27" t="str">
        <x:v>JC-KG01-L23-20251026-AM-ORD-2025-00093-ORD-2025-00094</x:v>
      </x:c>
      <x:c r="C27" t="str">
        <x:v>PE-KG01-L23-20251026-AM-ORD-2025-00094</x:v>
      </x:c>
      <x:c r="D27" t="str">
        <x:v>KG01</x:v>
      </x:c>
      <x:c r="E27" t="n">
        <x:v>23</x:v>
      </x:c>
      <x:c r="F27" t="n">
        <x:v>45956</x:v>
      </x:c>
      <x:c r="G27" t="str">
        <x:v>AM</x:v>
      </x:c>
      <x:c r="H27" t="str">
        <x:v>ORD-2025-00094</x:v>
      </x:c>
      <x:c r="I27" t="str">
        <x:v>HE</x:v>
      </x:c>
      <x:c r="J27" t="str">
        <x:v>L23</x:v>
      </x:c>
      <x:c r="K27" t="str">
        <x:v>Line</x:v>
      </x:c>
      <x:c r="L27"/>
      <x:c r="M27"/>
      <x:c r="N27" t="str">
        <x:v>Gob Distributor Jam</x:v>
      </x:c>
      <x:c r="O27"/>
      <x:c r="P27"/>
      <x:c r="Q27" t="n">
        <x:v>0.47</x:v>
      </x:c>
      <x:c r="R27" t="n">
        <x:f>IF(B27="","",SUMIF(ProductionConfiguration!$B$5:$B$914,C27,ProductionConfiguration!$S$5:$S$914))</x:f>
        <x:v>24</x:v>
      </x:c>
      <x:c r="S27" t="n">
        <x:f>IF(B27="","",IF(K27="Line",R27,IF(K27="Section",SUMIFS(ProductionConfiguration!$S$5:$S$914,ProductionConfiguration!$B$5:$B$914,C27,ProductionConfiguration!$I$5:$I$914,L27),IF(K27="Cavity",IF(M27=1,SUMIFS(ProductionConfiguration!$P$5:$P$914,ProductionConfiguration!$B$5:$B$914,C27,ProductionConfiguration!$I$5:$I$914,L27),IF(M27=2,SUMIFS(ProductionConfiguration!$Q$5:$Q$914,ProductionConfiguration!$B$5:$B$914,C27,ProductionConfiguration!$I$5:$I$914,L27),SUMIFS(ProductionConfiguration!$R$5:$R$914,ProductionConfiguration!$B$5:$B$914,C27,ProductionConfiguration!$I$5:$I$914,L27))),0))))</x:f>
        <x:v>24</x:v>
      </x:c>
      <x:c r="T27" t="n">
        <x:f>IF(B27="","",IFERROR(S27/R27,0))</x:f>
        <x:v>1</x:v>
      </x:c>
      <x:c r="U27" t="n">
        <x:f>IF(B27="","",Q27*T27)</x:f>
        <x:v>0.47</x:v>
      </x:c>
      <x:c r="V27" t="n">
        <x:f>IF(C27="","",SUMIF(DailyProduction!$Q$5:$Q$100,C27,DailyProduction!$J$5:$J$100))</x:f>
        <x:v>10</x:v>
      </x:c>
      <x:c r="W27" t="n">
        <x:f>IF(B27="","",Q27*60*V27*S27)</x:f>
        <x:v>6768</x:v>
      </x:c>
      <x:c r="X27" t="str">
        <x:v>HistoricalSummary</x:v>
      </x:c>
      <x:c r="Y27" t="str">
        <x:f>IF(B27="","",IF(COUNTIF(JobChange!$S$5:$S$100,B27)=1,"OK","CHECK"))</x:f>
        <x:v>OK</x:v>
      </x:c>
      <x:c r="Z27" t="str">
        <x:f>IF(B27="","",IF(OR(AND(K27="Line",J27="L"&amp;E27),AND(K27="Section",J27="L"&amp;E27&amp;"-S"&amp;TEXT(L27,"00")),AND(K27="Cavity",J27="L"&amp;E27&amp;"-S"&amp;TEXT(L27,"00")&amp;"-C"&amp;M27)),"OK","CHECK"))</x:f>
        <x:v>OK</x:v>
      </x:c>
      <x:c r="AA27" t="str">
        <x:f>IF(B27="","",IF(AND(Q27&gt;0,OR(AND(O27="",P27=""),AND(O27&lt;&gt;"",P27&lt;&gt;"",P27&gt;=O27,ABS(Q27-((P27-O27)*24))&lt;=0.01))),"OK","CHECK"))</x:f>
        <x:v>OK</x:v>
      </x:c>
      <x:c r="AB27" t="str">
        <x:f>IF(B27="","",IF(AND(Y27="OK",Z27="OK",AA27="OK",R27&gt;0,S27&gt;0),"OK","CHECK"))</x:f>
        <x:v>OK</x:v>
      </x:c>
    </x:row>
    <x:row r="28">
      <x:c r="A28" t="str">
        <x:v>JCI-000024</x:v>
      </x:c>
      <x:c r="B28" t="str">
        <x:v>JC-KG01-L23-20251026-AM-ORD-2025-00093-ORD-2025-00094</x:v>
      </x:c>
      <x:c r="C28" t="str">
        <x:v>PE-KG01-L23-20251026-AM-ORD-2025-00094</x:v>
      </x:c>
      <x:c r="D28" t="str">
        <x:v>KG01</x:v>
      </x:c>
      <x:c r="E28" t="n">
        <x:v>23</x:v>
      </x:c>
      <x:c r="F28" t="n">
        <x:v>45956</x:v>
      </x:c>
      <x:c r="G28" t="str">
        <x:v>AM</x:v>
      </x:c>
      <x:c r="H28" t="str">
        <x:v>ORD-2025-00094</x:v>
      </x:c>
      <x:c r="I28" t="str">
        <x:v>CE</x:v>
      </x:c>
      <x:c r="J28" t="str">
        <x:v>L23</x:v>
      </x:c>
      <x:c r="K28" t="str">
        <x:v>Line</x:v>
      </x:c>
      <x:c r="L28"/>
      <x:c r="M28"/>
      <x:c r="N28" t="str">
        <x:v>Conveyor Speed Mismatch</x:v>
      </x:c>
      <x:c r="O28"/>
      <x:c r="P28"/>
      <x:c r="Q28" t="n">
        <x:v>0.39</x:v>
      </x:c>
      <x:c r="R28" t="n">
        <x:f>IF(B28="","",SUMIF(ProductionConfiguration!$B$5:$B$914,C28,ProductionConfiguration!$S$5:$S$914))</x:f>
        <x:v>24</x:v>
      </x:c>
      <x:c r="S28" t="n">
        <x:f>IF(B28="","",IF(K28="Line",R28,IF(K28="Section",SUMIFS(ProductionConfiguration!$S$5:$S$914,ProductionConfiguration!$B$5:$B$914,C28,ProductionConfiguration!$I$5:$I$914,L28),IF(K28="Cavity",IF(M28=1,SUMIFS(ProductionConfiguration!$P$5:$P$914,ProductionConfiguration!$B$5:$B$914,C28,ProductionConfiguration!$I$5:$I$914,L28),IF(M28=2,SUMIFS(ProductionConfiguration!$Q$5:$Q$914,ProductionConfiguration!$B$5:$B$914,C28,ProductionConfiguration!$I$5:$I$914,L28),SUMIFS(ProductionConfiguration!$R$5:$R$914,ProductionConfiguration!$B$5:$B$914,C28,ProductionConfiguration!$I$5:$I$914,L28))),0))))</x:f>
        <x:v>24</x:v>
      </x:c>
      <x:c r="T28" t="n">
        <x:f>IF(B28="","",IFERROR(S28/R28,0))</x:f>
        <x:v>1</x:v>
      </x:c>
      <x:c r="U28" t="n">
        <x:f>IF(B28="","",Q28*T28)</x:f>
        <x:v>0.39</x:v>
      </x:c>
      <x:c r="V28" t="n">
        <x:f>IF(C28="","",SUMIF(DailyProduction!$Q$5:$Q$100,C28,DailyProduction!$J$5:$J$100))</x:f>
        <x:v>10</x:v>
      </x:c>
      <x:c r="W28" t="n">
        <x:f>IF(B28="","",Q28*60*V28*S28)</x:f>
        <x:v>5616.000000000001</x:v>
      </x:c>
      <x:c r="X28" t="str">
        <x:v>HistoricalSummary</x:v>
      </x:c>
      <x:c r="Y28" t="str">
        <x:f>IF(B28="","",IF(COUNTIF(JobChange!$S$5:$S$100,B28)=1,"OK","CHECK"))</x:f>
        <x:v>OK</x:v>
      </x:c>
      <x:c r="Z28" t="str">
        <x:f>IF(B28="","",IF(OR(AND(K28="Line",J28="L"&amp;E28),AND(K28="Section",J28="L"&amp;E28&amp;"-S"&amp;TEXT(L28,"00")),AND(K28="Cavity",J28="L"&amp;E28&amp;"-S"&amp;TEXT(L28,"00")&amp;"-C"&amp;M28)),"OK","CHECK"))</x:f>
        <x:v>OK</x:v>
      </x:c>
      <x:c r="AA28" t="str">
        <x:f>IF(B28="","",IF(AND(Q28&gt;0,OR(AND(O28="",P28=""),AND(O28&lt;&gt;"",P28&lt;&gt;"",P28&gt;=O28,ABS(Q28-((P28-O28)*24))&lt;=0.01))),"OK","CHECK"))</x:f>
        <x:v>OK</x:v>
      </x:c>
      <x:c r="AB28" t="str">
        <x:f>IF(B28="","",IF(AND(Y28="OK",Z28="OK",AA28="OK",R28&gt;0,S28&gt;0),"OK","CHECK"))</x:f>
        <x:v>OK</x:v>
      </x:c>
    </x:row>
    <x:row r="29">
      <x:c r="A29" t="str">
        <x:v>JCI-000025</x:v>
      </x:c>
      <x:c r="B29" t="str">
        <x:v>JC-KG01-L24-20251021-AM-ORD-2025-00124-ORD-2025-00125</x:v>
      </x:c>
      <x:c r="C29" t="str">
        <x:v>PE-KG01-L24-20251021-AM-ORD-2025-00125</x:v>
      </x:c>
      <x:c r="D29" t="str">
        <x:v>KG01</x:v>
      </x:c>
      <x:c r="E29" t="n">
        <x:v>24</x:v>
      </x:c>
      <x:c r="F29" t="n">
        <x:v>45951</x:v>
      </x:c>
      <x:c r="G29" t="str">
        <x:v>AM</x:v>
      </x:c>
      <x:c r="H29" t="str">
        <x:v>ORD-2025-00125</x:v>
      </x:c>
      <x:c r="I29" t="str">
        <x:v>T1</x:v>
      </x:c>
      <x:c r="J29" t="str">
        <x:v>L24</x:v>
      </x:c>
      <x:c r="K29" t="str">
        <x:v>Line</x:v>
      </x:c>
      <x:c r="L29"/>
      <x:c r="M29"/>
      <x:c r="N29" t="str">
        <x:v>Historical summary</x:v>
      </x:c>
      <x:c r="O29"/>
      <x:c r="P29"/>
      <x:c r="Q29" t="n">
        <x:v>3.5</x:v>
      </x:c>
      <x:c r="R29" t="n">
        <x:f>IF(B29="","",SUMIF(ProductionConfiguration!$B$5:$B$914,C29,ProductionConfiguration!$S$5:$S$914))</x:f>
        <x:v>36</x:v>
      </x:c>
      <x:c r="S29" t="n">
        <x:f>IF(B29="","",IF(K29="Line",R29,IF(K29="Section",SUMIFS(ProductionConfiguration!$S$5:$S$914,ProductionConfiguration!$B$5:$B$914,C29,ProductionConfiguration!$I$5:$I$914,L29),IF(K29="Cavity",IF(M29=1,SUMIFS(ProductionConfiguration!$P$5:$P$914,ProductionConfiguration!$B$5:$B$914,C29,ProductionConfiguration!$I$5:$I$914,L29),IF(M29=2,SUMIFS(ProductionConfiguration!$Q$5:$Q$914,ProductionConfiguration!$B$5:$B$914,C29,ProductionConfiguration!$I$5:$I$914,L29),SUMIFS(ProductionConfiguration!$R$5:$R$914,ProductionConfiguration!$B$5:$B$914,C29,ProductionConfiguration!$I$5:$I$914,L29))),0))))</x:f>
        <x:v>36</x:v>
      </x:c>
      <x:c r="T29" t="n">
        <x:f>IF(B29="","",IFERROR(S29/R29,0))</x:f>
        <x:v>1</x:v>
      </x:c>
      <x:c r="U29" t="n">
        <x:f>IF(B29="","",Q29*T29)</x:f>
        <x:v>3.5</x:v>
      </x:c>
      <x:c r="V29" t="n">
        <x:f>IF(C29="","",SUMIF(DailyProduction!$Q$5:$Q$100,C29,DailyProduction!$J$5:$J$100))</x:f>
        <x:v>12</x:v>
      </x:c>
      <x:c r="W29" t="n">
        <x:f>IF(B29="","",Q29*60*V29*S29)</x:f>
        <x:v>90720</x:v>
      </x:c>
      <x:c r="X29" t="str">
        <x:v>HistoricalSummary</x:v>
      </x:c>
      <x:c r="Y29" t="str">
        <x:f>IF(B29="","",IF(COUNTIF(JobChange!$S$5:$S$100,B29)=1,"OK","CHECK"))</x:f>
        <x:v>OK</x:v>
      </x:c>
      <x:c r="Z29" t="str">
        <x:f>IF(B29="","",IF(OR(AND(K29="Line",J29="L"&amp;E29),AND(K29="Section",J29="L"&amp;E29&amp;"-S"&amp;TEXT(L29,"00")),AND(K29="Cavity",J29="L"&amp;E29&amp;"-S"&amp;TEXT(L29,"00")&amp;"-C"&amp;M29)),"OK","CHECK"))</x:f>
        <x:v>OK</x:v>
      </x:c>
      <x:c r="AA29" t="str">
        <x:f>IF(B29="","",IF(AND(Q29&gt;0,OR(AND(O29="",P29=""),AND(O29&lt;&gt;"",P29&lt;&gt;"",P29&gt;=O29,ABS(Q29-((P29-O29)*24))&lt;=0.01))),"OK","CHECK"))</x:f>
        <x:v>OK</x:v>
      </x:c>
      <x:c r="AB29" t="str">
        <x:f>IF(B29="","",IF(AND(Y29="OK",Z29="OK",AA29="OK",R29&gt;0,S29&gt;0),"OK","CHECK"))</x:f>
        <x:v>OK</x:v>
      </x:c>
    </x:row>
    <x:row r="30">
      <x:c r="A30" t="str">
        <x:v>JCI-000026</x:v>
      </x:c>
      <x:c r="B30" t="str">
        <x:v>JC-KG01-L24-20251021-AM-ORD-2025-00124-ORD-2025-00125</x:v>
      </x:c>
      <x:c r="C30" t="str">
        <x:v>PE-KG01-L24-20251021-AM-ORD-2025-00125</x:v>
      </x:c>
      <x:c r="D30" t="str">
        <x:v>KG01</x:v>
      </x:c>
      <x:c r="E30" t="n">
        <x:v>24</x:v>
      </x:c>
      <x:c r="F30" t="n">
        <x:v>45951</x:v>
      </x:c>
      <x:c r="G30" t="str">
        <x:v>AM</x:v>
      </x:c>
      <x:c r="H30" t="str">
        <x:v>ORD-2025-00125</x:v>
      </x:c>
      <x:c r="I30" t="str">
        <x:v>T2</x:v>
      </x:c>
      <x:c r="J30" t="str">
        <x:v>L24</x:v>
      </x:c>
      <x:c r="K30" t="str">
        <x:v>Line</x:v>
      </x:c>
      <x:c r="L30"/>
      <x:c r="M30"/>
      <x:c r="N30" t="str">
        <x:v>Historical summary</x:v>
      </x:c>
      <x:c r="O30"/>
      <x:c r="P30"/>
      <x:c r="Q30" t="n">
        <x:v>0.76</x:v>
      </x:c>
      <x:c r="R30" t="n">
        <x:f>IF(B30="","",SUMIF(ProductionConfiguration!$B$5:$B$914,C30,ProductionConfiguration!$S$5:$S$914))</x:f>
        <x:v>36</x:v>
      </x:c>
      <x:c r="S30" t="n">
        <x:f>IF(B30="","",IF(K30="Line",R30,IF(K30="Section",SUMIFS(ProductionConfiguration!$S$5:$S$914,ProductionConfiguration!$B$5:$B$914,C30,ProductionConfiguration!$I$5:$I$914,L30),IF(K30="Cavity",IF(M30=1,SUMIFS(ProductionConfiguration!$P$5:$P$914,ProductionConfiguration!$B$5:$B$914,C30,ProductionConfiguration!$I$5:$I$914,L30),IF(M30=2,SUMIFS(ProductionConfiguration!$Q$5:$Q$914,ProductionConfiguration!$B$5:$B$914,C30,ProductionConfiguration!$I$5:$I$914,L30),SUMIFS(ProductionConfiguration!$R$5:$R$914,ProductionConfiguration!$B$5:$B$914,C30,ProductionConfiguration!$I$5:$I$914,L30))),0))))</x:f>
        <x:v>36</x:v>
      </x:c>
      <x:c r="T30" t="n">
        <x:f>IF(B30="","",IFERROR(S30/R30,0))</x:f>
        <x:v>1</x:v>
      </x:c>
      <x:c r="U30" t="n">
        <x:f>IF(B30="","",Q30*T30)</x:f>
        <x:v>0.76</x:v>
      </x:c>
      <x:c r="V30" t="n">
        <x:f>IF(C30="","",SUMIF(DailyProduction!$Q$5:$Q$100,C30,DailyProduction!$J$5:$J$100))</x:f>
        <x:v>12</x:v>
      </x:c>
      <x:c r="W30" t="n">
        <x:f>IF(B30="","",Q30*60*V30*S30)</x:f>
        <x:v>19699.2</x:v>
      </x:c>
      <x:c r="X30" t="str">
        <x:v>HistoricalSummary</x:v>
      </x:c>
      <x:c r="Y30" t="str">
        <x:f>IF(B30="","",IF(COUNTIF(JobChange!$S$5:$S$100,B30)=1,"OK","CHECK"))</x:f>
        <x:v>OK</x:v>
      </x:c>
      <x:c r="Z30" t="str">
        <x:f>IF(B30="","",IF(OR(AND(K30="Line",J30="L"&amp;E30),AND(K30="Section",J30="L"&amp;E30&amp;"-S"&amp;TEXT(L30,"00")),AND(K30="Cavity",J30="L"&amp;E30&amp;"-S"&amp;TEXT(L30,"00")&amp;"-C"&amp;M30)),"OK","CHECK"))</x:f>
        <x:v>OK</x:v>
      </x:c>
      <x:c r="AA30" t="str">
        <x:f>IF(B30="","",IF(AND(Q30&gt;0,OR(AND(O30="",P30=""),AND(O30&lt;&gt;"",P30&lt;&gt;"",P30&gt;=O30,ABS(Q30-((P30-O30)*24))&lt;=0.01))),"OK","CHECK"))</x:f>
        <x:v>OK</x:v>
      </x:c>
      <x:c r="AB30" t="str">
        <x:f>IF(B30="","",IF(AND(Y30="OK",Z30="OK",AA30="OK",R30&gt;0,S30&gt;0),"OK","CHECK"))</x:f>
        <x:v>OK</x:v>
      </x:c>
    </x:row>
    <x:row r="31">
      <x:c r="A31" t="str">
        <x:v>JCI-000027</x:v>
      </x:c>
      <x:c r="B31" t="str">
        <x:v>JC-KG01-L24-20251021-AM-ORD-2025-00124-ORD-2025-00125</x:v>
      </x:c>
      <x:c r="C31" t="str">
        <x:v>PE-KG01-L24-20251021-AM-ORD-2025-00125</x:v>
      </x:c>
      <x:c r="D31" t="str">
        <x:v>KG01</x:v>
      </x:c>
      <x:c r="E31" t="n">
        <x:v>24</x:v>
      </x:c>
      <x:c r="F31" t="n">
        <x:v>45951</x:v>
      </x:c>
      <x:c r="G31" t="str">
        <x:v>AM</x:v>
      </x:c>
      <x:c r="H31" t="str">
        <x:v>ORD-2025-00125</x:v>
      </x:c>
      <x:c r="I31" t="str">
        <x:v>Trial</x:v>
      </x:c>
      <x:c r="J31" t="str">
        <x:v>L24</x:v>
      </x:c>
      <x:c r="K31" t="str">
        <x:v>Line</x:v>
      </x:c>
      <x:c r="L31"/>
      <x:c r="M31"/>
      <x:c r="N31" t="str">
        <x:v>Historical summary</x:v>
      </x:c>
      <x:c r="O31"/>
      <x:c r="P31"/>
      <x:c r="Q31" t="n">
        <x:v>0.5</x:v>
      </x:c>
      <x:c r="R31" t="n">
        <x:f>IF(B31="","",SUMIF(ProductionConfiguration!$B$5:$B$914,C31,ProductionConfiguration!$S$5:$S$914))</x:f>
        <x:v>36</x:v>
      </x:c>
      <x:c r="S31" t="n">
        <x:f>IF(B31="","",IF(K31="Line",R31,IF(K31="Section",SUMIFS(ProductionConfiguration!$S$5:$S$914,ProductionConfiguration!$B$5:$B$914,C31,ProductionConfiguration!$I$5:$I$914,L31),IF(K31="Cavity",IF(M31=1,SUMIFS(ProductionConfiguration!$P$5:$P$914,ProductionConfiguration!$B$5:$B$914,C31,ProductionConfiguration!$I$5:$I$914,L31),IF(M31=2,SUMIFS(ProductionConfiguration!$Q$5:$Q$914,ProductionConfiguration!$B$5:$B$914,C31,ProductionConfiguration!$I$5:$I$914,L31),SUMIFS(ProductionConfiguration!$R$5:$R$914,ProductionConfiguration!$B$5:$B$914,C31,ProductionConfiguration!$I$5:$I$914,L31))),0))))</x:f>
        <x:v>36</x:v>
      </x:c>
      <x:c r="T31" t="n">
        <x:f>IF(B31="","",IFERROR(S31/R31,0))</x:f>
        <x:v>1</x:v>
      </x:c>
      <x:c r="U31" t="n">
        <x:f>IF(B31="","",Q31*T31)</x:f>
        <x:v>0.5</x:v>
      </x:c>
      <x:c r="V31" t="n">
        <x:f>IF(C31="","",SUMIF(DailyProduction!$Q$5:$Q$100,C31,DailyProduction!$J$5:$J$100))</x:f>
        <x:v>12</x:v>
      </x:c>
      <x:c r="W31" t="n">
        <x:f>IF(B31="","",Q31*60*V31*S31)</x:f>
        <x:v>12960</x:v>
      </x:c>
      <x:c r="X31" t="str">
        <x:v>HistoricalSummary</x:v>
      </x:c>
      <x:c r="Y31" t="str">
        <x:f>IF(B31="","",IF(COUNTIF(JobChange!$S$5:$S$100,B31)=1,"OK","CHECK"))</x:f>
        <x:v>OK</x:v>
      </x:c>
      <x:c r="Z31" t="str">
        <x:f>IF(B31="","",IF(OR(AND(K31="Line",J31="L"&amp;E31),AND(K31="Section",J31="L"&amp;E31&amp;"-S"&amp;TEXT(L31,"00")),AND(K31="Cavity",J31="L"&amp;E31&amp;"-S"&amp;TEXT(L31,"00")&amp;"-C"&amp;M31)),"OK","CHECK"))</x:f>
        <x:v>OK</x:v>
      </x:c>
      <x:c r="AA31" t="str">
        <x:f>IF(B31="","",IF(AND(Q31&gt;0,OR(AND(O31="",P31=""),AND(O31&lt;&gt;"",P31&lt;&gt;"",P31&gt;=O31,ABS(Q31-((P31-O31)*24))&lt;=0.01))),"OK","CHECK"))</x:f>
        <x:v>OK</x:v>
      </x:c>
      <x:c r="AB31" t="str">
        <x:f>IF(B31="","",IF(AND(Y31="OK",Z31="OK",AA31="OK",R31&gt;0,S31&gt;0),"OK","CHECK"))</x:f>
        <x:v>OK</x:v>
      </x:c>
    </x:row>
    <x:row r="32">
      <x:c r="A32" t="str">
        <x:v>JCI-000028</x:v>
      </x:c>
      <x:c r="B32" t="str">
        <x:v>JC-KG01-L24-20251025-AM-ORD-2025-00125-ORD-2025-00126</x:v>
      </x:c>
      <x:c r="C32" t="str">
        <x:v>PE-KG01-L24-20251025-AM-ORD-2025-00126</x:v>
      </x:c>
      <x:c r="D32" t="str">
        <x:v>KG01</x:v>
      </x:c>
      <x:c r="E32" t="n">
        <x:v>24</x:v>
      </x:c>
      <x:c r="F32" t="n">
        <x:v>45955</x:v>
      </x:c>
      <x:c r="G32" t="str">
        <x:v>AM</x:v>
      </x:c>
      <x:c r="H32" t="str">
        <x:v>ORD-2025-00126</x:v>
      </x:c>
      <x:c r="I32" t="str">
        <x:v>T1</x:v>
      </x:c>
      <x:c r="J32" t="str">
        <x:v>L24</x:v>
      </x:c>
      <x:c r="K32" t="str">
        <x:v>Line</x:v>
      </x:c>
      <x:c r="L32"/>
      <x:c r="M32"/>
      <x:c r="N32" t="str">
        <x:v>Historical summary</x:v>
      </x:c>
      <x:c r="O32"/>
      <x:c r="P32"/>
      <x:c r="Q32" t="n">
        <x:v>1.35</x:v>
      </x:c>
      <x:c r="R32" t="n">
        <x:f>IF(B32="","",SUMIF(ProductionConfiguration!$B$5:$B$914,C32,ProductionConfiguration!$S$5:$S$914))</x:f>
        <x:v>24</x:v>
      </x:c>
      <x:c r="S32" t="n">
        <x:f>IF(B32="","",IF(K32="Line",R32,IF(K32="Section",SUMIFS(ProductionConfiguration!$S$5:$S$914,ProductionConfiguration!$B$5:$B$914,C32,ProductionConfiguration!$I$5:$I$914,L32),IF(K32="Cavity",IF(M32=1,SUMIFS(ProductionConfiguration!$P$5:$P$914,ProductionConfiguration!$B$5:$B$914,C32,ProductionConfiguration!$I$5:$I$914,L32),IF(M32=2,SUMIFS(ProductionConfiguration!$Q$5:$Q$914,ProductionConfiguration!$B$5:$B$914,C32,ProductionConfiguration!$I$5:$I$914,L32),SUMIFS(ProductionConfiguration!$R$5:$R$914,ProductionConfiguration!$B$5:$B$914,C32,ProductionConfiguration!$I$5:$I$914,L32))),0))))</x:f>
        <x:v>24</x:v>
      </x:c>
      <x:c r="T32" t="n">
        <x:f>IF(B32="","",IFERROR(S32/R32,0))</x:f>
        <x:v>1</x:v>
      </x:c>
      <x:c r="U32" t="n">
        <x:f>IF(B32="","",Q32*T32)</x:f>
        <x:v>1.35</x:v>
      </x:c>
      <x:c r="V32" t="n">
        <x:f>IF(C32="","",SUMIF(DailyProduction!$Q$5:$Q$100,C32,DailyProduction!$J$5:$J$100))</x:f>
        <x:v>11</x:v>
      </x:c>
      <x:c r="W32" t="n">
        <x:f>IF(B32="","",Q32*60*V32*S32)</x:f>
        <x:v>21384</x:v>
      </x:c>
      <x:c r="X32" t="str">
        <x:v>HistoricalSummary</x:v>
      </x:c>
      <x:c r="Y32" t="str">
        <x:f>IF(B32="","",IF(COUNTIF(JobChange!$S$5:$S$100,B32)=1,"OK","CHECK"))</x:f>
        <x:v>OK</x:v>
      </x:c>
      <x:c r="Z32" t="str">
        <x:f>IF(B32="","",IF(OR(AND(K32="Line",J32="L"&amp;E32),AND(K32="Section",J32="L"&amp;E32&amp;"-S"&amp;TEXT(L32,"00")),AND(K32="Cavity",J32="L"&amp;E32&amp;"-S"&amp;TEXT(L32,"00")&amp;"-C"&amp;M32)),"OK","CHECK"))</x:f>
        <x:v>OK</x:v>
      </x:c>
      <x:c r="AA32" t="str">
        <x:f>IF(B32="","",IF(AND(Q32&gt;0,OR(AND(O32="",P32=""),AND(O32&lt;&gt;"",P32&lt;&gt;"",P32&gt;=O32,ABS(Q32-((P32-O32)*24))&lt;=0.01))),"OK","CHECK"))</x:f>
        <x:v>OK</x:v>
      </x:c>
      <x:c r="AB32" t="str">
        <x:f>IF(B32="","",IF(AND(Y32="OK",Z32="OK",AA32="OK",R32&gt;0,S32&gt;0),"OK","CHECK"))</x:f>
        <x:v>OK</x:v>
      </x:c>
    </x:row>
    <x:row r="33">
      <x:c r="A33" t="str">
        <x:v>JCI-000029</x:v>
      </x:c>
      <x:c r="B33" t="str">
        <x:v>JC-KG01-L24-20251025-AM-ORD-2025-00125-ORD-2025-00126</x:v>
      </x:c>
      <x:c r="C33" t="str">
        <x:v>PE-KG01-L24-20251025-AM-ORD-2025-00126</x:v>
      </x:c>
      <x:c r="D33" t="str">
        <x:v>KG01</x:v>
      </x:c>
      <x:c r="E33" t="n">
        <x:v>24</x:v>
      </x:c>
      <x:c r="F33" t="n">
        <x:v>45955</x:v>
      </x:c>
      <x:c r="G33" t="str">
        <x:v>AM</x:v>
      </x:c>
      <x:c r="H33" t="str">
        <x:v>ORD-2025-00126</x:v>
      </x:c>
      <x:c r="I33" t="str">
        <x:v>T2</x:v>
      </x:c>
      <x:c r="J33" t="str">
        <x:v>L24</x:v>
      </x:c>
      <x:c r="K33" t="str">
        <x:v>Line</x:v>
      </x:c>
      <x:c r="L33"/>
      <x:c r="M33"/>
      <x:c r="N33" t="str">
        <x:v>Historical summary</x:v>
      </x:c>
      <x:c r="O33"/>
      <x:c r="P33"/>
      <x:c r="Q33" t="n">
        <x:v>0.42</x:v>
      </x:c>
      <x:c r="R33" t="n">
        <x:f>IF(B33="","",SUMIF(ProductionConfiguration!$B$5:$B$914,C33,ProductionConfiguration!$S$5:$S$914))</x:f>
        <x:v>24</x:v>
      </x:c>
      <x:c r="S33" t="n">
        <x:f>IF(B33="","",IF(K33="Line",R33,IF(K33="Section",SUMIFS(ProductionConfiguration!$S$5:$S$914,ProductionConfiguration!$B$5:$B$914,C33,ProductionConfiguration!$I$5:$I$914,L33),IF(K33="Cavity",IF(M33=1,SUMIFS(ProductionConfiguration!$P$5:$P$914,ProductionConfiguration!$B$5:$B$914,C33,ProductionConfiguration!$I$5:$I$914,L33),IF(M33=2,SUMIFS(ProductionConfiguration!$Q$5:$Q$914,ProductionConfiguration!$B$5:$B$914,C33,ProductionConfiguration!$I$5:$I$914,L33),SUMIFS(ProductionConfiguration!$R$5:$R$914,ProductionConfiguration!$B$5:$B$914,C33,ProductionConfiguration!$I$5:$I$914,L33))),0))))</x:f>
        <x:v>24</x:v>
      </x:c>
      <x:c r="T33" t="n">
        <x:f>IF(B33="","",IFERROR(S33/R33,0))</x:f>
        <x:v>1</x:v>
      </x:c>
      <x:c r="U33" t="n">
        <x:f>IF(B33="","",Q33*T33)</x:f>
        <x:v>0.42</x:v>
      </x:c>
      <x:c r="V33" t="n">
        <x:f>IF(C33="","",SUMIF(DailyProduction!$Q$5:$Q$100,C33,DailyProduction!$J$5:$J$100))</x:f>
        <x:v>11</x:v>
      </x:c>
      <x:c r="W33" t="n">
        <x:f>IF(B33="","",Q33*60*V33*S33)</x:f>
        <x:v>6652.799999999999</x:v>
      </x:c>
      <x:c r="X33" t="str">
        <x:v>HistoricalSummary</x:v>
      </x:c>
      <x:c r="Y33" t="str">
        <x:f>IF(B33="","",IF(COUNTIF(JobChange!$S$5:$S$100,B33)=1,"OK","CHECK"))</x:f>
        <x:v>OK</x:v>
      </x:c>
      <x:c r="Z33" t="str">
        <x:f>IF(B33="","",IF(OR(AND(K33="Line",J33="L"&amp;E33),AND(K33="Section",J33="L"&amp;E33&amp;"-S"&amp;TEXT(L33,"00")),AND(K33="Cavity",J33="L"&amp;E33&amp;"-S"&amp;TEXT(L33,"00")&amp;"-C"&amp;M33)),"OK","CHECK"))</x:f>
        <x:v>OK</x:v>
      </x:c>
      <x:c r="AA33" t="str">
        <x:f>IF(B33="","",IF(AND(Q33&gt;0,OR(AND(O33="",P33=""),AND(O33&lt;&gt;"",P33&lt;&gt;"",P33&gt;=O33,ABS(Q33-((P33-O33)*24))&lt;=0.01))),"OK","CHECK"))</x:f>
        <x:v>OK</x:v>
      </x:c>
      <x:c r="AB33" t="str">
        <x:f>IF(B33="","",IF(AND(Y33="OK",Z33="OK",AA33="OK",R33&gt;0,S33&gt;0),"OK","CHECK"))</x:f>
        <x:v>OK</x:v>
      </x:c>
    </x:row>
    <x:row r="34">
      <x:c r="A34" t="str">
        <x:v>JCI-000030</x:v>
      </x:c>
      <x:c r="B34" t="str">
        <x:v>JC-KG01-L24-20251025-AM-ORD-2025-00125-ORD-2025-00126</x:v>
      </x:c>
      <x:c r="C34" t="str">
        <x:v>PE-KG01-L24-20251025-AM-ORD-2025-00126</x:v>
      </x:c>
      <x:c r="D34" t="str">
        <x:v>KG01</x:v>
      </x:c>
      <x:c r="E34" t="n">
        <x:v>24</x:v>
      </x:c>
      <x:c r="F34" t="n">
        <x:v>45955</x:v>
      </x:c>
      <x:c r="G34" t="str">
        <x:v>AM</x:v>
      </x:c>
      <x:c r="H34" t="str">
        <x:v>ORD-2025-00126</x:v>
      </x:c>
      <x:c r="I34" t="str">
        <x:v>Trial</x:v>
      </x:c>
      <x:c r="J34" t="str">
        <x:v>L24</x:v>
      </x:c>
      <x:c r="K34" t="str">
        <x:v>Line</x:v>
      </x:c>
      <x:c r="L34"/>
      <x:c r="M34"/>
      <x:c r="N34" t="str">
        <x:v>Historical summary</x:v>
      </x:c>
      <x:c r="O34"/>
      <x:c r="P34"/>
      <x:c r="Q34" t="n">
        <x:v>0.42</x:v>
      </x:c>
      <x:c r="R34" t="n">
        <x:f>IF(B34="","",SUMIF(ProductionConfiguration!$B$5:$B$914,C34,ProductionConfiguration!$S$5:$S$914))</x:f>
        <x:v>24</x:v>
      </x:c>
      <x:c r="S34" t="n">
        <x:f>IF(B34="","",IF(K34="Line",R34,IF(K34="Section",SUMIFS(ProductionConfiguration!$S$5:$S$914,ProductionConfiguration!$B$5:$B$914,C34,ProductionConfiguration!$I$5:$I$914,L34),IF(K34="Cavity",IF(M34=1,SUMIFS(ProductionConfiguration!$P$5:$P$914,ProductionConfiguration!$B$5:$B$914,C34,ProductionConfiguration!$I$5:$I$914,L34),IF(M34=2,SUMIFS(ProductionConfiguration!$Q$5:$Q$914,ProductionConfiguration!$B$5:$B$914,C34,ProductionConfiguration!$I$5:$I$914,L34),SUMIFS(ProductionConfiguration!$R$5:$R$914,ProductionConfiguration!$B$5:$B$914,C34,ProductionConfiguration!$I$5:$I$914,L34))),0))))</x:f>
        <x:v>24</x:v>
      </x:c>
      <x:c r="T34" t="n">
        <x:f>IF(B34="","",IFERROR(S34/R34,0))</x:f>
        <x:v>1</x:v>
      </x:c>
      <x:c r="U34" t="n">
        <x:f>IF(B34="","",Q34*T34)</x:f>
        <x:v>0.42</x:v>
      </x:c>
      <x:c r="V34" t="n">
        <x:f>IF(C34="","",SUMIF(DailyProduction!$Q$5:$Q$100,C34,DailyProduction!$J$5:$J$100))</x:f>
        <x:v>11</x:v>
      </x:c>
      <x:c r="W34" t="n">
        <x:f>IF(B34="","",Q34*60*V34*S34)</x:f>
        <x:v>6652.799999999999</x:v>
      </x:c>
      <x:c r="X34" t="str">
        <x:v>HistoricalSummary</x:v>
      </x:c>
      <x:c r="Y34" t="str">
        <x:f>IF(B34="","",IF(COUNTIF(JobChange!$S$5:$S$100,B34)=1,"OK","CHECK"))</x:f>
        <x:v>OK</x:v>
      </x:c>
      <x:c r="Z34" t="str">
        <x:f>IF(B34="","",IF(OR(AND(K34="Line",J34="L"&amp;E34),AND(K34="Section",J34="L"&amp;E34&amp;"-S"&amp;TEXT(L34,"00")),AND(K34="Cavity",J34="L"&amp;E34&amp;"-S"&amp;TEXT(L34,"00")&amp;"-C"&amp;M34)),"OK","CHECK"))</x:f>
        <x:v>OK</x:v>
      </x:c>
      <x:c r="AA34" t="str">
        <x:f>IF(B34="","",IF(AND(Q34&gt;0,OR(AND(O34="",P34=""),AND(O34&lt;&gt;"",P34&lt;&gt;"",P34&gt;=O34,ABS(Q34-((P34-O34)*24))&lt;=0.01))),"OK","CHECK"))</x:f>
        <x:v>OK</x:v>
      </x:c>
      <x:c r="AB34" t="str">
        <x:f>IF(B34="","",IF(AND(Y34="OK",Z34="OK",AA34="OK",R34&gt;0,S34&gt;0),"OK","CHECK"))</x:f>
        <x:v>OK</x:v>
      </x:c>
    </x:row>
    <x:row r="35">
      <x:c r="A35" t="str">
        <x:v>JCI-000031</x:v>
      </x:c>
      <x:c r="B35" t="str">
        <x:v>JC-KG01-L25-20251023-AM-ORD-2025-00161-ORD-2025-00162</x:v>
      </x:c>
      <x:c r="C35" t="str">
        <x:v>PE-KG01-L25-20251023-AM-ORD-2025-00162</x:v>
      </x:c>
      <x:c r="D35" t="str">
        <x:v>KG01</x:v>
      </x:c>
      <x:c r="E35" t="n">
        <x:v>25</x:v>
      </x:c>
      <x:c r="F35" t="n">
        <x:v>45953</x:v>
      </x:c>
      <x:c r="G35" t="str">
        <x:v>AM</x:v>
      </x:c>
      <x:c r="H35" t="str">
        <x:v>ORD-2025-00162</x:v>
      </x:c>
      <x:c r="I35" t="str">
        <x:v>T1</x:v>
      </x:c>
      <x:c r="J35" t="str">
        <x:v>L25</x:v>
      </x:c>
      <x:c r="K35" t="str">
        <x:v>Line</x:v>
      </x:c>
      <x:c r="L35"/>
      <x:c r="M35"/>
      <x:c r="N35" t="str">
        <x:v>Historical summary</x:v>
      </x:c>
      <x:c r="O35"/>
      <x:c r="P35"/>
      <x:c r="Q35" t="n">
        <x:v>2.75</x:v>
      </x:c>
      <x:c r="R35" t="n">
        <x:f>IF(B35="","",SUMIF(ProductionConfiguration!$B$5:$B$914,C35,ProductionConfiguration!$S$5:$S$914))</x:f>
        <x:v>24</x:v>
      </x:c>
      <x:c r="S35" t="n">
        <x:f>IF(B35="","",IF(K35="Line",R35,IF(K35="Section",SUMIFS(ProductionConfiguration!$S$5:$S$914,ProductionConfiguration!$B$5:$B$914,C35,ProductionConfiguration!$I$5:$I$914,L35),IF(K35="Cavity",IF(M35=1,SUMIFS(ProductionConfiguration!$P$5:$P$914,ProductionConfiguration!$B$5:$B$914,C35,ProductionConfiguration!$I$5:$I$914,L35),IF(M35=2,SUMIFS(ProductionConfiguration!$Q$5:$Q$914,ProductionConfiguration!$B$5:$B$914,C35,ProductionConfiguration!$I$5:$I$914,L35),SUMIFS(ProductionConfiguration!$R$5:$R$914,ProductionConfiguration!$B$5:$B$914,C35,ProductionConfiguration!$I$5:$I$914,L35))),0))))</x:f>
        <x:v>24</x:v>
      </x:c>
      <x:c r="T35" t="n">
        <x:f>IF(B35="","",IFERROR(S35/R35,0))</x:f>
        <x:v>1</x:v>
      </x:c>
      <x:c r="U35" t="n">
        <x:f>IF(B35="","",Q35*T35)</x:f>
        <x:v>2.75</x:v>
      </x:c>
      <x:c r="V35" t="n">
        <x:f>IF(C35="","",SUMIF(DailyProduction!$Q$5:$Q$100,C35,DailyProduction!$J$5:$J$100))</x:f>
        <x:v>12</x:v>
      </x:c>
      <x:c r="W35" t="n">
        <x:f>IF(B35="","",Q35*60*V35*S35)</x:f>
        <x:v>47520</x:v>
      </x:c>
      <x:c r="X35" t="str">
        <x:v>HistoricalSummary</x:v>
      </x:c>
      <x:c r="Y35" t="str">
        <x:f>IF(B35="","",IF(COUNTIF(JobChange!$S$5:$S$100,B35)=1,"OK","CHECK"))</x:f>
        <x:v>OK</x:v>
      </x:c>
      <x:c r="Z35" t="str">
        <x:f>IF(B35="","",IF(OR(AND(K35="Line",J35="L"&amp;E35),AND(K35="Section",J35="L"&amp;E35&amp;"-S"&amp;TEXT(L35,"00")),AND(K35="Cavity",J35="L"&amp;E35&amp;"-S"&amp;TEXT(L35,"00")&amp;"-C"&amp;M35)),"OK","CHECK"))</x:f>
        <x:v>OK</x:v>
      </x:c>
      <x:c r="AA35" t="str">
        <x:f>IF(B35="","",IF(AND(Q35&gt;0,OR(AND(O35="",P35=""),AND(O35&lt;&gt;"",P35&lt;&gt;"",P35&gt;=O35,ABS(Q35-((P35-O35)*24))&lt;=0.01))),"OK","CHECK"))</x:f>
        <x:v>OK</x:v>
      </x:c>
      <x:c r="AB35" t="str">
        <x:f>IF(B35="","",IF(AND(Y35="OK",Z35="OK",AA35="OK",R35&gt;0,S35&gt;0),"OK","CHECK"))</x:f>
        <x:v>OK</x:v>
      </x:c>
    </x:row>
    <x:row r="36">
      <x:c r="A36" t="str">
        <x:v>JCI-000032</x:v>
      </x:c>
      <x:c r="B36" t="str">
        <x:v>JC-KG01-L25-20251023-AM-ORD-2025-00161-ORD-2025-00162</x:v>
      </x:c>
      <x:c r="C36" t="str">
        <x:v>PE-KG01-L25-20251023-AM-ORD-2025-00162</x:v>
      </x:c>
      <x:c r="D36" t="str">
        <x:v>KG01</x:v>
      </x:c>
      <x:c r="E36" t="n">
        <x:v>25</x:v>
      </x:c>
      <x:c r="F36" t="n">
        <x:v>45953</x:v>
      </x:c>
      <x:c r="G36" t="str">
        <x:v>AM</x:v>
      </x:c>
      <x:c r="H36" t="str">
        <x:v>ORD-2025-00162</x:v>
      </x:c>
      <x:c r="I36" t="str">
        <x:v>T2</x:v>
      </x:c>
      <x:c r="J36" t="str">
        <x:v>L25</x:v>
      </x:c>
      <x:c r="K36" t="str">
        <x:v>Line</x:v>
      </x:c>
      <x:c r="L36"/>
      <x:c r="M36"/>
      <x:c r="N36" t="str">
        <x:v>Historical summary</x:v>
      </x:c>
      <x:c r="O36"/>
      <x:c r="P36"/>
      <x:c r="Q36" t="n">
        <x:v>0.89</x:v>
      </x:c>
      <x:c r="R36" t="n">
        <x:f>IF(B36="","",SUMIF(ProductionConfiguration!$B$5:$B$914,C36,ProductionConfiguration!$S$5:$S$914))</x:f>
        <x:v>24</x:v>
      </x:c>
      <x:c r="S36" t="n">
        <x:f>IF(B36="","",IF(K36="Line",R36,IF(K36="Section",SUMIFS(ProductionConfiguration!$S$5:$S$914,ProductionConfiguration!$B$5:$B$914,C36,ProductionConfiguration!$I$5:$I$914,L36),IF(K36="Cavity",IF(M36=1,SUMIFS(ProductionConfiguration!$P$5:$P$914,ProductionConfiguration!$B$5:$B$914,C36,ProductionConfiguration!$I$5:$I$914,L36),IF(M36=2,SUMIFS(ProductionConfiguration!$Q$5:$Q$914,ProductionConfiguration!$B$5:$B$914,C36,ProductionConfiguration!$I$5:$I$914,L36),SUMIFS(ProductionConfiguration!$R$5:$R$914,ProductionConfiguration!$B$5:$B$914,C36,ProductionConfiguration!$I$5:$I$914,L36))),0))))</x:f>
        <x:v>24</x:v>
      </x:c>
      <x:c r="T36" t="n">
        <x:f>IF(B36="","",IFERROR(S36/R36,0))</x:f>
        <x:v>1</x:v>
      </x:c>
      <x:c r="U36" t="n">
        <x:f>IF(B36="","",Q36*T36)</x:f>
        <x:v>0.89</x:v>
      </x:c>
      <x:c r="V36" t="n">
        <x:f>IF(C36="","",SUMIF(DailyProduction!$Q$5:$Q$100,C36,DailyProduction!$J$5:$J$100))</x:f>
        <x:v>12</x:v>
      </x:c>
      <x:c r="W36" t="n">
        <x:f>IF(B36="","",Q36*60*V36*S36)</x:f>
        <x:v>15379.199999999999</x:v>
      </x:c>
      <x:c r="X36" t="str">
        <x:v>HistoricalSummary</x:v>
      </x:c>
      <x:c r="Y36" t="str">
        <x:f>IF(B36="","",IF(COUNTIF(JobChange!$S$5:$S$100,B36)=1,"OK","CHECK"))</x:f>
        <x:v>OK</x:v>
      </x:c>
      <x:c r="Z36" t="str">
        <x:f>IF(B36="","",IF(OR(AND(K36="Line",J36="L"&amp;E36),AND(K36="Section",J36="L"&amp;E36&amp;"-S"&amp;TEXT(L36,"00")),AND(K36="Cavity",J36="L"&amp;E36&amp;"-S"&amp;TEXT(L36,"00")&amp;"-C"&amp;M36)),"OK","CHECK"))</x:f>
        <x:v>OK</x:v>
      </x:c>
      <x:c r="AA36" t="str">
        <x:f>IF(B36="","",IF(AND(Q36&gt;0,OR(AND(O36="",P36=""),AND(O36&lt;&gt;"",P36&lt;&gt;"",P36&gt;=O36,ABS(Q36-((P36-O36)*24))&lt;=0.01))),"OK","CHECK"))</x:f>
        <x:v>OK</x:v>
      </x:c>
      <x:c r="AB36" t="str">
        <x:f>IF(B36="","",IF(AND(Y36="OK",Z36="OK",AA36="OK",R36&gt;0,S36&gt;0),"OK","CHECK"))</x:f>
        <x:v>OK</x:v>
      </x:c>
    </x:row>
    <x:row r="37">
      <x:c r="A37" t="str">
        <x:v>JCI-000033</x:v>
      </x:c>
      <x:c r="B37" t="str">
        <x:v>JC-KG01-L25-20251023-AM-ORD-2025-00161-ORD-2025-00162</x:v>
      </x:c>
      <x:c r="C37" t="str">
        <x:v>PE-KG01-L25-20251023-AM-ORD-2025-00162</x:v>
      </x:c>
      <x:c r="D37" t="str">
        <x:v>KG01</x:v>
      </x:c>
      <x:c r="E37" t="n">
        <x:v>25</x:v>
      </x:c>
      <x:c r="F37" t="n">
        <x:v>45953</x:v>
      </x:c>
      <x:c r="G37" t="str">
        <x:v>AM</x:v>
      </x:c>
      <x:c r="H37" t="str">
        <x:v>ORD-2025-00162</x:v>
      </x:c>
      <x:c r="I37" t="str">
        <x:v>Trial</x:v>
      </x:c>
      <x:c r="J37" t="str">
        <x:v>L25</x:v>
      </x:c>
      <x:c r="K37" t="str">
        <x:v>Line</x:v>
      </x:c>
      <x:c r="L37"/>
      <x:c r="M37"/>
      <x:c r="N37" t="str">
        <x:v>Historical summary</x:v>
      </x:c>
      <x:c r="O37"/>
      <x:c r="P37"/>
      <x:c r="Q37" t="n">
        <x:v>0.49</x:v>
      </x:c>
      <x:c r="R37" t="n">
        <x:f>IF(B37="","",SUMIF(ProductionConfiguration!$B$5:$B$914,C37,ProductionConfiguration!$S$5:$S$914))</x:f>
        <x:v>24</x:v>
      </x:c>
      <x:c r="S37" t="n">
        <x:f>IF(B37="","",IF(K37="Line",R37,IF(K37="Section",SUMIFS(ProductionConfiguration!$S$5:$S$914,ProductionConfiguration!$B$5:$B$914,C37,ProductionConfiguration!$I$5:$I$914,L37),IF(K37="Cavity",IF(M37=1,SUMIFS(ProductionConfiguration!$P$5:$P$914,ProductionConfiguration!$B$5:$B$914,C37,ProductionConfiguration!$I$5:$I$914,L37),IF(M37=2,SUMIFS(ProductionConfiguration!$Q$5:$Q$914,ProductionConfiguration!$B$5:$B$914,C37,ProductionConfiguration!$I$5:$I$914,L37),SUMIFS(ProductionConfiguration!$R$5:$R$914,ProductionConfiguration!$B$5:$B$914,C37,ProductionConfiguration!$I$5:$I$914,L37))),0))))</x:f>
        <x:v>24</x:v>
      </x:c>
      <x:c r="T37" t="n">
        <x:f>IF(B37="","",IFERROR(S37/R37,0))</x:f>
        <x:v>1</x:v>
      </x:c>
      <x:c r="U37" t="n">
        <x:f>IF(B37="","",Q37*T37)</x:f>
        <x:v>0.49</x:v>
      </x:c>
      <x:c r="V37" t="n">
        <x:f>IF(C37="","",SUMIF(DailyProduction!$Q$5:$Q$100,C37,DailyProduction!$J$5:$J$100))</x:f>
        <x:v>12</x:v>
      </x:c>
      <x:c r="W37" t="n">
        <x:f>IF(B37="","",Q37*60*V37*S37)</x:f>
        <x:v>8467.199999999999</x:v>
      </x:c>
      <x:c r="X37" t="str">
        <x:v>HistoricalSummary</x:v>
      </x:c>
      <x:c r="Y37" t="str">
        <x:f>IF(B37="","",IF(COUNTIF(JobChange!$S$5:$S$100,B37)=1,"OK","CHECK"))</x:f>
        <x:v>OK</x:v>
      </x:c>
      <x:c r="Z37" t="str">
        <x:f>IF(B37="","",IF(OR(AND(K37="Line",J37="L"&amp;E37),AND(K37="Section",J37="L"&amp;E37&amp;"-S"&amp;TEXT(L37,"00")),AND(K37="Cavity",J37="L"&amp;E37&amp;"-S"&amp;TEXT(L37,"00")&amp;"-C"&amp;M37)),"OK","CHECK"))</x:f>
        <x:v>OK</x:v>
      </x:c>
      <x:c r="AA37" t="str">
        <x:f>IF(B37="","",IF(AND(Q37&gt;0,OR(AND(O37="",P37=""),AND(O37&lt;&gt;"",P37&lt;&gt;"",P37&gt;=O37,ABS(Q37-((P37-O37)*24))&lt;=0.01))),"OK","CHECK"))</x:f>
        <x:v>OK</x:v>
      </x:c>
      <x:c r="AB37" t="str">
        <x:f>IF(B37="","",IF(AND(Y37="OK",Z37="OK",AA37="OK",R37&gt;0,S37&gt;0),"OK","CHECK"))</x:f>
        <x:v>OK</x:v>
      </x:c>
    </x:row>
    <x:row r="38">
      <x:c r="R38" t="str">
        <x:f>IF(B38="","",SUMIF(ProductionConfiguration!$B$5:$B$914,C38,ProductionConfiguration!$S$5:$S$914))</x:f>
      </x:c>
      <x:c r="S38" t="str">
        <x:f>IF(B38="","",IF(K38="Line",R38,IF(K38="Section",SUMIFS(ProductionConfiguration!$S$5:$S$914,ProductionConfiguration!$B$5:$B$914,C38,ProductionConfiguration!$I$5:$I$914,L38),IF(K38="Cavity",IF(M38=1,SUMIFS(ProductionConfiguration!$P$5:$P$914,ProductionConfiguration!$B$5:$B$914,C38,ProductionConfiguration!$I$5:$I$914,L38),IF(M38=2,SUMIFS(ProductionConfiguration!$Q$5:$Q$914,ProductionConfiguration!$B$5:$B$914,C38,ProductionConfiguration!$I$5:$I$914,L38),SUMIFS(ProductionConfiguration!$R$5:$R$914,ProductionConfiguration!$B$5:$B$914,C38,ProductionConfiguration!$I$5:$I$914,L38))),0))))</x:f>
      </x:c>
      <x:c r="T38" t="str">
        <x:f>IF(B38="","",IFERROR(S38/R38,0))</x:f>
      </x:c>
      <x:c r="U38" t="str">
        <x:f>IF(B38="","",Q38*T38)</x:f>
      </x:c>
      <x:c r="V38" t="str">
        <x:f>IF(C38="","",SUMIF(DailyProduction!$Q$5:$Q$100,C38,DailyProduction!$J$5:$J$100))</x:f>
      </x:c>
      <x:c r="W38" t="str">
        <x:f>IF(B38="","",Q38*60*V38*S38)</x:f>
      </x:c>
      <x:c r="Y38" t="str">
        <x:f>IF(B38="","",IF(COUNTIF(JobChange!$S$5:$S$100,B38)=1,"OK","CHECK"))</x:f>
      </x:c>
      <x:c r="Z38" t="str">
        <x:f>IF(B38="","",IF(OR(AND(K38="Line",J38="L"&amp;E38),AND(K38="Section",J38="L"&amp;E38&amp;"-S"&amp;TEXT(L38,"00")),AND(K38="Cavity",J38="L"&amp;E38&amp;"-S"&amp;TEXT(L38,"00")&amp;"-C"&amp;M38)),"OK","CHECK"))</x:f>
      </x:c>
      <x:c r="AA38" t="str">
        <x:f>IF(B38="","",IF(AND(Q38&gt;0,OR(AND(O38="",P38=""),AND(O38&lt;&gt;"",P38&lt;&gt;"",P38&gt;=O38,ABS(Q38-((P38-O38)*24))&lt;=0.01))),"OK","CHECK"))</x:f>
      </x:c>
      <x:c r="AB38" t="str">
        <x:f>IF(B38="","",IF(AND(Y38="OK",Z38="OK",AA38="OK",R38&gt;0,S38&gt;0),"OK","CHECK"))</x:f>
      </x:c>
    </x:row>
    <x:row r="39">
      <x:c r="R39" t="str">
        <x:f>IF(B39="","",SUMIF(ProductionConfiguration!$B$5:$B$914,C39,ProductionConfiguration!$S$5:$S$914))</x:f>
      </x:c>
      <x:c r="S39" t="str">
        <x:f>IF(B39="","",IF(K39="Line",R39,IF(K39="Section",SUMIFS(ProductionConfiguration!$S$5:$S$914,ProductionConfiguration!$B$5:$B$914,C39,ProductionConfiguration!$I$5:$I$914,L39),IF(K39="Cavity",IF(M39=1,SUMIFS(ProductionConfiguration!$P$5:$P$914,ProductionConfiguration!$B$5:$B$914,C39,ProductionConfiguration!$I$5:$I$914,L39),IF(M39=2,SUMIFS(ProductionConfiguration!$Q$5:$Q$914,ProductionConfiguration!$B$5:$B$914,C39,ProductionConfiguration!$I$5:$I$914,L39),SUMIFS(ProductionConfiguration!$R$5:$R$914,ProductionConfiguration!$B$5:$B$914,C39,ProductionConfiguration!$I$5:$I$914,L39))),0))))</x:f>
      </x:c>
      <x:c r="T39" t="str">
        <x:f>IF(B39="","",IFERROR(S39/R39,0))</x:f>
      </x:c>
      <x:c r="U39" t="str">
        <x:f>IF(B39="","",Q39*T39)</x:f>
      </x:c>
      <x:c r="V39" t="str">
        <x:f>IF(C39="","",SUMIF(DailyProduction!$Q$5:$Q$100,C39,DailyProduction!$J$5:$J$100))</x:f>
      </x:c>
      <x:c r="W39" t="str">
        <x:f>IF(B39="","",Q39*60*V39*S39)</x:f>
      </x:c>
      <x:c r="Y39" t="str">
        <x:f>IF(B39="","",IF(COUNTIF(JobChange!$S$5:$S$100,B39)=1,"OK","CHECK"))</x:f>
      </x:c>
      <x:c r="Z39" t="str">
        <x:f>IF(B39="","",IF(OR(AND(K39="Line",J39="L"&amp;E39),AND(K39="Section",J39="L"&amp;E39&amp;"-S"&amp;TEXT(L39,"00")),AND(K39="Cavity",J39="L"&amp;E39&amp;"-S"&amp;TEXT(L39,"00")&amp;"-C"&amp;M39)),"OK","CHECK"))</x:f>
      </x:c>
      <x:c r="AA39" t="str">
        <x:f>IF(B39="","",IF(AND(Q39&gt;0,OR(AND(O39="",P39=""),AND(O39&lt;&gt;"",P39&lt;&gt;"",P39&gt;=O39,ABS(Q39-((P39-O39)*24))&lt;=0.01))),"OK","CHECK"))</x:f>
      </x:c>
      <x:c r="AB39" t="str">
        <x:f>IF(B39="","",IF(AND(Y39="OK",Z39="OK",AA39="OK",R39&gt;0,S39&gt;0),"OK","CHECK"))</x:f>
      </x:c>
    </x:row>
    <x:row r="40">
      <x:c r="R40" t="str">
        <x:f>IF(B40="","",SUMIF(ProductionConfiguration!$B$5:$B$914,C40,ProductionConfiguration!$S$5:$S$914))</x:f>
      </x:c>
      <x:c r="S40" t="str">
        <x:f>IF(B40="","",IF(K40="Line",R40,IF(K40="Section",SUMIFS(ProductionConfiguration!$S$5:$S$914,ProductionConfiguration!$B$5:$B$914,C40,ProductionConfiguration!$I$5:$I$914,L40),IF(K40="Cavity",IF(M40=1,SUMIFS(ProductionConfiguration!$P$5:$P$914,ProductionConfiguration!$B$5:$B$914,C40,ProductionConfiguration!$I$5:$I$914,L40),IF(M40=2,SUMIFS(ProductionConfiguration!$Q$5:$Q$914,ProductionConfiguration!$B$5:$B$914,C40,ProductionConfiguration!$I$5:$I$914,L40),SUMIFS(ProductionConfiguration!$R$5:$R$914,ProductionConfiguration!$B$5:$B$914,C40,ProductionConfiguration!$I$5:$I$914,L40))),0))))</x:f>
      </x:c>
      <x:c r="T40" t="str">
        <x:f>IF(B40="","",IFERROR(S40/R40,0))</x:f>
      </x:c>
      <x:c r="U40" t="str">
        <x:f>IF(B40="","",Q40*T40)</x:f>
      </x:c>
      <x:c r="V40" t="str">
        <x:f>IF(C40="","",SUMIF(DailyProduction!$Q$5:$Q$100,C40,DailyProduction!$J$5:$J$100))</x:f>
      </x:c>
      <x:c r="W40" t="str">
        <x:f>IF(B40="","",Q40*60*V40*S40)</x:f>
      </x:c>
      <x:c r="Y40" t="str">
        <x:f>IF(B40="","",IF(COUNTIF(JobChange!$S$5:$S$100,B40)=1,"OK","CHECK"))</x:f>
      </x:c>
      <x:c r="Z40" t="str">
        <x:f>IF(B40="","",IF(OR(AND(K40="Line",J40="L"&amp;E40),AND(K40="Section",J40="L"&amp;E40&amp;"-S"&amp;TEXT(L40,"00")),AND(K40="Cavity",J40="L"&amp;E40&amp;"-S"&amp;TEXT(L40,"00")&amp;"-C"&amp;M40)),"OK","CHECK"))</x:f>
      </x:c>
      <x:c r="AA40" t="str">
        <x:f>IF(B40="","",IF(AND(Q40&gt;0,OR(AND(O40="",P40=""),AND(O40&lt;&gt;"",P40&lt;&gt;"",P40&gt;=O40,ABS(Q40-((P40-O40)*24))&lt;=0.01))),"OK","CHECK"))</x:f>
      </x:c>
      <x:c r="AB40" t="str">
        <x:f>IF(B40="","",IF(AND(Y40="OK",Z40="OK",AA40="OK",R40&gt;0,S40&gt;0),"OK","CHECK"))</x:f>
      </x:c>
    </x:row>
    <x:row r="41">
      <x:c r="R41" t="str">
        <x:f>IF(B41="","",SUMIF(ProductionConfiguration!$B$5:$B$914,C41,ProductionConfiguration!$S$5:$S$914))</x:f>
      </x:c>
      <x:c r="S41" t="str">
        <x:f>IF(B41="","",IF(K41="Line",R41,IF(K41="Section",SUMIFS(ProductionConfiguration!$S$5:$S$914,ProductionConfiguration!$B$5:$B$914,C41,ProductionConfiguration!$I$5:$I$914,L41),IF(K41="Cavity",IF(M41=1,SUMIFS(ProductionConfiguration!$P$5:$P$914,ProductionConfiguration!$B$5:$B$914,C41,ProductionConfiguration!$I$5:$I$914,L41),IF(M41=2,SUMIFS(ProductionConfiguration!$Q$5:$Q$914,ProductionConfiguration!$B$5:$B$914,C41,ProductionConfiguration!$I$5:$I$914,L41),SUMIFS(ProductionConfiguration!$R$5:$R$914,ProductionConfiguration!$B$5:$B$914,C41,ProductionConfiguration!$I$5:$I$914,L41))),0))))</x:f>
      </x:c>
      <x:c r="T41" t="str">
        <x:f>IF(B41="","",IFERROR(S41/R41,0))</x:f>
      </x:c>
      <x:c r="U41" t="str">
        <x:f>IF(B41="","",Q41*T41)</x:f>
      </x:c>
      <x:c r="V41" t="str">
        <x:f>IF(C41="","",SUMIF(DailyProduction!$Q$5:$Q$100,C41,DailyProduction!$J$5:$J$100))</x:f>
      </x:c>
      <x:c r="W41" t="str">
        <x:f>IF(B41="","",Q41*60*V41*S41)</x:f>
      </x:c>
      <x:c r="Y41" t="str">
        <x:f>IF(B41="","",IF(COUNTIF(JobChange!$S$5:$S$100,B41)=1,"OK","CHECK"))</x:f>
      </x:c>
      <x:c r="Z41" t="str">
        <x:f>IF(B41="","",IF(OR(AND(K41="Line",J41="L"&amp;E41),AND(K41="Section",J41="L"&amp;E41&amp;"-S"&amp;TEXT(L41,"00")),AND(K41="Cavity",J41="L"&amp;E41&amp;"-S"&amp;TEXT(L41,"00")&amp;"-C"&amp;M41)),"OK","CHECK"))</x:f>
      </x:c>
      <x:c r="AA41" t="str">
        <x:f>IF(B41="","",IF(AND(Q41&gt;0,OR(AND(O41="",P41=""),AND(O41&lt;&gt;"",P41&lt;&gt;"",P41&gt;=O41,ABS(Q41-((P41-O41)*24))&lt;=0.01))),"OK","CHECK"))</x:f>
      </x:c>
      <x:c r="AB41" t="str">
        <x:f>IF(B41="","",IF(AND(Y41="OK",Z41="OK",AA41="OK",R41&gt;0,S41&gt;0),"OK","CHECK"))</x:f>
      </x:c>
    </x:row>
    <x:row r="42">
      <x:c r="R42" t="str">
        <x:f>IF(B42="","",SUMIF(ProductionConfiguration!$B$5:$B$914,C42,ProductionConfiguration!$S$5:$S$914))</x:f>
      </x:c>
      <x:c r="S42" t="str">
        <x:f>IF(B42="","",IF(K42="Line",R42,IF(K42="Section",SUMIFS(ProductionConfiguration!$S$5:$S$914,ProductionConfiguration!$B$5:$B$914,C42,ProductionConfiguration!$I$5:$I$914,L42),IF(K42="Cavity",IF(M42=1,SUMIFS(ProductionConfiguration!$P$5:$P$914,ProductionConfiguration!$B$5:$B$914,C42,ProductionConfiguration!$I$5:$I$914,L42),IF(M42=2,SUMIFS(ProductionConfiguration!$Q$5:$Q$914,ProductionConfiguration!$B$5:$B$914,C42,ProductionConfiguration!$I$5:$I$914,L42),SUMIFS(ProductionConfiguration!$R$5:$R$914,ProductionConfiguration!$B$5:$B$914,C42,ProductionConfiguration!$I$5:$I$914,L42))),0))))</x:f>
      </x:c>
      <x:c r="T42" t="str">
        <x:f>IF(B42="","",IFERROR(S42/R42,0))</x:f>
      </x:c>
      <x:c r="U42" t="str">
        <x:f>IF(B42="","",Q42*T42)</x:f>
      </x:c>
      <x:c r="V42" t="str">
        <x:f>IF(C42="","",SUMIF(DailyProduction!$Q$5:$Q$100,C42,DailyProduction!$J$5:$J$100))</x:f>
      </x:c>
      <x:c r="W42" t="str">
        <x:f>IF(B42="","",Q42*60*V42*S42)</x:f>
      </x:c>
      <x:c r="Y42" t="str">
        <x:f>IF(B42="","",IF(COUNTIF(JobChange!$S$5:$S$100,B42)=1,"OK","CHECK"))</x:f>
      </x:c>
      <x:c r="Z42" t="str">
        <x:f>IF(B42="","",IF(OR(AND(K42="Line",J42="L"&amp;E42),AND(K42="Section",J42="L"&amp;E42&amp;"-S"&amp;TEXT(L42,"00")),AND(K42="Cavity",J42="L"&amp;E42&amp;"-S"&amp;TEXT(L42,"00")&amp;"-C"&amp;M42)),"OK","CHECK"))</x:f>
      </x:c>
      <x:c r="AA42" t="str">
        <x:f>IF(B42="","",IF(AND(Q42&gt;0,OR(AND(O42="",P42=""),AND(O42&lt;&gt;"",P42&lt;&gt;"",P42&gt;=O42,ABS(Q42-((P42-O42)*24))&lt;=0.01))),"OK","CHECK"))</x:f>
      </x:c>
      <x:c r="AB42" t="str">
        <x:f>IF(B42="","",IF(AND(Y42="OK",Z42="OK",AA42="OK",R42&gt;0,S42&gt;0),"OK","CHECK"))</x:f>
      </x:c>
    </x:row>
    <x:row r="43">
      <x:c r="R43" t="str">
        <x:f>IF(B43="","",SUMIF(ProductionConfiguration!$B$5:$B$914,C43,ProductionConfiguration!$S$5:$S$914))</x:f>
      </x:c>
      <x:c r="S43" t="str">
        <x:f>IF(B43="","",IF(K43="Line",R43,IF(K43="Section",SUMIFS(ProductionConfiguration!$S$5:$S$914,ProductionConfiguration!$B$5:$B$914,C43,ProductionConfiguration!$I$5:$I$914,L43),IF(K43="Cavity",IF(M43=1,SUMIFS(ProductionConfiguration!$P$5:$P$914,ProductionConfiguration!$B$5:$B$914,C43,ProductionConfiguration!$I$5:$I$914,L43),IF(M43=2,SUMIFS(ProductionConfiguration!$Q$5:$Q$914,ProductionConfiguration!$B$5:$B$914,C43,ProductionConfiguration!$I$5:$I$914,L43),SUMIFS(ProductionConfiguration!$R$5:$R$914,ProductionConfiguration!$B$5:$B$914,C43,ProductionConfiguration!$I$5:$I$914,L43))),0))))</x:f>
      </x:c>
      <x:c r="T43" t="str">
        <x:f>IF(B43="","",IFERROR(S43/R43,0))</x:f>
      </x:c>
      <x:c r="U43" t="str">
        <x:f>IF(B43="","",Q43*T43)</x:f>
      </x:c>
      <x:c r="V43" t="str">
        <x:f>IF(C43="","",SUMIF(DailyProduction!$Q$5:$Q$100,C43,DailyProduction!$J$5:$J$100))</x:f>
      </x:c>
      <x:c r="W43" t="str">
        <x:f>IF(B43="","",Q43*60*V43*S43)</x:f>
      </x:c>
      <x:c r="Y43" t="str">
        <x:f>IF(B43="","",IF(COUNTIF(JobChange!$S$5:$S$100,B43)=1,"OK","CHECK"))</x:f>
      </x:c>
      <x:c r="Z43" t="str">
        <x:f>IF(B43="","",IF(OR(AND(K43="Line",J43="L"&amp;E43),AND(K43="Section",J43="L"&amp;E43&amp;"-S"&amp;TEXT(L43,"00")),AND(K43="Cavity",J43="L"&amp;E43&amp;"-S"&amp;TEXT(L43,"00")&amp;"-C"&amp;M43)),"OK","CHECK"))</x:f>
      </x:c>
      <x:c r="AA43" t="str">
        <x:f>IF(B43="","",IF(AND(Q43&gt;0,OR(AND(O43="",P43=""),AND(O43&lt;&gt;"",P43&lt;&gt;"",P43&gt;=O43,ABS(Q43-((P43-O43)*24))&lt;=0.01))),"OK","CHECK"))</x:f>
      </x:c>
      <x:c r="AB43" t="str">
        <x:f>IF(B43="","",IF(AND(Y43="OK",Z43="OK",AA43="OK",R43&gt;0,S43&gt;0),"OK","CHECK"))</x:f>
      </x:c>
    </x:row>
    <x:row r="44">
      <x:c r="R44" t="str">
        <x:f>IF(B44="","",SUMIF(ProductionConfiguration!$B$5:$B$914,C44,ProductionConfiguration!$S$5:$S$914))</x:f>
      </x:c>
      <x:c r="S44" t="str">
        <x:f>IF(B44="","",IF(K44="Line",R44,IF(K44="Section",SUMIFS(ProductionConfiguration!$S$5:$S$914,ProductionConfiguration!$B$5:$B$914,C44,ProductionConfiguration!$I$5:$I$914,L44),IF(K44="Cavity",IF(M44=1,SUMIFS(ProductionConfiguration!$P$5:$P$914,ProductionConfiguration!$B$5:$B$914,C44,ProductionConfiguration!$I$5:$I$914,L44),IF(M44=2,SUMIFS(ProductionConfiguration!$Q$5:$Q$914,ProductionConfiguration!$B$5:$B$914,C44,ProductionConfiguration!$I$5:$I$914,L44),SUMIFS(ProductionConfiguration!$R$5:$R$914,ProductionConfiguration!$B$5:$B$914,C44,ProductionConfiguration!$I$5:$I$914,L44))),0))))</x:f>
      </x:c>
      <x:c r="T44" t="str">
        <x:f>IF(B44="","",IFERROR(S44/R44,0))</x:f>
      </x:c>
      <x:c r="U44" t="str">
        <x:f>IF(B44="","",Q44*T44)</x:f>
      </x:c>
      <x:c r="V44" t="str">
        <x:f>IF(C44="","",SUMIF(DailyProduction!$Q$5:$Q$100,C44,DailyProduction!$J$5:$J$100))</x:f>
      </x:c>
      <x:c r="W44" t="str">
        <x:f>IF(B44="","",Q44*60*V44*S44)</x:f>
      </x:c>
      <x:c r="Y44" t="str">
        <x:f>IF(B44="","",IF(COUNTIF(JobChange!$S$5:$S$100,B44)=1,"OK","CHECK"))</x:f>
      </x:c>
      <x:c r="Z44" t="str">
        <x:f>IF(B44="","",IF(OR(AND(K44="Line",J44="L"&amp;E44),AND(K44="Section",J44="L"&amp;E44&amp;"-S"&amp;TEXT(L44,"00")),AND(K44="Cavity",J44="L"&amp;E44&amp;"-S"&amp;TEXT(L44,"00")&amp;"-C"&amp;M44)),"OK","CHECK"))</x:f>
      </x:c>
      <x:c r="AA44" t="str">
        <x:f>IF(B44="","",IF(AND(Q44&gt;0,OR(AND(O44="",P44=""),AND(O44&lt;&gt;"",P44&lt;&gt;"",P44&gt;=O44,ABS(Q44-((P44-O44)*24))&lt;=0.01))),"OK","CHECK"))</x:f>
      </x:c>
      <x:c r="AB44" t="str">
        <x:f>IF(B44="","",IF(AND(Y44="OK",Z44="OK",AA44="OK",R44&gt;0,S44&gt;0),"OK","CHECK"))</x:f>
      </x:c>
    </x:row>
    <x:row r="45">
      <x:c r="R45" t="str">
        <x:f>IF(B45="","",SUMIF(ProductionConfiguration!$B$5:$B$914,C45,ProductionConfiguration!$S$5:$S$914))</x:f>
      </x:c>
      <x:c r="S45" t="str">
        <x:f>IF(B45="","",IF(K45="Line",R45,IF(K45="Section",SUMIFS(ProductionConfiguration!$S$5:$S$914,ProductionConfiguration!$B$5:$B$914,C45,ProductionConfiguration!$I$5:$I$914,L45),IF(K45="Cavity",IF(M45=1,SUMIFS(ProductionConfiguration!$P$5:$P$914,ProductionConfiguration!$B$5:$B$914,C45,ProductionConfiguration!$I$5:$I$914,L45),IF(M45=2,SUMIFS(ProductionConfiguration!$Q$5:$Q$914,ProductionConfiguration!$B$5:$B$914,C45,ProductionConfiguration!$I$5:$I$914,L45),SUMIFS(ProductionConfiguration!$R$5:$R$914,ProductionConfiguration!$B$5:$B$914,C45,ProductionConfiguration!$I$5:$I$914,L45))),0))))</x:f>
      </x:c>
      <x:c r="T45" t="str">
        <x:f>IF(B45="","",IFERROR(S45/R45,0))</x:f>
      </x:c>
      <x:c r="U45" t="str">
        <x:f>IF(B45="","",Q45*T45)</x:f>
      </x:c>
      <x:c r="V45" t="str">
        <x:f>IF(C45="","",SUMIF(DailyProduction!$Q$5:$Q$100,C45,DailyProduction!$J$5:$J$100))</x:f>
      </x:c>
      <x:c r="W45" t="str">
        <x:f>IF(B45="","",Q45*60*V45*S45)</x:f>
      </x:c>
      <x:c r="Y45" t="str">
        <x:f>IF(B45="","",IF(COUNTIF(JobChange!$S$5:$S$100,B45)=1,"OK","CHECK"))</x:f>
      </x:c>
      <x:c r="Z45" t="str">
        <x:f>IF(B45="","",IF(OR(AND(K45="Line",J45="L"&amp;E45),AND(K45="Section",J45="L"&amp;E45&amp;"-S"&amp;TEXT(L45,"00")),AND(K45="Cavity",J45="L"&amp;E45&amp;"-S"&amp;TEXT(L45,"00")&amp;"-C"&amp;M45)),"OK","CHECK"))</x:f>
      </x:c>
      <x:c r="AA45" t="str">
        <x:f>IF(B45="","",IF(AND(Q45&gt;0,OR(AND(O45="",P45=""),AND(O45&lt;&gt;"",P45&lt;&gt;"",P45&gt;=O45,ABS(Q45-((P45-O45)*24))&lt;=0.01))),"OK","CHECK"))</x:f>
      </x:c>
      <x:c r="AB45" t="str">
        <x:f>IF(B45="","",IF(AND(Y45="OK",Z45="OK",AA45="OK",R45&gt;0,S45&gt;0),"OK","CHECK"))</x:f>
      </x:c>
    </x:row>
    <x:row r="46">
      <x:c r="R46" t="str">
        <x:f>IF(B46="","",SUMIF(ProductionConfiguration!$B$5:$B$914,C46,ProductionConfiguration!$S$5:$S$914))</x:f>
      </x:c>
      <x:c r="S46" t="str">
        <x:f>IF(B46="","",IF(K46="Line",R46,IF(K46="Section",SUMIFS(ProductionConfiguration!$S$5:$S$914,ProductionConfiguration!$B$5:$B$914,C46,ProductionConfiguration!$I$5:$I$914,L46),IF(K46="Cavity",IF(M46=1,SUMIFS(ProductionConfiguration!$P$5:$P$914,ProductionConfiguration!$B$5:$B$914,C46,ProductionConfiguration!$I$5:$I$914,L46),IF(M46=2,SUMIFS(ProductionConfiguration!$Q$5:$Q$914,ProductionConfiguration!$B$5:$B$914,C46,ProductionConfiguration!$I$5:$I$914,L46),SUMIFS(ProductionConfiguration!$R$5:$R$914,ProductionConfiguration!$B$5:$B$914,C46,ProductionConfiguration!$I$5:$I$914,L46))),0))))</x:f>
      </x:c>
      <x:c r="T46" t="str">
        <x:f>IF(B46="","",IFERROR(S46/R46,0))</x:f>
      </x:c>
      <x:c r="U46" t="str">
        <x:f>IF(B46="","",Q46*T46)</x:f>
      </x:c>
      <x:c r="V46" t="str">
        <x:f>IF(C46="","",SUMIF(DailyProduction!$Q$5:$Q$100,C46,DailyProduction!$J$5:$J$100))</x:f>
      </x:c>
      <x:c r="W46" t="str">
        <x:f>IF(B46="","",Q46*60*V46*S46)</x:f>
      </x:c>
      <x:c r="Y46" t="str">
        <x:f>IF(B46="","",IF(COUNTIF(JobChange!$S$5:$S$100,B46)=1,"OK","CHECK"))</x:f>
      </x:c>
      <x:c r="Z46" t="str">
        <x:f>IF(B46="","",IF(OR(AND(K46="Line",J46="L"&amp;E46),AND(K46="Section",J46="L"&amp;E46&amp;"-S"&amp;TEXT(L46,"00")),AND(K46="Cavity",J46="L"&amp;E46&amp;"-S"&amp;TEXT(L46,"00")&amp;"-C"&amp;M46)),"OK","CHECK"))</x:f>
      </x:c>
      <x:c r="AA46" t="str">
        <x:f>IF(B46="","",IF(AND(Q46&gt;0,OR(AND(O46="",P46=""),AND(O46&lt;&gt;"",P46&lt;&gt;"",P46&gt;=O46,ABS(Q46-((P46-O46)*24))&lt;=0.01))),"OK","CHECK"))</x:f>
      </x:c>
      <x:c r="AB46" t="str">
        <x:f>IF(B46="","",IF(AND(Y46="OK",Z46="OK",AA46="OK",R46&gt;0,S46&gt;0),"OK","CHECK"))</x:f>
      </x:c>
    </x:row>
    <x:row r="47">
      <x:c r="R47" t="str">
        <x:f>IF(B47="","",SUMIF(ProductionConfiguration!$B$5:$B$914,C47,ProductionConfiguration!$S$5:$S$914))</x:f>
      </x:c>
      <x:c r="S47" t="str">
        <x:f>IF(B47="","",IF(K47="Line",R47,IF(K47="Section",SUMIFS(ProductionConfiguration!$S$5:$S$914,ProductionConfiguration!$B$5:$B$914,C47,ProductionConfiguration!$I$5:$I$914,L47),IF(K47="Cavity",IF(M47=1,SUMIFS(ProductionConfiguration!$P$5:$P$914,ProductionConfiguration!$B$5:$B$914,C47,ProductionConfiguration!$I$5:$I$914,L47),IF(M47=2,SUMIFS(ProductionConfiguration!$Q$5:$Q$914,ProductionConfiguration!$B$5:$B$914,C47,ProductionConfiguration!$I$5:$I$914,L47),SUMIFS(ProductionConfiguration!$R$5:$R$914,ProductionConfiguration!$B$5:$B$914,C47,ProductionConfiguration!$I$5:$I$914,L47))),0))))</x:f>
      </x:c>
      <x:c r="T47" t="str">
        <x:f>IF(B47="","",IFERROR(S47/R47,0))</x:f>
      </x:c>
      <x:c r="U47" t="str">
        <x:f>IF(B47="","",Q47*T47)</x:f>
      </x:c>
      <x:c r="V47" t="str">
        <x:f>IF(C47="","",SUMIF(DailyProduction!$Q$5:$Q$100,C47,DailyProduction!$J$5:$J$100))</x:f>
      </x:c>
      <x:c r="W47" t="str">
        <x:f>IF(B47="","",Q47*60*V47*S47)</x:f>
      </x:c>
      <x:c r="Y47" t="str">
        <x:f>IF(B47="","",IF(COUNTIF(JobChange!$S$5:$S$100,B47)=1,"OK","CHECK"))</x:f>
      </x:c>
      <x:c r="Z47" t="str">
        <x:f>IF(B47="","",IF(OR(AND(K47="Line",J47="L"&amp;E47),AND(K47="Section",J47="L"&amp;E47&amp;"-S"&amp;TEXT(L47,"00")),AND(K47="Cavity",J47="L"&amp;E47&amp;"-S"&amp;TEXT(L47,"00")&amp;"-C"&amp;M47)),"OK","CHECK"))</x:f>
      </x:c>
      <x:c r="AA47" t="str">
        <x:f>IF(B47="","",IF(AND(Q47&gt;0,OR(AND(O47="",P47=""),AND(O47&lt;&gt;"",P47&lt;&gt;"",P47&gt;=O47,ABS(Q47-((P47-O47)*24))&lt;=0.01))),"OK","CHECK"))</x:f>
      </x:c>
      <x:c r="AB47" t="str">
        <x:f>IF(B47="","",IF(AND(Y47="OK",Z47="OK",AA47="OK",R47&gt;0,S47&gt;0),"OK","CHECK"))</x:f>
      </x:c>
    </x:row>
    <x:row r="48">
      <x:c r="R48" t="str">
        <x:f>IF(B48="","",SUMIF(ProductionConfiguration!$B$5:$B$914,C48,ProductionConfiguration!$S$5:$S$914))</x:f>
      </x:c>
      <x:c r="S48" t="str">
        <x:f>IF(B48="","",IF(K48="Line",R48,IF(K48="Section",SUMIFS(ProductionConfiguration!$S$5:$S$914,ProductionConfiguration!$B$5:$B$914,C48,ProductionConfiguration!$I$5:$I$914,L48),IF(K48="Cavity",IF(M48=1,SUMIFS(ProductionConfiguration!$P$5:$P$914,ProductionConfiguration!$B$5:$B$914,C48,ProductionConfiguration!$I$5:$I$914,L48),IF(M48=2,SUMIFS(ProductionConfiguration!$Q$5:$Q$914,ProductionConfiguration!$B$5:$B$914,C48,ProductionConfiguration!$I$5:$I$914,L48),SUMIFS(ProductionConfiguration!$R$5:$R$914,ProductionConfiguration!$B$5:$B$914,C48,ProductionConfiguration!$I$5:$I$914,L48))),0))))</x:f>
      </x:c>
      <x:c r="T48" t="str">
        <x:f>IF(B48="","",IFERROR(S48/R48,0))</x:f>
      </x:c>
      <x:c r="U48" t="str">
        <x:f>IF(B48="","",Q48*T48)</x:f>
      </x:c>
      <x:c r="V48" t="str">
        <x:f>IF(C48="","",SUMIF(DailyProduction!$Q$5:$Q$100,C48,DailyProduction!$J$5:$J$100))</x:f>
      </x:c>
      <x:c r="W48" t="str">
        <x:f>IF(B48="","",Q48*60*V48*S48)</x:f>
      </x:c>
      <x:c r="Y48" t="str">
        <x:f>IF(B48="","",IF(COUNTIF(JobChange!$S$5:$S$100,B48)=1,"OK","CHECK"))</x:f>
      </x:c>
      <x:c r="Z48" t="str">
        <x:f>IF(B48="","",IF(OR(AND(K48="Line",J48="L"&amp;E48),AND(K48="Section",J48="L"&amp;E48&amp;"-S"&amp;TEXT(L48,"00")),AND(K48="Cavity",J48="L"&amp;E48&amp;"-S"&amp;TEXT(L48,"00")&amp;"-C"&amp;M48)),"OK","CHECK"))</x:f>
      </x:c>
      <x:c r="AA48" t="str">
        <x:f>IF(B48="","",IF(AND(Q48&gt;0,OR(AND(O48="",P48=""),AND(O48&lt;&gt;"",P48&lt;&gt;"",P48&gt;=O48,ABS(Q48-((P48-O48)*24))&lt;=0.01))),"OK","CHECK"))</x:f>
      </x:c>
      <x:c r="AB48" t="str">
        <x:f>IF(B48="","",IF(AND(Y48="OK",Z48="OK",AA48="OK",R48&gt;0,S48&gt;0),"OK","CHECK"))</x:f>
      </x:c>
    </x:row>
    <x:row r="49">
      <x:c r="R49" t="str">
        <x:f>IF(B49="","",SUMIF(ProductionConfiguration!$B$5:$B$914,C49,ProductionConfiguration!$S$5:$S$914))</x:f>
      </x:c>
      <x:c r="S49" t="str">
        <x:f>IF(B49="","",IF(K49="Line",R49,IF(K49="Section",SUMIFS(ProductionConfiguration!$S$5:$S$914,ProductionConfiguration!$B$5:$B$914,C49,ProductionConfiguration!$I$5:$I$914,L49),IF(K49="Cavity",IF(M49=1,SUMIFS(ProductionConfiguration!$P$5:$P$914,ProductionConfiguration!$B$5:$B$914,C49,ProductionConfiguration!$I$5:$I$914,L49),IF(M49=2,SUMIFS(ProductionConfiguration!$Q$5:$Q$914,ProductionConfiguration!$B$5:$B$914,C49,ProductionConfiguration!$I$5:$I$914,L49),SUMIFS(ProductionConfiguration!$R$5:$R$914,ProductionConfiguration!$B$5:$B$914,C49,ProductionConfiguration!$I$5:$I$914,L49))),0))))</x:f>
      </x:c>
      <x:c r="T49" t="str">
        <x:f>IF(B49="","",IFERROR(S49/R49,0))</x:f>
      </x:c>
      <x:c r="U49" t="str">
        <x:f>IF(B49="","",Q49*T49)</x:f>
      </x:c>
      <x:c r="V49" t="str">
        <x:f>IF(C49="","",SUMIF(DailyProduction!$Q$5:$Q$100,C49,DailyProduction!$J$5:$J$100))</x:f>
      </x:c>
      <x:c r="W49" t="str">
        <x:f>IF(B49="","",Q49*60*V49*S49)</x:f>
      </x:c>
      <x:c r="Y49" t="str">
        <x:f>IF(B49="","",IF(COUNTIF(JobChange!$S$5:$S$100,B49)=1,"OK","CHECK"))</x:f>
      </x:c>
      <x:c r="Z49" t="str">
        <x:f>IF(B49="","",IF(OR(AND(K49="Line",J49="L"&amp;E49),AND(K49="Section",J49="L"&amp;E49&amp;"-S"&amp;TEXT(L49,"00")),AND(K49="Cavity",J49="L"&amp;E49&amp;"-S"&amp;TEXT(L49,"00")&amp;"-C"&amp;M49)),"OK","CHECK"))</x:f>
      </x:c>
      <x:c r="AA49" t="str">
        <x:f>IF(B49="","",IF(AND(Q49&gt;0,OR(AND(O49="",P49=""),AND(O49&lt;&gt;"",P49&lt;&gt;"",P49&gt;=O49,ABS(Q49-((P49-O49)*24))&lt;=0.01))),"OK","CHECK"))</x:f>
      </x:c>
      <x:c r="AB49" t="str">
        <x:f>IF(B49="","",IF(AND(Y49="OK",Z49="OK",AA49="OK",R49&gt;0,S49&gt;0),"OK","CHECK"))</x:f>
      </x:c>
    </x:row>
    <x:row r="50">
      <x:c r="R50" t="str">
        <x:f>IF(B50="","",SUMIF(ProductionConfiguration!$B$5:$B$914,C50,ProductionConfiguration!$S$5:$S$914))</x:f>
      </x:c>
      <x:c r="S50" t="str">
        <x:f>IF(B50="","",IF(K50="Line",R50,IF(K50="Section",SUMIFS(ProductionConfiguration!$S$5:$S$914,ProductionConfiguration!$B$5:$B$914,C50,ProductionConfiguration!$I$5:$I$914,L50),IF(K50="Cavity",IF(M50=1,SUMIFS(ProductionConfiguration!$P$5:$P$914,ProductionConfiguration!$B$5:$B$914,C50,ProductionConfiguration!$I$5:$I$914,L50),IF(M50=2,SUMIFS(ProductionConfiguration!$Q$5:$Q$914,ProductionConfiguration!$B$5:$B$914,C50,ProductionConfiguration!$I$5:$I$914,L50),SUMIFS(ProductionConfiguration!$R$5:$R$914,ProductionConfiguration!$B$5:$B$914,C50,ProductionConfiguration!$I$5:$I$914,L50))),0))))</x:f>
      </x:c>
      <x:c r="T50" t="str">
        <x:f>IF(B50="","",IFERROR(S50/R50,0))</x:f>
      </x:c>
      <x:c r="U50" t="str">
        <x:f>IF(B50="","",Q50*T50)</x:f>
      </x:c>
      <x:c r="V50" t="str">
        <x:f>IF(C50="","",SUMIF(DailyProduction!$Q$5:$Q$100,C50,DailyProduction!$J$5:$J$100))</x:f>
      </x:c>
      <x:c r="W50" t="str">
        <x:f>IF(B50="","",Q50*60*V50*S50)</x:f>
      </x:c>
      <x:c r="Y50" t="str">
        <x:f>IF(B50="","",IF(COUNTIF(JobChange!$S$5:$S$100,B50)=1,"OK","CHECK"))</x:f>
      </x:c>
      <x:c r="Z50" t="str">
        <x:f>IF(B50="","",IF(OR(AND(K50="Line",J50="L"&amp;E50),AND(K50="Section",J50="L"&amp;E50&amp;"-S"&amp;TEXT(L50,"00")),AND(K50="Cavity",J50="L"&amp;E50&amp;"-S"&amp;TEXT(L50,"00")&amp;"-C"&amp;M50)),"OK","CHECK"))</x:f>
      </x:c>
      <x:c r="AA50" t="str">
        <x:f>IF(B50="","",IF(AND(Q50&gt;0,OR(AND(O50="",P50=""),AND(O50&lt;&gt;"",P50&lt;&gt;"",P50&gt;=O50,ABS(Q50-((P50-O50)*24))&lt;=0.01))),"OK","CHECK"))</x:f>
      </x:c>
      <x:c r="AB50" t="str">
        <x:f>IF(B50="","",IF(AND(Y50="OK",Z50="OK",AA50="OK",R50&gt;0,S50&gt;0),"OK","CHECK"))</x:f>
      </x:c>
    </x:row>
    <x:row r="51">
      <x:c r="R51" t="str">
        <x:f>IF(B51="","",SUMIF(ProductionConfiguration!$B$5:$B$914,C51,ProductionConfiguration!$S$5:$S$914))</x:f>
      </x:c>
      <x:c r="S51" t="str">
        <x:f>IF(B51="","",IF(K51="Line",R51,IF(K51="Section",SUMIFS(ProductionConfiguration!$S$5:$S$914,ProductionConfiguration!$B$5:$B$914,C51,ProductionConfiguration!$I$5:$I$914,L51),IF(K51="Cavity",IF(M51=1,SUMIFS(ProductionConfiguration!$P$5:$P$914,ProductionConfiguration!$B$5:$B$914,C51,ProductionConfiguration!$I$5:$I$914,L51),IF(M51=2,SUMIFS(ProductionConfiguration!$Q$5:$Q$914,ProductionConfiguration!$B$5:$B$914,C51,ProductionConfiguration!$I$5:$I$914,L51),SUMIFS(ProductionConfiguration!$R$5:$R$914,ProductionConfiguration!$B$5:$B$914,C51,ProductionConfiguration!$I$5:$I$914,L51))),0))))</x:f>
      </x:c>
      <x:c r="T51" t="str">
        <x:f>IF(B51="","",IFERROR(S51/R51,0))</x:f>
      </x:c>
      <x:c r="U51" t="str">
        <x:f>IF(B51="","",Q51*T51)</x:f>
      </x:c>
      <x:c r="V51" t="str">
        <x:f>IF(C51="","",SUMIF(DailyProduction!$Q$5:$Q$100,C51,DailyProduction!$J$5:$J$100))</x:f>
      </x:c>
      <x:c r="W51" t="str">
        <x:f>IF(B51="","",Q51*60*V51*S51)</x:f>
      </x:c>
      <x:c r="Y51" t="str">
        <x:f>IF(B51="","",IF(COUNTIF(JobChange!$S$5:$S$100,B51)=1,"OK","CHECK"))</x:f>
      </x:c>
      <x:c r="Z51" t="str">
        <x:f>IF(B51="","",IF(OR(AND(K51="Line",J51="L"&amp;E51),AND(K51="Section",J51="L"&amp;E51&amp;"-S"&amp;TEXT(L51,"00")),AND(K51="Cavity",J51="L"&amp;E51&amp;"-S"&amp;TEXT(L51,"00")&amp;"-C"&amp;M51)),"OK","CHECK"))</x:f>
      </x:c>
      <x:c r="AA51" t="str">
        <x:f>IF(B51="","",IF(AND(Q51&gt;0,OR(AND(O51="",P51=""),AND(O51&lt;&gt;"",P51&lt;&gt;"",P51&gt;=O51,ABS(Q51-((P51-O51)*24))&lt;=0.01))),"OK","CHECK"))</x:f>
      </x:c>
      <x:c r="AB51" t="str">
        <x:f>IF(B51="","",IF(AND(Y51="OK",Z51="OK",AA51="OK",R51&gt;0,S51&gt;0),"OK","CHECK"))</x:f>
      </x:c>
    </x:row>
    <x:row r="52">
      <x:c r="R52" t="str">
        <x:f>IF(B52="","",SUMIF(ProductionConfiguration!$B$5:$B$914,C52,ProductionConfiguration!$S$5:$S$914))</x:f>
      </x:c>
      <x:c r="S52" t="str">
        <x:f>IF(B52="","",IF(K52="Line",R52,IF(K52="Section",SUMIFS(ProductionConfiguration!$S$5:$S$914,ProductionConfiguration!$B$5:$B$914,C52,ProductionConfiguration!$I$5:$I$914,L52),IF(K52="Cavity",IF(M52=1,SUMIFS(ProductionConfiguration!$P$5:$P$914,ProductionConfiguration!$B$5:$B$914,C52,ProductionConfiguration!$I$5:$I$914,L52),IF(M52=2,SUMIFS(ProductionConfiguration!$Q$5:$Q$914,ProductionConfiguration!$B$5:$B$914,C52,ProductionConfiguration!$I$5:$I$914,L52),SUMIFS(ProductionConfiguration!$R$5:$R$914,ProductionConfiguration!$B$5:$B$914,C52,ProductionConfiguration!$I$5:$I$914,L52))),0))))</x:f>
      </x:c>
      <x:c r="T52" t="str">
        <x:f>IF(B52="","",IFERROR(S52/R52,0))</x:f>
      </x:c>
      <x:c r="U52" t="str">
        <x:f>IF(B52="","",Q52*T52)</x:f>
      </x:c>
      <x:c r="V52" t="str">
        <x:f>IF(C52="","",SUMIF(DailyProduction!$Q$5:$Q$100,C52,DailyProduction!$J$5:$J$100))</x:f>
      </x:c>
      <x:c r="W52" t="str">
        <x:f>IF(B52="","",Q52*60*V52*S52)</x:f>
      </x:c>
      <x:c r="Y52" t="str">
        <x:f>IF(B52="","",IF(COUNTIF(JobChange!$S$5:$S$100,B52)=1,"OK","CHECK"))</x:f>
      </x:c>
      <x:c r="Z52" t="str">
        <x:f>IF(B52="","",IF(OR(AND(K52="Line",J52="L"&amp;E52),AND(K52="Section",J52="L"&amp;E52&amp;"-S"&amp;TEXT(L52,"00")),AND(K52="Cavity",J52="L"&amp;E52&amp;"-S"&amp;TEXT(L52,"00")&amp;"-C"&amp;M52)),"OK","CHECK"))</x:f>
      </x:c>
      <x:c r="AA52" t="str">
        <x:f>IF(B52="","",IF(AND(Q52&gt;0,OR(AND(O52="",P52=""),AND(O52&lt;&gt;"",P52&lt;&gt;"",P52&gt;=O52,ABS(Q52-((P52-O52)*24))&lt;=0.01))),"OK","CHECK"))</x:f>
      </x:c>
      <x:c r="AB52" t="str">
        <x:f>IF(B52="","",IF(AND(Y52="OK",Z52="OK",AA52="OK",R52&gt;0,S52&gt;0),"OK","CHECK"))</x:f>
      </x:c>
    </x:row>
    <x:row r="53">
      <x:c r="R53" t="str">
        <x:f>IF(B53="","",SUMIF(ProductionConfiguration!$B$5:$B$914,C53,ProductionConfiguration!$S$5:$S$914))</x:f>
      </x:c>
      <x:c r="S53" t="str">
        <x:f>IF(B53="","",IF(K53="Line",R53,IF(K53="Section",SUMIFS(ProductionConfiguration!$S$5:$S$914,ProductionConfiguration!$B$5:$B$914,C53,ProductionConfiguration!$I$5:$I$914,L53),IF(K53="Cavity",IF(M53=1,SUMIFS(ProductionConfiguration!$P$5:$P$914,ProductionConfiguration!$B$5:$B$914,C53,ProductionConfiguration!$I$5:$I$914,L53),IF(M53=2,SUMIFS(ProductionConfiguration!$Q$5:$Q$914,ProductionConfiguration!$B$5:$B$914,C53,ProductionConfiguration!$I$5:$I$914,L53),SUMIFS(ProductionConfiguration!$R$5:$R$914,ProductionConfiguration!$B$5:$B$914,C53,ProductionConfiguration!$I$5:$I$914,L53))),0))))</x:f>
      </x:c>
      <x:c r="T53" t="str">
        <x:f>IF(B53="","",IFERROR(S53/R53,0))</x:f>
      </x:c>
      <x:c r="U53" t="str">
        <x:f>IF(B53="","",Q53*T53)</x:f>
      </x:c>
      <x:c r="V53" t="str">
        <x:f>IF(C53="","",SUMIF(DailyProduction!$Q$5:$Q$100,C53,DailyProduction!$J$5:$J$100))</x:f>
      </x:c>
      <x:c r="W53" t="str">
        <x:f>IF(B53="","",Q53*60*V53*S53)</x:f>
      </x:c>
      <x:c r="Y53" t="str">
        <x:f>IF(B53="","",IF(COUNTIF(JobChange!$S$5:$S$100,B53)=1,"OK","CHECK"))</x:f>
      </x:c>
      <x:c r="Z53" t="str">
        <x:f>IF(B53="","",IF(OR(AND(K53="Line",J53="L"&amp;E53),AND(K53="Section",J53="L"&amp;E53&amp;"-S"&amp;TEXT(L53,"00")),AND(K53="Cavity",J53="L"&amp;E53&amp;"-S"&amp;TEXT(L53,"00")&amp;"-C"&amp;M53)),"OK","CHECK"))</x:f>
      </x:c>
      <x:c r="AA53" t="str">
        <x:f>IF(B53="","",IF(AND(Q53&gt;0,OR(AND(O53="",P53=""),AND(O53&lt;&gt;"",P53&lt;&gt;"",P53&gt;=O53,ABS(Q53-((P53-O53)*24))&lt;=0.01))),"OK","CHECK"))</x:f>
      </x:c>
      <x:c r="AB53" t="str">
        <x:f>IF(B53="","",IF(AND(Y53="OK",Z53="OK",AA53="OK",R53&gt;0,S53&gt;0),"OK","CHECK"))</x:f>
      </x:c>
    </x:row>
    <x:row r="54">
      <x:c r="R54" t="str">
        <x:f>IF(B54="","",SUMIF(ProductionConfiguration!$B$5:$B$914,C54,ProductionConfiguration!$S$5:$S$914))</x:f>
      </x:c>
      <x:c r="S54" t="str">
        <x:f>IF(B54="","",IF(K54="Line",R54,IF(K54="Section",SUMIFS(ProductionConfiguration!$S$5:$S$914,ProductionConfiguration!$B$5:$B$914,C54,ProductionConfiguration!$I$5:$I$914,L54),IF(K54="Cavity",IF(M54=1,SUMIFS(ProductionConfiguration!$P$5:$P$914,ProductionConfiguration!$B$5:$B$914,C54,ProductionConfiguration!$I$5:$I$914,L54),IF(M54=2,SUMIFS(ProductionConfiguration!$Q$5:$Q$914,ProductionConfiguration!$B$5:$B$914,C54,ProductionConfiguration!$I$5:$I$914,L54),SUMIFS(ProductionConfiguration!$R$5:$R$914,ProductionConfiguration!$B$5:$B$914,C54,ProductionConfiguration!$I$5:$I$914,L54))),0))))</x:f>
      </x:c>
      <x:c r="T54" t="str">
        <x:f>IF(B54="","",IFERROR(S54/R54,0))</x:f>
      </x:c>
      <x:c r="U54" t="str">
        <x:f>IF(B54="","",Q54*T54)</x:f>
      </x:c>
      <x:c r="V54" t="str">
        <x:f>IF(C54="","",SUMIF(DailyProduction!$Q$5:$Q$100,C54,DailyProduction!$J$5:$J$100))</x:f>
      </x:c>
      <x:c r="W54" t="str">
        <x:f>IF(B54="","",Q54*60*V54*S54)</x:f>
      </x:c>
      <x:c r="Y54" t="str">
        <x:f>IF(B54="","",IF(COUNTIF(JobChange!$S$5:$S$100,B54)=1,"OK","CHECK"))</x:f>
      </x:c>
      <x:c r="Z54" t="str">
        <x:f>IF(B54="","",IF(OR(AND(K54="Line",J54="L"&amp;E54),AND(K54="Section",J54="L"&amp;E54&amp;"-S"&amp;TEXT(L54,"00")),AND(K54="Cavity",J54="L"&amp;E54&amp;"-S"&amp;TEXT(L54,"00")&amp;"-C"&amp;M54)),"OK","CHECK"))</x:f>
      </x:c>
      <x:c r="AA54" t="str">
        <x:f>IF(B54="","",IF(AND(Q54&gt;0,OR(AND(O54="",P54=""),AND(O54&lt;&gt;"",P54&lt;&gt;"",P54&gt;=O54,ABS(Q54-((P54-O54)*24))&lt;=0.01))),"OK","CHECK"))</x:f>
      </x:c>
      <x:c r="AB54" t="str">
        <x:f>IF(B54="","",IF(AND(Y54="OK",Z54="OK",AA54="OK",R54&gt;0,S54&gt;0),"OK","CHECK"))</x:f>
      </x:c>
    </x:row>
    <x:row r="55">
      <x:c r="R55" t="str">
        <x:f>IF(B55="","",SUMIF(ProductionConfiguration!$B$5:$B$914,C55,ProductionConfiguration!$S$5:$S$914))</x:f>
      </x:c>
      <x:c r="S55" t="str">
        <x:f>IF(B55="","",IF(K55="Line",R55,IF(K55="Section",SUMIFS(ProductionConfiguration!$S$5:$S$914,ProductionConfiguration!$B$5:$B$914,C55,ProductionConfiguration!$I$5:$I$914,L55),IF(K55="Cavity",IF(M55=1,SUMIFS(ProductionConfiguration!$P$5:$P$914,ProductionConfiguration!$B$5:$B$914,C55,ProductionConfiguration!$I$5:$I$914,L55),IF(M55=2,SUMIFS(ProductionConfiguration!$Q$5:$Q$914,ProductionConfiguration!$B$5:$B$914,C55,ProductionConfiguration!$I$5:$I$914,L55),SUMIFS(ProductionConfiguration!$R$5:$R$914,ProductionConfiguration!$B$5:$B$914,C55,ProductionConfiguration!$I$5:$I$914,L55))),0))))</x:f>
      </x:c>
      <x:c r="T55" t="str">
        <x:f>IF(B55="","",IFERROR(S55/R55,0))</x:f>
      </x:c>
      <x:c r="U55" t="str">
        <x:f>IF(B55="","",Q55*T55)</x:f>
      </x:c>
      <x:c r="V55" t="str">
        <x:f>IF(C55="","",SUMIF(DailyProduction!$Q$5:$Q$100,C55,DailyProduction!$J$5:$J$100))</x:f>
      </x:c>
      <x:c r="W55" t="str">
        <x:f>IF(B55="","",Q55*60*V55*S55)</x:f>
      </x:c>
      <x:c r="Y55" t="str">
        <x:f>IF(B55="","",IF(COUNTIF(JobChange!$S$5:$S$100,B55)=1,"OK","CHECK"))</x:f>
      </x:c>
      <x:c r="Z55" t="str">
        <x:f>IF(B55="","",IF(OR(AND(K55="Line",J55="L"&amp;E55),AND(K55="Section",J55="L"&amp;E55&amp;"-S"&amp;TEXT(L55,"00")),AND(K55="Cavity",J55="L"&amp;E55&amp;"-S"&amp;TEXT(L55,"00")&amp;"-C"&amp;M55)),"OK","CHECK"))</x:f>
      </x:c>
      <x:c r="AA55" t="str">
        <x:f>IF(B55="","",IF(AND(Q55&gt;0,OR(AND(O55="",P55=""),AND(O55&lt;&gt;"",P55&lt;&gt;"",P55&gt;=O55,ABS(Q55-((P55-O55)*24))&lt;=0.01))),"OK","CHECK"))</x:f>
      </x:c>
      <x:c r="AB55" t="str">
        <x:f>IF(B55="","",IF(AND(Y55="OK",Z55="OK",AA55="OK",R55&gt;0,S55&gt;0),"OK","CHECK"))</x:f>
      </x:c>
    </x:row>
    <x:row r="56">
      <x:c r="R56" t="str">
        <x:f>IF(B56="","",SUMIF(ProductionConfiguration!$B$5:$B$914,C56,ProductionConfiguration!$S$5:$S$914))</x:f>
      </x:c>
      <x:c r="S56" t="str">
        <x:f>IF(B56="","",IF(K56="Line",R56,IF(K56="Section",SUMIFS(ProductionConfiguration!$S$5:$S$914,ProductionConfiguration!$B$5:$B$914,C56,ProductionConfiguration!$I$5:$I$914,L56),IF(K56="Cavity",IF(M56=1,SUMIFS(ProductionConfiguration!$P$5:$P$914,ProductionConfiguration!$B$5:$B$914,C56,ProductionConfiguration!$I$5:$I$914,L56),IF(M56=2,SUMIFS(ProductionConfiguration!$Q$5:$Q$914,ProductionConfiguration!$B$5:$B$914,C56,ProductionConfiguration!$I$5:$I$914,L56),SUMIFS(ProductionConfiguration!$R$5:$R$914,ProductionConfiguration!$B$5:$B$914,C56,ProductionConfiguration!$I$5:$I$914,L56))),0))))</x:f>
      </x:c>
      <x:c r="T56" t="str">
        <x:f>IF(B56="","",IFERROR(S56/R56,0))</x:f>
      </x:c>
      <x:c r="U56" t="str">
        <x:f>IF(B56="","",Q56*T56)</x:f>
      </x:c>
      <x:c r="V56" t="str">
        <x:f>IF(C56="","",SUMIF(DailyProduction!$Q$5:$Q$100,C56,DailyProduction!$J$5:$J$100))</x:f>
      </x:c>
      <x:c r="W56" t="str">
        <x:f>IF(B56="","",Q56*60*V56*S56)</x:f>
      </x:c>
      <x:c r="Y56" t="str">
        <x:f>IF(B56="","",IF(COUNTIF(JobChange!$S$5:$S$100,B56)=1,"OK","CHECK"))</x:f>
      </x:c>
      <x:c r="Z56" t="str">
        <x:f>IF(B56="","",IF(OR(AND(K56="Line",J56="L"&amp;E56),AND(K56="Section",J56="L"&amp;E56&amp;"-S"&amp;TEXT(L56,"00")),AND(K56="Cavity",J56="L"&amp;E56&amp;"-S"&amp;TEXT(L56,"00")&amp;"-C"&amp;M56)),"OK","CHECK"))</x:f>
      </x:c>
      <x:c r="AA56" t="str">
        <x:f>IF(B56="","",IF(AND(Q56&gt;0,OR(AND(O56="",P56=""),AND(O56&lt;&gt;"",P56&lt;&gt;"",P56&gt;=O56,ABS(Q56-((P56-O56)*24))&lt;=0.01))),"OK","CHECK"))</x:f>
      </x:c>
      <x:c r="AB56" t="str">
        <x:f>IF(B56="","",IF(AND(Y56="OK",Z56="OK",AA56="OK",R56&gt;0,S56&gt;0),"OK","CHECK"))</x:f>
      </x:c>
    </x:row>
    <x:row r="57">
      <x:c r="R57" t="str">
        <x:f>IF(B57="","",SUMIF(ProductionConfiguration!$B$5:$B$914,C57,ProductionConfiguration!$S$5:$S$914))</x:f>
      </x:c>
      <x:c r="S57" t="str">
        <x:f>IF(B57="","",IF(K57="Line",R57,IF(K57="Section",SUMIFS(ProductionConfiguration!$S$5:$S$914,ProductionConfiguration!$B$5:$B$914,C57,ProductionConfiguration!$I$5:$I$914,L57),IF(K57="Cavity",IF(M57=1,SUMIFS(ProductionConfiguration!$P$5:$P$914,ProductionConfiguration!$B$5:$B$914,C57,ProductionConfiguration!$I$5:$I$914,L57),IF(M57=2,SUMIFS(ProductionConfiguration!$Q$5:$Q$914,ProductionConfiguration!$B$5:$B$914,C57,ProductionConfiguration!$I$5:$I$914,L57),SUMIFS(ProductionConfiguration!$R$5:$R$914,ProductionConfiguration!$B$5:$B$914,C57,ProductionConfiguration!$I$5:$I$914,L57))),0))))</x:f>
      </x:c>
      <x:c r="T57" t="str">
        <x:f>IF(B57="","",IFERROR(S57/R57,0))</x:f>
      </x:c>
      <x:c r="U57" t="str">
        <x:f>IF(B57="","",Q57*T57)</x:f>
      </x:c>
      <x:c r="V57" t="str">
        <x:f>IF(C57="","",SUMIF(DailyProduction!$Q$5:$Q$100,C57,DailyProduction!$J$5:$J$100))</x:f>
      </x:c>
      <x:c r="W57" t="str">
        <x:f>IF(B57="","",Q57*60*V57*S57)</x:f>
      </x:c>
      <x:c r="Y57" t="str">
        <x:f>IF(B57="","",IF(COUNTIF(JobChange!$S$5:$S$100,B57)=1,"OK","CHECK"))</x:f>
      </x:c>
      <x:c r="Z57" t="str">
        <x:f>IF(B57="","",IF(OR(AND(K57="Line",J57="L"&amp;E57),AND(K57="Section",J57="L"&amp;E57&amp;"-S"&amp;TEXT(L57,"00")),AND(K57="Cavity",J57="L"&amp;E57&amp;"-S"&amp;TEXT(L57,"00")&amp;"-C"&amp;M57)),"OK","CHECK"))</x:f>
      </x:c>
      <x:c r="AA57" t="str">
        <x:f>IF(B57="","",IF(AND(Q57&gt;0,OR(AND(O57="",P57=""),AND(O57&lt;&gt;"",P57&lt;&gt;"",P57&gt;=O57,ABS(Q57-((P57-O57)*24))&lt;=0.01))),"OK","CHECK"))</x:f>
      </x:c>
      <x:c r="AB57" t="str">
        <x:f>IF(B57="","",IF(AND(Y57="OK",Z57="OK",AA57="OK",R57&gt;0,S57&gt;0),"OK","CHECK"))</x:f>
      </x:c>
    </x:row>
    <x:row r="58">
      <x:c r="R58" t="str">
        <x:f>IF(B58="","",SUMIF(ProductionConfiguration!$B$5:$B$914,C58,ProductionConfiguration!$S$5:$S$914))</x:f>
      </x:c>
      <x:c r="S58" t="str">
        <x:f>IF(B58="","",IF(K58="Line",R58,IF(K58="Section",SUMIFS(ProductionConfiguration!$S$5:$S$914,ProductionConfiguration!$B$5:$B$914,C58,ProductionConfiguration!$I$5:$I$914,L58),IF(K58="Cavity",IF(M58=1,SUMIFS(ProductionConfiguration!$P$5:$P$914,ProductionConfiguration!$B$5:$B$914,C58,ProductionConfiguration!$I$5:$I$914,L58),IF(M58=2,SUMIFS(ProductionConfiguration!$Q$5:$Q$914,ProductionConfiguration!$B$5:$B$914,C58,ProductionConfiguration!$I$5:$I$914,L58),SUMIFS(ProductionConfiguration!$R$5:$R$914,ProductionConfiguration!$B$5:$B$914,C58,ProductionConfiguration!$I$5:$I$914,L58))),0))))</x:f>
      </x:c>
      <x:c r="T58" t="str">
        <x:f>IF(B58="","",IFERROR(S58/R58,0))</x:f>
      </x:c>
      <x:c r="U58" t="str">
        <x:f>IF(B58="","",Q58*T58)</x:f>
      </x:c>
      <x:c r="V58" t="str">
        <x:f>IF(C58="","",SUMIF(DailyProduction!$Q$5:$Q$100,C58,DailyProduction!$J$5:$J$100))</x:f>
      </x:c>
      <x:c r="W58" t="str">
        <x:f>IF(B58="","",Q58*60*V58*S58)</x:f>
      </x:c>
      <x:c r="Y58" t="str">
        <x:f>IF(B58="","",IF(COUNTIF(JobChange!$S$5:$S$100,B58)=1,"OK","CHECK"))</x:f>
      </x:c>
      <x:c r="Z58" t="str">
        <x:f>IF(B58="","",IF(OR(AND(K58="Line",J58="L"&amp;E58),AND(K58="Section",J58="L"&amp;E58&amp;"-S"&amp;TEXT(L58,"00")),AND(K58="Cavity",J58="L"&amp;E58&amp;"-S"&amp;TEXT(L58,"00")&amp;"-C"&amp;M58)),"OK","CHECK"))</x:f>
      </x:c>
      <x:c r="AA58" t="str">
        <x:f>IF(B58="","",IF(AND(Q58&gt;0,OR(AND(O58="",P58=""),AND(O58&lt;&gt;"",P58&lt;&gt;"",P58&gt;=O58,ABS(Q58-((P58-O58)*24))&lt;=0.01))),"OK","CHECK"))</x:f>
      </x:c>
      <x:c r="AB58" t="str">
        <x:f>IF(B58="","",IF(AND(Y58="OK",Z58="OK",AA58="OK",R58&gt;0,S58&gt;0),"OK","CHECK"))</x:f>
      </x:c>
    </x:row>
    <x:row r="59">
      <x:c r="R59" t="str">
        <x:f>IF(B59="","",SUMIF(ProductionConfiguration!$B$5:$B$914,C59,ProductionConfiguration!$S$5:$S$914))</x:f>
      </x:c>
      <x:c r="S59" t="str">
        <x:f>IF(B59="","",IF(K59="Line",R59,IF(K59="Section",SUMIFS(ProductionConfiguration!$S$5:$S$914,ProductionConfiguration!$B$5:$B$914,C59,ProductionConfiguration!$I$5:$I$914,L59),IF(K59="Cavity",IF(M59=1,SUMIFS(ProductionConfiguration!$P$5:$P$914,ProductionConfiguration!$B$5:$B$914,C59,ProductionConfiguration!$I$5:$I$914,L59),IF(M59=2,SUMIFS(ProductionConfiguration!$Q$5:$Q$914,ProductionConfiguration!$B$5:$B$914,C59,ProductionConfiguration!$I$5:$I$914,L59),SUMIFS(ProductionConfiguration!$R$5:$R$914,ProductionConfiguration!$B$5:$B$914,C59,ProductionConfiguration!$I$5:$I$914,L59))),0))))</x:f>
      </x:c>
      <x:c r="T59" t="str">
        <x:f>IF(B59="","",IFERROR(S59/R59,0))</x:f>
      </x:c>
      <x:c r="U59" t="str">
        <x:f>IF(B59="","",Q59*T59)</x:f>
      </x:c>
      <x:c r="V59" t="str">
        <x:f>IF(C59="","",SUMIF(DailyProduction!$Q$5:$Q$100,C59,DailyProduction!$J$5:$J$100))</x:f>
      </x:c>
      <x:c r="W59" t="str">
        <x:f>IF(B59="","",Q59*60*V59*S59)</x:f>
      </x:c>
      <x:c r="Y59" t="str">
        <x:f>IF(B59="","",IF(COUNTIF(JobChange!$S$5:$S$100,B59)=1,"OK","CHECK"))</x:f>
      </x:c>
      <x:c r="Z59" t="str">
        <x:f>IF(B59="","",IF(OR(AND(K59="Line",J59="L"&amp;E59),AND(K59="Section",J59="L"&amp;E59&amp;"-S"&amp;TEXT(L59,"00")),AND(K59="Cavity",J59="L"&amp;E59&amp;"-S"&amp;TEXT(L59,"00")&amp;"-C"&amp;M59)),"OK","CHECK"))</x:f>
      </x:c>
      <x:c r="AA59" t="str">
        <x:f>IF(B59="","",IF(AND(Q59&gt;0,OR(AND(O59="",P59=""),AND(O59&lt;&gt;"",P59&lt;&gt;"",P59&gt;=O59,ABS(Q59-((P59-O59)*24))&lt;=0.01))),"OK","CHECK"))</x:f>
      </x:c>
      <x:c r="AB59" t="str">
        <x:f>IF(B59="","",IF(AND(Y59="OK",Z59="OK",AA59="OK",R59&gt;0,S59&gt;0),"OK","CHECK"))</x:f>
      </x:c>
    </x:row>
    <x:row r="60">
      <x:c r="R60" t="str">
        <x:f>IF(B60="","",SUMIF(ProductionConfiguration!$B$5:$B$914,C60,ProductionConfiguration!$S$5:$S$914))</x:f>
      </x:c>
      <x:c r="S60" t="str">
        <x:f>IF(B60="","",IF(K60="Line",R60,IF(K60="Section",SUMIFS(ProductionConfiguration!$S$5:$S$914,ProductionConfiguration!$B$5:$B$914,C60,ProductionConfiguration!$I$5:$I$914,L60),IF(K60="Cavity",IF(M60=1,SUMIFS(ProductionConfiguration!$P$5:$P$914,ProductionConfiguration!$B$5:$B$914,C60,ProductionConfiguration!$I$5:$I$914,L60),IF(M60=2,SUMIFS(ProductionConfiguration!$Q$5:$Q$914,ProductionConfiguration!$B$5:$B$914,C60,ProductionConfiguration!$I$5:$I$914,L60),SUMIFS(ProductionConfiguration!$R$5:$R$914,ProductionConfiguration!$B$5:$B$914,C60,ProductionConfiguration!$I$5:$I$914,L60))),0))))</x:f>
      </x:c>
      <x:c r="T60" t="str">
        <x:f>IF(B60="","",IFERROR(S60/R60,0))</x:f>
      </x:c>
      <x:c r="U60" t="str">
        <x:f>IF(B60="","",Q60*T60)</x:f>
      </x:c>
      <x:c r="V60" t="str">
        <x:f>IF(C60="","",SUMIF(DailyProduction!$Q$5:$Q$100,C60,DailyProduction!$J$5:$J$100))</x:f>
      </x:c>
      <x:c r="W60" t="str">
        <x:f>IF(B60="","",Q60*60*V60*S60)</x:f>
      </x:c>
      <x:c r="Y60" t="str">
        <x:f>IF(B60="","",IF(COUNTIF(JobChange!$S$5:$S$100,B60)=1,"OK","CHECK"))</x:f>
      </x:c>
      <x:c r="Z60" t="str">
        <x:f>IF(B60="","",IF(OR(AND(K60="Line",J60="L"&amp;E60),AND(K60="Section",J60="L"&amp;E60&amp;"-S"&amp;TEXT(L60,"00")),AND(K60="Cavity",J60="L"&amp;E60&amp;"-S"&amp;TEXT(L60,"00")&amp;"-C"&amp;M60)),"OK","CHECK"))</x:f>
      </x:c>
      <x:c r="AA60" t="str">
        <x:f>IF(B60="","",IF(AND(Q60&gt;0,OR(AND(O60="",P60=""),AND(O60&lt;&gt;"",P60&lt;&gt;"",P60&gt;=O60,ABS(Q60-((P60-O60)*24))&lt;=0.01))),"OK","CHECK"))</x:f>
      </x:c>
      <x:c r="AB60" t="str">
        <x:f>IF(B60="","",IF(AND(Y60="OK",Z60="OK",AA60="OK",R60&gt;0,S60&gt;0),"OK","CHECK"))</x:f>
      </x:c>
    </x:row>
    <x:row r="61">
      <x:c r="R61" t="str">
        <x:f>IF(B61="","",SUMIF(ProductionConfiguration!$B$5:$B$914,C61,ProductionConfiguration!$S$5:$S$914))</x:f>
      </x:c>
      <x:c r="S61" t="str">
        <x:f>IF(B61="","",IF(K61="Line",R61,IF(K61="Section",SUMIFS(ProductionConfiguration!$S$5:$S$914,ProductionConfiguration!$B$5:$B$914,C61,ProductionConfiguration!$I$5:$I$914,L61),IF(K61="Cavity",IF(M61=1,SUMIFS(ProductionConfiguration!$P$5:$P$914,ProductionConfiguration!$B$5:$B$914,C61,ProductionConfiguration!$I$5:$I$914,L61),IF(M61=2,SUMIFS(ProductionConfiguration!$Q$5:$Q$914,ProductionConfiguration!$B$5:$B$914,C61,ProductionConfiguration!$I$5:$I$914,L61),SUMIFS(ProductionConfiguration!$R$5:$R$914,ProductionConfiguration!$B$5:$B$914,C61,ProductionConfiguration!$I$5:$I$914,L61))),0))))</x:f>
      </x:c>
      <x:c r="T61" t="str">
        <x:f>IF(B61="","",IFERROR(S61/R61,0))</x:f>
      </x:c>
      <x:c r="U61" t="str">
        <x:f>IF(B61="","",Q61*T61)</x:f>
      </x:c>
      <x:c r="V61" t="str">
        <x:f>IF(C61="","",SUMIF(DailyProduction!$Q$5:$Q$100,C61,DailyProduction!$J$5:$J$100))</x:f>
      </x:c>
      <x:c r="W61" t="str">
        <x:f>IF(B61="","",Q61*60*V61*S61)</x:f>
      </x:c>
      <x:c r="Y61" t="str">
        <x:f>IF(B61="","",IF(COUNTIF(JobChange!$S$5:$S$100,B61)=1,"OK","CHECK"))</x:f>
      </x:c>
      <x:c r="Z61" t="str">
        <x:f>IF(B61="","",IF(OR(AND(K61="Line",J61="L"&amp;E61),AND(K61="Section",J61="L"&amp;E61&amp;"-S"&amp;TEXT(L61,"00")),AND(K61="Cavity",J61="L"&amp;E61&amp;"-S"&amp;TEXT(L61,"00")&amp;"-C"&amp;M61)),"OK","CHECK"))</x:f>
      </x:c>
      <x:c r="AA61" t="str">
        <x:f>IF(B61="","",IF(AND(Q61&gt;0,OR(AND(O61="",P61=""),AND(O61&lt;&gt;"",P61&lt;&gt;"",P61&gt;=O61,ABS(Q61-((P61-O61)*24))&lt;=0.01))),"OK","CHECK"))</x:f>
      </x:c>
      <x:c r="AB61" t="str">
        <x:f>IF(B61="","",IF(AND(Y61="OK",Z61="OK",AA61="OK",R61&gt;0,S61&gt;0),"OK","CHECK"))</x:f>
      </x:c>
    </x:row>
    <x:row r="62">
      <x:c r="R62" t="str">
        <x:f>IF(B62="","",SUMIF(ProductionConfiguration!$B$5:$B$914,C62,ProductionConfiguration!$S$5:$S$914))</x:f>
      </x:c>
      <x:c r="S62" t="str">
        <x:f>IF(B62="","",IF(K62="Line",R62,IF(K62="Section",SUMIFS(ProductionConfiguration!$S$5:$S$914,ProductionConfiguration!$B$5:$B$914,C62,ProductionConfiguration!$I$5:$I$914,L62),IF(K62="Cavity",IF(M62=1,SUMIFS(ProductionConfiguration!$P$5:$P$914,ProductionConfiguration!$B$5:$B$914,C62,ProductionConfiguration!$I$5:$I$914,L62),IF(M62=2,SUMIFS(ProductionConfiguration!$Q$5:$Q$914,ProductionConfiguration!$B$5:$B$914,C62,ProductionConfiguration!$I$5:$I$914,L62),SUMIFS(ProductionConfiguration!$R$5:$R$914,ProductionConfiguration!$B$5:$B$914,C62,ProductionConfiguration!$I$5:$I$914,L62))),0))))</x:f>
      </x:c>
      <x:c r="T62" t="str">
        <x:f>IF(B62="","",IFERROR(S62/R62,0))</x:f>
      </x:c>
      <x:c r="U62" t="str">
        <x:f>IF(B62="","",Q62*T62)</x:f>
      </x:c>
      <x:c r="V62" t="str">
        <x:f>IF(C62="","",SUMIF(DailyProduction!$Q$5:$Q$100,C62,DailyProduction!$J$5:$J$100))</x:f>
      </x:c>
      <x:c r="W62" t="str">
        <x:f>IF(B62="","",Q62*60*V62*S62)</x:f>
      </x:c>
      <x:c r="Y62" t="str">
        <x:f>IF(B62="","",IF(COUNTIF(JobChange!$S$5:$S$100,B62)=1,"OK","CHECK"))</x:f>
      </x:c>
      <x:c r="Z62" t="str">
        <x:f>IF(B62="","",IF(OR(AND(K62="Line",J62="L"&amp;E62),AND(K62="Section",J62="L"&amp;E62&amp;"-S"&amp;TEXT(L62,"00")),AND(K62="Cavity",J62="L"&amp;E62&amp;"-S"&amp;TEXT(L62,"00")&amp;"-C"&amp;M62)),"OK","CHECK"))</x:f>
      </x:c>
      <x:c r="AA62" t="str">
        <x:f>IF(B62="","",IF(AND(Q62&gt;0,OR(AND(O62="",P62=""),AND(O62&lt;&gt;"",P62&lt;&gt;"",P62&gt;=O62,ABS(Q62-((P62-O62)*24))&lt;=0.01))),"OK","CHECK"))</x:f>
      </x:c>
      <x:c r="AB62" t="str">
        <x:f>IF(B62="","",IF(AND(Y62="OK",Z62="OK",AA62="OK",R62&gt;0,S62&gt;0),"OK","CHECK"))</x:f>
      </x:c>
    </x:row>
    <x:row r="63">
      <x:c r="R63" t="str">
        <x:f>IF(B63="","",SUMIF(ProductionConfiguration!$B$5:$B$914,C63,ProductionConfiguration!$S$5:$S$914))</x:f>
      </x:c>
      <x:c r="S63" t="str">
        <x:f>IF(B63="","",IF(K63="Line",R63,IF(K63="Section",SUMIFS(ProductionConfiguration!$S$5:$S$914,ProductionConfiguration!$B$5:$B$914,C63,ProductionConfiguration!$I$5:$I$914,L63),IF(K63="Cavity",IF(M63=1,SUMIFS(ProductionConfiguration!$P$5:$P$914,ProductionConfiguration!$B$5:$B$914,C63,ProductionConfiguration!$I$5:$I$914,L63),IF(M63=2,SUMIFS(ProductionConfiguration!$Q$5:$Q$914,ProductionConfiguration!$B$5:$B$914,C63,ProductionConfiguration!$I$5:$I$914,L63),SUMIFS(ProductionConfiguration!$R$5:$R$914,ProductionConfiguration!$B$5:$B$914,C63,ProductionConfiguration!$I$5:$I$914,L63))),0))))</x:f>
      </x:c>
      <x:c r="T63" t="str">
        <x:f>IF(B63="","",IFERROR(S63/R63,0))</x:f>
      </x:c>
      <x:c r="U63" t="str">
        <x:f>IF(B63="","",Q63*T63)</x:f>
      </x:c>
      <x:c r="V63" t="str">
        <x:f>IF(C63="","",SUMIF(DailyProduction!$Q$5:$Q$100,C63,DailyProduction!$J$5:$J$100))</x:f>
      </x:c>
      <x:c r="W63" t="str">
        <x:f>IF(B63="","",Q63*60*V63*S63)</x:f>
      </x:c>
      <x:c r="Y63" t="str">
        <x:f>IF(B63="","",IF(COUNTIF(JobChange!$S$5:$S$100,B63)=1,"OK","CHECK"))</x:f>
      </x:c>
      <x:c r="Z63" t="str">
        <x:f>IF(B63="","",IF(OR(AND(K63="Line",J63="L"&amp;E63),AND(K63="Section",J63="L"&amp;E63&amp;"-S"&amp;TEXT(L63,"00")),AND(K63="Cavity",J63="L"&amp;E63&amp;"-S"&amp;TEXT(L63,"00")&amp;"-C"&amp;M63)),"OK","CHECK"))</x:f>
      </x:c>
      <x:c r="AA63" t="str">
        <x:f>IF(B63="","",IF(AND(Q63&gt;0,OR(AND(O63="",P63=""),AND(O63&lt;&gt;"",P63&lt;&gt;"",P63&gt;=O63,ABS(Q63-((P63-O63)*24))&lt;=0.01))),"OK","CHECK"))</x:f>
      </x:c>
      <x:c r="AB63" t="str">
        <x:f>IF(B63="","",IF(AND(Y63="OK",Z63="OK",AA63="OK",R63&gt;0,S63&gt;0),"OK","CHECK"))</x:f>
      </x:c>
    </x:row>
    <x:row r="64">
      <x:c r="R64" t="str">
        <x:f>IF(B64="","",SUMIF(ProductionConfiguration!$B$5:$B$914,C64,ProductionConfiguration!$S$5:$S$914))</x:f>
      </x:c>
      <x:c r="S64" t="str">
        <x:f>IF(B64="","",IF(K64="Line",R64,IF(K64="Section",SUMIFS(ProductionConfiguration!$S$5:$S$914,ProductionConfiguration!$B$5:$B$914,C64,ProductionConfiguration!$I$5:$I$914,L64),IF(K64="Cavity",IF(M64=1,SUMIFS(ProductionConfiguration!$P$5:$P$914,ProductionConfiguration!$B$5:$B$914,C64,ProductionConfiguration!$I$5:$I$914,L64),IF(M64=2,SUMIFS(ProductionConfiguration!$Q$5:$Q$914,ProductionConfiguration!$B$5:$B$914,C64,ProductionConfiguration!$I$5:$I$914,L64),SUMIFS(ProductionConfiguration!$R$5:$R$914,ProductionConfiguration!$B$5:$B$914,C64,ProductionConfiguration!$I$5:$I$914,L64))),0))))</x:f>
      </x:c>
      <x:c r="T64" t="str">
        <x:f>IF(B64="","",IFERROR(S64/R64,0))</x:f>
      </x:c>
      <x:c r="U64" t="str">
        <x:f>IF(B64="","",Q64*T64)</x:f>
      </x:c>
      <x:c r="V64" t="str">
        <x:f>IF(C64="","",SUMIF(DailyProduction!$Q$5:$Q$100,C64,DailyProduction!$J$5:$J$100))</x:f>
      </x:c>
      <x:c r="W64" t="str">
        <x:f>IF(B64="","",Q64*60*V64*S64)</x:f>
      </x:c>
      <x:c r="Y64" t="str">
        <x:f>IF(B64="","",IF(COUNTIF(JobChange!$S$5:$S$100,B64)=1,"OK","CHECK"))</x:f>
      </x:c>
      <x:c r="Z64" t="str">
        <x:f>IF(B64="","",IF(OR(AND(K64="Line",J64="L"&amp;E64),AND(K64="Section",J64="L"&amp;E64&amp;"-S"&amp;TEXT(L64,"00")),AND(K64="Cavity",J64="L"&amp;E64&amp;"-S"&amp;TEXT(L64,"00")&amp;"-C"&amp;M64)),"OK","CHECK"))</x:f>
      </x:c>
      <x:c r="AA64" t="str">
        <x:f>IF(B64="","",IF(AND(Q64&gt;0,OR(AND(O64="",P64=""),AND(O64&lt;&gt;"",P64&lt;&gt;"",P64&gt;=O64,ABS(Q64-((P64-O64)*24))&lt;=0.01))),"OK","CHECK"))</x:f>
      </x:c>
      <x:c r="AB64" t="str">
        <x:f>IF(B64="","",IF(AND(Y64="OK",Z64="OK",AA64="OK",R64&gt;0,S64&gt;0),"OK","CHECK"))</x:f>
      </x:c>
    </x:row>
    <x:row r="65">
      <x:c r="R65" t="str">
        <x:f>IF(B65="","",SUMIF(ProductionConfiguration!$B$5:$B$914,C65,ProductionConfiguration!$S$5:$S$914))</x:f>
      </x:c>
      <x:c r="S65" t="str">
        <x:f>IF(B65="","",IF(K65="Line",R65,IF(K65="Section",SUMIFS(ProductionConfiguration!$S$5:$S$914,ProductionConfiguration!$B$5:$B$914,C65,ProductionConfiguration!$I$5:$I$914,L65),IF(K65="Cavity",IF(M65=1,SUMIFS(ProductionConfiguration!$P$5:$P$914,ProductionConfiguration!$B$5:$B$914,C65,ProductionConfiguration!$I$5:$I$914,L65),IF(M65=2,SUMIFS(ProductionConfiguration!$Q$5:$Q$914,ProductionConfiguration!$B$5:$B$914,C65,ProductionConfiguration!$I$5:$I$914,L65),SUMIFS(ProductionConfiguration!$R$5:$R$914,ProductionConfiguration!$B$5:$B$914,C65,ProductionConfiguration!$I$5:$I$914,L65))),0))))</x:f>
      </x:c>
      <x:c r="T65" t="str">
        <x:f>IF(B65="","",IFERROR(S65/R65,0))</x:f>
      </x:c>
      <x:c r="U65" t="str">
        <x:f>IF(B65="","",Q65*T65)</x:f>
      </x:c>
      <x:c r="V65" t="str">
        <x:f>IF(C65="","",SUMIF(DailyProduction!$Q$5:$Q$100,C65,DailyProduction!$J$5:$J$100))</x:f>
      </x:c>
      <x:c r="W65" t="str">
        <x:f>IF(B65="","",Q65*60*V65*S65)</x:f>
      </x:c>
      <x:c r="Y65" t="str">
        <x:f>IF(B65="","",IF(COUNTIF(JobChange!$S$5:$S$100,B65)=1,"OK","CHECK"))</x:f>
      </x:c>
      <x:c r="Z65" t="str">
        <x:f>IF(B65="","",IF(OR(AND(K65="Line",J65="L"&amp;E65),AND(K65="Section",J65="L"&amp;E65&amp;"-S"&amp;TEXT(L65,"00")),AND(K65="Cavity",J65="L"&amp;E65&amp;"-S"&amp;TEXT(L65,"00")&amp;"-C"&amp;M65)),"OK","CHECK"))</x:f>
      </x:c>
      <x:c r="AA65" t="str">
        <x:f>IF(B65="","",IF(AND(Q65&gt;0,OR(AND(O65="",P65=""),AND(O65&lt;&gt;"",P65&lt;&gt;"",P65&gt;=O65,ABS(Q65-((P65-O65)*24))&lt;=0.01))),"OK","CHECK"))</x:f>
      </x:c>
      <x:c r="AB65" t="str">
        <x:f>IF(B65="","",IF(AND(Y65="OK",Z65="OK",AA65="OK",R65&gt;0,S65&gt;0),"OK","CHECK"))</x:f>
      </x:c>
    </x:row>
    <x:row r="66">
      <x:c r="R66" t="str">
        <x:f>IF(B66="","",SUMIF(ProductionConfiguration!$B$5:$B$914,C66,ProductionConfiguration!$S$5:$S$914))</x:f>
      </x:c>
      <x:c r="S66" t="str">
        <x:f>IF(B66="","",IF(K66="Line",R66,IF(K66="Section",SUMIFS(ProductionConfiguration!$S$5:$S$914,ProductionConfiguration!$B$5:$B$914,C66,ProductionConfiguration!$I$5:$I$914,L66),IF(K66="Cavity",IF(M66=1,SUMIFS(ProductionConfiguration!$P$5:$P$914,ProductionConfiguration!$B$5:$B$914,C66,ProductionConfiguration!$I$5:$I$914,L66),IF(M66=2,SUMIFS(ProductionConfiguration!$Q$5:$Q$914,ProductionConfiguration!$B$5:$B$914,C66,ProductionConfiguration!$I$5:$I$914,L66),SUMIFS(ProductionConfiguration!$R$5:$R$914,ProductionConfiguration!$B$5:$B$914,C66,ProductionConfiguration!$I$5:$I$914,L66))),0))))</x:f>
      </x:c>
      <x:c r="T66" t="str">
        <x:f>IF(B66="","",IFERROR(S66/R66,0))</x:f>
      </x:c>
      <x:c r="U66" t="str">
        <x:f>IF(B66="","",Q66*T66)</x:f>
      </x:c>
      <x:c r="V66" t="str">
        <x:f>IF(C66="","",SUMIF(DailyProduction!$Q$5:$Q$100,C66,DailyProduction!$J$5:$J$100))</x:f>
      </x:c>
      <x:c r="W66" t="str">
        <x:f>IF(B66="","",Q66*60*V66*S66)</x:f>
      </x:c>
      <x:c r="Y66" t="str">
        <x:f>IF(B66="","",IF(COUNTIF(JobChange!$S$5:$S$100,B66)=1,"OK","CHECK"))</x:f>
      </x:c>
      <x:c r="Z66" t="str">
        <x:f>IF(B66="","",IF(OR(AND(K66="Line",J66="L"&amp;E66),AND(K66="Section",J66="L"&amp;E66&amp;"-S"&amp;TEXT(L66,"00")),AND(K66="Cavity",J66="L"&amp;E66&amp;"-S"&amp;TEXT(L66,"00")&amp;"-C"&amp;M66)),"OK","CHECK"))</x:f>
      </x:c>
      <x:c r="AA66" t="str">
        <x:f>IF(B66="","",IF(AND(Q66&gt;0,OR(AND(O66="",P66=""),AND(O66&lt;&gt;"",P66&lt;&gt;"",P66&gt;=O66,ABS(Q66-((P66-O66)*24))&lt;=0.01))),"OK","CHECK"))</x:f>
      </x:c>
      <x:c r="AB66" t="str">
        <x:f>IF(B66="","",IF(AND(Y66="OK",Z66="OK",AA66="OK",R66&gt;0,S66&gt;0),"OK","CHECK"))</x:f>
      </x:c>
    </x:row>
    <x:row r="67">
      <x:c r="R67" t="str">
        <x:f>IF(B67="","",SUMIF(ProductionConfiguration!$B$5:$B$914,C67,ProductionConfiguration!$S$5:$S$914))</x:f>
      </x:c>
      <x:c r="S67" t="str">
        <x:f>IF(B67="","",IF(K67="Line",R67,IF(K67="Section",SUMIFS(ProductionConfiguration!$S$5:$S$914,ProductionConfiguration!$B$5:$B$914,C67,ProductionConfiguration!$I$5:$I$914,L67),IF(K67="Cavity",IF(M67=1,SUMIFS(ProductionConfiguration!$P$5:$P$914,ProductionConfiguration!$B$5:$B$914,C67,ProductionConfiguration!$I$5:$I$914,L67),IF(M67=2,SUMIFS(ProductionConfiguration!$Q$5:$Q$914,ProductionConfiguration!$B$5:$B$914,C67,ProductionConfiguration!$I$5:$I$914,L67),SUMIFS(ProductionConfiguration!$R$5:$R$914,ProductionConfiguration!$B$5:$B$914,C67,ProductionConfiguration!$I$5:$I$914,L67))),0))))</x:f>
      </x:c>
      <x:c r="T67" t="str">
        <x:f>IF(B67="","",IFERROR(S67/R67,0))</x:f>
      </x:c>
      <x:c r="U67" t="str">
        <x:f>IF(B67="","",Q67*T67)</x:f>
      </x:c>
      <x:c r="V67" t="str">
        <x:f>IF(C67="","",SUMIF(DailyProduction!$Q$5:$Q$100,C67,DailyProduction!$J$5:$J$100))</x:f>
      </x:c>
      <x:c r="W67" t="str">
        <x:f>IF(B67="","",Q67*60*V67*S67)</x:f>
      </x:c>
      <x:c r="Y67" t="str">
        <x:f>IF(B67="","",IF(COUNTIF(JobChange!$S$5:$S$100,B67)=1,"OK","CHECK"))</x:f>
      </x:c>
      <x:c r="Z67" t="str">
        <x:f>IF(B67="","",IF(OR(AND(K67="Line",J67="L"&amp;E67),AND(K67="Section",J67="L"&amp;E67&amp;"-S"&amp;TEXT(L67,"00")),AND(K67="Cavity",J67="L"&amp;E67&amp;"-S"&amp;TEXT(L67,"00")&amp;"-C"&amp;M67)),"OK","CHECK"))</x:f>
      </x:c>
      <x:c r="AA67" t="str">
        <x:f>IF(B67="","",IF(AND(Q67&gt;0,OR(AND(O67="",P67=""),AND(O67&lt;&gt;"",P67&lt;&gt;"",P67&gt;=O67,ABS(Q67-((P67-O67)*24))&lt;=0.01))),"OK","CHECK"))</x:f>
      </x:c>
      <x:c r="AB67" t="str">
        <x:f>IF(B67="","",IF(AND(Y67="OK",Z67="OK",AA67="OK",R67&gt;0,S67&gt;0),"OK","CHECK"))</x:f>
      </x:c>
    </x:row>
    <x:row r="68">
      <x:c r="R68" t="str">
        <x:f>IF(B68="","",SUMIF(ProductionConfiguration!$B$5:$B$914,C68,ProductionConfiguration!$S$5:$S$914))</x:f>
      </x:c>
      <x:c r="S68" t="str">
        <x:f>IF(B68="","",IF(K68="Line",R68,IF(K68="Section",SUMIFS(ProductionConfiguration!$S$5:$S$914,ProductionConfiguration!$B$5:$B$914,C68,ProductionConfiguration!$I$5:$I$914,L68),IF(K68="Cavity",IF(M68=1,SUMIFS(ProductionConfiguration!$P$5:$P$914,ProductionConfiguration!$B$5:$B$914,C68,ProductionConfiguration!$I$5:$I$914,L68),IF(M68=2,SUMIFS(ProductionConfiguration!$Q$5:$Q$914,ProductionConfiguration!$B$5:$B$914,C68,ProductionConfiguration!$I$5:$I$914,L68),SUMIFS(ProductionConfiguration!$R$5:$R$914,ProductionConfiguration!$B$5:$B$914,C68,ProductionConfiguration!$I$5:$I$914,L68))),0))))</x:f>
      </x:c>
      <x:c r="T68" t="str">
        <x:f>IF(B68="","",IFERROR(S68/R68,0))</x:f>
      </x:c>
      <x:c r="U68" t="str">
        <x:f>IF(B68="","",Q68*T68)</x:f>
      </x:c>
      <x:c r="V68" t="str">
        <x:f>IF(C68="","",SUMIF(DailyProduction!$Q$5:$Q$100,C68,DailyProduction!$J$5:$J$100))</x:f>
      </x:c>
      <x:c r="W68" t="str">
        <x:f>IF(B68="","",Q68*60*V68*S68)</x:f>
      </x:c>
      <x:c r="Y68" t="str">
        <x:f>IF(B68="","",IF(COUNTIF(JobChange!$S$5:$S$100,B68)=1,"OK","CHECK"))</x:f>
      </x:c>
      <x:c r="Z68" t="str">
        <x:f>IF(B68="","",IF(OR(AND(K68="Line",J68="L"&amp;E68),AND(K68="Section",J68="L"&amp;E68&amp;"-S"&amp;TEXT(L68,"00")),AND(K68="Cavity",J68="L"&amp;E68&amp;"-S"&amp;TEXT(L68,"00")&amp;"-C"&amp;M68)),"OK","CHECK"))</x:f>
      </x:c>
      <x:c r="AA68" t="str">
        <x:f>IF(B68="","",IF(AND(Q68&gt;0,OR(AND(O68="",P68=""),AND(O68&lt;&gt;"",P68&lt;&gt;"",P68&gt;=O68,ABS(Q68-((P68-O68)*24))&lt;=0.01))),"OK","CHECK"))</x:f>
      </x:c>
      <x:c r="AB68" t="str">
        <x:f>IF(B68="","",IF(AND(Y68="OK",Z68="OK",AA68="OK",R68&gt;0,S68&gt;0),"OK","CHECK"))</x:f>
      </x:c>
    </x:row>
    <x:row r="69">
      <x:c r="R69" t="str">
        <x:f>IF(B69="","",SUMIF(ProductionConfiguration!$B$5:$B$914,C69,ProductionConfiguration!$S$5:$S$914))</x:f>
      </x:c>
      <x:c r="S69" t="str">
        <x:f>IF(B69="","",IF(K69="Line",R69,IF(K69="Section",SUMIFS(ProductionConfiguration!$S$5:$S$914,ProductionConfiguration!$B$5:$B$914,C69,ProductionConfiguration!$I$5:$I$914,L69),IF(K69="Cavity",IF(M69=1,SUMIFS(ProductionConfiguration!$P$5:$P$914,ProductionConfiguration!$B$5:$B$914,C69,ProductionConfiguration!$I$5:$I$914,L69),IF(M69=2,SUMIFS(ProductionConfiguration!$Q$5:$Q$914,ProductionConfiguration!$B$5:$B$914,C69,ProductionConfiguration!$I$5:$I$914,L69),SUMIFS(ProductionConfiguration!$R$5:$R$914,ProductionConfiguration!$B$5:$B$914,C69,ProductionConfiguration!$I$5:$I$914,L69))),0))))</x:f>
      </x:c>
      <x:c r="T69" t="str">
        <x:f>IF(B69="","",IFERROR(S69/R69,0))</x:f>
      </x:c>
      <x:c r="U69" t="str">
        <x:f>IF(B69="","",Q69*T69)</x:f>
      </x:c>
      <x:c r="V69" t="str">
        <x:f>IF(C69="","",SUMIF(DailyProduction!$Q$5:$Q$100,C69,DailyProduction!$J$5:$J$100))</x:f>
      </x:c>
      <x:c r="W69" t="str">
        <x:f>IF(B69="","",Q69*60*V69*S69)</x:f>
      </x:c>
      <x:c r="Y69" t="str">
        <x:f>IF(B69="","",IF(COUNTIF(JobChange!$S$5:$S$100,B69)=1,"OK","CHECK"))</x:f>
      </x:c>
      <x:c r="Z69" t="str">
        <x:f>IF(B69="","",IF(OR(AND(K69="Line",J69="L"&amp;E69),AND(K69="Section",J69="L"&amp;E69&amp;"-S"&amp;TEXT(L69,"00")),AND(K69="Cavity",J69="L"&amp;E69&amp;"-S"&amp;TEXT(L69,"00")&amp;"-C"&amp;M69)),"OK","CHECK"))</x:f>
      </x:c>
      <x:c r="AA69" t="str">
        <x:f>IF(B69="","",IF(AND(Q69&gt;0,OR(AND(O69="",P69=""),AND(O69&lt;&gt;"",P69&lt;&gt;"",P69&gt;=O69,ABS(Q69-((P69-O69)*24))&lt;=0.01))),"OK","CHECK"))</x:f>
      </x:c>
      <x:c r="AB69" t="str">
        <x:f>IF(B69="","",IF(AND(Y69="OK",Z69="OK",AA69="OK",R69&gt;0,S69&gt;0),"OK","CHECK"))</x:f>
      </x:c>
    </x:row>
    <x:row r="70">
      <x:c r="R70" t="str">
        <x:f>IF(B70="","",SUMIF(ProductionConfiguration!$B$5:$B$914,C70,ProductionConfiguration!$S$5:$S$914))</x:f>
      </x:c>
      <x:c r="S70" t="str">
        <x:f>IF(B70="","",IF(K70="Line",R70,IF(K70="Section",SUMIFS(ProductionConfiguration!$S$5:$S$914,ProductionConfiguration!$B$5:$B$914,C70,ProductionConfiguration!$I$5:$I$914,L70),IF(K70="Cavity",IF(M70=1,SUMIFS(ProductionConfiguration!$P$5:$P$914,ProductionConfiguration!$B$5:$B$914,C70,ProductionConfiguration!$I$5:$I$914,L70),IF(M70=2,SUMIFS(ProductionConfiguration!$Q$5:$Q$914,ProductionConfiguration!$B$5:$B$914,C70,ProductionConfiguration!$I$5:$I$914,L70),SUMIFS(ProductionConfiguration!$R$5:$R$914,ProductionConfiguration!$B$5:$B$914,C70,ProductionConfiguration!$I$5:$I$914,L70))),0))))</x:f>
      </x:c>
      <x:c r="T70" t="str">
        <x:f>IF(B70="","",IFERROR(S70/R70,0))</x:f>
      </x:c>
      <x:c r="U70" t="str">
        <x:f>IF(B70="","",Q70*T70)</x:f>
      </x:c>
      <x:c r="V70" t="str">
        <x:f>IF(C70="","",SUMIF(DailyProduction!$Q$5:$Q$100,C70,DailyProduction!$J$5:$J$100))</x:f>
      </x:c>
      <x:c r="W70" t="str">
        <x:f>IF(B70="","",Q70*60*V70*S70)</x:f>
      </x:c>
      <x:c r="Y70" t="str">
        <x:f>IF(B70="","",IF(COUNTIF(JobChange!$S$5:$S$100,B70)=1,"OK","CHECK"))</x:f>
      </x:c>
      <x:c r="Z70" t="str">
        <x:f>IF(B70="","",IF(OR(AND(K70="Line",J70="L"&amp;E70),AND(K70="Section",J70="L"&amp;E70&amp;"-S"&amp;TEXT(L70,"00")),AND(K70="Cavity",J70="L"&amp;E70&amp;"-S"&amp;TEXT(L70,"00")&amp;"-C"&amp;M70)),"OK","CHECK"))</x:f>
      </x:c>
      <x:c r="AA70" t="str">
        <x:f>IF(B70="","",IF(AND(Q70&gt;0,OR(AND(O70="",P70=""),AND(O70&lt;&gt;"",P70&lt;&gt;"",P70&gt;=O70,ABS(Q70-((P70-O70)*24))&lt;=0.01))),"OK","CHECK"))</x:f>
      </x:c>
      <x:c r="AB70" t="str">
        <x:f>IF(B70="","",IF(AND(Y70="OK",Z70="OK",AA70="OK",R70&gt;0,S70&gt;0),"OK","CHECK"))</x:f>
      </x:c>
    </x:row>
    <x:row r="71">
      <x:c r="R71" t="str">
        <x:f>IF(B71="","",SUMIF(ProductionConfiguration!$B$5:$B$914,C71,ProductionConfiguration!$S$5:$S$914))</x:f>
      </x:c>
      <x:c r="S71" t="str">
        <x:f>IF(B71="","",IF(K71="Line",R71,IF(K71="Section",SUMIFS(ProductionConfiguration!$S$5:$S$914,ProductionConfiguration!$B$5:$B$914,C71,ProductionConfiguration!$I$5:$I$914,L71),IF(K71="Cavity",IF(M71=1,SUMIFS(ProductionConfiguration!$P$5:$P$914,ProductionConfiguration!$B$5:$B$914,C71,ProductionConfiguration!$I$5:$I$914,L71),IF(M71=2,SUMIFS(ProductionConfiguration!$Q$5:$Q$914,ProductionConfiguration!$B$5:$B$914,C71,ProductionConfiguration!$I$5:$I$914,L71),SUMIFS(ProductionConfiguration!$R$5:$R$914,ProductionConfiguration!$B$5:$B$914,C71,ProductionConfiguration!$I$5:$I$914,L71))),0))))</x:f>
      </x:c>
      <x:c r="T71" t="str">
        <x:f>IF(B71="","",IFERROR(S71/R71,0))</x:f>
      </x:c>
      <x:c r="U71" t="str">
        <x:f>IF(B71="","",Q71*T71)</x:f>
      </x:c>
      <x:c r="V71" t="str">
        <x:f>IF(C71="","",SUMIF(DailyProduction!$Q$5:$Q$100,C71,DailyProduction!$J$5:$J$100))</x:f>
      </x:c>
      <x:c r="W71" t="str">
        <x:f>IF(B71="","",Q71*60*V71*S71)</x:f>
      </x:c>
      <x:c r="Y71" t="str">
        <x:f>IF(B71="","",IF(COUNTIF(JobChange!$S$5:$S$100,B71)=1,"OK","CHECK"))</x:f>
      </x:c>
      <x:c r="Z71" t="str">
        <x:f>IF(B71="","",IF(OR(AND(K71="Line",J71="L"&amp;E71),AND(K71="Section",J71="L"&amp;E71&amp;"-S"&amp;TEXT(L71,"00")),AND(K71="Cavity",J71="L"&amp;E71&amp;"-S"&amp;TEXT(L71,"00")&amp;"-C"&amp;M71)),"OK","CHECK"))</x:f>
      </x:c>
      <x:c r="AA71" t="str">
        <x:f>IF(B71="","",IF(AND(Q71&gt;0,OR(AND(O71="",P71=""),AND(O71&lt;&gt;"",P71&lt;&gt;"",P71&gt;=O71,ABS(Q71-((P71-O71)*24))&lt;=0.01))),"OK","CHECK"))</x:f>
      </x:c>
      <x:c r="AB71" t="str">
        <x:f>IF(B71="","",IF(AND(Y71="OK",Z71="OK",AA71="OK",R71&gt;0,S71&gt;0),"OK","CHECK"))</x:f>
      </x:c>
    </x:row>
    <x:row r="72">
      <x:c r="R72" t="str">
        <x:f>IF(B72="","",SUMIF(ProductionConfiguration!$B$5:$B$914,C72,ProductionConfiguration!$S$5:$S$914))</x:f>
      </x:c>
      <x:c r="S72" t="str">
        <x:f>IF(B72="","",IF(K72="Line",R72,IF(K72="Section",SUMIFS(ProductionConfiguration!$S$5:$S$914,ProductionConfiguration!$B$5:$B$914,C72,ProductionConfiguration!$I$5:$I$914,L72),IF(K72="Cavity",IF(M72=1,SUMIFS(ProductionConfiguration!$P$5:$P$914,ProductionConfiguration!$B$5:$B$914,C72,ProductionConfiguration!$I$5:$I$914,L72),IF(M72=2,SUMIFS(ProductionConfiguration!$Q$5:$Q$914,ProductionConfiguration!$B$5:$B$914,C72,ProductionConfiguration!$I$5:$I$914,L72),SUMIFS(ProductionConfiguration!$R$5:$R$914,ProductionConfiguration!$B$5:$B$914,C72,ProductionConfiguration!$I$5:$I$914,L72))),0))))</x:f>
      </x:c>
      <x:c r="T72" t="str">
        <x:f>IF(B72="","",IFERROR(S72/R72,0))</x:f>
      </x:c>
      <x:c r="U72" t="str">
        <x:f>IF(B72="","",Q72*T72)</x:f>
      </x:c>
      <x:c r="V72" t="str">
        <x:f>IF(C72="","",SUMIF(DailyProduction!$Q$5:$Q$100,C72,DailyProduction!$J$5:$J$100))</x:f>
      </x:c>
      <x:c r="W72" t="str">
        <x:f>IF(B72="","",Q72*60*V72*S72)</x:f>
      </x:c>
      <x:c r="Y72" t="str">
        <x:f>IF(B72="","",IF(COUNTIF(JobChange!$S$5:$S$100,B72)=1,"OK","CHECK"))</x:f>
      </x:c>
      <x:c r="Z72" t="str">
        <x:f>IF(B72="","",IF(OR(AND(K72="Line",J72="L"&amp;E72),AND(K72="Section",J72="L"&amp;E72&amp;"-S"&amp;TEXT(L72,"00")),AND(K72="Cavity",J72="L"&amp;E72&amp;"-S"&amp;TEXT(L72,"00")&amp;"-C"&amp;M72)),"OK","CHECK"))</x:f>
      </x:c>
      <x:c r="AA72" t="str">
        <x:f>IF(B72="","",IF(AND(Q72&gt;0,OR(AND(O72="",P72=""),AND(O72&lt;&gt;"",P72&lt;&gt;"",P72&gt;=O72,ABS(Q72-((P72-O72)*24))&lt;=0.01))),"OK","CHECK"))</x:f>
      </x:c>
      <x:c r="AB72" t="str">
        <x:f>IF(B72="","",IF(AND(Y72="OK",Z72="OK",AA72="OK",R72&gt;0,S72&gt;0),"OK","CHECK"))</x:f>
      </x:c>
    </x:row>
    <x:row r="73">
      <x:c r="R73" t="str">
        <x:f>IF(B73="","",SUMIF(ProductionConfiguration!$B$5:$B$914,C73,ProductionConfiguration!$S$5:$S$914))</x:f>
      </x:c>
      <x:c r="S73" t="str">
        <x:f>IF(B73="","",IF(K73="Line",R73,IF(K73="Section",SUMIFS(ProductionConfiguration!$S$5:$S$914,ProductionConfiguration!$B$5:$B$914,C73,ProductionConfiguration!$I$5:$I$914,L73),IF(K73="Cavity",IF(M73=1,SUMIFS(ProductionConfiguration!$P$5:$P$914,ProductionConfiguration!$B$5:$B$914,C73,ProductionConfiguration!$I$5:$I$914,L73),IF(M73=2,SUMIFS(ProductionConfiguration!$Q$5:$Q$914,ProductionConfiguration!$B$5:$B$914,C73,ProductionConfiguration!$I$5:$I$914,L73),SUMIFS(ProductionConfiguration!$R$5:$R$914,ProductionConfiguration!$B$5:$B$914,C73,ProductionConfiguration!$I$5:$I$914,L73))),0))))</x:f>
      </x:c>
      <x:c r="T73" t="str">
        <x:f>IF(B73="","",IFERROR(S73/R73,0))</x:f>
      </x:c>
      <x:c r="U73" t="str">
        <x:f>IF(B73="","",Q73*T73)</x:f>
      </x:c>
      <x:c r="V73" t="str">
        <x:f>IF(C73="","",SUMIF(DailyProduction!$Q$5:$Q$100,C73,DailyProduction!$J$5:$J$100))</x:f>
      </x:c>
      <x:c r="W73" t="str">
        <x:f>IF(B73="","",Q73*60*V73*S73)</x:f>
      </x:c>
      <x:c r="Y73" t="str">
        <x:f>IF(B73="","",IF(COUNTIF(JobChange!$S$5:$S$100,B73)=1,"OK","CHECK"))</x:f>
      </x:c>
      <x:c r="Z73" t="str">
        <x:f>IF(B73="","",IF(OR(AND(K73="Line",J73="L"&amp;E73),AND(K73="Section",J73="L"&amp;E73&amp;"-S"&amp;TEXT(L73,"00")),AND(K73="Cavity",J73="L"&amp;E73&amp;"-S"&amp;TEXT(L73,"00")&amp;"-C"&amp;M73)),"OK","CHECK"))</x:f>
      </x:c>
      <x:c r="AA73" t="str">
        <x:f>IF(B73="","",IF(AND(Q73&gt;0,OR(AND(O73="",P73=""),AND(O73&lt;&gt;"",P73&lt;&gt;"",P73&gt;=O73,ABS(Q73-((P73-O73)*24))&lt;=0.01))),"OK","CHECK"))</x:f>
      </x:c>
      <x:c r="AB73" t="str">
        <x:f>IF(B73="","",IF(AND(Y73="OK",Z73="OK",AA73="OK",R73&gt;0,S73&gt;0),"OK","CHECK"))</x:f>
      </x:c>
    </x:row>
    <x:row r="74">
      <x:c r="R74" t="str">
        <x:f>IF(B74="","",SUMIF(ProductionConfiguration!$B$5:$B$914,C74,ProductionConfiguration!$S$5:$S$914))</x:f>
      </x:c>
      <x:c r="S74" t="str">
        <x:f>IF(B74="","",IF(K74="Line",R74,IF(K74="Section",SUMIFS(ProductionConfiguration!$S$5:$S$914,ProductionConfiguration!$B$5:$B$914,C74,ProductionConfiguration!$I$5:$I$914,L74),IF(K74="Cavity",IF(M74=1,SUMIFS(ProductionConfiguration!$P$5:$P$914,ProductionConfiguration!$B$5:$B$914,C74,ProductionConfiguration!$I$5:$I$914,L74),IF(M74=2,SUMIFS(ProductionConfiguration!$Q$5:$Q$914,ProductionConfiguration!$B$5:$B$914,C74,ProductionConfiguration!$I$5:$I$914,L74),SUMIFS(ProductionConfiguration!$R$5:$R$914,ProductionConfiguration!$B$5:$B$914,C74,ProductionConfiguration!$I$5:$I$914,L74))),0))))</x:f>
      </x:c>
      <x:c r="T74" t="str">
        <x:f>IF(B74="","",IFERROR(S74/R74,0))</x:f>
      </x:c>
      <x:c r="U74" t="str">
        <x:f>IF(B74="","",Q74*T74)</x:f>
      </x:c>
      <x:c r="V74" t="str">
        <x:f>IF(C74="","",SUMIF(DailyProduction!$Q$5:$Q$100,C74,DailyProduction!$J$5:$J$100))</x:f>
      </x:c>
      <x:c r="W74" t="str">
        <x:f>IF(B74="","",Q74*60*V74*S74)</x:f>
      </x:c>
      <x:c r="Y74" t="str">
        <x:f>IF(B74="","",IF(COUNTIF(JobChange!$S$5:$S$100,B74)=1,"OK","CHECK"))</x:f>
      </x:c>
      <x:c r="Z74" t="str">
        <x:f>IF(B74="","",IF(OR(AND(K74="Line",J74="L"&amp;E74),AND(K74="Section",J74="L"&amp;E74&amp;"-S"&amp;TEXT(L74,"00")),AND(K74="Cavity",J74="L"&amp;E74&amp;"-S"&amp;TEXT(L74,"00")&amp;"-C"&amp;M74)),"OK","CHECK"))</x:f>
      </x:c>
      <x:c r="AA74" t="str">
        <x:f>IF(B74="","",IF(AND(Q74&gt;0,OR(AND(O74="",P74=""),AND(O74&lt;&gt;"",P74&lt;&gt;"",P74&gt;=O74,ABS(Q74-((P74-O74)*24))&lt;=0.01))),"OK","CHECK"))</x:f>
      </x:c>
      <x:c r="AB74" t="str">
        <x:f>IF(B74="","",IF(AND(Y74="OK",Z74="OK",AA74="OK",R74&gt;0,S74&gt;0),"OK","CHECK"))</x:f>
      </x:c>
    </x:row>
    <x:row r="75">
      <x:c r="R75" t="str">
        <x:f>IF(B75="","",SUMIF(ProductionConfiguration!$B$5:$B$914,C75,ProductionConfiguration!$S$5:$S$914))</x:f>
      </x:c>
      <x:c r="S75" t="str">
        <x:f>IF(B75="","",IF(K75="Line",R75,IF(K75="Section",SUMIFS(ProductionConfiguration!$S$5:$S$914,ProductionConfiguration!$B$5:$B$914,C75,ProductionConfiguration!$I$5:$I$914,L75),IF(K75="Cavity",IF(M75=1,SUMIFS(ProductionConfiguration!$P$5:$P$914,ProductionConfiguration!$B$5:$B$914,C75,ProductionConfiguration!$I$5:$I$914,L75),IF(M75=2,SUMIFS(ProductionConfiguration!$Q$5:$Q$914,ProductionConfiguration!$B$5:$B$914,C75,ProductionConfiguration!$I$5:$I$914,L75),SUMIFS(ProductionConfiguration!$R$5:$R$914,ProductionConfiguration!$B$5:$B$914,C75,ProductionConfiguration!$I$5:$I$914,L75))),0))))</x:f>
      </x:c>
      <x:c r="T75" t="str">
        <x:f>IF(B75="","",IFERROR(S75/R75,0))</x:f>
      </x:c>
      <x:c r="U75" t="str">
        <x:f>IF(B75="","",Q75*T75)</x:f>
      </x:c>
      <x:c r="V75" t="str">
        <x:f>IF(C75="","",SUMIF(DailyProduction!$Q$5:$Q$100,C75,DailyProduction!$J$5:$J$100))</x:f>
      </x:c>
      <x:c r="W75" t="str">
        <x:f>IF(B75="","",Q75*60*V75*S75)</x:f>
      </x:c>
      <x:c r="Y75" t="str">
        <x:f>IF(B75="","",IF(COUNTIF(JobChange!$S$5:$S$100,B75)=1,"OK","CHECK"))</x:f>
      </x:c>
      <x:c r="Z75" t="str">
        <x:f>IF(B75="","",IF(OR(AND(K75="Line",J75="L"&amp;E75),AND(K75="Section",J75="L"&amp;E75&amp;"-S"&amp;TEXT(L75,"00")),AND(K75="Cavity",J75="L"&amp;E75&amp;"-S"&amp;TEXT(L75,"00")&amp;"-C"&amp;M75)),"OK","CHECK"))</x:f>
      </x:c>
      <x:c r="AA75" t="str">
        <x:f>IF(B75="","",IF(AND(Q75&gt;0,OR(AND(O75="",P75=""),AND(O75&lt;&gt;"",P75&lt;&gt;"",P75&gt;=O75,ABS(Q75-((P75-O75)*24))&lt;=0.01))),"OK","CHECK"))</x:f>
      </x:c>
      <x:c r="AB75" t="str">
        <x:f>IF(B75="","",IF(AND(Y75="OK",Z75="OK",AA75="OK",R75&gt;0,S75&gt;0),"OK","CHECK"))</x:f>
      </x:c>
    </x:row>
    <x:row r="76">
      <x:c r="R76" t="str">
        <x:f>IF(B76="","",SUMIF(ProductionConfiguration!$B$5:$B$914,C76,ProductionConfiguration!$S$5:$S$914))</x:f>
      </x:c>
      <x:c r="S76" t="str">
        <x:f>IF(B76="","",IF(K76="Line",R76,IF(K76="Section",SUMIFS(ProductionConfiguration!$S$5:$S$914,ProductionConfiguration!$B$5:$B$914,C76,ProductionConfiguration!$I$5:$I$914,L76),IF(K76="Cavity",IF(M76=1,SUMIFS(ProductionConfiguration!$P$5:$P$914,ProductionConfiguration!$B$5:$B$914,C76,ProductionConfiguration!$I$5:$I$914,L76),IF(M76=2,SUMIFS(ProductionConfiguration!$Q$5:$Q$914,ProductionConfiguration!$B$5:$B$914,C76,ProductionConfiguration!$I$5:$I$914,L76),SUMIFS(ProductionConfiguration!$R$5:$R$914,ProductionConfiguration!$B$5:$B$914,C76,ProductionConfiguration!$I$5:$I$914,L76))),0))))</x:f>
      </x:c>
      <x:c r="T76" t="str">
        <x:f>IF(B76="","",IFERROR(S76/R76,0))</x:f>
      </x:c>
      <x:c r="U76" t="str">
        <x:f>IF(B76="","",Q76*T76)</x:f>
      </x:c>
      <x:c r="V76" t="str">
        <x:f>IF(C76="","",SUMIF(DailyProduction!$Q$5:$Q$100,C76,DailyProduction!$J$5:$J$100))</x:f>
      </x:c>
      <x:c r="W76" t="str">
        <x:f>IF(B76="","",Q76*60*V76*S76)</x:f>
      </x:c>
      <x:c r="Y76" t="str">
        <x:f>IF(B76="","",IF(COUNTIF(JobChange!$S$5:$S$100,B76)=1,"OK","CHECK"))</x:f>
      </x:c>
      <x:c r="Z76" t="str">
        <x:f>IF(B76="","",IF(OR(AND(K76="Line",J76="L"&amp;E76),AND(K76="Section",J76="L"&amp;E76&amp;"-S"&amp;TEXT(L76,"00")),AND(K76="Cavity",J76="L"&amp;E76&amp;"-S"&amp;TEXT(L76,"00")&amp;"-C"&amp;M76)),"OK","CHECK"))</x:f>
      </x:c>
      <x:c r="AA76" t="str">
        <x:f>IF(B76="","",IF(AND(Q76&gt;0,OR(AND(O76="",P76=""),AND(O76&lt;&gt;"",P76&lt;&gt;"",P76&gt;=O76,ABS(Q76-((P76-O76)*24))&lt;=0.01))),"OK","CHECK"))</x:f>
      </x:c>
      <x:c r="AB76" t="str">
        <x:f>IF(B76="","",IF(AND(Y76="OK",Z76="OK",AA76="OK",R76&gt;0,S76&gt;0),"OK","CHECK"))</x:f>
      </x:c>
    </x:row>
    <x:row r="77">
      <x:c r="R77" t="str">
        <x:f>IF(B77="","",SUMIF(ProductionConfiguration!$B$5:$B$914,C77,ProductionConfiguration!$S$5:$S$914))</x:f>
      </x:c>
      <x:c r="S77" t="str">
        <x:f>IF(B77="","",IF(K77="Line",R77,IF(K77="Section",SUMIFS(ProductionConfiguration!$S$5:$S$914,ProductionConfiguration!$B$5:$B$914,C77,ProductionConfiguration!$I$5:$I$914,L77),IF(K77="Cavity",IF(M77=1,SUMIFS(ProductionConfiguration!$P$5:$P$914,ProductionConfiguration!$B$5:$B$914,C77,ProductionConfiguration!$I$5:$I$914,L77),IF(M77=2,SUMIFS(ProductionConfiguration!$Q$5:$Q$914,ProductionConfiguration!$B$5:$B$914,C77,ProductionConfiguration!$I$5:$I$914,L77),SUMIFS(ProductionConfiguration!$R$5:$R$914,ProductionConfiguration!$B$5:$B$914,C77,ProductionConfiguration!$I$5:$I$914,L77))),0))))</x:f>
      </x:c>
      <x:c r="T77" t="str">
        <x:f>IF(B77="","",IFERROR(S77/R77,0))</x:f>
      </x:c>
      <x:c r="U77" t="str">
        <x:f>IF(B77="","",Q77*T77)</x:f>
      </x:c>
      <x:c r="V77" t="str">
        <x:f>IF(C77="","",SUMIF(DailyProduction!$Q$5:$Q$100,C77,DailyProduction!$J$5:$J$100))</x:f>
      </x:c>
      <x:c r="W77" t="str">
        <x:f>IF(B77="","",Q77*60*V77*S77)</x:f>
      </x:c>
      <x:c r="Y77" t="str">
        <x:f>IF(B77="","",IF(COUNTIF(JobChange!$S$5:$S$100,B77)=1,"OK","CHECK"))</x:f>
      </x:c>
      <x:c r="Z77" t="str">
        <x:f>IF(B77="","",IF(OR(AND(K77="Line",J77="L"&amp;E77),AND(K77="Section",J77="L"&amp;E77&amp;"-S"&amp;TEXT(L77,"00")),AND(K77="Cavity",J77="L"&amp;E77&amp;"-S"&amp;TEXT(L77,"00")&amp;"-C"&amp;M77)),"OK","CHECK"))</x:f>
      </x:c>
      <x:c r="AA77" t="str">
        <x:f>IF(B77="","",IF(AND(Q77&gt;0,OR(AND(O77="",P77=""),AND(O77&lt;&gt;"",P77&lt;&gt;"",P77&gt;=O77,ABS(Q77-((P77-O77)*24))&lt;=0.01))),"OK","CHECK"))</x:f>
      </x:c>
      <x:c r="AB77" t="str">
        <x:f>IF(B77="","",IF(AND(Y77="OK",Z77="OK",AA77="OK",R77&gt;0,S77&gt;0),"OK","CHECK"))</x:f>
      </x:c>
    </x:row>
    <x:row r="78">
      <x:c r="R78" t="str">
        <x:f>IF(B78="","",SUMIF(ProductionConfiguration!$B$5:$B$914,C78,ProductionConfiguration!$S$5:$S$914))</x:f>
      </x:c>
      <x:c r="S78" t="str">
        <x:f>IF(B78="","",IF(K78="Line",R78,IF(K78="Section",SUMIFS(ProductionConfiguration!$S$5:$S$914,ProductionConfiguration!$B$5:$B$914,C78,ProductionConfiguration!$I$5:$I$914,L78),IF(K78="Cavity",IF(M78=1,SUMIFS(ProductionConfiguration!$P$5:$P$914,ProductionConfiguration!$B$5:$B$914,C78,ProductionConfiguration!$I$5:$I$914,L78),IF(M78=2,SUMIFS(ProductionConfiguration!$Q$5:$Q$914,ProductionConfiguration!$B$5:$B$914,C78,ProductionConfiguration!$I$5:$I$914,L78),SUMIFS(ProductionConfiguration!$R$5:$R$914,ProductionConfiguration!$B$5:$B$914,C78,ProductionConfiguration!$I$5:$I$914,L78))),0))))</x:f>
      </x:c>
      <x:c r="T78" t="str">
        <x:f>IF(B78="","",IFERROR(S78/R78,0))</x:f>
      </x:c>
      <x:c r="U78" t="str">
        <x:f>IF(B78="","",Q78*T78)</x:f>
      </x:c>
      <x:c r="V78" t="str">
        <x:f>IF(C78="","",SUMIF(DailyProduction!$Q$5:$Q$100,C78,DailyProduction!$J$5:$J$100))</x:f>
      </x:c>
      <x:c r="W78" t="str">
        <x:f>IF(B78="","",Q78*60*V78*S78)</x:f>
      </x:c>
      <x:c r="Y78" t="str">
        <x:f>IF(B78="","",IF(COUNTIF(JobChange!$S$5:$S$100,B78)=1,"OK","CHECK"))</x:f>
      </x:c>
      <x:c r="Z78" t="str">
        <x:f>IF(B78="","",IF(OR(AND(K78="Line",J78="L"&amp;E78),AND(K78="Section",J78="L"&amp;E78&amp;"-S"&amp;TEXT(L78,"00")),AND(K78="Cavity",J78="L"&amp;E78&amp;"-S"&amp;TEXT(L78,"00")&amp;"-C"&amp;M78)),"OK","CHECK"))</x:f>
      </x:c>
      <x:c r="AA78" t="str">
        <x:f>IF(B78="","",IF(AND(Q78&gt;0,OR(AND(O78="",P78=""),AND(O78&lt;&gt;"",P78&lt;&gt;"",P78&gt;=O78,ABS(Q78-((P78-O78)*24))&lt;=0.01))),"OK","CHECK"))</x:f>
      </x:c>
      <x:c r="AB78" t="str">
        <x:f>IF(B78="","",IF(AND(Y78="OK",Z78="OK",AA78="OK",R78&gt;0,S78&gt;0),"OK","CHECK"))</x:f>
      </x:c>
    </x:row>
    <x:row r="79">
      <x:c r="R79" t="str">
        <x:f>IF(B79="","",SUMIF(ProductionConfiguration!$B$5:$B$914,C79,ProductionConfiguration!$S$5:$S$914))</x:f>
      </x:c>
      <x:c r="S79" t="str">
        <x:f>IF(B79="","",IF(K79="Line",R79,IF(K79="Section",SUMIFS(ProductionConfiguration!$S$5:$S$914,ProductionConfiguration!$B$5:$B$914,C79,ProductionConfiguration!$I$5:$I$914,L79),IF(K79="Cavity",IF(M79=1,SUMIFS(ProductionConfiguration!$P$5:$P$914,ProductionConfiguration!$B$5:$B$914,C79,ProductionConfiguration!$I$5:$I$914,L79),IF(M79=2,SUMIFS(ProductionConfiguration!$Q$5:$Q$914,ProductionConfiguration!$B$5:$B$914,C79,ProductionConfiguration!$I$5:$I$914,L79),SUMIFS(ProductionConfiguration!$R$5:$R$914,ProductionConfiguration!$B$5:$B$914,C79,ProductionConfiguration!$I$5:$I$914,L79))),0))))</x:f>
      </x:c>
      <x:c r="T79" t="str">
        <x:f>IF(B79="","",IFERROR(S79/R79,0))</x:f>
      </x:c>
      <x:c r="U79" t="str">
        <x:f>IF(B79="","",Q79*T79)</x:f>
      </x:c>
      <x:c r="V79" t="str">
        <x:f>IF(C79="","",SUMIF(DailyProduction!$Q$5:$Q$100,C79,DailyProduction!$J$5:$J$100))</x:f>
      </x:c>
      <x:c r="W79" t="str">
        <x:f>IF(B79="","",Q79*60*V79*S79)</x:f>
      </x:c>
      <x:c r="Y79" t="str">
        <x:f>IF(B79="","",IF(COUNTIF(JobChange!$S$5:$S$100,B79)=1,"OK","CHECK"))</x:f>
      </x:c>
      <x:c r="Z79" t="str">
        <x:f>IF(B79="","",IF(OR(AND(K79="Line",J79="L"&amp;E79),AND(K79="Section",J79="L"&amp;E79&amp;"-S"&amp;TEXT(L79,"00")),AND(K79="Cavity",J79="L"&amp;E79&amp;"-S"&amp;TEXT(L79,"00")&amp;"-C"&amp;M79)),"OK","CHECK"))</x:f>
      </x:c>
      <x:c r="AA79" t="str">
        <x:f>IF(B79="","",IF(AND(Q79&gt;0,OR(AND(O79="",P79=""),AND(O79&lt;&gt;"",P79&lt;&gt;"",P79&gt;=O79,ABS(Q79-((P79-O79)*24))&lt;=0.01))),"OK","CHECK"))</x:f>
      </x:c>
      <x:c r="AB79" t="str">
        <x:f>IF(B79="","",IF(AND(Y79="OK",Z79="OK",AA79="OK",R79&gt;0,S79&gt;0),"OK","CHECK"))</x:f>
      </x:c>
    </x:row>
    <x:row r="80">
      <x:c r="R80" t="str">
        <x:f>IF(B80="","",SUMIF(ProductionConfiguration!$B$5:$B$914,C80,ProductionConfiguration!$S$5:$S$914))</x:f>
      </x:c>
      <x:c r="S80" t="str">
        <x:f>IF(B80="","",IF(K80="Line",R80,IF(K80="Section",SUMIFS(ProductionConfiguration!$S$5:$S$914,ProductionConfiguration!$B$5:$B$914,C80,ProductionConfiguration!$I$5:$I$914,L80),IF(K80="Cavity",IF(M80=1,SUMIFS(ProductionConfiguration!$P$5:$P$914,ProductionConfiguration!$B$5:$B$914,C80,ProductionConfiguration!$I$5:$I$914,L80),IF(M80=2,SUMIFS(ProductionConfiguration!$Q$5:$Q$914,ProductionConfiguration!$B$5:$B$914,C80,ProductionConfiguration!$I$5:$I$914,L80),SUMIFS(ProductionConfiguration!$R$5:$R$914,ProductionConfiguration!$B$5:$B$914,C80,ProductionConfiguration!$I$5:$I$914,L80))),0))))</x:f>
      </x:c>
      <x:c r="T80" t="str">
        <x:f>IF(B80="","",IFERROR(S80/R80,0))</x:f>
      </x:c>
      <x:c r="U80" t="str">
        <x:f>IF(B80="","",Q80*T80)</x:f>
      </x:c>
      <x:c r="V80" t="str">
        <x:f>IF(C80="","",SUMIF(DailyProduction!$Q$5:$Q$100,C80,DailyProduction!$J$5:$J$100))</x:f>
      </x:c>
      <x:c r="W80" t="str">
        <x:f>IF(B80="","",Q80*60*V80*S80)</x:f>
      </x:c>
      <x:c r="Y80" t="str">
        <x:f>IF(B80="","",IF(COUNTIF(JobChange!$S$5:$S$100,B80)=1,"OK","CHECK"))</x:f>
      </x:c>
      <x:c r="Z80" t="str">
        <x:f>IF(B80="","",IF(OR(AND(K80="Line",J80="L"&amp;E80),AND(K80="Section",J80="L"&amp;E80&amp;"-S"&amp;TEXT(L80,"00")),AND(K80="Cavity",J80="L"&amp;E80&amp;"-S"&amp;TEXT(L80,"00")&amp;"-C"&amp;M80)),"OK","CHECK"))</x:f>
      </x:c>
      <x:c r="AA80" t="str">
        <x:f>IF(B80="","",IF(AND(Q80&gt;0,OR(AND(O80="",P80=""),AND(O80&lt;&gt;"",P80&lt;&gt;"",P80&gt;=O80,ABS(Q80-((P80-O80)*24))&lt;=0.01))),"OK","CHECK"))</x:f>
      </x:c>
      <x:c r="AB80" t="str">
        <x:f>IF(B80="","",IF(AND(Y80="OK",Z80="OK",AA80="OK",R80&gt;0,S80&gt;0),"OK","CHECK"))</x:f>
      </x:c>
    </x:row>
    <x:row r="81">
      <x:c r="R81" t="str">
        <x:f>IF(B81="","",SUMIF(ProductionConfiguration!$B$5:$B$914,C81,ProductionConfiguration!$S$5:$S$914))</x:f>
      </x:c>
      <x:c r="S81" t="str">
        <x:f>IF(B81="","",IF(K81="Line",R81,IF(K81="Section",SUMIFS(ProductionConfiguration!$S$5:$S$914,ProductionConfiguration!$B$5:$B$914,C81,ProductionConfiguration!$I$5:$I$914,L81),IF(K81="Cavity",IF(M81=1,SUMIFS(ProductionConfiguration!$P$5:$P$914,ProductionConfiguration!$B$5:$B$914,C81,ProductionConfiguration!$I$5:$I$914,L81),IF(M81=2,SUMIFS(ProductionConfiguration!$Q$5:$Q$914,ProductionConfiguration!$B$5:$B$914,C81,ProductionConfiguration!$I$5:$I$914,L81),SUMIFS(ProductionConfiguration!$R$5:$R$914,ProductionConfiguration!$B$5:$B$914,C81,ProductionConfiguration!$I$5:$I$914,L81))),0))))</x:f>
      </x:c>
      <x:c r="T81" t="str">
        <x:f>IF(B81="","",IFERROR(S81/R81,0))</x:f>
      </x:c>
      <x:c r="U81" t="str">
        <x:f>IF(B81="","",Q81*T81)</x:f>
      </x:c>
      <x:c r="V81" t="str">
        <x:f>IF(C81="","",SUMIF(DailyProduction!$Q$5:$Q$100,C81,DailyProduction!$J$5:$J$100))</x:f>
      </x:c>
      <x:c r="W81" t="str">
        <x:f>IF(B81="","",Q81*60*V81*S81)</x:f>
      </x:c>
      <x:c r="Y81" t="str">
        <x:f>IF(B81="","",IF(COUNTIF(JobChange!$S$5:$S$100,B81)=1,"OK","CHECK"))</x:f>
      </x:c>
      <x:c r="Z81" t="str">
        <x:f>IF(B81="","",IF(OR(AND(K81="Line",J81="L"&amp;E81),AND(K81="Section",J81="L"&amp;E81&amp;"-S"&amp;TEXT(L81,"00")),AND(K81="Cavity",J81="L"&amp;E81&amp;"-S"&amp;TEXT(L81,"00")&amp;"-C"&amp;M81)),"OK","CHECK"))</x:f>
      </x:c>
      <x:c r="AA81" t="str">
        <x:f>IF(B81="","",IF(AND(Q81&gt;0,OR(AND(O81="",P81=""),AND(O81&lt;&gt;"",P81&lt;&gt;"",P81&gt;=O81,ABS(Q81-((P81-O81)*24))&lt;=0.01))),"OK","CHECK"))</x:f>
      </x:c>
      <x:c r="AB81" t="str">
        <x:f>IF(B81="","",IF(AND(Y81="OK",Z81="OK",AA81="OK",R81&gt;0,S81&gt;0),"OK","CHECK"))</x:f>
      </x:c>
    </x:row>
    <x:row r="82">
      <x:c r="R82" t="str">
        <x:f>IF(B82="","",SUMIF(ProductionConfiguration!$B$5:$B$914,C82,ProductionConfiguration!$S$5:$S$914))</x:f>
      </x:c>
      <x:c r="S82" t="str">
        <x:f>IF(B82="","",IF(K82="Line",R82,IF(K82="Section",SUMIFS(ProductionConfiguration!$S$5:$S$914,ProductionConfiguration!$B$5:$B$914,C82,ProductionConfiguration!$I$5:$I$914,L82),IF(K82="Cavity",IF(M82=1,SUMIFS(ProductionConfiguration!$P$5:$P$914,ProductionConfiguration!$B$5:$B$914,C82,ProductionConfiguration!$I$5:$I$914,L82),IF(M82=2,SUMIFS(ProductionConfiguration!$Q$5:$Q$914,ProductionConfiguration!$B$5:$B$914,C82,ProductionConfiguration!$I$5:$I$914,L82),SUMIFS(ProductionConfiguration!$R$5:$R$914,ProductionConfiguration!$B$5:$B$914,C82,ProductionConfiguration!$I$5:$I$914,L82))),0))))</x:f>
      </x:c>
      <x:c r="T82" t="str">
        <x:f>IF(B82="","",IFERROR(S82/R82,0))</x:f>
      </x:c>
      <x:c r="U82" t="str">
        <x:f>IF(B82="","",Q82*T82)</x:f>
      </x:c>
      <x:c r="V82" t="str">
        <x:f>IF(C82="","",SUMIF(DailyProduction!$Q$5:$Q$100,C82,DailyProduction!$J$5:$J$100))</x:f>
      </x:c>
      <x:c r="W82" t="str">
        <x:f>IF(B82="","",Q82*60*V82*S82)</x:f>
      </x:c>
      <x:c r="Y82" t="str">
        <x:f>IF(B82="","",IF(COUNTIF(JobChange!$S$5:$S$100,B82)=1,"OK","CHECK"))</x:f>
      </x:c>
      <x:c r="Z82" t="str">
        <x:f>IF(B82="","",IF(OR(AND(K82="Line",J82="L"&amp;E82),AND(K82="Section",J82="L"&amp;E82&amp;"-S"&amp;TEXT(L82,"00")),AND(K82="Cavity",J82="L"&amp;E82&amp;"-S"&amp;TEXT(L82,"00")&amp;"-C"&amp;M82)),"OK","CHECK"))</x:f>
      </x:c>
      <x:c r="AA82" t="str">
        <x:f>IF(B82="","",IF(AND(Q82&gt;0,OR(AND(O82="",P82=""),AND(O82&lt;&gt;"",P82&lt;&gt;"",P82&gt;=O82,ABS(Q82-((P82-O82)*24))&lt;=0.01))),"OK","CHECK"))</x:f>
      </x:c>
      <x:c r="AB82" t="str">
        <x:f>IF(B82="","",IF(AND(Y82="OK",Z82="OK",AA82="OK",R82&gt;0,S82&gt;0),"OK","CHECK"))</x:f>
      </x:c>
    </x:row>
    <x:row r="83">
      <x:c r="R83" t="str">
        <x:f>IF(B83="","",SUMIF(ProductionConfiguration!$B$5:$B$914,C83,ProductionConfiguration!$S$5:$S$914))</x:f>
      </x:c>
      <x:c r="S83" t="str">
        <x:f>IF(B83="","",IF(K83="Line",R83,IF(K83="Section",SUMIFS(ProductionConfiguration!$S$5:$S$914,ProductionConfiguration!$B$5:$B$914,C83,ProductionConfiguration!$I$5:$I$914,L83),IF(K83="Cavity",IF(M83=1,SUMIFS(ProductionConfiguration!$P$5:$P$914,ProductionConfiguration!$B$5:$B$914,C83,ProductionConfiguration!$I$5:$I$914,L83),IF(M83=2,SUMIFS(ProductionConfiguration!$Q$5:$Q$914,ProductionConfiguration!$B$5:$B$914,C83,ProductionConfiguration!$I$5:$I$914,L83),SUMIFS(ProductionConfiguration!$R$5:$R$914,ProductionConfiguration!$B$5:$B$914,C83,ProductionConfiguration!$I$5:$I$914,L83))),0))))</x:f>
      </x:c>
      <x:c r="T83" t="str">
        <x:f>IF(B83="","",IFERROR(S83/R83,0))</x:f>
      </x:c>
      <x:c r="U83" t="str">
        <x:f>IF(B83="","",Q83*T83)</x:f>
      </x:c>
      <x:c r="V83" t="str">
        <x:f>IF(C83="","",SUMIF(DailyProduction!$Q$5:$Q$100,C83,DailyProduction!$J$5:$J$100))</x:f>
      </x:c>
      <x:c r="W83" t="str">
        <x:f>IF(B83="","",Q83*60*V83*S83)</x:f>
      </x:c>
      <x:c r="Y83" t="str">
        <x:f>IF(B83="","",IF(COUNTIF(JobChange!$S$5:$S$100,B83)=1,"OK","CHECK"))</x:f>
      </x:c>
      <x:c r="Z83" t="str">
        <x:f>IF(B83="","",IF(OR(AND(K83="Line",J83="L"&amp;E83),AND(K83="Section",J83="L"&amp;E83&amp;"-S"&amp;TEXT(L83,"00")),AND(K83="Cavity",J83="L"&amp;E83&amp;"-S"&amp;TEXT(L83,"00")&amp;"-C"&amp;M83)),"OK","CHECK"))</x:f>
      </x:c>
      <x:c r="AA83" t="str">
        <x:f>IF(B83="","",IF(AND(Q83&gt;0,OR(AND(O83="",P83=""),AND(O83&lt;&gt;"",P83&lt;&gt;"",P83&gt;=O83,ABS(Q83-((P83-O83)*24))&lt;=0.01))),"OK","CHECK"))</x:f>
      </x:c>
      <x:c r="AB83" t="str">
        <x:f>IF(B83="","",IF(AND(Y83="OK",Z83="OK",AA83="OK",R83&gt;0,S83&gt;0),"OK","CHECK"))</x:f>
      </x:c>
    </x:row>
    <x:row r="84">
      <x:c r="R84" t="str">
        <x:f>IF(B84="","",SUMIF(ProductionConfiguration!$B$5:$B$914,C84,ProductionConfiguration!$S$5:$S$914))</x:f>
      </x:c>
      <x:c r="S84" t="str">
        <x:f>IF(B84="","",IF(K84="Line",R84,IF(K84="Section",SUMIFS(ProductionConfiguration!$S$5:$S$914,ProductionConfiguration!$B$5:$B$914,C84,ProductionConfiguration!$I$5:$I$914,L84),IF(K84="Cavity",IF(M84=1,SUMIFS(ProductionConfiguration!$P$5:$P$914,ProductionConfiguration!$B$5:$B$914,C84,ProductionConfiguration!$I$5:$I$914,L84),IF(M84=2,SUMIFS(ProductionConfiguration!$Q$5:$Q$914,ProductionConfiguration!$B$5:$B$914,C84,ProductionConfiguration!$I$5:$I$914,L84),SUMIFS(ProductionConfiguration!$R$5:$R$914,ProductionConfiguration!$B$5:$B$914,C84,ProductionConfiguration!$I$5:$I$914,L84))),0))))</x:f>
      </x:c>
      <x:c r="T84" t="str">
        <x:f>IF(B84="","",IFERROR(S84/R84,0))</x:f>
      </x:c>
      <x:c r="U84" t="str">
        <x:f>IF(B84="","",Q84*T84)</x:f>
      </x:c>
      <x:c r="V84" t="str">
        <x:f>IF(C84="","",SUMIF(DailyProduction!$Q$5:$Q$100,C84,DailyProduction!$J$5:$J$100))</x:f>
      </x:c>
      <x:c r="W84" t="str">
        <x:f>IF(B84="","",Q84*60*V84*S84)</x:f>
      </x:c>
      <x:c r="Y84" t="str">
        <x:f>IF(B84="","",IF(COUNTIF(JobChange!$S$5:$S$100,B84)=1,"OK","CHECK"))</x:f>
      </x:c>
      <x:c r="Z84" t="str">
        <x:f>IF(B84="","",IF(OR(AND(K84="Line",J84="L"&amp;E84),AND(K84="Section",J84="L"&amp;E84&amp;"-S"&amp;TEXT(L84,"00")),AND(K84="Cavity",J84="L"&amp;E84&amp;"-S"&amp;TEXT(L84,"00")&amp;"-C"&amp;M84)),"OK","CHECK"))</x:f>
      </x:c>
      <x:c r="AA84" t="str">
        <x:f>IF(B84="","",IF(AND(Q84&gt;0,OR(AND(O84="",P84=""),AND(O84&lt;&gt;"",P84&lt;&gt;"",P84&gt;=O84,ABS(Q84-((P84-O84)*24))&lt;=0.01))),"OK","CHECK"))</x:f>
      </x:c>
      <x:c r="AB84" t="str">
        <x:f>IF(B84="","",IF(AND(Y84="OK",Z84="OK",AA84="OK",R84&gt;0,S84&gt;0),"OK","CHECK"))</x:f>
      </x:c>
    </x:row>
    <x:row r="85">
      <x:c r="R85" t="str">
        <x:f>IF(B85="","",SUMIF(ProductionConfiguration!$B$5:$B$914,C85,ProductionConfiguration!$S$5:$S$914))</x:f>
      </x:c>
      <x:c r="S85" t="str">
        <x:f>IF(B85="","",IF(K85="Line",R85,IF(K85="Section",SUMIFS(ProductionConfiguration!$S$5:$S$914,ProductionConfiguration!$B$5:$B$914,C85,ProductionConfiguration!$I$5:$I$914,L85),IF(K85="Cavity",IF(M85=1,SUMIFS(ProductionConfiguration!$P$5:$P$914,ProductionConfiguration!$B$5:$B$914,C85,ProductionConfiguration!$I$5:$I$914,L85),IF(M85=2,SUMIFS(ProductionConfiguration!$Q$5:$Q$914,ProductionConfiguration!$B$5:$B$914,C85,ProductionConfiguration!$I$5:$I$914,L85),SUMIFS(ProductionConfiguration!$R$5:$R$914,ProductionConfiguration!$B$5:$B$914,C85,ProductionConfiguration!$I$5:$I$914,L85))),0))))</x:f>
      </x:c>
      <x:c r="T85" t="str">
        <x:f>IF(B85="","",IFERROR(S85/R85,0))</x:f>
      </x:c>
      <x:c r="U85" t="str">
        <x:f>IF(B85="","",Q85*T85)</x:f>
      </x:c>
      <x:c r="V85" t="str">
        <x:f>IF(C85="","",SUMIF(DailyProduction!$Q$5:$Q$100,C85,DailyProduction!$J$5:$J$100))</x:f>
      </x:c>
      <x:c r="W85" t="str">
        <x:f>IF(B85="","",Q85*60*V85*S85)</x:f>
      </x:c>
      <x:c r="Y85" t="str">
        <x:f>IF(B85="","",IF(COUNTIF(JobChange!$S$5:$S$100,B85)=1,"OK","CHECK"))</x:f>
      </x:c>
      <x:c r="Z85" t="str">
        <x:f>IF(B85="","",IF(OR(AND(K85="Line",J85="L"&amp;E85),AND(K85="Section",J85="L"&amp;E85&amp;"-S"&amp;TEXT(L85,"00")),AND(K85="Cavity",J85="L"&amp;E85&amp;"-S"&amp;TEXT(L85,"00")&amp;"-C"&amp;M85)),"OK","CHECK"))</x:f>
      </x:c>
      <x:c r="AA85" t="str">
        <x:f>IF(B85="","",IF(AND(Q85&gt;0,OR(AND(O85="",P85=""),AND(O85&lt;&gt;"",P85&lt;&gt;"",P85&gt;=O85,ABS(Q85-((P85-O85)*24))&lt;=0.01))),"OK","CHECK"))</x:f>
      </x:c>
      <x:c r="AB85" t="str">
        <x:f>IF(B85="","",IF(AND(Y85="OK",Z85="OK",AA85="OK",R85&gt;0,S85&gt;0),"OK","CHECK"))</x:f>
      </x:c>
    </x:row>
    <x:row r="86">
      <x:c r="R86" t="str">
        <x:f>IF(B86="","",SUMIF(ProductionConfiguration!$B$5:$B$914,C86,ProductionConfiguration!$S$5:$S$914))</x:f>
      </x:c>
      <x:c r="S86" t="str">
        <x:f>IF(B86="","",IF(K86="Line",R86,IF(K86="Section",SUMIFS(ProductionConfiguration!$S$5:$S$914,ProductionConfiguration!$B$5:$B$914,C86,ProductionConfiguration!$I$5:$I$914,L86),IF(K86="Cavity",IF(M86=1,SUMIFS(ProductionConfiguration!$P$5:$P$914,ProductionConfiguration!$B$5:$B$914,C86,ProductionConfiguration!$I$5:$I$914,L86),IF(M86=2,SUMIFS(ProductionConfiguration!$Q$5:$Q$914,ProductionConfiguration!$B$5:$B$914,C86,ProductionConfiguration!$I$5:$I$914,L86),SUMIFS(ProductionConfiguration!$R$5:$R$914,ProductionConfiguration!$B$5:$B$914,C86,ProductionConfiguration!$I$5:$I$914,L86))),0))))</x:f>
      </x:c>
      <x:c r="T86" t="str">
        <x:f>IF(B86="","",IFERROR(S86/R86,0))</x:f>
      </x:c>
      <x:c r="U86" t="str">
        <x:f>IF(B86="","",Q86*T86)</x:f>
      </x:c>
      <x:c r="V86" t="str">
        <x:f>IF(C86="","",SUMIF(DailyProduction!$Q$5:$Q$100,C86,DailyProduction!$J$5:$J$100))</x:f>
      </x:c>
      <x:c r="W86" t="str">
        <x:f>IF(B86="","",Q86*60*V86*S86)</x:f>
      </x:c>
      <x:c r="Y86" t="str">
        <x:f>IF(B86="","",IF(COUNTIF(JobChange!$S$5:$S$100,B86)=1,"OK","CHECK"))</x:f>
      </x:c>
      <x:c r="Z86" t="str">
        <x:f>IF(B86="","",IF(OR(AND(K86="Line",J86="L"&amp;E86),AND(K86="Section",J86="L"&amp;E86&amp;"-S"&amp;TEXT(L86,"00")),AND(K86="Cavity",J86="L"&amp;E86&amp;"-S"&amp;TEXT(L86,"00")&amp;"-C"&amp;M86)),"OK","CHECK"))</x:f>
      </x:c>
      <x:c r="AA86" t="str">
        <x:f>IF(B86="","",IF(AND(Q86&gt;0,OR(AND(O86="",P86=""),AND(O86&lt;&gt;"",P86&lt;&gt;"",P86&gt;=O86,ABS(Q86-((P86-O86)*24))&lt;=0.01))),"OK","CHECK"))</x:f>
      </x:c>
      <x:c r="AB86" t="str">
        <x:f>IF(B86="","",IF(AND(Y86="OK",Z86="OK",AA86="OK",R86&gt;0,S86&gt;0),"OK","CHECK"))</x:f>
      </x:c>
    </x:row>
    <x:row r="87">
      <x:c r="R87" t="str">
        <x:f>IF(B87="","",SUMIF(ProductionConfiguration!$B$5:$B$914,C87,ProductionConfiguration!$S$5:$S$914))</x:f>
      </x:c>
      <x:c r="S87" t="str">
        <x:f>IF(B87="","",IF(K87="Line",R87,IF(K87="Section",SUMIFS(ProductionConfiguration!$S$5:$S$914,ProductionConfiguration!$B$5:$B$914,C87,ProductionConfiguration!$I$5:$I$914,L87),IF(K87="Cavity",IF(M87=1,SUMIFS(ProductionConfiguration!$P$5:$P$914,ProductionConfiguration!$B$5:$B$914,C87,ProductionConfiguration!$I$5:$I$914,L87),IF(M87=2,SUMIFS(ProductionConfiguration!$Q$5:$Q$914,ProductionConfiguration!$B$5:$B$914,C87,ProductionConfiguration!$I$5:$I$914,L87),SUMIFS(ProductionConfiguration!$R$5:$R$914,ProductionConfiguration!$B$5:$B$914,C87,ProductionConfiguration!$I$5:$I$914,L87))),0))))</x:f>
      </x:c>
      <x:c r="T87" t="str">
        <x:f>IF(B87="","",IFERROR(S87/R87,0))</x:f>
      </x:c>
      <x:c r="U87" t="str">
        <x:f>IF(B87="","",Q87*T87)</x:f>
      </x:c>
      <x:c r="V87" t="str">
        <x:f>IF(C87="","",SUMIF(DailyProduction!$Q$5:$Q$100,C87,DailyProduction!$J$5:$J$100))</x:f>
      </x:c>
      <x:c r="W87" t="str">
        <x:f>IF(B87="","",Q87*60*V87*S87)</x:f>
      </x:c>
      <x:c r="Y87" t="str">
        <x:f>IF(B87="","",IF(COUNTIF(JobChange!$S$5:$S$100,B87)=1,"OK","CHECK"))</x:f>
      </x:c>
      <x:c r="Z87" t="str">
        <x:f>IF(B87="","",IF(OR(AND(K87="Line",J87="L"&amp;E87),AND(K87="Section",J87="L"&amp;E87&amp;"-S"&amp;TEXT(L87,"00")),AND(K87="Cavity",J87="L"&amp;E87&amp;"-S"&amp;TEXT(L87,"00")&amp;"-C"&amp;M87)),"OK","CHECK"))</x:f>
      </x:c>
      <x:c r="AA87" t="str">
        <x:f>IF(B87="","",IF(AND(Q87&gt;0,OR(AND(O87="",P87=""),AND(O87&lt;&gt;"",P87&lt;&gt;"",P87&gt;=O87,ABS(Q87-((P87-O87)*24))&lt;=0.01))),"OK","CHECK"))</x:f>
      </x:c>
      <x:c r="AB87" t="str">
        <x:f>IF(B87="","",IF(AND(Y87="OK",Z87="OK",AA87="OK",R87&gt;0,S87&gt;0),"OK","CHECK"))</x:f>
      </x:c>
    </x:row>
    <x:row r="88">
      <x:c r="R88" t="str">
        <x:f>IF(B88="","",SUMIF(ProductionConfiguration!$B$5:$B$914,C88,ProductionConfiguration!$S$5:$S$914))</x:f>
      </x:c>
      <x:c r="S88" t="str">
        <x:f>IF(B88="","",IF(K88="Line",R88,IF(K88="Section",SUMIFS(ProductionConfiguration!$S$5:$S$914,ProductionConfiguration!$B$5:$B$914,C88,ProductionConfiguration!$I$5:$I$914,L88),IF(K88="Cavity",IF(M88=1,SUMIFS(ProductionConfiguration!$P$5:$P$914,ProductionConfiguration!$B$5:$B$914,C88,ProductionConfiguration!$I$5:$I$914,L88),IF(M88=2,SUMIFS(ProductionConfiguration!$Q$5:$Q$914,ProductionConfiguration!$B$5:$B$914,C88,ProductionConfiguration!$I$5:$I$914,L88),SUMIFS(ProductionConfiguration!$R$5:$R$914,ProductionConfiguration!$B$5:$B$914,C88,ProductionConfiguration!$I$5:$I$914,L88))),0))))</x:f>
      </x:c>
      <x:c r="T88" t="str">
        <x:f>IF(B88="","",IFERROR(S88/R88,0))</x:f>
      </x:c>
      <x:c r="U88" t="str">
        <x:f>IF(B88="","",Q88*T88)</x:f>
      </x:c>
      <x:c r="V88" t="str">
        <x:f>IF(C88="","",SUMIF(DailyProduction!$Q$5:$Q$100,C88,DailyProduction!$J$5:$J$100))</x:f>
      </x:c>
      <x:c r="W88" t="str">
        <x:f>IF(B88="","",Q88*60*V88*S88)</x:f>
      </x:c>
      <x:c r="Y88" t="str">
        <x:f>IF(B88="","",IF(COUNTIF(JobChange!$S$5:$S$100,B88)=1,"OK","CHECK"))</x:f>
      </x:c>
      <x:c r="Z88" t="str">
        <x:f>IF(B88="","",IF(OR(AND(K88="Line",J88="L"&amp;E88),AND(K88="Section",J88="L"&amp;E88&amp;"-S"&amp;TEXT(L88,"00")),AND(K88="Cavity",J88="L"&amp;E88&amp;"-S"&amp;TEXT(L88,"00")&amp;"-C"&amp;M88)),"OK","CHECK"))</x:f>
      </x:c>
      <x:c r="AA88" t="str">
        <x:f>IF(B88="","",IF(AND(Q88&gt;0,OR(AND(O88="",P88=""),AND(O88&lt;&gt;"",P88&lt;&gt;"",P88&gt;=O88,ABS(Q88-((P88-O88)*24))&lt;=0.01))),"OK","CHECK"))</x:f>
      </x:c>
      <x:c r="AB88" t="str">
        <x:f>IF(B88="","",IF(AND(Y88="OK",Z88="OK",AA88="OK",R88&gt;0,S88&gt;0),"OK","CHECK"))</x:f>
      </x:c>
    </x:row>
    <x:row r="89">
      <x:c r="R89" t="str">
        <x:f>IF(B89="","",SUMIF(ProductionConfiguration!$B$5:$B$914,C89,ProductionConfiguration!$S$5:$S$914))</x:f>
      </x:c>
      <x:c r="S89" t="str">
        <x:f>IF(B89="","",IF(K89="Line",R89,IF(K89="Section",SUMIFS(ProductionConfiguration!$S$5:$S$914,ProductionConfiguration!$B$5:$B$914,C89,ProductionConfiguration!$I$5:$I$914,L89),IF(K89="Cavity",IF(M89=1,SUMIFS(ProductionConfiguration!$P$5:$P$914,ProductionConfiguration!$B$5:$B$914,C89,ProductionConfiguration!$I$5:$I$914,L89),IF(M89=2,SUMIFS(ProductionConfiguration!$Q$5:$Q$914,ProductionConfiguration!$B$5:$B$914,C89,ProductionConfiguration!$I$5:$I$914,L89),SUMIFS(ProductionConfiguration!$R$5:$R$914,ProductionConfiguration!$B$5:$B$914,C89,ProductionConfiguration!$I$5:$I$914,L89))),0))))</x:f>
      </x:c>
      <x:c r="T89" t="str">
        <x:f>IF(B89="","",IFERROR(S89/R89,0))</x:f>
      </x:c>
      <x:c r="U89" t="str">
        <x:f>IF(B89="","",Q89*T89)</x:f>
      </x:c>
      <x:c r="V89" t="str">
        <x:f>IF(C89="","",SUMIF(DailyProduction!$Q$5:$Q$100,C89,DailyProduction!$J$5:$J$100))</x:f>
      </x:c>
      <x:c r="W89" t="str">
        <x:f>IF(B89="","",Q89*60*V89*S89)</x:f>
      </x:c>
      <x:c r="Y89" t="str">
        <x:f>IF(B89="","",IF(COUNTIF(JobChange!$S$5:$S$100,B89)=1,"OK","CHECK"))</x:f>
      </x:c>
      <x:c r="Z89" t="str">
        <x:f>IF(B89="","",IF(OR(AND(K89="Line",J89="L"&amp;E89),AND(K89="Section",J89="L"&amp;E89&amp;"-S"&amp;TEXT(L89,"00")),AND(K89="Cavity",J89="L"&amp;E89&amp;"-S"&amp;TEXT(L89,"00")&amp;"-C"&amp;M89)),"OK","CHECK"))</x:f>
      </x:c>
      <x:c r="AA89" t="str">
        <x:f>IF(B89="","",IF(AND(Q89&gt;0,OR(AND(O89="",P89=""),AND(O89&lt;&gt;"",P89&lt;&gt;"",P89&gt;=O89,ABS(Q89-((P89-O89)*24))&lt;=0.01))),"OK","CHECK"))</x:f>
      </x:c>
      <x:c r="AB89" t="str">
        <x:f>IF(B89="","",IF(AND(Y89="OK",Z89="OK",AA89="OK",R89&gt;0,S89&gt;0),"OK","CHECK"))</x:f>
      </x:c>
    </x:row>
    <x:row r="90">
      <x:c r="R90" t="str">
        <x:f>IF(B90="","",SUMIF(ProductionConfiguration!$B$5:$B$914,C90,ProductionConfiguration!$S$5:$S$914))</x:f>
      </x:c>
      <x:c r="S90" t="str">
        <x:f>IF(B90="","",IF(K90="Line",R90,IF(K90="Section",SUMIFS(ProductionConfiguration!$S$5:$S$914,ProductionConfiguration!$B$5:$B$914,C90,ProductionConfiguration!$I$5:$I$914,L90),IF(K90="Cavity",IF(M90=1,SUMIFS(ProductionConfiguration!$P$5:$P$914,ProductionConfiguration!$B$5:$B$914,C90,ProductionConfiguration!$I$5:$I$914,L90),IF(M90=2,SUMIFS(ProductionConfiguration!$Q$5:$Q$914,ProductionConfiguration!$B$5:$B$914,C90,ProductionConfiguration!$I$5:$I$914,L90),SUMIFS(ProductionConfiguration!$R$5:$R$914,ProductionConfiguration!$B$5:$B$914,C90,ProductionConfiguration!$I$5:$I$914,L90))),0))))</x:f>
      </x:c>
      <x:c r="T90" t="str">
        <x:f>IF(B90="","",IFERROR(S90/R90,0))</x:f>
      </x:c>
      <x:c r="U90" t="str">
        <x:f>IF(B90="","",Q90*T90)</x:f>
      </x:c>
      <x:c r="V90" t="str">
        <x:f>IF(C90="","",SUMIF(DailyProduction!$Q$5:$Q$100,C90,DailyProduction!$J$5:$J$100))</x:f>
      </x:c>
      <x:c r="W90" t="str">
        <x:f>IF(B90="","",Q90*60*V90*S90)</x:f>
      </x:c>
      <x:c r="Y90" t="str">
        <x:f>IF(B90="","",IF(COUNTIF(JobChange!$S$5:$S$100,B90)=1,"OK","CHECK"))</x:f>
      </x:c>
      <x:c r="Z90" t="str">
        <x:f>IF(B90="","",IF(OR(AND(K90="Line",J90="L"&amp;E90),AND(K90="Section",J90="L"&amp;E90&amp;"-S"&amp;TEXT(L90,"00")),AND(K90="Cavity",J90="L"&amp;E90&amp;"-S"&amp;TEXT(L90,"00")&amp;"-C"&amp;M90)),"OK","CHECK"))</x:f>
      </x:c>
      <x:c r="AA90" t="str">
        <x:f>IF(B90="","",IF(AND(Q90&gt;0,OR(AND(O90="",P90=""),AND(O90&lt;&gt;"",P90&lt;&gt;"",P90&gt;=O90,ABS(Q90-((P90-O90)*24))&lt;=0.01))),"OK","CHECK"))</x:f>
      </x:c>
      <x:c r="AB90" t="str">
        <x:f>IF(B90="","",IF(AND(Y90="OK",Z90="OK",AA90="OK",R90&gt;0,S90&gt;0),"OK","CHECK"))</x:f>
      </x:c>
    </x:row>
    <x:row r="91">
      <x:c r="R91" t="str">
        <x:f>IF(B91="","",SUMIF(ProductionConfiguration!$B$5:$B$914,C91,ProductionConfiguration!$S$5:$S$914))</x:f>
      </x:c>
      <x:c r="S91" t="str">
        <x:f>IF(B91="","",IF(K91="Line",R91,IF(K91="Section",SUMIFS(ProductionConfiguration!$S$5:$S$914,ProductionConfiguration!$B$5:$B$914,C91,ProductionConfiguration!$I$5:$I$914,L91),IF(K91="Cavity",IF(M91=1,SUMIFS(ProductionConfiguration!$P$5:$P$914,ProductionConfiguration!$B$5:$B$914,C91,ProductionConfiguration!$I$5:$I$914,L91),IF(M91=2,SUMIFS(ProductionConfiguration!$Q$5:$Q$914,ProductionConfiguration!$B$5:$B$914,C91,ProductionConfiguration!$I$5:$I$914,L91),SUMIFS(ProductionConfiguration!$R$5:$R$914,ProductionConfiguration!$B$5:$B$914,C91,ProductionConfiguration!$I$5:$I$914,L91))),0))))</x:f>
      </x:c>
      <x:c r="T91" t="str">
        <x:f>IF(B91="","",IFERROR(S91/R91,0))</x:f>
      </x:c>
      <x:c r="U91" t="str">
        <x:f>IF(B91="","",Q91*T91)</x:f>
      </x:c>
      <x:c r="V91" t="str">
        <x:f>IF(C91="","",SUMIF(DailyProduction!$Q$5:$Q$100,C91,DailyProduction!$J$5:$J$100))</x:f>
      </x:c>
      <x:c r="W91" t="str">
        <x:f>IF(B91="","",Q91*60*V91*S91)</x:f>
      </x:c>
      <x:c r="Y91" t="str">
        <x:f>IF(B91="","",IF(COUNTIF(JobChange!$S$5:$S$100,B91)=1,"OK","CHECK"))</x:f>
      </x:c>
      <x:c r="Z91" t="str">
        <x:f>IF(B91="","",IF(OR(AND(K91="Line",J91="L"&amp;E91),AND(K91="Section",J91="L"&amp;E91&amp;"-S"&amp;TEXT(L91,"00")),AND(K91="Cavity",J91="L"&amp;E91&amp;"-S"&amp;TEXT(L91,"00")&amp;"-C"&amp;M91)),"OK","CHECK"))</x:f>
      </x:c>
      <x:c r="AA91" t="str">
        <x:f>IF(B91="","",IF(AND(Q91&gt;0,OR(AND(O91="",P91=""),AND(O91&lt;&gt;"",P91&lt;&gt;"",P91&gt;=O91,ABS(Q91-((P91-O91)*24))&lt;=0.01))),"OK","CHECK"))</x:f>
      </x:c>
      <x:c r="AB91" t="str">
        <x:f>IF(B91="","",IF(AND(Y91="OK",Z91="OK",AA91="OK",R91&gt;0,S91&gt;0),"OK","CHECK"))</x:f>
      </x:c>
    </x:row>
    <x:row r="92">
      <x:c r="R92" t="str">
        <x:f>IF(B92="","",SUMIF(ProductionConfiguration!$B$5:$B$914,C92,ProductionConfiguration!$S$5:$S$914))</x:f>
      </x:c>
      <x:c r="S92" t="str">
        <x:f>IF(B92="","",IF(K92="Line",R92,IF(K92="Section",SUMIFS(ProductionConfiguration!$S$5:$S$914,ProductionConfiguration!$B$5:$B$914,C92,ProductionConfiguration!$I$5:$I$914,L92),IF(K92="Cavity",IF(M92=1,SUMIFS(ProductionConfiguration!$P$5:$P$914,ProductionConfiguration!$B$5:$B$914,C92,ProductionConfiguration!$I$5:$I$914,L92),IF(M92=2,SUMIFS(ProductionConfiguration!$Q$5:$Q$914,ProductionConfiguration!$B$5:$B$914,C92,ProductionConfiguration!$I$5:$I$914,L92),SUMIFS(ProductionConfiguration!$R$5:$R$914,ProductionConfiguration!$B$5:$B$914,C92,ProductionConfiguration!$I$5:$I$914,L92))),0))))</x:f>
      </x:c>
      <x:c r="T92" t="str">
        <x:f>IF(B92="","",IFERROR(S92/R92,0))</x:f>
      </x:c>
      <x:c r="U92" t="str">
        <x:f>IF(B92="","",Q92*T92)</x:f>
      </x:c>
      <x:c r="V92" t="str">
        <x:f>IF(C92="","",SUMIF(DailyProduction!$Q$5:$Q$100,C92,DailyProduction!$J$5:$J$100))</x:f>
      </x:c>
      <x:c r="W92" t="str">
        <x:f>IF(B92="","",Q92*60*V92*S92)</x:f>
      </x:c>
      <x:c r="Y92" t="str">
        <x:f>IF(B92="","",IF(COUNTIF(JobChange!$S$5:$S$100,B92)=1,"OK","CHECK"))</x:f>
      </x:c>
      <x:c r="Z92" t="str">
        <x:f>IF(B92="","",IF(OR(AND(K92="Line",J92="L"&amp;E92),AND(K92="Section",J92="L"&amp;E92&amp;"-S"&amp;TEXT(L92,"00")),AND(K92="Cavity",J92="L"&amp;E92&amp;"-S"&amp;TEXT(L92,"00")&amp;"-C"&amp;M92)),"OK","CHECK"))</x:f>
      </x:c>
      <x:c r="AA92" t="str">
        <x:f>IF(B92="","",IF(AND(Q92&gt;0,OR(AND(O92="",P92=""),AND(O92&lt;&gt;"",P92&lt;&gt;"",P92&gt;=O92,ABS(Q92-((P92-O92)*24))&lt;=0.01))),"OK","CHECK"))</x:f>
      </x:c>
      <x:c r="AB92" t="str">
        <x:f>IF(B92="","",IF(AND(Y92="OK",Z92="OK",AA92="OK",R92&gt;0,S92&gt;0),"OK","CHECK"))</x:f>
      </x:c>
    </x:row>
    <x:row r="93">
      <x:c r="R93" t="str">
        <x:f>IF(B93="","",SUMIF(ProductionConfiguration!$B$5:$B$914,C93,ProductionConfiguration!$S$5:$S$914))</x:f>
      </x:c>
      <x:c r="S93" t="str">
        <x:f>IF(B93="","",IF(K93="Line",R93,IF(K93="Section",SUMIFS(ProductionConfiguration!$S$5:$S$914,ProductionConfiguration!$B$5:$B$914,C93,ProductionConfiguration!$I$5:$I$914,L93),IF(K93="Cavity",IF(M93=1,SUMIFS(ProductionConfiguration!$P$5:$P$914,ProductionConfiguration!$B$5:$B$914,C93,ProductionConfiguration!$I$5:$I$914,L93),IF(M93=2,SUMIFS(ProductionConfiguration!$Q$5:$Q$914,ProductionConfiguration!$B$5:$B$914,C93,ProductionConfiguration!$I$5:$I$914,L93),SUMIFS(ProductionConfiguration!$R$5:$R$914,ProductionConfiguration!$B$5:$B$914,C93,ProductionConfiguration!$I$5:$I$914,L93))),0))))</x:f>
      </x:c>
      <x:c r="T93" t="str">
        <x:f>IF(B93="","",IFERROR(S93/R93,0))</x:f>
      </x:c>
      <x:c r="U93" t="str">
        <x:f>IF(B93="","",Q93*T93)</x:f>
      </x:c>
      <x:c r="V93" t="str">
        <x:f>IF(C93="","",SUMIF(DailyProduction!$Q$5:$Q$100,C93,DailyProduction!$J$5:$J$100))</x:f>
      </x:c>
      <x:c r="W93" t="str">
        <x:f>IF(B93="","",Q93*60*V93*S93)</x:f>
      </x:c>
      <x:c r="Y93" t="str">
        <x:f>IF(B93="","",IF(COUNTIF(JobChange!$S$5:$S$100,B93)=1,"OK","CHECK"))</x:f>
      </x:c>
      <x:c r="Z93" t="str">
        <x:f>IF(B93="","",IF(OR(AND(K93="Line",J93="L"&amp;E93),AND(K93="Section",J93="L"&amp;E93&amp;"-S"&amp;TEXT(L93,"00")),AND(K93="Cavity",J93="L"&amp;E93&amp;"-S"&amp;TEXT(L93,"00")&amp;"-C"&amp;M93)),"OK","CHECK"))</x:f>
      </x:c>
      <x:c r="AA93" t="str">
        <x:f>IF(B93="","",IF(AND(Q93&gt;0,OR(AND(O93="",P93=""),AND(O93&lt;&gt;"",P93&lt;&gt;"",P93&gt;=O93,ABS(Q93-((P93-O93)*24))&lt;=0.01))),"OK","CHECK"))</x:f>
      </x:c>
      <x:c r="AB93" t="str">
        <x:f>IF(B93="","",IF(AND(Y93="OK",Z93="OK",AA93="OK",R93&gt;0,S93&gt;0),"OK","CHECK"))</x:f>
      </x:c>
    </x:row>
    <x:row r="94">
      <x:c r="R94" t="str">
        <x:f>IF(B94="","",SUMIF(ProductionConfiguration!$B$5:$B$914,C94,ProductionConfiguration!$S$5:$S$914))</x:f>
      </x:c>
      <x:c r="S94" t="str">
        <x:f>IF(B94="","",IF(K94="Line",R94,IF(K94="Section",SUMIFS(ProductionConfiguration!$S$5:$S$914,ProductionConfiguration!$B$5:$B$914,C94,ProductionConfiguration!$I$5:$I$914,L94),IF(K94="Cavity",IF(M94=1,SUMIFS(ProductionConfiguration!$P$5:$P$914,ProductionConfiguration!$B$5:$B$914,C94,ProductionConfiguration!$I$5:$I$914,L94),IF(M94=2,SUMIFS(ProductionConfiguration!$Q$5:$Q$914,ProductionConfiguration!$B$5:$B$914,C94,ProductionConfiguration!$I$5:$I$914,L94),SUMIFS(ProductionConfiguration!$R$5:$R$914,ProductionConfiguration!$B$5:$B$914,C94,ProductionConfiguration!$I$5:$I$914,L94))),0))))</x:f>
      </x:c>
      <x:c r="T94" t="str">
        <x:f>IF(B94="","",IFERROR(S94/R94,0))</x:f>
      </x:c>
      <x:c r="U94" t="str">
        <x:f>IF(B94="","",Q94*T94)</x:f>
      </x:c>
      <x:c r="V94" t="str">
        <x:f>IF(C94="","",SUMIF(DailyProduction!$Q$5:$Q$100,C94,DailyProduction!$J$5:$J$100))</x:f>
      </x:c>
      <x:c r="W94" t="str">
        <x:f>IF(B94="","",Q94*60*V94*S94)</x:f>
      </x:c>
      <x:c r="Y94" t="str">
        <x:f>IF(B94="","",IF(COUNTIF(JobChange!$S$5:$S$100,B94)=1,"OK","CHECK"))</x:f>
      </x:c>
      <x:c r="Z94" t="str">
        <x:f>IF(B94="","",IF(OR(AND(K94="Line",J94="L"&amp;E94),AND(K94="Section",J94="L"&amp;E94&amp;"-S"&amp;TEXT(L94,"00")),AND(K94="Cavity",J94="L"&amp;E94&amp;"-S"&amp;TEXT(L94,"00")&amp;"-C"&amp;M94)),"OK","CHECK"))</x:f>
      </x:c>
      <x:c r="AA94" t="str">
        <x:f>IF(B94="","",IF(AND(Q94&gt;0,OR(AND(O94="",P94=""),AND(O94&lt;&gt;"",P94&lt;&gt;"",P94&gt;=O94,ABS(Q94-((P94-O94)*24))&lt;=0.01))),"OK","CHECK"))</x:f>
      </x:c>
      <x:c r="AB94" t="str">
        <x:f>IF(B94="","",IF(AND(Y94="OK",Z94="OK",AA94="OK",R94&gt;0,S94&gt;0),"OK","CHECK"))</x:f>
      </x:c>
    </x:row>
    <x:row r="95">
      <x:c r="R95" t="str">
        <x:f>IF(B95="","",SUMIF(ProductionConfiguration!$B$5:$B$914,C95,ProductionConfiguration!$S$5:$S$914))</x:f>
      </x:c>
      <x:c r="S95" t="str">
        <x:f>IF(B95="","",IF(K95="Line",R95,IF(K95="Section",SUMIFS(ProductionConfiguration!$S$5:$S$914,ProductionConfiguration!$B$5:$B$914,C95,ProductionConfiguration!$I$5:$I$914,L95),IF(K95="Cavity",IF(M95=1,SUMIFS(ProductionConfiguration!$P$5:$P$914,ProductionConfiguration!$B$5:$B$914,C95,ProductionConfiguration!$I$5:$I$914,L95),IF(M95=2,SUMIFS(ProductionConfiguration!$Q$5:$Q$914,ProductionConfiguration!$B$5:$B$914,C95,ProductionConfiguration!$I$5:$I$914,L95),SUMIFS(ProductionConfiguration!$R$5:$R$914,ProductionConfiguration!$B$5:$B$914,C95,ProductionConfiguration!$I$5:$I$914,L95))),0))))</x:f>
      </x:c>
      <x:c r="T95" t="str">
        <x:f>IF(B95="","",IFERROR(S95/R95,0))</x:f>
      </x:c>
      <x:c r="U95" t="str">
        <x:f>IF(B95="","",Q95*T95)</x:f>
      </x:c>
      <x:c r="V95" t="str">
        <x:f>IF(C95="","",SUMIF(DailyProduction!$Q$5:$Q$100,C95,DailyProduction!$J$5:$J$100))</x:f>
      </x:c>
      <x:c r="W95" t="str">
        <x:f>IF(B95="","",Q95*60*V95*S95)</x:f>
      </x:c>
      <x:c r="Y95" t="str">
        <x:f>IF(B95="","",IF(COUNTIF(JobChange!$S$5:$S$100,B95)=1,"OK","CHECK"))</x:f>
      </x:c>
      <x:c r="Z95" t="str">
        <x:f>IF(B95="","",IF(OR(AND(K95="Line",J95="L"&amp;E95),AND(K95="Section",J95="L"&amp;E95&amp;"-S"&amp;TEXT(L95,"00")),AND(K95="Cavity",J95="L"&amp;E95&amp;"-S"&amp;TEXT(L95,"00")&amp;"-C"&amp;M95)),"OK","CHECK"))</x:f>
      </x:c>
      <x:c r="AA95" t="str">
        <x:f>IF(B95="","",IF(AND(Q95&gt;0,OR(AND(O95="",P95=""),AND(O95&lt;&gt;"",P95&lt;&gt;"",P95&gt;=O95,ABS(Q95-((P95-O95)*24))&lt;=0.01))),"OK","CHECK"))</x:f>
      </x:c>
      <x:c r="AB95" t="str">
        <x:f>IF(B95="","",IF(AND(Y95="OK",Z95="OK",AA95="OK",R95&gt;0,S95&gt;0),"OK","CHECK"))</x:f>
      </x:c>
    </x:row>
    <x:row r="96">
      <x:c r="R96" t="str">
        <x:f>IF(B96="","",SUMIF(ProductionConfiguration!$B$5:$B$914,C96,ProductionConfiguration!$S$5:$S$914))</x:f>
      </x:c>
      <x:c r="S96" t="str">
        <x:f>IF(B96="","",IF(K96="Line",R96,IF(K96="Section",SUMIFS(ProductionConfiguration!$S$5:$S$914,ProductionConfiguration!$B$5:$B$914,C96,ProductionConfiguration!$I$5:$I$914,L96),IF(K96="Cavity",IF(M96=1,SUMIFS(ProductionConfiguration!$P$5:$P$914,ProductionConfiguration!$B$5:$B$914,C96,ProductionConfiguration!$I$5:$I$914,L96),IF(M96=2,SUMIFS(ProductionConfiguration!$Q$5:$Q$914,ProductionConfiguration!$B$5:$B$914,C96,ProductionConfiguration!$I$5:$I$914,L96),SUMIFS(ProductionConfiguration!$R$5:$R$914,ProductionConfiguration!$B$5:$B$914,C96,ProductionConfiguration!$I$5:$I$914,L96))),0))))</x:f>
      </x:c>
      <x:c r="T96" t="str">
        <x:f>IF(B96="","",IFERROR(S96/R96,0))</x:f>
      </x:c>
      <x:c r="U96" t="str">
        <x:f>IF(B96="","",Q96*T96)</x:f>
      </x:c>
      <x:c r="V96" t="str">
        <x:f>IF(C96="","",SUMIF(DailyProduction!$Q$5:$Q$100,C96,DailyProduction!$J$5:$J$100))</x:f>
      </x:c>
      <x:c r="W96" t="str">
        <x:f>IF(B96="","",Q96*60*V96*S96)</x:f>
      </x:c>
      <x:c r="Y96" t="str">
        <x:f>IF(B96="","",IF(COUNTIF(JobChange!$S$5:$S$100,B96)=1,"OK","CHECK"))</x:f>
      </x:c>
      <x:c r="Z96" t="str">
        <x:f>IF(B96="","",IF(OR(AND(K96="Line",J96="L"&amp;E96),AND(K96="Section",J96="L"&amp;E96&amp;"-S"&amp;TEXT(L96,"00")),AND(K96="Cavity",J96="L"&amp;E96&amp;"-S"&amp;TEXT(L96,"00")&amp;"-C"&amp;M96)),"OK","CHECK"))</x:f>
      </x:c>
      <x:c r="AA96" t="str">
        <x:f>IF(B96="","",IF(AND(Q96&gt;0,OR(AND(O96="",P96=""),AND(O96&lt;&gt;"",P96&lt;&gt;"",P96&gt;=O96,ABS(Q96-((P96-O96)*24))&lt;=0.01))),"OK","CHECK"))</x:f>
      </x:c>
      <x:c r="AB96" t="str">
        <x:f>IF(B96="","",IF(AND(Y96="OK",Z96="OK",AA96="OK",R96&gt;0,S96&gt;0),"OK","CHECK"))</x:f>
      </x:c>
    </x:row>
    <x:row r="97">
      <x:c r="R97" t="str">
        <x:f>IF(B97="","",SUMIF(ProductionConfiguration!$B$5:$B$914,C97,ProductionConfiguration!$S$5:$S$914))</x:f>
      </x:c>
      <x:c r="S97" t="str">
        <x:f>IF(B97="","",IF(K97="Line",R97,IF(K97="Section",SUMIFS(ProductionConfiguration!$S$5:$S$914,ProductionConfiguration!$B$5:$B$914,C97,ProductionConfiguration!$I$5:$I$914,L97),IF(K97="Cavity",IF(M97=1,SUMIFS(ProductionConfiguration!$P$5:$P$914,ProductionConfiguration!$B$5:$B$914,C97,ProductionConfiguration!$I$5:$I$914,L97),IF(M97=2,SUMIFS(ProductionConfiguration!$Q$5:$Q$914,ProductionConfiguration!$B$5:$B$914,C97,ProductionConfiguration!$I$5:$I$914,L97),SUMIFS(ProductionConfiguration!$R$5:$R$914,ProductionConfiguration!$B$5:$B$914,C97,ProductionConfiguration!$I$5:$I$914,L97))),0))))</x:f>
      </x:c>
      <x:c r="T97" t="str">
        <x:f>IF(B97="","",IFERROR(S97/R97,0))</x:f>
      </x:c>
      <x:c r="U97" t="str">
        <x:f>IF(B97="","",Q97*T97)</x:f>
      </x:c>
      <x:c r="V97" t="str">
        <x:f>IF(C97="","",SUMIF(DailyProduction!$Q$5:$Q$100,C97,DailyProduction!$J$5:$J$100))</x:f>
      </x:c>
      <x:c r="W97" t="str">
        <x:f>IF(B97="","",Q97*60*V97*S97)</x:f>
      </x:c>
      <x:c r="Y97" t="str">
        <x:f>IF(B97="","",IF(COUNTIF(JobChange!$S$5:$S$100,B97)=1,"OK","CHECK"))</x:f>
      </x:c>
      <x:c r="Z97" t="str">
        <x:f>IF(B97="","",IF(OR(AND(K97="Line",J97="L"&amp;E97),AND(K97="Section",J97="L"&amp;E97&amp;"-S"&amp;TEXT(L97,"00")),AND(K97="Cavity",J97="L"&amp;E97&amp;"-S"&amp;TEXT(L97,"00")&amp;"-C"&amp;M97)),"OK","CHECK"))</x:f>
      </x:c>
      <x:c r="AA97" t="str">
        <x:f>IF(B97="","",IF(AND(Q97&gt;0,OR(AND(O97="",P97=""),AND(O97&lt;&gt;"",P97&lt;&gt;"",P97&gt;=O97,ABS(Q97-((P97-O97)*24))&lt;=0.01))),"OK","CHECK"))</x:f>
      </x:c>
      <x:c r="AB97" t="str">
        <x:f>IF(B97="","",IF(AND(Y97="OK",Z97="OK",AA97="OK",R97&gt;0,S97&gt;0),"OK","CHECK"))</x:f>
      </x:c>
    </x:row>
    <x:row r="98">
      <x:c r="R98" t="str">
        <x:f>IF(B98="","",SUMIF(ProductionConfiguration!$B$5:$B$914,C98,ProductionConfiguration!$S$5:$S$914))</x:f>
      </x:c>
      <x:c r="S98" t="str">
        <x:f>IF(B98="","",IF(K98="Line",R98,IF(K98="Section",SUMIFS(ProductionConfiguration!$S$5:$S$914,ProductionConfiguration!$B$5:$B$914,C98,ProductionConfiguration!$I$5:$I$914,L98),IF(K98="Cavity",IF(M98=1,SUMIFS(ProductionConfiguration!$P$5:$P$914,ProductionConfiguration!$B$5:$B$914,C98,ProductionConfiguration!$I$5:$I$914,L98),IF(M98=2,SUMIFS(ProductionConfiguration!$Q$5:$Q$914,ProductionConfiguration!$B$5:$B$914,C98,ProductionConfiguration!$I$5:$I$914,L98),SUMIFS(ProductionConfiguration!$R$5:$R$914,ProductionConfiguration!$B$5:$B$914,C98,ProductionConfiguration!$I$5:$I$914,L98))),0))))</x:f>
      </x:c>
      <x:c r="T98" t="str">
        <x:f>IF(B98="","",IFERROR(S98/R98,0))</x:f>
      </x:c>
      <x:c r="U98" t="str">
        <x:f>IF(B98="","",Q98*T98)</x:f>
      </x:c>
      <x:c r="V98" t="str">
        <x:f>IF(C98="","",SUMIF(DailyProduction!$Q$5:$Q$100,C98,DailyProduction!$J$5:$J$100))</x:f>
      </x:c>
      <x:c r="W98" t="str">
        <x:f>IF(B98="","",Q98*60*V98*S98)</x:f>
      </x:c>
      <x:c r="Y98" t="str">
        <x:f>IF(B98="","",IF(COUNTIF(JobChange!$S$5:$S$100,B98)=1,"OK","CHECK"))</x:f>
      </x:c>
      <x:c r="Z98" t="str">
        <x:f>IF(B98="","",IF(OR(AND(K98="Line",J98="L"&amp;E98),AND(K98="Section",J98="L"&amp;E98&amp;"-S"&amp;TEXT(L98,"00")),AND(K98="Cavity",J98="L"&amp;E98&amp;"-S"&amp;TEXT(L98,"00")&amp;"-C"&amp;M98)),"OK","CHECK"))</x:f>
      </x:c>
      <x:c r="AA98" t="str">
        <x:f>IF(B98="","",IF(AND(Q98&gt;0,OR(AND(O98="",P98=""),AND(O98&lt;&gt;"",P98&lt;&gt;"",P98&gt;=O98,ABS(Q98-((P98-O98)*24))&lt;=0.01))),"OK","CHECK"))</x:f>
      </x:c>
      <x:c r="AB98" t="str">
        <x:f>IF(B98="","",IF(AND(Y98="OK",Z98="OK",AA98="OK",R98&gt;0,S98&gt;0),"OK","CHECK"))</x:f>
      </x:c>
    </x:row>
    <x:row r="99">
      <x:c r="R99" t="str">
        <x:f>IF(B99="","",SUMIF(ProductionConfiguration!$B$5:$B$914,C99,ProductionConfiguration!$S$5:$S$914))</x:f>
      </x:c>
      <x:c r="S99" t="str">
        <x:f>IF(B99="","",IF(K99="Line",R99,IF(K99="Section",SUMIFS(ProductionConfiguration!$S$5:$S$914,ProductionConfiguration!$B$5:$B$914,C99,ProductionConfiguration!$I$5:$I$914,L99),IF(K99="Cavity",IF(M99=1,SUMIFS(ProductionConfiguration!$P$5:$P$914,ProductionConfiguration!$B$5:$B$914,C99,ProductionConfiguration!$I$5:$I$914,L99),IF(M99=2,SUMIFS(ProductionConfiguration!$Q$5:$Q$914,ProductionConfiguration!$B$5:$B$914,C99,ProductionConfiguration!$I$5:$I$914,L99),SUMIFS(ProductionConfiguration!$R$5:$R$914,ProductionConfiguration!$B$5:$B$914,C99,ProductionConfiguration!$I$5:$I$914,L99))),0))))</x:f>
      </x:c>
      <x:c r="T99" t="str">
        <x:f>IF(B99="","",IFERROR(S99/R99,0))</x:f>
      </x:c>
      <x:c r="U99" t="str">
        <x:f>IF(B99="","",Q99*T99)</x:f>
      </x:c>
      <x:c r="V99" t="str">
        <x:f>IF(C99="","",SUMIF(DailyProduction!$Q$5:$Q$100,C99,DailyProduction!$J$5:$J$100))</x:f>
      </x:c>
      <x:c r="W99" t="str">
        <x:f>IF(B99="","",Q99*60*V99*S99)</x:f>
      </x:c>
      <x:c r="Y99" t="str">
        <x:f>IF(B99="","",IF(COUNTIF(JobChange!$S$5:$S$100,B99)=1,"OK","CHECK"))</x:f>
      </x:c>
      <x:c r="Z99" t="str">
        <x:f>IF(B99="","",IF(OR(AND(K99="Line",J99="L"&amp;E99),AND(K99="Section",J99="L"&amp;E99&amp;"-S"&amp;TEXT(L99,"00")),AND(K99="Cavity",J99="L"&amp;E99&amp;"-S"&amp;TEXT(L99,"00")&amp;"-C"&amp;M99)),"OK","CHECK"))</x:f>
      </x:c>
      <x:c r="AA99" t="str">
        <x:f>IF(B99="","",IF(AND(Q99&gt;0,OR(AND(O99="",P99=""),AND(O99&lt;&gt;"",P99&lt;&gt;"",P99&gt;=O99,ABS(Q99-((P99-O99)*24))&lt;=0.01))),"OK","CHECK"))</x:f>
      </x:c>
      <x:c r="AB99" t="str">
        <x:f>IF(B99="","",IF(AND(Y99="OK",Z99="OK",AA99="OK",R99&gt;0,S99&gt;0),"OK","CHECK"))</x:f>
      </x:c>
    </x:row>
    <x:row r="100">
      <x:c r="R100" t="str">
        <x:f>IF(B100="","",SUMIF(ProductionConfiguration!$B$5:$B$914,C100,ProductionConfiguration!$S$5:$S$914))</x:f>
      </x:c>
      <x:c r="S100" t="str">
        <x:f>IF(B100="","",IF(K100="Line",R100,IF(K100="Section",SUMIFS(ProductionConfiguration!$S$5:$S$914,ProductionConfiguration!$B$5:$B$914,C100,ProductionConfiguration!$I$5:$I$914,L100),IF(K100="Cavity",IF(M100=1,SUMIFS(ProductionConfiguration!$P$5:$P$914,ProductionConfiguration!$B$5:$B$914,C100,ProductionConfiguration!$I$5:$I$914,L100),IF(M100=2,SUMIFS(ProductionConfiguration!$Q$5:$Q$914,ProductionConfiguration!$B$5:$B$914,C100,ProductionConfiguration!$I$5:$I$914,L100),SUMIFS(ProductionConfiguration!$R$5:$R$914,ProductionConfiguration!$B$5:$B$914,C100,ProductionConfiguration!$I$5:$I$914,L100))),0))))</x:f>
      </x:c>
      <x:c r="T100" t="str">
        <x:f>IF(B100="","",IFERROR(S100/R100,0))</x:f>
      </x:c>
      <x:c r="U100" t="str">
        <x:f>IF(B100="","",Q100*T100)</x:f>
      </x:c>
      <x:c r="V100" t="str">
        <x:f>IF(C100="","",SUMIF(DailyProduction!$Q$5:$Q$100,C100,DailyProduction!$J$5:$J$100))</x:f>
      </x:c>
      <x:c r="W100" t="str">
        <x:f>IF(B100="","",Q100*60*V100*S100)</x:f>
      </x:c>
      <x:c r="Y100" t="str">
        <x:f>IF(B100="","",IF(COUNTIF(JobChange!$S$5:$S$100,B100)=1,"OK","CHECK"))</x:f>
      </x:c>
      <x:c r="Z100" t="str">
        <x:f>IF(B100="","",IF(OR(AND(K100="Line",J100="L"&amp;E100),AND(K100="Section",J100="L"&amp;E100&amp;"-S"&amp;TEXT(L100,"00")),AND(K100="Cavity",J100="L"&amp;E100&amp;"-S"&amp;TEXT(L100,"00")&amp;"-C"&amp;M100)),"OK","CHECK"))</x:f>
      </x:c>
      <x:c r="AA100" t="str">
        <x:f>IF(B100="","",IF(AND(Q100&gt;0,OR(AND(O100="",P100=""),AND(O100&lt;&gt;"",P100&lt;&gt;"",P100&gt;=O100,ABS(Q100-((P100-O100)*24))&lt;=0.01))),"OK","CHECK"))</x:f>
      </x:c>
      <x:c r="AB100" t="str">
        <x:f>IF(B100="","",IF(AND(Y100="OK",Z100="OK",AA100="OK",R100&gt;0,S100&gt;0),"OK","CHECK"))</x:f>
      </x:c>
    </x:row>
  </x:sheetData>
  <x:dataValidations count="5">
    <x:dataValidation type="list" sqref="I5:I100">
      <x:formula1>_ValidationLists!$F$2:$F$7</x:formula1>
    </x:dataValidation>
    <x:dataValidation type="list" sqref="J5:J100">
      <x:formula1>_ValidationLists!$H$2:$H$266</x:formula1>
    </x:dataValidation>
    <x:dataValidation type="list" sqref="K5:K100">
      <x:formula1>_ValidationLists!$E$2:$E$4</x:formula1>
    </x:dataValidation>
    <x:dataValidation operator="between" sqref="L5:L100">
      <x:formula1>1</x:formula1>
      <x:formula2>13</x:formula2>
    </x:dataValidation>
    <x:dataValidation operator="between" sqref="M5:M100">
      <x:formula1>1</x:formula1>
      <x:formula2>3</x:formula2>
    </x:dataValidation>
  </x:dataValidations>
  <x:pageMargins left="0.7" right="0.7" top="0.75" bottom="0.75" header="0.3" footer="0.3"/>
</x:worksheet>
</file>